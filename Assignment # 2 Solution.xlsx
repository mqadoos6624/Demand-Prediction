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dow Q Data\WINDOW-Q\ALL SEMESTER'S\ALL COURSES  ( 401 )  7TH  SEMESTER\ALL (ES-444) COMPUTER SIMULATION PROCESSES\ASSIGNMENTS AND PROJECT\ASSIGNMENT\ASSIGNMENTS\Assignment # 2\"/>
    </mc:Choice>
  </mc:AlternateContent>
  <xr:revisionPtr revIDLastSave="0" documentId="13_ncr:1_{099617EF-BB37-47D2-99D0-E0A8EC501113}" xr6:coauthVersionLast="47" xr6:coauthVersionMax="47" xr10:uidLastSave="{00000000-0000-0000-0000-000000000000}"/>
  <bookViews>
    <workbookView xWindow="-120" yWindow="-120" windowWidth="20730" windowHeight="11160" xr2:uid="{7C0C0C9F-C59B-4AFB-A17D-D52E924C0E50}"/>
  </bookViews>
  <sheets>
    <sheet name="MM1 Queue" sheetId="2" r:id="rId1"/>
    <sheet name="MM2 Queu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1" l="1"/>
  <c r="H10" i="1"/>
  <c r="D6" i="2" l="1"/>
  <c r="D1536" i="2" s="1"/>
  <c r="C5" i="2"/>
  <c r="G4" i="1"/>
  <c r="D4" i="2"/>
  <c r="D488" i="2"/>
  <c r="D456" i="2"/>
  <c r="D424" i="2"/>
  <c r="D392" i="2"/>
  <c r="D360" i="2"/>
  <c r="D328" i="2"/>
  <c r="D296" i="2"/>
  <c r="D264" i="2"/>
  <c r="D232" i="2"/>
  <c r="D200" i="2"/>
  <c r="D168" i="2"/>
  <c r="D136" i="2"/>
  <c r="D104" i="2"/>
  <c r="D72" i="2"/>
  <c r="D40" i="2"/>
  <c r="F9" i="2"/>
  <c r="D552" i="2" l="1"/>
  <c r="D889" i="2"/>
  <c r="D1600" i="2"/>
  <c r="D76" i="2"/>
  <c r="D140" i="2"/>
  <c r="D204" i="2"/>
  <c r="D268" i="2"/>
  <c r="D332" i="2"/>
  <c r="D396" i="2"/>
  <c r="D492" i="2"/>
  <c r="D620" i="2"/>
  <c r="D1664" i="2"/>
  <c r="D16" i="2"/>
  <c r="D48" i="2"/>
  <c r="D80" i="2"/>
  <c r="D112" i="2"/>
  <c r="D144" i="2"/>
  <c r="D176" i="2"/>
  <c r="D208" i="2"/>
  <c r="D240" i="2"/>
  <c r="D272" i="2"/>
  <c r="D304" i="2"/>
  <c r="D336" i="2"/>
  <c r="D368" i="2"/>
  <c r="D400" i="2"/>
  <c r="D432" i="2"/>
  <c r="D464" i="2"/>
  <c r="D496" i="2"/>
  <c r="D528" i="2"/>
  <c r="D560" i="2"/>
  <c r="D592" i="2"/>
  <c r="D624" i="2"/>
  <c r="D675" i="2"/>
  <c r="D793" i="2"/>
  <c r="D921" i="2"/>
  <c r="D1049" i="2"/>
  <c r="D1177" i="2"/>
  <c r="D1305" i="2"/>
  <c r="D1433" i="2"/>
  <c r="D1728" i="2"/>
  <c r="D616" i="2"/>
  <c r="D1401" i="2"/>
  <c r="D44" i="2"/>
  <c r="D108" i="2"/>
  <c r="D172" i="2"/>
  <c r="D236" i="2"/>
  <c r="D300" i="2"/>
  <c r="D364" i="2"/>
  <c r="D428" i="2"/>
  <c r="D460" i="2"/>
  <c r="D524" i="2"/>
  <c r="D556" i="2"/>
  <c r="D588" i="2"/>
  <c r="D667" i="2"/>
  <c r="D777" i="2"/>
  <c r="D905" i="2"/>
  <c r="D1033" i="2"/>
  <c r="D1161" i="2"/>
  <c r="D1289" i="2"/>
  <c r="D1417" i="2"/>
  <c r="D20" i="2"/>
  <c r="D52" i="2"/>
  <c r="D84" i="2"/>
  <c r="D116" i="2"/>
  <c r="D148" i="2"/>
  <c r="D180" i="2"/>
  <c r="D212" i="2"/>
  <c r="D244" i="2"/>
  <c r="D276" i="2"/>
  <c r="D308" i="2"/>
  <c r="D340" i="2"/>
  <c r="D372" i="2"/>
  <c r="D404" i="2"/>
  <c r="D436" i="2"/>
  <c r="D468" i="2"/>
  <c r="D500" i="2"/>
  <c r="D532" i="2"/>
  <c r="D564" i="2"/>
  <c r="D596" i="2"/>
  <c r="D628" i="2"/>
  <c r="D683" i="2"/>
  <c r="D809" i="2"/>
  <c r="D937" i="2"/>
  <c r="D1065" i="2"/>
  <c r="D1193" i="2"/>
  <c r="D1321" i="2"/>
  <c r="D1449" i="2"/>
  <c r="D1792" i="2"/>
  <c r="D520" i="2"/>
  <c r="D584" i="2"/>
  <c r="D761" i="2"/>
  <c r="D1017" i="2"/>
  <c r="D1145" i="2"/>
  <c r="D24" i="2"/>
  <c r="D120" i="2"/>
  <c r="D248" i="2"/>
  <c r="D376" i="2"/>
  <c r="D536" i="2"/>
  <c r="D1942" i="2"/>
  <c r="D28" i="2"/>
  <c r="D60" i="2"/>
  <c r="D92" i="2"/>
  <c r="D124" i="2"/>
  <c r="D156" i="2"/>
  <c r="D188" i="2"/>
  <c r="D220" i="2"/>
  <c r="D252" i="2"/>
  <c r="D284" i="2"/>
  <c r="D316" i="2"/>
  <c r="D348" i="2"/>
  <c r="D380" i="2"/>
  <c r="D412" i="2"/>
  <c r="D444" i="2"/>
  <c r="D476" i="2"/>
  <c r="D508" i="2"/>
  <c r="D540" i="2"/>
  <c r="D572" i="2"/>
  <c r="D604" i="2"/>
  <c r="D635" i="2"/>
  <c r="D713" i="2"/>
  <c r="D841" i="2"/>
  <c r="D969" i="2"/>
  <c r="D1097" i="2"/>
  <c r="D1225" i="2"/>
  <c r="D1353" i="2"/>
  <c r="D1481" i="2"/>
  <c r="B3611" i="2"/>
  <c r="E3611" i="2"/>
  <c r="L3611" i="2"/>
  <c r="D88" i="2"/>
  <c r="D184" i="2"/>
  <c r="D312" i="2"/>
  <c r="D472" i="2"/>
  <c r="D632" i="2"/>
  <c r="D1465" i="2"/>
  <c r="D32" i="2"/>
  <c r="D64" i="2"/>
  <c r="D96" i="2"/>
  <c r="D128" i="2"/>
  <c r="D160" i="2"/>
  <c r="D192" i="2"/>
  <c r="D224" i="2"/>
  <c r="D256" i="2"/>
  <c r="D288" i="2"/>
  <c r="D320" i="2"/>
  <c r="D352" i="2"/>
  <c r="D384" i="2"/>
  <c r="D416" i="2"/>
  <c r="D448" i="2"/>
  <c r="D480" i="2"/>
  <c r="D512" i="2"/>
  <c r="D544" i="2"/>
  <c r="D576" i="2"/>
  <c r="D608" i="2"/>
  <c r="D643" i="2"/>
  <c r="D729" i="2"/>
  <c r="D857" i="2"/>
  <c r="D985" i="2"/>
  <c r="D1113" i="2"/>
  <c r="D1241" i="2"/>
  <c r="D1369" i="2"/>
  <c r="D1498" i="2"/>
  <c r="D659" i="2"/>
  <c r="D1273" i="2"/>
  <c r="D12" i="2"/>
  <c r="D56" i="2"/>
  <c r="D152" i="2"/>
  <c r="D216" i="2"/>
  <c r="D280" i="2"/>
  <c r="D344" i="2"/>
  <c r="D408" i="2"/>
  <c r="D440" i="2"/>
  <c r="D504" i="2"/>
  <c r="D568" i="2"/>
  <c r="D600" i="2"/>
  <c r="D697" i="2"/>
  <c r="D825" i="2"/>
  <c r="D953" i="2"/>
  <c r="D1081" i="2"/>
  <c r="D1209" i="2"/>
  <c r="D1337" i="2"/>
  <c r="D2419" i="2"/>
  <c r="D36" i="2"/>
  <c r="D68" i="2"/>
  <c r="D100" i="2"/>
  <c r="D132" i="2"/>
  <c r="D164" i="2"/>
  <c r="D196" i="2"/>
  <c r="D228" i="2"/>
  <c r="D260" i="2"/>
  <c r="D292" i="2"/>
  <c r="D324" i="2"/>
  <c r="D356" i="2"/>
  <c r="D388" i="2"/>
  <c r="D420" i="2"/>
  <c r="D452" i="2"/>
  <c r="D484" i="2"/>
  <c r="D516" i="2"/>
  <c r="D548" i="2"/>
  <c r="D580" i="2"/>
  <c r="D612" i="2"/>
  <c r="D651" i="2"/>
  <c r="D745" i="2"/>
  <c r="D873" i="2"/>
  <c r="D1001" i="2"/>
  <c r="D1129" i="2"/>
  <c r="D1257" i="2"/>
  <c r="D1385" i="2"/>
  <c r="B3606" i="2"/>
  <c r="B3602" i="2"/>
  <c r="B3598" i="2"/>
  <c r="B3594" i="2"/>
  <c r="B3590" i="2"/>
  <c r="B3586" i="2"/>
  <c r="B3582" i="2"/>
  <c r="B3605" i="2"/>
  <c r="B3604" i="2"/>
  <c r="B3603" i="2"/>
  <c r="B3589" i="2"/>
  <c r="B3588" i="2"/>
  <c r="B3587" i="2"/>
  <c r="B3577" i="2"/>
  <c r="B3573" i="2"/>
  <c r="B3608" i="2"/>
  <c r="B3601" i="2"/>
  <c r="B3600" i="2"/>
  <c r="B3599" i="2"/>
  <c r="B3585" i="2"/>
  <c r="B3584" i="2"/>
  <c r="B3583" i="2"/>
  <c r="B3578" i="2"/>
  <c r="B3574" i="2"/>
  <c r="B3570" i="2"/>
  <c r="B3597" i="2"/>
  <c r="B3596" i="2"/>
  <c r="B3595" i="2"/>
  <c r="B3575" i="2"/>
  <c r="B3568" i="2"/>
  <c r="B3564" i="2"/>
  <c r="B3560" i="2"/>
  <c r="B3556" i="2"/>
  <c r="B3552" i="2"/>
  <c r="B3548" i="2"/>
  <c r="B3544" i="2"/>
  <c r="B3540" i="2"/>
  <c r="B3593" i="2"/>
  <c r="B3592" i="2"/>
  <c r="B3591" i="2"/>
  <c r="B3572" i="2"/>
  <c r="B3565" i="2"/>
  <c r="B3561" i="2"/>
  <c r="B3557" i="2"/>
  <c r="B3553" i="2"/>
  <c r="B3549" i="2"/>
  <c r="B3545" i="2"/>
  <c r="B3541" i="2"/>
  <c r="B3537" i="2"/>
  <c r="B3533" i="2"/>
  <c r="B3529" i="2"/>
  <c r="B3525" i="2"/>
  <c r="B3581" i="2"/>
  <c r="B3579" i="2"/>
  <c r="B3562" i="2"/>
  <c r="B3554" i="2"/>
  <c r="B3546" i="2"/>
  <c r="B3536" i="2"/>
  <c r="B3535" i="2"/>
  <c r="B3534" i="2"/>
  <c r="B3522" i="2"/>
  <c r="B3518" i="2"/>
  <c r="B3514" i="2"/>
  <c r="B3510" i="2"/>
  <c r="B3506" i="2"/>
  <c r="B3502" i="2"/>
  <c r="B3498" i="2"/>
  <c r="B3576" i="2"/>
  <c r="B3567" i="2"/>
  <c r="B3559" i="2"/>
  <c r="B3551" i="2"/>
  <c r="B3543" i="2"/>
  <c r="B3532" i="2"/>
  <c r="B3531" i="2"/>
  <c r="B3530" i="2"/>
  <c r="B3523" i="2"/>
  <c r="B3519" i="2"/>
  <c r="B3515" i="2"/>
  <c r="B3511" i="2"/>
  <c r="B3507" i="2"/>
  <c r="B3580" i="2"/>
  <c r="B3571" i="2"/>
  <c r="B3569" i="2"/>
  <c r="B3566" i="2"/>
  <c r="B3550" i="2"/>
  <c r="B3528" i="2"/>
  <c r="B3527" i="2"/>
  <c r="B3526" i="2"/>
  <c r="B3516" i="2"/>
  <c r="B3508" i="2"/>
  <c r="B3501" i="2"/>
  <c r="B3500" i="2"/>
  <c r="B3499" i="2"/>
  <c r="B3493" i="2"/>
  <c r="B3489" i="2"/>
  <c r="B3485" i="2"/>
  <c r="B3481" i="2"/>
  <c r="B3477" i="2"/>
  <c r="B3473" i="2"/>
  <c r="B3469" i="2"/>
  <c r="B3465" i="2"/>
  <c r="B3461" i="2"/>
  <c r="B3457" i="2"/>
  <c r="B3453" i="2"/>
  <c r="B3449" i="2"/>
  <c r="B3445" i="2"/>
  <c r="B3441" i="2"/>
  <c r="B3437" i="2"/>
  <c r="B3433" i="2"/>
  <c r="B3429" i="2"/>
  <c r="B3425" i="2"/>
  <c r="B3421" i="2"/>
  <c r="B3417" i="2"/>
  <c r="B3413" i="2"/>
  <c r="B3409" i="2"/>
  <c r="B3607" i="2"/>
  <c r="B3563" i="2"/>
  <c r="B3547" i="2"/>
  <c r="B3524" i="2"/>
  <c r="B3521" i="2"/>
  <c r="B3513" i="2"/>
  <c r="B3505" i="2"/>
  <c r="B3497" i="2"/>
  <c r="B3494" i="2"/>
  <c r="B3490" i="2"/>
  <c r="B3486" i="2"/>
  <c r="B3482" i="2"/>
  <c r="B3478" i="2"/>
  <c r="B3474" i="2"/>
  <c r="B3470" i="2"/>
  <c r="B3466" i="2"/>
  <c r="B3462" i="2"/>
  <c r="B3458" i="2"/>
  <c r="B3454" i="2"/>
  <c r="B3450" i="2"/>
  <c r="B3446" i="2"/>
  <c r="B3442" i="2"/>
  <c r="B3438" i="2"/>
  <c r="B3434" i="2"/>
  <c r="B3430" i="2"/>
  <c r="B3426" i="2"/>
  <c r="B3422" i="2"/>
  <c r="B3558" i="2"/>
  <c r="B3520" i="2"/>
  <c r="B3495" i="2"/>
  <c r="B3487" i="2"/>
  <c r="B3479" i="2"/>
  <c r="B3471" i="2"/>
  <c r="B3463" i="2"/>
  <c r="B3455" i="2"/>
  <c r="B3447" i="2"/>
  <c r="B3439" i="2"/>
  <c r="B3431" i="2"/>
  <c r="B3423" i="2"/>
  <c r="B3408" i="2"/>
  <c r="B3407" i="2"/>
  <c r="B3406" i="2"/>
  <c r="B3403" i="2"/>
  <c r="B3399" i="2"/>
  <c r="B3395" i="2"/>
  <c r="B3391" i="2"/>
  <c r="B3387" i="2"/>
  <c r="B3383" i="2"/>
  <c r="B3379" i="2"/>
  <c r="B3375" i="2"/>
  <c r="B3371" i="2"/>
  <c r="B3367" i="2"/>
  <c r="B3363" i="2"/>
  <c r="B3359" i="2"/>
  <c r="B3355" i="2"/>
  <c r="B3351" i="2"/>
  <c r="B3347" i="2"/>
  <c r="B3343" i="2"/>
  <c r="B3555" i="2"/>
  <c r="B3538" i="2"/>
  <c r="B3517" i="2"/>
  <c r="B3504" i="2"/>
  <c r="B3503" i="2"/>
  <c r="B3492" i="2"/>
  <c r="B3484" i="2"/>
  <c r="B3476" i="2"/>
  <c r="B3468" i="2"/>
  <c r="B3460" i="2"/>
  <c r="B3452" i="2"/>
  <c r="B3444" i="2"/>
  <c r="B3436" i="2"/>
  <c r="B3428" i="2"/>
  <c r="B3420" i="2"/>
  <c r="B3419" i="2"/>
  <c r="B3418" i="2"/>
  <c r="B3404" i="2"/>
  <c r="B3400" i="2"/>
  <c r="B3396" i="2"/>
  <c r="B3392" i="2"/>
  <c r="B3388" i="2"/>
  <c r="B3384" i="2"/>
  <c r="B3380" i="2"/>
  <c r="B3376" i="2"/>
  <c r="B3372" i="2"/>
  <c r="B3368" i="2"/>
  <c r="B3364" i="2"/>
  <c r="B3360" i="2"/>
  <c r="B3356" i="2"/>
  <c r="B3352" i="2"/>
  <c r="B3348" i="2"/>
  <c r="B3542" i="2"/>
  <c r="B3491" i="2"/>
  <c r="B3475" i="2"/>
  <c r="B3459" i="2"/>
  <c r="B3443" i="2"/>
  <c r="B3427" i="2"/>
  <c r="B3416" i="2"/>
  <c r="B3415" i="2"/>
  <c r="B3414" i="2"/>
  <c r="B3401" i="2"/>
  <c r="B3393" i="2"/>
  <c r="B3385" i="2"/>
  <c r="B3377" i="2"/>
  <c r="B3369" i="2"/>
  <c r="B3361" i="2"/>
  <c r="B3353" i="2"/>
  <c r="B3338" i="2"/>
  <c r="B3334" i="2"/>
  <c r="B3330" i="2"/>
  <c r="B3326" i="2"/>
  <c r="B3322" i="2"/>
  <c r="B3318" i="2"/>
  <c r="B3314" i="2"/>
  <c r="B3310" i="2"/>
  <c r="B3306" i="2"/>
  <c r="B3302" i="2"/>
  <c r="B3298" i="2"/>
  <c r="B3294" i="2"/>
  <c r="B3290" i="2"/>
  <c r="B3286" i="2"/>
  <c r="B3282" i="2"/>
  <c r="B3278" i="2"/>
  <c r="B3274" i="2"/>
  <c r="B3270" i="2"/>
  <c r="B3266" i="2"/>
  <c r="B3262" i="2"/>
  <c r="B3258" i="2"/>
  <c r="B3254" i="2"/>
  <c r="B3250" i="2"/>
  <c r="B3246" i="2"/>
  <c r="B3242" i="2"/>
  <c r="B3238" i="2"/>
  <c r="B3234" i="2"/>
  <c r="B3230" i="2"/>
  <c r="B3226" i="2"/>
  <c r="B3222" i="2"/>
  <c r="B3218" i="2"/>
  <c r="B3214" i="2"/>
  <c r="B3210" i="2"/>
  <c r="B3206" i="2"/>
  <c r="B3202" i="2"/>
  <c r="B3198" i="2"/>
  <c r="B3194" i="2"/>
  <c r="B3190" i="2"/>
  <c r="B3186" i="2"/>
  <c r="B3182" i="2"/>
  <c r="B3178" i="2"/>
  <c r="B3174" i="2"/>
  <c r="B3170" i="2"/>
  <c r="B3166" i="2"/>
  <c r="B3162" i="2"/>
  <c r="B3488" i="2"/>
  <c r="B3472" i="2"/>
  <c r="B3456" i="2"/>
  <c r="B3440" i="2"/>
  <c r="B3424" i="2"/>
  <c r="B3412" i="2"/>
  <c r="B3411" i="2"/>
  <c r="B3410" i="2"/>
  <c r="B3398" i="2"/>
  <c r="B3390" i="2"/>
  <c r="B3382" i="2"/>
  <c r="B3374" i="2"/>
  <c r="B3366" i="2"/>
  <c r="B3358" i="2"/>
  <c r="B3350" i="2"/>
  <c r="B3339" i="2"/>
  <c r="B3335" i="2"/>
  <c r="B3331" i="2"/>
  <c r="B3327" i="2"/>
  <c r="B3323" i="2"/>
  <c r="B3319" i="2"/>
  <c r="B3315" i="2"/>
  <c r="B3311" i="2"/>
  <c r="B3307" i="2"/>
  <c r="B3303" i="2"/>
  <c r="B3299" i="2"/>
  <c r="B3295" i="2"/>
  <c r="B3291" i="2"/>
  <c r="B3287" i="2"/>
  <c r="B3283" i="2"/>
  <c r="B3279" i="2"/>
  <c r="B3275" i="2"/>
  <c r="B3271" i="2"/>
  <c r="B3267" i="2"/>
  <c r="B3263" i="2"/>
  <c r="B3259" i="2"/>
  <c r="B3255" i="2"/>
  <c r="B3251" i="2"/>
  <c r="B3247" i="2"/>
  <c r="B3243" i="2"/>
  <c r="B3239" i="2"/>
  <c r="B3235" i="2"/>
  <c r="B3231" i="2"/>
  <c r="B3227" i="2"/>
  <c r="B3223" i="2"/>
  <c r="B3219" i="2"/>
  <c r="B3215" i="2"/>
  <c r="B3211" i="2"/>
  <c r="B3207" i="2"/>
  <c r="B3203" i="2"/>
  <c r="B3199" i="2"/>
  <c r="B3195" i="2"/>
  <c r="B3191" i="2"/>
  <c r="B3187" i="2"/>
  <c r="B3183" i="2"/>
  <c r="B3179" i="2"/>
  <c r="B3175" i="2"/>
  <c r="B3171" i="2"/>
  <c r="B3167" i="2"/>
  <c r="B3163" i="2"/>
  <c r="B3467" i="2"/>
  <c r="B3435" i="2"/>
  <c r="B3405" i="2"/>
  <c r="B3389" i="2"/>
  <c r="B3373" i="2"/>
  <c r="B3357" i="2"/>
  <c r="B3346" i="2"/>
  <c r="B3345" i="2"/>
  <c r="B3344" i="2"/>
  <c r="B3332" i="2"/>
  <c r="B3324" i="2"/>
  <c r="B3316" i="2"/>
  <c r="B3308" i="2"/>
  <c r="B3300" i="2"/>
  <c r="B3292" i="2"/>
  <c r="B3284" i="2"/>
  <c r="B3276" i="2"/>
  <c r="B3268" i="2"/>
  <c r="B3260" i="2"/>
  <c r="B3252" i="2"/>
  <c r="B3244" i="2"/>
  <c r="B3236" i="2"/>
  <c r="B3228" i="2"/>
  <c r="B3220" i="2"/>
  <c r="B3212" i="2"/>
  <c r="B3204" i="2"/>
  <c r="B3196" i="2"/>
  <c r="B3188" i="2"/>
  <c r="B3180" i="2"/>
  <c r="B3172" i="2"/>
  <c r="B3164" i="2"/>
  <c r="B3159" i="2"/>
  <c r="B3155" i="2"/>
  <c r="B3151" i="2"/>
  <c r="B3147" i="2"/>
  <c r="B3143" i="2"/>
  <c r="B3139" i="2"/>
  <c r="B3135" i="2"/>
  <c r="B3131" i="2"/>
  <c r="B3127" i="2"/>
  <c r="B3123" i="2"/>
  <c r="B3119" i="2"/>
  <c r="B3115" i="2"/>
  <c r="B3111" i="2"/>
  <c r="B3107" i="2"/>
  <c r="B3103" i="2"/>
  <c r="B3099" i="2"/>
  <c r="B3095" i="2"/>
  <c r="B3091" i="2"/>
  <c r="B3087" i="2"/>
  <c r="B3083" i="2"/>
  <c r="B3079" i="2"/>
  <c r="B3075" i="2"/>
  <c r="B3071" i="2"/>
  <c r="B3067" i="2"/>
  <c r="B3063" i="2"/>
  <c r="B3059" i="2"/>
  <c r="B3055" i="2"/>
  <c r="B3051" i="2"/>
  <c r="B3047" i="2"/>
  <c r="B3043" i="2"/>
  <c r="B3039" i="2"/>
  <c r="B3509" i="2"/>
  <c r="B3496" i="2"/>
  <c r="B3464" i="2"/>
  <c r="B3432" i="2"/>
  <c r="B3402" i="2"/>
  <c r="B3386" i="2"/>
  <c r="B3370" i="2"/>
  <c r="B3354" i="2"/>
  <c r="B3342" i="2"/>
  <c r="B3341" i="2"/>
  <c r="B3340" i="2"/>
  <c r="B3337" i="2"/>
  <c r="B3329" i="2"/>
  <c r="B3321" i="2"/>
  <c r="B3313" i="2"/>
  <c r="B3305" i="2"/>
  <c r="B3297" i="2"/>
  <c r="B3289" i="2"/>
  <c r="B3281" i="2"/>
  <c r="B3273" i="2"/>
  <c r="B3265" i="2"/>
  <c r="B3257" i="2"/>
  <c r="B3249" i="2"/>
  <c r="B3241" i="2"/>
  <c r="B3233" i="2"/>
  <c r="B3225" i="2"/>
  <c r="B3217" i="2"/>
  <c r="B3209" i="2"/>
  <c r="B3201" i="2"/>
  <c r="B3193" i="2"/>
  <c r="B3185" i="2"/>
  <c r="B3177" i="2"/>
  <c r="B3169" i="2"/>
  <c r="B3161" i="2"/>
  <c r="B3156" i="2"/>
  <c r="B3152" i="2"/>
  <c r="B3148" i="2"/>
  <c r="B3144" i="2"/>
  <c r="B3140" i="2"/>
  <c r="B3136" i="2"/>
  <c r="B3132" i="2"/>
  <c r="B3128" i="2"/>
  <c r="B3124" i="2"/>
  <c r="B3120" i="2"/>
  <c r="B3116" i="2"/>
  <c r="B3112" i="2"/>
  <c r="B3108" i="2"/>
  <c r="B3104" i="2"/>
  <c r="B3100" i="2"/>
  <c r="B3096" i="2"/>
  <c r="B3092" i="2"/>
  <c r="B3088" i="2"/>
  <c r="B3084" i="2"/>
  <c r="B3080" i="2"/>
  <c r="B3076" i="2"/>
  <c r="B3072" i="2"/>
  <c r="B3068" i="2"/>
  <c r="B3064" i="2"/>
  <c r="B3060" i="2"/>
  <c r="B3056" i="2"/>
  <c r="B3052" i="2"/>
  <c r="B3048" i="2"/>
  <c r="B3044" i="2"/>
  <c r="B3040" i="2"/>
  <c r="B3451" i="2"/>
  <c r="B3397" i="2"/>
  <c r="B3365" i="2"/>
  <c r="B3328" i="2"/>
  <c r="B3312" i="2"/>
  <c r="B3296" i="2"/>
  <c r="B3280" i="2"/>
  <c r="B3264" i="2"/>
  <c r="B3248" i="2"/>
  <c r="B3232" i="2"/>
  <c r="B3216" i="2"/>
  <c r="B3200" i="2"/>
  <c r="B3184" i="2"/>
  <c r="B3168" i="2"/>
  <c r="B3153" i="2"/>
  <c r="B3145" i="2"/>
  <c r="B3137" i="2"/>
  <c r="B3129" i="2"/>
  <c r="B3121" i="2"/>
  <c r="B3113" i="2"/>
  <c r="B3105" i="2"/>
  <c r="B3097" i="2"/>
  <c r="B3089" i="2"/>
  <c r="B3081" i="2"/>
  <c r="B3073" i="2"/>
  <c r="B3065" i="2"/>
  <c r="B3057" i="2"/>
  <c r="B3049" i="2"/>
  <c r="B3041" i="2"/>
  <c r="B3036" i="2"/>
  <c r="B3033" i="2"/>
  <c r="B3029" i="2"/>
  <c r="B3025" i="2"/>
  <c r="B3021" i="2"/>
  <c r="B3017" i="2"/>
  <c r="B3013" i="2"/>
  <c r="B3009" i="2"/>
  <c r="B3005" i="2"/>
  <c r="B3001" i="2"/>
  <c r="B2997" i="2"/>
  <c r="B2993" i="2"/>
  <c r="B2989" i="2"/>
  <c r="B2985" i="2"/>
  <c r="B2981" i="2"/>
  <c r="B2977" i="2"/>
  <c r="B2973" i="2"/>
  <c r="B2969" i="2"/>
  <c r="B2965" i="2"/>
  <c r="B2961" i="2"/>
  <c r="B2957" i="2"/>
  <c r="B2953" i="2"/>
  <c r="B2949" i="2"/>
  <c r="B2945" i="2"/>
  <c r="B2941" i="2"/>
  <c r="B2937" i="2"/>
  <c r="B2933" i="2"/>
  <c r="B2929" i="2"/>
  <c r="B2925" i="2"/>
  <c r="B2921" i="2"/>
  <c r="B2917" i="2"/>
  <c r="B2913" i="2"/>
  <c r="B2909" i="2"/>
  <c r="B2905" i="2"/>
  <c r="B2901" i="2"/>
  <c r="B2897" i="2"/>
  <c r="B2893" i="2"/>
  <c r="B2889" i="2"/>
  <c r="B2885" i="2"/>
  <c r="B2881" i="2"/>
  <c r="B2877" i="2"/>
  <c r="B2873" i="2"/>
  <c r="B2869" i="2"/>
  <c r="B2865" i="2"/>
  <c r="B2861" i="2"/>
  <c r="B2857" i="2"/>
  <c r="B2853" i="2"/>
  <c r="B2849" i="2"/>
  <c r="B2845" i="2"/>
  <c r="B2841" i="2"/>
  <c r="B2837" i="2"/>
  <c r="B2833" i="2"/>
  <c r="B2829" i="2"/>
  <c r="B2825" i="2"/>
  <c r="B2821" i="2"/>
  <c r="B2817" i="2"/>
  <c r="B2813" i="2"/>
  <c r="B2809" i="2"/>
  <c r="B2805" i="2"/>
  <c r="B2801" i="2"/>
  <c r="B2797" i="2"/>
  <c r="B2793" i="2"/>
  <c r="B2789" i="2"/>
  <c r="B2785" i="2"/>
  <c r="B2781" i="2"/>
  <c r="B2777" i="2"/>
  <c r="B2773" i="2"/>
  <c r="B2769" i="2"/>
  <c r="B2765" i="2"/>
  <c r="B2761" i="2"/>
  <c r="B2757" i="2"/>
  <c r="B2753" i="2"/>
  <c r="B2749" i="2"/>
  <c r="B2745" i="2"/>
  <c r="B2741" i="2"/>
  <c r="B2737" i="2"/>
  <c r="B2733" i="2"/>
  <c r="B2729" i="2"/>
  <c r="B2725" i="2"/>
  <c r="B2721" i="2"/>
  <c r="B2717" i="2"/>
  <c r="B2713" i="2"/>
  <c r="B2709" i="2"/>
  <c r="B2705" i="2"/>
  <c r="B2701" i="2"/>
  <c r="B2697" i="2"/>
  <c r="B2693" i="2"/>
  <c r="B2689" i="2"/>
  <c r="B2685" i="2"/>
  <c r="B2681" i="2"/>
  <c r="B2677" i="2"/>
  <c r="B2673" i="2"/>
  <c r="B2669" i="2"/>
  <c r="B2665" i="2"/>
  <c r="B3480" i="2"/>
  <c r="B3394" i="2"/>
  <c r="B3362" i="2"/>
  <c r="B3325" i="2"/>
  <c r="B3309" i="2"/>
  <c r="B3293" i="2"/>
  <c r="B3277" i="2"/>
  <c r="B3261" i="2"/>
  <c r="B3245" i="2"/>
  <c r="B3229" i="2"/>
  <c r="B3213" i="2"/>
  <c r="B3197" i="2"/>
  <c r="B3181" i="2"/>
  <c r="B3165" i="2"/>
  <c r="B3158" i="2"/>
  <c r="B3150" i="2"/>
  <c r="B3142" i="2"/>
  <c r="B3134" i="2"/>
  <c r="B3126" i="2"/>
  <c r="B3118" i="2"/>
  <c r="B3110" i="2"/>
  <c r="B3102" i="2"/>
  <c r="B3094" i="2"/>
  <c r="B3086" i="2"/>
  <c r="B3078" i="2"/>
  <c r="B3070" i="2"/>
  <c r="B3062" i="2"/>
  <c r="B3054" i="2"/>
  <c r="B3046" i="2"/>
  <c r="B3381" i="2"/>
  <c r="B3336" i="2"/>
  <c r="B3304" i="2"/>
  <c r="B3272" i="2"/>
  <c r="B3240" i="2"/>
  <c r="B3208" i="2"/>
  <c r="B3176" i="2"/>
  <c r="B3149" i="2"/>
  <c r="B3133" i="2"/>
  <c r="B3117" i="2"/>
  <c r="B3101" i="2"/>
  <c r="B3085" i="2"/>
  <c r="B3069" i="2"/>
  <c r="B3053" i="2"/>
  <c r="B3032" i="2"/>
  <c r="B3031" i="2"/>
  <c r="B3030" i="2"/>
  <c r="B3016" i="2"/>
  <c r="B3015" i="2"/>
  <c r="B3014" i="2"/>
  <c r="B3000" i="2"/>
  <c r="B2999" i="2"/>
  <c r="B2998" i="2"/>
  <c r="B2984" i="2"/>
  <c r="B2983" i="2"/>
  <c r="B2982" i="2"/>
  <c r="B2968" i="2"/>
  <c r="B2967" i="2"/>
  <c r="B2966" i="2"/>
  <c r="B2952" i="2"/>
  <c r="B2951" i="2"/>
  <c r="B2950" i="2"/>
  <c r="B2936" i="2"/>
  <c r="B2935" i="2"/>
  <c r="B2934" i="2"/>
  <c r="B2920" i="2"/>
  <c r="B2919" i="2"/>
  <c r="B2918" i="2"/>
  <c r="B2904" i="2"/>
  <c r="B2903" i="2"/>
  <c r="B2902" i="2"/>
  <c r="B2888" i="2"/>
  <c r="B2887" i="2"/>
  <c r="B2886" i="2"/>
  <c r="B2872" i="2"/>
  <c r="B2871" i="2"/>
  <c r="B2870" i="2"/>
  <c r="B2856" i="2"/>
  <c r="B2855" i="2"/>
  <c r="B2854" i="2"/>
  <c r="B2840" i="2"/>
  <c r="B2839" i="2"/>
  <c r="B2838" i="2"/>
  <c r="B2824" i="2"/>
  <c r="B2823" i="2"/>
  <c r="B2822" i="2"/>
  <c r="B2808" i="2"/>
  <c r="B2807" i="2"/>
  <c r="B2806" i="2"/>
  <c r="B2792" i="2"/>
  <c r="B2791" i="2"/>
  <c r="B2790" i="2"/>
  <c r="B2776" i="2"/>
  <c r="B2775" i="2"/>
  <c r="B2774" i="2"/>
  <c r="B2760" i="2"/>
  <c r="B2759" i="2"/>
  <c r="B2758" i="2"/>
  <c r="B2744" i="2"/>
  <c r="B2743" i="2"/>
  <c r="B2742" i="2"/>
  <c r="B2728" i="2"/>
  <c r="B2727" i="2"/>
  <c r="B2726" i="2"/>
  <c r="B2712" i="2"/>
  <c r="B2711" i="2"/>
  <c r="B2710" i="2"/>
  <c r="B2696" i="2"/>
  <c r="B2695" i="2"/>
  <c r="B2694" i="2"/>
  <c r="B2680" i="2"/>
  <c r="B2679" i="2"/>
  <c r="B2678" i="2"/>
  <c r="B2664" i="2"/>
  <c r="B2662" i="2"/>
  <c r="B2658" i="2"/>
  <c r="B2654" i="2"/>
  <c r="B2650" i="2"/>
  <c r="B2646" i="2"/>
  <c r="B2642" i="2"/>
  <c r="B2638" i="2"/>
  <c r="B2634" i="2"/>
  <c r="B2630" i="2"/>
  <c r="B2626" i="2"/>
  <c r="B3333" i="2"/>
  <c r="B3301" i="2"/>
  <c r="B3269" i="2"/>
  <c r="B3237" i="2"/>
  <c r="B3205" i="2"/>
  <c r="B3173" i="2"/>
  <c r="B3146" i="2"/>
  <c r="B3130" i="2"/>
  <c r="B3114" i="2"/>
  <c r="B3098" i="2"/>
  <c r="B3082" i="2"/>
  <c r="B3066" i="2"/>
  <c r="B3050" i="2"/>
  <c r="B3028" i="2"/>
  <c r="B3027" i="2"/>
  <c r="B3026" i="2"/>
  <c r="B3012" i="2"/>
  <c r="B3011" i="2"/>
  <c r="B3010" i="2"/>
  <c r="B2996" i="2"/>
  <c r="B2995" i="2"/>
  <c r="B2994" i="2"/>
  <c r="B2980" i="2"/>
  <c r="B2979" i="2"/>
  <c r="B2978" i="2"/>
  <c r="B2964" i="2"/>
  <c r="B2963" i="2"/>
  <c r="B2962" i="2"/>
  <c r="B2948" i="2"/>
  <c r="B2947" i="2"/>
  <c r="B2946" i="2"/>
  <c r="B2932" i="2"/>
  <c r="B2931" i="2"/>
  <c r="B2930" i="2"/>
  <c r="B2916" i="2"/>
  <c r="B2915" i="2"/>
  <c r="B2914" i="2"/>
  <c r="B2900" i="2"/>
  <c r="B2899" i="2"/>
  <c r="B2898" i="2"/>
  <c r="B2884" i="2"/>
  <c r="B2883" i="2"/>
  <c r="B2882" i="2"/>
  <c r="B2868" i="2"/>
  <c r="B2867" i="2"/>
  <c r="B2866" i="2"/>
  <c r="B2852" i="2"/>
  <c r="B2851" i="2"/>
  <c r="B2850" i="2"/>
  <c r="B2836" i="2"/>
  <c r="B2835" i="2"/>
  <c r="B2834" i="2"/>
  <c r="B2820" i="2"/>
  <c r="B2819" i="2"/>
  <c r="B2818" i="2"/>
  <c r="B2804" i="2"/>
  <c r="B2803" i="2"/>
  <c r="B2802" i="2"/>
  <c r="B2788" i="2"/>
  <c r="B2787" i="2"/>
  <c r="B2786" i="2"/>
  <c r="B2772" i="2"/>
  <c r="B2771" i="2"/>
  <c r="B2770" i="2"/>
  <c r="B2756" i="2"/>
  <c r="B2755" i="2"/>
  <c r="B2754" i="2"/>
  <c r="B2740" i="2"/>
  <c r="B2739" i="2"/>
  <c r="B2738" i="2"/>
  <c r="B2724" i="2"/>
  <c r="B2723" i="2"/>
  <c r="B2722" i="2"/>
  <c r="B2708" i="2"/>
  <c r="B2707" i="2"/>
  <c r="B2706" i="2"/>
  <c r="B2692" i="2"/>
  <c r="B2691" i="2"/>
  <c r="B2690" i="2"/>
  <c r="B2676" i="2"/>
  <c r="B2675" i="2"/>
  <c r="B2674" i="2"/>
  <c r="B2663" i="2"/>
  <c r="B2659" i="2"/>
  <c r="B2655" i="2"/>
  <c r="B2651" i="2"/>
  <c r="B2647" i="2"/>
  <c r="B2643" i="2"/>
  <c r="B2639" i="2"/>
  <c r="B2635" i="2"/>
  <c r="B2631" i="2"/>
  <c r="B2627" i="2"/>
  <c r="B2623" i="2"/>
  <c r="B2619" i="2"/>
  <c r="B2615" i="2"/>
  <c r="B2611" i="2"/>
  <c r="B2607" i="2"/>
  <c r="B2603" i="2"/>
  <c r="B2599" i="2"/>
  <c r="B2595" i="2"/>
  <c r="B2591" i="2"/>
  <c r="B2587" i="2"/>
  <c r="B2583" i="2"/>
  <c r="B2579" i="2"/>
  <c r="B2575" i="2"/>
  <c r="B2571" i="2"/>
  <c r="B2567" i="2"/>
  <c r="B2563" i="2"/>
  <c r="B2559" i="2"/>
  <c r="B2555" i="2"/>
  <c r="B2551" i="2"/>
  <c r="B2547" i="2"/>
  <c r="B2543" i="2"/>
  <c r="B2539" i="2"/>
  <c r="B2535" i="2"/>
  <c r="B2531" i="2"/>
  <c r="B2527" i="2"/>
  <c r="B2523" i="2"/>
  <c r="B2519" i="2"/>
  <c r="B2515" i="2"/>
  <c r="B2511" i="2"/>
  <c r="B3349" i="2"/>
  <c r="B3288" i="2"/>
  <c r="B3224" i="2"/>
  <c r="B3157" i="2"/>
  <c r="B3125" i="2"/>
  <c r="B3093" i="2"/>
  <c r="B3061" i="2"/>
  <c r="B3008" i="2"/>
  <c r="B3007" i="2"/>
  <c r="B3006" i="2"/>
  <c r="B2976" i="2"/>
  <c r="B2975" i="2"/>
  <c r="B2974" i="2"/>
  <c r="B2944" i="2"/>
  <c r="B2943" i="2"/>
  <c r="B2942" i="2"/>
  <c r="B2912" i="2"/>
  <c r="B2911" i="2"/>
  <c r="B2910" i="2"/>
  <c r="B2880" i="2"/>
  <c r="B2879" i="2"/>
  <c r="B2878" i="2"/>
  <c r="B2848" i="2"/>
  <c r="B2847" i="2"/>
  <c r="B2846" i="2"/>
  <c r="B2816" i="2"/>
  <c r="B2815" i="2"/>
  <c r="B2814" i="2"/>
  <c r="B2784" i="2"/>
  <c r="B2783" i="2"/>
  <c r="B2782" i="2"/>
  <c r="B2752" i="2"/>
  <c r="B2751" i="2"/>
  <c r="B2750" i="2"/>
  <c r="B2720" i="2"/>
  <c r="B2719" i="2"/>
  <c r="B2718" i="2"/>
  <c r="B2688" i="2"/>
  <c r="B2687" i="2"/>
  <c r="B2686" i="2"/>
  <c r="B2660" i="2"/>
  <c r="B2652" i="2"/>
  <c r="B2644" i="2"/>
  <c r="B2636" i="2"/>
  <c r="B2628" i="2"/>
  <c r="B2622" i="2"/>
  <c r="B2621" i="2"/>
  <c r="B2620" i="2"/>
  <c r="B2606" i="2"/>
  <c r="B2605" i="2"/>
  <c r="B2604" i="2"/>
  <c r="B2590" i="2"/>
  <c r="B2589" i="2"/>
  <c r="B2588" i="2"/>
  <c r="B2574" i="2"/>
  <c r="B2573" i="2"/>
  <c r="B2572" i="2"/>
  <c r="B2558" i="2"/>
  <c r="B2557" i="2"/>
  <c r="B2556" i="2"/>
  <c r="B2542" i="2"/>
  <c r="B2541" i="2"/>
  <c r="B2540" i="2"/>
  <c r="B2526" i="2"/>
  <c r="B2525" i="2"/>
  <c r="B2524" i="2"/>
  <c r="B2510" i="2"/>
  <c r="B2509" i="2"/>
  <c r="B2506" i="2"/>
  <c r="B2502" i="2"/>
  <c r="B2498" i="2"/>
  <c r="B2494" i="2"/>
  <c r="B2490" i="2"/>
  <c r="B2486" i="2"/>
  <c r="B2482" i="2"/>
  <c r="B2478" i="2"/>
  <c r="B2474" i="2"/>
  <c r="B2470" i="2"/>
  <c r="B2466" i="2"/>
  <c r="B2462" i="2"/>
  <c r="B2458" i="2"/>
  <c r="B2454" i="2"/>
  <c r="B2450" i="2"/>
  <c r="B2446" i="2"/>
  <c r="B2442" i="2"/>
  <c r="B2438" i="2"/>
  <c r="B2434" i="2"/>
  <c r="B2430" i="2"/>
  <c r="B2426" i="2"/>
  <c r="B2422" i="2"/>
  <c r="B2418" i="2"/>
  <c r="B2414" i="2"/>
  <c r="B2410" i="2"/>
  <c r="B2406" i="2"/>
  <c r="B2402" i="2"/>
  <c r="B2398" i="2"/>
  <c r="B2394" i="2"/>
  <c r="B2390" i="2"/>
  <c r="B2386" i="2"/>
  <c r="B2382" i="2"/>
  <c r="B2378" i="2"/>
  <c r="B2374" i="2"/>
  <c r="B2370" i="2"/>
  <c r="B2366" i="2"/>
  <c r="B2362" i="2"/>
  <c r="B2358" i="2"/>
  <c r="B2354" i="2"/>
  <c r="B2350" i="2"/>
  <c r="B2346" i="2"/>
  <c r="B2342" i="2"/>
  <c r="B2338" i="2"/>
  <c r="B2334" i="2"/>
  <c r="B2330" i="2"/>
  <c r="B2326" i="2"/>
  <c r="B2322" i="2"/>
  <c r="B2318" i="2"/>
  <c r="B2314" i="2"/>
  <c r="B2310" i="2"/>
  <c r="B2306" i="2"/>
  <c r="B2302" i="2"/>
  <c r="B2298" i="2"/>
  <c r="B2294" i="2"/>
  <c r="B2290" i="2"/>
  <c r="B2286" i="2"/>
  <c r="B2282" i="2"/>
  <c r="B2278" i="2"/>
  <c r="B2274" i="2"/>
  <c r="B2270" i="2"/>
  <c r="B2266" i="2"/>
  <c r="B2262" i="2"/>
  <c r="B2258" i="2"/>
  <c r="B2254" i="2"/>
  <c r="B2250" i="2"/>
  <c r="B2246" i="2"/>
  <c r="B2242" i="2"/>
  <c r="B2238" i="2"/>
  <c r="B2234" i="2"/>
  <c r="B2230" i="2"/>
  <c r="B2226" i="2"/>
  <c r="B2222" i="2"/>
  <c r="B2218" i="2"/>
  <c r="B2214" i="2"/>
  <c r="B2210" i="2"/>
  <c r="B2206" i="2"/>
  <c r="B2202" i="2"/>
  <c r="B2198" i="2"/>
  <c r="B2194" i="2"/>
  <c r="B2190" i="2"/>
  <c r="B2186" i="2"/>
  <c r="B2182" i="2"/>
  <c r="B2178" i="2"/>
  <c r="B2174" i="2"/>
  <c r="B2170" i="2"/>
  <c r="B2166" i="2"/>
  <c r="B2162" i="2"/>
  <c r="B2158" i="2"/>
  <c r="B2154" i="2"/>
  <c r="B2150" i="2"/>
  <c r="B2146" i="2"/>
  <c r="B2142" i="2"/>
  <c r="B2138" i="2"/>
  <c r="B2134" i="2"/>
  <c r="B2130" i="2"/>
  <c r="B2126" i="2"/>
  <c r="B2122" i="2"/>
  <c r="B2118" i="2"/>
  <c r="B2114" i="2"/>
  <c r="B2110" i="2"/>
  <c r="B2106" i="2"/>
  <c r="B2102" i="2"/>
  <c r="B2098" i="2"/>
  <c r="B2094" i="2"/>
  <c r="B2090" i="2"/>
  <c r="B2086" i="2"/>
  <c r="B2082" i="2"/>
  <c r="B2078" i="2"/>
  <c r="B2074" i="2"/>
  <c r="B2070" i="2"/>
  <c r="B2066" i="2"/>
  <c r="B2062" i="2"/>
  <c r="B2058" i="2"/>
  <c r="B2054" i="2"/>
  <c r="B2050" i="2"/>
  <c r="B2046" i="2"/>
  <c r="B2042" i="2"/>
  <c r="B2038" i="2"/>
  <c r="B2034" i="2"/>
  <c r="B2030" i="2"/>
  <c r="B2026" i="2"/>
  <c r="B2022" i="2"/>
  <c r="B2018" i="2"/>
  <c r="B2014" i="2"/>
  <c r="B2010" i="2"/>
  <c r="B2006" i="2"/>
  <c r="B2002" i="2"/>
  <c r="B1998" i="2"/>
  <c r="B1994" i="2"/>
  <c r="B1990" i="2"/>
  <c r="B1986" i="2"/>
  <c r="B1982" i="2"/>
  <c r="B1978" i="2"/>
  <c r="B1974" i="2"/>
  <c r="B1970" i="2"/>
  <c r="B1966" i="2"/>
  <c r="B1962" i="2"/>
  <c r="B1958" i="2"/>
  <c r="B1954" i="2"/>
  <c r="B1950" i="2"/>
  <c r="B1946" i="2"/>
  <c r="B1942" i="2"/>
  <c r="B1938" i="2"/>
  <c r="B1934" i="2"/>
  <c r="B1930" i="2"/>
  <c r="B1926" i="2"/>
  <c r="B1922" i="2"/>
  <c r="B1918" i="2"/>
  <c r="B1914" i="2"/>
  <c r="B1910" i="2"/>
  <c r="B1906" i="2"/>
  <c r="B1902" i="2"/>
  <c r="B1898" i="2"/>
  <c r="B1894" i="2"/>
  <c r="B1890" i="2"/>
  <c r="B1886" i="2"/>
  <c r="B1882" i="2"/>
  <c r="B1878" i="2"/>
  <c r="B1874" i="2"/>
  <c r="B1870" i="2"/>
  <c r="B1866" i="2"/>
  <c r="B1862" i="2"/>
  <c r="B1858" i="2"/>
  <c r="B1854" i="2"/>
  <c r="B1850" i="2"/>
  <c r="B1846" i="2"/>
  <c r="B1842" i="2"/>
  <c r="B1838" i="2"/>
  <c r="B1834" i="2"/>
  <c r="B1830" i="2"/>
  <c r="B1826" i="2"/>
  <c r="B1822" i="2"/>
  <c r="B1818" i="2"/>
  <c r="B1814" i="2"/>
  <c r="B1810" i="2"/>
  <c r="B1806" i="2"/>
  <c r="B1802" i="2"/>
  <c r="B1798" i="2"/>
  <c r="B1794" i="2"/>
  <c r="B3539" i="2"/>
  <c r="B3448" i="2"/>
  <c r="B3317" i="2"/>
  <c r="B3253" i="2"/>
  <c r="B3189" i="2"/>
  <c r="B3160" i="2"/>
  <c r="B3154" i="2"/>
  <c r="B3122" i="2"/>
  <c r="B3090" i="2"/>
  <c r="B3058" i="2"/>
  <c r="B3038" i="2"/>
  <c r="B3035" i="2"/>
  <c r="B3034" i="2"/>
  <c r="B3004" i="2"/>
  <c r="B3003" i="2"/>
  <c r="B3002" i="2"/>
  <c r="B2972" i="2"/>
  <c r="B2971" i="2"/>
  <c r="B2970" i="2"/>
  <c r="B2940" i="2"/>
  <c r="B2939" i="2"/>
  <c r="B2938" i="2"/>
  <c r="B2908" i="2"/>
  <c r="B2907" i="2"/>
  <c r="B2906" i="2"/>
  <c r="B2876" i="2"/>
  <c r="B2875" i="2"/>
  <c r="B2874" i="2"/>
  <c r="B2844" i="2"/>
  <c r="B2843" i="2"/>
  <c r="B2842" i="2"/>
  <c r="B2812" i="2"/>
  <c r="B2811" i="2"/>
  <c r="B2810" i="2"/>
  <c r="B2780" i="2"/>
  <c r="B2779" i="2"/>
  <c r="B2778" i="2"/>
  <c r="B2748" i="2"/>
  <c r="B2747" i="2"/>
  <c r="B2746" i="2"/>
  <c r="B2716" i="2"/>
  <c r="B2715" i="2"/>
  <c r="B2714" i="2"/>
  <c r="B2684" i="2"/>
  <c r="B2683" i="2"/>
  <c r="B2682" i="2"/>
  <c r="B2657" i="2"/>
  <c r="B2649" i="2"/>
  <c r="B2641" i="2"/>
  <c r="B2633" i="2"/>
  <c r="B2625" i="2"/>
  <c r="B2618" i="2"/>
  <c r="B2617" i="2"/>
  <c r="B2616" i="2"/>
  <c r="B2602" i="2"/>
  <c r="B2601" i="2"/>
  <c r="B2600" i="2"/>
  <c r="B2586" i="2"/>
  <c r="B2585" i="2"/>
  <c r="B2584" i="2"/>
  <c r="B2570" i="2"/>
  <c r="B2569" i="2"/>
  <c r="B2568" i="2"/>
  <c r="B2554" i="2"/>
  <c r="B2553" i="2"/>
  <c r="B2552" i="2"/>
  <c r="B2538" i="2"/>
  <c r="B2537" i="2"/>
  <c r="B2536" i="2"/>
  <c r="B2522" i="2"/>
  <c r="B2521" i="2"/>
  <c r="B2520" i="2"/>
  <c r="B2507" i="2"/>
  <c r="B2503" i="2"/>
  <c r="B2499" i="2"/>
  <c r="B2495" i="2"/>
  <c r="B2491" i="2"/>
  <c r="B2487" i="2"/>
  <c r="B2483" i="2"/>
  <c r="B2479" i="2"/>
  <c r="B2475" i="2"/>
  <c r="B2471" i="2"/>
  <c r="B2467" i="2"/>
  <c r="B2463" i="2"/>
  <c r="B2459" i="2"/>
  <c r="B2455" i="2"/>
  <c r="B2451" i="2"/>
  <c r="B2447" i="2"/>
  <c r="B2443" i="2"/>
  <c r="B2439" i="2"/>
  <c r="B2435" i="2"/>
  <c r="B2431" i="2"/>
  <c r="B2427" i="2"/>
  <c r="B2423" i="2"/>
  <c r="B2419" i="2"/>
  <c r="B2415" i="2"/>
  <c r="B2411" i="2"/>
  <c r="B2407" i="2"/>
  <c r="B2403" i="2"/>
  <c r="B2399" i="2"/>
  <c r="B2395" i="2"/>
  <c r="B2391" i="2"/>
  <c r="B2387" i="2"/>
  <c r="B2383" i="2"/>
  <c r="B2379" i="2"/>
  <c r="B2375" i="2"/>
  <c r="B2371" i="2"/>
  <c r="B2367" i="2"/>
  <c r="B2363" i="2"/>
  <c r="B2359" i="2"/>
  <c r="B2355" i="2"/>
  <c r="B2351" i="2"/>
  <c r="B2347" i="2"/>
  <c r="B2343" i="2"/>
  <c r="B2339" i="2"/>
  <c r="B2335" i="2"/>
  <c r="B2331" i="2"/>
  <c r="B2327" i="2"/>
  <c r="B2323" i="2"/>
  <c r="B2319" i="2"/>
  <c r="B2315" i="2"/>
  <c r="B2311" i="2"/>
  <c r="B2307" i="2"/>
  <c r="B2303" i="2"/>
  <c r="B2299" i="2"/>
  <c r="B2295" i="2"/>
  <c r="B2291" i="2"/>
  <c r="B2287" i="2"/>
  <c r="B2283" i="2"/>
  <c r="B2279" i="2"/>
  <c r="B2275" i="2"/>
  <c r="B2271" i="2"/>
  <c r="B2267" i="2"/>
  <c r="B2263" i="2"/>
  <c r="B2259" i="2"/>
  <c r="B2255" i="2"/>
  <c r="B2251" i="2"/>
  <c r="B2247" i="2"/>
  <c r="B2243" i="2"/>
  <c r="B2239" i="2"/>
  <c r="B2235" i="2"/>
  <c r="B2231" i="2"/>
  <c r="B2227" i="2"/>
  <c r="B2223" i="2"/>
  <c r="B2219" i="2"/>
  <c r="B2215" i="2"/>
  <c r="B2211" i="2"/>
  <c r="B2207" i="2"/>
  <c r="B2203" i="2"/>
  <c r="B2199" i="2"/>
  <c r="B2195" i="2"/>
  <c r="B2191" i="2"/>
  <c r="B2187" i="2"/>
  <c r="B2183" i="2"/>
  <c r="B2179" i="2"/>
  <c r="B2175" i="2"/>
  <c r="B2171" i="2"/>
  <c r="B2167" i="2"/>
  <c r="B2163" i="2"/>
  <c r="B2159" i="2"/>
  <c r="B2155" i="2"/>
  <c r="B2151" i="2"/>
  <c r="B2147" i="2"/>
  <c r="B2143" i="2"/>
  <c r="B2139" i="2"/>
  <c r="B2135" i="2"/>
  <c r="B2131" i="2"/>
  <c r="B2127" i="2"/>
  <c r="B2123" i="2"/>
  <c r="B2119" i="2"/>
  <c r="B2115" i="2"/>
  <c r="B2111" i="2"/>
  <c r="B2107" i="2"/>
  <c r="B2103" i="2"/>
  <c r="B2099" i="2"/>
  <c r="B2095" i="2"/>
  <c r="B2091" i="2"/>
  <c r="B2087" i="2"/>
  <c r="B2083" i="2"/>
  <c r="B2079" i="2"/>
  <c r="B2075" i="2"/>
  <c r="B2071" i="2"/>
  <c r="B2067" i="2"/>
  <c r="B2063" i="2"/>
  <c r="B2059" i="2"/>
  <c r="B2055" i="2"/>
  <c r="B2051" i="2"/>
  <c r="B2047" i="2"/>
  <c r="B2043" i="2"/>
  <c r="B2039" i="2"/>
  <c r="B2035" i="2"/>
  <c r="B2031" i="2"/>
  <c r="B2027" i="2"/>
  <c r="B2023" i="2"/>
  <c r="B2019" i="2"/>
  <c r="B2015" i="2"/>
  <c r="B2011" i="2"/>
  <c r="B2007" i="2"/>
  <c r="B2003" i="2"/>
  <c r="B1999" i="2"/>
  <c r="B1995" i="2"/>
  <c r="B1991" i="2"/>
  <c r="B1987" i="2"/>
  <c r="B1983" i="2"/>
  <c r="B1979" i="2"/>
  <c r="B1975" i="2"/>
  <c r="B1971" i="2"/>
  <c r="B1967" i="2"/>
  <c r="B1963" i="2"/>
  <c r="B1959" i="2"/>
  <c r="B1955" i="2"/>
  <c r="B1951" i="2"/>
  <c r="B1947" i="2"/>
  <c r="B1943" i="2"/>
  <c r="B1939" i="2"/>
  <c r="B1935" i="2"/>
  <c r="B1931" i="2"/>
  <c r="B1927" i="2"/>
  <c r="B1923" i="2"/>
  <c r="B1919" i="2"/>
  <c r="B1915" i="2"/>
  <c r="B1911" i="2"/>
  <c r="B3512" i="2"/>
  <c r="B3320" i="2"/>
  <c r="B3192" i="2"/>
  <c r="B3141" i="2"/>
  <c r="B3077" i="2"/>
  <c r="B3023" i="2"/>
  <c r="B2992" i="2"/>
  <c r="B2990" i="2"/>
  <c r="B2959" i="2"/>
  <c r="B3285" i="2"/>
  <c r="B3106" i="2"/>
  <c r="B3042" i="2"/>
  <c r="B3037" i="2"/>
  <c r="B3019" i="2"/>
  <c r="B3483" i="2"/>
  <c r="B3256" i="2"/>
  <c r="B3109" i="2"/>
  <c r="B3045" i="2"/>
  <c r="B3024" i="2"/>
  <c r="B3022" i="2"/>
  <c r="B2991" i="2"/>
  <c r="B2960" i="2"/>
  <c r="B2958" i="2"/>
  <c r="B3138" i="2"/>
  <c r="B2954" i="2"/>
  <c r="B2923" i="2"/>
  <c r="B2892" i="2"/>
  <c r="B2890" i="2"/>
  <c r="B2859" i="2"/>
  <c r="B2828" i="2"/>
  <c r="B2826" i="2"/>
  <c r="B2795" i="2"/>
  <c r="B2764" i="2"/>
  <c r="B2762" i="2"/>
  <c r="B2731" i="2"/>
  <c r="B2700" i="2"/>
  <c r="B2698" i="2"/>
  <c r="B2988" i="2"/>
  <c r="B2928" i="2"/>
  <c r="B2926" i="2"/>
  <c r="B2895" i="2"/>
  <c r="B2864" i="2"/>
  <c r="B2862" i="2"/>
  <c r="B2831" i="2"/>
  <c r="B2800" i="2"/>
  <c r="B2798" i="2"/>
  <c r="B3020" i="2"/>
  <c r="B2987" i="2"/>
  <c r="B2956" i="2"/>
  <c r="B2924" i="2"/>
  <c r="B2922" i="2"/>
  <c r="B2891" i="2"/>
  <c r="B2860" i="2"/>
  <c r="B2858" i="2"/>
  <c r="B2827" i="2"/>
  <c r="B2796" i="2"/>
  <c r="B2794" i="2"/>
  <c r="B2763" i="2"/>
  <c r="B2732" i="2"/>
  <c r="B2730" i="2"/>
  <c r="B2699" i="2"/>
  <c r="B3378" i="2"/>
  <c r="B3074" i="2"/>
  <c r="B3018" i="2"/>
  <c r="B2927" i="2"/>
  <c r="B2896" i="2"/>
  <c r="B2767" i="2"/>
  <c r="B2736" i="2"/>
  <c r="B2671" i="2"/>
  <c r="B2656" i="2"/>
  <c r="B2640" i="2"/>
  <c r="B2624" i="2"/>
  <c r="B2614" i="2"/>
  <c r="B2613" i="2"/>
  <c r="B2612" i="2"/>
  <c r="B2582" i="2"/>
  <c r="B2581" i="2"/>
  <c r="B2580" i="2"/>
  <c r="B2550" i="2"/>
  <c r="B2549" i="2"/>
  <c r="B2548" i="2"/>
  <c r="B2518" i="2"/>
  <c r="B2517" i="2"/>
  <c r="B2516" i="2"/>
  <c r="B2504" i="2"/>
  <c r="B2496" i="2"/>
  <c r="B2488" i="2"/>
  <c r="B2480" i="2"/>
  <c r="B2472" i="2"/>
  <c r="B2464" i="2"/>
  <c r="B2894" i="2"/>
  <c r="B2863" i="2"/>
  <c r="B2832" i="2"/>
  <c r="B2766" i="2"/>
  <c r="B2735" i="2"/>
  <c r="B2704" i="2"/>
  <c r="B2667" i="2"/>
  <c r="B2653" i="2"/>
  <c r="B2637" i="2"/>
  <c r="B2610" i="2"/>
  <c r="B2609" i="2"/>
  <c r="B2608" i="2"/>
  <c r="B2578" i="2"/>
  <c r="B2577" i="2"/>
  <c r="B2576" i="2"/>
  <c r="B2546" i="2"/>
  <c r="B2545" i="2"/>
  <c r="B2544" i="2"/>
  <c r="B2514" i="2"/>
  <c r="B2513" i="2"/>
  <c r="B2512" i="2"/>
  <c r="B2501" i="2"/>
  <c r="B2493" i="2"/>
  <c r="B2485" i="2"/>
  <c r="B2477" i="2"/>
  <c r="B2469" i="2"/>
  <c r="B2461" i="2"/>
  <c r="B2453" i="2"/>
  <c r="B2445" i="2"/>
  <c r="B2437" i="2"/>
  <c r="B2429" i="2"/>
  <c r="B2421" i="2"/>
  <c r="B2413" i="2"/>
  <c r="B2986" i="2"/>
  <c r="B2955" i="2"/>
  <c r="B2830" i="2"/>
  <c r="B2799" i="2"/>
  <c r="B2734" i="2"/>
  <c r="B2703" i="2"/>
  <c r="B2672" i="2"/>
  <c r="B2670" i="2"/>
  <c r="B2648" i="2"/>
  <c r="B2632" i="2"/>
  <c r="B2598" i="2"/>
  <c r="B2597" i="2"/>
  <c r="B2596" i="2"/>
  <c r="B2566" i="2"/>
  <c r="B2565" i="2"/>
  <c r="B2564" i="2"/>
  <c r="B2534" i="2"/>
  <c r="B2533" i="2"/>
  <c r="B2532" i="2"/>
  <c r="B2508" i="2"/>
  <c r="B2500" i="2"/>
  <c r="B2492" i="2"/>
  <c r="B2484" i="2"/>
  <c r="B2476" i="2"/>
  <c r="B2468" i="2"/>
  <c r="B2460" i="2"/>
  <c r="B2452" i="2"/>
  <c r="B2444" i="2"/>
  <c r="B2436" i="2"/>
  <c r="B2428" i="2"/>
  <c r="B2420" i="2"/>
  <c r="B2412" i="2"/>
  <c r="B3221" i="2"/>
  <c r="B2629" i="2"/>
  <c r="B2592" i="2"/>
  <c r="B2561" i="2"/>
  <c r="B2530" i="2"/>
  <c r="B2481" i="2"/>
  <c r="B2448" i="2"/>
  <c r="B2432" i="2"/>
  <c r="B2416" i="2"/>
  <c r="B2409" i="2"/>
  <c r="B2401" i="2"/>
  <c r="B2393" i="2"/>
  <c r="B2385" i="2"/>
  <c r="B2377" i="2"/>
  <c r="B2369" i="2"/>
  <c r="B2361" i="2"/>
  <c r="B2353" i="2"/>
  <c r="B2345" i="2"/>
  <c r="B2337" i="2"/>
  <c r="B2329" i="2"/>
  <c r="B2321" i="2"/>
  <c r="B2313" i="2"/>
  <c r="B2305" i="2"/>
  <c r="B2297" i="2"/>
  <c r="B2289" i="2"/>
  <c r="B2281" i="2"/>
  <c r="B2273" i="2"/>
  <c r="B2265" i="2"/>
  <c r="B2257" i="2"/>
  <c r="B2249" i="2"/>
  <c r="B2241" i="2"/>
  <c r="B2233" i="2"/>
  <c r="B2225" i="2"/>
  <c r="B2217" i="2"/>
  <c r="B2209" i="2"/>
  <c r="B2201" i="2"/>
  <c r="B2193" i="2"/>
  <c r="B2185" i="2"/>
  <c r="B2177" i="2"/>
  <c r="B2169" i="2"/>
  <c r="B2161" i="2"/>
  <c r="B2153" i="2"/>
  <c r="B2145" i="2"/>
  <c r="B2137" i="2"/>
  <c r="B2129" i="2"/>
  <c r="B2121" i="2"/>
  <c r="B2113" i="2"/>
  <c r="B2105" i="2"/>
  <c r="B2097" i="2"/>
  <c r="B2089" i="2"/>
  <c r="B2081" i="2"/>
  <c r="B2073" i="2"/>
  <c r="B2065" i="2"/>
  <c r="B2057" i="2"/>
  <c r="B2645" i="2"/>
  <c r="B2560" i="2"/>
  <c r="B2529" i="2"/>
  <c r="B2489" i="2"/>
  <c r="B2449" i="2"/>
  <c r="B2433" i="2"/>
  <c r="B2417" i="2"/>
  <c r="B2408" i="2"/>
  <c r="B2400" i="2"/>
  <c r="B2392" i="2"/>
  <c r="B2384" i="2"/>
  <c r="B2376" i="2"/>
  <c r="B2368" i="2"/>
  <c r="B2360" i="2"/>
  <c r="B2352" i="2"/>
  <c r="B2344" i="2"/>
  <c r="B2336" i="2"/>
  <c r="B2328" i="2"/>
  <c r="B2320" i="2"/>
  <c r="B2312" i="2"/>
  <c r="B2304" i="2"/>
  <c r="B2296" i="2"/>
  <c r="B2288" i="2"/>
  <c r="B2280" i="2"/>
  <c r="B2272" i="2"/>
  <c r="B2264" i="2"/>
  <c r="B2256" i="2"/>
  <c r="B2248" i="2"/>
  <c r="B2240" i="2"/>
  <c r="B2232" i="2"/>
  <c r="B2224" i="2"/>
  <c r="B2216" i="2"/>
  <c r="B2208" i="2"/>
  <c r="B2200" i="2"/>
  <c r="B2192" i="2"/>
  <c r="B2184" i="2"/>
  <c r="B2176" i="2"/>
  <c r="B2168" i="2"/>
  <c r="B2160" i="2"/>
  <c r="B2152" i="2"/>
  <c r="B2144" i="2"/>
  <c r="B2136" i="2"/>
  <c r="B2128" i="2"/>
  <c r="B2120" i="2"/>
  <c r="B2112" i="2"/>
  <c r="B2104" i="2"/>
  <c r="B2096" i="2"/>
  <c r="B2088" i="2"/>
  <c r="B2080" i="2"/>
  <c r="B2072" i="2"/>
  <c r="B2064" i="2"/>
  <c r="B2056" i="2"/>
  <c r="B2048" i="2"/>
  <c r="B2040" i="2"/>
  <c r="B2032" i="2"/>
  <c r="B2024" i="2"/>
  <c r="B2016" i="2"/>
  <c r="B2008" i="2"/>
  <c r="B2000" i="2"/>
  <c r="B1992" i="2"/>
  <c r="B2768" i="2"/>
  <c r="B2668" i="2"/>
  <c r="B2661" i="2"/>
  <c r="B2594" i="2"/>
  <c r="B2528" i="2"/>
  <c r="B2497" i="2"/>
  <c r="B2465" i="2"/>
  <c r="B2456" i="2"/>
  <c r="B2440" i="2"/>
  <c r="B2424" i="2"/>
  <c r="B2405" i="2"/>
  <c r="B2397" i="2"/>
  <c r="B2389" i="2"/>
  <c r="B2381" i="2"/>
  <c r="B2373" i="2"/>
  <c r="B2365" i="2"/>
  <c r="B2357" i="2"/>
  <c r="B2349" i="2"/>
  <c r="B2341" i="2"/>
  <c r="B2333" i="2"/>
  <c r="B2325" i="2"/>
  <c r="B2317" i="2"/>
  <c r="B2309" i="2"/>
  <c r="B2301" i="2"/>
  <c r="B2293" i="2"/>
  <c r="B2285" i="2"/>
  <c r="B2277" i="2"/>
  <c r="B2269" i="2"/>
  <c r="B2261" i="2"/>
  <c r="B2253" i="2"/>
  <c r="B2245" i="2"/>
  <c r="B2237" i="2"/>
  <c r="B2229" i="2"/>
  <c r="B2221" i="2"/>
  <c r="B2213" i="2"/>
  <c r="B2205" i="2"/>
  <c r="B2197" i="2"/>
  <c r="B2189" i="2"/>
  <c r="B2181" i="2"/>
  <c r="B2173" i="2"/>
  <c r="B2165" i="2"/>
  <c r="B2157" i="2"/>
  <c r="B2149" i="2"/>
  <c r="B2141" i="2"/>
  <c r="B2133" i="2"/>
  <c r="B2125" i="2"/>
  <c r="B2117" i="2"/>
  <c r="B2109" i="2"/>
  <c r="B2101" i="2"/>
  <c r="B2093" i="2"/>
  <c r="B2085" i="2"/>
  <c r="B2077" i="2"/>
  <c r="B2069" i="2"/>
  <c r="B2061" i="2"/>
  <c r="B2053" i="2"/>
  <c r="B2045" i="2"/>
  <c r="B2037" i="2"/>
  <c r="B2029" i="2"/>
  <c r="B2021" i="2"/>
  <c r="B2013" i="2"/>
  <c r="B2005" i="2"/>
  <c r="B1997" i="2"/>
  <c r="B1989" i="2"/>
  <c r="B2505" i="2"/>
  <c r="B2441" i="2"/>
  <c r="B2388" i="2"/>
  <c r="B2356" i="2"/>
  <c r="B2324" i="2"/>
  <c r="B2292" i="2"/>
  <c r="B2260" i="2"/>
  <c r="B2228" i="2"/>
  <c r="B2196" i="2"/>
  <c r="B2164" i="2"/>
  <c r="B2132" i="2"/>
  <c r="B2100" i="2"/>
  <c r="B2068" i="2"/>
  <c r="B2044" i="2"/>
  <c r="B2028" i="2"/>
  <c r="B2012" i="2"/>
  <c r="B1996" i="2"/>
  <c r="B1985" i="2"/>
  <c r="B1977" i="2"/>
  <c r="B1969" i="2"/>
  <c r="B1961" i="2"/>
  <c r="B1953" i="2"/>
  <c r="B1945" i="2"/>
  <c r="B1937" i="2"/>
  <c r="B1929" i="2"/>
  <c r="B1921" i="2"/>
  <c r="B1913" i="2"/>
  <c r="B1901" i="2"/>
  <c r="B1900" i="2"/>
  <c r="B1899" i="2"/>
  <c r="B1885" i="2"/>
  <c r="B1884" i="2"/>
  <c r="B1883" i="2"/>
  <c r="B1869" i="2"/>
  <c r="B1868" i="2"/>
  <c r="B1867" i="2"/>
  <c r="B1853" i="2"/>
  <c r="B1852" i="2"/>
  <c r="B1851" i="2"/>
  <c r="B1837" i="2"/>
  <c r="B1836" i="2"/>
  <c r="B1835" i="2"/>
  <c r="B1821" i="2"/>
  <c r="B1820" i="2"/>
  <c r="B1819" i="2"/>
  <c r="B1805" i="2"/>
  <c r="B1804" i="2"/>
  <c r="B1803" i="2"/>
  <c r="B1791" i="2"/>
  <c r="B1787" i="2"/>
  <c r="B1783" i="2"/>
  <c r="B1779" i="2"/>
  <c r="B1775" i="2"/>
  <c r="B1771" i="2"/>
  <c r="B1767" i="2"/>
  <c r="B1763" i="2"/>
  <c r="B1759" i="2"/>
  <c r="B1755" i="2"/>
  <c r="B1751" i="2"/>
  <c r="B1747" i="2"/>
  <c r="B1743" i="2"/>
  <c r="B1739" i="2"/>
  <c r="B1735" i="2"/>
  <c r="B1731" i="2"/>
  <c r="B1727" i="2"/>
  <c r="B1723" i="2"/>
  <c r="B1719" i="2"/>
  <c r="B1715" i="2"/>
  <c r="B1711" i="2"/>
  <c r="B1707" i="2"/>
  <c r="B1703" i="2"/>
  <c r="B1699" i="2"/>
  <c r="B1695" i="2"/>
  <c r="B1691" i="2"/>
  <c r="B1687" i="2"/>
  <c r="B1683" i="2"/>
  <c r="B1679" i="2"/>
  <c r="B1675" i="2"/>
  <c r="B1671" i="2"/>
  <c r="B1667" i="2"/>
  <c r="B1663" i="2"/>
  <c r="B1659" i="2"/>
  <c r="B1655" i="2"/>
  <c r="B1651" i="2"/>
  <c r="B1647" i="2"/>
  <c r="B1643" i="2"/>
  <c r="B1639" i="2"/>
  <c r="B1635" i="2"/>
  <c r="B1631" i="2"/>
  <c r="B1627" i="2"/>
  <c r="B1623" i="2"/>
  <c r="B1619" i="2"/>
  <c r="B1615" i="2"/>
  <c r="B1611" i="2"/>
  <c r="B1607" i="2"/>
  <c r="B1603" i="2"/>
  <c r="B1599" i="2"/>
  <c r="B1595" i="2"/>
  <c r="B1591" i="2"/>
  <c r="B1587" i="2"/>
  <c r="B1583" i="2"/>
  <c r="B1579" i="2"/>
  <c r="B1575" i="2"/>
  <c r="B1571" i="2"/>
  <c r="B1567" i="2"/>
  <c r="B1563" i="2"/>
  <c r="B1559" i="2"/>
  <c r="B1555" i="2"/>
  <c r="B1551" i="2"/>
  <c r="B1547" i="2"/>
  <c r="B1543" i="2"/>
  <c r="B1539" i="2"/>
  <c r="B1535" i="2"/>
  <c r="B1531" i="2"/>
  <c r="B1527" i="2"/>
  <c r="B1523" i="2"/>
  <c r="B1519" i="2"/>
  <c r="B1515" i="2"/>
  <c r="B1511" i="2"/>
  <c r="B1507" i="2"/>
  <c r="B1503" i="2"/>
  <c r="B1499" i="2"/>
  <c r="B1495" i="2"/>
  <c r="B2593" i="2"/>
  <c r="B2562" i="2"/>
  <c r="B2457" i="2"/>
  <c r="B2396" i="2"/>
  <c r="B2364" i="2"/>
  <c r="B2332" i="2"/>
  <c r="B2300" i="2"/>
  <c r="B2268" i="2"/>
  <c r="B2236" i="2"/>
  <c r="B2204" i="2"/>
  <c r="B2172" i="2"/>
  <c r="B2140" i="2"/>
  <c r="B2108" i="2"/>
  <c r="B2076" i="2"/>
  <c r="B2041" i="2"/>
  <c r="B2025" i="2"/>
  <c r="B2009" i="2"/>
  <c r="B1993" i="2"/>
  <c r="B1984" i="2"/>
  <c r="B1976" i="2"/>
  <c r="B1968" i="2"/>
  <c r="B1960" i="2"/>
  <c r="B1952" i="2"/>
  <c r="B1944" i="2"/>
  <c r="B1936" i="2"/>
  <c r="B1928" i="2"/>
  <c r="B1920" i="2"/>
  <c r="B1912" i="2"/>
  <c r="B1897" i="2"/>
  <c r="B1896" i="2"/>
  <c r="B1895" i="2"/>
  <c r="B1881" i="2"/>
  <c r="B1880" i="2"/>
  <c r="B1879" i="2"/>
  <c r="B1865" i="2"/>
  <c r="B1864" i="2"/>
  <c r="B1863" i="2"/>
  <c r="B1849" i="2"/>
  <c r="B1848" i="2"/>
  <c r="B1847" i="2"/>
  <c r="B1833" i="2"/>
  <c r="B1832" i="2"/>
  <c r="B1831" i="2"/>
  <c r="B1817" i="2"/>
  <c r="B1816" i="2"/>
  <c r="B1815" i="2"/>
  <c r="B1801" i="2"/>
  <c r="B1800" i="2"/>
  <c r="B1799" i="2"/>
  <c r="B1792" i="2"/>
  <c r="B1788" i="2"/>
  <c r="B1784" i="2"/>
  <c r="B1780" i="2"/>
  <c r="B1776" i="2"/>
  <c r="B1772" i="2"/>
  <c r="B1768" i="2"/>
  <c r="B1764" i="2"/>
  <c r="B1760" i="2"/>
  <c r="B1756" i="2"/>
  <c r="B1752" i="2"/>
  <c r="B1748" i="2"/>
  <c r="B1744" i="2"/>
  <c r="B1740" i="2"/>
  <c r="B1736" i="2"/>
  <c r="B1732" i="2"/>
  <c r="B1728" i="2"/>
  <c r="B1724" i="2"/>
  <c r="B1720" i="2"/>
  <c r="B1716" i="2"/>
  <c r="B1712" i="2"/>
  <c r="B1708" i="2"/>
  <c r="B1704" i="2"/>
  <c r="B1700" i="2"/>
  <c r="B1696" i="2"/>
  <c r="B1692" i="2"/>
  <c r="B1688" i="2"/>
  <c r="B1684" i="2"/>
  <c r="B1680" i="2"/>
  <c r="B1676" i="2"/>
  <c r="B1672" i="2"/>
  <c r="B1668" i="2"/>
  <c r="B1664" i="2"/>
  <c r="B1660" i="2"/>
  <c r="B1656" i="2"/>
  <c r="B1652" i="2"/>
  <c r="B1648" i="2"/>
  <c r="B1644" i="2"/>
  <c r="B1640" i="2"/>
  <c r="B1636" i="2"/>
  <c r="B1632" i="2"/>
  <c r="B1628" i="2"/>
  <c r="B1624" i="2"/>
  <c r="B1620" i="2"/>
  <c r="B1616" i="2"/>
  <c r="B1612" i="2"/>
  <c r="B1608" i="2"/>
  <c r="B1604" i="2"/>
  <c r="B1600" i="2"/>
  <c r="B1596" i="2"/>
  <c r="B1592" i="2"/>
  <c r="B1588" i="2"/>
  <c r="B1584" i="2"/>
  <c r="B1580" i="2"/>
  <c r="B1576" i="2"/>
  <c r="B1572" i="2"/>
  <c r="B1568" i="2"/>
  <c r="B1564" i="2"/>
  <c r="B1560" i="2"/>
  <c r="B1556" i="2"/>
  <c r="B1552" i="2"/>
  <c r="B1548" i="2"/>
  <c r="B1544" i="2"/>
  <c r="B1540" i="2"/>
  <c r="B1536" i="2"/>
  <c r="B1532" i="2"/>
  <c r="B2666" i="2"/>
  <c r="B2404" i="2"/>
  <c r="B2372" i="2"/>
  <c r="B2340" i="2"/>
  <c r="B2308" i="2"/>
  <c r="B2276" i="2"/>
  <c r="B2244" i="2"/>
  <c r="B2212" i="2"/>
  <c r="B2180" i="2"/>
  <c r="B2148" i="2"/>
  <c r="B2116" i="2"/>
  <c r="B2084" i="2"/>
  <c r="B2052" i="2"/>
  <c r="B2036" i="2"/>
  <c r="B2020" i="2"/>
  <c r="B2004" i="2"/>
  <c r="B1981" i="2"/>
  <c r="B1973" i="2"/>
  <c r="B1965" i="2"/>
  <c r="B1957" i="2"/>
  <c r="B1949" i="2"/>
  <c r="B1941" i="2"/>
  <c r="B1933" i="2"/>
  <c r="B1925" i="2"/>
  <c r="B1917" i="2"/>
  <c r="B1909" i="2"/>
  <c r="B1908" i="2"/>
  <c r="B1907" i="2"/>
  <c r="B1893" i="2"/>
  <c r="B1892" i="2"/>
  <c r="B1891" i="2"/>
  <c r="B1877" i="2"/>
  <c r="B1876" i="2"/>
  <c r="B1875" i="2"/>
  <c r="B1861" i="2"/>
  <c r="B1860" i="2"/>
  <c r="B1859" i="2"/>
  <c r="B1845" i="2"/>
  <c r="B1844" i="2"/>
  <c r="B1843" i="2"/>
  <c r="B1829" i="2"/>
  <c r="B1828" i="2"/>
  <c r="B1827" i="2"/>
  <c r="B1813" i="2"/>
  <c r="B1812" i="2"/>
  <c r="B1811" i="2"/>
  <c r="B1797" i="2"/>
  <c r="B1796" i="2"/>
  <c r="B1795" i="2"/>
  <c r="B1789" i="2"/>
  <c r="B1785" i="2"/>
  <c r="B1781" i="2"/>
  <c r="B1777" i="2"/>
  <c r="B1773" i="2"/>
  <c r="B1769" i="2"/>
  <c r="B1765" i="2"/>
  <c r="B1761" i="2"/>
  <c r="B1757" i="2"/>
  <c r="B1753" i="2"/>
  <c r="B1749" i="2"/>
  <c r="B1745" i="2"/>
  <c r="B1741" i="2"/>
  <c r="B1737" i="2"/>
  <c r="B1733" i="2"/>
  <c r="B1729" i="2"/>
  <c r="B1725" i="2"/>
  <c r="B1721" i="2"/>
  <c r="B1717" i="2"/>
  <c r="B1713" i="2"/>
  <c r="B1709" i="2"/>
  <c r="B1705" i="2"/>
  <c r="B1701" i="2"/>
  <c r="B1697" i="2"/>
  <c r="B1693" i="2"/>
  <c r="B1689" i="2"/>
  <c r="B1685" i="2"/>
  <c r="B1681" i="2"/>
  <c r="B1677" i="2"/>
  <c r="B1673" i="2"/>
  <c r="B1669" i="2"/>
  <c r="B1665" i="2"/>
  <c r="B1661" i="2"/>
  <c r="B1657" i="2"/>
  <c r="B1653" i="2"/>
  <c r="B1649" i="2"/>
  <c r="B1645" i="2"/>
  <c r="B1641" i="2"/>
  <c r="B1637" i="2"/>
  <c r="B1633" i="2"/>
  <c r="B1629" i="2"/>
  <c r="B1625" i="2"/>
  <c r="B1621" i="2"/>
  <c r="B1617" i="2"/>
  <c r="B1613" i="2"/>
  <c r="B1609" i="2"/>
  <c r="B1605" i="2"/>
  <c r="B1601" i="2"/>
  <c r="B1597" i="2"/>
  <c r="B1593" i="2"/>
  <c r="B1589" i="2"/>
  <c r="B1585" i="2"/>
  <c r="B1581" i="2"/>
  <c r="B1577" i="2"/>
  <c r="B1573" i="2"/>
  <c r="B1569" i="2"/>
  <c r="B1565" i="2"/>
  <c r="B1561" i="2"/>
  <c r="B1557" i="2"/>
  <c r="B1553" i="2"/>
  <c r="B1549" i="2"/>
  <c r="B1545" i="2"/>
  <c r="B1541" i="2"/>
  <c r="B1537" i="2"/>
  <c r="B1533" i="2"/>
  <c r="B1529" i="2"/>
  <c r="B1525" i="2"/>
  <c r="B1521" i="2"/>
  <c r="B1517" i="2"/>
  <c r="B1513" i="2"/>
  <c r="B1509" i="2"/>
  <c r="B1505" i="2"/>
  <c r="B1501" i="2"/>
  <c r="B1497" i="2"/>
  <c r="B2284" i="2"/>
  <c r="B2156" i="2"/>
  <c r="B2017" i="2"/>
  <c r="B1988" i="2"/>
  <c r="B1956" i="2"/>
  <c r="B1924" i="2"/>
  <c r="B1904" i="2"/>
  <c r="B1873" i="2"/>
  <c r="B1871" i="2"/>
  <c r="B1840" i="2"/>
  <c r="B1809" i="2"/>
  <c r="B1807" i="2"/>
  <c r="B1786" i="2"/>
  <c r="B1770" i="2"/>
  <c r="B1754" i="2"/>
  <c r="B1738" i="2"/>
  <c r="B1722" i="2"/>
  <c r="B1706" i="2"/>
  <c r="B1690" i="2"/>
  <c r="B1674" i="2"/>
  <c r="B1658" i="2"/>
  <c r="B1642" i="2"/>
  <c r="B1626" i="2"/>
  <c r="B1610" i="2"/>
  <c r="B1594" i="2"/>
  <c r="B1578" i="2"/>
  <c r="B1562" i="2"/>
  <c r="B1546" i="2"/>
  <c r="B1530" i="2"/>
  <c r="B1522" i="2"/>
  <c r="B1514" i="2"/>
  <c r="B1506" i="2"/>
  <c r="B1498" i="2"/>
  <c r="B1492" i="2"/>
  <c r="B1488" i="2"/>
  <c r="B1484" i="2"/>
  <c r="B1480" i="2"/>
  <c r="B1476" i="2"/>
  <c r="B1472" i="2"/>
  <c r="B1468" i="2"/>
  <c r="B1464" i="2"/>
  <c r="B1460" i="2"/>
  <c r="B1456" i="2"/>
  <c r="B1452" i="2"/>
  <c r="B1448" i="2"/>
  <c r="B1444" i="2"/>
  <c r="B1440" i="2"/>
  <c r="B1436" i="2"/>
  <c r="B1432" i="2"/>
  <c r="B1428" i="2"/>
  <c r="B1424" i="2"/>
  <c r="B1420" i="2"/>
  <c r="B1416" i="2"/>
  <c r="B1412" i="2"/>
  <c r="B1408" i="2"/>
  <c r="B1404" i="2"/>
  <c r="B1400" i="2"/>
  <c r="B1396" i="2"/>
  <c r="B1392" i="2"/>
  <c r="B1388" i="2"/>
  <c r="B1384" i="2"/>
  <c r="B1380" i="2"/>
  <c r="B1376" i="2"/>
  <c r="B1372" i="2"/>
  <c r="B1368" i="2"/>
  <c r="B1364" i="2"/>
  <c r="B1360" i="2"/>
  <c r="B1356" i="2"/>
  <c r="B1352" i="2"/>
  <c r="B1348" i="2"/>
  <c r="B1344" i="2"/>
  <c r="B1340" i="2"/>
  <c r="B1336" i="2"/>
  <c r="B1332" i="2"/>
  <c r="B1328" i="2"/>
  <c r="B1324" i="2"/>
  <c r="B1320" i="2"/>
  <c r="B1316" i="2"/>
  <c r="B1312" i="2"/>
  <c r="B1308" i="2"/>
  <c r="B1304" i="2"/>
  <c r="B1300" i="2"/>
  <c r="B1296" i="2"/>
  <c r="B1292" i="2"/>
  <c r="B1288" i="2"/>
  <c r="B1284" i="2"/>
  <c r="B1280" i="2"/>
  <c r="B1276" i="2"/>
  <c r="B1272" i="2"/>
  <c r="B1268" i="2"/>
  <c r="B1264" i="2"/>
  <c r="B1260" i="2"/>
  <c r="B1256" i="2"/>
  <c r="B1252" i="2"/>
  <c r="B1248" i="2"/>
  <c r="B1244" i="2"/>
  <c r="B1240" i="2"/>
  <c r="B1236" i="2"/>
  <c r="B1232" i="2"/>
  <c r="B1228" i="2"/>
  <c r="B1224" i="2"/>
  <c r="B1220" i="2"/>
  <c r="B1216" i="2"/>
  <c r="B1212" i="2"/>
  <c r="B1208" i="2"/>
  <c r="B1204" i="2"/>
  <c r="B1200" i="2"/>
  <c r="B1196" i="2"/>
  <c r="B1192" i="2"/>
  <c r="B1188" i="2"/>
  <c r="B1184" i="2"/>
  <c r="B1180" i="2"/>
  <c r="B1176" i="2"/>
  <c r="B1172" i="2"/>
  <c r="B1168" i="2"/>
  <c r="B1164" i="2"/>
  <c r="B1160" i="2"/>
  <c r="B1156" i="2"/>
  <c r="B1152" i="2"/>
  <c r="B1148" i="2"/>
  <c r="B1144" i="2"/>
  <c r="B1140" i="2"/>
  <c r="B1136" i="2"/>
  <c r="B1132" i="2"/>
  <c r="B1128" i="2"/>
  <c r="B1124" i="2"/>
  <c r="B1120" i="2"/>
  <c r="B1116" i="2"/>
  <c r="B1112" i="2"/>
  <c r="B1108" i="2"/>
  <c r="B1104" i="2"/>
  <c r="B1100" i="2"/>
  <c r="B1096" i="2"/>
  <c r="B1092" i="2"/>
  <c r="B1088" i="2"/>
  <c r="B1084" i="2"/>
  <c r="B1080" i="2"/>
  <c r="B1076" i="2"/>
  <c r="B1072" i="2"/>
  <c r="B1068" i="2"/>
  <c r="B1064" i="2"/>
  <c r="B1060" i="2"/>
  <c r="B1056" i="2"/>
  <c r="B1052" i="2"/>
  <c r="B1048" i="2"/>
  <c r="B1044" i="2"/>
  <c r="B1040" i="2"/>
  <c r="B1036" i="2"/>
  <c r="B1032" i="2"/>
  <c r="B1028" i="2"/>
  <c r="B1024" i="2"/>
  <c r="B1020" i="2"/>
  <c r="B1016" i="2"/>
  <c r="B1012" i="2"/>
  <c r="B1008" i="2"/>
  <c r="B1004" i="2"/>
  <c r="B1000" i="2"/>
  <c r="B996" i="2"/>
  <c r="B992" i="2"/>
  <c r="B988" i="2"/>
  <c r="B984" i="2"/>
  <c r="B980" i="2"/>
  <c r="B976" i="2"/>
  <c r="B972" i="2"/>
  <c r="B968" i="2"/>
  <c r="B964" i="2"/>
  <c r="B960" i="2"/>
  <c r="B956" i="2"/>
  <c r="B952" i="2"/>
  <c r="B948" i="2"/>
  <c r="B944" i="2"/>
  <c r="B940" i="2"/>
  <c r="B936" i="2"/>
  <c r="B932" i="2"/>
  <c r="B928" i="2"/>
  <c r="B924" i="2"/>
  <c r="B920" i="2"/>
  <c r="B916" i="2"/>
  <c r="B912" i="2"/>
  <c r="B908" i="2"/>
  <c r="B904" i="2"/>
  <c r="B900" i="2"/>
  <c r="B896" i="2"/>
  <c r="B892" i="2"/>
  <c r="B888" i="2"/>
  <c r="B884" i="2"/>
  <c r="B880" i="2"/>
  <c r="B876" i="2"/>
  <c r="B872" i="2"/>
  <c r="B868" i="2"/>
  <c r="B864" i="2"/>
  <c r="B860" i="2"/>
  <c r="B856" i="2"/>
  <c r="B852" i="2"/>
  <c r="B848" i="2"/>
  <c r="B844" i="2"/>
  <c r="B840" i="2"/>
  <c r="B836" i="2"/>
  <c r="B832" i="2"/>
  <c r="B828" i="2"/>
  <c r="B824" i="2"/>
  <c r="B820" i="2"/>
  <c r="B816" i="2"/>
  <c r="B812" i="2"/>
  <c r="B808" i="2"/>
  <c r="B804" i="2"/>
  <c r="B800" i="2"/>
  <c r="B796" i="2"/>
  <c r="B792" i="2"/>
  <c r="B788" i="2"/>
  <c r="B784" i="2"/>
  <c r="B780" i="2"/>
  <c r="B776" i="2"/>
  <c r="B772" i="2"/>
  <c r="B768" i="2"/>
  <c r="B764" i="2"/>
  <c r="B760" i="2"/>
  <c r="B756" i="2"/>
  <c r="B752" i="2"/>
  <c r="B748" i="2"/>
  <c r="B744" i="2"/>
  <c r="B740" i="2"/>
  <c r="B736" i="2"/>
  <c r="B732" i="2"/>
  <c r="B728" i="2"/>
  <c r="B724" i="2"/>
  <c r="B720" i="2"/>
  <c r="B716" i="2"/>
  <c r="B712" i="2"/>
  <c r="B708" i="2"/>
  <c r="B704" i="2"/>
  <c r="B700" i="2"/>
  <c r="B696" i="2"/>
  <c r="B692" i="2"/>
  <c r="B688" i="2"/>
  <c r="B684" i="2"/>
  <c r="B680" i="2"/>
  <c r="B676" i="2"/>
  <c r="B672" i="2"/>
  <c r="B668" i="2"/>
  <c r="B664" i="2"/>
  <c r="B660" i="2"/>
  <c r="B656" i="2"/>
  <c r="B652" i="2"/>
  <c r="B648" i="2"/>
  <c r="B644" i="2"/>
  <c r="B640" i="2"/>
  <c r="B636" i="2"/>
  <c r="B2316" i="2"/>
  <c r="B2188" i="2"/>
  <c r="B2060" i="2"/>
  <c r="B2033" i="2"/>
  <c r="B1964" i="2"/>
  <c r="B1932" i="2"/>
  <c r="B1888" i="2"/>
  <c r="B1857" i="2"/>
  <c r="B1855" i="2"/>
  <c r="B1824" i="2"/>
  <c r="B1793" i="2"/>
  <c r="B1790" i="2"/>
  <c r="B1774" i="2"/>
  <c r="B1758" i="2"/>
  <c r="B1742" i="2"/>
  <c r="B1726" i="2"/>
  <c r="B1710" i="2"/>
  <c r="B1694" i="2"/>
  <c r="B1678" i="2"/>
  <c r="B1662" i="2"/>
  <c r="B1646" i="2"/>
  <c r="B1630" i="2"/>
  <c r="B1614" i="2"/>
  <c r="B1598" i="2"/>
  <c r="B1582" i="2"/>
  <c r="B1566" i="2"/>
  <c r="B1550" i="2"/>
  <c r="B1534" i="2"/>
  <c r="B1524" i="2"/>
  <c r="B1516" i="2"/>
  <c r="B1508" i="2"/>
  <c r="B1500" i="2"/>
  <c r="B1493" i="2"/>
  <c r="B1489" i="2"/>
  <c r="B1485" i="2"/>
  <c r="B1481" i="2"/>
  <c r="B1477" i="2"/>
  <c r="B1473" i="2"/>
  <c r="B1469" i="2"/>
  <c r="B1465" i="2"/>
  <c r="B1461" i="2"/>
  <c r="B1457" i="2"/>
  <c r="B1453" i="2"/>
  <c r="B1449" i="2"/>
  <c r="B1445" i="2"/>
  <c r="B1441" i="2"/>
  <c r="B1437" i="2"/>
  <c r="B1433" i="2"/>
  <c r="B1429" i="2"/>
  <c r="B1425" i="2"/>
  <c r="B1421" i="2"/>
  <c r="B1417" i="2"/>
  <c r="B1413" i="2"/>
  <c r="B1409" i="2"/>
  <c r="B1405" i="2"/>
  <c r="B1401" i="2"/>
  <c r="B1397" i="2"/>
  <c r="B1393" i="2"/>
  <c r="B1389" i="2"/>
  <c r="B1385" i="2"/>
  <c r="B1381" i="2"/>
  <c r="B1377" i="2"/>
  <c r="B1373" i="2"/>
  <c r="B1369" i="2"/>
  <c r="B1365" i="2"/>
  <c r="B1361" i="2"/>
  <c r="B1357" i="2"/>
  <c r="B1353" i="2"/>
  <c r="B1349" i="2"/>
  <c r="B1345" i="2"/>
  <c r="B1341" i="2"/>
  <c r="B1337" i="2"/>
  <c r="B1333" i="2"/>
  <c r="B1329" i="2"/>
  <c r="B1325" i="2"/>
  <c r="B1321" i="2"/>
  <c r="B1317" i="2"/>
  <c r="B1313" i="2"/>
  <c r="B1309" i="2"/>
  <c r="B1305" i="2"/>
  <c r="B1301" i="2"/>
  <c r="B1297" i="2"/>
  <c r="B1293" i="2"/>
  <c r="B1289" i="2"/>
  <c r="B1285" i="2"/>
  <c r="B1281" i="2"/>
  <c r="B1277" i="2"/>
  <c r="B1273" i="2"/>
  <c r="B1269" i="2"/>
  <c r="B1265" i="2"/>
  <c r="B1261" i="2"/>
  <c r="B1257" i="2"/>
  <c r="B1253" i="2"/>
  <c r="B1249" i="2"/>
  <c r="B1245" i="2"/>
  <c r="B1241" i="2"/>
  <c r="B1237" i="2"/>
  <c r="B1233" i="2"/>
  <c r="B1229" i="2"/>
  <c r="B1225" i="2"/>
  <c r="B1221" i="2"/>
  <c r="B1217" i="2"/>
  <c r="B1213" i="2"/>
  <c r="B1209" i="2"/>
  <c r="B1205" i="2"/>
  <c r="B1201" i="2"/>
  <c r="B1197" i="2"/>
  <c r="B1193" i="2"/>
  <c r="B1189" i="2"/>
  <c r="B1185" i="2"/>
  <c r="B1181" i="2"/>
  <c r="B1177" i="2"/>
  <c r="B1173" i="2"/>
  <c r="B1169" i="2"/>
  <c r="B1165" i="2"/>
  <c r="B1161" i="2"/>
  <c r="B1157" i="2"/>
  <c r="B1153" i="2"/>
  <c r="B1149" i="2"/>
  <c r="B1145" i="2"/>
  <c r="B1141" i="2"/>
  <c r="B1137" i="2"/>
  <c r="B1133" i="2"/>
  <c r="B1129" i="2"/>
  <c r="B1125" i="2"/>
  <c r="B1121" i="2"/>
  <c r="B1117" i="2"/>
  <c r="B1113" i="2"/>
  <c r="B1109" i="2"/>
  <c r="B1105" i="2"/>
  <c r="B1101" i="2"/>
  <c r="B1097" i="2"/>
  <c r="B1093" i="2"/>
  <c r="B1089" i="2"/>
  <c r="B1085" i="2"/>
  <c r="B1081" i="2"/>
  <c r="B1077" i="2"/>
  <c r="B1073" i="2"/>
  <c r="B1069" i="2"/>
  <c r="B1065" i="2"/>
  <c r="B1061" i="2"/>
  <c r="B1057" i="2"/>
  <c r="B1053" i="2"/>
  <c r="B1049" i="2"/>
  <c r="B1045" i="2"/>
  <c r="B1041" i="2"/>
  <c r="B1037" i="2"/>
  <c r="B1033" i="2"/>
  <c r="B1029" i="2"/>
  <c r="B1025" i="2"/>
  <c r="B1021" i="2"/>
  <c r="B1017" i="2"/>
  <c r="B1013" i="2"/>
  <c r="B1009" i="2"/>
  <c r="B1005" i="2"/>
  <c r="B1001" i="2"/>
  <c r="B997" i="2"/>
  <c r="B993" i="2"/>
  <c r="B989" i="2"/>
  <c r="B985" i="2"/>
  <c r="B981" i="2"/>
  <c r="B977" i="2"/>
  <c r="B973" i="2"/>
  <c r="B969" i="2"/>
  <c r="B965" i="2"/>
  <c r="B961" i="2"/>
  <c r="B957" i="2"/>
  <c r="B953" i="2"/>
  <c r="B949" i="2"/>
  <c r="B945" i="2"/>
  <c r="B941" i="2"/>
  <c r="B937" i="2"/>
  <c r="B933" i="2"/>
  <c r="B929" i="2"/>
  <c r="B925" i="2"/>
  <c r="B921" i="2"/>
  <c r="B917" i="2"/>
  <c r="B913" i="2"/>
  <c r="B909" i="2"/>
  <c r="B905" i="2"/>
  <c r="B901" i="2"/>
  <c r="B897" i="2"/>
  <c r="B893" i="2"/>
  <c r="B889" i="2"/>
  <c r="B885" i="2"/>
  <c r="B881" i="2"/>
  <c r="B877" i="2"/>
  <c r="B873" i="2"/>
  <c r="B869" i="2"/>
  <c r="B865" i="2"/>
  <c r="B861" i="2"/>
  <c r="B857" i="2"/>
  <c r="B853" i="2"/>
  <c r="B849" i="2"/>
  <c r="B845" i="2"/>
  <c r="B841" i="2"/>
  <c r="B837" i="2"/>
  <c r="B833" i="2"/>
  <c r="B829" i="2"/>
  <c r="B825" i="2"/>
  <c r="B821" i="2"/>
  <c r="B817" i="2"/>
  <c r="B813" i="2"/>
  <c r="B809" i="2"/>
  <c r="B805" i="2"/>
  <c r="B801" i="2"/>
  <c r="B797" i="2"/>
  <c r="B793" i="2"/>
  <c r="B789" i="2"/>
  <c r="B785" i="2"/>
  <c r="B781" i="2"/>
  <c r="B777" i="2"/>
  <c r="B773" i="2"/>
  <c r="B769" i="2"/>
  <c r="B765" i="2"/>
  <c r="B761" i="2"/>
  <c r="B757" i="2"/>
  <c r="B753" i="2"/>
  <c r="B749" i="2"/>
  <c r="B745" i="2"/>
  <c r="B741" i="2"/>
  <c r="B737" i="2"/>
  <c r="B733" i="2"/>
  <c r="B729" i="2"/>
  <c r="B725" i="2"/>
  <c r="B721" i="2"/>
  <c r="B717" i="2"/>
  <c r="B713" i="2"/>
  <c r="B709" i="2"/>
  <c r="B705" i="2"/>
  <c r="B701" i="2"/>
  <c r="B697" i="2"/>
  <c r="B693" i="2"/>
  <c r="B689" i="2"/>
  <c r="B2702" i="2"/>
  <c r="B2425" i="2"/>
  <c r="B2348" i="2"/>
  <c r="B2220" i="2"/>
  <c r="B2092" i="2"/>
  <c r="B2049" i="2"/>
  <c r="B1972" i="2"/>
  <c r="B1940" i="2"/>
  <c r="B1905" i="2"/>
  <c r="B1903" i="2"/>
  <c r="B1872" i="2"/>
  <c r="B1841" i="2"/>
  <c r="B1839" i="2"/>
  <c r="B1808" i="2"/>
  <c r="B1778" i="2"/>
  <c r="B1762" i="2"/>
  <c r="B1746" i="2"/>
  <c r="B1730" i="2"/>
  <c r="B1714" i="2"/>
  <c r="B1698" i="2"/>
  <c r="B1682" i="2"/>
  <c r="B1666" i="2"/>
  <c r="B1650" i="2"/>
  <c r="B1634" i="2"/>
  <c r="B1618" i="2"/>
  <c r="B1602" i="2"/>
  <c r="B1586" i="2"/>
  <c r="B1570" i="2"/>
  <c r="B1554" i="2"/>
  <c r="B1538" i="2"/>
  <c r="B1526" i="2"/>
  <c r="B1518" i="2"/>
  <c r="B1510" i="2"/>
  <c r="B1502" i="2"/>
  <c r="B1494" i="2"/>
  <c r="B1490" i="2"/>
  <c r="B1486" i="2"/>
  <c r="B1482" i="2"/>
  <c r="B1478" i="2"/>
  <c r="B1474" i="2"/>
  <c r="B1470" i="2"/>
  <c r="B1466" i="2"/>
  <c r="B1462" i="2"/>
  <c r="B1458" i="2"/>
  <c r="B1454" i="2"/>
  <c r="B1450" i="2"/>
  <c r="B1446" i="2"/>
  <c r="B1442" i="2"/>
  <c r="B1438" i="2"/>
  <c r="B1434" i="2"/>
  <c r="B1430" i="2"/>
  <c r="B1426" i="2"/>
  <c r="B1422" i="2"/>
  <c r="B1418" i="2"/>
  <c r="B1414" i="2"/>
  <c r="B1410" i="2"/>
  <c r="B1406" i="2"/>
  <c r="B1402" i="2"/>
  <c r="B1398" i="2"/>
  <c r="B1394" i="2"/>
  <c r="B1390" i="2"/>
  <c r="B1386" i="2"/>
  <c r="B1382" i="2"/>
  <c r="B1378" i="2"/>
  <c r="B1374" i="2"/>
  <c r="B1370" i="2"/>
  <c r="B1366" i="2"/>
  <c r="B1362" i="2"/>
  <c r="B1358" i="2"/>
  <c r="B1354" i="2"/>
  <c r="B1350" i="2"/>
  <c r="B1346" i="2"/>
  <c r="B1342" i="2"/>
  <c r="B1338" i="2"/>
  <c r="B1334" i="2"/>
  <c r="B1330" i="2"/>
  <c r="B1326" i="2"/>
  <c r="B1322" i="2"/>
  <c r="B1318" i="2"/>
  <c r="B1314" i="2"/>
  <c r="B1310" i="2"/>
  <c r="B1306" i="2"/>
  <c r="B1302" i="2"/>
  <c r="B1298" i="2"/>
  <c r="B1294" i="2"/>
  <c r="B1290" i="2"/>
  <c r="B1286" i="2"/>
  <c r="B1282" i="2"/>
  <c r="B1278" i="2"/>
  <c r="B1274" i="2"/>
  <c r="B1270" i="2"/>
  <c r="B1266" i="2"/>
  <c r="B1262" i="2"/>
  <c r="B1258" i="2"/>
  <c r="B1254" i="2"/>
  <c r="B1250" i="2"/>
  <c r="B1246" i="2"/>
  <c r="B1242" i="2"/>
  <c r="B1238" i="2"/>
  <c r="B1234" i="2"/>
  <c r="B1230" i="2"/>
  <c r="B1226" i="2"/>
  <c r="B1222" i="2"/>
  <c r="B1218" i="2"/>
  <c r="B1214" i="2"/>
  <c r="B1210" i="2"/>
  <c r="B1206" i="2"/>
  <c r="B1202" i="2"/>
  <c r="B1198" i="2"/>
  <c r="B1194" i="2"/>
  <c r="B1190" i="2"/>
  <c r="B1186" i="2"/>
  <c r="B1182" i="2"/>
  <c r="B1178" i="2"/>
  <c r="B1174" i="2"/>
  <c r="B1170" i="2"/>
  <c r="B1166" i="2"/>
  <c r="B1162" i="2"/>
  <c r="B1158" i="2"/>
  <c r="B1154" i="2"/>
  <c r="B1150" i="2"/>
  <c r="B1146" i="2"/>
  <c r="B1142" i="2"/>
  <c r="B1138" i="2"/>
  <c r="B1134" i="2"/>
  <c r="B1130" i="2"/>
  <c r="B1126" i="2"/>
  <c r="B1122" i="2"/>
  <c r="B1118" i="2"/>
  <c r="B1114" i="2"/>
  <c r="B1110" i="2"/>
  <c r="B1106" i="2"/>
  <c r="B1102" i="2"/>
  <c r="B1098" i="2"/>
  <c r="B1094" i="2"/>
  <c r="B1090" i="2"/>
  <c r="B1086" i="2"/>
  <c r="B1082" i="2"/>
  <c r="B1078" i="2"/>
  <c r="B1074" i="2"/>
  <c r="B1070" i="2"/>
  <c r="B1066" i="2"/>
  <c r="B1062" i="2"/>
  <c r="B1058" i="2"/>
  <c r="B1054" i="2"/>
  <c r="B1050" i="2"/>
  <c r="B1046" i="2"/>
  <c r="B1042" i="2"/>
  <c r="B1038" i="2"/>
  <c r="B1034" i="2"/>
  <c r="B1030" i="2"/>
  <c r="B1026" i="2"/>
  <c r="B1022" i="2"/>
  <c r="B1018" i="2"/>
  <c r="B1014" i="2"/>
  <c r="B1010" i="2"/>
  <c r="B1006" i="2"/>
  <c r="B1002" i="2"/>
  <c r="B998" i="2"/>
  <c r="B994" i="2"/>
  <c r="B990" i="2"/>
  <c r="B986" i="2"/>
  <c r="B982" i="2"/>
  <c r="B978" i="2"/>
  <c r="B974" i="2"/>
  <c r="B970" i="2"/>
  <c r="B966" i="2"/>
  <c r="B962" i="2"/>
  <c r="B958" i="2"/>
  <c r="B954" i="2"/>
  <c r="B950" i="2"/>
  <c r="B946" i="2"/>
  <c r="B942" i="2"/>
  <c r="B938" i="2"/>
  <c r="B934" i="2"/>
  <c r="B930" i="2"/>
  <c r="B926" i="2"/>
  <c r="B922" i="2"/>
  <c r="B918" i="2"/>
  <c r="B914" i="2"/>
  <c r="B910" i="2"/>
  <c r="B906" i="2"/>
  <c r="B902" i="2"/>
  <c r="B898" i="2"/>
  <c r="B894" i="2"/>
  <c r="B890" i="2"/>
  <c r="B886" i="2"/>
  <c r="B882" i="2"/>
  <c r="B878" i="2"/>
  <c r="B874" i="2"/>
  <c r="B870" i="2"/>
  <c r="B866" i="2"/>
  <c r="B862" i="2"/>
  <c r="B858" i="2"/>
  <c r="B854" i="2"/>
  <c r="B850" i="2"/>
  <c r="B846" i="2"/>
  <c r="B842" i="2"/>
  <c r="B838" i="2"/>
  <c r="B834" i="2"/>
  <c r="B830" i="2"/>
  <c r="B826" i="2"/>
  <c r="B822" i="2"/>
  <c r="B818" i="2"/>
  <c r="B814" i="2"/>
  <c r="B810" i="2"/>
  <c r="B806" i="2"/>
  <c r="B802" i="2"/>
  <c r="B798" i="2"/>
  <c r="B794" i="2"/>
  <c r="B790" i="2"/>
  <c r="B786" i="2"/>
  <c r="B782" i="2"/>
  <c r="B778" i="2"/>
  <c r="B774" i="2"/>
  <c r="B770" i="2"/>
  <c r="B766" i="2"/>
  <c r="B762" i="2"/>
  <c r="B758" i="2"/>
  <c r="B754" i="2"/>
  <c r="B750" i="2"/>
  <c r="B746" i="2"/>
  <c r="B742" i="2"/>
  <c r="B738" i="2"/>
  <c r="B734" i="2"/>
  <c r="B730" i="2"/>
  <c r="B726" i="2"/>
  <c r="B722" i="2"/>
  <c r="B718" i="2"/>
  <c r="B714" i="2"/>
  <c r="B710" i="2"/>
  <c r="B706" i="2"/>
  <c r="B702" i="2"/>
  <c r="B698" i="2"/>
  <c r="B694" i="2"/>
  <c r="B690" i="2"/>
  <c r="B686" i="2"/>
  <c r="B682" i="2"/>
  <c r="B678" i="2"/>
  <c r="B674" i="2"/>
  <c r="B670" i="2"/>
  <c r="B666" i="2"/>
  <c r="B662" i="2"/>
  <c r="B658" i="2"/>
  <c r="B654" i="2"/>
  <c r="B650" i="2"/>
  <c r="B646" i="2"/>
  <c r="B642" i="2"/>
  <c r="B638" i="2"/>
  <c r="B634" i="2"/>
  <c r="B2380" i="2"/>
  <c r="B1916" i="2"/>
  <c r="B1750" i="2"/>
  <c r="B1686" i="2"/>
  <c r="B1622" i="2"/>
  <c r="B1558" i="2"/>
  <c r="B1512" i="2"/>
  <c r="B1491" i="2"/>
  <c r="B1475" i="2"/>
  <c r="B1459" i="2"/>
  <c r="B1443" i="2"/>
  <c r="B1427" i="2"/>
  <c r="B1411" i="2"/>
  <c r="B1395" i="2"/>
  <c r="B1379" i="2"/>
  <c r="B1363" i="2"/>
  <c r="B1347" i="2"/>
  <c r="B1331" i="2"/>
  <c r="B1315" i="2"/>
  <c r="B1299" i="2"/>
  <c r="B1283" i="2"/>
  <c r="B1267" i="2"/>
  <c r="B1251" i="2"/>
  <c r="B1235" i="2"/>
  <c r="B1219" i="2"/>
  <c r="B1203" i="2"/>
  <c r="B1187" i="2"/>
  <c r="B1171" i="2"/>
  <c r="B1155" i="2"/>
  <c r="B1139" i="2"/>
  <c r="B1123" i="2"/>
  <c r="B1107" i="2"/>
  <c r="B1091" i="2"/>
  <c r="B1075" i="2"/>
  <c r="B1059" i="2"/>
  <c r="B1043" i="2"/>
  <c r="B1027" i="2"/>
  <c r="B1011" i="2"/>
  <c r="B995" i="2"/>
  <c r="B979" i="2"/>
  <c r="B963" i="2"/>
  <c r="B947" i="2"/>
  <c r="B931" i="2"/>
  <c r="B915" i="2"/>
  <c r="B899" i="2"/>
  <c r="B883" i="2"/>
  <c r="B867" i="2"/>
  <c r="B851" i="2"/>
  <c r="B835" i="2"/>
  <c r="B819" i="2"/>
  <c r="B803" i="2"/>
  <c r="B787" i="2"/>
  <c r="B771" i="2"/>
  <c r="B755" i="2"/>
  <c r="B739" i="2"/>
  <c r="B723" i="2"/>
  <c r="B707" i="2"/>
  <c r="B691" i="2"/>
  <c r="B683" i="2"/>
  <c r="B675" i="2"/>
  <c r="B667" i="2"/>
  <c r="B659" i="2"/>
  <c r="B651" i="2"/>
  <c r="B643" i="2"/>
  <c r="B635" i="2"/>
  <c r="B631" i="2"/>
  <c r="B627" i="2"/>
  <c r="B623" i="2"/>
  <c r="B619" i="2"/>
  <c r="B615" i="2"/>
  <c r="B611" i="2"/>
  <c r="B607" i="2"/>
  <c r="B603" i="2"/>
  <c r="B599" i="2"/>
  <c r="B595" i="2"/>
  <c r="B591" i="2"/>
  <c r="B587" i="2"/>
  <c r="B583" i="2"/>
  <c r="B579" i="2"/>
  <c r="B575" i="2"/>
  <c r="B571" i="2"/>
  <c r="B567" i="2"/>
  <c r="B563" i="2"/>
  <c r="B559" i="2"/>
  <c r="B555" i="2"/>
  <c r="B551" i="2"/>
  <c r="B547" i="2"/>
  <c r="B543" i="2"/>
  <c r="B539" i="2"/>
  <c r="B535" i="2"/>
  <c r="B531" i="2"/>
  <c r="B527" i="2"/>
  <c r="B523" i="2"/>
  <c r="B519" i="2"/>
  <c r="B515" i="2"/>
  <c r="B511" i="2"/>
  <c r="B507" i="2"/>
  <c r="B503" i="2"/>
  <c r="B499" i="2"/>
  <c r="B495" i="2"/>
  <c r="B491" i="2"/>
  <c r="B487" i="2"/>
  <c r="B483" i="2"/>
  <c r="B479" i="2"/>
  <c r="B475" i="2"/>
  <c r="B471" i="2"/>
  <c r="B467" i="2"/>
  <c r="B463" i="2"/>
  <c r="B459" i="2"/>
  <c r="B455" i="2"/>
  <c r="B451" i="2"/>
  <c r="B447" i="2"/>
  <c r="B443" i="2"/>
  <c r="B439" i="2"/>
  <c r="B435" i="2"/>
  <c r="B431" i="2"/>
  <c r="B427" i="2"/>
  <c r="B423" i="2"/>
  <c r="B419" i="2"/>
  <c r="B415" i="2"/>
  <c r="B411" i="2"/>
  <c r="B407" i="2"/>
  <c r="B403" i="2"/>
  <c r="B399" i="2"/>
  <c r="B395" i="2"/>
  <c r="B391" i="2"/>
  <c r="B387" i="2"/>
  <c r="B383" i="2"/>
  <c r="B379" i="2"/>
  <c r="B375" i="2"/>
  <c r="B371" i="2"/>
  <c r="B367" i="2"/>
  <c r="B363" i="2"/>
  <c r="B359" i="2"/>
  <c r="B355" i="2"/>
  <c r="B351" i="2"/>
  <c r="B347" i="2"/>
  <c r="B343" i="2"/>
  <c r="B339" i="2"/>
  <c r="B335" i="2"/>
  <c r="B331" i="2"/>
  <c r="B327" i="2"/>
  <c r="B323" i="2"/>
  <c r="B319" i="2"/>
  <c r="B315" i="2"/>
  <c r="B311" i="2"/>
  <c r="B307" i="2"/>
  <c r="B303" i="2"/>
  <c r="B299" i="2"/>
  <c r="B295" i="2"/>
  <c r="B291" i="2"/>
  <c r="B287" i="2"/>
  <c r="B283" i="2"/>
  <c r="B279" i="2"/>
  <c r="B275" i="2"/>
  <c r="B271" i="2"/>
  <c r="B267" i="2"/>
  <c r="B263" i="2"/>
  <c r="B259" i="2"/>
  <c r="B255" i="2"/>
  <c r="B251" i="2"/>
  <c r="B247" i="2"/>
  <c r="B243" i="2"/>
  <c r="B239" i="2"/>
  <c r="B235" i="2"/>
  <c r="B231" i="2"/>
  <c r="B227" i="2"/>
  <c r="B223" i="2"/>
  <c r="B219" i="2"/>
  <c r="B215" i="2"/>
  <c r="B211" i="2"/>
  <c r="B207" i="2"/>
  <c r="B203" i="2"/>
  <c r="B199" i="2"/>
  <c r="B195" i="2"/>
  <c r="B191" i="2"/>
  <c r="B187" i="2"/>
  <c r="B183" i="2"/>
  <c r="B179" i="2"/>
  <c r="B175" i="2"/>
  <c r="B171" i="2"/>
  <c r="B167" i="2"/>
  <c r="B163" i="2"/>
  <c r="B159" i="2"/>
  <c r="B155" i="2"/>
  <c r="B151" i="2"/>
  <c r="B147" i="2"/>
  <c r="B143" i="2"/>
  <c r="B139" i="2"/>
  <c r="B135" i="2"/>
  <c r="B131" i="2"/>
  <c r="B127" i="2"/>
  <c r="B123" i="2"/>
  <c r="B119" i="2"/>
  <c r="B115" i="2"/>
  <c r="B111" i="2"/>
  <c r="B107" i="2"/>
  <c r="B103" i="2"/>
  <c r="B99" i="2"/>
  <c r="B95" i="2"/>
  <c r="B91" i="2"/>
  <c r="B87" i="2"/>
  <c r="B83" i="2"/>
  <c r="B79" i="2"/>
  <c r="B75" i="2"/>
  <c r="B71" i="2"/>
  <c r="B67" i="2"/>
  <c r="B63" i="2"/>
  <c r="B59" i="2"/>
  <c r="B55" i="2"/>
  <c r="B51" i="2"/>
  <c r="B47" i="2"/>
  <c r="B43" i="2"/>
  <c r="B39" i="2"/>
  <c r="B35" i="2"/>
  <c r="B31" i="2"/>
  <c r="B27" i="2"/>
  <c r="B23" i="2"/>
  <c r="B19" i="2"/>
  <c r="B15" i="2"/>
  <c r="B11" i="2"/>
  <c r="B9" i="2"/>
  <c r="B84" i="2"/>
  <c r="B80" i="2"/>
  <c r="B76" i="2"/>
  <c r="B68" i="2"/>
  <c r="B56" i="2"/>
  <c r="B48" i="2"/>
  <c r="B40" i="2"/>
  <c r="B32" i="2"/>
  <c r="B28" i="2"/>
  <c r="B24" i="2"/>
  <c r="B16" i="2"/>
  <c r="B12" i="2"/>
  <c r="B1734" i="2"/>
  <c r="B1542" i="2"/>
  <c r="B1471" i="2"/>
  <c r="B1455" i="2"/>
  <c r="B1391" i="2"/>
  <c r="B1343" i="2"/>
  <c r="B1327" i="2"/>
  <c r="B1279" i="2"/>
  <c r="B1263" i="2"/>
  <c r="B1247" i="2"/>
  <c r="B1231" i="2"/>
  <c r="B1151" i="2"/>
  <c r="B1135" i="2"/>
  <c r="B1119" i="2"/>
  <c r="B1103" i="2"/>
  <c r="B1087" i="2"/>
  <c r="B1071" i="2"/>
  <c r="B1039" i="2"/>
  <c r="B975" i="2"/>
  <c r="B895" i="2"/>
  <c r="B799" i="2"/>
  <c r="B783" i="2"/>
  <c r="B767" i="2"/>
  <c r="B751" i="2"/>
  <c r="B626" i="2"/>
  <c r="B622" i="2"/>
  <c r="B598" i="2"/>
  <c r="B594" i="2"/>
  <c r="B586" i="2"/>
  <c r="B578" i="2"/>
  <c r="B574" i="2"/>
  <c r="B542" i="2"/>
  <c r="B530" i="2"/>
  <c r="B510" i="2"/>
  <c r="B498" i="2"/>
  <c r="B482" i="2"/>
  <c r="B478" i="2"/>
  <c r="B474" i="2"/>
  <c r="B470" i="2"/>
  <c r="B466" i="2"/>
  <c r="B442" i="2"/>
  <c r="B434" i="2"/>
  <c r="B426" i="2"/>
  <c r="B422" i="2"/>
  <c r="B402" i="2"/>
  <c r="B398" i="2"/>
  <c r="B394" i="2"/>
  <c r="B382" i="2"/>
  <c r="B378" i="2"/>
  <c r="B354" i="2"/>
  <c r="B350" i="2"/>
  <c r="B338" i="2"/>
  <c r="B334" i="2"/>
  <c r="B322" i="2"/>
  <c r="B302" i="2"/>
  <c r="B290" i="2"/>
  <c r="B282" i="2"/>
  <c r="B278" i="2"/>
  <c r="B270" i="2"/>
  <c r="B266" i="2"/>
  <c r="B262" i="2"/>
  <c r="B2001" i="2"/>
  <c r="B1948" i="2"/>
  <c r="B1889" i="2"/>
  <c r="B1766" i="2"/>
  <c r="B1702" i="2"/>
  <c r="B1638" i="2"/>
  <c r="B1574" i="2"/>
  <c r="B1520" i="2"/>
  <c r="B1479" i="2"/>
  <c r="B1463" i="2"/>
  <c r="B1447" i="2"/>
  <c r="B1431" i="2"/>
  <c r="B1415" i="2"/>
  <c r="B1399" i="2"/>
  <c r="B1383" i="2"/>
  <c r="B1367" i="2"/>
  <c r="B1351" i="2"/>
  <c r="B1335" i="2"/>
  <c r="B1319" i="2"/>
  <c r="B1303" i="2"/>
  <c r="B1287" i="2"/>
  <c r="B1271" i="2"/>
  <c r="B1255" i="2"/>
  <c r="B1239" i="2"/>
  <c r="B1223" i="2"/>
  <c r="B1207" i="2"/>
  <c r="B1191" i="2"/>
  <c r="B1175" i="2"/>
  <c r="B1159" i="2"/>
  <c r="B1143" i="2"/>
  <c r="B1127" i="2"/>
  <c r="B1111" i="2"/>
  <c r="B1095" i="2"/>
  <c r="B1079" i="2"/>
  <c r="B1063" i="2"/>
  <c r="B1047" i="2"/>
  <c r="B1031" i="2"/>
  <c r="B1015" i="2"/>
  <c r="B999" i="2"/>
  <c r="B983" i="2"/>
  <c r="B967" i="2"/>
  <c r="B951" i="2"/>
  <c r="B935" i="2"/>
  <c r="B919" i="2"/>
  <c r="B903" i="2"/>
  <c r="B887" i="2"/>
  <c r="B871" i="2"/>
  <c r="B855" i="2"/>
  <c r="B839" i="2"/>
  <c r="B823" i="2"/>
  <c r="B807" i="2"/>
  <c r="B791" i="2"/>
  <c r="B775" i="2"/>
  <c r="B759" i="2"/>
  <c r="B743" i="2"/>
  <c r="B727" i="2"/>
  <c r="B711" i="2"/>
  <c r="B695" i="2"/>
  <c r="B685" i="2"/>
  <c r="B677" i="2"/>
  <c r="B669" i="2"/>
  <c r="B661" i="2"/>
  <c r="B653" i="2"/>
  <c r="B645" i="2"/>
  <c r="B637" i="2"/>
  <c r="B632" i="2"/>
  <c r="B628" i="2"/>
  <c r="B624" i="2"/>
  <c r="B620" i="2"/>
  <c r="B616" i="2"/>
  <c r="B612" i="2"/>
  <c r="B608" i="2"/>
  <c r="B604" i="2"/>
  <c r="B600" i="2"/>
  <c r="B596" i="2"/>
  <c r="B592" i="2"/>
  <c r="B588" i="2"/>
  <c r="B584" i="2"/>
  <c r="B580" i="2"/>
  <c r="B576" i="2"/>
  <c r="B572" i="2"/>
  <c r="B568" i="2"/>
  <c r="B564" i="2"/>
  <c r="B560" i="2"/>
  <c r="B556" i="2"/>
  <c r="B552" i="2"/>
  <c r="B548" i="2"/>
  <c r="B544" i="2"/>
  <c r="B540" i="2"/>
  <c r="B536" i="2"/>
  <c r="B532" i="2"/>
  <c r="B528" i="2"/>
  <c r="B524" i="2"/>
  <c r="B520" i="2"/>
  <c r="B516" i="2"/>
  <c r="B512" i="2"/>
  <c r="B508" i="2"/>
  <c r="B504" i="2"/>
  <c r="B500" i="2"/>
  <c r="B496" i="2"/>
  <c r="B492" i="2"/>
  <c r="B488" i="2"/>
  <c r="B484" i="2"/>
  <c r="B480" i="2"/>
  <c r="B476" i="2"/>
  <c r="B472" i="2"/>
  <c r="B468" i="2"/>
  <c r="B464" i="2"/>
  <c r="B460" i="2"/>
  <c r="B456" i="2"/>
  <c r="B452" i="2"/>
  <c r="B448" i="2"/>
  <c r="B444" i="2"/>
  <c r="B440" i="2"/>
  <c r="B436" i="2"/>
  <c r="B432" i="2"/>
  <c r="B428" i="2"/>
  <c r="B424" i="2"/>
  <c r="B420" i="2"/>
  <c r="B416" i="2"/>
  <c r="B412" i="2"/>
  <c r="B408" i="2"/>
  <c r="B404" i="2"/>
  <c r="B400" i="2"/>
  <c r="B396" i="2"/>
  <c r="B392" i="2"/>
  <c r="B388" i="2"/>
  <c r="B384" i="2"/>
  <c r="B380" i="2"/>
  <c r="B376" i="2"/>
  <c r="B372" i="2"/>
  <c r="B368" i="2"/>
  <c r="B364" i="2"/>
  <c r="B360" i="2"/>
  <c r="B356" i="2"/>
  <c r="B352" i="2"/>
  <c r="B348" i="2"/>
  <c r="B344" i="2"/>
  <c r="B340" i="2"/>
  <c r="B336" i="2"/>
  <c r="B332" i="2"/>
  <c r="B328" i="2"/>
  <c r="B324" i="2"/>
  <c r="B320" i="2"/>
  <c r="B316" i="2"/>
  <c r="B312" i="2"/>
  <c r="B308" i="2"/>
  <c r="B304" i="2"/>
  <c r="B300" i="2"/>
  <c r="B296" i="2"/>
  <c r="B292" i="2"/>
  <c r="B288" i="2"/>
  <c r="B284" i="2"/>
  <c r="B280" i="2"/>
  <c r="B276" i="2"/>
  <c r="B272" i="2"/>
  <c r="B268" i="2"/>
  <c r="B264" i="2"/>
  <c r="B260" i="2"/>
  <c r="B256" i="2"/>
  <c r="B252" i="2"/>
  <c r="B248" i="2"/>
  <c r="B244" i="2"/>
  <c r="B240" i="2"/>
  <c r="B236" i="2"/>
  <c r="B232" i="2"/>
  <c r="B228" i="2"/>
  <c r="B224" i="2"/>
  <c r="B220" i="2"/>
  <c r="B216" i="2"/>
  <c r="B212" i="2"/>
  <c r="B208" i="2"/>
  <c r="B204" i="2"/>
  <c r="B200" i="2"/>
  <c r="B196" i="2"/>
  <c r="B192" i="2"/>
  <c r="B188" i="2"/>
  <c r="B184" i="2"/>
  <c r="B180" i="2"/>
  <c r="B176" i="2"/>
  <c r="B172" i="2"/>
  <c r="B168" i="2"/>
  <c r="B164" i="2"/>
  <c r="B160" i="2"/>
  <c r="B156" i="2"/>
  <c r="B152" i="2"/>
  <c r="B148" i="2"/>
  <c r="B144" i="2"/>
  <c r="B140" i="2"/>
  <c r="B136" i="2"/>
  <c r="B132" i="2"/>
  <c r="B128" i="2"/>
  <c r="B124" i="2"/>
  <c r="B120" i="2"/>
  <c r="B116" i="2"/>
  <c r="B112" i="2"/>
  <c r="B108" i="2"/>
  <c r="B104" i="2"/>
  <c r="B100" i="2"/>
  <c r="B96" i="2"/>
  <c r="B92" i="2"/>
  <c r="B88" i="2"/>
  <c r="B72" i="2"/>
  <c r="B64" i="2"/>
  <c r="B60" i="2"/>
  <c r="B52" i="2"/>
  <c r="B44" i="2"/>
  <c r="B36" i="2"/>
  <c r="B20" i="2"/>
  <c r="B1215" i="2"/>
  <c r="B1055" i="2"/>
  <c r="B1023" i="2"/>
  <c r="B1007" i="2"/>
  <c r="B991" i="2"/>
  <c r="B927" i="2"/>
  <c r="B815" i="2"/>
  <c r="B735" i="2"/>
  <c r="B719" i="2"/>
  <c r="B703" i="2"/>
  <c r="B665" i="2"/>
  <c r="B657" i="2"/>
  <c r="B630" i="2"/>
  <c r="B614" i="2"/>
  <c r="B582" i="2"/>
  <c r="B554" i="2"/>
  <c r="B522" i="2"/>
  <c r="B518" i="2"/>
  <c r="B506" i="2"/>
  <c r="B502" i="2"/>
  <c r="B494" i="2"/>
  <c r="B490" i="2"/>
  <c r="B454" i="2"/>
  <c r="B414" i="2"/>
  <c r="B406" i="2"/>
  <c r="B390" i="2"/>
  <c r="B370" i="2"/>
  <c r="B366" i="2"/>
  <c r="B346" i="2"/>
  <c r="B342" i="2"/>
  <c r="B286" i="2"/>
  <c r="B258" i="2"/>
  <c r="B250" i="2"/>
  <c r="B246" i="2"/>
  <c r="B2124" i="2"/>
  <c r="B1980" i="2"/>
  <c r="B1887" i="2"/>
  <c r="B1856" i="2"/>
  <c r="B1825" i="2"/>
  <c r="B1782" i="2"/>
  <c r="B1718" i="2"/>
  <c r="B1654" i="2"/>
  <c r="B1590" i="2"/>
  <c r="B1528" i="2"/>
  <c r="B1496" i="2"/>
  <c r="B1483" i="2"/>
  <c r="B1467" i="2"/>
  <c r="B1451" i="2"/>
  <c r="B1435" i="2"/>
  <c r="B1419" i="2"/>
  <c r="B1403" i="2"/>
  <c r="B1387" i="2"/>
  <c r="B1371" i="2"/>
  <c r="B1355" i="2"/>
  <c r="B1339" i="2"/>
  <c r="B1323" i="2"/>
  <c r="B1307" i="2"/>
  <c r="B1291" i="2"/>
  <c r="B1275" i="2"/>
  <c r="B1259" i="2"/>
  <c r="B1243" i="2"/>
  <c r="B1227" i="2"/>
  <c r="B1211" i="2"/>
  <c r="B1195" i="2"/>
  <c r="B1179" i="2"/>
  <c r="B1163" i="2"/>
  <c r="B1147" i="2"/>
  <c r="B1131" i="2"/>
  <c r="B1115" i="2"/>
  <c r="B1099" i="2"/>
  <c r="B1083" i="2"/>
  <c r="B1067" i="2"/>
  <c r="B1051" i="2"/>
  <c r="B1035" i="2"/>
  <c r="B1019" i="2"/>
  <c r="B1003" i="2"/>
  <c r="B987" i="2"/>
  <c r="B971" i="2"/>
  <c r="B955" i="2"/>
  <c r="B939" i="2"/>
  <c r="B923" i="2"/>
  <c r="B907" i="2"/>
  <c r="B891" i="2"/>
  <c r="B875" i="2"/>
  <c r="B859" i="2"/>
  <c r="B843" i="2"/>
  <c r="B827" i="2"/>
  <c r="B811" i="2"/>
  <c r="B795" i="2"/>
  <c r="B779" i="2"/>
  <c r="B763" i="2"/>
  <c r="B747" i="2"/>
  <c r="B731" i="2"/>
  <c r="B715" i="2"/>
  <c r="B699" i="2"/>
  <c r="B679" i="2"/>
  <c r="B671" i="2"/>
  <c r="B663" i="2"/>
  <c r="B655" i="2"/>
  <c r="B647" i="2"/>
  <c r="B639" i="2"/>
  <c r="B633" i="2"/>
  <c r="B629" i="2"/>
  <c r="B625" i="2"/>
  <c r="B621" i="2"/>
  <c r="B617" i="2"/>
  <c r="B613" i="2"/>
  <c r="B609" i="2"/>
  <c r="B605" i="2"/>
  <c r="B601" i="2"/>
  <c r="B597" i="2"/>
  <c r="B593" i="2"/>
  <c r="B589" i="2"/>
  <c r="B585" i="2"/>
  <c r="B581" i="2"/>
  <c r="B577" i="2"/>
  <c r="B573" i="2"/>
  <c r="B569" i="2"/>
  <c r="B565" i="2"/>
  <c r="B561" i="2"/>
  <c r="B557" i="2"/>
  <c r="B553" i="2"/>
  <c r="B549" i="2"/>
  <c r="B545" i="2"/>
  <c r="B541" i="2"/>
  <c r="B537" i="2"/>
  <c r="B533" i="2"/>
  <c r="B529" i="2"/>
  <c r="B525" i="2"/>
  <c r="B521" i="2"/>
  <c r="B517" i="2"/>
  <c r="B513" i="2"/>
  <c r="B509" i="2"/>
  <c r="B505" i="2"/>
  <c r="B501" i="2"/>
  <c r="B497" i="2"/>
  <c r="B493" i="2"/>
  <c r="B489" i="2"/>
  <c r="B485" i="2"/>
  <c r="B481" i="2"/>
  <c r="B477" i="2"/>
  <c r="B473" i="2"/>
  <c r="B469" i="2"/>
  <c r="B465" i="2"/>
  <c r="B461" i="2"/>
  <c r="B457" i="2"/>
  <c r="B453" i="2"/>
  <c r="B449" i="2"/>
  <c r="B445" i="2"/>
  <c r="B441" i="2"/>
  <c r="B437" i="2"/>
  <c r="B433" i="2"/>
  <c r="B429" i="2"/>
  <c r="B425" i="2"/>
  <c r="B421" i="2"/>
  <c r="B417" i="2"/>
  <c r="B413" i="2"/>
  <c r="B409" i="2"/>
  <c r="B405" i="2"/>
  <c r="B401" i="2"/>
  <c r="B397" i="2"/>
  <c r="B393" i="2"/>
  <c r="B389" i="2"/>
  <c r="B385" i="2"/>
  <c r="B381" i="2"/>
  <c r="B377" i="2"/>
  <c r="B373" i="2"/>
  <c r="B369" i="2"/>
  <c r="B365" i="2"/>
  <c r="B361" i="2"/>
  <c r="B357" i="2"/>
  <c r="B353" i="2"/>
  <c r="B349" i="2"/>
  <c r="B345" i="2"/>
  <c r="B341" i="2"/>
  <c r="B337" i="2"/>
  <c r="B333" i="2"/>
  <c r="B329" i="2"/>
  <c r="B325" i="2"/>
  <c r="B321" i="2"/>
  <c r="B317" i="2"/>
  <c r="B313" i="2"/>
  <c r="B309" i="2"/>
  <c r="B305" i="2"/>
  <c r="B301" i="2"/>
  <c r="B297" i="2"/>
  <c r="B293" i="2"/>
  <c r="B289" i="2"/>
  <c r="B285" i="2"/>
  <c r="B281" i="2"/>
  <c r="B277" i="2"/>
  <c r="B273" i="2"/>
  <c r="B269" i="2"/>
  <c r="B265" i="2"/>
  <c r="B261" i="2"/>
  <c r="B257" i="2"/>
  <c r="B253" i="2"/>
  <c r="B249" i="2"/>
  <c r="B245" i="2"/>
  <c r="B241" i="2"/>
  <c r="B237" i="2"/>
  <c r="B233" i="2"/>
  <c r="B229" i="2"/>
  <c r="B225" i="2"/>
  <c r="B221" i="2"/>
  <c r="B217" i="2"/>
  <c r="B213" i="2"/>
  <c r="B209" i="2"/>
  <c r="B205" i="2"/>
  <c r="B201" i="2"/>
  <c r="B197" i="2"/>
  <c r="B193" i="2"/>
  <c r="B189" i="2"/>
  <c r="B185" i="2"/>
  <c r="B181" i="2"/>
  <c r="B177" i="2"/>
  <c r="B173" i="2"/>
  <c r="B169" i="2"/>
  <c r="B165" i="2"/>
  <c r="B161" i="2"/>
  <c r="B157" i="2"/>
  <c r="B153" i="2"/>
  <c r="B149" i="2"/>
  <c r="B145" i="2"/>
  <c r="B141" i="2"/>
  <c r="B137" i="2"/>
  <c r="B133" i="2"/>
  <c r="B129" i="2"/>
  <c r="B125" i="2"/>
  <c r="B121" i="2"/>
  <c r="B117" i="2"/>
  <c r="B113" i="2"/>
  <c r="B109" i="2"/>
  <c r="B105" i="2"/>
  <c r="B101" i="2"/>
  <c r="B97" i="2"/>
  <c r="B93" i="2"/>
  <c r="B89" i="2"/>
  <c r="B85" i="2"/>
  <c r="B81" i="2"/>
  <c r="B77" i="2"/>
  <c r="B73" i="2"/>
  <c r="B69" i="2"/>
  <c r="B65" i="2"/>
  <c r="B61" i="2"/>
  <c r="B57" i="2"/>
  <c r="B53" i="2"/>
  <c r="B49" i="2"/>
  <c r="B45" i="2"/>
  <c r="B41" i="2"/>
  <c r="B37" i="2"/>
  <c r="B33" i="2"/>
  <c r="B29" i="2"/>
  <c r="B25" i="2"/>
  <c r="B21" i="2"/>
  <c r="B17" i="2"/>
  <c r="B13" i="2"/>
  <c r="B2473" i="2"/>
  <c r="B2252" i="2"/>
  <c r="B1823" i="2"/>
  <c r="B1670" i="2"/>
  <c r="B1606" i="2"/>
  <c r="B1504" i="2"/>
  <c r="B1487" i="2"/>
  <c r="B1439" i="2"/>
  <c r="B1423" i="2"/>
  <c r="B1407" i="2"/>
  <c r="B1375" i="2"/>
  <c r="B1359" i="2"/>
  <c r="B1311" i="2"/>
  <c r="B1295" i="2"/>
  <c r="B1199" i="2"/>
  <c r="B1183" i="2"/>
  <c r="B1167" i="2"/>
  <c r="B959" i="2"/>
  <c r="B943" i="2"/>
  <c r="B911" i="2"/>
  <c r="B879" i="2"/>
  <c r="B863" i="2"/>
  <c r="B847" i="2"/>
  <c r="B831" i="2"/>
  <c r="B687" i="2"/>
  <c r="B681" i="2"/>
  <c r="B673" i="2"/>
  <c r="B649" i="2"/>
  <c r="B641" i="2"/>
  <c r="B618" i="2"/>
  <c r="B610" i="2"/>
  <c r="B606" i="2"/>
  <c r="B602" i="2"/>
  <c r="B590" i="2"/>
  <c r="B570" i="2"/>
  <c r="B566" i="2"/>
  <c r="B562" i="2"/>
  <c r="B558" i="2"/>
  <c r="B550" i="2"/>
  <c r="B546" i="2"/>
  <c r="B538" i="2"/>
  <c r="B534" i="2"/>
  <c r="B526" i="2"/>
  <c r="B514" i="2"/>
  <c r="B486" i="2"/>
  <c r="B462" i="2"/>
  <c r="B458" i="2"/>
  <c r="B450" i="2"/>
  <c r="B446" i="2"/>
  <c r="B438" i="2"/>
  <c r="B430" i="2"/>
  <c r="B418" i="2"/>
  <c r="B410" i="2"/>
  <c r="B386" i="2"/>
  <c r="B374" i="2"/>
  <c r="B362" i="2"/>
  <c r="B358" i="2"/>
  <c r="B330" i="2"/>
  <c r="B326" i="2"/>
  <c r="B318" i="2"/>
  <c r="B314" i="2"/>
  <c r="B310" i="2"/>
  <c r="B306" i="2"/>
  <c r="B298" i="2"/>
  <c r="B294" i="2"/>
  <c r="B274" i="2"/>
  <c r="B254" i="2"/>
  <c r="B50" i="2"/>
  <c r="B66" i="2"/>
  <c r="B98" i="2"/>
  <c r="B114" i="2"/>
  <c r="B130" i="2"/>
  <c r="B146" i="2"/>
  <c r="B242" i="2"/>
  <c r="B14" i="2"/>
  <c r="B30" i="2"/>
  <c r="B46" i="2"/>
  <c r="B62" i="2"/>
  <c r="B78" i="2"/>
  <c r="B94" i="2"/>
  <c r="B110" i="2"/>
  <c r="B126" i="2"/>
  <c r="B142" i="2"/>
  <c r="B158" i="2"/>
  <c r="B174" i="2"/>
  <c r="B190" i="2"/>
  <c r="B206" i="2"/>
  <c r="B222" i="2"/>
  <c r="B238" i="2"/>
  <c r="B18" i="2"/>
  <c r="B82" i="2"/>
  <c r="B178" i="2"/>
  <c r="B194" i="2"/>
  <c r="B42" i="2"/>
  <c r="B58" i="2"/>
  <c r="B74" i="2"/>
  <c r="B90" i="2"/>
  <c r="B106" i="2"/>
  <c r="B122" i="2"/>
  <c r="B138" i="2"/>
  <c r="B154" i="2"/>
  <c r="B170" i="2"/>
  <c r="B186" i="2"/>
  <c r="B202" i="2"/>
  <c r="B218" i="2"/>
  <c r="B234" i="2"/>
  <c r="B34" i="2"/>
  <c r="B162" i="2"/>
  <c r="B210" i="2"/>
  <c r="B226" i="2"/>
  <c r="B10" i="2"/>
  <c r="B26" i="2"/>
  <c r="B22" i="2"/>
  <c r="B38" i="2"/>
  <c r="B54" i="2"/>
  <c r="B70" i="2"/>
  <c r="B86" i="2"/>
  <c r="B102" i="2"/>
  <c r="B118" i="2"/>
  <c r="B134" i="2"/>
  <c r="B150" i="2"/>
  <c r="B166" i="2"/>
  <c r="B182" i="2"/>
  <c r="B198" i="2"/>
  <c r="B214" i="2"/>
  <c r="B230" i="2"/>
  <c r="D9" i="2"/>
  <c r="D11" i="2"/>
  <c r="D15" i="2"/>
  <c r="D19" i="2"/>
  <c r="D23" i="2"/>
  <c r="D27" i="2"/>
  <c r="D31" i="2"/>
  <c r="D35" i="2"/>
  <c r="D39" i="2"/>
  <c r="D43" i="2"/>
  <c r="D47" i="2"/>
  <c r="D51" i="2"/>
  <c r="D55" i="2"/>
  <c r="D59" i="2"/>
  <c r="D63" i="2"/>
  <c r="D67" i="2"/>
  <c r="D71" i="2"/>
  <c r="D75" i="2"/>
  <c r="D79" i="2"/>
  <c r="D83" i="2"/>
  <c r="D87" i="2"/>
  <c r="D91" i="2"/>
  <c r="D95" i="2"/>
  <c r="D99" i="2"/>
  <c r="D103" i="2"/>
  <c r="D107" i="2"/>
  <c r="D111" i="2"/>
  <c r="D115" i="2"/>
  <c r="D119" i="2"/>
  <c r="D123" i="2"/>
  <c r="D127" i="2"/>
  <c r="D131" i="2"/>
  <c r="D135" i="2"/>
  <c r="D139" i="2"/>
  <c r="D143" i="2"/>
  <c r="D147" i="2"/>
  <c r="D151" i="2"/>
  <c r="D155" i="2"/>
  <c r="D159" i="2"/>
  <c r="D163" i="2"/>
  <c r="D167" i="2"/>
  <c r="D171" i="2"/>
  <c r="D175" i="2"/>
  <c r="D179" i="2"/>
  <c r="D183" i="2"/>
  <c r="D187" i="2"/>
  <c r="D191" i="2"/>
  <c r="D195" i="2"/>
  <c r="D199" i="2"/>
  <c r="D203" i="2"/>
  <c r="D207" i="2"/>
  <c r="D211" i="2"/>
  <c r="D215" i="2"/>
  <c r="D219" i="2"/>
  <c r="D223" i="2"/>
  <c r="D227" i="2"/>
  <c r="D231" i="2"/>
  <c r="D235" i="2"/>
  <c r="D239" i="2"/>
  <c r="D243" i="2"/>
  <c r="D247" i="2"/>
  <c r="D251" i="2"/>
  <c r="D255" i="2"/>
  <c r="D259" i="2"/>
  <c r="D263" i="2"/>
  <c r="D267" i="2"/>
  <c r="D271" i="2"/>
  <c r="D275" i="2"/>
  <c r="D279" i="2"/>
  <c r="D283" i="2"/>
  <c r="D287" i="2"/>
  <c r="D291" i="2"/>
  <c r="D295" i="2"/>
  <c r="D299" i="2"/>
  <c r="D303" i="2"/>
  <c r="D307" i="2"/>
  <c r="D311" i="2"/>
  <c r="D315" i="2"/>
  <c r="D319" i="2"/>
  <c r="D323" i="2"/>
  <c r="D327" i="2"/>
  <c r="D331" i="2"/>
  <c r="D335" i="2"/>
  <c r="D339" i="2"/>
  <c r="D343" i="2"/>
  <c r="D347" i="2"/>
  <c r="D351" i="2"/>
  <c r="D355" i="2"/>
  <c r="D359" i="2"/>
  <c r="D363" i="2"/>
  <c r="D367" i="2"/>
  <c r="D371" i="2"/>
  <c r="D375" i="2"/>
  <c r="D379" i="2"/>
  <c r="D383" i="2"/>
  <c r="D387" i="2"/>
  <c r="D391" i="2"/>
  <c r="D395" i="2"/>
  <c r="D399" i="2"/>
  <c r="D403" i="2"/>
  <c r="D407" i="2"/>
  <c r="D411" i="2"/>
  <c r="D415" i="2"/>
  <c r="D419" i="2"/>
  <c r="D423" i="2"/>
  <c r="D427" i="2"/>
  <c r="D431" i="2"/>
  <c r="D435" i="2"/>
  <c r="D439" i="2"/>
  <c r="D443" i="2"/>
  <c r="D447" i="2"/>
  <c r="D451" i="2"/>
  <c r="D455" i="2"/>
  <c r="D459" i="2"/>
  <c r="D463" i="2"/>
  <c r="D467" i="2"/>
  <c r="D471" i="2"/>
  <c r="D475" i="2"/>
  <c r="D479" i="2"/>
  <c r="D483" i="2"/>
  <c r="D487" i="2"/>
  <c r="D491" i="2"/>
  <c r="D495" i="2"/>
  <c r="D499" i="2"/>
  <c r="D503" i="2"/>
  <c r="D507" i="2"/>
  <c r="D511" i="2"/>
  <c r="D515" i="2"/>
  <c r="D519" i="2"/>
  <c r="D523" i="2"/>
  <c r="D527" i="2"/>
  <c r="D531" i="2"/>
  <c r="D535" i="2"/>
  <c r="D539" i="2"/>
  <c r="D543" i="2"/>
  <c r="D547" i="2"/>
  <c r="D551" i="2"/>
  <c r="D555" i="2"/>
  <c r="D559" i="2"/>
  <c r="D563" i="2"/>
  <c r="D567" i="2"/>
  <c r="D571" i="2"/>
  <c r="D575" i="2"/>
  <c r="D579" i="2"/>
  <c r="D583" i="2"/>
  <c r="D587" i="2"/>
  <c r="D591" i="2"/>
  <c r="D595" i="2"/>
  <c r="D599" i="2"/>
  <c r="D603" i="2"/>
  <c r="D607" i="2"/>
  <c r="D611" i="2"/>
  <c r="D615" i="2"/>
  <c r="D619" i="2"/>
  <c r="D623" i="2"/>
  <c r="D627" i="2"/>
  <c r="D631" i="2"/>
  <c r="D641" i="2"/>
  <c r="D649" i="2"/>
  <c r="D657" i="2"/>
  <c r="D665" i="2"/>
  <c r="D673" i="2"/>
  <c r="D681" i="2"/>
  <c r="D693" i="2"/>
  <c r="D709" i="2"/>
  <c r="D725" i="2"/>
  <c r="D741" i="2"/>
  <c r="D757" i="2"/>
  <c r="D773" i="2"/>
  <c r="D789" i="2"/>
  <c r="D805" i="2"/>
  <c r="D821" i="2"/>
  <c r="D837" i="2"/>
  <c r="D853" i="2"/>
  <c r="D869" i="2"/>
  <c r="D885" i="2"/>
  <c r="D901" i="2"/>
  <c r="D917" i="2"/>
  <c r="D933" i="2"/>
  <c r="D949" i="2"/>
  <c r="D965" i="2"/>
  <c r="D981" i="2"/>
  <c r="D997" i="2"/>
  <c r="D1013" i="2"/>
  <c r="D1029" i="2"/>
  <c r="D1045" i="2"/>
  <c r="D1061" i="2"/>
  <c r="D1077" i="2"/>
  <c r="D1093" i="2"/>
  <c r="D1109" i="2"/>
  <c r="D1125" i="2"/>
  <c r="D1141" i="2"/>
  <c r="D1157" i="2"/>
  <c r="D1173" i="2"/>
  <c r="D1189" i="2"/>
  <c r="D1205" i="2"/>
  <c r="D1221" i="2"/>
  <c r="D1237" i="2"/>
  <c r="D1253" i="2"/>
  <c r="D1269" i="2"/>
  <c r="D1285" i="2"/>
  <c r="D1301" i="2"/>
  <c r="D1317" i="2"/>
  <c r="D1333" i="2"/>
  <c r="D1349" i="2"/>
  <c r="D1365" i="2"/>
  <c r="D1381" i="2"/>
  <c r="D1397" i="2"/>
  <c r="D1413" i="2"/>
  <c r="D1429" i="2"/>
  <c r="D1445" i="2"/>
  <c r="D1461" i="2"/>
  <c r="D1477" i="2"/>
  <c r="D1522" i="2"/>
  <c r="D1584" i="2"/>
  <c r="D1648" i="2"/>
  <c r="D1712" i="2"/>
  <c r="D1776" i="2"/>
  <c r="D1817" i="2"/>
  <c r="D1995" i="2"/>
  <c r="D2310" i="2"/>
  <c r="D2523" i="2"/>
  <c r="D10" i="2"/>
  <c r="D14" i="2"/>
  <c r="D22" i="2"/>
  <c r="D38" i="2"/>
  <c r="D46" i="2"/>
  <c r="D54" i="2"/>
  <c r="D58" i="2"/>
  <c r="D66" i="2"/>
  <c r="D70" i="2"/>
  <c r="D74" i="2"/>
  <c r="D90" i="2"/>
  <c r="D94" i="2"/>
  <c r="D98" i="2"/>
  <c r="D102" i="2"/>
  <c r="D106" i="2"/>
  <c r="D110" i="2"/>
  <c r="D114" i="2"/>
  <c r="D118" i="2"/>
  <c r="D122" i="2"/>
  <c r="D126" i="2"/>
  <c r="D130" i="2"/>
  <c r="D134" i="2"/>
  <c r="D138" i="2"/>
  <c r="D142" i="2"/>
  <c r="D146" i="2"/>
  <c r="D150" i="2"/>
  <c r="D154" i="2"/>
  <c r="D158" i="2"/>
  <c r="D162" i="2"/>
  <c r="D166" i="2"/>
  <c r="D170" i="2"/>
  <c r="D174" i="2"/>
  <c r="D178" i="2"/>
  <c r="D182" i="2"/>
  <c r="D186" i="2"/>
  <c r="D190" i="2"/>
  <c r="D194" i="2"/>
  <c r="D198" i="2"/>
  <c r="D202" i="2"/>
  <c r="D206" i="2"/>
  <c r="D210" i="2"/>
  <c r="D214" i="2"/>
  <c r="D218" i="2"/>
  <c r="D222" i="2"/>
  <c r="D226" i="2"/>
  <c r="D230" i="2"/>
  <c r="D234" i="2"/>
  <c r="D238" i="2"/>
  <c r="D242" i="2"/>
  <c r="D246" i="2"/>
  <c r="D250" i="2"/>
  <c r="D254" i="2"/>
  <c r="D258" i="2"/>
  <c r="D262" i="2"/>
  <c r="D266" i="2"/>
  <c r="D270" i="2"/>
  <c r="D274" i="2"/>
  <c r="D278" i="2"/>
  <c r="D282" i="2"/>
  <c r="D286" i="2"/>
  <c r="D290" i="2"/>
  <c r="D294" i="2"/>
  <c r="D298" i="2"/>
  <c r="D302" i="2"/>
  <c r="D306" i="2"/>
  <c r="D310" i="2"/>
  <c r="D314" i="2"/>
  <c r="D318" i="2"/>
  <c r="D322" i="2"/>
  <c r="D326" i="2"/>
  <c r="D330" i="2"/>
  <c r="D334" i="2"/>
  <c r="D338" i="2"/>
  <c r="D342" i="2"/>
  <c r="D346" i="2"/>
  <c r="D350" i="2"/>
  <c r="D354" i="2"/>
  <c r="D358" i="2"/>
  <c r="D362" i="2"/>
  <c r="D366" i="2"/>
  <c r="D370" i="2"/>
  <c r="D374" i="2"/>
  <c r="D378" i="2"/>
  <c r="D382" i="2"/>
  <c r="D386" i="2"/>
  <c r="D390" i="2"/>
  <c r="D394" i="2"/>
  <c r="D398" i="2"/>
  <c r="D402" i="2"/>
  <c r="D406" i="2"/>
  <c r="D410" i="2"/>
  <c r="D414" i="2"/>
  <c r="D418" i="2"/>
  <c r="D422" i="2"/>
  <c r="D426" i="2"/>
  <c r="D430" i="2"/>
  <c r="D434" i="2"/>
  <c r="D438" i="2"/>
  <c r="D442" i="2"/>
  <c r="D446" i="2"/>
  <c r="D450" i="2"/>
  <c r="D454" i="2"/>
  <c r="D458" i="2"/>
  <c r="D462" i="2"/>
  <c r="D466" i="2"/>
  <c r="D470" i="2"/>
  <c r="D474" i="2"/>
  <c r="D478" i="2"/>
  <c r="D482" i="2"/>
  <c r="D486" i="2"/>
  <c r="D490" i="2"/>
  <c r="D494" i="2"/>
  <c r="D498" i="2"/>
  <c r="D502" i="2"/>
  <c r="D506" i="2"/>
  <c r="D510" i="2"/>
  <c r="D514" i="2"/>
  <c r="D518" i="2"/>
  <c r="D522" i="2"/>
  <c r="D526" i="2"/>
  <c r="D530" i="2"/>
  <c r="D534" i="2"/>
  <c r="D538" i="2"/>
  <c r="D542" i="2"/>
  <c r="D546" i="2"/>
  <c r="D550" i="2"/>
  <c r="D554" i="2"/>
  <c r="D558" i="2"/>
  <c r="D562" i="2"/>
  <c r="D566" i="2"/>
  <c r="D570" i="2"/>
  <c r="D574" i="2"/>
  <c r="D578" i="2"/>
  <c r="D582" i="2"/>
  <c r="D586" i="2"/>
  <c r="D590" i="2"/>
  <c r="D594" i="2"/>
  <c r="D598" i="2"/>
  <c r="D602" i="2"/>
  <c r="D606" i="2"/>
  <c r="D610" i="2"/>
  <c r="D614" i="2"/>
  <c r="D618" i="2"/>
  <c r="D622" i="2"/>
  <c r="D626" i="2"/>
  <c r="D630" i="2"/>
  <c r="D639" i="2"/>
  <c r="D647" i="2"/>
  <c r="D655" i="2"/>
  <c r="D663" i="2"/>
  <c r="D671" i="2"/>
  <c r="D679" i="2"/>
  <c r="D689" i="2"/>
  <c r="D705" i="2"/>
  <c r="D721" i="2"/>
  <c r="D737" i="2"/>
  <c r="D753" i="2"/>
  <c r="D769" i="2"/>
  <c r="D785" i="2"/>
  <c r="D801" i="2"/>
  <c r="D817" i="2"/>
  <c r="D833" i="2"/>
  <c r="D849" i="2"/>
  <c r="D865" i="2"/>
  <c r="D881" i="2"/>
  <c r="D897" i="2"/>
  <c r="D913" i="2"/>
  <c r="D929" i="2"/>
  <c r="D945" i="2"/>
  <c r="D961" i="2"/>
  <c r="D977" i="2"/>
  <c r="D993" i="2"/>
  <c r="D1009" i="2"/>
  <c r="D1025" i="2"/>
  <c r="D1041" i="2"/>
  <c r="D1057" i="2"/>
  <c r="D1073" i="2"/>
  <c r="D1089" i="2"/>
  <c r="D1105" i="2"/>
  <c r="D1121" i="2"/>
  <c r="D1137" i="2"/>
  <c r="D1153" i="2"/>
  <c r="D1169" i="2"/>
  <c r="D1185" i="2"/>
  <c r="D1201" i="2"/>
  <c r="D1217" i="2"/>
  <c r="D1233" i="2"/>
  <c r="D1249" i="2"/>
  <c r="D1265" i="2"/>
  <c r="D1281" i="2"/>
  <c r="D1297" i="2"/>
  <c r="D1313" i="2"/>
  <c r="D1329" i="2"/>
  <c r="D1345" i="2"/>
  <c r="D1361" i="2"/>
  <c r="D1377" i="2"/>
  <c r="D1393" i="2"/>
  <c r="D1409" i="2"/>
  <c r="D1425" i="2"/>
  <c r="D1441" i="2"/>
  <c r="D1457" i="2"/>
  <c r="D1473" i="2"/>
  <c r="D1489" i="2"/>
  <c r="D1514" i="2"/>
  <c r="D1568" i="2"/>
  <c r="D1632" i="2"/>
  <c r="D1696" i="2"/>
  <c r="D1760" i="2"/>
  <c r="D1819" i="2"/>
  <c r="D1850" i="2"/>
  <c r="D1881" i="2"/>
  <c r="D2182" i="2"/>
  <c r="D3608" i="2"/>
  <c r="D3604" i="2"/>
  <c r="D3600" i="2"/>
  <c r="D3596" i="2"/>
  <c r="D3592" i="2"/>
  <c r="D3588" i="2"/>
  <c r="D3584" i="2"/>
  <c r="D3580" i="2"/>
  <c r="D3611" i="2"/>
  <c r="D3599" i="2"/>
  <c r="D3598" i="2"/>
  <c r="D3597" i="2"/>
  <c r="D3583" i="2"/>
  <c r="D3582" i="2"/>
  <c r="D3581" i="2"/>
  <c r="D3575" i="2"/>
  <c r="D3571" i="2"/>
  <c r="D3595" i="2"/>
  <c r="D3594" i="2"/>
  <c r="D3593" i="2"/>
  <c r="D3579" i="2"/>
  <c r="D3576" i="2"/>
  <c r="D3572" i="2"/>
  <c r="D3591" i="2"/>
  <c r="D3590" i="2"/>
  <c r="D3589" i="2"/>
  <c r="D3577" i="2"/>
  <c r="D3570" i="2"/>
  <c r="D3569" i="2"/>
  <c r="D3566" i="2"/>
  <c r="D3562" i="2"/>
  <c r="D3558" i="2"/>
  <c r="D3554" i="2"/>
  <c r="D3550" i="2"/>
  <c r="D3546" i="2"/>
  <c r="D3542" i="2"/>
  <c r="D3587" i="2"/>
  <c r="D3586" i="2"/>
  <c r="D3585" i="2"/>
  <c r="D3574" i="2"/>
  <c r="D3567" i="2"/>
  <c r="D3563" i="2"/>
  <c r="D3559" i="2"/>
  <c r="D3555" i="2"/>
  <c r="D3551" i="2"/>
  <c r="D3547" i="2"/>
  <c r="D3543" i="2"/>
  <c r="D3539" i="2"/>
  <c r="D3535" i="2"/>
  <c r="D3531" i="2"/>
  <c r="D3527" i="2"/>
  <c r="D3606" i="2"/>
  <c r="D3573" i="2"/>
  <c r="D3564" i="2"/>
  <c r="D3556" i="2"/>
  <c r="D3548" i="2"/>
  <c r="D3540" i="2"/>
  <c r="D3530" i="2"/>
  <c r="D3529" i="2"/>
  <c r="D3528" i="2"/>
  <c r="D3520" i="2"/>
  <c r="D3516" i="2"/>
  <c r="D3512" i="2"/>
  <c r="D3508" i="2"/>
  <c r="D3504" i="2"/>
  <c r="D3500" i="2"/>
  <c r="D3602" i="2"/>
  <c r="D3561" i="2"/>
  <c r="D3553" i="2"/>
  <c r="D3545" i="2"/>
  <c r="D3526" i="2"/>
  <c r="D3525" i="2"/>
  <c r="D3524" i="2"/>
  <c r="D3521" i="2"/>
  <c r="D3517" i="2"/>
  <c r="D3513" i="2"/>
  <c r="D3509" i="2"/>
  <c r="D3505" i="2"/>
  <c r="D3607" i="2"/>
  <c r="D3560" i="2"/>
  <c r="D3544" i="2"/>
  <c r="D3518" i="2"/>
  <c r="D3510" i="2"/>
  <c r="D3495" i="2"/>
  <c r="D3491" i="2"/>
  <c r="D3487" i="2"/>
  <c r="D3483" i="2"/>
  <c r="D3479" i="2"/>
  <c r="D3475" i="2"/>
  <c r="D3471" i="2"/>
  <c r="D3467" i="2"/>
  <c r="D3463" i="2"/>
  <c r="D3459" i="2"/>
  <c r="D3455" i="2"/>
  <c r="D3451" i="2"/>
  <c r="D3447" i="2"/>
  <c r="D3443" i="2"/>
  <c r="D3439" i="2"/>
  <c r="D3435" i="2"/>
  <c r="D3431" i="2"/>
  <c r="D3427" i="2"/>
  <c r="D3423" i="2"/>
  <c r="D3419" i="2"/>
  <c r="D3415" i="2"/>
  <c r="D3411" i="2"/>
  <c r="D3407" i="2"/>
  <c r="D3603" i="2"/>
  <c r="D3557" i="2"/>
  <c r="D3541" i="2"/>
  <c r="D3523" i="2"/>
  <c r="D3515" i="2"/>
  <c r="D3507" i="2"/>
  <c r="D3496" i="2"/>
  <c r="D3492" i="2"/>
  <c r="D3488" i="2"/>
  <c r="D3484" i="2"/>
  <c r="D3480" i="2"/>
  <c r="D3476" i="2"/>
  <c r="D3472" i="2"/>
  <c r="D3468" i="2"/>
  <c r="D3464" i="2"/>
  <c r="D3460" i="2"/>
  <c r="D3456" i="2"/>
  <c r="D3452" i="2"/>
  <c r="D3448" i="2"/>
  <c r="D3444" i="2"/>
  <c r="D3440" i="2"/>
  <c r="D3436" i="2"/>
  <c r="D3432" i="2"/>
  <c r="D3428" i="2"/>
  <c r="D3424" i="2"/>
  <c r="D3420" i="2"/>
  <c r="D3605" i="2"/>
  <c r="D3552" i="2"/>
  <c r="D3538" i="2"/>
  <c r="D3536" i="2"/>
  <c r="D3514" i="2"/>
  <c r="D3503" i="2"/>
  <c r="D3502" i="2"/>
  <c r="D3501" i="2"/>
  <c r="D3489" i="2"/>
  <c r="D3481" i="2"/>
  <c r="D3473" i="2"/>
  <c r="D3465" i="2"/>
  <c r="D3457" i="2"/>
  <c r="D3449" i="2"/>
  <c r="D3441" i="2"/>
  <c r="D3433" i="2"/>
  <c r="D3425" i="2"/>
  <c r="D3418" i="2"/>
  <c r="D3417" i="2"/>
  <c r="D3416" i="2"/>
  <c r="D3405" i="2"/>
  <c r="D3401" i="2"/>
  <c r="D3397" i="2"/>
  <c r="D3393" i="2"/>
  <c r="D3389" i="2"/>
  <c r="D3385" i="2"/>
  <c r="D3381" i="2"/>
  <c r="D3377" i="2"/>
  <c r="D3373" i="2"/>
  <c r="D3369" i="2"/>
  <c r="D3365" i="2"/>
  <c r="D3361" i="2"/>
  <c r="D3357" i="2"/>
  <c r="D3353" i="2"/>
  <c r="D3349" i="2"/>
  <c r="D3345" i="2"/>
  <c r="D3341" i="2"/>
  <c r="D3549" i="2"/>
  <c r="D3534" i="2"/>
  <c r="D3532" i="2"/>
  <c r="D3511" i="2"/>
  <c r="D3499" i="2"/>
  <c r="D3498" i="2"/>
  <c r="D3497" i="2"/>
  <c r="D3494" i="2"/>
  <c r="D3486" i="2"/>
  <c r="D3478" i="2"/>
  <c r="D3470" i="2"/>
  <c r="D3462" i="2"/>
  <c r="D3454" i="2"/>
  <c r="D3446" i="2"/>
  <c r="D3438" i="2"/>
  <c r="D3430" i="2"/>
  <c r="D3422" i="2"/>
  <c r="D3414" i="2"/>
  <c r="D3413" i="2"/>
  <c r="D3412" i="2"/>
  <c r="D3402" i="2"/>
  <c r="D3398" i="2"/>
  <c r="D3394" i="2"/>
  <c r="D3390" i="2"/>
  <c r="D3386" i="2"/>
  <c r="D3382" i="2"/>
  <c r="D3378" i="2"/>
  <c r="D3374" i="2"/>
  <c r="D3370" i="2"/>
  <c r="D3366" i="2"/>
  <c r="D3362" i="2"/>
  <c r="D3358" i="2"/>
  <c r="D3354" i="2"/>
  <c r="D3350" i="2"/>
  <c r="D3537" i="2"/>
  <c r="D3522" i="2"/>
  <c r="D3485" i="2"/>
  <c r="D3469" i="2"/>
  <c r="D3453" i="2"/>
  <c r="D3437" i="2"/>
  <c r="D3421" i="2"/>
  <c r="D3410" i="2"/>
  <c r="D3409" i="2"/>
  <c r="D3408" i="2"/>
  <c r="D3403" i="2"/>
  <c r="D3395" i="2"/>
  <c r="D3387" i="2"/>
  <c r="D3379" i="2"/>
  <c r="D3371" i="2"/>
  <c r="D3363" i="2"/>
  <c r="D3355" i="2"/>
  <c r="D3347" i="2"/>
  <c r="D3346" i="2"/>
  <c r="D3336" i="2"/>
  <c r="D3332" i="2"/>
  <c r="D3328" i="2"/>
  <c r="D3324" i="2"/>
  <c r="D3320" i="2"/>
  <c r="D3316" i="2"/>
  <c r="D3312" i="2"/>
  <c r="D3308" i="2"/>
  <c r="D3304" i="2"/>
  <c r="D3300" i="2"/>
  <c r="D3296" i="2"/>
  <c r="D3292" i="2"/>
  <c r="D3288" i="2"/>
  <c r="D3284" i="2"/>
  <c r="D3280" i="2"/>
  <c r="D3276" i="2"/>
  <c r="D3272" i="2"/>
  <c r="D3268" i="2"/>
  <c r="D3264" i="2"/>
  <c r="D3260" i="2"/>
  <c r="D3256" i="2"/>
  <c r="D3252" i="2"/>
  <c r="D3248" i="2"/>
  <c r="D3244" i="2"/>
  <c r="D3240" i="2"/>
  <c r="D3236" i="2"/>
  <c r="D3232" i="2"/>
  <c r="D3228" i="2"/>
  <c r="D3224" i="2"/>
  <c r="D3220" i="2"/>
  <c r="D3216" i="2"/>
  <c r="D3212" i="2"/>
  <c r="D3208" i="2"/>
  <c r="D3204" i="2"/>
  <c r="D3200" i="2"/>
  <c r="D3196" i="2"/>
  <c r="D3192" i="2"/>
  <c r="D3188" i="2"/>
  <c r="D3184" i="2"/>
  <c r="D3180" i="2"/>
  <c r="D3176" i="2"/>
  <c r="D3172" i="2"/>
  <c r="D3168" i="2"/>
  <c r="D3164" i="2"/>
  <c r="D3601" i="2"/>
  <c r="D3565" i="2"/>
  <c r="D3533" i="2"/>
  <c r="D3519" i="2"/>
  <c r="D3482" i="2"/>
  <c r="D3466" i="2"/>
  <c r="D3450" i="2"/>
  <c r="D3434" i="2"/>
  <c r="D3406" i="2"/>
  <c r="D3400" i="2"/>
  <c r="D3392" i="2"/>
  <c r="D3384" i="2"/>
  <c r="D3376" i="2"/>
  <c r="D3368" i="2"/>
  <c r="D3360" i="2"/>
  <c r="D3352" i="2"/>
  <c r="D3344" i="2"/>
  <c r="D3343" i="2"/>
  <c r="D3342" i="2"/>
  <c r="D3337" i="2"/>
  <c r="D3333" i="2"/>
  <c r="D3329" i="2"/>
  <c r="D3325" i="2"/>
  <c r="D3321" i="2"/>
  <c r="D3317" i="2"/>
  <c r="D3313" i="2"/>
  <c r="D3309" i="2"/>
  <c r="D3305" i="2"/>
  <c r="D3301" i="2"/>
  <c r="D3297" i="2"/>
  <c r="D3293" i="2"/>
  <c r="D3289" i="2"/>
  <c r="D3285" i="2"/>
  <c r="D3281" i="2"/>
  <c r="D3277" i="2"/>
  <c r="D3273" i="2"/>
  <c r="D3269" i="2"/>
  <c r="D3265" i="2"/>
  <c r="D3261" i="2"/>
  <c r="D3257" i="2"/>
  <c r="D3253" i="2"/>
  <c r="D3249" i="2"/>
  <c r="D3245" i="2"/>
  <c r="D3241" i="2"/>
  <c r="D3237" i="2"/>
  <c r="D3233" i="2"/>
  <c r="D3229" i="2"/>
  <c r="D3225" i="2"/>
  <c r="D3221" i="2"/>
  <c r="D3217" i="2"/>
  <c r="D3213" i="2"/>
  <c r="D3209" i="2"/>
  <c r="D3205" i="2"/>
  <c r="D3201" i="2"/>
  <c r="D3197" i="2"/>
  <c r="D3193" i="2"/>
  <c r="D3189" i="2"/>
  <c r="D3185" i="2"/>
  <c r="D3181" i="2"/>
  <c r="D3177" i="2"/>
  <c r="D3173" i="2"/>
  <c r="D3169" i="2"/>
  <c r="D3165" i="2"/>
  <c r="D3161" i="2"/>
  <c r="D3568" i="2"/>
  <c r="D3493" i="2"/>
  <c r="D3461" i="2"/>
  <c r="D3429" i="2"/>
  <c r="D3399" i="2"/>
  <c r="D3383" i="2"/>
  <c r="D3367" i="2"/>
  <c r="D3351" i="2"/>
  <c r="D3340" i="2"/>
  <c r="D3334" i="2"/>
  <c r="D3326" i="2"/>
  <c r="D3318" i="2"/>
  <c r="D3310" i="2"/>
  <c r="D3302" i="2"/>
  <c r="D3294" i="2"/>
  <c r="D3286" i="2"/>
  <c r="D3278" i="2"/>
  <c r="D3270" i="2"/>
  <c r="D3262" i="2"/>
  <c r="D3254" i="2"/>
  <c r="D3246" i="2"/>
  <c r="D3238" i="2"/>
  <c r="D3230" i="2"/>
  <c r="D3222" i="2"/>
  <c r="D3214" i="2"/>
  <c r="D3206" i="2"/>
  <c r="D3198" i="2"/>
  <c r="D3190" i="2"/>
  <c r="D3182" i="2"/>
  <c r="D3174" i="2"/>
  <c r="D3166" i="2"/>
  <c r="D3157" i="2"/>
  <c r="D3153" i="2"/>
  <c r="D3149" i="2"/>
  <c r="D3145" i="2"/>
  <c r="D3141" i="2"/>
  <c r="D3137" i="2"/>
  <c r="D3133" i="2"/>
  <c r="D3129" i="2"/>
  <c r="D3125" i="2"/>
  <c r="D3121" i="2"/>
  <c r="D3117" i="2"/>
  <c r="D3113" i="2"/>
  <c r="D3109" i="2"/>
  <c r="D3105" i="2"/>
  <c r="D3101" i="2"/>
  <c r="D3097" i="2"/>
  <c r="D3093" i="2"/>
  <c r="D3089" i="2"/>
  <c r="D3085" i="2"/>
  <c r="D3081" i="2"/>
  <c r="D3077" i="2"/>
  <c r="D3073" i="2"/>
  <c r="D3069" i="2"/>
  <c r="D3065" i="2"/>
  <c r="D3061" i="2"/>
  <c r="D3057" i="2"/>
  <c r="D3053" i="2"/>
  <c r="D3049" i="2"/>
  <c r="D3045" i="2"/>
  <c r="D3041" i="2"/>
  <c r="D3037" i="2"/>
  <c r="D3490" i="2"/>
  <c r="D3458" i="2"/>
  <c r="D3426" i="2"/>
  <c r="D3396" i="2"/>
  <c r="D3380" i="2"/>
  <c r="D3364" i="2"/>
  <c r="D3348" i="2"/>
  <c r="D3339" i="2"/>
  <c r="D3331" i="2"/>
  <c r="D3323" i="2"/>
  <c r="D3315" i="2"/>
  <c r="D3307" i="2"/>
  <c r="D3299" i="2"/>
  <c r="D3291" i="2"/>
  <c r="D3283" i="2"/>
  <c r="D3275" i="2"/>
  <c r="D3267" i="2"/>
  <c r="D3259" i="2"/>
  <c r="D3251" i="2"/>
  <c r="D3243" i="2"/>
  <c r="D3235" i="2"/>
  <c r="D3227" i="2"/>
  <c r="D3219" i="2"/>
  <c r="D3211" i="2"/>
  <c r="D3203" i="2"/>
  <c r="D3195" i="2"/>
  <c r="D3187" i="2"/>
  <c r="D3179" i="2"/>
  <c r="D3171" i="2"/>
  <c r="D3163" i="2"/>
  <c r="D3158" i="2"/>
  <c r="D3154" i="2"/>
  <c r="D3150" i="2"/>
  <c r="D3146" i="2"/>
  <c r="D3142" i="2"/>
  <c r="D3138" i="2"/>
  <c r="D3134" i="2"/>
  <c r="D3130" i="2"/>
  <c r="D3126" i="2"/>
  <c r="D3122" i="2"/>
  <c r="D3118" i="2"/>
  <c r="D3114" i="2"/>
  <c r="D3110" i="2"/>
  <c r="D3106" i="2"/>
  <c r="D3102" i="2"/>
  <c r="D3098" i="2"/>
  <c r="D3094" i="2"/>
  <c r="D3090" i="2"/>
  <c r="D3086" i="2"/>
  <c r="D3082" i="2"/>
  <c r="D3078" i="2"/>
  <c r="D3074" i="2"/>
  <c r="D3070" i="2"/>
  <c r="D3066" i="2"/>
  <c r="D3062" i="2"/>
  <c r="D3058" i="2"/>
  <c r="D3054" i="2"/>
  <c r="D3050" i="2"/>
  <c r="D3046" i="2"/>
  <c r="D3042" i="2"/>
  <c r="D3038" i="2"/>
  <c r="D3506" i="2"/>
  <c r="D3445" i="2"/>
  <c r="D3391" i="2"/>
  <c r="D3359" i="2"/>
  <c r="D3338" i="2"/>
  <c r="D3322" i="2"/>
  <c r="D3306" i="2"/>
  <c r="D3290" i="2"/>
  <c r="D3274" i="2"/>
  <c r="D3258" i="2"/>
  <c r="D3242" i="2"/>
  <c r="D3226" i="2"/>
  <c r="D3210" i="2"/>
  <c r="D3194" i="2"/>
  <c r="D3178" i="2"/>
  <c r="D3162" i="2"/>
  <c r="D3155" i="2"/>
  <c r="D3147" i="2"/>
  <c r="D3139" i="2"/>
  <c r="D3131" i="2"/>
  <c r="D3123" i="2"/>
  <c r="D3115" i="2"/>
  <c r="D3107" i="2"/>
  <c r="D3099" i="2"/>
  <c r="D3091" i="2"/>
  <c r="D3083" i="2"/>
  <c r="D3075" i="2"/>
  <c r="D3067" i="2"/>
  <c r="D3059" i="2"/>
  <c r="D3051" i="2"/>
  <c r="D3043" i="2"/>
  <c r="D3035" i="2"/>
  <c r="D3031" i="2"/>
  <c r="D3027" i="2"/>
  <c r="D3023" i="2"/>
  <c r="D3019" i="2"/>
  <c r="D3015" i="2"/>
  <c r="D3011" i="2"/>
  <c r="D3007" i="2"/>
  <c r="D3003" i="2"/>
  <c r="D2999" i="2"/>
  <c r="D2995" i="2"/>
  <c r="D2991" i="2"/>
  <c r="D2987" i="2"/>
  <c r="D2983" i="2"/>
  <c r="D2979" i="2"/>
  <c r="D2975" i="2"/>
  <c r="D2971" i="2"/>
  <c r="D2967" i="2"/>
  <c r="D2963" i="2"/>
  <c r="D2959" i="2"/>
  <c r="D2955" i="2"/>
  <c r="D2951" i="2"/>
  <c r="D2947" i="2"/>
  <c r="D2943" i="2"/>
  <c r="D2939" i="2"/>
  <c r="D2935" i="2"/>
  <c r="D2931" i="2"/>
  <c r="D2927" i="2"/>
  <c r="D2923" i="2"/>
  <c r="D2919" i="2"/>
  <c r="D2915" i="2"/>
  <c r="D2911" i="2"/>
  <c r="D2907" i="2"/>
  <c r="D2903" i="2"/>
  <c r="D2899" i="2"/>
  <c r="D2895" i="2"/>
  <c r="D2891" i="2"/>
  <c r="D2887" i="2"/>
  <c r="D2883" i="2"/>
  <c r="D2879" i="2"/>
  <c r="D2875" i="2"/>
  <c r="D2871" i="2"/>
  <c r="D2867" i="2"/>
  <c r="D2863" i="2"/>
  <c r="D2859" i="2"/>
  <c r="D2855" i="2"/>
  <c r="D2851" i="2"/>
  <c r="D2847" i="2"/>
  <c r="D2843" i="2"/>
  <c r="D2839" i="2"/>
  <c r="D2835" i="2"/>
  <c r="D2831" i="2"/>
  <c r="D2827" i="2"/>
  <c r="D2823" i="2"/>
  <c r="D2819" i="2"/>
  <c r="D2815" i="2"/>
  <c r="D2811" i="2"/>
  <c r="D2807" i="2"/>
  <c r="D2803" i="2"/>
  <c r="D2799" i="2"/>
  <c r="D2795" i="2"/>
  <c r="D2791" i="2"/>
  <c r="D2787" i="2"/>
  <c r="D2783" i="2"/>
  <c r="D2779" i="2"/>
  <c r="D2775" i="2"/>
  <c r="D2771" i="2"/>
  <c r="D2767" i="2"/>
  <c r="D2763" i="2"/>
  <c r="D2759" i="2"/>
  <c r="D2755" i="2"/>
  <c r="D2751" i="2"/>
  <c r="D2747" i="2"/>
  <c r="D2743" i="2"/>
  <c r="D2739" i="2"/>
  <c r="D2735" i="2"/>
  <c r="D2731" i="2"/>
  <c r="D2727" i="2"/>
  <c r="D2723" i="2"/>
  <c r="D2719" i="2"/>
  <c r="D2715" i="2"/>
  <c r="D2711" i="2"/>
  <c r="D2707" i="2"/>
  <c r="D2703" i="2"/>
  <c r="D2699" i="2"/>
  <c r="D2695" i="2"/>
  <c r="D2691" i="2"/>
  <c r="D2687" i="2"/>
  <c r="D2683" i="2"/>
  <c r="D2679" i="2"/>
  <c r="D2675" i="2"/>
  <c r="D2671" i="2"/>
  <c r="D2667" i="2"/>
  <c r="D3578" i="2"/>
  <c r="D3474" i="2"/>
  <c r="D3388" i="2"/>
  <c r="D3356" i="2"/>
  <c r="D3335" i="2"/>
  <c r="D3319" i="2"/>
  <c r="D3303" i="2"/>
  <c r="D3287" i="2"/>
  <c r="D3271" i="2"/>
  <c r="D3255" i="2"/>
  <c r="D3239" i="2"/>
  <c r="D3223" i="2"/>
  <c r="D3207" i="2"/>
  <c r="D3191" i="2"/>
  <c r="D3175" i="2"/>
  <c r="D3152" i="2"/>
  <c r="D3144" i="2"/>
  <c r="D3136" i="2"/>
  <c r="D3128" i="2"/>
  <c r="D3120" i="2"/>
  <c r="D3112" i="2"/>
  <c r="D3104" i="2"/>
  <c r="D3096" i="2"/>
  <c r="D3088" i="2"/>
  <c r="D3080" i="2"/>
  <c r="D3072" i="2"/>
  <c r="D3064" i="2"/>
  <c r="D3056" i="2"/>
  <c r="D3048" i="2"/>
  <c r="D3040" i="2"/>
  <c r="D3477" i="2"/>
  <c r="D3375" i="2"/>
  <c r="D3330" i="2"/>
  <c r="D3298" i="2"/>
  <c r="D3266" i="2"/>
  <c r="D3234" i="2"/>
  <c r="D3202" i="2"/>
  <c r="D3170" i="2"/>
  <c r="D3159" i="2"/>
  <c r="D3143" i="2"/>
  <c r="D3127" i="2"/>
  <c r="D3111" i="2"/>
  <c r="D3095" i="2"/>
  <c r="D3079" i="2"/>
  <c r="D3063" i="2"/>
  <c r="D3047" i="2"/>
  <c r="D3026" i="2"/>
  <c r="D3025" i="2"/>
  <c r="D3024" i="2"/>
  <c r="D3010" i="2"/>
  <c r="D3009" i="2"/>
  <c r="D3008" i="2"/>
  <c r="D2994" i="2"/>
  <c r="D2993" i="2"/>
  <c r="D2992" i="2"/>
  <c r="D2978" i="2"/>
  <c r="D2977" i="2"/>
  <c r="D2976" i="2"/>
  <c r="D2962" i="2"/>
  <c r="D2961" i="2"/>
  <c r="D2960" i="2"/>
  <c r="D2946" i="2"/>
  <c r="D2945" i="2"/>
  <c r="D2944" i="2"/>
  <c r="D2930" i="2"/>
  <c r="D2929" i="2"/>
  <c r="D2928" i="2"/>
  <c r="D2914" i="2"/>
  <c r="D2913" i="2"/>
  <c r="D2912" i="2"/>
  <c r="D2898" i="2"/>
  <c r="D2897" i="2"/>
  <c r="D2896" i="2"/>
  <c r="D2882" i="2"/>
  <c r="D2881" i="2"/>
  <c r="D2880" i="2"/>
  <c r="D2866" i="2"/>
  <c r="D2865" i="2"/>
  <c r="D2864" i="2"/>
  <c r="D2850" i="2"/>
  <c r="D2849" i="2"/>
  <c r="D2848" i="2"/>
  <c r="D2834" i="2"/>
  <c r="D2833" i="2"/>
  <c r="D2832" i="2"/>
  <c r="D2818" i="2"/>
  <c r="D2817" i="2"/>
  <c r="D2816" i="2"/>
  <c r="D2802" i="2"/>
  <c r="D2801" i="2"/>
  <c r="D2800" i="2"/>
  <c r="D2786" i="2"/>
  <c r="D2785" i="2"/>
  <c r="D2784" i="2"/>
  <c r="D2770" i="2"/>
  <c r="D2769" i="2"/>
  <c r="D2768" i="2"/>
  <c r="D2754" i="2"/>
  <c r="D2753" i="2"/>
  <c r="D2752" i="2"/>
  <c r="D2738" i="2"/>
  <c r="D2737" i="2"/>
  <c r="D2736" i="2"/>
  <c r="D2722" i="2"/>
  <c r="D2721" i="2"/>
  <c r="D2720" i="2"/>
  <c r="D2706" i="2"/>
  <c r="D2705" i="2"/>
  <c r="D2704" i="2"/>
  <c r="D2690" i="2"/>
  <c r="D2689" i="2"/>
  <c r="D2688" i="2"/>
  <c r="D2674" i="2"/>
  <c r="D2673" i="2"/>
  <c r="D2672" i="2"/>
  <c r="D2660" i="2"/>
  <c r="D2656" i="2"/>
  <c r="D2652" i="2"/>
  <c r="D2648" i="2"/>
  <c r="D2644" i="2"/>
  <c r="D2640" i="2"/>
  <c r="D2636" i="2"/>
  <c r="D2632" i="2"/>
  <c r="D2628" i="2"/>
  <c r="D2624" i="2"/>
  <c r="D3442" i="2"/>
  <c r="D3404" i="2"/>
  <c r="D3327" i="2"/>
  <c r="D3295" i="2"/>
  <c r="D3263" i="2"/>
  <c r="D3231" i="2"/>
  <c r="D3199" i="2"/>
  <c r="D3167" i="2"/>
  <c r="D3156" i="2"/>
  <c r="D3140" i="2"/>
  <c r="D3124" i="2"/>
  <c r="D3108" i="2"/>
  <c r="D3092" i="2"/>
  <c r="D3076" i="2"/>
  <c r="D3060" i="2"/>
  <c r="D3044" i="2"/>
  <c r="D3022" i="2"/>
  <c r="D3021" i="2"/>
  <c r="D3020" i="2"/>
  <c r="D3006" i="2"/>
  <c r="D3005" i="2"/>
  <c r="D3004" i="2"/>
  <c r="D2990" i="2"/>
  <c r="D2989" i="2"/>
  <c r="D2988" i="2"/>
  <c r="D2974" i="2"/>
  <c r="D2973" i="2"/>
  <c r="D2972" i="2"/>
  <c r="D2958" i="2"/>
  <c r="D2957" i="2"/>
  <c r="D2956" i="2"/>
  <c r="D2942" i="2"/>
  <c r="D2941" i="2"/>
  <c r="D2940" i="2"/>
  <c r="D2926" i="2"/>
  <c r="D2925" i="2"/>
  <c r="D2924" i="2"/>
  <c r="D2910" i="2"/>
  <c r="D2909" i="2"/>
  <c r="D2908" i="2"/>
  <c r="D2894" i="2"/>
  <c r="D2893" i="2"/>
  <c r="D2892" i="2"/>
  <c r="D2878" i="2"/>
  <c r="D2877" i="2"/>
  <c r="D2876" i="2"/>
  <c r="D2862" i="2"/>
  <c r="D2861" i="2"/>
  <c r="D2860" i="2"/>
  <c r="D2846" i="2"/>
  <c r="D2845" i="2"/>
  <c r="D2844" i="2"/>
  <c r="D2830" i="2"/>
  <c r="D2829" i="2"/>
  <c r="D2828" i="2"/>
  <c r="D2814" i="2"/>
  <c r="D2813" i="2"/>
  <c r="D2812" i="2"/>
  <c r="D2798" i="2"/>
  <c r="D2797" i="2"/>
  <c r="D2796" i="2"/>
  <c r="D2782" i="2"/>
  <c r="D2781" i="2"/>
  <c r="D2780" i="2"/>
  <c r="D2766" i="2"/>
  <c r="D2765" i="2"/>
  <c r="D2764" i="2"/>
  <c r="D2750" i="2"/>
  <c r="D2749" i="2"/>
  <c r="D2748" i="2"/>
  <c r="D2734" i="2"/>
  <c r="D2733" i="2"/>
  <c r="D2732" i="2"/>
  <c r="D2718" i="2"/>
  <c r="D2717" i="2"/>
  <c r="D2716" i="2"/>
  <c r="D2702" i="2"/>
  <c r="D2701" i="2"/>
  <c r="D2700" i="2"/>
  <c r="D2686" i="2"/>
  <c r="D2685" i="2"/>
  <c r="D2684" i="2"/>
  <c r="D2670" i="2"/>
  <c r="D2669" i="2"/>
  <c r="D2668" i="2"/>
  <c r="D2661" i="2"/>
  <c r="D2657" i="2"/>
  <c r="D2653" i="2"/>
  <c r="D2649" i="2"/>
  <c r="D2645" i="2"/>
  <c r="D2641" i="2"/>
  <c r="D2637" i="2"/>
  <c r="D2633" i="2"/>
  <c r="D2629" i="2"/>
  <c r="D2625" i="2"/>
  <c r="D2621" i="2"/>
  <c r="D2617" i="2"/>
  <c r="D2613" i="2"/>
  <c r="D2609" i="2"/>
  <c r="D2605" i="2"/>
  <c r="D2601" i="2"/>
  <c r="D2597" i="2"/>
  <c r="D2593" i="2"/>
  <c r="D2589" i="2"/>
  <c r="D2585" i="2"/>
  <c r="D2581" i="2"/>
  <c r="D2577" i="2"/>
  <c r="D2573" i="2"/>
  <c r="D2569" i="2"/>
  <c r="D2565" i="2"/>
  <c r="D2561" i="2"/>
  <c r="D2557" i="2"/>
  <c r="D2553" i="2"/>
  <c r="D2549" i="2"/>
  <c r="D2545" i="2"/>
  <c r="D2541" i="2"/>
  <c r="D2537" i="2"/>
  <c r="D2533" i="2"/>
  <c r="D2529" i="2"/>
  <c r="D2525" i="2"/>
  <c r="D2521" i="2"/>
  <c r="D2517" i="2"/>
  <c r="D2513" i="2"/>
  <c r="D2509" i="2"/>
  <c r="D3282" i="2"/>
  <c r="D3218" i="2"/>
  <c r="D3160" i="2"/>
  <c r="D3151" i="2"/>
  <c r="D3119" i="2"/>
  <c r="D3087" i="2"/>
  <c r="D3055" i="2"/>
  <c r="D3034" i="2"/>
  <c r="D3033" i="2"/>
  <c r="D3032" i="2"/>
  <c r="D3002" i="2"/>
  <c r="D3001" i="2"/>
  <c r="D3000" i="2"/>
  <c r="D2970" i="2"/>
  <c r="D2969" i="2"/>
  <c r="D2968" i="2"/>
  <c r="D2938" i="2"/>
  <c r="D2937" i="2"/>
  <c r="D2936" i="2"/>
  <c r="D2906" i="2"/>
  <c r="D2905" i="2"/>
  <c r="D2904" i="2"/>
  <c r="D2874" i="2"/>
  <c r="D2873" i="2"/>
  <c r="D2872" i="2"/>
  <c r="D2842" i="2"/>
  <c r="D2841" i="2"/>
  <c r="D2840" i="2"/>
  <c r="D2810" i="2"/>
  <c r="D2809" i="2"/>
  <c r="D2808" i="2"/>
  <c r="D2778" i="2"/>
  <c r="D2777" i="2"/>
  <c r="D2776" i="2"/>
  <c r="D2746" i="2"/>
  <c r="D2745" i="2"/>
  <c r="D2744" i="2"/>
  <c r="D2714" i="2"/>
  <c r="D2713" i="2"/>
  <c r="D2712" i="2"/>
  <c r="D2682" i="2"/>
  <c r="D2681" i="2"/>
  <c r="D2680" i="2"/>
  <c r="D2662" i="2"/>
  <c r="D2654" i="2"/>
  <c r="D2646" i="2"/>
  <c r="D2638" i="2"/>
  <c r="D2630" i="2"/>
  <c r="D2616" i="2"/>
  <c r="D2615" i="2"/>
  <c r="D2614" i="2"/>
  <c r="D2600" i="2"/>
  <c r="D2599" i="2"/>
  <c r="D2598" i="2"/>
  <c r="D2584" i="2"/>
  <c r="D2583" i="2"/>
  <c r="D2582" i="2"/>
  <c r="D2568" i="2"/>
  <c r="D2567" i="2"/>
  <c r="D2566" i="2"/>
  <c r="D2552" i="2"/>
  <c r="D2551" i="2"/>
  <c r="D2550" i="2"/>
  <c r="D2536" i="2"/>
  <c r="D2535" i="2"/>
  <c r="D2534" i="2"/>
  <c r="D2520" i="2"/>
  <c r="D2519" i="2"/>
  <c r="D2518" i="2"/>
  <c r="D2508" i="2"/>
  <c r="D2504" i="2"/>
  <c r="D2500" i="2"/>
  <c r="D2496" i="2"/>
  <c r="D2492" i="2"/>
  <c r="D2488" i="2"/>
  <c r="D2484" i="2"/>
  <c r="D2480" i="2"/>
  <c r="D2476" i="2"/>
  <c r="D2472" i="2"/>
  <c r="D2468" i="2"/>
  <c r="D2464" i="2"/>
  <c r="D2460" i="2"/>
  <c r="D2456" i="2"/>
  <c r="D2452" i="2"/>
  <c r="D2448" i="2"/>
  <c r="D2444" i="2"/>
  <c r="D2440" i="2"/>
  <c r="D2436" i="2"/>
  <c r="D2432" i="2"/>
  <c r="D2428" i="2"/>
  <c r="D2424" i="2"/>
  <c r="D2420" i="2"/>
  <c r="D2416" i="2"/>
  <c r="D2412" i="2"/>
  <c r="D2408" i="2"/>
  <c r="D2404" i="2"/>
  <c r="D2400" i="2"/>
  <c r="D2396" i="2"/>
  <c r="D2392" i="2"/>
  <c r="D2388" i="2"/>
  <c r="D2384" i="2"/>
  <c r="D2380" i="2"/>
  <c r="D2376" i="2"/>
  <c r="D2372" i="2"/>
  <c r="D2368" i="2"/>
  <c r="D2364" i="2"/>
  <c r="D2360" i="2"/>
  <c r="D2356" i="2"/>
  <c r="D2352" i="2"/>
  <c r="D2348" i="2"/>
  <c r="D2344" i="2"/>
  <c r="D2340" i="2"/>
  <c r="D2336" i="2"/>
  <c r="D2332" i="2"/>
  <c r="D2328" i="2"/>
  <c r="D2324" i="2"/>
  <c r="D2320" i="2"/>
  <c r="D2316" i="2"/>
  <c r="D2312" i="2"/>
  <c r="D2308" i="2"/>
  <c r="D2304" i="2"/>
  <c r="D2300" i="2"/>
  <c r="D2296" i="2"/>
  <c r="D2292" i="2"/>
  <c r="D2288" i="2"/>
  <c r="D2284" i="2"/>
  <c r="D2280" i="2"/>
  <c r="D2276" i="2"/>
  <c r="D2272" i="2"/>
  <c r="D2268" i="2"/>
  <c r="D2264" i="2"/>
  <c r="D2260" i="2"/>
  <c r="D2256" i="2"/>
  <c r="D2252" i="2"/>
  <c r="D2248" i="2"/>
  <c r="D2244" i="2"/>
  <c r="D2240" i="2"/>
  <c r="D2236" i="2"/>
  <c r="D2232" i="2"/>
  <c r="D2228" i="2"/>
  <c r="D2224" i="2"/>
  <c r="D2220" i="2"/>
  <c r="D2216" i="2"/>
  <c r="D2212" i="2"/>
  <c r="D2208" i="2"/>
  <c r="D2204" i="2"/>
  <c r="D2200" i="2"/>
  <c r="D2196" i="2"/>
  <c r="D2192" i="2"/>
  <c r="D2188" i="2"/>
  <c r="D2184" i="2"/>
  <c r="D2180" i="2"/>
  <c r="D2176" i="2"/>
  <c r="D2172" i="2"/>
  <c r="D2168" i="2"/>
  <c r="D2164" i="2"/>
  <c r="D2160" i="2"/>
  <c r="D2156" i="2"/>
  <c r="D2152" i="2"/>
  <c r="D2148" i="2"/>
  <c r="D2144" i="2"/>
  <c r="D2140" i="2"/>
  <c r="D2136" i="2"/>
  <c r="D2132" i="2"/>
  <c r="D2128" i="2"/>
  <c r="D2124" i="2"/>
  <c r="D2120" i="2"/>
  <c r="D2116" i="2"/>
  <c r="D2112" i="2"/>
  <c r="D2108" i="2"/>
  <c r="D2104" i="2"/>
  <c r="D2100" i="2"/>
  <c r="D2096" i="2"/>
  <c r="D2092" i="2"/>
  <c r="D2088" i="2"/>
  <c r="D2084" i="2"/>
  <c r="D2080" i="2"/>
  <c r="D2076" i="2"/>
  <c r="D2072" i="2"/>
  <c r="D2068" i="2"/>
  <c r="D2064" i="2"/>
  <c r="D2060" i="2"/>
  <c r="D2056" i="2"/>
  <c r="D2052" i="2"/>
  <c r="D2048" i="2"/>
  <c r="D2044" i="2"/>
  <c r="D2040" i="2"/>
  <c r="D2036" i="2"/>
  <c r="D2032" i="2"/>
  <c r="D2028" i="2"/>
  <c r="D2024" i="2"/>
  <c r="D2020" i="2"/>
  <c r="D2016" i="2"/>
  <c r="D2012" i="2"/>
  <c r="D2008" i="2"/>
  <c r="D2004" i="2"/>
  <c r="D2000" i="2"/>
  <c r="D1996" i="2"/>
  <c r="D1992" i="2"/>
  <c r="D1988" i="2"/>
  <c r="D1984" i="2"/>
  <c r="D1980" i="2"/>
  <c r="D1976" i="2"/>
  <c r="D1972" i="2"/>
  <c r="D1968" i="2"/>
  <c r="D1964" i="2"/>
  <c r="D1960" i="2"/>
  <c r="D1956" i="2"/>
  <c r="D1952" i="2"/>
  <c r="D1948" i="2"/>
  <c r="D1944" i="2"/>
  <c r="D1940" i="2"/>
  <c r="D1936" i="2"/>
  <c r="D1932" i="2"/>
  <c r="D1928" i="2"/>
  <c r="D1924" i="2"/>
  <c r="D1920" i="2"/>
  <c r="D1916" i="2"/>
  <c r="D1912" i="2"/>
  <c r="D1908" i="2"/>
  <c r="D1904" i="2"/>
  <c r="D1900" i="2"/>
  <c r="D1896" i="2"/>
  <c r="D1892" i="2"/>
  <c r="D1888" i="2"/>
  <c r="D1884" i="2"/>
  <c r="D1880" i="2"/>
  <c r="D1876" i="2"/>
  <c r="D1872" i="2"/>
  <c r="D1868" i="2"/>
  <c r="D1864" i="2"/>
  <c r="D1860" i="2"/>
  <c r="D1856" i="2"/>
  <c r="D1852" i="2"/>
  <c r="D1848" i="2"/>
  <c r="D1844" i="2"/>
  <c r="D1840" i="2"/>
  <c r="D1836" i="2"/>
  <c r="D1832" i="2"/>
  <c r="D1828" i="2"/>
  <c r="D1824" i="2"/>
  <c r="D1820" i="2"/>
  <c r="D1816" i="2"/>
  <c r="D1812" i="2"/>
  <c r="D1808" i="2"/>
  <c r="D1804" i="2"/>
  <c r="D1800" i="2"/>
  <c r="D1796" i="2"/>
  <c r="D3372" i="2"/>
  <c r="D3311" i="2"/>
  <c r="D3247" i="2"/>
  <c r="D3183" i="2"/>
  <c r="D3148" i="2"/>
  <c r="D3116" i="2"/>
  <c r="D3084" i="2"/>
  <c r="D3052" i="2"/>
  <c r="D3036" i="2"/>
  <c r="D3030" i="2"/>
  <c r="D3029" i="2"/>
  <c r="D3028" i="2"/>
  <c r="D2998" i="2"/>
  <c r="D2997" i="2"/>
  <c r="D2996" i="2"/>
  <c r="D2966" i="2"/>
  <c r="D2965" i="2"/>
  <c r="D2964" i="2"/>
  <c r="D2934" i="2"/>
  <c r="D2933" i="2"/>
  <c r="D2932" i="2"/>
  <c r="D2902" i="2"/>
  <c r="D2901" i="2"/>
  <c r="D2900" i="2"/>
  <c r="D2870" i="2"/>
  <c r="D2869" i="2"/>
  <c r="D2868" i="2"/>
  <c r="D2838" i="2"/>
  <c r="D2837" i="2"/>
  <c r="D2836" i="2"/>
  <c r="D2806" i="2"/>
  <c r="D2805" i="2"/>
  <c r="D2804" i="2"/>
  <c r="D2774" i="2"/>
  <c r="D2773" i="2"/>
  <c r="D2772" i="2"/>
  <c r="D2742" i="2"/>
  <c r="D2741" i="2"/>
  <c r="D2740" i="2"/>
  <c r="D2710" i="2"/>
  <c r="D2709" i="2"/>
  <c r="D2708" i="2"/>
  <c r="D2678" i="2"/>
  <c r="D2677" i="2"/>
  <c r="D2676" i="2"/>
  <c r="D2659" i="2"/>
  <c r="D2651" i="2"/>
  <c r="D2643" i="2"/>
  <c r="D2635" i="2"/>
  <c r="D2627" i="2"/>
  <c r="D2612" i="2"/>
  <c r="D2611" i="2"/>
  <c r="D2610" i="2"/>
  <c r="D2596" i="2"/>
  <c r="D2595" i="2"/>
  <c r="D2594" i="2"/>
  <c r="D2580" i="2"/>
  <c r="D2579" i="2"/>
  <c r="D2578" i="2"/>
  <c r="D2564" i="2"/>
  <c r="D2563" i="2"/>
  <c r="D2562" i="2"/>
  <c r="D2548" i="2"/>
  <c r="D2547" i="2"/>
  <c r="D2546" i="2"/>
  <c r="D2532" i="2"/>
  <c r="D2531" i="2"/>
  <c r="D2530" i="2"/>
  <c r="D2516" i="2"/>
  <c r="D2515" i="2"/>
  <c r="D2514" i="2"/>
  <c r="D2505" i="2"/>
  <c r="D2501" i="2"/>
  <c r="D2497" i="2"/>
  <c r="D2493" i="2"/>
  <c r="D2489" i="2"/>
  <c r="D2485" i="2"/>
  <c r="D2481" i="2"/>
  <c r="D2477" i="2"/>
  <c r="D2473" i="2"/>
  <c r="D2469" i="2"/>
  <c r="D2465" i="2"/>
  <c r="D2461" i="2"/>
  <c r="D2457" i="2"/>
  <c r="D2453" i="2"/>
  <c r="D2449" i="2"/>
  <c r="D2445" i="2"/>
  <c r="D2441" i="2"/>
  <c r="D2437" i="2"/>
  <c r="D2433" i="2"/>
  <c r="D2429" i="2"/>
  <c r="D2425" i="2"/>
  <c r="D2421" i="2"/>
  <c r="D2417" i="2"/>
  <c r="D2413" i="2"/>
  <c r="D2409" i="2"/>
  <c r="D2405" i="2"/>
  <c r="D2401" i="2"/>
  <c r="D2397" i="2"/>
  <c r="D2393" i="2"/>
  <c r="D2389" i="2"/>
  <c r="D2385" i="2"/>
  <c r="D2381" i="2"/>
  <c r="D2377" i="2"/>
  <c r="D2373" i="2"/>
  <c r="D2369" i="2"/>
  <c r="D2365" i="2"/>
  <c r="D2361" i="2"/>
  <c r="D2357" i="2"/>
  <c r="D2353" i="2"/>
  <c r="D2349" i="2"/>
  <c r="D2345" i="2"/>
  <c r="D2341" i="2"/>
  <c r="D2337" i="2"/>
  <c r="D2333" i="2"/>
  <c r="D2329" i="2"/>
  <c r="D2325" i="2"/>
  <c r="D2321" i="2"/>
  <c r="D2317" i="2"/>
  <c r="D2313" i="2"/>
  <c r="D2309" i="2"/>
  <c r="D2305" i="2"/>
  <c r="D2301" i="2"/>
  <c r="D2297" i="2"/>
  <c r="D2293" i="2"/>
  <c r="D2289" i="2"/>
  <c r="D2285" i="2"/>
  <c r="D2281" i="2"/>
  <c r="D2277" i="2"/>
  <c r="D2273" i="2"/>
  <c r="D2269" i="2"/>
  <c r="D2265" i="2"/>
  <c r="D2261" i="2"/>
  <c r="D2257" i="2"/>
  <c r="D2253" i="2"/>
  <c r="D2249" i="2"/>
  <c r="D2245" i="2"/>
  <c r="D2241" i="2"/>
  <c r="D2237" i="2"/>
  <c r="D2233" i="2"/>
  <c r="D2229" i="2"/>
  <c r="D2225" i="2"/>
  <c r="D2221" i="2"/>
  <c r="D2217" i="2"/>
  <c r="D2213" i="2"/>
  <c r="D2209" i="2"/>
  <c r="D2205" i="2"/>
  <c r="D2201" i="2"/>
  <c r="D2197" i="2"/>
  <c r="D2193" i="2"/>
  <c r="D2189" i="2"/>
  <c r="D2185" i="2"/>
  <c r="D2181" i="2"/>
  <c r="D2177" i="2"/>
  <c r="D2173" i="2"/>
  <c r="D2169" i="2"/>
  <c r="D2165" i="2"/>
  <c r="D2161" i="2"/>
  <c r="D2157" i="2"/>
  <c r="D2153" i="2"/>
  <c r="D2149" i="2"/>
  <c r="D2145" i="2"/>
  <c r="D2141" i="2"/>
  <c r="D2137" i="2"/>
  <c r="D2133" i="2"/>
  <c r="D2129" i="2"/>
  <c r="D2125" i="2"/>
  <c r="D2121" i="2"/>
  <c r="D2117" i="2"/>
  <c r="D2113" i="2"/>
  <c r="D2109" i="2"/>
  <c r="D2105" i="2"/>
  <c r="D2101" i="2"/>
  <c r="D2097" i="2"/>
  <c r="D2093" i="2"/>
  <c r="D2089" i="2"/>
  <c r="D2085" i="2"/>
  <c r="D2081" i="2"/>
  <c r="D2077" i="2"/>
  <c r="D2073" i="2"/>
  <c r="D2069" i="2"/>
  <c r="D2065" i="2"/>
  <c r="D2061" i="2"/>
  <c r="D2057" i="2"/>
  <c r="D2053" i="2"/>
  <c r="D2049" i="2"/>
  <c r="D2045" i="2"/>
  <c r="D2041" i="2"/>
  <c r="D2037" i="2"/>
  <c r="D2033" i="2"/>
  <c r="D2029" i="2"/>
  <c r="D2025" i="2"/>
  <c r="D2021" i="2"/>
  <c r="D2017" i="2"/>
  <c r="D2013" i="2"/>
  <c r="D2009" i="2"/>
  <c r="D2005" i="2"/>
  <c r="D2001" i="2"/>
  <c r="D1997" i="2"/>
  <c r="D1993" i="2"/>
  <c r="D1989" i="2"/>
  <c r="D1985" i="2"/>
  <c r="D1981" i="2"/>
  <c r="D1977" i="2"/>
  <c r="D1973" i="2"/>
  <c r="D1969" i="2"/>
  <c r="D1965" i="2"/>
  <c r="D1961" i="2"/>
  <c r="D1957" i="2"/>
  <c r="D1953" i="2"/>
  <c r="D1949" i="2"/>
  <c r="D1945" i="2"/>
  <c r="D1941" i="2"/>
  <c r="D1937" i="2"/>
  <c r="D1933" i="2"/>
  <c r="D1929" i="2"/>
  <c r="D1925" i="2"/>
  <c r="D1921" i="2"/>
  <c r="D1917" i="2"/>
  <c r="D1913" i="2"/>
  <c r="D3250" i="2"/>
  <c r="D3135" i="2"/>
  <c r="D3071" i="2"/>
  <c r="D3017" i="2"/>
  <c r="D2986" i="2"/>
  <c r="D2984" i="2"/>
  <c r="D3215" i="2"/>
  <c r="D3100" i="2"/>
  <c r="D3013" i="2"/>
  <c r="D3314" i="2"/>
  <c r="D3186" i="2"/>
  <c r="D3103" i="2"/>
  <c r="D3039" i="2"/>
  <c r="D3018" i="2"/>
  <c r="D3016" i="2"/>
  <c r="D2985" i="2"/>
  <c r="D2954" i="2"/>
  <c r="D3068" i="2"/>
  <c r="D2981" i="2"/>
  <c r="D2950" i="2"/>
  <c r="D2948" i="2"/>
  <c r="D2917" i="2"/>
  <c r="D2886" i="2"/>
  <c r="D2884" i="2"/>
  <c r="D2853" i="2"/>
  <c r="D2822" i="2"/>
  <c r="D2820" i="2"/>
  <c r="D2789" i="2"/>
  <c r="D2758" i="2"/>
  <c r="D2756" i="2"/>
  <c r="D2725" i="2"/>
  <c r="D2694" i="2"/>
  <c r="D2692" i="2"/>
  <c r="D3132" i="2"/>
  <c r="D3014" i="2"/>
  <c r="D2980" i="2"/>
  <c r="D2953" i="2"/>
  <c r="D2922" i="2"/>
  <c r="D2920" i="2"/>
  <c r="D2889" i="2"/>
  <c r="D2858" i="2"/>
  <c r="D2856" i="2"/>
  <c r="D2825" i="2"/>
  <c r="D2794" i="2"/>
  <c r="D2792" i="2"/>
  <c r="D3279" i="2"/>
  <c r="D3012" i="2"/>
  <c r="D2949" i="2"/>
  <c r="D2918" i="2"/>
  <c r="D2916" i="2"/>
  <c r="D2885" i="2"/>
  <c r="D2854" i="2"/>
  <c r="D2852" i="2"/>
  <c r="D2821" i="2"/>
  <c r="D2790" i="2"/>
  <c r="D2788" i="2"/>
  <c r="D2757" i="2"/>
  <c r="D2726" i="2"/>
  <c r="D2724" i="2"/>
  <c r="D2693" i="2"/>
  <c r="D2888" i="2"/>
  <c r="D2857" i="2"/>
  <c r="D2826" i="2"/>
  <c r="D2728" i="2"/>
  <c r="D2697" i="2"/>
  <c r="D2665" i="2"/>
  <c r="D2650" i="2"/>
  <c r="D2634" i="2"/>
  <c r="D2608" i="2"/>
  <c r="D2607" i="2"/>
  <c r="D2606" i="2"/>
  <c r="D2576" i="2"/>
  <c r="D2575" i="2"/>
  <c r="D2574" i="2"/>
  <c r="D2544" i="2"/>
  <c r="D2543" i="2"/>
  <c r="D2542" i="2"/>
  <c r="D2512" i="2"/>
  <c r="D2511" i="2"/>
  <c r="D2510" i="2"/>
  <c r="D2506" i="2"/>
  <c r="D2498" i="2"/>
  <c r="D2490" i="2"/>
  <c r="D2482" i="2"/>
  <c r="D2474" i="2"/>
  <c r="D2466" i="2"/>
  <c r="D2824" i="2"/>
  <c r="D2793" i="2"/>
  <c r="D2762" i="2"/>
  <c r="D2696" i="2"/>
  <c r="D2663" i="2"/>
  <c r="D2647" i="2"/>
  <c r="D2631" i="2"/>
  <c r="D2604" i="2"/>
  <c r="D2603" i="2"/>
  <c r="D2602" i="2"/>
  <c r="D2572" i="2"/>
  <c r="D2571" i="2"/>
  <c r="D2570" i="2"/>
  <c r="D2540" i="2"/>
  <c r="D2539" i="2"/>
  <c r="D2538" i="2"/>
  <c r="D2503" i="2"/>
  <c r="D2495" i="2"/>
  <c r="D2487" i="2"/>
  <c r="D2479" i="2"/>
  <c r="D2471" i="2"/>
  <c r="D2463" i="2"/>
  <c r="D2455" i="2"/>
  <c r="D2447" i="2"/>
  <c r="D2439" i="2"/>
  <c r="D2431" i="2"/>
  <c r="D2423" i="2"/>
  <c r="D2415" i="2"/>
  <c r="D2761" i="2"/>
  <c r="D2730" i="2"/>
  <c r="D2666" i="2"/>
  <c r="D2664" i="2"/>
  <c r="D2658" i="2"/>
  <c r="D2642" i="2"/>
  <c r="D2626" i="2"/>
  <c r="D2622" i="2"/>
  <c r="D2592" i="2"/>
  <c r="D2591" i="2"/>
  <c r="D2590" i="2"/>
  <c r="D2560" i="2"/>
  <c r="D2559" i="2"/>
  <c r="D2558" i="2"/>
  <c r="D2528" i="2"/>
  <c r="D2527" i="2"/>
  <c r="D2526" i="2"/>
  <c r="D2502" i="2"/>
  <c r="D2494" i="2"/>
  <c r="D2486" i="2"/>
  <c r="D2478" i="2"/>
  <c r="D2470" i="2"/>
  <c r="D2462" i="2"/>
  <c r="D2454" i="2"/>
  <c r="D2446" i="2"/>
  <c r="D2438" i="2"/>
  <c r="D2430" i="2"/>
  <c r="D2422" i="2"/>
  <c r="D2414" i="2"/>
  <c r="D2982" i="2"/>
  <c r="D2760" i="2"/>
  <c r="D2729" i="2"/>
  <c r="D2698" i="2"/>
  <c r="D2623" i="2"/>
  <c r="D2619" i="2"/>
  <c r="D2588" i="2"/>
  <c r="D2522" i="2"/>
  <c r="D2507" i="2"/>
  <c r="D2475" i="2"/>
  <c r="D2458" i="2"/>
  <c r="D2442" i="2"/>
  <c r="D2426" i="2"/>
  <c r="D2403" i="2"/>
  <c r="D2395" i="2"/>
  <c r="D2387" i="2"/>
  <c r="D2379" i="2"/>
  <c r="D2371" i="2"/>
  <c r="D2363" i="2"/>
  <c r="D2355" i="2"/>
  <c r="D2347" i="2"/>
  <c r="D2339" i="2"/>
  <c r="D2331" i="2"/>
  <c r="D2323" i="2"/>
  <c r="D2315" i="2"/>
  <c r="D2307" i="2"/>
  <c r="D2299" i="2"/>
  <c r="D2291" i="2"/>
  <c r="D2283" i="2"/>
  <c r="D2275" i="2"/>
  <c r="D2267" i="2"/>
  <c r="D2259" i="2"/>
  <c r="D2251" i="2"/>
  <c r="D2243" i="2"/>
  <c r="D2235" i="2"/>
  <c r="D2227" i="2"/>
  <c r="D2219" i="2"/>
  <c r="D2211" i="2"/>
  <c r="D2203" i="2"/>
  <c r="D2195" i="2"/>
  <c r="D2187" i="2"/>
  <c r="D2179" i="2"/>
  <c r="D2171" i="2"/>
  <c r="D2163" i="2"/>
  <c r="D2155" i="2"/>
  <c r="D2147" i="2"/>
  <c r="D2139" i="2"/>
  <c r="D2131" i="2"/>
  <c r="D2123" i="2"/>
  <c r="D2115" i="2"/>
  <c r="D2107" i="2"/>
  <c r="D2099" i="2"/>
  <c r="D2091" i="2"/>
  <c r="D2083" i="2"/>
  <c r="D2075" i="2"/>
  <c r="D2067" i="2"/>
  <c r="D2059" i="2"/>
  <c r="D2639" i="2"/>
  <c r="D2618" i="2"/>
  <c r="D2587" i="2"/>
  <c r="D2556" i="2"/>
  <c r="D2483" i="2"/>
  <c r="D2443" i="2"/>
  <c r="D2427" i="2"/>
  <c r="D2411" i="2"/>
  <c r="D2410" i="2"/>
  <c r="D2402" i="2"/>
  <c r="D2394" i="2"/>
  <c r="D2386" i="2"/>
  <c r="D2378" i="2"/>
  <c r="D2370" i="2"/>
  <c r="D2362" i="2"/>
  <c r="D2354" i="2"/>
  <c r="D2346" i="2"/>
  <c r="D2338" i="2"/>
  <c r="D2330" i="2"/>
  <c r="D2322" i="2"/>
  <c r="D2314" i="2"/>
  <c r="D2306" i="2"/>
  <c r="D2298" i="2"/>
  <c r="D2290" i="2"/>
  <c r="D2282" i="2"/>
  <c r="D2274" i="2"/>
  <c r="D2266" i="2"/>
  <c r="D2258" i="2"/>
  <c r="D2250" i="2"/>
  <c r="D2242" i="2"/>
  <c r="D2234" i="2"/>
  <c r="D2226" i="2"/>
  <c r="D2218" i="2"/>
  <c r="D2210" i="2"/>
  <c r="D2202" i="2"/>
  <c r="D2194" i="2"/>
  <c r="D2186" i="2"/>
  <c r="D2178" i="2"/>
  <c r="D2170" i="2"/>
  <c r="D2162" i="2"/>
  <c r="D2154" i="2"/>
  <c r="D2146" i="2"/>
  <c r="D2138" i="2"/>
  <c r="D2130" i="2"/>
  <c r="D2122" i="2"/>
  <c r="D2114" i="2"/>
  <c r="D2106" i="2"/>
  <c r="D2098" i="2"/>
  <c r="D2090" i="2"/>
  <c r="D2082" i="2"/>
  <c r="D2074" i="2"/>
  <c r="D2066" i="2"/>
  <c r="D2058" i="2"/>
  <c r="D2050" i="2"/>
  <c r="D2042" i="2"/>
  <c r="D2034" i="2"/>
  <c r="D2026" i="2"/>
  <c r="D2018" i="2"/>
  <c r="D2010" i="2"/>
  <c r="D2002" i="2"/>
  <c r="D1994" i="2"/>
  <c r="D2952" i="2"/>
  <c r="D2921" i="2"/>
  <c r="D2890" i="2"/>
  <c r="D2655" i="2"/>
  <c r="D2586" i="2"/>
  <c r="D2555" i="2"/>
  <c r="D2524" i="2"/>
  <c r="D2491" i="2"/>
  <c r="D2459" i="2"/>
  <c r="D2450" i="2"/>
  <c r="D2434" i="2"/>
  <c r="D2418" i="2"/>
  <c r="D2407" i="2"/>
  <c r="D2399" i="2"/>
  <c r="D2391" i="2"/>
  <c r="D2383" i="2"/>
  <c r="D2375" i="2"/>
  <c r="D2367" i="2"/>
  <c r="D2359" i="2"/>
  <c r="D2351" i="2"/>
  <c r="D2343" i="2"/>
  <c r="D2335" i="2"/>
  <c r="D2327" i="2"/>
  <c r="D2319" i="2"/>
  <c r="D2311" i="2"/>
  <c r="D2303" i="2"/>
  <c r="D2295" i="2"/>
  <c r="D2287" i="2"/>
  <c r="D2279" i="2"/>
  <c r="D2271" i="2"/>
  <c r="D2263" i="2"/>
  <c r="D2255" i="2"/>
  <c r="D2247" i="2"/>
  <c r="D2239" i="2"/>
  <c r="D2231" i="2"/>
  <c r="D2223" i="2"/>
  <c r="D2215" i="2"/>
  <c r="D2207" i="2"/>
  <c r="D2199" i="2"/>
  <c r="D2191" i="2"/>
  <c r="D2183" i="2"/>
  <c r="D2175" i="2"/>
  <c r="D2167" i="2"/>
  <c r="D2159" i="2"/>
  <c r="D2151" i="2"/>
  <c r="D2143" i="2"/>
  <c r="D2135" i="2"/>
  <c r="D2127" i="2"/>
  <c r="D2119" i="2"/>
  <c r="D2111" i="2"/>
  <c r="D2103" i="2"/>
  <c r="D2095" i="2"/>
  <c r="D2087" i="2"/>
  <c r="D2079" i="2"/>
  <c r="D2071" i="2"/>
  <c r="D2063" i="2"/>
  <c r="D2055" i="2"/>
  <c r="D2047" i="2"/>
  <c r="D2039" i="2"/>
  <c r="D2031" i="2"/>
  <c r="D2023" i="2"/>
  <c r="D2015" i="2"/>
  <c r="D2007" i="2"/>
  <c r="D1999" i="2"/>
  <c r="D1991" i="2"/>
  <c r="D2435" i="2"/>
  <c r="D2382" i="2"/>
  <c r="D2350" i="2"/>
  <c r="D2318" i="2"/>
  <c r="D2286" i="2"/>
  <c r="D2254" i="2"/>
  <c r="D2222" i="2"/>
  <c r="D2190" i="2"/>
  <c r="D2158" i="2"/>
  <c r="D2126" i="2"/>
  <c r="D2094" i="2"/>
  <c r="D2062" i="2"/>
  <c r="D2038" i="2"/>
  <c r="D2022" i="2"/>
  <c r="D2006" i="2"/>
  <c r="D1990" i="2"/>
  <c r="D1987" i="2"/>
  <c r="D1979" i="2"/>
  <c r="D1971" i="2"/>
  <c r="D1963" i="2"/>
  <c r="D1955" i="2"/>
  <c r="D1947" i="2"/>
  <c r="D1939" i="2"/>
  <c r="D1931" i="2"/>
  <c r="D1923" i="2"/>
  <c r="D1915" i="2"/>
  <c r="D1910" i="2"/>
  <c r="D1909" i="2"/>
  <c r="D1895" i="2"/>
  <c r="D1894" i="2"/>
  <c r="D1893" i="2"/>
  <c r="D1879" i="2"/>
  <c r="D1878" i="2"/>
  <c r="D1877" i="2"/>
  <c r="D1863" i="2"/>
  <c r="D1862" i="2"/>
  <c r="D1861" i="2"/>
  <c r="D1847" i="2"/>
  <c r="D1846" i="2"/>
  <c r="D1845" i="2"/>
  <c r="D1831" i="2"/>
  <c r="D1830" i="2"/>
  <c r="D1829" i="2"/>
  <c r="D1815" i="2"/>
  <c r="D1814" i="2"/>
  <c r="D1813" i="2"/>
  <c r="D1799" i="2"/>
  <c r="D1798" i="2"/>
  <c r="D1797" i="2"/>
  <c r="D1789" i="2"/>
  <c r="D1785" i="2"/>
  <c r="D1781" i="2"/>
  <c r="D1777" i="2"/>
  <c r="D1773" i="2"/>
  <c r="D1769" i="2"/>
  <c r="D1765" i="2"/>
  <c r="D1761" i="2"/>
  <c r="D1757" i="2"/>
  <c r="D1753" i="2"/>
  <c r="D1749" i="2"/>
  <c r="D1745" i="2"/>
  <c r="D1741" i="2"/>
  <c r="D1737" i="2"/>
  <c r="D1733" i="2"/>
  <c r="D1729" i="2"/>
  <c r="D1725" i="2"/>
  <c r="D1721" i="2"/>
  <c r="D1717" i="2"/>
  <c r="D1713" i="2"/>
  <c r="D1709" i="2"/>
  <c r="D1705" i="2"/>
  <c r="D1701" i="2"/>
  <c r="D1697" i="2"/>
  <c r="D1693" i="2"/>
  <c r="D1689" i="2"/>
  <c r="D1685" i="2"/>
  <c r="D1681" i="2"/>
  <c r="D1677" i="2"/>
  <c r="D1673" i="2"/>
  <c r="D1669" i="2"/>
  <c r="D1665" i="2"/>
  <c r="D1661" i="2"/>
  <c r="D1657" i="2"/>
  <c r="D1653" i="2"/>
  <c r="D1649" i="2"/>
  <c r="D1645" i="2"/>
  <c r="D1641" i="2"/>
  <c r="D1637" i="2"/>
  <c r="D1633" i="2"/>
  <c r="D1629" i="2"/>
  <c r="D1625" i="2"/>
  <c r="D1621" i="2"/>
  <c r="D1617" i="2"/>
  <c r="D1613" i="2"/>
  <c r="D1609" i="2"/>
  <c r="D1605" i="2"/>
  <c r="D1601" i="2"/>
  <c r="D1597" i="2"/>
  <c r="D1593" i="2"/>
  <c r="D1589" i="2"/>
  <c r="D1585" i="2"/>
  <c r="D1581" i="2"/>
  <c r="D1577" i="2"/>
  <c r="D1573" i="2"/>
  <c r="D1569" i="2"/>
  <c r="D1565" i="2"/>
  <c r="D1561" i="2"/>
  <c r="D1557" i="2"/>
  <c r="D1553" i="2"/>
  <c r="D1549" i="2"/>
  <c r="D1545" i="2"/>
  <c r="D1541" i="2"/>
  <c r="D1537" i="2"/>
  <c r="D1533" i="2"/>
  <c r="D1529" i="2"/>
  <c r="D1525" i="2"/>
  <c r="D1521" i="2"/>
  <c r="D1517" i="2"/>
  <c r="D1513" i="2"/>
  <c r="D1509" i="2"/>
  <c r="D1505" i="2"/>
  <c r="D1501" i="2"/>
  <c r="D1497" i="2"/>
  <c r="D1493" i="2"/>
  <c r="D2467" i="2"/>
  <c r="D2451" i="2"/>
  <c r="D2390" i="2"/>
  <c r="D2358" i="2"/>
  <c r="D2326" i="2"/>
  <c r="D2294" i="2"/>
  <c r="D2262" i="2"/>
  <c r="D2230" i="2"/>
  <c r="D2198" i="2"/>
  <c r="D2166" i="2"/>
  <c r="D2134" i="2"/>
  <c r="D2102" i="2"/>
  <c r="D2070" i="2"/>
  <c r="D2051" i="2"/>
  <c r="D2035" i="2"/>
  <c r="D2019" i="2"/>
  <c r="D2003" i="2"/>
  <c r="D1986" i="2"/>
  <c r="D1978" i="2"/>
  <c r="D1970" i="2"/>
  <c r="D1962" i="2"/>
  <c r="D1954" i="2"/>
  <c r="D1946" i="2"/>
  <c r="D1938" i="2"/>
  <c r="D1930" i="2"/>
  <c r="D1922" i="2"/>
  <c r="D1914" i="2"/>
  <c r="D1907" i="2"/>
  <c r="D1906" i="2"/>
  <c r="D1905" i="2"/>
  <c r="D1891" i="2"/>
  <c r="D1890" i="2"/>
  <c r="D1889" i="2"/>
  <c r="D1875" i="2"/>
  <c r="D1874" i="2"/>
  <c r="D1873" i="2"/>
  <c r="D1859" i="2"/>
  <c r="D1858" i="2"/>
  <c r="D1857" i="2"/>
  <c r="D1843" i="2"/>
  <c r="D1842" i="2"/>
  <c r="D1841" i="2"/>
  <c r="D1827" i="2"/>
  <c r="D1826" i="2"/>
  <c r="D1825" i="2"/>
  <c r="D1811" i="2"/>
  <c r="D1810" i="2"/>
  <c r="D1809" i="2"/>
  <c r="D1795" i="2"/>
  <c r="D1794" i="2"/>
  <c r="D1793" i="2"/>
  <c r="D1790" i="2"/>
  <c r="D1786" i="2"/>
  <c r="D1782" i="2"/>
  <c r="D1778" i="2"/>
  <c r="D1774" i="2"/>
  <c r="D1770" i="2"/>
  <c r="D1766" i="2"/>
  <c r="D1762" i="2"/>
  <c r="D1758" i="2"/>
  <c r="D1754" i="2"/>
  <c r="D1750" i="2"/>
  <c r="D1746" i="2"/>
  <c r="D1742" i="2"/>
  <c r="D1738" i="2"/>
  <c r="D1734" i="2"/>
  <c r="D1730" i="2"/>
  <c r="D1726" i="2"/>
  <c r="D1722" i="2"/>
  <c r="D1718" i="2"/>
  <c r="D1714" i="2"/>
  <c r="D1710" i="2"/>
  <c r="D1706" i="2"/>
  <c r="D1702" i="2"/>
  <c r="D1698" i="2"/>
  <c r="D1694" i="2"/>
  <c r="D1690" i="2"/>
  <c r="D1686" i="2"/>
  <c r="D1682" i="2"/>
  <c r="D1678" i="2"/>
  <c r="D1674" i="2"/>
  <c r="D1670" i="2"/>
  <c r="D1666" i="2"/>
  <c r="D1662" i="2"/>
  <c r="D1658" i="2"/>
  <c r="D1654" i="2"/>
  <c r="D1650" i="2"/>
  <c r="D1646" i="2"/>
  <c r="D1642" i="2"/>
  <c r="D1638" i="2"/>
  <c r="D1634" i="2"/>
  <c r="D1630" i="2"/>
  <c r="D1626" i="2"/>
  <c r="D1622" i="2"/>
  <c r="D1618" i="2"/>
  <c r="D1614" i="2"/>
  <c r="D1610" i="2"/>
  <c r="D1606" i="2"/>
  <c r="D1602" i="2"/>
  <c r="D1598" i="2"/>
  <c r="D1594" i="2"/>
  <c r="D1590" i="2"/>
  <c r="D1586" i="2"/>
  <c r="D1582" i="2"/>
  <c r="D1578" i="2"/>
  <c r="D1574" i="2"/>
  <c r="D1570" i="2"/>
  <c r="D1566" i="2"/>
  <c r="D1562" i="2"/>
  <c r="D1558" i="2"/>
  <c r="D1554" i="2"/>
  <c r="D1550" i="2"/>
  <c r="D1546" i="2"/>
  <c r="D1542" i="2"/>
  <c r="D1538" i="2"/>
  <c r="D1534" i="2"/>
  <c r="D1530" i="2"/>
  <c r="D2620" i="2"/>
  <c r="D2499" i="2"/>
  <c r="D2398" i="2"/>
  <c r="D2366" i="2"/>
  <c r="D2334" i="2"/>
  <c r="D2302" i="2"/>
  <c r="D2270" i="2"/>
  <c r="D2238" i="2"/>
  <c r="D2206" i="2"/>
  <c r="D2174" i="2"/>
  <c r="D2142" i="2"/>
  <c r="D2110" i="2"/>
  <c r="D2078" i="2"/>
  <c r="D2046" i="2"/>
  <c r="D2030" i="2"/>
  <c r="D2014" i="2"/>
  <c r="D1998" i="2"/>
  <c r="D1983" i="2"/>
  <c r="D1975" i="2"/>
  <c r="D1967" i="2"/>
  <c r="D1959" i="2"/>
  <c r="D1951" i="2"/>
  <c r="D1943" i="2"/>
  <c r="D1935" i="2"/>
  <c r="D1927" i="2"/>
  <c r="D1919" i="2"/>
  <c r="D1911" i="2"/>
  <c r="D1903" i="2"/>
  <c r="D1902" i="2"/>
  <c r="D1901" i="2"/>
  <c r="D1887" i="2"/>
  <c r="D1886" i="2"/>
  <c r="D1885" i="2"/>
  <c r="D1871" i="2"/>
  <c r="D1870" i="2"/>
  <c r="D1869" i="2"/>
  <c r="D1855" i="2"/>
  <c r="D1854" i="2"/>
  <c r="D1853" i="2"/>
  <c r="D1839" i="2"/>
  <c r="D1838" i="2"/>
  <c r="D1837" i="2"/>
  <c r="D1823" i="2"/>
  <c r="D1822" i="2"/>
  <c r="D1821" i="2"/>
  <c r="D1807" i="2"/>
  <c r="D1806" i="2"/>
  <c r="D1805" i="2"/>
  <c r="D1791" i="2"/>
  <c r="D1787" i="2"/>
  <c r="D1783" i="2"/>
  <c r="D1779" i="2"/>
  <c r="D1775" i="2"/>
  <c r="D1771" i="2"/>
  <c r="D1767" i="2"/>
  <c r="D1763" i="2"/>
  <c r="D1759" i="2"/>
  <c r="D1755" i="2"/>
  <c r="D1751" i="2"/>
  <c r="D1747" i="2"/>
  <c r="D1743" i="2"/>
  <c r="D1739" i="2"/>
  <c r="D1735" i="2"/>
  <c r="D1731" i="2"/>
  <c r="D1727" i="2"/>
  <c r="D1723" i="2"/>
  <c r="D1719" i="2"/>
  <c r="D1715" i="2"/>
  <c r="D1711" i="2"/>
  <c r="D1707" i="2"/>
  <c r="D1703" i="2"/>
  <c r="D1699" i="2"/>
  <c r="D1695" i="2"/>
  <c r="D1691" i="2"/>
  <c r="D1687" i="2"/>
  <c r="D1683" i="2"/>
  <c r="D1679" i="2"/>
  <c r="D1675" i="2"/>
  <c r="D1671" i="2"/>
  <c r="D1667" i="2"/>
  <c r="D1663" i="2"/>
  <c r="D1659" i="2"/>
  <c r="D1655" i="2"/>
  <c r="D1651" i="2"/>
  <c r="D1647" i="2"/>
  <c r="D1643" i="2"/>
  <c r="D1639" i="2"/>
  <c r="D1635" i="2"/>
  <c r="D1631" i="2"/>
  <c r="D1627" i="2"/>
  <c r="D1623" i="2"/>
  <c r="D1619" i="2"/>
  <c r="D1615" i="2"/>
  <c r="D1611" i="2"/>
  <c r="D1607" i="2"/>
  <c r="D1603" i="2"/>
  <c r="D1599" i="2"/>
  <c r="D1595" i="2"/>
  <c r="D1591" i="2"/>
  <c r="D1587" i="2"/>
  <c r="D1583" i="2"/>
  <c r="D1579" i="2"/>
  <c r="D1575" i="2"/>
  <c r="D1571" i="2"/>
  <c r="D1567" i="2"/>
  <c r="D1563" i="2"/>
  <c r="D1559" i="2"/>
  <c r="D1555" i="2"/>
  <c r="D1551" i="2"/>
  <c r="D1547" i="2"/>
  <c r="D1543" i="2"/>
  <c r="D1539" i="2"/>
  <c r="D1535" i="2"/>
  <c r="D1531" i="2"/>
  <c r="D1527" i="2"/>
  <c r="D1523" i="2"/>
  <c r="D1519" i="2"/>
  <c r="D1515" i="2"/>
  <c r="D1511" i="2"/>
  <c r="D1507" i="2"/>
  <c r="D1503" i="2"/>
  <c r="D1499" i="2"/>
  <c r="D1495" i="2"/>
  <c r="D2342" i="2"/>
  <c r="D2214" i="2"/>
  <c r="D2086" i="2"/>
  <c r="D2011" i="2"/>
  <c r="D1982" i="2"/>
  <c r="D1950" i="2"/>
  <c r="D1918" i="2"/>
  <c r="D1898" i="2"/>
  <c r="D1867" i="2"/>
  <c r="D1865" i="2"/>
  <c r="D1834" i="2"/>
  <c r="D1803" i="2"/>
  <c r="D1801" i="2"/>
  <c r="D1780" i="2"/>
  <c r="D1764" i="2"/>
  <c r="D1748" i="2"/>
  <c r="D1732" i="2"/>
  <c r="D1716" i="2"/>
  <c r="D1700" i="2"/>
  <c r="D1684" i="2"/>
  <c r="D1668" i="2"/>
  <c r="D1652" i="2"/>
  <c r="D1636" i="2"/>
  <c r="D1620" i="2"/>
  <c r="D1604" i="2"/>
  <c r="D1588" i="2"/>
  <c r="D1572" i="2"/>
  <c r="D1556" i="2"/>
  <c r="D1540" i="2"/>
  <c r="D1524" i="2"/>
  <c r="D1516" i="2"/>
  <c r="D1508" i="2"/>
  <c r="D1500" i="2"/>
  <c r="D1490" i="2"/>
  <c r="D1486" i="2"/>
  <c r="D1482" i="2"/>
  <c r="D1478" i="2"/>
  <c r="D1474" i="2"/>
  <c r="D1470" i="2"/>
  <c r="D1466" i="2"/>
  <c r="D1462" i="2"/>
  <c r="D1458" i="2"/>
  <c r="D1454" i="2"/>
  <c r="D1450" i="2"/>
  <c r="D1446" i="2"/>
  <c r="D1442" i="2"/>
  <c r="D1438" i="2"/>
  <c r="D1434" i="2"/>
  <c r="D1430" i="2"/>
  <c r="D1426" i="2"/>
  <c r="D1422" i="2"/>
  <c r="D1418" i="2"/>
  <c r="D1414" i="2"/>
  <c r="D1410" i="2"/>
  <c r="D1406" i="2"/>
  <c r="D1402" i="2"/>
  <c r="D1398" i="2"/>
  <c r="D1394" i="2"/>
  <c r="D1390" i="2"/>
  <c r="D1386" i="2"/>
  <c r="D1382" i="2"/>
  <c r="D1378" i="2"/>
  <c r="D1374" i="2"/>
  <c r="D1370" i="2"/>
  <c r="D1366" i="2"/>
  <c r="D1362" i="2"/>
  <c r="D1358" i="2"/>
  <c r="D1354" i="2"/>
  <c r="D1350" i="2"/>
  <c r="D1346" i="2"/>
  <c r="D1342" i="2"/>
  <c r="D1338" i="2"/>
  <c r="D1334" i="2"/>
  <c r="D1330" i="2"/>
  <c r="D1326" i="2"/>
  <c r="D1322" i="2"/>
  <c r="D1318" i="2"/>
  <c r="D1314" i="2"/>
  <c r="D1310" i="2"/>
  <c r="D1306" i="2"/>
  <c r="D1302" i="2"/>
  <c r="D1298" i="2"/>
  <c r="D1294" i="2"/>
  <c r="D1290" i="2"/>
  <c r="D1286" i="2"/>
  <c r="D1282" i="2"/>
  <c r="D1278" i="2"/>
  <c r="D1274" i="2"/>
  <c r="D1270" i="2"/>
  <c r="D1266" i="2"/>
  <c r="D1262" i="2"/>
  <c r="D1258" i="2"/>
  <c r="D1254" i="2"/>
  <c r="D1250" i="2"/>
  <c r="D1246" i="2"/>
  <c r="D1242" i="2"/>
  <c r="D1238" i="2"/>
  <c r="D1234" i="2"/>
  <c r="D1230" i="2"/>
  <c r="D1226" i="2"/>
  <c r="D1222" i="2"/>
  <c r="D1218" i="2"/>
  <c r="D1214" i="2"/>
  <c r="D1210" i="2"/>
  <c r="D1206" i="2"/>
  <c r="D1202" i="2"/>
  <c r="D1198" i="2"/>
  <c r="D1194" i="2"/>
  <c r="D1190" i="2"/>
  <c r="D1186" i="2"/>
  <c r="D1182" i="2"/>
  <c r="D1178" i="2"/>
  <c r="D1174" i="2"/>
  <c r="D1170" i="2"/>
  <c r="D1166" i="2"/>
  <c r="D1162" i="2"/>
  <c r="D1158" i="2"/>
  <c r="D1154" i="2"/>
  <c r="D1150" i="2"/>
  <c r="D1146" i="2"/>
  <c r="D1142" i="2"/>
  <c r="D1138" i="2"/>
  <c r="D1134" i="2"/>
  <c r="D1130" i="2"/>
  <c r="D1126" i="2"/>
  <c r="D1122" i="2"/>
  <c r="D1118" i="2"/>
  <c r="D1114" i="2"/>
  <c r="D1110" i="2"/>
  <c r="D1106" i="2"/>
  <c r="D1102" i="2"/>
  <c r="D1098" i="2"/>
  <c r="D1094" i="2"/>
  <c r="D1090" i="2"/>
  <c r="D1086" i="2"/>
  <c r="D1082" i="2"/>
  <c r="D1078" i="2"/>
  <c r="D1074" i="2"/>
  <c r="D1070" i="2"/>
  <c r="D1066" i="2"/>
  <c r="D1062" i="2"/>
  <c r="D1058" i="2"/>
  <c r="D1054" i="2"/>
  <c r="D1050" i="2"/>
  <c r="D1046" i="2"/>
  <c r="D1042" i="2"/>
  <c r="D1038" i="2"/>
  <c r="D1034" i="2"/>
  <c r="D1030" i="2"/>
  <c r="D1026" i="2"/>
  <c r="D1022" i="2"/>
  <c r="D1018" i="2"/>
  <c r="D1014" i="2"/>
  <c r="D1010" i="2"/>
  <c r="D1006" i="2"/>
  <c r="D1002" i="2"/>
  <c r="D998" i="2"/>
  <c r="D994" i="2"/>
  <c r="D990" i="2"/>
  <c r="D986" i="2"/>
  <c r="D982" i="2"/>
  <c r="D978" i="2"/>
  <c r="D974" i="2"/>
  <c r="D970" i="2"/>
  <c r="D966" i="2"/>
  <c r="D962" i="2"/>
  <c r="D958" i="2"/>
  <c r="D954" i="2"/>
  <c r="D950" i="2"/>
  <c r="D946" i="2"/>
  <c r="D942" i="2"/>
  <c r="D938" i="2"/>
  <c r="D934" i="2"/>
  <c r="D930" i="2"/>
  <c r="D926" i="2"/>
  <c r="D922" i="2"/>
  <c r="D918" i="2"/>
  <c r="D914" i="2"/>
  <c r="D910" i="2"/>
  <c r="D906" i="2"/>
  <c r="D902" i="2"/>
  <c r="D898" i="2"/>
  <c r="D894" i="2"/>
  <c r="D890" i="2"/>
  <c r="D886" i="2"/>
  <c r="D882" i="2"/>
  <c r="D878" i="2"/>
  <c r="D874" i="2"/>
  <c r="D870" i="2"/>
  <c r="D866" i="2"/>
  <c r="D862" i="2"/>
  <c r="D858" i="2"/>
  <c r="D854" i="2"/>
  <c r="D850" i="2"/>
  <c r="D846" i="2"/>
  <c r="D842" i="2"/>
  <c r="D838" i="2"/>
  <c r="D834" i="2"/>
  <c r="D830" i="2"/>
  <c r="D826" i="2"/>
  <c r="D822" i="2"/>
  <c r="D818" i="2"/>
  <c r="D814" i="2"/>
  <c r="D810" i="2"/>
  <c r="D806" i="2"/>
  <c r="D802" i="2"/>
  <c r="D798" i="2"/>
  <c r="D794" i="2"/>
  <c r="D790" i="2"/>
  <c r="D786" i="2"/>
  <c r="D782" i="2"/>
  <c r="D778" i="2"/>
  <c r="D774" i="2"/>
  <c r="D770" i="2"/>
  <c r="D766" i="2"/>
  <c r="D762" i="2"/>
  <c r="D758" i="2"/>
  <c r="D754" i="2"/>
  <c r="D750" i="2"/>
  <c r="D746" i="2"/>
  <c r="D742" i="2"/>
  <c r="D738" i="2"/>
  <c r="D734" i="2"/>
  <c r="D730" i="2"/>
  <c r="D726" i="2"/>
  <c r="D722" i="2"/>
  <c r="D718" i="2"/>
  <c r="D714" i="2"/>
  <c r="D710" i="2"/>
  <c r="D706" i="2"/>
  <c r="D702" i="2"/>
  <c r="D698" i="2"/>
  <c r="D694" i="2"/>
  <c r="D690" i="2"/>
  <c r="D686" i="2"/>
  <c r="D682" i="2"/>
  <c r="D678" i="2"/>
  <c r="D674" i="2"/>
  <c r="D670" i="2"/>
  <c r="D666" i="2"/>
  <c r="D662" i="2"/>
  <c r="D658" i="2"/>
  <c r="D654" i="2"/>
  <c r="D650" i="2"/>
  <c r="D646" i="2"/>
  <c r="D642" i="2"/>
  <c r="D638" i="2"/>
  <c r="D634" i="2"/>
  <c r="D2554" i="2"/>
  <c r="D2374" i="2"/>
  <c r="D2246" i="2"/>
  <c r="D2118" i="2"/>
  <c r="D2027" i="2"/>
  <c r="D1958" i="2"/>
  <c r="D1926" i="2"/>
  <c r="D1882" i="2"/>
  <c r="D1851" i="2"/>
  <c r="D1849" i="2"/>
  <c r="D1818" i="2"/>
  <c r="D1784" i="2"/>
  <c r="D1768" i="2"/>
  <c r="D1752" i="2"/>
  <c r="D1736" i="2"/>
  <c r="D1720" i="2"/>
  <c r="D1704" i="2"/>
  <c r="D1688" i="2"/>
  <c r="D1672" i="2"/>
  <c r="D1656" i="2"/>
  <c r="D1640" i="2"/>
  <c r="D1624" i="2"/>
  <c r="D1608" i="2"/>
  <c r="D1592" i="2"/>
  <c r="D1576" i="2"/>
  <c r="D1560" i="2"/>
  <c r="D1544" i="2"/>
  <c r="D1526" i="2"/>
  <c r="D1518" i="2"/>
  <c r="D1510" i="2"/>
  <c r="D1502" i="2"/>
  <c r="D1494" i="2"/>
  <c r="D1491" i="2"/>
  <c r="D1487" i="2"/>
  <c r="D1483" i="2"/>
  <c r="D1479" i="2"/>
  <c r="D1475" i="2"/>
  <c r="D1471" i="2"/>
  <c r="D1467" i="2"/>
  <c r="D1463" i="2"/>
  <c r="D1459" i="2"/>
  <c r="D1455" i="2"/>
  <c r="D1451" i="2"/>
  <c r="D1447" i="2"/>
  <c r="D1443" i="2"/>
  <c r="D1439" i="2"/>
  <c r="D1435" i="2"/>
  <c r="D1431" i="2"/>
  <c r="D1427" i="2"/>
  <c r="D1423" i="2"/>
  <c r="D1419" i="2"/>
  <c r="D1415" i="2"/>
  <c r="D1411" i="2"/>
  <c r="D1407" i="2"/>
  <c r="D1403" i="2"/>
  <c r="D1399" i="2"/>
  <c r="D1395" i="2"/>
  <c r="D1391" i="2"/>
  <c r="D1387" i="2"/>
  <c r="D1383" i="2"/>
  <c r="D1379" i="2"/>
  <c r="D1375" i="2"/>
  <c r="D1371" i="2"/>
  <c r="D1367" i="2"/>
  <c r="D1363" i="2"/>
  <c r="D1359" i="2"/>
  <c r="D1355" i="2"/>
  <c r="D1351" i="2"/>
  <c r="D1347" i="2"/>
  <c r="D1343" i="2"/>
  <c r="D1339" i="2"/>
  <c r="D1335" i="2"/>
  <c r="D1331" i="2"/>
  <c r="D1327" i="2"/>
  <c r="D1323" i="2"/>
  <c r="D1319" i="2"/>
  <c r="D1315" i="2"/>
  <c r="D1311" i="2"/>
  <c r="D1307" i="2"/>
  <c r="D1303" i="2"/>
  <c r="D1299" i="2"/>
  <c r="D1295" i="2"/>
  <c r="D1291" i="2"/>
  <c r="D1287" i="2"/>
  <c r="D1283" i="2"/>
  <c r="D1279" i="2"/>
  <c r="D1275" i="2"/>
  <c r="D1271" i="2"/>
  <c r="D1267" i="2"/>
  <c r="D1263" i="2"/>
  <c r="D1259" i="2"/>
  <c r="D1255" i="2"/>
  <c r="D1251" i="2"/>
  <c r="D1247" i="2"/>
  <c r="D1243" i="2"/>
  <c r="D1239" i="2"/>
  <c r="D1235" i="2"/>
  <c r="D1231" i="2"/>
  <c r="D1227" i="2"/>
  <c r="D1223" i="2"/>
  <c r="D1219" i="2"/>
  <c r="D1215" i="2"/>
  <c r="D1211" i="2"/>
  <c r="D1207" i="2"/>
  <c r="D1203" i="2"/>
  <c r="D1199" i="2"/>
  <c r="D1195" i="2"/>
  <c r="D1191" i="2"/>
  <c r="D1187" i="2"/>
  <c r="D1183" i="2"/>
  <c r="D1179" i="2"/>
  <c r="D1175" i="2"/>
  <c r="D1171" i="2"/>
  <c r="D1167" i="2"/>
  <c r="D1163" i="2"/>
  <c r="D1159" i="2"/>
  <c r="D1155" i="2"/>
  <c r="D1151" i="2"/>
  <c r="D1147" i="2"/>
  <c r="D1143" i="2"/>
  <c r="D1139" i="2"/>
  <c r="D1135" i="2"/>
  <c r="D1131" i="2"/>
  <c r="D1127" i="2"/>
  <c r="D1123" i="2"/>
  <c r="D1119" i="2"/>
  <c r="D1115" i="2"/>
  <c r="D1111" i="2"/>
  <c r="D1107" i="2"/>
  <c r="D1103" i="2"/>
  <c r="D1099" i="2"/>
  <c r="D1095" i="2"/>
  <c r="D1091" i="2"/>
  <c r="D1087" i="2"/>
  <c r="D1083" i="2"/>
  <c r="D1079" i="2"/>
  <c r="D1075" i="2"/>
  <c r="D1071" i="2"/>
  <c r="D1067" i="2"/>
  <c r="D1063" i="2"/>
  <c r="D1059" i="2"/>
  <c r="D1055" i="2"/>
  <c r="D1051" i="2"/>
  <c r="D1047" i="2"/>
  <c r="D1043" i="2"/>
  <c r="D1039" i="2"/>
  <c r="D1035" i="2"/>
  <c r="D1031" i="2"/>
  <c r="D1027" i="2"/>
  <c r="D1023" i="2"/>
  <c r="D1019" i="2"/>
  <c r="D1015" i="2"/>
  <c r="D1011" i="2"/>
  <c r="D1007" i="2"/>
  <c r="D1003" i="2"/>
  <c r="D999" i="2"/>
  <c r="D995" i="2"/>
  <c r="D991" i="2"/>
  <c r="D987" i="2"/>
  <c r="D983" i="2"/>
  <c r="D979" i="2"/>
  <c r="D975" i="2"/>
  <c r="D971" i="2"/>
  <c r="D967" i="2"/>
  <c r="D963" i="2"/>
  <c r="D959" i="2"/>
  <c r="D955" i="2"/>
  <c r="D951" i="2"/>
  <c r="D947" i="2"/>
  <c r="D943" i="2"/>
  <c r="D939" i="2"/>
  <c r="D935" i="2"/>
  <c r="D931" i="2"/>
  <c r="D927" i="2"/>
  <c r="D923" i="2"/>
  <c r="D919" i="2"/>
  <c r="D915" i="2"/>
  <c r="D911" i="2"/>
  <c r="D907" i="2"/>
  <c r="D903" i="2"/>
  <c r="D899" i="2"/>
  <c r="D895" i="2"/>
  <c r="D891" i="2"/>
  <c r="D887" i="2"/>
  <c r="D883" i="2"/>
  <c r="D879" i="2"/>
  <c r="D875" i="2"/>
  <c r="D871" i="2"/>
  <c r="D867" i="2"/>
  <c r="D863" i="2"/>
  <c r="D859" i="2"/>
  <c r="D855" i="2"/>
  <c r="D851" i="2"/>
  <c r="D847" i="2"/>
  <c r="D843" i="2"/>
  <c r="D839" i="2"/>
  <c r="D835" i="2"/>
  <c r="D831" i="2"/>
  <c r="D827" i="2"/>
  <c r="D823" i="2"/>
  <c r="D819" i="2"/>
  <c r="D815" i="2"/>
  <c r="D811" i="2"/>
  <c r="D807" i="2"/>
  <c r="D803" i="2"/>
  <c r="D799" i="2"/>
  <c r="D795" i="2"/>
  <c r="D791" i="2"/>
  <c r="D787" i="2"/>
  <c r="D783" i="2"/>
  <c r="D779" i="2"/>
  <c r="D775" i="2"/>
  <c r="D771" i="2"/>
  <c r="D767" i="2"/>
  <c r="D763" i="2"/>
  <c r="D759" i="2"/>
  <c r="D755" i="2"/>
  <c r="D751" i="2"/>
  <c r="D747" i="2"/>
  <c r="D743" i="2"/>
  <c r="D739" i="2"/>
  <c r="D735" i="2"/>
  <c r="D731" i="2"/>
  <c r="D727" i="2"/>
  <c r="D723" i="2"/>
  <c r="D719" i="2"/>
  <c r="D715" i="2"/>
  <c r="D711" i="2"/>
  <c r="D707" i="2"/>
  <c r="D703" i="2"/>
  <c r="D699" i="2"/>
  <c r="D695" i="2"/>
  <c r="D691" i="2"/>
  <c r="D687" i="2"/>
  <c r="D2406" i="2"/>
  <c r="D2278" i="2"/>
  <c r="D2150" i="2"/>
  <c r="D2043" i="2"/>
  <c r="D1966" i="2"/>
  <c r="D1934" i="2"/>
  <c r="D1899" i="2"/>
  <c r="D1897" i="2"/>
  <c r="D1866" i="2"/>
  <c r="D1835" i="2"/>
  <c r="D1833" i="2"/>
  <c r="D1802" i="2"/>
  <c r="D1788" i="2"/>
  <c r="D1772" i="2"/>
  <c r="D1756" i="2"/>
  <c r="D1740" i="2"/>
  <c r="D1724" i="2"/>
  <c r="D1708" i="2"/>
  <c r="D1692" i="2"/>
  <c r="D1676" i="2"/>
  <c r="D1660" i="2"/>
  <c r="D1644" i="2"/>
  <c r="D1628" i="2"/>
  <c r="D1612" i="2"/>
  <c r="D1596" i="2"/>
  <c r="D1580" i="2"/>
  <c r="D1564" i="2"/>
  <c r="D1548" i="2"/>
  <c r="D1532" i="2"/>
  <c r="D1528" i="2"/>
  <c r="D1520" i="2"/>
  <c r="D1512" i="2"/>
  <c r="D1504" i="2"/>
  <c r="D1496" i="2"/>
  <c r="D1492" i="2"/>
  <c r="D1488" i="2"/>
  <c r="D1484" i="2"/>
  <c r="D1480" i="2"/>
  <c r="D1476" i="2"/>
  <c r="D1472" i="2"/>
  <c r="D1468" i="2"/>
  <c r="D1464" i="2"/>
  <c r="D1460" i="2"/>
  <c r="D1456" i="2"/>
  <c r="D1452" i="2"/>
  <c r="D1448" i="2"/>
  <c r="D1444" i="2"/>
  <c r="D1440" i="2"/>
  <c r="D1436" i="2"/>
  <c r="D1432" i="2"/>
  <c r="D1428" i="2"/>
  <c r="D1424" i="2"/>
  <c r="D1420" i="2"/>
  <c r="D1416" i="2"/>
  <c r="D1412" i="2"/>
  <c r="D1408" i="2"/>
  <c r="D1404" i="2"/>
  <c r="D1400" i="2"/>
  <c r="D1396" i="2"/>
  <c r="D1392" i="2"/>
  <c r="D1388" i="2"/>
  <c r="D1384" i="2"/>
  <c r="D1380" i="2"/>
  <c r="D1376" i="2"/>
  <c r="D1372" i="2"/>
  <c r="D1368" i="2"/>
  <c r="D1364" i="2"/>
  <c r="D1360" i="2"/>
  <c r="D1356" i="2"/>
  <c r="D1352" i="2"/>
  <c r="D1348" i="2"/>
  <c r="D1344" i="2"/>
  <c r="D1340" i="2"/>
  <c r="D1336" i="2"/>
  <c r="D1332" i="2"/>
  <c r="D1328" i="2"/>
  <c r="D1324" i="2"/>
  <c r="D1320" i="2"/>
  <c r="D1316" i="2"/>
  <c r="D1312" i="2"/>
  <c r="D1308" i="2"/>
  <c r="D1304" i="2"/>
  <c r="D1300" i="2"/>
  <c r="D1296" i="2"/>
  <c r="D1292" i="2"/>
  <c r="D1288" i="2"/>
  <c r="D1284" i="2"/>
  <c r="D1280" i="2"/>
  <c r="D1276" i="2"/>
  <c r="D1272" i="2"/>
  <c r="D1268" i="2"/>
  <c r="D1264" i="2"/>
  <c r="D1260" i="2"/>
  <c r="D1256" i="2"/>
  <c r="D1252" i="2"/>
  <c r="D1248" i="2"/>
  <c r="D1244" i="2"/>
  <c r="D1240" i="2"/>
  <c r="D1236" i="2"/>
  <c r="D1232" i="2"/>
  <c r="D1228" i="2"/>
  <c r="D1224" i="2"/>
  <c r="D1220" i="2"/>
  <c r="D1216" i="2"/>
  <c r="D1212" i="2"/>
  <c r="D1208" i="2"/>
  <c r="D1204" i="2"/>
  <c r="D1200" i="2"/>
  <c r="D1196" i="2"/>
  <c r="D1192" i="2"/>
  <c r="D1188" i="2"/>
  <c r="D1184" i="2"/>
  <c r="D1180" i="2"/>
  <c r="D1176" i="2"/>
  <c r="D1172" i="2"/>
  <c r="D1168" i="2"/>
  <c r="D1164" i="2"/>
  <c r="D1160" i="2"/>
  <c r="D1156" i="2"/>
  <c r="D1152" i="2"/>
  <c r="D1148" i="2"/>
  <c r="D1144" i="2"/>
  <c r="D1140" i="2"/>
  <c r="D1136" i="2"/>
  <c r="D1132" i="2"/>
  <c r="D1128" i="2"/>
  <c r="D1124" i="2"/>
  <c r="D1120" i="2"/>
  <c r="D1116" i="2"/>
  <c r="D1112" i="2"/>
  <c r="D1108" i="2"/>
  <c r="D1104" i="2"/>
  <c r="D1100" i="2"/>
  <c r="D1096" i="2"/>
  <c r="D1092" i="2"/>
  <c r="D1088" i="2"/>
  <c r="D1084" i="2"/>
  <c r="D1080" i="2"/>
  <c r="D1076" i="2"/>
  <c r="D1072" i="2"/>
  <c r="D1068" i="2"/>
  <c r="D1064" i="2"/>
  <c r="D1060" i="2"/>
  <c r="D1056" i="2"/>
  <c r="D1052" i="2"/>
  <c r="D1048" i="2"/>
  <c r="D1044" i="2"/>
  <c r="D1040" i="2"/>
  <c r="D1036" i="2"/>
  <c r="D1032" i="2"/>
  <c r="D1028" i="2"/>
  <c r="D1024" i="2"/>
  <c r="D1020" i="2"/>
  <c r="D1016" i="2"/>
  <c r="D1012" i="2"/>
  <c r="D1008" i="2"/>
  <c r="D1004" i="2"/>
  <c r="D1000" i="2"/>
  <c r="D996" i="2"/>
  <c r="D992" i="2"/>
  <c r="D988" i="2"/>
  <c r="D984" i="2"/>
  <c r="D980" i="2"/>
  <c r="D976" i="2"/>
  <c r="D972" i="2"/>
  <c r="D968" i="2"/>
  <c r="D964" i="2"/>
  <c r="D960" i="2"/>
  <c r="D956" i="2"/>
  <c r="D952" i="2"/>
  <c r="D948" i="2"/>
  <c r="D944" i="2"/>
  <c r="D940" i="2"/>
  <c r="D936" i="2"/>
  <c r="D932" i="2"/>
  <c r="D928" i="2"/>
  <c r="D924" i="2"/>
  <c r="D920" i="2"/>
  <c r="D916" i="2"/>
  <c r="D912" i="2"/>
  <c r="D908" i="2"/>
  <c r="D904" i="2"/>
  <c r="D900" i="2"/>
  <c r="D896" i="2"/>
  <c r="D892" i="2"/>
  <c r="D888" i="2"/>
  <c r="D884" i="2"/>
  <c r="D880" i="2"/>
  <c r="D876" i="2"/>
  <c r="D872" i="2"/>
  <c r="D868" i="2"/>
  <c r="D864" i="2"/>
  <c r="D860" i="2"/>
  <c r="D856" i="2"/>
  <c r="D852" i="2"/>
  <c r="D848" i="2"/>
  <c r="D844" i="2"/>
  <c r="D840" i="2"/>
  <c r="D836" i="2"/>
  <c r="D832" i="2"/>
  <c r="D828" i="2"/>
  <c r="D824" i="2"/>
  <c r="D820" i="2"/>
  <c r="D816" i="2"/>
  <c r="D812" i="2"/>
  <c r="D808" i="2"/>
  <c r="D804" i="2"/>
  <c r="D800" i="2"/>
  <c r="D796" i="2"/>
  <c r="D792" i="2"/>
  <c r="D788" i="2"/>
  <c r="D784" i="2"/>
  <c r="D780" i="2"/>
  <c r="D776" i="2"/>
  <c r="D772" i="2"/>
  <c r="D768" i="2"/>
  <c r="D764" i="2"/>
  <c r="D760" i="2"/>
  <c r="D756" i="2"/>
  <c r="D752" i="2"/>
  <c r="D748" i="2"/>
  <c r="D744" i="2"/>
  <c r="D740" i="2"/>
  <c r="D736" i="2"/>
  <c r="D732" i="2"/>
  <c r="D728" i="2"/>
  <c r="D724" i="2"/>
  <c r="D720" i="2"/>
  <c r="D716" i="2"/>
  <c r="D712" i="2"/>
  <c r="D708" i="2"/>
  <c r="D704" i="2"/>
  <c r="D700" i="2"/>
  <c r="D696" i="2"/>
  <c r="D692" i="2"/>
  <c r="D688" i="2"/>
  <c r="D684" i="2"/>
  <c r="D680" i="2"/>
  <c r="D676" i="2"/>
  <c r="D672" i="2"/>
  <c r="D668" i="2"/>
  <c r="D664" i="2"/>
  <c r="D660" i="2"/>
  <c r="D656" i="2"/>
  <c r="D652" i="2"/>
  <c r="D648" i="2"/>
  <c r="D644" i="2"/>
  <c r="D640" i="2"/>
  <c r="D636" i="2"/>
  <c r="D18" i="2"/>
  <c r="D26" i="2"/>
  <c r="D30" i="2"/>
  <c r="D34" i="2"/>
  <c r="D42" i="2"/>
  <c r="D50" i="2"/>
  <c r="D62" i="2"/>
  <c r="D78" i="2"/>
  <c r="D82" i="2"/>
  <c r="D86" i="2"/>
  <c r="D13" i="2"/>
  <c r="D17" i="2"/>
  <c r="D21" i="2"/>
  <c r="D25" i="2"/>
  <c r="D29" i="2"/>
  <c r="D33" i="2"/>
  <c r="D37" i="2"/>
  <c r="D41" i="2"/>
  <c r="D45" i="2"/>
  <c r="D49" i="2"/>
  <c r="D53" i="2"/>
  <c r="D57" i="2"/>
  <c r="D61" i="2"/>
  <c r="D65" i="2"/>
  <c r="D69" i="2"/>
  <c r="D73" i="2"/>
  <c r="D77" i="2"/>
  <c r="D81" i="2"/>
  <c r="D85" i="2"/>
  <c r="D89" i="2"/>
  <c r="D93" i="2"/>
  <c r="D97" i="2"/>
  <c r="D101" i="2"/>
  <c r="D105" i="2"/>
  <c r="D109" i="2"/>
  <c r="D113" i="2"/>
  <c r="D117" i="2"/>
  <c r="D121" i="2"/>
  <c r="D125" i="2"/>
  <c r="D129" i="2"/>
  <c r="D133" i="2"/>
  <c r="D137" i="2"/>
  <c r="D141" i="2"/>
  <c r="D145" i="2"/>
  <c r="D149" i="2"/>
  <c r="D153" i="2"/>
  <c r="D157" i="2"/>
  <c r="D161" i="2"/>
  <c r="D165" i="2"/>
  <c r="D169" i="2"/>
  <c r="D173" i="2"/>
  <c r="D177" i="2"/>
  <c r="D181" i="2"/>
  <c r="D185" i="2"/>
  <c r="D189" i="2"/>
  <c r="D193" i="2"/>
  <c r="D197" i="2"/>
  <c r="D201" i="2"/>
  <c r="D205" i="2"/>
  <c r="D209" i="2"/>
  <c r="D213" i="2"/>
  <c r="D217" i="2"/>
  <c r="D221" i="2"/>
  <c r="D225" i="2"/>
  <c r="D229" i="2"/>
  <c r="D233" i="2"/>
  <c r="D237" i="2"/>
  <c r="D241" i="2"/>
  <c r="D245" i="2"/>
  <c r="D249" i="2"/>
  <c r="D253" i="2"/>
  <c r="D257" i="2"/>
  <c r="D261" i="2"/>
  <c r="D265" i="2"/>
  <c r="D269" i="2"/>
  <c r="D273" i="2"/>
  <c r="D277" i="2"/>
  <c r="D281" i="2"/>
  <c r="D285" i="2"/>
  <c r="D289" i="2"/>
  <c r="D293" i="2"/>
  <c r="D297" i="2"/>
  <c r="D301" i="2"/>
  <c r="D305" i="2"/>
  <c r="D309" i="2"/>
  <c r="D313" i="2"/>
  <c r="D317" i="2"/>
  <c r="D321" i="2"/>
  <c r="D325" i="2"/>
  <c r="D329" i="2"/>
  <c r="D333" i="2"/>
  <c r="D337" i="2"/>
  <c r="D341" i="2"/>
  <c r="D345" i="2"/>
  <c r="D349" i="2"/>
  <c r="D353" i="2"/>
  <c r="D357" i="2"/>
  <c r="D361" i="2"/>
  <c r="D365" i="2"/>
  <c r="D369" i="2"/>
  <c r="D373" i="2"/>
  <c r="D377" i="2"/>
  <c r="D381" i="2"/>
  <c r="D385" i="2"/>
  <c r="D389" i="2"/>
  <c r="D393" i="2"/>
  <c r="D397" i="2"/>
  <c r="D401" i="2"/>
  <c r="D405" i="2"/>
  <c r="D409" i="2"/>
  <c r="D413" i="2"/>
  <c r="D417" i="2"/>
  <c r="D421" i="2"/>
  <c r="D425" i="2"/>
  <c r="D429" i="2"/>
  <c r="D433" i="2"/>
  <c r="D437" i="2"/>
  <c r="D441" i="2"/>
  <c r="D445" i="2"/>
  <c r="D449" i="2"/>
  <c r="D453" i="2"/>
  <c r="D457" i="2"/>
  <c r="D461" i="2"/>
  <c r="D465" i="2"/>
  <c r="D469" i="2"/>
  <c r="D473" i="2"/>
  <c r="D477" i="2"/>
  <c r="D481" i="2"/>
  <c r="D485" i="2"/>
  <c r="D489" i="2"/>
  <c r="D493" i="2"/>
  <c r="D497" i="2"/>
  <c r="D501" i="2"/>
  <c r="D505" i="2"/>
  <c r="D509" i="2"/>
  <c r="D513" i="2"/>
  <c r="D517" i="2"/>
  <c r="D521" i="2"/>
  <c r="D525" i="2"/>
  <c r="D529" i="2"/>
  <c r="D533" i="2"/>
  <c r="D537" i="2"/>
  <c r="D541" i="2"/>
  <c r="D545" i="2"/>
  <c r="D549" i="2"/>
  <c r="D553" i="2"/>
  <c r="D557" i="2"/>
  <c r="D561" i="2"/>
  <c r="D565" i="2"/>
  <c r="D569" i="2"/>
  <c r="D573" i="2"/>
  <c r="D577" i="2"/>
  <c r="D581" i="2"/>
  <c r="D585" i="2"/>
  <c r="D589" i="2"/>
  <c r="D593" i="2"/>
  <c r="D597" i="2"/>
  <c r="D601" i="2"/>
  <c r="D605" i="2"/>
  <c r="D609" i="2"/>
  <c r="D613" i="2"/>
  <c r="D617" i="2"/>
  <c r="D621" i="2"/>
  <c r="D625" i="2"/>
  <c r="D629" i="2"/>
  <c r="D633" i="2"/>
  <c r="D637" i="2"/>
  <c r="D645" i="2"/>
  <c r="D653" i="2"/>
  <c r="D661" i="2"/>
  <c r="D669" i="2"/>
  <c r="D677" i="2"/>
  <c r="D685" i="2"/>
  <c r="D701" i="2"/>
  <c r="D717" i="2"/>
  <c r="D733" i="2"/>
  <c r="D749" i="2"/>
  <c r="D765" i="2"/>
  <c r="D781" i="2"/>
  <c r="D797" i="2"/>
  <c r="D813" i="2"/>
  <c r="D829" i="2"/>
  <c r="D845" i="2"/>
  <c r="D861" i="2"/>
  <c r="D877" i="2"/>
  <c r="D893" i="2"/>
  <c r="D909" i="2"/>
  <c r="D925" i="2"/>
  <c r="D941" i="2"/>
  <c r="D957" i="2"/>
  <c r="D973" i="2"/>
  <c r="D989" i="2"/>
  <c r="D1005" i="2"/>
  <c r="D1021" i="2"/>
  <c r="D1037" i="2"/>
  <c r="D1053" i="2"/>
  <c r="D1069" i="2"/>
  <c r="D1085" i="2"/>
  <c r="D1101" i="2"/>
  <c r="D1117" i="2"/>
  <c r="D1133" i="2"/>
  <c r="D1149" i="2"/>
  <c r="D1165" i="2"/>
  <c r="D1181" i="2"/>
  <c r="D1197" i="2"/>
  <c r="D1213" i="2"/>
  <c r="D1229" i="2"/>
  <c r="D1245" i="2"/>
  <c r="D1261" i="2"/>
  <c r="D1277" i="2"/>
  <c r="D1293" i="2"/>
  <c r="D1309" i="2"/>
  <c r="D1325" i="2"/>
  <c r="D1341" i="2"/>
  <c r="D1357" i="2"/>
  <c r="D1373" i="2"/>
  <c r="D1389" i="2"/>
  <c r="D1405" i="2"/>
  <c r="D1421" i="2"/>
  <c r="D1437" i="2"/>
  <c r="D1453" i="2"/>
  <c r="D1469" i="2"/>
  <c r="D1485" i="2"/>
  <c r="D1506" i="2"/>
  <c r="D1552" i="2"/>
  <c r="D1616" i="2"/>
  <c r="D1680" i="2"/>
  <c r="D1744" i="2"/>
  <c r="D1883" i="2"/>
  <c r="D1974" i="2"/>
  <c r="D2054" i="2"/>
  <c r="D3610" i="2" l="1"/>
  <c r="B3610" i="2"/>
  <c r="C9" i="2"/>
  <c r="G9" i="2" s="1"/>
  <c r="C10" i="2" l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733" i="2" s="1"/>
  <c r="C1734" i="2" s="1"/>
  <c r="C1735" i="2" s="1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C1884" i="2" s="1"/>
  <c r="C1885" i="2" s="1"/>
  <c r="C1886" i="2" s="1"/>
  <c r="C1887" i="2" s="1"/>
  <c r="C1888" i="2" s="1"/>
  <c r="C1889" i="2" s="1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C2028" i="2" s="1"/>
  <c r="C2029" i="2" s="1"/>
  <c r="C2030" i="2" s="1"/>
  <c r="C2031" i="2" s="1"/>
  <c r="C2032" i="2" s="1"/>
  <c r="C2033" i="2" s="1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C2068" i="2" s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8" i="2" s="1"/>
  <c r="C2099" i="2" s="1"/>
  <c r="C2100" i="2" s="1"/>
  <c r="C2101" i="2" s="1"/>
  <c r="C2102" i="2" s="1"/>
  <c r="C2103" i="2" s="1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C2171" i="2" s="1"/>
  <c r="C2172" i="2" s="1"/>
  <c r="C2173" i="2" s="1"/>
  <c r="C2174" i="2" s="1"/>
  <c r="C2175" i="2" s="1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5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C2377" i="2" s="1"/>
  <c r="C2378" i="2" s="1"/>
  <c r="C2379" i="2" s="1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 s="1"/>
  <c r="C2390" i="2" s="1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 s="1"/>
  <c r="C2454" i="2" s="1"/>
  <c r="C2455" i="2" s="1"/>
  <c r="C2456" i="2" s="1"/>
  <c r="C2457" i="2" s="1"/>
  <c r="C2458" i="2" s="1"/>
  <c r="C2459" i="2" s="1"/>
  <c r="C2460" i="2" s="1"/>
  <c r="C2461" i="2" s="1"/>
  <c r="C2462" i="2" s="1"/>
  <c r="C2463" i="2" s="1"/>
  <c r="C2464" i="2" s="1"/>
  <c r="C2465" i="2" s="1"/>
  <c r="C2466" i="2" s="1"/>
  <c r="C2467" i="2" s="1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 s="1"/>
  <c r="C2607" i="2" s="1"/>
  <c r="C2608" i="2" s="1"/>
  <c r="C2609" i="2" s="1"/>
  <c r="C2610" i="2" s="1"/>
  <c r="C2611" i="2" s="1"/>
  <c r="C2612" i="2" s="1"/>
  <c r="C2613" i="2" s="1"/>
  <c r="C2614" i="2" s="1"/>
  <c r="C2615" i="2" s="1"/>
  <c r="C2616" i="2" s="1"/>
  <c r="C2617" i="2" s="1"/>
  <c r="C2618" i="2" s="1"/>
  <c r="C2619" i="2" s="1"/>
  <c r="C2620" i="2" s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845" i="2" s="1"/>
  <c r="C2846" i="2" s="1"/>
  <c r="C2847" i="2" s="1"/>
  <c r="C2848" i="2" s="1"/>
  <c r="C2849" i="2" s="1"/>
  <c r="C2850" i="2" s="1"/>
  <c r="C2851" i="2" s="1"/>
  <c r="C2852" i="2" s="1"/>
  <c r="C2853" i="2" s="1"/>
  <c r="C2854" i="2" s="1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C2905" i="2" s="1"/>
  <c r="C2906" i="2" s="1"/>
  <c r="C2907" i="2" s="1"/>
  <c r="C2908" i="2" s="1"/>
  <c r="C2909" i="2" s="1"/>
  <c r="C2910" i="2" s="1"/>
  <c r="C2911" i="2" s="1"/>
  <c r="C2912" i="2" s="1"/>
  <c r="C2913" i="2" s="1"/>
  <c r="C2914" i="2" s="1"/>
  <c r="C2915" i="2" s="1"/>
  <c r="C2916" i="2" s="1"/>
  <c r="C2917" i="2" s="1"/>
  <c r="C2918" i="2" s="1"/>
  <c r="C2919" i="2" s="1"/>
  <c r="C2920" i="2" s="1"/>
  <c r="C2921" i="2" s="1"/>
  <c r="C2922" i="2" s="1"/>
  <c r="C2923" i="2" s="1"/>
  <c r="C2924" i="2" s="1"/>
  <c r="C2925" i="2" s="1"/>
  <c r="C2926" i="2" s="1"/>
  <c r="C2927" i="2" s="1"/>
  <c r="C2928" i="2" s="1"/>
  <c r="C2929" i="2" s="1"/>
  <c r="C2930" i="2" s="1"/>
  <c r="C2931" i="2" s="1"/>
  <c r="C2932" i="2" s="1"/>
  <c r="C2933" i="2" s="1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C2960" i="2" s="1"/>
  <c r="C2961" i="2" s="1"/>
  <c r="C2962" i="2" s="1"/>
  <c r="C2963" i="2" s="1"/>
  <c r="C2964" i="2" s="1"/>
  <c r="C2965" i="2" s="1"/>
  <c r="C2966" i="2" s="1"/>
  <c r="C2967" i="2" s="1"/>
  <c r="C2968" i="2" s="1"/>
  <c r="C2969" i="2" s="1"/>
  <c r="C2970" i="2" s="1"/>
  <c r="C2971" i="2" s="1"/>
  <c r="C2972" i="2" s="1"/>
  <c r="C2973" i="2" s="1"/>
  <c r="C2974" i="2" s="1"/>
  <c r="C2975" i="2" s="1"/>
  <c r="C2976" i="2" s="1"/>
  <c r="C2977" i="2" s="1"/>
  <c r="C2978" i="2" s="1"/>
  <c r="C2979" i="2" s="1"/>
  <c r="C2980" i="2" s="1"/>
  <c r="C2981" i="2" s="1"/>
  <c r="C2982" i="2" s="1"/>
  <c r="C2983" i="2" s="1"/>
  <c r="C2984" i="2" s="1"/>
  <c r="C2985" i="2" s="1"/>
  <c r="C2986" i="2" s="1"/>
  <c r="C2987" i="2" s="1"/>
  <c r="C2988" i="2" s="1"/>
  <c r="C2989" i="2" s="1"/>
  <c r="C2990" i="2" s="1"/>
  <c r="C2991" i="2" s="1"/>
  <c r="C2992" i="2" s="1"/>
  <c r="C2993" i="2" s="1"/>
  <c r="C2994" i="2" s="1"/>
  <c r="C2995" i="2" s="1"/>
  <c r="C2996" i="2" s="1"/>
  <c r="C2997" i="2" s="1"/>
  <c r="C2998" i="2" s="1"/>
  <c r="C2999" i="2" s="1"/>
  <c r="C3000" i="2" s="1"/>
  <c r="C3001" i="2" s="1"/>
  <c r="C3002" i="2" s="1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C3046" i="2" s="1"/>
  <c r="C3047" i="2" s="1"/>
  <c r="C3048" i="2" s="1"/>
  <c r="C3049" i="2" s="1"/>
  <c r="C3050" i="2" s="1"/>
  <c r="C3051" i="2" s="1"/>
  <c r="C3052" i="2" s="1"/>
  <c r="C3053" i="2" s="1"/>
  <c r="C3054" i="2" s="1"/>
  <c r="C3055" i="2" s="1"/>
  <c r="C3056" i="2" s="1"/>
  <c r="C3057" i="2" s="1"/>
  <c r="C3058" i="2" s="1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C3087" i="2" s="1"/>
  <c r="C3088" i="2" s="1"/>
  <c r="C3089" i="2" s="1"/>
  <c r="C3090" i="2" s="1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C3107" i="2" s="1"/>
  <c r="C3108" i="2" s="1"/>
  <c r="C3109" i="2" s="1"/>
  <c r="C3110" i="2" s="1"/>
  <c r="C3111" i="2" s="1"/>
  <c r="C3112" i="2" s="1"/>
  <c r="C3113" i="2" s="1"/>
  <c r="C3114" i="2" s="1"/>
  <c r="C3115" i="2" s="1"/>
  <c r="C3116" i="2" s="1"/>
  <c r="C3117" i="2" s="1"/>
  <c r="C3118" i="2" s="1"/>
  <c r="C3119" i="2" s="1"/>
  <c r="C3120" i="2" s="1"/>
  <c r="C3121" i="2" s="1"/>
  <c r="C3122" i="2" s="1"/>
  <c r="C3123" i="2" s="1"/>
  <c r="C3124" i="2" s="1"/>
  <c r="C3125" i="2" s="1"/>
  <c r="C3126" i="2" s="1"/>
  <c r="C3127" i="2" s="1"/>
  <c r="C3128" i="2" s="1"/>
  <c r="C3129" i="2" s="1"/>
  <c r="C3130" i="2" s="1"/>
  <c r="C3131" i="2" s="1"/>
  <c r="C3132" i="2" s="1"/>
  <c r="C3133" i="2" s="1"/>
  <c r="C3134" i="2" s="1"/>
  <c r="C3135" i="2" s="1"/>
  <c r="C3136" i="2" s="1"/>
  <c r="C3137" i="2" s="1"/>
  <c r="C3138" i="2" s="1"/>
  <c r="C3139" i="2" s="1"/>
  <c r="C3140" i="2" s="1"/>
  <c r="C3141" i="2" s="1"/>
  <c r="C3142" i="2" s="1"/>
  <c r="C3143" i="2" s="1"/>
  <c r="C3144" i="2" s="1"/>
  <c r="C3145" i="2" s="1"/>
  <c r="C3146" i="2" s="1"/>
  <c r="C3147" i="2" s="1"/>
  <c r="C3148" i="2" s="1"/>
  <c r="C3149" i="2" s="1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C3162" i="2" s="1"/>
  <c r="C3163" i="2" s="1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C3174" i="2" s="1"/>
  <c r="C3175" i="2" s="1"/>
  <c r="C3176" i="2" s="1"/>
  <c r="C3177" i="2" s="1"/>
  <c r="C3178" i="2" s="1"/>
  <c r="C3179" i="2" s="1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 s="1"/>
  <c r="C3192" i="2" s="1"/>
  <c r="C3193" i="2" s="1"/>
  <c r="C3194" i="2" s="1"/>
  <c r="C3195" i="2" s="1"/>
  <c r="C3196" i="2" s="1"/>
  <c r="C3197" i="2" s="1"/>
  <c r="C3198" i="2" s="1"/>
  <c r="C3199" i="2" s="1"/>
  <c r="C3200" i="2" s="1"/>
  <c r="C3201" i="2" s="1"/>
  <c r="C3202" i="2" s="1"/>
  <c r="C3203" i="2" s="1"/>
  <c r="C3204" i="2" s="1"/>
  <c r="C3205" i="2" s="1"/>
  <c r="C3206" i="2" s="1"/>
  <c r="C3207" i="2" s="1"/>
  <c r="C3208" i="2" s="1"/>
  <c r="C3209" i="2" s="1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 s="1"/>
  <c r="C3226" i="2" s="1"/>
  <c r="C3227" i="2" s="1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C3258" i="2" s="1"/>
  <c r="C3259" i="2" s="1"/>
  <c r="C3260" i="2" s="1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C3274" i="2" s="1"/>
  <c r="C3275" i="2" s="1"/>
  <c r="C3276" i="2" s="1"/>
  <c r="C3277" i="2" s="1"/>
  <c r="C3278" i="2" s="1"/>
  <c r="C3279" i="2" s="1"/>
  <c r="C3280" i="2" s="1"/>
  <c r="C3281" i="2" s="1"/>
  <c r="C3282" i="2" s="1"/>
  <c r="C3283" i="2" s="1"/>
  <c r="C3284" i="2" s="1"/>
  <c r="C3285" i="2" s="1"/>
  <c r="C3286" i="2" s="1"/>
  <c r="C3287" i="2" s="1"/>
  <c r="C3288" i="2" s="1"/>
  <c r="C3289" i="2" s="1"/>
  <c r="C3290" i="2" s="1"/>
  <c r="C3291" i="2" s="1"/>
  <c r="C3292" i="2" s="1"/>
  <c r="C3293" i="2" s="1"/>
  <c r="C3294" i="2" s="1"/>
  <c r="C3295" i="2" s="1"/>
  <c r="C3296" i="2" s="1"/>
  <c r="C3297" i="2" s="1"/>
  <c r="C3298" i="2" s="1"/>
  <c r="C3299" i="2" s="1"/>
  <c r="C3300" i="2" s="1"/>
  <c r="C3301" i="2" s="1"/>
  <c r="C3302" i="2" s="1"/>
  <c r="C3303" i="2" s="1"/>
  <c r="C3304" i="2" s="1"/>
  <c r="C3305" i="2" s="1"/>
  <c r="C3306" i="2" s="1"/>
  <c r="C3307" i="2" s="1"/>
  <c r="C3308" i="2" s="1"/>
  <c r="C3309" i="2" s="1"/>
  <c r="C3310" i="2" s="1"/>
  <c r="C3311" i="2" s="1"/>
  <c r="C3312" i="2" s="1"/>
  <c r="C3313" i="2" s="1"/>
  <c r="C3314" i="2" s="1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C3328" i="2" s="1"/>
  <c r="C3329" i="2" s="1"/>
  <c r="C3330" i="2" s="1"/>
  <c r="C3331" i="2" s="1"/>
  <c r="C3332" i="2" s="1"/>
  <c r="C3333" i="2" s="1"/>
  <c r="C3334" i="2" s="1"/>
  <c r="C3335" i="2" s="1"/>
  <c r="C3336" i="2" s="1"/>
  <c r="C3337" i="2" s="1"/>
  <c r="C3338" i="2" s="1"/>
  <c r="C3339" i="2" s="1"/>
  <c r="C3340" i="2" s="1"/>
  <c r="C3341" i="2" s="1"/>
  <c r="C3342" i="2" s="1"/>
  <c r="C3343" i="2" s="1"/>
  <c r="C3344" i="2" s="1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C3355" i="2" s="1"/>
  <c r="C3356" i="2" s="1"/>
  <c r="C3357" i="2" s="1"/>
  <c r="C3358" i="2" s="1"/>
  <c r="C3359" i="2" s="1"/>
  <c r="C3360" i="2" s="1"/>
  <c r="C3361" i="2" s="1"/>
  <c r="C3362" i="2" s="1"/>
  <c r="C3363" i="2" s="1"/>
  <c r="C3364" i="2" s="1"/>
  <c r="C3365" i="2" s="1"/>
  <c r="C3366" i="2" s="1"/>
  <c r="C3367" i="2" s="1"/>
  <c r="C3368" i="2" s="1"/>
  <c r="C3369" i="2" s="1"/>
  <c r="C3370" i="2" s="1"/>
  <c r="C3371" i="2" s="1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 s="1"/>
  <c r="C3402" i="2" s="1"/>
  <c r="C3403" i="2" s="1"/>
  <c r="C3404" i="2" s="1"/>
  <c r="C3405" i="2" s="1"/>
  <c r="C3406" i="2" s="1"/>
  <c r="C3407" i="2" s="1"/>
  <c r="C3408" i="2" s="1"/>
  <c r="C3409" i="2" s="1"/>
  <c r="C3410" i="2" s="1"/>
  <c r="C3411" i="2" s="1"/>
  <c r="C3412" i="2" s="1"/>
  <c r="C3413" i="2" s="1"/>
  <c r="C3414" i="2" s="1"/>
  <c r="C3415" i="2" s="1"/>
  <c r="C3416" i="2" s="1"/>
  <c r="C3417" i="2" s="1"/>
  <c r="C3418" i="2" s="1"/>
  <c r="C3419" i="2" s="1"/>
  <c r="C3420" i="2" s="1"/>
  <c r="C3421" i="2" s="1"/>
  <c r="C3422" i="2" s="1"/>
  <c r="C3423" i="2" s="1"/>
  <c r="C3424" i="2" s="1"/>
  <c r="C3425" i="2" s="1"/>
  <c r="C3426" i="2" s="1"/>
  <c r="C3427" i="2" s="1"/>
  <c r="C3428" i="2" s="1"/>
  <c r="C3429" i="2" s="1"/>
  <c r="C3430" i="2" s="1"/>
  <c r="C3431" i="2" s="1"/>
  <c r="C3432" i="2" s="1"/>
  <c r="C3433" i="2" s="1"/>
  <c r="C3434" i="2" s="1"/>
  <c r="C3435" i="2" s="1"/>
  <c r="C3436" i="2" s="1"/>
  <c r="C3437" i="2" s="1"/>
  <c r="C3438" i="2" s="1"/>
  <c r="C3439" i="2" s="1"/>
  <c r="C3440" i="2" s="1"/>
  <c r="C3441" i="2" s="1"/>
  <c r="C3442" i="2" s="1"/>
  <c r="C3443" i="2" s="1"/>
  <c r="C3444" i="2" s="1"/>
  <c r="C3445" i="2" s="1"/>
  <c r="C3446" i="2" s="1"/>
  <c r="C3447" i="2" s="1"/>
  <c r="C3448" i="2" s="1"/>
  <c r="C3449" i="2" s="1"/>
  <c r="C3450" i="2" s="1"/>
  <c r="C3451" i="2" s="1"/>
  <c r="C3452" i="2" s="1"/>
  <c r="C3453" i="2" s="1"/>
  <c r="C3454" i="2" s="1"/>
  <c r="C3455" i="2" s="1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 s="1"/>
  <c r="C3467" i="2" s="1"/>
  <c r="C3468" i="2" s="1"/>
  <c r="C3469" i="2" s="1"/>
  <c r="C3470" i="2" s="1"/>
  <c r="C3471" i="2" s="1"/>
  <c r="C3472" i="2" s="1"/>
  <c r="C3473" i="2" s="1"/>
  <c r="C3474" i="2" s="1"/>
  <c r="C3475" i="2" s="1"/>
  <c r="C3476" i="2" s="1"/>
  <c r="C3477" i="2" s="1"/>
  <c r="C3478" i="2" s="1"/>
  <c r="C3479" i="2" s="1"/>
  <c r="C3480" i="2" s="1"/>
  <c r="C3481" i="2" s="1"/>
  <c r="C3482" i="2" s="1"/>
  <c r="C3483" i="2" s="1"/>
  <c r="C3484" i="2" s="1"/>
  <c r="C3485" i="2" s="1"/>
  <c r="C3486" i="2" s="1"/>
  <c r="C3487" i="2" s="1"/>
  <c r="C3488" i="2" s="1"/>
  <c r="C3489" i="2" s="1"/>
  <c r="C3490" i="2" s="1"/>
  <c r="C3491" i="2" s="1"/>
  <c r="C3492" i="2" s="1"/>
  <c r="C3493" i="2" s="1"/>
  <c r="C3494" i="2" s="1"/>
  <c r="C3495" i="2" s="1"/>
  <c r="C3496" i="2" s="1"/>
  <c r="C3497" i="2" s="1"/>
  <c r="C3498" i="2" s="1"/>
  <c r="C3499" i="2" s="1"/>
  <c r="C3500" i="2" s="1"/>
  <c r="C3501" i="2" s="1"/>
  <c r="C3502" i="2" s="1"/>
  <c r="C3503" i="2" s="1"/>
  <c r="C3504" i="2" s="1"/>
  <c r="C3505" i="2" s="1"/>
  <c r="C3506" i="2" s="1"/>
  <c r="C3507" i="2" s="1"/>
  <c r="C3508" i="2" s="1"/>
  <c r="C3509" i="2" s="1"/>
  <c r="C3510" i="2" s="1"/>
  <c r="C3511" i="2" s="1"/>
  <c r="C3512" i="2" s="1"/>
  <c r="C3513" i="2" s="1"/>
  <c r="C3514" i="2" s="1"/>
  <c r="C3515" i="2" s="1"/>
  <c r="C3516" i="2" s="1"/>
  <c r="C3517" i="2" s="1"/>
  <c r="C3518" i="2" s="1"/>
  <c r="C3519" i="2" s="1"/>
  <c r="C3520" i="2" s="1"/>
  <c r="C3521" i="2" s="1"/>
  <c r="C3522" i="2" s="1"/>
  <c r="C3523" i="2" s="1"/>
  <c r="C3524" i="2" s="1"/>
  <c r="C3525" i="2" s="1"/>
  <c r="C3526" i="2" s="1"/>
  <c r="C3527" i="2" s="1"/>
  <c r="C3528" i="2" s="1"/>
  <c r="C3529" i="2" s="1"/>
  <c r="C3530" i="2" s="1"/>
  <c r="C3531" i="2" s="1"/>
  <c r="C3532" i="2" s="1"/>
  <c r="C3533" i="2" s="1"/>
  <c r="C3534" i="2" s="1"/>
  <c r="C3535" i="2" s="1"/>
  <c r="C3536" i="2" s="1"/>
  <c r="C3537" i="2" s="1"/>
  <c r="C3538" i="2" s="1"/>
  <c r="C3539" i="2" s="1"/>
  <c r="C3540" i="2" s="1"/>
  <c r="C3541" i="2" s="1"/>
  <c r="C3542" i="2" s="1"/>
  <c r="C3543" i="2" s="1"/>
  <c r="C3544" i="2" s="1"/>
  <c r="C3545" i="2" s="1"/>
  <c r="C3546" i="2" s="1"/>
  <c r="C3547" i="2" s="1"/>
  <c r="C3548" i="2" s="1"/>
  <c r="C3549" i="2" s="1"/>
  <c r="C3550" i="2" s="1"/>
  <c r="C3551" i="2" s="1"/>
  <c r="C3552" i="2" s="1"/>
  <c r="C3553" i="2" s="1"/>
  <c r="C3554" i="2" s="1"/>
  <c r="C3555" i="2" s="1"/>
  <c r="C3556" i="2" s="1"/>
  <c r="C3557" i="2" s="1"/>
  <c r="C3558" i="2" s="1"/>
  <c r="C3559" i="2" s="1"/>
  <c r="C3560" i="2" s="1"/>
  <c r="C3561" i="2" s="1"/>
  <c r="C3562" i="2" s="1"/>
  <c r="C3563" i="2" s="1"/>
  <c r="C3564" i="2" s="1"/>
  <c r="C3565" i="2" s="1"/>
  <c r="C3566" i="2" s="1"/>
  <c r="C3567" i="2" s="1"/>
  <c r="C3568" i="2" s="1"/>
  <c r="C3569" i="2" s="1"/>
  <c r="C3570" i="2" s="1"/>
  <c r="C3571" i="2" s="1"/>
  <c r="C3572" i="2" s="1"/>
  <c r="C3573" i="2" s="1"/>
  <c r="C3574" i="2" s="1"/>
  <c r="C3575" i="2" s="1"/>
  <c r="C3576" i="2" s="1"/>
  <c r="C3577" i="2" s="1"/>
  <c r="C3578" i="2" s="1"/>
  <c r="C3579" i="2" s="1"/>
  <c r="C3580" i="2" s="1"/>
  <c r="C3581" i="2" s="1"/>
  <c r="C3582" i="2" s="1"/>
  <c r="C3583" i="2" s="1"/>
  <c r="C3584" i="2" s="1"/>
  <c r="C3585" i="2" s="1"/>
  <c r="C3586" i="2" s="1"/>
  <c r="C3587" i="2" s="1"/>
  <c r="C3588" i="2" s="1"/>
  <c r="C3589" i="2" s="1"/>
  <c r="C3590" i="2" s="1"/>
  <c r="C3591" i="2" s="1"/>
  <c r="C3592" i="2" s="1"/>
  <c r="C3593" i="2" s="1"/>
  <c r="C3594" i="2" s="1"/>
  <c r="C3595" i="2" s="1"/>
  <c r="C3596" i="2" s="1"/>
  <c r="C3597" i="2" s="1"/>
  <c r="C3598" i="2" s="1"/>
  <c r="C3599" i="2" s="1"/>
  <c r="C3600" i="2" s="1"/>
  <c r="C3601" i="2" s="1"/>
  <c r="C3602" i="2" s="1"/>
  <c r="C3603" i="2" s="1"/>
  <c r="C3604" i="2" s="1"/>
  <c r="C3605" i="2" s="1"/>
  <c r="C3606" i="2" s="1"/>
  <c r="C3607" i="2" s="1"/>
  <c r="C3608" i="2" s="1"/>
  <c r="H9" i="2"/>
  <c r="I9" i="2" s="1"/>
  <c r="G10" i="2" l="1"/>
  <c r="E10" i="2"/>
  <c r="H10" i="2"/>
  <c r="I10" i="2" s="1"/>
  <c r="K9" i="2"/>
  <c r="J10" i="2" s="1"/>
  <c r="L9" i="2" l="1"/>
  <c r="E11" i="2"/>
  <c r="F11" i="2" s="1"/>
  <c r="H11" i="2"/>
  <c r="I11" i="2" s="1"/>
  <c r="K10" i="2"/>
  <c r="J11" i="2" s="1"/>
  <c r="G11" i="2"/>
  <c r="F10" i="2"/>
  <c r="L10" i="2" l="1"/>
  <c r="G12" i="2"/>
  <c r="E12" i="2"/>
  <c r="F12" i="2" s="1"/>
  <c r="K11" i="2"/>
  <c r="J12" i="2" s="1"/>
  <c r="H12" i="2"/>
  <c r="I12" i="2" s="1"/>
  <c r="H13" i="2" l="1"/>
  <c r="I13" i="2" s="1"/>
  <c r="K12" i="2"/>
  <c r="L12" i="2" s="1"/>
  <c r="G13" i="2"/>
  <c r="E13" i="2"/>
  <c r="F13" i="2" s="1"/>
  <c r="L11" i="2"/>
  <c r="J13" i="2" l="1"/>
  <c r="E14" i="2"/>
  <c r="F14" i="2" s="1"/>
  <c r="H14" i="2"/>
  <c r="I14" i="2" s="1"/>
  <c r="K13" i="2"/>
  <c r="G14" i="2"/>
  <c r="L13" i="2" l="1"/>
  <c r="J14" i="2"/>
  <c r="E15" i="2"/>
  <c r="H15" i="2"/>
  <c r="I15" i="2" s="1"/>
  <c r="K14" i="2"/>
  <c r="G15" i="2"/>
  <c r="L14" i="2" l="1"/>
  <c r="J15" i="2"/>
  <c r="G16" i="2"/>
  <c r="E16" i="2"/>
  <c r="F16" i="2" s="1"/>
  <c r="K15" i="2"/>
  <c r="H16" i="2"/>
  <c r="I16" i="2" s="1"/>
  <c r="F15" i="2"/>
  <c r="L15" i="2" l="1"/>
  <c r="J16" i="2"/>
  <c r="H17" i="2"/>
  <c r="I17" i="2" s="1"/>
  <c r="K16" i="2"/>
  <c r="G17" i="2"/>
  <c r="E17" i="2"/>
  <c r="F17" i="2" s="1"/>
  <c r="L16" i="2" l="1"/>
  <c r="E18" i="2"/>
  <c r="F18" i="2" s="1"/>
  <c r="H18" i="2"/>
  <c r="I18" i="2" s="1"/>
  <c r="K17" i="2"/>
  <c r="J18" i="2" s="1"/>
  <c r="G18" i="2"/>
  <c r="J17" i="2"/>
  <c r="L17" i="2" l="1"/>
  <c r="E19" i="2"/>
  <c r="F19" i="2" s="1"/>
  <c r="H19" i="2"/>
  <c r="I19" i="2" s="1"/>
  <c r="K18" i="2"/>
  <c r="J19" i="2" s="1"/>
  <c r="G19" i="2"/>
  <c r="L18" i="2" l="1"/>
  <c r="G20" i="2"/>
  <c r="E20" i="2"/>
  <c r="F20" i="2" s="1"/>
  <c r="H20" i="2"/>
  <c r="I20" i="2" s="1"/>
  <c r="K19" i="2"/>
  <c r="L19" i="2" s="1"/>
  <c r="J20" i="2" l="1"/>
  <c r="H21" i="2"/>
  <c r="I21" i="2" s="1"/>
  <c r="K20" i="2"/>
  <c r="G21" i="2"/>
  <c r="E21" i="2"/>
  <c r="F21" i="2" s="1"/>
  <c r="L20" i="2" l="1"/>
  <c r="E22" i="2"/>
  <c r="F22" i="2" s="1"/>
  <c r="H22" i="2"/>
  <c r="I22" i="2" s="1"/>
  <c r="K21" i="2"/>
  <c r="J22" i="2" s="1"/>
  <c r="G22" i="2"/>
  <c r="J21" i="2"/>
  <c r="L21" i="2" l="1"/>
  <c r="E23" i="2"/>
  <c r="F23" i="2" s="1"/>
  <c r="H23" i="2"/>
  <c r="I23" i="2" s="1"/>
  <c r="K22" i="2"/>
  <c r="J23" i="2" s="1"/>
  <c r="G23" i="2"/>
  <c r="G24" i="2" l="1"/>
  <c r="E24" i="2"/>
  <c r="F24" i="2" s="1"/>
  <c r="H24" i="2"/>
  <c r="I24" i="2" s="1"/>
  <c r="K23" i="2"/>
  <c r="L23" i="2" s="1"/>
  <c r="L22" i="2"/>
  <c r="J24" i="2" l="1"/>
  <c r="H25" i="2"/>
  <c r="I25" i="2" s="1"/>
  <c r="K24" i="2"/>
  <c r="G25" i="2"/>
  <c r="E25" i="2"/>
  <c r="F25" i="2" s="1"/>
  <c r="L24" i="2" l="1"/>
  <c r="J25" i="2"/>
  <c r="E26" i="2"/>
  <c r="F26" i="2" s="1"/>
  <c r="H26" i="2"/>
  <c r="I26" i="2" s="1"/>
  <c r="K25" i="2"/>
  <c r="J26" i="2" s="1"/>
  <c r="G26" i="2"/>
  <c r="L25" i="2" l="1"/>
  <c r="E27" i="2"/>
  <c r="F27" i="2" s="1"/>
  <c r="H27" i="2"/>
  <c r="I27" i="2" s="1"/>
  <c r="K26" i="2"/>
  <c r="L26" i="2" s="1"/>
  <c r="G27" i="2"/>
  <c r="J27" i="2" l="1"/>
  <c r="G28" i="2"/>
  <c r="E28" i="2"/>
  <c r="F28" i="2" s="1"/>
  <c r="K27" i="2"/>
  <c r="J28" i="2" s="1"/>
  <c r="H28" i="2"/>
  <c r="I28" i="2" s="1"/>
  <c r="L27" i="2" l="1"/>
  <c r="H29" i="2"/>
  <c r="I29" i="2" s="1"/>
  <c r="K28" i="2"/>
  <c r="L28" i="2" s="1"/>
  <c r="G29" i="2"/>
  <c r="E29" i="2"/>
  <c r="F29" i="2" s="1"/>
  <c r="J29" i="2" l="1"/>
  <c r="E30" i="2"/>
  <c r="F30" i="2" s="1"/>
  <c r="H30" i="2"/>
  <c r="I30" i="2" s="1"/>
  <c r="K29" i="2"/>
  <c r="G30" i="2"/>
  <c r="L29" i="2" l="1"/>
  <c r="J30" i="2"/>
  <c r="E31" i="2"/>
  <c r="F31" i="2" s="1"/>
  <c r="H31" i="2"/>
  <c r="I31" i="2" s="1"/>
  <c r="K30" i="2"/>
  <c r="G31" i="2"/>
  <c r="L30" i="2" l="1"/>
  <c r="J31" i="2"/>
  <c r="G32" i="2"/>
  <c r="E32" i="2"/>
  <c r="F32" i="2" s="1"/>
  <c r="K31" i="2"/>
  <c r="H32" i="2"/>
  <c r="I32" i="2" s="1"/>
  <c r="L31" i="2" l="1"/>
  <c r="J32" i="2"/>
  <c r="H33" i="2"/>
  <c r="I33" i="2" s="1"/>
  <c r="K32" i="2"/>
  <c r="G33" i="2"/>
  <c r="E33" i="2"/>
  <c r="F33" i="2" s="1"/>
  <c r="L32" i="2" l="1"/>
  <c r="E34" i="2"/>
  <c r="F34" i="2" s="1"/>
  <c r="H34" i="2"/>
  <c r="I34" i="2" s="1"/>
  <c r="K33" i="2"/>
  <c r="J34" i="2" s="1"/>
  <c r="G34" i="2"/>
  <c r="J33" i="2"/>
  <c r="L33" i="2" l="1"/>
  <c r="E35" i="2"/>
  <c r="F35" i="2" s="1"/>
  <c r="H35" i="2"/>
  <c r="I35" i="2" s="1"/>
  <c r="K34" i="2"/>
  <c r="L34" i="2" s="1"/>
  <c r="G35" i="2"/>
  <c r="J35" i="2" l="1"/>
  <c r="G36" i="2"/>
  <c r="E36" i="2"/>
  <c r="F36" i="2" s="1"/>
  <c r="H36" i="2"/>
  <c r="I36" i="2" s="1"/>
  <c r="K35" i="2"/>
  <c r="J36" i="2" s="1"/>
  <c r="L35" i="2" l="1"/>
  <c r="H37" i="2"/>
  <c r="I37" i="2" s="1"/>
  <c r="K36" i="2"/>
  <c r="L36" i="2" s="1"/>
  <c r="G37" i="2"/>
  <c r="E37" i="2"/>
  <c r="F37" i="2" s="1"/>
  <c r="E38" i="2" l="1"/>
  <c r="F38" i="2" s="1"/>
  <c r="H38" i="2"/>
  <c r="I38" i="2" s="1"/>
  <c r="K37" i="2"/>
  <c r="J38" i="2" s="1"/>
  <c r="G38" i="2"/>
  <c r="J37" i="2"/>
  <c r="L37" i="2" l="1"/>
  <c r="E39" i="2"/>
  <c r="F39" i="2" s="1"/>
  <c r="H39" i="2"/>
  <c r="I39" i="2" s="1"/>
  <c r="K38" i="2"/>
  <c r="L38" i="2" s="1"/>
  <c r="G39" i="2"/>
  <c r="J39" i="2" l="1"/>
  <c r="G40" i="2"/>
  <c r="E40" i="2"/>
  <c r="F40" i="2" s="1"/>
  <c r="H40" i="2"/>
  <c r="I40" i="2" s="1"/>
  <c r="K39" i="2"/>
  <c r="J40" i="2" s="1"/>
  <c r="L39" i="2" l="1"/>
  <c r="H41" i="2"/>
  <c r="I41" i="2" s="1"/>
  <c r="K40" i="2"/>
  <c r="J41" i="2" s="1"/>
  <c r="G41" i="2"/>
  <c r="E41" i="2"/>
  <c r="F41" i="2" s="1"/>
  <c r="L40" i="2" l="1"/>
  <c r="E42" i="2"/>
  <c r="F42" i="2" s="1"/>
  <c r="H42" i="2"/>
  <c r="I42" i="2" s="1"/>
  <c r="K41" i="2"/>
  <c r="L41" i="2" s="1"/>
  <c r="G42" i="2"/>
  <c r="J42" i="2" l="1"/>
  <c r="E43" i="2"/>
  <c r="F43" i="2" s="1"/>
  <c r="H43" i="2"/>
  <c r="I43" i="2" s="1"/>
  <c r="K42" i="2"/>
  <c r="G43" i="2"/>
  <c r="L42" i="2" l="1"/>
  <c r="J43" i="2"/>
  <c r="G44" i="2"/>
  <c r="E44" i="2"/>
  <c r="F44" i="2" s="1"/>
  <c r="K43" i="2"/>
  <c r="J44" i="2" s="1"/>
  <c r="H44" i="2"/>
  <c r="I44" i="2" s="1"/>
  <c r="L43" i="2" l="1"/>
  <c r="H45" i="2"/>
  <c r="I45" i="2" s="1"/>
  <c r="K44" i="2"/>
  <c r="L44" i="2" s="1"/>
  <c r="G45" i="2"/>
  <c r="E45" i="2"/>
  <c r="F45" i="2" s="1"/>
  <c r="E46" i="2" l="1"/>
  <c r="F46" i="2" s="1"/>
  <c r="H46" i="2"/>
  <c r="I46" i="2" s="1"/>
  <c r="K45" i="2"/>
  <c r="J46" i="2" s="1"/>
  <c r="G46" i="2"/>
  <c r="J45" i="2"/>
  <c r="L45" i="2" l="1"/>
  <c r="E47" i="2"/>
  <c r="F47" i="2" s="1"/>
  <c r="H47" i="2"/>
  <c r="I47" i="2" s="1"/>
  <c r="K46" i="2"/>
  <c r="L46" i="2" s="1"/>
  <c r="G47" i="2"/>
  <c r="J47" i="2" l="1"/>
  <c r="G48" i="2"/>
  <c r="E48" i="2"/>
  <c r="F48" i="2" s="1"/>
  <c r="K47" i="2"/>
  <c r="J48" i="2" s="1"/>
  <c r="H48" i="2"/>
  <c r="I48" i="2" s="1"/>
  <c r="H49" i="2" l="1"/>
  <c r="I49" i="2" s="1"/>
  <c r="K48" i="2"/>
  <c r="L48" i="2" s="1"/>
  <c r="G49" i="2"/>
  <c r="E49" i="2"/>
  <c r="F49" i="2" s="1"/>
  <c r="L47" i="2"/>
  <c r="E50" i="2" l="1"/>
  <c r="F50" i="2" s="1"/>
  <c r="H50" i="2"/>
  <c r="I50" i="2" s="1"/>
  <c r="K49" i="2"/>
  <c r="J50" i="2" s="1"/>
  <c r="G50" i="2"/>
  <c r="J49" i="2"/>
  <c r="L49" i="2" l="1"/>
  <c r="E51" i="2"/>
  <c r="F51" i="2" s="1"/>
  <c r="H51" i="2"/>
  <c r="I51" i="2" s="1"/>
  <c r="K50" i="2"/>
  <c r="L50" i="2" s="1"/>
  <c r="G51" i="2"/>
  <c r="J51" i="2" l="1"/>
  <c r="G52" i="2"/>
  <c r="E52" i="2"/>
  <c r="F52" i="2" s="1"/>
  <c r="H52" i="2"/>
  <c r="I52" i="2" s="1"/>
  <c r="K51" i="2"/>
  <c r="J52" i="2" s="1"/>
  <c r="H53" i="2" l="1"/>
  <c r="I53" i="2" s="1"/>
  <c r="K52" i="2"/>
  <c r="L52" i="2" s="1"/>
  <c r="G53" i="2"/>
  <c r="E53" i="2"/>
  <c r="F53" i="2" s="1"/>
  <c r="L51" i="2"/>
  <c r="E54" i="2" l="1"/>
  <c r="F54" i="2" s="1"/>
  <c r="H54" i="2"/>
  <c r="I54" i="2" s="1"/>
  <c r="K53" i="2"/>
  <c r="J54" i="2" s="1"/>
  <c r="G54" i="2"/>
  <c r="J53" i="2"/>
  <c r="L53" i="2" l="1"/>
  <c r="E55" i="2"/>
  <c r="F55" i="2" s="1"/>
  <c r="H55" i="2"/>
  <c r="I55" i="2" s="1"/>
  <c r="K54" i="2"/>
  <c r="L54" i="2" s="1"/>
  <c r="G55" i="2"/>
  <c r="J55" i="2" l="1"/>
  <c r="G56" i="2"/>
  <c r="E56" i="2"/>
  <c r="F56" i="2" s="1"/>
  <c r="H56" i="2"/>
  <c r="I56" i="2" s="1"/>
  <c r="K55" i="2"/>
  <c r="J56" i="2" s="1"/>
  <c r="H57" i="2" l="1"/>
  <c r="I57" i="2" s="1"/>
  <c r="K56" i="2"/>
  <c r="L56" i="2" s="1"/>
  <c r="G57" i="2"/>
  <c r="E57" i="2"/>
  <c r="F57" i="2" s="1"/>
  <c r="L55" i="2"/>
  <c r="E58" i="2" l="1"/>
  <c r="F58" i="2" s="1"/>
  <c r="H58" i="2"/>
  <c r="I58" i="2" s="1"/>
  <c r="K57" i="2"/>
  <c r="J58" i="2" s="1"/>
  <c r="G58" i="2"/>
  <c r="J57" i="2"/>
  <c r="L57" i="2" l="1"/>
  <c r="E59" i="2"/>
  <c r="F59" i="2" s="1"/>
  <c r="H59" i="2"/>
  <c r="I59" i="2" s="1"/>
  <c r="K58" i="2"/>
  <c r="L58" i="2" s="1"/>
  <c r="G59" i="2"/>
  <c r="J59" i="2" l="1"/>
  <c r="G60" i="2"/>
  <c r="E60" i="2"/>
  <c r="F60" i="2" s="1"/>
  <c r="K59" i="2"/>
  <c r="J60" i="2" s="1"/>
  <c r="H60" i="2"/>
  <c r="I60" i="2" s="1"/>
  <c r="H61" i="2" l="1"/>
  <c r="I61" i="2" s="1"/>
  <c r="K60" i="2"/>
  <c r="L60" i="2" s="1"/>
  <c r="G61" i="2"/>
  <c r="E61" i="2"/>
  <c r="F61" i="2" s="1"/>
  <c r="L59" i="2"/>
  <c r="E62" i="2" l="1"/>
  <c r="F62" i="2" s="1"/>
  <c r="K61" i="2"/>
  <c r="J62" i="2" s="1"/>
  <c r="H62" i="2"/>
  <c r="I62" i="2" s="1"/>
  <c r="G62" i="2"/>
  <c r="J61" i="2"/>
  <c r="L61" i="2" l="1"/>
  <c r="E63" i="2"/>
  <c r="F63" i="2" s="1"/>
  <c r="H63" i="2"/>
  <c r="I63" i="2" s="1"/>
  <c r="K62" i="2"/>
  <c r="J63" i="2" s="1"/>
  <c r="G63" i="2"/>
  <c r="G64" i="2" l="1"/>
  <c r="E64" i="2"/>
  <c r="F64" i="2" s="1"/>
  <c r="K63" i="2"/>
  <c r="L63" i="2" s="1"/>
  <c r="H64" i="2"/>
  <c r="I64" i="2" s="1"/>
  <c r="L62" i="2"/>
  <c r="J64" i="2" l="1"/>
  <c r="H65" i="2"/>
  <c r="I65" i="2" s="1"/>
  <c r="K64" i="2"/>
  <c r="G65" i="2"/>
  <c r="E65" i="2"/>
  <c r="F65" i="2" s="1"/>
  <c r="L64" i="2" l="1"/>
  <c r="E66" i="2"/>
  <c r="F66" i="2" s="1"/>
  <c r="H66" i="2"/>
  <c r="I66" i="2" s="1"/>
  <c r="K65" i="2"/>
  <c r="J66" i="2" s="1"/>
  <c r="G66" i="2"/>
  <c r="J65" i="2"/>
  <c r="L65" i="2" l="1"/>
  <c r="E67" i="2"/>
  <c r="F67" i="2" s="1"/>
  <c r="H67" i="2"/>
  <c r="I67" i="2" s="1"/>
  <c r="K66" i="2"/>
  <c r="L66" i="2" s="1"/>
  <c r="G67" i="2"/>
  <c r="J67" i="2" l="1"/>
  <c r="G68" i="2"/>
  <c r="E68" i="2"/>
  <c r="F68" i="2" s="1"/>
  <c r="H68" i="2"/>
  <c r="I68" i="2" s="1"/>
  <c r="K67" i="2"/>
  <c r="J68" i="2" s="1"/>
  <c r="H69" i="2" l="1"/>
  <c r="I69" i="2" s="1"/>
  <c r="K68" i="2"/>
  <c r="L68" i="2" s="1"/>
  <c r="G69" i="2"/>
  <c r="E69" i="2"/>
  <c r="F69" i="2" s="1"/>
  <c r="L67" i="2"/>
  <c r="E70" i="2" l="1"/>
  <c r="F70" i="2" s="1"/>
  <c r="H70" i="2"/>
  <c r="I70" i="2" s="1"/>
  <c r="K69" i="2"/>
  <c r="J70" i="2" s="1"/>
  <c r="G70" i="2"/>
  <c r="J69" i="2"/>
  <c r="L69" i="2" l="1"/>
  <c r="E71" i="2"/>
  <c r="F71" i="2" s="1"/>
  <c r="H71" i="2"/>
  <c r="I71" i="2" s="1"/>
  <c r="K70" i="2"/>
  <c r="L70" i="2" s="1"/>
  <c r="G71" i="2"/>
  <c r="J71" i="2" l="1"/>
  <c r="G72" i="2"/>
  <c r="E72" i="2"/>
  <c r="F72" i="2" s="1"/>
  <c r="H72" i="2"/>
  <c r="I72" i="2" s="1"/>
  <c r="K71" i="2"/>
  <c r="J72" i="2" s="1"/>
  <c r="H73" i="2" l="1"/>
  <c r="I73" i="2" s="1"/>
  <c r="K72" i="2"/>
  <c r="L72" i="2" s="1"/>
  <c r="G73" i="2"/>
  <c r="E73" i="2"/>
  <c r="F73" i="2" s="1"/>
  <c r="L71" i="2"/>
  <c r="E74" i="2" l="1"/>
  <c r="F74" i="2" s="1"/>
  <c r="H74" i="2"/>
  <c r="I74" i="2" s="1"/>
  <c r="K73" i="2"/>
  <c r="J74" i="2" s="1"/>
  <c r="G74" i="2"/>
  <c r="J73" i="2"/>
  <c r="L73" i="2" l="1"/>
  <c r="E75" i="2"/>
  <c r="F75" i="2" s="1"/>
  <c r="H75" i="2"/>
  <c r="I75" i="2" s="1"/>
  <c r="K74" i="2"/>
  <c r="L74" i="2" s="1"/>
  <c r="G75" i="2"/>
  <c r="J75" i="2" l="1"/>
  <c r="G76" i="2"/>
  <c r="E76" i="2"/>
  <c r="F76" i="2" s="1"/>
  <c r="K75" i="2"/>
  <c r="J76" i="2" s="1"/>
  <c r="H76" i="2"/>
  <c r="I76" i="2" s="1"/>
  <c r="H77" i="2" l="1"/>
  <c r="I77" i="2" s="1"/>
  <c r="K76" i="2"/>
  <c r="L76" i="2" s="1"/>
  <c r="G77" i="2"/>
  <c r="E77" i="2"/>
  <c r="F77" i="2" s="1"/>
  <c r="L75" i="2"/>
  <c r="E78" i="2" l="1"/>
  <c r="F78" i="2" s="1"/>
  <c r="H78" i="2"/>
  <c r="I78" i="2" s="1"/>
  <c r="K77" i="2"/>
  <c r="J78" i="2" s="1"/>
  <c r="G78" i="2"/>
  <c r="J77" i="2"/>
  <c r="L77" i="2" l="1"/>
  <c r="E79" i="2"/>
  <c r="F79" i="2" s="1"/>
  <c r="H79" i="2"/>
  <c r="I79" i="2" s="1"/>
  <c r="K78" i="2"/>
  <c r="L78" i="2" s="1"/>
  <c r="G79" i="2"/>
  <c r="J79" i="2" l="1"/>
  <c r="G80" i="2"/>
  <c r="E80" i="2"/>
  <c r="F80" i="2" s="1"/>
  <c r="K79" i="2"/>
  <c r="H80" i="2"/>
  <c r="I80" i="2" s="1"/>
  <c r="L79" i="2" l="1"/>
  <c r="J80" i="2"/>
  <c r="H81" i="2"/>
  <c r="I81" i="2" s="1"/>
  <c r="K80" i="2"/>
  <c r="J81" i="2" s="1"/>
  <c r="G81" i="2"/>
  <c r="E81" i="2"/>
  <c r="F81" i="2" s="1"/>
  <c r="L80" i="2" l="1"/>
  <c r="E82" i="2"/>
  <c r="F82" i="2" s="1"/>
  <c r="H82" i="2"/>
  <c r="I82" i="2" s="1"/>
  <c r="K81" i="2"/>
  <c r="L81" i="2" s="1"/>
  <c r="G82" i="2"/>
  <c r="J82" i="2" l="1"/>
  <c r="E83" i="2"/>
  <c r="F83" i="2" s="1"/>
  <c r="H83" i="2"/>
  <c r="I83" i="2" s="1"/>
  <c r="K82" i="2"/>
  <c r="J83" i="2" s="1"/>
  <c r="G83" i="2"/>
  <c r="G84" i="2" l="1"/>
  <c r="E84" i="2"/>
  <c r="F84" i="2" s="1"/>
  <c r="H84" i="2"/>
  <c r="I84" i="2" s="1"/>
  <c r="K83" i="2"/>
  <c r="L83" i="2" s="1"/>
  <c r="L82" i="2"/>
  <c r="J84" i="2" l="1"/>
  <c r="H85" i="2"/>
  <c r="I85" i="2" s="1"/>
  <c r="K84" i="2"/>
  <c r="J85" i="2" s="1"/>
  <c r="G85" i="2"/>
  <c r="E85" i="2"/>
  <c r="F85" i="2" s="1"/>
  <c r="E86" i="2" l="1"/>
  <c r="F86" i="2" s="1"/>
  <c r="H86" i="2"/>
  <c r="I86" i="2" s="1"/>
  <c r="K85" i="2"/>
  <c r="L85" i="2" s="1"/>
  <c r="G86" i="2"/>
  <c r="L84" i="2"/>
  <c r="J86" i="2" l="1"/>
  <c r="E87" i="2"/>
  <c r="F87" i="2" s="1"/>
  <c r="H87" i="2"/>
  <c r="I87" i="2" s="1"/>
  <c r="K86" i="2"/>
  <c r="J87" i="2" s="1"/>
  <c r="G87" i="2"/>
  <c r="G88" i="2" l="1"/>
  <c r="E88" i="2"/>
  <c r="F88" i="2" s="1"/>
  <c r="H88" i="2"/>
  <c r="I88" i="2" s="1"/>
  <c r="K87" i="2"/>
  <c r="L87" i="2" s="1"/>
  <c r="L86" i="2"/>
  <c r="J88" i="2" l="1"/>
  <c r="H89" i="2"/>
  <c r="I89" i="2" s="1"/>
  <c r="K88" i="2"/>
  <c r="J89" i="2" s="1"/>
  <c r="G89" i="2"/>
  <c r="E89" i="2"/>
  <c r="F89" i="2" s="1"/>
  <c r="E90" i="2" l="1"/>
  <c r="F90" i="2" s="1"/>
  <c r="H90" i="2"/>
  <c r="I90" i="2" s="1"/>
  <c r="K89" i="2"/>
  <c r="L89" i="2" s="1"/>
  <c r="G90" i="2"/>
  <c r="L88" i="2"/>
  <c r="E91" i="2" l="1"/>
  <c r="F91" i="2" s="1"/>
  <c r="H91" i="2"/>
  <c r="I91" i="2" s="1"/>
  <c r="K90" i="2"/>
  <c r="J91" i="2" s="1"/>
  <c r="G91" i="2"/>
  <c r="J90" i="2"/>
  <c r="G92" i="2" l="1"/>
  <c r="E92" i="2"/>
  <c r="F92" i="2" s="1"/>
  <c r="K91" i="2"/>
  <c r="L91" i="2" s="1"/>
  <c r="H92" i="2"/>
  <c r="I92" i="2" s="1"/>
  <c r="L90" i="2"/>
  <c r="J92" i="2" l="1"/>
  <c r="H93" i="2"/>
  <c r="I93" i="2" s="1"/>
  <c r="K92" i="2"/>
  <c r="G93" i="2"/>
  <c r="E93" i="2"/>
  <c r="F93" i="2" s="1"/>
  <c r="L92" i="2" l="1"/>
  <c r="E94" i="2"/>
  <c r="F94" i="2" s="1"/>
  <c r="H94" i="2"/>
  <c r="I94" i="2" s="1"/>
  <c r="K93" i="2"/>
  <c r="J94" i="2" s="1"/>
  <c r="G94" i="2"/>
  <c r="J93" i="2"/>
  <c r="L93" i="2" l="1"/>
  <c r="E95" i="2"/>
  <c r="F95" i="2" s="1"/>
  <c r="H95" i="2"/>
  <c r="I95" i="2" s="1"/>
  <c r="K94" i="2"/>
  <c r="L94" i="2" s="1"/>
  <c r="G95" i="2"/>
  <c r="G96" i="2" l="1"/>
  <c r="E96" i="2"/>
  <c r="F96" i="2" s="1"/>
  <c r="K95" i="2"/>
  <c r="J96" i="2" s="1"/>
  <c r="H96" i="2"/>
  <c r="I96" i="2" s="1"/>
  <c r="J95" i="2"/>
  <c r="L95" i="2" l="1"/>
  <c r="H97" i="2"/>
  <c r="I97" i="2" s="1"/>
  <c r="K96" i="2"/>
  <c r="L96" i="2" s="1"/>
  <c r="G97" i="2"/>
  <c r="E97" i="2"/>
  <c r="F97" i="2" s="1"/>
  <c r="J97" i="2" l="1"/>
  <c r="E98" i="2"/>
  <c r="F98" i="2" s="1"/>
  <c r="H98" i="2"/>
  <c r="I98" i="2" s="1"/>
  <c r="K97" i="2"/>
  <c r="J98" i="2" s="1"/>
  <c r="G98" i="2"/>
  <c r="L97" i="2" l="1"/>
  <c r="E99" i="2"/>
  <c r="F99" i="2" s="1"/>
  <c r="H99" i="2"/>
  <c r="I99" i="2" s="1"/>
  <c r="K98" i="2"/>
  <c r="L98" i="2" s="1"/>
  <c r="G99" i="2"/>
  <c r="J99" i="2" l="1"/>
  <c r="G100" i="2"/>
  <c r="E100" i="2"/>
  <c r="F100" i="2" s="1"/>
  <c r="H100" i="2"/>
  <c r="I100" i="2" s="1"/>
  <c r="K99" i="2"/>
  <c r="J100" i="2" s="1"/>
  <c r="H101" i="2" l="1"/>
  <c r="I101" i="2" s="1"/>
  <c r="K100" i="2"/>
  <c r="L100" i="2" s="1"/>
  <c r="G101" i="2"/>
  <c r="E101" i="2"/>
  <c r="F101" i="2" s="1"/>
  <c r="L99" i="2"/>
  <c r="E102" i="2" l="1"/>
  <c r="F102" i="2" s="1"/>
  <c r="H102" i="2"/>
  <c r="I102" i="2" s="1"/>
  <c r="K101" i="2"/>
  <c r="J102" i="2" s="1"/>
  <c r="G102" i="2"/>
  <c r="J101" i="2"/>
  <c r="L101" i="2" l="1"/>
  <c r="E103" i="2"/>
  <c r="F103" i="2" s="1"/>
  <c r="H103" i="2"/>
  <c r="I103" i="2" s="1"/>
  <c r="K102" i="2"/>
  <c r="L102" i="2" s="1"/>
  <c r="G103" i="2"/>
  <c r="J103" i="2" l="1"/>
  <c r="G104" i="2"/>
  <c r="E104" i="2"/>
  <c r="F104" i="2" s="1"/>
  <c r="H104" i="2"/>
  <c r="I104" i="2" s="1"/>
  <c r="K103" i="2"/>
  <c r="L103" i="2" l="1"/>
  <c r="J104" i="2"/>
  <c r="H105" i="2"/>
  <c r="I105" i="2" s="1"/>
  <c r="K104" i="2"/>
  <c r="G105" i="2"/>
  <c r="E105" i="2"/>
  <c r="F105" i="2" s="1"/>
  <c r="L104" i="2" l="1"/>
  <c r="J105" i="2"/>
  <c r="E106" i="2"/>
  <c r="F106" i="2" s="1"/>
  <c r="H106" i="2"/>
  <c r="I106" i="2" s="1"/>
  <c r="K105" i="2"/>
  <c r="G106" i="2"/>
  <c r="L105" i="2" l="1"/>
  <c r="J106" i="2"/>
  <c r="E107" i="2"/>
  <c r="F107" i="2" s="1"/>
  <c r="H107" i="2"/>
  <c r="I107" i="2" s="1"/>
  <c r="K106" i="2"/>
  <c r="J107" i="2" s="1"/>
  <c r="G107" i="2"/>
  <c r="G108" i="2" l="1"/>
  <c r="E108" i="2"/>
  <c r="F108" i="2" s="1"/>
  <c r="K107" i="2"/>
  <c r="L107" i="2" s="1"/>
  <c r="H108" i="2"/>
  <c r="I108" i="2" s="1"/>
  <c r="L106" i="2"/>
  <c r="J108" i="2" l="1"/>
  <c r="H109" i="2"/>
  <c r="I109" i="2" s="1"/>
  <c r="K108" i="2"/>
  <c r="G109" i="2"/>
  <c r="E109" i="2"/>
  <c r="F109" i="2" s="1"/>
  <c r="L108" i="2" l="1"/>
  <c r="E110" i="2"/>
  <c r="F110" i="2" s="1"/>
  <c r="H110" i="2"/>
  <c r="I110" i="2" s="1"/>
  <c r="K109" i="2"/>
  <c r="J110" i="2" s="1"/>
  <c r="G110" i="2"/>
  <c r="J109" i="2"/>
  <c r="L109" i="2" l="1"/>
  <c r="E111" i="2"/>
  <c r="F111" i="2" s="1"/>
  <c r="H111" i="2"/>
  <c r="I111" i="2" s="1"/>
  <c r="K110" i="2"/>
  <c r="L110" i="2" s="1"/>
  <c r="G111" i="2"/>
  <c r="J111" i="2" l="1"/>
  <c r="G112" i="2"/>
  <c r="E112" i="2"/>
  <c r="F112" i="2" s="1"/>
  <c r="H112" i="2"/>
  <c r="I112" i="2" s="1"/>
  <c r="K111" i="2"/>
  <c r="J112" i="2" s="1"/>
  <c r="L111" i="2" l="1"/>
  <c r="H113" i="2"/>
  <c r="I113" i="2" s="1"/>
  <c r="K112" i="2"/>
  <c r="L112" i="2" s="1"/>
  <c r="G113" i="2"/>
  <c r="E113" i="2"/>
  <c r="F113" i="2" s="1"/>
  <c r="J113" i="2" l="1"/>
  <c r="E114" i="2"/>
  <c r="F114" i="2" s="1"/>
  <c r="H114" i="2"/>
  <c r="I114" i="2" s="1"/>
  <c r="K113" i="2"/>
  <c r="G114" i="2"/>
  <c r="L113" i="2" l="1"/>
  <c r="E115" i="2"/>
  <c r="F115" i="2" s="1"/>
  <c r="H115" i="2"/>
  <c r="I115" i="2" s="1"/>
  <c r="K114" i="2"/>
  <c r="J115" i="2" s="1"/>
  <c r="G115" i="2"/>
  <c r="J114" i="2"/>
  <c r="G116" i="2" l="1"/>
  <c r="E116" i="2"/>
  <c r="F116" i="2" s="1"/>
  <c r="H116" i="2"/>
  <c r="I116" i="2" s="1"/>
  <c r="K115" i="2"/>
  <c r="J116" i="2" s="1"/>
  <c r="L114" i="2"/>
  <c r="L115" i="2" l="1"/>
  <c r="H117" i="2"/>
  <c r="I117" i="2" s="1"/>
  <c r="K116" i="2"/>
  <c r="L116" i="2" s="1"/>
  <c r="G117" i="2"/>
  <c r="E117" i="2"/>
  <c r="F117" i="2" s="1"/>
  <c r="J117" i="2" l="1"/>
  <c r="E118" i="2"/>
  <c r="F118" i="2" s="1"/>
  <c r="H118" i="2"/>
  <c r="I118" i="2" s="1"/>
  <c r="K117" i="2"/>
  <c r="J118" i="2" s="1"/>
  <c r="G118" i="2"/>
  <c r="E119" i="2" l="1"/>
  <c r="F119" i="2" s="1"/>
  <c r="H119" i="2"/>
  <c r="I119" i="2" s="1"/>
  <c r="K118" i="2"/>
  <c r="L118" i="2" s="1"/>
  <c r="G119" i="2"/>
  <c r="L117" i="2"/>
  <c r="J119" i="2" l="1"/>
  <c r="G120" i="2"/>
  <c r="E120" i="2"/>
  <c r="F120" i="2" s="1"/>
  <c r="H120" i="2"/>
  <c r="I120" i="2" s="1"/>
  <c r="K119" i="2"/>
  <c r="L119" i="2" l="1"/>
  <c r="J120" i="2"/>
  <c r="H121" i="2"/>
  <c r="I121" i="2" s="1"/>
  <c r="K120" i="2"/>
  <c r="G121" i="2"/>
  <c r="E121" i="2"/>
  <c r="F121" i="2" s="1"/>
  <c r="L120" i="2" l="1"/>
  <c r="E122" i="2"/>
  <c r="F122" i="2" s="1"/>
  <c r="H122" i="2"/>
  <c r="I122" i="2" s="1"/>
  <c r="K121" i="2"/>
  <c r="J122" i="2" s="1"/>
  <c r="G122" i="2"/>
  <c r="J121" i="2"/>
  <c r="L121" i="2" l="1"/>
  <c r="E123" i="2"/>
  <c r="F123" i="2" s="1"/>
  <c r="H123" i="2"/>
  <c r="I123" i="2" s="1"/>
  <c r="K122" i="2"/>
  <c r="L122" i="2" s="1"/>
  <c r="G123" i="2"/>
  <c r="J123" i="2" l="1"/>
  <c r="G124" i="2"/>
  <c r="E124" i="2"/>
  <c r="F124" i="2" s="1"/>
  <c r="K123" i="2"/>
  <c r="J124" i="2" s="1"/>
  <c r="H124" i="2"/>
  <c r="I124" i="2" s="1"/>
  <c r="L123" i="2" l="1"/>
  <c r="H125" i="2"/>
  <c r="I125" i="2" s="1"/>
  <c r="K124" i="2"/>
  <c r="L124" i="2" s="1"/>
  <c r="G125" i="2"/>
  <c r="E125" i="2"/>
  <c r="F125" i="2" s="1"/>
  <c r="E126" i="2" l="1"/>
  <c r="F126" i="2" s="1"/>
  <c r="H126" i="2"/>
  <c r="I126" i="2" s="1"/>
  <c r="K125" i="2"/>
  <c r="J126" i="2" s="1"/>
  <c r="G126" i="2"/>
  <c r="J125" i="2"/>
  <c r="L125" i="2" l="1"/>
  <c r="E127" i="2"/>
  <c r="F127" i="2" s="1"/>
  <c r="H127" i="2"/>
  <c r="I127" i="2" s="1"/>
  <c r="K126" i="2"/>
  <c r="L126" i="2" s="1"/>
  <c r="G127" i="2"/>
  <c r="J127" i="2" l="1"/>
  <c r="G128" i="2"/>
  <c r="E128" i="2"/>
  <c r="F128" i="2" s="1"/>
  <c r="H128" i="2"/>
  <c r="I128" i="2" s="1"/>
  <c r="K127" i="2"/>
  <c r="L127" i="2" l="1"/>
  <c r="J128" i="2"/>
  <c r="H129" i="2"/>
  <c r="I129" i="2" s="1"/>
  <c r="K128" i="2"/>
  <c r="G129" i="2"/>
  <c r="E129" i="2"/>
  <c r="F129" i="2" s="1"/>
  <c r="L128" i="2" l="1"/>
  <c r="J129" i="2"/>
  <c r="E130" i="2"/>
  <c r="F130" i="2" s="1"/>
  <c r="H130" i="2"/>
  <c r="I130" i="2" s="1"/>
  <c r="K129" i="2"/>
  <c r="J130" i="2" s="1"/>
  <c r="G130" i="2"/>
  <c r="L129" i="2" l="1"/>
  <c r="E131" i="2"/>
  <c r="F131" i="2" s="1"/>
  <c r="H131" i="2"/>
  <c r="I131" i="2" s="1"/>
  <c r="K130" i="2"/>
  <c r="L130" i="2" s="1"/>
  <c r="G131" i="2"/>
  <c r="J131" i="2" l="1"/>
  <c r="G132" i="2"/>
  <c r="E132" i="2"/>
  <c r="F132" i="2" s="1"/>
  <c r="H132" i="2"/>
  <c r="I132" i="2" s="1"/>
  <c r="K131" i="2"/>
  <c r="J132" i="2" s="1"/>
  <c r="H133" i="2" l="1"/>
  <c r="I133" i="2" s="1"/>
  <c r="K132" i="2"/>
  <c r="L132" i="2" s="1"/>
  <c r="G133" i="2"/>
  <c r="E133" i="2"/>
  <c r="F133" i="2" s="1"/>
  <c r="L131" i="2"/>
  <c r="E134" i="2" l="1"/>
  <c r="F134" i="2" s="1"/>
  <c r="H134" i="2"/>
  <c r="I134" i="2" s="1"/>
  <c r="K133" i="2"/>
  <c r="J134" i="2" s="1"/>
  <c r="G134" i="2"/>
  <c r="J133" i="2"/>
  <c r="L133" i="2" l="1"/>
  <c r="E135" i="2"/>
  <c r="F135" i="2" s="1"/>
  <c r="H135" i="2"/>
  <c r="I135" i="2" s="1"/>
  <c r="K134" i="2"/>
  <c r="L134" i="2" s="1"/>
  <c r="G135" i="2"/>
  <c r="J135" i="2" l="1"/>
  <c r="G136" i="2"/>
  <c r="E136" i="2"/>
  <c r="F136" i="2" s="1"/>
  <c r="H136" i="2"/>
  <c r="I136" i="2" s="1"/>
  <c r="K135" i="2"/>
  <c r="J136" i="2" s="1"/>
  <c r="H137" i="2" l="1"/>
  <c r="I137" i="2" s="1"/>
  <c r="K136" i="2"/>
  <c r="L136" i="2" s="1"/>
  <c r="G137" i="2"/>
  <c r="E137" i="2"/>
  <c r="F137" i="2" s="1"/>
  <c r="L135" i="2"/>
  <c r="E138" i="2" l="1"/>
  <c r="F138" i="2" s="1"/>
  <c r="H138" i="2"/>
  <c r="I138" i="2" s="1"/>
  <c r="K137" i="2"/>
  <c r="J138" i="2" s="1"/>
  <c r="G138" i="2"/>
  <c r="J137" i="2"/>
  <c r="L137" i="2" l="1"/>
  <c r="E139" i="2"/>
  <c r="F139" i="2" s="1"/>
  <c r="H139" i="2"/>
  <c r="I139" i="2" s="1"/>
  <c r="K138" i="2"/>
  <c r="L138" i="2" s="1"/>
  <c r="G139" i="2"/>
  <c r="J139" i="2" l="1"/>
  <c r="G140" i="2"/>
  <c r="E140" i="2"/>
  <c r="F140" i="2" s="1"/>
  <c r="K139" i="2"/>
  <c r="H140" i="2"/>
  <c r="I140" i="2" s="1"/>
  <c r="L139" i="2" l="1"/>
  <c r="J140" i="2"/>
  <c r="H141" i="2"/>
  <c r="I141" i="2" s="1"/>
  <c r="K140" i="2"/>
  <c r="G141" i="2"/>
  <c r="E141" i="2"/>
  <c r="F141" i="2" s="1"/>
  <c r="L140" i="2" l="1"/>
  <c r="J141" i="2"/>
  <c r="E142" i="2"/>
  <c r="F142" i="2" s="1"/>
  <c r="H142" i="2"/>
  <c r="I142" i="2" s="1"/>
  <c r="K141" i="2"/>
  <c r="J142" i="2" s="1"/>
  <c r="G142" i="2"/>
  <c r="L141" i="2" l="1"/>
  <c r="E143" i="2"/>
  <c r="F143" i="2" s="1"/>
  <c r="H143" i="2"/>
  <c r="I143" i="2" s="1"/>
  <c r="K142" i="2"/>
  <c r="L142" i="2" s="1"/>
  <c r="G143" i="2"/>
  <c r="J143" i="2" l="1"/>
  <c r="G144" i="2"/>
  <c r="E144" i="2"/>
  <c r="F144" i="2" s="1"/>
  <c r="H144" i="2"/>
  <c r="I144" i="2" s="1"/>
  <c r="K143" i="2"/>
  <c r="L143" i="2" l="1"/>
  <c r="J144" i="2"/>
  <c r="H145" i="2"/>
  <c r="I145" i="2" s="1"/>
  <c r="K144" i="2"/>
  <c r="J145" i="2" s="1"/>
  <c r="G145" i="2"/>
  <c r="E145" i="2"/>
  <c r="F145" i="2" s="1"/>
  <c r="E146" i="2" l="1"/>
  <c r="F146" i="2" s="1"/>
  <c r="H146" i="2"/>
  <c r="I146" i="2" s="1"/>
  <c r="K145" i="2"/>
  <c r="J146" i="2" s="1"/>
  <c r="G146" i="2"/>
  <c r="L144" i="2"/>
  <c r="L145" i="2" l="1"/>
  <c r="E147" i="2"/>
  <c r="F147" i="2" s="1"/>
  <c r="H147" i="2"/>
  <c r="I147" i="2" s="1"/>
  <c r="K146" i="2"/>
  <c r="L146" i="2" s="1"/>
  <c r="G147" i="2"/>
  <c r="J147" i="2" l="1"/>
  <c r="G148" i="2"/>
  <c r="E148" i="2"/>
  <c r="F148" i="2" s="1"/>
  <c r="H148" i="2"/>
  <c r="I148" i="2" s="1"/>
  <c r="K147" i="2"/>
  <c r="J148" i="2" s="1"/>
  <c r="H149" i="2" l="1"/>
  <c r="I149" i="2" s="1"/>
  <c r="K148" i="2"/>
  <c r="L148" i="2" s="1"/>
  <c r="G149" i="2"/>
  <c r="E149" i="2"/>
  <c r="F149" i="2" s="1"/>
  <c r="L147" i="2"/>
  <c r="E150" i="2" l="1"/>
  <c r="F150" i="2" s="1"/>
  <c r="H150" i="2"/>
  <c r="I150" i="2" s="1"/>
  <c r="K149" i="2"/>
  <c r="J150" i="2" s="1"/>
  <c r="G150" i="2"/>
  <c r="J149" i="2"/>
  <c r="L149" i="2" l="1"/>
  <c r="E151" i="2"/>
  <c r="F151" i="2" s="1"/>
  <c r="H151" i="2"/>
  <c r="I151" i="2" s="1"/>
  <c r="K150" i="2"/>
  <c r="L150" i="2" s="1"/>
  <c r="G151" i="2"/>
  <c r="J151" i="2" l="1"/>
  <c r="G152" i="2"/>
  <c r="E152" i="2"/>
  <c r="F152" i="2" s="1"/>
  <c r="H152" i="2"/>
  <c r="I152" i="2" s="1"/>
  <c r="K151" i="2"/>
  <c r="J152" i="2" s="1"/>
  <c r="L151" i="2" l="1"/>
  <c r="H153" i="2"/>
  <c r="I153" i="2" s="1"/>
  <c r="K152" i="2"/>
  <c r="L152" i="2" s="1"/>
  <c r="G153" i="2"/>
  <c r="E153" i="2"/>
  <c r="F153" i="2" s="1"/>
  <c r="J153" i="2" l="1"/>
  <c r="E154" i="2"/>
  <c r="F154" i="2" s="1"/>
  <c r="H154" i="2"/>
  <c r="I154" i="2" s="1"/>
  <c r="K153" i="2"/>
  <c r="J154" i="2" s="1"/>
  <c r="G154" i="2"/>
  <c r="L153" i="2" l="1"/>
  <c r="E155" i="2"/>
  <c r="F155" i="2" s="1"/>
  <c r="H155" i="2"/>
  <c r="I155" i="2" s="1"/>
  <c r="K154" i="2"/>
  <c r="L154" i="2" s="1"/>
  <c r="G155" i="2"/>
  <c r="J155" i="2" l="1"/>
  <c r="G156" i="2"/>
  <c r="E156" i="2"/>
  <c r="F156" i="2" s="1"/>
  <c r="K155" i="2"/>
  <c r="J156" i="2" s="1"/>
  <c r="H156" i="2"/>
  <c r="I156" i="2" s="1"/>
  <c r="H157" i="2" l="1"/>
  <c r="I157" i="2" s="1"/>
  <c r="K156" i="2"/>
  <c r="L156" i="2" s="1"/>
  <c r="G157" i="2"/>
  <c r="E157" i="2"/>
  <c r="F157" i="2" s="1"/>
  <c r="L155" i="2"/>
  <c r="E158" i="2" l="1"/>
  <c r="F158" i="2" s="1"/>
  <c r="H158" i="2"/>
  <c r="I158" i="2" s="1"/>
  <c r="K157" i="2"/>
  <c r="J158" i="2" s="1"/>
  <c r="G158" i="2"/>
  <c r="J157" i="2"/>
  <c r="L157" i="2" l="1"/>
  <c r="E159" i="2"/>
  <c r="F159" i="2" s="1"/>
  <c r="H159" i="2"/>
  <c r="I159" i="2" s="1"/>
  <c r="K158" i="2"/>
  <c r="L158" i="2" s="1"/>
  <c r="G159" i="2"/>
  <c r="G160" i="2" l="1"/>
  <c r="E160" i="2"/>
  <c r="F160" i="2" s="1"/>
  <c r="K159" i="2"/>
  <c r="J160" i="2" s="1"/>
  <c r="H160" i="2"/>
  <c r="I160" i="2" s="1"/>
  <c r="J159" i="2"/>
  <c r="L159" i="2" l="1"/>
  <c r="H161" i="2"/>
  <c r="I161" i="2" s="1"/>
  <c r="K160" i="2"/>
  <c r="L160" i="2" s="1"/>
  <c r="G161" i="2"/>
  <c r="E161" i="2"/>
  <c r="F161" i="2" s="1"/>
  <c r="J161" i="2" l="1"/>
  <c r="E162" i="2"/>
  <c r="F162" i="2" s="1"/>
  <c r="H162" i="2"/>
  <c r="I162" i="2" s="1"/>
  <c r="K161" i="2"/>
  <c r="G162" i="2"/>
  <c r="L161" i="2" l="1"/>
  <c r="J162" i="2"/>
  <c r="E163" i="2"/>
  <c r="F163" i="2" s="1"/>
  <c r="H163" i="2"/>
  <c r="I163" i="2" s="1"/>
  <c r="K162" i="2"/>
  <c r="J163" i="2" s="1"/>
  <c r="G163" i="2"/>
  <c r="G164" i="2" l="1"/>
  <c r="E164" i="2"/>
  <c r="F164" i="2" s="1"/>
  <c r="H164" i="2"/>
  <c r="I164" i="2" s="1"/>
  <c r="K163" i="2"/>
  <c r="L163" i="2" s="1"/>
  <c r="L162" i="2"/>
  <c r="J164" i="2" l="1"/>
  <c r="H165" i="2"/>
  <c r="I165" i="2" s="1"/>
  <c r="K164" i="2"/>
  <c r="G165" i="2"/>
  <c r="E165" i="2"/>
  <c r="F165" i="2" s="1"/>
  <c r="L164" i="2" l="1"/>
  <c r="E166" i="2"/>
  <c r="F166" i="2" s="1"/>
  <c r="H166" i="2"/>
  <c r="I166" i="2" s="1"/>
  <c r="K165" i="2"/>
  <c r="J166" i="2" s="1"/>
  <c r="G166" i="2"/>
  <c r="J165" i="2"/>
  <c r="L165" i="2" l="1"/>
  <c r="E167" i="2"/>
  <c r="F167" i="2" s="1"/>
  <c r="H167" i="2"/>
  <c r="I167" i="2" s="1"/>
  <c r="K166" i="2"/>
  <c r="J167" i="2" s="1"/>
  <c r="G167" i="2"/>
  <c r="L166" i="2" l="1"/>
  <c r="G168" i="2"/>
  <c r="E168" i="2"/>
  <c r="F168" i="2" s="1"/>
  <c r="K167" i="2"/>
  <c r="J168" i="2" s="1"/>
  <c r="H168" i="2"/>
  <c r="I168" i="2" s="1"/>
  <c r="L167" i="2" l="1"/>
  <c r="H169" i="2"/>
  <c r="I169" i="2" s="1"/>
  <c r="K168" i="2"/>
  <c r="L168" i="2" s="1"/>
  <c r="G169" i="2"/>
  <c r="E169" i="2"/>
  <c r="F169" i="2" s="1"/>
  <c r="E170" i="2" l="1"/>
  <c r="F170" i="2" s="1"/>
  <c r="H170" i="2"/>
  <c r="I170" i="2" s="1"/>
  <c r="K169" i="2"/>
  <c r="J170" i="2" s="1"/>
  <c r="G170" i="2"/>
  <c r="J169" i="2"/>
  <c r="L169" i="2" l="1"/>
  <c r="E171" i="2"/>
  <c r="F171" i="2" s="1"/>
  <c r="H171" i="2"/>
  <c r="I171" i="2" s="1"/>
  <c r="K170" i="2"/>
  <c r="L170" i="2" s="1"/>
  <c r="G171" i="2"/>
  <c r="J171" i="2" l="1"/>
  <c r="G172" i="2"/>
  <c r="E172" i="2"/>
  <c r="F172" i="2" s="1"/>
  <c r="K171" i="2"/>
  <c r="J172" i="2" s="1"/>
  <c r="H172" i="2"/>
  <c r="I172" i="2" s="1"/>
  <c r="H173" i="2" l="1"/>
  <c r="I173" i="2" s="1"/>
  <c r="K172" i="2"/>
  <c r="L172" i="2" s="1"/>
  <c r="G173" i="2"/>
  <c r="E173" i="2"/>
  <c r="F173" i="2" s="1"/>
  <c r="L171" i="2"/>
  <c r="E174" i="2" l="1"/>
  <c r="F174" i="2" s="1"/>
  <c r="H174" i="2"/>
  <c r="I174" i="2" s="1"/>
  <c r="K173" i="2"/>
  <c r="J174" i="2" s="1"/>
  <c r="G174" i="2"/>
  <c r="J173" i="2"/>
  <c r="E175" i="2" l="1"/>
  <c r="F175" i="2" s="1"/>
  <c r="H175" i="2"/>
  <c r="I175" i="2" s="1"/>
  <c r="K174" i="2"/>
  <c r="L174" i="2" s="1"/>
  <c r="G175" i="2"/>
  <c r="L173" i="2"/>
  <c r="J175" i="2" l="1"/>
  <c r="G176" i="2"/>
  <c r="E176" i="2"/>
  <c r="F176" i="2" s="1"/>
  <c r="K175" i="2"/>
  <c r="J176" i="2" s="1"/>
  <c r="H176" i="2"/>
  <c r="I176" i="2" s="1"/>
  <c r="H177" i="2" l="1"/>
  <c r="I177" i="2" s="1"/>
  <c r="K176" i="2"/>
  <c r="L176" i="2" s="1"/>
  <c r="G177" i="2"/>
  <c r="E177" i="2"/>
  <c r="F177" i="2" s="1"/>
  <c r="L175" i="2"/>
  <c r="E178" i="2" l="1"/>
  <c r="F178" i="2" s="1"/>
  <c r="H178" i="2"/>
  <c r="I178" i="2" s="1"/>
  <c r="K177" i="2"/>
  <c r="J178" i="2" s="1"/>
  <c r="G178" i="2"/>
  <c r="J177" i="2"/>
  <c r="L177" i="2" l="1"/>
  <c r="E179" i="2"/>
  <c r="F179" i="2" s="1"/>
  <c r="H179" i="2"/>
  <c r="I179" i="2" s="1"/>
  <c r="K178" i="2"/>
  <c r="L178" i="2" s="1"/>
  <c r="G179" i="2"/>
  <c r="J179" i="2" l="1"/>
  <c r="G180" i="2"/>
  <c r="E180" i="2"/>
  <c r="F180" i="2" s="1"/>
  <c r="H180" i="2"/>
  <c r="I180" i="2" s="1"/>
  <c r="K179" i="2"/>
  <c r="J180" i="2" s="1"/>
  <c r="H181" i="2" l="1"/>
  <c r="I181" i="2" s="1"/>
  <c r="K180" i="2"/>
  <c r="L180" i="2" s="1"/>
  <c r="G181" i="2"/>
  <c r="E181" i="2"/>
  <c r="F181" i="2" s="1"/>
  <c r="L179" i="2"/>
  <c r="E182" i="2" l="1"/>
  <c r="F182" i="2" s="1"/>
  <c r="H182" i="2"/>
  <c r="I182" i="2" s="1"/>
  <c r="K181" i="2"/>
  <c r="J182" i="2" s="1"/>
  <c r="G182" i="2"/>
  <c r="J181" i="2"/>
  <c r="L181" i="2" l="1"/>
  <c r="E183" i="2"/>
  <c r="F183" i="2" s="1"/>
  <c r="H183" i="2"/>
  <c r="I183" i="2" s="1"/>
  <c r="K182" i="2"/>
  <c r="L182" i="2" s="1"/>
  <c r="G183" i="2"/>
  <c r="J183" i="2" l="1"/>
  <c r="G184" i="2"/>
  <c r="E184" i="2"/>
  <c r="F184" i="2" s="1"/>
  <c r="H184" i="2"/>
  <c r="I184" i="2" s="1"/>
  <c r="K183" i="2"/>
  <c r="J184" i="2" s="1"/>
  <c r="H185" i="2" l="1"/>
  <c r="I185" i="2" s="1"/>
  <c r="K184" i="2"/>
  <c r="L184" i="2" s="1"/>
  <c r="G185" i="2"/>
  <c r="E185" i="2"/>
  <c r="F185" i="2" s="1"/>
  <c r="L183" i="2"/>
  <c r="E186" i="2" l="1"/>
  <c r="F186" i="2" s="1"/>
  <c r="H186" i="2"/>
  <c r="I186" i="2" s="1"/>
  <c r="K185" i="2"/>
  <c r="J186" i="2" s="1"/>
  <c r="G186" i="2"/>
  <c r="J185" i="2"/>
  <c r="L185" i="2" l="1"/>
  <c r="E187" i="2"/>
  <c r="F187" i="2" s="1"/>
  <c r="H187" i="2"/>
  <c r="I187" i="2" s="1"/>
  <c r="K186" i="2"/>
  <c r="L186" i="2" s="1"/>
  <c r="G187" i="2"/>
  <c r="J187" i="2" l="1"/>
  <c r="G188" i="2"/>
  <c r="E188" i="2"/>
  <c r="F188" i="2" s="1"/>
  <c r="K187" i="2"/>
  <c r="J188" i="2" s="1"/>
  <c r="H188" i="2"/>
  <c r="I188" i="2" s="1"/>
  <c r="H189" i="2" l="1"/>
  <c r="I189" i="2" s="1"/>
  <c r="K188" i="2"/>
  <c r="L188" i="2" s="1"/>
  <c r="G189" i="2"/>
  <c r="E189" i="2"/>
  <c r="F189" i="2" s="1"/>
  <c r="L187" i="2"/>
  <c r="E190" i="2" l="1"/>
  <c r="F190" i="2" s="1"/>
  <c r="H190" i="2"/>
  <c r="I190" i="2" s="1"/>
  <c r="K189" i="2"/>
  <c r="J190" i="2" s="1"/>
  <c r="G190" i="2"/>
  <c r="J189" i="2"/>
  <c r="L189" i="2" l="1"/>
  <c r="E191" i="2"/>
  <c r="F191" i="2" s="1"/>
  <c r="H191" i="2"/>
  <c r="I191" i="2" s="1"/>
  <c r="K190" i="2"/>
  <c r="L190" i="2" s="1"/>
  <c r="G191" i="2"/>
  <c r="J191" i="2" l="1"/>
  <c r="G192" i="2"/>
  <c r="E192" i="2"/>
  <c r="F192" i="2" s="1"/>
  <c r="K191" i="2"/>
  <c r="H192" i="2"/>
  <c r="I192" i="2" s="1"/>
  <c r="L191" i="2" l="1"/>
  <c r="J192" i="2"/>
  <c r="H193" i="2"/>
  <c r="I193" i="2" s="1"/>
  <c r="K192" i="2"/>
  <c r="G193" i="2"/>
  <c r="E193" i="2"/>
  <c r="F193" i="2" s="1"/>
  <c r="L192" i="2" l="1"/>
  <c r="E194" i="2"/>
  <c r="F194" i="2" s="1"/>
  <c r="H194" i="2"/>
  <c r="I194" i="2" s="1"/>
  <c r="K193" i="2"/>
  <c r="J194" i="2" s="1"/>
  <c r="G194" i="2"/>
  <c r="J193" i="2"/>
  <c r="L193" i="2" l="1"/>
  <c r="E195" i="2"/>
  <c r="F195" i="2" s="1"/>
  <c r="H195" i="2"/>
  <c r="I195" i="2" s="1"/>
  <c r="K194" i="2"/>
  <c r="L194" i="2" s="1"/>
  <c r="G195" i="2"/>
  <c r="J195" i="2" l="1"/>
  <c r="G196" i="2"/>
  <c r="E196" i="2"/>
  <c r="F196" i="2" s="1"/>
  <c r="H196" i="2"/>
  <c r="I196" i="2" s="1"/>
  <c r="K195" i="2"/>
  <c r="L195" i="2" l="1"/>
  <c r="J196" i="2"/>
  <c r="H197" i="2"/>
  <c r="I197" i="2" s="1"/>
  <c r="K196" i="2"/>
  <c r="G197" i="2"/>
  <c r="E197" i="2"/>
  <c r="F197" i="2" s="1"/>
  <c r="L196" i="2" l="1"/>
  <c r="J197" i="2"/>
  <c r="E198" i="2"/>
  <c r="F198" i="2" s="1"/>
  <c r="H198" i="2"/>
  <c r="I198" i="2" s="1"/>
  <c r="K197" i="2"/>
  <c r="G198" i="2"/>
  <c r="L197" i="2" l="1"/>
  <c r="J198" i="2"/>
  <c r="E199" i="2"/>
  <c r="F199" i="2" s="1"/>
  <c r="H199" i="2"/>
  <c r="I199" i="2" s="1"/>
  <c r="K198" i="2"/>
  <c r="G199" i="2"/>
  <c r="L198" i="2" l="1"/>
  <c r="J199" i="2"/>
  <c r="G200" i="2"/>
  <c r="E200" i="2"/>
  <c r="F200" i="2" s="1"/>
  <c r="H200" i="2"/>
  <c r="I200" i="2" s="1"/>
  <c r="K199" i="2"/>
  <c r="J200" i="2" s="1"/>
  <c r="L199" i="2" l="1"/>
  <c r="H201" i="2"/>
  <c r="I201" i="2" s="1"/>
  <c r="K200" i="2"/>
  <c r="J201" i="2" s="1"/>
  <c r="G201" i="2"/>
  <c r="E201" i="2"/>
  <c r="F201" i="2" s="1"/>
  <c r="L200" i="2" l="1"/>
  <c r="E202" i="2"/>
  <c r="F202" i="2" s="1"/>
  <c r="H202" i="2"/>
  <c r="I202" i="2" s="1"/>
  <c r="K201" i="2"/>
  <c r="L201" i="2" s="1"/>
  <c r="G202" i="2"/>
  <c r="J202" i="2" l="1"/>
  <c r="E203" i="2"/>
  <c r="F203" i="2" s="1"/>
  <c r="H203" i="2"/>
  <c r="I203" i="2" s="1"/>
  <c r="K202" i="2"/>
  <c r="J203" i="2" s="1"/>
  <c r="G203" i="2"/>
  <c r="G204" i="2" l="1"/>
  <c r="E204" i="2"/>
  <c r="F204" i="2" s="1"/>
  <c r="K203" i="2"/>
  <c r="L203" i="2" s="1"/>
  <c r="H204" i="2"/>
  <c r="I204" i="2" s="1"/>
  <c r="L202" i="2"/>
  <c r="J204" i="2" l="1"/>
  <c r="H205" i="2"/>
  <c r="I205" i="2" s="1"/>
  <c r="K204" i="2"/>
  <c r="G205" i="2"/>
  <c r="E205" i="2"/>
  <c r="F205" i="2" s="1"/>
  <c r="L204" i="2" l="1"/>
  <c r="E206" i="2"/>
  <c r="F206" i="2" s="1"/>
  <c r="H206" i="2"/>
  <c r="I206" i="2" s="1"/>
  <c r="K205" i="2"/>
  <c r="J206" i="2" s="1"/>
  <c r="G206" i="2"/>
  <c r="J205" i="2"/>
  <c r="L205" i="2" l="1"/>
  <c r="E207" i="2"/>
  <c r="F207" i="2" s="1"/>
  <c r="H207" i="2"/>
  <c r="I207" i="2" s="1"/>
  <c r="K206" i="2"/>
  <c r="L206" i="2" s="1"/>
  <c r="G207" i="2"/>
  <c r="J207" i="2" l="1"/>
  <c r="G208" i="2"/>
  <c r="E208" i="2"/>
  <c r="F208" i="2" s="1"/>
  <c r="K207" i="2"/>
  <c r="J208" i="2" s="1"/>
  <c r="H208" i="2"/>
  <c r="I208" i="2" s="1"/>
  <c r="H209" i="2" l="1"/>
  <c r="I209" i="2" s="1"/>
  <c r="K208" i="2"/>
  <c r="L208" i="2" s="1"/>
  <c r="G209" i="2"/>
  <c r="E209" i="2"/>
  <c r="F209" i="2" s="1"/>
  <c r="L207" i="2"/>
  <c r="E210" i="2" l="1"/>
  <c r="F210" i="2" s="1"/>
  <c r="H210" i="2"/>
  <c r="I210" i="2" s="1"/>
  <c r="K209" i="2"/>
  <c r="J210" i="2" s="1"/>
  <c r="G210" i="2"/>
  <c r="J209" i="2"/>
  <c r="L209" i="2" l="1"/>
  <c r="E211" i="2"/>
  <c r="F211" i="2" s="1"/>
  <c r="H211" i="2"/>
  <c r="I211" i="2" s="1"/>
  <c r="K210" i="2"/>
  <c r="L210" i="2" s="1"/>
  <c r="G211" i="2"/>
  <c r="J211" i="2" l="1"/>
  <c r="G212" i="2"/>
  <c r="E212" i="2"/>
  <c r="F212" i="2" s="1"/>
  <c r="H212" i="2"/>
  <c r="I212" i="2" s="1"/>
  <c r="K211" i="2"/>
  <c r="L211" i="2" s="1"/>
  <c r="J212" i="2" l="1"/>
  <c r="H213" i="2"/>
  <c r="I213" i="2" s="1"/>
  <c r="K212" i="2"/>
  <c r="J213" i="2" s="1"/>
  <c r="G213" i="2"/>
  <c r="E213" i="2"/>
  <c r="F213" i="2" s="1"/>
  <c r="E214" i="2" l="1"/>
  <c r="F214" i="2" s="1"/>
  <c r="H214" i="2"/>
  <c r="I214" i="2" s="1"/>
  <c r="K213" i="2"/>
  <c r="L213" i="2" s="1"/>
  <c r="G214" i="2"/>
  <c r="L212" i="2"/>
  <c r="E215" i="2" l="1"/>
  <c r="F215" i="2" s="1"/>
  <c r="H215" i="2"/>
  <c r="I215" i="2" s="1"/>
  <c r="K214" i="2"/>
  <c r="J215" i="2" s="1"/>
  <c r="G215" i="2"/>
  <c r="J214" i="2"/>
  <c r="G216" i="2" l="1"/>
  <c r="E216" i="2"/>
  <c r="F216" i="2" s="1"/>
  <c r="H216" i="2"/>
  <c r="I216" i="2" s="1"/>
  <c r="K215" i="2"/>
  <c r="J216" i="2" s="1"/>
  <c r="L214" i="2"/>
  <c r="L215" i="2" l="1"/>
  <c r="H217" i="2"/>
  <c r="I217" i="2" s="1"/>
  <c r="K216" i="2"/>
  <c r="L216" i="2" s="1"/>
  <c r="G217" i="2"/>
  <c r="E217" i="2"/>
  <c r="F217" i="2" s="1"/>
  <c r="J217" i="2" l="1"/>
  <c r="E218" i="2"/>
  <c r="F218" i="2" s="1"/>
  <c r="H218" i="2"/>
  <c r="I218" i="2" s="1"/>
  <c r="K217" i="2"/>
  <c r="J218" i="2" s="1"/>
  <c r="G218" i="2"/>
  <c r="L217" i="2" l="1"/>
  <c r="E219" i="2"/>
  <c r="F219" i="2" s="1"/>
  <c r="H219" i="2"/>
  <c r="I219" i="2" s="1"/>
  <c r="K218" i="2"/>
  <c r="L218" i="2" s="1"/>
  <c r="G219" i="2"/>
  <c r="J219" i="2" l="1"/>
  <c r="G220" i="2"/>
  <c r="E220" i="2"/>
  <c r="F220" i="2" s="1"/>
  <c r="K219" i="2"/>
  <c r="H220" i="2"/>
  <c r="I220" i="2" s="1"/>
  <c r="L219" i="2" l="1"/>
  <c r="J220" i="2"/>
  <c r="H221" i="2"/>
  <c r="I221" i="2" s="1"/>
  <c r="K220" i="2"/>
  <c r="G221" i="2"/>
  <c r="E221" i="2"/>
  <c r="F221" i="2" s="1"/>
  <c r="L220" i="2" l="1"/>
  <c r="J221" i="2"/>
  <c r="E222" i="2"/>
  <c r="F222" i="2" s="1"/>
  <c r="H222" i="2"/>
  <c r="I222" i="2" s="1"/>
  <c r="K221" i="2"/>
  <c r="J222" i="2" s="1"/>
  <c r="G222" i="2"/>
  <c r="L221" i="2" l="1"/>
  <c r="E223" i="2"/>
  <c r="F223" i="2" s="1"/>
  <c r="H223" i="2"/>
  <c r="I223" i="2" s="1"/>
  <c r="K222" i="2"/>
  <c r="L222" i="2" s="1"/>
  <c r="G223" i="2"/>
  <c r="J223" i="2" l="1"/>
  <c r="G224" i="2"/>
  <c r="E224" i="2"/>
  <c r="F224" i="2" s="1"/>
  <c r="K223" i="2"/>
  <c r="J224" i="2" s="1"/>
  <c r="H224" i="2"/>
  <c r="I224" i="2" s="1"/>
  <c r="H225" i="2" l="1"/>
  <c r="I225" i="2" s="1"/>
  <c r="K224" i="2"/>
  <c r="L224" i="2" s="1"/>
  <c r="G225" i="2"/>
  <c r="E225" i="2"/>
  <c r="F225" i="2" s="1"/>
  <c r="L223" i="2"/>
  <c r="E226" i="2" l="1"/>
  <c r="F226" i="2" s="1"/>
  <c r="H226" i="2"/>
  <c r="I226" i="2" s="1"/>
  <c r="K225" i="2"/>
  <c r="J226" i="2" s="1"/>
  <c r="G226" i="2"/>
  <c r="J225" i="2"/>
  <c r="L225" i="2" l="1"/>
  <c r="E227" i="2"/>
  <c r="F227" i="2" s="1"/>
  <c r="H227" i="2"/>
  <c r="I227" i="2" s="1"/>
  <c r="K226" i="2"/>
  <c r="J227" i="2" s="1"/>
  <c r="G227" i="2"/>
  <c r="G228" i="2" l="1"/>
  <c r="E228" i="2"/>
  <c r="F228" i="2" s="1"/>
  <c r="H228" i="2"/>
  <c r="I228" i="2" s="1"/>
  <c r="K227" i="2"/>
  <c r="L227" i="2" s="1"/>
  <c r="L226" i="2"/>
  <c r="J228" i="2" l="1"/>
  <c r="H229" i="2"/>
  <c r="I229" i="2" s="1"/>
  <c r="K228" i="2"/>
  <c r="G229" i="2"/>
  <c r="E229" i="2"/>
  <c r="F229" i="2" s="1"/>
  <c r="L228" i="2" l="1"/>
  <c r="J229" i="2"/>
  <c r="E230" i="2"/>
  <c r="F230" i="2" s="1"/>
  <c r="H230" i="2"/>
  <c r="I230" i="2" s="1"/>
  <c r="K229" i="2"/>
  <c r="J230" i="2" s="1"/>
  <c r="G230" i="2"/>
  <c r="L229" i="2" l="1"/>
  <c r="E231" i="2"/>
  <c r="F231" i="2" s="1"/>
  <c r="H231" i="2"/>
  <c r="I231" i="2" s="1"/>
  <c r="K230" i="2"/>
  <c r="L230" i="2" s="1"/>
  <c r="G231" i="2"/>
  <c r="J231" i="2" l="1"/>
  <c r="G232" i="2"/>
  <c r="E232" i="2"/>
  <c r="F232" i="2" s="1"/>
  <c r="K231" i="2"/>
  <c r="H232" i="2"/>
  <c r="I232" i="2" s="1"/>
  <c r="L231" i="2" l="1"/>
  <c r="J232" i="2"/>
  <c r="H233" i="2"/>
  <c r="I233" i="2" s="1"/>
  <c r="K232" i="2"/>
  <c r="J233" i="2" s="1"/>
  <c r="G233" i="2"/>
  <c r="E233" i="2"/>
  <c r="F233" i="2" s="1"/>
  <c r="L232" i="2" l="1"/>
  <c r="E234" i="2"/>
  <c r="F234" i="2" s="1"/>
  <c r="H234" i="2"/>
  <c r="I234" i="2" s="1"/>
  <c r="K233" i="2"/>
  <c r="L233" i="2" s="1"/>
  <c r="G234" i="2"/>
  <c r="J234" i="2" l="1"/>
  <c r="E235" i="2"/>
  <c r="F235" i="2" s="1"/>
  <c r="H235" i="2"/>
  <c r="I235" i="2" s="1"/>
  <c r="K234" i="2"/>
  <c r="G235" i="2"/>
  <c r="L234" i="2" l="1"/>
  <c r="J235" i="2"/>
  <c r="G236" i="2"/>
  <c r="E236" i="2"/>
  <c r="F236" i="2" s="1"/>
  <c r="K235" i="2"/>
  <c r="J236" i="2" s="1"/>
  <c r="H236" i="2"/>
  <c r="I236" i="2" s="1"/>
  <c r="L235" i="2" l="1"/>
  <c r="H237" i="2"/>
  <c r="I237" i="2" s="1"/>
  <c r="K236" i="2"/>
  <c r="L236" i="2" s="1"/>
  <c r="G237" i="2"/>
  <c r="E237" i="2"/>
  <c r="F237" i="2" s="1"/>
  <c r="E238" i="2" l="1"/>
  <c r="F238" i="2" s="1"/>
  <c r="H238" i="2"/>
  <c r="I238" i="2" s="1"/>
  <c r="K237" i="2"/>
  <c r="J238" i="2" s="1"/>
  <c r="G238" i="2"/>
  <c r="J237" i="2"/>
  <c r="L237" i="2" l="1"/>
  <c r="E239" i="2"/>
  <c r="F239" i="2" s="1"/>
  <c r="H239" i="2"/>
  <c r="I239" i="2" s="1"/>
  <c r="K238" i="2"/>
  <c r="L238" i="2" s="1"/>
  <c r="G239" i="2"/>
  <c r="J239" i="2" l="1"/>
  <c r="G240" i="2"/>
  <c r="E240" i="2"/>
  <c r="F240" i="2" s="1"/>
  <c r="H240" i="2"/>
  <c r="I240" i="2" s="1"/>
  <c r="K239" i="2"/>
  <c r="L239" i="2" s="1"/>
  <c r="J240" i="2" l="1"/>
  <c r="H241" i="2"/>
  <c r="I241" i="2" s="1"/>
  <c r="K240" i="2"/>
  <c r="J241" i="2" s="1"/>
  <c r="G241" i="2"/>
  <c r="E241" i="2"/>
  <c r="F241" i="2" s="1"/>
  <c r="E242" i="2" l="1"/>
  <c r="F242" i="2" s="1"/>
  <c r="H242" i="2"/>
  <c r="I242" i="2" s="1"/>
  <c r="K241" i="2"/>
  <c r="L241" i="2" s="1"/>
  <c r="G242" i="2"/>
  <c r="L240" i="2"/>
  <c r="E243" i="2" l="1"/>
  <c r="F243" i="2" s="1"/>
  <c r="H243" i="2"/>
  <c r="I243" i="2" s="1"/>
  <c r="K242" i="2"/>
  <c r="J243" i="2" s="1"/>
  <c r="G243" i="2"/>
  <c r="J242" i="2"/>
  <c r="G244" i="2" l="1"/>
  <c r="H244" i="2"/>
  <c r="I244" i="2" s="1"/>
  <c r="E244" i="2"/>
  <c r="F244" i="2" s="1"/>
  <c r="K243" i="2"/>
  <c r="L243" i="2" s="1"/>
  <c r="L242" i="2"/>
  <c r="J244" i="2" l="1"/>
  <c r="H245" i="2"/>
  <c r="I245" i="2" s="1"/>
  <c r="K244" i="2"/>
  <c r="G245" i="2"/>
  <c r="E245" i="2"/>
  <c r="F245" i="2" s="1"/>
  <c r="L244" i="2" l="1"/>
  <c r="E246" i="2"/>
  <c r="F246" i="2" s="1"/>
  <c r="H246" i="2"/>
  <c r="I246" i="2" s="1"/>
  <c r="K245" i="2"/>
  <c r="J246" i="2" s="1"/>
  <c r="G246" i="2"/>
  <c r="J245" i="2"/>
  <c r="G247" i="2" l="1"/>
  <c r="E247" i="2"/>
  <c r="F247" i="2" s="1"/>
  <c r="H247" i="2"/>
  <c r="I247" i="2" s="1"/>
  <c r="K246" i="2"/>
  <c r="L246" i="2" s="1"/>
  <c r="L245" i="2"/>
  <c r="J247" i="2" l="1"/>
  <c r="G248" i="2"/>
  <c r="H248" i="2"/>
  <c r="I248" i="2" s="1"/>
  <c r="K247" i="2"/>
  <c r="J248" i="2" s="1"/>
  <c r="E248" i="2"/>
  <c r="F248" i="2" s="1"/>
  <c r="H249" i="2" l="1"/>
  <c r="I249" i="2" s="1"/>
  <c r="K248" i="2"/>
  <c r="L248" i="2" s="1"/>
  <c r="G249" i="2"/>
  <c r="E249" i="2"/>
  <c r="F249" i="2" s="1"/>
  <c r="L247" i="2"/>
  <c r="E250" i="2" l="1"/>
  <c r="F250" i="2" s="1"/>
  <c r="H250" i="2"/>
  <c r="I250" i="2" s="1"/>
  <c r="K249" i="2"/>
  <c r="J250" i="2" s="1"/>
  <c r="G250" i="2"/>
  <c r="J249" i="2"/>
  <c r="L249" i="2" l="1"/>
  <c r="E251" i="2"/>
  <c r="F251" i="2" s="1"/>
  <c r="G251" i="2"/>
  <c r="H251" i="2"/>
  <c r="I251" i="2" s="1"/>
  <c r="K250" i="2"/>
  <c r="L250" i="2" s="1"/>
  <c r="J251" i="2" l="1"/>
  <c r="G252" i="2"/>
  <c r="H252" i="2"/>
  <c r="I252" i="2" s="1"/>
  <c r="E252" i="2"/>
  <c r="F252" i="2" s="1"/>
  <c r="K251" i="2"/>
  <c r="J252" i="2" s="1"/>
  <c r="H253" i="2" l="1"/>
  <c r="I253" i="2" s="1"/>
  <c r="K252" i="2"/>
  <c r="L252" i="2" s="1"/>
  <c r="E253" i="2"/>
  <c r="F253" i="2" s="1"/>
  <c r="G253" i="2"/>
  <c r="L251" i="2"/>
  <c r="J253" i="2" l="1"/>
  <c r="E254" i="2"/>
  <c r="F254" i="2" s="1"/>
  <c r="H254" i="2"/>
  <c r="I254" i="2" s="1"/>
  <c r="K253" i="2"/>
  <c r="J254" i="2" s="1"/>
  <c r="G254" i="2"/>
  <c r="E255" i="2" l="1"/>
  <c r="F255" i="2" s="1"/>
  <c r="G255" i="2"/>
  <c r="H255" i="2"/>
  <c r="I255" i="2" s="1"/>
  <c r="K254" i="2"/>
  <c r="L254" i="2" s="1"/>
  <c r="L253" i="2"/>
  <c r="J255" i="2" l="1"/>
  <c r="G256" i="2"/>
  <c r="H256" i="2"/>
  <c r="I256" i="2" s="1"/>
  <c r="K255" i="2"/>
  <c r="E256" i="2"/>
  <c r="F256" i="2" s="1"/>
  <c r="L255" i="2" l="1"/>
  <c r="H257" i="2"/>
  <c r="I257" i="2" s="1"/>
  <c r="K256" i="2"/>
  <c r="J257" i="2" s="1"/>
  <c r="E257" i="2"/>
  <c r="F257" i="2" s="1"/>
  <c r="G257" i="2"/>
  <c r="J256" i="2"/>
  <c r="L256" i="2" l="1"/>
  <c r="E258" i="2"/>
  <c r="F258" i="2" s="1"/>
  <c r="H258" i="2"/>
  <c r="I258" i="2" s="1"/>
  <c r="K257" i="2"/>
  <c r="L257" i="2" s="1"/>
  <c r="G258" i="2"/>
  <c r="J258" i="2" l="1"/>
  <c r="E259" i="2"/>
  <c r="F259" i="2" s="1"/>
  <c r="G259" i="2"/>
  <c r="H259" i="2"/>
  <c r="I259" i="2" s="1"/>
  <c r="K258" i="2"/>
  <c r="J259" i="2" s="1"/>
  <c r="L258" i="2" l="1"/>
  <c r="G260" i="2"/>
  <c r="K259" i="2"/>
  <c r="L259" i="2" s="1"/>
  <c r="H260" i="2"/>
  <c r="I260" i="2" s="1"/>
  <c r="E260" i="2"/>
  <c r="F260" i="2" s="1"/>
  <c r="J260" i="2" l="1"/>
  <c r="H261" i="2"/>
  <c r="I261" i="2" s="1"/>
  <c r="K260" i="2"/>
  <c r="G261" i="2"/>
  <c r="E261" i="2"/>
  <c r="F261" i="2" s="1"/>
  <c r="L260" i="2" l="1"/>
  <c r="J261" i="2"/>
  <c r="E262" i="2"/>
  <c r="F262" i="2" s="1"/>
  <c r="H262" i="2"/>
  <c r="I262" i="2" s="1"/>
  <c r="K261" i="2"/>
  <c r="G262" i="2"/>
  <c r="L261" i="2" l="1"/>
  <c r="J262" i="2"/>
  <c r="E263" i="2"/>
  <c r="F263" i="2" s="1"/>
  <c r="G263" i="2"/>
  <c r="H263" i="2"/>
  <c r="I263" i="2" s="1"/>
  <c r="K262" i="2"/>
  <c r="L262" i="2" l="1"/>
  <c r="J263" i="2"/>
  <c r="G264" i="2"/>
  <c r="E264" i="2"/>
  <c r="F264" i="2" s="1"/>
  <c r="H264" i="2"/>
  <c r="I264" i="2" s="1"/>
  <c r="K263" i="2"/>
  <c r="J264" i="2" s="1"/>
  <c r="H265" i="2" l="1"/>
  <c r="I265" i="2" s="1"/>
  <c r="K264" i="2"/>
  <c r="L264" i="2" s="1"/>
  <c r="G265" i="2"/>
  <c r="E265" i="2"/>
  <c r="F265" i="2" s="1"/>
  <c r="L263" i="2"/>
  <c r="J265" i="2" l="1"/>
  <c r="E266" i="2"/>
  <c r="F266" i="2" s="1"/>
  <c r="H266" i="2"/>
  <c r="I266" i="2" s="1"/>
  <c r="K265" i="2"/>
  <c r="J266" i="2" s="1"/>
  <c r="G266" i="2"/>
  <c r="G267" i="2" l="1"/>
  <c r="E267" i="2"/>
  <c r="F267" i="2" s="1"/>
  <c r="H267" i="2"/>
  <c r="I267" i="2" s="1"/>
  <c r="K266" i="2"/>
  <c r="J267" i="2" s="1"/>
  <c r="L265" i="2"/>
  <c r="L266" i="2" l="1"/>
  <c r="G268" i="2"/>
  <c r="H268" i="2"/>
  <c r="I268" i="2" s="1"/>
  <c r="E268" i="2"/>
  <c r="F268" i="2" s="1"/>
  <c r="K267" i="2"/>
  <c r="L267" i="2" s="1"/>
  <c r="J268" i="2" l="1"/>
  <c r="H269" i="2"/>
  <c r="I269" i="2" s="1"/>
  <c r="K268" i="2"/>
  <c r="G269" i="2"/>
  <c r="E269" i="2"/>
  <c r="F269" i="2" s="1"/>
  <c r="L268" i="2" l="1"/>
  <c r="J269" i="2"/>
  <c r="E270" i="2"/>
  <c r="F270" i="2" s="1"/>
  <c r="H270" i="2"/>
  <c r="I270" i="2" s="1"/>
  <c r="K269" i="2"/>
  <c r="J270" i="2" s="1"/>
  <c r="G270" i="2"/>
  <c r="E271" i="2" l="1"/>
  <c r="F271" i="2" s="1"/>
  <c r="H271" i="2"/>
  <c r="I271" i="2" s="1"/>
  <c r="K270" i="2"/>
  <c r="L270" i="2" s="1"/>
  <c r="G271" i="2"/>
  <c r="L269" i="2"/>
  <c r="J271" i="2" l="1"/>
  <c r="G272" i="2"/>
  <c r="K271" i="2"/>
  <c r="E272" i="2"/>
  <c r="F272" i="2" s="1"/>
  <c r="H272" i="2"/>
  <c r="I272" i="2" s="1"/>
  <c r="L271" i="2" l="1"/>
  <c r="J272" i="2"/>
  <c r="H273" i="2"/>
  <c r="I273" i="2" s="1"/>
  <c r="K272" i="2"/>
  <c r="J273" i="2" s="1"/>
  <c r="E273" i="2"/>
  <c r="F273" i="2" s="1"/>
  <c r="G273" i="2"/>
  <c r="E274" i="2" l="1"/>
  <c r="F274" i="2" s="1"/>
  <c r="H274" i="2"/>
  <c r="I274" i="2" s="1"/>
  <c r="K273" i="2"/>
  <c r="L273" i="2" s="1"/>
  <c r="G274" i="2"/>
  <c r="L272" i="2"/>
  <c r="E275" i="2" l="1"/>
  <c r="F275" i="2" s="1"/>
  <c r="G275" i="2"/>
  <c r="H275" i="2"/>
  <c r="I275" i="2" s="1"/>
  <c r="K274" i="2"/>
  <c r="J275" i="2" s="1"/>
  <c r="J274" i="2"/>
  <c r="L274" i="2" l="1"/>
  <c r="G276" i="2"/>
  <c r="H276" i="2"/>
  <c r="I276" i="2" s="1"/>
  <c r="K275" i="2"/>
  <c r="L275" i="2" s="1"/>
  <c r="E276" i="2"/>
  <c r="F276" i="2" s="1"/>
  <c r="J276" i="2" l="1"/>
  <c r="H277" i="2"/>
  <c r="I277" i="2" s="1"/>
  <c r="K276" i="2"/>
  <c r="J277" i="2" s="1"/>
  <c r="G277" i="2"/>
  <c r="E277" i="2"/>
  <c r="F277" i="2" s="1"/>
  <c r="L276" i="2" l="1"/>
  <c r="E278" i="2"/>
  <c r="F278" i="2" s="1"/>
  <c r="H278" i="2"/>
  <c r="I278" i="2" s="1"/>
  <c r="K277" i="2"/>
  <c r="L277" i="2" s="1"/>
  <c r="G278" i="2"/>
  <c r="J278" i="2" l="1"/>
  <c r="E279" i="2"/>
  <c r="F279" i="2" s="1"/>
  <c r="G279" i="2"/>
  <c r="H279" i="2"/>
  <c r="I279" i="2" s="1"/>
  <c r="K278" i="2"/>
  <c r="J279" i="2" s="1"/>
  <c r="G280" i="2" l="1"/>
  <c r="E280" i="2"/>
  <c r="F280" i="2" s="1"/>
  <c r="H280" i="2"/>
  <c r="I280" i="2" s="1"/>
  <c r="K279" i="2"/>
  <c r="L279" i="2" s="1"/>
  <c r="L278" i="2"/>
  <c r="J280" i="2" l="1"/>
  <c r="H281" i="2"/>
  <c r="I281" i="2" s="1"/>
  <c r="K280" i="2"/>
  <c r="G281" i="2"/>
  <c r="E281" i="2"/>
  <c r="F281" i="2" s="1"/>
  <c r="L280" i="2" l="1"/>
  <c r="E282" i="2"/>
  <c r="F282" i="2" s="1"/>
  <c r="H282" i="2"/>
  <c r="I282" i="2" s="1"/>
  <c r="K281" i="2"/>
  <c r="J282" i="2" s="1"/>
  <c r="G282" i="2"/>
  <c r="J281" i="2"/>
  <c r="G283" i="2" l="1"/>
  <c r="E283" i="2"/>
  <c r="F283" i="2" s="1"/>
  <c r="H283" i="2"/>
  <c r="I283" i="2" s="1"/>
  <c r="K282" i="2"/>
  <c r="L282" i="2" s="1"/>
  <c r="L281" i="2"/>
  <c r="J283" i="2" l="1"/>
  <c r="G284" i="2"/>
  <c r="H284" i="2"/>
  <c r="I284" i="2" s="1"/>
  <c r="E284" i="2"/>
  <c r="F284" i="2" s="1"/>
  <c r="K283" i="2"/>
  <c r="J284" i="2" s="1"/>
  <c r="L283" i="2" l="1"/>
  <c r="H285" i="2"/>
  <c r="I285" i="2" s="1"/>
  <c r="K284" i="2"/>
  <c r="L284" i="2" s="1"/>
  <c r="E285" i="2"/>
  <c r="F285" i="2" s="1"/>
  <c r="G285" i="2"/>
  <c r="J285" i="2" l="1"/>
  <c r="E286" i="2"/>
  <c r="F286" i="2" s="1"/>
  <c r="H286" i="2"/>
  <c r="I286" i="2" s="1"/>
  <c r="K285" i="2"/>
  <c r="J286" i="2" s="1"/>
  <c r="G286" i="2"/>
  <c r="E287" i="2" l="1"/>
  <c r="F287" i="2" s="1"/>
  <c r="H287" i="2"/>
  <c r="I287" i="2" s="1"/>
  <c r="K286" i="2"/>
  <c r="L286" i="2" s="1"/>
  <c r="G287" i="2"/>
  <c r="L285" i="2"/>
  <c r="J287" i="2" l="1"/>
  <c r="G288" i="2"/>
  <c r="H288" i="2"/>
  <c r="I288" i="2" s="1"/>
  <c r="E288" i="2"/>
  <c r="F288" i="2" s="1"/>
  <c r="K287" i="2"/>
  <c r="L287" i="2" l="1"/>
  <c r="J288" i="2"/>
  <c r="H289" i="2"/>
  <c r="I289" i="2" s="1"/>
  <c r="K288" i="2"/>
  <c r="J289" i="2" s="1"/>
  <c r="E289" i="2"/>
  <c r="F289" i="2" s="1"/>
  <c r="G289" i="2"/>
  <c r="L288" i="2" l="1"/>
  <c r="E290" i="2"/>
  <c r="F290" i="2" s="1"/>
  <c r="H290" i="2"/>
  <c r="I290" i="2" s="1"/>
  <c r="K289" i="2"/>
  <c r="L289" i="2" s="1"/>
  <c r="G290" i="2"/>
  <c r="J290" i="2" l="1"/>
  <c r="G291" i="2"/>
  <c r="E291" i="2"/>
  <c r="F291" i="2" s="1"/>
  <c r="H291" i="2"/>
  <c r="I291" i="2" s="1"/>
  <c r="K290" i="2"/>
  <c r="L290" i="2" l="1"/>
  <c r="J291" i="2"/>
  <c r="G292" i="2"/>
  <c r="H292" i="2"/>
  <c r="I292" i="2" s="1"/>
  <c r="E292" i="2"/>
  <c r="F292" i="2" s="1"/>
  <c r="K291" i="2"/>
  <c r="J292" i="2" s="1"/>
  <c r="H293" i="2" l="1"/>
  <c r="I293" i="2" s="1"/>
  <c r="K292" i="2"/>
  <c r="L292" i="2" s="1"/>
  <c r="E293" i="2"/>
  <c r="F293" i="2" s="1"/>
  <c r="G293" i="2"/>
  <c r="L291" i="2"/>
  <c r="J293" i="2" l="1"/>
  <c r="E294" i="2"/>
  <c r="F294" i="2" s="1"/>
  <c r="H294" i="2"/>
  <c r="I294" i="2" s="1"/>
  <c r="K293" i="2"/>
  <c r="J294" i="2" s="1"/>
  <c r="G294" i="2"/>
  <c r="L293" i="2" l="1"/>
  <c r="E295" i="2"/>
  <c r="F295" i="2" s="1"/>
  <c r="H295" i="2"/>
  <c r="I295" i="2" s="1"/>
  <c r="K294" i="2"/>
  <c r="J295" i="2" s="1"/>
  <c r="G295" i="2"/>
  <c r="L294" i="2" l="1"/>
  <c r="G296" i="2"/>
  <c r="K295" i="2"/>
  <c r="L295" i="2" s="1"/>
  <c r="E296" i="2"/>
  <c r="F296" i="2" s="1"/>
  <c r="H296" i="2"/>
  <c r="I296" i="2" s="1"/>
  <c r="J296" i="2" l="1"/>
  <c r="H297" i="2"/>
  <c r="I297" i="2" s="1"/>
  <c r="K296" i="2"/>
  <c r="J297" i="2" s="1"/>
  <c r="G297" i="2"/>
  <c r="E297" i="2"/>
  <c r="F297" i="2" s="1"/>
  <c r="L296" i="2" l="1"/>
  <c r="E298" i="2"/>
  <c r="F298" i="2" s="1"/>
  <c r="H298" i="2"/>
  <c r="I298" i="2" s="1"/>
  <c r="K297" i="2"/>
  <c r="L297" i="2" s="1"/>
  <c r="G298" i="2"/>
  <c r="E299" i="2" l="1"/>
  <c r="F299" i="2" s="1"/>
  <c r="G299" i="2"/>
  <c r="H299" i="2"/>
  <c r="I299" i="2" s="1"/>
  <c r="K298" i="2"/>
  <c r="J299" i="2" s="1"/>
  <c r="J298" i="2"/>
  <c r="L298" i="2" l="1"/>
  <c r="G300" i="2"/>
  <c r="K299" i="2"/>
  <c r="L299" i="2" s="1"/>
  <c r="H300" i="2"/>
  <c r="I300" i="2" s="1"/>
  <c r="E300" i="2"/>
  <c r="F300" i="2" s="1"/>
  <c r="J300" i="2" l="1"/>
  <c r="H301" i="2"/>
  <c r="I301" i="2" s="1"/>
  <c r="K300" i="2"/>
  <c r="G301" i="2"/>
  <c r="E301" i="2"/>
  <c r="F301" i="2" s="1"/>
  <c r="L300" i="2" l="1"/>
  <c r="J301" i="2"/>
  <c r="E302" i="2"/>
  <c r="F302" i="2" s="1"/>
  <c r="H302" i="2"/>
  <c r="I302" i="2" s="1"/>
  <c r="K301" i="2"/>
  <c r="G302" i="2"/>
  <c r="L301" i="2" l="1"/>
  <c r="J302" i="2"/>
  <c r="E303" i="2"/>
  <c r="F303" i="2" s="1"/>
  <c r="H303" i="2"/>
  <c r="I303" i="2" s="1"/>
  <c r="K302" i="2"/>
  <c r="J303" i="2" s="1"/>
  <c r="G303" i="2"/>
  <c r="G304" i="2" l="1"/>
  <c r="H304" i="2"/>
  <c r="I304" i="2" s="1"/>
  <c r="E304" i="2"/>
  <c r="F304" i="2" s="1"/>
  <c r="K303" i="2"/>
  <c r="L303" i="2" s="1"/>
  <c r="L302" i="2"/>
  <c r="J304" i="2" l="1"/>
  <c r="H305" i="2"/>
  <c r="I305" i="2" s="1"/>
  <c r="K304" i="2"/>
  <c r="E305" i="2"/>
  <c r="F305" i="2" s="1"/>
  <c r="G305" i="2"/>
  <c r="L304" i="2" l="1"/>
  <c r="J305" i="2"/>
  <c r="E306" i="2"/>
  <c r="F306" i="2" s="1"/>
  <c r="H306" i="2"/>
  <c r="I306" i="2" s="1"/>
  <c r="K305" i="2"/>
  <c r="G306" i="2"/>
  <c r="L305" i="2" l="1"/>
  <c r="J306" i="2"/>
  <c r="E307" i="2"/>
  <c r="F307" i="2" s="1"/>
  <c r="H307" i="2"/>
  <c r="I307" i="2" s="1"/>
  <c r="K306" i="2"/>
  <c r="G307" i="2"/>
  <c r="L306" i="2" l="1"/>
  <c r="J307" i="2"/>
  <c r="G308" i="2"/>
  <c r="E308" i="2"/>
  <c r="F308" i="2" s="1"/>
  <c r="H308" i="2"/>
  <c r="I308" i="2" s="1"/>
  <c r="K307" i="2"/>
  <c r="J308" i="2" s="1"/>
  <c r="L307" i="2" l="1"/>
  <c r="H309" i="2"/>
  <c r="I309" i="2" s="1"/>
  <c r="K308" i="2"/>
  <c r="J309" i="2" s="1"/>
  <c r="G309" i="2"/>
  <c r="E309" i="2"/>
  <c r="F309" i="2" s="1"/>
  <c r="L308" i="2" l="1"/>
  <c r="E310" i="2"/>
  <c r="F310" i="2" s="1"/>
  <c r="H310" i="2"/>
  <c r="I310" i="2" s="1"/>
  <c r="K309" i="2"/>
  <c r="L309" i="2" s="1"/>
  <c r="G310" i="2"/>
  <c r="J310" i="2" l="1"/>
  <c r="E311" i="2"/>
  <c r="F311" i="2" s="1"/>
  <c r="H311" i="2"/>
  <c r="I311" i="2" s="1"/>
  <c r="K310" i="2"/>
  <c r="J311" i="2" s="1"/>
  <c r="G311" i="2"/>
  <c r="G312" i="2" l="1"/>
  <c r="K311" i="2"/>
  <c r="J312" i="2" s="1"/>
  <c r="E312" i="2"/>
  <c r="F312" i="2" s="1"/>
  <c r="H312" i="2"/>
  <c r="I312" i="2" s="1"/>
  <c r="L310" i="2"/>
  <c r="L311" i="2" l="1"/>
  <c r="H313" i="2"/>
  <c r="I313" i="2" s="1"/>
  <c r="K312" i="2"/>
  <c r="L312" i="2" s="1"/>
  <c r="G313" i="2"/>
  <c r="E313" i="2"/>
  <c r="F313" i="2" s="1"/>
  <c r="E314" i="2" l="1"/>
  <c r="F314" i="2" s="1"/>
  <c r="H314" i="2"/>
  <c r="I314" i="2" s="1"/>
  <c r="K313" i="2"/>
  <c r="J314" i="2" s="1"/>
  <c r="G314" i="2"/>
  <c r="J313" i="2"/>
  <c r="G315" i="2" l="1"/>
  <c r="E315" i="2"/>
  <c r="F315" i="2" s="1"/>
  <c r="H315" i="2"/>
  <c r="I315" i="2" s="1"/>
  <c r="K314" i="2"/>
  <c r="J315" i="2" s="1"/>
  <c r="L313" i="2"/>
  <c r="L314" i="2" l="1"/>
  <c r="G316" i="2"/>
  <c r="H316" i="2"/>
  <c r="I316" i="2" s="1"/>
  <c r="K315" i="2"/>
  <c r="L315" i="2" s="1"/>
  <c r="E316" i="2"/>
  <c r="F316" i="2" s="1"/>
  <c r="J316" i="2" l="1"/>
  <c r="H317" i="2"/>
  <c r="I317" i="2" s="1"/>
  <c r="K316" i="2"/>
  <c r="J317" i="2" s="1"/>
  <c r="G317" i="2"/>
  <c r="E317" i="2"/>
  <c r="F317" i="2" s="1"/>
  <c r="L316" i="2" l="1"/>
  <c r="E318" i="2"/>
  <c r="F318" i="2" s="1"/>
  <c r="H318" i="2"/>
  <c r="I318" i="2" s="1"/>
  <c r="K317" i="2"/>
  <c r="L317" i="2" s="1"/>
  <c r="G318" i="2"/>
  <c r="E319" i="2" l="1"/>
  <c r="F319" i="2" s="1"/>
  <c r="H319" i="2"/>
  <c r="I319" i="2" s="1"/>
  <c r="K318" i="2"/>
  <c r="J319" i="2" s="1"/>
  <c r="G319" i="2"/>
  <c r="J318" i="2"/>
  <c r="G320" i="2" l="1"/>
  <c r="E320" i="2"/>
  <c r="F320" i="2" s="1"/>
  <c r="H320" i="2"/>
  <c r="I320" i="2" s="1"/>
  <c r="K319" i="2"/>
  <c r="J320" i="2" s="1"/>
  <c r="L318" i="2"/>
  <c r="L319" i="2" l="1"/>
  <c r="H321" i="2"/>
  <c r="I321" i="2" s="1"/>
  <c r="K320" i="2"/>
  <c r="L320" i="2" s="1"/>
  <c r="E321" i="2"/>
  <c r="F321" i="2" s="1"/>
  <c r="G321" i="2"/>
  <c r="E322" i="2" l="1"/>
  <c r="F322" i="2" s="1"/>
  <c r="H322" i="2"/>
  <c r="I322" i="2" s="1"/>
  <c r="K321" i="2"/>
  <c r="J322" i="2" s="1"/>
  <c r="G322" i="2"/>
  <c r="J321" i="2"/>
  <c r="E323" i="2" l="1"/>
  <c r="F323" i="2" s="1"/>
  <c r="H323" i="2"/>
  <c r="I323" i="2" s="1"/>
  <c r="K322" i="2"/>
  <c r="L322" i="2" s="1"/>
  <c r="G323" i="2"/>
  <c r="L321" i="2"/>
  <c r="J323" i="2" l="1"/>
  <c r="G324" i="2"/>
  <c r="E324" i="2"/>
  <c r="F324" i="2" s="1"/>
  <c r="H324" i="2"/>
  <c r="I324" i="2" s="1"/>
  <c r="K323" i="2"/>
  <c r="J324" i="2" s="1"/>
  <c r="L323" i="2" l="1"/>
  <c r="H325" i="2"/>
  <c r="I325" i="2" s="1"/>
  <c r="K324" i="2"/>
  <c r="J325" i="2" s="1"/>
  <c r="G325" i="2"/>
  <c r="E325" i="2"/>
  <c r="F325" i="2" s="1"/>
  <c r="L324" i="2" l="1"/>
  <c r="E326" i="2"/>
  <c r="F326" i="2" s="1"/>
  <c r="H326" i="2"/>
  <c r="I326" i="2" s="1"/>
  <c r="K325" i="2"/>
  <c r="L325" i="2" s="1"/>
  <c r="G326" i="2"/>
  <c r="J326" i="2" l="1"/>
  <c r="E327" i="2"/>
  <c r="F327" i="2" s="1"/>
  <c r="H327" i="2"/>
  <c r="I327" i="2" s="1"/>
  <c r="K326" i="2"/>
  <c r="J327" i="2" s="1"/>
  <c r="G327" i="2"/>
  <c r="G328" i="2" l="1"/>
  <c r="E328" i="2"/>
  <c r="F328" i="2" s="1"/>
  <c r="H328" i="2"/>
  <c r="I328" i="2" s="1"/>
  <c r="K327" i="2"/>
  <c r="L327" i="2" s="1"/>
  <c r="L326" i="2"/>
  <c r="J328" i="2" l="1"/>
  <c r="H329" i="2"/>
  <c r="I329" i="2" s="1"/>
  <c r="K328" i="2"/>
  <c r="J329" i="2" s="1"/>
  <c r="G329" i="2"/>
  <c r="E329" i="2"/>
  <c r="F329" i="2" s="1"/>
  <c r="L328" i="2" l="1"/>
  <c r="E330" i="2"/>
  <c r="F330" i="2" s="1"/>
  <c r="H330" i="2"/>
  <c r="I330" i="2" s="1"/>
  <c r="K329" i="2"/>
  <c r="L329" i="2" s="1"/>
  <c r="G330" i="2"/>
  <c r="E331" i="2" l="1"/>
  <c r="F331" i="2" s="1"/>
  <c r="H331" i="2"/>
  <c r="I331" i="2" s="1"/>
  <c r="K330" i="2"/>
  <c r="J331" i="2" s="1"/>
  <c r="G331" i="2"/>
  <c r="J330" i="2"/>
  <c r="G332" i="2" l="1"/>
  <c r="K331" i="2"/>
  <c r="L331" i="2" s="1"/>
  <c r="E332" i="2"/>
  <c r="F332" i="2" s="1"/>
  <c r="H332" i="2"/>
  <c r="I332" i="2" s="1"/>
  <c r="L330" i="2"/>
  <c r="J332" i="2" l="1"/>
  <c r="H333" i="2"/>
  <c r="I333" i="2" s="1"/>
  <c r="K332" i="2"/>
  <c r="G333" i="2"/>
  <c r="E333" i="2"/>
  <c r="F333" i="2" s="1"/>
  <c r="L332" i="2" l="1"/>
  <c r="J333" i="2"/>
  <c r="E334" i="2"/>
  <c r="F334" i="2" s="1"/>
  <c r="H334" i="2"/>
  <c r="I334" i="2" s="1"/>
  <c r="K333" i="2"/>
  <c r="J334" i="2" s="1"/>
  <c r="G334" i="2"/>
  <c r="G335" i="2" l="1"/>
  <c r="E335" i="2"/>
  <c r="F335" i="2" s="1"/>
  <c r="H335" i="2"/>
  <c r="I335" i="2" s="1"/>
  <c r="K334" i="2"/>
  <c r="J335" i="2" s="1"/>
  <c r="L333" i="2"/>
  <c r="L334" i="2" l="1"/>
  <c r="G336" i="2"/>
  <c r="K335" i="2"/>
  <c r="L335" i="2" s="1"/>
  <c r="H336" i="2"/>
  <c r="I336" i="2" s="1"/>
  <c r="E336" i="2"/>
  <c r="F336" i="2" s="1"/>
  <c r="J336" i="2" l="1"/>
  <c r="H337" i="2"/>
  <c r="I337" i="2" s="1"/>
  <c r="K336" i="2"/>
  <c r="J337" i="2" s="1"/>
  <c r="G337" i="2"/>
  <c r="E337" i="2"/>
  <c r="F337" i="2" s="1"/>
  <c r="L336" i="2" l="1"/>
  <c r="E338" i="2"/>
  <c r="F338" i="2" s="1"/>
  <c r="H338" i="2"/>
  <c r="I338" i="2" s="1"/>
  <c r="K337" i="2"/>
  <c r="L337" i="2" s="1"/>
  <c r="G338" i="2"/>
  <c r="E339" i="2" l="1"/>
  <c r="F339" i="2" s="1"/>
  <c r="G339" i="2"/>
  <c r="H339" i="2"/>
  <c r="I339" i="2" s="1"/>
  <c r="K338" i="2"/>
  <c r="J339" i="2" s="1"/>
  <c r="J338" i="2"/>
  <c r="L338" i="2" l="1"/>
  <c r="G340" i="2"/>
  <c r="H340" i="2"/>
  <c r="I340" i="2" s="1"/>
  <c r="E340" i="2"/>
  <c r="F340" i="2" s="1"/>
  <c r="K339" i="2"/>
  <c r="L339" i="2" s="1"/>
  <c r="H341" i="2" l="1"/>
  <c r="I341" i="2" s="1"/>
  <c r="K340" i="2"/>
  <c r="J341" i="2" s="1"/>
  <c r="E341" i="2"/>
  <c r="F341" i="2" s="1"/>
  <c r="G341" i="2"/>
  <c r="J340" i="2"/>
  <c r="L340" i="2" l="1"/>
  <c r="E342" i="2"/>
  <c r="F342" i="2" s="1"/>
  <c r="H342" i="2"/>
  <c r="I342" i="2" s="1"/>
  <c r="K341" i="2"/>
  <c r="L341" i="2" s="1"/>
  <c r="G342" i="2"/>
  <c r="E343" i="2" l="1"/>
  <c r="F343" i="2" s="1"/>
  <c r="H343" i="2"/>
  <c r="I343" i="2" s="1"/>
  <c r="K342" i="2"/>
  <c r="J343" i="2" s="1"/>
  <c r="G343" i="2"/>
  <c r="J342" i="2"/>
  <c r="G344" i="2" l="1"/>
  <c r="K343" i="2"/>
  <c r="L343" i="2" s="1"/>
  <c r="E344" i="2"/>
  <c r="F344" i="2" s="1"/>
  <c r="H344" i="2"/>
  <c r="I344" i="2" s="1"/>
  <c r="L342" i="2"/>
  <c r="J344" i="2" l="1"/>
  <c r="H345" i="2"/>
  <c r="I345" i="2" s="1"/>
  <c r="K344" i="2"/>
  <c r="J345" i="2" s="1"/>
  <c r="G345" i="2"/>
  <c r="E345" i="2"/>
  <c r="F345" i="2" s="1"/>
  <c r="E346" i="2" l="1"/>
  <c r="F346" i="2" s="1"/>
  <c r="H346" i="2"/>
  <c r="I346" i="2" s="1"/>
  <c r="K345" i="2"/>
  <c r="L345" i="2" s="1"/>
  <c r="G346" i="2"/>
  <c r="L344" i="2"/>
  <c r="E347" i="2" l="1"/>
  <c r="F347" i="2" s="1"/>
  <c r="G347" i="2"/>
  <c r="H347" i="2"/>
  <c r="I347" i="2" s="1"/>
  <c r="K346" i="2"/>
  <c r="J347" i="2" s="1"/>
  <c r="J346" i="2"/>
  <c r="L346" i="2" l="1"/>
  <c r="G348" i="2"/>
  <c r="E348" i="2"/>
  <c r="F348" i="2" s="1"/>
  <c r="H348" i="2"/>
  <c r="I348" i="2" s="1"/>
  <c r="K347" i="2"/>
  <c r="L347" i="2" s="1"/>
  <c r="J348" i="2" l="1"/>
  <c r="H349" i="2"/>
  <c r="I349" i="2" s="1"/>
  <c r="K348" i="2"/>
  <c r="J349" i="2" s="1"/>
  <c r="E349" i="2"/>
  <c r="F349" i="2" s="1"/>
  <c r="G349" i="2"/>
  <c r="E350" i="2" l="1"/>
  <c r="F350" i="2" s="1"/>
  <c r="H350" i="2"/>
  <c r="I350" i="2" s="1"/>
  <c r="K349" i="2"/>
  <c r="L349" i="2" s="1"/>
  <c r="G350" i="2"/>
  <c r="L348" i="2"/>
  <c r="J350" i="2" l="1"/>
  <c r="G351" i="2"/>
  <c r="E351" i="2"/>
  <c r="F351" i="2" s="1"/>
  <c r="H351" i="2"/>
  <c r="I351" i="2" s="1"/>
  <c r="K350" i="2"/>
  <c r="J351" i="2" s="1"/>
  <c r="L350" i="2" l="1"/>
  <c r="G352" i="2"/>
  <c r="K351" i="2"/>
  <c r="L351" i="2" s="1"/>
  <c r="E352" i="2"/>
  <c r="F352" i="2" s="1"/>
  <c r="H352" i="2"/>
  <c r="I352" i="2" s="1"/>
  <c r="J352" i="2" l="1"/>
  <c r="H353" i="2"/>
  <c r="I353" i="2" s="1"/>
  <c r="K352" i="2"/>
  <c r="J353" i="2" s="1"/>
  <c r="G353" i="2"/>
  <c r="E353" i="2"/>
  <c r="F353" i="2" s="1"/>
  <c r="L352" i="2" l="1"/>
  <c r="E354" i="2"/>
  <c r="F354" i="2" s="1"/>
  <c r="H354" i="2"/>
  <c r="I354" i="2" s="1"/>
  <c r="K353" i="2"/>
  <c r="L353" i="2" s="1"/>
  <c r="G354" i="2"/>
  <c r="J354" i="2" l="1"/>
  <c r="G355" i="2"/>
  <c r="E355" i="2"/>
  <c r="F355" i="2" s="1"/>
  <c r="H355" i="2"/>
  <c r="I355" i="2" s="1"/>
  <c r="K354" i="2"/>
  <c r="J355" i="2" s="1"/>
  <c r="L354" i="2" l="1"/>
  <c r="G356" i="2"/>
  <c r="H356" i="2"/>
  <c r="I356" i="2" s="1"/>
  <c r="E356" i="2"/>
  <c r="F356" i="2" s="1"/>
  <c r="K355" i="2"/>
  <c r="L355" i="2" s="1"/>
  <c r="J356" i="2" l="1"/>
  <c r="H357" i="2"/>
  <c r="I357" i="2" s="1"/>
  <c r="K356" i="2"/>
  <c r="E357" i="2"/>
  <c r="F357" i="2" s="1"/>
  <c r="G357" i="2"/>
  <c r="L356" i="2" l="1"/>
  <c r="E358" i="2"/>
  <c r="F358" i="2" s="1"/>
  <c r="H358" i="2"/>
  <c r="I358" i="2" s="1"/>
  <c r="K357" i="2"/>
  <c r="J358" i="2" s="1"/>
  <c r="G358" i="2"/>
  <c r="J357" i="2"/>
  <c r="L357" i="2" l="1"/>
  <c r="G359" i="2"/>
  <c r="E359" i="2"/>
  <c r="F359" i="2" s="1"/>
  <c r="H359" i="2"/>
  <c r="I359" i="2" s="1"/>
  <c r="K358" i="2"/>
  <c r="L358" i="2" s="1"/>
  <c r="J359" i="2" l="1"/>
  <c r="G360" i="2"/>
  <c r="H360" i="2"/>
  <c r="I360" i="2" s="1"/>
  <c r="K359" i="2"/>
  <c r="E360" i="2"/>
  <c r="F360" i="2" s="1"/>
  <c r="L359" i="2" l="1"/>
  <c r="J360" i="2"/>
  <c r="H361" i="2"/>
  <c r="I361" i="2" s="1"/>
  <c r="K360" i="2"/>
  <c r="E361" i="2"/>
  <c r="F361" i="2" s="1"/>
  <c r="G361" i="2"/>
  <c r="L360" i="2" l="1"/>
  <c r="J361" i="2"/>
  <c r="E362" i="2"/>
  <c r="F362" i="2" s="1"/>
  <c r="H362" i="2"/>
  <c r="I362" i="2" s="1"/>
  <c r="K361" i="2"/>
  <c r="G362" i="2"/>
  <c r="L361" i="2" l="1"/>
  <c r="E363" i="2"/>
  <c r="F363" i="2" s="1"/>
  <c r="G363" i="2"/>
  <c r="H363" i="2"/>
  <c r="I363" i="2" s="1"/>
  <c r="K362" i="2"/>
  <c r="J363" i="2" s="1"/>
  <c r="J362" i="2"/>
  <c r="L362" i="2" l="1"/>
  <c r="G364" i="2"/>
  <c r="H364" i="2"/>
  <c r="I364" i="2" s="1"/>
  <c r="K363" i="2"/>
  <c r="L363" i="2" s="1"/>
  <c r="E364" i="2"/>
  <c r="F364" i="2" s="1"/>
  <c r="J364" i="2" l="1"/>
  <c r="H365" i="2"/>
  <c r="I365" i="2" s="1"/>
  <c r="K364" i="2"/>
  <c r="E365" i="2"/>
  <c r="F365" i="2" s="1"/>
  <c r="G365" i="2"/>
  <c r="L364" i="2" l="1"/>
  <c r="J365" i="2"/>
  <c r="E366" i="2"/>
  <c r="F366" i="2" s="1"/>
  <c r="H366" i="2"/>
  <c r="I366" i="2" s="1"/>
  <c r="K365" i="2"/>
  <c r="G366" i="2"/>
  <c r="L365" i="2" l="1"/>
  <c r="J366" i="2"/>
  <c r="E367" i="2"/>
  <c r="F367" i="2" s="1"/>
  <c r="G367" i="2"/>
  <c r="H367" i="2"/>
  <c r="I367" i="2" s="1"/>
  <c r="K366" i="2"/>
  <c r="J367" i="2" s="1"/>
  <c r="L366" i="2" l="1"/>
  <c r="G368" i="2"/>
  <c r="K367" i="2"/>
  <c r="L367" i="2" s="1"/>
  <c r="H368" i="2"/>
  <c r="I368" i="2" s="1"/>
  <c r="E368" i="2"/>
  <c r="F368" i="2" s="1"/>
  <c r="J368" i="2" l="1"/>
  <c r="H369" i="2"/>
  <c r="I369" i="2" s="1"/>
  <c r="K368" i="2"/>
  <c r="E369" i="2"/>
  <c r="F369" i="2" s="1"/>
  <c r="G369" i="2"/>
  <c r="L368" i="2" l="1"/>
  <c r="J369" i="2"/>
  <c r="E370" i="2"/>
  <c r="F370" i="2" s="1"/>
  <c r="H370" i="2"/>
  <c r="I370" i="2" s="1"/>
  <c r="K369" i="2"/>
  <c r="J370" i="2" s="1"/>
  <c r="G370" i="2"/>
  <c r="E371" i="2" l="1"/>
  <c r="F371" i="2" s="1"/>
  <c r="G371" i="2"/>
  <c r="H371" i="2"/>
  <c r="I371" i="2" s="1"/>
  <c r="K370" i="2"/>
  <c r="L370" i="2" s="1"/>
  <c r="L369" i="2"/>
  <c r="J371" i="2" l="1"/>
  <c r="G372" i="2"/>
  <c r="H372" i="2"/>
  <c r="I372" i="2" s="1"/>
  <c r="E372" i="2"/>
  <c r="F372" i="2" s="1"/>
  <c r="K371" i="2"/>
  <c r="J372" i="2" s="1"/>
  <c r="H373" i="2" l="1"/>
  <c r="I373" i="2" s="1"/>
  <c r="K372" i="2"/>
  <c r="L372" i="2" s="1"/>
  <c r="E373" i="2"/>
  <c r="F373" i="2" s="1"/>
  <c r="G373" i="2"/>
  <c r="L371" i="2"/>
  <c r="J373" i="2" l="1"/>
  <c r="E374" i="2"/>
  <c r="F374" i="2" s="1"/>
  <c r="H374" i="2"/>
  <c r="I374" i="2" s="1"/>
  <c r="K373" i="2"/>
  <c r="J374" i="2" s="1"/>
  <c r="G374" i="2"/>
  <c r="G375" i="2" l="1"/>
  <c r="E375" i="2"/>
  <c r="F375" i="2" s="1"/>
  <c r="H375" i="2"/>
  <c r="I375" i="2" s="1"/>
  <c r="K374" i="2"/>
  <c r="L374" i="2" s="1"/>
  <c r="L373" i="2"/>
  <c r="J375" i="2" l="1"/>
  <c r="G376" i="2"/>
  <c r="H376" i="2"/>
  <c r="I376" i="2" s="1"/>
  <c r="K375" i="2"/>
  <c r="J376" i="2" s="1"/>
  <c r="E376" i="2"/>
  <c r="F376" i="2" s="1"/>
  <c r="H377" i="2" l="1"/>
  <c r="I377" i="2" s="1"/>
  <c r="K376" i="2"/>
  <c r="L376" i="2" s="1"/>
  <c r="G377" i="2"/>
  <c r="E377" i="2"/>
  <c r="F377" i="2" s="1"/>
  <c r="L375" i="2"/>
  <c r="J377" i="2" l="1"/>
  <c r="E378" i="2"/>
  <c r="F378" i="2" s="1"/>
  <c r="H378" i="2"/>
  <c r="I378" i="2" s="1"/>
  <c r="K377" i="2"/>
  <c r="G378" i="2"/>
  <c r="L377" i="2" l="1"/>
  <c r="J378" i="2"/>
  <c r="E379" i="2"/>
  <c r="F379" i="2" s="1"/>
  <c r="H379" i="2"/>
  <c r="I379" i="2" s="1"/>
  <c r="K378" i="2"/>
  <c r="G379" i="2"/>
  <c r="L378" i="2" l="1"/>
  <c r="J379" i="2"/>
  <c r="G380" i="2"/>
  <c r="K379" i="2"/>
  <c r="J380" i="2" s="1"/>
  <c r="E380" i="2"/>
  <c r="F380" i="2" s="1"/>
  <c r="H380" i="2"/>
  <c r="I380" i="2" s="1"/>
  <c r="L379" i="2" l="1"/>
  <c r="H381" i="2"/>
  <c r="I381" i="2" s="1"/>
  <c r="K380" i="2"/>
  <c r="L380" i="2" s="1"/>
  <c r="G381" i="2"/>
  <c r="E381" i="2"/>
  <c r="F381" i="2" s="1"/>
  <c r="J381" i="2" l="1"/>
  <c r="E382" i="2"/>
  <c r="F382" i="2" s="1"/>
  <c r="H382" i="2"/>
  <c r="I382" i="2" s="1"/>
  <c r="K381" i="2"/>
  <c r="G382" i="2"/>
  <c r="L381" i="2" l="1"/>
  <c r="J382" i="2"/>
  <c r="G383" i="2"/>
  <c r="E383" i="2"/>
  <c r="F383" i="2" s="1"/>
  <c r="H383" i="2"/>
  <c r="I383" i="2" s="1"/>
  <c r="K382" i="2"/>
  <c r="J383" i="2" s="1"/>
  <c r="L382" i="2" l="1"/>
  <c r="G384" i="2"/>
  <c r="H384" i="2"/>
  <c r="I384" i="2" s="1"/>
  <c r="K383" i="2"/>
  <c r="L383" i="2" s="1"/>
  <c r="E384" i="2"/>
  <c r="F384" i="2" s="1"/>
  <c r="J384" i="2" l="1"/>
  <c r="H385" i="2"/>
  <c r="I385" i="2" s="1"/>
  <c r="K384" i="2"/>
  <c r="G385" i="2"/>
  <c r="E385" i="2"/>
  <c r="F385" i="2" s="1"/>
  <c r="L384" i="2" l="1"/>
  <c r="J385" i="2"/>
  <c r="E386" i="2"/>
  <c r="F386" i="2" s="1"/>
  <c r="H386" i="2"/>
  <c r="I386" i="2" s="1"/>
  <c r="K385" i="2"/>
  <c r="J386" i="2" s="1"/>
  <c r="G386" i="2"/>
  <c r="E387" i="2" l="1"/>
  <c r="F387" i="2" s="1"/>
  <c r="G387" i="2"/>
  <c r="H387" i="2"/>
  <c r="I387" i="2" s="1"/>
  <c r="K386" i="2"/>
  <c r="J387" i="2" s="1"/>
  <c r="L385" i="2"/>
  <c r="L386" i="2" l="1"/>
  <c r="G388" i="2"/>
  <c r="K387" i="2"/>
  <c r="L387" i="2" s="1"/>
  <c r="H388" i="2"/>
  <c r="I388" i="2" s="1"/>
  <c r="E388" i="2"/>
  <c r="F388" i="2" s="1"/>
  <c r="J388" i="2" l="1"/>
  <c r="H389" i="2"/>
  <c r="I389" i="2" s="1"/>
  <c r="K388" i="2"/>
  <c r="G389" i="2"/>
  <c r="E389" i="2"/>
  <c r="F389" i="2" s="1"/>
  <c r="L388" i="2" l="1"/>
  <c r="E390" i="2"/>
  <c r="F390" i="2" s="1"/>
  <c r="H390" i="2"/>
  <c r="I390" i="2" s="1"/>
  <c r="K389" i="2"/>
  <c r="J390" i="2" s="1"/>
  <c r="G390" i="2"/>
  <c r="J389" i="2"/>
  <c r="L389" i="2" l="1"/>
  <c r="G391" i="2"/>
  <c r="E391" i="2"/>
  <c r="F391" i="2" s="1"/>
  <c r="H391" i="2"/>
  <c r="I391" i="2" s="1"/>
  <c r="K390" i="2"/>
  <c r="L390" i="2" s="1"/>
  <c r="J391" i="2" l="1"/>
  <c r="G392" i="2"/>
  <c r="H392" i="2"/>
  <c r="I392" i="2" s="1"/>
  <c r="K391" i="2"/>
  <c r="J392" i="2" s="1"/>
  <c r="E392" i="2"/>
  <c r="F392" i="2" s="1"/>
  <c r="H393" i="2" l="1"/>
  <c r="I393" i="2" s="1"/>
  <c r="K392" i="2"/>
  <c r="L392" i="2" s="1"/>
  <c r="G393" i="2"/>
  <c r="E393" i="2"/>
  <c r="F393" i="2" s="1"/>
  <c r="L391" i="2"/>
  <c r="J393" i="2" l="1"/>
  <c r="E394" i="2"/>
  <c r="F394" i="2" s="1"/>
  <c r="H394" i="2"/>
  <c r="I394" i="2" s="1"/>
  <c r="K393" i="2"/>
  <c r="J394" i="2" s="1"/>
  <c r="G394" i="2"/>
  <c r="E395" i="2" l="1"/>
  <c r="F395" i="2" s="1"/>
  <c r="G395" i="2"/>
  <c r="H395" i="2"/>
  <c r="I395" i="2" s="1"/>
  <c r="K394" i="2"/>
  <c r="L394" i="2" s="1"/>
  <c r="L393" i="2"/>
  <c r="J395" i="2" l="1"/>
  <c r="G396" i="2"/>
  <c r="E396" i="2"/>
  <c r="F396" i="2" s="1"/>
  <c r="H396" i="2"/>
  <c r="I396" i="2" s="1"/>
  <c r="K395" i="2"/>
  <c r="J396" i="2" s="1"/>
  <c r="H397" i="2" l="1"/>
  <c r="I397" i="2" s="1"/>
  <c r="K396" i="2"/>
  <c r="L396" i="2" s="1"/>
  <c r="G397" i="2"/>
  <c r="E397" i="2"/>
  <c r="F397" i="2" s="1"/>
  <c r="L395" i="2"/>
  <c r="J397" i="2" l="1"/>
  <c r="E398" i="2"/>
  <c r="F398" i="2" s="1"/>
  <c r="H398" i="2"/>
  <c r="I398" i="2" s="1"/>
  <c r="K397" i="2"/>
  <c r="J398" i="2" s="1"/>
  <c r="G398" i="2"/>
  <c r="E399" i="2" l="1"/>
  <c r="F399" i="2" s="1"/>
  <c r="H399" i="2"/>
  <c r="I399" i="2" s="1"/>
  <c r="K398" i="2"/>
  <c r="L398" i="2" s="1"/>
  <c r="G399" i="2"/>
  <c r="L397" i="2"/>
  <c r="G400" i="2" l="1"/>
  <c r="H400" i="2"/>
  <c r="I400" i="2" s="1"/>
  <c r="K399" i="2"/>
  <c r="J400" i="2" s="1"/>
  <c r="E400" i="2"/>
  <c r="F400" i="2" s="1"/>
  <c r="J399" i="2"/>
  <c r="L399" i="2" l="1"/>
  <c r="H401" i="2"/>
  <c r="I401" i="2" s="1"/>
  <c r="K400" i="2"/>
  <c r="J401" i="2" s="1"/>
  <c r="G401" i="2"/>
  <c r="E401" i="2"/>
  <c r="F401" i="2" s="1"/>
  <c r="L400" i="2" l="1"/>
  <c r="E402" i="2"/>
  <c r="F402" i="2" s="1"/>
  <c r="H402" i="2"/>
  <c r="I402" i="2" s="1"/>
  <c r="K401" i="2"/>
  <c r="L401" i="2" s="1"/>
  <c r="G402" i="2"/>
  <c r="E403" i="2" l="1"/>
  <c r="F403" i="2" s="1"/>
  <c r="H403" i="2"/>
  <c r="I403" i="2" s="1"/>
  <c r="K402" i="2"/>
  <c r="J403" i="2" s="1"/>
  <c r="G403" i="2"/>
  <c r="J402" i="2"/>
  <c r="G404" i="2" l="1"/>
  <c r="K403" i="2"/>
  <c r="L403" i="2" s="1"/>
  <c r="E404" i="2"/>
  <c r="F404" i="2" s="1"/>
  <c r="H404" i="2"/>
  <c r="I404" i="2" s="1"/>
  <c r="L402" i="2"/>
  <c r="J404" i="2" l="1"/>
  <c r="H405" i="2"/>
  <c r="I405" i="2" s="1"/>
  <c r="K404" i="2"/>
  <c r="J405" i="2" s="1"/>
  <c r="E405" i="2"/>
  <c r="F405" i="2" s="1"/>
  <c r="G405" i="2"/>
  <c r="E406" i="2" l="1"/>
  <c r="F406" i="2" s="1"/>
  <c r="H406" i="2"/>
  <c r="I406" i="2" s="1"/>
  <c r="K405" i="2"/>
  <c r="L405" i="2" s="1"/>
  <c r="G406" i="2"/>
  <c r="L404" i="2"/>
  <c r="E407" i="2" l="1"/>
  <c r="F407" i="2" s="1"/>
  <c r="H407" i="2"/>
  <c r="I407" i="2" s="1"/>
  <c r="K406" i="2"/>
  <c r="J407" i="2" s="1"/>
  <c r="G407" i="2"/>
  <c r="J406" i="2"/>
  <c r="G408" i="2" l="1"/>
  <c r="K407" i="2"/>
  <c r="L407" i="2" s="1"/>
  <c r="E408" i="2"/>
  <c r="F408" i="2" s="1"/>
  <c r="H408" i="2"/>
  <c r="I408" i="2" s="1"/>
  <c r="L406" i="2"/>
  <c r="J408" i="2" l="1"/>
  <c r="H409" i="2"/>
  <c r="I409" i="2" s="1"/>
  <c r="K408" i="2"/>
  <c r="J409" i="2" s="1"/>
  <c r="E409" i="2"/>
  <c r="F409" i="2" s="1"/>
  <c r="G409" i="2"/>
  <c r="E410" i="2" l="1"/>
  <c r="F410" i="2" s="1"/>
  <c r="H410" i="2"/>
  <c r="I410" i="2" s="1"/>
  <c r="K409" i="2"/>
  <c r="L409" i="2" s="1"/>
  <c r="G410" i="2"/>
  <c r="L408" i="2"/>
  <c r="G411" i="2" l="1"/>
  <c r="E411" i="2"/>
  <c r="F411" i="2" s="1"/>
  <c r="H411" i="2"/>
  <c r="I411" i="2" s="1"/>
  <c r="K410" i="2"/>
  <c r="J411" i="2" s="1"/>
  <c r="J410" i="2"/>
  <c r="L410" i="2" l="1"/>
  <c r="G412" i="2"/>
  <c r="H412" i="2"/>
  <c r="I412" i="2" s="1"/>
  <c r="K411" i="2"/>
  <c r="L411" i="2" s="1"/>
  <c r="E412" i="2"/>
  <c r="F412" i="2" s="1"/>
  <c r="J412" i="2" l="1"/>
  <c r="H413" i="2"/>
  <c r="I413" i="2" s="1"/>
  <c r="K412" i="2"/>
  <c r="E413" i="2"/>
  <c r="F413" i="2" s="1"/>
  <c r="G413" i="2"/>
  <c r="L412" i="2" l="1"/>
  <c r="E414" i="2"/>
  <c r="F414" i="2" s="1"/>
  <c r="H414" i="2"/>
  <c r="I414" i="2" s="1"/>
  <c r="K413" i="2"/>
  <c r="J414" i="2" s="1"/>
  <c r="G414" i="2"/>
  <c r="J413" i="2"/>
  <c r="L413" i="2" l="1"/>
  <c r="E415" i="2"/>
  <c r="F415" i="2" s="1"/>
  <c r="G415" i="2"/>
  <c r="H415" i="2"/>
  <c r="I415" i="2" s="1"/>
  <c r="K414" i="2"/>
  <c r="J415" i="2" s="1"/>
  <c r="L414" i="2" l="1"/>
  <c r="G416" i="2"/>
  <c r="K415" i="2"/>
  <c r="L415" i="2" s="1"/>
  <c r="H416" i="2"/>
  <c r="I416" i="2" s="1"/>
  <c r="E416" i="2"/>
  <c r="F416" i="2" s="1"/>
  <c r="J416" i="2" l="1"/>
  <c r="H417" i="2"/>
  <c r="I417" i="2" s="1"/>
  <c r="K416" i="2"/>
  <c r="G417" i="2"/>
  <c r="E417" i="2"/>
  <c r="F417" i="2" s="1"/>
  <c r="L416" i="2" l="1"/>
  <c r="E418" i="2"/>
  <c r="F418" i="2" s="1"/>
  <c r="H418" i="2"/>
  <c r="I418" i="2" s="1"/>
  <c r="K417" i="2"/>
  <c r="J418" i="2" s="1"/>
  <c r="G418" i="2"/>
  <c r="J417" i="2"/>
  <c r="E419" i="2" l="1"/>
  <c r="F419" i="2" s="1"/>
  <c r="H419" i="2"/>
  <c r="I419" i="2" s="1"/>
  <c r="K418" i="2"/>
  <c r="L418" i="2" s="1"/>
  <c r="G419" i="2"/>
  <c r="L417" i="2"/>
  <c r="G420" i="2" l="1"/>
  <c r="K419" i="2"/>
  <c r="J420" i="2" s="1"/>
  <c r="E420" i="2"/>
  <c r="F420" i="2" s="1"/>
  <c r="H420" i="2"/>
  <c r="I420" i="2" s="1"/>
  <c r="J419" i="2"/>
  <c r="L419" i="2" l="1"/>
  <c r="H421" i="2"/>
  <c r="I421" i="2" s="1"/>
  <c r="K420" i="2"/>
  <c r="L420" i="2" s="1"/>
  <c r="G421" i="2"/>
  <c r="E421" i="2"/>
  <c r="F421" i="2" s="1"/>
  <c r="E422" i="2" l="1"/>
  <c r="F422" i="2" s="1"/>
  <c r="H422" i="2"/>
  <c r="I422" i="2" s="1"/>
  <c r="K421" i="2"/>
  <c r="J422" i="2" s="1"/>
  <c r="G422" i="2"/>
  <c r="J421" i="2"/>
  <c r="G423" i="2" l="1"/>
  <c r="E423" i="2"/>
  <c r="F423" i="2" s="1"/>
  <c r="H423" i="2"/>
  <c r="I423" i="2" s="1"/>
  <c r="K422" i="2"/>
  <c r="L422" i="2" s="1"/>
  <c r="L421" i="2"/>
  <c r="J423" i="2" l="1"/>
  <c r="G424" i="2"/>
  <c r="H424" i="2"/>
  <c r="I424" i="2" s="1"/>
  <c r="E424" i="2"/>
  <c r="F424" i="2" s="1"/>
  <c r="K423" i="2"/>
  <c r="J424" i="2" s="1"/>
  <c r="H425" i="2" l="1"/>
  <c r="I425" i="2" s="1"/>
  <c r="K424" i="2"/>
  <c r="J425" i="2" s="1"/>
  <c r="G425" i="2"/>
  <c r="E425" i="2"/>
  <c r="F425" i="2" s="1"/>
  <c r="L423" i="2"/>
  <c r="L424" i="2" l="1"/>
  <c r="E426" i="2"/>
  <c r="F426" i="2" s="1"/>
  <c r="H426" i="2"/>
  <c r="I426" i="2" s="1"/>
  <c r="K425" i="2"/>
  <c r="L425" i="2" s="1"/>
  <c r="G426" i="2"/>
  <c r="E427" i="2" l="1"/>
  <c r="F427" i="2" s="1"/>
  <c r="G427" i="2"/>
  <c r="H427" i="2"/>
  <c r="I427" i="2" s="1"/>
  <c r="K426" i="2"/>
  <c r="J427" i="2" s="1"/>
  <c r="J426" i="2"/>
  <c r="L426" i="2" l="1"/>
  <c r="G428" i="2"/>
  <c r="H428" i="2"/>
  <c r="I428" i="2" s="1"/>
  <c r="E428" i="2"/>
  <c r="F428" i="2" s="1"/>
  <c r="K427" i="2"/>
  <c r="L427" i="2" s="1"/>
  <c r="J428" i="2" l="1"/>
  <c r="H429" i="2"/>
  <c r="I429" i="2" s="1"/>
  <c r="K428" i="2"/>
  <c r="G429" i="2"/>
  <c r="E429" i="2"/>
  <c r="F429" i="2" s="1"/>
  <c r="L428" i="2" l="1"/>
  <c r="J429" i="2"/>
  <c r="E430" i="2"/>
  <c r="F430" i="2" s="1"/>
  <c r="H430" i="2"/>
  <c r="I430" i="2" s="1"/>
  <c r="K429" i="2"/>
  <c r="J430" i="2" s="1"/>
  <c r="G430" i="2"/>
  <c r="G431" i="2" l="1"/>
  <c r="E431" i="2"/>
  <c r="F431" i="2" s="1"/>
  <c r="H431" i="2"/>
  <c r="I431" i="2" s="1"/>
  <c r="K430" i="2"/>
  <c r="L430" i="2" s="1"/>
  <c r="L429" i="2"/>
  <c r="J431" i="2" l="1"/>
  <c r="G432" i="2"/>
  <c r="H432" i="2"/>
  <c r="I432" i="2" s="1"/>
  <c r="E432" i="2"/>
  <c r="F432" i="2" s="1"/>
  <c r="K431" i="2"/>
  <c r="J432" i="2" s="1"/>
  <c r="H433" i="2" l="1"/>
  <c r="I433" i="2" s="1"/>
  <c r="K432" i="2"/>
  <c r="J433" i="2" s="1"/>
  <c r="G433" i="2"/>
  <c r="E433" i="2"/>
  <c r="F433" i="2" s="1"/>
  <c r="L431" i="2"/>
  <c r="L432" i="2" l="1"/>
  <c r="E434" i="2"/>
  <c r="F434" i="2" s="1"/>
  <c r="H434" i="2"/>
  <c r="I434" i="2" s="1"/>
  <c r="K433" i="2"/>
  <c r="L433" i="2" s="1"/>
  <c r="G434" i="2"/>
  <c r="E435" i="2" l="1"/>
  <c r="F435" i="2" s="1"/>
  <c r="G435" i="2"/>
  <c r="H435" i="2"/>
  <c r="I435" i="2" s="1"/>
  <c r="K434" i="2"/>
  <c r="J435" i="2" s="1"/>
  <c r="J434" i="2"/>
  <c r="L434" i="2" l="1"/>
  <c r="G436" i="2"/>
  <c r="H436" i="2"/>
  <c r="I436" i="2" s="1"/>
  <c r="E436" i="2"/>
  <c r="F436" i="2" s="1"/>
  <c r="K435" i="2"/>
  <c r="L435" i="2" s="1"/>
  <c r="J436" i="2" l="1"/>
  <c r="H437" i="2"/>
  <c r="I437" i="2" s="1"/>
  <c r="K436" i="2"/>
  <c r="J437" i="2" s="1"/>
  <c r="E437" i="2"/>
  <c r="F437" i="2" s="1"/>
  <c r="G437" i="2"/>
  <c r="E438" i="2" l="1"/>
  <c r="F438" i="2" s="1"/>
  <c r="H438" i="2"/>
  <c r="I438" i="2" s="1"/>
  <c r="K437" i="2"/>
  <c r="L437" i="2" s="1"/>
  <c r="G438" i="2"/>
  <c r="L436" i="2"/>
  <c r="E439" i="2" l="1"/>
  <c r="F439" i="2" s="1"/>
  <c r="G439" i="2"/>
  <c r="H439" i="2"/>
  <c r="I439" i="2" s="1"/>
  <c r="K438" i="2"/>
  <c r="J439" i="2" s="1"/>
  <c r="J438" i="2"/>
  <c r="L438" i="2" l="1"/>
  <c r="G440" i="2"/>
  <c r="K439" i="2"/>
  <c r="L439" i="2" s="1"/>
  <c r="H440" i="2"/>
  <c r="I440" i="2" s="1"/>
  <c r="E440" i="2"/>
  <c r="F440" i="2" s="1"/>
  <c r="J440" i="2" l="1"/>
  <c r="H441" i="2"/>
  <c r="I441" i="2" s="1"/>
  <c r="K440" i="2"/>
  <c r="G441" i="2"/>
  <c r="E441" i="2"/>
  <c r="F441" i="2" s="1"/>
  <c r="L440" i="2" l="1"/>
  <c r="E442" i="2"/>
  <c r="F442" i="2" s="1"/>
  <c r="H442" i="2"/>
  <c r="I442" i="2" s="1"/>
  <c r="K441" i="2"/>
  <c r="J442" i="2" s="1"/>
  <c r="G442" i="2"/>
  <c r="J441" i="2"/>
  <c r="L441" i="2" l="1"/>
  <c r="E443" i="2"/>
  <c r="F443" i="2" s="1"/>
  <c r="G443" i="2"/>
  <c r="H443" i="2"/>
  <c r="I443" i="2" s="1"/>
  <c r="K442" i="2"/>
  <c r="L442" i="2" s="1"/>
  <c r="J443" i="2" l="1"/>
  <c r="G444" i="2"/>
  <c r="H444" i="2"/>
  <c r="I444" i="2" s="1"/>
  <c r="E444" i="2"/>
  <c r="F444" i="2" s="1"/>
  <c r="K443" i="2"/>
  <c r="L443" i="2" s="1"/>
  <c r="J444" i="2" l="1"/>
  <c r="H445" i="2"/>
  <c r="I445" i="2" s="1"/>
  <c r="K444" i="2"/>
  <c r="E445" i="2"/>
  <c r="F445" i="2" s="1"/>
  <c r="G445" i="2"/>
  <c r="L444" i="2" l="1"/>
  <c r="J445" i="2"/>
  <c r="E446" i="2"/>
  <c r="F446" i="2" s="1"/>
  <c r="H446" i="2"/>
  <c r="I446" i="2" s="1"/>
  <c r="K445" i="2"/>
  <c r="J446" i="2" s="1"/>
  <c r="G446" i="2"/>
  <c r="E447" i="2" l="1"/>
  <c r="F447" i="2" s="1"/>
  <c r="G447" i="2"/>
  <c r="H447" i="2"/>
  <c r="I447" i="2" s="1"/>
  <c r="K446" i="2"/>
  <c r="L446" i="2" s="1"/>
  <c r="L445" i="2"/>
  <c r="J447" i="2" l="1"/>
  <c r="G448" i="2"/>
  <c r="K447" i="2"/>
  <c r="J448" i="2" s="1"/>
  <c r="H448" i="2"/>
  <c r="I448" i="2" s="1"/>
  <c r="E448" i="2"/>
  <c r="F448" i="2" s="1"/>
  <c r="H449" i="2" l="1"/>
  <c r="I449" i="2" s="1"/>
  <c r="K448" i="2"/>
  <c r="L448" i="2" s="1"/>
  <c r="G449" i="2"/>
  <c r="E449" i="2"/>
  <c r="F449" i="2" s="1"/>
  <c r="L447" i="2"/>
  <c r="E450" i="2" l="1"/>
  <c r="F450" i="2" s="1"/>
  <c r="H450" i="2"/>
  <c r="I450" i="2" s="1"/>
  <c r="K449" i="2"/>
  <c r="J450" i="2" s="1"/>
  <c r="G450" i="2"/>
  <c r="J449" i="2"/>
  <c r="L449" i="2" l="1"/>
  <c r="E451" i="2"/>
  <c r="F451" i="2" s="1"/>
  <c r="G451" i="2"/>
  <c r="H451" i="2"/>
  <c r="I451" i="2" s="1"/>
  <c r="K450" i="2"/>
  <c r="L450" i="2" s="1"/>
  <c r="J451" i="2" l="1"/>
  <c r="G452" i="2"/>
  <c r="H452" i="2"/>
  <c r="I452" i="2" s="1"/>
  <c r="K451" i="2"/>
  <c r="J452" i="2" s="1"/>
  <c r="E452" i="2"/>
  <c r="F452" i="2" s="1"/>
  <c r="H453" i="2" l="1"/>
  <c r="I453" i="2" s="1"/>
  <c r="K452" i="2"/>
  <c r="L452" i="2" s="1"/>
  <c r="E453" i="2"/>
  <c r="F453" i="2" s="1"/>
  <c r="G453" i="2"/>
  <c r="L451" i="2"/>
  <c r="J453" i="2" l="1"/>
  <c r="E454" i="2"/>
  <c r="F454" i="2" s="1"/>
  <c r="H454" i="2"/>
  <c r="I454" i="2" s="1"/>
  <c r="K453" i="2"/>
  <c r="J454" i="2" s="1"/>
  <c r="G454" i="2"/>
  <c r="E455" i="2" l="1"/>
  <c r="F455" i="2" s="1"/>
  <c r="H455" i="2"/>
  <c r="I455" i="2" s="1"/>
  <c r="K454" i="2"/>
  <c r="L454" i="2" s="1"/>
  <c r="G455" i="2"/>
  <c r="L453" i="2"/>
  <c r="J455" i="2" l="1"/>
  <c r="G456" i="2"/>
  <c r="K455" i="2"/>
  <c r="J456" i="2" s="1"/>
  <c r="E456" i="2"/>
  <c r="F456" i="2" s="1"/>
  <c r="H456" i="2"/>
  <c r="I456" i="2" s="1"/>
  <c r="H457" i="2" l="1"/>
  <c r="I457" i="2" s="1"/>
  <c r="K456" i="2"/>
  <c r="L456" i="2" s="1"/>
  <c r="E457" i="2"/>
  <c r="F457" i="2" s="1"/>
  <c r="G457" i="2"/>
  <c r="L455" i="2"/>
  <c r="J457" i="2" l="1"/>
  <c r="E458" i="2"/>
  <c r="F458" i="2" s="1"/>
  <c r="H458" i="2"/>
  <c r="I458" i="2" s="1"/>
  <c r="K457" i="2"/>
  <c r="J458" i="2" s="1"/>
  <c r="G458" i="2"/>
  <c r="E459" i="2" l="1"/>
  <c r="F459" i="2" s="1"/>
  <c r="G459" i="2"/>
  <c r="H459" i="2"/>
  <c r="I459" i="2" s="1"/>
  <c r="K458" i="2"/>
  <c r="L458" i="2" s="1"/>
  <c r="L457" i="2"/>
  <c r="J459" i="2" l="1"/>
  <c r="G460" i="2"/>
  <c r="K459" i="2"/>
  <c r="J460" i="2" s="1"/>
  <c r="H460" i="2"/>
  <c r="I460" i="2" s="1"/>
  <c r="E460" i="2"/>
  <c r="F460" i="2" s="1"/>
  <c r="H461" i="2" l="1"/>
  <c r="I461" i="2" s="1"/>
  <c r="K460" i="2"/>
  <c r="L460" i="2" s="1"/>
  <c r="E461" i="2"/>
  <c r="F461" i="2" s="1"/>
  <c r="G461" i="2"/>
  <c r="L459" i="2"/>
  <c r="J461" i="2" l="1"/>
  <c r="E462" i="2"/>
  <c r="F462" i="2" s="1"/>
  <c r="H462" i="2"/>
  <c r="I462" i="2" s="1"/>
  <c r="K461" i="2"/>
  <c r="J462" i="2" s="1"/>
  <c r="G462" i="2"/>
  <c r="E463" i="2" l="1"/>
  <c r="F463" i="2" s="1"/>
  <c r="H463" i="2"/>
  <c r="I463" i="2" s="1"/>
  <c r="K462" i="2"/>
  <c r="L462" i="2" s="1"/>
  <c r="G463" i="2"/>
  <c r="L461" i="2"/>
  <c r="G464" i="2" l="1"/>
  <c r="K463" i="2"/>
  <c r="J464" i="2" s="1"/>
  <c r="E464" i="2"/>
  <c r="F464" i="2" s="1"/>
  <c r="H464" i="2"/>
  <c r="I464" i="2" s="1"/>
  <c r="J463" i="2"/>
  <c r="L463" i="2" l="1"/>
  <c r="H465" i="2"/>
  <c r="I465" i="2" s="1"/>
  <c r="K464" i="2"/>
  <c r="L464" i="2" s="1"/>
  <c r="G465" i="2"/>
  <c r="E465" i="2"/>
  <c r="F465" i="2" s="1"/>
  <c r="E466" i="2" l="1"/>
  <c r="F466" i="2" s="1"/>
  <c r="H466" i="2"/>
  <c r="I466" i="2" s="1"/>
  <c r="K465" i="2"/>
  <c r="J466" i="2" s="1"/>
  <c r="G466" i="2"/>
  <c r="J465" i="2"/>
  <c r="L465" i="2" l="1"/>
  <c r="E467" i="2"/>
  <c r="F467" i="2" s="1"/>
  <c r="H467" i="2"/>
  <c r="I467" i="2" s="1"/>
  <c r="K466" i="2"/>
  <c r="L466" i="2" s="1"/>
  <c r="G467" i="2"/>
  <c r="J467" i="2" l="1"/>
  <c r="G468" i="2"/>
  <c r="K467" i="2"/>
  <c r="J468" i="2" s="1"/>
  <c r="E468" i="2"/>
  <c r="F468" i="2" s="1"/>
  <c r="H468" i="2"/>
  <c r="I468" i="2" s="1"/>
  <c r="H469" i="2" l="1"/>
  <c r="I469" i="2" s="1"/>
  <c r="K468" i="2"/>
  <c r="L468" i="2" s="1"/>
  <c r="G469" i="2"/>
  <c r="E469" i="2"/>
  <c r="F469" i="2" s="1"/>
  <c r="L467" i="2"/>
  <c r="J469" i="2" l="1"/>
  <c r="E470" i="2"/>
  <c r="F470" i="2" s="1"/>
  <c r="H470" i="2"/>
  <c r="I470" i="2" s="1"/>
  <c r="K469" i="2"/>
  <c r="J470" i="2" s="1"/>
  <c r="G470" i="2"/>
  <c r="E471" i="2" l="1"/>
  <c r="F471" i="2" s="1"/>
  <c r="G471" i="2"/>
  <c r="H471" i="2"/>
  <c r="I471" i="2" s="1"/>
  <c r="K470" i="2"/>
  <c r="L470" i="2" s="1"/>
  <c r="L469" i="2"/>
  <c r="J471" i="2" l="1"/>
  <c r="G472" i="2"/>
  <c r="H472" i="2"/>
  <c r="I472" i="2" s="1"/>
  <c r="K471" i="2"/>
  <c r="J472" i="2" s="1"/>
  <c r="E472" i="2"/>
  <c r="F472" i="2" s="1"/>
  <c r="H473" i="2" l="1"/>
  <c r="I473" i="2" s="1"/>
  <c r="K472" i="2"/>
  <c r="L472" i="2" s="1"/>
  <c r="G473" i="2"/>
  <c r="E473" i="2"/>
  <c r="F473" i="2" s="1"/>
  <c r="L471" i="2"/>
  <c r="J473" i="2" l="1"/>
  <c r="E474" i="2"/>
  <c r="F474" i="2" s="1"/>
  <c r="H474" i="2"/>
  <c r="I474" i="2" s="1"/>
  <c r="K473" i="2"/>
  <c r="J474" i="2" s="1"/>
  <c r="G474" i="2"/>
  <c r="E475" i="2" l="1"/>
  <c r="F475" i="2" s="1"/>
  <c r="G475" i="2"/>
  <c r="H475" i="2"/>
  <c r="I475" i="2" s="1"/>
  <c r="K474" i="2"/>
  <c r="L474" i="2" s="1"/>
  <c r="L473" i="2"/>
  <c r="J475" i="2" l="1"/>
  <c r="G476" i="2"/>
  <c r="E476" i="2"/>
  <c r="F476" i="2" s="1"/>
  <c r="H476" i="2"/>
  <c r="I476" i="2" s="1"/>
  <c r="K475" i="2"/>
  <c r="J476" i="2" s="1"/>
  <c r="H477" i="2" l="1"/>
  <c r="I477" i="2" s="1"/>
  <c r="K476" i="2"/>
  <c r="L476" i="2" s="1"/>
  <c r="E477" i="2"/>
  <c r="F477" i="2" s="1"/>
  <c r="G477" i="2"/>
  <c r="L475" i="2"/>
  <c r="J477" i="2" l="1"/>
  <c r="E478" i="2"/>
  <c r="F478" i="2" s="1"/>
  <c r="H478" i="2"/>
  <c r="I478" i="2" s="1"/>
  <c r="K477" i="2"/>
  <c r="J478" i="2" s="1"/>
  <c r="G478" i="2"/>
  <c r="E479" i="2" l="1"/>
  <c r="F479" i="2" s="1"/>
  <c r="H479" i="2"/>
  <c r="I479" i="2" s="1"/>
  <c r="K478" i="2"/>
  <c r="L478" i="2" s="1"/>
  <c r="G479" i="2"/>
  <c r="L477" i="2"/>
  <c r="G480" i="2" l="1"/>
  <c r="K479" i="2"/>
  <c r="J480" i="2" s="1"/>
  <c r="E480" i="2"/>
  <c r="F480" i="2" s="1"/>
  <c r="H480" i="2"/>
  <c r="I480" i="2" s="1"/>
  <c r="J479" i="2"/>
  <c r="L479" i="2" l="1"/>
  <c r="H481" i="2"/>
  <c r="I481" i="2" s="1"/>
  <c r="K480" i="2"/>
  <c r="L480" i="2" s="1"/>
  <c r="G481" i="2"/>
  <c r="E481" i="2"/>
  <c r="F481" i="2" s="1"/>
  <c r="E482" i="2" l="1"/>
  <c r="F482" i="2" s="1"/>
  <c r="H482" i="2"/>
  <c r="I482" i="2" s="1"/>
  <c r="K481" i="2"/>
  <c r="J482" i="2" s="1"/>
  <c r="G482" i="2"/>
  <c r="J481" i="2"/>
  <c r="L481" i="2" l="1"/>
  <c r="E483" i="2"/>
  <c r="F483" i="2" s="1"/>
  <c r="G483" i="2"/>
  <c r="H483" i="2"/>
  <c r="I483" i="2" s="1"/>
  <c r="K482" i="2"/>
  <c r="L482" i="2" s="1"/>
  <c r="J483" i="2" l="1"/>
  <c r="G484" i="2"/>
  <c r="H484" i="2"/>
  <c r="I484" i="2" s="1"/>
  <c r="E484" i="2"/>
  <c r="F484" i="2" s="1"/>
  <c r="K483" i="2"/>
  <c r="J484" i="2" s="1"/>
  <c r="H485" i="2" l="1"/>
  <c r="I485" i="2" s="1"/>
  <c r="K484" i="2"/>
  <c r="L484" i="2" s="1"/>
  <c r="E485" i="2"/>
  <c r="F485" i="2" s="1"/>
  <c r="G485" i="2"/>
  <c r="L483" i="2"/>
  <c r="J485" i="2" l="1"/>
  <c r="E486" i="2"/>
  <c r="F486" i="2" s="1"/>
  <c r="H486" i="2"/>
  <c r="I486" i="2" s="1"/>
  <c r="K485" i="2"/>
  <c r="J486" i="2" s="1"/>
  <c r="G486" i="2"/>
  <c r="E487" i="2" l="1"/>
  <c r="F487" i="2" s="1"/>
  <c r="G487" i="2"/>
  <c r="H487" i="2"/>
  <c r="I487" i="2" s="1"/>
  <c r="K486" i="2"/>
  <c r="L486" i="2" s="1"/>
  <c r="L485" i="2"/>
  <c r="J487" i="2" l="1"/>
  <c r="G488" i="2"/>
  <c r="E488" i="2"/>
  <c r="F488" i="2" s="1"/>
  <c r="H488" i="2"/>
  <c r="I488" i="2" s="1"/>
  <c r="K487" i="2"/>
  <c r="J488" i="2" s="1"/>
  <c r="H489" i="2" l="1"/>
  <c r="I489" i="2" s="1"/>
  <c r="K488" i="2"/>
  <c r="L488" i="2" s="1"/>
  <c r="E489" i="2"/>
  <c r="F489" i="2" s="1"/>
  <c r="G489" i="2"/>
  <c r="L487" i="2"/>
  <c r="J489" i="2" l="1"/>
  <c r="E490" i="2"/>
  <c r="F490" i="2" s="1"/>
  <c r="H490" i="2"/>
  <c r="I490" i="2" s="1"/>
  <c r="K489" i="2"/>
  <c r="J490" i="2" s="1"/>
  <c r="G490" i="2"/>
  <c r="E491" i="2" l="1"/>
  <c r="F491" i="2" s="1"/>
  <c r="H491" i="2"/>
  <c r="I491" i="2" s="1"/>
  <c r="K490" i="2"/>
  <c r="L490" i="2" s="1"/>
  <c r="G491" i="2"/>
  <c r="L489" i="2"/>
  <c r="G492" i="2" l="1"/>
  <c r="K491" i="2"/>
  <c r="J492" i="2" s="1"/>
  <c r="E492" i="2"/>
  <c r="F492" i="2" s="1"/>
  <c r="H492" i="2"/>
  <c r="I492" i="2" s="1"/>
  <c r="J491" i="2"/>
  <c r="L491" i="2" l="1"/>
  <c r="H493" i="2"/>
  <c r="I493" i="2" s="1"/>
  <c r="K492" i="2"/>
  <c r="L492" i="2" s="1"/>
  <c r="E493" i="2"/>
  <c r="F493" i="2" s="1"/>
  <c r="G493" i="2"/>
  <c r="J493" i="2" l="1"/>
  <c r="E494" i="2"/>
  <c r="F494" i="2" s="1"/>
  <c r="H494" i="2"/>
  <c r="I494" i="2" s="1"/>
  <c r="K493" i="2"/>
  <c r="J494" i="2" s="1"/>
  <c r="G494" i="2"/>
  <c r="E495" i="2" l="1"/>
  <c r="F495" i="2" s="1"/>
  <c r="G495" i="2"/>
  <c r="H495" i="2"/>
  <c r="I495" i="2" s="1"/>
  <c r="K494" i="2"/>
  <c r="L494" i="2" s="1"/>
  <c r="L493" i="2"/>
  <c r="J495" i="2" l="1"/>
  <c r="G496" i="2"/>
  <c r="K495" i="2"/>
  <c r="J496" i="2" s="1"/>
  <c r="H496" i="2"/>
  <c r="I496" i="2" s="1"/>
  <c r="E496" i="2"/>
  <c r="F496" i="2" s="1"/>
  <c r="H497" i="2" l="1"/>
  <c r="I497" i="2" s="1"/>
  <c r="K496" i="2"/>
  <c r="L496" i="2" s="1"/>
  <c r="G497" i="2"/>
  <c r="E497" i="2"/>
  <c r="F497" i="2" s="1"/>
  <c r="L495" i="2"/>
  <c r="E498" i="2" l="1"/>
  <c r="F498" i="2" s="1"/>
  <c r="H498" i="2"/>
  <c r="I498" i="2" s="1"/>
  <c r="K497" i="2"/>
  <c r="J498" i="2" s="1"/>
  <c r="G498" i="2"/>
  <c r="J497" i="2"/>
  <c r="L497" i="2" l="1"/>
  <c r="E499" i="2"/>
  <c r="F499" i="2" s="1"/>
  <c r="G499" i="2"/>
  <c r="H499" i="2"/>
  <c r="I499" i="2" s="1"/>
  <c r="K498" i="2"/>
  <c r="L498" i="2" s="1"/>
  <c r="J499" i="2" l="1"/>
  <c r="G500" i="2"/>
  <c r="E500" i="2"/>
  <c r="F500" i="2" s="1"/>
  <c r="H500" i="2"/>
  <c r="I500" i="2" s="1"/>
  <c r="K499" i="2"/>
  <c r="J500" i="2" s="1"/>
  <c r="H501" i="2" l="1"/>
  <c r="I501" i="2" s="1"/>
  <c r="K500" i="2"/>
  <c r="L500" i="2" s="1"/>
  <c r="E501" i="2"/>
  <c r="F501" i="2" s="1"/>
  <c r="G501" i="2"/>
  <c r="L499" i="2"/>
  <c r="E502" i="2" l="1"/>
  <c r="F502" i="2" s="1"/>
  <c r="H502" i="2"/>
  <c r="I502" i="2" s="1"/>
  <c r="K501" i="2"/>
  <c r="J502" i="2" s="1"/>
  <c r="G502" i="2"/>
  <c r="J501" i="2"/>
  <c r="L501" i="2" l="1"/>
  <c r="E503" i="2"/>
  <c r="F503" i="2" s="1"/>
  <c r="H503" i="2"/>
  <c r="I503" i="2" s="1"/>
  <c r="K502" i="2"/>
  <c r="L502" i="2" s="1"/>
  <c r="G503" i="2"/>
  <c r="J503" i="2" l="1"/>
  <c r="G504" i="2"/>
  <c r="H504" i="2"/>
  <c r="I504" i="2" s="1"/>
  <c r="E504" i="2"/>
  <c r="F504" i="2" s="1"/>
  <c r="K503" i="2"/>
  <c r="L503" i="2" l="1"/>
  <c r="J504" i="2"/>
  <c r="H505" i="2"/>
  <c r="I505" i="2" s="1"/>
  <c r="K504" i="2"/>
  <c r="J505" i="2" s="1"/>
  <c r="E505" i="2"/>
  <c r="F505" i="2" s="1"/>
  <c r="G505" i="2"/>
  <c r="L504" i="2" l="1"/>
  <c r="E506" i="2"/>
  <c r="F506" i="2" s="1"/>
  <c r="H506" i="2"/>
  <c r="I506" i="2" s="1"/>
  <c r="K505" i="2"/>
  <c r="L505" i="2" s="1"/>
  <c r="G506" i="2"/>
  <c r="J506" i="2" l="1"/>
  <c r="E507" i="2"/>
  <c r="F507" i="2" s="1"/>
  <c r="H507" i="2"/>
  <c r="I507" i="2" s="1"/>
  <c r="K506" i="2"/>
  <c r="J507" i="2" s="1"/>
  <c r="G507" i="2"/>
  <c r="G508" i="2" l="1"/>
  <c r="E508" i="2"/>
  <c r="F508" i="2" s="1"/>
  <c r="H508" i="2"/>
  <c r="I508" i="2" s="1"/>
  <c r="K507" i="2"/>
  <c r="L507" i="2" s="1"/>
  <c r="L506" i="2"/>
  <c r="J508" i="2" l="1"/>
  <c r="H509" i="2"/>
  <c r="I509" i="2" s="1"/>
  <c r="K508" i="2"/>
  <c r="J509" i="2" s="1"/>
  <c r="E509" i="2"/>
  <c r="F509" i="2" s="1"/>
  <c r="G509" i="2"/>
  <c r="E510" i="2" l="1"/>
  <c r="F510" i="2" s="1"/>
  <c r="H510" i="2"/>
  <c r="I510" i="2" s="1"/>
  <c r="K509" i="2"/>
  <c r="L509" i="2" s="1"/>
  <c r="G510" i="2"/>
  <c r="L508" i="2"/>
  <c r="J510" i="2" l="1"/>
  <c r="E511" i="2"/>
  <c r="F511" i="2" s="1"/>
  <c r="H511" i="2"/>
  <c r="I511" i="2" s="1"/>
  <c r="K510" i="2"/>
  <c r="G511" i="2"/>
  <c r="L510" i="2" l="1"/>
  <c r="J511" i="2"/>
  <c r="G512" i="2"/>
  <c r="K511" i="2"/>
  <c r="J512" i="2" s="1"/>
  <c r="E512" i="2"/>
  <c r="F512" i="2" s="1"/>
  <c r="H512" i="2"/>
  <c r="I512" i="2" s="1"/>
  <c r="H513" i="2" l="1"/>
  <c r="I513" i="2" s="1"/>
  <c r="K512" i="2"/>
  <c r="L512" i="2" s="1"/>
  <c r="G513" i="2"/>
  <c r="E513" i="2"/>
  <c r="F513" i="2" s="1"/>
  <c r="L511" i="2"/>
  <c r="J513" i="2" l="1"/>
  <c r="E514" i="2"/>
  <c r="F514" i="2" s="1"/>
  <c r="H514" i="2"/>
  <c r="I514" i="2" s="1"/>
  <c r="K513" i="2"/>
  <c r="J514" i="2" s="1"/>
  <c r="G514" i="2"/>
  <c r="E515" i="2" l="1"/>
  <c r="F515" i="2" s="1"/>
  <c r="H515" i="2"/>
  <c r="I515" i="2" s="1"/>
  <c r="K514" i="2"/>
  <c r="L514" i="2" s="1"/>
  <c r="G515" i="2"/>
  <c r="L513" i="2"/>
  <c r="J515" i="2" l="1"/>
  <c r="G516" i="2"/>
  <c r="K515" i="2"/>
  <c r="J516" i="2" s="1"/>
  <c r="E516" i="2"/>
  <c r="F516" i="2" s="1"/>
  <c r="H516" i="2"/>
  <c r="I516" i="2" s="1"/>
  <c r="H517" i="2" l="1"/>
  <c r="I517" i="2" s="1"/>
  <c r="K516" i="2"/>
  <c r="L516" i="2" s="1"/>
  <c r="E517" i="2"/>
  <c r="F517" i="2" s="1"/>
  <c r="G517" i="2"/>
  <c r="L515" i="2"/>
  <c r="J517" i="2" l="1"/>
  <c r="E518" i="2"/>
  <c r="F518" i="2" s="1"/>
  <c r="H518" i="2"/>
  <c r="I518" i="2" s="1"/>
  <c r="K517" i="2"/>
  <c r="G518" i="2"/>
  <c r="L517" i="2" l="1"/>
  <c r="J518" i="2"/>
  <c r="G519" i="2"/>
  <c r="E519" i="2"/>
  <c r="F519" i="2" s="1"/>
  <c r="H519" i="2"/>
  <c r="I519" i="2" s="1"/>
  <c r="K518" i="2"/>
  <c r="J519" i="2" s="1"/>
  <c r="L518" i="2" l="1"/>
  <c r="G520" i="2"/>
  <c r="H520" i="2"/>
  <c r="I520" i="2" s="1"/>
  <c r="K519" i="2"/>
  <c r="J520" i="2" s="1"/>
  <c r="E520" i="2"/>
  <c r="F520" i="2" s="1"/>
  <c r="L519" i="2" l="1"/>
  <c r="H521" i="2"/>
  <c r="I521" i="2" s="1"/>
  <c r="K520" i="2"/>
  <c r="L520" i="2" s="1"/>
  <c r="G521" i="2"/>
  <c r="E521" i="2"/>
  <c r="F521" i="2" s="1"/>
  <c r="J521" i="2" l="1"/>
  <c r="E522" i="2"/>
  <c r="F522" i="2" s="1"/>
  <c r="H522" i="2"/>
  <c r="I522" i="2" s="1"/>
  <c r="K521" i="2"/>
  <c r="G522" i="2"/>
  <c r="L521" i="2" l="1"/>
  <c r="J522" i="2"/>
  <c r="E523" i="2"/>
  <c r="F523" i="2" s="1"/>
  <c r="G523" i="2"/>
  <c r="H523" i="2"/>
  <c r="I523" i="2" s="1"/>
  <c r="K522" i="2"/>
  <c r="J523" i="2" s="1"/>
  <c r="L522" i="2" l="1"/>
  <c r="G524" i="2"/>
  <c r="H524" i="2"/>
  <c r="I524" i="2" s="1"/>
  <c r="K523" i="2"/>
  <c r="L523" i="2" s="1"/>
  <c r="E524" i="2"/>
  <c r="F524" i="2" s="1"/>
  <c r="J524" i="2" l="1"/>
  <c r="H525" i="2"/>
  <c r="I525" i="2" s="1"/>
  <c r="K524" i="2"/>
  <c r="J525" i="2" s="1"/>
  <c r="G525" i="2"/>
  <c r="E525" i="2"/>
  <c r="F525" i="2" s="1"/>
  <c r="L524" i="2" l="1"/>
  <c r="E526" i="2"/>
  <c r="F526" i="2" s="1"/>
  <c r="H526" i="2"/>
  <c r="I526" i="2" s="1"/>
  <c r="K525" i="2"/>
  <c r="L525" i="2" s="1"/>
  <c r="G526" i="2"/>
  <c r="J526" i="2" l="1"/>
  <c r="E527" i="2"/>
  <c r="F527" i="2" s="1"/>
  <c r="H527" i="2"/>
  <c r="I527" i="2" s="1"/>
  <c r="K526" i="2"/>
  <c r="G527" i="2"/>
  <c r="L526" i="2" l="1"/>
  <c r="J527" i="2"/>
  <c r="G528" i="2"/>
  <c r="K527" i="2"/>
  <c r="E528" i="2"/>
  <c r="F528" i="2" s="1"/>
  <c r="H528" i="2"/>
  <c r="I528" i="2" s="1"/>
  <c r="L527" i="2" l="1"/>
  <c r="J528" i="2"/>
  <c r="H529" i="2"/>
  <c r="I529" i="2" s="1"/>
  <c r="K528" i="2"/>
  <c r="J529" i="2" s="1"/>
  <c r="G529" i="2"/>
  <c r="E529" i="2"/>
  <c r="F529" i="2" s="1"/>
  <c r="E530" i="2" l="1"/>
  <c r="F530" i="2" s="1"/>
  <c r="H530" i="2"/>
  <c r="I530" i="2" s="1"/>
  <c r="K529" i="2"/>
  <c r="L529" i="2" s="1"/>
  <c r="G530" i="2"/>
  <c r="L528" i="2"/>
  <c r="E531" i="2" l="1"/>
  <c r="F531" i="2" s="1"/>
  <c r="H531" i="2"/>
  <c r="I531" i="2" s="1"/>
  <c r="K530" i="2"/>
  <c r="J531" i="2" s="1"/>
  <c r="G531" i="2"/>
  <c r="J530" i="2"/>
  <c r="G532" i="2" l="1"/>
  <c r="K531" i="2"/>
  <c r="L531" i="2" s="1"/>
  <c r="E532" i="2"/>
  <c r="F532" i="2" s="1"/>
  <c r="H532" i="2"/>
  <c r="I532" i="2" s="1"/>
  <c r="L530" i="2"/>
  <c r="J532" i="2" l="1"/>
  <c r="H533" i="2"/>
  <c r="I533" i="2" s="1"/>
  <c r="K532" i="2"/>
  <c r="J533" i="2" s="1"/>
  <c r="E533" i="2"/>
  <c r="F533" i="2" s="1"/>
  <c r="G533" i="2"/>
  <c r="E534" i="2" l="1"/>
  <c r="F534" i="2" s="1"/>
  <c r="H534" i="2"/>
  <c r="I534" i="2" s="1"/>
  <c r="K533" i="2"/>
  <c r="L533" i="2" s="1"/>
  <c r="G534" i="2"/>
  <c r="L532" i="2"/>
  <c r="J534" i="2" l="1"/>
  <c r="G535" i="2"/>
  <c r="E535" i="2"/>
  <c r="F535" i="2" s="1"/>
  <c r="H535" i="2"/>
  <c r="I535" i="2" s="1"/>
  <c r="K534" i="2"/>
  <c r="J535" i="2" s="1"/>
  <c r="L534" i="2" l="1"/>
  <c r="G536" i="2"/>
  <c r="H536" i="2"/>
  <c r="I536" i="2" s="1"/>
  <c r="K535" i="2"/>
  <c r="L535" i="2" s="1"/>
  <c r="E536" i="2"/>
  <c r="F536" i="2" s="1"/>
  <c r="J536" i="2" l="1"/>
  <c r="H537" i="2"/>
  <c r="I537" i="2" s="1"/>
  <c r="K536" i="2"/>
  <c r="E537" i="2"/>
  <c r="F537" i="2" s="1"/>
  <c r="G537" i="2"/>
  <c r="L536" i="2" l="1"/>
  <c r="J537" i="2"/>
  <c r="E538" i="2"/>
  <c r="F538" i="2" s="1"/>
  <c r="H538" i="2"/>
  <c r="I538" i="2" s="1"/>
  <c r="K537" i="2"/>
  <c r="J538" i="2" s="1"/>
  <c r="G538" i="2"/>
  <c r="L537" i="2" l="1"/>
  <c r="E539" i="2"/>
  <c r="F539" i="2" s="1"/>
  <c r="H539" i="2"/>
  <c r="I539" i="2" s="1"/>
  <c r="K538" i="2"/>
  <c r="L538" i="2" s="1"/>
  <c r="G539" i="2"/>
  <c r="J539" i="2" l="1"/>
  <c r="G540" i="2"/>
  <c r="H540" i="2"/>
  <c r="I540" i="2" s="1"/>
  <c r="K539" i="2"/>
  <c r="E540" i="2"/>
  <c r="F540" i="2" s="1"/>
  <c r="L539" i="2" l="1"/>
  <c r="H541" i="2"/>
  <c r="I541" i="2" s="1"/>
  <c r="K540" i="2"/>
  <c r="J541" i="2" s="1"/>
  <c r="G541" i="2"/>
  <c r="E541" i="2"/>
  <c r="F541" i="2" s="1"/>
  <c r="J540" i="2"/>
  <c r="L540" i="2" l="1"/>
  <c r="E542" i="2"/>
  <c r="F542" i="2" s="1"/>
  <c r="H542" i="2"/>
  <c r="I542" i="2" s="1"/>
  <c r="K541" i="2"/>
  <c r="L541" i="2" s="1"/>
  <c r="G542" i="2"/>
  <c r="J542" i="2" l="1"/>
  <c r="E543" i="2"/>
  <c r="F543" i="2" s="1"/>
  <c r="G543" i="2"/>
  <c r="H543" i="2"/>
  <c r="I543" i="2" s="1"/>
  <c r="K542" i="2"/>
  <c r="L542" i="2" s="1"/>
  <c r="J543" i="2" l="1"/>
  <c r="G544" i="2"/>
  <c r="H544" i="2"/>
  <c r="I544" i="2" s="1"/>
  <c r="K543" i="2"/>
  <c r="J544" i="2" s="1"/>
  <c r="E544" i="2"/>
  <c r="F544" i="2" s="1"/>
  <c r="H545" i="2" l="1"/>
  <c r="I545" i="2" s="1"/>
  <c r="K544" i="2"/>
  <c r="L544" i="2" s="1"/>
  <c r="G545" i="2"/>
  <c r="E545" i="2"/>
  <c r="F545" i="2" s="1"/>
  <c r="L543" i="2"/>
  <c r="J545" i="2" l="1"/>
  <c r="E546" i="2"/>
  <c r="F546" i="2" s="1"/>
  <c r="H546" i="2"/>
  <c r="I546" i="2" s="1"/>
  <c r="K545" i="2"/>
  <c r="J546" i="2" s="1"/>
  <c r="G546" i="2"/>
  <c r="E547" i="2" l="1"/>
  <c r="F547" i="2" s="1"/>
  <c r="H547" i="2"/>
  <c r="I547" i="2" s="1"/>
  <c r="K546" i="2"/>
  <c r="L546" i="2" s="1"/>
  <c r="G547" i="2"/>
  <c r="L545" i="2"/>
  <c r="J547" i="2" l="1"/>
  <c r="G548" i="2"/>
  <c r="K547" i="2"/>
  <c r="J548" i="2" s="1"/>
  <c r="E548" i="2"/>
  <c r="F548" i="2" s="1"/>
  <c r="H548" i="2"/>
  <c r="I548" i="2" s="1"/>
  <c r="L547" i="2" l="1"/>
  <c r="H549" i="2"/>
  <c r="I549" i="2" s="1"/>
  <c r="K548" i="2"/>
  <c r="L548" i="2" s="1"/>
  <c r="G549" i="2"/>
  <c r="E549" i="2"/>
  <c r="F549" i="2" s="1"/>
  <c r="J549" i="2" l="1"/>
  <c r="E550" i="2"/>
  <c r="F550" i="2" s="1"/>
  <c r="H550" i="2"/>
  <c r="I550" i="2" s="1"/>
  <c r="K549" i="2"/>
  <c r="J550" i="2" s="1"/>
  <c r="G550" i="2"/>
  <c r="G551" i="2" l="1"/>
  <c r="E551" i="2"/>
  <c r="F551" i="2" s="1"/>
  <c r="H551" i="2"/>
  <c r="I551" i="2" s="1"/>
  <c r="K550" i="2"/>
  <c r="L550" i="2" s="1"/>
  <c r="L549" i="2"/>
  <c r="J551" i="2" l="1"/>
  <c r="G552" i="2"/>
  <c r="K551" i="2"/>
  <c r="J552" i="2" s="1"/>
  <c r="H552" i="2"/>
  <c r="I552" i="2" s="1"/>
  <c r="E552" i="2"/>
  <c r="F552" i="2" s="1"/>
  <c r="H553" i="2" l="1"/>
  <c r="I553" i="2" s="1"/>
  <c r="K552" i="2"/>
  <c r="L552" i="2" s="1"/>
  <c r="G553" i="2"/>
  <c r="E553" i="2"/>
  <c r="F553" i="2" s="1"/>
  <c r="L551" i="2"/>
  <c r="E554" i="2" l="1"/>
  <c r="F554" i="2" s="1"/>
  <c r="H554" i="2"/>
  <c r="I554" i="2" s="1"/>
  <c r="K553" i="2"/>
  <c r="J554" i="2" s="1"/>
  <c r="G554" i="2"/>
  <c r="J553" i="2"/>
  <c r="L553" i="2" l="1"/>
  <c r="E555" i="2"/>
  <c r="F555" i="2" s="1"/>
  <c r="G555" i="2"/>
  <c r="H555" i="2"/>
  <c r="I555" i="2" s="1"/>
  <c r="K554" i="2"/>
  <c r="L554" i="2" s="1"/>
  <c r="J555" i="2" l="1"/>
  <c r="G556" i="2"/>
  <c r="E556" i="2"/>
  <c r="F556" i="2" s="1"/>
  <c r="H556" i="2"/>
  <c r="I556" i="2" s="1"/>
  <c r="K555" i="2"/>
  <c r="J556" i="2" s="1"/>
  <c r="H557" i="2" l="1"/>
  <c r="I557" i="2" s="1"/>
  <c r="K556" i="2"/>
  <c r="L556" i="2" s="1"/>
  <c r="E557" i="2"/>
  <c r="F557" i="2" s="1"/>
  <c r="G557" i="2"/>
  <c r="L555" i="2"/>
  <c r="J557" i="2" l="1"/>
  <c r="E558" i="2"/>
  <c r="F558" i="2" s="1"/>
  <c r="H558" i="2"/>
  <c r="I558" i="2" s="1"/>
  <c r="K557" i="2"/>
  <c r="G558" i="2"/>
  <c r="L557" i="2" l="1"/>
  <c r="J558" i="2"/>
  <c r="E559" i="2"/>
  <c r="F559" i="2" s="1"/>
  <c r="G559" i="2"/>
  <c r="H559" i="2"/>
  <c r="I559" i="2" s="1"/>
  <c r="K558" i="2"/>
  <c r="J559" i="2" s="1"/>
  <c r="L558" i="2" l="1"/>
  <c r="G560" i="2"/>
  <c r="H560" i="2"/>
  <c r="I560" i="2" s="1"/>
  <c r="K559" i="2"/>
  <c r="L559" i="2" s="1"/>
  <c r="E560" i="2"/>
  <c r="F560" i="2" s="1"/>
  <c r="H561" i="2" l="1"/>
  <c r="I561" i="2" s="1"/>
  <c r="K560" i="2"/>
  <c r="J561" i="2" s="1"/>
  <c r="G561" i="2"/>
  <c r="E561" i="2"/>
  <c r="F561" i="2" s="1"/>
  <c r="J560" i="2"/>
  <c r="L560" i="2" l="1"/>
  <c r="E562" i="2"/>
  <c r="F562" i="2" s="1"/>
  <c r="H562" i="2"/>
  <c r="I562" i="2" s="1"/>
  <c r="K561" i="2"/>
  <c r="L561" i="2" s="1"/>
  <c r="G562" i="2"/>
  <c r="E563" i="2" l="1"/>
  <c r="F563" i="2" s="1"/>
  <c r="H563" i="2"/>
  <c r="I563" i="2" s="1"/>
  <c r="K562" i="2"/>
  <c r="J563" i="2" s="1"/>
  <c r="G563" i="2"/>
  <c r="J562" i="2"/>
  <c r="G564" i="2" l="1"/>
  <c r="H564" i="2"/>
  <c r="I564" i="2" s="1"/>
  <c r="E564" i="2"/>
  <c r="F564" i="2" s="1"/>
  <c r="K563" i="2"/>
  <c r="L563" i="2" s="1"/>
  <c r="L562" i="2"/>
  <c r="J564" i="2" l="1"/>
  <c r="H565" i="2"/>
  <c r="I565" i="2" s="1"/>
  <c r="K564" i="2"/>
  <c r="J565" i="2" s="1"/>
  <c r="E565" i="2"/>
  <c r="F565" i="2" s="1"/>
  <c r="G565" i="2"/>
  <c r="L564" i="2" l="1"/>
  <c r="E566" i="2"/>
  <c r="F566" i="2" s="1"/>
  <c r="H566" i="2"/>
  <c r="I566" i="2" s="1"/>
  <c r="K565" i="2"/>
  <c r="L565" i="2" s="1"/>
  <c r="G566" i="2"/>
  <c r="E567" i="2" l="1"/>
  <c r="F567" i="2" s="1"/>
  <c r="G567" i="2"/>
  <c r="H567" i="2"/>
  <c r="I567" i="2" s="1"/>
  <c r="K566" i="2"/>
  <c r="J567" i="2" s="1"/>
  <c r="J566" i="2"/>
  <c r="L566" i="2" l="1"/>
  <c r="G568" i="2"/>
  <c r="E568" i="2"/>
  <c r="F568" i="2" s="1"/>
  <c r="H568" i="2"/>
  <c r="I568" i="2" s="1"/>
  <c r="K567" i="2"/>
  <c r="L567" i="2" s="1"/>
  <c r="J568" i="2" l="1"/>
  <c r="H569" i="2"/>
  <c r="I569" i="2" s="1"/>
  <c r="K568" i="2"/>
  <c r="J569" i="2" s="1"/>
  <c r="E569" i="2"/>
  <c r="F569" i="2" s="1"/>
  <c r="G569" i="2"/>
  <c r="E570" i="2" l="1"/>
  <c r="F570" i="2" s="1"/>
  <c r="H570" i="2"/>
  <c r="I570" i="2" s="1"/>
  <c r="K569" i="2"/>
  <c r="L569" i="2" s="1"/>
  <c r="G570" i="2"/>
  <c r="L568" i="2"/>
  <c r="E571" i="2" l="1"/>
  <c r="F571" i="2" s="1"/>
  <c r="H571" i="2"/>
  <c r="I571" i="2" s="1"/>
  <c r="K570" i="2"/>
  <c r="J571" i="2" s="1"/>
  <c r="G571" i="2"/>
  <c r="J570" i="2"/>
  <c r="G572" i="2" l="1"/>
  <c r="K571" i="2"/>
  <c r="J572" i="2" s="1"/>
  <c r="E572" i="2"/>
  <c r="F572" i="2" s="1"/>
  <c r="H572" i="2"/>
  <c r="I572" i="2" s="1"/>
  <c r="L570" i="2"/>
  <c r="L571" i="2" l="1"/>
  <c r="H573" i="2"/>
  <c r="I573" i="2" s="1"/>
  <c r="K572" i="2"/>
  <c r="L572" i="2" s="1"/>
  <c r="G573" i="2"/>
  <c r="E573" i="2"/>
  <c r="F573" i="2" s="1"/>
  <c r="E574" i="2" l="1"/>
  <c r="F574" i="2" s="1"/>
  <c r="H574" i="2"/>
  <c r="I574" i="2" s="1"/>
  <c r="K573" i="2"/>
  <c r="J574" i="2" s="1"/>
  <c r="G574" i="2"/>
  <c r="J573" i="2"/>
  <c r="L573" i="2" l="1"/>
  <c r="E575" i="2"/>
  <c r="F575" i="2" s="1"/>
  <c r="G575" i="2"/>
  <c r="H575" i="2"/>
  <c r="I575" i="2" s="1"/>
  <c r="K574" i="2"/>
  <c r="J575" i="2" s="1"/>
  <c r="L574" i="2" l="1"/>
  <c r="G576" i="2"/>
  <c r="K575" i="2"/>
  <c r="J576" i="2" s="1"/>
  <c r="H576" i="2"/>
  <c r="I576" i="2" s="1"/>
  <c r="E576" i="2"/>
  <c r="F576" i="2" s="1"/>
  <c r="L575" i="2" l="1"/>
  <c r="H577" i="2"/>
  <c r="I577" i="2" s="1"/>
  <c r="K576" i="2"/>
  <c r="J577" i="2" s="1"/>
  <c r="G577" i="2"/>
  <c r="E577" i="2"/>
  <c r="F577" i="2" s="1"/>
  <c r="L576" i="2" l="1"/>
  <c r="E578" i="2"/>
  <c r="F578" i="2" s="1"/>
  <c r="H578" i="2"/>
  <c r="I578" i="2" s="1"/>
  <c r="K577" i="2"/>
  <c r="L577" i="2" s="1"/>
  <c r="G578" i="2"/>
  <c r="E579" i="2" l="1"/>
  <c r="F579" i="2" s="1"/>
  <c r="G579" i="2"/>
  <c r="H579" i="2"/>
  <c r="I579" i="2" s="1"/>
  <c r="K578" i="2"/>
  <c r="J579" i="2" s="1"/>
  <c r="J578" i="2"/>
  <c r="L578" i="2" l="1"/>
  <c r="G580" i="2"/>
  <c r="H580" i="2"/>
  <c r="I580" i="2" s="1"/>
  <c r="E580" i="2"/>
  <c r="F580" i="2" s="1"/>
  <c r="K579" i="2"/>
  <c r="J580" i="2" s="1"/>
  <c r="H581" i="2" l="1"/>
  <c r="I581" i="2" s="1"/>
  <c r="K580" i="2"/>
  <c r="L580" i="2" s="1"/>
  <c r="E581" i="2"/>
  <c r="F581" i="2" s="1"/>
  <c r="G581" i="2"/>
  <c r="L579" i="2"/>
  <c r="E582" i="2" l="1"/>
  <c r="F582" i="2" s="1"/>
  <c r="H582" i="2"/>
  <c r="I582" i="2" s="1"/>
  <c r="K581" i="2"/>
  <c r="J582" i="2" s="1"/>
  <c r="G582" i="2"/>
  <c r="J581" i="2"/>
  <c r="E583" i="2" l="1"/>
  <c r="F583" i="2" s="1"/>
  <c r="G583" i="2"/>
  <c r="H583" i="2"/>
  <c r="I583" i="2" s="1"/>
  <c r="K582" i="2"/>
  <c r="J583" i="2" s="1"/>
  <c r="L581" i="2"/>
  <c r="L582" i="2" l="1"/>
  <c r="G584" i="2"/>
  <c r="K583" i="2"/>
  <c r="L583" i="2" s="1"/>
  <c r="H584" i="2"/>
  <c r="I584" i="2" s="1"/>
  <c r="E584" i="2"/>
  <c r="F584" i="2" s="1"/>
  <c r="J584" i="2" l="1"/>
  <c r="H585" i="2"/>
  <c r="I585" i="2" s="1"/>
  <c r="K584" i="2"/>
  <c r="E585" i="2"/>
  <c r="F585" i="2" s="1"/>
  <c r="G585" i="2"/>
  <c r="L584" i="2" l="1"/>
  <c r="J585" i="2"/>
  <c r="E586" i="2"/>
  <c r="F586" i="2" s="1"/>
  <c r="H586" i="2"/>
  <c r="I586" i="2" s="1"/>
  <c r="K585" i="2"/>
  <c r="G586" i="2"/>
  <c r="L585" i="2" l="1"/>
  <c r="J586" i="2"/>
  <c r="E587" i="2"/>
  <c r="F587" i="2" s="1"/>
  <c r="G587" i="2"/>
  <c r="H587" i="2"/>
  <c r="I587" i="2" s="1"/>
  <c r="K586" i="2"/>
  <c r="J587" i="2" s="1"/>
  <c r="L586" i="2" l="1"/>
  <c r="G588" i="2"/>
  <c r="E588" i="2"/>
  <c r="F588" i="2" s="1"/>
  <c r="H588" i="2"/>
  <c r="I588" i="2" s="1"/>
  <c r="K587" i="2"/>
  <c r="L587" i="2" s="1"/>
  <c r="J588" i="2" l="1"/>
  <c r="H589" i="2"/>
  <c r="I589" i="2" s="1"/>
  <c r="K588" i="2"/>
  <c r="J589" i="2" s="1"/>
  <c r="E589" i="2"/>
  <c r="F589" i="2" s="1"/>
  <c r="G589" i="2"/>
  <c r="E590" i="2" l="1"/>
  <c r="F590" i="2" s="1"/>
  <c r="H590" i="2"/>
  <c r="I590" i="2" s="1"/>
  <c r="K589" i="2"/>
  <c r="L589" i="2" s="1"/>
  <c r="G590" i="2"/>
  <c r="L588" i="2"/>
  <c r="G591" i="2" l="1"/>
  <c r="E591" i="2"/>
  <c r="F591" i="2" s="1"/>
  <c r="H591" i="2"/>
  <c r="I591" i="2" s="1"/>
  <c r="K590" i="2"/>
  <c r="J591" i="2" s="1"/>
  <c r="J590" i="2"/>
  <c r="L590" i="2" l="1"/>
  <c r="G592" i="2"/>
  <c r="H592" i="2"/>
  <c r="I592" i="2" s="1"/>
  <c r="K591" i="2"/>
  <c r="L591" i="2" s="1"/>
  <c r="E592" i="2"/>
  <c r="F592" i="2" s="1"/>
  <c r="J592" i="2" l="1"/>
  <c r="H593" i="2"/>
  <c r="I593" i="2" s="1"/>
  <c r="K592" i="2"/>
  <c r="J593" i="2" s="1"/>
  <c r="G593" i="2"/>
  <c r="E593" i="2"/>
  <c r="F593" i="2" s="1"/>
  <c r="E594" i="2" l="1"/>
  <c r="F594" i="2" s="1"/>
  <c r="H594" i="2"/>
  <c r="I594" i="2" s="1"/>
  <c r="K593" i="2"/>
  <c r="L593" i="2" s="1"/>
  <c r="G594" i="2"/>
  <c r="L592" i="2"/>
  <c r="E595" i="2" l="1"/>
  <c r="F595" i="2" s="1"/>
  <c r="G595" i="2"/>
  <c r="H595" i="2"/>
  <c r="I595" i="2" s="1"/>
  <c r="K594" i="2"/>
  <c r="J595" i="2" s="1"/>
  <c r="J594" i="2"/>
  <c r="L594" i="2" l="1"/>
  <c r="G596" i="2"/>
  <c r="E596" i="2"/>
  <c r="F596" i="2" s="1"/>
  <c r="H596" i="2"/>
  <c r="I596" i="2" s="1"/>
  <c r="K595" i="2"/>
  <c r="L595" i="2" s="1"/>
  <c r="J596" i="2" l="1"/>
  <c r="H597" i="2"/>
  <c r="I597" i="2" s="1"/>
  <c r="K596" i="2"/>
  <c r="J597" i="2" s="1"/>
  <c r="E597" i="2"/>
  <c r="F597" i="2" s="1"/>
  <c r="G597" i="2"/>
  <c r="E598" i="2" l="1"/>
  <c r="F598" i="2" s="1"/>
  <c r="H598" i="2"/>
  <c r="I598" i="2" s="1"/>
  <c r="K597" i="2"/>
  <c r="L597" i="2" s="1"/>
  <c r="G598" i="2"/>
  <c r="L596" i="2"/>
  <c r="J598" i="2" l="1"/>
  <c r="G599" i="2"/>
  <c r="E599" i="2"/>
  <c r="F599" i="2" s="1"/>
  <c r="H599" i="2"/>
  <c r="I599" i="2" s="1"/>
  <c r="K598" i="2"/>
  <c r="J599" i="2" s="1"/>
  <c r="L598" i="2" l="1"/>
  <c r="G600" i="2"/>
  <c r="H600" i="2"/>
  <c r="I600" i="2" s="1"/>
  <c r="E600" i="2"/>
  <c r="F600" i="2" s="1"/>
  <c r="K599" i="2"/>
  <c r="L599" i="2" s="1"/>
  <c r="J600" i="2" l="1"/>
  <c r="H601" i="2"/>
  <c r="I601" i="2" s="1"/>
  <c r="K600" i="2"/>
  <c r="J601" i="2" s="1"/>
  <c r="G601" i="2"/>
  <c r="E601" i="2"/>
  <c r="F601" i="2" s="1"/>
  <c r="L600" i="2" l="1"/>
  <c r="E602" i="2"/>
  <c r="F602" i="2" s="1"/>
  <c r="H602" i="2"/>
  <c r="I602" i="2" s="1"/>
  <c r="K601" i="2"/>
  <c r="L601" i="2" s="1"/>
  <c r="G602" i="2"/>
  <c r="J602" i="2" l="1"/>
  <c r="G603" i="2"/>
  <c r="E603" i="2"/>
  <c r="F603" i="2" s="1"/>
  <c r="H603" i="2"/>
  <c r="I603" i="2" s="1"/>
  <c r="K602" i="2"/>
  <c r="J603" i="2" s="1"/>
  <c r="L602" i="2" l="1"/>
  <c r="G604" i="2"/>
  <c r="H604" i="2"/>
  <c r="I604" i="2" s="1"/>
  <c r="K603" i="2"/>
  <c r="L603" i="2" s="1"/>
  <c r="E604" i="2"/>
  <c r="F604" i="2" s="1"/>
  <c r="J604" i="2" l="1"/>
  <c r="H605" i="2"/>
  <c r="I605" i="2" s="1"/>
  <c r="K604" i="2"/>
  <c r="J605" i="2" s="1"/>
  <c r="E605" i="2"/>
  <c r="F605" i="2" s="1"/>
  <c r="G605" i="2"/>
  <c r="E606" i="2" l="1"/>
  <c r="F606" i="2" s="1"/>
  <c r="H606" i="2"/>
  <c r="I606" i="2" s="1"/>
  <c r="K605" i="2"/>
  <c r="L605" i="2" s="1"/>
  <c r="G606" i="2"/>
  <c r="L604" i="2"/>
  <c r="E607" i="2" l="1"/>
  <c r="F607" i="2" s="1"/>
  <c r="H607" i="2"/>
  <c r="I607" i="2" s="1"/>
  <c r="K606" i="2"/>
  <c r="J607" i="2" s="1"/>
  <c r="G607" i="2"/>
  <c r="J606" i="2"/>
  <c r="G608" i="2" l="1"/>
  <c r="K607" i="2"/>
  <c r="J608" i="2" s="1"/>
  <c r="E608" i="2"/>
  <c r="F608" i="2" s="1"/>
  <c r="H608" i="2"/>
  <c r="I608" i="2" s="1"/>
  <c r="L606" i="2"/>
  <c r="L607" i="2" l="1"/>
  <c r="H609" i="2"/>
  <c r="I609" i="2" s="1"/>
  <c r="K608" i="2"/>
  <c r="L608" i="2" s="1"/>
  <c r="G609" i="2"/>
  <c r="E609" i="2"/>
  <c r="F609" i="2" s="1"/>
  <c r="J609" i="2" l="1"/>
  <c r="E610" i="2"/>
  <c r="F610" i="2" s="1"/>
  <c r="H610" i="2"/>
  <c r="I610" i="2" s="1"/>
  <c r="K609" i="2"/>
  <c r="G610" i="2"/>
  <c r="L609" i="2" l="1"/>
  <c r="J610" i="2"/>
  <c r="G611" i="2"/>
  <c r="E611" i="2"/>
  <c r="F611" i="2" s="1"/>
  <c r="H611" i="2"/>
  <c r="I611" i="2" s="1"/>
  <c r="K610" i="2"/>
  <c r="L610" i="2" l="1"/>
  <c r="J611" i="2"/>
  <c r="G612" i="2"/>
  <c r="H612" i="2"/>
  <c r="I612" i="2" s="1"/>
  <c r="K611" i="2"/>
  <c r="J612" i="2" s="1"/>
  <c r="E612" i="2"/>
  <c r="F612" i="2" s="1"/>
  <c r="H613" i="2" l="1"/>
  <c r="I613" i="2" s="1"/>
  <c r="K612" i="2"/>
  <c r="L612" i="2" s="1"/>
  <c r="G613" i="2"/>
  <c r="E613" i="2"/>
  <c r="F613" i="2" s="1"/>
  <c r="L611" i="2"/>
  <c r="J613" i="2" l="1"/>
  <c r="E614" i="2"/>
  <c r="F614" i="2" s="1"/>
  <c r="H614" i="2"/>
  <c r="I614" i="2" s="1"/>
  <c r="K613" i="2"/>
  <c r="G614" i="2"/>
  <c r="L613" i="2" l="1"/>
  <c r="E615" i="2"/>
  <c r="F615" i="2" s="1"/>
  <c r="G615" i="2"/>
  <c r="H615" i="2"/>
  <c r="I615" i="2" s="1"/>
  <c r="K614" i="2"/>
  <c r="J615" i="2" s="1"/>
  <c r="J614" i="2"/>
  <c r="L614" i="2" l="1"/>
  <c r="G616" i="2"/>
  <c r="H616" i="2"/>
  <c r="I616" i="2" s="1"/>
  <c r="E616" i="2"/>
  <c r="F616" i="2" s="1"/>
  <c r="K615" i="2"/>
  <c r="L615" i="2" s="1"/>
  <c r="H617" i="2" l="1"/>
  <c r="I617" i="2" s="1"/>
  <c r="K616" i="2"/>
  <c r="J617" i="2" s="1"/>
  <c r="E617" i="2"/>
  <c r="F617" i="2" s="1"/>
  <c r="G617" i="2"/>
  <c r="J616" i="2"/>
  <c r="L616" i="2" l="1"/>
  <c r="E618" i="2"/>
  <c r="F618" i="2" s="1"/>
  <c r="H618" i="2"/>
  <c r="I618" i="2" s="1"/>
  <c r="K617" i="2"/>
  <c r="L617" i="2" s="1"/>
  <c r="G618" i="2"/>
  <c r="E619" i="2" l="1"/>
  <c r="F619" i="2" s="1"/>
  <c r="G619" i="2"/>
  <c r="H619" i="2"/>
  <c r="I619" i="2" s="1"/>
  <c r="K618" i="2"/>
  <c r="J619" i="2" s="1"/>
  <c r="J618" i="2"/>
  <c r="L618" i="2" l="1"/>
  <c r="G620" i="2"/>
  <c r="H620" i="2"/>
  <c r="I620" i="2" s="1"/>
  <c r="K619" i="2"/>
  <c r="L619" i="2" s="1"/>
  <c r="E620" i="2"/>
  <c r="F620" i="2" s="1"/>
  <c r="H621" i="2" l="1"/>
  <c r="I621" i="2" s="1"/>
  <c r="K620" i="2"/>
  <c r="J621" i="2" s="1"/>
  <c r="G621" i="2"/>
  <c r="E621" i="2"/>
  <c r="F621" i="2" s="1"/>
  <c r="J620" i="2"/>
  <c r="L620" i="2" l="1"/>
  <c r="E622" i="2"/>
  <c r="F622" i="2" s="1"/>
  <c r="H622" i="2"/>
  <c r="I622" i="2" s="1"/>
  <c r="K621" i="2"/>
  <c r="L621" i="2" s="1"/>
  <c r="G622" i="2"/>
  <c r="E623" i="2" l="1"/>
  <c r="F623" i="2" s="1"/>
  <c r="G623" i="2"/>
  <c r="H623" i="2"/>
  <c r="I623" i="2" s="1"/>
  <c r="K622" i="2"/>
  <c r="J623" i="2" s="1"/>
  <c r="J622" i="2"/>
  <c r="L622" i="2" l="1"/>
  <c r="G624" i="2"/>
  <c r="H624" i="2"/>
  <c r="I624" i="2" s="1"/>
  <c r="E624" i="2"/>
  <c r="F624" i="2" s="1"/>
  <c r="K623" i="2"/>
  <c r="J624" i="2" s="1"/>
  <c r="L623" i="2" l="1"/>
  <c r="H625" i="2"/>
  <c r="I625" i="2" s="1"/>
  <c r="K624" i="2"/>
  <c r="L624" i="2" s="1"/>
  <c r="G625" i="2"/>
  <c r="E625" i="2"/>
  <c r="F625" i="2" s="1"/>
  <c r="E626" i="2" l="1"/>
  <c r="F626" i="2" s="1"/>
  <c r="H626" i="2"/>
  <c r="I626" i="2" s="1"/>
  <c r="K625" i="2"/>
  <c r="J626" i="2" s="1"/>
  <c r="G626" i="2"/>
  <c r="J625" i="2"/>
  <c r="E627" i="2" l="1"/>
  <c r="F627" i="2" s="1"/>
  <c r="G627" i="2"/>
  <c r="H627" i="2"/>
  <c r="I627" i="2" s="1"/>
  <c r="K626" i="2"/>
  <c r="J627" i="2" s="1"/>
  <c r="L625" i="2"/>
  <c r="L626" i="2" l="1"/>
  <c r="G628" i="2"/>
  <c r="H628" i="2"/>
  <c r="I628" i="2" s="1"/>
  <c r="E628" i="2"/>
  <c r="F628" i="2" s="1"/>
  <c r="K627" i="2"/>
  <c r="L627" i="2" s="1"/>
  <c r="J628" i="2" l="1"/>
  <c r="H629" i="2"/>
  <c r="I629" i="2" s="1"/>
  <c r="K628" i="2"/>
  <c r="J629" i="2" s="1"/>
  <c r="E629" i="2"/>
  <c r="F629" i="2" s="1"/>
  <c r="G629" i="2"/>
  <c r="L628" i="2" l="1"/>
  <c r="E630" i="2"/>
  <c r="F630" i="2" s="1"/>
  <c r="H630" i="2"/>
  <c r="I630" i="2" s="1"/>
  <c r="K629" i="2"/>
  <c r="L629" i="2" s="1"/>
  <c r="G630" i="2"/>
  <c r="J630" i="2" l="1"/>
  <c r="E631" i="2"/>
  <c r="F631" i="2" s="1"/>
  <c r="H631" i="2"/>
  <c r="I631" i="2" s="1"/>
  <c r="K630" i="2"/>
  <c r="J631" i="2" s="1"/>
  <c r="G631" i="2"/>
  <c r="L630" i="2" l="1"/>
  <c r="G632" i="2"/>
  <c r="K631" i="2"/>
  <c r="L631" i="2" s="1"/>
  <c r="E632" i="2"/>
  <c r="F632" i="2" s="1"/>
  <c r="H632" i="2"/>
  <c r="I632" i="2" s="1"/>
  <c r="G633" i="2" l="1"/>
  <c r="K632" i="2"/>
  <c r="J633" i="2" s="1"/>
  <c r="H633" i="2"/>
  <c r="I633" i="2" s="1"/>
  <c r="E633" i="2"/>
  <c r="F633" i="2" s="1"/>
  <c r="J632" i="2"/>
  <c r="L632" i="2" l="1"/>
  <c r="H634" i="2"/>
  <c r="I634" i="2" s="1"/>
  <c r="K633" i="2"/>
  <c r="L633" i="2" s="1"/>
  <c r="E634" i="2"/>
  <c r="F634" i="2" s="1"/>
  <c r="G634" i="2"/>
  <c r="J634" i="2" l="1"/>
  <c r="E635" i="2"/>
  <c r="F635" i="2" s="1"/>
  <c r="G635" i="2"/>
  <c r="H635" i="2"/>
  <c r="I635" i="2" s="1"/>
  <c r="K634" i="2"/>
  <c r="L634" i="2" s="1"/>
  <c r="J635" i="2" l="1"/>
  <c r="H636" i="2"/>
  <c r="I636" i="2" s="1"/>
  <c r="K635" i="2"/>
  <c r="G636" i="2"/>
  <c r="E636" i="2"/>
  <c r="F636" i="2" s="1"/>
  <c r="L635" i="2" l="1"/>
  <c r="J636" i="2"/>
  <c r="G637" i="2"/>
  <c r="E637" i="2"/>
  <c r="F637" i="2" s="1"/>
  <c r="H637" i="2"/>
  <c r="I637" i="2" s="1"/>
  <c r="K636" i="2"/>
  <c r="J637" i="2" s="1"/>
  <c r="L636" i="2" l="1"/>
  <c r="H638" i="2"/>
  <c r="I638" i="2" s="1"/>
  <c r="K637" i="2"/>
  <c r="L637" i="2" s="1"/>
  <c r="G638" i="2"/>
  <c r="E638" i="2"/>
  <c r="F638" i="2" s="1"/>
  <c r="J638" i="2" l="1"/>
  <c r="E639" i="2"/>
  <c r="F639" i="2" s="1"/>
  <c r="G639" i="2"/>
  <c r="H639" i="2"/>
  <c r="I639" i="2" s="1"/>
  <c r="K638" i="2"/>
  <c r="L638" i="2" s="1"/>
  <c r="J639" i="2" l="1"/>
  <c r="H640" i="2"/>
  <c r="I640" i="2" s="1"/>
  <c r="K639" i="2"/>
  <c r="E640" i="2"/>
  <c r="F640" i="2" s="1"/>
  <c r="G640" i="2"/>
  <c r="L639" i="2" l="1"/>
  <c r="J640" i="2"/>
  <c r="G641" i="2"/>
  <c r="E641" i="2"/>
  <c r="F641" i="2" s="1"/>
  <c r="H641" i="2"/>
  <c r="I641" i="2" s="1"/>
  <c r="K640" i="2"/>
  <c r="J641" i="2" s="1"/>
  <c r="H642" i="2" l="1"/>
  <c r="I642" i="2" s="1"/>
  <c r="K641" i="2"/>
  <c r="L641" i="2" s="1"/>
  <c r="E642" i="2"/>
  <c r="F642" i="2" s="1"/>
  <c r="G642" i="2"/>
  <c r="L640" i="2"/>
  <c r="J642" i="2" l="1"/>
  <c r="E643" i="2"/>
  <c r="F643" i="2" s="1"/>
  <c r="G643" i="2"/>
  <c r="H643" i="2"/>
  <c r="I643" i="2" s="1"/>
  <c r="K642" i="2"/>
  <c r="J643" i="2" s="1"/>
  <c r="L642" i="2" l="1"/>
  <c r="H644" i="2"/>
  <c r="I644" i="2" s="1"/>
  <c r="K643" i="2"/>
  <c r="L643" i="2" s="1"/>
  <c r="G644" i="2"/>
  <c r="E644" i="2"/>
  <c r="F644" i="2" s="1"/>
  <c r="J644" i="2" l="1"/>
  <c r="G645" i="2"/>
  <c r="E645" i="2"/>
  <c r="F645" i="2" s="1"/>
  <c r="H645" i="2"/>
  <c r="I645" i="2" s="1"/>
  <c r="K644" i="2"/>
  <c r="J645" i="2" s="1"/>
  <c r="L644" i="2" l="1"/>
  <c r="H646" i="2"/>
  <c r="I646" i="2" s="1"/>
  <c r="K645" i="2"/>
  <c r="L645" i="2" s="1"/>
  <c r="G646" i="2"/>
  <c r="E646" i="2"/>
  <c r="F646" i="2" s="1"/>
  <c r="J646" i="2" l="1"/>
  <c r="E647" i="2"/>
  <c r="F647" i="2" s="1"/>
  <c r="G647" i="2"/>
  <c r="K646" i="2"/>
  <c r="H647" i="2"/>
  <c r="I647" i="2" s="1"/>
  <c r="L646" i="2" l="1"/>
  <c r="J647" i="2"/>
  <c r="H648" i="2"/>
  <c r="I648" i="2" s="1"/>
  <c r="K647" i="2"/>
  <c r="E648" i="2"/>
  <c r="F648" i="2" s="1"/>
  <c r="G648" i="2"/>
  <c r="L647" i="2" l="1"/>
  <c r="J648" i="2"/>
  <c r="G649" i="2"/>
  <c r="E649" i="2"/>
  <c r="F649" i="2" s="1"/>
  <c r="H649" i="2"/>
  <c r="I649" i="2" s="1"/>
  <c r="K648" i="2"/>
  <c r="J649" i="2" s="1"/>
  <c r="L648" i="2" l="1"/>
  <c r="H650" i="2"/>
  <c r="I650" i="2" s="1"/>
  <c r="K649" i="2"/>
  <c r="L649" i="2" s="1"/>
  <c r="E650" i="2"/>
  <c r="F650" i="2" s="1"/>
  <c r="G650" i="2"/>
  <c r="J650" i="2" l="1"/>
  <c r="E651" i="2"/>
  <c r="F651" i="2" s="1"/>
  <c r="G651" i="2"/>
  <c r="H651" i="2"/>
  <c r="I651" i="2" s="1"/>
  <c r="K650" i="2"/>
  <c r="L650" i="2" l="1"/>
  <c r="J651" i="2"/>
  <c r="H652" i="2"/>
  <c r="I652" i="2" s="1"/>
  <c r="K651" i="2"/>
  <c r="L651" i="2" s="1"/>
  <c r="G652" i="2"/>
  <c r="E652" i="2"/>
  <c r="F652" i="2" s="1"/>
  <c r="G653" i="2" l="1"/>
  <c r="E653" i="2"/>
  <c r="F653" i="2" s="1"/>
  <c r="H653" i="2"/>
  <c r="I653" i="2" s="1"/>
  <c r="K652" i="2"/>
  <c r="J653" i="2" s="1"/>
  <c r="J652" i="2"/>
  <c r="L652" i="2" l="1"/>
  <c r="H654" i="2"/>
  <c r="I654" i="2" s="1"/>
  <c r="K653" i="2"/>
  <c r="J654" i="2" s="1"/>
  <c r="G654" i="2"/>
  <c r="E654" i="2"/>
  <c r="F654" i="2" s="1"/>
  <c r="L653" i="2" l="1"/>
  <c r="E655" i="2"/>
  <c r="F655" i="2" s="1"/>
  <c r="G655" i="2"/>
  <c r="H655" i="2"/>
  <c r="I655" i="2" s="1"/>
  <c r="K654" i="2"/>
  <c r="L654" i="2" s="1"/>
  <c r="J655" i="2" l="1"/>
  <c r="H656" i="2"/>
  <c r="I656" i="2" s="1"/>
  <c r="K655" i="2"/>
  <c r="J656" i="2" s="1"/>
  <c r="G656" i="2"/>
  <c r="E656" i="2"/>
  <c r="F656" i="2" s="1"/>
  <c r="L655" i="2" l="1"/>
  <c r="G657" i="2"/>
  <c r="E657" i="2"/>
  <c r="F657" i="2" s="1"/>
  <c r="H657" i="2"/>
  <c r="I657" i="2" s="1"/>
  <c r="K656" i="2"/>
  <c r="L656" i="2" s="1"/>
  <c r="J657" i="2" l="1"/>
  <c r="H658" i="2"/>
  <c r="I658" i="2" s="1"/>
  <c r="K657" i="2"/>
  <c r="J658" i="2" s="1"/>
  <c r="E658" i="2"/>
  <c r="F658" i="2" s="1"/>
  <c r="G658" i="2"/>
  <c r="L657" i="2" l="1"/>
  <c r="E659" i="2"/>
  <c r="F659" i="2" s="1"/>
  <c r="G659" i="2"/>
  <c r="H659" i="2"/>
  <c r="I659" i="2" s="1"/>
  <c r="K658" i="2"/>
  <c r="L658" i="2" s="1"/>
  <c r="J659" i="2" l="1"/>
  <c r="H660" i="2"/>
  <c r="I660" i="2" s="1"/>
  <c r="K659" i="2"/>
  <c r="J660" i="2" s="1"/>
  <c r="G660" i="2"/>
  <c r="E660" i="2"/>
  <c r="F660" i="2" s="1"/>
  <c r="G661" i="2" l="1"/>
  <c r="E661" i="2"/>
  <c r="F661" i="2" s="1"/>
  <c r="H661" i="2"/>
  <c r="I661" i="2" s="1"/>
  <c r="K660" i="2"/>
  <c r="L660" i="2" s="1"/>
  <c r="L659" i="2"/>
  <c r="J661" i="2" l="1"/>
  <c r="H662" i="2"/>
  <c r="I662" i="2" s="1"/>
  <c r="K661" i="2"/>
  <c r="G662" i="2"/>
  <c r="E662" i="2"/>
  <c r="F662" i="2" s="1"/>
  <c r="L661" i="2" l="1"/>
  <c r="J662" i="2"/>
  <c r="E663" i="2"/>
  <c r="F663" i="2" s="1"/>
  <c r="G663" i="2"/>
  <c r="H663" i="2"/>
  <c r="I663" i="2" s="1"/>
  <c r="K662" i="2"/>
  <c r="L662" i="2" l="1"/>
  <c r="J663" i="2"/>
  <c r="H664" i="2"/>
  <c r="I664" i="2" s="1"/>
  <c r="K663" i="2"/>
  <c r="G664" i="2"/>
  <c r="E664" i="2"/>
  <c r="F664" i="2" s="1"/>
  <c r="L663" i="2" l="1"/>
  <c r="J664" i="2"/>
  <c r="G665" i="2"/>
  <c r="E665" i="2"/>
  <c r="F665" i="2" s="1"/>
  <c r="H665" i="2"/>
  <c r="I665" i="2" s="1"/>
  <c r="K664" i="2"/>
  <c r="L664" i="2" l="1"/>
  <c r="J665" i="2"/>
  <c r="H666" i="2"/>
  <c r="I666" i="2" s="1"/>
  <c r="K665" i="2"/>
  <c r="J666" i="2" s="1"/>
  <c r="E666" i="2"/>
  <c r="F666" i="2" s="1"/>
  <c r="G666" i="2"/>
  <c r="L665" i="2" l="1"/>
  <c r="E667" i="2"/>
  <c r="F667" i="2" s="1"/>
  <c r="G667" i="2"/>
  <c r="H667" i="2"/>
  <c r="I667" i="2" s="1"/>
  <c r="K666" i="2"/>
  <c r="L666" i="2" s="1"/>
  <c r="J667" i="2" l="1"/>
  <c r="H668" i="2"/>
  <c r="I668" i="2" s="1"/>
  <c r="K667" i="2"/>
  <c r="G668" i="2"/>
  <c r="E668" i="2"/>
  <c r="F668" i="2" s="1"/>
  <c r="L667" i="2" l="1"/>
  <c r="J668" i="2"/>
  <c r="G669" i="2"/>
  <c r="E669" i="2"/>
  <c r="F669" i="2" s="1"/>
  <c r="H669" i="2"/>
  <c r="I669" i="2" s="1"/>
  <c r="K668" i="2"/>
  <c r="J669" i="2" s="1"/>
  <c r="L668" i="2" l="1"/>
  <c r="H670" i="2"/>
  <c r="I670" i="2" s="1"/>
  <c r="K669" i="2"/>
  <c r="J670" i="2" s="1"/>
  <c r="G670" i="2"/>
  <c r="E670" i="2"/>
  <c r="F670" i="2" s="1"/>
  <c r="L669" i="2" l="1"/>
  <c r="E671" i="2"/>
  <c r="F671" i="2" s="1"/>
  <c r="G671" i="2"/>
  <c r="K670" i="2"/>
  <c r="L670" i="2" s="1"/>
  <c r="H671" i="2"/>
  <c r="I671" i="2" s="1"/>
  <c r="J671" i="2" l="1"/>
  <c r="H672" i="2"/>
  <c r="I672" i="2" s="1"/>
  <c r="K671" i="2"/>
  <c r="J672" i="2" s="1"/>
  <c r="E672" i="2"/>
  <c r="F672" i="2" s="1"/>
  <c r="G672" i="2"/>
  <c r="L671" i="2" l="1"/>
  <c r="G673" i="2"/>
  <c r="E673" i="2"/>
  <c r="F673" i="2" s="1"/>
  <c r="H673" i="2"/>
  <c r="I673" i="2" s="1"/>
  <c r="K672" i="2"/>
  <c r="L672" i="2" s="1"/>
  <c r="J673" i="2" l="1"/>
  <c r="H674" i="2"/>
  <c r="I674" i="2" s="1"/>
  <c r="K673" i="2"/>
  <c r="E674" i="2"/>
  <c r="F674" i="2" s="1"/>
  <c r="G674" i="2"/>
  <c r="L673" i="2" l="1"/>
  <c r="J674" i="2"/>
  <c r="E675" i="2"/>
  <c r="F675" i="2" s="1"/>
  <c r="G675" i="2"/>
  <c r="H675" i="2"/>
  <c r="I675" i="2" s="1"/>
  <c r="K674" i="2"/>
  <c r="J675" i="2" s="1"/>
  <c r="H676" i="2" l="1"/>
  <c r="I676" i="2" s="1"/>
  <c r="K675" i="2"/>
  <c r="L675" i="2" s="1"/>
  <c r="G676" i="2"/>
  <c r="E676" i="2"/>
  <c r="F676" i="2" s="1"/>
  <c r="L674" i="2"/>
  <c r="G677" i="2" l="1"/>
  <c r="E677" i="2"/>
  <c r="F677" i="2" s="1"/>
  <c r="H677" i="2"/>
  <c r="I677" i="2" s="1"/>
  <c r="K676" i="2"/>
  <c r="J677" i="2" s="1"/>
  <c r="J676" i="2"/>
  <c r="L676" i="2" l="1"/>
  <c r="H678" i="2"/>
  <c r="I678" i="2" s="1"/>
  <c r="K677" i="2"/>
  <c r="L677" i="2" s="1"/>
  <c r="G678" i="2"/>
  <c r="E678" i="2"/>
  <c r="F678" i="2" s="1"/>
  <c r="J678" i="2" l="1"/>
  <c r="E679" i="2"/>
  <c r="F679" i="2" s="1"/>
  <c r="G679" i="2"/>
  <c r="K678" i="2"/>
  <c r="H679" i="2"/>
  <c r="I679" i="2" s="1"/>
  <c r="L678" i="2" l="1"/>
  <c r="J679" i="2"/>
  <c r="H680" i="2"/>
  <c r="I680" i="2" s="1"/>
  <c r="K679" i="2"/>
  <c r="E680" i="2"/>
  <c r="F680" i="2" s="1"/>
  <c r="G680" i="2"/>
  <c r="L679" i="2" l="1"/>
  <c r="J680" i="2"/>
  <c r="G681" i="2"/>
  <c r="E681" i="2"/>
  <c r="F681" i="2" s="1"/>
  <c r="H681" i="2"/>
  <c r="I681" i="2" s="1"/>
  <c r="K680" i="2"/>
  <c r="J681" i="2" s="1"/>
  <c r="H682" i="2" l="1"/>
  <c r="I682" i="2" s="1"/>
  <c r="K681" i="2"/>
  <c r="L681" i="2" s="1"/>
  <c r="E682" i="2"/>
  <c r="F682" i="2" s="1"/>
  <c r="G682" i="2"/>
  <c r="L680" i="2"/>
  <c r="J682" i="2" l="1"/>
  <c r="E683" i="2"/>
  <c r="F683" i="2" s="1"/>
  <c r="G683" i="2"/>
  <c r="H683" i="2"/>
  <c r="I683" i="2" s="1"/>
  <c r="K682" i="2"/>
  <c r="L682" i="2" s="1"/>
  <c r="J683" i="2" l="1"/>
  <c r="H684" i="2"/>
  <c r="I684" i="2" s="1"/>
  <c r="K683" i="2"/>
  <c r="G684" i="2"/>
  <c r="E684" i="2"/>
  <c r="F684" i="2" s="1"/>
  <c r="L683" i="2" l="1"/>
  <c r="J684" i="2"/>
  <c r="G685" i="2"/>
  <c r="E685" i="2"/>
  <c r="F685" i="2" s="1"/>
  <c r="H685" i="2"/>
  <c r="I685" i="2" s="1"/>
  <c r="K684" i="2"/>
  <c r="J685" i="2" s="1"/>
  <c r="L684" i="2" l="1"/>
  <c r="H686" i="2"/>
  <c r="I686" i="2" s="1"/>
  <c r="K685" i="2"/>
  <c r="L685" i="2" s="1"/>
  <c r="G686" i="2"/>
  <c r="E686" i="2"/>
  <c r="F686" i="2" s="1"/>
  <c r="J686" i="2" l="1"/>
  <c r="E687" i="2"/>
  <c r="F687" i="2" s="1"/>
  <c r="H687" i="2"/>
  <c r="I687" i="2" s="1"/>
  <c r="K686" i="2"/>
  <c r="G687" i="2"/>
  <c r="L686" i="2" l="1"/>
  <c r="J687" i="2"/>
  <c r="E688" i="2"/>
  <c r="F688" i="2" s="1"/>
  <c r="H688" i="2"/>
  <c r="I688" i="2" s="1"/>
  <c r="K687" i="2"/>
  <c r="G688" i="2"/>
  <c r="L687" i="2" l="1"/>
  <c r="J688" i="2"/>
  <c r="G689" i="2"/>
  <c r="E689" i="2"/>
  <c r="F689" i="2" s="1"/>
  <c r="H689" i="2"/>
  <c r="I689" i="2" s="1"/>
  <c r="K688" i="2"/>
  <c r="J689" i="2" s="1"/>
  <c r="L688" i="2" l="1"/>
  <c r="H690" i="2"/>
  <c r="I690" i="2" s="1"/>
  <c r="K689" i="2"/>
  <c r="L689" i="2" s="1"/>
  <c r="G690" i="2"/>
  <c r="E690" i="2"/>
  <c r="F690" i="2" s="1"/>
  <c r="J690" i="2" l="1"/>
  <c r="E691" i="2"/>
  <c r="F691" i="2" s="1"/>
  <c r="H691" i="2"/>
  <c r="I691" i="2" s="1"/>
  <c r="K690" i="2"/>
  <c r="J691" i="2" s="1"/>
  <c r="G691" i="2"/>
  <c r="L690" i="2" l="1"/>
  <c r="E692" i="2"/>
  <c r="F692" i="2" s="1"/>
  <c r="H692" i="2"/>
  <c r="I692" i="2" s="1"/>
  <c r="K691" i="2"/>
  <c r="L691" i="2" s="1"/>
  <c r="G692" i="2"/>
  <c r="J692" i="2" l="1"/>
  <c r="G693" i="2"/>
  <c r="E693" i="2"/>
  <c r="F693" i="2" s="1"/>
  <c r="H693" i="2"/>
  <c r="I693" i="2" s="1"/>
  <c r="K692" i="2"/>
  <c r="L692" i="2" s="1"/>
  <c r="J693" i="2" l="1"/>
  <c r="H694" i="2"/>
  <c r="I694" i="2" s="1"/>
  <c r="K693" i="2"/>
  <c r="J694" i="2" s="1"/>
  <c r="G694" i="2"/>
  <c r="E694" i="2"/>
  <c r="F694" i="2" s="1"/>
  <c r="E695" i="2" l="1"/>
  <c r="F695" i="2" s="1"/>
  <c r="H695" i="2"/>
  <c r="I695" i="2" s="1"/>
  <c r="K694" i="2"/>
  <c r="L694" i="2" s="1"/>
  <c r="G695" i="2"/>
  <c r="L693" i="2"/>
  <c r="J695" i="2" l="1"/>
  <c r="E696" i="2"/>
  <c r="F696" i="2" s="1"/>
  <c r="H696" i="2"/>
  <c r="I696" i="2" s="1"/>
  <c r="K695" i="2"/>
  <c r="G696" i="2"/>
  <c r="L695" i="2" l="1"/>
  <c r="J696" i="2"/>
  <c r="G697" i="2"/>
  <c r="E697" i="2"/>
  <c r="F697" i="2" s="1"/>
  <c r="K696" i="2"/>
  <c r="J697" i="2" s="1"/>
  <c r="H697" i="2"/>
  <c r="I697" i="2" s="1"/>
  <c r="L696" i="2" l="1"/>
  <c r="H698" i="2"/>
  <c r="I698" i="2" s="1"/>
  <c r="K697" i="2"/>
  <c r="L697" i="2" s="1"/>
  <c r="G698" i="2"/>
  <c r="E698" i="2"/>
  <c r="F698" i="2" s="1"/>
  <c r="E699" i="2" l="1"/>
  <c r="F699" i="2" s="1"/>
  <c r="H699" i="2"/>
  <c r="I699" i="2" s="1"/>
  <c r="K698" i="2"/>
  <c r="J699" i="2" s="1"/>
  <c r="G699" i="2"/>
  <c r="J698" i="2"/>
  <c r="L698" i="2" l="1"/>
  <c r="E700" i="2"/>
  <c r="F700" i="2" s="1"/>
  <c r="H700" i="2"/>
  <c r="I700" i="2" s="1"/>
  <c r="K699" i="2"/>
  <c r="L699" i="2" s="1"/>
  <c r="G700" i="2"/>
  <c r="J700" i="2" l="1"/>
  <c r="G701" i="2"/>
  <c r="E701" i="2"/>
  <c r="F701" i="2" s="1"/>
  <c r="H701" i="2"/>
  <c r="I701" i="2" s="1"/>
  <c r="K700" i="2"/>
  <c r="J701" i="2" s="1"/>
  <c r="H702" i="2" l="1"/>
  <c r="I702" i="2" s="1"/>
  <c r="K701" i="2"/>
  <c r="L701" i="2" s="1"/>
  <c r="G702" i="2"/>
  <c r="E702" i="2"/>
  <c r="F702" i="2" s="1"/>
  <c r="L700" i="2"/>
  <c r="E703" i="2" l="1"/>
  <c r="F703" i="2" s="1"/>
  <c r="H703" i="2"/>
  <c r="I703" i="2" s="1"/>
  <c r="K702" i="2"/>
  <c r="J703" i="2" s="1"/>
  <c r="G703" i="2"/>
  <c r="J702" i="2"/>
  <c r="L702" i="2" l="1"/>
  <c r="E704" i="2"/>
  <c r="F704" i="2" s="1"/>
  <c r="H704" i="2"/>
  <c r="I704" i="2" s="1"/>
  <c r="K703" i="2"/>
  <c r="L703" i="2" s="1"/>
  <c r="G704" i="2"/>
  <c r="J704" i="2" l="1"/>
  <c r="G705" i="2"/>
  <c r="E705" i="2"/>
  <c r="F705" i="2" s="1"/>
  <c r="H705" i="2"/>
  <c r="I705" i="2" s="1"/>
  <c r="K704" i="2"/>
  <c r="J705" i="2" s="1"/>
  <c r="H706" i="2" l="1"/>
  <c r="I706" i="2" s="1"/>
  <c r="K705" i="2"/>
  <c r="L705" i="2" s="1"/>
  <c r="G706" i="2"/>
  <c r="E706" i="2"/>
  <c r="F706" i="2" s="1"/>
  <c r="L704" i="2"/>
  <c r="E707" i="2" l="1"/>
  <c r="F707" i="2" s="1"/>
  <c r="H707" i="2"/>
  <c r="I707" i="2" s="1"/>
  <c r="K706" i="2"/>
  <c r="J707" i="2" s="1"/>
  <c r="G707" i="2"/>
  <c r="J706" i="2"/>
  <c r="E708" i="2" l="1"/>
  <c r="F708" i="2" s="1"/>
  <c r="H708" i="2"/>
  <c r="I708" i="2" s="1"/>
  <c r="K707" i="2"/>
  <c r="L707" i="2" s="1"/>
  <c r="G708" i="2"/>
  <c r="L706" i="2"/>
  <c r="G709" i="2" l="1"/>
  <c r="E709" i="2"/>
  <c r="F709" i="2" s="1"/>
  <c r="K708" i="2"/>
  <c r="J709" i="2" s="1"/>
  <c r="H709" i="2"/>
  <c r="I709" i="2" s="1"/>
  <c r="J708" i="2"/>
  <c r="L708" i="2" l="1"/>
  <c r="H710" i="2"/>
  <c r="I710" i="2" s="1"/>
  <c r="K709" i="2"/>
  <c r="L709" i="2" s="1"/>
  <c r="G710" i="2"/>
  <c r="E710" i="2"/>
  <c r="F710" i="2" s="1"/>
  <c r="E711" i="2" l="1"/>
  <c r="F711" i="2" s="1"/>
  <c r="H711" i="2"/>
  <c r="I711" i="2" s="1"/>
  <c r="K710" i="2"/>
  <c r="J711" i="2" s="1"/>
  <c r="G711" i="2"/>
  <c r="J710" i="2"/>
  <c r="L710" i="2" l="1"/>
  <c r="E712" i="2"/>
  <c r="F712" i="2" s="1"/>
  <c r="H712" i="2"/>
  <c r="I712" i="2" s="1"/>
  <c r="K711" i="2"/>
  <c r="L711" i="2" s="1"/>
  <c r="G712" i="2"/>
  <c r="J712" i="2" l="1"/>
  <c r="G713" i="2"/>
  <c r="E713" i="2"/>
  <c r="F713" i="2" s="1"/>
  <c r="K712" i="2"/>
  <c r="J713" i="2" s="1"/>
  <c r="H713" i="2"/>
  <c r="I713" i="2" s="1"/>
  <c r="H714" i="2" l="1"/>
  <c r="I714" i="2" s="1"/>
  <c r="K713" i="2"/>
  <c r="L713" i="2" s="1"/>
  <c r="G714" i="2"/>
  <c r="E714" i="2"/>
  <c r="F714" i="2" s="1"/>
  <c r="L712" i="2"/>
  <c r="E715" i="2" l="1"/>
  <c r="F715" i="2" s="1"/>
  <c r="H715" i="2"/>
  <c r="I715" i="2" s="1"/>
  <c r="K714" i="2"/>
  <c r="J715" i="2" s="1"/>
  <c r="G715" i="2"/>
  <c r="J714" i="2"/>
  <c r="L714" i="2" l="1"/>
  <c r="E716" i="2"/>
  <c r="F716" i="2" s="1"/>
  <c r="H716" i="2"/>
  <c r="I716" i="2" s="1"/>
  <c r="K715" i="2"/>
  <c r="L715" i="2" s="1"/>
  <c r="G716" i="2"/>
  <c r="J716" i="2" l="1"/>
  <c r="G717" i="2"/>
  <c r="E717" i="2"/>
  <c r="F717" i="2" s="1"/>
  <c r="H717" i="2"/>
  <c r="I717" i="2" s="1"/>
  <c r="K716" i="2"/>
  <c r="L716" i="2" s="1"/>
  <c r="J717" i="2" l="1"/>
  <c r="H718" i="2"/>
  <c r="I718" i="2" s="1"/>
  <c r="K717" i="2"/>
  <c r="G718" i="2"/>
  <c r="E718" i="2"/>
  <c r="F718" i="2" s="1"/>
  <c r="L717" i="2" l="1"/>
  <c r="E719" i="2"/>
  <c r="F719" i="2" s="1"/>
  <c r="H719" i="2"/>
  <c r="I719" i="2" s="1"/>
  <c r="K718" i="2"/>
  <c r="J719" i="2" s="1"/>
  <c r="G719" i="2"/>
  <c r="J718" i="2"/>
  <c r="E720" i="2" l="1"/>
  <c r="F720" i="2" s="1"/>
  <c r="H720" i="2"/>
  <c r="I720" i="2" s="1"/>
  <c r="K719" i="2"/>
  <c r="L719" i="2" s="1"/>
  <c r="G720" i="2"/>
  <c r="L718" i="2"/>
  <c r="J720" i="2" l="1"/>
  <c r="G721" i="2"/>
  <c r="E721" i="2"/>
  <c r="F721" i="2" s="1"/>
  <c r="H721" i="2"/>
  <c r="I721" i="2" s="1"/>
  <c r="K720" i="2"/>
  <c r="J721" i="2" s="1"/>
  <c r="H722" i="2" l="1"/>
  <c r="I722" i="2" s="1"/>
  <c r="K721" i="2"/>
  <c r="L721" i="2" s="1"/>
  <c r="G722" i="2"/>
  <c r="E722" i="2"/>
  <c r="F722" i="2" s="1"/>
  <c r="L720" i="2"/>
  <c r="E723" i="2" l="1"/>
  <c r="F723" i="2" s="1"/>
  <c r="H723" i="2"/>
  <c r="I723" i="2" s="1"/>
  <c r="K722" i="2"/>
  <c r="J723" i="2" s="1"/>
  <c r="G723" i="2"/>
  <c r="J722" i="2"/>
  <c r="L722" i="2" l="1"/>
  <c r="E724" i="2"/>
  <c r="F724" i="2" s="1"/>
  <c r="H724" i="2"/>
  <c r="I724" i="2" s="1"/>
  <c r="K723" i="2"/>
  <c r="L723" i="2" s="1"/>
  <c r="G724" i="2"/>
  <c r="J724" i="2" l="1"/>
  <c r="G725" i="2"/>
  <c r="E725" i="2"/>
  <c r="F725" i="2" s="1"/>
  <c r="K724" i="2"/>
  <c r="J725" i="2" s="1"/>
  <c r="H725" i="2"/>
  <c r="I725" i="2" s="1"/>
  <c r="H726" i="2" l="1"/>
  <c r="I726" i="2" s="1"/>
  <c r="K725" i="2"/>
  <c r="L725" i="2" s="1"/>
  <c r="G726" i="2"/>
  <c r="E726" i="2"/>
  <c r="F726" i="2" s="1"/>
  <c r="L724" i="2"/>
  <c r="E727" i="2" l="1"/>
  <c r="F727" i="2" s="1"/>
  <c r="H727" i="2"/>
  <c r="I727" i="2" s="1"/>
  <c r="K726" i="2"/>
  <c r="J727" i="2" s="1"/>
  <c r="G727" i="2"/>
  <c r="J726" i="2"/>
  <c r="L726" i="2" l="1"/>
  <c r="E728" i="2"/>
  <c r="F728" i="2" s="1"/>
  <c r="H728" i="2"/>
  <c r="I728" i="2" s="1"/>
  <c r="K727" i="2"/>
  <c r="L727" i="2" s="1"/>
  <c r="G728" i="2"/>
  <c r="J728" i="2" l="1"/>
  <c r="G729" i="2"/>
  <c r="E729" i="2"/>
  <c r="F729" i="2" s="1"/>
  <c r="K728" i="2"/>
  <c r="J729" i="2" s="1"/>
  <c r="H729" i="2"/>
  <c r="I729" i="2" s="1"/>
  <c r="H730" i="2" l="1"/>
  <c r="I730" i="2" s="1"/>
  <c r="K729" i="2"/>
  <c r="L729" i="2" s="1"/>
  <c r="G730" i="2"/>
  <c r="E730" i="2"/>
  <c r="F730" i="2" s="1"/>
  <c r="L728" i="2"/>
  <c r="E731" i="2" l="1"/>
  <c r="F731" i="2" s="1"/>
  <c r="H731" i="2"/>
  <c r="I731" i="2" s="1"/>
  <c r="K730" i="2"/>
  <c r="J731" i="2" s="1"/>
  <c r="G731" i="2"/>
  <c r="J730" i="2"/>
  <c r="L730" i="2" l="1"/>
  <c r="E732" i="2"/>
  <c r="F732" i="2" s="1"/>
  <c r="H732" i="2"/>
  <c r="I732" i="2" s="1"/>
  <c r="K731" i="2"/>
  <c r="J732" i="2" s="1"/>
  <c r="G732" i="2"/>
  <c r="G733" i="2" l="1"/>
  <c r="E733" i="2"/>
  <c r="F733" i="2" s="1"/>
  <c r="H733" i="2"/>
  <c r="I733" i="2" s="1"/>
  <c r="K732" i="2"/>
  <c r="L732" i="2" s="1"/>
  <c r="L731" i="2"/>
  <c r="J733" i="2" l="1"/>
  <c r="H734" i="2"/>
  <c r="I734" i="2" s="1"/>
  <c r="K733" i="2"/>
  <c r="J734" i="2" s="1"/>
  <c r="G734" i="2"/>
  <c r="E734" i="2"/>
  <c r="F734" i="2" s="1"/>
  <c r="E735" i="2" l="1"/>
  <c r="F735" i="2" s="1"/>
  <c r="H735" i="2"/>
  <c r="I735" i="2" s="1"/>
  <c r="K734" i="2"/>
  <c r="L734" i="2" s="1"/>
  <c r="G735" i="2"/>
  <c r="L733" i="2"/>
  <c r="J735" i="2" l="1"/>
  <c r="E736" i="2"/>
  <c r="F736" i="2" s="1"/>
  <c r="H736" i="2"/>
  <c r="I736" i="2" s="1"/>
  <c r="K735" i="2"/>
  <c r="J736" i="2" s="1"/>
  <c r="G736" i="2"/>
  <c r="G737" i="2" l="1"/>
  <c r="E737" i="2"/>
  <c r="F737" i="2" s="1"/>
  <c r="H737" i="2"/>
  <c r="I737" i="2" s="1"/>
  <c r="K736" i="2"/>
  <c r="L736" i="2" s="1"/>
  <c r="L735" i="2"/>
  <c r="J737" i="2" l="1"/>
  <c r="H738" i="2"/>
  <c r="I738" i="2" s="1"/>
  <c r="K737" i="2"/>
  <c r="G738" i="2"/>
  <c r="E738" i="2"/>
  <c r="F738" i="2" s="1"/>
  <c r="L737" i="2" l="1"/>
  <c r="J738" i="2"/>
  <c r="E739" i="2"/>
  <c r="F739" i="2" s="1"/>
  <c r="H739" i="2"/>
  <c r="I739" i="2" s="1"/>
  <c r="K738" i="2"/>
  <c r="G739" i="2"/>
  <c r="L738" i="2" l="1"/>
  <c r="J739" i="2"/>
  <c r="E740" i="2"/>
  <c r="F740" i="2" s="1"/>
  <c r="H740" i="2"/>
  <c r="I740" i="2" s="1"/>
  <c r="K739" i="2"/>
  <c r="G740" i="2"/>
  <c r="L739" i="2" l="1"/>
  <c r="J740" i="2"/>
  <c r="G741" i="2"/>
  <c r="E741" i="2"/>
  <c r="F741" i="2" s="1"/>
  <c r="K740" i="2"/>
  <c r="J741" i="2" s="1"/>
  <c r="H741" i="2"/>
  <c r="I741" i="2" s="1"/>
  <c r="L740" i="2" l="1"/>
  <c r="H742" i="2"/>
  <c r="I742" i="2" s="1"/>
  <c r="K741" i="2"/>
  <c r="L741" i="2" s="1"/>
  <c r="G742" i="2"/>
  <c r="E742" i="2"/>
  <c r="F742" i="2" s="1"/>
  <c r="E743" i="2" l="1"/>
  <c r="F743" i="2" s="1"/>
  <c r="H743" i="2"/>
  <c r="I743" i="2" s="1"/>
  <c r="K742" i="2"/>
  <c r="J743" i="2" s="1"/>
  <c r="G743" i="2"/>
  <c r="J742" i="2"/>
  <c r="L742" i="2" l="1"/>
  <c r="E744" i="2"/>
  <c r="F744" i="2" s="1"/>
  <c r="H744" i="2"/>
  <c r="I744" i="2" s="1"/>
  <c r="K743" i="2"/>
  <c r="L743" i="2" s="1"/>
  <c r="G744" i="2"/>
  <c r="J744" i="2" l="1"/>
  <c r="G745" i="2"/>
  <c r="E745" i="2"/>
  <c r="F745" i="2" s="1"/>
  <c r="K744" i="2"/>
  <c r="H745" i="2"/>
  <c r="I745" i="2" s="1"/>
  <c r="L744" i="2" l="1"/>
  <c r="J745" i="2"/>
  <c r="H746" i="2"/>
  <c r="I746" i="2" s="1"/>
  <c r="K745" i="2"/>
  <c r="G746" i="2"/>
  <c r="E746" i="2"/>
  <c r="F746" i="2" s="1"/>
  <c r="L745" i="2" l="1"/>
  <c r="E747" i="2"/>
  <c r="F747" i="2" s="1"/>
  <c r="H747" i="2"/>
  <c r="I747" i="2" s="1"/>
  <c r="K746" i="2"/>
  <c r="J747" i="2" s="1"/>
  <c r="G747" i="2"/>
  <c r="J746" i="2"/>
  <c r="L746" i="2" l="1"/>
  <c r="E748" i="2"/>
  <c r="F748" i="2" s="1"/>
  <c r="H748" i="2"/>
  <c r="I748" i="2" s="1"/>
  <c r="K747" i="2"/>
  <c r="L747" i="2" s="1"/>
  <c r="G748" i="2"/>
  <c r="J748" i="2" l="1"/>
  <c r="G749" i="2"/>
  <c r="E749" i="2"/>
  <c r="F749" i="2" s="1"/>
  <c r="K748" i="2"/>
  <c r="J749" i="2" s="1"/>
  <c r="H749" i="2"/>
  <c r="I749" i="2" s="1"/>
  <c r="H750" i="2" l="1"/>
  <c r="I750" i="2" s="1"/>
  <c r="K749" i="2"/>
  <c r="L749" i="2" s="1"/>
  <c r="G750" i="2"/>
  <c r="E750" i="2"/>
  <c r="F750" i="2" s="1"/>
  <c r="L748" i="2"/>
  <c r="E751" i="2" l="1"/>
  <c r="F751" i="2" s="1"/>
  <c r="H751" i="2"/>
  <c r="I751" i="2" s="1"/>
  <c r="K750" i="2"/>
  <c r="J751" i="2" s="1"/>
  <c r="G751" i="2"/>
  <c r="J750" i="2"/>
  <c r="L750" i="2" l="1"/>
  <c r="E752" i="2"/>
  <c r="F752" i="2" s="1"/>
  <c r="H752" i="2"/>
  <c r="I752" i="2" s="1"/>
  <c r="K751" i="2"/>
  <c r="L751" i="2" s="1"/>
  <c r="G752" i="2"/>
  <c r="J752" i="2" l="1"/>
  <c r="G753" i="2"/>
  <c r="E753" i="2"/>
  <c r="F753" i="2" s="1"/>
  <c r="H753" i="2"/>
  <c r="I753" i="2" s="1"/>
  <c r="K752" i="2"/>
  <c r="J753" i="2" s="1"/>
  <c r="H754" i="2" l="1"/>
  <c r="I754" i="2" s="1"/>
  <c r="K753" i="2"/>
  <c r="L753" i="2" s="1"/>
  <c r="G754" i="2"/>
  <c r="E754" i="2"/>
  <c r="F754" i="2" s="1"/>
  <c r="L752" i="2"/>
  <c r="E755" i="2" l="1"/>
  <c r="F755" i="2" s="1"/>
  <c r="H755" i="2"/>
  <c r="I755" i="2" s="1"/>
  <c r="K754" i="2"/>
  <c r="J755" i="2" s="1"/>
  <c r="G755" i="2"/>
  <c r="J754" i="2"/>
  <c r="L754" i="2" l="1"/>
  <c r="E756" i="2"/>
  <c r="F756" i="2" s="1"/>
  <c r="H756" i="2"/>
  <c r="I756" i="2" s="1"/>
  <c r="K755" i="2"/>
  <c r="L755" i="2" s="1"/>
  <c r="G756" i="2"/>
  <c r="J756" i="2" l="1"/>
  <c r="G757" i="2"/>
  <c r="E757" i="2"/>
  <c r="F757" i="2" s="1"/>
  <c r="H757" i="2"/>
  <c r="I757" i="2" s="1"/>
  <c r="K756" i="2"/>
  <c r="J757" i="2" s="1"/>
  <c r="H758" i="2" l="1"/>
  <c r="I758" i="2" s="1"/>
  <c r="K757" i="2"/>
  <c r="L757" i="2" s="1"/>
  <c r="G758" i="2"/>
  <c r="E758" i="2"/>
  <c r="F758" i="2" s="1"/>
  <c r="L756" i="2"/>
  <c r="E759" i="2" l="1"/>
  <c r="F759" i="2" s="1"/>
  <c r="H759" i="2"/>
  <c r="I759" i="2" s="1"/>
  <c r="K758" i="2"/>
  <c r="J759" i="2" s="1"/>
  <c r="G759" i="2"/>
  <c r="J758" i="2"/>
  <c r="L758" i="2" l="1"/>
  <c r="E760" i="2"/>
  <c r="F760" i="2" s="1"/>
  <c r="H760" i="2"/>
  <c r="I760" i="2" s="1"/>
  <c r="K759" i="2"/>
  <c r="L759" i="2" s="1"/>
  <c r="G760" i="2"/>
  <c r="J760" i="2" l="1"/>
  <c r="G761" i="2"/>
  <c r="E761" i="2"/>
  <c r="F761" i="2" s="1"/>
  <c r="K760" i="2"/>
  <c r="H761" i="2"/>
  <c r="I761" i="2" s="1"/>
  <c r="L760" i="2" l="1"/>
  <c r="J761" i="2"/>
  <c r="H762" i="2"/>
  <c r="I762" i="2" s="1"/>
  <c r="K761" i="2"/>
  <c r="G762" i="2"/>
  <c r="E762" i="2"/>
  <c r="F762" i="2" s="1"/>
  <c r="L761" i="2" l="1"/>
  <c r="J762" i="2"/>
  <c r="E763" i="2"/>
  <c r="F763" i="2" s="1"/>
  <c r="H763" i="2"/>
  <c r="I763" i="2" s="1"/>
  <c r="K762" i="2"/>
  <c r="G763" i="2"/>
  <c r="L762" i="2" l="1"/>
  <c r="J763" i="2"/>
  <c r="E764" i="2"/>
  <c r="F764" i="2" s="1"/>
  <c r="H764" i="2"/>
  <c r="I764" i="2" s="1"/>
  <c r="K763" i="2"/>
  <c r="G764" i="2"/>
  <c r="L763" i="2" l="1"/>
  <c r="J764" i="2"/>
  <c r="G765" i="2"/>
  <c r="E765" i="2"/>
  <c r="F765" i="2" s="1"/>
  <c r="K764" i="2"/>
  <c r="J765" i="2" s="1"/>
  <c r="H765" i="2"/>
  <c r="I765" i="2" s="1"/>
  <c r="L764" i="2" l="1"/>
  <c r="H766" i="2"/>
  <c r="I766" i="2" s="1"/>
  <c r="K765" i="2"/>
  <c r="L765" i="2" s="1"/>
  <c r="G766" i="2"/>
  <c r="E766" i="2"/>
  <c r="F766" i="2" s="1"/>
  <c r="E767" i="2" l="1"/>
  <c r="F767" i="2" s="1"/>
  <c r="H767" i="2"/>
  <c r="I767" i="2" s="1"/>
  <c r="K766" i="2"/>
  <c r="J767" i="2" s="1"/>
  <c r="G767" i="2"/>
  <c r="J766" i="2"/>
  <c r="L766" i="2" l="1"/>
  <c r="E768" i="2"/>
  <c r="F768" i="2" s="1"/>
  <c r="H768" i="2"/>
  <c r="I768" i="2" s="1"/>
  <c r="K767" i="2"/>
  <c r="L767" i="2" s="1"/>
  <c r="G768" i="2"/>
  <c r="J768" i="2" l="1"/>
  <c r="G769" i="2"/>
  <c r="E769" i="2"/>
  <c r="F769" i="2" s="1"/>
  <c r="H769" i="2"/>
  <c r="I769" i="2" s="1"/>
  <c r="K768" i="2"/>
  <c r="J769" i="2" s="1"/>
  <c r="H770" i="2" l="1"/>
  <c r="I770" i="2" s="1"/>
  <c r="K769" i="2"/>
  <c r="L769" i="2" s="1"/>
  <c r="G770" i="2"/>
  <c r="E770" i="2"/>
  <c r="F770" i="2" s="1"/>
  <c r="L768" i="2"/>
  <c r="E771" i="2" l="1"/>
  <c r="F771" i="2" s="1"/>
  <c r="H771" i="2"/>
  <c r="I771" i="2" s="1"/>
  <c r="K770" i="2"/>
  <c r="J771" i="2" s="1"/>
  <c r="G771" i="2"/>
  <c r="J770" i="2"/>
  <c r="L770" i="2" l="1"/>
  <c r="E772" i="2"/>
  <c r="F772" i="2" s="1"/>
  <c r="H772" i="2"/>
  <c r="I772" i="2" s="1"/>
  <c r="K771" i="2"/>
  <c r="L771" i="2" s="1"/>
  <c r="G772" i="2"/>
  <c r="J772" i="2" l="1"/>
  <c r="G773" i="2"/>
  <c r="E773" i="2"/>
  <c r="F773" i="2" s="1"/>
  <c r="H773" i="2"/>
  <c r="I773" i="2" s="1"/>
  <c r="K772" i="2"/>
  <c r="L772" i="2" l="1"/>
  <c r="J773" i="2"/>
  <c r="H774" i="2"/>
  <c r="I774" i="2" s="1"/>
  <c r="K773" i="2"/>
  <c r="G774" i="2"/>
  <c r="E774" i="2"/>
  <c r="F774" i="2" s="1"/>
  <c r="L773" i="2" l="1"/>
  <c r="E775" i="2"/>
  <c r="F775" i="2" s="1"/>
  <c r="H775" i="2"/>
  <c r="I775" i="2" s="1"/>
  <c r="K774" i="2"/>
  <c r="J775" i="2" s="1"/>
  <c r="G775" i="2"/>
  <c r="J774" i="2"/>
  <c r="L774" i="2" l="1"/>
  <c r="E776" i="2"/>
  <c r="F776" i="2" s="1"/>
  <c r="H776" i="2"/>
  <c r="I776" i="2" s="1"/>
  <c r="K775" i="2"/>
  <c r="L775" i="2" s="1"/>
  <c r="G776" i="2"/>
  <c r="J776" i="2" l="1"/>
  <c r="G777" i="2"/>
  <c r="E777" i="2"/>
  <c r="F777" i="2" s="1"/>
  <c r="K776" i="2"/>
  <c r="J777" i="2" s="1"/>
  <c r="H777" i="2"/>
  <c r="I777" i="2" s="1"/>
  <c r="H778" i="2" l="1"/>
  <c r="I778" i="2" s="1"/>
  <c r="K777" i="2"/>
  <c r="L777" i="2" s="1"/>
  <c r="G778" i="2"/>
  <c r="E778" i="2"/>
  <c r="F778" i="2" s="1"/>
  <c r="L776" i="2"/>
  <c r="J778" i="2" l="1"/>
  <c r="E779" i="2"/>
  <c r="F779" i="2" s="1"/>
  <c r="H779" i="2"/>
  <c r="I779" i="2" s="1"/>
  <c r="K778" i="2"/>
  <c r="G779" i="2"/>
  <c r="L778" i="2" l="1"/>
  <c r="J779" i="2"/>
  <c r="E780" i="2"/>
  <c r="F780" i="2" s="1"/>
  <c r="H780" i="2"/>
  <c r="I780" i="2" s="1"/>
  <c r="K779" i="2"/>
  <c r="G780" i="2"/>
  <c r="L779" i="2" l="1"/>
  <c r="J780" i="2"/>
  <c r="G781" i="2"/>
  <c r="E781" i="2"/>
  <c r="F781" i="2" s="1"/>
  <c r="K780" i="2"/>
  <c r="H781" i="2"/>
  <c r="I781" i="2" s="1"/>
  <c r="L780" i="2" l="1"/>
  <c r="J781" i="2"/>
  <c r="H782" i="2"/>
  <c r="I782" i="2" s="1"/>
  <c r="K781" i="2"/>
  <c r="G782" i="2"/>
  <c r="E782" i="2"/>
  <c r="F782" i="2" s="1"/>
  <c r="L781" i="2" l="1"/>
  <c r="J782" i="2"/>
  <c r="E783" i="2"/>
  <c r="F783" i="2" s="1"/>
  <c r="H783" i="2"/>
  <c r="I783" i="2" s="1"/>
  <c r="K782" i="2"/>
  <c r="J783" i="2" s="1"/>
  <c r="G783" i="2"/>
  <c r="L782" i="2" l="1"/>
  <c r="E784" i="2"/>
  <c r="F784" i="2" s="1"/>
  <c r="H784" i="2"/>
  <c r="I784" i="2" s="1"/>
  <c r="K783" i="2"/>
  <c r="L783" i="2" s="1"/>
  <c r="G784" i="2"/>
  <c r="J784" i="2" l="1"/>
  <c r="G785" i="2"/>
  <c r="E785" i="2"/>
  <c r="F785" i="2" s="1"/>
  <c r="H785" i="2"/>
  <c r="I785" i="2" s="1"/>
  <c r="K784" i="2"/>
  <c r="J785" i="2" s="1"/>
  <c r="H786" i="2" l="1"/>
  <c r="I786" i="2" s="1"/>
  <c r="K785" i="2"/>
  <c r="L785" i="2" s="1"/>
  <c r="G786" i="2"/>
  <c r="E786" i="2"/>
  <c r="F786" i="2" s="1"/>
  <c r="L784" i="2"/>
  <c r="J786" i="2" l="1"/>
  <c r="E787" i="2"/>
  <c r="F787" i="2" s="1"/>
  <c r="H787" i="2"/>
  <c r="I787" i="2" s="1"/>
  <c r="K786" i="2"/>
  <c r="G787" i="2"/>
  <c r="L786" i="2" l="1"/>
  <c r="J787" i="2"/>
  <c r="E788" i="2"/>
  <c r="F788" i="2" s="1"/>
  <c r="H788" i="2"/>
  <c r="I788" i="2" s="1"/>
  <c r="K787" i="2"/>
  <c r="G788" i="2"/>
  <c r="L787" i="2" l="1"/>
  <c r="J788" i="2"/>
  <c r="G789" i="2"/>
  <c r="E789" i="2"/>
  <c r="F789" i="2" s="1"/>
  <c r="H789" i="2"/>
  <c r="I789" i="2" s="1"/>
  <c r="K788" i="2"/>
  <c r="J789" i="2" s="1"/>
  <c r="L788" i="2" l="1"/>
  <c r="H790" i="2"/>
  <c r="I790" i="2" s="1"/>
  <c r="K789" i="2"/>
  <c r="J790" i="2" s="1"/>
  <c r="G790" i="2"/>
  <c r="E790" i="2"/>
  <c r="F790" i="2" s="1"/>
  <c r="L789" i="2" l="1"/>
  <c r="E791" i="2"/>
  <c r="F791" i="2" s="1"/>
  <c r="H791" i="2"/>
  <c r="I791" i="2" s="1"/>
  <c r="K790" i="2"/>
  <c r="L790" i="2" s="1"/>
  <c r="G791" i="2"/>
  <c r="J791" i="2" l="1"/>
  <c r="E792" i="2"/>
  <c r="F792" i="2" s="1"/>
  <c r="H792" i="2"/>
  <c r="I792" i="2" s="1"/>
  <c r="K791" i="2"/>
  <c r="G792" i="2"/>
  <c r="L791" i="2" l="1"/>
  <c r="J792" i="2"/>
  <c r="G793" i="2"/>
  <c r="E793" i="2"/>
  <c r="F793" i="2" s="1"/>
  <c r="K792" i="2"/>
  <c r="H793" i="2"/>
  <c r="I793" i="2" s="1"/>
  <c r="L792" i="2" l="1"/>
  <c r="J793" i="2"/>
  <c r="H794" i="2"/>
  <c r="I794" i="2" s="1"/>
  <c r="K793" i="2"/>
  <c r="G794" i="2"/>
  <c r="E794" i="2"/>
  <c r="F794" i="2" s="1"/>
  <c r="L793" i="2" l="1"/>
  <c r="J794" i="2"/>
  <c r="E795" i="2"/>
  <c r="F795" i="2" s="1"/>
  <c r="H795" i="2"/>
  <c r="I795" i="2" s="1"/>
  <c r="K794" i="2"/>
  <c r="J795" i="2" s="1"/>
  <c r="G795" i="2"/>
  <c r="L794" i="2" l="1"/>
  <c r="E796" i="2"/>
  <c r="F796" i="2" s="1"/>
  <c r="H796" i="2"/>
  <c r="I796" i="2" s="1"/>
  <c r="K795" i="2"/>
  <c r="L795" i="2" s="1"/>
  <c r="G796" i="2"/>
  <c r="J796" i="2" l="1"/>
  <c r="G797" i="2"/>
  <c r="E797" i="2"/>
  <c r="F797" i="2" s="1"/>
  <c r="K796" i="2"/>
  <c r="H797" i="2"/>
  <c r="I797" i="2" s="1"/>
  <c r="L796" i="2" l="1"/>
  <c r="J797" i="2"/>
  <c r="H798" i="2"/>
  <c r="I798" i="2" s="1"/>
  <c r="K797" i="2"/>
  <c r="G798" i="2"/>
  <c r="E798" i="2"/>
  <c r="F798" i="2" s="1"/>
  <c r="L797" i="2" l="1"/>
  <c r="E799" i="2"/>
  <c r="F799" i="2" s="1"/>
  <c r="H799" i="2"/>
  <c r="I799" i="2" s="1"/>
  <c r="K798" i="2"/>
  <c r="J799" i="2" s="1"/>
  <c r="G799" i="2"/>
  <c r="J798" i="2"/>
  <c r="L798" i="2" l="1"/>
  <c r="E800" i="2"/>
  <c r="F800" i="2" s="1"/>
  <c r="H800" i="2"/>
  <c r="I800" i="2" s="1"/>
  <c r="K799" i="2"/>
  <c r="L799" i="2" s="1"/>
  <c r="G800" i="2"/>
  <c r="J800" i="2" l="1"/>
  <c r="G801" i="2"/>
  <c r="E801" i="2"/>
  <c r="F801" i="2" s="1"/>
  <c r="H801" i="2"/>
  <c r="I801" i="2" s="1"/>
  <c r="K800" i="2"/>
  <c r="J801" i="2" s="1"/>
  <c r="L800" i="2" l="1"/>
  <c r="H802" i="2"/>
  <c r="I802" i="2" s="1"/>
  <c r="K801" i="2"/>
  <c r="L801" i="2" s="1"/>
  <c r="G802" i="2"/>
  <c r="E802" i="2"/>
  <c r="F802" i="2" s="1"/>
  <c r="E803" i="2" l="1"/>
  <c r="F803" i="2" s="1"/>
  <c r="H803" i="2"/>
  <c r="I803" i="2" s="1"/>
  <c r="K802" i="2"/>
  <c r="J803" i="2" s="1"/>
  <c r="G803" i="2"/>
  <c r="J802" i="2"/>
  <c r="E804" i="2" l="1"/>
  <c r="F804" i="2" s="1"/>
  <c r="H804" i="2"/>
  <c r="I804" i="2" s="1"/>
  <c r="K803" i="2"/>
  <c r="J804" i="2" s="1"/>
  <c r="G804" i="2"/>
  <c r="L802" i="2"/>
  <c r="L803" i="2" l="1"/>
  <c r="G805" i="2"/>
  <c r="E805" i="2"/>
  <c r="F805" i="2" s="1"/>
  <c r="K804" i="2"/>
  <c r="L804" i="2" s="1"/>
  <c r="H805" i="2"/>
  <c r="I805" i="2" s="1"/>
  <c r="J805" i="2" l="1"/>
  <c r="H806" i="2"/>
  <c r="I806" i="2" s="1"/>
  <c r="K805" i="2"/>
  <c r="G806" i="2"/>
  <c r="E806" i="2"/>
  <c r="F806" i="2" s="1"/>
  <c r="L805" i="2" l="1"/>
  <c r="E807" i="2"/>
  <c r="F807" i="2" s="1"/>
  <c r="H807" i="2"/>
  <c r="I807" i="2" s="1"/>
  <c r="K806" i="2"/>
  <c r="J807" i="2" s="1"/>
  <c r="G807" i="2"/>
  <c r="J806" i="2"/>
  <c r="E808" i="2" l="1"/>
  <c r="F808" i="2" s="1"/>
  <c r="H808" i="2"/>
  <c r="I808" i="2" s="1"/>
  <c r="K807" i="2"/>
  <c r="L807" i="2" s="1"/>
  <c r="G808" i="2"/>
  <c r="L806" i="2"/>
  <c r="J808" i="2" l="1"/>
  <c r="G809" i="2"/>
  <c r="E809" i="2"/>
  <c r="F809" i="2" s="1"/>
  <c r="K808" i="2"/>
  <c r="J809" i="2" s="1"/>
  <c r="H809" i="2"/>
  <c r="I809" i="2" s="1"/>
  <c r="L808" i="2" l="1"/>
  <c r="H810" i="2"/>
  <c r="I810" i="2" s="1"/>
  <c r="K809" i="2"/>
  <c r="L809" i="2" s="1"/>
  <c r="G810" i="2"/>
  <c r="E810" i="2"/>
  <c r="F810" i="2" s="1"/>
  <c r="E811" i="2" l="1"/>
  <c r="F811" i="2" s="1"/>
  <c r="H811" i="2"/>
  <c r="I811" i="2" s="1"/>
  <c r="K810" i="2"/>
  <c r="J811" i="2" s="1"/>
  <c r="G811" i="2"/>
  <c r="J810" i="2"/>
  <c r="L810" i="2" l="1"/>
  <c r="E812" i="2"/>
  <c r="F812" i="2" s="1"/>
  <c r="H812" i="2"/>
  <c r="I812" i="2" s="1"/>
  <c r="K811" i="2"/>
  <c r="L811" i="2" s="1"/>
  <c r="G812" i="2"/>
  <c r="J812" i="2" l="1"/>
  <c r="G813" i="2"/>
  <c r="E813" i="2"/>
  <c r="F813" i="2" s="1"/>
  <c r="K812" i="2"/>
  <c r="J813" i="2" s="1"/>
  <c r="H813" i="2"/>
  <c r="I813" i="2" s="1"/>
  <c r="H814" i="2" l="1"/>
  <c r="I814" i="2" s="1"/>
  <c r="K813" i="2"/>
  <c r="L813" i="2" s="1"/>
  <c r="G814" i="2"/>
  <c r="E814" i="2"/>
  <c r="F814" i="2" s="1"/>
  <c r="L812" i="2"/>
  <c r="E815" i="2" l="1"/>
  <c r="F815" i="2" s="1"/>
  <c r="H815" i="2"/>
  <c r="I815" i="2" s="1"/>
  <c r="K814" i="2"/>
  <c r="J815" i="2" s="1"/>
  <c r="G815" i="2"/>
  <c r="J814" i="2"/>
  <c r="L814" i="2" l="1"/>
  <c r="E816" i="2"/>
  <c r="F816" i="2" s="1"/>
  <c r="H816" i="2"/>
  <c r="I816" i="2" s="1"/>
  <c r="K815" i="2"/>
  <c r="L815" i="2" s="1"/>
  <c r="G816" i="2"/>
  <c r="J816" i="2" l="1"/>
  <c r="G817" i="2"/>
  <c r="E817" i="2"/>
  <c r="F817" i="2" s="1"/>
  <c r="H817" i="2"/>
  <c r="I817" i="2" s="1"/>
  <c r="K816" i="2"/>
  <c r="L816" i="2" l="1"/>
  <c r="J817" i="2"/>
  <c r="H818" i="2"/>
  <c r="I818" i="2" s="1"/>
  <c r="K817" i="2"/>
  <c r="J818" i="2" s="1"/>
  <c r="G818" i="2"/>
  <c r="E818" i="2"/>
  <c r="F818" i="2" s="1"/>
  <c r="E819" i="2" l="1"/>
  <c r="F819" i="2" s="1"/>
  <c r="H819" i="2"/>
  <c r="I819" i="2" s="1"/>
  <c r="K818" i="2"/>
  <c r="L818" i="2" s="1"/>
  <c r="G819" i="2"/>
  <c r="L817" i="2"/>
  <c r="E820" i="2" l="1"/>
  <c r="F820" i="2" s="1"/>
  <c r="H820" i="2"/>
  <c r="I820" i="2" s="1"/>
  <c r="K819" i="2"/>
  <c r="J820" i="2" s="1"/>
  <c r="G820" i="2"/>
  <c r="J819" i="2"/>
  <c r="G821" i="2" l="1"/>
  <c r="E821" i="2"/>
  <c r="F821" i="2" s="1"/>
  <c r="H821" i="2"/>
  <c r="I821" i="2" s="1"/>
  <c r="K820" i="2"/>
  <c r="L820" i="2" s="1"/>
  <c r="L819" i="2"/>
  <c r="J821" i="2" l="1"/>
  <c r="H822" i="2"/>
  <c r="I822" i="2" s="1"/>
  <c r="K821" i="2"/>
  <c r="G822" i="2"/>
  <c r="E822" i="2"/>
  <c r="F822" i="2" s="1"/>
  <c r="L821" i="2" l="1"/>
  <c r="E823" i="2"/>
  <c r="F823" i="2" s="1"/>
  <c r="H823" i="2"/>
  <c r="I823" i="2" s="1"/>
  <c r="K822" i="2"/>
  <c r="J823" i="2" s="1"/>
  <c r="G823" i="2"/>
  <c r="J822" i="2"/>
  <c r="L822" i="2" l="1"/>
  <c r="E824" i="2"/>
  <c r="F824" i="2" s="1"/>
  <c r="H824" i="2"/>
  <c r="I824" i="2" s="1"/>
  <c r="K823" i="2"/>
  <c r="L823" i="2" s="1"/>
  <c r="G824" i="2"/>
  <c r="J824" i="2" l="1"/>
  <c r="G825" i="2"/>
  <c r="E825" i="2"/>
  <c r="F825" i="2" s="1"/>
  <c r="K824" i="2"/>
  <c r="J825" i="2" s="1"/>
  <c r="H825" i="2"/>
  <c r="I825" i="2" s="1"/>
  <c r="H826" i="2" l="1"/>
  <c r="I826" i="2" s="1"/>
  <c r="K825" i="2"/>
  <c r="L825" i="2" s="1"/>
  <c r="G826" i="2"/>
  <c r="E826" i="2"/>
  <c r="F826" i="2" s="1"/>
  <c r="L824" i="2"/>
  <c r="E827" i="2" l="1"/>
  <c r="F827" i="2" s="1"/>
  <c r="H827" i="2"/>
  <c r="I827" i="2" s="1"/>
  <c r="K826" i="2"/>
  <c r="J827" i="2" s="1"/>
  <c r="G827" i="2"/>
  <c r="J826" i="2"/>
  <c r="L826" i="2" l="1"/>
  <c r="E828" i="2"/>
  <c r="F828" i="2" s="1"/>
  <c r="H828" i="2"/>
  <c r="I828" i="2" s="1"/>
  <c r="K827" i="2"/>
  <c r="L827" i="2" s="1"/>
  <c r="G828" i="2"/>
  <c r="J828" i="2" l="1"/>
  <c r="G829" i="2"/>
  <c r="E829" i="2"/>
  <c r="F829" i="2" s="1"/>
  <c r="H829" i="2"/>
  <c r="I829" i="2" s="1"/>
  <c r="K828" i="2"/>
  <c r="J829" i="2" s="1"/>
  <c r="H830" i="2" l="1"/>
  <c r="I830" i="2" s="1"/>
  <c r="K829" i="2"/>
  <c r="L829" i="2" s="1"/>
  <c r="G830" i="2"/>
  <c r="E830" i="2"/>
  <c r="F830" i="2" s="1"/>
  <c r="L828" i="2"/>
  <c r="E831" i="2" l="1"/>
  <c r="F831" i="2" s="1"/>
  <c r="H831" i="2"/>
  <c r="I831" i="2" s="1"/>
  <c r="K830" i="2"/>
  <c r="J831" i="2" s="1"/>
  <c r="G831" i="2"/>
  <c r="J830" i="2"/>
  <c r="L830" i="2" l="1"/>
  <c r="E832" i="2"/>
  <c r="F832" i="2" s="1"/>
  <c r="H832" i="2"/>
  <c r="I832" i="2" s="1"/>
  <c r="K831" i="2"/>
  <c r="L831" i="2" s="1"/>
  <c r="G832" i="2"/>
  <c r="J832" i="2" l="1"/>
  <c r="G833" i="2"/>
  <c r="E833" i="2"/>
  <c r="F833" i="2" s="1"/>
  <c r="H833" i="2"/>
  <c r="I833" i="2" s="1"/>
  <c r="K832" i="2"/>
  <c r="J833" i="2" s="1"/>
  <c r="H834" i="2" l="1"/>
  <c r="I834" i="2" s="1"/>
  <c r="K833" i="2"/>
  <c r="L833" i="2" s="1"/>
  <c r="G834" i="2"/>
  <c r="E834" i="2"/>
  <c r="F834" i="2" s="1"/>
  <c r="L832" i="2"/>
  <c r="J834" i="2" l="1"/>
  <c r="E835" i="2"/>
  <c r="F835" i="2" s="1"/>
  <c r="H835" i="2"/>
  <c r="I835" i="2" s="1"/>
  <c r="K834" i="2"/>
  <c r="G835" i="2"/>
  <c r="L834" i="2" l="1"/>
  <c r="J835" i="2"/>
  <c r="E836" i="2"/>
  <c r="F836" i="2" s="1"/>
  <c r="H836" i="2"/>
  <c r="I836" i="2" s="1"/>
  <c r="K835" i="2"/>
  <c r="J836" i="2" s="1"/>
  <c r="G836" i="2"/>
  <c r="G837" i="2" l="1"/>
  <c r="E837" i="2"/>
  <c r="F837" i="2" s="1"/>
  <c r="H837" i="2"/>
  <c r="I837" i="2" s="1"/>
  <c r="K836" i="2"/>
  <c r="L836" i="2" s="1"/>
  <c r="L835" i="2"/>
  <c r="J837" i="2" l="1"/>
  <c r="H838" i="2"/>
  <c r="I838" i="2" s="1"/>
  <c r="K837" i="2"/>
  <c r="J838" i="2" s="1"/>
  <c r="G838" i="2"/>
  <c r="E838" i="2"/>
  <c r="F838" i="2" s="1"/>
  <c r="E839" i="2" l="1"/>
  <c r="F839" i="2" s="1"/>
  <c r="H839" i="2"/>
  <c r="I839" i="2" s="1"/>
  <c r="K838" i="2"/>
  <c r="L838" i="2" s="1"/>
  <c r="G839" i="2"/>
  <c r="L837" i="2"/>
  <c r="E840" i="2" l="1"/>
  <c r="F840" i="2" s="1"/>
  <c r="H840" i="2"/>
  <c r="I840" i="2" s="1"/>
  <c r="K839" i="2"/>
  <c r="J840" i="2" s="1"/>
  <c r="G840" i="2"/>
  <c r="J839" i="2"/>
  <c r="G841" i="2" l="1"/>
  <c r="E841" i="2"/>
  <c r="F841" i="2" s="1"/>
  <c r="K840" i="2"/>
  <c r="L840" i="2" s="1"/>
  <c r="H841" i="2"/>
  <c r="I841" i="2" s="1"/>
  <c r="L839" i="2"/>
  <c r="J841" i="2" l="1"/>
  <c r="H842" i="2"/>
  <c r="I842" i="2" s="1"/>
  <c r="K841" i="2"/>
  <c r="J842" i="2" s="1"/>
  <c r="G842" i="2"/>
  <c r="E842" i="2"/>
  <c r="F842" i="2" s="1"/>
  <c r="L841" i="2" l="1"/>
  <c r="E843" i="2"/>
  <c r="F843" i="2" s="1"/>
  <c r="H843" i="2"/>
  <c r="I843" i="2" s="1"/>
  <c r="K842" i="2"/>
  <c r="L842" i="2" s="1"/>
  <c r="G843" i="2"/>
  <c r="E844" i="2" l="1"/>
  <c r="F844" i="2" s="1"/>
  <c r="H844" i="2"/>
  <c r="I844" i="2" s="1"/>
  <c r="K843" i="2"/>
  <c r="J844" i="2" s="1"/>
  <c r="G844" i="2"/>
  <c r="J843" i="2"/>
  <c r="G845" i="2" l="1"/>
  <c r="E845" i="2"/>
  <c r="F845" i="2" s="1"/>
  <c r="H845" i="2"/>
  <c r="I845" i="2" s="1"/>
  <c r="K844" i="2"/>
  <c r="L844" i="2" s="1"/>
  <c r="L843" i="2"/>
  <c r="J845" i="2" l="1"/>
  <c r="H846" i="2"/>
  <c r="I846" i="2" s="1"/>
  <c r="K845" i="2"/>
  <c r="G846" i="2"/>
  <c r="E846" i="2"/>
  <c r="F846" i="2" s="1"/>
  <c r="L845" i="2" l="1"/>
  <c r="E847" i="2"/>
  <c r="F847" i="2" s="1"/>
  <c r="H847" i="2"/>
  <c r="I847" i="2" s="1"/>
  <c r="K846" i="2"/>
  <c r="J847" i="2" s="1"/>
  <c r="G847" i="2"/>
  <c r="J846" i="2"/>
  <c r="L846" i="2" l="1"/>
  <c r="E848" i="2"/>
  <c r="F848" i="2" s="1"/>
  <c r="H848" i="2"/>
  <c r="I848" i="2" s="1"/>
  <c r="K847" i="2"/>
  <c r="L847" i="2" s="1"/>
  <c r="G848" i="2"/>
  <c r="J848" i="2" l="1"/>
  <c r="G849" i="2"/>
  <c r="E849" i="2"/>
  <c r="F849" i="2" s="1"/>
  <c r="H849" i="2"/>
  <c r="I849" i="2" s="1"/>
  <c r="K848" i="2"/>
  <c r="L848" i="2" s="1"/>
  <c r="J849" i="2" l="1"/>
  <c r="H850" i="2"/>
  <c r="I850" i="2" s="1"/>
  <c r="K849" i="2"/>
  <c r="G850" i="2"/>
  <c r="E850" i="2"/>
  <c r="F850" i="2" s="1"/>
  <c r="L849" i="2" l="1"/>
  <c r="J850" i="2"/>
  <c r="E851" i="2"/>
  <c r="F851" i="2" s="1"/>
  <c r="H851" i="2"/>
  <c r="I851" i="2" s="1"/>
  <c r="K850" i="2"/>
  <c r="G851" i="2"/>
  <c r="L850" i="2" l="1"/>
  <c r="J851" i="2"/>
  <c r="E852" i="2"/>
  <c r="F852" i="2" s="1"/>
  <c r="H852" i="2"/>
  <c r="I852" i="2" s="1"/>
  <c r="K851" i="2"/>
  <c r="J852" i="2" s="1"/>
  <c r="G852" i="2"/>
  <c r="G853" i="2" l="1"/>
  <c r="E853" i="2"/>
  <c r="F853" i="2" s="1"/>
  <c r="H853" i="2"/>
  <c r="I853" i="2" s="1"/>
  <c r="K852" i="2"/>
  <c r="L852" i="2" s="1"/>
  <c r="L851" i="2"/>
  <c r="J853" i="2" l="1"/>
  <c r="H854" i="2"/>
  <c r="I854" i="2" s="1"/>
  <c r="K853" i="2"/>
  <c r="G854" i="2"/>
  <c r="E854" i="2"/>
  <c r="F854" i="2" s="1"/>
  <c r="L853" i="2" l="1"/>
  <c r="E855" i="2"/>
  <c r="F855" i="2" s="1"/>
  <c r="H855" i="2"/>
  <c r="I855" i="2" s="1"/>
  <c r="K854" i="2"/>
  <c r="J855" i="2" s="1"/>
  <c r="G855" i="2"/>
  <c r="J854" i="2"/>
  <c r="L854" i="2" l="1"/>
  <c r="E856" i="2"/>
  <c r="F856" i="2" s="1"/>
  <c r="H856" i="2"/>
  <c r="I856" i="2" s="1"/>
  <c r="K855" i="2"/>
  <c r="L855" i="2" s="1"/>
  <c r="G856" i="2"/>
  <c r="G857" i="2" l="1"/>
  <c r="E857" i="2"/>
  <c r="F857" i="2" s="1"/>
  <c r="K856" i="2"/>
  <c r="J857" i="2" s="1"/>
  <c r="H857" i="2"/>
  <c r="I857" i="2" s="1"/>
  <c r="J856" i="2"/>
  <c r="L856" i="2" l="1"/>
  <c r="H858" i="2"/>
  <c r="I858" i="2" s="1"/>
  <c r="K857" i="2"/>
  <c r="L857" i="2" s="1"/>
  <c r="G858" i="2"/>
  <c r="E858" i="2"/>
  <c r="F858" i="2" s="1"/>
  <c r="E859" i="2" l="1"/>
  <c r="F859" i="2" s="1"/>
  <c r="H859" i="2"/>
  <c r="I859" i="2" s="1"/>
  <c r="K858" i="2"/>
  <c r="J859" i="2" s="1"/>
  <c r="G859" i="2"/>
  <c r="J858" i="2"/>
  <c r="L858" i="2" l="1"/>
  <c r="E860" i="2"/>
  <c r="F860" i="2" s="1"/>
  <c r="H860" i="2"/>
  <c r="I860" i="2" s="1"/>
  <c r="K859" i="2"/>
  <c r="L859" i="2" s="1"/>
  <c r="G860" i="2"/>
  <c r="J860" i="2" l="1"/>
  <c r="G861" i="2"/>
  <c r="E861" i="2"/>
  <c r="F861" i="2" s="1"/>
  <c r="H861" i="2"/>
  <c r="I861" i="2" s="1"/>
  <c r="K860" i="2"/>
  <c r="L860" i="2" s="1"/>
  <c r="J861" i="2" l="1"/>
  <c r="H862" i="2"/>
  <c r="I862" i="2" s="1"/>
  <c r="K861" i="2"/>
  <c r="G862" i="2"/>
  <c r="E862" i="2"/>
  <c r="F862" i="2" s="1"/>
  <c r="L861" i="2" l="1"/>
  <c r="E863" i="2"/>
  <c r="F863" i="2" s="1"/>
  <c r="H863" i="2"/>
  <c r="I863" i="2" s="1"/>
  <c r="K862" i="2"/>
  <c r="J863" i="2" s="1"/>
  <c r="G863" i="2"/>
  <c r="J862" i="2"/>
  <c r="L862" i="2" l="1"/>
  <c r="E864" i="2"/>
  <c r="F864" i="2" s="1"/>
  <c r="H864" i="2"/>
  <c r="I864" i="2" s="1"/>
  <c r="K863" i="2"/>
  <c r="J864" i="2" s="1"/>
  <c r="G864" i="2"/>
  <c r="L863" i="2" l="1"/>
  <c r="G865" i="2"/>
  <c r="E865" i="2"/>
  <c r="F865" i="2" s="1"/>
  <c r="H865" i="2"/>
  <c r="I865" i="2" s="1"/>
  <c r="K864" i="2"/>
  <c r="J865" i="2" s="1"/>
  <c r="H866" i="2" l="1"/>
  <c r="I866" i="2" s="1"/>
  <c r="K865" i="2"/>
  <c r="L865" i="2" s="1"/>
  <c r="G866" i="2"/>
  <c r="E866" i="2"/>
  <c r="F866" i="2" s="1"/>
  <c r="L864" i="2"/>
  <c r="E867" i="2" l="1"/>
  <c r="F867" i="2" s="1"/>
  <c r="H867" i="2"/>
  <c r="I867" i="2" s="1"/>
  <c r="K866" i="2"/>
  <c r="J867" i="2" s="1"/>
  <c r="G867" i="2"/>
  <c r="J866" i="2"/>
  <c r="L866" i="2" l="1"/>
  <c r="E868" i="2"/>
  <c r="F868" i="2" s="1"/>
  <c r="H868" i="2"/>
  <c r="I868" i="2" s="1"/>
  <c r="K867" i="2"/>
  <c r="L867" i="2" s="1"/>
  <c r="G868" i="2"/>
  <c r="J868" i="2" l="1"/>
  <c r="G869" i="2"/>
  <c r="E869" i="2"/>
  <c r="F869" i="2" s="1"/>
  <c r="H869" i="2"/>
  <c r="I869" i="2" s="1"/>
  <c r="K868" i="2"/>
  <c r="L868" i="2" l="1"/>
  <c r="J869" i="2"/>
  <c r="H870" i="2"/>
  <c r="I870" i="2" s="1"/>
  <c r="K869" i="2"/>
  <c r="G870" i="2"/>
  <c r="E870" i="2"/>
  <c r="F870" i="2" s="1"/>
  <c r="L869" i="2" l="1"/>
  <c r="E871" i="2"/>
  <c r="F871" i="2" s="1"/>
  <c r="H871" i="2"/>
  <c r="I871" i="2" s="1"/>
  <c r="K870" i="2"/>
  <c r="J871" i="2" s="1"/>
  <c r="G871" i="2"/>
  <c r="J870" i="2"/>
  <c r="L870" i="2" l="1"/>
  <c r="E872" i="2"/>
  <c r="F872" i="2" s="1"/>
  <c r="H872" i="2"/>
  <c r="I872" i="2" s="1"/>
  <c r="K871" i="2"/>
  <c r="L871" i="2" s="1"/>
  <c r="G872" i="2"/>
  <c r="J872" i="2" l="1"/>
  <c r="G873" i="2"/>
  <c r="E873" i="2"/>
  <c r="F873" i="2" s="1"/>
  <c r="K872" i="2"/>
  <c r="H873" i="2"/>
  <c r="I873" i="2" s="1"/>
  <c r="L872" i="2" l="1"/>
  <c r="J873" i="2"/>
  <c r="H874" i="2"/>
  <c r="I874" i="2" s="1"/>
  <c r="K873" i="2"/>
  <c r="G874" i="2"/>
  <c r="E874" i="2"/>
  <c r="F874" i="2" s="1"/>
  <c r="L873" i="2" l="1"/>
  <c r="J874" i="2"/>
  <c r="E875" i="2"/>
  <c r="F875" i="2" s="1"/>
  <c r="H875" i="2"/>
  <c r="I875" i="2" s="1"/>
  <c r="K874" i="2"/>
  <c r="G875" i="2"/>
  <c r="L874" i="2" l="1"/>
  <c r="J875" i="2"/>
  <c r="E876" i="2"/>
  <c r="F876" i="2" s="1"/>
  <c r="H876" i="2"/>
  <c r="I876" i="2" s="1"/>
  <c r="K875" i="2"/>
  <c r="J876" i="2" s="1"/>
  <c r="G876" i="2"/>
  <c r="G877" i="2" l="1"/>
  <c r="E877" i="2"/>
  <c r="F877" i="2" s="1"/>
  <c r="K876" i="2"/>
  <c r="L876" i="2" s="1"/>
  <c r="H877" i="2"/>
  <c r="I877" i="2" s="1"/>
  <c r="L875" i="2"/>
  <c r="J877" i="2" l="1"/>
  <c r="H878" i="2"/>
  <c r="I878" i="2" s="1"/>
  <c r="K877" i="2"/>
  <c r="J878" i="2" s="1"/>
  <c r="G878" i="2"/>
  <c r="E878" i="2"/>
  <c r="F878" i="2" s="1"/>
  <c r="E879" i="2" l="1"/>
  <c r="F879" i="2" s="1"/>
  <c r="H879" i="2"/>
  <c r="I879" i="2" s="1"/>
  <c r="K878" i="2"/>
  <c r="L878" i="2" s="1"/>
  <c r="G879" i="2"/>
  <c r="L877" i="2"/>
  <c r="E880" i="2" l="1"/>
  <c r="F880" i="2" s="1"/>
  <c r="H880" i="2"/>
  <c r="I880" i="2" s="1"/>
  <c r="K879" i="2"/>
  <c r="J880" i="2" s="1"/>
  <c r="G880" i="2"/>
  <c r="J879" i="2"/>
  <c r="G881" i="2" l="1"/>
  <c r="E881" i="2"/>
  <c r="F881" i="2" s="1"/>
  <c r="H881" i="2"/>
  <c r="I881" i="2" s="1"/>
  <c r="K880" i="2"/>
  <c r="L880" i="2" s="1"/>
  <c r="L879" i="2"/>
  <c r="J881" i="2" l="1"/>
  <c r="H882" i="2"/>
  <c r="I882" i="2" s="1"/>
  <c r="K881" i="2"/>
  <c r="J882" i="2" s="1"/>
  <c r="G882" i="2"/>
  <c r="E882" i="2"/>
  <c r="F882" i="2" s="1"/>
  <c r="L881" i="2" l="1"/>
  <c r="E883" i="2"/>
  <c r="F883" i="2" s="1"/>
  <c r="H883" i="2"/>
  <c r="I883" i="2" s="1"/>
  <c r="K882" i="2"/>
  <c r="L882" i="2" s="1"/>
  <c r="G883" i="2"/>
  <c r="E884" i="2" l="1"/>
  <c r="F884" i="2" s="1"/>
  <c r="H884" i="2"/>
  <c r="I884" i="2" s="1"/>
  <c r="K883" i="2"/>
  <c r="J884" i="2" s="1"/>
  <c r="G884" i="2"/>
  <c r="J883" i="2"/>
  <c r="G885" i="2" l="1"/>
  <c r="E885" i="2"/>
  <c r="F885" i="2" s="1"/>
  <c r="K884" i="2"/>
  <c r="L884" i="2" s="1"/>
  <c r="H885" i="2"/>
  <c r="I885" i="2" s="1"/>
  <c r="L883" i="2"/>
  <c r="J885" i="2" l="1"/>
  <c r="H886" i="2"/>
  <c r="I886" i="2" s="1"/>
  <c r="K885" i="2"/>
  <c r="J886" i="2" s="1"/>
  <c r="G886" i="2"/>
  <c r="E886" i="2"/>
  <c r="F886" i="2" s="1"/>
  <c r="E887" i="2" l="1"/>
  <c r="F887" i="2" s="1"/>
  <c r="H887" i="2"/>
  <c r="I887" i="2" s="1"/>
  <c r="K886" i="2"/>
  <c r="L886" i="2" s="1"/>
  <c r="G887" i="2"/>
  <c r="L885" i="2"/>
  <c r="J887" i="2" l="1"/>
  <c r="E888" i="2"/>
  <c r="F888" i="2" s="1"/>
  <c r="H888" i="2"/>
  <c r="I888" i="2" s="1"/>
  <c r="K887" i="2"/>
  <c r="G888" i="2"/>
  <c r="L887" i="2" l="1"/>
  <c r="J888" i="2"/>
  <c r="G889" i="2"/>
  <c r="E889" i="2"/>
  <c r="F889" i="2" s="1"/>
  <c r="K888" i="2"/>
  <c r="J889" i="2" s="1"/>
  <c r="H889" i="2"/>
  <c r="I889" i="2" s="1"/>
  <c r="L888" i="2" l="1"/>
  <c r="H890" i="2"/>
  <c r="I890" i="2" s="1"/>
  <c r="K889" i="2"/>
  <c r="L889" i="2" s="1"/>
  <c r="G890" i="2"/>
  <c r="E890" i="2"/>
  <c r="F890" i="2" s="1"/>
  <c r="E891" i="2" l="1"/>
  <c r="F891" i="2" s="1"/>
  <c r="H891" i="2"/>
  <c r="I891" i="2" s="1"/>
  <c r="K890" i="2"/>
  <c r="J891" i="2" s="1"/>
  <c r="G891" i="2"/>
  <c r="J890" i="2"/>
  <c r="L890" i="2" l="1"/>
  <c r="E892" i="2"/>
  <c r="F892" i="2" s="1"/>
  <c r="H892" i="2"/>
  <c r="I892" i="2" s="1"/>
  <c r="K891" i="2"/>
  <c r="L891" i="2" s="1"/>
  <c r="G892" i="2"/>
  <c r="J892" i="2" l="1"/>
  <c r="G893" i="2"/>
  <c r="E893" i="2"/>
  <c r="F893" i="2" s="1"/>
  <c r="K892" i="2"/>
  <c r="J893" i="2" s="1"/>
  <c r="H893" i="2"/>
  <c r="I893" i="2" s="1"/>
  <c r="L892" i="2" l="1"/>
  <c r="H894" i="2"/>
  <c r="I894" i="2" s="1"/>
  <c r="K893" i="2"/>
  <c r="L893" i="2" s="1"/>
  <c r="G894" i="2"/>
  <c r="E894" i="2"/>
  <c r="F894" i="2" s="1"/>
  <c r="E895" i="2" l="1"/>
  <c r="F895" i="2" s="1"/>
  <c r="H895" i="2"/>
  <c r="I895" i="2" s="1"/>
  <c r="K894" i="2"/>
  <c r="J895" i="2" s="1"/>
  <c r="G895" i="2"/>
  <c r="J894" i="2"/>
  <c r="L894" i="2" l="1"/>
  <c r="E896" i="2"/>
  <c r="F896" i="2" s="1"/>
  <c r="H896" i="2"/>
  <c r="I896" i="2" s="1"/>
  <c r="K895" i="2"/>
  <c r="L895" i="2" s="1"/>
  <c r="G896" i="2"/>
  <c r="J896" i="2" l="1"/>
  <c r="G897" i="2"/>
  <c r="E897" i="2"/>
  <c r="F897" i="2" s="1"/>
  <c r="H897" i="2"/>
  <c r="I897" i="2" s="1"/>
  <c r="K896" i="2"/>
  <c r="L896" i="2" s="1"/>
  <c r="J897" i="2" l="1"/>
  <c r="H898" i="2"/>
  <c r="I898" i="2" s="1"/>
  <c r="K897" i="2"/>
  <c r="G898" i="2"/>
  <c r="E898" i="2"/>
  <c r="F898" i="2" s="1"/>
  <c r="L897" i="2" l="1"/>
  <c r="J898" i="2"/>
  <c r="E899" i="2"/>
  <c r="F899" i="2" s="1"/>
  <c r="H899" i="2"/>
  <c r="I899" i="2" s="1"/>
  <c r="K898" i="2"/>
  <c r="J899" i="2" s="1"/>
  <c r="G899" i="2"/>
  <c r="E900" i="2" l="1"/>
  <c r="F900" i="2" s="1"/>
  <c r="H900" i="2"/>
  <c r="I900" i="2" s="1"/>
  <c r="K899" i="2"/>
  <c r="J900" i="2" s="1"/>
  <c r="G900" i="2"/>
  <c r="L898" i="2"/>
  <c r="L899" i="2" l="1"/>
  <c r="G901" i="2"/>
  <c r="E901" i="2"/>
  <c r="F901" i="2" s="1"/>
  <c r="H901" i="2"/>
  <c r="I901" i="2" s="1"/>
  <c r="K900" i="2"/>
  <c r="L900" i="2" s="1"/>
  <c r="J901" i="2" l="1"/>
  <c r="H902" i="2"/>
  <c r="I902" i="2" s="1"/>
  <c r="K901" i="2"/>
  <c r="J902" i="2" s="1"/>
  <c r="G902" i="2"/>
  <c r="E902" i="2"/>
  <c r="F902" i="2" s="1"/>
  <c r="E903" i="2" l="1"/>
  <c r="F903" i="2" s="1"/>
  <c r="H903" i="2"/>
  <c r="I903" i="2" s="1"/>
  <c r="K902" i="2"/>
  <c r="L902" i="2" s="1"/>
  <c r="G903" i="2"/>
  <c r="L901" i="2"/>
  <c r="J903" i="2" l="1"/>
  <c r="E904" i="2"/>
  <c r="F904" i="2" s="1"/>
  <c r="H904" i="2"/>
  <c r="I904" i="2" s="1"/>
  <c r="K903" i="2"/>
  <c r="G904" i="2"/>
  <c r="L903" i="2" l="1"/>
  <c r="J904" i="2"/>
  <c r="G905" i="2"/>
  <c r="E905" i="2"/>
  <c r="F905" i="2" s="1"/>
  <c r="K904" i="2"/>
  <c r="H905" i="2"/>
  <c r="I905" i="2" s="1"/>
  <c r="L904" i="2" l="1"/>
  <c r="J905" i="2"/>
  <c r="H906" i="2"/>
  <c r="I906" i="2" s="1"/>
  <c r="K905" i="2"/>
  <c r="J906" i="2" s="1"/>
  <c r="G906" i="2"/>
  <c r="E906" i="2"/>
  <c r="F906" i="2" s="1"/>
  <c r="E907" i="2" l="1"/>
  <c r="F907" i="2" s="1"/>
  <c r="H907" i="2"/>
  <c r="I907" i="2" s="1"/>
  <c r="K906" i="2"/>
  <c r="L906" i="2" s="1"/>
  <c r="G907" i="2"/>
  <c r="L905" i="2"/>
  <c r="E908" i="2" l="1"/>
  <c r="F908" i="2" s="1"/>
  <c r="H908" i="2"/>
  <c r="I908" i="2" s="1"/>
  <c r="K907" i="2"/>
  <c r="J908" i="2" s="1"/>
  <c r="G908" i="2"/>
  <c r="J907" i="2"/>
  <c r="G909" i="2" l="1"/>
  <c r="E909" i="2"/>
  <c r="F909" i="2" s="1"/>
  <c r="H909" i="2"/>
  <c r="I909" i="2" s="1"/>
  <c r="K908" i="2"/>
  <c r="L908" i="2" s="1"/>
  <c r="L907" i="2"/>
  <c r="J909" i="2" l="1"/>
  <c r="H910" i="2"/>
  <c r="I910" i="2" s="1"/>
  <c r="K909" i="2"/>
  <c r="J910" i="2" s="1"/>
  <c r="G910" i="2"/>
  <c r="E910" i="2"/>
  <c r="F910" i="2" s="1"/>
  <c r="E911" i="2" l="1"/>
  <c r="F911" i="2" s="1"/>
  <c r="H911" i="2"/>
  <c r="I911" i="2" s="1"/>
  <c r="K910" i="2"/>
  <c r="J911" i="2" s="1"/>
  <c r="G911" i="2"/>
  <c r="L909" i="2"/>
  <c r="L910" i="2" l="1"/>
  <c r="E912" i="2"/>
  <c r="F912" i="2" s="1"/>
  <c r="H912" i="2"/>
  <c r="I912" i="2" s="1"/>
  <c r="K911" i="2"/>
  <c r="L911" i="2" s="1"/>
  <c r="G912" i="2"/>
  <c r="J912" i="2" l="1"/>
  <c r="G913" i="2"/>
  <c r="E913" i="2"/>
  <c r="F913" i="2" s="1"/>
  <c r="H913" i="2"/>
  <c r="I913" i="2" s="1"/>
  <c r="K912" i="2"/>
  <c r="L912" i="2" l="1"/>
  <c r="J913" i="2"/>
  <c r="H914" i="2"/>
  <c r="I914" i="2" s="1"/>
  <c r="K913" i="2"/>
  <c r="J914" i="2" s="1"/>
  <c r="G914" i="2"/>
  <c r="E914" i="2"/>
  <c r="F914" i="2" s="1"/>
  <c r="L913" i="2" l="1"/>
  <c r="E915" i="2"/>
  <c r="F915" i="2" s="1"/>
  <c r="H915" i="2"/>
  <c r="I915" i="2" s="1"/>
  <c r="K914" i="2"/>
  <c r="L914" i="2" s="1"/>
  <c r="G915" i="2"/>
  <c r="E916" i="2" l="1"/>
  <c r="F916" i="2" s="1"/>
  <c r="H916" i="2"/>
  <c r="I916" i="2" s="1"/>
  <c r="K915" i="2"/>
  <c r="J916" i="2" s="1"/>
  <c r="G916" i="2"/>
  <c r="J915" i="2"/>
  <c r="G917" i="2" l="1"/>
  <c r="E917" i="2"/>
  <c r="F917" i="2" s="1"/>
  <c r="K916" i="2"/>
  <c r="L916" i="2" s="1"/>
  <c r="H917" i="2"/>
  <c r="I917" i="2" s="1"/>
  <c r="L915" i="2"/>
  <c r="J917" i="2" l="1"/>
  <c r="H918" i="2"/>
  <c r="I918" i="2" s="1"/>
  <c r="K917" i="2"/>
  <c r="G918" i="2"/>
  <c r="E918" i="2"/>
  <c r="F918" i="2" s="1"/>
  <c r="L917" i="2" l="1"/>
  <c r="J918" i="2"/>
  <c r="E919" i="2"/>
  <c r="F919" i="2" s="1"/>
  <c r="H919" i="2"/>
  <c r="I919" i="2" s="1"/>
  <c r="K918" i="2"/>
  <c r="J919" i="2" s="1"/>
  <c r="G919" i="2"/>
  <c r="L918" i="2" l="1"/>
  <c r="E920" i="2"/>
  <c r="F920" i="2" s="1"/>
  <c r="H920" i="2"/>
  <c r="I920" i="2" s="1"/>
  <c r="K919" i="2"/>
  <c r="L919" i="2" s="1"/>
  <c r="G920" i="2"/>
  <c r="J920" i="2" l="1"/>
  <c r="G921" i="2"/>
  <c r="E921" i="2"/>
  <c r="F921" i="2" s="1"/>
  <c r="K920" i="2"/>
  <c r="J921" i="2" s="1"/>
  <c r="H921" i="2"/>
  <c r="I921" i="2" s="1"/>
  <c r="L920" i="2" l="1"/>
  <c r="H922" i="2"/>
  <c r="I922" i="2" s="1"/>
  <c r="K921" i="2"/>
  <c r="L921" i="2" s="1"/>
  <c r="G922" i="2"/>
  <c r="E922" i="2"/>
  <c r="F922" i="2" s="1"/>
  <c r="J922" i="2" l="1"/>
  <c r="E923" i="2"/>
  <c r="F923" i="2" s="1"/>
  <c r="H923" i="2"/>
  <c r="I923" i="2" s="1"/>
  <c r="K922" i="2"/>
  <c r="J923" i="2" s="1"/>
  <c r="G923" i="2"/>
  <c r="L922" i="2" l="1"/>
  <c r="E924" i="2"/>
  <c r="F924" i="2" s="1"/>
  <c r="H924" i="2"/>
  <c r="I924" i="2" s="1"/>
  <c r="K923" i="2"/>
  <c r="J924" i="2" s="1"/>
  <c r="G924" i="2"/>
  <c r="L923" i="2" l="1"/>
  <c r="G925" i="2"/>
  <c r="E925" i="2"/>
  <c r="F925" i="2" s="1"/>
  <c r="H925" i="2"/>
  <c r="I925" i="2" s="1"/>
  <c r="K924" i="2"/>
  <c r="L924" i="2" s="1"/>
  <c r="J925" i="2" l="1"/>
  <c r="H926" i="2"/>
  <c r="I926" i="2" s="1"/>
  <c r="K925" i="2"/>
  <c r="J926" i="2" s="1"/>
  <c r="G926" i="2"/>
  <c r="E926" i="2"/>
  <c r="F926" i="2" s="1"/>
  <c r="E927" i="2" l="1"/>
  <c r="F927" i="2" s="1"/>
  <c r="H927" i="2"/>
  <c r="I927" i="2" s="1"/>
  <c r="K926" i="2"/>
  <c r="L926" i="2" s="1"/>
  <c r="G927" i="2"/>
  <c r="L925" i="2"/>
  <c r="E928" i="2" l="1"/>
  <c r="F928" i="2" s="1"/>
  <c r="H928" i="2"/>
  <c r="I928" i="2" s="1"/>
  <c r="K927" i="2"/>
  <c r="J928" i="2" s="1"/>
  <c r="G928" i="2"/>
  <c r="J927" i="2"/>
  <c r="G929" i="2" l="1"/>
  <c r="E929" i="2"/>
  <c r="F929" i="2" s="1"/>
  <c r="H929" i="2"/>
  <c r="I929" i="2" s="1"/>
  <c r="K928" i="2"/>
  <c r="L928" i="2" s="1"/>
  <c r="L927" i="2"/>
  <c r="J929" i="2" l="1"/>
  <c r="H930" i="2"/>
  <c r="I930" i="2" s="1"/>
  <c r="K929" i="2"/>
  <c r="J930" i="2" s="1"/>
  <c r="G930" i="2"/>
  <c r="E930" i="2"/>
  <c r="F930" i="2" s="1"/>
  <c r="E931" i="2" l="1"/>
  <c r="F931" i="2" s="1"/>
  <c r="H931" i="2"/>
  <c r="I931" i="2" s="1"/>
  <c r="K930" i="2"/>
  <c r="L930" i="2" s="1"/>
  <c r="G931" i="2"/>
  <c r="L929" i="2"/>
  <c r="E932" i="2" l="1"/>
  <c r="F932" i="2" s="1"/>
  <c r="H932" i="2"/>
  <c r="I932" i="2" s="1"/>
  <c r="K931" i="2"/>
  <c r="J932" i="2" s="1"/>
  <c r="G932" i="2"/>
  <c r="J931" i="2"/>
  <c r="G933" i="2" l="1"/>
  <c r="E933" i="2"/>
  <c r="F933" i="2" s="1"/>
  <c r="H933" i="2"/>
  <c r="I933" i="2" s="1"/>
  <c r="K932" i="2"/>
  <c r="L932" i="2" s="1"/>
  <c r="L931" i="2"/>
  <c r="J933" i="2" l="1"/>
  <c r="H934" i="2"/>
  <c r="I934" i="2" s="1"/>
  <c r="K933" i="2"/>
  <c r="J934" i="2" s="1"/>
  <c r="G934" i="2"/>
  <c r="E934" i="2"/>
  <c r="F934" i="2" s="1"/>
  <c r="E935" i="2" l="1"/>
  <c r="F935" i="2" s="1"/>
  <c r="H935" i="2"/>
  <c r="I935" i="2" s="1"/>
  <c r="K934" i="2"/>
  <c r="L934" i="2" s="1"/>
  <c r="G935" i="2"/>
  <c r="L933" i="2"/>
  <c r="E936" i="2" l="1"/>
  <c r="F936" i="2" s="1"/>
  <c r="H936" i="2"/>
  <c r="I936" i="2" s="1"/>
  <c r="K935" i="2"/>
  <c r="J936" i="2" s="1"/>
  <c r="G936" i="2"/>
  <c r="J935" i="2"/>
  <c r="L935" i="2" l="1"/>
  <c r="G937" i="2"/>
  <c r="E937" i="2"/>
  <c r="F937" i="2" s="1"/>
  <c r="K936" i="2"/>
  <c r="J937" i="2" s="1"/>
  <c r="H937" i="2"/>
  <c r="I937" i="2" s="1"/>
  <c r="L936" i="2" l="1"/>
  <c r="H938" i="2"/>
  <c r="I938" i="2" s="1"/>
  <c r="K937" i="2"/>
  <c r="L937" i="2" s="1"/>
  <c r="G938" i="2"/>
  <c r="E938" i="2"/>
  <c r="F938" i="2" s="1"/>
  <c r="E939" i="2" l="1"/>
  <c r="F939" i="2" s="1"/>
  <c r="H939" i="2"/>
  <c r="I939" i="2" s="1"/>
  <c r="K938" i="2"/>
  <c r="J939" i="2" s="1"/>
  <c r="G939" i="2"/>
  <c r="J938" i="2"/>
  <c r="L938" i="2" l="1"/>
  <c r="E940" i="2"/>
  <c r="F940" i="2" s="1"/>
  <c r="H940" i="2"/>
  <c r="I940" i="2" s="1"/>
  <c r="K939" i="2"/>
  <c r="L939" i="2" s="1"/>
  <c r="G940" i="2"/>
  <c r="J940" i="2" l="1"/>
  <c r="G941" i="2"/>
  <c r="E941" i="2"/>
  <c r="F941" i="2" s="1"/>
  <c r="H941" i="2"/>
  <c r="I941" i="2" s="1"/>
  <c r="K940" i="2"/>
  <c r="L940" i="2" l="1"/>
  <c r="J941" i="2"/>
  <c r="H942" i="2"/>
  <c r="I942" i="2" s="1"/>
  <c r="K941" i="2"/>
  <c r="J942" i="2" s="1"/>
  <c r="G942" i="2"/>
  <c r="E942" i="2"/>
  <c r="F942" i="2" s="1"/>
  <c r="L941" i="2" l="1"/>
  <c r="E943" i="2"/>
  <c r="F943" i="2" s="1"/>
  <c r="H943" i="2"/>
  <c r="I943" i="2" s="1"/>
  <c r="K942" i="2"/>
  <c r="L942" i="2" s="1"/>
  <c r="G943" i="2"/>
  <c r="E944" i="2" l="1"/>
  <c r="F944" i="2" s="1"/>
  <c r="H944" i="2"/>
  <c r="I944" i="2" s="1"/>
  <c r="K943" i="2"/>
  <c r="J944" i="2" s="1"/>
  <c r="G944" i="2"/>
  <c r="J943" i="2"/>
  <c r="G945" i="2" l="1"/>
  <c r="E945" i="2"/>
  <c r="F945" i="2" s="1"/>
  <c r="H945" i="2"/>
  <c r="I945" i="2" s="1"/>
  <c r="K944" i="2"/>
  <c r="L944" i="2" s="1"/>
  <c r="L943" i="2"/>
  <c r="J945" i="2" l="1"/>
  <c r="H946" i="2"/>
  <c r="I946" i="2" s="1"/>
  <c r="K945" i="2"/>
  <c r="G946" i="2"/>
  <c r="E946" i="2"/>
  <c r="F946" i="2" s="1"/>
  <c r="L945" i="2" l="1"/>
  <c r="E947" i="2"/>
  <c r="F947" i="2" s="1"/>
  <c r="H947" i="2"/>
  <c r="I947" i="2" s="1"/>
  <c r="K946" i="2"/>
  <c r="J947" i="2" s="1"/>
  <c r="G947" i="2"/>
  <c r="J946" i="2"/>
  <c r="L946" i="2" l="1"/>
  <c r="E948" i="2"/>
  <c r="F948" i="2" s="1"/>
  <c r="H948" i="2"/>
  <c r="I948" i="2" s="1"/>
  <c r="K947" i="2"/>
  <c r="L947" i="2" s="1"/>
  <c r="G948" i="2"/>
  <c r="J948" i="2" l="1"/>
  <c r="G949" i="2"/>
  <c r="E949" i="2"/>
  <c r="F949" i="2" s="1"/>
  <c r="H949" i="2"/>
  <c r="I949" i="2" s="1"/>
  <c r="K948" i="2"/>
  <c r="J949" i="2" s="1"/>
  <c r="H950" i="2" l="1"/>
  <c r="I950" i="2" s="1"/>
  <c r="K949" i="2"/>
  <c r="L949" i="2" s="1"/>
  <c r="G950" i="2"/>
  <c r="E950" i="2"/>
  <c r="F950" i="2" s="1"/>
  <c r="L948" i="2"/>
  <c r="E951" i="2" l="1"/>
  <c r="F951" i="2" s="1"/>
  <c r="H951" i="2"/>
  <c r="I951" i="2" s="1"/>
  <c r="K950" i="2"/>
  <c r="J951" i="2" s="1"/>
  <c r="G951" i="2"/>
  <c r="J950" i="2"/>
  <c r="L950" i="2" l="1"/>
  <c r="E952" i="2"/>
  <c r="F952" i="2" s="1"/>
  <c r="H952" i="2"/>
  <c r="I952" i="2" s="1"/>
  <c r="K951" i="2"/>
  <c r="L951" i="2" s="1"/>
  <c r="G952" i="2"/>
  <c r="J952" i="2" l="1"/>
  <c r="G953" i="2"/>
  <c r="E953" i="2"/>
  <c r="F953" i="2" s="1"/>
  <c r="K952" i="2"/>
  <c r="H953" i="2"/>
  <c r="I953" i="2" s="1"/>
  <c r="L952" i="2" l="1"/>
  <c r="J953" i="2"/>
  <c r="H954" i="2"/>
  <c r="I954" i="2" s="1"/>
  <c r="K953" i="2"/>
  <c r="G954" i="2"/>
  <c r="E954" i="2"/>
  <c r="F954" i="2" s="1"/>
  <c r="L953" i="2" l="1"/>
  <c r="J954" i="2"/>
  <c r="E955" i="2"/>
  <c r="F955" i="2" s="1"/>
  <c r="H955" i="2"/>
  <c r="I955" i="2" s="1"/>
  <c r="K954" i="2"/>
  <c r="J955" i="2" s="1"/>
  <c r="G955" i="2"/>
  <c r="L954" i="2" l="1"/>
  <c r="E956" i="2"/>
  <c r="F956" i="2" s="1"/>
  <c r="H956" i="2"/>
  <c r="I956" i="2" s="1"/>
  <c r="K955" i="2"/>
  <c r="L955" i="2" s="1"/>
  <c r="G956" i="2"/>
  <c r="J956" i="2" l="1"/>
  <c r="G957" i="2"/>
  <c r="E957" i="2"/>
  <c r="F957" i="2" s="1"/>
  <c r="H957" i="2"/>
  <c r="I957" i="2" s="1"/>
  <c r="K956" i="2"/>
  <c r="L956" i="2" l="1"/>
  <c r="J957" i="2"/>
  <c r="H958" i="2"/>
  <c r="I958" i="2" s="1"/>
  <c r="K957" i="2"/>
  <c r="G958" i="2"/>
  <c r="E958" i="2"/>
  <c r="F958" i="2" s="1"/>
  <c r="L957" i="2" l="1"/>
  <c r="E959" i="2"/>
  <c r="F959" i="2" s="1"/>
  <c r="H959" i="2"/>
  <c r="I959" i="2" s="1"/>
  <c r="K958" i="2"/>
  <c r="J959" i="2" s="1"/>
  <c r="G959" i="2"/>
  <c r="J958" i="2"/>
  <c r="L958" i="2" l="1"/>
  <c r="E960" i="2"/>
  <c r="F960" i="2" s="1"/>
  <c r="H960" i="2"/>
  <c r="I960" i="2" s="1"/>
  <c r="K959" i="2"/>
  <c r="L959" i="2" s="1"/>
  <c r="G960" i="2"/>
  <c r="J960" i="2" l="1"/>
  <c r="G961" i="2"/>
  <c r="E961" i="2"/>
  <c r="F961" i="2" s="1"/>
  <c r="H961" i="2"/>
  <c r="I961" i="2" s="1"/>
  <c r="K960" i="2"/>
  <c r="L960" i="2" s="1"/>
  <c r="J961" i="2" l="1"/>
  <c r="H962" i="2"/>
  <c r="I962" i="2" s="1"/>
  <c r="K961" i="2"/>
  <c r="J962" i="2" s="1"/>
  <c r="G962" i="2"/>
  <c r="E962" i="2"/>
  <c r="F962" i="2" s="1"/>
  <c r="L961" i="2" l="1"/>
  <c r="E963" i="2"/>
  <c r="F963" i="2" s="1"/>
  <c r="H963" i="2"/>
  <c r="I963" i="2" s="1"/>
  <c r="K962" i="2"/>
  <c r="L962" i="2" s="1"/>
  <c r="G963" i="2"/>
  <c r="J963" i="2" l="1"/>
  <c r="E964" i="2"/>
  <c r="F964" i="2" s="1"/>
  <c r="H964" i="2"/>
  <c r="I964" i="2" s="1"/>
  <c r="K963" i="2"/>
  <c r="G964" i="2"/>
  <c r="L963" i="2" l="1"/>
  <c r="J964" i="2"/>
  <c r="G965" i="2"/>
  <c r="E965" i="2"/>
  <c r="F965" i="2" s="1"/>
  <c r="H965" i="2"/>
  <c r="I965" i="2" s="1"/>
  <c r="K964" i="2"/>
  <c r="L964" i="2" l="1"/>
  <c r="J965" i="2"/>
  <c r="H966" i="2"/>
  <c r="I966" i="2" s="1"/>
  <c r="K965" i="2"/>
  <c r="J966" i="2" s="1"/>
  <c r="G966" i="2"/>
  <c r="E966" i="2"/>
  <c r="F966" i="2" s="1"/>
  <c r="L965" i="2" l="1"/>
  <c r="E967" i="2"/>
  <c r="F967" i="2" s="1"/>
  <c r="H967" i="2"/>
  <c r="I967" i="2" s="1"/>
  <c r="K966" i="2"/>
  <c r="L966" i="2" s="1"/>
  <c r="G967" i="2"/>
  <c r="J967" i="2" l="1"/>
  <c r="E968" i="2"/>
  <c r="F968" i="2" s="1"/>
  <c r="H968" i="2"/>
  <c r="I968" i="2" s="1"/>
  <c r="K967" i="2"/>
  <c r="G968" i="2"/>
  <c r="L967" i="2" l="1"/>
  <c r="J968" i="2"/>
  <c r="G969" i="2"/>
  <c r="E969" i="2"/>
  <c r="F969" i="2" s="1"/>
  <c r="K968" i="2"/>
  <c r="H969" i="2"/>
  <c r="I969" i="2" s="1"/>
  <c r="L968" i="2" l="1"/>
  <c r="J969" i="2"/>
  <c r="H970" i="2"/>
  <c r="I970" i="2" s="1"/>
  <c r="K969" i="2"/>
  <c r="G970" i="2"/>
  <c r="E970" i="2"/>
  <c r="F970" i="2" s="1"/>
  <c r="L969" i="2" l="1"/>
  <c r="E971" i="2"/>
  <c r="F971" i="2" s="1"/>
  <c r="H971" i="2"/>
  <c r="I971" i="2" s="1"/>
  <c r="K970" i="2"/>
  <c r="J971" i="2" s="1"/>
  <c r="G971" i="2"/>
  <c r="J970" i="2"/>
  <c r="L970" i="2" l="1"/>
  <c r="E972" i="2"/>
  <c r="F972" i="2" s="1"/>
  <c r="H972" i="2"/>
  <c r="I972" i="2" s="1"/>
  <c r="K971" i="2"/>
  <c r="L971" i="2" s="1"/>
  <c r="G972" i="2"/>
  <c r="J972" i="2" l="1"/>
  <c r="G973" i="2"/>
  <c r="E973" i="2"/>
  <c r="F973" i="2" s="1"/>
  <c r="K972" i="2"/>
  <c r="J973" i="2" s="1"/>
  <c r="H973" i="2"/>
  <c r="I973" i="2" s="1"/>
  <c r="L972" i="2" l="1"/>
  <c r="H974" i="2"/>
  <c r="I974" i="2" s="1"/>
  <c r="K973" i="2"/>
  <c r="L973" i="2" s="1"/>
  <c r="G974" i="2"/>
  <c r="E974" i="2"/>
  <c r="F974" i="2" s="1"/>
  <c r="E975" i="2" l="1"/>
  <c r="F975" i="2" s="1"/>
  <c r="H975" i="2"/>
  <c r="I975" i="2" s="1"/>
  <c r="K974" i="2"/>
  <c r="J975" i="2" s="1"/>
  <c r="G975" i="2"/>
  <c r="J974" i="2"/>
  <c r="L974" i="2" l="1"/>
  <c r="E976" i="2"/>
  <c r="F976" i="2" s="1"/>
  <c r="H976" i="2"/>
  <c r="I976" i="2" s="1"/>
  <c r="K975" i="2"/>
  <c r="L975" i="2" s="1"/>
  <c r="G976" i="2"/>
  <c r="J976" i="2" l="1"/>
  <c r="G977" i="2"/>
  <c r="E977" i="2"/>
  <c r="F977" i="2" s="1"/>
  <c r="H977" i="2"/>
  <c r="I977" i="2" s="1"/>
  <c r="K976" i="2"/>
  <c r="J977" i="2" s="1"/>
  <c r="H978" i="2" l="1"/>
  <c r="I978" i="2" s="1"/>
  <c r="K977" i="2"/>
  <c r="L977" i="2" s="1"/>
  <c r="G978" i="2"/>
  <c r="E978" i="2"/>
  <c r="F978" i="2" s="1"/>
  <c r="L976" i="2"/>
  <c r="E979" i="2" l="1"/>
  <c r="F979" i="2" s="1"/>
  <c r="H979" i="2"/>
  <c r="I979" i="2" s="1"/>
  <c r="K978" i="2"/>
  <c r="J979" i="2" s="1"/>
  <c r="G979" i="2"/>
  <c r="J978" i="2"/>
  <c r="L978" i="2" l="1"/>
  <c r="E980" i="2"/>
  <c r="F980" i="2" s="1"/>
  <c r="H980" i="2"/>
  <c r="I980" i="2" s="1"/>
  <c r="K979" i="2"/>
  <c r="J980" i="2" s="1"/>
  <c r="G980" i="2"/>
  <c r="G981" i="2" l="1"/>
  <c r="E981" i="2"/>
  <c r="F981" i="2" s="1"/>
  <c r="K980" i="2"/>
  <c r="L980" i="2" s="1"/>
  <c r="H981" i="2"/>
  <c r="I981" i="2" s="1"/>
  <c r="L979" i="2"/>
  <c r="J981" i="2" l="1"/>
  <c r="H982" i="2"/>
  <c r="I982" i="2" s="1"/>
  <c r="K981" i="2"/>
  <c r="G982" i="2"/>
  <c r="E982" i="2"/>
  <c r="F982" i="2" s="1"/>
  <c r="L981" i="2" l="1"/>
  <c r="J982" i="2"/>
  <c r="E983" i="2"/>
  <c r="F983" i="2" s="1"/>
  <c r="H983" i="2"/>
  <c r="I983" i="2" s="1"/>
  <c r="K982" i="2"/>
  <c r="J983" i="2" s="1"/>
  <c r="G983" i="2"/>
  <c r="L982" i="2" l="1"/>
  <c r="E984" i="2"/>
  <c r="F984" i="2" s="1"/>
  <c r="H984" i="2"/>
  <c r="I984" i="2" s="1"/>
  <c r="K983" i="2"/>
  <c r="L983" i="2" s="1"/>
  <c r="G984" i="2"/>
  <c r="J984" i="2" l="1"/>
  <c r="G985" i="2"/>
  <c r="E985" i="2"/>
  <c r="F985" i="2" s="1"/>
  <c r="K984" i="2"/>
  <c r="H985" i="2"/>
  <c r="I985" i="2" s="1"/>
  <c r="L984" i="2" l="1"/>
  <c r="J985" i="2"/>
  <c r="H986" i="2"/>
  <c r="I986" i="2" s="1"/>
  <c r="K985" i="2"/>
  <c r="G986" i="2"/>
  <c r="E986" i="2"/>
  <c r="F986" i="2" s="1"/>
  <c r="L985" i="2" l="1"/>
  <c r="J986" i="2"/>
  <c r="E987" i="2"/>
  <c r="F987" i="2" s="1"/>
  <c r="H987" i="2"/>
  <c r="I987" i="2" s="1"/>
  <c r="K986" i="2"/>
  <c r="G987" i="2"/>
  <c r="L986" i="2" l="1"/>
  <c r="J987" i="2"/>
  <c r="E988" i="2"/>
  <c r="F988" i="2" s="1"/>
  <c r="H988" i="2"/>
  <c r="I988" i="2" s="1"/>
  <c r="K987" i="2"/>
  <c r="G988" i="2"/>
  <c r="L987" i="2" l="1"/>
  <c r="J988" i="2"/>
  <c r="G989" i="2"/>
  <c r="E989" i="2"/>
  <c r="F989" i="2" s="1"/>
  <c r="K988" i="2"/>
  <c r="H989" i="2"/>
  <c r="I989" i="2" s="1"/>
  <c r="L988" i="2" l="1"/>
  <c r="J989" i="2"/>
  <c r="H990" i="2"/>
  <c r="I990" i="2" s="1"/>
  <c r="K989" i="2"/>
  <c r="L989" i="2" s="1"/>
  <c r="G990" i="2"/>
  <c r="E990" i="2"/>
  <c r="F990" i="2" s="1"/>
  <c r="J990" i="2" l="1"/>
  <c r="E991" i="2"/>
  <c r="F991" i="2" s="1"/>
  <c r="H991" i="2"/>
  <c r="I991" i="2" s="1"/>
  <c r="K990" i="2"/>
  <c r="J991" i="2" s="1"/>
  <c r="G991" i="2"/>
  <c r="L990" i="2" l="1"/>
  <c r="E992" i="2"/>
  <c r="F992" i="2" s="1"/>
  <c r="H992" i="2"/>
  <c r="I992" i="2" s="1"/>
  <c r="K991" i="2"/>
  <c r="L991" i="2" s="1"/>
  <c r="G992" i="2"/>
  <c r="J992" i="2" l="1"/>
  <c r="G993" i="2"/>
  <c r="E993" i="2"/>
  <c r="F993" i="2" s="1"/>
  <c r="H993" i="2"/>
  <c r="I993" i="2" s="1"/>
  <c r="K992" i="2"/>
  <c r="J993" i="2" s="1"/>
  <c r="H994" i="2" l="1"/>
  <c r="I994" i="2" s="1"/>
  <c r="K993" i="2"/>
  <c r="L993" i="2" s="1"/>
  <c r="G994" i="2"/>
  <c r="E994" i="2"/>
  <c r="F994" i="2" s="1"/>
  <c r="L992" i="2"/>
  <c r="E995" i="2" l="1"/>
  <c r="F995" i="2" s="1"/>
  <c r="H995" i="2"/>
  <c r="I995" i="2" s="1"/>
  <c r="K994" i="2"/>
  <c r="J995" i="2" s="1"/>
  <c r="G995" i="2"/>
  <c r="J994" i="2"/>
  <c r="L994" i="2" l="1"/>
  <c r="E996" i="2"/>
  <c r="F996" i="2" s="1"/>
  <c r="H996" i="2"/>
  <c r="I996" i="2" s="1"/>
  <c r="K995" i="2"/>
  <c r="J996" i="2" s="1"/>
  <c r="G996" i="2"/>
  <c r="G997" i="2" l="1"/>
  <c r="E997" i="2"/>
  <c r="F997" i="2" s="1"/>
  <c r="H997" i="2"/>
  <c r="I997" i="2" s="1"/>
  <c r="K996" i="2"/>
  <c r="L996" i="2" s="1"/>
  <c r="L995" i="2"/>
  <c r="J997" i="2" l="1"/>
  <c r="H998" i="2"/>
  <c r="I998" i="2" s="1"/>
  <c r="K997" i="2"/>
  <c r="G998" i="2"/>
  <c r="E998" i="2"/>
  <c r="F998" i="2" s="1"/>
  <c r="L997" i="2" l="1"/>
  <c r="E999" i="2"/>
  <c r="F999" i="2" s="1"/>
  <c r="H999" i="2"/>
  <c r="I999" i="2" s="1"/>
  <c r="K998" i="2"/>
  <c r="J999" i="2" s="1"/>
  <c r="G999" i="2"/>
  <c r="J998" i="2"/>
  <c r="L998" i="2" l="1"/>
  <c r="E1000" i="2"/>
  <c r="F1000" i="2" s="1"/>
  <c r="H1000" i="2"/>
  <c r="I1000" i="2" s="1"/>
  <c r="K999" i="2"/>
  <c r="L999" i="2" s="1"/>
  <c r="G1000" i="2"/>
  <c r="J1000" i="2" l="1"/>
  <c r="G1001" i="2"/>
  <c r="E1001" i="2"/>
  <c r="F1001" i="2" s="1"/>
  <c r="K1000" i="2"/>
  <c r="H1001" i="2"/>
  <c r="I1001" i="2" s="1"/>
  <c r="L1000" i="2" l="1"/>
  <c r="J1001" i="2"/>
  <c r="H1002" i="2"/>
  <c r="I1002" i="2" s="1"/>
  <c r="K1001" i="2"/>
  <c r="J1002" i="2" s="1"/>
  <c r="G1002" i="2"/>
  <c r="E1002" i="2"/>
  <c r="F1002" i="2" s="1"/>
  <c r="L1001" i="2" l="1"/>
  <c r="E1003" i="2"/>
  <c r="F1003" i="2" s="1"/>
  <c r="H1003" i="2"/>
  <c r="I1003" i="2" s="1"/>
  <c r="K1002" i="2"/>
  <c r="L1002" i="2" s="1"/>
  <c r="G1003" i="2"/>
  <c r="E1004" i="2" l="1"/>
  <c r="F1004" i="2" s="1"/>
  <c r="H1004" i="2"/>
  <c r="I1004" i="2" s="1"/>
  <c r="K1003" i="2"/>
  <c r="J1004" i="2" s="1"/>
  <c r="G1004" i="2"/>
  <c r="J1003" i="2"/>
  <c r="G1005" i="2" l="1"/>
  <c r="E1005" i="2"/>
  <c r="F1005" i="2" s="1"/>
  <c r="H1005" i="2"/>
  <c r="I1005" i="2" s="1"/>
  <c r="K1004" i="2"/>
  <c r="L1004" i="2" s="1"/>
  <c r="L1003" i="2"/>
  <c r="J1005" i="2" l="1"/>
  <c r="H1006" i="2"/>
  <c r="I1006" i="2" s="1"/>
  <c r="K1005" i="2"/>
  <c r="G1006" i="2"/>
  <c r="E1006" i="2"/>
  <c r="F1006" i="2" s="1"/>
  <c r="L1005" i="2" l="1"/>
  <c r="J1006" i="2"/>
  <c r="E1007" i="2"/>
  <c r="F1007" i="2" s="1"/>
  <c r="H1007" i="2"/>
  <c r="I1007" i="2" s="1"/>
  <c r="K1006" i="2"/>
  <c r="G1007" i="2"/>
  <c r="L1006" i="2" l="1"/>
  <c r="J1007" i="2"/>
  <c r="E1008" i="2"/>
  <c r="F1008" i="2" s="1"/>
  <c r="H1008" i="2"/>
  <c r="I1008" i="2" s="1"/>
  <c r="K1007" i="2"/>
  <c r="G1008" i="2"/>
  <c r="L1007" i="2" l="1"/>
  <c r="J1008" i="2"/>
  <c r="G1009" i="2"/>
  <c r="E1009" i="2"/>
  <c r="F1009" i="2" s="1"/>
  <c r="H1009" i="2"/>
  <c r="I1009" i="2" s="1"/>
  <c r="K1008" i="2"/>
  <c r="L1008" i="2" l="1"/>
  <c r="J1009" i="2"/>
  <c r="H1010" i="2"/>
  <c r="I1010" i="2" s="1"/>
  <c r="K1009" i="2"/>
  <c r="G1010" i="2"/>
  <c r="E1010" i="2"/>
  <c r="F1010" i="2" s="1"/>
  <c r="L1009" i="2" l="1"/>
  <c r="E1011" i="2"/>
  <c r="F1011" i="2" s="1"/>
  <c r="H1011" i="2"/>
  <c r="I1011" i="2" s="1"/>
  <c r="K1010" i="2"/>
  <c r="J1011" i="2" s="1"/>
  <c r="G1011" i="2"/>
  <c r="J1010" i="2"/>
  <c r="L1010" i="2" l="1"/>
  <c r="E1012" i="2"/>
  <c r="F1012" i="2" s="1"/>
  <c r="H1012" i="2"/>
  <c r="I1012" i="2" s="1"/>
  <c r="K1011" i="2"/>
  <c r="L1011" i="2" s="1"/>
  <c r="G1012" i="2"/>
  <c r="J1012" i="2" l="1"/>
  <c r="G1013" i="2"/>
  <c r="E1013" i="2"/>
  <c r="F1013" i="2" s="1"/>
  <c r="H1013" i="2"/>
  <c r="I1013" i="2" s="1"/>
  <c r="K1012" i="2"/>
  <c r="J1013" i="2" s="1"/>
  <c r="L1012" i="2" l="1"/>
  <c r="H1014" i="2"/>
  <c r="I1014" i="2" s="1"/>
  <c r="K1013" i="2"/>
  <c r="L1013" i="2" s="1"/>
  <c r="G1014" i="2"/>
  <c r="E1014" i="2"/>
  <c r="F1014" i="2" s="1"/>
  <c r="J1014" i="2" l="1"/>
  <c r="E1015" i="2"/>
  <c r="F1015" i="2" s="1"/>
  <c r="H1015" i="2"/>
  <c r="I1015" i="2" s="1"/>
  <c r="K1014" i="2"/>
  <c r="G1015" i="2"/>
  <c r="L1014" i="2" l="1"/>
  <c r="E1016" i="2"/>
  <c r="F1016" i="2" s="1"/>
  <c r="H1016" i="2"/>
  <c r="I1016" i="2" s="1"/>
  <c r="K1015" i="2"/>
  <c r="J1016" i="2" s="1"/>
  <c r="G1016" i="2"/>
  <c r="J1015" i="2"/>
  <c r="G1017" i="2" l="1"/>
  <c r="E1017" i="2"/>
  <c r="F1017" i="2" s="1"/>
  <c r="K1016" i="2"/>
  <c r="L1016" i="2" s="1"/>
  <c r="H1017" i="2"/>
  <c r="I1017" i="2" s="1"/>
  <c r="L1015" i="2"/>
  <c r="J1017" i="2" l="1"/>
  <c r="H1018" i="2"/>
  <c r="I1018" i="2" s="1"/>
  <c r="K1017" i="2"/>
  <c r="G1018" i="2"/>
  <c r="E1018" i="2"/>
  <c r="F1018" i="2" s="1"/>
  <c r="L1017" i="2" l="1"/>
  <c r="J1018" i="2"/>
  <c r="E1019" i="2"/>
  <c r="F1019" i="2" s="1"/>
  <c r="H1019" i="2"/>
  <c r="I1019" i="2" s="1"/>
  <c r="K1018" i="2"/>
  <c r="J1019" i="2" s="1"/>
  <c r="G1019" i="2"/>
  <c r="L1018" i="2" l="1"/>
  <c r="E1020" i="2"/>
  <c r="F1020" i="2" s="1"/>
  <c r="H1020" i="2"/>
  <c r="I1020" i="2" s="1"/>
  <c r="K1019" i="2"/>
  <c r="L1019" i="2" s="1"/>
  <c r="G1020" i="2"/>
  <c r="J1020" i="2" l="1"/>
  <c r="G1021" i="2"/>
  <c r="E1021" i="2"/>
  <c r="F1021" i="2" s="1"/>
  <c r="K1020" i="2"/>
  <c r="H1021" i="2"/>
  <c r="I1021" i="2" s="1"/>
  <c r="L1020" i="2" l="1"/>
  <c r="J1021" i="2"/>
  <c r="H1022" i="2"/>
  <c r="I1022" i="2" s="1"/>
  <c r="K1021" i="2"/>
  <c r="J1022" i="2" s="1"/>
  <c r="G1022" i="2"/>
  <c r="E1022" i="2"/>
  <c r="F1022" i="2" s="1"/>
  <c r="E1023" i="2" l="1"/>
  <c r="F1023" i="2" s="1"/>
  <c r="H1023" i="2"/>
  <c r="I1023" i="2" s="1"/>
  <c r="K1022" i="2"/>
  <c r="L1022" i="2" s="1"/>
  <c r="G1023" i="2"/>
  <c r="L1021" i="2"/>
  <c r="J1023" i="2" l="1"/>
  <c r="E1024" i="2"/>
  <c r="F1024" i="2" s="1"/>
  <c r="H1024" i="2"/>
  <c r="I1024" i="2" s="1"/>
  <c r="K1023" i="2"/>
  <c r="J1024" i="2" s="1"/>
  <c r="G1024" i="2"/>
  <c r="G1025" i="2" l="1"/>
  <c r="E1025" i="2"/>
  <c r="F1025" i="2" s="1"/>
  <c r="H1025" i="2"/>
  <c r="I1025" i="2" s="1"/>
  <c r="K1024" i="2"/>
  <c r="L1024" i="2" s="1"/>
  <c r="L1023" i="2"/>
  <c r="J1025" i="2" l="1"/>
  <c r="H1026" i="2"/>
  <c r="I1026" i="2" s="1"/>
  <c r="K1025" i="2"/>
  <c r="J1026" i="2" s="1"/>
  <c r="G1026" i="2"/>
  <c r="E1026" i="2"/>
  <c r="F1026" i="2" s="1"/>
  <c r="E1027" i="2" l="1"/>
  <c r="F1027" i="2" s="1"/>
  <c r="H1027" i="2"/>
  <c r="I1027" i="2" s="1"/>
  <c r="K1026" i="2"/>
  <c r="L1026" i="2" s="1"/>
  <c r="G1027" i="2"/>
  <c r="L1025" i="2"/>
  <c r="E1028" i="2" l="1"/>
  <c r="F1028" i="2" s="1"/>
  <c r="H1028" i="2"/>
  <c r="I1028" i="2" s="1"/>
  <c r="K1027" i="2"/>
  <c r="J1028" i="2" s="1"/>
  <c r="G1028" i="2"/>
  <c r="J1027" i="2"/>
  <c r="G1029" i="2" l="1"/>
  <c r="E1029" i="2"/>
  <c r="F1029" i="2" s="1"/>
  <c r="H1029" i="2"/>
  <c r="I1029" i="2" s="1"/>
  <c r="K1028" i="2"/>
  <c r="L1028" i="2" s="1"/>
  <c r="L1027" i="2"/>
  <c r="J1029" i="2" l="1"/>
  <c r="H1030" i="2"/>
  <c r="I1030" i="2" s="1"/>
  <c r="K1029" i="2"/>
  <c r="G1030" i="2"/>
  <c r="E1030" i="2"/>
  <c r="F1030" i="2" s="1"/>
  <c r="L1029" i="2" l="1"/>
  <c r="E1031" i="2"/>
  <c r="F1031" i="2" s="1"/>
  <c r="H1031" i="2"/>
  <c r="I1031" i="2" s="1"/>
  <c r="K1030" i="2"/>
  <c r="J1031" i="2" s="1"/>
  <c r="G1031" i="2"/>
  <c r="J1030" i="2"/>
  <c r="L1030" i="2" l="1"/>
  <c r="E1032" i="2"/>
  <c r="F1032" i="2" s="1"/>
  <c r="H1032" i="2"/>
  <c r="I1032" i="2" s="1"/>
  <c r="K1031" i="2"/>
  <c r="L1031" i="2" s="1"/>
  <c r="G1032" i="2"/>
  <c r="J1032" i="2" l="1"/>
  <c r="G1033" i="2"/>
  <c r="E1033" i="2"/>
  <c r="F1033" i="2" s="1"/>
  <c r="K1032" i="2"/>
  <c r="J1033" i="2" s="1"/>
  <c r="H1033" i="2"/>
  <c r="I1033" i="2" s="1"/>
  <c r="L1032" i="2" l="1"/>
  <c r="H1034" i="2"/>
  <c r="I1034" i="2" s="1"/>
  <c r="K1033" i="2"/>
  <c r="L1033" i="2" s="1"/>
  <c r="G1034" i="2"/>
  <c r="E1034" i="2"/>
  <c r="F1034" i="2" s="1"/>
  <c r="E1035" i="2" l="1"/>
  <c r="F1035" i="2" s="1"/>
  <c r="H1035" i="2"/>
  <c r="I1035" i="2" s="1"/>
  <c r="K1034" i="2"/>
  <c r="J1035" i="2" s="1"/>
  <c r="G1035" i="2"/>
  <c r="J1034" i="2"/>
  <c r="L1034" i="2" l="1"/>
  <c r="E1036" i="2"/>
  <c r="F1036" i="2" s="1"/>
  <c r="H1036" i="2"/>
  <c r="I1036" i="2" s="1"/>
  <c r="K1035" i="2"/>
  <c r="L1035" i="2" s="1"/>
  <c r="G1036" i="2"/>
  <c r="J1036" i="2" l="1"/>
  <c r="G1037" i="2"/>
  <c r="E1037" i="2"/>
  <c r="F1037" i="2" s="1"/>
  <c r="K1036" i="2"/>
  <c r="J1037" i="2" s="1"/>
  <c r="H1037" i="2"/>
  <c r="I1037" i="2" s="1"/>
  <c r="H1038" i="2" l="1"/>
  <c r="I1038" i="2" s="1"/>
  <c r="K1037" i="2"/>
  <c r="L1037" i="2" s="1"/>
  <c r="G1038" i="2"/>
  <c r="E1038" i="2"/>
  <c r="F1038" i="2" s="1"/>
  <c r="L1036" i="2"/>
  <c r="E1039" i="2" l="1"/>
  <c r="F1039" i="2" s="1"/>
  <c r="H1039" i="2"/>
  <c r="I1039" i="2" s="1"/>
  <c r="K1038" i="2"/>
  <c r="J1039" i="2" s="1"/>
  <c r="G1039" i="2"/>
  <c r="J1038" i="2"/>
  <c r="L1038" i="2" l="1"/>
  <c r="E1040" i="2"/>
  <c r="F1040" i="2" s="1"/>
  <c r="H1040" i="2"/>
  <c r="I1040" i="2" s="1"/>
  <c r="K1039" i="2"/>
  <c r="L1039" i="2" s="1"/>
  <c r="G1040" i="2"/>
  <c r="J1040" i="2" l="1"/>
  <c r="G1041" i="2"/>
  <c r="E1041" i="2"/>
  <c r="F1041" i="2" s="1"/>
  <c r="H1041" i="2"/>
  <c r="I1041" i="2" s="1"/>
  <c r="K1040" i="2"/>
  <c r="J1041" i="2" s="1"/>
  <c r="H1042" i="2" l="1"/>
  <c r="I1042" i="2" s="1"/>
  <c r="K1041" i="2"/>
  <c r="L1041" i="2" s="1"/>
  <c r="G1042" i="2"/>
  <c r="E1042" i="2"/>
  <c r="F1042" i="2" s="1"/>
  <c r="L1040" i="2"/>
  <c r="E1043" i="2" l="1"/>
  <c r="F1043" i="2" s="1"/>
  <c r="H1043" i="2"/>
  <c r="I1043" i="2" s="1"/>
  <c r="K1042" i="2"/>
  <c r="J1043" i="2" s="1"/>
  <c r="G1043" i="2"/>
  <c r="J1042" i="2"/>
  <c r="L1042" i="2" l="1"/>
  <c r="E1044" i="2"/>
  <c r="F1044" i="2" s="1"/>
  <c r="H1044" i="2"/>
  <c r="I1044" i="2" s="1"/>
  <c r="K1043" i="2"/>
  <c r="L1043" i="2" s="1"/>
  <c r="G1044" i="2"/>
  <c r="J1044" i="2" l="1"/>
  <c r="G1045" i="2"/>
  <c r="E1045" i="2"/>
  <c r="F1045" i="2" s="1"/>
  <c r="H1045" i="2"/>
  <c r="I1045" i="2" s="1"/>
  <c r="K1044" i="2"/>
  <c r="J1045" i="2" s="1"/>
  <c r="H1046" i="2" l="1"/>
  <c r="I1046" i="2" s="1"/>
  <c r="K1045" i="2"/>
  <c r="L1045" i="2" s="1"/>
  <c r="G1046" i="2"/>
  <c r="E1046" i="2"/>
  <c r="F1046" i="2" s="1"/>
  <c r="L1044" i="2"/>
  <c r="J1046" i="2" l="1"/>
  <c r="E1047" i="2"/>
  <c r="F1047" i="2" s="1"/>
  <c r="H1047" i="2"/>
  <c r="I1047" i="2" s="1"/>
  <c r="K1046" i="2"/>
  <c r="G1047" i="2"/>
  <c r="L1046" i="2" l="1"/>
  <c r="J1047" i="2"/>
  <c r="E1048" i="2"/>
  <c r="F1048" i="2" s="1"/>
  <c r="H1048" i="2"/>
  <c r="I1048" i="2" s="1"/>
  <c r="K1047" i="2"/>
  <c r="G1048" i="2"/>
  <c r="L1047" i="2" l="1"/>
  <c r="J1048" i="2"/>
  <c r="G1049" i="2"/>
  <c r="E1049" i="2"/>
  <c r="F1049" i="2" s="1"/>
  <c r="K1048" i="2"/>
  <c r="J1049" i="2" s="1"/>
  <c r="H1049" i="2"/>
  <c r="I1049" i="2" s="1"/>
  <c r="L1048" i="2" l="1"/>
  <c r="H1050" i="2"/>
  <c r="I1050" i="2" s="1"/>
  <c r="K1049" i="2"/>
  <c r="L1049" i="2" s="1"/>
  <c r="G1050" i="2"/>
  <c r="E1050" i="2"/>
  <c r="F1050" i="2" s="1"/>
  <c r="J1050" i="2" l="1"/>
  <c r="E1051" i="2"/>
  <c r="F1051" i="2" s="1"/>
  <c r="H1051" i="2"/>
  <c r="I1051" i="2" s="1"/>
  <c r="K1050" i="2"/>
  <c r="J1051" i="2" s="1"/>
  <c r="G1051" i="2"/>
  <c r="L1050" i="2" l="1"/>
  <c r="E1052" i="2"/>
  <c r="F1052" i="2" s="1"/>
  <c r="H1052" i="2"/>
  <c r="I1052" i="2" s="1"/>
  <c r="K1051" i="2"/>
  <c r="J1052" i="2" s="1"/>
  <c r="G1052" i="2"/>
  <c r="G1053" i="2" l="1"/>
  <c r="E1053" i="2"/>
  <c r="F1053" i="2" s="1"/>
  <c r="H1053" i="2"/>
  <c r="I1053" i="2" s="1"/>
  <c r="K1052" i="2"/>
  <c r="L1052" i="2" s="1"/>
  <c r="L1051" i="2"/>
  <c r="J1053" i="2" l="1"/>
  <c r="H1054" i="2"/>
  <c r="I1054" i="2" s="1"/>
  <c r="K1053" i="2"/>
  <c r="J1054" i="2" s="1"/>
  <c r="G1054" i="2"/>
  <c r="E1054" i="2"/>
  <c r="F1054" i="2" s="1"/>
  <c r="E1055" i="2" l="1"/>
  <c r="F1055" i="2" s="1"/>
  <c r="H1055" i="2"/>
  <c r="I1055" i="2" s="1"/>
  <c r="K1054" i="2"/>
  <c r="L1054" i="2" s="1"/>
  <c r="G1055" i="2"/>
  <c r="L1053" i="2"/>
  <c r="E1056" i="2" l="1"/>
  <c r="F1056" i="2" s="1"/>
  <c r="H1056" i="2"/>
  <c r="I1056" i="2" s="1"/>
  <c r="K1055" i="2"/>
  <c r="J1056" i="2" s="1"/>
  <c r="G1056" i="2"/>
  <c r="J1055" i="2"/>
  <c r="G1057" i="2" l="1"/>
  <c r="E1057" i="2"/>
  <c r="F1057" i="2" s="1"/>
  <c r="H1057" i="2"/>
  <c r="I1057" i="2" s="1"/>
  <c r="K1056" i="2"/>
  <c r="L1056" i="2" s="1"/>
  <c r="L1055" i="2"/>
  <c r="J1057" i="2" l="1"/>
  <c r="H1058" i="2"/>
  <c r="I1058" i="2" s="1"/>
  <c r="K1057" i="2"/>
  <c r="J1058" i="2" s="1"/>
  <c r="G1058" i="2"/>
  <c r="E1058" i="2"/>
  <c r="F1058" i="2" s="1"/>
  <c r="E1059" i="2" l="1"/>
  <c r="F1059" i="2" s="1"/>
  <c r="H1059" i="2"/>
  <c r="I1059" i="2" s="1"/>
  <c r="K1058" i="2"/>
  <c r="L1058" i="2" s="1"/>
  <c r="G1059" i="2"/>
  <c r="L1057" i="2"/>
  <c r="E1060" i="2" l="1"/>
  <c r="F1060" i="2" s="1"/>
  <c r="H1060" i="2"/>
  <c r="I1060" i="2" s="1"/>
  <c r="K1059" i="2"/>
  <c r="J1060" i="2" s="1"/>
  <c r="G1060" i="2"/>
  <c r="J1059" i="2"/>
  <c r="G1061" i="2" l="1"/>
  <c r="E1061" i="2"/>
  <c r="F1061" i="2" s="1"/>
  <c r="K1060" i="2"/>
  <c r="L1060" i="2" s="1"/>
  <c r="H1061" i="2"/>
  <c r="I1061" i="2" s="1"/>
  <c r="L1059" i="2"/>
  <c r="J1061" i="2" l="1"/>
  <c r="H1062" i="2"/>
  <c r="I1062" i="2" s="1"/>
  <c r="K1061" i="2"/>
  <c r="G1062" i="2"/>
  <c r="E1062" i="2"/>
  <c r="F1062" i="2" s="1"/>
  <c r="L1061" i="2" l="1"/>
  <c r="E1063" i="2"/>
  <c r="F1063" i="2" s="1"/>
  <c r="H1063" i="2"/>
  <c r="I1063" i="2" s="1"/>
  <c r="K1062" i="2"/>
  <c r="J1063" i="2" s="1"/>
  <c r="G1063" i="2"/>
  <c r="J1062" i="2"/>
  <c r="E1064" i="2" l="1"/>
  <c r="F1064" i="2" s="1"/>
  <c r="H1064" i="2"/>
  <c r="I1064" i="2" s="1"/>
  <c r="K1063" i="2"/>
  <c r="L1063" i="2" s="1"/>
  <c r="G1064" i="2"/>
  <c r="L1062" i="2"/>
  <c r="J1064" i="2" l="1"/>
  <c r="G1065" i="2"/>
  <c r="E1065" i="2"/>
  <c r="F1065" i="2" s="1"/>
  <c r="K1064" i="2"/>
  <c r="H1065" i="2"/>
  <c r="I1065" i="2" s="1"/>
  <c r="L1064" i="2" l="1"/>
  <c r="J1065" i="2"/>
  <c r="H1066" i="2"/>
  <c r="I1066" i="2" s="1"/>
  <c r="K1065" i="2"/>
  <c r="J1066" i="2" s="1"/>
  <c r="G1066" i="2"/>
  <c r="E1066" i="2"/>
  <c r="F1066" i="2" s="1"/>
  <c r="E1067" i="2" l="1"/>
  <c r="F1067" i="2" s="1"/>
  <c r="H1067" i="2"/>
  <c r="I1067" i="2" s="1"/>
  <c r="K1066" i="2"/>
  <c r="L1066" i="2" s="1"/>
  <c r="G1067" i="2"/>
  <c r="L1065" i="2"/>
  <c r="E1068" i="2" l="1"/>
  <c r="F1068" i="2" s="1"/>
  <c r="H1068" i="2"/>
  <c r="I1068" i="2" s="1"/>
  <c r="K1067" i="2"/>
  <c r="J1068" i="2" s="1"/>
  <c r="G1068" i="2"/>
  <c r="J1067" i="2"/>
  <c r="G1069" i="2" l="1"/>
  <c r="E1069" i="2"/>
  <c r="F1069" i="2" s="1"/>
  <c r="K1068" i="2"/>
  <c r="L1068" i="2" s="1"/>
  <c r="H1069" i="2"/>
  <c r="I1069" i="2" s="1"/>
  <c r="L1067" i="2"/>
  <c r="J1069" i="2" l="1"/>
  <c r="H1070" i="2"/>
  <c r="I1070" i="2" s="1"/>
  <c r="K1069" i="2"/>
  <c r="G1070" i="2"/>
  <c r="E1070" i="2"/>
  <c r="F1070" i="2" s="1"/>
  <c r="L1069" i="2" l="1"/>
  <c r="E1071" i="2"/>
  <c r="F1071" i="2" s="1"/>
  <c r="H1071" i="2"/>
  <c r="I1071" i="2" s="1"/>
  <c r="K1070" i="2"/>
  <c r="J1071" i="2" s="1"/>
  <c r="G1071" i="2"/>
  <c r="J1070" i="2"/>
  <c r="L1070" i="2" l="1"/>
  <c r="E1072" i="2"/>
  <c r="F1072" i="2" s="1"/>
  <c r="H1072" i="2"/>
  <c r="I1072" i="2" s="1"/>
  <c r="K1071" i="2"/>
  <c r="L1071" i="2" s="1"/>
  <c r="G1072" i="2"/>
  <c r="J1072" i="2" l="1"/>
  <c r="G1073" i="2"/>
  <c r="E1073" i="2"/>
  <c r="F1073" i="2" s="1"/>
  <c r="H1073" i="2"/>
  <c r="I1073" i="2" s="1"/>
  <c r="K1072" i="2"/>
  <c r="J1073" i="2" s="1"/>
  <c r="H1074" i="2" l="1"/>
  <c r="I1074" i="2" s="1"/>
  <c r="K1073" i="2"/>
  <c r="L1073" i="2" s="1"/>
  <c r="G1074" i="2"/>
  <c r="E1074" i="2"/>
  <c r="F1074" i="2" s="1"/>
  <c r="L1072" i="2"/>
  <c r="E1075" i="2" l="1"/>
  <c r="F1075" i="2" s="1"/>
  <c r="H1075" i="2"/>
  <c r="I1075" i="2" s="1"/>
  <c r="K1074" i="2"/>
  <c r="J1075" i="2" s="1"/>
  <c r="G1075" i="2"/>
  <c r="J1074" i="2"/>
  <c r="L1074" i="2" l="1"/>
  <c r="E1076" i="2"/>
  <c r="F1076" i="2" s="1"/>
  <c r="H1076" i="2"/>
  <c r="I1076" i="2" s="1"/>
  <c r="K1075" i="2"/>
  <c r="L1075" i="2" s="1"/>
  <c r="G1076" i="2"/>
  <c r="J1076" i="2" l="1"/>
  <c r="G1077" i="2"/>
  <c r="E1077" i="2"/>
  <c r="F1077" i="2" s="1"/>
  <c r="K1076" i="2"/>
  <c r="J1077" i="2" s="1"/>
  <c r="H1077" i="2"/>
  <c r="I1077" i="2" s="1"/>
  <c r="H1078" i="2" l="1"/>
  <c r="I1078" i="2" s="1"/>
  <c r="K1077" i="2"/>
  <c r="L1077" i="2" s="1"/>
  <c r="G1078" i="2"/>
  <c r="E1078" i="2"/>
  <c r="F1078" i="2" s="1"/>
  <c r="L1076" i="2"/>
  <c r="E1079" i="2" l="1"/>
  <c r="F1079" i="2" s="1"/>
  <c r="H1079" i="2"/>
  <c r="I1079" i="2" s="1"/>
  <c r="K1078" i="2"/>
  <c r="J1079" i="2" s="1"/>
  <c r="G1079" i="2"/>
  <c r="J1078" i="2"/>
  <c r="L1078" i="2" l="1"/>
  <c r="E1080" i="2"/>
  <c r="F1080" i="2" s="1"/>
  <c r="H1080" i="2"/>
  <c r="I1080" i="2" s="1"/>
  <c r="K1079" i="2"/>
  <c r="L1079" i="2" s="1"/>
  <c r="G1080" i="2"/>
  <c r="J1080" i="2" l="1"/>
  <c r="G1081" i="2"/>
  <c r="E1081" i="2"/>
  <c r="F1081" i="2" s="1"/>
  <c r="K1080" i="2"/>
  <c r="J1081" i="2" s="1"/>
  <c r="H1081" i="2"/>
  <c r="I1081" i="2" s="1"/>
  <c r="H1082" i="2" l="1"/>
  <c r="I1082" i="2" s="1"/>
  <c r="K1081" i="2"/>
  <c r="L1081" i="2" s="1"/>
  <c r="G1082" i="2"/>
  <c r="E1082" i="2"/>
  <c r="F1082" i="2" s="1"/>
  <c r="L1080" i="2"/>
  <c r="E1083" i="2" l="1"/>
  <c r="F1083" i="2" s="1"/>
  <c r="H1083" i="2"/>
  <c r="I1083" i="2" s="1"/>
  <c r="K1082" i="2"/>
  <c r="J1083" i="2" s="1"/>
  <c r="G1083" i="2"/>
  <c r="J1082" i="2"/>
  <c r="L1082" i="2" l="1"/>
  <c r="E1084" i="2"/>
  <c r="F1084" i="2" s="1"/>
  <c r="H1084" i="2"/>
  <c r="I1084" i="2" s="1"/>
  <c r="K1083" i="2"/>
  <c r="L1083" i="2" s="1"/>
  <c r="G1084" i="2"/>
  <c r="J1084" i="2" l="1"/>
  <c r="G1085" i="2"/>
  <c r="E1085" i="2"/>
  <c r="F1085" i="2" s="1"/>
  <c r="K1084" i="2"/>
  <c r="J1085" i="2" s="1"/>
  <c r="H1085" i="2"/>
  <c r="I1085" i="2" s="1"/>
  <c r="H1086" i="2" l="1"/>
  <c r="I1086" i="2" s="1"/>
  <c r="K1085" i="2"/>
  <c r="L1085" i="2" s="1"/>
  <c r="G1086" i="2"/>
  <c r="E1086" i="2"/>
  <c r="F1086" i="2" s="1"/>
  <c r="L1084" i="2"/>
  <c r="E1087" i="2" l="1"/>
  <c r="F1087" i="2" s="1"/>
  <c r="H1087" i="2"/>
  <c r="I1087" i="2" s="1"/>
  <c r="K1086" i="2"/>
  <c r="J1087" i="2" s="1"/>
  <c r="G1087" i="2"/>
  <c r="J1086" i="2"/>
  <c r="L1086" i="2" l="1"/>
  <c r="E1088" i="2"/>
  <c r="F1088" i="2" s="1"/>
  <c r="H1088" i="2"/>
  <c r="I1088" i="2" s="1"/>
  <c r="K1087" i="2"/>
  <c r="L1087" i="2" s="1"/>
  <c r="G1088" i="2"/>
  <c r="J1088" i="2" l="1"/>
  <c r="G1089" i="2"/>
  <c r="E1089" i="2"/>
  <c r="F1089" i="2" s="1"/>
  <c r="H1089" i="2"/>
  <c r="I1089" i="2" s="1"/>
  <c r="K1088" i="2"/>
  <c r="J1089" i="2" s="1"/>
  <c r="H1090" i="2" l="1"/>
  <c r="I1090" i="2" s="1"/>
  <c r="K1089" i="2"/>
  <c r="L1089" i="2" s="1"/>
  <c r="G1090" i="2"/>
  <c r="E1090" i="2"/>
  <c r="F1090" i="2" s="1"/>
  <c r="L1088" i="2"/>
  <c r="E1091" i="2" l="1"/>
  <c r="F1091" i="2" s="1"/>
  <c r="H1091" i="2"/>
  <c r="I1091" i="2" s="1"/>
  <c r="K1090" i="2"/>
  <c r="J1091" i="2" s="1"/>
  <c r="G1091" i="2"/>
  <c r="J1090" i="2"/>
  <c r="L1090" i="2" l="1"/>
  <c r="E1092" i="2"/>
  <c r="F1092" i="2" s="1"/>
  <c r="H1092" i="2"/>
  <c r="I1092" i="2" s="1"/>
  <c r="K1091" i="2"/>
  <c r="L1091" i="2" s="1"/>
  <c r="G1092" i="2"/>
  <c r="J1092" i="2" l="1"/>
  <c r="G1093" i="2"/>
  <c r="E1093" i="2"/>
  <c r="F1093" i="2" s="1"/>
  <c r="K1092" i="2"/>
  <c r="J1093" i="2" s="1"/>
  <c r="H1093" i="2"/>
  <c r="I1093" i="2" s="1"/>
  <c r="H1094" i="2" l="1"/>
  <c r="I1094" i="2" s="1"/>
  <c r="K1093" i="2"/>
  <c r="L1093" i="2" s="1"/>
  <c r="G1094" i="2"/>
  <c r="E1094" i="2"/>
  <c r="F1094" i="2" s="1"/>
  <c r="L1092" i="2"/>
  <c r="E1095" i="2" l="1"/>
  <c r="F1095" i="2" s="1"/>
  <c r="H1095" i="2"/>
  <c r="I1095" i="2" s="1"/>
  <c r="K1094" i="2"/>
  <c r="J1095" i="2" s="1"/>
  <c r="G1095" i="2"/>
  <c r="J1094" i="2"/>
  <c r="L1094" i="2" l="1"/>
  <c r="E1096" i="2"/>
  <c r="F1096" i="2" s="1"/>
  <c r="H1096" i="2"/>
  <c r="I1096" i="2" s="1"/>
  <c r="K1095" i="2"/>
  <c r="L1095" i="2" s="1"/>
  <c r="G1096" i="2"/>
  <c r="J1096" i="2" l="1"/>
  <c r="G1097" i="2"/>
  <c r="E1097" i="2"/>
  <c r="F1097" i="2" s="1"/>
  <c r="K1096" i="2"/>
  <c r="J1097" i="2" s="1"/>
  <c r="H1097" i="2"/>
  <c r="I1097" i="2" s="1"/>
  <c r="H1098" i="2" l="1"/>
  <c r="I1098" i="2" s="1"/>
  <c r="K1097" i="2"/>
  <c r="L1097" i="2" s="1"/>
  <c r="G1098" i="2"/>
  <c r="E1098" i="2"/>
  <c r="F1098" i="2" s="1"/>
  <c r="L1096" i="2"/>
  <c r="E1099" i="2" l="1"/>
  <c r="F1099" i="2" s="1"/>
  <c r="H1099" i="2"/>
  <c r="I1099" i="2" s="1"/>
  <c r="K1098" i="2"/>
  <c r="J1099" i="2" s="1"/>
  <c r="G1099" i="2"/>
  <c r="J1098" i="2"/>
  <c r="L1098" i="2" l="1"/>
  <c r="E1100" i="2"/>
  <c r="F1100" i="2" s="1"/>
  <c r="H1100" i="2"/>
  <c r="I1100" i="2" s="1"/>
  <c r="K1099" i="2"/>
  <c r="L1099" i="2" s="1"/>
  <c r="G1100" i="2"/>
  <c r="J1100" i="2" l="1"/>
  <c r="G1101" i="2"/>
  <c r="E1101" i="2"/>
  <c r="F1101" i="2" s="1"/>
  <c r="K1100" i="2"/>
  <c r="J1101" i="2" s="1"/>
  <c r="H1101" i="2"/>
  <c r="I1101" i="2" s="1"/>
  <c r="L1100" i="2" l="1"/>
  <c r="H1102" i="2"/>
  <c r="I1102" i="2" s="1"/>
  <c r="K1101" i="2"/>
  <c r="L1101" i="2" s="1"/>
  <c r="G1102" i="2"/>
  <c r="E1102" i="2"/>
  <c r="F1102" i="2" s="1"/>
  <c r="J1102" i="2" l="1"/>
  <c r="E1103" i="2"/>
  <c r="F1103" i="2" s="1"/>
  <c r="H1103" i="2"/>
  <c r="I1103" i="2" s="1"/>
  <c r="K1102" i="2"/>
  <c r="J1103" i="2" s="1"/>
  <c r="G1103" i="2"/>
  <c r="L1102" i="2" l="1"/>
  <c r="E1104" i="2"/>
  <c r="F1104" i="2" s="1"/>
  <c r="H1104" i="2"/>
  <c r="I1104" i="2" s="1"/>
  <c r="K1103" i="2"/>
  <c r="J1104" i="2" s="1"/>
  <c r="G1104" i="2"/>
  <c r="G1105" i="2" l="1"/>
  <c r="E1105" i="2"/>
  <c r="F1105" i="2" s="1"/>
  <c r="H1105" i="2"/>
  <c r="I1105" i="2" s="1"/>
  <c r="K1104" i="2"/>
  <c r="L1104" i="2" s="1"/>
  <c r="L1103" i="2"/>
  <c r="J1105" i="2" l="1"/>
  <c r="H1106" i="2"/>
  <c r="I1106" i="2" s="1"/>
  <c r="K1105" i="2"/>
  <c r="J1106" i="2" s="1"/>
  <c r="G1106" i="2"/>
  <c r="E1106" i="2"/>
  <c r="F1106" i="2" s="1"/>
  <c r="E1107" i="2" l="1"/>
  <c r="F1107" i="2" s="1"/>
  <c r="H1107" i="2"/>
  <c r="I1107" i="2" s="1"/>
  <c r="K1106" i="2"/>
  <c r="L1106" i="2" s="1"/>
  <c r="G1107" i="2"/>
  <c r="L1105" i="2"/>
  <c r="J1107" i="2" l="1"/>
  <c r="E1108" i="2"/>
  <c r="F1108" i="2" s="1"/>
  <c r="H1108" i="2"/>
  <c r="I1108" i="2" s="1"/>
  <c r="K1107" i="2"/>
  <c r="J1108" i="2" s="1"/>
  <c r="G1108" i="2"/>
  <c r="G1109" i="2" l="1"/>
  <c r="E1109" i="2"/>
  <c r="F1109" i="2" s="1"/>
  <c r="H1109" i="2"/>
  <c r="I1109" i="2" s="1"/>
  <c r="K1108" i="2"/>
  <c r="L1108" i="2" s="1"/>
  <c r="L1107" i="2"/>
  <c r="J1109" i="2" l="1"/>
  <c r="H1110" i="2"/>
  <c r="I1110" i="2" s="1"/>
  <c r="K1109" i="2"/>
  <c r="J1110" i="2" s="1"/>
  <c r="G1110" i="2"/>
  <c r="E1110" i="2"/>
  <c r="F1110" i="2" s="1"/>
  <c r="E1111" i="2" l="1"/>
  <c r="F1111" i="2" s="1"/>
  <c r="H1111" i="2"/>
  <c r="I1111" i="2" s="1"/>
  <c r="K1110" i="2"/>
  <c r="L1110" i="2" s="1"/>
  <c r="G1111" i="2"/>
  <c r="L1109" i="2"/>
  <c r="E1112" i="2" l="1"/>
  <c r="F1112" i="2" s="1"/>
  <c r="H1112" i="2"/>
  <c r="I1112" i="2" s="1"/>
  <c r="K1111" i="2"/>
  <c r="J1112" i="2" s="1"/>
  <c r="G1112" i="2"/>
  <c r="J1111" i="2"/>
  <c r="G1113" i="2" l="1"/>
  <c r="E1113" i="2"/>
  <c r="F1113" i="2" s="1"/>
  <c r="K1112" i="2"/>
  <c r="L1112" i="2" s="1"/>
  <c r="H1113" i="2"/>
  <c r="I1113" i="2" s="1"/>
  <c r="L1111" i="2"/>
  <c r="J1113" i="2" l="1"/>
  <c r="H1114" i="2"/>
  <c r="I1114" i="2" s="1"/>
  <c r="K1113" i="2"/>
  <c r="G1114" i="2"/>
  <c r="E1114" i="2"/>
  <c r="F1114" i="2" s="1"/>
  <c r="L1113" i="2" l="1"/>
  <c r="E1115" i="2"/>
  <c r="F1115" i="2" s="1"/>
  <c r="H1115" i="2"/>
  <c r="I1115" i="2" s="1"/>
  <c r="K1114" i="2"/>
  <c r="J1115" i="2" s="1"/>
  <c r="G1115" i="2"/>
  <c r="J1114" i="2"/>
  <c r="L1114" i="2" l="1"/>
  <c r="E1116" i="2"/>
  <c r="F1116" i="2" s="1"/>
  <c r="H1116" i="2"/>
  <c r="I1116" i="2" s="1"/>
  <c r="K1115" i="2"/>
  <c r="L1115" i="2" s="1"/>
  <c r="G1116" i="2"/>
  <c r="J1116" i="2" l="1"/>
  <c r="G1117" i="2"/>
  <c r="E1117" i="2"/>
  <c r="F1117" i="2" s="1"/>
  <c r="K1116" i="2"/>
  <c r="J1117" i="2" s="1"/>
  <c r="H1117" i="2"/>
  <c r="I1117" i="2" s="1"/>
  <c r="H1118" i="2" l="1"/>
  <c r="I1118" i="2" s="1"/>
  <c r="K1117" i="2"/>
  <c r="L1117" i="2" s="1"/>
  <c r="G1118" i="2"/>
  <c r="E1118" i="2"/>
  <c r="F1118" i="2" s="1"/>
  <c r="L1116" i="2"/>
  <c r="E1119" i="2" l="1"/>
  <c r="F1119" i="2" s="1"/>
  <c r="H1119" i="2"/>
  <c r="I1119" i="2" s="1"/>
  <c r="K1118" i="2"/>
  <c r="J1119" i="2" s="1"/>
  <c r="G1119" i="2"/>
  <c r="J1118" i="2"/>
  <c r="L1118" i="2" l="1"/>
  <c r="E1120" i="2"/>
  <c r="F1120" i="2" s="1"/>
  <c r="H1120" i="2"/>
  <c r="I1120" i="2" s="1"/>
  <c r="K1119" i="2"/>
  <c r="L1119" i="2" s="1"/>
  <c r="G1120" i="2"/>
  <c r="J1120" i="2" l="1"/>
  <c r="G1121" i="2"/>
  <c r="E1121" i="2"/>
  <c r="F1121" i="2" s="1"/>
  <c r="H1121" i="2"/>
  <c r="I1121" i="2" s="1"/>
  <c r="K1120" i="2"/>
  <c r="J1121" i="2" s="1"/>
  <c r="L1120" i="2" l="1"/>
  <c r="H1122" i="2"/>
  <c r="I1122" i="2" s="1"/>
  <c r="K1121" i="2"/>
  <c r="J1122" i="2" s="1"/>
  <c r="G1122" i="2"/>
  <c r="E1122" i="2"/>
  <c r="F1122" i="2" s="1"/>
  <c r="L1121" i="2" l="1"/>
  <c r="E1123" i="2"/>
  <c r="F1123" i="2" s="1"/>
  <c r="H1123" i="2"/>
  <c r="I1123" i="2" s="1"/>
  <c r="K1122" i="2"/>
  <c r="L1122" i="2" s="1"/>
  <c r="G1123" i="2"/>
  <c r="J1123" i="2" l="1"/>
  <c r="E1124" i="2"/>
  <c r="F1124" i="2" s="1"/>
  <c r="H1124" i="2"/>
  <c r="I1124" i="2" s="1"/>
  <c r="K1123" i="2"/>
  <c r="G1124" i="2"/>
  <c r="L1123" i="2" l="1"/>
  <c r="J1124" i="2"/>
  <c r="G1125" i="2"/>
  <c r="E1125" i="2"/>
  <c r="F1125" i="2" s="1"/>
  <c r="H1125" i="2"/>
  <c r="I1125" i="2" s="1"/>
  <c r="K1124" i="2"/>
  <c r="J1125" i="2" s="1"/>
  <c r="L1124" i="2" l="1"/>
  <c r="H1126" i="2"/>
  <c r="I1126" i="2" s="1"/>
  <c r="K1125" i="2"/>
  <c r="L1125" i="2" s="1"/>
  <c r="G1126" i="2"/>
  <c r="E1126" i="2"/>
  <c r="F1126" i="2" s="1"/>
  <c r="J1126" i="2" l="1"/>
  <c r="E1127" i="2"/>
  <c r="F1127" i="2" s="1"/>
  <c r="H1127" i="2"/>
  <c r="I1127" i="2" s="1"/>
  <c r="K1126" i="2"/>
  <c r="G1127" i="2"/>
  <c r="L1126" i="2" l="1"/>
  <c r="E1128" i="2"/>
  <c r="F1128" i="2" s="1"/>
  <c r="H1128" i="2"/>
  <c r="I1128" i="2" s="1"/>
  <c r="K1127" i="2"/>
  <c r="J1128" i="2" s="1"/>
  <c r="G1128" i="2"/>
  <c r="J1127" i="2"/>
  <c r="G1129" i="2" l="1"/>
  <c r="E1129" i="2"/>
  <c r="F1129" i="2" s="1"/>
  <c r="K1128" i="2"/>
  <c r="L1128" i="2" s="1"/>
  <c r="H1129" i="2"/>
  <c r="I1129" i="2" s="1"/>
  <c r="L1127" i="2"/>
  <c r="J1129" i="2" l="1"/>
  <c r="H1130" i="2"/>
  <c r="I1130" i="2" s="1"/>
  <c r="K1129" i="2"/>
  <c r="G1130" i="2"/>
  <c r="E1130" i="2"/>
  <c r="F1130" i="2" s="1"/>
  <c r="L1129" i="2" l="1"/>
  <c r="E1131" i="2"/>
  <c r="F1131" i="2" s="1"/>
  <c r="H1131" i="2"/>
  <c r="I1131" i="2" s="1"/>
  <c r="K1130" i="2"/>
  <c r="J1131" i="2" s="1"/>
  <c r="G1131" i="2"/>
  <c r="J1130" i="2"/>
  <c r="L1130" i="2" l="1"/>
  <c r="E1132" i="2"/>
  <c r="F1132" i="2" s="1"/>
  <c r="H1132" i="2"/>
  <c r="I1132" i="2" s="1"/>
  <c r="K1131" i="2"/>
  <c r="L1131" i="2" s="1"/>
  <c r="G1132" i="2"/>
  <c r="J1132" i="2" l="1"/>
  <c r="G1133" i="2"/>
  <c r="E1133" i="2"/>
  <c r="F1133" i="2" s="1"/>
  <c r="K1132" i="2"/>
  <c r="J1133" i="2" s="1"/>
  <c r="H1133" i="2"/>
  <c r="I1133" i="2" s="1"/>
  <c r="H1134" i="2" l="1"/>
  <c r="I1134" i="2" s="1"/>
  <c r="K1133" i="2"/>
  <c r="L1133" i="2" s="1"/>
  <c r="G1134" i="2"/>
  <c r="E1134" i="2"/>
  <c r="F1134" i="2" s="1"/>
  <c r="L1132" i="2"/>
  <c r="E1135" i="2" l="1"/>
  <c r="F1135" i="2" s="1"/>
  <c r="H1135" i="2"/>
  <c r="I1135" i="2" s="1"/>
  <c r="K1134" i="2"/>
  <c r="J1135" i="2" s="1"/>
  <c r="G1135" i="2"/>
  <c r="J1134" i="2"/>
  <c r="E1136" i="2" l="1"/>
  <c r="F1136" i="2" s="1"/>
  <c r="H1136" i="2"/>
  <c r="I1136" i="2" s="1"/>
  <c r="K1135" i="2"/>
  <c r="L1135" i="2" s="1"/>
  <c r="G1136" i="2"/>
  <c r="L1134" i="2"/>
  <c r="J1136" i="2" l="1"/>
  <c r="G1137" i="2"/>
  <c r="E1137" i="2"/>
  <c r="F1137" i="2" s="1"/>
  <c r="H1137" i="2"/>
  <c r="I1137" i="2" s="1"/>
  <c r="K1136" i="2"/>
  <c r="J1137" i="2" s="1"/>
  <c r="L1136" i="2" l="1"/>
  <c r="H1138" i="2"/>
  <c r="I1138" i="2" s="1"/>
  <c r="K1137" i="2"/>
  <c r="J1138" i="2" s="1"/>
  <c r="G1138" i="2"/>
  <c r="E1138" i="2"/>
  <c r="F1138" i="2" s="1"/>
  <c r="L1137" i="2" l="1"/>
  <c r="E1139" i="2"/>
  <c r="F1139" i="2" s="1"/>
  <c r="H1139" i="2"/>
  <c r="I1139" i="2" s="1"/>
  <c r="K1138" i="2"/>
  <c r="L1138" i="2" s="1"/>
  <c r="G1139" i="2"/>
  <c r="E1140" i="2" l="1"/>
  <c r="F1140" i="2" s="1"/>
  <c r="H1140" i="2"/>
  <c r="I1140" i="2" s="1"/>
  <c r="K1139" i="2"/>
  <c r="J1140" i="2" s="1"/>
  <c r="G1140" i="2"/>
  <c r="J1139" i="2"/>
  <c r="G1141" i="2" l="1"/>
  <c r="E1141" i="2"/>
  <c r="F1141" i="2" s="1"/>
  <c r="H1141" i="2"/>
  <c r="I1141" i="2" s="1"/>
  <c r="K1140" i="2"/>
  <c r="L1140" i="2" s="1"/>
  <c r="L1139" i="2"/>
  <c r="J1141" i="2" l="1"/>
  <c r="H1142" i="2"/>
  <c r="I1142" i="2" s="1"/>
  <c r="K1141" i="2"/>
  <c r="J1142" i="2" s="1"/>
  <c r="G1142" i="2"/>
  <c r="E1142" i="2"/>
  <c r="F1142" i="2" s="1"/>
  <c r="E1143" i="2" l="1"/>
  <c r="F1143" i="2" s="1"/>
  <c r="H1143" i="2"/>
  <c r="I1143" i="2" s="1"/>
  <c r="K1142" i="2"/>
  <c r="L1142" i="2" s="1"/>
  <c r="G1143" i="2"/>
  <c r="L1141" i="2"/>
  <c r="E1144" i="2" l="1"/>
  <c r="F1144" i="2" s="1"/>
  <c r="H1144" i="2"/>
  <c r="I1144" i="2" s="1"/>
  <c r="K1143" i="2"/>
  <c r="J1144" i="2" s="1"/>
  <c r="G1144" i="2"/>
  <c r="J1143" i="2"/>
  <c r="G1145" i="2" l="1"/>
  <c r="E1145" i="2"/>
  <c r="F1145" i="2" s="1"/>
  <c r="K1144" i="2"/>
  <c r="L1144" i="2" s="1"/>
  <c r="H1145" i="2"/>
  <c r="I1145" i="2" s="1"/>
  <c r="L1143" i="2"/>
  <c r="J1145" i="2" l="1"/>
  <c r="H1146" i="2"/>
  <c r="I1146" i="2" s="1"/>
  <c r="K1145" i="2"/>
  <c r="G1146" i="2"/>
  <c r="E1146" i="2"/>
  <c r="F1146" i="2" s="1"/>
  <c r="L1145" i="2" l="1"/>
  <c r="E1147" i="2"/>
  <c r="F1147" i="2" s="1"/>
  <c r="H1147" i="2"/>
  <c r="I1147" i="2" s="1"/>
  <c r="K1146" i="2"/>
  <c r="J1147" i="2" s="1"/>
  <c r="G1147" i="2"/>
  <c r="J1146" i="2"/>
  <c r="L1146" i="2" l="1"/>
  <c r="E1148" i="2"/>
  <c r="F1148" i="2" s="1"/>
  <c r="H1148" i="2"/>
  <c r="I1148" i="2" s="1"/>
  <c r="K1147" i="2"/>
  <c r="L1147" i="2" s="1"/>
  <c r="G1148" i="2"/>
  <c r="J1148" i="2" l="1"/>
  <c r="G1149" i="2"/>
  <c r="E1149" i="2"/>
  <c r="F1149" i="2" s="1"/>
  <c r="K1148" i="2"/>
  <c r="J1149" i="2" s="1"/>
  <c r="H1149" i="2"/>
  <c r="I1149" i="2" s="1"/>
  <c r="H1150" i="2" l="1"/>
  <c r="I1150" i="2" s="1"/>
  <c r="K1149" i="2"/>
  <c r="L1149" i="2" s="1"/>
  <c r="G1150" i="2"/>
  <c r="E1150" i="2"/>
  <c r="F1150" i="2" s="1"/>
  <c r="L1148" i="2"/>
  <c r="E1151" i="2" l="1"/>
  <c r="F1151" i="2" s="1"/>
  <c r="H1151" i="2"/>
  <c r="I1151" i="2" s="1"/>
  <c r="K1150" i="2"/>
  <c r="J1151" i="2" s="1"/>
  <c r="G1151" i="2"/>
  <c r="J1150" i="2"/>
  <c r="L1150" i="2" l="1"/>
  <c r="E1152" i="2"/>
  <c r="F1152" i="2" s="1"/>
  <c r="H1152" i="2"/>
  <c r="I1152" i="2" s="1"/>
  <c r="K1151" i="2"/>
  <c r="L1151" i="2" s="1"/>
  <c r="G1152" i="2"/>
  <c r="J1152" i="2" l="1"/>
  <c r="G1153" i="2"/>
  <c r="E1153" i="2"/>
  <c r="F1153" i="2" s="1"/>
  <c r="H1153" i="2"/>
  <c r="I1153" i="2" s="1"/>
  <c r="K1152" i="2"/>
  <c r="J1153" i="2" s="1"/>
  <c r="L1152" i="2" l="1"/>
  <c r="H1154" i="2"/>
  <c r="I1154" i="2" s="1"/>
  <c r="K1153" i="2"/>
  <c r="J1154" i="2" s="1"/>
  <c r="G1154" i="2"/>
  <c r="E1154" i="2"/>
  <c r="F1154" i="2" s="1"/>
  <c r="L1153" i="2" l="1"/>
  <c r="E1155" i="2"/>
  <c r="F1155" i="2" s="1"/>
  <c r="H1155" i="2"/>
  <c r="I1155" i="2" s="1"/>
  <c r="K1154" i="2"/>
  <c r="L1154" i="2" s="1"/>
  <c r="G1155" i="2"/>
  <c r="J1155" i="2" l="1"/>
  <c r="E1156" i="2"/>
  <c r="F1156" i="2" s="1"/>
  <c r="H1156" i="2"/>
  <c r="I1156" i="2" s="1"/>
  <c r="K1155" i="2"/>
  <c r="J1156" i="2" s="1"/>
  <c r="G1156" i="2"/>
  <c r="G1157" i="2" l="1"/>
  <c r="E1157" i="2"/>
  <c r="F1157" i="2" s="1"/>
  <c r="K1156" i="2"/>
  <c r="L1156" i="2" s="1"/>
  <c r="H1157" i="2"/>
  <c r="I1157" i="2" s="1"/>
  <c r="L1155" i="2"/>
  <c r="J1157" i="2" l="1"/>
  <c r="H1158" i="2"/>
  <c r="I1158" i="2" s="1"/>
  <c r="K1157" i="2"/>
  <c r="G1158" i="2"/>
  <c r="E1158" i="2"/>
  <c r="F1158" i="2" s="1"/>
  <c r="L1157" i="2" l="1"/>
  <c r="E1159" i="2"/>
  <c r="F1159" i="2" s="1"/>
  <c r="H1159" i="2"/>
  <c r="I1159" i="2" s="1"/>
  <c r="K1158" i="2"/>
  <c r="J1159" i="2" s="1"/>
  <c r="G1159" i="2"/>
  <c r="J1158" i="2"/>
  <c r="L1158" i="2" l="1"/>
  <c r="E1160" i="2"/>
  <c r="F1160" i="2" s="1"/>
  <c r="H1160" i="2"/>
  <c r="I1160" i="2" s="1"/>
  <c r="K1159" i="2"/>
  <c r="L1159" i="2" s="1"/>
  <c r="G1160" i="2"/>
  <c r="J1160" i="2" l="1"/>
  <c r="G1161" i="2"/>
  <c r="E1161" i="2"/>
  <c r="F1161" i="2" s="1"/>
  <c r="K1160" i="2"/>
  <c r="J1161" i="2" s="1"/>
  <c r="H1161" i="2"/>
  <c r="I1161" i="2" s="1"/>
  <c r="H1162" i="2" l="1"/>
  <c r="I1162" i="2" s="1"/>
  <c r="K1161" i="2"/>
  <c r="L1161" i="2" s="1"/>
  <c r="G1162" i="2"/>
  <c r="E1162" i="2"/>
  <c r="F1162" i="2" s="1"/>
  <c r="L1160" i="2"/>
  <c r="E1163" i="2" l="1"/>
  <c r="F1163" i="2" s="1"/>
  <c r="H1163" i="2"/>
  <c r="I1163" i="2" s="1"/>
  <c r="K1162" i="2"/>
  <c r="J1163" i="2" s="1"/>
  <c r="G1163" i="2"/>
  <c r="J1162" i="2"/>
  <c r="L1162" i="2" l="1"/>
  <c r="E1164" i="2"/>
  <c r="F1164" i="2" s="1"/>
  <c r="H1164" i="2"/>
  <c r="I1164" i="2" s="1"/>
  <c r="K1163" i="2"/>
  <c r="L1163" i="2" s="1"/>
  <c r="G1164" i="2"/>
  <c r="J1164" i="2" l="1"/>
  <c r="G1165" i="2"/>
  <c r="E1165" i="2"/>
  <c r="F1165" i="2" s="1"/>
  <c r="H1165" i="2"/>
  <c r="I1165" i="2" s="1"/>
  <c r="K1164" i="2"/>
  <c r="L1164" i="2" l="1"/>
  <c r="J1165" i="2"/>
  <c r="H1166" i="2"/>
  <c r="I1166" i="2" s="1"/>
  <c r="K1165" i="2"/>
  <c r="G1166" i="2"/>
  <c r="E1166" i="2"/>
  <c r="F1166" i="2" s="1"/>
  <c r="L1165" i="2" l="1"/>
  <c r="J1166" i="2"/>
  <c r="E1167" i="2"/>
  <c r="F1167" i="2" s="1"/>
  <c r="H1167" i="2"/>
  <c r="I1167" i="2" s="1"/>
  <c r="K1166" i="2"/>
  <c r="G1167" i="2"/>
  <c r="L1166" i="2" l="1"/>
  <c r="E1168" i="2"/>
  <c r="F1168" i="2" s="1"/>
  <c r="H1168" i="2"/>
  <c r="I1168" i="2" s="1"/>
  <c r="K1167" i="2"/>
  <c r="J1168" i="2" s="1"/>
  <c r="G1168" i="2"/>
  <c r="J1167" i="2"/>
  <c r="G1169" i="2" l="1"/>
  <c r="E1169" i="2"/>
  <c r="F1169" i="2" s="1"/>
  <c r="H1169" i="2"/>
  <c r="I1169" i="2" s="1"/>
  <c r="K1168" i="2"/>
  <c r="L1168" i="2" s="1"/>
  <c r="L1167" i="2"/>
  <c r="J1169" i="2" l="1"/>
  <c r="H1170" i="2"/>
  <c r="I1170" i="2" s="1"/>
  <c r="K1169" i="2"/>
  <c r="G1170" i="2"/>
  <c r="E1170" i="2"/>
  <c r="F1170" i="2" s="1"/>
  <c r="L1169" i="2" l="1"/>
  <c r="E1171" i="2"/>
  <c r="F1171" i="2" s="1"/>
  <c r="H1171" i="2"/>
  <c r="I1171" i="2" s="1"/>
  <c r="K1170" i="2"/>
  <c r="J1171" i="2" s="1"/>
  <c r="G1171" i="2"/>
  <c r="J1170" i="2"/>
  <c r="L1170" i="2" l="1"/>
  <c r="E1172" i="2"/>
  <c r="F1172" i="2" s="1"/>
  <c r="H1172" i="2"/>
  <c r="I1172" i="2" s="1"/>
  <c r="K1171" i="2"/>
  <c r="L1171" i="2" s="1"/>
  <c r="G1172" i="2"/>
  <c r="J1172" i="2" l="1"/>
  <c r="G1173" i="2"/>
  <c r="E1173" i="2"/>
  <c r="F1173" i="2" s="1"/>
  <c r="H1173" i="2"/>
  <c r="I1173" i="2" s="1"/>
  <c r="K1172" i="2"/>
  <c r="L1172" i="2" s="1"/>
  <c r="J1173" i="2" l="1"/>
  <c r="H1174" i="2"/>
  <c r="I1174" i="2" s="1"/>
  <c r="K1173" i="2"/>
  <c r="G1174" i="2"/>
  <c r="E1174" i="2"/>
  <c r="F1174" i="2" s="1"/>
  <c r="L1173" i="2" l="1"/>
  <c r="J1174" i="2"/>
  <c r="E1175" i="2"/>
  <c r="F1175" i="2" s="1"/>
  <c r="H1175" i="2"/>
  <c r="I1175" i="2" s="1"/>
  <c r="K1174" i="2"/>
  <c r="G1175" i="2"/>
  <c r="L1174" i="2" l="1"/>
  <c r="E1176" i="2"/>
  <c r="F1176" i="2" s="1"/>
  <c r="H1176" i="2"/>
  <c r="I1176" i="2" s="1"/>
  <c r="K1175" i="2"/>
  <c r="J1176" i="2" s="1"/>
  <c r="G1176" i="2"/>
  <c r="J1175" i="2"/>
  <c r="G1177" i="2" l="1"/>
  <c r="E1177" i="2"/>
  <c r="F1177" i="2" s="1"/>
  <c r="K1176" i="2"/>
  <c r="L1176" i="2" s="1"/>
  <c r="H1177" i="2"/>
  <c r="I1177" i="2" s="1"/>
  <c r="L1175" i="2"/>
  <c r="J1177" i="2" l="1"/>
  <c r="H1178" i="2"/>
  <c r="I1178" i="2" s="1"/>
  <c r="K1177" i="2"/>
  <c r="G1178" i="2"/>
  <c r="E1178" i="2"/>
  <c r="F1178" i="2" s="1"/>
  <c r="L1177" i="2" l="1"/>
  <c r="E1179" i="2"/>
  <c r="F1179" i="2" s="1"/>
  <c r="H1179" i="2"/>
  <c r="I1179" i="2" s="1"/>
  <c r="K1178" i="2"/>
  <c r="J1179" i="2" s="1"/>
  <c r="G1179" i="2"/>
  <c r="J1178" i="2"/>
  <c r="L1178" i="2" l="1"/>
  <c r="E1180" i="2"/>
  <c r="F1180" i="2" s="1"/>
  <c r="H1180" i="2"/>
  <c r="I1180" i="2" s="1"/>
  <c r="K1179" i="2"/>
  <c r="L1179" i="2" s="1"/>
  <c r="G1180" i="2"/>
  <c r="J1180" i="2" l="1"/>
  <c r="G1181" i="2"/>
  <c r="E1181" i="2"/>
  <c r="F1181" i="2" s="1"/>
  <c r="H1181" i="2"/>
  <c r="I1181" i="2" s="1"/>
  <c r="K1180" i="2"/>
  <c r="L1180" i="2" s="1"/>
  <c r="J1181" i="2" l="1"/>
  <c r="H1182" i="2"/>
  <c r="I1182" i="2" s="1"/>
  <c r="K1181" i="2"/>
  <c r="J1182" i="2" s="1"/>
  <c r="G1182" i="2"/>
  <c r="E1182" i="2"/>
  <c r="F1182" i="2" s="1"/>
  <c r="L1181" i="2" l="1"/>
  <c r="E1183" i="2"/>
  <c r="F1183" i="2" s="1"/>
  <c r="H1183" i="2"/>
  <c r="I1183" i="2" s="1"/>
  <c r="K1182" i="2"/>
  <c r="L1182" i="2" s="1"/>
  <c r="G1183" i="2"/>
  <c r="E1184" i="2" l="1"/>
  <c r="F1184" i="2" s="1"/>
  <c r="H1184" i="2"/>
  <c r="I1184" i="2" s="1"/>
  <c r="K1183" i="2"/>
  <c r="J1184" i="2" s="1"/>
  <c r="G1184" i="2"/>
  <c r="J1183" i="2"/>
  <c r="G1185" i="2" l="1"/>
  <c r="E1185" i="2"/>
  <c r="F1185" i="2" s="1"/>
  <c r="H1185" i="2"/>
  <c r="I1185" i="2" s="1"/>
  <c r="K1184" i="2"/>
  <c r="L1184" i="2" s="1"/>
  <c r="L1183" i="2"/>
  <c r="J1185" i="2" l="1"/>
  <c r="H1186" i="2"/>
  <c r="I1186" i="2" s="1"/>
  <c r="K1185" i="2"/>
  <c r="J1186" i="2" s="1"/>
  <c r="G1186" i="2"/>
  <c r="E1186" i="2"/>
  <c r="F1186" i="2" s="1"/>
  <c r="E1187" i="2" l="1"/>
  <c r="F1187" i="2" s="1"/>
  <c r="H1187" i="2"/>
  <c r="I1187" i="2" s="1"/>
  <c r="K1186" i="2"/>
  <c r="L1186" i="2" s="1"/>
  <c r="G1187" i="2"/>
  <c r="L1185" i="2"/>
  <c r="E1188" i="2" l="1"/>
  <c r="F1188" i="2" s="1"/>
  <c r="H1188" i="2"/>
  <c r="I1188" i="2" s="1"/>
  <c r="K1187" i="2"/>
  <c r="J1188" i="2" s="1"/>
  <c r="G1188" i="2"/>
  <c r="J1187" i="2"/>
  <c r="G1189" i="2" l="1"/>
  <c r="E1189" i="2"/>
  <c r="F1189" i="2" s="1"/>
  <c r="H1189" i="2"/>
  <c r="I1189" i="2" s="1"/>
  <c r="K1188" i="2"/>
  <c r="J1189" i="2" s="1"/>
  <c r="L1187" i="2"/>
  <c r="L1188" i="2" l="1"/>
  <c r="H1190" i="2"/>
  <c r="I1190" i="2" s="1"/>
  <c r="K1189" i="2"/>
  <c r="J1190" i="2" s="1"/>
  <c r="G1190" i="2"/>
  <c r="E1190" i="2"/>
  <c r="F1190" i="2" s="1"/>
  <c r="L1189" i="2" l="1"/>
  <c r="E1191" i="2"/>
  <c r="F1191" i="2" s="1"/>
  <c r="H1191" i="2"/>
  <c r="I1191" i="2" s="1"/>
  <c r="K1190" i="2"/>
  <c r="L1190" i="2" s="1"/>
  <c r="G1191" i="2"/>
  <c r="E1192" i="2" l="1"/>
  <c r="F1192" i="2" s="1"/>
  <c r="H1192" i="2"/>
  <c r="I1192" i="2" s="1"/>
  <c r="K1191" i="2"/>
  <c r="J1192" i="2" s="1"/>
  <c r="G1192" i="2"/>
  <c r="J1191" i="2"/>
  <c r="G1193" i="2" l="1"/>
  <c r="E1193" i="2"/>
  <c r="F1193" i="2" s="1"/>
  <c r="K1192" i="2"/>
  <c r="L1192" i="2" s="1"/>
  <c r="H1193" i="2"/>
  <c r="I1193" i="2" s="1"/>
  <c r="L1191" i="2"/>
  <c r="J1193" i="2" l="1"/>
  <c r="H1194" i="2"/>
  <c r="I1194" i="2" s="1"/>
  <c r="K1193" i="2"/>
  <c r="G1194" i="2"/>
  <c r="E1194" i="2"/>
  <c r="F1194" i="2" s="1"/>
  <c r="L1193" i="2" l="1"/>
  <c r="J1194" i="2"/>
  <c r="E1195" i="2"/>
  <c r="F1195" i="2" s="1"/>
  <c r="H1195" i="2"/>
  <c r="I1195" i="2" s="1"/>
  <c r="K1194" i="2"/>
  <c r="G1195" i="2"/>
  <c r="L1194" i="2" l="1"/>
  <c r="J1195" i="2"/>
  <c r="E1196" i="2"/>
  <c r="F1196" i="2" s="1"/>
  <c r="H1196" i="2"/>
  <c r="I1196" i="2" s="1"/>
  <c r="K1195" i="2"/>
  <c r="G1196" i="2"/>
  <c r="L1195" i="2" l="1"/>
  <c r="J1196" i="2"/>
  <c r="G1197" i="2"/>
  <c r="E1197" i="2"/>
  <c r="F1197" i="2" s="1"/>
  <c r="H1197" i="2"/>
  <c r="I1197" i="2" s="1"/>
  <c r="K1196" i="2"/>
  <c r="J1197" i="2" s="1"/>
  <c r="L1196" i="2" l="1"/>
  <c r="H1198" i="2"/>
  <c r="I1198" i="2" s="1"/>
  <c r="K1197" i="2"/>
  <c r="J1198" i="2" s="1"/>
  <c r="G1198" i="2"/>
  <c r="E1198" i="2"/>
  <c r="F1198" i="2" s="1"/>
  <c r="L1197" i="2" l="1"/>
  <c r="E1199" i="2"/>
  <c r="F1199" i="2" s="1"/>
  <c r="H1199" i="2"/>
  <c r="I1199" i="2" s="1"/>
  <c r="K1198" i="2"/>
  <c r="L1198" i="2" s="1"/>
  <c r="G1199" i="2"/>
  <c r="E1200" i="2" l="1"/>
  <c r="F1200" i="2" s="1"/>
  <c r="H1200" i="2"/>
  <c r="I1200" i="2" s="1"/>
  <c r="K1199" i="2"/>
  <c r="J1200" i="2" s="1"/>
  <c r="G1200" i="2"/>
  <c r="J1199" i="2"/>
  <c r="G1201" i="2" l="1"/>
  <c r="E1201" i="2"/>
  <c r="F1201" i="2" s="1"/>
  <c r="H1201" i="2"/>
  <c r="I1201" i="2" s="1"/>
  <c r="K1200" i="2"/>
  <c r="L1200" i="2" s="1"/>
  <c r="L1199" i="2"/>
  <c r="J1201" i="2" l="1"/>
  <c r="H1202" i="2"/>
  <c r="I1202" i="2" s="1"/>
  <c r="K1201" i="2"/>
  <c r="J1202" i="2" s="1"/>
  <c r="G1202" i="2"/>
  <c r="E1202" i="2"/>
  <c r="F1202" i="2" s="1"/>
  <c r="E1203" i="2" l="1"/>
  <c r="F1203" i="2" s="1"/>
  <c r="H1203" i="2"/>
  <c r="I1203" i="2" s="1"/>
  <c r="K1202" i="2"/>
  <c r="L1202" i="2" s="1"/>
  <c r="G1203" i="2"/>
  <c r="L1201" i="2"/>
  <c r="E1204" i="2" l="1"/>
  <c r="F1204" i="2" s="1"/>
  <c r="H1204" i="2"/>
  <c r="I1204" i="2" s="1"/>
  <c r="K1203" i="2"/>
  <c r="J1204" i="2" s="1"/>
  <c r="G1204" i="2"/>
  <c r="J1203" i="2"/>
  <c r="G1205" i="2" l="1"/>
  <c r="E1205" i="2"/>
  <c r="F1205" i="2" s="1"/>
  <c r="H1205" i="2"/>
  <c r="I1205" i="2" s="1"/>
  <c r="K1204" i="2"/>
  <c r="L1204" i="2" s="1"/>
  <c r="L1203" i="2"/>
  <c r="J1205" i="2" l="1"/>
  <c r="H1206" i="2"/>
  <c r="I1206" i="2" s="1"/>
  <c r="K1205" i="2"/>
  <c r="J1206" i="2" s="1"/>
  <c r="G1206" i="2"/>
  <c r="E1206" i="2"/>
  <c r="F1206" i="2" s="1"/>
  <c r="E1207" i="2" l="1"/>
  <c r="F1207" i="2" s="1"/>
  <c r="H1207" i="2"/>
  <c r="I1207" i="2" s="1"/>
  <c r="K1206" i="2"/>
  <c r="L1206" i="2" s="1"/>
  <c r="G1207" i="2"/>
  <c r="L1205" i="2"/>
  <c r="E1208" i="2" l="1"/>
  <c r="F1208" i="2" s="1"/>
  <c r="H1208" i="2"/>
  <c r="I1208" i="2" s="1"/>
  <c r="K1207" i="2"/>
  <c r="J1208" i="2" s="1"/>
  <c r="G1208" i="2"/>
  <c r="J1207" i="2"/>
  <c r="G1209" i="2" l="1"/>
  <c r="E1209" i="2"/>
  <c r="F1209" i="2" s="1"/>
  <c r="K1208" i="2"/>
  <c r="L1208" i="2" s="1"/>
  <c r="H1209" i="2"/>
  <c r="I1209" i="2" s="1"/>
  <c r="L1207" i="2"/>
  <c r="J1209" i="2" l="1"/>
  <c r="H1210" i="2"/>
  <c r="I1210" i="2" s="1"/>
  <c r="K1209" i="2"/>
  <c r="G1210" i="2"/>
  <c r="E1210" i="2"/>
  <c r="F1210" i="2" s="1"/>
  <c r="L1209" i="2" l="1"/>
  <c r="E1211" i="2"/>
  <c r="F1211" i="2" s="1"/>
  <c r="H1211" i="2"/>
  <c r="I1211" i="2" s="1"/>
  <c r="K1210" i="2"/>
  <c r="J1211" i="2" s="1"/>
  <c r="G1211" i="2"/>
  <c r="J1210" i="2"/>
  <c r="L1210" i="2" l="1"/>
  <c r="E1212" i="2"/>
  <c r="F1212" i="2" s="1"/>
  <c r="H1212" i="2"/>
  <c r="I1212" i="2" s="1"/>
  <c r="K1211" i="2"/>
  <c r="L1211" i="2" s="1"/>
  <c r="G1212" i="2"/>
  <c r="J1212" i="2" l="1"/>
  <c r="G1213" i="2"/>
  <c r="E1213" i="2"/>
  <c r="F1213" i="2" s="1"/>
  <c r="H1213" i="2"/>
  <c r="I1213" i="2" s="1"/>
  <c r="K1212" i="2"/>
  <c r="L1212" i="2" s="1"/>
  <c r="J1213" i="2" l="1"/>
  <c r="H1214" i="2"/>
  <c r="I1214" i="2" s="1"/>
  <c r="K1213" i="2"/>
  <c r="J1214" i="2" s="1"/>
  <c r="G1214" i="2"/>
  <c r="E1214" i="2"/>
  <c r="F1214" i="2" s="1"/>
  <c r="L1213" i="2" l="1"/>
  <c r="E1215" i="2"/>
  <c r="F1215" i="2" s="1"/>
  <c r="H1215" i="2"/>
  <c r="I1215" i="2" s="1"/>
  <c r="K1214" i="2"/>
  <c r="L1214" i="2" s="1"/>
  <c r="G1215" i="2"/>
  <c r="E1216" i="2" l="1"/>
  <c r="F1216" i="2" s="1"/>
  <c r="H1216" i="2"/>
  <c r="I1216" i="2" s="1"/>
  <c r="K1215" i="2"/>
  <c r="J1216" i="2" s="1"/>
  <c r="G1216" i="2"/>
  <c r="J1215" i="2"/>
  <c r="G1217" i="2" l="1"/>
  <c r="E1217" i="2"/>
  <c r="F1217" i="2" s="1"/>
  <c r="H1217" i="2"/>
  <c r="I1217" i="2" s="1"/>
  <c r="K1216" i="2"/>
  <c r="L1216" i="2" s="1"/>
  <c r="L1215" i="2"/>
  <c r="J1217" i="2" l="1"/>
  <c r="H1218" i="2"/>
  <c r="I1218" i="2" s="1"/>
  <c r="K1217" i="2"/>
  <c r="G1218" i="2"/>
  <c r="E1218" i="2"/>
  <c r="F1218" i="2" s="1"/>
  <c r="L1217" i="2" l="1"/>
  <c r="J1218" i="2"/>
  <c r="E1219" i="2"/>
  <c r="F1219" i="2" s="1"/>
  <c r="H1219" i="2"/>
  <c r="I1219" i="2" s="1"/>
  <c r="K1218" i="2"/>
  <c r="G1219" i="2"/>
  <c r="L1218" i="2" l="1"/>
  <c r="J1219" i="2"/>
  <c r="E1220" i="2"/>
  <c r="F1220" i="2" s="1"/>
  <c r="H1220" i="2"/>
  <c r="I1220" i="2" s="1"/>
  <c r="K1219" i="2"/>
  <c r="G1220" i="2"/>
  <c r="L1219" i="2" l="1"/>
  <c r="J1220" i="2"/>
  <c r="G1221" i="2"/>
  <c r="E1221" i="2"/>
  <c r="F1221" i="2" s="1"/>
  <c r="H1221" i="2"/>
  <c r="I1221" i="2" s="1"/>
  <c r="K1220" i="2"/>
  <c r="J1221" i="2" s="1"/>
  <c r="L1220" i="2" l="1"/>
  <c r="H1222" i="2"/>
  <c r="I1222" i="2" s="1"/>
  <c r="K1221" i="2"/>
  <c r="L1221" i="2" s="1"/>
  <c r="G1222" i="2"/>
  <c r="E1222" i="2"/>
  <c r="F1222" i="2" s="1"/>
  <c r="J1222" i="2" l="1"/>
  <c r="E1223" i="2"/>
  <c r="F1223" i="2" s="1"/>
  <c r="H1223" i="2"/>
  <c r="I1223" i="2" s="1"/>
  <c r="K1222" i="2"/>
  <c r="G1223" i="2"/>
  <c r="L1222" i="2" l="1"/>
  <c r="J1223" i="2"/>
  <c r="E1224" i="2"/>
  <c r="F1224" i="2" s="1"/>
  <c r="H1224" i="2"/>
  <c r="I1224" i="2" s="1"/>
  <c r="K1223" i="2"/>
  <c r="J1224" i="2" s="1"/>
  <c r="G1224" i="2"/>
  <c r="G1225" i="2" l="1"/>
  <c r="E1225" i="2"/>
  <c r="F1225" i="2" s="1"/>
  <c r="K1224" i="2"/>
  <c r="L1224" i="2" s="1"/>
  <c r="H1225" i="2"/>
  <c r="I1225" i="2" s="1"/>
  <c r="L1223" i="2"/>
  <c r="J1225" i="2" l="1"/>
  <c r="H1226" i="2"/>
  <c r="I1226" i="2" s="1"/>
  <c r="K1225" i="2"/>
  <c r="G1226" i="2"/>
  <c r="E1226" i="2"/>
  <c r="F1226" i="2" s="1"/>
  <c r="L1225" i="2" l="1"/>
  <c r="E1227" i="2"/>
  <c r="F1227" i="2" s="1"/>
  <c r="H1227" i="2"/>
  <c r="I1227" i="2" s="1"/>
  <c r="K1226" i="2"/>
  <c r="J1227" i="2" s="1"/>
  <c r="G1227" i="2"/>
  <c r="J1226" i="2"/>
  <c r="L1226" i="2" l="1"/>
  <c r="E1228" i="2"/>
  <c r="F1228" i="2" s="1"/>
  <c r="H1228" i="2"/>
  <c r="I1228" i="2" s="1"/>
  <c r="K1227" i="2"/>
  <c r="L1227" i="2" s="1"/>
  <c r="G1228" i="2"/>
  <c r="J1228" i="2" l="1"/>
  <c r="G1229" i="2"/>
  <c r="E1229" i="2"/>
  <c r="F1229" i="2" s="1"/>
  <c r="K1228" i="2"/>
  <c r="H1229" i="2"/>
  <c r="I1229" i="2" s="1"/>
  <c r="L1228" i="2" l="1"/>
  <c r="J1229" i="2"/>
  <c r="H1230" i="2"/>
  <c r="I1230" i="2" s="1"/>
  <c r="K1229" i="2"/>
  <c r="G1230" i="2"/>
  <c r="E1230" i="2"/>
  <c r="F1230" i="2" s="1"/>
  <c r="L1229" i="2" l="1"/>
  <c r="E1231" i="2"/>
  <c r="F1231" i="2" s="1"/>
  <c r="H1231" i="2"/>
  <c r="I1231" i="2" s="1"/>
  <c r="K1230" i="2"/>
  <c r="J1231" i="2" s="1"/>
  <c r="G1231" i="2"/>
  <c r="J1230" i="2"/>
  <c r="L1230" i="2" l="1"/>
  <c r="E1232" i="2"/>
  <c r="F1232" i="2" s="1"/>
  <c r="H1232" i="2"/>
  <c r="I1232" i="2" s="1"/>
  <c r="K1231" i="2"/>
  <c r="L1231" i="2" s="1"/>
  <c r="G1232" i="2"/>
  <c r="J1232" i="2" l="1"/>
  <c r="G1233" i="2"/>
  <c r="E1233" i="2"/>
  <c r="F1233" i="2" s="1"/>
  <c r="H1233" i="2"/>
  <c r="I1233" i="2" s="1"/>
  <c r="K1232" i="2"/>
  <c r="J1233" i="2" s="1"/>
  <c r="H1234" i="2" l="1"/>
  <c r="I1234" i="2" s="1"/>
  <c r="K1233" i="2"/>
  <c r="L1233" i="2" s="1"/>
  <c r="G1234" i="2"/>
  <c r="E1234" i="2"/>
  <c r="F1234" i="2" s="1"/>
  <c r="L1232" i="2"/>
  <c r="E1235" i="2" l="1"/>
  <c r="F1235" i="2" s="1"/>
  <c r="H1235" i="2"/>
  <c r="I1235" i="2" s="1"/>
  <c r="K1234" i="2"/>
  <c r="J1235" i="2" s="1"/>
  <c r="G1235" i="2"/>
  <c r="J1234" i="2"/>
  <c r="L1234" i="2" l="1"/>
  <c r="E1236" i="2"/>
  <c r="F1236" i="2" s="1"/>
  <c r="H1236" i="2"/>
  <c r="I1236" i="2" s="1"/>
  <c r="K1235" i="2"/>
  <c r="L1235" i="2" s="1"/>
  <c r="G1236" i="2"/>
  <c r="J1236" i="2" l="1"/>
  <c r="G1237" i="2"/>
  <c r="E1237" i="2"/>
  <c r="F1237" i="2" s="1"/>
  <c r="K1236" i="2"/>
  <c r="H1237" i="2"/>
  <c r="I1237" i="2" s="1"/>
  <c r="L1236" i="2" l="1"/>
  <c r="J1237" i="2"/>
  <c r="H1238" i="2"/>
  <c r="I1238" i="2" s="1"/>
  <c r="K1237" i="2"/>
  <c r="L1237" i="2" s="1"/>
  <c r="G1238" i="2"/>
  <c r="E1238" i="2"/>
  <c r="F1238" i="2" s="1"/>
  <c r="J1238" i="2" l="1"/>
  <c r="E1239" i="2"/>
  <c r="F1239" i="2" s="1"/>
  <c r="H1239" i="2"/>
  <c r="I1239" i="2" s="1"/>
  <c r="K1238" i="2"/>
  <c r="J1239" i="2" s="1"/>
  <c r="G1239" i="2"/>
  <c r="L1238" i="2" l="1"/>
  <c r="E1240" i="2"/>
  <c r="F1240" i="2" s="1"/>
  <c r="H1240" i="2"/>
  <c r="I1240" i="2" s="1"/>
  <c r="K1239" i="2"/>
  <c r="L1239" i="2" s="1"/>
  <c r="G1240" i="2"/>
  <c r="J1240" i="2" l="1"/>
  <c r="G1241" i="2"/>
  <c r="E1241" i="2"/>
  <c r="F1241" i="2" s="1"/>
  <c r="K1240" i="2"/>
  <c r="H1241" i="2"/>
  <c r="I1241" i="2" s="1"/>
  <c r="L1240" i="2" l="1"/>
  <c r="J1241" i="2"/>
  <c r="H1242" i="2"/>
  <c r="I1242" i="2" s="1"/>
  <c r="K1241" i="2"/>
  <c r="G1242" i="2"/>
  <c r="E1242" i="2"/>
  <c r="F1242" i="2" s="1"/>
  <c r="L1241" i="2" l="1"/>
  <c r="E1243" i="2"/>
  <c r="F1243" i="2" s="1"/>
  <c r="H1243" i="2"/>
  <c r="I1243" i="2" s="1"/>
  <c r="K1242" i="2"/>
  <c r="J1243" i="2" s="1"/>
  <c r="G1243" i="2"/>
  <c r="J1242" i="2"/>
  <c r="L1242" i="2" l="1"/>
  <c r="E1244" i="2"/>
  <c r="F1244" i="2" s="1"/>
  <c r="H1244" i="2"/>
  <c r="I1244" i="2" s="1"/>
  <c r="K1243" i="2"/>
  <c r="L1243" i="2" s="1"/>
  <c r="G1244" i="2"/>
  <c r="J1244" i="2" l="1"/>
  <c r="G1245" i="2"/>
  <c r="E1245" i="2"/>
  <c r="F1245" i="2" s="1"/>
  <c r="K1244" i="2"/>
  <c r="J1245" i="2" s="1"/>
  <c r="H1245" i="2"/>
  <c r="I1245" i="2" s="1"/>
  <c r="H1246" i="2" l="1"/>
  <c r="I1246" i="2" s="1"/>
  <c r="K1245" i="2"/>
  <c r="L1245" i="2" s="1"/>
  <c r="G1246" i="2"/>
  <c r="E1246" i="2"/>
  <c r="F1246" i="2" s="1"/>
  <c r="L1244" i="2"/>
  <c r="E1247" i="2" l="1"/>
  <c r="F1247" i="2" s="1"/>
  <c r="H1247" i="2"/>
  <c r="I1247" i="2" s="1"/>
  <c r="K1246" i="2"/>
  <c r="J1247" i="2" s="1"/>
  <c r="G1247" i="2"/>
  <c r="J1246" i="2"/>
  <c r="L1246" i="2" l="1"/>
  <c r="E1248" i="2"/>
  <c r="F1248" i="2" s="1"/>
  <c r="H1248" i="2"/>
  <c r="I1248" i="2" s="1"/>
  <c r="K1247" i="2"/>
  <c r="L1247" i="2" s="1"/>
  <c r="G1248" i="2"/>
  <c r="J1248" i="2" l="1"/>
  <c r="G1249" i="2"/>
  <c r="E1249" i="2"/>
  <c r="F1249" i="2" s="1"/>
  <c r="H1249" i="2"/>
  <c r="I1249" i="2" s="1"/>
  <c r="K1248" i="2"/>
  <c r="J1249" i="2" s="1"/>
  <c r="L1248" i="2" l="1"/>
  <c r="H1250" i="2"/>
  <c r="I1250" i="2" s="1"/>
  <c r="K1249" i="2"/>
  <c r="J1250" i="2" s="1"/>
  <c r="G1250" i="2"/>
  <c r="E1250" i="2"/>
  <c r="F1250" i="2" s="1"/>
  <c r="L1249" i="2" l="1"/>
  <c r="E1251" i="2"/>
  <c r="F1251" i="2" s="1"/>
  <c r="H1251" i="2"/>
  <c r="I1251" i="2" s="1"/>
  <c r="K1250" i="2"/>
  <c r="L1250" i="2" s="1"/>
  <c r="G1251" i="2"/>
  <c r="E1252" i="2" l="1"/>
  <c r="F1252" i="2" s="1"/>
  <c r="H1252" i="2"/>
  <c r="I1252" i="2" s="1"/>
  <c r="K1251" i="2"/>
  <c r="J1252" i="2" s="1"/>
  <c r="G1252" i="2"/>
  <c r="J1251" i="2"/>
  <c r="L1251" i="2" l="1"/>
  <c r="G1253" i="2"/>
  <c r="E1253" i="2"/>
  <c r="F1253" i="2" s="1"/>
  <c r="H1253" i="2"/>
  <c r="I1253" i="2" s="1"/>
  <c r="K1252" i="2"/>
  <c r="J1253" i="2" s="1"/>
  <c r="L1252" i="2" l="1"/>
  <c r="H1254" i="2"/>
  <c r="I1254" i="2" s="1"/>
  <c r="K1253" i="2"/>
  <c r="L1253" i="2" s="1"/>
  <c r="G1254" i="2"/>
  <c r="E1254" i="2"/>
  <c r="F1254" i="2" s="1"/>
  <c r="J1254" i="2" l="1"/>
  <c r="E1255" i="2"/>
  <c r="F1255" i="2" s="1"/>
  <c r="H1255" i="2"/>
  <c r="I1255" i="2" s="1"/>
  <c r="K1254" i="2"/>
  <c r="G1255" i="2"/>
  <c r="L1254" i="2" l="1"/>
  <c r="E1256" i="2"/>
  <c r="F1256" i="2" s="1"/>
  <c r="H1256" i="2"/>
  <c r="I1256" i="2" s="1"/>
  <c r="K1255" i="2"/>
  <c r="J1256" i="2" s="1"/>
  <c r="G1256" i="2"/>
  <c r="J1255" i="2"/>
  <c r="G1257" i="2" l="1"/>
  <c r="E1257" i="2"/>
  <c r="F1257" i="2" s="1"/>
  <c r="K1256" i="2"/>
  <c r="L1256" i="2" s="1"/>
  <c r="H1257" i="2"/>
  <c r="I1257" i="2" s="1"/>
  <c r="L1255" i="2"/>
  <c r="J1257" i="2" l="1"/>
  <c r="H1258" i="2"/>
  <c r="I1258" i="2" s="1"/>
  <c r="K1257" i="2"/>
  <c r="G1258" i="2"/>
  <c r="E1258" i="2"/>
  <c r="F1258" i="2" s="1"/>
  <c r="L1257" i="2" l="1"/>
  <c r="E1259" i="2"/>
  <c r="F1259" i="2" s="1"/>
  <c r="H1259" i="2"/>
  <c r="I1259" i="2" s="1"/>
  <c r="K1258" i="2"/>
  <c r="J1259" i="2" s="1"/>
  <c r="G1259" i="2"/>
  <c r="J1258" i="2"/>
  <c r="E1260" i="2" l="1"/>
  <c r="F1260" i="2" s="1"/>
  <c r="H1260" i="2"/>
  <c r="I1260" i="2" s="1"/>
  <c r="K1259" i="2"/>
  <c r="L1259" i="2" s="1"/>
  <c r="G1260" i="2"/>
  <c r="L1258" i="2"/>
  <c r="J1260" i="2" l="1"/>
  <c r="G1261" i="2"/>
  <c r="E1261" i="2"/>
  <c r="F1261" i="2" s="1"/>
  <c r="K1260" i="2"/>
  <c r="J1261" i="2" s="1"/>
  <c r="H1261" i="2"/>
  <c r="I1261" i="2" s="1"/>
  <c r="L1260" i="2" l="1"/>
  <c r="H1262" i="2"/>
  <c r="I1262" i="2" s="1"/>
  <c r="K1261" i="2"/>
  <c r="L1261" i="2" s="1"/>
  <c r="G1262" i="2"/>
  <c r="E1262" i="2"/>
  <c r="F1262" i="2" s="1"/>
  <c r="J1262" i="2" l="1"/>
  <c r="E1263" i="2"/>
  <c r="F1263" i="2" s="1"/>
  <c r="H1263" i="2"/>
  <c r="I1263" i="2" s="1"/>
  <c r="K1262" i="2"/>
  <c r="G1263" i="2"/>
  <c r="L1262" i="2" l="1"/>
  <c r="J1263" i="2"/>
  <c r="E1264" i="2"/>
  <c r="F1264" i="2" s="1"/>
  <c r="H1264" i="2"/>
  <c r="I1264" i="2" s="1"/>
  <c r="K1263" i="2"/>
  <c r="G1264" i="2"/>
  <c r="L1263" i="2" l="1"/>
  <c r="J1264" i="2"/>
  <c r="G1265" i="2"/>
  <c r="E1265" i="2"/>
  <c r="F1265" i="2" s="1"/>
  <c r="H1265" i="2"/>
  <c r="I1265" i="2" s="1"/>
  <c r="K1264" i="2"/>
  <c r="L1264" i="2" l="1"/>
  <c r="J1265" i="2"/>
  <c r="H1266" i="2"/>
  <c r="I1266" i="2" s="1"/>
  <c r="K1265" i="2"/>
  <c r="G1266" i="2"/>
  <c r="E1266" i="2"/>
  <c r="F1266" i="2" s="1"/>
  <c r="L1265" i="2" l="1"/>
  <c r="J1266" i="2"/>
  <c r="E1267" i="2"/>
  <c r="F1267" i="2" s="1"/>
  <c r="H1267" i="2"/>
  <c r="I1267" i="2" s="1"/>
  <c r="K1266" i="2"/>
  <c r="G1267" i="2"/>
  <c r="L1266" i="2" l="1"/>
  <c r="E1268" i="2"/>
  <c r="F1268" i="2" s="1"/>
  <c r="H1268" i="2"/>
  <c r="I1268" i="2" s="1"/>
  <c r="K1267" i="2"/>
  <c r="J1268" i="2" s="1"/>
  <c r="G1268" i="2"/>
  <c r="J1267" i="2"/>
  <c r="G1269" i="2" l="1"/>
  <c r="E1269" i="2"/>
  <c r="F1269" i="2" s="1"/>
  <c r="H1269" i="2"/>
  <c r="I1269" i="2" s="1"/>
  <c r="K1268" i="2"/>
  <c r="L1268" i="2" s="1"/>
  <c r="L1267" i="2"/>
  <c r="J1269" i="2" l="1"/>
  <c r="H1270" i="2"/>
  <c r="I1270" i="2" s="1"/>
  <c r="K1269" i="2"/>
  <c r="J1270" i="2" s="1"/>
  <c r="G1270" i="2"/>
  <c r="E1270" i="2"/>
  <c r="F1270" i="2" s="1"/>
  <c r="E1271" i="2" l="1"/>
  <c r="F1271" i="2" s="1"/>
  <c r="H1271" i="2"/>
  <c r="I1271" i="2" s="1"/>
  <c r="K1270" i="2"/>
  <c r="L1270" i="2" s="1"/>
  <c r="G1271" i="2"/>
  <c r="L1269" i="2"/>
  <c r="J1271" i="2" l="1"/>
  <c r="E1272" i="2"/>
  <c r="F1272" i="2" s="1"/>
  <c r="H1272" i="2"/>
  <c r="I1272" i="2" s="1"/>
  <c r="K1271" i="2"/>
  <c r="J1272" i="2" s="1"/>
  <c r="G1272" i="2"/>
  <c r="G1273" i="2" l="1"/>
  <c r="E1273" i="2"/>
  <c r="F1273" i="2" s="1"/>
  <c r="K1272" i="2"/>
  <c r="L1272" i="2" s="1"/>
  <c r="H1273" i="2"/>
  <c r="I1273" i="2" s="1"/>
  <c r="L1271" i="2"/>
  <c r="J1273" i="2" l="1"/>
  <c r="H1274" i="2"/>
  <c r="I1274" i="2" s="1"/>
  <c r="K1273" i="2"/>
  <c r="G1274" i="2"/>
  <c r="E1274" i="2"/>
  <c r="F1274" i="2" s="1"/>
  <c r="L1273" i="2" l="1"/>
  <c r="J1274" i="2"/>
  <c r="E1275" i="2"/>
  <c r="F1275" i="2" s="1"/>
  <c r="H1275" i="2"/>
  <c r="I1275" i="2" s="1"/>
  <c r="K1274" i="2"/>
  <c r="J1275" i="2" s="1"/>
  <c r="G1275" i="2"/>
  <c r="L1274" i="2" l="1"/>
  <c r="E1276" i="2"/>
  <c r="F1276" i="2" s="1"/>
  <c r="H1276" i="2"/>
  <c r="I1276" i="2" s="1"/>
  <c r="K1275" i="2"/>
  <c r="L1275" i="2" s="1"/>
  <c r="G1276" i="2"/>
  <c r="J1276" i="2" l="1"/>
  <c r="G1277" i="2"/>
  <c r="E1277" i="2"/>
  <c r="F1277" i="2" s="1"/>
  <c r="K1276" i="2"/>
  <c r="J1277" i="2" s="1"/>
  <c r="H1277" i="2"/>
  <c r="I1277" i="2" s="1"/>
  <c r="H1278" i="2" l="1"/>
  <c r="I1278" i="2" s="1"/>
  <c r="K1277" i="2"/>
  <c r="L1277" i="2" s="1"/>
  <c r="G1278" i="2"/>
  <c r="E1278" i="2"/>
  <c r="F1278" i="2" s="1"/>
  <c r="L1276" i="2"/>
  <c r="E1279" i="2" l="1"/>
  <c r="F1279" i="2" s="1"/>
  <c r="H1279" i="2"/>
  <c r="I1279" i="2" s="1"/>
  <c r="K1278" i="2"/>
  <c r="J1279" i="2" s="1"/>
  <c r="G1279" i="2"/>
  <c r="J1278" i="2"/>
  <c r="L1278" i="2" l="1"/>
  <c r="E1280" i="2"/>
  <c r="F1280" i="2" s="1"/>
  <c r="H1280" i="2"/>
  <c r="I1280" i="2" s="1"/>
  <c r="K1279" i="2"/>
  <c r="J1280" i="2" s="1"/>
  <c r="G1280" i="2"/>
  <c r="G1281" i="2" l="1"/>
  <c r="E1281" i="2"/>
  <c r="F1281" i="2" s="1"/>
  <c r="H1281" i="2"/>
  <c r="I1281" i="2" s="1"/>
  <c r="K1280" i="2"/>
  <c r="L1280" i="2" s="1"/>
  <c r="L1279" i="2"/>
  <c r="J1281" i="2" l="1"/>
  <c r="H1282" i="2"/>
  <c r="I1282" i="2" s="1"/>
  <c r="K1281" i="2"/>
  <c r="J1282" i="2" s="1"/>
  <c r="G1282" i="2"/>
  <c r="E1282" i="2"/>
  <c r="F1282" i="2" s="1"/>
  <c r="E1283" i="2" l="1"/>
  <c r="F1283" i="2" s="1"/>
  <c r="H1283" i="2"/>
  <c r="I1283" i="2" s="1"/>
  <c r="K1282" i="2"/>
  <c r="L1282" i="2" s="1"/>
  <c r="G1283" i="2"/>
  <c r="L1281" i="2"/>
  <c r="E1284" i="2" l="1"/>
  <c r="F1284" i="2" s="1"/>
  <c r="H1284" i="2"/>
  <c r="I1284" i="2" s="1"/>
  <c r="K1283" i="2"/>
  <c r="J1284" i="2" s="1"/>
  <c r="G1284" i="2"/>
  <c r="J1283" i="2"/>
  <c r="L1283" i="2" l="1"/>
  <c r="G1285" i="2"/>
  <c r="E1285" i="2"/>
  <c r="F1285" i="2" s="1"/>
  <c r="K1284" i="2"/>
  <c r="L1284" i="2" s="1"/>
  <c r="H1285" i="2"/>
  <c r="I1285" i="2" s="1"/>
  <c r="J1285" i="2" l="1"/>
  <c r="H1286" i="2"/>
  <c r="I1286" i="2" s="1"/>
  <c r="K1285" i="2"/>
  <c r="G1286" i="2"/>
  <c r="E1286" i="2"/>
  <c r="F1286" i="2" s="1"/>
  <c r="L1285" i="2" l="1"/>
  <c r="E1287" i="2"/>
  <c r="F1287" i="2" s="1"/>
  <c r="H1287" i="2"/>
  <c r="I1287" i="2" s="1"/>
  <c r="K1286" i="2"/>
  <c r="J1287" i="2" s="1"/>
  <c r="G1287" i="2"/>
  <c r="J1286" i="2"/>
  <c r="L1286" i="2" l="1"/>
  <c r="E1288" i="2"/>
  <c r="F1288" i="2" s="1"/>
  <c r="H1288" i="2"/>
  <c r="I1288" i="2" s="1"/>
  <c r="K1287" i="2"/>
  <c r="L1287" i="2" s="1"/>
  <c r="G1288" i="2"/>
  <c r="J1288" i="2" l="1"/>
  <c r="G1289" i="2"/>
  <c r="E1289" i="2"/>
  <c r="F1289" i="2" s="1"/>
  <c r="K1288" i="2"/>
  <c r="J1289" i="2" s="1"/>
  <c r="H1289" i="2"/>
  <c r="I1289" i="2" s="1"/>
  <c r="H1290" i="2" l="1"/>
  <c r="I1290" i="2" s="1"/>
  <c r="K1289" i="2"/>
  <c r="L1289" i="2" s="1"/>
  <c r="G1290" i="2"/>
  <c r="E1290" i="2"/>
  <c r="F1290" i="2" s="1"/>
  <c r="L1288" i="2"/>
  <c r="E1291" i="2" l="1"/>
  <c r="F1291" i="2" s="1"/>
  <c r="H1291" i="2"/>
  <c r="I1291" i="2" s="1"/>
  <c r="K1290" i="2"/>
  <c r="J1291" i="2" s="1"/>
  <c r="G1291" i="2"/>
  <c r="J1290" i="2"/>
  <c r="L1290" i="2" l="1"/>
  <c r="E1292" i="2"/>
  <c r="F1292" i="2" s="1"/>
  <c r="H1292" i="2"/>
  <c r="I1292" i="2" s="1"/>
  <c r="K1291" i="2"/>
  <c r="L1291" i="2" s="1"/>
  <c r="G1292" i="2"/>
  <c r="J1292" i="2" l="1"/>
  <c r="G1293" i="2"/>
  <c r="E1293" i="2"/>
  <c r="F1293" i="2" s="1"/>
  <c r="H1293" i="2"/>
  <c r="I1293" i="2" s="1"/>
  <c r="K1292" i="2"/>
  <c r="J1293" i="2" s="1"/>
  <c r="H1294" i="2" l="1"/>
  <c r="I1294" i="2" s="1"/>
  <c r="K1293" i="2"/>
  <c r="L1293" i="2" s="1"/>
  <c r="G1294" i="2"/>
  <c r="E1294" i="2"/>
  <c r="F1294" i="2" s="1"/>
  <c r="L1292" i="2"/>
  <c r="E1295" i="2" l="1"/>
  <c r="F1295" i="2" s="1"/>
  <c r="H1295" i="2"/>
  <c r="I1295" i="2" s="1"/>
  <c r="K1294" i="2"/>
  <c r="J1295" i="2" s="1"/>
  <c r="G1295" i="2"/>
  <c r="J1294" i="2"/>
  <c r="L1294" i="2" l="1"/>
  <c r="E1296" i="2"/>
  <c r="F1296" i="2" s="1"/>
  <c r="H1296" i="2"/>
  <c r="I1296" i="2" s="1"/>
  <c r="K1295" i="2"/>
  <c r="L1295" i="2" s="1"/>
  <c r="G1296" i="2"/>
  <c r="J1296" i="2" l="1"/>
  <c r="G1297" i="2"/>
  <c r="E1297" i="2"/>
  <c r="F1297" i="2" s="1"/>
  <c r="H1297" i="2"/>
  <c r="I1297" i="2" s="1"/>
  <c r="K1296" i="2"/>
  <c r="J1297" i="2" s="1"/>
  <c r="H1298" i="2" l="1"/>
  <c r="I1298" i="2" s="1"/>
  <c r="K1297" i="2"/>
  <c r="L1297" i="2" s="1"/>
  <c r="G1298" i="2"/>
  <c r="E1298" i="2"/>
  <c r="F1298" i="2" s="1"/>
  <c r="L1296" i="2"/>
  <c r="E1299" i="2" l="1"/>
  <c r="F1299" i="2" s="1"/>
  <c r="H1299" i="2"/>
  <c r="I1299" i="2" s="1"/>
  <c r="K1298" i="2"/>
  <c r="J1299" i="2" s="1"/>
  <c r="G1299" i="2"/>
  <c r="J1298" i="2"/>
  <c r="L1298" i="2" l="1"/>
  <c r="E1300" i="2"/>
  <c r="F1300" i="2" s="1"/>
  <c r="H1300" i="2"/>
  <c r="I1300" i="2" s="1"/>
  <c r="K1299" i="2"/>
  <c r="L1299" i="2" s="1"/>
  <c r="G1300" i="2"/>
  <c r="J1300" i="2" l="1"/>
  <c r="G1301" i="2"/>
  <c r="E1301" i="2"/>
  <c r="F1301" i="2" s="1"/>
  <c r="K1300" i="2"/>
  <c r="J1301" i="2" s="1"/>
  <c r="H1301" i="2"/>
  <c r="I1301" i="2" s="1"/>
  <c r="H1302" i="2" l="1"/>
  <c r="I1302" i="2" s="1"/>
  <c r="K1301" i="2"/>
  <c r="L1301" i="2" s="1"/>
  <c r="G1302" i="2"/>
  <c r="E1302" i="2"/>
  <c r="F1302" i="2" s="1"/>
  <c r="L1300" i="2"/>
  <c r="E1303" i="2" l="1"/>
  <c r="F1303" i="2" s="1"/>
  <c r="H1303" i="2"/>
  <c r="I1303" i="2" s="1"/>
  <c r="K1302" i="2"/>
  <c r="J1303" i="2" s="1"/>
  <c r="G1303" i="2"/>
  <c r="J1302" i="2"/>
  <c r="L1302" i="2" l="1"/>
  <c r="E1304" i="2"/>
  <c r="F1304" i="2" s="1"/>
  <c r="H1304" i="2"/>
  <c r="I1304" i="2" s="1"/>
  <c r="K1303" i="2"/>
  <c r="L1303" i="2" s="1"/>
  <c r="G1304" i="2"/>
  <c r="J1304" i="2" l="1"/>
  <c r="G1305" i="2"/>
  <c r="E1305" i="2"/>
  <c r="F1305" i="2" s="1"/>
  <c r="K1304" i="2"/>
  <c r="J1305" i="2" s="1"/>
  <c r="H1305" i="2"/>
  <c r="I1305" i="2" s="1"/>
  <c r="H1306" i="2" l="1"/>
  <c r="I1306" i="2" s="1"/>
  <c r="K1305" i="2"/>
  <c r="L1305" i="2" s="1"/>
  <c r="G1306" i="2"/>
  <c r="E1306" i="2"/>
  <c r="F1306" i="2" s="1"/>
  <c r="L1304" i="2"/>
  <c r="E1307" i="2" l="1"/>
  <c r="F1307" i="2" s="1"/>
  <c r="H1307" i="2"/>
  <c r="I1307" i="2" s="1"/>
  <c r="K1306" i="2"/>
  <c r="J1307" i="2" s="1"/>
  <c r="G1307" i="2"/>
  <c r="J1306" i="2"/>
  <c r="L1306" i="2" l="1"/>
  <c r="E1308" i="2"/>
  <c r="F1308" i="2" s="1"/>
  <c r="H1308" i="2"/>
  <c r="I1308" i="2" s="1"/>
  <c r="K1307" i="2"/>
  <c r="L1307" i="2" s="1"/>
  <c r="G1308" i="2"/>
  <c r="J1308" i="2" l="1"/>
  <c r="G1309" i="2"/>
  <c r="E1309" i="2"/>
  <c r="F1309" i="2" s="1"/>
  <c r="H1309" i="2"/>
  <c r="I1309" i="2" s="1"/>
  <c r="K1308" i="2"/>
  <c r="J1309" i="2" s="1"/>
  <c r="L1308" i="2" l="1"/>
  <c r="H1310" i="2"/>
  <c r="I1310" i="2" s="1"/>
  <c r="K1309" i="2"/>
  <c r="L1309" i="2" s="1"/>
  <c r="G1310" i="2"/>
  <c r="E1310" i="2"/>
  <c r="F1310" i="2" s="1"/>
  <c r="J1310" i="2" l="1"/>
  <c r="E1311" i="2"/>
  <c r="F1311" i="2" s="1"/>
  <c r="H1311" i="2"/>
  <c r="I1311" i="2" s="1"/>
  <c r="K1310" i="2"/>
  <c r="G1311" i="2"/>
  <c r="L1310" i="2" l="1"/>
  <c r="E1312" i="2"/>
  <c r="F1312" i="2" s="1"/>
  <c r="H1312" i="2"/>
  <c r="I1312" i="2" s="1"/>
  <c r="K1311" i="2"/>
  <c r="J1312" i="2" s="1"/>
  <c r="G1312" i="2"/>
  <c r="J1311" i="2"/>
  <c r="L1311" i="2" l="1"/>
  <c r="G1313" i="2"/>
  <c r="E1313" i="2"/>
  <c r="F1313" i="2" s="1"/>
  <c r="H1313" i="2"/>
  <c r="I1313" i="2" s="1"/>
  <c r="K1312" i="2"/>
  <c r="L1312" i="2" s="1"/>
  <c r="J1313" i="2" l="1"/>
  <c r="H1314" i="2"/>
  <c r="I1314" i="2" s="1"/>
  <c r="K1313" i="2"/>
  <c r="G1314" i="2"/>
  <c r="E1314" i="2"/>
  <c r="F1314" i="2" s="1"/>
  <c r="L1313" i="2" l="1"/>
  <c r="E1315" i="2"/>
  <c r="F1315" i="2" s="1"/>
  <c r="H1315" i="2"/>
  <c r="I1315" i="2" s="1"/>
  <c r="K1314" i="2"/>
  <c r="J1315" i="2" s="1"/>
  <c r="G1315" i="2"/>
  <c r="J1314" i="2"/>
  <c r="L1314" i="2" l="1"/>
  <c r="E1316" i="2"/>
  <c r="F1316" i="2" s="1"/>
  <c r="H1316" i="2"/>
  <c r="I1316" i="2" s="1"/>
  <c r="K1315" i="2"/>
  <c r="L1315" i="2" s="1"/>
  <c r="G1316" i="2"/>
  <c r="J1316" i="2" l="1"/>
  <c r="G1317" i="2"/>
  <c r="E1317" i="2"/>
  <c r="F1317" i="2" s="1"/>
  <c r="H1317" i="2"/>
  <c r="I1317" i="2" s="1"/>
  <c r="K1316" i="2"/>
  <c r="J1317" i="2" s="1"/>
  <c r="L1316" i="2" l="1"/>
  <c r="H1318" i="2"/>
  <c r="I1318" i="2" s="1"/>
  <c r="K1317" i="2"/>
  <c r="J1318" i="2" s="1"/>
  <c r="G1318" i="2"/>
  <c r="E1318" i="2"/>
  <c r="F1318" i="2" s="1"/>
  <c r="L1317" i="2" l="1"/>
  <c r="E1319" i="2"/>
  <c r="F1319" i="2" s="1"/>
  <c r="H1319" i="2"/>
  <c r="I1319" i="2" s="1"/>
  <c r="K1318" i="2"/>
  <c r="L1318" i="2" s="1"/>
  <c r="G1319" i="2"/>
  <c r="E1320" i="2" l="1"/>
  <c r="F1320" i="2" s="1"/>
  <c r="H1320" i="2"/>
  <c r="I1320" i="2" s="1"/>
  <c r="K1319" i="2"/>
  <c r="J1320" i="2" s="1"/>
  <c r="G1320" i="2"/>
  <c r="J1319" i="2"/>
  <c r="G1321" i="2" l="1"/>
  <c r="E1321" i="2"/>
  <c r="F1321" i="2" s="1"/>
  <c r="K1320" i="2"/>
  <c r="L1320" i="2" s="1"/>
  <c r="H1321" i="2"/>
  <c r="I1321" i="2" s="1"/>
  <c r="L1319" i="2"/>
  <c r="J1321" i="2" l="1"/>
  <c r="H1322" i="2"/>
  <c r="I1322" i="2" s="1"/>
  <c r="K1321" i="2"/>
  <c r="G1322" i="2"/>
  <c r="E1322" i="2"/>
  <c r="F1322" i="2" s="1"/>
  <c r="L1321" i="2" l="1"/>
  <c r="E1323" i="2"/>
  <c r="F1323" i="2" s="1"/>
  <c r="H1323" i="2"/>
  <c r="I1323" i="2" s="1"/>
  <c r="K1322" i="2"/>
  <c r="J1323" i="2" s="1"/>
  <c r="G1323" i="2"/>
  <c r="J1322" i="2"/>
  <c r="L1322" i="2" l="1"/>
  <c r="E1324" i="2"/>
  <c r="F1324" i="2" s="1"/>
  <c r="H1324" i="2"/>
  <c r="I1324" i="2" s="1"/>
  <c r="K1323" i="2"/>
  <c r="L1323" i="2" s="1"/>
  <c r="G1324" i="2"/>
  <c r="J1324" i="2" l="1"/>
  <c r="G1325" i="2"/>
  <c r="E1325" i="2"/>
  <c r="F1325" i="2" s="1"/>
  <c r="K1324" i="2"/>
  <c r="J1325" i="2" s="1"/>
  <c r="H1325" i="2"/>
  <c r="I1325" i="2" s="1"/>
  <c r="H1326" i="2" l="1"/>
  <c r="I1326" i="2" s="1"/>
  <c r="K1325" i="2"/>
  <c r="L1325" i="2" s="1"/>
  <c r="G1326" i="2"/>
  <c r="E1326" i="2"/>
  <c r="F1326" i="2" s="1"/>
  <c r="L1324" i="2"/>
  <c r="E1327" i="2" l="1"/>
  <c r="F1327" i="2" s="1"/>
  <c r="H1327" i="2"/>
  <c r="I1327" i="2" s="1"/>
  <c r="K1326" i="2"/>
  <c r="J1327" i="2" s="1"/>
  <c r="G1327" i="2"/>
  <c r="J1326" i="2"/>
  <c r="L1326" i="2" l="1"/>
  <c r="E1328" i="2"/>
  <c r="F1328" i="2" s="1"/>
  <c r="H1328" i="2"/>
  <c r="I1328" i="2" s="1"/>
  <c r="K1327" i="2"/>
  <c r="L1327" i="2" s="1"/>
  <c r="G1328" i="2"/>
  <c r="J1328" i="2" l="1"/>
  <c r="G1329" i="2"/>
  <c r="E1329" i="2"/>
  <c r="F1329" i="2" s="1"/>
  <c r="H1329" i="2"/>
  <c r="I1329" i="2" s="1"/>
  <c r="K1328" i="2"/>
  <c r="L1328" i="2" s="1"/>
  <c r="J1329" i="2" l="1"/>
  <c r="H1330" i="2"/>
  <c r="I1330" i="2" s="1"/>
  <c r="K1329" i="2"/>
  <c r="G1330" i="2"/>
  <c r="E1330" i="2"/>
  <c r="F1330" i="2" s="1"/>
  <c r="L1329" i="2" l="1"/>
  <c r="J1330" i="2"/>
  <c r="E1331" i="2"/>
  <c r="F1331" i="2" s="1"/>
  <c r="H1331" i="2"/>
  <c r="I1331" i="2" s="1"/>
  <c r="K1330" i="2"/>
  <c r="G1331" i="2"/>
  <c r="L1330" i="2" l="1"/>
  <c r="E1332" i="2"/>
  <c r="F1332" i="2" s="1"/>
  <c r="H1332" i="2"/>
  <c r="I1332" i="2" s="1"/>
  <c r="K1331" i="2"/>
  <c r="J1332" i="2" s="1"/>
  <c r="G1332" i="2"/>
  <c r="J1331" i="2"/>
  <c r="L1331" i="2" l="1"/>
  <c r="G1333" i="2"/>
  <c r="E1333" i="2"/>
  <c r="F1333" i="2" s="1"/>
  <c r="K1332" i="2"/>
  <c r="L1332" i="2" s="1"/>
  <c r="H1333" i="2"/>
  <c r="I1333" i="2" s="1"/>
  <c r="J1333" i="2" l="1"/>
  <c r="H1334" i="2"/>
  <c r="I1334" i="2" s="1"/>
  <c r="K1333" i="2"/>
  <c r="G1334" i="2"/>
  <c r="E1334" i="2"/>
  <c r="F1334" i="2" s="1"/>
  <c r="L1333" i="2" l="1"/>
  <c r="E1335" i="2"/>
  <c r="F1335" i="2" s="1"/>
  <c r="H1335" i="2"/>
  <c r="I1335" i="2" s="1"/>
  <c r="K1334" i="2"/>
  <c r="J1335" i="2" s="1"/>
  <c r="G1335" i="2"/>
  <c r="J1334" i="2"/>
  <c r="L1334" i="2" l="1"/>
  <c r="E1336" i="2"/>
  <c r="F1336" i="2" s="1"/>
  <c r="H1336" i="2"/>
  <c r="I1336" i="2" s="1"/>
  <c r="K1335" i="2"/>
  <c r="L1335" i="2" s="1"/>
  <c r="G1336" i="2"/>
  <c r="J1336" i="2" l="1"/>
  <c r="G1337" i="2"/>
  <c r="E1337" i="2"/>
  <c r="F1337" i="2" s="1"/>
  <c r="K1336" i="2"/>
  <c r="H1337" i="2"/>
  <c r="I1337" i="2" s="1"/>
  <c r="L1336" i="2" l="1"/>
  <c r="J1337" i="2"/>
  <c r="H1338" i="2"/>
  <c r="I1338" i="2" s="1"/>
  <c r="K1337" i="2"/>
  <c r="G1338" i="2"/>
  <c r="E1338" i="2"/>
  <c r="F1338" i="2" s="1"/>
  <c r="L1337" i="2" l="1"/>
  <c r="J1338" i="2"/>
  <c r="E1339" i="2"/>
  <c r="F1339" i="2" s="1"/>
  <c r="H1339" i="2"/>
  <c r="I1339" i="2" s="1"/>
  <c r="K1338" i="2"/>
  <c r="J1339" i="2" s="1"/>
  <c r="G1339" i="2"/>
  <c r="E1340" i="2" l="1"/>
  <c r="F1340" i="2" s="1"/>
  <c r="H1340" i="2"/>
  <c r="I1340" i="2" s="1"/>
  <c r="K1339" i="2"/>
  <c r="L1339" i="2" s="1"/>
  <c r="G1340" i="2"/>
  <c r="L1338" i="2"/>
  <c r="J1340" i="2" l="1"/>
  <c r="G1341" i="2"/>
  <c r="E1341" i="2"/>
  <c r="F1341" i="2" s="1"/>
  <c r="K1340" i="2"/>
  <c r="J1341" i="2" s="1"/>
  <c r="H1341" i="2"/>
  <c r="I1341" i="2" s="1"/>
  <c r="L1340" i="2" l="1"/>
  <c r="H1342" i="2"/>
  <c r="I1342" i="2" s="1"/>
  <c r="K1341" i="2"/>
  <c r="L1341" i="2" s="1"/>
  <c r="G1342" i="2"/>
  <c r="E1342" i="2"/>
  <c r="F1342" i="2" s="1"/>
  <c r="E1343" i="2" l="1"/>
  <c r="F1343" i="2" s="1"/>
  <c r="H1343" i="2"/>
  <c r="I1343" i="2" s="1"/>
  <c r="K1342" i="2"/>
  <c r="J1343" i="2" s="1"/>
  <c r="G1343" i="2"/>
  <c r="J1342" i="2"/>
  <c r="L1342" i="2" l="1"/>
  <c r="E1344" i="2"/>
  <c r="F1344" i="2" s="1"/>
  <c r="H1344" i="2"/>
  <c r="I1344" i="2" s="1"/>
  <c r="K1343" i="2"/>
  <c r="L1343" i="2" s="1"/>
  <c r="G1344" i="2"/>
  <c r="J1344" i="2" l="1"/>
  <c r="G1345" i="2"/>
  <c r="E1345" i="2"/>
  <c r="F1345" i="2" s="1"/>
  <c r="H1345" i="2"/>
  <c r="I1345" i="2" s="1"/>
  <c r="K1344" i="2"/>
  <c r="J1345" i="2" s="1"/>
  <c r="H1346" i="2" l="1"/>
  <c r="I1346" i="2" s="1"/>
  <c r="K1345" i="2"/>
  <c r="L1345" i="2" s="1"/>
  <c r="G1346" i="2"/>
  <c r="E1346" i="2"/>
  <c r="F1346" i="2" s="1"/>
  <c r="L1344" i="2"/>
  <c r="E1347" i="2" l="1"/>
  <c r="F1347" i="2" s="1"/>
  <c r="H1347" i="2"/>
  <c r="I1347" i="2" s="1"/>
  <c r="K1346" i="2"/>
  <c r="J1347" i="2" s="1"/>
  <c r="G1347" i="2"/>
  <c r="J1346" i="2"/>
  <c r="L1346" i="2" l="1"/>
  <c r="E1348" i="2"/>
  <c r="F1348" i="2" s="1"/>
  <c r="H1348" i="2"/>
  <c r="I1348" i="2" s="1"/>
  <c r="K1347" i="2"/>
  <c r="L1347" i="2" s="1"/>
  <c r="G1348" i="2"/>
  <c r="J1348" i="2" l="1"/>
  <c r="G1349" i="2"/>
  <c r="E1349" i="2"/>
  <c r="F1349" i="2" s="1"/>
  <c r="K1348" i="2"/>
  <c r="J1349" i="2" s="1"/>
  <c r="H1349" i="2"/>
  <c r="I1349" i="2" s="1"/>
  <c r="H1350" i="2" l="1"/>
  <c r="I1350" i="2" s="1"/>
  <c r="K1349" i="2"/>
  <c r="L1349" i="2" s="1"/>
  <c r="G1350" i="2"/>
  <c r="E1350" i="2"/>
  <c r="F1350" i="2" s="1"/>
  <c r="L1348" i="2"/>
  <c r="E1351" i="2" l="1"/>
  <c r="F1351" i="2" s="1"/>
  <c r="H1351" i="2"/>
  <c r="I1351" i="2" s="1"/>
  <c r="K1350" i="2"/>
  <c r="J1351" i="2" s="1"/>
  <c r="G1351" i="2"/>
  <c r="J1350" i="2"/>
  <c r="L1350" i="2" l="1"/>
  <c r="E1352" i="2"/>
  <c r="F1352" i="2" s="1"/>
  <c r="H1352" i="2"/>
  <c r="I1352" i="2" s="1"/>
  <c r="K1351" i="2"/>
  <c r="L1351" i="2" s="1"/>
  <c r="G1352" i="2"/>
  <c r="J1352" i="2" l="1"/>
  <c r="G1353" i="2"/>
  <c r="E1353" i="2"/>
  <c r="F1353" i="2" s="1"/>
  <c r="K1352" i="2"/>
  <c r="H1353" i="2"/>
  <c r="I1353" i="2" s="1"/>
  <c r="L1352" i="2" l="1"/>
  <c r="J1353" i="2"/>
  <c r="H1354" i="2"/>
  <c r="I1354" i="2" s="1"/>
  <c r="K1353" i="2"/>
  <c r="L1353" i="2" s="1"/>
  <c r="G1354" i="2"/>
  <c r="E1354" i="2"/>
  <c r="F1354" i="2" s="1"/>
  <c r="J1354" i="2" l="1"/>
  <c r="E1355" i="2"/>
  <c r="F1355" i="2" s="1"/>
  <c r="H1355" i="2"/>
  <c r="I1355" i="2" s="1"/>
  <c r="K1354" i="2"/>
  <c r="G1355" i="2"/>
  <c r="L1354" i="2" l="1"/>
  <c r="J1355" i="2"/>
  <c r="E1356" i="2"/>
  <c r="F1356" i="2" s="1"/>
  <c r="H1356" i="2"/>
  <c r="I1356" i="2" s="1"/>
  <c r="K1355" i="2"/>
  <c r="J1356" i="2" s="1"/>
  <c r="G1356" i="2"/>
  <c r="G1357" i="2" l="1"/>
  <c r="E1357" i="2"/>
  <c r="F1357" i="2" s="1"/>
  <c r="H1357" i="2"/>
  <c r="I1357" i="2" s="1"/>
  <c r="K1356" i="2"/>
  <c r="L1356" i="2" s="1"/>
  <c r="L1355" i="2"/>
  <c r="J1357" i="2" l="1"/>
  <c r="H1358" i="2"/>
  <c r="I1358" i="2" s="1"/>
  <c r="K1357" i="2"/>
  <c r="G1358" i="2"/>
  <c r="E1358" i="2"/>
  <c r="F1358" i="2" s="1"/>
  <c r="L1357" i="2" l="1"/>
  <c r="J1358" i="2"/>
  <c r="E1359" i="2"/>
  <c r="F1359" i="2" s="1"/>
  <c r="H1359" i="2"/>
  <c r="I1359" i="2" s="1"/>
  <c r="K1358" i="2"/>
  <c r="G1359" i="2"/>
  <c r="L1358" i="2" l="1"/>
  <c r="J1359" i="2"/>
  <c r="E1360" i="2"/>
  <c r="F1360" i="2" s="1"/>
  <c r="H1360" i="2"/>
  <c r="I1360" i="2" s="1"/>
  <c r="K1359" i="2"/>
  <c r="J1360" i="2" s="1"/>
  <c r="G1360" i="2"/>
  <c r="G1361" i="2" l="1"/>
  <c r="E1361" i="2"/>
  <c r="F1361" i="2" s="1"/>
  <c r="H1361" i="2"/>
  <c r="I1361" i="2" s="1"/>
  <c r="K1360" i="2"/>
  <c r="L1360" i="2" s="1"/>
  <c r="L1359" i="2"/>
  <c r="J1361" i="2" l="1"/>
  <c r="H1362" i="2"/>
  <c r="I1362" i="2" s="1"/>
  <c r="K1361" i="2"/>
  <c r="J1362" i="2" s="1"/>
  <c r="G1362" i="2"/>
  <c r="E1362" i="2"/>
  <c r="F1362" i="2" s="1"/>
  <c r="E1363" i="2" l="1"/>
  <c r="F1363" i="2" s="1"/>
  <c r="H1363" i="2"/>
  <c r="I1363" i="2" s="1"/>
  <c r="K1362" i="2"/>
  <c r="L1362" i="2" s="1"/>
  <c r="G1363" i="2"/>
  <c r="L1361" i="2"/>
  <c r="E1364" i="2" l="1"/>
  <c r="F1364" i="2" s="1"/>
  <c r="H1364" i="2"/>
  <c r="I1364" i="2" s="1"/>
  <c r="K1363" i="2"/>
  <c r="J1364" i="2" s="1"/>
  <c r="G1364" i="2"/>
  <c r="J1363" i="2"/>
  <c r="G1365" i="2" l="1"/>
  <c r="E1365" i="2"/>
  <c r="F1365" i="2" s="1"/>
  <c r="K1364" i="2"/>
  <c r="L1364" i="2" s="1"/>
  <c r="H1365" i="2"/>
  <c r="I1365" i="2" s="1"/>
  <c r="L1363" i="2"/>
  <c r="J1365" i="2" l="1"/>
  <c r="H1366" i="2"/>
  <c r="I1366" i="2" s="1"/>
  <c r="K1365" i="2"/>
  <c r="G1366" i="2"/>
  <c r="E1366" i="2"/>
  <c r="F1366" i="2" s="1"/>
  <c r="L1365" i="2" l="1"/>
  <c r="J1366" i="2"/>
  <c r="E1367" i="2"/>
  <c r="F1367" i="2" s="1"/>
  <c r="H1367" i="2"/>
  <c r="I1367" i="2" s="1"/>
  <c r="K1366" i="2"/>
  <c r="G1367" i="2"/>
  <c r="L1366" i="2" l="1"/>
  <c r="J1367" i="2"/>
  <c r="E1368" i="2"/>
  <c r="F1368" i="2" s="1"/>
  <c r="H1368" i="2"/>
  <c r="I1368" i="2" s="1"/>
  <c r="K1367" i="2"/>
  <c r="G1368" i="2"/>
  <c r="L1367" i="2" l="1"/>
  <c r="J1368" i="2"/>
  <c r="G1369" i="2"/>
  <c r="E1369" i="2"/>
  <c r="F1369" i="2" s="1"/>
  <c r="K1368" i="2"/>
  <c r="J1369" i="2" s="1"/>
  <c r="H1369" i="2"/>
  <c r="I1369" i="2" s="1"/>
  <c r="L1368" i="2" l="1"/>
  <c r="H1370" i="2"/>
  <c r="I1370" i="2" s="1"/>
  <c r="K1369" i="2"/>
  <c r="L1369" i="2" s="1"/>
  <c r="G1370" i="2"/>
  <c r="E1370" i="2"/>
  <c r="F1370" i="2" s="1"/>
  <c r="E1371" i="2" l="1"/>
  <c r="F1371" i="2" s="1"/>
  <c r="H1371" i="2"/>
  <c r="I1371" i="2" s="1"/>
  <c r="K1370" i="2"/>
  <c r="J1371" i="2" s="1"/>
  <c r="G1371" i="2"/>
  <c r="J1370" i="2"/>
  <c r="L1370" i="2" l="1"/>
  <c r="E1372" i="2"/>
  <c r="F1372" i="2" s="1"/>
  <c r="H1372" i="2"/>
  <c r="I1372" i="2" s="1"/>
  <c r="K1371" i="2"/>
  <c r="L1371" i="2" s="1"/>
  <c r="G1372" i="2"/>
  <c r="J1372" i="2" l="1"/>
  <c r="G1373" i="2"/>
  <c r="E1373" i="2"/>
  <c r="F1373" i="2" s="1"/>
  <c r="H1373" i="2"/>
  <c r="I1373" i="2" s="1"/>
  <c r="K1372" i="2"/>
  <c r="J1373" i="2" s="1"/>
  <c r="H1374" i="2" l="1"/>
  <c r="I1374" i="2" s="1"/>
  <c r="K1373" i="2"/>
  <c r="L1373" i="2" s="1"/>
  <c r="G1374" i="2"/>
  <c r="E1374" i="2"/>
  <c r="F1374" i="2" s="1"/>
  <c r="L1372" i="2"/>
  <c r="E1375" i="2" l="1"/>
  <c r="F1375" i="2" s="1"/>
  <c r="H1375" i="2"/>
  <c r="I1375" i="2" s="1"/>
  <c r="K1374" i="2"/>
  <c r="J1375" i="2" s="1"/>
  <c r="G1375" i="2"/>
  <c r="J1374" i="2"/>
  <c r="L1374" i="2" l="1"/>
  <c r="E1376" i="2"/>
  <c r="F1376" i="2" s="1"/>
  <c r="H1376" i="2"/>
  <c r="I1376" i="2" s="1"/>
  <c r="K1375" i="2"/>
  <c r="L1375" i="2" s="1"/>
  <c r="G1376" i="2"/>
  <c r="J1376" i="2" l="1"/>
  <c r="G1377" i="2"/>
  <c r="E1377" i="2"/>
  <c r="F1377" i="2" s="1"/>
  <c r="H1377" i="2"/>
  <c r="I1377" i="2" s="1"/>
  <c r="K1376" i="2"/>
  <c r="J1377" i="2" s="1"/>
  <c r="H1378" i="2" l="1"/>
  <c r="I1378" i="2" s="1"/>
  <c r="K1377" i="2"/>
  <c r="L1377" i="2" s="1"/>
  <c r="G1378" i="2"/>
  <c r="E1378" i="2"/>
  <c r="F1378" i="2" s="1"/>
  <c r="L1376" i="2"/>
  <c r="J1378" i="2" l="1"/>
  <c r="E1379" i="2"/>
  <c r="F1379" i="2" s="1"/>
  <c r="H1379" i="2"/>
  <c r="I1379" i="2" s="1"/>
  <c r="K1378" i="2"/>
  <c r="J1379" i="2" s="1"/>
  <c r="G1379" i="2"/>
  <c r="L1378" i="2" l="1"/>
  <c r="E1380" i="2"/>
  <c r="F1380" i="2" s="1"/>
  <c r="H1380" i="2"/>
  <c r="I1380" i="2" s="1"/>
  <c r="K1379" i="2"/>
  <c r="L1379" i="2" s="1"/>
  <c r="G1380" i="2"/>
  <c r="J1380" i="2" l="1"/>
  <c r="G1381" i="2"/>
  <c r="E1381" i="2"/>
  <c r="F1381" i="2" s="1"/>
  <c r="H1381" i="2"/>
  <c r="I1381" i="2" s="1"/>
  <c r="K1380" i="2"/>
  <c r="L1380" i="2" s="1"/>
  <c r="J1381" i="2" l="1"/>
  <c r="H1382" i="2"/>
  <c r="I1382" i="2" s="1"/>
  <c r="K1381" i="2"/>
  <c r="G1382" i="2"/>
  <c r="E1382" i="2"/>
  <c r="F1382" i="2" s="1"/>
  <c r="L1381" i="2" l="1"/>
  <c r="J1382" i="2"/>
  <c r="E1383" i="2"/>
  <c r="F1383" i="2" s="1"/>
  <c r="H1383" i="2"/>
  <c r="I1383" i="2" s="1"/>
  <c r="K1382" i="2"/>
  <c r="G1383" i="2"/>
  <c r="L1382" i="2" l="1"/>
  <c r="J1383" i="2"/>
  <c r="E1384" i="2"/>
  <c r="F1384" i="2" s="1"/>
  <c r="H1384" i="2"/>
  <c r="I1384" i="2" s="1"/>
  <c r="K1383" i="2"/>
  <c r="J1384" i="2" s="1"/>
  <c r="G1384" i="2"/>
  <c r="G1385" i="2" l="1"/>
  <c r="E1385" i="2"/>
  <c r="F1385" i="2" s="1"/>
  <c r="K1384" i="2"/>
  <c r="L1384" i="2" s="1"/>
  <c r="H1385" i="2"/>
  <c r="I1385" i="2" s="1"/>
  <c r="L1383" i="2"/>
  <c r="J1385" i="2" l="1"/>
  <c r="H1386" i="2"/>
  <c r="I1386" i="2" s="1"/>
  <c r="K1385" i="2"/>
  <c r="G1386" i="2"/>
  <c r="E1386" i="2"/>
  <c r="F1386" i="2" s="1"/>
  <c r="L1385" i="2" l="1"/>
  <c r="J1386" i="2"/>
  <c r="E1387" i="2"/>
  <c r="F1387" i="2" s="1"/>
  <c r="H1387" i="2"/>
  <c r="I1387" i="2" s="1"/>
  <c r="K1386" i="2"/>
  <c r="G1387" i="2"/>
  <c r="L1386" i="2" l="1"/>
  <c r="J1387" i="2"/>
  <c r="E1388" i="2"/>
  <c r="F1388" i="2" s="1"/>
  <c r="H1388" i="2"/>
  <c r="I1388" i="2" s="1"/>
  <c r="K1387" i="2"/>
  <c r="J1388" i="2" s="1"/>
  <c r="G1388" i="2"/>
  <c r="G1389" i="2" l="1"/>
  <c r="E1389" i="2"/>
  <c r="F1389" i="2" s="1"/>
  <c r="K1388" i="2"/>
  <c r="L1388" i="2" s="1"/>
  <c r="H1389" i="2"/>
  <c r="I1389" i="2" s="1"/>
  <c r="L1387" i="2"/>
  <c r="J1389" i="2" l="1"/>
  <c r="H1390" i="2"/>
  <c r="I1390" i="2" s="1"/>
  <c r="K1389" i="2"/>
  <c r="G1390" i="2"/>
  <c r="E1390" i="2"/>
  <c r="F1390" i="2" s="1"/>
  <c r="L1389" i="2" l="1"/>
  <c r="J1390" i="2"/>
  <c r="E1391" i="2"/>
  <c r="F1391" i="2" s="1"/>
  <c r="H1391" i="2"/>
  <c r="I1391" i="2" s="1"/>
  <c r="K1390" i="2"/>
  <c r="G1391" i="2"/>
  <c r="L1390" i="2" l="1"/>
  <c r="J1391" i="2"/>
  <c r="E1392" i="2"/>
  <c r="F1392" i="2" s="1"/>
  <c r="H1392" i="2"/>
  <c r="I1392" i="2" s="1"/>
  <c r="K1391" i="2"/>
  <c r="J1392" i="2" s="1"/>
  <c r="G1392" i="2"/>
  <c r="G1393" i="2" l="1"/>
  <c r="E1393" i="2"/>
  <c r="F1393" i="2" s="1"/>
  <c r="H1393" i="2"/>
  <c r="I1393" i="2" s="1"/>
  <c r="K1392" i="2"/>
  <c r="L1392" i="2" s="1"/>
  <c r="L1391" i="2"/>
  <c r="J1393" i="2" l="1"/>
  <c r="H1394" i="2"/>
  <c r="I1394" i="2" s="1"/>
  <c r="K1393" i="2"/>
  <c r="J1394" i="2" s="1"/>
  <c r="G1394" i="2"/>
  <c r="E1394" i="2"/>
  <c r="F1394" i="2" s="1"/>
  <c r="E1395" i="2" l="1"/>
  <c r="F1395" i="2" s="1"/>
  <c r="H1395" i="2"/>
  <c r="I1395" i="2" s="1"/>
  <c r="K1394" i="2"/>
  <c r="L1394" i="2" s="1"/>
  <c r="G1395" i="2"/>
  <c r="L1393" i="2"/>
  <c r="E1396" i="2" l="1"/>
  <c r="F1396" i="2" s="1"/>
  <c r="H1396" i="2"/>
  <c r="I1396" i="2" s="1"/>
  <c r="K1395" i="2"/>
  <c r="J1396" i="2" s="1"/>
  <c r="G1396" i="2"/>
  <c r="J1395" i="2"/>
  <c r="G1397" i="2" l="1"/>
  <c r="E1397" i="2"/>
  <c r="F1397" i="2" s="1"/>
  <c r="K1396" i="2"/>
  <c r="J1397" i="2" s="1"/>
  <c r="H1397" i="2"/>
  <c r="I1397" i="2" s="1"/>
  <c r="L1395" i="2"/>
  <c r="L1396" i="2" l="1"/>
  <c r="H1398" i="2"/>
  <c r="I1398" i="2" s="1"/>
  <c r="K1397" i="2"/>
  <c r="L1397" i="2" s="1"/>
  <c r="G1398" i="2"/>
  <c r="E1398" i="2"/>
  <c r="F1398" i="2" s="1"/>
  <c r="E1399" i="2" l="1"/>
  <c r="F1399" i="2" s="1"/>
  <c r="H1399" i="2"/>
  <c r="I1399" i="2" s="1"/>
  <c r="K1398" i="2"/>
  <c r="J1399" i="2" s="1"/>
  <c r="G1399" i="2"/>
  <c r="J1398" i="2"/>
  <c r="E1400" i="2" l="1"/>
  <c r="F1400" i="2" s="1"/>
  <c r="H1400" i="2"/>
  <c r="I1400" i="2" s="1"/>
  <c r="K1399" i="2"/>
  <c r="L1399" i="2" s="1"/>
  <c r="G1400" i="2"/>
  <c r="L1398" i="2"/>
  <c r="J1400" i="2" l="1"/>
  <c r="G1401" i="2"/>
  <c r="E1401" i="2"/>
  <c r="F1401" i="2" s="1"/>
  <c r="K1400" i="2"/>
  <c r="H1401" i="2"/>
  <c r="I1401" i="2" s="1"/>
  <c r="L1400" i="2" l="1"/>
  <c r="J1401" i="2"/>
  <c r="H1402" i="2"/>
  <c r="I1402" i="2" s="1"/>
  <c r="K1401" i="2"/>
  <c r="G1402" i="2"/>
  <c r="E1402" i="2"/>
  <c r="F1402" i="2" s="1"/>
  <c r="L1401" i="2" l="1"/>
  <c r="E1403" i="2"/>
  <c r="F1403" i="2" s="1"/>
  <c r="H1403" i="2"/>
  <c r="I1403" i="2" s="1"/>
  <c r="K1402" i="2"/>
  <c r="J1403" i="2" s="1"/>
  <c r="G1403" i="2"/>
  <c r="J1402" i="2"/>
  <c r="L1402" i="2" l="1"/>
  <c r="E1404" i="2"/>
  <c r="F1404" i="2" s="1"/>
  <c r="H1404" i="2"/>
  <c r="I1404" i="2" s="1"/>
  <c r="K1403" i="2"/>
  <c r="L1403" i="2" s="1"/>
  <c r="G1404" i="2"/>
  <c r="J1404" i="2" l="1"/>
  <c r="G1405" i="2"/>
  <c r="E1405" i="2"/>
  <c r="F1405" i="2" s="1"/>
  <c r="H1405" i="2"/>
  <c r="I1405" i="2" s="1"/>
  <c r="K1404" i="2"/>
  <c r="L1404" i="2" l="1"/>
  <c r="J1405" i="2"/>
  <c r="H1406" i="2"/>
  <c r="I1406" i="2" s="1"/>
  <c r="K1405" i="2"/>
  <c r="G1406" i="2"/>
  <c r="E1406" i="2"/>
  <c r="F1406" i="2" s="1"/>
  <c r="L1405" i="2" l="1"/>
  <c r="J1406" i="2"/>
  <c r="E1407" i="2"/>
  <c r="F1407" i="2" s="1"/>
  <c r="H1407" i="2"/>
  <c r="I1407" i="2" s="1"/>
  <c r="K1406" i="2"/>
  <c r="G1407" i="2"/>
  <c r="L1406" i="2" l="1"/>
  <c r="J1407" i="2"/>
  <c r="E1408" i="2"/>
  <c r="F1408" i="2" s="1"/>
  <c r="H1408" i="2"/>
  <c r="I1408" i="2" s="1"/>
  <c r="K1407" i="2"/>
  <c r="J1408" i="2" s="1"/>
  <c r="G1408" i="2"/>
  <c r="G1409" i="2" l="1"/>
  <c r="E1409" i="2"/>
  <c r="F1409" i="2" s="1"/>
  <c r="H1409" i="2"/>
  <c r="I1409" i="2" s="1"/>
  <c r="K1408" i="2"/>
  <c r="L1408" i="2" s="1"/>
  <c r="L1407" i="2"/>
  <c r="J1409" i="2" l="1"/>
  <c r="H1410" i="2"/>
  <c r="I1410" i="2" s="1"/>
  <c r="K1409" i="2"/>
  <c r="G1410" i="2"/>
  <c r="E1410" i="2"/>
  <c r="F1410" i="2" s="1"/>
  <c r="L1409" i="2" l="1"/>
  <c r="E1411" i="2"/>
  <c r="F1411" i="2" s="1"/>
  <c r="H1411" i="2"/>
  <c r="I1411" i="2" s="1"/>
  <c r="K1410" i="2"/>
  <c r="J1411" i="2" s="1"/>
  <c r="G1411" i="2"/>
  <c r="J1410" i="2"/>
  <c r="L1410" i="2" l="1"/>
  <c r="E1412" i="2"/>
  <c r="F1412" i="2" s="1"/>
  <c r="H1412" i="2"/>
  <c r="I1412" i="2" s="1"/>
  <c r="K1411" i="2"/>
  <c r="L1411" i="2" s="1"/>
  <c r="G1412" i="2"/>
  <c r="J1412" i="2" l="1"/>
  <c r="G1413" i="2"/>
  <c r="E1413" i="2"/>
  <c r="F1413" i="2" s="1"/>
  <c r="H1413" i="2"/>
  <c r="I1413" i="2" s="1"/>
  <c r="K1412" i="2"/>
  <c r="L1412" i="2" l="1"/>
  <c r="J1413" i="2"/>
  <c r="H1414" i="2"/>
  <c r="I1414" i="2" s="1"/>
  <c r="K1413" i="2"/>
  <c r="J1414" i="2" s="1"/>
  <c r="G1414" i="2"/>
  <c r="E1414" i="2"/>
  <c r="F1414" i="2" s="1"/>
  <c r="L1413" i="2" l="1"/>
  <c r="E1415" i="2"/>
  <c r="F1415" i="2" s="1"/>
  <c r="H1415" i="2"/>
  <c r="I1415" i="2" s="1"/>
  <c r="K1414" i="2"/>
  <c r="L1414" i="2" s="1"/>
  <c r="G1415" i="2"/>
  <c r="J1415" i="2" l="1"/>
  <c r="E1416" i="2"/>
  <c r="F1416" i="2" s="1"/>
  <c r="H1416" i="2"/>
  <c r="I1416" i="2" s="1"/>
  <c r="K1415" i="2"/>
  <c r="G1416" i="2"/>
  <c r="L1415" i="2" l="1"/>
  <c r="J1416" i="2"/>
  <c r="G1417" i="2"/>
  <c r="E1417" i="2"/>
  <c r="F1417" i="2" s="1"/>
  <c r="K1416" i="2"/>
  <c r="H1417" i="2"/>
  <c r="I1417" i="2" s="1"/>
  <c r="L1416" i="2" l="1"/>
  <c r="J1417" i="2"/>
  <c r="H1418" i="2"/>
  <c r="I1418" i="2" s="1"/>
  <c r="K1417" i="2"/>
  <c r="G1418" i="2"/>
  <c r="E1418" i="2"/>
  <c r="F1418" i="2" s="1"/>
  <c r="L1417" i="2" l="1"/>
  <c r="J1418" i="2"/>
  <c r="E1419" i="2"/>
  <c r="F1419" i="2" s="1"/>
  <c r="H1419" i="2"/>
  <c r="I1419" i="2" s="1"/>
  <c r="K1418" i="2"/>
  <c r="G1419" i="2"/>
  <c r="L1418" i="2" l="1"/>
  <c r="J1419" i="2"/>
  <c r="E1420" i="2"/>
  <c r="F1420" i="2" s="1"/>
  <c r="H1420" i="2"/>
  <c r="I1420" i="2" s="1"/>
  <c r="K1419" i="2"/>
  <c r="G1420" i="2"/>
  <c r="L1419" i="2" l="1"/>
  <c r="J1420" i="2"/>
  <c r="G1421" i="2"/>
  <c r="E1421" i="2"/>
  <c r="F1421" i="2" s="1"/>
  <c r="H1421" i="2"/>
  <c r="I1421" i="2" s="1"/>
  <c r="K1420" i="2"/>
  <c r="J1421" i="2" s="1"/>
  <c r="L1420" i="2" l="1"/>
  <c r="H1422" i="2"/>
  <c r="I1422" i="2" s="1"/>
  <c r="K1421" i="2"/>
  <c r="J1422" i="2" s="1"/>
  <c r="G1422" i="2"/>
  <c r="E1422" i="2"/>
  <c r="F1422" i="2" s="1"/>
  <c r="L1421" i="2" l="1"/>
  <c r="E1423" i="2"/>
  <c r="F1423" i="2" s="1"/>
  <c r="H1423" i="2"/>
  <c r="I1423" i="2" s="1"/>
  <c r="K1422" i="2"/>
  <c r="L1422" i="2" s="1"/>
  <c r="G1423" i="2"/>
  <c r="E1424" i="2" l="1"/>
  <c r="F1424" i="2" s="1"/>
  <c r="H1424" i="2"/>
  <c r="I1424" i="2" s="1"/>
  <c r="K1423" i="2"/>
  <c r="J1424" i="2" s="1"/>
  <c r="G1424" i="2"/>
  <c r="J1423" i="2"/>
  <c r="G1425" i="2" l="1"/>
  <c r="E1425" i="2"/>
  <c r="F1425" i="2" s="1"/>
  <c r="H1425" i="2"/>
  <c r="I1425" i="2" s="1"/>
  <c r="K1424" i="2"/>
  <c r="L1424" i="2" s="1"/>
  <c r="L1423" i="2"/>
  <c r="J1425" i="2" l="1"/>
  <c r="H1426" i="2"/>
  <c r="I1426" i="2" s="1"/>
  <c r="K1425" i="2"/>
  <c r="J1426" i="2" s="1"/>
  <c r="G1426" i="2"/>
  <c r="E1426" i="2"/>
  <c r="F1426" i="2" s="1"/>
  <c r="E1427" i="2" l="1"/>
  <c r="F1427" i="2" s="1"/>
  <c r="H1427" i="2"/>
  <c r="I1427" i="2" s="1"/>
  <c r="K1426" i="2"/>
  <c r="L1426" i="2" s="1"/>
  <c r="G1427" i="2"/>
  <c r="L1425" i="2"/>
  <c r="J1427" i="2" l="1"/>
  <c r="E1428" i="2"/>
  <c r="F1428" i="2" s="1"/>
  <c r="H1428" i="2"/>
  <c r="I1428" i="2" s="1"/>
  <c r="K1427" i="2"/>
  <c r="J1428" i="2" s="1"/>
  <c r="G1428" i="2"/>
  <c r="G1429" i="2" l="1"/>
  <c r="E1429" i="2"/>
  <c r="F1429" i="2" s="1"/>
  <c r="K1428" i="2"/>
  <c r="L1428" i="2" s="1"/>
  <c r="H1429" i="2"/>
  <c r="I1429" i="2" s="1"/>
  <c r="L1427" i="2"/>
  <c r="J1429" i="2" l="1"/>
  <c r="H1430" i="2"/>
  <c r="I1430" i="2" s="1"/>
  <c r="K1429" i="2"/>
  <c r="G1430" i="2"/>
  <c r="E1430" i="2"/>
  <c r="F1430" i="2" s="1"/>
  <c r="L1429" i="2" l="1"/>
  <c r="J1430" i="2"/>
  <c r="E1431" i="2"/>
  <c r="F1431" i="2" s="1"/>
  <c r="H1431" i="2"/>
  <c r="I1431" i="2" s="1"/>
  <c r="K1430" i="2"/>
  <c r="J1431" i="2" s="1"/>
  <c r="G1431" i="2"/>
  <c r="L1430" i="2" l="1"/>
  <c r="E1432" i="2"/>
  <c r="F1432" i="2" s="1"/>
  <c r="H1432" i="2"/>
  <c r="I1432" i="2" s="1"/>
  <c r="K1431" i="2"/>
  <c r="L1431" i="2" s="1"/>
  <c r="G1432" i="2"/>
  <c r="J1432" i="2" l="1"/>
  <c r="G1433" i="2"/>
  <c r="E1433" i="2"/>
  <c r="F1433" i="2" s="1"/>
  <c r="K1432" i="2"/>
  <c r="J1433" i="2" s="1"/>
  <c r="H1433" i="2"/>
  <c r="I1433" i="2" s="1"/>
  <c r="H1434" i="2" l="1"/>
  <c r="I1434" i="2" s="1"/>
  <c r="K1433" i="2"/>
  <c r="L1433" i="2" s="1"/>
  <c r="G1434" i="2"/>
  <c r="E1434" i="2"/>
  <c r="F1434" i="2" s="1"/>
  <c r="L1432" i="2"/>
  <c r="E1435" i="2" l="1"/>
  <c r="F1435" i="2" s="1"/>
  <c r="H1435" i="2"/>
  <c r="I1435" i="2" s="1"/>
  <c r="K1434" i="2"/>
  <c r="J1435" i="2" s="1"/>
  <c r="G1435" i="2"/>
  <c r="J1434" i="2"/>
  <c r="E1436" i="2" l="1"/>
  <c r="F1436" i="2" s="1"/>
  <c r="H1436" i="2"/>
  <c r="I1436" i="2" s="1"/>
  <c r="K1435" i="2"/>
  <c r="L1435" i="2" s="1"/>
  <c r="G1436" i="2"/>
  <c r="L1434" i="2"/>
  <c r="J1436" i="2" l="1"/>
  <c r="G1437" i="2"/>
  <c r="E1437" i="2"/>
  <c r="F1437" i="2" s="1"/>
  <c r="H1437" i="2"/>
  <c r="I1437" i="2" s="1"/>
  <c r="K1436" i="2"/>
  <c r="L1436" i="2" l="1"/>
  <c r="J1437" i="2"/>
  <c r="H1438" i="2"/>
  <c r="I1438" i="2" s="1"/>
  <c r="K1437" i="2"/>
  <c r="J1438" i="2" s="1"/>
  <c r="G1438" i="2"/>
  <c r="E1438" i="2"/>
  <c r="F1438" i="2" s="1"/>
  <c r="L1437" i="2" l="1"/>
  <c r="E1439" i="2"/>
  <c r="F1439" i="2" s="1"/>
  <c r="H1439" i="2"/>
  <c r="I1439" i="2" s="1"/>
  <c r="K1438" i="2"/>
  <c r="L1438" i="2" s="1"/>
  <c r="G1439" i="2"/>
  <c r="E1440" i="2" l="1"/>
  <c r="F1440" i="2" s="1"/>
  <c r="H1440" i="2"/>
  <c r="I1440" i="2" s="1"/>
  <c r="K1439" i="2"/>
  <c r="J1440" i="2" s="1"/>
  <c r="G1440" i="2"/>
  <c r="J1439" i="2"/>
  <c r="G1441" i="2" l="1"/>
  <c r="E1441" i="2"/>
  <c r="F1441" i="2" s="1"/>
  <c r="H1441" i="2"/>
  <c r="I1441" i="2" s="1"/>
  <c r="K1440" i="2"/>
  <c r="L1440" i="2" s="1"/>
  <c r="L1439" i="2"/>
  <c r="J1441" i="2" l="1"/>
  <c r="H1442" i="2"/>
  <c r="I1442" i="2" s="1"/>
  <c r="K1441" i="2"/>
  <c r="J1442" i="2" s="1"/>
  <c r="G1442" i="2"/>
  <c r="E1442" i="2"/>
  <c r="F1442" i="2" s="1"/>
  <c r="E1443" i="2" l="1"/>
  <c r="F1443" i="2" s="1"/>
  <c r="H1443" i="2"/>
  <c r="I1443" i="2" s="1"/>
  <c r="K1442" i="2"/>
  <c r="L1442" i="2" s="1"/>
  <c r="G1443" i="2"/>
  <c r="L1441" i="2"/>
  <c r="E1444" i="2" l="1"/>
  <c r="F1444" i="2" s="1"/>
  <c r="H1444" i="2"/>
  <c r="I1444" i="2" s="1"/>
  <c r="K1443" i="2"/>
  <c r="J1444" i="2" s="1"/>
  <c r="G1444" i="2"/>
  <c r="J1443" i="2"/>
  <c r="G1445" i="2" l="1"/>
  <c r="E1445" i="2"/>
  <c r="F1445" i="2" s="1"/>
  <c r="H1445" i="2"/>
  <c r="I1445" i="2" s="1"/>
  <c r="K1444" i="2"/>
  <c r="L1444" i="2" s="1"/>
  <c r="L1443" i="2"/>
  <c r="J1445" i="2" l="1"/>
  <c r="H1446" i="2"/>
  <c r="I1446" i="2" s="1"/>
  <c r="K1445" i="2"/>
  <c r="G1446" i="2"/>
  <c r="E1446" i="2"/>
  <c r="F1446" i="2" s="1"/>
  <c r="L1445" i="2" l="1"/>
  <c r="J1446" i="2"/>
  <c r="E1447" i="2"/>
  <c r="F1447" i="2" s="1"/>
  <c r="H1447" i="2"/>
  <c r="I1447" i="2" s="1"/>
  <c r="K1446" i="2"/>
  <c r="G1447" i="2"/>
  <c r="L1446" i="2" l="1"/>
  <c r="J1447" i="2"/>
  <c r="E1448" i="2"/>
  <c r="F1448" i="2" s="1"/>
  <c r="H1448" i="2"/>
  <c r="I1448" i="2" s="1"/>
  <c r="K1447" i="2"/>
  <c r="J1448" i="2" s="1"/>
  <c r="G1448" i="2"/>
  <c r="G1449" i="2" l="1"/>
  <c r="E1449" i="2"/>
  <c r="F1449" i="2" s="1"/>
  <c r="K1448" i="2"/>
  <c r="L1448" i="2" s="1"/>
  <c r="H1449" i="2"/>
  <c r="I1449" i="2" s="1"/>
  <c r="L1447" i="2"/>
  <c r="J1449" i="2" l="1"/>
  <c r="H1450" i="2"/>
  <c r="I1450" i="2" s="1"/>
  <c r="K1449" i="2"/>
  <c r="G1450" i="2"/>
  <c r="E1450" i="2"/>
  <c r="F1450" i="2" s="1"/>
  <c r="L1449" i="2" l="1"/>
  <c r="E1451" i="2"/>
  <c r="F1451" i="2" s="1"/>
  <c r="H1451" i="2"/>
  <c r="I1451" i="2" s="1"/>
  <c r="K1450" i="2"/>
  <c r="J1451" i="2" s="1"/>
  <c r="G1451" i="2"/>
  <c r="J1450" i="2"/>
  <c r="L1450" i="2" l="1"/>
  <c r="E1452" i="2"/>
  <c r="F1452" i="2" s="1"/>
  <c r="H1452" i="2"/>
  <c r="I1452" i="2" s="1"/>
  <c r="K1451" i="2"/>
  <c r="L1451" i="2" s="1"/>
  <c r="G1452" i="2"/>
  <c r="J1452" i="2" l="1"/>
  <c r="G1453" i="2"/>
  <c r="E1453" i="2"/>
  <c r="F1453" i="2" s="1"/>
  <c r="K1452" i="2"/>
  <c r="J1453" i="2" s="1"/>
  <c r="H1453" i="2"/>
  <c r="I1453" i="2" s="1"/>
  <c r="L1452" i="2" l="1"/>
  <c r="H1454" i="2"/>
  <c r="I1454" i="2" s="1"/>
  <c r="K1453" i="2"/>
  <c r="L1453" i="2" s="1"/>
  <c r="G1454" i="2"/>
  <c r="E1454" i="2"/>
  <c r="F1454" i="2" s="1"/>
  <c r="E1455" i="2" l="1"/>
  <c r="F1455" i="2" s="1"/>
  <c r="H1455" i="2"/>
  <c r="I1455" i="2" s="1"/>
  <c r="K1454" i="2"/>
  <c r="J1455" i="2" s="1"/>
  <c r="G1455" i="2"/>
  <c r="J1454" i="2"/>
  <c r="L1454" i="2" l="1"/>
  <c r="E1456" i="2"/>
  <c r="F1456" i="2" s="1"/>
  <c r="H1456" i="2"/>
  <c r="I1456" i="2" s="1"/>
  <c r="K1455" i="2"/>
  <c r="L1455" i="2" s="1"/>
  <c r="G1456" i="2"/>
  <c r="J1456" i="2" l="1"/>
  <c r="G1457" i="2"/>
  <c r="E1457" i="2"/>
  <c r="F1457" i="2" s="1"/>
  <c r="H1457" i="2"/>
  <c r="I1457" i="2" s="1"/>
  <c r="K1456" i="2"/>
  <c r="J1457" i="2" s="1"/>
  <c r="L1456" i="2" l="1"/>
  <c r="H1458" i="2"/>
  <c r="I1458" i="2" s="1"/>
  <c r="K1457" i="2"/>
  <c r="L1457" i="2" s="1"/>
  <c r="G1458" i="2"/>
  <c r="E1458" i="2"/>
  <c r="F1458" i="2" s="1"/>
  <c r="J1458" i="2" l="1"/>
  <c r="E1459" i="2"/>
  <c r="F1459" i="2" s="1"/>
  <c r="H1459" i="2"/>
  <c r="I1459" i="2" s="1"/>
  <c r="K1458" i="2"/>
  <c r="G1459" i="2"/>
  <c r="L1458" i="2" l="1"/>
  <c r="J1459" i="2"/>
  <c r="E1460" i="2"/>
  <c r="F1460" i="2" s="1"/>
  <c r="H1460" i="2"/>
  <c r="I1460" i="2" s="1"/>
  <c r="K1459" i="2"/>
  <c r="J1460" i="2" s="1"/>
  <c r="G1460" i="2"/>
  <c r="G1461" i="2" l="1"/>
  <c r="E1461" i="2"/>
  <c r="F1461" i="2" s="1"/>
  <c r="K1460" i="2"/>
  <c r="L1460" i="2" s="1"/>
  <c r="H1461" i="2"/>
  <c r="I1461" i="2" s="1"/>
  <c r="L1459" i="2"/>
  <c r="J1461" i="2" l="1"/>
  <c r="H1462" i="2"/>
  <c r="I1462" i="2" s="1"/>
  <c r="K1461" i="2"/>
  <c r="G1462" i="2"/>
  <c r="E1462" i="2"/>
  <c r="F1462" i="2" s="1"/>
  <c r="L1461" i="2" l="1"/>
  <c r="J1462" i="2"/>
  <c r="E1463" i="2"/>
  <c r="F1463" i="2" s="1"/>
  <c r="H1463" i="2"/>
  <c r="I1463" i="2" s="1"/>
  <c r="K1462" i="2"/>
  <c r="J1463" i="2" s="1"/>
  <c r="G1463" i="2"/>
  <c r="L1462" i="2" l="1"/>
  <c r="E1464" i="2"/>
  <c r="F1464" i="2" s="1"/>
  <c r="H1464" i="2"/>
  <c r="I1464" i="2" s="1"/>
  <c r="K1463" i="2"/>
  <c r="L1463" i="2" s="1"/>
  <c r="G1464" i="2"/>
  <c r="J1464" i="2" l="1"/>
  <c r="G1465" i="2"/>
  <c r="E1465" i="2"/>
  <c r="F1465" i="2" s="1"/>
  <c r="K1464" i="2"/>
  <c r="H1465" i="2"/>
  <c r="I1465" i="2" s="1"/>
  <c r="L1464" i="2" l="1"/>
  <c r="J1465" i="2"/>
  <c r="H1466" i="2"/>
  <c r="I1466" i="2" s="1"/>
  <c r="K1465" i="2"/>
  <c r="G1466" i="2"/>
  <c r="E1466" i="2"/>
  <c r="F1466" i="2" s="1"/>
  <c r="L1465" i="2" l="1"/>
  <c r="J1466" i="2"/>
  <c r="E1467" i="2"/>
  <c r="F1467" i="2" s="1"/>
  <c r="H1467" i="2"/>
  <c r="I1467" i="2" s="1"/>
  <c r="K1466" i="2"/>
  <c r="G1467" i="2"/>
  <c r="L1466" i="2" l="1"/>
  <c r="J1467" i="2"/>
  <c r="E1468" i="2"/>
  <c r="F1468" i="2" s="1"/>
  <c r="H1468" i="2"/>
  <c r="I1468" i="2" s="1"/>
  <c r="K1467" i="2"/>
  <c r="G1468" i="2"/>
  <c r="L1467" i="2" l="1"/>
  <c r="J1468" i="2"/>
  <c r="G1469" i="2"/>
  <c r="E1469" i="2"/>
  <c r="F1469" i="2" s="1"/>
  <c r="H1469" i="2"/>
  <c r="I1469" i="2" s="1"/>
  <c r="K1468" i="2"/>
  <c r="L1468" i="2" l="1"/>
  <c r="J1469" i="2"/>
  <c r="H1470" i="2"/>
  <c r="I1470" i="2" s="1"/>
  <c r="K1469" i="2"/>
  <c r="J1470" i="2" s="1"/>
  <c r="G1470" i="2"/>
  <c r="E1470" i="2"/>
  <c r="F1470" i="2" s="1"/>
  <c r="L1469" i="2" l="1"/>
  <c r="E1471" i="2"/>
  <c r="F1471" i="2" s="1"/>
  <c r="H1471" i="2"/>
  <c r="I1471" i="2" s="1"/>
  <c r="K1470" i="2"/>
  <c r="L1470" i="2" s="1"/>
  <c r="G1471" i="2"/>
  <c r="E1472" i="2" l="1"/>
  <c r="F1472" i="2" s="1"/>
  <c r="H1472" i="2"/>
  <c r="I1472" i="2" s="1"/>
  <c r="K1471" i="2"/>
  <c r="J1472" i="2" s="1"/>
  <c r="G1472" i="2"/>
  <c r="J1471" i="2"/>
  <c r="G1473" i="2" l="1"/>
  <c r="E1473" i="2"/>
  <c r="F1473" i="2" s="1"/>
  <c r="H1473" i="2"/>
  <c r="I1473" i="2" s="1"/>
  <c r="K1472" i="2"/>
  <c r="L1472" i="2" s="1"/>
  <c r="L1471" i="2"/>
  <c r="J1473" i="2" l="1"/>
  <c r="H1474" i="2"/>
  <c r="I1474" i="2" s="1"/>
  <c r="K1473" i="2"/>
  <c r="G1474" i="2"/>
  <c r="E1474" i="2"/>
  <c r="F1474" i="2" s="1"/>
  <c r="L1473" i="2" l="1"/>
  <c r="J1474" i="2"/>
  <c r="E1475" i="2"/>
  <c r="F1475" i="2" s="1"/>
  <c r="H1475" i="2"/>
  <c r="I1475" i="2" s="1"/>
  <c r="K1474" i="2"/>
  <c r="G1475" i="2"/>
  <c r="L1474" i="2" l="1"/>
  <c r="J1475" i="2"/>
  <c r="E1476" i="2"/>
  <c r="F1476" i="2" s="1"/>
  <c r="H1476" i="2"/>
  <c r="I1476" i="2" s="1"/>
  <c r="K1475" i="2"/>
  <c r="J1476" i="2" s="1"/>
  <c r="G1476" i="2"/>
  <c r="G1477" i="2" l="1"/>
  <c r="E1477" i="2"/>
  <c r="F1477" i="2" s="1"/>
  <c r="K1476" i="2"/>
  <c r="L1476" i="2" s="1"/>
  <c r="H1477" i="2"/>
  <c r="I1477" i="2" s="1"/>
  <c r="L1475" i="2"/>
  <c r="J1477" i="2" l="1"/>
  <c r="H1478" i="2"/>
  <c r="I1478" i="2" s="1"/>
  <c r="K1477" i="2"/>
  <c r="G1478" i="2"/>
  <c r="E1478" i="2"/>
  <c r="F1478" i="2" s="1"/>
  <c r="L1477" i="2" l="1"/>
  <c r="E1479" i="2"/>
  <c r="F1479" i="2" s="1"/>
  <c r="H1479" i="2"/>
  <c r="I1479" i="2" s="1"/>
  <c r="K1478" i="2"/>
  <c r="J1479" i="2" s="1"/>
  <c r="G1479" i="2"/>
  <c r="J1478" i="2"/>
  <c r="L1478" i="2" l="1"/>
  <c r="E1480" i="2"/>
  <c r="F1480" i="2" s="1"/>
  <c r="H1480" i="2"/>
  <c r="I1480" i="2" s="1"/>
  <c r="K1479" i="2"/>
  <c r="L1479" i="2" s="1"/>
  <c r="G1480" i="2"/>
  <c r="J1480" i="2" l="1"/>
  <c r="G1481" i="2"/>
  <c r="E1481" i="2"/>
  <c r="F1481" i="2" s="1"/>
  <c r="K1480" i="2"/>
  <c r="H1481" i="2"/>
  <c r="I1481" i="2" s="1"/>
  <c r="L1480" i="2" l="1"/>
  <c r="J1481" i="2"/>
  <c r="H1482" i="2"/>
  <c r="I1482" i="2" s="1"/>
  <c r="K1481" i="2"/>
  <c r="G1482" i="2"/>
  <c r="E1482" i="2"/>
  <c r="F1482" i="2" s="1"/>
  <c r="L1481" i="2" l="1"/>
  <c r="E1483" i="2"/>
  <c r="F1483" i="2" s="1"/>
  <c r="H1483" i="2"/>
  <c r="I1483" i="2" s="1"/>
  <c r="K1482" i="2"/>
  <c r="J1483" i="2" s="1"/>
  <c r="G1483" i="2"/>
  <c r="J1482" i="2"/>
  <c r="E1484" i="2" l="1"/>
  <c r="F1484" i="2" s="1"/>
  <c r="H1484" i="2"/>
  <c r="I1484" i="2" s="1"/>
  <c r="K1483" i="2"/>
  <c r="L1483" i="2" s="1"/>
  <c r="G1484" i="2"/>
  <c r="L1482" i="2"/>
  <c r="J1484" i="2" l="1"/>
  <c r="G1485" i="2"/>
  <c r="E1485" i="2"/>
  <c r="F1485" i="2" s="1"/>
  <c r="H1485" i="2"/>
  <c r="I1485" i="2" s="1"/>
  <c r="K1484" i="2"/>
  <c r="L1484" i="2" l="1"/>
  <c r="J1485" i="2"/>
  <c r="H1486" i="2"/>
  <c r="I1486" i="2" s="1"/>
  <c r="K1485" i="2"/>
  <c r="J1486" i="2" s="1"/>
  <c r="G1486" i="2"/>
  <c r="E1486" i="2"/>
  <c r="F1486" i="2" s="1"/>
  <c r="L1485" i="2" l="1"/>
  <c r="E1487" i="2"/>
  <c r="F1487" i="2" s="1"/>
  <c r="H1487" i="2"/>
  <c r="I1487" i="2" s="1"/>
  <c r="K1486" i="2"/>
  <c r="L1486" i="2" s="1"/>
  <c r="G1487" i="2"/>
  <c r="J1487" i="2" l="1"/>
  <c r="E1488" i="2"/>
  <c r="F1488" i="2" s="1"/>
  <c r="H1488" i="2"/>
  <c r="I1488" i="2" s="1"/>
  <c r="K1487" i="2"/>
  <c r="G1488" i="2"/>
  <c r="L1487" i="2" l="1"/>
  <c r="J1488" i="2"/>
  <c r="G1489" i="2"/>
  <c r="E1489" i="2"/>
  <c r="F1489" i="2" s="1"/>
  <c r="H1489" i="2"/>
  <c r="I1489" i="2" s="1"/>
  <c r="K1488" i="2"/>
  <c r="J1489" i="2" s="1"/>
  <c r="L1488" i="2" l="1"/>
  <c r="H1490" i="2"/>
  <c r="I1490" i="2" s="1"/>
  <c r="K1489" i="2"/>
  <c r="L1489" i="2" s="1"/>
  <c r="G1490" i="2"/>
  <c r="E1490" i="2"/>
  <c r="F1490" i="2" s="1"/>
  <c r="J1490" i="2" l="1"/>
  <c r="E1491" i="2"/>
  <c r="F1491" i="2" s="1"/>
  <c r="H1491" i="2"/>
  <c r="I1491" i="2" s="1"/>
  <c r="K1490" i="2"/>
  <c r="G1491" i="2"/>
  <c r="L1490" i="2" l="1"/>
  <c r="E1492" i="2"/>
  <c r="F1492" i="2" s="1"/>
  <c r="H1492" i="2"/>
  <c r="I1492" i="2" s="1"/>
  <c r="K1491" i="2"/>
  <c r="J1492" i="2" s="1"/>
  <c r="G1492" i="2"/>
  <c r="J1491" i="2"/>
  <c r="H1493" i="2" l="1"/>
  <c r="I1493" i="2" s="1"/>
  <c r="G1493" i="2"/>
  <c r="K1492" i="2"/>
  <c r="L1492" i="2" s="1"/>
  <c r="E1493" i="2"/>
  <c r="F1493" i="2" s="1"/>
  <c r="L1491" i="2"/>
  <c r="J1493" i="2" l="1"/>
  <c r="E1494" i="2"/>
  <c r="F1494" i="2" s="1"/>
  <c r="G1494" i="2"/>
  <c r="H1494" i="2"/>
  <c r="I1494" i="2" s="1"/>
  <c r="K1493" i="2"/>
  <c r="L1493" i="2" l="1"/>
  <c r="J1494" i="2"/>
  <c r="H1495" i="2"/>
  <c r="I1495" i="2" s="1"/>
  <c r="K1494" i="2"/>
  <c r="G1495" i="2"/>
  <c r="E1495" i="2"/>
  <c r="F1495" i="2" s="1"/>
  <c r="L1494" i="2" l="1"/>
  <c r="J1495" i="2"/>
  <c r="G1496" i="2"/>
  <c r="E1496" i="2"/>
  <c r="F1496" i="2" s="1"/>
  <c r="H1496" i="2"/>
  <c r="I1496" i="2" s="1"/>
  <c r="K1495" i="2"/>
  <c r="L1495" i="2" l="1"/>
  <c r="J1496" i="2"/>
  <c r="H1497" i="2"/>
  <c r="I1497" i="2" s="1"/>
  <c r="K1496" i="2"/>
  <c r="E1497" i="2"/>
  <c r="F1497" i="2" s="1"/>
  <c r="G1497" i="2"/>
  <c r="L1496" i="2" l="1"/>
  <c r="J1497" i="2"/>
  <c r="E1498" i="2"/>
  <c r="F1498" i="2" s="1"/>
  <c r="G1498" i="2"/>
  <c r="H1498" i="2"/>
  <c r="I1498" i="2" s="1"/>
  <c r="K1497" i="2"/>
  <c r="J1498" i="2" s="1"/>
  <c r="H1499" i="2" l="1"/>
  <c r="I1499" i="2" s="1"/>
  <c r="K1498" i="2"/>
  <c r="L1498" i="2" s="1"/>
  <c r="G1499" i="2"/>
  <c r="E1499" i="2"/>
  <c r="F1499" i="2" s="1"/>
  <c r="L1497" i="2"/>
  <c r="J1499" i="2" l="1"/>
  <c r="G1500" i="2"/>
  <c r="E1500" i="2"/>
  <c r="F1500" i="2" s="1"/>
  <c r="H1500" i="2"/>
  <c r="I1500" i="2" s="1"/>
  <c r="K1499" i="2"/>
  <c r="L1499" i="2" s="1"/>
  <c r="J1500" i="2" l="1"/>
  <c r="H1501" i="2"/>
  <c r="I1501" i="2" s="1"/>
  <c r="K1500" i="2"/>
  <c r="J1501" i="2" s="1"/>
  <c r="G1501" i="2"/>
  <c r="E1501" i="2"/>
  <c r="F1501" i="2" s="1"/>
  <c r="L1500" i="2" l="1"/>
  <c r="E1502" i="2"/>
  <c r="F1502" i="2" s="1"/>
  <c r="G1502" i="2"/>
  <c r="H1502" i="2"/>
  <c r="I1502" i="2" s="1"/>
  <c r="K1501" i="2"/>
  <c r="L1501" i="2" s="1"/>
  <c r="J1502" i="2" l="1"/>
  <c r="H1503" i="2"/>
  <c r="I1503" i="2" s="1"/>
  <c r="K1502" i="2"/>
  <c r="G1503" i="2"/>
  <c r="E1503" i="2"/>
  <c r="F1503" i="2" s="1"/>
  <c r="L1502" i="2" l="1"/>
  <c r="G1504" i="2"/>
  <c r="E1504" i="2"/>
  <c r="F1504" i="2" s="1"/>
  <c r="H1504" i="2"/>
  <c r="I1504" i="2" s="1"/>
  <c r="K1503" i="2"/>
  <c r="J1504" i="2" s="1"/>
  <c r="J1503" i="2"/>
  <c r="L1503" i="2" l="1"/>
  <c r="H1505" i="2"/>
  <c r="I1505" i="2" s="1"/>
  <c r="K1504" i="2"/>
  <c r="L1504" i="2" s="1"/>
  <c r="E1505" i="2"/>
  <c r="F1505" i="2" s="1"/>
  <c r="G1505" i="2"/>
  <c r="J1505" i="2" l="1"/>
  <c r="E1506" i="2"/>
  <c r="F1506" i="2" s="1"/>
  <c r="G1506" i="2"/>
  <c r="H1506" i="2"/>
  <c r="I1506" i="2" s="1"/>
  <c r="K1505" i="2"/>
  <c r="L1505" i="2" s="1"/>
  <c r="J1506" i="2" l="1"/>
  <c r="H1507" i="2"/>
  <c r="I1507" i="2" s="1"/>
  <c r="K1506" i="2"/>
  <c r="G1507" i="2"/>
  <c r="E1507" i="2"/>
  <c r="F1507" i="2" s="1"/>
  <c r="L1506" i="2" l="1"/>
  <c r="G1508" i="2"/>
  <c r="E1508" i="2"/>
  <c r="F1508" i="2" s="1"/>
  <c r="H1508" i="2"/>
  <c r="I1508" i="2" s="1"/>
  <c r="K1507" i="2"/>
  <c r="J1508" i="2" s="1"/>
  <c r="J1507" i="2"/>
  <c r="L1507" i="2" l="1"/>
  <c r="H1509" i="2"/>
  <c r="I1509" i="2" s="1"/>
  <c r="K1508" i="2"/>
  <c r="J1509" i="2" s="1"/>
  <c r="G1509" i="2"/>
  <c r="E1509" i="2"/>
  <c r="F1509" i="2" s="1"/>
  <c r="L1508" i="2" l="1"/>
  <c r="E1510" i="2"/>
  <c r="F1510" i="2" s="1"/>
  <c r="G1510" i="2"/>
  <c r="H1510" i="2"/>
  <c r="I1510" i="2" s="1"/>
  <c r="K1509" i="2"/>
  <c r="L1509" i="2" s="1"/>
  <c r="J1510" i="2" l="1"/>
  <c r="H1511" i="2"/>
  <c r="I1511" i="2" s="1"/>
  <c r="K1510" i="2"/>
  <c r="J1511" i="2" s="1"/>
  <c r="G1511" i="2"/>
  <c r="E1511" i="2"/>
  <c r="F1511" i="2" s="1"/>
  <c r="G1512" i="2" l="1"/>
  <c r="E1512" i="2"/>
  <c r="F1512" i="2" s="1"/>
  <c r="H1512" i="2"/>
  <c r="I1512" i="2" s="1"/>
  <c r="K1511" i="2"/>
  <c r="L1511" i="2" s="1"/>
  <c r="L1510" i="2"/>
  <c r="J1512" i="2" l="1"/>
  <c r="H1513" i="2"/>
  <c r="I1513" i="2" s="1"/>
  <c r="K1512" i="2"/>
  <c r="J1513" i="2" s="1"/>
  <c r="E1513" i="2"/>
  <c r="F1513" i="2" s="1"/>
  <c r="G1513" i="2"/>
  <c r="L1512" i="2" l="1"/>
  <c r="E1514" i="2"/>
  <c r="F1514" i="2" s="1"/>
  <c r="G1514" i="2"/>
  <c r="H1514" i="2"/>
  <c r="I1514" i="2" s="1"/>
  <c r="K1513" i="2"/>
  <c r="L1513" i="2" s="1"/>
  <c r="J1514" i="2" l="1"/>
  <c r="H1515" i="2"/>
  <c r="I1515" i="2" s="1"/>
  <c r="K1514" i="2"/>
  <c r="J1515" i="2" s="1"/>
  <c r="G1515" i="2"/>
  <c r="E1515" i="2"/>
  <c r="F1515" i="2" s="1"/>
  <c r="G1516" i="2" l="1"/>
  <c r="E1516" i="2"/>
  <c r="F1516" i="2" s="1"/>
  <c r="H1516" i="2"/>
  <c r="I1516" i="2" s="1"/>
  <c r="K1515" i="2"/>
  <c r="L1515" i="2" s="1"/>
  <c r="L1514" i="2"/>
  <c r="J1516" i="2" l="1"/>
  <c r="H1517" i="2"/>
  <c r="I1517" i="2" s="1"/>
  <c r="K1516" i="2"/>
  <c r="G1517" i="2"/>
  <c r="E1517" i="2"/>
  <c r="F1517" i="2" s="1"/>
  <c r="L1516" i="2" l="1"/>
  <c r="J1517" i="2"/>
  <c r="E1518" i="2"/>
  <c r="F1518" i="2" s="1"/>
  <c r="G1518" i="2"/>
  <c r="K1517" i="2"/>
  <c r="H1518" i="2"/>
  <c r="I1518" i="2" s="1"/>
  <c r="L1517" i="2" l="1"/>
  <c r="J1518" i="2"/>
  <c r="H1519" i="2"/>
  <c r="I1519" i="2" s="1"/>
  <c r="K1518" i="2"/>
  <c r="G1519" i="2"/>
  <c r="E1519" i="2"/>
  <c r="F1519" i="2" s="1"/>
  <c r="L1518" i="2" l="1"/>
  <c r="G1520" i="2"/>
  <c r="E1520" i="2"/>
  <c r="F1520" i="2" s="1"/>
  <c r="H1520" i="2"/>
  <c r="I1520" i="2" s="1"/>
  <c r="K1519" i="2"/>
  <c r="J1520" i="2" s="1"/>
  <c r="J1519" i="2"/>
  <c r="H1521" i="2" l="1"/>
  <c r="I1521" i="2" s="1"/>
  <c r="K1520" i="2"/>
  <c r="L1520" i="2" s="1"/>
  <c r="E1521" i="2"/>
  <c r="F1521" i="2" s="1"/>
  <c r="G1521" i="2"/>
  <c r="L1519" i="2"/>
  <c r="J1521" i="2" l="1"/>
  <c r="E1522" i="2"/>
  <c r="F1522" i="2" s="1"/>
  <c r="G1522" i="2"/>
  <c r="H1522" i="2"/>
  <c r="I1522" i="2" s="1"/>
  <c r="K1521" i="2"/>
  <c r="L1521" i="2" s="1"/>
  <c r="J1522" i="2" l="1"/>
  <c r="H1523" i="2"/>
  <c r="I1523" i="2" s="1"/>
  <c r="K1522" i="2"/>
  <c r="G1523" i="2"/>
  <c r="E1523" i="2"/>
  <c r="F1523" i="2" s="1"/>
  <c r="L1522" i="2" l="1"/>
  <c r="G1524" i="2"/>
  <c r="E1524" i="2"/>
  <c r="F1524" i="2" s="1"/>
  <c r="H1524" i="2"/>
  <c r="I1524" i="2" s="1"/>
  <c r="K1523" i="2"/>
  <c r="J1524" i="2" s="1"/>
  <c r="J1523" i="2"/>
  <c r="L1523" i="2" l="1"/>
  <c r="H1525" i="2"/>
  <c r="I1525" i="2" s="1"/>
  <c r="K1524" i="2"/>
  <c r="J1525" i="2" s="1"/>
  <c r="G1525" i="2"/>
  <c r="E1525" i="2"/>
  <c r="F1525" i="2" s="1"/>
  <c r="L1524" i="2" l="1"/>
  <c r="E1526" i="2"/>
  <c r="F1526" i="2" s="1"/>
  <c r="G1526" i="2"/>
  <c r="H1526" i="2"/>
  <c r="I1526" i="2" s="1"/>
  <c r="K1525" i="2"/>
  <c r="L1525" i="2" s="1"/>
  <c r="J1526" i="2" l="1"/>
  <c r="H1527" i="2"/>
  <c r="I1527" i="2" s="1"/>
  <c r="K1526" i="2"/>
  <c r="G1527" i="2"/>
  <c r="E1527" i="2"/>
  <c r="F1527" i="2" s="1"/>
  <c r="L1526" i="2" l="1"/>
  <c r="G1528" i="2"/>
  <c r="E1528" i="2"/>
  <c r="F1528" i="2" s="1"/>
  <c r="H1528" i="2"/>
  <c r="I1528" i="2" s="1"/>
  <c r="K1527" i="2"/>
  <c r="J1528" i="2" s="1"/>
  <c r="J1527" i="2"/>
  <c r="H1529" i="2" l="1"/>
  <c r="I1529" i="2" s="1"/>
  <c r="K1528" i="2"/>
  <c r="J1529" i="2" s="1"/>
  <c r="E1529" i="2"/>
  <c r="F1529" i="2" s="1"/>
  <c r="G1529" i="2"/>
  <c r="L1527" i="2"/>
  <c r="L1528" i="2" l="1"/>
  <c r="E1530" i="2"/>
  <c r="F1530" i="2" s="1"/>
  <c r="H1530" i="2"/>
  <c r="I1530" i="2" s="1"/>
  <c r="G1530" i="2"/>
  <c r="K1529" i="2"/>
  <c r="L1529" i="2" s="1"/>
  <c r="J1530" i="2" l="1"/>
  <c r="E1531" i="2"/>
  <c r="F1531" i="2" s="1"/>
  <c r="H1531" i="2"/>
  <c r="I1531" i="2" s="1"/>
  <c r="K1530" i="2"/>
  <c r="J1531" i="2" s="1"/>
  <c r="G1531" i="2"/>
  <c r="G1532" i="2" l="1"/>
  <c r="E1532" i="2"/>
  <c r="F1532" i="2" s="1"/>
  <c r="H1532" i="2"/>
  <c r="I1532" i="2" s="1"/>
  <c r="K1531" i="2"/>
  <c r="L1531" i="2" s="1"/>
  <c r="L1530" i="2"/>
  <c r="J1532" i="2" l="1"/>
  <c r="H1533" i="2"/>
  <c r="I1533" i="2" s="1"/>
  <c r="K1532" i="2"/>
  <c r="J1533" i="2" s="1"/>
  <c r="G1533" i="2"/>
  <c r="E1533" i="2"/>
  <c r="F1533" i="2" s="1"/>
  <c r="E1534" i="2" l="1"/>
  <c r="F1534" i="2" s="1"/>
  <c r="H1534" i="2"/>
  <c r="I1534" i="2" s="1"/>
  <c r="K1533" i="2"/>
  <c r="J1534" i="2" s="1"/>
  <c r="G1534" i="2"/>
  <c r="L1532" i="2"/>
  <c r="L1533" i="2" l="1"/>
  <c r="E1535" i="2"/>
  <c r="F1535" i="2" s="1"/>
  <c r="H1535" i="2"/>
  <c r="I1535" i="2" s="1"/>
  <c r="K1534" i="2"/>
  <c r="L1534" i="2" s="1"/>
  <c r="G1535" i="2"/>
  <c r="J1535" i="2" l="1"/>
  <c r="G1536" i="2"/>
  <c r="E1536" i="2"/>
  <c r="F1536" i="2" s="1"/>
  <c r="K1535" i="2"/>
  <c r="J1536" i="2" s="1"/>
  <c r="H1536" i="2"/>
  <c r="I1536" i="2" s="1"/>
  <c r="H1537" i="2" l="1"/>
  <c r="I1537" i="2" s="1"/>
  <c r="K1536" i="2"/>
  <c r="L1536" i="2" s="1"/>
  <c r="G1537" i="2"/>
  <c r="E1537" i="2"/>
  <c r="F1537" i="2" s="1"/>
  <c r="L1535" i="2"/>
  <c r="E1538" i="2" l="1"/>
  <c r="F1538" i="2" s="1"/>
  <c r="H1538" i="2"/>
  <c r="I1538" i="2" s="1"/>
  <c r="K1537" i="2"/>
  <c r="J1538" i="2" s="1"/>
  <c r="G1538" i="2"/>
  <c r="J1537" i="2"/>
  <c r="L1537" i="2" l="1"/>
  <c r="E1539" i="2"/>
  <c r="F1539" i="2" s="1"/>
  <c r="H1539" i="2"/>
  <c r="I1539" i="2" s="1"/>
  <c r="K1538" i="2"/>
  <c r="L1538" i="2" s="1"/>
  <c r="G1539" i="2"/>
  <c r="J1539" i="2" l="1"/>
  <c r="G1540" i="2"/>
  <c r="E1540" i="2"/>
  <c r="F1540" i="2" s="1"/>
  <c r="K1539" i="2"/>
  <c r="J1540" i="2" s="1"/>
  <c r="H1540" i="2"/>
  <c r="I1540" i="2" s="1"/>
  <c r="L1539" i="2" l="1"/>
  <c r="H1541" i="2"/>
  <c r="I1541" i="2" s="1"/>
  <c r="K1540" i="2"/>
  <c r="L1540" i="2" s="1"/>
  <c r="G1541" i="2"/>
  <c r="E1541" i="2"/>
  <c r="F1541" i="2" s="1"/>
  <c r="E1542" i="2" l="1"/>
  <c r="F1542" i="2" s="1"/>
  <c r="H1542" i="2"/>
  <c r="I1542" i="2" s="1"/>
  <c r="K1541" i="2"/>
  <c r="J1542" i="2" s="1"/>
  <c r="G1542" i="2"/>
  <c r="J1541" i="2"/>
  <c r="L1541" i="2" l="1"/>
  <c r="E1543" i="2"/>
  <c r="F1543" i="2" s="1"/>
  <c r="H1543" i="2"/>
  <c r="I1543" i="2" s="1"/>
  <c r="K1542" i="2"/>
  <c r="J1543" i="2" s="1"/>
  <c r="G1543" i="2"/>
  <c r="G1544" i="2" l="1"/>
  <c r="E1544" i="2"/>
  <c r="F1544" i="2" s="1"/>
  <c r="H1544" i="2"/>
  <c r="I1544" i="2" s="1"/>
  <c r="K1543" i="2"/>
  <c r="L1543" i="2" s="1"/>
  <c r="L1542" i="2"/>
  <c r="J1544" i="2" l="1"/>
  <c r="H1545" i="2"/>
  <c r="I1545" i="2" s="1"/>
  <c r="K1544" i="2"/>
  <c r="J1545" i="2" s="1"/>
  <c r="G1545" i="2"/>
  <c r="E1545" i="2"/>
  <c r="F1545" i="2" s="1"/>
  <c r="E1546" i="2" l="1"/>
  <c r="F1546" i="2" s="1"/>
  <c r="H1546" i="2"/>
  <c r="I1546" i="2" s="1"/>
  <c r="K1545" i="2"/>
  <c r="L1545" i="2" s="1"/>
  <c r="G1546" i="2"/>
  <c r="L1544" i="2"/>
  <c r="E1547" i="2" l="1"/>
  <c r="F1547" i="2" s="1"/>
  <c r="H1547" i="2"/>
  <c r="I1547" i="2" s="1"/>
  <c r="K1546" i="2"/>
  <c r="J1547" i="2" s="1"/>
  <c r="G1547" i="2"/>
  <c r="J1546" i="2"/>
  <c r="L1546" i="2" l="1"/>
  <c r="G1548" i="2"/>
  <c r="E1548" i="2"/>
  <c r="F1548" i="2" s="1"/>
  <c r="H1548" i="2"/>
  <c r="I1548" i="2" s="1"/>
  <c r="K1547" i="2"/>
  <c r="J1548" i="2" s="1"/>
  <c r="L1547" i="2" l="1"/>
  <c r="H1549" i="2"/>
  <c r="I1549" i="2" s="1"/>
  <c r="K1548" i="2"/>
  <c r="J1549" i="2" s="1"/>
  <c r="G1549" i="2"/>
  <c r="E1549" i="2"/>
  <c r="F1549" i="2" s="1"/>
  <c r="L1548" i="2" l="1"/>
  <c r="E1550" i="2"/>
  <c r="F1550" i="2" s="1"/>
  <c r="H1550" i="2"/>
  <c r="I1550" i="2" s="1"/>
  <c r="K1549" i="2"/>
  <c r="L1549" i="2" s="1"/>
  <c r="G1550" i="2"/>
  <c r="J1550" i="2" l="1"/>
  <c r="E1551" i="2"/>
  <c r="F1551" i="2" s="1"/>
  <c r="H1551" i="2"/>
  <c r="I1551" i="2" s="1"/>
  <c r="K1550" i="2"/>
  <c r="J1551" i="2" s="1"/>
  <c r="G1551" i="2"/>
  <c r="G1552" i="2" l="1"/>
  <c r="E1552" i="2"/>
  <c r="F1552" i="2" s="1"/>
  <c r="K1551" i="2"/>
  <c r="L1551" i="2" s="1"/>
  <c r="H1552" i="2"/>
  <c r="I1552" i="2" s="1"/>
  <c r="L1550" i="2"/>
  <c r="J1552" i="2" l="1"/>
  <c r="H1553" i="2"/>
  <c r="I1553" i="2" s="1"/>
  <c r="K1552" i="2"/>
  <c r="G1553" i="2"/>
  <c r="E1553" i="2"/>
  <c r="F1553" i="2" s="1"/>
  <c r="L1552" i="2" l="1"/>
  <c r="E1554" i="2"/>
  <c r="F1554" i="2" s="1"/>
  <c r="H1554" i="2"/>
  <c r="I1554" i="2" s="1"/>
  <c r="K1553" i="2"/>
  <c r="J1554" i="2" s="1"/>
  <c r="G1554" i="2"/>
  <c r="J1553" i="2"/>
  <c r="L1553" i="2" l="1"/>
  <c r="E1555" i="2"/>
  <c r="F1555" i="2" s="1"/>
  <c r="H1555" i="2"/>
  <c r="I1555" i="2" s="1"/>
  <c r="K1554" i="2"/>
  <c r="L1554" i="2" s="1"/>
  <c r="G1555" i="2"/>
  <c r="J1555" i="2" l="1"/>
  <c r="G1556" i="2"/>
  <c r="E1556" i="2"/>
  <c r="F1556" i="2" s="1"/>
  <c r="K1555" i="2"/>
  <c r="H1556" i="2"/>
  <c r="I1556" i="2" s="1"/>
  <c r="L1555" i="2" l="1"/>
  <c r="J1556" i="2"/>
  <c r="H1557" i="2"/>
  <c r="I1557" i="2" s="1"/>
  <c r="K1556" i="2"/>
  <c r="J1557" i="2" s="1"/>
  <c r="G1557" i="2"/>
  <c r="E1557" i="2"/>
  <c r="F1557" i="2" s="1"/>
  <c r="E1558" i="2" l="1"/>
  <c r="F1558" i="2" s="1"/>
  <c r="H1558" i="2"/>
  <c r="I1558" i="2" s="1"/>
  <c r="K1557" i="2"/>
  <c r="L1557" i="2" s="1"/>
  <c r="G1558" i="2"/>
  <c r="L1556" i="2"/>
  <c r="E1559" i="2" l="1"/>
  <c r="F1559" i="2" s="1"/>
  <c r="H1559" i="2"/>
  <c r="I1559" i="2" s="1"/>
  <c r="K1558" i="2"/>
  <c r="J1559" i="2" s="1"/>
  <c r="G1559" i="2"/>
  <c r="J1558" i="2"/>
  <c r="G1560" i="2" l="1"/>
  <c r="E1560" i="2"/>
  <c r="F1560" i="2" s="1"/>
  <c r="H1560" i="2"/>
  <c r="I1560" i="2" s="1"/>
  <c r="K1559" i="2"/>
  <c r="J1560" i="2" s="1"/>
  <c r="L1558" i="2"/>
  <c r="L1559" i="2" l="1"/>
  <c r="H1561" i="2"/>
  <c r="I1561" i="2" s="1"/>
  <c r="K1560" i="2"/>
  <c r="J1561" i="2" s="1"/>
  <c r="G1561" i="2"/>
  <c r="E1561" i="2"/>
  <c r="F1561" i="2" s="1"/>
  <c r="L1560" i="2" l="1"/>
  <c r="E1562" i="2"/>
  <c r="F1562" i="2" s="1"/>
  <c r="H1562" i="2"/>
  <c r="I1562" i="2" s="1"/>
  <c r="K1561" i="2"/>
  <c r="L1561" i="2" s="1"/>
  <c r="G1562" i="2"/>
  <c r="J1562" i="2" l="1"/>
  <c r="E1563" i="2"/>
  <c r="F1563" i="2" s="1"/>
  <c r="H1563" i="2"/>
  <c r="I1563" i="2" s="1"/>
  <c r="K1562" i="2"/>
  <c r="J1563" i="2" s="1"/>
  <c r="G1563" i="2"/>
  <c r="G1564" i="2" l="1"/>
  <c r="E1564" i="2"/>
  <c r="F1564" i="2" s="1"/>
  <c r="H1564" i="2"/>
  <c r="I1564" i="2" s="1"/>
  <c r="K1563" i="2"/>
  <c r="L1563" i="2" s="1"/>
  <c r="L1562" i="2"/>
  <c r="J1564" i="2" l="1"/>
  <c r="H1565" i="2"/>
  <c r="I1565" i="2" s="1"/>
  <c r="K1564" i="2"/>
  <c r="J1565" i="2" s="1"/>
  <c r="G1565" i="2"/>
  <c r="E1565" i="2"/>
  <c r="F1565" i="2" s="1"/>
  <c r="E1566" i="2" l="1"/>
  <c r="F1566" i="2" s="1"/>
  <c r="H1566" i="2"/>
  <c r="I1566" i="2" s="1"/>
  <c r="K1565" i="2"/>
  <c r="L1565" i="2" s="1"/>
  <c r="G1566" i="2"/>
  <c r="L1564" i="2"/>
  <c r="J1566" i="2" l="1"/>
  <c r="E1567" i="2"/>
  <c r="F1567" i="2" s="1"/>
  <c r="H1567" i="2"/>
  <c r="I1567" i="2" s="1"/>
  <c r="K1566" i="2"/>
  <c r="J1567" i="2" s="1"/>
  <c r="G1567" i="2"/>
  <c r="G1568" i="2" l="1"/>
  <c r="E1568" i="2"/>
  <c r="F1568" i="2" s="1"/>
  <c r="K1567" i="2"/>
  <c r="L1567" i="2" s="1"/>
  <c r="H1568" i="2"/>
  <c r="I1568" i="2" s="1"/>
  <c r="L1566" i="2"/>
  <c r="J1568" i="2" l="1"/>
  <c r="H1569" i="2"/>
  <c r="I1569" i="2" s="1"/>
  <c r="K1568" i="2"/>
  <c r="G1569" i="2"/>
  <c r="E1569" i="2"/>
  <c r="F1569" i="2" s="1"/>
  <c r="L1568" i="2" l="1"/>
  <c r="J1569" i="2"/>
  <c r="E1570" i="2"/>
  <c r="F1570" i="2" s="1"/>
  <c r="H1570" i="2"/>
  <c r="I1570" i="2" s="1"/>
  <c r="K1569" i="2"/>
  <c r="J1570" i="2" s="1"/>
  <c r="G1570" i="2"/>
  <c r="L1569" i="2" l="1"/>
  <c r="E1571" i="2"/>
  <c r="F1571" i="2" s="1"/>
  <c r="H1571" i="2"/>
  <c r="I1571" i="2" s="1"/>
  <c r="K1570" i="2"/>
  <c r="L1570" i="2" s="1"/>
  <c r="G1571" i="2"/>
  <c r="J1571" i="2" l="1"/>
  <c r="G1572" i="2"/>
  <c r="E1572" i="2"/>
  <c r="F1572" i="2" s="1"/>
  <c r="K1571" i="2"/>
  <c r="J1572" i="2" s="1"/>
  <c r="H1572" i="2"/>
  <c r="I1572" i="2" s="1"/>
  <c r="L1571" i="2" l="1"/>
  <c r="H1573" i="2"/>
  <c r="I1573" i="2" s="1"/>
  <c r="K1572" i="2"/>
  <c r="L1572" i="2" s="1"/>
  <c r="G1573" i="2"/>
  <c r="E1573" i="2"/>
  <c r="F1573" i="2" s="1"/>
  <c r="E1574" i="2" l="1"/>
  <c r="F1574" i="2" s="1"/>
  <c r="H1574" i="2"/>
  <c r="I1574" i="2" s="1"/>
  <c r="K1573" i="2"/>
  <c r="J1574" i="2" s="1"/>
  <c r="G1574" i="2"/>
  <c r="J1573" i="2"/>
  <c r="L1573" i="2" l="1"/>
  <c r="E1575" i="2"/>
  <c r="F1575" i="2" s="1"/>
  <c r="H1575" i="2"/>
  <c r="I1575" i="2" s="1"/>
  <c r="K1574" i="2"/>
  <c r="L1574" i="2" s="1"/>
  <c r="G1575" i="2"/>
  <c r="J1575" i="2" l="1"/>
  <c r="G1576" i="2"/>
  <c r="E1576" i="2"/>
  <c r="F1576" i="2" s="1"/>
  <c r="H1576" i="2"/>
  <c r="I1576" i="2" s="1"/>
  <c r="K1575" i="2"/>
  <c r="J1576" i="2" s="1"/>
  <c r="L1575" i="2" l="1"/>
  <c r="H1577" i="2"/>
  <c r="I1577" i="2" s="1"/>
  <c r="K1576" i="2"/>
  <c r="J1577" i="2" s="1"/>
  <c r="G1577" i="2"/>
  <c r="E1577" i="2"/>
  <c r="F1577" i="2" s="1"/>
  <c r="L1576" i="2" l="1"/>
  <c r="E1578" i="2"/>
  <c r="F1578" i="2" s="1"/>
  <c r="H1578" i="2"/>
  <c r="I1578" i="2" s="1"/>
  <c r="K1577" i="2"/>
  <c r="L1577" i="2" s="1"/>
  <c r="G1578" i="2"/>
  <c r="E1579" i="2" l="1"/>
  <c r="F1579" i="2" s="1"/>
  <c r="H1579" i="2"/>
  <c r="I1579" i="2" s="1"/>
  <c r="K1578" i="2"/>
  <c r="J1579" i="2" s="1"/>
  <c r="G1579" i="2"/>
  <c r="J1578" i="2"/>
  <c r="G1580" i="2" l="1"/>
  <c r="E1580" i="2"/>
  <c r="F1580" i="2" s="1"/>
  <c r="H1580" i="2"/>
  <c r="I1580" i="2" s="1"/>
  <c r="K1579" i="2"/>
  <c r="L1579" i="2" s="1"/>
  <c r="L1578" i="2"/>
  <c r="J1580" i="2" l="1"/>
  <c r="H1581" i="2"/>
  <c r="I1581" i="2" s="1"/>
  <c r="K1580" i="2"/>
  <c r="J1581" i="2" s="1"/>
  <c r="G1581" i="2"/>
  <c r="E1581" i="2"/>
  <c r="F1581" i="2" s="1"/>
  <c r="E1582" i="2" l="1"/>
  <c r="F1582" i="2" s="1"/>
  <c r="H1582" i="2"/>
  <c r="I1582" i="2" s="1"/>
  <c r="K1581" i="2"/>
  <c r="L1581" i="2" s="1"/>
  <c r="G1582" i="2"/>
  <c r="L1580" i="2"/>
  <c r="J1582" i="2" l="1"/>
  <c r="E1583" i="2"/>
  <c r="F1583" i="2" s="1"/>
  <c r="H1583" i="2"/>
  <c r="I1583" i="2" s="1"/>
  <c r="K1582" i="2"/>
  <c r="G1583" i="2"/>
  <c r="L1582" i="2" l="1"/>
  <c r="J1583" i="2"/>
  <c r="G1584" i="2"/>
  <c r="E1584" i="2"/>
  <c r="F1584" i="2" s="1"/>
  <c r="K1583" i="2"/>
  <c r="H1584" i="2"/>
  <c r="I1584" i="2" s="1"/>
  <c r="L1583" i="2" l="1"/>
  <c r="J1584" i="2"/>
  <c r="H1585" i="2"/>
  <c r="I1585" i="2" s="1"/>
  <c r="K1584" i="2"/>
  <c r="G1585" i="2"/>
  <c r="E1585" i="2"/>
  <c r="F1585" i="2" s="1"/>
  <c r="L1584" i="2" l="1"/>
  <c r="E1586" i="2"/>
  <c r="F1586" i="2" s="1"/>
  <c r="H1586" i="2"/>
  <c r="I1586" i="2" s="1"/>
  <c r="K1585" i="2"/>
  <c r="J1586" i="2" s="1"/>
  <c r="G1586" i="2"/>
  <c r="J1585" i="2"/>
  <c r="L1585" i="2" l="1"/>
  <c r="E1587" i="2"/>
  <c r="F1587" i="2" s="1"/>
  <c r="H1587" i="2"/>
  <c r="I1587" i="2" s="1"/>
  <c r="K1586" i="2"/>
  <c r="J1587" i="2" s="1"/>
  <c r="G1587" i="2"/>
  <c r="G1588" i="2" l="1"/>
  <c r="E1588" i="2"/>
  <c r="F1588" i="2" s="1"/>
  <c r="K1587" i="2"/>
  <c r="L1587" i="2" s="1"/>
  <c r="H1588" i="2"/>
  <c r="I1588" i="2" s="1"/>
  <c r="L1586" i="2"/>
  <c r="J1588" i="2" l="1"/>
  <c r="H1589" i="2"/>
  <c r="I1589" i="2" s="1"/>
  <c r="K1588" i="2"/>
  <c r="G1589" i="2"/>
  <c r="E1589" i="2"/>
  <c r="F1589" i="2" s="1"/>
  <c r="L1588" i="2" l="1"/>
  <c r="J1589" i="2"/>
  <c r="E1590" i="2"/>
  <c r="F1590" i="2" s="1"/>
  <c r="H1590" i="2"/>
  <c r="I1590" i="2" s="1"/>
  <c r="K1589" i="2"/>
  <c r="G1590" i="2"/>
  <c r="L1589" i="2" l="1"/>
  <c r="J1590" i="2"/>
  <c r="E1591" i="2"/>
  <c r="F1591" i="2" s="1"/>
  <c r="H1591" i="2"/>
  <c r="I1591" i="2" s="1"/>
  <c r="K1590" i="2"/>
  <c r="G1591" i="2"/>
  <c r="L1590" i="2" l="1"/>
  <c r="J1591" i="2"/>
  <c r="G1592" i="2"/>
  <c r="E1592" i="2"/>
  <c r="F1592" i="2" s="1"/>
  <c r="H1592" i="2"/>
  <c r="I1592" i="2" s="1"/>
  <c r="K1591" i="2"/>
  <c r="L1591" i="2" l="1"/>
  <c r="J1592" i="2"/>
  <c r="H1593" i="2"/>
  <c r="I1593" i="2" s="1"/>
  <c r="K1592" i="2"/>
  <c r="J1593" i="2" s="1"/>
  <c r="G1593" i="2"/>
  <c r="E1593" i="2"/>
  <c r="F1593" i="2" s="1"/>
  <c r="L1592" i="2" l="1"/>
  <c r="E1594" i="2"/>
  <c r="F1594" i="2" s="1"/>
  <c r="H1594" i="2"/>
  <c r="I1594" i="2" s="1"/>
  <c r="K1593" i="2"/>
  <c r="L1593" i="2" s="1"/>
  <c r="G1594" i="2"/>
  <c r="J1594" i="2" l="1"/>
  <c r="E1595" i="2"/>
  <c r="F1595" i="2" s="1"/>
  <c r="H1595" i="2"/>
  <c r="I1595" i="2" s="1"/>
  <c r="K1594" i="2"/>
  <c r="G1595" i="2"/>
  <c r="L1594" i="2" l="1"/>
  <c r="J1595" i="2"/>
  <c r="G1596" i="2"/>
  <c r="E1596" i="2"/>
  <c r="F1596" i="2" s="1"/>
  <c r="H1596" i="2"/>
  <c r="I1596" i="2" s="1"/>
  <c r="K1595" i="2"/>
  <c r="J1596" i="2" s="1"/>
  <c r="L1595" i="2" l="1"/>
  <c r="H1597" i="2"/>
  <c r="I1597" i="2" s="1"/>
  <c r="K1596" i="2"/>
  <c r="J1597" i="2" s="1"/>
  <c r="G1597" i="2"/>
  <c r="E1597" i="2"/>
  <c r="F1597" i="2" s="1"/>
  <c r="L1596" i="2" l="1"/>
  <c r="E1598" i="2"/>
  <c r="F1598" i="2" s="1"/>
  <c r="H1598" i="2"/>
  <c r="I1598" i="2" s="1"/>
  <c r="K1597" i="2"/>
  <c r="L1597" i="2" s="1"/>
  <c r="G1598" i="2"/>
  <c r="E1599" i="2" l="1"/>
  <c r="F1599" i="2" s="1"/>
  <c r="H1599" i="2"/>
  <c r="I1599" i="2" s="1"/>
  <c r="K1598" i="2"/>
  <c r="J1599" i="2" s="1"/>
  <c r="G1599" i="2"/>
  <c r="J1598" i="2"/>
  <c r="G1600" i="2" l="1"/>
  <c r="E1600" i="2"/>
  <c r="F1600" i="2" s="1"/>
  <c r="K1599" i="2"/>
  <c r="L1599" i="2" s="1"/>
  <c r="H1600" i="2"/>
  <c r="I1600" i="2" s="1"/>
  <c r="L1598" i="2"/>
  <c r="J1600" i="2" l="1"/>
  <c r="H1601" i="2"/>
  <c r="I1601" i="2" s="1"/>
  <c r="K1600" i="2"/>
  <c r="G1601" i="2"/>
  <c r="E1601" i="2"/>
  <c r="F1601" i="2" s="1"/>
  <c r="L1600" i="2" l="1"/>
  <c r="E1602" i="2"/>
  <c r="F1602" i="2" s="1"/>
  <c r="H1602" i="2"/>
  <c r="I1602" i="2" s="1"/>
  <c r="K1601" i="2"/>
  <c r="J1602" i="2" s="1"/>
  <c r="G1602" i="2"/>
  <c r="J1601" i="2"/>
  <c r="L1601" i="2" l="1"/>
  <c r="E1603" i="2"/>
  <c r="F1603" i="2" s="1"/>
  <c r="H1603" i="2"/>
  <c r="I1603" i="2" s="1"/>
  <c r="K1602" i="2"/>
  <c r="J1603" i="2" s="1"/>
  <c r="G1603" i="2"/>
  <c r="G1604" i="2" l="1"/>
  <c r="E1604" i="2"/>
  <c r="F1604" i="2" s="1"/>
  <c r="K1603" i="2"/>
  <c r="L1603" i="2" s="1"/>
  <c r="H1604" i="2"/>
  <c r="I1604" i="2" s="1"/>
  <c r="L1602" i="2"/>
  <c r="J1604" i="2" l="1"/>
  <c r="H1605" i="2"/>
  <c r="I1605" i="2" s="1"/>
  <c r="K1604" i="2"/>
  <c r="G1605" i="2"/>
  <c r="E1605" i="2"/>
  <c r="F1605" i="2" s="1"/>
  <c r="L1604" i="2" l="1"/>
  <c r="J1605" i="2"/>
  <c r="E1606" i="2"/>
  <c r="F1606" i="2" s="1"/>
  <c r="H1606" i="2"/>
  <c r="I1606" i="2" s="1"/>
  <c r="K1605" i="2"/>
  <c r="G1606" i="2"/>
  <c r="L1605" i="2" l="1"/>
  <c r="J1606" i="2"/>
  <c r="E1607" i="2"/>
  <c r="F1607" i="2" s="1"/>
  <c r="H1607" i="2"/>
  <c r="I1607" i="2" s="1"/>
  <c r="K1606" i="2"/>
  <c r="G1607" i="2"/>
  <c r="L1606" i="2" l="1"/>
  <c r="J1607" i="2"/>
  <c r="G1608" i="2"/>
  <c r="E1608" i="2"/>
  <c r="F1608" i="2" s="1"/>
  <c r="H1608" i="2"/>
  <c r="I1608" i="2" s="1"/>
  <c r="K1607" i="2"/>
  <c r="L1607" i="2" l="1"/>
  <c r="J1608" i="2"/>
  <c r="H1609" i="2"/>
  <c r="I1609" i="2" s="1"/>
  <c r="K1608" i="2"/>
  <c r="J1609" i="2" s="1"/>
  <c r="G1609" i="2"/>
  <c r="E1609" i="2"/>
  <c r="F1609" i="2" s="1"/>
  <c r="L1608" i="2" l="1"/>
  <c r="E1610" i="2"/>
  <c r="F1610" i="2" s="1"/>
  <c r="H1610" i="2"/>
  <c r="I1610" i="2" s="1"/>
  <c r="K1609" i="2"/>
  <c r="L1609" i="2" s="1"/>
  <c r="G1610" i="2"/>
  <c r="J1610" i="2" l="1"/>
  <c r="E1611" i="2"/>
  <c r="F1611" i="2" s="1"/>
  <c r="H1611" i="2"/>
  <c r="I1611" i="2" s="1"/>
  <c r="K1610" i="2"/>
  <c r="J1611" i="2" s="1"/>
  <c r="G1611" i="2"/>
  <c r="G1612" i="2" l="1"/>
  <c r="E1612" i="2"/>
  <c r="F1612" i="2" s="1"/>
  <c r="H1612" i="2"/>
  <c r="I1612" i="2" s="1"/>
  <c r="K1611" i="2"/>
  <c r="L1611" i="2" s="1"/>
  <c r="L1610" i="2"/>
  <c r="J1612" i="2" l="1"/>
  <c r="H1613" i="2"/>
  <c r="I1613" i="2" s="1"/>
  <c r="K1612" i="2"/>
  <c r="G1613" i="2"/>
  <c r="E1613" i="2"/>
  <c r="F1613" i="2" s="1"/>
  <c r="L1612" i="2" l="1"/>
  <c r="J1613" i="2"/>
  <c r="E1614" i="2"/>
  <c r="F1614" i="2" s="1"/>
  <c r="H1614" i="2"/>
  <c r="I1614" i="2" s="1"/>
  <c r="K1613" i="2"/>
  <c r="G1614" i="2"/>
  <c r="L1613" i="2" l="1"/>
  <c r="J1614" i="2"/>
  <c r="E1615" i="2"/>
  <c r="F1615" i="2" s="1"/>
  <c r="H1615" i="2"/>
  <c r="I1615" i="2" s="1"/>
  <c r="K1614" i="2"/>
  <c r="J1615" i="2" s="1"/>
  <c r="G1615" i="2"/>
  <c r="G1616" i="2" l="1"/>
  <c r="E1616" i="2"/>
  <c r="F1616" i="2" s="1"/>
  <c r="K1615" i="2"/>
  <c r="L1615" i="2" s="1"/>
  <c r="H1616" i="2"/>
  <c r="I1616" i="2" s="1"/>
  <c r="L1614" i="2"/>
  <c r="J1616" i="2" l="1"/>
  <c r="H1617" i="2"/>
  <c r="I1617" i="2" s="1"/>
  <c r="K1616" i="2"/>
  <c r="G1617" i="2"/>
  <c r="E1617" i="2"/>
  <c r="F1617" i="2" s="1"/>
  <c r="L1616" i="2" l="1"/>
  <c r="E1618" i="2"/>
  <c r="F1618" i="2" s="1"/>
  <c r="H1618" i="2"/>
  <c r="I1618" i="2" s="1"/>
  <c r="K1617" i="2"/>
  <c r="J1618" i="2" s="1"/>
  <c r="G1618" i="2"/>
  <c r="J1617" i="2"/>
  <c r="L1617" i="2" l="1"/>
  <c r="E1619" i="2"/>
  <c r="F1619" i="2" s="1"/>
  <c r="H1619" i="2"/>
  <c r="I1619" i="2" s="1"/>
  <c r="K1618" i="2"/>
  <c r="L1618" i="2" s="1"/>
  <c r="G1619" i="2"/>
  <c r="J1619" i="2" l="1"/>
  <c r="G1620" i="2"/>
  <c r="E1620" i="2"/>
  <c r="F1620" i="2" s="1"/>
  <c r="K1619" i="2"/>
  <c r="H1620" i="2"/>
  <c r="I1620" i="2" s="1"/>
  <c r="L1619" i="2" l="1"/>
  <c r="J1620" i="2"/>
  <c r="H1621" i="2"/>
  <c r="I1621" i="2" s="1"/>
  <c r="K1620" i="2"/>
  <c r="G1621" i="2"/>
  <c r="E1621" i="2"/>
  <c r="F1621" i="2" s="1"/>
  <c r="L1620" i="2" l="1"/>
  <c r="J1621" i="2"/>
  <c r="E1622" i="2"/>
  <c r="F1622" i="2" s="1"/>
  <c r="H1622" i="2"/>
  <c r="I1622" i="2" s="1"/>
  <c r="K1621" i="2"/>
  <c r="G1622" i="2"/>
  <c r="L1621" i="2" l="1"/>
  <c r="J1622" i="2"/>
  <c r="E1623" i="2"/>
  <c r="F1623" i="2" s="1"/>
  <c r="H1623" i="2"/>
  <c r="I1623" i="2" s="1"/>
  <c r="K1622" i="2"/>
  <c r="J1623" i="2" s="1"/>
  <c r="G1623" i="2"/>
  <c r="G1624" i="2" l="1"/>
  <c r="E1624" i="2"/>
  <c r="F1624" i="2" s="1"/>
  <c r="H1624" i="2"/>
  <c r="I1624" i="2" s="1"/>
  <c r="K1623" i="2"/>
  <c r="L1623" i="2" s="1"/>
  <c r="L1622" i="2"/>
  <c r="J1624" i="2" l="1"/>
  <c r="H1625" i="2"/>
  <c r="I1625" i="2" s="1"/>
  <c r="K1624" i="2"/>
  <c r="G1625" i="2"/>
  <c r="E1625" i="2"/>
  <c r="F1625" i="2" s="1"/>
  <c r="L1624" i="2" l="1"/>
  <c r="J1625" i="2"/>
  <c r="E1626" i="2"/>
  <c r="F1626" i="2" s="1"/>
  <c r="H1626" i="2"/>
  <c r="I1626" i="2" s="1"/>
  <c r="K1625" i="2"/>
  <c r="G1626" i="2"/>
  <c r="L1625" i="2" l="1"/>
  <c r="J1626" i="2"/>
  <c r="E1627" i="2"/>
  <c r="F1627" i="2" s="1"/>
  <c r="H1627" i="2"/>
  <c r="I1627" i="2" s="1"/>
  <c r="K1626" i="2"/>
  <c r="J1627" i="2" s="1"/>
  <c r="G1627" i="2"/>
  <c r="G1628" i="2" l="1"/>
  <c r="E1628" i="2"/>
  <c r="F1628" i="2" s="1"/>
  <c r="H1628" i="2"/>
  <c r="I1628" i="2" s="1"/>
  <c r="K1627" i="2"/>
  <c r="L1627" i="2" s="1"/>
  <c r="L1626" i="2"/>
  <c r="J1628" i="2" l="1"/>
  <c r="H1629" i="2"/>
  <c r="I1629" i="2" s="1"/>
  <c r="K1628" i="2"/>
  <c r="J1629" i="2" s="1"/>
  <c r="G1629" i="2"/>
  <c r="E1629" i="2"/>
  <c r="F1629" i="2" s="1"/>
  <c r="E1630" i="2" l="1"/>
  <c r="F1630" i="2" s="1"/>
  <c r="H1630" i="2"/>
  <c r="I1630" i="2" s="1"/>
  <c r="K1629" i="2"/>
  <c r="J1630" i="2" s="1"/>
  <c r="G1630" i="2"/>
  <c r="L1628" i="2"/>
  <c r="L1629" i="2" l="1"/>
  <c r="E1631" i="2"/>
  <c r="F1631" i="2" s="1"/>
  <c r="H1631" i="2"/>
  <c r="I1631" i="2" s="1"/>
  <c r="K1630" i="2"/>
  <c r="L1630" i="2" s="1"/>
  <c r="G1631" i="2"/>
  <c r="J1631" i="2" l="1"/>
  <c r="G1632" i="2"/>
  <c r="E1632" i="2"/>
  <c r="F1632" i="2" s="1"/>
  <c r="K1631" i="2"/>
  <c r="H1632" i="2"/>
  <c r="I1632" i="2" s="1"/>
  <c r="L1631" i="2" l="1"/>
  <c r="J1632" i="2"/>
  <c r="H1633" i="2"/>
  <c r="I1633" i="2" s="1"/>
  <c r="K1632" i="2"/>
  <c r="G1633" i="2"/>
  <c r="E1633" i="2"/>
  <c r="F1633" i="2" s="1"/>
  <c r="L1632" i="2" l="1"/>
  <c r="J1633" i="2"/>
  <c r="E1634" i="2"/>
  <c r="F1634" i="2" s="1"/>
  <c r="H1634" i="2"/>
  <c r="I1634" i="2" s="1"/>
  <c r="K1633" i="2"/>
  <c r="G1634" i="2"/>
  <c r="L1633" i="2" l="1"/>
  <c r="J1634" i="2"/>
  <c r="E1635" i="2"/>
  <c r="F1635" i="2" s="1"/>
  <c r="H1635" i="2"/>
  <c r="I1635" i="2" s="1"/>
  <c r="K1634" i="2"/>
  <c r="G1635" i="2"/>
  <c r="L1634" i="2" l="1"/>
  <c r="J1635" i="2"/>
  <c r="G1636" i="2"/>
  <c r="E1636" i="2"/>
  <c r="F1636" i="2" s="1"/>
  <c r="K1635" i="2"/>
  <c r="H1636" i="2"/>
  <c r="I1636" i="2" s="1"/>
  <c r="L1635" i="2" l="1"/>
  <c r="J1636" i="2"/>
  <c r="H1637" i="2"/>
  <c r="I1637" i="2" s="1"/>
  <c r="K1636" i="2"/>
  <c r="G1637" i="2"/>
  <c r="E1637" i="2"/>
  <c r="F1637" i="2" s="1"/>
  <c r="L1636" i="2" l="1"/>
  <c r="E1638" i="2"/>
  <c r="F1638" i="2" s="1"/>
  <c r="H1638" i="2"/>
  <c r="I1638" i="2" s="1"/>
  <c r="K1637" i="2"/>
  <c r="J1638" i="2" s="1"/>
  <c r="G1638" i="2"/>
  <c r="J1637" i="2"/>
  <c r="L1637" i="2" l="1"/>
  <c r="E1639" i="2"/>
  <c r="F1639" i="2" s="1"/>
  <c r="H1639" i="2"/>
  <c r="I1639" i="2" s="1"/>
  <c r="K1638" i="2"/>
  <c r="J1639" i="2" s="1"/>
  <c r="G1639" i="2"/>
  <c r="G1640" i="2" l="1"/>
  <c r="E1640" i="2"/>
  <c r="F1640" i="2" s="1"/>
  <c r="H1640" i="2"/>
  <c r="I1640" i="2" s="1"/>
  <c r="K1639" i="2"/>
  <c r="L1639" i="2" s="1"/>
  <c r="L1638" i="2"/>
  <c r="J1640" i="2" l="1"/>
  <c r="H1641" i="2"/>
  <c r="I1641" i="2" s="1"/>
  <c r="K1640" i="2"/>
  <c r="J1641" i="2" s="1"/>
  <c r="G1641" i="2"/>
  <c r="E1641" i="2"/>
  <c r="F1641" i="2" s="1"/>
  <c r="E1642" i="2" l="1"/>
  <c r="F1642" i="2" s="1"/>
  <c r="H1642" i="2"/>
  <c r="I1642" i="2" s="1"/>
  <c r="K1641" i="2"/>
  <c r="L1641" i="2" s="1"/>
  <c r="G1642" i="2"/>
  <c r="L1640" i="2"/>
  <c r="J1642" i="2" l="1"/>
  <c r="E1643" i="2"/>
  <c r="F1643" i="2" s="1"/>
  <c r="H1643" i="2"/>
  <c r="I1643" i="2" s="1"/>
  <c r="K1642" i="2"/>
  <c r="G1643" i="2"/>
  <c r="L1642" i="2" l="1"/>
  <c r="J1643" i="2"/>
  <c r="G1644" i="2"/>
  <c r="E1644" i="2"/>
  <c r="F1644" i="2" s="1"/>
  <c r="H1644" i="2"/>
  <c r="I1644" i="2" s="1"/>
  <c r="K1643" i="2"/>
  <c r="J1644" i="2" s="1"/>
  <c r="L1643" i="2" l="1"/>
  <c r="H1645" i="2"/>
  <c r="I1645" i="2" s="1"/>
  <c r="K1644" i="2"/>
  <c r="J1645" i="2" s="1"/>
  <c r="G1645" i="2"/>
  <c r="E1645" i="2"/>
  <c r="F1645" i="2" s="1"/>
  <c r="L1644" i="2" l="1"/>
  <c r="E1646" i="2"/>
  <c r="F1646" i="2" s="1"/>
  <c r="H1646" i="2"/>
  <c r="I1646" i="2" s="1"/>
  <c r="K1645" i="2"/>
  <c r="L1645" i="2" s="1"/>
  <c r="G1646" i="2"/>
  <c r="J1646" i="2" l="1"/>
  <c r="E1647" i="2"/>
  <c r="F1647" i="2" s="1"/>
  <c r="H1647" i="2"/>
  <c r="I1647" i="2" s="1"/>
  <c r="K1646" i="2"/>
  <c r="J1647" i="2" s="1"/>
  <c r="G1647" i="2"/>
  <c r="G1648" i="2" l="1"/>
  <c r="E1648" i="2"/>
  <c r="F1648" i="2" s="1"/>
  <c r="K1647" i="2"/>
  <c r="L1647" i="2" s="1"/>
  <c r="H1648" i="2"/>
  <c r="I1648" i="2" s="1"/>
  <c r="L1646" i="2"/>
  <c r="J1648" i="2" l="1"/>
  <c r="H1649" i="2"/>
  <c r="I1649" i="2" s="1"/>
  <c r="K1648" i="2"/>
  <c r="G1649" i="2"/>
  <c r="E1649" i="2"/>
  <c r="F1649" i="2" s="1"/>
  <c r="L1648" i="2" l="1"/>
  <c r="E1650" i="2"/>
  <c r="F1650" i="2" s="1"/>
  <c r="H1650" i="2"/>
  <c r="I1650" i="2" s="1"/>
  <c r="K1649" i="2"/>
  <c r="J1650" i="2" s="1"/>
  <c r="G1650" i="2"/>
  <c r="J1649" i="2"/>
  <c r="L1649" i="2" l="1"/>
  <c r="E1651" i="2"/>
  <c r="F1651" i="2" s="1"/>
  <c r="H1651" i="2"/>
  <c r="I1651" i="2" s="1"/>
  <c r="K1650" i="2"/>
  <c r="L1650" i="2" s="1"/>
  <c r="G1651" i="2"/>
  <c r="J1651" i="2" l="1"/>
  <c r="G1652" i="2"/>
  <c r="E1652" i="2"/>
  <c r="F1652" i="2" s="1"/>
  <c r="K1651" i="2"/>
  <c r="J1652" i="2" s="1"/>
  <c r="H1652" i="2"/>
  <c r="I1652" i="2" s="1"/>
  <c r="H1653" i="2" l="1"/>
  <c r="I1653" i="2" s="1"/>
  <c r="K1652" i="2"/>
  <c r="L1652" i="2" s="1"/>
  <c r="G1653" i="2"/>
  <c r="E1653" i="2"/>
  <c r="F1653" i="2" s="1"/>
  <c r="L1651" i="2"/>
  <c r="E1654" i="2" l="1"/>
  <c r="F1654" i="2" s="1"/>
  <c r="H1654" i="2"/>
  <c r="I1654" i="2" s="1"/>
  <c r="K1653" i="2"/>
  <c r="J1654" i="2" s="1"/>
  <c r="G1654" i="2"/>
  <c r="J1653" i="2"/>
  <c r="L1653" i="2" l="1"/>
  <c r="E1655" i="2"/>
  <c r="F1655" i="2" s="1"/>
  <c r="H1655" i="2"/>
  <c r="I1655" i="2" s="1"/>
  <c r="K1654" i="2"/>
  <c r="L1654" i="2" s="1"/>
  <c r="G1655" i="2"/>
  <c r="J1655" i="2" l="1"/>
  <c r="G1656" i="2"/>
  <c r="E1656" i="2"/>
  <c r="F1656" i="2" s="1"/>
  <c r="H1656" i="2"/>
  <c r="I1656" i="2" s="1"/>
  <c r="K1655" i="2"/>
  <c r="L1655" i="2" l="1"/>
  <c r="J1656" i="2"/>
  <c r="H1657" i="2"/>
  <c r="I1657" i="2" s="1"/>
  <c r="K1656" i="2"/>
  <c r="J1657" i="2" s="1"/>
  <c r="G1657" i="2"/>
  <c r="E1657" i="2"/>
  <c r="F1657" i="2" s="1"/>
  <c r="L1656" i="2" l="1"/>
  <c r="E1658" i="2"/>
  <c r="F1658" i="2" s="1"/>
  <c r="H1658" i="2"/>
  <c r="I1658" i="2" s="1"/>
  <c r="K1657" i="2"/>
  <c r="L1657" i="2" s="1"/>
  <c r="G1658" i="2"/>
  <c r="J1658" i="2" l="1"/>
  <c r="E1659" i="2"/>
  <c r="F1659" i="2" s="1"/>
  <c r="H1659" i="2"/>
  <c r="I1659" i="2" s="1"/>
  <c r="K1658" i="2"/>
  <c r="G1659" i="2"/>
  <c r="L1658" i="2" l="1"/>
  <c r="J1659" i="2"/>
  <c r="G1660" i="2"/>
  <c r="E1660" i="2"/>
  <c r="F1660" i="2" s="1"/>
  <c r="H1660" i="2"/>
  <c r="I1660" i="2" s="1"/>
  <c r="K1659" i="2"/>
  <c r="L1659" i="2" l="1"/>
  <c r="J1660" i="2"/>
  <c r="H1661" i="2"/>
  <c r="I1661" i="2" s="1"/>
  <c r="K1660" i="2"/>
  <c r="J1661" i="2" s="1"/>
  <c r="G1661" i="2"/>
  <c r="E1661" i="2"/>
  <c r="F1661" i="2" s="1"/>
  <c r="L1660" i="2" l="1"/>
  <c r="E1662" i="2"/>
  <c r="F1662" i="2" s="1"/>
  <c r="H1662" i="2"/>
  <c r="I1662" i="2" s="1"/>
  <c r="K1661" i="2"/>
  <c r="L1661" i="2" s="1"/>
  <c r="G1662" i="2"/>
  <c r="E1663" i="2" l="1"/>
  <c r="F1663" i="2" s="1"/>
  <c r="H1663" i="2"/>
  <c r="I1663" i="2" s="1"/>
  <c r="K1662" i="2"/>
  <c r="J1663" i="2" s="1"/>
  <c r="G1663" i="2"/>
  <c r="J1662" i="2"/>
  <c r="G1664" i="2" l="1"/>
  <c r="E1664" i="2"/>
  <c r="F1664" i="2" s="1"/>
  <c r="K1663" i="2"/>
  <c r="L1663" i="2" s="1"/>
  <c r="H1664" i="2"/>
  <c r="I1664" i="2" s="1"/>
  <c r="L1662" i="2"/>
  <c r="J1664" i="2" l="1"/>
  <c r="H1665" i="2"/>
  <c r="I1665" i="2" s="1"/>
  <c r="K1664" i="2"/>
  <c r="G1665" i="2"/>
  <c r="E1665" i="2"/>
  <c r="F1665" i="2" s="1"/>
  <c r="L1664" i="2" l="1"/>
  <c r="E1666" i="2"/>
  <c r="F1666" i="2" s="1"/>
  <c r="H1666" i="2"/>
  <c r="I1666" i="2" s="1"/>
  <c r="K1665" i="2"/>
  <c r="J1666" i="2" s="1"/>
  <c r="G1666" i="2"/>
  <c r="J1665" i="2"/>
  <c r="L1665" i="2" l="1"/>
  <c r="E1667" i="2"/>
  <c r="F1667" i="2" s="1"/>
  <c r="H1667" i="2"/>
  <c r="I1667" i="2" s="1"/>
  <c r="K1666" i="2"/>
  <c r="J1667" i="2" s="1"/>
  <c r="G1667" i="2"/>
  <c r="G1668" i="2" l="1"/>
  <c r="E1668" i="2"/>
  <c r="F1668" i="2" s="1"/>
  <c r="K1667" i="2"/>
  <c r="L1667" i="2" s="1"/>
  <c r="H1668" i="2"/>
  <c r="I1668" i="2" s="1"/>
  <c r="L1666" i="2"/>
  <c r="J1668" i="2" l="1"/>
  <c r="H1669" i="2"/>
  <c r="I1669" i="2" s="1"/>
  <c r="K1668" i="2"/>
  <c r="G1669" i="2"/>
  <c r="E1669" i="2"/>
  <c r="F1669" i="2" s="1"/>
  <c r="L1668" i="2" l="1"/>
  <c r="J1669" i="2"/>
  <c r="E1670" i="2"/>
  <c r="F1670" i="2" s="1"/>
  <c r="H1670" i="2"/>
  <c r="I1670" i="2" s="1"/>
  <c r="K1669" i="2"/>
  <c r="G1670" i="2"/>
  <c r="L1669" i="2" l="1"/>
  <c r="J1670" i="2"/>
  <c r="E1671" i="2"/>
  <c r="F1671" i="2" s="1"/>
  <c r="H1671" i="2"/>
  <c r="I1671" i="2" s="1"/>
  <c r="K1670" i="2"/>
  <c r="G1671" i="2"/>
  <c r="L1670" i="2" l="1"/>
  <c r="J1671" i="2"/>
  <c r="G1672" i="2"/>
  <c r="E1672" i="2"/>
  <c r="F1672" i="2" s="1"/>
  <c r="H1672" i="2"/>
  <c r="I1672" i="2" s="1"/>
  <c r="K1671" i="2"/>
  <c r="L1671" i="2" l="1"/>
  <c r="J1672" i="2"/>
  <c r="H1673" i="2"/>
  <c r="I1673" i="2" s="1"/>
  <c r="K1672" i="2"/>
  <c r="J1673" i="2" s="1"/>
  <c r="G1673" i="2"/>
  <c r="E1673" i="2"/>
  <c r="F1673" i="2" s="1"/>
  <c r="L1672" i="2" l="1"/>
  <c r="E1674" i="2"/>
  <c r="F1674" i="2" s="1"/>
  <c r="H1674" i="2"/>
  <c r="I1674" i="2" s="1"/>
  <c r="K1673" i="2"/>
  <c r="L1673" i="2" s="1"/>
  <c r="G1674" i="2"/>
  <c r="E1675" i="2" l="1"/>
  <c r="F1675" i="2" s="1"/>
  <c r="H1675" i="2"/>
  <c r="I1675" i="2" s="1"/>
  <c r="K1674" i="2"/>
  <c r="J1675" i="2" s="1"/>
  <c r="G1675" i="2"/>
  <c r="J1674" i="2"/>
  <c r="G1676" i="2" l="1"/>
  <c r="E1676" i="2"/>
  <c r="F1676" i="2" s="1"/>
  <c r="H1676" i="2"/>
  <c r="I1676" i="2" s="1"/>
  <c r="K1675" i="2"/>
  <c r="L1675" i="2" s="1"/>
  <c r="L1674" i="2"/>
  <c r="J1676" i="2" l="1"/>
  <c r="H1677" i="2"/>
  <c r="I1677" i="2" s="1"/>
  <c r="K1676" i="2"/>
  <c r="J1677" i="2" s="1"/>
  <c r="G1677" i="2"/>
  <c r="E1677" i="2"/>
  <c r="F1677" i="2" s="1"/>
  <c r="E1678" i="2" l="1"/>
  <c r="F1678" i="2" s="1"/>
  <c r="H1678" i="2"/>
  <c r="I1678" i="2" s="1"/>
  <c r="K1677" i="2"/>
  <c r="L1677" i="2" s="1"/>
  <c r="G1678" i="2"/>
  <c r="L1676" i="2"/>
  <c r="E1679" i="2" l="1"/>
  <c r="F1679" i="2" s="1"/>
  <c r="H1679" i="2"/>
  <c r="I1679" i="2" s="1"/>
  <c r="K1678" i="2"/>
  <c r="J1679" i="2" s="1"/>
  <c r="G1679" i="2"/>
  <c r="J1678" i="2"/>
  <c r="G1680" i="2" l="1"/>
  <c r="E1680" i="2"/>
  <c r="F1680" i="2" s="1"/>
  <c r="K1679" i="2"/>
  <c r="L1679" i="2" s="1"/>
  <c r="H1680" i="2"/>
  <c r="I1680" i="2" s="1"/>
  <c r="L1678" i="2"/>
  <c r="J1680" i="2" l="1"/>
  <c r="H1681" i="2"/>
  <c r="I1681" i="2" s="1"/>
  <c r="K1680" i="2"/>
  <c r="G1681" i="2"/>
  <c r="E1681" i="2"/>
  <c r="F1681" i="2" s="1"/>
  <c r="L1680" i="2" l="1"/>
  <c r="E1682" i="2"/>
  <c r="F1682" i="2" s="1"/>
  <c r="H1682" i="2"/>
  <c r="I1682" i="2" s="1"/>
  <c r="K1681" i="2"/>
  <c r="J1682" i="2" s="1"/>
  <c r="G1682" i="2"/>
  <c r="J1681" i="2"/>
  <c r="L1681" i="2" l="1"/>
  <c r="E1683" i="2"/>
  <c r="F1683" i="2" s="1"/>
  <c r="H1683" i="2"/>
  <c r="I1683" i="2" s="1"/>
  <c r="K1682" i="2"/>
  <c r="L1682" i="2" s="1"/>
  <c r="G1683" i="2"/>
  <c r="J1683" i="2" l="1"/>
  <c r="G1684" i="2"/>
  <c r="E1684" i="2"/>
  <c r="F1684" i="2" s="1"/>
  <c r="K1683" i="2"/>
  <c r="J1684" i="2" s="1"/>
  <c r="H1684" i="2"/>
  <c r="I1684" i="2" s="1"/>
  <c r="H1685" i="2" l="1"/>
  <c r="I1685" i="2" s="1"/>
  <c r="K1684" i="2"/>
  <c r="L1684" i="2" s="1"/>
  <c r="G1685" i="2"/>
  <c r="E1685" i="2"/>
  <c r="F1685" i="2" s="1"/>
  <c r="L1683" i="2"/>
  <c r="E1686" i="2" l="1"/>
  <c r="F1686" i="2" s="1"/>
  <c r="H1686" i="2"/>
  <c r="I1686" i="2" s="1"/>
  <c r="K1685" i="2"/>
  <c r="J1686" i="2" s="1"/>
  <c r="G1686" i="2"/>
  <c r="J1685" i="2"/>
  <c r="L1685" i="2" l="1"/>
  <c r="E1687" i="2"/>
  <c r="F1687" i="2" s="1"/>
  <c r="H1687" i="2"/>
  <c r="I1687" i="2" s="1"/>
  <c r="K1686" i="2"/>
  <c r="L1686" i="2" s="1"/>
  <c r="G1687" i="2"/>
  <c r="J1687" i="2" l="1"/>
  <c r="G1688" i="2"/>
  <c r="E1688" i="2"/>
  <c r="F1688" i="2" s="1"/>
  <c r="H1688" i="2"/>
  <c r="I1688" i="2" s="1"/>
  <c r="K1687" i="2"/>
  <c r="J1688" i="2" s="1"/>
  <c r="H1689" i="2" l="1"/>
  <c r="I1689" i="2" s="1"/>
  <c r="K1688" i="2"/>
  <c r="L1688" i="2" s="1"/>
  <c r="G1689" i="2"/>
  <c r="E1689" i="2"/>
  <c r="F1689" i="2" s="1"/>
  <c r="L1687" i="2"/>
  <c r="E1690" i="2" l="1"/>
  <c r="F1690" i="2" s="1"/>
  <c r="H1690" i="2"/>
  <c r="I1690" i="2" s="1"/>
  <c r="K1689" i="2"/>
  <c r="J1690" i="2" s="1"/>
  <c r="G1690" i="2"/>
  <c r="J1689" i="2"/>
  <c r="L1689" i="2" l="1"/>
  <c r="E1691" i="2"/>
  <c r="F1691" i="2" s="1"/>
  <c r="H1691" i="2"/>
  <c r="I1691" i="2" s="1"/>
  <c r="K1690" i="2"/>
  <c r="L1690" i="2" s="1"/>
  <c r="G1691" i="2"/>
  <c r="J1691" i="2" l="1"/>
  <c r="G1692" i="2"/>
  <c r="E1692" i="2"/>
  <c r="F1692" i="2" s="1"/>
  <c r="H1692" i="2"/>
  <c r="I1692" i="2" s="1"/>
  <c r="K1691" i="2"/>
  <c r="J1692" i="2" s="1"/>
  <c r="L1691" i="2" l="1"/>
  <c r="H1693" i="2"/>
  <c r="I1693" i="2" s="1"/>
  <c r="K1692" i="2"/>
  <c r="J1693" i="2" s="1"/>
  <c r="G1693" i="2"/>
  <c r="E1693" i="2"/>
  <c r="F1693" i="2" s="1"/>
  <c r="L1692" i="2" l="1"/>
  <c r="E1694" i="2"/>
  <c r="F1694" i="2" s="1"/>
  <c r="H1694" i="2"/>
  <c r="I1694" i="2" s="1"/>
  <c r="K1693" i="2"/>
  <c r="L1693" i="2" s="1"/>
  <c r="G1694" i="2"/>
  <c r="J1694" i="2" l="1"/>
  <c r="E1695" i="2"/>
  <c r="F1695" i="2" s="1"/>
  <c r="H1695" i="2"/>
  <c r="I1695" i="2" s="1"/>
  <c r="K1694" i="2"/>
  <c r="J1695" i="2" s="1"/>
  <c r="G1695" i="2"/>
  <c r="G1696" i="2" l="1"/>
  <c r="E1696" i="2"/>
  <c r="F1696" i="2" s="1"/>
  <c r="K1695" i="2"/>
  <c r="L1695" i="2" s="1"/>
  <c r="H1696" i="2"/>
  <c r="I1696" i="2" s="1"/>
  <c r="L1694" i="2"/>
  <c r="J1696" i="2" l="1"/>
  <c r="H1697" i="2"/>
  <c r="I1697" i="2" s="1"/>
  <c r="K1696" i="2"/>
  <c r="G1697" i="2"/>
  <c r="E1697" i="2"/>
  <c r="F1697" i="2" s="1"/>
  <c r="L1696" i="2" l="1"/>
  <c r="J1697" i="2"/>
  <c r="E1698" i="2"/>
  <c r="F1698" i="2" s="1"/>
  <c r="H1698" i="2"/>
  <c r="I1698" i="2" s="1"/>
  <c r="K1697" i="2"/>
  <c r="J1698" i="2" s="1"/>
  <c r="G1698" i="2"/>
  <c r="E1699" i="2" l="1"/>
  <c r="F1699" i="2" s="1"/>
  <c r="H1699" i="2"/>
  <c r="I1699" i="2" s="1"/>
  <c r="K1698" i="2"/>
  <c r="L1698" i="2" s="1"/>
  <c r="G1699" i="2"/>
  <c r="L1697" i="2"/>
  <c r="J1699" i="2" l="1"/>
  <c r="G1700" i="2"/>
  <c r="E1700" i="2"/>
  <c r="F1700" i="2" s="1"/>
  <c r="K1699" i="2"/>
  <c r="H1700" i="2"/>
  <c r="I1700" i="2" s="1"/>
  <c r="L1699" i="2" l="1"/>
  <c r="J1700" i="2"/>
  <c r="H1701" i="2"/>
  <c r="I1701" i="2" s="1"/>
  <c r="K1700" i="2"/>
  <c r="G1701" i="2"/>
  <c r="E1701" i="2"/>
  <c r="F1701" i="2" s="1"/>
  <c r="L1700" i="2" l="1"/>
  <c r="J1701" i="2"/>
  <c r="E1702" i="2"/>
  <c r="F1702" i="2" s="1"/>
  <c r="H1702" i="2"/>
  <c r="I1702" i="2" s="1"/>
  <c r="K1701" i="2"/>
  <c r="J1702" i="2" s="1"/>
  <c r="G1702" i="2"/>
  <c r="L1701" i="2" l="1"/>
  <c r="E1703" i="2"/>
  <c r="F1703" i="2" s="1"/>
  <c r="H1703" i="2"/>
  <c r="I1703" i="2" s="1"/>
  <c r="K1702" i="2"/>
  <c r="L1702" i="2" s="1"/>
  <c r="G1703" i="2"/>
  <c r="J1703" i="2" l="1"/>
  <c r="G1704" i="2"/>
  <c r="E1704" i="2"/>
  <c r="F1704" i="2" s="1"/>
  <c r="H1704" i="2"/>
  <c r="I1704" i="2" s="1"/>
  <c r="K1703" i="2"/>
  <c r="J1704" i="2" s="1"/>
  <c r="H1705" i="2" l="1"/>
  <c r="I1705" i="2" s="1"/>
  <c r="K1704" i="2"/>
  <c r="L1704" i="2" s="1"/>
  <c r="G1705" i="2"/>
  <c r="E1705" i="2"/>
  <c r="F1705" i="2" s="1"/>
  <c r="L1703" i="2"/>
  <c r="E1706" i="2" l="1"/>
  <c r="F1706" i="2" s="1"/>
  <c r="H1706" i="2"/>
  <c r="I1706" i="2" s="1"/>
  <c r="K1705" i="2"/>
  <c r="J1706" i="2" s="1"/>
  <c r="G1706" i="2"/>
  <c r="J1705" i="2"/>
  <c r="L1705" i="2" l="1"/>
  <c r="E1707" i="2"/>
  <c r="F1707" i="2" s="1"/>
  <c r="H1707" i="2"/>
  <c r="I1707" i="2" s="1"/>
  <c r="K1706" i="2"/>
  <c r="L1706" i="2" s="1"/>
  <c r="G1707" i="2"/>
  <c r="J1707" i="2" l="1"/>
  <c r="G1708" i="2"/>
  <c r="E1708" i="2"/>
  <c r="F1708" i="2" s="1"/>
  <c r="H1708" i="2"/>
  <c r="I1708" i="2" s="1"/>
  <c r="K1707" i="2"/>
  <c r="J1708" i="2" s="1"/>
  <c r="H1709" i="2" l="1"/>
  <c r="I1709" i="2" s="1"/>
  <c r="K1708" i="2"/>
  <c r="L1708" i="2" s="1"/>
  <c r="G1709" i="2"/>
  <c r="E1709" i="2"/>
  <c r="F1709" i="2" s="1"/>
  <c r="L1707" i="2"/>
  <c r="E1710" i="2" l="1"/>
  <c r="F1710" i="2" s="1"/>
  <c r="H1710" i="2"/>
  <c r="I1710" i="2" s="1"/>
  <c r="K1709" i="2"/>
  <c r="J1710" i="2" s="1"/>
  <c r="G1710" i="2"/>
  <c r="J1709" i="2"/>
  <c r="L1709" i="2" l="1"/>
  <c r="E1711" i="2"/>
  <c r="F1711" i="2" s="1"/>
  <c r="H1711" i="2"/>
  <c r="I1711" i="2" s="1"/>
  <c r="K1710" i="2"/>
  <c r="L1710" i="2" s="1"/>
  <c r="G1711" i="2"/>
  <c r="J1711" i="2" l="1"/>
  <c r="G1712" i="2"/>
  <c r="E1712" i="2"/>
  <c r="F1712" i="2" s="1"/>
  <c r="K1711" i="2"/>
  <c r="J1712" i="2" s="1"/>
  <c r="H1712" i="2"/>
  <c r="I1712" i="2" s="1"/>
  <c r="H1713" i="2" l="1"/>
  <c r="I1713" i="2" s="1"/>
  <c r="K1712" i="2"/>
  <c r="L1712" i="2" s="1"/>
  <c r="G1713" i="2"/>
  <c r="E1713" i="2"/>
  <c r="F1713" i="2" s="1"/>
  <c r="L1711" i="2"/>
  <c r="E1714" i="2" l="1"/>
  <c r="F1714" i="2" s="1"/>
  <c r="H1714" i="2"/>
  <c r="I1714" i="2" s="1"/>
  <c r="K1713" i="2"/>
  <c r="J1714" i="2" s="1"/>
  <c r="G1714" i="2"/>
  <c r="J1713" i="2"/>
  <c r="L1713" i="2" l="1"/>
  <c r="E1715" i="2"/>
  <c r="F1715" i="2" s="1"/>
  <c r="H1715" i="2"/>
  <c r="I1715" i="2" s="1"/>
  <c r="K1714" i="2"/>
  <c r="L1714" i="2" s="1"/>
  <c r="G1715" i="2"/>
  <c r="J1715" i="2" l="1"/>
  <c r="G1716" i="2"/>
  <c r="E1716" i="2"/>
  <c r="F1716" i="2" s="1"/>
  <c r="K1715" i="2"/>
  <c r="J1716" i="2" s="1"/>
  <c r="H1716" i="2"/>
  <c r="I1716" i="2" s="1"/>
  <c r="H1717" i="2" l="1"/>
  <c r="I1717" i="2" s="1"/>
  <c r="K1716" i="2"/>
  <c r="L1716" i="2" s="1"/>
  <c r="G1717" i="2"/>
  <c r="E1717" i="2"/>
  <c r="F1717" i="2" s="1"/>
  <c r="L1715" i="2"/>
  <c r="E1718" i="2" l="1"/>
  <c r="F1718" i="2" s="1"/>
  <c r="H1718" i="2"/>
  <c r="I1718" i="2" s="1"/>
  <c r="K1717" i="2"/>
  <c r="J1718" i="2" s="1"/>
  <c r="G1718" i="2"/>
  <c r="J1717" i="2"/>
  <c r="L1717" i="2" l="1"/>
  <c r="E1719" i="2"/>
  <c r="F1719" i="2" s="1"/>
  <c r="H1719" i="2"/>
  <c r="I1719" i="2" s="1"/>
  <c r="K1718" i="2"/>
  <c r="L1718" i="2" s="1"/>
  <c r="G1719" i="2"/>
  <c r="J1719" i="2" l="1"/>
  <c r="G1720" i="2"/>
  <c r="E1720" i="2"/>
  <c r="F1720" i="2" s="1"/>
  <c r="H1720" i="2"/>
  <c r="I1720" i="2" s="1"/>
  <c r="K1719" i="2"/>
  <c r="J1720" i="2" s="1"/>
  <c r="H1721" i="2" l="1"/>
  <c r="I1721" i="2" s="1"/>
  <c r="K1720" i="2"/>
  <c r="L1720" i="2" s="1"/>
  <c r="G1721" i="2"/>
  <c r="E1721" i="2"/>
  <c r="F1721" i="2" s="1"/>
  <c r="L1719" i="2"/>
  <c r="E1722" i="2" l="1"/>
  <c r="F1722" i="2" s="1"/>
  <c r="H1722" i="2"/>
  <c r="I1722" i="2" s="1"/>
  <c r="K1721" i="2"/>
  <c r="J1722" i="2" s="1"/>
  <c r="G1722" i="2"/>
  <c r="J1721" i="2"/>
  <c r="L1721" i="2" l="1"/>
  <c r="E1723" i="2"/>
  <c r="F1723" i="2" s="1"/>
  <c r="H1723" i="2"/>
  <c r="I1723" i="2" s="1"/>
  <c r="K1722" i="2"/>
  <c r="L1722" i="2" s="1"/>
  <c r="G1723" i="2"/>
  <c r="J1723" i="2" l="1"/>
  <c r="G1724" i="2"/>
  <c r="E1724" i="2"/>
  <c r="F1724" i="2" s="1"/>
  <c r="H1724" i="2"/>
  <c r="I1724" i="2" s="1"/>
  <c r="K1723" i="2"/>
  <c r="J1724" i="2" s="1"/>
  <c r="H1725" i="2" l="1"/>
  <c r="I1725" i="2" s="1"/>
  <c r="K1724" i="2"/>
  <c r="L1724" i="2" s="1"/>
  <c r="G1725" i="2"/>
  <c r="E1725" i="2"/>
  <c r="F1725" i="2" s="1"/>
  <c r="L1723" i="2"/>
  <c r="E1726" i="2" l="1"/>
  <c r="F1726" i="2" s="1"/>
  <c r="H1726" i="2"/>
  <c r="I1726" i="2" s="1"/>
  <c r="K1725" i="2"/>
  <c r="J1726" i="2" s="1"/>
  <c r="G1726" i="2"/>
  <c r="J1725" i="2"/>
  <c r="L1725" i="2" l="1"/>
  <c r="E1727" i="2"/>
  <c r="F1727" i="2" s="1"/>
  <c r="H1727" i="2"/>
  <c r="I1727" i="2" s="1"/>
  <c r="K1726" i="2"/>
  <c r="L1726" i="2" s="1"/>
  <c r="G1727" i="2"/>
  <c r="J1727" i="2" l="1"/>
  <c r="G1728" i="2"/>
  <c r="E1728" i="2"/>
  <c r="F1728" i="2" s="1"/>
  <c r="K1727" i="2"/>
  <c r="J1728" i="2" s="1"/>
  <c r="H1728" i="2"/>
  <c r="I1728" i="2" s="1"/>
  <c r="H1729" i="2" l="1"/>
  <c r="I1729" i="2" s="1"/>
  <c r="K1728" i="2"/>
  <c r="L1728" i="2" s="1"/>
  <c r="G1729" i="2"/>
  <c r="E1729" i="2"/>
  <c r="F1729" i="2" s="1"/>
  <c r="L1727" i="2"/>
  <c r="E1730" i="2" l="1"/>
  <c r="F1730" i="2" s="1"/>
  <c r="H1730" i="2"/>
  <c r="I1730" i="2" s="1"/>
  <c r="K1729" i="2"/>
  <c r="J1730" i="2" s="1"/>
  <c r="G1730" i="2"/>
  <c r="J1729" i="2"/>
  <c r="L1729" i="2" l="1"/>
  <c r="E1731" i="2"/>
  <c r="F1731" i="2" s="1"/>
  <c r="H1731" i="2"/>
  <c r="I1731" i="2" s="1"/>
  <c r="K1730" i="2"/>
  <c r="L1730" i="2" s="1"/>
  <c r="G1731" i="2"/>
  <c r="J1731" i="2" l="1"/>
  <c r="G1732" i="2"/>
  <c r="E1732" i="2"/>
  <c r="F1732" i="2" s="1"/>
  <c r="K1731" i="2"/>
  <c r="J1732" i="2" s="1"/>
  <c r="H1732" i="2"/>
  <c r="I1732" i="2" s="1"/>
  <c r="H1733" i="2" l="1"/>
  <c r="I1733" i="2" s="1"/>
  <c r="K1732" i="2"/>
  <c r="L1732" i="2" s="1"/>
  <c r="G1733" i="2"/>
  <c r="E1733" i="2"/>
  <c r="F1733" i="2" s="1"/>
  <c r="L1731" i="2"/>
  <c r="E1734" i="2" l="1"/>
  <c r="F1734" i="2" s="1"/>
  <c r="H1734" i="2"/>
  <c r="I1734" i="2" s="1"/>
  <c r="K1733" i="2"/>
  <c r="J1734" i="2" s="1"/>
  <c r="G1734" i="2"/>
  <c r="J1733" i="2"/>
  <c r="L1733" i="2" l="1"/>
  <c r="E1735" i="2"/>
  <c r="F1735" i="2" s="1"/>
  <c r="H1735" i="2"/>
  <c r="I1735" i="2" s="1"/>
  <c r="K1734" i="2"/>
  <c r="L1734" i="2" s="1"/>
  <c r="G1735" i="2"/>
  <c r="J1735" i="2" l="1"/>
  <c r="G1736" i="2"/>
  <c r="E1736" i="2"/>
  <c r="F1736" i="2" s="1"/>
  <c r="H1736" i="2"/>
  <c r="I1736" i="2" s="1"/>
  <c r="K1735" i="2"/>
  <c r="J1736" i="2" s="1"/>
  <c r="H1737" i="2" l="1"/>
  <c r="I1737" i="2" s="1"/>
  <c r="K1736" i="2"/>
  <c r="L1736" i="2" s="1"/>
  <c r="G1737" i="2"/>
  <c r="E1737" i="2"/>
  <c r="F1737" i="2" s="1"/>
  <c r="L1735" i="2"/>
  <c r="E1738" i="2" l="1"/>
  <c r="F1738" i="2" s="1"/>
  <c r="H1738" i="2"/>
  <c r="I1738" i="2" s="1"/>
  <c r="K1737" i="2"/>
  <c r="J1738" i="2" s="1"/>
  <c r="G1738" i="2"/>
  <c r="J1737" i="2"/>
  <c r="L1737" i="2" l="1"/>
  <c r="E1739" i="2"/>
  <c r="F1739" i="2" s="1"/>
  <c r="H1739" i="2"/>
  <c r="I1739" i="2" s="1"/>
  <c r="K1738" i="2"/>
  <c r="L1738" i="2" s="1"/>
  <c r="G1739" i="2"/>
  <c r="J1739" i="2" l="1"/>
  <c r="G1740" i="2"/>
  <c r="E1740" i="2"/>
  <c r="F1740" i="2" s="1"/>
  <c r="H1740" i="2"/>
  <c r="I1740" i="2" s="1"/>
  <c r="K1739" i="2"/>
  <c r="J1740" i="2" s="1"/>
  <c r="H1741" i="2" l="1"/>
  <c r="I1741" i="2" s="1"/>
  <c r="K1740" i="2"/>
  <c r="L1740" i="2" s="1"/>
  <c r="G1741" i="2"/>
  <c r="E1741" i="2"/>
  <c r="F1741" i="2" s="1"/>
  <c r="L1739" i="2"/>
  <c r="E1742" i="2" l="1"/>
  <c r="F1742" i="2" s="1"/>
  <c r="H1742" i="2"/>
  <c r="I1742" i="2" s="1"/>
  <c r="K1741" i="2"/>
  <c r="J1742" i="2" s="1"/>
  <c r="G1742" i="2"/>
  <c r="J1741" i="2"/>
  <c r="L1741" i="2" l="1"/>
  <c r="E1743" i="2"/>
  <c r="F1743" i="2" s="1"/>
  <c r="H1743" i="2"/>
  <c r="I1743" i="2" s="1"/>
  <c r="K1742" i="2"/>
  <c r="L1742" i="2" s="1"/>
  <c r="G1743" i="2"/>
  <c r="J1743" i="2" l="1"/>
  <c r="G1744" i="2"/>
  <c r="E1744" i="2"/>
  <c r="F1744" i="2" s="1"/>
  <c r="K1743" i="2"/>
  <c r="H1744" i="2"/>
  <c r="I1744" i="2" s="1"/>
  <c r="L1743" i="2" l="1"/>
  <c r="J1744" i="2"/>
  <c r="H1745" i="2"/>
  <c r="I1745" i="2" s="1"/>
  <c r="K1744" i="2"/>
  <c r="G1745" i="2"/>
  <c r="E1745" i="2"/>
  <c r="F1745" i="2" s="1"/>
  <c r="L1744" i="2" l="1"/>
  <c r="E1746" i="2"/>
  <c r="F1746" i="2" s="1"/>
  <c r="H1746" i="2"/>
  <c r="I1746" i="2" s="1"/>
  <c r="K1745" i="2"/>
  <c r="J1746" i="2" s="1"/>
  <c r="G1746" i="2"/>
  <c r="J1745" i="2"/>
  <c r="L1745" i="2" l="1"/>
  <c r="E1747" i="2"/>
  <c r="F1747" i="2" s="1"/>
  <c r="H1747" i="2"/>
  <c r="I1747" i="2" s="1"/>
  <c r="K1746" i="2"/>
  <c r="L1746" i="2" s="1"/>
  <c r="G1747" i="2"/>
  <c r="J1747" i="2" l="1"/>
  <c r="G1748" i="2"/>
  <c r="E1748" i="2"/>
  <c r="F1748" i="2" s="1"/>
  <c r="K1747" i="2"/>
  <c r="J1748" i="2" s="1"/>
  <c r="H1748" i="2"/>
  <c r="I1748" i="2" s="1"/>
  <c r="H1749" i="2" l="1"/>
  <c r="I1749" i="2" s="1"/>
  <c r="K1748" i="2"/>
  <c r="L1748" i="2" s="1"/>
  <c r="G1749" i="2"/>
  <c r="E1749" i="2"/>
  <c r="F1749" i="2" s="1"/>
  <c r="L1747" i="2"/>
  <c r="E1750" i="2" l="1"/>
  <c r="F1750" i="2" s="1"/>
  <c r="H1750" i="2"/>
  <c r="I1750" i="2" s="1"/>
  <c r="K1749" i="2"/>
  <c r="J1750" i="2" s="1"/>
  <c r="G1750" i="2"/>
  <c r="J1749" i="2"/>
  <c r="L1749" i="2" l="1"/>
  <c r="E1751" i="2"/>
  <c r="F1751" i="2" s="1"/>
  <c r="H1751" i="2"/>
  <c r="I1751" i="2" s="1"/>
  <c r="K1750" i="2"/>
  <c r="L1750" i="2" s="1"/>
  <c r="G1751" i="2"/>
  <c r="J1751" i="2" l="1"/>
  <c r="G1752" i="2"/>
  <c r="E1752" i="2"/>
  <c r="F1752" i="2" s="1"/>
  <c r="H1752" i="2"/>
  <c r="I1752" i="2" s="1"/>
  <c r="K1751" i="2"/>
  <c r="J1752" i="2" s="1"/>
  <c r="H1753" i="2" l="1"/>
  <c r="I1753" i="2" s="1"/>
  <c r="K1752" i="2"/>
  <c r="L1752" i="2" s="1"/>
  <c r="G1753" i="2"/>
  <c r="E1753" i="2"/>
  <c r="F1753" i="2" s="1"/>
  <c r="L1751" i="2"/>
  <c r="E1754" i="2" l="1"/>
  <c r="F1754" i="2" s="1"/>
  <c r="H1754" i="2"/>
  <c r="I1754" i="2" s="1"/>
  <c r="K1753" i="2"/>
  <c r="J1754" i="2" s="1"/>
  <c r="G1754" i="2"/>
  <c r="J1753" i="2"/>
  <c r="L1753" i="2" l="1"/>
  <c r="E1755" i="2"/>
  <c r="F1755" i="2" s="1"/>
  <c r="H1755" i="2"/>
  <c r="I1755" i="2" s="1"/>
  <c r="K1754" i="2"/>
  <c r="L1754" i="2" s="1"/>
  <c r="G1755" i="2"/>
  <c r="J1755" i="2" l="1"/>
  <c r="G1756" i="2"/>
  <c r="E1756" i="2"/>
  <c r="F1756" i="2" s="1"/>
  <c r="H1756" i="2"/>
  <c r="I1756" i="2" s="1"/>
  <c r="K1755" i="2"/>
  <c r="J1756" i="2" s="1"/>
  <c r="H1757" i="2" l="1"/>
  <c r="I1757" i="2" s="1"/>
  <c r="K1756" i="2"/>
  <c r="L1756" i="2" s="1"/>
  <c r="G1757" i="2"/>
  <c r="E1757" i="2"/>
  <c r="F1757" i="2" s="1"/>
  <c r="L1755" i="2"/>
  <c r="E1758" i="2" l="1"/>
  <c r="F1758" i="2" s="1"/>
  <c r="H1758" i="2"/>
  <c r="I1758" i="2" s="1"/>
  <c r="K1757" i="2"/>
  <c r="J1758" i="2" s="1"/>
  <c r="G1758" i="2"/>
  <c r="J1757" i="2"/>
  <c r="L1757" i="2" l="1"/>
  <c r="E1759" i="2"/>
  <c r="F1759" i="2" s="1"/>
  <c r="H1759" i="2"/>
  <c r="I1759" i="2" s="1"/>
  <c r="K1758" i="2"/>
  <c r="J1759" i="2" s="1"/>
  <c r="G1759" i="2"/>
  <c r="G1760" i="2" l="1"/>
  <c r="E1760" i="2"/>
  <c r="F1760" i="2" s="1"/>
  <c r="K1759" i="2"/>
  <c r="L1759" i="2" s="1"/>
  <c r="H1760" i="2"/>
  <c r="I1760" i="2" s="1"/>
  <c r="L1758" i="2"/>
  <c r="J1760" i="2" l="1"/>
  <c r="H1761" i="2"/>
  <c r="I1761" i="2" s="1"/>
  <c r="K1760" i="2"/>
  <c r="G1761" i="2"/>
  <c r="E1761" i="2"/>
  <c r="F1761" i="2" s="1"/>
  <c r="L1760" i="2" l="1"/>
  <c r="E1762" i="2"/>
  <c r="F1762" i="2" s="1"/>
  <c r="H1762" i="2"/>
  <c r="I1762" i="2" s="1"/>
  <c r="K1761" i="2"/>
  <c r="J1762" i="2" s="1"/>
  <c r="G1762" i="2"/>
  <c r="J1761" i="2"/>
  <c r="L1761" i="2" l="1"/>
  <c r="E1763" i="2"/>
  <c r="F1763" i="2" s="1"/>
  <c r="H1763" i="2"/>
  <c r="I1763" i="2" s="1"/>
  <c r="K1762" i="2"/>
  <c r="J1763" i="2" s="1"/>
  <c r="G1763" i="2"/>
  <c r="G1764" i="2" l="1"/>
  <c r="E1764" i="2"/>
  <c r="F1764" i="2" s="1"/>
  <c r="K1763" i="2"/>
  <c r="L1763" i="2" s="1"/>
  <c r="H1764" i="2"/>
  <c r="I1764" i="2" s="1"/>
  <c r="L1762" i="2"/>
  <c r="J1764" i="2" l="1"/>
  <c r="H1765" i="2"/>
  <c r="I1765" i="2" s="1"/>
  <c r="K1764" i="2"/>
  <c r="G1765" i="2"/>
  <c r="E1765" i="2"/>
  <c r="F1765" i="2" s="1"/>
  <c r="L1764" i="2" l="1"/>
  <c r="E1766" i="2"/>
  <c r="F1766" i="2" s="1"/>
  <c r="H1766" i="2"/>
  <c r="I1766" i="2" s="1"/>
  <c r="K1765" i="2"/>
  <c r="J1766" i="2" s="1"/>
  <c r="G1766" i="2"/>
  <c r="J1765" i="2"/>
  <c r="L1765" i="2" l="1"/>
  <c r="E1767" i="2"/>
  <c r="F1767" i="2" s="1"/>
  <c r="H1767" i="2"/>
  <c r="I1767" i="2" s="1"/>
  <c r="K1766" i="2"/>
  <c r="L1766" i="2" s="1"/>
  <c r="G1767" i="2"/>
  <c r="J1767" i="2" l="1"/>
  <c r="G1768" i="2"/>
  <c r="E1768" i="2"/>
  <c r="F1768" i="2" s="1"/>
  <c r="H1768" i="2"/>
  <c r="I1768" i="2" s="1"/>
  <c r="K1767" i="2"/>
  <c r="J1768" i="2" s="1"/>
  <c r="H1769" i="2" l="1"/>
  <c r="I1769" i="2" s="1"/>
  <c r="K1768" i="2"/>
  <c r="L1768" i="2" s="1"/>
  <c r="G1769" i="2"/>
  <c r="E1769" i="2"/>
  <c r="F1769" i="2" s="1"/>
  <c r="L1767" i="2"/>
  <c r="E1770" i="2" l="1"/>
  <c r="F1770" i="2" s="1"/>
  <c r="H1770" i="2"/>
  <c r="I1770" i="2" s="1"/>
  <c r="K1769" i="2"/>
  <c r="J1770" i="2" s="1"/>
  <c r="G1770" i="2"/>
  <c r="J1769" i="2"/>
  <c r="L1769" i="2" l="1"/>
  <c r="E1771" i="2"/>
  <c r="F1771" i="2" s="1"/>
  <c r="H1771" i="2"/>
  <c r="I1771" i="2" s="1"/>
  <c r="K1770" i="2"/>
  <c r="L1770" i="2" s="1"/>
  <c r="G1771" i="2"/>
  <c r="J1771" i="2" l="1"/>
  <c r="G1772" i="2"/>
  <c r="E1772" i="2"/>
  <c r="F1772" i="2" s="1"/>
  <c r="H1772" i="2"/>
  <c r="I1772" i="2" s="1"/>
  <c r="K1771" i="2"/>
  <c r="J1772" i="2" s="1"/>
  <c r="L1771" i="2" l="1"/>
  <c r="H1773" i="2"/>
  <c r="I1773" i="2" s="1"/>
  <c r="K1772" i="2"/>
  <c r="L1772" i="2" s="1"/>
  <c r="G1773" i="2"/>
  <c r="E1773" i="2"/>
  <c r="F1773" i="2" s="1"/>
  <c r="J1773" i="2" l="1"/>
  <c r="E1774" i="2"/>
  <c r="F1774" i="2" s="1"/>
  <c r="H1774" i="2"/>
  <c r="I1774" i="2" s="1"/>
  <c r="K1773" i="2"/>
  <c r="G1774" i="2"/>
  <c r="L1773" i="2" l="1"/>
  <c r="E1775" i="2"/>
  <c r="F1775" i="2" s="1"/>
  <c r="H1775" i="2"/>
  <c r="I1775" i="2" s="1"/>
  <c r="K1774" i="2"/>
  <c r="J1775" i="2" s="1"/>
  <c r="G1775" i="2"/>
  <c r="J1774" i="2"/>
  <c r="L1774" i="2" l="1"/>
  <c r="G1776" i="2"/>
  <c r="E1776" i="2"/>
  <c r="F1776" i="2" s="1"/>
  <c r="K1775" i="2"/>
  <c r="L1775" i="2" s="1"/>
  <c r="H1776" i="2"/>
  <c r="I1776" i="2" s="1"/>
  <c r="J1776" i="2" l="1"/>
  <c r="H1777" i="2"/>
  <c r="I1777" i="2" s="1"/>
  <c r="K1776" i="2"/>
  <c r="G1777" i="2"/>
  <c r="E1777" i="2"/>
  <c r="F1777" i="2" s="1"/>
  <c r="L1776" i="2" l="1"/>
  <c r="J1777" i="2"/>
  <c r="E1778" i="2"/>
  <c r="F1778" i="2" s="1"/>
  <c r="H1778" i="2"/>
  <c r="I1778" i="2" s="1"/>
  <c r="K1777" i="2"/>
  <c r="J1778" i="2" s="1"/>
  <c r="G1778" i="2"/>
  <c r="L1777" i="2" l="1"/>
  <c r="E1779" i="2"/>
  <c r="F1779" i="2" s="1"/>
  <c r="H1779" i="2"/>
  <c r="I1779" i="2" s="1"/>
  <c r="K1778" i="2"/>
  <c r="L1778" i="2" s="1"/>
  <c r="G1779" i="2"/>
  <c r="J1779" i="2" l="1"/>
  <c r="G1780" i="2"/>
  <c r="E1780" i="2"/>
  <c r="F1780" i="2" s="1"/>
  <c r="K1779" i="2"/>
  <c r="J1780" i="2" s="1"/>
  <c r="H1780" i="2"/>
  <c r="I1780" i="2" s="1"/>
  <c r="H1781" i="2" l="1"/>
  <c r="I1781" i="2" s="1"/>
  <c r="K1780" i="2"/>
  <c r="L1780" i="2" s="1"/>
  <c r="G1781" i="2"/>
  <c r="E1781" i="2"/>
  <c r="F1781" i="2" s="1"/>
  <c r="L1779" i="2"/>
  <c r="E1782" i="2" l="1"/>
  <c r="F1782" i="2" s="1"/>
  <c r="H1782" i="2"/>
  <c r="I1782" i="2" s="1"/>
  <c r="K1781" i="2"/>
  <c r="J1782" i="2" s="1"/>
  <c r="G1782" i="2"/>
  <c r="J1781" i="2"/>
  <c r="L1781" i="2" l="1"/>
  <c r="E1783" i="2"/>
  <c r="F1783" i="2" s="1"/>
  <c r="H1783" i="2"/>
  <c r="I1783" i="2" s="1"/>
  <c r="K1782" i="2"/>
  <c r="L1782" i="2" s="1"/>
  <c r="G1783" i="2"/>
  <c r="J1783" i="2" l="1"/>
  <c r="G1784" i="2"/>
  <c r="E1784" i="2"/>
  <c r="F1784" i="2" s="1"/>
  <c r="H1784" i="2"/>
  <c r="I1784" i="2" s="1"/>
  <c r="K1783" i="2"/>
  <c r="L1783" i="2" l="1"/>
  <c r="J1784" i="2"/>
  <c r="H1785" i="2"/>
  <c r="I1785" i="2" s="1"/>
  <c r="K1784" i="2"/>
  <c r="L1784" i="2" s="1"/>
  <c r="G1785" i="2"/>
  <c r="E1785" i="2"/>
  <c r="F1785" i="2" s="1"/>
  <c r="E1786" i="2" l="1"/>
  <c r="F1786" i="2" s="1"/>
  <c r="H1786" i="2"/>
  <c r="I1786" i="2" s="1"/>
  <c r="K1785" i="2"/>
  <c r="J1786" i="2" s="1"/>
  <c r="G1786" i="2"/>
  <c r="J1785" i="2"/>
  <c r="L1785" i="2" l="1"/>
  <c r="E1787" i="2"/>
  <c r="F1787" i="2" s="1"/>
  <c r="H1787" i="2"/>
  <c r="I1787" i="2" s="1"/>
  <c r="K1786" i="2"/>
  <c r="J1787" i="2" s="1"/>
  <c r="G1787" i="2"/>
  <c r="G1788" i="2" l="1"/>
  <c r="E1788" i="2"/>
  <c r="F1788" i="2" s="1"/>
  <c r="H1788" i="2"/>
  <c r="I1788" i="2" s="1"/>
  <c r="K1787" i="2"/>
  <c r="L1787" i="2" s="1"/>
  <c r="L1786" i="2"/>
  <c r="J1788" i="2" l="1"/>
  <c r="H1789" i="2"/>
  <c r="I1789" i="2" s="1"/>
  <c r="K1788" i="2"/>
  <c r="G1789" i="2"/>
  <c r="E1789" i="2"/>
  <c r="F1789" i="2" s="1"/>
  <c r="L1788" i="2" l="1"/>
  <c r="J1789" i="2"/>
  <c r="E1790" i="2"/>
  <c r="F1790" i="2" s="1"/>
  <c r="H1790" i="2"/>
  <c r="I1790" i="2" s="1"/>
  <c r="K1789" i="2"/>
  <c r="G1790" i="2"/>
  <c r="L1789" i="2" l="1"/>
  <c r="J1790" i="2"/>
  <c r="E1791" i="2"/>
  <c r="F1791" i="2" s="1"/>
  <c r="H1791" i="2"/>
  <c r="I1791" i="2" s="1"/>
  <c r="K1790" i="2"/>
  <c r="J1791" i="2" s="1"/>
  <c r="G1791" i="2"/>
  <c r="G1792" i="2" l="1"/>
  <c r="E1792" i="2"/>
  <c r="F1792" i="2" s="1"/>
  <c r="K1791" i="2"/>
  <c r="L1791" i="2" s="1"/>
  <c r="H1792" i="2"/>
  <c r="I1792" i="2" s="1"/>
  <c r="L1790" i="2"/>
  <c r="J1792" i="2" l="1"/>
  <c r="E1793" i="2"/>
  <c r="F1793" i="2" s="1"/>
  <c r="K1792" i="2"/>
  <c r="H1793" i="2"/>
  <c r="I1793" i="2" s="1"/>
  <c r="G1793" i="2"/>
  <c r="L1792" i="2" l="1"/>
  <c r="J1793" i="2"/>
  <c r="E1794" i="2"/>
  <c r="F1794" i="2" s="1"/>
  <c r="K1793" i="2"/>
  <c r="H1794" i="2"/>
  <c r="I1794" i="2" s="1"/>
  <c r="G1794" i="2"/>
  <c r="L1793" i="2" l="1"/>
  <c r="J1794" i="2"/>
  <c r="G1795" i="2"/>
  <c r="E1795" i="2"/>
  <c r="F1795" i="2" s="1"/>
  <c r="K1794" i="2"/>
  <c r="J1795" i="2" s="1"/>
  <c r="H1795" i="2"/>
  <c r="I1795" i="2" s="1"/>
  <c r="H1796" i="2" l="1"/>
  <c r="I1796" i="2" s="1"/>
  <c r="K1795" i="2"/>
  <c r="L1795" i="2" s="1"/>
  <c r="E1796" i="2"/>
  <c r="F1796" i="2" s="1"/>
  <c r="G1796" i="2"/>
  <c r="L1794" i="2"/>
  <c r="J1796" i="2" l="1"/>
  <c r="E1797" i="2"/>
  <c r="F1797" i="2" s="1"/>
  <c r="H1797" i="2"/>
  <c r="I1797" i="2" s="1"/>
  <c r="G1797" i="2"/>
  <c r="K1796" i="2"/>
  <c r="J1797" i="2" s="1"/>
  <c r="H1798" i="2" l="1"/>
  <c r="I1798" i="2" s="1"/>
  <c r="G1798" i="2"/>
  <c r="E1798" i="2"/>
  <c r="F1798" i="2" s="1"/>
  <c r="K1797" i="2"/>
  <c r="L1797" i="2" s="1"/>
  <c r="L1796" i="2"/>
  <c r="J1798" i="2" l="1"/>
  <c r="G1799" i="2"/>
  <c r="H1799" i="2"/>
  <c r="I1799" i="2" s="1"/>
  <c r="E1799" i="2"/>
  <c r="F1799" i="2" s="1"/>
  <c r="K1798" i="2"/>
  <c r="L1798" i="2" l="1"/>
  <c r="J1799" i="2"/>
  <c r="H1800" i="2"/>
  <c r="I1800" i="2" s="1"/>
  <c r="K1799" i="2"/>
  <c r="J1800" i="2" s="1"/>
  <c r="G1800" i="2"/>
  <c r="E1800" i="2"/>
  <c r="F1800" i="2" s="1"/>
  <c r="L1799" i="2" l="1"/>
  <c r="E1801" i="2"/>
  <c r="F1801" i="2" s="1"/>
  <c r="H1801" i="2"/>
  <c r="I1801" i="2" s="1"/>
  <c r="G1801" i="2"/>
  <c r="K1800" i="2"/>
  <c r="L1800" i="2" s="1"/>
  <c r="J1801" i="2" l="1"/>
  <c r="H1802" i="2"/>
  <c r="I1802" i="2" s="1"/>
  <c r="G1802" i="2"/>
  <c r="E1802" i="2"/>
  <c r="F1802" i="2" s="1"/>
  <c r="K1801" i="2"/>
  <c r="J1802" i="2" s="1"/>
  <c r="L1801" i="2" l="1"/>
  <c r="G1803" i="2"/>
  <c r="H1803" i="2"/>
  <c r="I1803" i="2" s="1"/>
  <c r="E1803" i="2"/>
  <c r="F1803" i="2" s="1"/>
  <c r="K1802" i="2"/>
  <c r="L1802" i="2" s="1"/>
  <c r="J1803" i="2" l="1"/>
  <c r="H1804" i="2"/>
  <c r="I1804" i="2" s="1"/>
  <c r="K1803" i="2"/>
  <c r="J1804" i="2" s="1"/>
  <c r="G1804" i="2"/>
  <c r="E1804" i="2"/>
  <c r="F1804" i="2" s="1"/>
  <c r="L1803" i="2" l="1"/>
  <c r="E1805" i="2"/>
  <c r="F1805" i="2" s="1"/>
  <c r="G1805" i="2"/>
  <c r="K1804" i="2"/>
  <c r="L1804" i="2" s="1"/>
  <c r="H1805" i="2"/>
  <c r="I1805" i="2" s="1"/>
  <c r="G1806" i="2" l="1"/>
  <c r="E1806" i="2"/>
  <c r="F1806" i="2" s="1"/>
  <c r="K1805" i="2"/>
  <c r="J1806" i="2" s="1"/>
  <c r="H1806" i="2"/>
  <c r="I1806" i="2" s="1"/>
  <c r="J1805" i="2"/>
  <c r="L1805" i="2" l="1"/>
  <c r="G1807" i="2"/>
  <c r="E1807" i="2"/>
  <c r="F1807" i="2" s="1"/>
  <c r="K1806" i="2"/>
  <c r="L1806" i="2" s="1"/>
  <c r="H1807" i="2"/>
  <c r="I1807" i="2" s="1"/>
  <c r="J1807" i="2" l="1"/>
  <c r="H1808" i="2"/>
  <c r="I1808" i="2" s="1"/>
  <c r="K1807" i="2"/>
  <c r="J1808" i="2" s="1"/>
  <c r="E1808" i="2"/>
  <c r="F1808" i="2" s="1"/>
  <c r="G1808" i="2"/>
  <c r="E1809" i="2" l="1"/>
  <c r="F1809" i="2" s="1"/>
  <c r="K1808" i="2"/>
  <c r="L1808" i="2" s="1"/>
  <c r="H1809" i="2"/>
  <c r="I1809" i="2" s="1"/>
  <c r="G1809" i="2"/>
  <c r="L1807" i="2"/>
  <c r="J1809" i="2" l="1"/>
  <c r="E1810" i="2"/>
  <c r="F1810" i="2" s="1"/>
  <c r="K1809" i="2"/>
  <c r="H1810" i="2"/>
  <c r="I1810" i="2" s="1"/>
  <c r="G1810" i="2"/>
  <c r="L1809" i="2" l="1"/>
  <c r="J1810" i="2"/>
  <c r="G1811" i="2"/>
  <c r="E1811" i="2"/>
  <c r="F1811" i="2" s="1"/>
  <c r="K1810" i="2"/>
  <c r="H1811" i="2"/>
  <c r="I1811" i="2" s="1"/>
  <c r="L1810" i="2" l="1"/>
  <c r="J1811" i="2"/>
  <c r="H1812" i="2"/>
  <c r="I1812" i="2" s="1"/>
  <c r="K1811" i="2"/>
  <c r="E1812" i="2"/>
  <c r="F1812" i="2" s="1"/>
  <c r="G1812" i="2"/>
  <c r="L1811" i="2" l="1"/>
  <c r="J1812" i="2"/>
  <c r="E1813" i="2"/>
  <c r="F1813" i="2" s="1"/>
  <c r="H1813" i="2"/>
  <c r="I1813" i="2" s="1"/>
  <c r="G1813" i="2"/>
  <c r="K1812" i="2"/>
  <c r="L1812" i="2" l="1"/>
  <c r="J1813" i="2"/>
  <c r="H1814" i="2"/>
  <c r="I1814" i="2" s="1"/>
  <c r="G1814" i="2"/>
  <c r="E1814" i="2"/>
  <c r="F1814" i="2" s="1"/>
  <c r="K1813" i="2"/>
  <c r="J1814" i="2" s="1"/>
  <c r="L1813" i="2" l="1"/>
  <c r="G1815" i="2"/>
  <c r="H1815" i="2"/>
  <c r="I1815" i="2" s="1"/>
  <c r="K1814" i="2"/>
  <c r="L1814" i="2" s="1"/>
  <c r="E1815" i="2"/>
  <c r="F1815" i="2" s="1"/>
  <c r="J1815" i="2" l="1"/>
  <c r="H1816" i="2"/>
  <c r="I1816" i="2" s="1"/>
  <c r="K1815" i="2"/>
  <c r="G1816" i="2"/>
  <c r="E1816" i="2"/>
  <c r="F1816" i="2" s="1"/>
  <c r="L1815" i="2" l="1"/>
  <c r="E1817" i="2"/>
  <c r="F1817" i="2" s="1"/>
  <c r="H1817" i="2"/>
  <c r="I1817" i="2" s="1"/>
  <c r="G1817" i="2"/>
  <c r="K1816" i="2"/>
  <c r="J1817" i="2" s="1"/>
  <c r="J1816" i="2"/>
  <c r="L1816" i="2" l="1"/>
  <c r="H1818" i="2"/>
  <c r="I1818" i="2" s="1"/>
  <c r="G1818" i="2"/>
  <c r="E1818" i="2"/>
  <c r="F1818" i="2" s="1"/>
  <c r="K1817" i="2"/>
  <c r="L1817" i="2" s="1"/>
  <c r="J1818" i="2" l="1"/>
  <c r="G1819" i="2"/>
  <c r="H1819" i="2"/>
  <c r="I1819" i="2" s="1"/>
  <c r="E1819" i="2"/>
  <c r="F1819" i="2" s="1"/>
  <c r="K1818" i="2"/>
  <c r="J1819" i="2" s="1"/>
  <c r="H1820" i="2" l="1"/>
  <c r="I1820" i="2" s="1"/>
  <c r="K1819" i="2"/>
  <c r="L1819" i="2" s="1"/>
  <c r="G1820" i="2"/>
  <c r="E1820" i="2"/>
  <c r="F1820" i="2" s="1"/>
  <c r="L1818" i="2"/>
  <c r="E1821" i="2" l="1"/>
  <c r="F1821" i="2" s="1"/>
  <c r="G1821" i="2"/>
  <c r="K1820" i="2"/>
  <c r="J1821" i="2" s="1"/>
  <c r="H1821" i="2"/>
  <c r="I1821" i="2" s="1"/>
  <c r="J1820" i="2"/>
  <c r="L1820" i="2" l="1"/>
  <c r="G1822" i="2"/>
  <c r="E1822" i="2"/>
  <c r="F1822" i="2" s="1"/>
  <c r="K1821" i="2"/>
  <c r="L1821" i="2" s="1"/>
  <c r="H1822" i="2"/>
  <c r="I1822" i="2" s="1"/>
  <c r="G1823" i="2" l="1"/>
  <c r="E1823" i="2"/>
  <c r="F1823" i="2" s="1"/>
  <c r="K1822" i="2"/>
  <c r="J1823" i="2" s="1"/>
  <c r="H1823" i="2"/>
  <c r="I1823" i="2" s="1"/>
  <c r="J1822" i="2"/>
  <c r="L1822" i="2" l="1"/>
  <c r="H1824" i="2"/>
  <c r="I1824" i="2" s="1"/>
  <c r="K1823" i="2"/>
  <c r="L1823" i="2" s="1"/>
  <c r="E1824" i="2"/>
  <c r="F1824" i="2" s="1"/>
  <c r="G1824" i="2"/>
  <c r="E1825" i="2" l="1"/>
  <c r="F1825" i="2" s="1"/>
  <c r="K1824" i="2"/>
  <c r="J1825" i="2" s="1"/>
  <c r="H1825" i="2"/>
  <c r="I1825" i="2" s="1"/>
  <c r="G1825" i="2"/>
  <c r="J1824" i="2"/>
  <c r="L1824" i="2" l="1"/>
  <c r="E1826" i="2"/>
  <c r="F1826" i="2" s="1"/>
  <c r="K1825" i="2"/>
  <c r="L1825" i="2" s="1"/>
  <c r="H1826" i="2"/>
  <c r="I1826" i="2" s="1"/>
  <c r="G1826" i="2"/>
  <c r="J1826" i="2" l="1"/>
  <c r="G1827" i="2"/>
  <c r="E1827" i="2"/>
  <c r="F1827" i="2" s="1"/>
  <c r="K1826" i="2"/>
  <c r="H1827" i="2"/>
  <c r="I1827" i="2" s="1"/>
  <c r="L1826" i="2" l="1"/>
  <c r="J1827" i="2"/>
  <c r="H1828" i="2"/>
  <c r="I1828" i="2" s="1"/>
  <c r="K1827" i="2"/>
  <c r="E1828" i="2"/>
  <c r="F1828" i="2" s="1"/>
  <c r="G1828" i="2"/>
  <c r="L1827" i="2" l="1"/>
  <c r="J1828" i="2"/>
  <c r="E1829" i="2"/>
  <c r="F1829" i="2" s="1"/>
  <c r="H1829" i="2"/>
  <c r="I1829" i="2" s="1"/>
  <c r="G1829" i="2"/>
  <c r="K1828" i="2"/>
  <c r="L1828" i="2" l="1"/>
  <c r="J1829" i="2"/>
  <c r="H1830" i="2"/>
  <c r="I1830" i="2" s="1"/>
  <c r="G1830" i="2"/>
  <c r="E1830" i="2"/>
  <c r="F1830" i="2" s="1"/>
  <c r="K1829" i="2"/>
  <c r="J1830" i="2" s="1"/>
  <c r="L1829" i="2" l="1"/>
  <c r="G1831" i="2"/>
  <c r="H1831" i="2"/>
  <c r="I1831" i="2" s="1"/>
  <c r="E1831" i="2"/>
  <c r="F1831" i="2" s="1"/>
  <c r="K1830" i="2"/>
  <c r="L1830" i="2" s="1"/>
  <c r="J1831" i="2" l="1"/>
  <c r="H1832" i="2"/>
  <c r="I1832" i="2" s="1"/>
  <c r="K1831" i="2"/>
  <c r="G1832" i="2"/>
  <c r="E1832" i="2"/>
  <c r="F1832" i="2" s="1"/>
  <c r="L1831" i="2" l="1"/>
  <c r="J1832" i="2"/>
  <c r="E1833" i="2"/>
  <c r="F1833" i="2" s="1"/>
  <c r="H1833" i="2"/>
  <c r="I1833" i="2" s="1"/>
  <c r="G1833" i="2"/>
  <c r="K1832" i="2"/>
  <c r="L1832" i="2" l="1"/>
  <c r="J1833" i="2"/>
  <c r="H1834" i="2"/>
  <c r="I1834" i="2" s="1"/>
  <c r="G1834" i="2"/>
  <c r="E1834" i="2"/>
  <c r="F1834" i="2" s="1"/>
  <c r="K1833" i="2"/>
  <c r="J1834" i="2" s="1"/>
  <c r="L1833" i="2" l="1"/>
  <c r="G1835" i="2"/>
  <c r="H1835" i="2"/>
  <c r="I1835" i="2" s="1"/>
  <c r="E1835" i="2"/>
  <c r="F1835" i="2" s="1"/>
  <c r="K1834" i="2"/>
  <c r="L1834" i="2" s="1"/>
  <c r="J1835" i="2" l="1"/>
  <c r="H1836" i="2"/>
  <c r="I1836" i="2" s="1"/>
  <c r="K1835" i="2"/>
  <c r="G1836" i="2"/>
  <c r="E1836" i="2"/>
  <c r="F1836" i="2" s="1"/>
  <c r="L1835" i="2" l="1"/>
  <c r="J1836" i="2"/>
  <c r="E1837" i="2"/>
  <c r="F1837" i="2" s="1"/>
  <c r="G1837" i="2"/>
  <c r="K1836" i="2"/>
  <c r="H1837" i="2"/>
  <c r="I1837" i="2" s="1"/>
  <c r="L1836" i="2" l="1"/>
  <c r="J1837" i="2"/>
  <c r="G1838" i="2"/>
  <c r="E1838" i="2"/>
  <c r="F1838" i="2" s="1"/>
  <c r="K1837" i="2"/>
  <c r="H1838" i="2"/>
  <c r="I1838" i="2" s="1"/>
  <c r="L1837" i="2" l="1"/>
  <c r="J1838" i="2"/>
  <c r="G1839" i="2"/>
  <c r="E1839" i="2"/>
  <c r="F1839" i="2" s="1"/>
  <c r="K1838" i="2"/>
  <c r="H1839" i="2"/>
  <c r="I1839" i="2" s="1"/>
  <c r="L1838" i="2" l="1"/>
  <c r="J1839" i="2"/>
  <c r="H1840" i="2"/>
  <c r="I1840" i="2" s="1"/>
  <c r="K1839" i="2"/>
  <c r="E1840" i="2"/>
  <c r="F1840" i="2" s="1"/>
  <c r="G1840" i="2"/>
  <c r="L1839" i="2" l="1"/>
  <c r="J1840" i="2"/>
  <c r="E1841" i="2"/>
  <c r="F1841" i="2" s="1"/>
  <c r="K1840" i="2"/>
  <c r="L1840" i="2" s="1"/>
  <c r="H1841" i="2"/>
  <c r="I1841" i="2" s="1"/>
  <c r="G1841" i="2"/>
  <c r="J1841" i="2" l="1"/>
  <c r="E1842" i="2"/>
  <c r="F1842" i="2" s="1"/>
  <c r="K1841" i="2"/>
  <c r="H1842" i="2"/>
  <c r="I1842" i="2" s="1"/>
  <c r="G1842" i="2"/>
  <c r="L1841" i="2" l="1"/>
  <c r="J1842" i="2"/>
  <c r="G1843" i="2"/>
  <c r="E1843" i="2"/>
  <c r="F1843" i="2" s="1"/>
  <c r="K1842" i="2"/>
  <c r="H1843" i="2"/>
  <c r="I1843" i="2" s="1"/>
  <c r="L1842" i="2" l="1"/>
  <c r="J1843" i="2"/>
  <c r="H1844" i="2"/>
  <c r="I1844" i="2" s="1"/>
  <c r="K1843" i="2"/>
  <c r="E1844" i="2"/>
  <c r="F1844" i="2" s="1"/>
  <c r="G1844" i="2"/>
  <c r="L1843" i="2" l="1"/>
  <c r="J1844" i="2"/>
  <c r="E1845" i="2"/>
  <c r="F1845" i="2" s="1"/>
  <c r="H1845" i="2"/>
  <c r="I1845" i="2" s="1"/>
  <c r="G1845" i="2"/>
  <c r="K1844" i="2"/>
  <c r="J1845" i="2" s="1"/>
  <c r="H1846" i="2" l="1"/>
  <c r="I1846" i="2" s="1"/>
  <c r="G1846" i="2"/>
  <c r="K1845" i="2"/>
  <c r="J1846" i="2" s="1"/>
  <c r="E1846" i="2"/>
  <c r="F1846" i="2" s="1"/>
  <c r="L1844" i="2"/>
  <c r="L1845" i="2" l="1"/>
  <c r="G1847" i="2"/>
  <c r="H1847" i="2"/>
  <c r="I1847" i="2" s="1"/>
  <c r="E1847" i="2"/>
  <c r="F1847" i="2" s="1"/>
  <c r="K1846" i="2"/>
  <c r="L1846" i="2" s="1"/>
  <c r="H1848" i="2" l="1"/>
  <c r="I1848" i="2" s="1"/>
  <c r="K1847" i="2"/>
  <c r="J1848" i="2" s="1"/>
  <c r="G1848" i="2"/>
  <c r="E1848" i="2"/>
  <c r="F1848" i="2" s="1"/>
  <c r="J1847" i="2"/>
  <c r="L1847" i="2" l="1"/>
  <c r="E1849" i="2"/>
  <c r="F1849" i="2" s="1"/>
  <c r="H1849" i="2"/>
  <c r="I1849" i="2" s="1"/>
  <c r="G1849" i="2"/>
  <c r="K1848" i="2"/>
  <c r="L1848" i="2" s="1"/>
  <c r="J1849" i="2" l="1"/>
  <c r="H1850" i="2"/>
  <c r="I1850" i="2" s="1"/>
  <c r="G1850" i="2"/>
  <c r="E1850" i="2"/>
  <c r="F1850" i="2" s="1"/>
  <c r="K1849" i="2"/>
  <c r="J1850" i="2" s="1"/>
  <c r="L1849" i="2" l="1"/>
  <c r="G1851" i="2"/>
  <c r="H1851" i="2"/>
  <c r="I1851" i="2" s="1"/>
  <c r="E1851" i="2"/>
  <c r="F1851" i="2" s="1"/>
  <c r="K1850" i="2"/>
  <c r="L1850" i="2" s="1"/>
  <c r="J1851" i="2" l="1"/>
  <c r="H1852" i="2"/>
  <c r="I1852" i="2" s="1"/>
  <c r="K1851" i="2"/>
  <c r="J1852" i="2" s="1"/>
  <c r="G1852" i="2"/>
  <c r="E1852" i="2"/>
  <c r="F1852" i="2" s="1"/>
  <c r="E1853" i="2" l="1"/>
  <c r="F1853" i="2" s="1"/>
  <c r="G1853" i="2"/>
  <c r="K1852" i="2"/>
  <c r="L1852" i="2" s="1"/>
  <c r="H1853" i="2"/>
  <c r="I1853" i="2" s="1"/>
  <c r="L1851" i="2"/>
  <c r="G1854" i="2" l="1"/>
  <c r="E1854" i="2"/>
  <c r="F1854" i="2" s="1"/>
  <c r="K1853" i="2"/>
  <c r="J1854" i="2" s="1"/>
  <c r="H1854" i="2"/>
  <c r="I1854" i="2" s="1"/>
  <c r="J1853" i="2"/>
  <c r="L1853" i="2" l="1"/>
  <c r="G1855" i="2"/>
  <c r="E1855" i="2"/>
  <c r="F1855" i="2" s="1"/>
  <c r="K1854" i="2"/>
  <c r="J1855" i="2" s="1"/>
  <c r="H1855" i="2"/>
  <c r="I1855" i="2" s="1"/>
  <c r="L1854" i="2" l="1"/>
  <c r="H1856" i="2"/>
  <c r="I1856" i="2" s="1"/>
  <c r="K1855" i="2"/>
  <c r="L1855" i="2" s="1"/>
  <c r="E1856" i="2"/>
  <c r="F1856" i="2" s="1"/>
  <c r="G1856" i="2"/>
  <c r="J1856" i="2" l="1"/>
  <c r="E1857" i="2"/>
  <c r="F1857" i="2" s="1"/>
  <c r="K1856" i="2"/>
  <c r="H1857" i="2"/>
  <c r="I1857" i="2" s="1"/>
  <c r="G1857" i="2"/>
  <c r="L1856" i="2" l="1"/>
  <c r="J1857" i="2"/>
  <c r="E1858" i="2"/>
  <c r="F1858" i="2" s="1"/>
  <c r="K1857" i="2"/>
  <c r="H1858" i="2"/>
  <c r="I1858" i="2" s="1"/>
  <c r="G1858" i="2"/>
  <c r="L1857" i="2" l="1"/>
  <c r="J1858" i="2"/>
  <c r="G1859" i="2"/>
  <c r="E1859" i="2"/>
  <c r="F1859" i="2" s="1"/>
  <c r="K1858" i="2"/>
  <c r="J1859" i="2" s="1"/>
  <c r="H1859" i="2"/>
  <c r="I1859" i="2" s="1"/>
  <c r="H1860" i="2" l="1"/>
  <c r="I1860" i="2" s="1"/>
  <c r="K1859" i="2"/>
  <c r="L1859" i="2" s="1"/>
  <c r="E1860" i="2"/>
  <c r="F1860" i="2" s="1"/>
  <c r="G1860" i="2"/>
  <c r="L1858" i="2"/>
  <c r="J1860" i="2" l="1"/>
  <c r="E1861" i="2"/>
  <c r="F1861" i="2" s="1"/>
  <c r="H1861" i="2"/>
  <c r="I1861" i="2" s="1"/>
  <c r="G1861" i="2"/>
  <c r="K1860" i="2"/>
  <c r="L1860" i="2" l="1"/>
  <c r="H1862" i="2"/>
  <c r="I1862" i="2" s="1"/>
  <c r="G1862" i="2"/>
  <c r="E1862" i="2"/>
  <c r="F1862" i="2" s="1"/>
  <c r="K1861" i="2"/>
  <c r="J1862" i="2" s="1"/>
  <c r="J1861" i="2"/>
  <c r="L1861" i="2" l="1"/>
  <c r="G1863" i="2"/>
  <c r="H1863" i="2"/>
  <c r="I1863" i="2" s="1"/>
  <c r="E1863" i="2"/>
  <c r="F1863" i="2" s="1"/>
  <c r="K1862" i="2"/>
  <c r="L1862" i="2" s="1"/>
  <c r="J1863" i="2" l="1"/>
  <c r="H1864" i="2"/>
  <c r="I1864" i="2" s="1"/>
  <c r="K1863" i="2"/>
  <c r="G1864" i="2"/>
  <c r="E1864" i="2"/>
  <c r="F1864" i="2" s="1"/>
  <c r="L1863" i="2" l="1"/>
  <c r="J1864" i="2"/>
  <c r="E1865" i="2"/>
  <c r="F1865" i="2" s="1"/>
  <c r="H1865" i="2"/>
  <c r="I1865" i="2" s="1"/>
  <c r="G1865" i="2"/>
  <c r="K1864" i="2"/>
  <c r="L1864" i="2" l="1"/>
  <c r="J1865" i="2"/>
  <c r="H1866" i="2"/>
  <c r="I1866" i="2" s="1"/>
  <c r="G1866" i="2"/>
  <c r="E1866" i="2"/>
  <c r="F1866" i="2" s="1"/>
  <c r="K1865" i="2"/>
  <c r="J1866" i="2" s="1"/>
  <c r="L1865" i="2" l="1"/>
  <c r="G1867" i="2"/>
  <c r="H1867" i="2"/>
  <c r="I1867" i="2" s="1"/>
  <c r="E1867" i="2"/>
  <c r="F1867" i="2" s="1"/>
  <c r="K1866" i="2"/>
  <c r="L1866" i="2" s="1"/>
  <c r="J1867" i="2" l="1"/>
  <c r="H1868" i="2"/>
  <c r="I1868" i="2" s="1"/>
  <c r="K1867" i="2"/>
  <c r="G1868" i="2"/>
  <c r="E1868" i="2"/>
  <c r="F1868" i="2" s="1"/>
  <c r="L1867" i="2" l="1"/>
  <c r="J1868" i="2"/>
  <c r="E1869" i="2"/>
  <c r="F1869" i="2" s="1"/>
  <c r="G1869" i="2"/>
  <c r="K1868" i="2"/>
  <c r="H1869" i="2"/>
  <c r="I1869" i="2" s="1"/>
  <c r="L1868" i="2" l="1"/>
  <c r="J1869" i="2"/>
  <c r="G1870" i="2"/>
  <c r="E1870" i="2"/>
  <c r="F1870" i="2" s="1"/>
  <c r="K1869" i="2"/>
  <c r="H1870" i="2"/>
  <c r="I1870" i="2" s="1"/>
  <c r="L1869" i="2" l="1"/>
  <c r="J1870" i="2"/>
  <c r="G1871" i="2"/>
  <c r="E1871" i="2"/>
  <c r="F1871" i="2" s="1"/>
  <c r="K1870" i="2"/>
  <c r="H1871" i="2"/>
  <c r="I1871" i="2" s="1"/>
  <c r="L1870" i="2" l="1"/>
  <c r="J1871" i="2"/>
  <c r="H1872" i="2"/>
  <c r="I1872" i="2" s="1"/>
  <c r="K1871" i="2"/>
  <c r="E1872" i="2"/>
  <c r="F1872" i="2" s="1"/>
  <c r="G1872" i="2"/>
  <c r="L1871" i="2" l="1"/>
  <c r="J1872" i="2"/>
  <c r="E1873" i="2"/>
  <c r="F1873" i="2" s="1"/>
  <c r="K1872" i="2"/>
  <c r="H1873" i="2"/>
  <c r="I1873" i="2" s="1"/>
  <c r="G1873" i="2"/>
  <c r="L1872" i="2" l="1"/>
  <c r="J1873" i="2"/>
  <c r="E1874" i="2"/>
  <c r="F1874" i="2" s="1"/>
  <c r="K1873" i="2"/>
  <c r="H1874" i="2"/>
  <c r="I1874" i="2" s="1"/>
  <c r="G1874" i="2"/>
  <c r="L1873" i="2" l="1"/>
  <c r="J1874" i="2"/>
  <c r="G1875" i="2"/>
  <c r="E1875" i="2"/>
  <c r="F1875" i="2" s="1"/>
  <c r="K1874" i="2"/>
  <c r="J1875" i="2" s="1"/>
  <c r="H1875" i="2"/>
  <c r="I1875" i="2" s="1"/>
  <c r="H1876" i="2" l="1"/>
  <c r="I1876" i="2" s="1"/>
  <c r="K1875" i="2"/>
  <c r="L1875" i="2" s="1"/>
  <c r="E1876" i="2"/>
  <c r="F1876" i="2" s="1"/>
  <c r="G1876" i="2"/>
  <c r="L1874" i="2"/>
  <c r="J1876" i="2" l="1"/>
  <c r="E1877" i="2"/>
  <c r="F1877" i="2" s="1"/>
  <c r="H1877" i="2"/>
  <c r="I1877" i="2" s="1"/>
  <c r="G1877" i="2"/>
  <c r="K1876" i="2"/>
  <c r="J1877" i="2" s="1"/>
  <c r="H1878" i="2" l="1"/>
  <c r="I1878" i="2" s="1"/>
  <c r="G1878" i="2"/>
  <c r="E1878" i="2"/>
  <c r="F1878" i="2" s="1"/>
  <c r="K1877" i="2"/>
  <c r="L1877" i="2" s="1"/>
  <c r="L1876" i="2"/>
  <c r="G1879" i="2" l="1"/>
  <c r="H1879" i="2"/>
  <c r="I1879" i="2" s="1"/>
  <c r="K1878" i="2"/>
  <c r="J1879" i="2" s="1"/>
  <c r="E1879" i="2"/>
  <c r="F1879" i="2" s="1"/>
  <c r="J1878" i="2"/>
  <c r="L1878" i="2" l="1"/>
  <c r="H1880" i="2"/>
  <c r="I1880" i="2" s="1"/>
  <c r="K1879" i="2"/>
  <c r="L1879" i="2" s="1"/>
  <c r="G1880" i="2"/>
  <c r="E1880" i="2"/>
  <c r="F1880" i="2" s="1"/>
  <c r="E1881" i="2" l="1"/>
  <c r="F1881" i="2" s="1"/>
  <c r="H1881" i="2"/>
  <c r="I1881" i="2" s="1"/>
  <c r="G1881" i="2"/>
  <c r="K1880" i="2"/>
  <c r="J1881" i="2" s="1"/>
  <c r="J1880" i="2"/>
  <c r="L1880" i="2" l="1"/>
  <c r="H1882" i="2"/>
  <c r="I1882" i="2" s="1"/>
  <c r="G1882" i="2"/>
  <c r="E1882" i="2"/>
  <c r="F1882" i="2" s="1"/>
  <c r="K1881" i="2"/>
  <c r="L1881" i="2" s="1"/>
  <c r="G1883" i="2" l="1"/>
  <c r="H1883" i="2"/>
  <c r="I1883" i="2" s="1"/>
  <c r="E1883" i="2"/>
  <c r="F1883" i="2" s="1"/>
  <c r="K1882" i="2"/>
  <c r="J1883" i="2" s="1"/>
  <c r="J1882" i="2"/>
  <c r="L1882" i="2" l="1"/>
  <c r="H1884" i="2"/>
  <c r="I1884" i="2" s="1"/>
  <c r="K1883" i="2"/>
  <c r="L1883" i="2" s="1"/>
  <c r="G1884" i="2"/>
  <c r="E1884" i="2"/>
  <c r="F1884" i="2" s="1"/>
  <c r="J1884" i="2" l="1"/>
  <c r="E1885" i="2"/>
  <c r="F1885" i="2" s="1"/>
  <c r="G1885" i="2"/>
  <c r="K1884" i="2"/>
  <c r="H1885" i="2"/>
  <c r="I1885" i="2" s="1"/>
  <c r="L1884" i="2" l="1"/>
  <c r="J1885" i="2"/>
  <c r="G1886" i="2"/>
  <c r="E1886" i="2"/>
  <c r="F1886" i="2" s="1"/>
  <c r="K1885" i="2"/>
  <c r="H1886" i="2"/>
  <c r="I1886" i="2" s="1"/>
  <c r="L1885" i="2" l="1"/>
  <c r="J1886" i="2"/>
  <c r="G1887" i="2"/>
  <c r="E1887" i="2"/>
  <c r="F1887" i="2" s="1"/>
  <c r="K1886" i="2"/>
  <c r="H1887" i="2"/>
  <c r="I1887" i="2" s="1"/>
  <c r="L1886" i="2" l="1"/>
  <c r="J1887" i="2"/>
  <c r="H1888" i="2"/>
  <c r="I1888" i="2" s="1"/>
  <c r="K1887" i="2"/>
  <c r="E1888" i="2"/>
  <c r="F1888" i="2" s="1"/>
  <c r="G1888" i="2"/>
  <c r="L1887" i="2" l="1"/>
  <c r="J1888" i="2"/>
  <c r="E1889" i="2"/>
  <c r="F1889" i="2" s="1"/>
  <c r="K1888" i="2"/>
  <c r="J1889" i="2" s="1"/>
  <c r="H1889" i="2"/>
  <c r="I1889" i="2" s="1"/>
  <c r="G1889" i="2"/>
  <c r="E1890" i="2" l="1"/>
  <c r="F1890" i="2" s="1"/>
  <c r="K1889" i="2"/>
  <c r="L1889" i="2" s="1"/>
  <c r="H1890" i="2"/>
  <c r="I1890" i="2" s="1"/>
  <c r="G1890" i="2"/>
  <c r="L1888" i="2"/>
  <c r="J1890" i="2" l="1"/>
  <c r="G1891" i="2"/>
  <c r="E1891" i="2"/>
  <c r="F1891" i="2" s="1"/>
  <c r="K1890" i="2"/>
  <c r="J1891" i="2" s="1"/>
  <c r="H1891" i="2"/>
  <c r="I1891" i="2" s="1"/>
  <c r="H1892" i="2" l="1"/>
  <c r="I1892" i="2" s="1"/>
  <c r="K1891" i="2"/>
  <c r="L1891" i="2" s="1"/>
  <c r="E1892" i="2"/>
  <c r="F1892" i="2" s="1"/>
  <c r="G1892" i="2"/>
  <c r="L1890" i="2"/>
  <c r="J1892" i="2" l="1"/>
  <c r="E1893" i="2"/>
  <c r="F1893" i="2" s="1"/>
  <c r="H1893" i="2"/>
  <c r="I1893" i="2" s="1"/>
  <c r="G1893" i="2"/>
  <c r="K1892" i="2"/>
  <c r="J1893" i="2" s="1"/>
  <c r="H1894" i="2" l="1"/>
  <c r="I1894" i="2" s="1"/>
  <c r="G1894" i="2"/>
  <c r="E1894" i="2"/>
  <c r="F1894" i="2" s="1"/>
  <c r="K1893" i="2"/>
  <c r="L1893" i="2" s="1"/>
  <c r="L1892" i="2"/>
  <c r="G1895" i="2" l="1"/>
  <c r="H1895" i="2"/>
  <c r="I1895" i="2" s="1"/>
  <c r="E1895" i="2"/>
  <c r="F1895" i="2" s="1"/>
  <c r="K1894" i="2"/>
  <c r="J1895" i="2" s="1"/>
  <c r="J1894" i="2"/>
  <c r="L1894" i="2" l="1"/>
  <c r="H1896" i="2"/>
  <c r="I1896" i="2" s="1"/>
  <c r="K1895" i="2"/>
  <c r="L1895" i="2" s="1"/>
  <c r="G1896" i="2"/>
  <c r="E1896" i="2"/>
  <c r="F1896" i="2" s="1"/>
  <c r="J1896" i="2" l="1"/>
  <c r="E1897" i="2"/>
  <c r="F1897" i="2" s="1"/>
  <c r="H1897" i="2"/>
  <c r="I1897" i="2" s="1"/>
  <c r="G1897" i="2"/>
  <c r="K1896" i="2"/>
  <c r="L1896" i="2" l="1"/>
  <c r="J1897" i="2"/>
  <c r="H1898" i="2"/>
  <c r="I1898" i="2" s="1"/>
  <c r="G1898" i="2"/>
  <c r="E1898" i="2"/>
  <c r="F1898" i="2" s="1"/>
  <c r="K1897" i="2"/>
  <c r="J1898" i="2" s="1"/>
  <c r="L1897" i="2" l="1"/>
  <c r="G1899" i="2"/>
  <c r="H1899" i="2"/>
  <c r="I1899" i="2" s="1"/>
  <c r="E1899" i="2"/>
  <c r="F1899" i="2" s="1"/>
  <c r="K1898" i="2"/>
  <c r="L1898" i="2" s="1"/>
  <c r="J1899" i="2" l="1"/>
  <c r="H1900" i="2"/>
  <c r="I1900" i="2" s="1"/>
  <c r="K1899" i="2"/>
  <c r="G1900" i="2"/>
  <c r="E1900" i="2"/>
  <c r="F1900" i="2" s="1"/>
  <c r="L1899" i="2" l="1"/>
  <c r="E1901" i="2"/>
  <c r="F1901" i="2" s="1"/>
  <c r="G1901" i="2"/>
  <c r="K1900" i="2"/>
  <c r="J1901" i="2" s="1"/>
  <c r="H1901" i="2"/>
  <c r="I1901" i="2" s="1"/>
  <c r="J1900" i="2"/>
  <c r="L1900" i="2" l="1"/>
  <c r="G1902" i="2"/>
  <c r="E1902" i="2"/>
  <c r="F1902" i="2" s="1"/>
  <c r="K1901" i="2"/>
  <c r="L1901" i="2" s="1"/>
  <c r="H1902" i="2"/>
  <c r="I1902" i="2" s="1"/>
  <c r="G1903" i="2" l="1"/>
  <c r="E1903" i="2"/>
  <c r="F1903" i="2" s="1"/>
  <c r="K1902" i="2"/>
  <c r="J1903" i="2" s="1"/>
  <c r="H1903" i="2"/>
  <c r="I1903" i="2" s="1"/>
  <c r="J1902" i="2"/>
  <c r="L1902" i="2" l="1"/>
  <c r="H1904" i="2"/>
  <c r="I1904" i="2" s="1"/>
  <c r="K1903" i="2"/>
  <c r="L1903" i="2" s="1"/>
  <c r="E1904" i="2"/>
  <c r="F1904" i="2" s="1"/>
  <c r="G1904" i="2"/>
  <c r="J1904" i="2" l="1"/>
  <c r="E1905" i="2"/>
  <c r="F1905" i="2" s="1"/>
  <c r="K1904" i="2"/>
  <c r="H1905" i="2"/>
  <c r="I1905" i="2" s="1"/>
  <c r="G1905" i="2"/>
  <c r="L1904" i="2" l="1"/>
  <c r="J1905" i="2"/>
  <c r="E1906" i="2"/>
  <c r="F1906" i="2" s="1"/>
  <c r="K1905" i="2"/>
  <c r="J1906" i="2" s="1"/>
  <c r="H1906" i="2"/>
  <c r="I1906" i="2" s="1"/>
  <c r="G1906" i="2"/>
  <c r="G1907" i="2" l="1"/>
  <c r="E1907" i="2"/>
  <c r="F1907" i="2" s="1"/>
  <c r="K1906" i="2"/>
  <c r="L1906" i="2" s="1"/>
  <c r="H1907" i="2"/>
  <c r="I1907" i="2" s="1"/>
  <c r="L1905" i="2"/>
  <c r="J1907" i="2" l="1"/>
  <c r="H1908" i="2"/>
  <c r="I1908" i="2" s="1"/>
  <c r="K1907" i="2"/>
  <c r="E1908" i="2"/>
  <c r="F1908" i="2" s="1"/>
  <c r="G1908" i="2"/>
  <c r="L1907" i="2" l="1"/>
  <c r="J1908" i="2"/>
  <c r="E1909" i="2"/>
  <c r="F1909" i="2" s="1"/>
  <c r="H1909" i="2"/>
  <c r="I1909" i="2" s="1"/>
  <c r="G1909" i="2"/>
  <c r="K1908" i="2"/>
  <c r="J1909" i="2" s="1"/>
  <c r="H1910" i="2" l="1"/>
  <c r="I1910" i="2" s="1"/>
  <c r="G1910" i="2"/>
  <c r="K1909" i="2"/>
  <c r="L1909" i="2" s="1"/>
  <c r="E1910" i="2"/>
  <c r="F1910" i="2" s="1"/>
  <c r="L1908" i="2"/>
  <c r="J1910" i="2" l="1"/>
  <c r="G1911" i="2"/>
  <c r="H1911" i="2"/>
  <c r="I1911" i="2" s="1"/>
  <c r="K1910" i="2"/>
  <c r="J1911" i="2" s="1"/>
  <c r="E1911" i="2"/>
  <c r="F1911" i="2" s="1"/>
  <c r="H1912" i="2" l="1"/>
  <c r="I1912" i="2" s="1"/>
  <c r="K1911" i="2"/>
  <c r="L1911" i="2" s="1"/>
  <c r="G1912" i="2"/>
  <c r="E1912" i="2"/>
  <c r="F1912" i="2" s="1"/>
  <c r="L1910" i="2"/>
  <c r="J1912" i="2" l="1"/>
  <c r="E1913" i="2"/>
  <c r="F1913" i="2" s="1"/>
  <c r="H1913" i="2"/>
  <c r="I1913" i="2" s="1"/>
  <c r="K1912" i="2"/>
  <c r="J1913" i="2" s="1"/>
  <c r="G1913" i="2"/>
  <c r="E1914" i="2" l="1"/>
  <c r="F1914" i="2" s="1"/>
  <c r="G1914" i="2"/>
  <c r="H1914" i="2"/>
  <c r="I1914" i="2" s="1"/>
  <c r="K1913" i="2"/>
  <c r="L1913" i="2" s="1"/>
  <c r="L1912" i="2"/>
  <c r="J1914" i="2" l="1"/>
  <c r="G1915" i="2"/>
  <c r="H1915" i="2"/>
  <c r="I1915" i="2" s="1"/>
  <c r="K1914" i="2"/>
  <c r="J1915" i="2" s="1"/>
  <c r="E1915" i="2"/>
  <c r="F1915" i="2" s="1"/>
  <c r="H1916" i="2" l="1"/>
  <c r="I1916" i="2" s="1"/>
  <c r="K1915" i="2"/>
  <c r="J1916" i="2" s="1"/>
  <c r="G1916" i="2"/>
  <c r="E1916" i="2"/>
  <c r="F1916" i="2" s="1"/>
  <c r="L1914" i="2"/>
  <c r="L1915" i="2" l="1"/>
  <c r="E1917" i="2"/>
  <c r="F1917" i="2" s="1"/>
  <c r="H1917" i="2"/>
  <c r="I1917" i="2" s="1"/>
  <c r="K1916" i="2"/>
  <c r="L1916" i="2" s="1"/>
  <c r="G1917" i="2"/>
  <c r="J1917" i="2" l="1"/>
  <c r="E1918" i="2"/>
  <c r="F1918" i="2" s="1"/>
  <c r="H1918" i="2"/>
  <c r="I1918" i="2" s="1"/>
  <c r="K1917" i="2"/>
  <c r="J1918" i="2" s="1"/>
  <c r="G1918" i="2"/>
  <c r="G1919" i="2" l="1"/>
  <c r="H1919" i="2"/>
  <c r="I1919" i="2" s="1"/>
  <c r="K1918" i="2"/>
  <c r="L1918" i="2" s="1"/>
  <c r="E1919" i="2"/>
  <c r="F1919" i="2" s="1"/>
  <c r="L1917" i="2"/>
  <c r="J1919" i="2" l="1"/>
  <c r="H1920" i="2"/>
  <c r="I1920" i="2" s="1"/>
  <c r="K1919" i="2"/>
  <c r="G1920" i="2"/>
  <c r="E1920" i="2"/>
  <c r="F1920" i="2" s="1"/>
  <c r="L1919" i="2" l="1"/>
  <c r="J1920" i="2"/>
  <c r="E1921" i="2"/>
  <c r="F1921" i="2" s="1"/>
  <c r="H1921" i="2"/>
  <c r="I1921" i="2" s="1"/>
  <c r="K1920" i="2"/>
  <c r="G1921" i="2"/>
  <c r="L1920" i="2" l="1"/>
  <c r="E1922" i="2"/>
  <c r="F1922" i="2" s="1"/>
  <c r="G1922" i="2"/>
  <c r="H1922" i="2"/>
  <c r="I1922" i="2" s="1"/>
  <c r="K1921" i="2"/>
  <c r="J1922" i="2" s="1"/>
  <c r="J1921" i="2"/>
  <c r="L1921" i="2" l="1"/>
  <c r="G1923" i="2"/>
  <c r="H1923" i="2"/>
  <c r="I1923" i="2" s="1"/>
  <c r="K1922" i="2"/>
  <c r="L1922" i="2" s="1"/>
  <c r="E1923" i="2"/>
  <c r="F1923" i="2" s="1"/>
  <c r="J1923" i="2" l="1"/>
  <c r="H1924" i="2"/>
  <c r="I1924" i="2" s="1"/>
  <c r="K1923" i="2"/>
  <c r="G1924" i="2"/>
  <c r="E1924" i="2"/>
  <c r="F1924" i="2" s="1"/>
  <c r="L1923" i="2" l="1"/>
  <c r="J1924" i="2"/>
  <c r="E1925" i="2"/>
  <c r="F1925" i="2" s="1"/>
  <c r="H1925" i="2"/>
  <c r="I1925" i="2" s="1"/>
  <c r="K1924" i="2"/>
  <c r="G1925" i="2"/>
  <c r="L1924" i="2" l="1"/>
  <c r="E1926" i="2"/>
  <c r="F1926" i="2" s="1"/>
  <c r="H1926" i="2"/>
  <c r="I1926" i="2" s="1"/>
  <c r="K1925" i="2"/>
  <c r="J1926" i="2" s="1"/>
  <c r="G1926" i="2"/>
  <c r="J1925" i="2"/>
  <c r="G1927" i="2" l="1"/>
  <c r="H1927" i="2"/>
  <c r="I1927" i="2" s="1"/>
  <c r="K1926" i="2"/>
  <c r="L1926" i="2" s="1"/>
  <c r="E1927" i="2"/>
  <c r="F1927" i="2" s="1"/>
  <c r="L1925" i="2"/>
  <c r="J1927" i="2" l="1"/>
  <c r="H1928" i="2"/>
  <c r="I1928" i="2" s="1"/>
  <c r="K1927" i="2"/>
  <c r="J1928" i="2" s="1"/>
  <c r="G1928" i="2"/>
  <c r="E1928" i="2"/>
  <c r="F1928" i="2" s="1"/>
  <c r="L1927" i="2" l="1"/>
  <c r="E1929" i="2"/>
  <c r="F1929" i="2" s="1"/>
  <c r="H1929" i="2"/>
  <c r="I1929" i="2" s="1"/>
  <c r="K1928" i="2"/>
  <c r="L1928" i="2" s="1"/>
  <c r="G1929" i="2"/>
  <c r="J1929" i="2" l="1"/>
  <c r="E1930" i="2"/>
  <c r="F1930" i="2" s="1"/>
  <c r="G1930" i="2"/>
  <c r="K1929" i="2"/>
  <c r="J1930" i="2" s="1"/>
  <c r="H1930" i="2"/>
  <c r="I1930" i="2" s="1"/>
  <c r="L1929" i="2" l="1"/>
  <c r="G1931" i="2"/>
  <c r="H1931" i="2"/>
  <c r="I1931" i="2" s="1"/>
  <c r="K1930" i="2"/>
  <c r="L1930" i="2" s="1"/>
  <c r="E1931" i="2"/>
  <c r="F1931" i="2" s="1"/>
  <c r="J1931" i="2" l="1"/>
  <c r="H1932" i="2"/>
  <c r="I1932" i="2" s="1"/>
  <c r="K1931" i="2"/>
  <c r="J1932" i="2" s="1"/>
  <c r="G1932" i="2"/>
  <c r="E1932" i="2"/>
  <c r="F1932" i="2" s="1"/>
  <c r="E1933" i="2" l="1"/>
  <c r="F1933" i="2" s="1"/>
  <c r="H1933" i="2"/>
  <c r="I1933" i="2" s="1"/>
  <c r="K1932" i="2"/>
  <c r="L1932" i="2" s="1"/>
  <c r="G1933" i="2"/>
  <c r="L1931" i="2"/>
  <c r="E1934" i="2" l="1"/>
  <c r="F1934" i="2" s="1"/>
  <c r="H1934" i="2"/>
  <c r="I1934" i="2" s="1"/>
  <c r="K1933" i="2"/>
  <c r="J1934" i="2" s="1"/>
  <c r="G1934" i="2"/>
  <c r="J1933" i="2"/>
  <c r="G1935" i="2" l="1"/>
  <c r="H1935" i="2"/>
  <c r="I1935" i="2" s="1"/>
  <c r="K1934" i="2"/>
  <c r="L1934" i="2" s="1"/>
  <c r="E1935" i="2"/>
  <c r="F1935" i="2" s="1"/>
  <c r="L1933" i="2"/>
  <c r="J1935" i="2" l="1"/>
  <c r="H1936" i="2"/>
  <c r="I1936" i="2" s="1"/>
  <c r="K1935" i="2"/>
  <c r="J1936" i="2" s="1"/>
  <c r="G1936" i="2"/>
  <c r="E1936" i="2"/>
  <c r="F1936" i="2" s="1"/>
  <c r="L1935" i="2" l="1"/>
  <c r="E1937" i="2"/>
  <c r="F1937" i="2" s="1"/>
  <c r="H1937" i="2"/>
  <c r="I1937" i="2" s="1"/>
  <c r="K1936" i="2"/>
  <c r="L1936" i="2" s="1"/>
  <c r="G1937" i="2"/>
  <c r="E1938" i="2" l="1"/>
  <c r="F1938" i="2" s="1"/>
  <c r="G1938" i="2"/>
  <c r="H1938" i="2"/>
  <c r="I1938" i="2" s="1"/>
  <c r="K1937" i="2"/>
  <c r="J1938" i="2" s="1"/>
  <c r="J1937" i="2"/>
  <c r="L1937" i="2" l="1"/>
  <c r="G1939" i="2"/>
  <c r="H1939" i="2"/>
  <c r="I1939" i="2" s="1"/>
  <c r="K1938" i="2"/>
  <c r="L1938" i="2" s="1"/>
  <c r="E1939" i="2"/>
  <c r="F1939" i="2" s="1"/>
  <c r="J1939" i="2" l="1"/>
  <c r="H1940" i="2"/>
  <c r="I1940" i="2" s="1"/>
  <c r="K1939" i="2"/>
  <c r="J1940" i="2" s="1"/>
  <c r="G1940" i="2"/>
  <c r="E1940" i="2"/>
  <c r="F1940" i="2" s="1"/>
  <c r="L1939" i="2" l="1"/>
  <c r="E1941" i="2"/>
  <c r="F1941" i="2" s="1"/>
  <c r="H1941" i="2"/>
  <c r="I1941" i="2" s="1"/>
  <c r="K1940" i="2"/>
  <c r="L1940" i="2" s="1"/>
  <c r="G1941" i="2"/>
  <c r="E1942" i="2" l="1"/>
  <c r="F1942" i="2" s="1"/>
  <c r="H1942" i="2"/>
  <c r="I1942" i="2" s="1"/>
  <c r="K1941" i="2"/>
  <c r="J1942" i="2" s="1"/>
  <c r="G1942" i="2"/>
  <c r="J1941" i="2"/>
  <c r="G1943" i="2" l="1"/>
  <c r="H1943" i="2"/>
  <c r="I1943" i="2" s="1"/>
  <c r="K1942" i="2"/>
  <c r="L1942" i="2" s="1"/>
  <c r="E1943" i="2"/>
  <c r="F1943" i="2" s="1"/>
  <c r="L1941" i="2"/>
  <c r="J1943" i="2" l="1"/>
  <c r="H1944" i="2"/>
  <c r="I1944" i="2" s="1"/>
  <c r="K1943" i="2"/>
  <c r="J1944" i="2" s="1"/>
  <c r="G1944" i="2"/>
  <c r="E1944" i="2"/>
  <c r="F1944" i="2" s="1"/>
  <c r="L1943" i="2" l="1"/>
  <c r="E1945" i="2"/>
  <c r="F1945" i="2" s="1"/>
  <c r="H1945" i="2"/>
  <c r="I1945" i="2" s="1"/>
  <c r="K1944" i="2"/>
  <c r="L1944" i="2" s="1"/>
  <c r="G1945" i="2"/>
  <c r="J1945" i="2" l="1"/>
  <c r="E1946" i="2"/>
  <c r="F1946" i="2" s="1"/>
  <c r="G1946" i="2"/>
  <c r="H1946" i="2"/>
  <c r="I1946" i="2" s="1"/>
  <c r="K1945" i="2"/>
  <c r="J1946" i="2" s="1"/>
  <c r="L1945" i="2" l="1"/>
  <c r="G1947" i="2"/>
  <c r="H1947" i="2"/>
  <c r="I1947" i="2" s="1"/>
  <c r="K1946" i="2"/>
  <c r="L1946" i="2" s="1"/>
  <c r="E1947" i="2"/>
  <c r="F1947" i="2" s="1"/>
  <c r="J1947" i="2" l="1"/>
  <c r="H1948" i="2"/>
  <c r="I1948" i="2" s="1"/>
  <c r="K1947" i="2"/>
  <c r="G1948" i="2"/>
  <c r="E1948" i="2"/>
  <c r="F1948" i="2" s="1"/>
  <c r="L1947" i="2" l="1"/>
  <c r="J1948" i="2"/>
  <c r="E1949" i="2"/>
  <c r="F1949" i="2" s="1"/>
  <c r="H1949" i="2"/>
  <c r="I1949" i="2" s="1"/>
  <c r="K1948" i="2"/>
  <c r="G1949" i="2"/>
  <c r="L1948" i="2" l="1"/>
  <c r="E1950" i="2"/>
  <c r="F1950" i="2" s="1"/>
  <c r="H1950" i="2"/>
  <c r="I1950" i="2" s="1"/>
  <c r="K1949" i="2"/>
  <c r="J1950" i="2" s="1"/>
  <c r="G1950" i="2"/>
  <c r="J1949" i="2"/>
  <c r="G1951" i="2" l="1"/>
  <c r="H1951" i="2"/>
  <c r="I1951" i="2" s="1"/>
  <c r="K1950" i="2"/>
  <c r="L1950" i="2" s="1"/>
  <c r="E1951" i="2"/>
  <c r="F1951" i="2" s="1"/>
  <c r="L1949" i="2"/>
  <c r="J1951" i="2" l="1"/>
  <c r="H1952" i="2"/>
  <c r="I1952" i="2" s="1"/>
  <c r="K1951" i="2"/>
  <c r="J1952" i="2" s="1"/>
  <c r="G1952" i="2"/>
  <c r="E1952" i="2"/>
  <c r="F1952" i="2" s="1"/>
  <c r="L1951" i="2" l="1"/>
  <c r="E1953" i="2"/>
  <c r="F1953" i="2" s="1"/>
  <c r="H1953" i="2"/>
  <c r="I1953" i="2" s="1"/>
  <c r="K1952" i="2"/>
  <c r="L1952" i="2" s="1"/>
  <c r="G1953" i="2"/>
  <c r="E1954" i="2" l="1"/>
  <c r="F1954" i="2" s="1"/>
  <c r="G1954" i="2"/>
  <c r="H1954" i="2"/>
  <c r="I1954" i="2" s="1"/>
  <c r="K1953" i="2"/>
  <c r="J1954" i="2" s="1"/>
  <c r="J1953" i="2"/>
  <c r="L1953" i="2" l="1"/>
  <c r="G1955" i="2"/>
  <c r="H1955" i="2"/>
  <c r="I1955" i="2" s="1"/>
  <c r="K1954" i="2"/>
  <c r="L1954" i="2" s="1"/>
  <c r="E1955" i="2"/>
  <c r="F1955" i="2" s="1"/>
  <c r="J1955" i="2" l="1"/>
  <c r="H1956" i="2"/>
  <c r="I1956" i="2" s="1"/>
  <c r="K1955" i="2"/>
  <c r="J1956" i="2" s="1"/>
  <c r="G1956" i="2"/>
  <c r="E1956" i="2"/>
  <c r="F1956" i="2" s="1"/>
  <c r="L1955" i="2" l="1"/>
  <c r="E1957" i="2"/>
  <c r="F1957" i="2" s="1"/>
  <c r="H1957" i="2"/>
  <c r="I1957" i="2" s="1"/>
  <c r="K1956" i="2"/>
  <c r="L1956" i="2" s="1"/>
  <c r="G1957" i="2"/>
  <c r="E1958" i="2" l="1"/>
  <c r="F1958" i="2" s="1"/>
  <c r="H1958" i="2"/>
  <c r="I1958" i="2" s="1"/>
  <c r="K1957" i="2"/>
  <c r="J1958" i="2" s="1"/>
  <c r="G1958" i="2"/>
  <c r="J1957" i="2"/>
  <c r="G1959" i="2" l="1"/>
  <c r="H1959" i="2"/>
  <c r="I1959" i="2" s="1"/>
  <c r="K1958" i="2"/>
  <c r="J1959" i="2" s="1"/>
  <c r="E1959" i="2"/>
  <c r="F1959" i="2" s="1"/>
  <c r="L1957" i="2"/>
  <c r="L1958" i="2" l="1"/>
  <c r="H1960" i="2"/>
  <c r="I1960" i="2" s="1"/>
  <c r="K1959" i="2"/>
  <c r="L1959" i="2" s="1"/>
  <c r="G1960" i="2"/>
  <c r="E1960" i="2"/>
  <c r="F1960" i="2" s="1"/>
  <c r="E1961" i="2" l="1"/>
  <c r="F1961" i="2" s="1"/>
  <c r="H1961" i="2"/>
  <c r="I1961" i="2" s="1"/>
  <c r="K1960" i="2"/>
  <c r="J1961" i="2" s="1"/>
  <c r="G1961" i="2"/>
  <c r="J1960" i="2"/>
  <c r="L1960" i="2" l="1"/>
  <c r="E1962" i="2"/>
  <c r="F1962" i="2" s="1"/>
  <c r="G1962" i="2"/>
  <c r="K1961" i="2"/>
  <c r="L1961" i="2" s="1"/>
  <c r="H1962" i="2"/>
  <c r="I1962" i="2" s="1"/>
  <c r="J1962" i="2" l="1"/>
  <c r="G1963" i="2"/>
  <c r="H1963" i="2"/>
  <c r="I1963" i="2" s="1"/>
  <c r="K1962" i="2"/>
  <c r="E1963" i="2"/>
  <c r="F1963" i="2" s="1"/>
  <c r="L1962" i="2" l="1"/>
  <c r="J1963" i="2"/>
  <c r="H1964" i="2"/>
  <c r="I1964" i="2" s="1"/>
  <c r="K1963" i="2"/>
  <c r="J1964" i="2" s="1"/>
  <c r="G1964" i="2"/>
  <c r="E1964" i="2"/>
  <c r="F1964" i="2" s="1"/>
  <c r="L1963" i="2" l="1"/>
  <c r="E1965" i="2"/>
  <c r="F1965" i="2" s="1"/>
  <c r="H1965" i="2"/>
  <c r="I1965" i="2" s="1"/>
  <c r="K1964" i="2"/>
  <c r="L1964" i="2" s="1"/>
  <c r="G1965" i="2"/>
  <c r="E1966" i="2" l="1"/>
  <c r="F1966" i="2" s="1"/>
  <c r="H1966" i="2"/>
  <c r="I1966" i="2" s="1"/>
  <c r="K1965" i="2"/>
  <c r="J1966" i="2" s="1"/>
  <c r="G1966" i="2"/>
  <c r="J1965" i="2"/>
  <c r="G1967" i="2" l="1"/>
  <c r="H1967" i="2"/>
  <c r="I1967" i="2" s="1"/>
  <c r="K1966" i="2"/>
  <c r="L1966" i="2" s="1"/>
  <c r="E1967" i="2"/>
  <c r="F1967" i="2" s="1"/>
  <c r="L1965" i="2"/>
  <c r="J1967" i="2" l="1"/>
  <c r="H1968" i="2"/>
  <c r="I1968" i="2" s="1"/>
  <c r="K1967" i="2"/>
  <c r="J1968" i="2" s="1"/>
  <c r="G1968" i="2"/>
  <c r="E1968" i="2"/>
  <c r="F1968" i="2" s="1"/>
  <c r="L1967" i="2" l="1"/>
  <c r="E1969" i="2"/>
  <c r="F1969" i="2" s="1"/>
  <c r="H1969" i="2"/>
  <c r="I1969" i="2" s="1"/>
  <c r="K1968" i="2"/>
  <c r="L1968" i="2" s="1"/>
  <c r="G1969" i="2"/>
  <c r="J1969" i="2" l="1"/>
  <c r="E1970" i="2"/>
  <c r="F1970" i="2" s="1"/>
  <c r="G1970" i="2"/>
  <c r="H1970" i="2"/>
  <c r="I1970" i="2" s="1"/>
  <c r="K1969" i="2"/>
  <c r="J1970" i="2" s="1"/>
  <c r="L1969" i="2" l="1"/>
  <c r="G1971" i="2"/>
  <c r="H1971" i="2"/>
  <c r="I1971" i="2" s="1"/>
  <c r="K1970" i="2"/>
  <c r="L1970" i="2" s="1"/>
  <c r="E1971" i="2"/>
  <c r="F1971" i="2" s="1"/>
  <c r="J1971" i="2" l="1"/>
  <c r="H1972" i="2"/>
  <c r="I1972" i="2" s="1"/>
  <c r="K1971" i="2"/>
  <c r="J1972" i="2" s="1"/>
  <c r="G1972" i="2"/>
  <c r="E1972" i="2"/>
  <c r="F1972" i="2" s="1"/>
  <c r="L1971" i="2" l="1"/>
  <c r="E1973" i="2"/>
  <c r="F1973" i="2" s="1"/>
  <c r="H1973" i="2"/>
  <c r="I1973" i="2" s="1"/>
  <c r="K1972" i="2"/>
  <c r="L1972" i="2" s="1"/>
  <c r="G1973" i="2"/>
  <c r="J1973" i="2" l="1"/>
  <c r="E1974" i="2"/>
  <c r="F1974" i="2" s="1"/>
  <c r="H1974" i="2"/>
  <c r="I1974" i="2" s="1"/>
  <c r="K1973" i="2"/>
  <c r="J1974" i="2" s="1"/>
  <c r="G1974" i="2"/>
  <c r="G1975" i="2" l="1"/>
  <c r="H1975" i="2"/>
  <c r="I1975" i="2" s="1"/>
  <c r="K1974" i="2"/>
  <c r="L1974" i="2" s="1"/>
  <c r="E1975" i="2"/>
  <c r="F1975" i="2" s="1"/>
  <c r="L1973" i="2"/>
  <c r="J1975" i="2" l="1"/>
  <c r="H1976" i="2"/>
  <c r="I1976" i="2" s="1"/>
  <c r="K1975" i="2"/>
  <c r="J1976" i="2" s="1"/>
  <c r="G1976" i="2"/>
  <c r="E1976" i="2"/>
  <c r="F1976" i="2" s="1"/>
  <c r="L1975" i="2" l="1"/>
  <c r="E1977" i="2"/>
  <c r="F1977" i="2" s="1"/>
  <c r="H1977" i="2"/>
  <c r="I1977" i="2" s="1"/>
  <c r="K1976" i="2"/>
  <c r="L1976" i="2" s="1"/>
  <c r="G1977" i="2"/>
  <c r="J1977" i="2" l="1"/>
  <c r="E1978" i="2"/>
  <c r="F1978" i="2" s="1"/>
  <c r="G1978" i="2"/>
  <c r="H1978" i="2"/>
  <c r="I1978" i="2" s="1"/>
  <c r="K1977" i="2"/>
  <c r="J1978" i="2" s="1"/>
  <c r="L1977" i="2" l="1"/>
  <c r="G1979" i="2"/>
  <c r="H1979" i="2"/>
  <c r="I1979" i="2" s="1"/>
  <c r="K1978" i="2"/>
  <c r="L1978" i="2" s="1"/>
  <c r="E1979" i="2"/>
  <c r="F1979" i="2" s="1"/>
  <c r="J1979" i="2" l="1"/>
  <c r="H1980" i="2"/>
  <c r="I1980" i="2" s="1"/>
  <c r="K1979" i="2"/>
  <c r="J1980" i="2" s="1"/>
  <c r="G1980" i="2"/>
  <c r="E1980" i="2"/>
  <c r="F1980" i="2" s="1"/>
  <c r="L1979" i="2" l="1"/>
  <c r="E1981" i="2"/>
  <c r="F1981" i="2" s="1"/>
  <c r="H1981" i="2"/>
  <c r="I1981" i="2" s="1"/>
  <c r="K1980" i="2"/>
  <c r="L1980" i="2" s="1"/>
  <c r="G1981" i="2"/>
  <c r="E1982" i="2" l="1"/>
  <c r="F1982" i="2" s="1"/>
  <c r="H1982" i="2"/>
  <c r="I1982" i="2" s="1"/>
  <c r="K1981" i="2"/>
  <c r="J1982" i="2" s="1"/>
  <c r="G1982" i="2"/>
  <c r="J1981" i="2"/>
  <c r="G1983" i="2" l="1"/>
  <c r="H1983" i="2"/>
  <c r="I1983" i="2" s="1"/>
  <c r="K1982" i="2"/>
  <c r="L1982" i="2" s="1"/>
  <c r="E1983" i="2"/>
  <c r="F1983" i="2" s="1"/>
  <c r="L1981" i="2"/>
  <c r="J1983" i="2" l="1"/>
  <c r="H1984" i="2"/>
  <c r="I1984" i="2" s="1"/>
  <c r="K1983" i="2"/>
  <c r="J1984" i="2" s="1"/>
  <c r="G1984" i="2"/>
  <c r="E1984" i="2"/>
  <c r="F1984" i="2" s="1"/>
  <c r="L1983" i="2" l="1"/>
  <c r="E1985" i="2"/>
  <c r="F1985" i="2" s="1"/>
  <c r="H1985" i="2"/>
  <c r="I1985" i="2" s="1"/>
  <c r="K1984" i="2"/>
  <c r="L1984" i="2" s="1"/>
  <c r="G1985" i="2"/>
  <c r="J1985" i="2" l="1"/>
  <c r="E1986" i="2"/>
  <c r="F1986" i="2" s="1"/>
  <c r="G1986" i="2"/>
  <c r="H1986" i="2"/>
  <c r="I1986" i="2" s="1"/>
  <c r="K1985" i="2"/>
  <c r="J1986" i="2" s="1"/>
  <c r="L1985" i="2" l="1"/>
  <c r="G1987" i="2"/>
  <c r="H1987" i="2"/>
  <c r="I1987" i="2" s="1"/>
  <c r="K1986" i="2"/>
  <c r="L1986" i="2" s="1"/>
  <c r="E1987" i="2"/>
  <c r="F1987" i="2" s="1"/>
  <c r="J1987" i="2" l="1"/>
  <c r="H1988" i="2"/>
  <c r="I1988" i="2" s="1"/>
  <c r="K1987" i="2"/>
  <c r="G1988" i="2"/>
  <c r="E1988" i="2"/>
  <c r="F1988" i="2" s="1"/>
  <c r="L1987" i="2" l="1"/>
  <c r="J1988" i="2"/>
  <c r="E1989" i="2"/>
  <c r="F1989" i="2" s="1"/>
  <c r="H1989" i="2"/>
  <c r="I1989" i="2" s="1"/>
  <c r="K1988" i="2"/>
  <c r="G1989" i="2"/>
  <c r="L1988" i="2" l="1"/>
  <c r="E1990" i="2"/>
  <c r="F1990" i="2" s="1"/>
  <c r="H1990" i="2"/>
  <c r="I1990" i="2" s="1"/>
  <c r="K1989" i="2"/>
  <c r="J1990" i="2" s="1"/>
  <c r="G1990" i="2"/>
  <c r="J1989" i="2"/>
  <c r="L1989" i="2" l="1"/>
  <c r="G1991" i="2"/>
  <c r="E1991" i="2"/>
  <c r="F1991" i="2" s="1"/>
  <c r="H1991" i="2"/>
  <c r="I1991" i="2" s="1"/>
  <c r="K1990" i="2"/>
  <c r="L1990" i="2" s="1"/>
  <c r="J1991" i="2" l="1"/>
  <c r="H1992" i="2"/>
  <c r="I1992" i="2" s="1"/>
  <c r="K1991" i="2"/>
  <c r="J1992" i="2" s="1"/>
  <c r="G1992" i="2"/>
  <c r="E1992" i="2"/>
  <c r="F1992" i="2" s="1"/>
  <c r="E1993" i="2" l="1"/>
  <c r="F1993" i="2" s="1"/>
  <c r="H1993" i="2"/>
  <c r="I1993" i="2" s="1"/>
  <c r="K1992" i="2"/>
  <c r="L1992" i="2" s="1"/>
  <c r="G1993" i="2"/>
  <c r="L1991" i="2"/>
  <c r="J1993" i="2" l="1"/>
  <c r="E1994" i="2"/>
  <c r="F1994" i="2" s="1"/>
  <c r="H1994" i="2"/>
  <c r="I1994" i="2" s="1"/>
  <c r="G1994" i="2"/>
  <c r="K1993" i="2"/>
  <c r="J1994" i="2" s="1"/>
  <c r="L1993" i="2" l="1"/>
  <c r="G1995" i="2"/>
  <c r="H1995" i="2"/>
  <c r="I1995" i="2" s="1"/>
  <c r="K1994" i="2"/>
  <c r="L1994" i="2" s="1"/>
  <c r="E1995" i="2"/>
  <c r="F1995" i="2" s="1"/>
  <c r="J1995" i="2" l="1"/>
  <c r="H1996" i="2"/>
  <c r="I1996" i="2" s="1"/>
  <c r="K1995" i="2"/>
  <c r="J1996" i="2" s="1"/>
  <c r="G1996" i="2"/>
  <c r="E1996" i="2"/>
  <c r="F1996" i="2" s="1"/>
  <c r="L1995" i="2" l="1"/>
  <c r="E1997" i="2"/>
  <c r="F1997" i="2" s="1"/>
  <c r="H1997" i="2"/>
  <c r="I1997" i="2" s="1"/>
  <c r="K1996" i="2"/>
  <c r="L1996" i="2" s="1"/>
  <c r="G1997" i="2"/>
  <c r="J1997" i="2" l="1"/>
  <c r="E1998" i="2"/>
  <c r="F1998" i="2" s="1"/>
  <c r="H1998" i="2"/>
  <c r="I1998" i="2" s="1"/>
  <c r="K1997" i="2"/>
  <c r="G1998" i="2"/>
  <c r="L1997" i="2" l="1"/>
  <c r="J1998" i="2"/>
  <c r="G1999" i="2"/>
  <c r="E1999" i="2"/>
  <c r="F1999" i="2" s="1"/>
  <c r="K1998" i="2"/>
  <c r="H1999" i="2"/>
  <c r="I1999" i="2" s="1"/>
  <c r="L1998" i="2" l="1"/>
  <c r="J1999" i="2"/>
  <c r="H2000" i="2"/>
  <c r="I2000" i="2" s="1"/>
  <c r="K1999" i="2"/>
  <c r="L1999" i="2" s="1"/>
  <c r="G2000" i="2"/>
  <c r="E2000" i="2"/>
  <c r="F2000" i="2" s="1"/>
  <c r="E2001" i="2" l="1"/>
  <c r="F2001" i="2" s="1"/>
  <c r="H2001" i="2"/>
  <c r="I2001" i="2" s="1"/>
  <c r="K2000" i="2"/>
  <c r="J2001" i="2" s="1"/>
  <c r="G2001" i="2"/>
  <c r="J2000" i="2"/>
  <c r="L2000" i="2" l="1"/>
  <c r="E2002" i="2"/>
  <c r="F2002" i="2" s="1"/>
  <c r="K2001" i="2"/>
  <c r="L2001" i="2" s="1"/>
  <c r="H2002" i="2"/>
  <c r="I2002" i="2" s="1"/>
  <c r="G2002" i="2"/>
  <c r="J2002" i="2" l="1"/>
  <c r="G2003" i="2"/>
  <c r="H2003" i="2"/>
  <c r="I2003" i="2" s="1"/>
  <c r="K2002" i="2"/>
  <c r="E2003" i="2"/>
  <c r="F2003" i="2" s="1"/>
  <c r="L2002" i="2" l="1"/>
  <c r="J2003" i="2"/>
  <c r="H2004" i="2"/>
  <c r="I2004" i="2" s="1"/>
  <c r="K2003" i="2"/>
  <c r="J2004" i="2" s="1"/>
  <c r="G2004" i="2"/>
  <c r="E2004" i="2"/>
  <c r="F2004" i="2" s="1"/>
  <c r="L2003" i="2" l="1"/>
  <c r="E2005" i="2"/>
  <c r="F2005" i="2" s="1"/>
  <c r="H2005" i="2"/>
  <c r="I2005" i="2" s="1"/>
  <c r="K2004" i="2"/>
  <c r="L2004" i="2" s="1"/>
  <c r="G2005" i="2"/>
  <c r="J2005" i="2" l="1"/>
  <c r="E2006" i="2"/>
  <c r="F2006" i="2" s="1"/>
  <c r="H2006" i="2"/>
  <c r="I2006" i="2" s="1"/>
  <c r="K2005" i="2"/>
  <c r="J2006" i="2" s="1"/>
  <c r="G2006" i="2"/>
  <c r="G2007" i="2" l="1"/>
  <c r="E2007" i="2"/>
  <c r="F2007" i="2" s="1"/>
  <c r="H2007" i="2"/>
  <c r="I2007" i="2" s="1"/>
  <c r="K2006" i="2"/>
  <c r="L2006" i="2" s="1"/>
  <c r="L2005" i="2"/>
  <c r="J2007" i="2" l="1"/>
  <c r="H2008" i="2"/>
  <c r="I2008" i="2" s="1"/>
  <c r="K2007" i="2"/>
  <c r="J2008" i="2" s="1"/>
  <c r="G2008" i="2"/>
  <c r="E2008" i="2"/>
  <c r="F2008" i="2" s="1"/>
  <c r="E2009" i="2" l="1"/>
  <c r="F2009" i="2" s="1"/>
  <c r="H2009" i="2"/>
  <c r="I2009" i="2" s="1"/>
  <c r="K2008" i="2"/>
  <c r="L2008" i="2" s="1"/>
  <c r="G2009" i="2"/>
  <c r="L2007" i="2"/>
  <c r="E2010" i="2" l="1"/>
  <c r="F2010" i="2" s="1"/>
  <c r="H2010" i="2"/>
  <c r="I2010" i="2" s="1"/>
  <c r="G2010" i="2"/>
  <c r="K2009" i="2"/>
  <c r="J2010" i="2" s="1"/>
  <c r="J2009" i="2"/>
  <c r="L2009" i="2" l="1"/>
  <c r="G2011" i="2"/>
  <c r="H2011" i="2"/>
  <c r="I2011" i="2" s="1"/>
  <c r="K2010" i="2"/>
  <c r="L2010" i="2" s="1"/>
  <c r="E2011" i="2"/>
  <c r="F2011" i="2" s="1"/>
  <c r="J2011" i="2" l="1"/>
  <c r="H2012" i="2"/>
  <c r="I2012" i="2" s="1"/>
  <c r="K2011" i="2"/>
  <c r="J2012" i="2" s="1"/>
  <c r="G2012" i="2"/>
  <c r="E2012" i="2"/>
  <c r="F2012" i="2" s="1"/>
  <c r="L2011" i="2" l="1"/>
  <c r="E2013" i="2"/>
  <c r="F2013" i="2" s="1"/>
  <c r="H2013" i="2"/>
  <c r="I2013" i="2" s="1"/>
  <c r="K2012" i="2"/>
  <c r="L2012" i="2" s="1"/>
  <c r="G2013" i="2"/>
  <c r="J2013" i="2" l="1"/>
  <c r="E2014" i="2"/>
  <c r="F2014" i="2" s="1"/>
  <c r="H2014" i="2"/>
  <c r="I2014" i="2" s="1"/>
  <c r="K2013" i="2"/>
  <c r="J2014" i="2" s="1"/>
  <c r="G2014" i="2"/>
  <c r="G2015" i="2" l="1"/>
  <c r="E2015" i="2"/>
  <c r="F2015" i="2" s="1"/>
  <c r="K2014" i="2"/>
  <c r="L2014" i="2" s="1"/>
  <c r="H2015" i="2"/>
  <c r="I2015" i="2" s="1"/>
  <c r="L2013" i="2"/>
  <c r="J2015" i="2" l="1"/>
  <c r="H2016" i="2"/>
  <c r="I2016" i="2" s="1"/>
  <c r="K2015" i="2"/>
  <c r="G2016" i="2"/>
  <c r="E2016" i="2"/>
  <c r="F2016" i="2" s="1"/>
  <c r="L2015" i="2" l="1"/>
  <c r="E2017" i="2"/>
  <c r="F2017" i="2" s="1"/>
  <c r="H2017" i="2"/>
  <c r="I2017" i="2" s="1"/>
  <c r="K2016" i="2"/>
  <c r="J2017" i="2" s="1"/>
  <c r="G2017" i="2"/>
  <c r="J2016" i="2"/>
  <c r="E2018" i="2" l="1"/>
  <c r="F2018" i="2" s="1"/>
  <c r="K2017" i="2"/>
  <c r="L2017" i="2" s="1"/>
  <c r="H2018" i="2"/>
  <c r="I2018" i="2" s="1"/>
  <c r="G2018" i="2"/>
  <c r="L2016" i="2"/>
  <c r="J2018" i="2" l="1"/>
  <c r="G2019" i="2"/>
  <c r="H2019" i="2"/>
  <c r="I2019" i="2" s="1"/>
  <c r="K2018" i="2"/>
  <c r="J2019" i="2" s="1"/>
  <c r="E2019" i="2"/>
  <c r="F2019" i="2" s="1"/>
  <c r="H2020" i="2" l="1"/>
  <c r="I2020" i="2" s="1"/>
  <c r="K2019" i="2"/>
  <c r="J2020" i="2" s="1"/>
  <c r="G2020" i="2"/>
  <c r="E2020" i="2"/>
  <c r="F2020" i="2" s="1"/>
  <c r="L2018" i="2"/>
  <c r="L2019" i="2" l="1"/>
  <c r="E2021" i="2"/>
  <c r="F2021" i="2" s="1"/>
  <c r="H2021" i="2"/>
  <c r="I2021" i="2" s="1"/>
  <c r="K2020" i="2"/>
  <c r="L2020" i="2" s="1"/>
  <c r="G2021" i="2"/>
  <c r="J2021" i="2" l="1"/>
  <c r="E2022" i="2"/>
  <c r="F2022" i="2" s="1"/>
  <c r="H2022" i="2"/>
  <c r="I2022" i="2" s="1"/>
  <c r="K2021" i="2"/>
  <c r="J2022" i="2" s="1"/>
  <c r="G2022" i="2"/>
  <c r="G2023" i="2" l="1"/>
  <c r="E2023" i="2"/>
  <c r="F2023" i="2" s="1"/>
  <c r="H2023" i="2"/>
  <c r="I2023" i="2" s="1"/>
  <c r="K2022" i="2"/>
  <c r="L2022" i="2" s="1"/>
  <c r="L2021" i="2"/>
  <c r="J2023" i="2" l="1"/>
  <c r="H2024" i="2"/>
  <c r="I2024" i="2" s="1"/>
  <c r="K2023" i="2"/>
  <c r="J2024" i="2" s="1"/>
  <c r="G2024" i="2"/>
  <c r="E2024" i="2"/>
  <c r="F2024" i="2" s="1"/>
  <c r="E2025" i="2" l="1"/>
  <c r="F2025" i="2" s="1"/>
  <c r="H2025" i="2"/>
  <c r="I2025" i="2" s="1"/>
  <c r="K2024" i="2"/>
  <c r="L2024" i="2" s="1"/>
  <c r="G2025" i="2"/>
  <c r="L2023" i="2"/>
  <c r="E2026" i="2" l="1"/>
  <c r="F2026" i="2" s="1"/>
  <c r="H2026" i="2"/>
  <c r="I2026" i="2" s="1"/>
  <c r="G2026" i="2"/>
  <c r="K2025" i="2"/>
  <c r="J2026" i="2" s="1"/>
  <c r="J2025" i="2"/>
  <c r="L2025" i="2" l="1"/>
  <c r="G2027" i="2"/>
  <c r="H2027" i="2"/>
  <c r="I2027" i="2" s="1"/>
  <c r="K2026" i="2"/>
  <c r="L2026" i="2" s="1"/>
  <c r="E2027" i="2"/>
  <c r="F2027" i="2" s="1"/>
  <c r="J2027" i="2" l="1"/>
  <c r="H2028" i="2"/>
  <c r="I2028" i="2" s="1"/>
  <c r="K2027" i="2"/>
  <c r="J2028" i="2" s="1"/>
  <c r="G2028" i="2"/>
  <c r="E2028" i="2"/>
  <c r="F2028" i="2" s="1"/>
  <c r="L2027" i="2" l="1"/>
  <c r="E2029" i="2"/>
  <c r="F2029" i="2" s="1"/>
  <c r="H2029" i="2"/>
  <c r="I2029" i="2" s="1"/>
  <c r="K2028" i="2"/>
  <c r="L2028" i="2" s="1"/>
  <c r="G2029" i="2"/>
  <c r="E2030" i="2" l="1"/>
  <c r="F2030" i="2" s="1"/>
  <c r="H2030" i="2"/>
  <c r="I2030" i="2" s="1"/>
  <c r="K2029" i="2"/>
  <c r="J2030" i="2" s="1"/>
  <c r="G2030" i="2"/>
  <c r="J2029" i="2"/>
  <c r="G2031" i="2" l="1"/>
  <c r="E2031" i="2"/>
  <c r="F2031" i="2" s="1"/>
  <c r="K2030" i="2"/>
  <c r="L2030" i="2" s="1"/>
  <c r="H2031" i="2"/>
  <c r="I2031" i="2" s="1"/>
  <c r="L2029" i="2"/>
  <c r="J2031" i="2" l="1"/>
  <c r="H2032" i="2"/>
  <c r="I2032" i="2" s="1"/>
  <c r="K2031" i="2"/>
  <c r="G2032" i="2"/>
  <c r="E2032" i="2"/>
  <c r="F2032" i="2" s="1"/>
  <c r="L2031" i="2" l="1"/>
  <c r="E2033" i="2"/>
  <c r="F2033" i="2" s="1"/>
  <c r="H2033" i="2"/>
  <c r="I2033" i="2" s="1"/>
  <c r="K2032" i="2"/>
  <c r="J2033" i="2" s="1"/>
  <c r="G2033" i="2"/>
  <c r="J2032" i="2"/>
  <c r="L2032" i="2" l="1"/>
  <c r="E2034" i="2"/>
  <c r="F2034" i="2" s="1"/>
  <c r="K2033" i="2"/>
  <c r="L2033" i="2" s="1"/>
  <c r="H2034" i="2"/>
  <c r="I2034" i="2" s="1"/>
  <c r="G2034" i="2"/>
  <c r="J2034" i="2" l="1"/>
  <c r="G2035" i="2"/>
  <c r="H2035" i="2"/>
  <c r="I2035" i="2" s="1"/>
  <c r="K2034" i="2"/>
  <c r="J2035" i="2" s="1"/>
  <c r="E2035" i="2"/>
  <c r="F2035" i="2" s="1"/>
  <c r="H2036" i="2" l="1"/>
  <c r="I2036" i="2" s="1"/>
  <c r="K2035" i="2"/>
  <c r="J2036" i="2" s="1"/>
  <c r="G2036" i="2"/>
  <c r="E2036" i="2"/>
  <c r="F2036" i="2" s="1"/>
  <c r="L2034" i="2"/>
  <c r="L2035" i="2" l="1"/>
  <c r="E2037" i="2"/>
  <c r="F2037" i="2" s="1"/>
  <c r="H2037" i="2"/>
  <c r="I2037" i="2" s="1"/>
  <c r="K2036" i="2"/>
  <c r="L2036" i="2" s="1"/>
  <c r="G2037" i="2"/>
  <c r="J2037" i="2" l="1"/>
  <c r="E2038" i="2"/>
  <c r="F2038" i="2" s="1"/>
  <c r="H2038" i="2"/>
  <c r="I2038" i="2" s="1"/>
  <c r="K2037" i="2"/>
  <c r="J2038" i="2" s="1"/>
  <c r="G2038" i="2"/>
  <c r="G2039" i="2" l="1"/>
  <c r="E2039" i="2"/>
  <c r="F2039" i="2" s="1"/>
  <c r="H2039" i="2"/>
  <c r="I2039" i="2" s="1"/>
  <c r="K2038" i="2"/>
  <c r="L2038" i="2" s="1"/>
  <c r="L2037" i="2"/>
  <c r="J2039" i="2" l="1"/>
  <c r="H2040" i="2"/>
  <c r="I2040" i="2" s="1"/>
  <c r="K2039" i="2"/>
  <c r="J2040" i="2" s="1"/>
  <c r="G2040" i="2"/>
  <c r="E2040" i="2"/>
  <c r="F2040" i="2" s="1"/>
  <c r="E2041" i="2" l="1"/>
  <c r="F2041" i="2" s="1"/>
  <c r="H2041" i="2"/>
  <c r="I2041" i="2" s="1"/>
  <c r="K2040" i="2"/>
  <c r="L2040" i="2" s="1"/>
  <c r="G2041" i="2"/>
  <c r="L2039" i="2"/>
  <c r="E2042" i="2" l="1"/>
  <c r="F2042" i="2" s="1"/>
  <c r="H2042" i="2"/>
  <c r="I2042" i="2" s="1"/>
  <c r="G2042" i="2"/>
  <c r="K2041" i="2"/>
  <c r="J2042" i="2" s="1"/>
  <c r="J2041" i="2"/>
  <c r="L2041" i="2" l="1"/>
  <c r="G2043" i="2"/>
  <c r="H2043" i="2"/>
  <c r="I2043" i="2" s="1"/>
  <c r="K2042" i="2"/>
  <c r="L2042" i="2" s="1"/>
  <c r="E2043" i="2"/>
  <c r="F2043" i="2" s="1"/>
  <c r="J2043" i="2" l="1"/>
  <c r="H2044" i="2"/>
  <c r="I2044" i="2" s="1"/>
  <c r="K2043" i="2"/>
  <c r="J2044" i="2" s="1"/>
  <c r="G2044" i="2"/>
  <c r="E2044" i="2"/>
  <c r="F2044" i="2" s="1"/>
  <c r="L2043" i="2" l="1"/>
  <c r="E2045" i="2"/>
  <c r="F2045" i="2" s="1"/>
  <c r="H2045" i="2"/>
  <c r="I2045" i="2" s="1"/>
  <c r="K2044" i="2"/>
  <c r="L2044" i="2" s="1"/>
  <c r="G2045" i="2"/>
  <c r="E2046" i="2" l="1"/>
  <c r="F2046" i="2" s="1"/>
  <c r="H2046" i="2"/>
  <c r="I2046" i="2" s="1"/>
  <c r="K2045" i="2"/>
  <c r="J2046" i="2" s="1"/>
  <c r="G2046" i="2"/>
  <c r="J2045" i="2"/>
  <c r="G2047" i="2" l="1"/>
  <c r="E2047" i="2"/>
  <c r="F2047" i="2" s="1"/>
  <c r="K2046" i="2"/>
  <c r="L2046" i="2" s="1"/>
  <c r="H2047" i="2"/>
  <c r="I2047" i="2" s="1"/>
  <c r="L2045" i="2"/>
  <c r="J2047" i="2" l="1"/>
  <c r="H2048" i="2"/>
  <c r="I2048" i="2" s="1"/>
  <c r="K2047" i="2"/>
  <c r="G2048" i="2"/>
  <c r="E2048" i="2"/>
  <c r="F2048" i="2" s="1"/>
  <c r="L2047" i="2" l="1"/>
  <c r="E2049" i="2"/>
  <c r="F2049" i="2" s="1"/>
  <c r="H2049" i="2"/>
  <c r="I2049" i="2" s="1"/>
  <c r="K2048" i="2"/>
  <c r="J2049" i="2" s="1"/>
  <c r="G2049" i="2"/>
  <c r="J2048" i="2"/>
  <c r="L2048" i="2" l="1"/>
  <c r="E2050" i="2"/>
  <c r="F2050" i="2" s="1"/>
  <c r="K2049" i="2"/>
  <c r="L2049" i="2" s="1"/>
  <c r="H2050" i="2"/>
  <c r="I2050" i="2" s="1"/>
  <c r="G2050" i="2"/>
  <c r="J2050" i="2" l="1"/>
  <c r="G2051" i="2"/>
  <c r="H2051" i="2"/>
  <c r="I2051" i="2" s="1"/>
  <c r="K2050" i="2"/>
  <c r="E2051" i="2"/>
  <c r="F2051" i="2" s="1"/>
  <c r="L2050" i="2" l="1"/>
  <c r="J2051" i="2"/>
  <c r="H2052" i="2"/>
  <c r="I2052" i="2" s="1"/>
  <c r="K2051" i="2"/>
  <c r="J2052" i="2" s="1"/>
  <c r="G2052" i="2"/>
  <c r="E2052" i="2"/>
  <c r="F2052" i="2" s="1"/>
  <c r="L2051" i="2" l="1"/>
  <c r="E2053" i="2"/>
  <c r="F2053" i="2" s="1"/>
  <c r="H2053" i="2"/>
  <c r="I2053" i="2" s="1"/>
  <c r="K2052" i="2"/>
  <c r="L2052" i="2" s="1"/>
  <c r="G2053" i="2"/>
  <c r="J2053" i="2" l="1"/>
  <c r="E2054" i="2"/>
  <c r="F2054" i="2" s="1"/>
  <c r="H2054" i="2"/>
  <c r="I2054" i="2" s="1"/>
  <c r="K2053" i="2"/>
  <c r="J2054" i="2" s="1"/>
  <c r="G2054" i="2"/>
  <c r="G2055" i="2" l="1"/>
  <c r="H2055" i="2"/>
  <c r="I2055" i="2" s="1"/>
  <c r="K2054" i="2"/>
  <c r="L2054" i="2" s="1"/>
  <c r="E2055" i="2"/>
  <c r="F2055" i="2" s="1"/>
  <c r="L2053" i="2"/>
  <c r="J2055" i="2" l="1"/>
  <c r="H2056" i="2"/>
  <c r="I2056" i="2" s="1"/>
  <c r="K2055" i="2"/>
  <c r="J2056" i="2" s="1"/>
  <c r="G2056" i="2"/>
  <c r="E2056" i="2"/>
  <c r="F2056" i="2" s="1"/>
  <c r="L2055" i="2" l="1"/>
  <c r="E2057" i="2"/>
  <c r="F2057" i="2" s="1"/>
  <c r="H2057" i="2"/>
  <c r="I2057" i="2" s="1"/>
  <c r="K2056" i="2"/>
  <c r="L2056" i="2" s="1"/>
  <c r="G2057" i="2"/>
  <c r="J2057" i="2" l="1"/>
  <c r="E2058" i="2"/>
  <c r="F2058" i="2" s="1"/>
  <c r="G2058" i="2"/>
  <c r="H2058" i="2"/>
  <c r="I2058" i="2" s="1"/>
  <c r="K2057" i="2"/>
  <c r="J2058" i="2" s="1"/>
  <c r="L2057" i="2" l="1"/>
  <c r="G2059" i="2"/>
  <c r="H2059" i="2"/>
  <c r="I2059" i="2" s="1"/>
  <c r="K2058" i="2"/>
  <c r="L2058" i="2" s="1"/>
  <c r="E2059" i="2"/>
  <c r="F2059" i="2" s="1"/>
  <c r="J2059" i="2" l="1"/>
  <c r="H2060" i="2"/>
  <c r="I2060" i="2" s="1"/>
  <c r="K2059" i="2"/>
  <c r="J2060" i="2" s="1"/>
  <c r="G2060" i="2"/>
  <c r="E2060" i="2"/>
  <c r="F2060" i="2" s="1"/>
  <c r="L2059" i="2" l="1"/>
  <c r="E2061" i="2"/>
  <c r="F2061" i="2" s="1"/>
  <c r="H2061" i="2"/>
  <c r="I2061" i="2" s="1"/>
  <c r="K2060" i="2"/>
  <c r="L2060" i="2" s="1"/>
  <c r="G2061" i="2"/>
  <c r="J2061" i="2" l="1"/>
  <c r="E2062" i="2"/>
  <c r="F2062" i="2" s="1"/>
  <c r="H2062" i="2"/>
  <c r="I2062" i="2" s="1"/>
  <c r="K2061" i="2"/>
  <c r="J2062" i="2" s="1"/>
  <c r="G2062" i="2"/>
  <c r="G2063" i="2" l="1"/>
  <c r="H2063" i="2"/>
  <c r="I2063" i="2" s="1"/>
  <c r="K2062" i="2"/>
  <c r="L2062" i="2" s="1"/>
  <c r="E2063" i="2"/>
  <c r="F2063" i="2" s="1"/>
  <c r="L2061" i="2"/>
  <c r="J2063" i="2" l="1"/>
  <c r="H2064" i="2"/>
  <c r="I2064" i="2" s="1"/>
  <c r="K2063" i="2"/>
  <c r="J2064" i="2" s="1"/>
  <c r="G2064" i="2"/>
  <c r="E2064" i="2"/>
  <c r="F2064" i="2" s="1"/>
  <c r="L2063" i="2" l="1"/>
  <c r="E2065" i="2"/>
  <c r="F2065" i="2" s="1"/>
  <c r="H2065" i="2"/>
  <c r="I2065" i="2" s="1"/>
  <c r="K2064" i="2"/>
  <c r="L2064" i="2" s="1"/>
  <c r="G2065" i="2"/>
  <c r="J2065" i="2" l="1"/>
  <c r="E2066" i="2"/>
  <c r="F2066" i="2" s="1"/>
  <c r="G2066" i="2"/>
  <c r="H2066" i="2"/>
  <c r="I2066" i="2" s="1"/>
  <c r="K2065" i="2"/>
  <c r="J2066" i="2" s="1"/>
  <c r="L2065" i="2" l="1"/>
  <c r="G2067" i="2"/>
  <c r="H2067" i="2"/>
  <c r="I2067" i="2" s="1"/>
  <c r="K2066" i="2"/>
  <c r="L2066" i="2" s="1"/>
  <c r="E2067" i="2"/>
  <c r="F2067" i="2" s="1"/>
  <c r="J2067" i="2" l="1"/>
  <c r="H2068" i="2"/>
  <c r="I2068" i="2" s="1"/>
  <c r="K2067" i="2"/>
  <c r="J2068" i="2" s="1"/>
  <c r="G2068" i="2"/>
  <c r="E2068" i="2"/>
  <c r="F2068" i="2" s="1"/>
  <c r="L2067" i="2" l="1"/>
  <c r="E2069" i="2"/>
  <c r="F2069" i="2" s="1"/>
  <c r="H2069" i="2"/>
  <c r="I2069" i="2" s="1"/>
  <c r="K2068" i="2"/>
  <c r="L2068" i="2" s="1"/>
  <c r="G2069" i="2"/>
  <c r="J2069" i="2" l="1"/>
  <c r="E2070" i="2"/>
  <c r="F2070" i="2" s="1"/>
  <c r="H2070" i="2"/>
  <c r="I2070" i="2" s="1"/>
  <c r="K2069" i="2"/>
  <c r="J2070" i="2" s="1"/>
  <c r="G2070" i="2"/>
  <c r="G2071" i="2" l="1"/>
  <c r="H2071" i="2"/>
  <c r="I2071" i="2" s="1"/>
  <c r="K2070" i="2"/>
  <c r="L2070" i="2" s="1"/>
  <c r="E2071" i="2"/>
  <c r="F2071" i="2" s="1"/>
  <c r="L2069" i="2"/>
  <c r="J2071" i="2" l="1"/>
  <c r="H2072" i="2"/>
  <c r="I2072" i="2" s="1"/>
  <c r="K2071" i="2"/>
  <c r="J2072" i="2" s="1"/>
  <c r="G2072" i="2"/>
  <c r="E2072" i="2"/>
  <c r="F2072" i="2" s="1"/>
  <c r="L2071" i="2" l="1"/>
  <c r="E2073" i="2"/>
  <c r="F2073" i="2" s="1"/>
  <c r="H2073" i="2"/>
  <c r="I2073" i="2" s="1"/>
  <c r="K2072" i="2"/>
  <c r="L2072" i="2" s="1"/>
  <c r="G2073" i="2"/>
  <c r="J2073" i="2" l="1"/>
  <c r="E2074" i="2"/>
  <c r="F2074" i="2" s="1"/>
  <c r="G2074" i="2"/>
  <c r="K2073" i="2"/>
  <c r="J2074" i="2" s="1"/>
  <c r="H2074" i="2"/>
  <c r="I2074" i="2" s="1"/>
  <c r="L2073" i="2" l="1"/>
  <c r="G2075" i="2"/>
  <c r="H2075" i="2"/>
  <c r="I2075" i="2" s="1"/>
  <c r="K2074" i="2"/>
  <c r="L2074" i="2" s="1"/>
  <c r="E2075" i="2"/>
  <c r="F2075" i="2" s="1"/>
  <c r="J2075" i="2" l="1"/>
  <c r="H2076" i="2"/>
  <c r="I2076" i="2" s="1"/>
  <c r="K2075" i="2"/>
  <c r="L2075" i="2" s="1"/>
  <c r="G2076" i="2"/>
  <c r="E2076" i="2"/>
  <c r="F2076" i="2" s="1"/>
  <c r="J2076" i="2" l="1"/>
  <c r="E2077" i="2"/>
  <c r="F2077" i="2" s="1"/>
  <c r="H2077" i="2"/>
  <c r="I2077" i="2" s="1"/>
  <c r="K2076" i="2"/>
  <c r="J2077" i="2" s="1"/>
  <c r="G2077" i="2"/>
  <c r="L2076" i="2" l="1"/>
  <c r="E2078" i="2"/>
  <c r="F2078" i="2" s="1"/>
  <c r="H2078" i="2"/>
  <c r="I2078" i="2" s="1"/>
  <c r="K2077" i="2"/>
  <c r="L2077" i="2" s="1"/>
  <c r="G2078" i="2"/>
  <c r="J2078" i="2" l="1"/>
  <c r="G2079" i="2"/>
  <c r="H2079" i="2"/>
  <c r="I2079" i="2" s="1"/>
  <c r="K2078" i="2"/>
  <c r="E2079" i="2"/>
  <c r="F2079" i="2" s="1"/>
  <c r="L2078" i="2" l="1"/>
  <c r="J2079" i="2"/>
  <c r="H2080" i="2"/>
  <c r="I2080" i="2" s="1"/>
  <c r="K2079" i="2"/>
  <c r="J2080" i="2" s="1"/>
  <c r="G2080" i="2"/>
  <c r="E2080" i="2"/>
  <c r="F2080" i="2" s="1"/>
  <c r="L2079" i="2" l="1"/>
  <c r="E2081" i="2"/>
  <c r="F2081" i="2" s="1"/>
  <c r="H2081" i="2"/>
  <c r="I2081" i="2" s="1"/>
  <c r="K2080" i="2"/>
  <c r="L2080" i="2" s="1"/>
  <c r="G2081" i="2"/>
  <c r="J2081" i="2" l="1"/>
  <c r="E2082" i="2"/>
  <c r="F2082" i="2" s="1"/>
  <c r="G2082" i="2"/>
  <c r="H2082" i="2"/>
  <c r="I2082" i="2" s="1"/>
  <c r="K2081" i="2"/>
  <c r="J2082" i="2" s="1"/>
  <c r="L2081" i="2" l="1"/>
  <c r="G2083" i="2"/>
  <c r="H2083" i="2"/>
  <c r="I2083" i="2" s="1"/>
  <c r="K2082" i="2"/>
  <c r="J2083" i="2" s="1"/>
  <c r="E2083" i="2"/>
  <c r="F2083" i="2" s="1"/>
  <c r="H2084" i="2" l="1"/>
  <c r="I2084" i="2" s="1"/>
  <c r="K2083" i="2"/>
  <c r="L2083" i="2" s="1"/>
  <c r="G2084" i="2"/>
  <c r="E2084" i="2"/>
  <c r="F2084" i="2" s="1"/>
  <c r="L2082" i="2"/>
  <c r="J2084" i="2" l="1"/>
  <c r="E2085" i="2"/>
  <c r="F2085" i="2" s="1"/>
  <c r="H2085" i="2"/>
  <c r="I2085" i="2" s="1"/>
  <c r="K2084" i="2"/>
  <c r="G2085" i="2"/>
  <c r="L2084" i="2" l="1"/>
  <c r="J2085" i="2"/>
  <c r="E2086" i="2"/>
  <c r="F2086" i="2" s="1"/>
  <c r="H2086" i="2"/>
  <c r="I2086" i="2" s="1"/>
  <c r="K2085" i="2"/>
  <c r="J2086" i="2" s="1"/>
  <c r="G2086" i="2"/>
  <c r="G2087" i="2" l="1"/>
  <c r="H2087" i="2"/>
  <c r="I2087" i="2" s="1"/>
  <c r="K2086" i="2"/>
  <c r="J2087" i="2" s="1"/>
  <c r="E2087" i="2"/>
  <c r="F2087" i="2" s="1"/>
  <c r="L2085" i="2"/>
  <c r="H2088" i="2" l="1"/>
  <c r="I2088" i="2" s="1"/>
  <c r="K2087" i="2"/>
  <c r="L2087" i="2" s="1"/>
  <c r="G2088" i="2"/>
  <c r="E2088" i="2"/>
  <c r="F2088" i="2" s="1"/>
  <c r="L2086" i="2"/>
  <c r="J2088" i="2" l="1"/>
  <c r="E2089" i="2"/>
  <c r="F2089" i="2" s="1"/>
  <c r="H2089" i="2"/>
  <c r="I2089" i="2" s="1"/>
  <c r="K2088" i="2"/>
  <c r="J2089" i="2" s="1"/>
  <c r="G2089" i="2"/>
  <c r="E2090" i="2" l="1"/>
  <c r="F2090" i="2" s="1"/>
  <c r="G2090" i="2"/>
  <c r="H2090" i="2"/>
  <c r="I2090" i="2" s="1"/>
  <c r="K2089" i="2"/>
  <c r="L2089" i="2" s="1"/>
  <c r="L2088" i="2"/>
  <c r="J2090" i="2" l="1"/>
  <c r="G2091" i="2"/>
  <c r="H2091" i="2"/>
  <c r="I2091" i="2" s="1"/>
  <c r="K2090" i="2"/>
  <c r="J2091" i="2" s="1"/>
  <c r="E2091" i="2"/>
  <c r="F2091" i="2" s="1"/>
  <c r="H2092" i="2" l="1"/>
  <c r="I2092" i="2" s="1"/>
  <c r="K2091" i="2"/>
  <c r="J2092" i="2" s="1"/>
  <c r="G2092" i="2"/>
  <c r="E2092" i="2"/>
  <c r="F2092" i="2" s="1"/>
  <c r="L2090" i="2"/>
  <c r="L2091" i="2" l="1"/>
  <c r="E2093" i="2"/>
  <c r="F2093" i="2" s="1"/>
  <c r="H2093" i="2"/>
  <c r="I2093" i="2" s="1"/>
  <c r="K2092" i="2"/>
  <c r="L2092" i="2" s="1"/>
  <c r="G2093" i="2"/>
  <c r="J2093" i="2" l="1"/>
  <c r="E2094" i="2"/>
  <c r="F2094" i="2" s="1"/>
  <c r="H2094" i="2"/>
  <c r="I2094" i="2" s="1"/>
  <c r="K2093" i="2"/>
  <c r="J2094" i="2" s="1"/>
  <c r="G2094" i="2"/>
  <c r="G2095" i="2" l="1"/>
  <c r="H2095" i="2"/>
  <c r="I2095" i="2" s="1"/>
  <c r="K2094" i="2"/>
  <c r="L2094" i="2" s="1"/>
  <c r="E2095" i="2"/>
  <c r="F2095" i="2" s="1"/>
  <c r="L2093" i="2"/>
  <c r="J2095" i="2" l="1"/>
  <c r="H2096" i="2"/>
  <c r="I2096" i="2" s="1"/>
  <c r="K2095" i="2"/>
  <c r="G2096" i="2"/>
  <c r="E2096" i="2"/>
  <c r="F2096" i="2" s="1"/>
  <c r="L2095" i="2" l="1"/>
  <c r="J2096" i="2"/>
  <c r="E2097" i="2"/>
  <c r="F2097" i="2" s="1"/>
  <c r="H2097" i="2"/>
  <c r="I2097" i="2" s="1"/>
  <c r="K2096" i="2"/>
  <c r="G2097" i="2"/>
  <c r="L2096" i="2" l="1"/>
  <c r="E2098" i="2"/>
  <c r="F2098" i="2" s="1"/>
  <c r="G2098" i="2"/>
  <c r="H2098" i="2"/>
  <c r="I2098" i="2" s="1"/>
  <c r="K2097" i="2"/>
  <c r="J2098" i="2" s="1"/>
  <c r="J2097" i="2"/>
  <c r="L2097" i="2" l="1"/>
  <c r="G2099" i="2"/>
  <c r="H2099" i="2"/>
  <c r="I2099" i="2" s="1"/>
  <c r="K2098" i="2"/>
  <c r="J2099" i="2" s="1"/>
  <c r="E2099" i="2"/>
  <c r="F2099" i="2" s="1"/>
  <c r="H2100" i="2" l="1"/>
  <c r="I2100" i="2" s="1"/>
  <c r="K2099" i="2"/>
  <c r="L2099" i="2" s="1"/>
  <c r="G2100" i="2"/>
  <c r="E2100" i="2"/>
  <c r="F2100" i="2" s="1"/>
  <c r="L2098" i="2"/>
  <c r="J2100" i="2" l="1"/>
  <c r="E2101" i="2"/>
  <c r="F2101" i="2" s="1"/>
  <c r="H2101" i="2"/>
  <c r="I2101" i="2" s="1"/>
  <c r="K2100" i="2"/>
  <c r="J2101" i="2" s="1"/>
  <c r="G2101" i="2"/>
  <c r="E2102" i="2" l="1"/>
  <c r="F2102" i="2" s="1"/>
  <c r="H2102" i="2"/>
  <c r="I2102" i="2" s="1"/>
  <c r="K2101" i="2"/>
  <c r="L2101" i="2" s="1"/>
  <c r="G2102" i="2"/>
  <c r="L2100" i="2"/>
  <c r="J2102" i="2" l="1"/>
  <c r="G2103" i="2"/>
  <c r="H2103" i="2"/>
  <c r="I2103" i="2" s="1"/>
  <c r="K2102" i="2"/>
  <c r="J2103" i="2" s="1"/>
  <c r="E2103" i="2"/>
  <c r="F2103" i="2" s="1"/>
  <c r="H2104" i="2" l="1"/>
  <c r="I2104" i="2" s="1"/>
  <c r="K2103" i="2"/>
  <c r="L2103" i="2" s="1"/>
  <c r="G2104" i="2"/>
  <c r="E2104" i="2"/>
  <c r="F2104" i="2" s="1"/>
  <c r="L2102" i="2"/>
  <c r="J2104" i="2" l="1"/>
  <c r="E2105" i="2"/>
  <c r="F2105" i="2" s="1"/>
  <c r="H2105" i="2"/>
  <c r="I2105" i="2" s="1"/>
  <c r="K2104" i="2"/>
  <c r="J2105" i="2" s="1"/>
  <c r="G2105" i="2"/>
  <c r="E2106" i="2" l="1"/>
  <c r="F2106" i="2" s="1"/>
  <c r="G2106" i="2"/>
  <c r="K2105" i="2"/>
  <c r="L2105" i="2" s="1"/>
  <c r="H2106" i="2"/>
  <c r="I2106" i="2" s="1"/>
  <c r="L2104" i="2"/>
  <c r="J2106" i="2" l="1"/>
  <c r="G2107" i="2"/>
  <c r="H2107" i="2"/>
  <c r="I2107" i="2" s="1"/>
  <c r="K2106" i="2"/>
  <c r="J2107" i="2" s="1"/>
  <c r="E2107" i="2"/>
  <c r="F2107" i="2" s="1"/>
  <c r="H2108" i="2" l="1"/>
  <c r="I2108" i="2" s="1"/>
  <c r="K2107" i="2"/>
  <c r="L2107" i="2" s="1"/>
  <c r="G2108" i="2"/>
  <c r="E2108" i="2"/>
  <c r="F2108" i="2" s="1"/>
  <c r="L2106" i="2"/>
  <c r="J2108" i="2" l="1"/>
  <c r="E2109" i="2"/>
  <c r="F2109" i="2" s="1"/>
  <c r="H2109" i="2"/>
  <c r="I2109" i="2" s="1"/>
  <c r="K2108" i="2"/>
  <c r="J2109" i="2" s="1"/>
  <c r="G2109" i="2"/>
  <c r="E2110" i="2" l="1"/>
  <c r="F2110" i="2" s="1"/>
  <c r="H2110" i="2"/>
  <c r="I2110" i="2" s="1"/>
  <c r="K2109" i="2"/>
  <c r="L2109" i="2" s="1"/>
  <c r="G2110" i="2"/>
  <c r="L2108" i="2"/>
  <c r="J2110" i="2" l="1"/>
  <c r="G2111" i="2"/>
  <c r="H2111" i="2"/>
  <c r="I2111" i="2" s="1"/>
  <c r="K2110" i="2"/>
  <c r="J2111" i="2" s="1"/>
  <c r="E2111" i="2"/>
  <c r="F2111" i="2" s="1"/>
  <c r="H2112" i="2" l="1"/>
  <c r="I2112" i="2" s="1"/>
  <c r="K2111" i="2"/>
  <c r="L2111" i="2" s="1"/>
  <c r="G2112" i="2"/>
  <c r="E2112" i="2"/>
  <c r="F2112" i="2" s="1"/>
  <c r="L2110" i="2"/>
  <c r="J2112" i="2" l="1"/>
  <c r="E2113" i="2"/>
  <c r="F2113" i="2" s="1"/>
  <c r="H2113" i="2"/>
  <c r="I2113" i="2" s="1"/>
  <c r="K2112" i="2"/>
  <c r="J2113" i="2" s="1"/>
  <c r="G2113" i="2"/>
  <c r="E2114" i="2" l="1"/>
  <c r="F2114" i="2" s="1"/>
  <c r="G2114" i="2"/>
  <c r="H2114" i="2"/>
  <c r="I2114" i="2" s="1"/>
  <c r="K2113" i="2"/>
  <c r="L2113" i="2" s="1"/>
  <c r="L2112" i="2"/>
  <c r="J2114" i="2" l="1"/>
  <c r="G2115" i="2"/>
  <c r="H2115" i="2"/>
  <c r="I2115" i="2" s="1"/>
  <c r="K2114" i="2"/>
  <c r="J2115" i="2" s="1"/>
  <c r="E2115" i="2"/>
  <c r="F2115" i="2" s="1"/>
  <c r="H2116" i="2" l="1"/>
  <c r="I2116" i="2" s="1"/>
  <c r="K2115" i="2"/>
  <c r="J2116" i="2" s="1"/>
  <c r="G2116" i="2"/>
  <c r="E2116" i="2"/>
  <c r="F2116" i="2" s="1"/>
  <c r="L2114" i="2"/>
  <c r="L2115" i="2" l="1"/>
  <c r="E2117" i="2"/>
  <c r="F2117" i="2" s="1"/>
  <c r="H2117" i="2"/>
  <c r="I2117" i="2" s="1"/>
  <c r="K2116" i="2"/>
  <c r="L2116" i="2" s="1"/>
  <c r="G2117" i="2"/>
  <c r="E2118" i="2" l="1"/>
  <c r="F2118" i="2" s="1"/>
  <c r="H2118" i="2"/>
  <c r="I2118" i="2" s="1"/>
  <c r="K2117" i="2"/>
  <c r="J2118" i="2" s="1"/>
  <c r="G2118" i="2"/>
  <c r="J2117" i="2"/>
  <c r="G2119" i="2" l="1"/>
  <c r="H2119" i="2"/>
  <c r="I2119" i="2" s="1"/>
  <c r="K2118" i="2"/>
  <c r="L2118" i="2" s="1"/>
  <c r="E2119" i="2"/>
  <c r="F2119" i="2" s="1"/>
  <c r="L2117" i="2"/>
  <c r="J2119" i="2" l="1"/>
  <c r="H2120" i="2"/>
  <c r="I2120" i="2" s="1"/>
  <c r="K2119" i="2"/>
  <c r="J2120" i="2" s="1"/>
  <c r="G2120" i="2"/>
  <c r="E2120" i="2"/>
  <c r="F2120" i="2" s="1"/>
  <c r="L2119" i="2" l="1"/>
  <c r="E2121" i="2"/>
  <c r="F2121" i="2" s="1"/>
  <c r="H2121" i="2"/>
  <c r="I2121" i="2" s="1"/>
  <c r="K2120" i="2"/>
  <c r="L2120" i="2" s="1"/>
  <c r="G2121" i="2"/>
  <c r="J2121" i="2" l="1"/>
  <c r="E2122" i="2"/>
  <c r="F2122" i="2" s="1"/>
  <c r="G2122" i="2"/>
  <c r="H2122" i="2"/>
  <c r="I2122" i="2" s="1"/>
  <c r="K2121" i="2"/>
  <c r="J2122" i="2" s="1"/>
  <c r="L2121" i="2" l="1"/>
  <c r="G2123" i="2"/>
  <c r="H2123" i="2"/>
  <c r="I2123" i="2" s="1"/>
  <c r="K2122" i="2"/>
  <c r="L2122" i="2" s="1"/>
  <c r="E2123" i="2"/>
  <c r="F2123" i="2" s="1"/>
  <c r="J2123" i="2" l="1"/>
  <c r="H2124" i="2"/>
  <c r="I2124" i="2" s="1"/>
  <c r="K2123" i="2"/>
  <c r="G2124" i="2"/>
  <c r="E2124" i="2"/>
  <c r="F2124" i="2" s="1"/>
  <c r="L2123" i="2" l="1"/>
  <c r="J2124" i="2"/>
  <c r="E2125" i="2"/>
  <c r="F2125" i="2" s="1"/>
  <c r="H2125" i="2"/>
  <c r="I2125" i="2" s="1"/>
  <c r="K2124" i="2"/>
  <c r="G2125" i="2"/>
  <c r="L2124" i="2" l="1"/>
  <c r="E2126" i="2"/>
  <c r="F2126" i="2" s="1"/>
  <c r="H2126" i="2"/>
  <c r="I2126" i="2" s="1"/>
  <c r="K2125" i="2"/>
  <c r="J2126" i="2" s="1"/>
  <c r="G2126" i="2"/>
  <c r="J2125" i="2"/>
  <c r="G2127" i="2" l="1"/>
  <c r="H2127" i="2"/>
  <c r="I2127" i="2" s="1"/>
  <c r="K2126" i="2"/>
  <c r="L2126" i="2" s="1"/>
  <c r="E2127" i="2"/>
  <c r="F2127" i="2" s="1"/>
  <c r="L2125" i="2"/>
  <c r="J2127" i="2" l="1"/>
  <c r="H2128" i="2"/>
  <c r="I2128" i="2" s="1"/>
  <c r="K2127" i="2"/>
  <c r="J2128" i="2" s="1"/>
  <c r="G2128" i="2"/>
  <c r="E2128" i="2"/>
  <c r="F2128" i="2" s="1"/>
  <c r="L2127" i="2" l="1"/>
  <c r="E2129" i="2"/>
  <c r="F2129" i="2" s="1"/>
  <c r="H2129" i="2"/>
  <c r="I2129" i="2" s="1"/>
  <c r="K2128" i="2"/>
  <c r="L2128" i="2" s="1"/>
  <c r="G2129" i="2"/>
  <c r="E2130" i="2" l="1"/>
  <c r="F2130" i="2" s="1"/>
  <c r="G2130" i="2"/>
  <c r="H2130" i="2"/>
  <c r="I2130" i="2" s="1"/>
  <c r="K2129" i="2"/>
  <c r="J2130" i="2" s="1"/>
  <c r="J2129" i="2"/>
  <c r="L2129" i="2" l="1"/>
  <c r="G2131" i="2"/>
  <c r="H2131" i="2"/>
  <c r="I2131" i="2" s="1"/>
  <c r="K2130" i="2"/>
  <c r="L2130" i="2" s="1"/>
  <c r="E2131" i="2"/>
  <c r="F2131" i="2" s="1"/>
  <c r="J2131" i="2" l="1"/>
  <c r="H2132" i="2"/>
  <c r="I2132" i="2" s="1"/>
  <c r="K2131" i="2"/>
  <c r="J2132" i="2" s="1"/>
  <c r="G2132" i="2"/>
  <c r="E2132" i="2"/>
  <c r="F2132" i="2" s="1"/>
  <c r="L2131" i="2" l="1"/>
  <c r="E2133" i="2"/>
  <c r="F2133" i="2" s="1"/>
  <c r="H2133" i="2"/>
  <c r="I2133" i="2" s="1"/>
  <c r="K2132" i="2"/>
  <c r="L2132" i="2" s="1"/>
  <c r="G2133" i="2"/>
  <c r="E2134" i="2" l="1"/>
  <c r="F2134" i="2" s="1"/>
  <c r="H2134" i="2"/>
  <c r="I2134" i="2" s="1"/>
  <c r="K2133" i="2"/>
  <c r="J2134" i="2" s="1"/>
  <c r="G2134" i="2"/>
  <c r="J2133" i="2"/>
  <c r="G2135" i="2" l="1"/>
  <c r="H2135" i="2"/>
  <c r="I2135" i="2" s="1"/>
  <c r="K2134" i="2"/>
  <c r="L2134" i="2" s="1"/>
  <c r="E2135" i="2"/>
  <c r="F2135" i="2" s="1"/>
  <c r="L2133" i="2"/>
  <c r="J2135" i="2" l="1"/>
  <c r="H2136" i="2"/>
  <c r="I2136" i="2" s="1"/>
  <c r="K2135" i="2"/>
  <c r="J2136" i="2" s="1"/>
  <c r="G2136" i="2"/>
  <c r="E2136" i="2"/>
  <c r="F2136" i="2" s="1"/>
  <c r="L2135" i="2" l="1"/>
  <c r="E2137" i="2"/>
  <c r="F2137" i="2" s="1"/>
  <c r="H2137" i="2"/>
  <c r="I2137" i="2" s="1"/>
  <c r="K2136" i="2"/>
  <c r="L2136" i="2" s="1"/>
  <c r="G2137" i="2"/>
  <c r="E2138" i="2" l="1"/>
  <c r="F2138" i="2" s="1"/>
  <c r="G2138" i="2"/>
  <c r="K2137" i="2"/>
  <c r="J2138" i="2" s="1"/>
  <c r="H2138" i="2"/>
  <c r="I2138" i="2" s="1"/>
  <c r="J2137" i="2"/>
  <c r="L2137" i="2" l="1"/>
  <c r="G2139" i="2"/>
  <c r="H2139" i="2"/>
  <c r="I2139" i="2" s="1"/>
  <c r="K2138" i="2"/>
  <c r="L2138" i="2" s="1"/>
  <c r="E2139" i="2"/>
  <c r="F2139" i="2" s="1"/>
  <c r="J2139" i="2" l="1"/>
  <c r="H2140" i="2"/>
  <c r="I2140" i="2" s="1"/>
  <c r="K2139" i="2"/>
  <c r="J2140" i="2" s="1"/>
  <c r="G2140" i="2"/>
  <c r="E2140" i="2"/>
  <c r="F2140" i="2" s="1"/>
  <c r="E2141" i="2" l="1"/>
  <c r="F2141" i="2" s="1"/>
  <c r="H2141" i="2"/>
  <c r="I2141" i="2" s="1"/>
  <c r="K2140" i="2"/>
  <c r="L2140" i="2" s="1"/>
  <c r="G2141" i="2"/>
  <c r="L2139" i="2"/>
  <c r="E2142" i="2" l="1"/>
  <c r="F2142" i="2" s="1"/>
  <c r="H2142" i="2"/>
  <c r="I2142" i="2" s="1"/>
  <c r="K2141" i="2"/>
  <c r="J2142" i="2" s="1"/>
  <c r="G2142" i="2"/>
  <c r="J2141" i="2"/>
  <c r="L2141" i="2" l="1"/>
  <c r="G2143" i="2"/>
  <c r="H2143" i="2"/>
  <c r="I2143" i="2" s="1"/>
  <c r="K2142" i="2"/>
  <c r="L2142" i="2" s="1"/>
  <c r="E2143" i="2"/>
  <c r="F2143" i="2" s="1"/>
  <c r="J2143" i="2" l="1"/>
  <c r="H2144" i="2"/>
  <c r="I2144" i="2" s="1"/>
  <c r="K2143" i="2"/>
  <c r="J2144" i="2" s="1"/>
  <c r="G2144" i="2"/>
  <c r="E2144" i="2"/>
  <c r="F2144" i="2" s="1"/>
  <c r="L2143" i="2" l="1"/>
  <c r="E2145" i="2"/>
  <c r="F2145" i="2" s="1"/>
  <c r="H2145" i="2"/>
  <c r="I2145" i="2" s="1"/>
  <c r="K2144" i="2"/>
  <c r="L2144" i="2" s="1"/>
  <c r="G2145" i="2"/>
  <c r="E2146" i="2" l="1"/>
  <c r="F2146" i="2" s="1"/>
  <c r="G2146" i="2"/>
  <c r="H2146" i="2"/>
  <c r="I2146" i="2" s="1"/>
  <c r="K2145" i="2"/>
  <c r="J2146" i="2" s="1"/>
  <c r="J2145" i="2"/>
  <c r="L2145" i="2" l="1"/>
  <c r="G2147" i="2"/>
  <c r="H2147" i="2"/>
  <c r="I2147" i="2" s="1"/>
  <c r="K2146" i="2"/>
  <c r="L2146" i="2" s="1"/>
  <c r="E2147" i="2"/>
  <c r="F2147" i="2" s="1"/>
  <c r="J2147" i="2" l="1"/>
  <c r="H2148" i="2"/>
  <c r="I2148" i="2" s="1"/>
  <c r="K2147" i="2"/>
  <c r="J2148" i="2" s="1"/>
  <c r="G2148" i="2"/>
  <c r="E2148" i="2"/>
  <c r="F2148" i="2" s="1"/>
  <c r="L2147" i="2" l="1"/>
  <c r="E2149" i="2"/>
  <c r="F2149" i="2" s="1"/>
  <c r="H2149" i="2"/>
  <c r="I2149" i="2" s="1"/>
  <c r="K2148" i="2"/>
  <c r="L2148" i="2" s="1"/>
  <c r="G2149" i="2"/>
  <c r="E2150" i="2" l="1"/>
  <c r="F2150" i="2" s="1"/>
  <c r="H2150" i="2"/>
  <c r="I2150" i="2" s="1"/>
  <c r="K2149" i="2"/>
  <c r="J2150" i="2" s="1"/>
  <c r="G2150" i="2"/>
  <c r="J2149" i="2"/>
  <c r="G2151" i="2" l="1"/>
  <c r="H2151" i="2"/>
  <c r="I2151" i="2" s="1"/>
  <c r="K2150" i="2"/>
  <c r="L2150" i="2" s="1"/>
  <c r="E2151" i="2"/>
  <c r="F2151" i="2" s="1"/>
  <c r="L2149" i="2"/>
  <c r="J2151" i="2" l="1"/>
  <c r="H2152" i="2"/>
  <c r="I2152" i="2" s="1"/>
  <c r="K2151" i="2"/>
  <c r="J2152" i="2" s="1"/>
  <c r="G2152" i="2"/>
  <c r="E2152" i="2"/>
  <c r="F2152" i="2" s="1"/>
  <c r="L2151" i="2" l="1"/>
  <c r="E2153" i="2"/>
  <c r="F2153" i="2" s="1"/>
  <c r="H2153" i="2"/>
  <c r="I2153" i="2" s="1"/>
  <c r="K2152" i="2"/>
  <c r="L2152" i="2" s="1"/>
  <c r="G2153" i="2"/>
  <c r="E2154" i="2" l="1"/>
  <c r="F2154" i="2" s="1"/>
  <c r="G2154" i="2"/>
  <c r="H2154" i="2"/>
  <c r="I2154" i="2" s="1"/>
  <c r="K2153" i="2"/>
  <c r="J2154" i="2" s="1"/>
  <c r="J2153" i="2"/>
  <c r="L2153" i="2" l="1"/>
  <c r="G2155" i="2"/>
  <c r="H2155" i="2"/>
  <c r="I2155" i="2" s="1"/>
  <c r="K2154" i="2"/>
  <c r="L2154" i="2" s="1"/>
  <c r="E2155" i="2"/>
  <c r="F2155" i="2" s="1"/>
  <c r="J2155" i="2" l="1"/>
  <c r="H2156" i="2"/>
  <c r="I2156" i="2" s="1"/>
  <c r="K2155" i="2"/>
  <c r="J2156" i="2" s="1"/>
  <c r="G2156" i="2"/>
  <c r="E2156" i="2"/>
  <c r="F2156" i="2" s="1"/>
  <c r="L2155" i="2" l="1"/>
  <c r="E2157" i="2"/>
  <c r="F2157" i="2" s="1"/>
  <c r="H2157" i="2"/>
  <c r="I2157" i="2" s="1"/>
  <c r="K2156" i="2"/>
  <c r="L2156" i="2" s="1"/>
  <c r="G2157" i="2"/>
  <c r="E2158" i="2" l="1"/>
  <c r="F2158" i="2" s="1"/>
  <c r="H2158" i="2"/>
  <c r="I2158" i="2" s="1"/>
  <c r="K2157" i="2"/>
  <c r="J2158" i="2" s="1"/>
  <c r="G2158" i="2"/>
  <c r="J2157" i="2"/>
  <c r="G2159" i="2" l="1"/>
  <c r="H2159" i="2"/>
  <c r="I2159" i="2" s="1"/>
  <c r="K2158" i="2"/>
  <c r="L2158" i="2" s="1"/>
  <c r="E2159" i="2"/>
  <c r="F2159" i="2" s="1"/>
  <c r="L2157" i="2"/>
  <c r="J2159" i="2" l="1"/>
  <c r="H2160" i="2"/>
  <c r="I2160" i="2" s="1"/>
  <c r="K2159" i="2"/>
  <c r="G2160" i="2"/>
  <c r="E2160" i="2"/>
  <c r="F2160" i="2" s="1"/>
  <c r="L2159" i="2" l="1"/>
  <c r="J2160" i="2"/>
  <c r="E2161" i="2"/>
  <c r="F2161" i="2" s="1"/>
  <c r="H2161" i="2"/>
  <c r="I2161" i="2" s="1"/>
  <c r="K2160" i="2"/>
  <c r="G2161" i="2"/>
  <c r="L2160" i="2" l="1"/>
  <c r="J2161" i="2"/>
  <c r="E2162" i="2"/>
  <c r="F2162" i="2" s="1"/>
  <c r="G2162" i="2"/>
  <c r="H2162" i="2"/>
  <c r="I2162" i="2" s="1"/>
  <c r="K2161" i="2"/>
  <c r="J2162" i="2" s="1"/>
  <c r="L2161" i="2" l="1"/>
  <c r="G2163" i="2"/>
  <c r="H2163" i="2"/>
  <c r="I2163" i="2" s="1"/>
  <c r="K2162" i="2"/>
  <c r="L2162" i="2" s="1"/>
  <c r="E2163" i="2"/>
  <c r="F2163" i="2" s="1"/>
  <c r="J2163" i="2" l="1"/>
  <c r="H2164" i="2"/>
  <c r="I2164" i="2" s="1"/>
  <c r="K2163" i="2"/>
  <c r="G2164" i="2"/>
  <c r="E2164" i="2"/>
  <c r="F2164" i="2" s="1"/>
  <c r="L2163" i="2" l="1"/>
  <c r="J2164" i="2"/>
  <c r="E2165" i="2"/>
  <c r="F2165" i="2" s="1"/>
  <c r="H2165" i="2"/>
  <c r="I2165" i="2" s="1"/>
  <c r="K2164" i="2"/>
  <c r="G2165" i="2"/>
  <c r="L2164" i="2" l="1"/>
  <c r="J2165" i="2"/>
  <c r="E2166" i="2"/>
  <c r="F2166" i="2" s="1"/>
  <c r="H2166" i="2"/>
  <c r="I2166" i="2" s="1"/>
  <c r="K2165" i="2"/>
  <c r="G2166" i="2"/>
  <c r="L2165" i="2" l="1"/>
  <c r="J2166" i="2"/>
  <c r="G2167" i="2"/>
  <c r="H2167" i="2"/>
  <c r="I2167" i="2" s="1"/>
  <c r="K2166" i="2"/>
  <c r="E2167" i="2"/>
  <c r="F2167" i="2" s="1"/>
  <c r="L2166" i="2" l="1"/>
  <c r="J2167" i="2"/>
  <c r="H2168" i="2"/>
  <c r="I2168" i="2" s="1"/>
  <c r="K2167" i="2"/>
  <c r="J2168" i="2" s="1"/>
  <c r="G2168" i="2"/>
  <c r="E2168" i="2"/>
  <c r="F2168" i="2" s="1"/>
  <c r="L2167" i="2" l="1"/>
  <c r="E2169" i="2"/>
  <c r="F2169" i="2" s="1"/>
  <c r="H2169" i="2"/>
  <c r="I2169" i="2" s="1"/>
  <c r="K2168" i="2"/>
  <c r="L2168" i="2" s="1"/>
  <c r="G2169" i="2"/>
  <c r="J2169" i="2" l="1"/>
  <c r="E2170" i="2"/>
  <c r="F2170" i="2" s="1"/>
  <c r="G2170" i="2"/>
  <c r="K2169" i="2"/>
  <c r="J2170" i="2" s="1"/>
  <c r="H2170" i="2"/>
  <c r="I2170" i="2" s="1"/>
  <c r="L2169" i="2" l="1"/>
  <c r="G2171" i="2"/>
  <c r="H2171" i="2"/>
  <c r="I2171" i="2" s="1"/>
  <c r="K2170" i="2"/>
  <c r="L2170" i="2" s="1"/>
  <c r="E2171" i="2"/>
  <c r="F2171" i="2" s="1"/>
  <c r="J2171" i="2" l="1"/>
  <c r="H2172" i="2"/>
  <c r="I2172" i="2" s="1"/>
  <c r="K2171" i="2"/>
  <c r="J2172" i="2" s="1"/>
  <c r="G2172" i="2"/>
  <c r="E2172" i="2"/>
  <c r="F2172" i="2" s="1"/>
  <c r="E2173" i="2" l="1"/>
  <c r="F2173" i="2" s="1"/>
  <c r="H2173" i="2"/>
  <c r="I2173" i="2" s="1"/>
  <c r="K2172" i="2"/>
  <c r="L2172" i="2" s="1"/>
  <c r="G2173" i="2"/>
  <c r="L2171" i="2"/>
  <c r="J2173" i="2" l="1"/>
  <c r="E2174" i="2"/>
  <c r="F2174" i="2" s="1"/>
  <c r="H2174" i="2"/>
  <c r="I2174" i="2" s="1"/>
  <c r="K2173" i="2"/>
  <c r="L2173" i="2" s="1"/>
  <c r="G2174" i="2"/>
  <c r="J2174" i="2" l="1"/>
  <c r="G2175" i="2"/>
  <c r="H2175" i="2"/>
  <c r="I2175" i="2" s="1"/>
  <c r="K2174" i="2"/>
  <c r="E2175" i="2"/>
  <c r="F2175" i="2" s="1"/>
  <c r="L2174" i="2" l="1"/>
  <c r="J2175" i="2"/>
  <c r="H2176" i="2"/>
  <c r="I2176" i="2" s="1"/>
  <c r="K2175" i="2"/>
  <c r="J2176" i="2" s="1"/>
  <c r="G2176" i="2"/>
  <c r="E2176" i="2"/>
  <c r="F2176" i="2" s="1"/>
  <c r="L2175" i="2" l="1"/>
  <c r="E2177" i="2"/>
  <c r="F2177" i="2" s="1"/>
  <c r="H2177" i="2"/>
  <c r="I2177" i="2" s="1"/>
  <c r="K2176" i="2"/>
  <c r="L2176" i="2" s="1"/>
  <c r="G2177" i="2"/>
  <c r="J2177" i="2" l="1"/>
  <c r="E2178" i="2"/>
  <c r="F2178" i="2" s="1"/>
  <c r="G2178" i="2"/>
  <c r="H2178" i="2"/>
  <c r="I2178" i="2" s="1"/>
  <c r="K2177" i="2"/>
  <c r="J2178" i="2" s="1"/>
  <c r="L2177" i="2" l="1"/>
  <c r="G2179" i="2"/>
  <c r="H2179" i="2"/>
  <c r="I2179" i="2" s="1"/>
  <c r="K2178" i="2"/>
  <c r="L2178" i="2" s="1"/>
  <c r="E2179" i="2"/>
  <c r="F2179" i="2" s="1"/>
  <c r="J2179" i="2" l="1"/>
  <c r="H2180" i="2"/>
  <c r="I2180" i="2" s="1"/>
  <c r="K2179" i="2"/>
  <c r="J2180" i="2" s="1"/>
  <c r="G2180" i="2"/>
  <c r="E2180" i="2"/>
  <c r="F2180" i="2" s="1"/>
  <c r="L2179" i="2" l="1"/>
  <c r="E2181" i="2"/>
  <c r="F2181" i="2" s="1"/>
  <c r="H2181" i="2"/>
  <c r="I2181" i="2" s="1"/>
  <c r="K2180" i="2"/>
  <c r="L2180" i="2" s="1"/>
  <c r="G2181" i="2"/>
  <c r="E2182" i="2" l="1"/>
  <c r="F2182" i="2" s="1"/>
  <c r="H2182" i="2"/>
  <c r="I2182" i="2" s="1"/>
  <c r="K2181" i="2"/>
  <c r="J2182" i="2" s="1"/>
  <c r="G2182" i="2"/>
  <c r="J2181" i="2"/>
  <c r="G2183" i="2" l="1"/>
  <c r="H2183" i="2"/>
  <c r="I2183" i="2" s="1"/>
  <c r="K2182" i="2"/>
  <c r="L2182" i="2" s="1"/>
  <c r="E2183" i="2"/>
  <c r="F2183" i="2" s="1"/>
  <c r="L2181" i="2"/>
  <c r="H2184" i="2" l="1"/>
  <c r="I2184" i="2" s="1"/>
  <c r="K2183" i="2"/>
  <c r="J2184" i="2" s="1"/>
  <c r="G2184" i="2"/>
  <c r="E2184" i="2"/>
  <c r="F2184" i="2" s="1"/>
  <c r="J2183" i="2"/>
  <c r="L2183" i="2" l="1"/>
  <c r="E2185" i="2"/>
  <c r="F2185" i="2" s="1"/>
  <c r="H2185" i="2"/>
  <c r="I2185" i="2" s="1"/>
  <c r="K2184" i="2"/>
  <c r="L2184" i="2" s="1"/>
  <c r="G2185" i="2"/>
  <c r="E2186" i="2" l="1"/>
  <c r="F2186" i="2" s="1"/>
  <c r="G2186" i="2"/>
  <c r="H2186" i="2"/>
  <c r="I2186" i="2" s="1"/>
  <c r="K2185" i="2"/>
  <c r="J2186" i="2" s="1"/>
  <c r="J2185" i="2"/>
  <c r="L2185" i="2" l="1"/>
  <c r="G2187" i="2"/>
  <c r="H2187" i="2"/>
  <c r="I2187" i="2" s="1"/>
  <c r="K2186" i="2"/>
  <c r="L2186" i="2" s="1"/>
  <c r="E2187" i="2"/>
  <c r="F2187" i="2" s="1"/>
  <c r="J2187" i="2" l="1"/>
  <c r="H2188" i="2"/>
  <c r="I2188" i="2" s="1"/>
  <c r="K2187" i="2"/>
  <c r="J2188" i="2" s="1"/>
  <c r="G2188" i="2"/>
  <c r="E2188" i="2"/>
  <c r="F2188" i="2" s="1"/>
  <c r="L2187" i="2" l="1"/>
  <c r="E2189" i="2"/>
  <c r="F2189" i="2" s="1"/>
  <c r="H2189" i="2"/>
  <c r="I2189" i="2" s="1"/>
  <c r="K2188" i="2"/>
  <c r="L2188" i="2" s="1"/>
  <c r="G2189" i="2"/>
  <c r="E2190" i="2" l="1"/>
  <c r="F2190" i="2" s="1"/>
  <c r="H2190" i="2"/>
  <c r="I2190" i="2" s="1"/>
  <c r="K2189" i="2"/>
  <c r="J2190" i="2" s="1"/>
  <c r="G2190" i="2"/>
  <c r="J2189" i="2"/>
  <c r="G2191" i="2" l="1"/>
  <c r="H2191" i="2"/>
  <c r="I2191" i="2" s="1"/>
  <c r="K2190" i="2"/>
  <c r="L2190" i="2" s="1"/>
  <c r="E2191" i="2"/>
  <c r="F2191" i="2" s="1"/>
  <c r="L2189" i="2"/>
  <c r="J2191" i="2" l="1"/>
  <c r="H2192" i="2"/>
  <c r="I2192" i="2" s="1"/>
  <c r="K2191" i="2"/>
  <c r="J2192" i="2" s="1"/>
  <c r="G2192" i="2"/>
  <c r="E2192" i="2"/>
  <c r="F2192" i="2" s="1"/>
  <c r="L2191" i="2" l="1"/>
  <c r="E2193" i="2"/>
  <c r="F2193" i="2" s="1"/>
  <c r="H2193" i="2"/>
  <c r="I2193" i="2" s="1"/>
  <c r="K2192" i="2"/>
  <c r="L2192" i="2" s="1"/>
  <c r="G2193" i="2"/>
  <c r="E2194" i="2" l="1"/>
  <c r="F2194" i="2" s="1"/>
  <c r="G2194" i="2"/>
  <c r="H2194" i="2"/>
  <c r="I2194" i="2" s="1"/>
  <c r="K2193" i="2"/>
  <c r="J2194" i="2" s="1"/>
  <c r="J2193" i="2"/>
  <c r="L2193" i="2" l="1"/>
  <c r="G2195" i="2"/>
  <c r="H2195" i="2"/>
  <c r="I2195" i="2" s="1"/>
  <c r="K2194" i="2"/>
  <c r="L2194" i="2" s="1"/>
  <c r="E2195" i="2"/>
  <c r="F2195" i="2" s="1"/>
  <c r="J2195" i="2" l="1"/>
  <c r="H2196" i="2"/>
  <c r="I2196" i="2" s="1"/>
  <c r="K2195" i="2"/>
  <c r="J2196" i="2" s="1"/>
  <c r="G2196" i="2"/>
  <c r="E2196" i="2"/>
  <c r="F2196" i="2" s="1"/>
  <c r="L2195" i="2" l="1"/>
  <c r="E2197" i="2"/>
  <c r="F2197" i="2" s="1"/>
  <c r="H2197" i="2"/>
  <c r="I2197" i="2" s="1"/>
  <c r="K2196" i="2"/>
  <c r="L2196" i="2" s="1"/>
  <c r="G2197" i="2"/>
  <c r="E2198" i="2" l="1"/>
  <c r="F2198" i="2" s="1"/>
  <c r="H2198" i="2"/>
  <c r="I2198" i="2" s="1"/>
  <c r="K2197" i="2"/>
  <c r="J2198" i="2" s="1"/>
  <c r="G2198" i="2"/>
  <c r="J2197" i="2"/>
  <c r="G2199" i="2" l="1"/>
  <c r="H2199" i="2"/>
  <c r="I2199" i="2" s="1"/>
  <c r="K2198" i="2"/>
  <c r="L2198" i="2" s="1"/>
  <c r="E2199" i="2"/>
  <c r="F2199" i="2" s="1"/>
  <c r="L2197" i="2"/>
  <c r="J2199" i="2" l="1"/>
  <c r="H2200" i="2"/>
  <c r="I2200" i="2" s="1"/>
  <c r="K2199" i="2"/>
  <c r="J2200" i="2" s="1"/>
  <c r="G2200" i="2"/>
  <c r="E2200" i="2"/>
  <c r="F2200" i="2" s="1"/>
  <c r="L2199" i="2" l="1"/>
  <c r="E2201" i="2"/>
  <c r="F2201" i="2" s="1"/>
  <c r="H2201" i="2"/>
  <c r="I2201" i="2" s="1"/>
  <c r="K2200" i="2"/>
  <c r="L2200" i="2" s="1"/>
  <c r="G2201" i="2"/>
  <c r="J2201" i="2" l="1"/>
  <c r="E2202" i="2"/>
  <c r="F2202" i="2" s="1"/>
  <c r="G2202" i="2"/>
  <c r="K2201" i="2"/>
  <c r="J2202" i="2" s="1"/>
  <c r="H2202" i="2"/>
  <c r="I2202" i="2" s="1"/>
  <c r="L2201" i="2" l="1"/>
  <c r="G2203" i="2"/>
  <c r="H2203" i="2"/>
  <c r="I2203" i="2" s="1"/>
  <c r="K2202" i="2"/>
  <c r="L2202" i="2" s="1"/>
  <c r="E2203" i="2"/>
  <c r="F2203" i="2" s="1"/>
  <c r="J2203" i="2" l="1"/>
  <c r="H2204" i="2"/>
  <c r="I2204" i="2" s="1"/>
  <c r="K2203" i="2"/>
  <c r="G2204" i="2"/>
  <c r="E2204" i="2"/>
  <c r="F2204" i="2" s="1"/>
  <c r="L2203" i="2" l="1"/>
  <c r="J2204" i="2"/>
  <c r="E2205" i="2"/>
  <c r="F2205" i="2" s="1"/>
  <c r="H2205" i="2"/>
  <c r="I2205" i="2" s="1"/>
  <c r="K2204" i="2"/>
  <c r="G2205" i="2"/>
  <c r="L2204" i="2" l="1"/>
  <c r="E2206" i="2"/>
  <c r="F2206" i="2" s="1"/>
  <c r="H2206" i="2"/>
  <c r="I2206" i="2" s="1"/>
  <c r="K2205" i="2"/>
  <c r="J2206" i="2" s="1"/>
  <c r="G2206" i="2"/>
  <c r="J2205" i="2"/>
  <c r="L2205" i="2" l="1"/>
  <c r="G2207" i="2"/>
  <c r="H2207" i="2"/>
  <c r="I2207" i="2" s="1"/>
  <c r="K2206" i="2"/>
  <c r="L2206" i="2" s="1"/>
  <c r="E2207" i="2"/>
  <c r="F2207" i="2" s="1"/>
  <c r="J2207" i="2" l="1"/>
  <c r="H2208" i="2"/>
  <c r="I2208" i="2" s="1"/>
  <c r="K2207" i="2"/>
  <c r="J2208" i="2" s="1"/>
  <c r="G2208" i="2"/>
  <c r="E2208" i="2"/>
  <c r="F2208" i="2" s="1"/>
  <c r="L2207" i="2" l="1"/>
  <c r="E2209" i="2"/>
  <c r="F2209" i="2" s="1"/>
  <c r="H2209" i="2"/>
  <c r="I2209" i="2" s="1"/>
  <c r="K2208" i="2"/>
  <c r="L2208" i="2" s="1"/>
  <c r="G2209" i="2"/>
  <c r="J2209" i="2" l="1"/>
  <c r="E2210" i="2"/>
  <c r="F2210" i="2" s="1"/>
  <c r="G2210" i="2"/>
  <c r="H2210" i="2"/>
  <c r="I2210" i="2" s="1"/>
  <c r="K2209" i="2"/>
  <c r="J2210" i="2" s="1"/>
  <c r="L2209" i="2" l="1"/>
  <c r="G2211" i="2"/>
  <c r="H2211" i="2"/>
  <c r="I2211" i="2" s="1"/>
  <c r="K2210" i="2"/>
  <c r="J2211" i="2" s="1"/>
  <c r="E2211" i="2"/>
  <c r="F2211" i="2" s="1"/>
  <c r="H2212" i="2" l="1"/>
  <c r="I2212" i="2" s="1"/>
  <c r="K2211" i="2"/>
  <c r="L2211" i="2" s="1"/>
  <c r="G2212" i="2"/>
  <c r="E2212" i="2"/>
  <c r="F2212" i="2" s="1"/>
  <c r="L2210" i="2"/>
  <c r="E2213" i="2" l="1"/>
  <c r="F2213" i="2" s="1"/>
  <c r="H2213" i="2"/>
  <c r="I2213" i="2" s="1"/>
  <c r="K2212" i="2"/>
  <c r="J2213" i="2" s="1"/>
  <c r="G2213" i="2"/>
  <c r="J2212" i="2"/>
  <c r="L2212" i="2" l="1"/>
  <c r="E2214" i="2"/>
  <c r="F2214" i="2" s="1"/>
  <c r="H2214" i="2"/>
  <c r="I2214" i="2" s="1"/>
  <c r="K2213" i="2"/>
  <c r="L2213" i="2" s="1"/>
  <c r="G2214" i="2"/>
  <c r="G2215" i="2" l="1"/>
  <c r="H2215" i="2"/>
  <c r="I2215" i="2" s="1"/>
  <c r="K2214" i="2"/>
  <c r="J2215" i="2" s="1"/>
  <c r="E2215" i="2"/>
  <c r="F2215" i="2" s="1"/>
  <c r="J2214" i="2"/>
  <c r="H2216" i="2" l="1"/>
  <c r="I2216" i="2" s="1"/>
  <c r="K2215" i="2"/>
  <c r="L2215" i="2" s="1"/>
  <c r="G2216" i="2"/>
  <c r="E2216" i="2"/>
  <c r="F2216" i="2" s="1"/>
  <c r="L2214" i="2"/>
  <c r="J2216" i="2" l="1"/>
  <c r="E2217" i="2"/>
  <c r="F2217" i="2" s="1"/>
  <c r="H2217" i="2"/>
  <c r="I2217" i="2" s="1"/>
  <c r="K2216" i="2"/>
  <c r="G2217" i="2"/>
  <c r="L2216" i="2" l="1"/>
  <c r="E2218" i="2"/>
  <c r="F2218" i="2" s="1"/>
  <c r="G2218" i="2"/>
  <c r="H2218" i="2"/>
  <c r="I2218" i="2" s="1"/>
  <c r="K2217" i="2"/>
  <c r="J2218" i="2" s="1"/>
  <c r="J2217" i="2"/>
  <c r="L2217" i="2" l="1"/>
  <c r="G2219" i="2"/>
  <c r="H2219" i="2"/>
  <c r="I2219" i="2" s="1"/>
  <c r="K2218" i="2"/>
  <c r="L2218" i="2" s="1"/>
  <c r="E2219" i="2"/>
  <c r="F2219" i="2" s="1"/>
  <c r="H2220" i="2" l="1"/>
  <c r="I2220" i="2" s="1"/>
  <c r="K2219" i="2"/>
  <c r="J2220" i="2" s="1"/>
  <c r="G2220" i="2"/>
  <c r="E2220" i="2"/>
  <c r="F2220" i="2" s="1"/>
  <c r="J2219" i="2"/>
  <c r="L2219" i="2" l="1"/>
  <c r="E2221" i="2"/>
  <c r="F2221" i="2" s="1"/>
  <c r="H2221" i="2"/>
  <c r="I2221" i="2" s="1"/>
  <c r="K2220" i="2"/>
  <c r="L2220" i="2" s="1"/>
  <c r="G2221" i="2"/>
  <c r="E2222" i="2" l="1"/>
  <c r="F2222" i="2" s="1"/>
  <c r="H2222" i="2"/>
  <c r="I2222" i="2" s="1"/>
  <c r="K2221" i="2"/>
  <c r="J2222" i="2" s="1"/>
  <c r="G2222" i="2"/>
  <c r="J2221" i="2"/>
  <c r="G2223" i="2" l="1"/>
  <c r="H2223" i="2"/>
  <c r="I2223" i="2" s="1"/>
  <c r="K2222" i="2"/>
  <c r="L2222" i="2" s="1"/>
  <c r="E2223" i="2"/>
  <c r="F2223" i="2" s="1"/>
  <c r="L2221" i="2"/>
  <c r="J2223" i="2" l="1"/>
  <c r="H2224" i="2"/>
  <c r="I2224" i="2" s="1"/>
  <c r="K2223" i="2"/>
  <c r="J2224" i="2" s="1"/>
  <c r="G2224" i="2"/>
  <c r="E2224" i="2"/>
  <c r="F2224" i="2" s="1"/>
  <c r="L2223" i="2" l="1"/>
  <c r="E2225" i="2"/>
  <c r="F2225" i="2" s="1"/>
  <c r="H2225" i="2"/>
  <c r="I2225" i="2" s="1"/>
  <c r="K2224" i="2"/>
  <c r="L2224" i="2" s="1"/>
  <c r="G2225" i="2"/>
  <c r="E2226" i="2" l="1"/>
  <c r="F2226" i="2" s="1"/>
  <c r="G2226" i="2"/>
  <c r="H2226" i="2"/>
  <c r="I2226" i="2" s="1"/>
  <c r="K2225" i="2"/>
  <c r="J2226" i="2" s="1"/>
  <c r="J2225" i="2"/>
  <c r="L2225" i="2" l="1"/>
  <c r="G2227" i="2"/>
  <c r="H2227" i="2"/>
  <c r="I2227" i="2" s="1"/>
  <c r="K2226" i="2"/>
  <c r="L2226" i="2" s="1"/>
  <c r="E2227" i="2"/>
  <c r="F2227" i="2" s="1"/>
  <c r="J2227" i="2" l="1"/>
  <c r="H2228" i="2"/>
  <c r="I2228" i="2" s="1"/>
  <c r="K2227" i="2"/>
  <c r="J2228" i="2" s="1"/>
  <c r="G2228" i="2"/>
  <c r="E2228" i="2"/>
  <c r="F2228" i="2" s="1"/>
  <c r="L2227" i="2" l="1"/>
  <c r="E2229" i="2"/>
  <c r="F2229" i="2" s="1"/>
  <c r="H2229" i="2"/>
  <c r="I2229" i="2" s="1"/>
  <c r="K2228" i="2"/>
  <c r="L2228" i="2" s="1"/>
  <c r="G2229" i="2"/>
  <c r="E2230" i="2" l="1"/>
  <c r="F2230" i="2" s="1"/>
  <c r="H2230" i="2"/>
  <c r="I2230" i="2" s="1"/>
  <c r="K2229" i="2"/>
  <c r="J2230" i="2" s="1"/>
  <c r="G2230" i="2"/>
  <c r="J2229" i="2"/>
  <c r="L2229" i="2" l="1"/>
  <c r="G2231" i="2"/>
  <c r="H2231" i="2"/>
  <c r="I2231" i="2" s="1"/>
  <c r="K2230" i="2"/>
  <c r="L2230" i="2" s="1"/>
  <c r="E2231" i="2"/>
  <c r="F2231" i="2" s="1"/>
  <c r="J2231" i="2" l="1"/>
  <c r="H2232" i="2"/>
  <c r="I2232" i="2" s="1"/>
  <c r="K2231" i="2"/>
  <c r="J2232" i="2" s="1"/>
  <c r="G2232" i="2"/>
  <c r="E2232" i="2"/>
  <c r="F2232" i="2" s="1"/>
  <c r="L2231" i="2" l="1"/>
  <c r="E2233" i="2"/>
  <c r="F2233" i="2" s="1"/>
  <c r="H2233" i="2"/>
  <c r="I2233" i="2" s="1"/>
  <c r="K2232" i="2"/>
  <c r="L2232" i="2" s="1"/>
  <c r="G2233" i="2"/>
  <c r="J2233" i="2" l="1"/>
  <c r="E2234" i="2"/>
  <c r="F2234" i="2" s="1"/>
  <c r="G2234" i="2"/>
  <c r="K2233" i="2"/>
  <c r="L2233" i="2" s="1"/>
  <c r="H2234" i="2"/>
  <c r="I2234" i="2" s="1"/>
  <c r="J2234" i="2" l="1"/>
  <c r="G2235" i="2"/>
  <c r="H2235" i="2"/>
  <c r="I2235" i="2" s="1"/>
  <c r="K2234" i="2"/>
  <c r="E2235" i="2"/>
  <c r="F2235" i="2" s="1"/>
  <c r="L2234" i="2" l="1"/>
  <c r="J2235" i="2"/>
  <c r="H2236" i="2"/>
  <c r="I2236" i="2" s="1"/>
  <c r="K2235" i="2"/>
  <c r="J2236" i="2" s="1"/>
  <c r="G2236" i="2"/>
  <c r="E2236" i="2"/>
  <c r="F2236" i="2" s="1"/>
  <c r="L2235" i="2" l="1"/>
  <c r="E2237" i="2"/>
  <c r="F2237" i="2" s="1"/>
  <c r="H2237" i="2"/>
  <c r="I2237" i="2" s="1"/>
  <c r="K2236" i="2"/>
  <c r="L2236" i="2" s="1"/>
  <c r="G2237" i="2"/>
  <c r="J2237" i="2" l="1"/>
  <c r="E2238" i="2"/>
  <c r="F2238" i="2" s="1"/>
  <c r="H2238" i="2"/>
  <c r="I2238" i="2" s="1"/>
  <c r="K2237" i="2"/>
  <c r="J2238" i="2" s="1"/>
  <c r="G2238" i="2"/>
  <c r="G2239" i="2" l="1"/>
  <c r="H2239" i="2"/>
  <c r="I2239" i="2" s="1"/>
  <c r="K2238" i="2"/>
  <c r="L2238" i="2" s="1"/>
  <c r="E2239" i="2"/>
  <c r="F2239" i="2" s="1"/>
  <c r="L2237" i="2"/>
  <c r="J2239" i="2" l="1"/>
  <c r="H2240" i="2"/>
  <c r="I2240" i="2" s="1"/>
  <c r="K2239" i="2"/>
  <c r="J2240" i="2" s="1"/>
  <c r="G2240" i="2"/>
  <c r="E2240" i="2"/>
  <c r="F2240" i="2" s="1"/>
  <c r="L2239" i="2" l="1"/>
  <c r="E2241" i="2"/>
  <c r="F2241" i="2" s="1"/>
  <c r="H2241" i="2"/>
  <c r="I2241" i="2" s="1"/>
  <c r="K2240" i="2"/>
  <c r="L2240" i="2" s="1"/>
  <c r="G2241" i="2"/>
  <c r="E2242" i="2" l="1"/>
  <c r="F2242" i="2" s="1"/>
  <c r="G2242" i="2"/>
  <c r="H2242" i="2"/>
  <c r="I2242" i="2" s="1"/>
  <c r="K2241" i="2"/>
  <c r="J2242" i="2" s="1"/>
  <c r="J2241" i="2"/>
  <c r="L2241" i="2" l="1"/>
  <c r="G2243" i="2"/>
  <c r="H2243" i="2"/>
  <c r="I2243" i="2" s="1"/>
  <c r="K2242" i="2"/>
  <c r="J2243" i="2" s="1"/>
  <c r="E2243" i="2"/>
  <c r="F2243" i="2" s="1"/>
  <c r="H2244" i="2" l="1"/>
  <c r="I2244" i="2" s="1"/>
  <c r="K2243" i="2"/>
  <c r="L2243" i="2" s="1"/>
  <c r="G2244" i="2"/>
  <c r="E2244" i="2"/>
  <c r="F2244" i="2" s="1"/>
  <c r="L2242" i="2"/>
  <c r="J2244" i="2" l="1"/>
  <c r="E2245" i="2"/>
  <c r="F2245" i="2" s="1"/>
  <c r="H2245" i="2"/>
  <c r="I2245" i="2" s="1"/>
  <c r="K2244" i="2"/>
  <c r="J2245" i="2" s="1"/>
  <c r="G2245" i="2"/>
  <c r="L2244" i="2" l="1"/>
  <c r="E2246" i="2"/>
  <c r="F2246" i="2" s="1"/>
  <c r="H2246" i="2"/>
  <c r="I2246" i="2" s="1"/>
  <c r="K2245" i="2"/>
  <c r="L2245" i="2" s="1"/>
  <c r="G2246" i="2"/>
  <c r="J2246" i="2" l="1"/>
  <c r="G2247" i="2"/>
  <c r="H2247" i="2"/>
  <c r="I2247" i="2" s="1"/>
  <c r="K2246" i="2"/>
  <c r="E2247" i="2"/>
  <c r="F2247" i="2" s="1"/>
  <c r="L2246" i="2" l="1"/>
  <c r="J2247" i="2"/>
  <c r="H2248" i="2"/>
  <c r="I2248" i="2" s="1"/>
  <c r="K2247" i="2"/>
  <c r="J2248" i="2" s="1"/>
  <c r="G2248" i="2"/>
  <c r="E2248" i="2"/>
  <c r="F2248" i="2" s="1"/>
  <c r="L2247" i="2" l="1"/>
  <c r="E2249" i="2"/>
  <c r="F2249" i="2" s="1"/>
  <c r="H2249" i="2"/>
  <c r="I2249" i="2" s="1"/>
  <c r="K2248" i="2"/>
  <c r="L2248" i="2" s="1"/>
  <c r="G2249" i="2"/>
  <c r="E2250" i="2" l="1"/>
  <c r="F2250" i="2" s="1"/>
  <c r="G2250" i="2"/>
  <c r="H2250" i="2"/>
  <c r="I2250" i="2" s="1"/>
  <c r="K2249" i="2"/>
  <c r="J2250" i="2" s="1"/>
  <c r="J2249" i="2"/>
  <c r="L2249" i="2" l="1"/>
  <c r="G2251" i="2"/>
  <c r="H2251" i="2"/>
  <c r="I2251" i="2" s="1"/>
  <c r="K2250" i="2"/>
  <c r="L2250" i="2" s="1"/>
  <c r="E2251" i="2"/>
  <c r="F2251" i="2" s="1"/>
  <c r="J2251" i="2" l="1"/>
  <c r="H2252" i="2"/>
  <c r="I2252" i="2" s="1"/>
  <c r="K2251" i="2"/>
  <c r="J2252" i="2" s="1"/>
  <c r="G2252" i="2"/>
  <c r="E2252" i="2"/>
  <c r="F2252" i="2" s="1"/>
  <c r="L2251" i="2" l="1"/>
  <c r="E2253" i="2"/>
  <c r="F2253" i="2" s="1"/>
  <c r="H2253" i="2"/>
  <c r="I2253" i="2" s="1"/>
  <c r="K2252" i="2"/>
  <c r="L2252" i="2" s="1"/>
  <c r="G2253" i="2"/>
  <c r="E2254" i="2" l="1"/>
  <c r="F2254" i="2" s="1"/>
  <c r="H2254" i="2"/>
  <c r="I2254" i="2" s="1"/>
  <c r="K2253" i="2"/>
  <c r="J2254" i="2" s="1"/>
  <c r="G2254" i="2"/>
  <c r="J2253" i="2"/>
  <c r="L2253" i="2" l="1"/>
  <c r="G2255" i="2"/>
  <c r="H2255" i="2"/>
  <c r="I2255" i="2" s="1"/>
  <c r="K2254" i="2"/>
  <c r="L2254" i="2" s="1"/>
  <c r="E2255" i="2"/>
  <c r="F2255" i="2" s="1"/>
  <c r="J2255" i="2" l="1"/>
  <c r="H2256" i="2"/>
  <c r="I2256" i="2" s="1"/>
  <c r="K2255" i="2"/>
  <c r="J2256" i="2" s="1"/>
  <c r="G2256" i="2"/>
  <c r="E2256" i="2"/>
  <c r="F2256" i="2" s="1"/>
  <c r="L2255" i="2" l="1"/>
  <c r="E2257" i="2"/>
  <c r="F2257" i="2" s="1"/>
  <c r="H2257" i="2"/>
  <c r="I2257" i="2" s="1"/>
  <c r="K2256" i="2"/>
  <c r="L2256" i="2" s="1"/>
  <c r="G2257" i="2"/>
  <c r="E2258" i="2" l="1"/>
  <c r="F2258" i="2" s="1"/>
  <c r="G2258" i="2"/>
  <c r="H2258" i="2"/>
  <c r="I2258" i="2" s="1"/>
  <c r="K2257" i="2"/>
  <c r="J2258" i="2" s="1"/>
  <c r="J2257" i="2"/>
  <c r="L2257" i="2" l="1"/>
  <c r="G2259" i="2"/>
  <c r="H2259" i="2"/>
  <c r="I2259" i="2" s="1"/>
  <c r="K2258" i="2"/>
  <c r="L2258" i="2" s="1"/>
  <c r="E2259" i="2"/>
  <c r="F2259" i="2" s="1"/>
  <c r="J2259" i="2" l="1"/>
  <c r="H2260" i="2"/>
  <c r="I2260" i="2" s="1"/>
  <c r="K2259" i="2"/>
  <c r="J2260" i="2" s="1"/>
  <c r="G2260" i="2"/>
  <c r="E2260" i="2"/>
  <c r="F2260" i="2" s="1"/>
  <c r="L2259" i="2" l="1"/>
  <c r="E2261" i="2"/>
  <c r="F2261" i="2" s="1"/>
  <c r="H2261" i="2"/>
  <c r="I2261" i="2" s="1"/>
  <c r="K2260" i="2"/>
  <c r="L2260" i="2" s="1"/>
  <c r="G2261" i="2"/>
  <c r="E2262" i="2" l="1"/>
  <c r="F2262" i="2" s="1"/>
  <c r="H2262" i="2"/>
  <c r="I2262" i="2" s="1"/>
  <c r="K2261" i="2"/>
  <c r="J2262" i="2" s="1"/>
  <c r="G2262" i="2"/>
  <c r="J2261" i="2"/>
  <c r="G2263" i="2" l="1"/>
  <c r="H2263" i="2"/>
  <c r="I2263" i="2" s="1"/>
  <c r="K2262" i="2"/>
  <c r="L2262" i="2" s="1"/>
  <c r="E2263" i="2"/>
  <c r="F2263" i="2" s="1"/>
  <c r="L2261" i="2"/>
  <c r="J2263" i="2" l="1"/>
  <c r="H2264" i="2"/>
  <c r="I2264" i="2" s="1"/>
  <c r="K2263" i="2"/>
  <c r="J2264" i="2" s="1"/>
  <c r="G2264" i="2"/>
  <c r="E2264" i="2"/>
  <c r="F2264" i="2" s="1"/>
  <c r="L2263" i="2" l="1"/>
  <c r="E2265" i="2"/>
  <c r="F2265" i="2" s="1"/>
  <c r="H2265" i="2"/>
  <c r="I2265" i="2" s="1"/>
  <c r="K2264" i="2"/>
  <c r="L2264" i="2" s="1"/>
  <c r="G2265" i="2"/>
  <c r="J2265" i="2" l="1"/>
  <c r="E2266" i="2"/>
  <c r="F2266" i="2" s="1"/>
  <c r="G2266" i="2"/>
  <c r="K2265" i="2"/>
  <c r="J2266" i="2" s="1"/>
  <c r="H2266" i="2"/>
  <c r="I2266" i="2" s="1"/>
  <c r="L2265" i="2" l="1"/>
  <c r="G2267" i="2"/>
  <c r="H2267" i="2"/>
  <c r="I2267" i="2" s="1"/>
  <c r="K2266" i="2"/>
  <c r="L2266" i="2" s="1"/>
  <c r="E2267" i="2"/>
  <c r="F2267" i="2" s="1"/>
  <c r="J2267" i="2" l="1"/>
  <c r="H2268" i="2"/>
  <c r="I2268" i="2" s="1"/>
  <c r="K2267" i="2"/>
  <c r="J2268" i="2" s="1"/>
  <c r="G2268" i="2"/>
  <c r="E2268" i="2"/>
  <c r="F2268" i="2" s="1"/>
  <c r="E2269" i="2" l="1"/>
  <c r="F2269" i="2" s="1"/>
  <c r="H2269" i="2"/>
  <c r="I2269" i="2" s="1"/>
  <c r="K2268" i="2"/>
  <c r="L2268" i="2" s="1"/>
  <c r="G2269" i="2"/>
  <c r="L2267" i="2"/>
  <c r="E2270" i="2" l="1"/>
  <c r="F2270" i="2" s="1"/>
  <c r="H2270" i="2"/>
  <c r="I2270" i="2" s="1"/>
  <c r="K2269" i="2"/>
  <c r="J2270" i="2" s="1"/>
  <c r="G2270" i="2"/>
  <c r="J2269" i="2"/>
  <c r="L2269" i="2" l="1"/>
  <c r="G2271" i="2"/>
  <c r="H2271" i="2"/>
  <c r="I2271" i="2" s="1"/>
  <c r="K2270" i="2"/>
  <c r="L2270" i="2" s="1"/>
  <c r="E2271" i="2"/>
  <c r="F2271" i="2" s="1"/>
  <c r="H2272" i="2" l="1"/>
  <c r="I2272" i="2" s="1"/>
  <c r="K2271" i="2"/>
  <c r="J2272" i="2" s="1"/>
  <c r="G2272" i="2"/>
  <c r="E2272" i="2"/>
  <c r="F2272" i="2" s="1"/>
  <c r="J2271" i="2"/>
  <c r="L2271" i="2" l="1"/>
  <c r="E2273" i="2"/>
  <c r="F2273" i="2" s="1"/>
  <c r="H2273" i="2"/>
  <c r="I2273" i="2" s="1"/>
  <c r="K2272" i="2"/>
  <c r="L2272" i="2" s="1"/>
  <c r="G2273" i="2"/>
  <c r="E2274" i="2" l="1"/>
  <c r="F2274" i="2" s="1"/>
  <c r="G2274" i="2"/>
  <c r="H2274" i="2"/>
  <c r="I2274" i="2" s="1"/>
  <c r="K2273" i="2"/>
  <c r="J2274" i="2" s="1"/>
  <c r="J2273" i="2"/>
  <c r="L2273" i="2" l="1"/>
  <c r="G2275" i="2"/>
  <c r="H2275" i="2"/>
  <c r="I2275" i="2" s="1"/>
  <c r="K2274" i="2"/>
  <c r="L2274" i="2" s="1"/>
  <c r="E2275" i="2"/>
  <c r="F2275" i="2" s="1"/>
  <c r="J2275" i="2" l="1"/>
  <c r="H2276" i="2"/>
  <c r="I2276" i="2" s="1"/>
  <c r="K2275" i="2"/>
  <c r="J2276" i="2" s="1"/>
  <c r="G2276" i="2"/>
  <c r="E2276" i="2"/>
  <c r="F2276" i="2" s="1"/>
  <c r="L2275" i="2" l="1"/>
  <c r="E2277" i="2"/>
  <c r="F2277" i="2" s="1"/>
  <c r="H2277" i="2"/>
  <c r="I2277" i="2" s="1"/>
  <c r="K2276" i="2"/>
  <c r="L2276" i="2" s="1"/>
  <c r="G2277" i="2"/>
  <c r="E2278" i="2" l="1"/>
  <c r="F2278" i="2" s="1"/>
  <c r="H2278" i="2"/>
  <c r="I2278" i="2" s="1"/>
  <c r="K2277" i="2"/>
  <c r="J2278" i="2" s="1"/>
  <c r="G2278" i="2"/>
  <c r="J2277" i="2"/>
  <c r="L2277" i="2" l="1"/>
  <c r="G2279" i="2"/>
  <c r="H2279" i="2"/>
  <c r="I2279" i="2" s="1"/>
  <c r="K2278" i="2"/>
  <c r="L2278" i="2" s="1"/>
  <c r="E2279" i="2"/>
  <c r="F2279" i="2" s="1"/>
  <c r="J2279" i="2" l="1"/>
  <c r="H2280" i="2"/>
  <c r="I2280" i="2" s="1"/>
  <c r="K2279" i="2"/>
  <c r="J2280" i="2" s="1"/>
  <c r="G2280" i="2"/>
  <c r="E2280" i="2"/>
  <c r="F2280" i="2" s="1"/>
  <c r="L2279" i="2" l="1"/>
  <c r="E2281" i="2"/>
  <c r="F2281" i="2" s="1"/>
  <c r="H2281" i="2"/>
  <c r="I2281" i="2" s="1"/>
  <c r="K2280" i="2"/>
  <c r="L2280" i="2" s="1"/>
  <c r="G2281" i="2"/>
  <c r="E2282" i="2" l="1"/>
  <c r="F2282" i="2" s="1"/>
  <c r="G2282" i="2"/>
  <c r="H2282" i="2"/>
  <c r="I2282" i="2" s="1"/>
  <c r="K2281" i="2"/>
  <c r="J2282" i="2" s="1"/>
  <c r="J2281" i="2"/>
  <c r="L2281" i="2" l="1"/>
  <c r="G2283" i="2"/>
  <c r="H2283" i="2"/>
  <c r="I2283" i="2" s="1"/>
  <c r="K2282" i="2"/>
  <c r="L2282" i="2" s="1"/>
  <c r="E2283" i="2"/>
  <c r="F2283" i="2" s="1"/>
  <c r="J2283" i="2" l="1"/>
  <c r="H2284" i="2"/>
  <c r="I2284" i="2" s="1"/>
  <c r="K2283" i="2"/>
  <c r="J2284" i="2" s="1"/>
  <c r="G2284" i="2"/>
  <c r="E2284" i="2"/>
  <c r="F2284" i="2" s="1"/>
  <c r="L2283" i="2" l="1"/>
  <c r="E2285" i="2"/>
  <c r="F2285" i="2" s="1"/>
  <c r="H2285" i="2"/>
  <c r="I2285" i="2" s="1"/>
  <c r="K2284" i="2"/>
  <c r="L2284" i="2" s="1"/>
  <c r="G2285" i="2"/>
  <c r="J2285" i="2" l="1"/>
  <c r="E2286" i="2"/>
  <c r="F2286" i="2" s="1"/>
  <c r="H2286" i="2"/>
  <c r="I2286" i="2" s="1"/>
  <c r="K2285" i="2"/>
  <c r="J2286" i="2" s="1"/>
  <c r="G2286" i="2"/>
  <c r="G2287" i="2" l="1"/>
  <c r="H2287" i="2"/>
  <c r="I2287" i="2" s="1"/>
  <c r="K2286" i="2"/>
  <c r="L2286" i="2" s="1"/>
  <c r="E2287" i="2"/>
  <c r="F2287" i="2" s="1"/>
  <c r="L2285" i="2"/>
  <c r="J2287" i="2" l="1"/>
  <c r="H2288" i="2"/>
  <c r="I2288" i="2" s="1"/>
  <c r="K2287" i="2"/>
  <c r="G2288" i="2"/>
  <c r="E2288" i="2"/>
  <c r="F2288" i="2" s="1"/>
  <c r="L2287" i="2" l="1"/>
  <c r="J2288" i="2"/>
  <c r="E2289" i="2"/>
  <c r="F2289" i="2" s="1"/>
  <c r="H2289" i="2"/>
  <c r="I2289" i="2" s="1"/>
  <c r="K2288" i="2"/>
  <c r="G2289" i="2"/>
  <c r="L2288" i="2" l="1"/>
  <c r="J2289" i="2"/>
  <c r="E2290" i="2"/>
  <c r="F2290" i="2" s="1"/>
  <c r="G2290" i="2"/>
  <c r="H2290" i="2"/>
  <c r="I2290" i="2" s="1"/>
  <c r="K2289" i="2"/>
  <c r="J2290" i="2" s="1"/>
  <c r="L2289" i="2" l="1"/>
  <c r="G2291" i="2"/>
  <c r="H2291" i="2"/>
  <c r="I2291" i="2" s="1"/>
  <c r="K2290" i="2"/>
  <c r="J2291" i="2" s="1"/>
  <c r="E2291" i="2"/>
  <c r="F2291" i="2" s="1"/>
  <c r="H2292" i="2" l="1"/>
  <c r="I2292" i="2" s="1"/>
  <c r="K2291" i="2"/>
  <c r="L2291" i="2" s="1"/>
  <c r="G2292" i="2"/>
  <c r="E2292" i="2"/>
  <c r="F2292" i="2" s="1"/>
  <c r="L2290" i="2"/>
  <c r="J2292" i="2" l="1"/>
  <c r="E2293" i="2"/>
  <c r="F2293" i="2" s="1"/>
  <c r="H2293" i="2"/>
  <c r="I2293" i="2" s="1"/>
  <c r="K2292" i="2"/>
  <c r="G2293" i="2"/>
  <c r="L2292" i="2" l="1"/>
  <c r="J2293" i="2"/>
  <c r="E2294" i="2"/>
  <c r="F2294" i="2" s="1"/>
  <c r="H2294" i="2"/>
  <c r="I2294" i="2" s="1"/>
  <c r="K2293" i="2"/>
  <c r="G2294" i="2"/>
  <c r="L2293" i="2" l="1"/>
  <c r="J2294" i="2"/>
  <c r="G2295" i="2"/>
  <c r="H2295" i="2"/>
  <c r="I2295" i="2" s="1"/>
  <c r="K2294" i="2"/>
  <c r="E2295" i="2"/>
  <c r="F2295" i="2" s="1"/>
  <c r="L2294" i="2" l="1"/>
  <c r="J2295" i="2"/>
  <c r="H2296" i="2"/>
  <c r="I2296" i="2" s="1"/>
  <c r="K2295" i="2"/>
  <c r="J2296" i="2" s="1"/>
  <c r="G2296" i="2"/>
  <c r="E2296" i="2"/>
  <c r="F2296" i="2" s="1"/>
  <c r="L2295" i="2" l="1"/>
  <c r="E2297" i="2"/>
  <c r="F2297" i="2" s="1"/>
  <c r="H2297" i="2"/>
  <c r="I2297" i="2" s="1"/>
  <c r="K2296" i="2"/>
  <c r="L2296" i="2" s="1"/>
  <c r="G2297" i="2"/>
  <c r="J2297" i="2" l="1"/>
  <c r="E2298" i="2"/>
  <c r="F2298" i="2" s="1"/>
  <c r="G2298" i="2"/>
  <c r="K2297" i="2"/>
  <c r="J2298" i="2" s="1"/>
  <c r="H2298" i="2"/>
  <c r="I2298" i="2" s="1"/>
  <c r="L2297" i="2" l="1"/>
  <c r="G2299" i="2"/>
  <c r="H2299" i="2"/>
  <c r="I2299" i="2" s="1"/>
  <c r="K2298" i="2"/>
  <c r="L2298" i="2" s="1"/>
  <c r="E2299" i="2"/>
  <c r="F2299" i="2" s="1"/>
  <c r="J2299" i="2" l="1"/>
  <c r="H2300" i="2"/>
  <c r="I2300" i="2" s="1"/>
  <c r="K2299" i="2"/>
  <c r="G2300" i="2"/>
  <c r="E2300" i="2"/>
  <c r="F2300" i="2" s="1"/>
  <c r="L2299" i="2" l="1"/>
  <c r="J2300" i="2"/>
  <c r="E2301" i="2"/>
  <c r="F2301" i="2" s="1"/>
  <c r="H2301" i="2"/>
  <c r="I2301" i="2" s="1"/>
  <c r="K2300" i="2"/>
  <c r="G2301" i="2"/>
  <c r="L2300" i="2" l="1"/>
  <c r="J2301" i="2"/>
  <c r="E2302" i="2"/>
  <c r="F2302" i="2" s="1"/>
  <c r="H2302" i="2"/>
  <c r="I2302" i="2" s="1"/>
  <c r="K2301" i="2"/>
  <c r="J2302" i="2" s="1"/>
  <c r="G2302" i="2"/>
  <c r="G2303" i="2" l="1"/>
  <c r="H2303" i="2"/>
  <c r="I2303" i="2" s="1"/>
  <c r="K2302" i="2"/>
  <c r="L2302" i="2" s="1"/>
  <c r="E2303" i="2"/>
  <c r="F2303" i="2" s="1"/>
  <c r="L2301" i="2"/>
  <c r="J2303" i="2" l="1"/>
  <c r="H2304" i="2"/>
  <c r="I2304" i="2" s="1"/>
  <c r="K2303" i="2"/>
  <c r="G2304" i="2"/>
  <c r="E2304" i="2"/>
  <c r="F2304" i="2" s="1"/>
  <c r="L2303" i="2" l="1"/>
  <c r="J2304" i="2"/>
  <c r="E2305" i="2"/>
  <c r="F2305" i="2" s="1"/>
  <c r="H2305" i="2"/>
  <c r="I2305" i="2" s="1"/>
  <c r="K2304" i="2"/>
  <c r="G2305" i="2"/>
  <c r="L2304" i="2" l="1"/>
  <c r="E2306" i="2"/>
  <c r="F2306" i="2" s="1"/>
  <c r="G2306" i="2"/>
  <c r="H2306" i="2"/>
  <c r="I2306" i="2" s="1"/>
  <c r="K2305" i="2"/>
  <c r="J2306" i="2" s="1"/>
  <c r="J2305" i="2"/>
  <c r="L2305" i="2" l="1"/>
  <c r="G2307" i="2"/>
  <c r="H2307" i="2"/>
  <c r="I2307" i="2" s="1"/>
  <c r="K2306" i="2"/>
  <c r="L2306" i="2" s="1"/>
  <c r="E2307" i="2"/>
  <c r="F2307" i="2" s="1"/>
  <c r="J2307" i="2" l="1"/>
  <c r="H2308" i="2"/>
  <c r="I2308" i="2" s="1"/>
  <c r="K2307" i="2"/>
  <c r="J2308" i="2" s="1"/>
  <c r="G2308" i="2"/>
  <c r="E2308" i="2"/>
  <c r="F2308" i="2" s="1"/>
  <c r="L2307" i="2" l="1"/>
  <c r="E2309" i="2"/>
  <c r="F2309" i="2" s="1"/>
  <c r="H2309" i="2"/>
  <c r="I2309" i="2" s="1"/>
  <c r="K2308" i="2"/>
  <c r="L2308" i="2" s="1"/>
  <c r="G2309" i="2"/>
  <c r="E2310" i="2" l="1"/>
  <c r="F2310" i="2" s="1"/>
  <c r="H2310" i="2"/>
  <c r="I2310" i="2" s="1"/>
  <c r="K2309" i="2"/>
  <c r="J2310" i="2" s="1"/>
  <c r="G2310" i="2"/>
  <c r="J2309" i="2"/>
  <c r="G2311" i="2" l="1"/>
  <c r="H2311" i="2"/>
  <c r="I2311" i="2" s="1"/>
  <c r="K2310" i="2"/>
  <c r="L2310" i="2" s="1"/>
  <c r="E2311" i="2"/>
  <c r="F2311" i="2" s="1"/>
  <c r="L2309" i="2"/>
  <c r="J2311" i="2" l="1"/>
  <c r="H2312" i="2"/>
  <c r="I2312" i="2" s="1"/>
  <c r="K2311" i="2"/>
  <c r="J2312" i="2" s="1"/>
  <c r="G2312" i="2"/>
  <c r="E2312" i="2"/>
  <c r="F2312" i="2" s="1"/>
  <c r="L2311" i="2" l="1"/>
  <c r="E2313" i="2"/>
  <c r="F2313" i="2" s="1"/>
  <c r="H2313" i="2"/>
  <c r="I2313" i="2" s="1"/>
  <c r="K2312" i="2"/>
  <c r="L2312" i="2" s="1"/>
  <c r="G2313" i="2"/>
  <c r="E2314" i="2" l="1"/>
  <c r="F2314" i="2" s="1"/>
  <c r="G2314" i="2"/>
  <c r="H2314" i="2"/>
  <c r="I2314" i="2" s="1"/>
  <c r="K2313" i="2"/>
  <c r="J2314" i="2" s="1"/>
  <c r="J2313" i="2"/>
  <c r="L2313" i="2" l="1"/>
  <c r="G2315" i="2"/>
  <c r="H2315" i="2"/>
  <c r="I2315" i="2" s="1"/>
  <c r="K2314" i="2"/>
  <c r="L2314" i="2" s="1"/>
  <c r="E2315" i="2"/>
  <c r="F2315" i="2" s="1"/>
  <c r="J2315" i="2" l="1"/>
  <c r="H2316" i="2"/>
  <c r="I2316" i="2" s="1"/>
  <c r="K2315" i="2"/>
  <c r="J2316" i="2" s="1"/>
  <c r="G2316" i="2"/>
  <c r="E2316" i="2"/>
  <c r="F2316" i="2" s="1"/>
  <c r="L2315" i="2" l="1"/>
  <c r="E2317" i="2"/>
  <c r="F2317" i="2" s="1"/>
  <c r="H2317" i="2"/>
  <c r="I2317" i="2" s="1"/>
  <c r="K2316" i="2"/>
  <c r="L2316" i="2" s="1"/>
  <c r="G2317" i="2"/>
  <c r="J2317" i="2" l="1"/>
  <c r="E2318" i="2"/>
  <c r="F2318" i="2" s="1"/>
  <c r="H2318" i="2"/>
  <c r="I2318" i="2" s="1"/>
  <c r="K2317" i="2"/>
  <c r="J2318" i="2" s="1"/>
  <c r="G2318" i="2"/>
  <c r="L2317" i="2" l="1"/>
  <c r="G2319" i="2"/>
  <c r="H2319" i="2"/>
  <c r="I2319" i="2" s="1"/>
  <c r="K2318" i="2"/>
  <c r="L2318" i="2" s="1"/>
  <c r="E2319" i="2"/>
  <c r="F2319" i="2" s="1"/>
  <c r="J2319" i="2" l="1"/>
  <c r="H2320" i="2"/>
  <c r="I2320" i="2" s="1"/>
  <c r="K2319" i="2"/>
  <c r="G2320" i="2"/>
  <c r="E2320" i="2"/>
  <c r="F2320" i="2" s="1"/>
  <c r="L2319" i="2" l="1"/>
  <c r="J2320" i="2"/>
  <c r="E2321" i="2"/>
  <c r="F2321" i="2" s="1"/>
  <c r="H2321" i="2"/>
  <c r="I2321" i="2" s="1"/>
  <c r="K2320" i="2"/>
  <c r="G2321" i="2"/>
  <c r="L2320" i="2" l="1"/>
  <c r="E2322" i="2"/>
  <c r="F2322" i="2" s="1"/>
  <c r="G2322" i="2"/>
  <c r="H2322" i="2"/>
  <c r="I2322" i="2" s="1"/>
  <c r="K2321" i="2"/>
  <c r="J2322" i="2" s="1"/>
  <c r="J2321" i="2"/>
  <c r="L2321" i="2" l="1"/>
  <c r="G2323" i="2"/>
  <c r="H2323" i="2"/>
  <c r="I2323" i="2" s="1"/>
  <c r="K2322" i="2"/>
  <c r="L2322" i="2" s="1"/>
  <c r="E2323" i="2"/>
  <c r="F2323" i="2" s="1"/>
  <c r="J2323" i="2" l="1"/>
  <c r="H2324" i="2"/>
  <c r="I2324" i="2" s="1"/>
  <c r="K2323" i="2"/>
  <c r="J2324" i="2" s="1"/>
  <c r="G2324" i="2"/>
  <c r="E2324" i="2"/>
  <c r="F2324" i="2" s="1"/>
  <c r="L2323" i="2" l="1"/>
  <c r="E2325" i="2"/>
  <c r="F2325" i="2" s="1"/>
  <c r="H2325" i="2"/>
  <c r="I2325" i="2" s="1"/>
  <c r="K2324" i="2"/>
  <c r="L2324" i="2" s="1"/>
  <c r="G2325" i="2"/>
  <c r="E2326" i="2" l="1"/>
  <c r="F2326" i="2" s="1"/>
  <c r="H2326" i="2"/>
  <c r="I2326" i="2" s="1"/>
  <c r="K2325" i="2"/>
  <c r="J2326" i="2" s="1"/>
  <c r="G2326" i="2"/>
  <c r="J2325" i="2"/>
  <c r="G2327" i="2" l="1"/>
  <c r="H2327" i="2"/>
  <c r="I2327" i="2" s="1"/>
  <c r="K2326" i="2"/>
  <c r="L2326" i="2" s="1"/>
  <c r="E2327" i="2"/>
  <c r="F2327" i="2" s="1"/>
  <c r="L2325" i="2"/>
  <c r="H2328" i="2" l="1"/>
  <c r="I2328" i="2" s="1"/>
  <c r="K2327" i="2"/>
  <c r="J2328" i="2" s="1"/>
  <c r="G2328" i="2"/>
  <c r="E2328" i="2"/>
  <c r="F2328" i="2" s="1"/>
  <c r="J2327" i="2"/>
  <c r="L2327" i="2" l="1"/>
  <c r="E2329" i="2"/>
  <c r="F2329" i="2" s="1"/>
  <c r="H2329" i="2"/>
  <c r="I2329" i="2" s="1"/>
  <c r="K2328" i="2"/>
  <c r="L2328" i="2" s="1"/>
  <c r="G2329" i="2"/>
  <c r="E2330" i="2" l="1"/>
  <c r="F2330" i="2" s="1"/>
  <c r="G2330" i="2"/>
  <c r="K2329" i="2"/>
  <c r="J2330" i="2" s="1"/>
  <c r="H2330" i="2"/>
  <c r="I2330" i="2" s="1"/>
  <c r="J2329" i="2"/>
  <c r="L2329" i="2" l="1"/>
  <c r="G2331" i="2"/>
  <c r="H2331" i="2"/>
  <c r="I2331" i="2" s="1"/>
  <c r="K2330" i="2"/>
  <c r="L2330" i="2" s="1"/>
  <c r="E2331" i="2"/>
  <c r="F2331" i="2" s="1"/>
  <c r="J2331" i="2" l="1"/>
  <c r="H2332" i="2"/>
  <c r="I2332" i="2" s="1"/>
  <c r="K2331" i="2"/>
  <c r="J2332" i="2" s="1"/>
  <c r="G2332" i="2"/>
  <c r="E2332" i="2"/>
  <c r="F2332" i="2" s="1"/>
  <c r="E2333" i="2" l="1"/>
  <c r="F2333" i="2" s="1"/>
  <c r="H2333" i="2"/>
  <c r="I2333" i="2" s="1"/>
  <c r="K2332" i="2"/>
  <c r="L2332" i="2" s="1"/>
  <c r="G2333" i="2"/>
  <c r="L2331" i="2"/>
  <c r="E2334" i="2" l="1"/>
  <c r="F2334" i="2" s="1"/>
  <c r="H2334" i="2"/>
  <c r="I2334" i="2" s="1"/>
  <c r="K2333" i="2"/>
  <c r="J2334" i="2" s="1"/>
  <c r="G2334" i="2"/>
  <c r="J2333" i="2"/>
  <c r="G2335" i="2" l="1"/>
  <c r="H2335" i="2"/>
  <c r="I2335" i="2" s="1"/>
  <c r="K2334" i="2"/>
  <c r="L2334" i="2" s="1"/>
  <c r="E2335" i="2"/>
  <c r="F2335" i="2" s="1"/>
  <c r="L2333" i="2"/>
  <c r="H2336" i="2" l="1"/>
  <c r="I2336" i="2" s="1"/>
  <c r="K2335" i="2"/>
  <c r="J2336" i="2" s="1"/>
  <c r="G2336" i="2"/>
  <c r="E2336" i="2"/>
  <c r="F2336" i="2" s="1"/>
  <c r="J2335" i="2"/>
  <c r="L2335" i="2" l="1"/>
  <c r="E2337" i="2"/>
  <c r="F2337" i="2" s="1"/>
  <c r="H2337" i="2"/>
  <c r="I2337" i="2" s="1"/>
  <c r="K2336" i="2"/>
  <c r="L2336" i="2" s="1"/>
  <c r="G2337" i="2"/>
  <c r="E2338" i="2" l="1"/>
  <c r="F2338" i="2" s="1"/>
  <c r="G2338" i="2"/>
  <c r="H2338" i="2"/>
  <c r="I2338" i="2" s="1"/>
  <c r="K2337" i="2"/>
  <c r="J2338" i="2" s="1"/>
  <c r="J2337" i="2"/>
  <c r="L2337" i="2" l="1"/>
  <c r="G2339" i="2"/>
  <c r="H2339" i="2"/>
  <c r="I2339" i="2" s="1"/>
  <c r="K2338" i="2"/>
  <c r="L2338" i="2" s="1"/>
  <c r="E2339" i="2"/>
  <c r="F2339" i="2" s="1"/>
  <c r="J2339" i="2" l="1"/>
  <c r="H2340" i="2"/>
  <c r="I2340" i="2" s="1"/>
  <c r="K2339" i="2"/>
  <c r="J2340" i="2" s="1"/>
  <c r="G2340" i="2"/>
  <c r="E2340" i="2"/>
  <c r="F2340" i="2" s="1"/>
  <c r="L2339" i="2" l="1"/>
  <c r="E2341" i="2"/>
  <c r="F2341" i="2" s="1"/>
  <c r="H2341" i="2"/>
  <c r="I2341" i="2" s="1"/>
  <c r="K2340" i="2"/>
  <c r="L2340" i="2" s="1"/>
  <c r="G2341" i="2"/>
  <c r="E2342" i="2" l="1"/>
  <c r="F2342" i="2" s="1"/>
  <c r="H2342" i="2"/>
  <c r="I2342" i="2" s="1"/>
  <c r="K2341" i="2"/>
  <c r="J2342" i="2" s="1"/>
  <c r="G2342" i="2"/>
  <c r="J2341" i="2"/>
  <c r="G2343" i="2" l="1"/>
  <c r="H2343" i="2"/>
  <c r="I2343" i="2" s="1"/>
  <c r="K2342" i="2"/>
  <c r="L2342" i="2" s="1"/>
  <c r="E2343" i="2"/>
  <c r="F2343" i="2" s="1"/>
  <c r="L2341" i="2"/>
  <c r="J2343" i="2" l="1"/>
  <c r="H2344" i="2"/>
  <c r="I2344" i="2" s="1"/>
  <c r="K2343" i="2"/>
  <c r="J2344" i="2" s="1"/>
  <c r="G2344" i="2"/>
  <c r="E2344" i="2"/>
  <c r="F2344" i="2" s="1"/>
  <c r="L2343" i="2" l="1"/>
  <c r="E2345" i="2"/>
  <c r="F2345" i="2" s="1"/>
  <c r="H2345" i="2"/>
  <c r="I2345" i="2" s="1"/>
  <c r="K2344" i="2"/>
  <c r="L2344" i="2" s="1"/>
  <c r="G2345" i="2"/>
  <c r="E2346" i="2" l="1"/>
  <c r="F2346" i="2" s="1"/>
  <c r="G2346" i="2"/>
  <c r="H2346" i="2"/>
  <c r="I2346" i="2" s="1"/>
  <c r="K2345" i="2"/>
  <c r="J2346" i="2" s="1"/>
  <c r="J2345" i="2"/>
  <c r="L2345" i="2" l="1"/>
  <c r="G2347" i="2"/>
  <c r="H2347" i="2"/>
  <c r="I2347" i="2" s="1"/>
  <c r="K2346" i="2"/>
  <c r="L2346" i="2" s="1"/>
  <c r="E2347" i="2"/>
  <c r="F2347" i="2" s="1"/>
  <c r="J2347" i="2" l="1"/>
  <c r="H2348" i="2"/>
  <c r="I2348" i="2" s="1"/>
  <c r="K2347" i="2"/>
  <c r="J2348" i="2" s="1"/>
  <c r="G2348" i="2"/>
  <c r="E2348" i="2"/>
  <c r="F2348" i="2" s="1"/>
  <c r="L2347" i="2" l="1"/>
  <c r="E2349" i="2"/>
  <c r="F2349" i="2" s="1"/>
  <c r="H2349" i="2"/>
  <c r="I2349" i="2" s="1"/>
  <c r="K2348" i="2"/>
  <c r="L2348" i="2" s="1"/>
  <c r="G2349" i="2"/>
  <c r="E2350" i="2" l="1"/>
  <c r="F2350" i="2" s="1"/>
  <c r="H2350" i="2"/>
  <c r="I2350" i="2" s="1"/>
  <c r="K2349" i="2"/>
  <c r="J2350" i="2" s="1"/>
  <c r="G2350" i="2"/>
  <c r="J2349" i="2"/>
  <c r="G2351" i="2" l="1"/>
  <c r="H2351" i="2"/>
  <c r="I2351" i="2" s="1"/>
  <c r="K2350" i="2"/>
  <c r="L2350" i="2" s="1"/>
  <c r="E2351" i="2"/>
  <c r="F2351" i="2" s="1"/>
  <c r="L2349" i="2"/>
  <c r="H2352" i="2" l="1"/>
  <c r="I2352" i="2" s="1"/>
  <c r="K2351" i="2"/>
  <c r="J2352" i="2" s="1"/>
  <c r="G2352" i="2"/>
  <c r="E2352" i="2"/>
  <c r="F2352" i="2" s="1"/>
  <c r="J2351" i="2"/>
  <c r="L2351" i="2" l="1"/>
  <c r="E2353" i="2"/>
  <c r="F2353" i="2" s="1"/>
  <c r="H2353" i="2"/>
  <c r="I2353" i="2" s="1"/>
  <c r="K2352" i="2"/>
  <c r="L2352" i="2" s="1"/>
  <c r="G2353" i="2"/>
  <c r="E2354" i="2" l="1"/>
  <c r="F2354" i="2" s="1"/>
  <c r="G2354" i="2"/>
  <c r="H2354" i="2"/>
  <c r="I2354" i="2" s="1"/>
  <c r="K2353" i="2"/>
  <c r="J2354" i="2" s="1"/>
  <c r="J2353" i="2"/>
  <c r="L2353" i="2" l="1"/>
  <c r="G2355" i="2"/>
  <c r="H2355" i="2"/>
  <c r="I2355" i="2" s="1"/>
  <c r="K2354" i="2"/>
  <c r="L2354" i="2" s="1"/>
  <c r="E2355" i="2"/>
  <c r="F2355" i="2" s="1"/>
  <c r="J2355" i="2" l="1"/>
  <c r="H2356" i="2"/>
  <c r="I2356" i="2" s="1"/>
  <c r="K2355" i="2"/>
  <c r="J2356" i="2" s="1"/>
  <c r="G2356" i="2"/>
  <c r="E2356" i="2"/>
  <c r="F2356" i="2" s="1"/>
  <c r="L2355" i="2" l="1"/>
  <c r="E2357" i="2"/>
  <c r="F2357" i="2" s="1"/>
  <c r="H2357" i="2"/>
  <c r="I2357" i="2" s="1"/>
  <c r="K2356" i="2"/>
  <c r="L2356" i="2" s="1"/>
  <c r="G2357" i="2"/>
  <c r="E2358" i="2" l="1"/>
  <c r="F2358" i="2" s="1"/>
  <c r="H2358" i="2"/>
  <c r="I2358" i="2" s="1"/>
  <c r="K2357" i="2"/>
  <c r="J2358" i="2" s="1"/>
  <c r="G2358" i="2"/>
  <c r="J2357" i="2"/>
  <c r="L2357" i="2" l="1"/>
  <c r="G2359" i="2"/>
  <c r="H2359" i="2"/>
  <c r="I2359" i="2" s="1"/>
  <c r="K2358" i="2"/>
  <c r="L2358" i="2" s="1"/>
  <c r="E2359" i="2"/>
  <c r="F2359" i="2" s="1"/>
  <c r="J2359" i="2" l="1"/>
  <c r="H2360" i="2"/>
  <c r="I2360" i="2" s="1"/>
  <c r="K2359" i="2"/>
  <c r="J2360" i="2" s="1"/>
  <c r="G2360" i="2"/>
  <c r="E2360" i="2"/>
  <c r="F2360" i="2" s="1"/>
  <c r="L2359" i="2" l="1"/>
  <c r="E2361" i="2"/>
  <c r="F2361" i="2" s="1"/>
  <c r="H2361" i="2"/>
  <c r="I2361" i="2" s="1"/>
  <c r="K2360" i="2"/>
  <c r="L2360" i="2" s="1"/>
  <c r="G2361" i="2"/>
  <c r="E2362" i="2" l="1"/>
  <c r="F2362" i="2" s="1"/>
  <c r="G2362" i="2"/>
  <c r="K2361" i="2"/>
  <c r="J2362" i="2" s="1"/>
  <c r="H2362" i="2"/>
  <c r="I2362" i="2" s="1"/>
  <c r="J2361" i="2"/>
  <c r="L2361" i="2" l="1"/>
  <c r="G2363" i="2"/>
  <c r="H2363" i="2"/>
  <c r="I2363" i="2" s="1"/>
  <c r="K2362" i="2"/>
  <c r="L2362" i="2" s="1"/>
  <c r="E2363" i="2"/>
  <c r="F2363" i="2" s="1"/>
  <c r="J2363" i="2" l="1"/>
  <c r="H2364" i="2"/>
  <c r="I2364" i="2" s="1"/>
  <c r="K2363" i="2"/>
  <c r="J2364" i="2" s="1"/>
  <c r="G2364" i="2"/>
  <c r="E2364" i="2"/>
  <c r="F2364" i="2" s="1"/>
  <c r="E2365" i="2" l="1"/>
  <c r="F2365" i="2" s="1"/>
  <c r="H2365" i="2"/>
  <c r="I2365" i="2" s="1"/>
  <c r="K2364" i="2"/>
  <c r="L2364" i="2" s="1"/>
  <c r="G2365" i="2"/>
  <c r="L2363" i="2"/>
  <c r="E2366" i="2" l="1"/>
  <c r="F2366" i="2" s="1"/>
  <c r="H2366" i="2"/>
  <c r="I2366" i="2" s="1"/>
  <c r="K2365" i="2"/>
  <c r="J2366" i="2" s="1"/>
  <c r="G2366" i="2"/>
  <c r="J2365" i="2"/>
  <c r="G2367" i="2" l="1"/>
  <c r="H2367" i="2"/>
  <c r="I2367" i="2" s="1"/>
  <c r="K2366" i="2"/>
  <c r="L2366" i="2" s="1"/>
  <c r="E2367" i="2"/>
  <c r="F2367" i="2" s="1"/>
  <c r="L2365" i="2"/>
  <c r="H2368" i="2" l="1"/>
  <c r="I2368" i="2" s="1"/>
  <c r="K2367" i="2"/>
  <c r="J2368" i="2" s="1"/>
  <c r="G2368" i="2"/>
  <c r="E2368" i="2"/>
  <c r="F2368" i="2" s="1"/>
  <c r="J2367" i="2"/>
  <c r="L2367" i="2" l="1"/>
  <c r="E2369" i="2"/>
  <c r="F2369" i="2" s="1"/>
  <c r="H2369" i="2"/>
  <c r="I2369" i="2" s="1"/>
  <c r="K2368" i="2"/>
  <c r="L2368" i="2" s="1"/>
  <c r="G2369" i="2"/>
  <c r="E2370" i="2" l="1"/>
  <c r="F2370" i="2" s="1"/>
  <c r="G2370" i="2"/>
  <c r="H2370" i="2"/>
  <c r="I2370" i="2" s="1"/>
  <c r="K2369" i="2"/>
  <c r="J2370" i="2" s="1"/>
  <c r="J2369" i="2"/>
  <c r="L2369" i="2" l="1"/>
  <c r="G2371" i="2"/>
  <c r="H2371" i="2"/>
  <c r="I2371" i="2" s="1"/>
  <c r="K2370" i="2"/>
  <c r="L2370" i="2" s="1"/>
  <c r="E2371" i="2"/>
  <c r="F2371" i="2" s="1"/>
  <c r="J2371" i="2" l="1"/>
  <c r="H2372" i="2"/>
  <c r="I2372" i="2" s="1"/>
  <c r="K2371" i="2"/>
  <c r="J2372" i="2" s="1"/>
  <c r="G2372" i="2"/>
  <c r="E2372" i="2"/>
  <c r="F2372" i="2" s="1"/>
  <c r="L2371" i="2" l="1"/>
  <c r="E2373" i="2"/>
  <c r="F2373" i="2" s="1"/>
  <c r="H2373" i="2"/>
  <c r="I2373" i="2" s="1"/>
  <c r="K2372" i="2"/>
  <c r="L2372" i="2" s="1"/>
  <c r="G2373" i="2"/>
  <c r="E2374" i="2" l="1"/>
  <c r="F2374" i="2" s="1"/>
  <c r="H2374" i="2"/>
  <c r="I2374" i="2" s="1"/>
  <c r="K2373" i="2"/>
  <c r="J2374" i="2" s="1"/>
  <c r="G2374" i="2"/>
  <c r="J2373" i="2"/>
  <c r="G2375" i="2" l="1"/>
  <c r="H2375" i="2"/>
  <c r="I2375" i="2" s="1"/>
  <c r="K2374" i="2"/>
  <c r="L2374" i="2" s="1"/>
  <c r="E2375" i="2"/>
  <c r="F2375" i="2" s="1"/>
  <c r="L2373" i="2"/>
  <c r="J2375" i="2" l="1"/>
  <c r="H2376" i="2"/>
  <c r="I2376" i="2" s="1"/>
  <c r="K2375" i="2"/>
  <c r="G2376" i="2"/>
  <c r="E2376" i="2"/>
  <c r="F2376" i="2" s="1"/>
  <c r="L2375" i="2" l="1"/>
  <c r="J2376" i="2"/>
  <c r="E2377" i="2"/>
  <c r="F2377" i="2" s="1"/>
  <c r="H2377" i="2"/>
  <c r="I2377" i="2" s="1"/>
  <c r="K2376" i="2"/>
  <c r="G2377" i="2"/>
  <c r="L2376" i="2" l="1"/>
  <c r="J2377" i="2"/>
  <c r="E2378" i="2"/>
  <c r="F2378" i="2" s="1"/>
  <c r="G2378" i="2"/>
  <c r="H2378" i="2"/>
  <c r="I2378" i="2" s="1"/>
  <c r="K2377" i="2"/>
  <c r="J2378" i="2" s="1"/>
  <c r="L2377" i="2" l="1"/>
  <c r="G2379" i="2"/>
  <c r="H2379" i="2"/>
  <c r="I2379" i="2" s="1"/>
  <c r="K2378" i="2"/>
  <c r="L2378" i="2" s="1"/>
  <c r="E2379" i="2"/>
  <c r="F2379" i="2" s="1"/>
  <c r="J2379" i="2" l="1"/>
  <c r="H2380" i="2"/>
  <c r="I2380" i="2" s="1"/>
  <c r="K2379" i="2"/>
  <c r="J2380" i="2" s="1"/>
  <c r="G2380" i="2"/>
  <c r="E2380" i="2"/>
  <c r="F2380" i="2" s="1"/>
  <c r="L2379" i="2" l="1"/>
  <c r="E2381" i="2"/>
  <c r="F2381" i="2" s="1"/>
  <c r="H2381" i="2"/>
  <c r="I2381" i="2" s="1"/>
  <c r="K2380" i="2"/>
  <c r="L2380" i="2" s="1"/>
  <c r="G2381" i="2"/>
  <c r="E2382" i="2" l="1"/>
  <c r="F2382" i="2" s="1"/>
  <c r="H2382" i="2"/>
  <c r="I2382" i="2" s="1"/>
  <c r="K2381" i="2"/>
  <c r="J2382" i="2" s="1"/>
  <c r="G2382" i="2"/>
  <c r="J2381" i="2"/>
  <c r="G2383" i="2" l="1"/>
  <c r="H2383" i="2"/>
  <c r="I2383" i="2" s="1"/>
  <c r="K2382" i="2"/>
  <c r="L2382" i="2" s="1"/>
  <c r="E2383" i="2"/>
  <c r="F2383" i="2" s="1"/>
  <c r="L2381" i="2"/>
  <c r="J2383" i="2" l="1"/>
  <c r="H2384" i="2"/>
  <c r="I2384" i="2" s="1"/>
  <c r="K2383" i="2"/>
  <c r="J2384" i="2" s="1"/>
  <c r="G2384" i="2"/>
  <c r="E2384" i="2"/>
  <c r="F2384" i="2" s="1"/>
  <c r="L2383" i="2" l="1"/>
  <c r="E2385" i="2"/>
  <c r="F2385" i="2" s="1"/>
  <c r="H2385" i="2"/>
  <c r="I2385" i="2" s="1"/>
  <c r="K2384" i="2"/>
  <c r="L2384" i="2" s="1"/>
  <c r="G2385" i="2"/>
  <c r="E2386" i="2" l="1"/>
  <c r="F2386" i="2" s="1"/>
  <c r="G2386" i="2"/>
  <c r="H2386" i="2"/>
  <c r="I2386" i="2" s="1"/>
  <c r="K2385" i="2"/>
  <c r="J2386" i="2" s="1"/>
  <c r="J2385" i="2"/>
  <c r="L2385" i="2" l="1"/>
  <c r="G2387" i="2"/>
  <c r="H2387" i="2"/>
  <c r="I2387" i="2" s="1"/>
  <c r="K2386" i="2"/>
  <c r="L2386" i="2" s="1"/>
  <c r="E2387" i="2"/>
  <c r="F2387" i="2" s="1"/>
  <c r="J2387" i="2" l="1"/>
  <c r="H2388" i="2"/>
  <c r="I2388" i="2" s="1"/>
  <c r="K2387" i="2"/>
  <c r="J2388" i="2" s="1"/>
  <c r="G2388" i="2"/>
  <c r="E2388" i="2"/>
  <c r="F2388" i="2" s="1"/>
  <c r="L2387" i="2" l="1"/>
  <c r="E2389" i="2"/>
  <c r="F2389" i="2" s="1"/>
  <c r="H2389" i="2"/>
  <c r="I2389" i="2" s="1"/>
  <c r="K2388" i="2"/>
  <c r="L2388" i="2" s="1"/>
  <c r="G2389" i="2"/>
  <c r="E2390" i="2" l="1"/>
  <c r="F2390" i="2" s="1"/>
  <c r="H2390" i="2"/>
  <c r="I2390" i="2" s="1"/>
  <c r="K2389" i="2"/>
  <c r="J2390" i="2" s="1"/>
  <c r="G2390" i="2"/>
  <c r="J2389" i="2"/>
  <c r="L2389" i="2" l="1"/>
  <c r="G2391" i="2"/>
  <c r="H2391" i="2"/>
  <c r="I2391" i="2" s="1"/>
  <c r="K2390" i="2"/>
  <c r="L2390" i="2" s="1"/>
  <c r="E2391" i="2"/>
  <c r="F2391" i="2" s="1"/>
  <c r="J2391" i="2" l="1"/>
  <c r="H2392" i="2"/>
  <c r="I2392" i="2" s="1"/>
  <c r="K2391" i="2"/>
  <c r="J2392" i="2" s="1"/>
  <c r="G2392" i="2"/>
  <c r="E2392" i="2"/>
  <c r="F2392" i="2" s="1"/>
  <c r="L2391" i="2" l="1"/>
  <c r="E2393" i="2"/>
  <c r="F2393" i="2" s="1"/>
  <c r="H2393" i="2"/>
  <c r="I2393" i="2" s="1"/>
  <c r="K2392" i="2"/>
  <c r="L2392" i="2" s="1"/>
  <c r="G2393" i="2"/>
  <c r="E2394" i="2" l="1"/>
  <c r="F2394" i="2" s="1"/>
  <c r="G2394" i="2"/>
  <c r="K2393" i="2"/>
  <c r="J2394" i="2" s="1"/>
  <c r="H2394" i="2"/>
  <c r="I2394" i="2" s="1"/>
  <c r="J2393" i="2"/>
  <c r="L2393" i="2" l="1"/>
  <c r="G2395" i="2"/>
  <c r="H2395" i="2"/>
  <c r="I2395" i="2" s="1"/>
  <c r="K2394" i="2"/>
  <c r="L2394" i="2" s="1"/>
  <c r="E2395" i="2"/>
  <c r="F2395" i="2" s="1"/>
  <c r="J2395" i="2" l="1"/>
  <c r="H2396" i="2"/>
  <c r="I2396" i="2" s="1"/>
  <c r="K2395" i="2"/>
  <c r="J2396" i="2" s="1"/>
  <c r="G2396" i="2"/>
  <c r="E2396" i="2"/>
  <c r="F2396" i="2" s="1"/>
  <c r="L2395" i="2" l="1"/>
  <c r="E2397" i="2"/>
  <c r="F2397" i="2" s="1"/>
  <c r="H2397" i="2"/>
  <c r="I2397" i="2" s="1"/>
  <c r="K2396" i="2"/>
  <c r="L2396" i="2" s="1"/>
  <c r="G2397" i="2"/>
  <c r="E2398" i="2" l="1"/>
  <c r="F2398" i="2" s="1"/>
  <c r="H2398" i="2"/>
  <c r="I2398" i="2" s="1"/>
  <c r="K2397" i="2"/>
  <c r="J2398" i="2" s="1"/>
  <c r="G2398" i="2"/>
  <c r="J2397" i="2"/>
  <c r="G2399" i="2" l="1"/>
  <c r="H2399" i="2"/>
  <c r="I2399" i="2" s="1"/>
  <c r="K2398" i="2"/>
  <c r="L2398" i="2" s="1"/>
  <c r="E2399" i="2"/>
  <c r="F2399" i="2" s="1"/>
  <c r="L2397" i="2"/>
  <c r="J2399" i="2" l="1"/>
  <c r="H2400" i="2"/>
  <c r="I2400" i="2" s="1"/>
  <c r="K2399" i="2"/>
  <c r="J2400" i="2" s="1"/>
  <c r="G2400" i="2"/>
  <c r="E2400" i="2"/>
  <c r="F2400" i="2" s="1"/>
  <c r="L2399" i="2" l="1"/>
  <c r="E2401" i="2"/>
  <c r="F2401" i="2" s="1"/>
  <c r="H2401" i="2"/>
  <c r="I2401" i="2" s="1"/>
  <c r="K2400" i="2"/>
  <c r="L2400" i="2" s="1"/>
  <c r="G2401" i="2"/>
  <c r="E2402" i="2" l="1"/>
  <c r="F2402" i="2" s="1"/>
  <c r="G2402" i="2"/>
  <c r="H2402" i="2"/>
  <c r="I2402" i="2" s="1"/>
  <c r="K2401" i="2"/>
  <c r="J2402" i="2" s="1"/>
  <c r="J2401" i="2"/>
  <c r="L2401" i="2" l="1"/>
  <c r="G2403" i="2"/>
  <c r="H2403" i="2"/>
  <c r="I2403" i="2" s="1"/>
  <c r="K2402" i="2"/>
  <c r="L2402" i="2" s="1"/>
  <c r="E2403" i="2"/>
  <c r="F2403" i="2" s="1"/>
  <c r="J2403" i="2" l="1"/>
  <c r="H2404" i="2"/>
  <c r="I2404" i="2" s="1"/>
  <c r="K2403" i="2"/>
  <c r="G2404" i="2"/>
  <c r="E2404" i="2"/>
  <c r="F2404" i="2" s="1"/>
  <c r="L2403" i="2" l="1"/>
  <c r="J2404" i="2"/>
  <c r="E2405" i="2"/>
  <c r="F2405" i="2" s="1"/>
  <c r="H2405" i="2"/>
  <c r="I2405" i="2" s="1"/>
  <c r="K2404" i="2"/>
  <c r="G2405" i="2"/>
  <c r="L2404" i="2" l="1"/>
  <c r="J2405" i="2"/>
  <c r="E2406" i="2"/>
  <c r="F2406" i="2" s="1"/>
  <c r="H2406" i="2"/>
  <c r="I2406" i="2" s="1"/>
  <c r="K2405" i="2"/>
  <c r="J2406" i="2" s="1"/>
  <c r="G2406" i="2"/>
  <c r="G2407" i="2" l="1"/>
  <c r="H2407" i="2"/>
  <c r="I2407" i="2" s="1"/>
  <c r="K2406" i="2"/>
  <c r="L2406" i="2" s="1"/>
  <c r="E2407" i="2"/>
  <c r="F2407" i="2" s="1"/>
  <c r="L2405" i="2"/>
  <c r="J2407" i="2" l="1"/>
  <c r="H2408" i="2"/>
  <c r="I2408" i="2" s="1"/>
  <c r="K2407" i="2"/>
  <c r="J2408" i="2" s="1"/>
  <c r="G2408" i="2"/>
  <c r="E2408" i="2"/>
  <c r="F2408" i="2" s="1"/>
  <c r="L2407" i="2" l="1"/>
  <c r="E2409" i="2"/>
  <c r="F2409" i="2" s="1"/>
  <c r="H2409" i="2"/>
  <c r="I2409" i="2" s="1"/>
  <c r="K2408" i="2"/>
  <c r="L2408" i="2" s="1"/>
  <c r="G2409" i="2"/>
  <c r="E2410" i="2" l="1"/>
  <c r="F2410" i="2" s="1"/>
  <c r="G2410" i="2"/>
  <c r="H2410" i="2"/>
  <c r="I2410" i="2" s="1"/>
  <c r="K2409" i="2"/>
  <c r="J2410" i="2" s="1"/>
  <c r="J2409" i="2"/>
  <c r="L2409" i="2" l="1"/>
  <c r="G2411" i="2"/>
  <c r="H2411" i="2"/>
  <c r="I2411" i="2" s="1"/>
  <c r="K2410" i="2"/>
  <c r="L2410" i="2" s="1"/>
  <c r="E2411" i="2"/>
  <c r="F2411" i="2" s="1"/>
  <c r="J2411" i="2" l="1"/>
  <c r="H2412" i="2"/>
  <c r="I2412" i="2" s="1"/>
  <c r="K2411" i="2"/>
  <c r="J2412" i="2" s="1"/>
  <c r="G2412" i="2"/>
  <c r="E2412" i="2"/>
  <c r="F2412" i="2" s="1"/>
  <c r="L2411" i="2" l="1"/>
  <c r="E2413" i="2"/>
  <c r="F2413" i="2" s="1"/>
  <c r="H2413" i="2"/>
  <c r="I2413" i="2" s="1"/>
  <c r="K2412" i="2"/>
  <c r="L2412" i="2" s="1"/>
  <c r="G2413" i="2"/>
  <c r="E2414" i="2" l="1"/>
  <c r="F2414" i="2" s="1"/>
  <c r="G2414" i="2"/>
  <c r="H2414" i="2"/>
  <c r="I2414" i="2" s="1"/>
  <c r="K2413" i="2"/>
  <c r="J2414" i="2" s="1"/>
  <c r="J2413" i="2"/>
  <c r="L2413" i="2" l="1"/>
  <c r="G2415" i="2"/>
  <c r="H2415" i="2"/>
  <c r="I2415" i="2" s="1"/>
  <c r="E2415" i="2"/>
  <c r="F2415" i="2" s="1"/>
  <c r="K2414" i="2"/>
  <c r="J2415" i="2" s="1"/>
  <c r="L2414" i="2" l="1"/>
  <c r="H2416" i="2"/>
  <c r="I2416" i="2" s="1"/>
  <c r="K2415" i="2"/>
  <c r="L2415" i="2" s="1"/>
  <c r="G2416" i="2"/>
  <c r="E2416" i="2"/>
  <c r="F2416" i="2" s="1"/>
  <c r="J2416" i="2" l="1"/>
  <c r="E2417" i="2"/>
  <c r="F2417" i="2" s="1"/>
  <c r="H2417" i="2"/>
  <c r="I2417" i="2" s="1"/>
  <c r="K2416" i="2"/>
  <c r="G2417" i="2"/>
  <c r="L2416" i="2" l="1"/>
  <c r="J2417" i="2"/>
  <c r="E2418" i="2"/>
  <c r="F2418" i="2" s="1"/>
  <c r="H2418" i="2"/>
  <c r="I2418" i="2" s="1"/>
  <c r="K2417" i="2"/>
  <c r="G2418" i="2"/>
  <c r="L2417" i="2" l="1"/>
  <c r="J2418" i="2"/>
  <c r="G2419" i="2"/>
  <c r="H2419" i="2"/>
  <c r="I2419" i="2" s="1"/>
  <c r="K2418" i="2"/>
  <c r="J2419" i="2" s="1"/>
  <c r="E2419" i="2"/>
  <c r="F2419" i="2" s="1"/>
  <c r="H2420" i="2" l="1"/>
  <c r="I2420" i="2" s="1"/>
  <c r="K2419" i="2"/>
  <c r="L2419" i="2" s="1"/>
  <c r="G2420" i="2"/>
  <c r="E2420" i="2"/>
  <c r="F2420" i="2" s="1"/>
  <c r="L2418" i="2"/>
  <c r="E2421" i="2" l="1"/>
  <c r="F2421" i="2" s="1"/>
  <c r="H2421" i="2"/>
  <c r="I2421" i="2" s="1"/>
  <c r="K2420" i="2"/>
  <c r="J2421" i="2" s="1"/>
  <c r="G2421" i="2"/>
  <c r="J2420" i="2"/>
  <c r="L2420" i="2" l="1"/>
  <c r="E2422" i="2"/>
  <c r="F2422" i="2" s="1"/>
  <c r="G2422" i="2"/>
  <c r="K2421" i="2"/>
  <c r="L2421" i="2" s="1"/>
  <c r="H2422" i="2"/>
  <c r="I2422" i="2" s="1"/>
  <c r="J2422" i="2" l="1"/>
  <c r="G2423" i="2"/>
  <c r="E2423" i="2"/>
  <c r="F2423" i="2" s="1"/>
  <c r="K2422" i="2"/>
  <c r="H2423" i="2"/>
  <c r="I2423" i="2" s="1"/>
  <c r="L2422" i="2" l="1"/>
  <c r="J2423" i="2"/>
  <c r="H2424" i="2"/>
  <c r="I2424" i="2" s="1"/>
  <c r="K2423" i="2"/>
  <c r="L2423" i="2" s="1"/>
  <c r="G2424" i="2"/>
  <c r="E2424" i="2"/>
  <c r="F2424" i="2" s="1"/>
  <c r="J2424" i="2" l="1"/>
  <c r="E2425" i="2"/>
  <c r="F2425" i="2" s="1"/>
  <c r="H2425" i="2"/>
  <c r="I2425" i="2" s="1"/>
  <c r="K2424" i="2"/>
  <c r="G2425" i="2"/>
  <c r="L2424" i="2" l="1"/>
  <c r="J2425" i="2"/>
  <c r="E2426" i="2"/>
  <c r="F2426" i="2" s="1"/>
  <c r="H2426" i="2"/>
  <c r="I2426" i="2" s="1"/>
  <c r="K2425" i="2"/>
  <c r="G2426" i="2"/>
  <c r="L2425" i="2" l="1"/>
  <c r="J2426" i="2"/>
  <c r="G2427" i="2"/>
  <c r="H2427" i="2"/>
  <c r="I2427" i="2" s="1"/>
  <c r="K2426" i="2"/>
  <c r="J2427" i="2" s="1"/>
  <c r="E2427" i="2"/>
  <c r="F2427" i="2" s="1"/>
  <c r="H2428" i="2" l="1"/>
  <c r="I2428" i="2" s="1"/>
  <c r="K2427" i="2"/>
  <c r="L2427" i="2" s="1"/>
  <c r="G2428" i="2"/>
  <c r="E2428" i="2"/>
  <c r="F2428" i="2" s="1"/>
  <c r="L2426" i="2"/>
  <c r="J2428" i="2" l="1"/>
  <c r="E2429" i="2"/>
  <c r="F2429" i="2" s="1"/>
  <c r="H2429" i="2"/>
  <c r="I2429" i="2" s="1"/>
  <c r="K2428" i="2"/>
  <c r="J2429" i="2" s="1"/>
  <c r="G2429" i="2"/>
  <c r="E2430" i="2" l="1"/>
  <c r="F2430" i="2" s="1"/>
  <c r="G2430" i="2"/>
  <c r="H2430" i="2"/>
  <c r="I2430" i="2" s="1"/>
  <c r="K2429" i="2"/>
  <c r="L2429" i="2" s="1"/>
  <c r="L2428" i="2"/>
  <c r="J2430" i="2" l="1"/>
  <c r="G2431" i="2"/>
  <c r="H2431" i="2"/>
  <c r="I2431" i="2" s="1"/>
  <c r="E2431" i="2"/>
  <c r="F2431" i="2" s="1"/>
  <c r="K2430" i="2"/>
  <c r="J2431" i="2" s="1"/>
  <c r="H2432" i="2" l="1"/>
  <c r="I2432" i="2" s="1"/>
  <c r="K2431" i="2"/>
  <c r="L2431" i="2" s="1"/>
  <c r="G2432" i="2"/>
  <c r="E2432" i="2"/>
  <c r="F2432" i="2" s="1"/>
  <c r="L2430" i="2"/>
  <c r="E2433" i="2" l="1"/>
  <c r="F2433" i="2" s="1"/>
  <c r="H2433" i="2"/>
  <c r="I2433" i="2" s="1"/>
  <c r="K2432" i="2"/>
  <c r="J2433" i="2" s="1"/>
  <c r="G2433" i="2"/>
  <c r="J2432" i="2"/>
  <c r="L2432" i="2" l="1"/>
  <c r="E2434" i="2"/>
  <c r="F2434" i="2" s="1"/>
  <c r="H2434" i="2"/>
  <c r="I2434" i="2" s="1"/>
  <c r="K2433" i="2"/>
  <c r="L2433" i="2" s="1"/>
  <c r="G2434" i="2"/>
  <c r="J2434" i="2" l="1"/>
  <c r="G2435" i="2"/>
  <c r="H2435" i="2"/>
  <c r="I2435" i="2" s="1"/>
  <c r="K2434" i="2"/>
  <c r="J2435" i="2" s="1"/>
  <c r="E2435" i="2"/>
  <c r="F2435" i="2" s="1"/>
  <c r="H2436" i="2" l="1"/>
  <c r="I2436" i="2" s="1"/>
  <c r="K2435" i="2"/>
  <c r="J2436" i="2" s="1"/>
  <c r="G2436" i="2"/>
  <c r="E2436" i="2"/>
  <c r="F2436" i="2" s="1"/>
  <c r="L2434" i="2"/>
  <c r="L2435" i="2" l="1"/>
  <c r="E2437" i="2"/>
  <c r="F2437" i="2" s="1"/>
  <c r="H2437" i="2"/>
  <c r="I2437" i="2" s="1"/>
  <c r="K2436" i="2"/>
  <c r="L2436" i="2" s="1"/>
  <c r="G2437" i="2"/>
  <c r="E2438" i="2" l="1"/>
  <c r="F2438" i="2" s="1"/>
  <c r="G2438" i="2"/>
  <c r="K2437" i="2"/>
  <c r="J2438" i="2" s="1"/>
  <c r="H2438" i="2"/>
  <c r="I2438" i="2" s="1"/>
  <c r="J2437" i="2"/>
  <c r="L2437" i="2" l="1"/>
  <c r="G2439" i="2"/>
  <c r="E2439" i="2"/>
  <c r="F2439" i="2" s="1"/>
  <c r="K2438" i="2"/>
  <c r="L2438" i="2" s="1"/>
  <c r="H2439" i="2"/>
  <c r="I2439" i="2" s="1"/>
  <c r="J2439" i="2" l="1"/>
  <c r="H2440" i="2"/>
  <c r="I2440" i="2" s="1"/>
  <c r="K2439" i="2"/>
  <c r="G2440" i="2"/>
  <c r="E2440" i="2"/>
  <c r="F2440" i="2" s="1"/>
  <c r="L2439" i="2" l="1"/>
  <c r="E2441" i="2"/>
  <c r="F2441" i="2" s="1"/>
  <c r="H2441" i="2"/>
  <c r="I2441" i="2" s="1"/>
  <c r="K2440" i="2"/>
  <c r="J2441" i="2" s="1"/>
  <c r="G2441" i="2"/>
  <c r="J2440" i="2"/>
  <c r="L2440" i="2" l="1"/>
  <c r="E2442" i="2"/>
  <c r="F2442" i="2" s="1"/>
  <c r="H2442" i="2"/>
  <c r="I2442" i="2" s="1"/>
  <c r="K2441" i="2"/>
  <c r="L2441" i="2" s="1"/>
  <c r="G2442" i="2"/>
  <c r="J2442" i="2" l="1"/>
  <c r="G2443" i="2"/>
  <c r="H2443" i="2"/>
  <c r="I2443" i="2" s="1"/>
  <c r="K2442" i="2"/>
  <c r="J2443" i="2" s="1"/>
  <c r="E2443" i="2"/>
  <c r="F2443" i="2" s="1"/>
  <c r="H2444" i="2" l="1"/>
  <c r="I2444" i="2" s="1"/>
  <c r="K2443" i="2"/>
  <c r="J2444" i="2" s="1"/>
  <c r="G2444" i="2"/>
  <c r="E2444" i="2"/>
  <c r="F2444" i="2" s="1"/>
  <c r="L2442" i="2"/>
  <c r="L2443" i="2" l="1"/>
  <c r="E2445" i="2"/>
  <c r="F2445" i="2" s="1"/>
  <c r="H2445" i="2"/>
  <c r="I2445" i="2" s="1"/>
  <c r="K2444" i="2"/>
  <c r="L2444" i="2" s="1"/>
  <c r="G2445" i="2"/>
  <c r="E2446" i="2" l="1"/>
  <c r="F2446" i="2" s="1"/>
  <c r="G2446" i="2"/>
  <c r="H2446" i="2"/>
  <c r="I2446" i="2" s="1"/>
  <c r="K2445" i="2"/>
  <c r="J2446" i="2" s="1"/>
  <c r="J2445" i="2"/>
  <c r="L2445" i="2" l="1"/>
  <c r="G2447" i="2"/>
  <c r="H2447" i="2"/>
  <c r="I2447" i="2" s="1"/>
  <c r="E2447" i="2"/>
  <c r="F2447" i="2" s="1"/>
  <c r="K2446" i="2"/>
  <c r="L2446" i="2" s="1"/>
  <c r="H2448" i="2" l="1"/>
  <c r="I2448" i="2" s="1"/>
  <c r="K2447" i="2"/>
  <c r="J2448" i="2" s="1"/>
  <c r="G2448" i="2"/>
  <c r="E2448" i="2"/>
  <c r="F2448" i="2" s="1"/>
  <c r="J2447" i="2"/>
  <c r="L2447" i="2" l="1"/>
  <c r="E2449" i="2"/>
  <c r="F2449" i="2" s="1"/>
  <c r="H2449" i="2"/>
  <c r="I2449" i="2" s="1"/>
  <c r="K2448" i="2"/>
  <c r="L2448" i="2" s="1"/>
  <c r="G2449" i="2"/>
  <c r="E2450" i="2" l="1"/>
  <c r="F2450" i="2" s="1"/>
  <c r="H2450" i="2"/>
  <c r="I2450" i="2" s="1"/>
  <c r="K2449" i="2"/>
  <c r="J2450" i="2" s="1"/>
  <c r="G2450" i="2"/>
  <c r="J2449" i="2"/>
  <c r="G2451" i="2" l="1"/>
  <c r="H2451" i="2"/>
  <c r="I2451" i="2" s="1"/>
  <c r="K2450" i="2"/>
  <c r="L2450" i="2" s="1"/>
  <c r="E2451" i="2"/>
  <c r="F2451" i="2" s="1"/>
  <c r="L2449" i="2"/>
  <c r="J2451" i="2" l="1"/>
  <c r="H2452" i="2"/>
  <c r="I2452" i="2" s="1"/>
  <c r="K2451" i="2"/>
  <c r="J2452" i="2" s="1"/>
  <c r="G2452" i="2"/>
  <c r="E2452" i="2"/>
  <c r="F2452" i="2" s="1"/>
  <c r="L2451" i="2" l="1"/>
  <c r="E2453" i="2"/>
  <c r="F2453" i="2" s="1"/>
  <c r="H2453" i="2"/>
  <c r="I2453" i="2" s="1"/>
  <c r="K2452" i="2"/>
  <c r="L2452" i="2" s="1"/>
  <c r="G2453" i="2"/>
  <c r="E2454" i="2" l="1"/>
  <c r="F2454" i="2" s="1"/>
  <c r="G2454" i="2"/>
  <c r="K2453" i="2"/>
  <c r="J2454" i="2" s="1"/>
  <c r="H2454" i="2"/>
  <c r="I2454" i="2" s="1"/>
  <c r="J2453" i="2"/>
  <c r="L2453" i="2" l="1"/>
  <c r="G2455" i="2"/>
  <c r="E2455" i="2"/>
  <c r="F2455" i="2" s="1"/>
  <c r="K2454" i="2"/>
  <c r="L2454" i="2" s="1"/>
  <c r="H2455" i="2"/>
  <c r="I2455" i="2" s="1"/>
  <c r="J2455" i="2" l="1"/>
  <c r="H2456" i="2"/>
  <c r="I2456" i="2" s="1"/>
  <c r="K2455" i="2"/>
  <c r="G2456" i="2"/>
  <c r="E2456" i="2"/>
  <c r="F2456" i="2" s="1"/>
  <c r="L2455" i="2" l="1"/>
  <c r="E2457" i="2"/>
  <c r="F2457" i="2" s="1"/>
  <c r="H2457" i="2"/>
  <c r="I2457" i="2" s="1"/>
  <c r="K2456" i="2"/>
  <c r="J2457" i="2" s="1"/>
  <c r="G2457" i="2"/>
  <c r="J2456" i="2"/>
  <c r="L2456" i="2" l="1"/>
  <c r="E2458" i="2"/>
  <c r="F2458" i="2" s="1"/>
  <c r="H2458" i="2"/>
  <c r="I2458" i="2" s="1"/>
  <c r="K2457" i="2"/>
  <c r="L2457" i="2" s="1"/>
  <c r="G2458" i="2"/>
  <c r="J2458" i="2" l="1"/>
  <c r="G2459" i="2"/>
  <c r="H2459" i="2"/>
  <c r="I2459" i="2" s="1"/>
  <c r="K2458" i="2"/>
  <c r="J2459" i="2" s="1"/>
  <c r="E2459" i="2"/>
  <c r="F2459" i="2" s="1"/>
  <c r="H2460" i="2" l="1"/>
  <c r="I2460" i="2" s="1"/>
  <c r="K2459" i="2"/>
  <c r="J2460" i="2" s="1"/>
  <c r="G2460" i="2"/>
  <c r="E2460" i="2"/>
  <c r="F2460" i="2" s="1"/>
  <c r="L2458" i="2"/>
  <c r="L2459" i="2" l="1"/>
  <c r="E2461" i="2"/>
  <c r="F2461" i="2" s="1"/>
  <c r="H2461" i="2"/>
  <c r="I2461" i="2" s="1"/>
  <c r="K2460" i="2"/>
  <c r="L2460" i="2" s="1"/>
  <c r="G2461" i="2"/>
  <c r="E2462" i="2" l="1"/>
  <c r="F2462" i="2" s="1"/>
  <c r="H2462" i="2"/>
  <c r="I2462" i="2" s="1"/>
  <c r="K2461" i="2"/>
  <c r="J2462" i="2" s="1"/>
  <c r="G2462" i="2"/>
  <c r="J2461" i="2"/>
  <c r="G2463" i="2" l="1"/>
  <c r="E2463" i="2"/>
  <c r="F2463" i="2" s="1"/>
  <c r="H2463" i="2"/>
  <c r="I2463" i="2" s="1"/>
  <c r="K2462" i="2"/>
  <c r="L2462" i="2" s="1"/>
  <c r="L2461" i="2"/>
  <c r="J2463" i="2" l="1"/>
  <c r="H2464" i="2"/>
  <c r="I2464" i="2" s="1"/>
  <c r="K2463" i="2"/>
  <c r="J2464" i="2" s="1"/>
  <c r="G2464" i="2"/>
  <c r="E2464" i="2"/>
  <c r="F2464" i="2" s="1"/>
  <c r="E2465" i="2" l="1"/>
  <c r="F2465" i="2" s="1"/>
  <c r="H2465" i="2"/>
  <c r="I2465" i="2" s="1"/>
  <c r="K2464" i="2"/>
  <c r="L2464" i="2" s="1"/>
  <c r="G2465" i="2"/>
  <c r="L2463" i="2"/>
  <c r="E2466" i="2" l="1"/>
  <c r="F2466" i="2" s="1"/>
  <c r="H2466" i="2"/>
  <c r="I2466" i="2" s="1"/>
  <c r="K2465" i="2"/>
  <c r="J2466" i="2" s="1"/>
  <c r="G2466" i="2"/>
  <c r="J2465" i="2"/>
  <c r="G2467" i="2" l="1"/>
  <c r="H2467" i="2"/>
  <c r="I2467" i="2" s="1"/>
  <c r="K2466" i="2"/>
  <c r="L2466" i="2" s="1"/>
  <c r="E2467" i="2"/>
  <c r="F2467" i="2" s="1"/>
  <c r="L2465" i="2"/>
  <c r="J2467" i="2" l="1"/>
  <c r="H2468" i="2"/>
  <c r="I2468" i="2" s="1"/>
  <c r="K2467" i="2"/>
  <c r="J2468" i="2" s="1"/>
  <c r="G2468" i="2"/>
  <c r="E2468" i="2"/>
  <c r="F2468" i="2" s="1"/>
  <c r="L2467" i="2" l="1"/>
  <c r="E2469" i="2"/>
  <c r="F2469" i="2" s="1"/>
  <c r="H2469" i="2"/>
  <c r="I2469" i="2" s="1"/>
  <c r="K2468" i="2"/>
  <c r="L2468" i="2" s="1"/>
  <c r="G2469" i="2"/>
  <c r="J2469" i="2" l="1"/>
  <c r="E2470" i="2"/>
  <c r="F2470" i="2" s="1"/>
  <c r="H2470" i="2"/>
  <c r="I2470" i="2" s="1"/>
  <c r="K2469" i="2"/>
  <c r="J2470" i="2" s="1"/>
  <c r="G2470" i="2"/>
  <c r="G2471" i="2" l="1"/>
  <c r="E2471" i="2"/>
  <c r="F2471" i="2" s="1"/>
  <c r="H2471" i="2"/>
  <c r="I2471" i="2" s="1"/>
  <c r="K2470" i="2"/>
  <c r="L2470" i="2" s="1"/>
  <c r="L2469" i="2"/>
  <c r="J2471" i="2" l="1"/>
  <c r="H2472" i="2"/>
  <c r="I2472" i="2" s="1"/>
  <c r="K2471" i="2"/>
  <c r="J2472" i="2" s="1"/>
  <c r="G2472" i="2"/>
  <c r="E2472" i="2"/>
  <c r="F2472" i="2" s="1"/>
  <c r="E2473" i="2" l="1"/>
  <c r="F2473" i="2" s="1"/>
  <c r="H2473" i="2"/>
  <c r="I2473" i="2" s="1"/>
  <c r="K2472" i="2"/>
  <c r="L2472" i="2" s="1"/>
  <c r="G2473" i="2"/>
  <c r="L2471" i="2"/>
  <c r="E2474" i="2" l="1"/>
  <c r="F2474" i="2" s="1"/>
  <c r="H2474" i="2"/>
  <c r="I2474" i="2" s="1"/>
  <c r="K2473" i="2"/>
  <c r="J2474" i="2" s="1"/>
  <c r="G2474" i="2"/>
  <c r="J2473" i="2"/>
  <c r="G2475" i="2" l="1"/>
  <c r="H2475" i="2"/>
  <c r="I2475" i="2" s="1"/>
  <c r="K2474" i="2"/>
  <c r="L2474" i="2" s="1"/>
  <c r="E2475" i="2"/>
  <c r="F2475" i="2" s="1"/>
  <c r="L2473" i="2"/>
  <c r="J2475" i="2" l="1"/>
  <c r="H2476" i="2"/>
  <c r="I2476" i="2" s="1"/>
  <c r="K2475" i="2"/>
  <c r="J2476" i="2" s="1"/>
  <c r="G2476" i="2"/>
  <c r="E2476" i="2"/>
  <c r="F2476" i="2" s="1"/>
  <c r="L2475" i="2" l="1"/>
  <c r="E2477" i="2"/>
  <c r="F2477" i="2" s="1"/>
  <c r="H2477" i="2"/>
  <c r="I2477" i="2" s="1"/>
  <c r="K2476" i="2"/>
  <c r="L2476" i="2" s="1"/>
  <c r="G2477" i="2"/>
  <c r="J2477" i="2" l="1"/>
  <c r="E2478" i="2"/>
  <c r="F2478" i="2" s="1"/>
  <c r="H2478" i="2"/>
  <c r="I2478" i="2" s="1"/>
  <c r="K2477" i="2"/>
  <c r="J2478" i="2" s="1"/>
  <c r="G2478" i="2"/>
  <c r="G2479" i="2" l="1"/>
  <c r="E2479" i="2"/>
  <c r="F2479" i="2" s="1"/>
  <c r="H2479" i="2"/>
  <c r="I2479" i="2" s="1"/>
  <c r="K2478" i="2"/>
  <c r="L2478" i="2" s="1"/>
  <c r="L2477" i="2"/>
  <c r="J2479" i="2" l="1"/>
  <c r="H2480" i="2"/>
  <c r="I2480" i="2" s="1"/>
  <c r="K2479" i="2"/>
  <c r="J2480" i="2" s="1"/>
  <c r="G2480" i="2"/>
  <c r="E2480" i="2"/>
  <c r="F2480" i="2" s="1"/>
  <c r="E2481" i="2" l="1"/>
  <c r="F2481" i="2" s="1"/>
  <c r="H2481" i="2"/>
  <c r="I2481" i="2" s="1"/>
  <c r="K2480" i="2"/>
  <c r="L2480" i="2" s="1"/>
  <c r="G2481" i="2"/>
  <c r="L2479" i="2"/>
  <c r="E2482" i="2" l="1"/>
  <c r="F2482" i="2" s="1"/>
  <c r="H2482" i="2"/>
  <c r="I2482" i="2" s="1"/>
  <c r="K2481" i="2"/>
  <c r="J2482" i="2" s="1"/>
  <c r="G2482" i="2"/>
  <c r="J2481" i="2"/>
  <c r="G2483" i="2" l="1"/>
  <c r="H2483" i="2"/>
  <c r="I2483" i="2" s="1"/>
  <c r="K2482" i="2"/>
  <c r="L2482" i="2" s="1"/>
  <c r="E2483" i="2"/>
  <c r="F2483" i="2" s="1"/>
  <c r="L2481" i="2"/>
  <c r="J2483" i="2" l="1"/>
  <c r="H2484" i="2"/>
  <c r="I2484" i="2" s="1"/>
  <c r="K2483" i="2"/>
  <c r="J2484" i="2" s="1"/>
  <c r="G2484" i="2"/>
  <c r="E2484" i="2"/>
  <c r="F2484" i="2" s="1"/>
  <c r="L2483" i="2" l="1"/>
  <c r="E2485" i="2"/>
  <c r="F2485" i="2" s="1"/>
  <c r="H2485" i="2"/>
  <c r="I2485" i="2" s="1"/>
  <c r="K2484" i="2"/>
  <c r="L2484" i="2" s="1"/>
  <c r="G2485" i="2"/>
  <c r="E2486" i="2" l="1"/>
  <c r="F2486" i="2" s="1"/>
  <c r="H2486" i="2"/>
  <c r="I2486" i="2" s="1"/>
  <c r="K2485" i="2"/>
  <c r="J2486" i="2" s="1"/>
  <c r="G2486" i="2"/>
  <c r="J2485" i="2"/>
  <c r="G2487" i="2" l="1"/>
  <c r="E2487" i="2"/>
  <c r="F2487" i="2" s="1"/>
  <c r="K2486" i="2"/>
  <c r="L2486" i="2" s="1"/>
  <c r="H2487" i="2"/>
  <c r="I2487" i="2" s="1"/>
  <c r="L2485" i="2"/>
  <c r="J2487" i="2" l="1"/>
  <c r="H2488" i="2"/>
  <c r="I2488" i="2" s="1"/>
  <c r="K2487" i="2"/>
  <c r="G2488" i="2"/>
  <c r="E2488" i="2"/>
  <c r="F2488" i="2" s="1"/>
  <c r="L2487" i="2" l="1"/>
  <c r="E2489" i="2"/>
  <c r="F2489" i="2" s="1"/>
  <c r="H2489" i="2"/>
  <c r="I2489" i="2" s="1"/>
  <c r="K2488" i="2"/>
  <c r="J2489" i="2" s="1"/>
  <c r="G2489" i="2"/>
  <c r="J2488" i="2"/>
  <c r="L2488" i="2" l="1"/>
  <c r="E2490" i="2"/>
  <c r="F2490" i="2" s="1"/>
  <c r="H2490" i="2"/>
  <c r="I2490" i="2" s="1"/>
  <c r="K2489" i="2"/>
  <c r="L2489" i="2" s="1"/>
  <c r="G2490" i="2"/>
  <c r="J2490" i="2" l="1"/>
  <c r="G2491" i="2"/>
  <c r="H2491" i="2"/>
  <c r="I2491" i="2" s="1"/>
  <c r="K2490" i="2"/>
  <c r="J2491" i="2" s="1"/>
  <c r="E2491" i="2"/>
  <c r="F2491" i="2" s="1"/>
  <c r="H2492" i="2" l="1"/>
  <c r="I2492" i="2" s="1"/>
  <c r="K2491" i="2"/>
  <c r="J2492" i="2" s="1"/>
  <c r="G2492" i="2"/>
  <c r="E2492" i="2"/>
  <c r="F2492" i="2" s="1"/>
  <c r="L2490" i="2"/>
  <c r="L2491" i="2" l="1"/>
  <c r="E2493" i="2"/>
  <c r="F2493" i="2" s="1"/>
  <c r="H2493" i="2"/>
  <c r="I2493" i="2" s="1"/>
  <c r="K2492" i="2"/>
  <c r="L2492" i="2" s="1"/>
  <c r="G2493" i="2"/>
  <c r="E2494" i="2" l="1"/>
  <c r="F2494" i="2" s="1"/>
  <c r="H2494" i="2"/>
  <c r="I2494" i="2" s="1"/>
  <c r="K2493" i="2"/>
  <c r="J2494" i="2" s="1"/>
  <c r="G2494" i="2"/>
  <c r="J2493" i="2"/>
  <c r="G2495" i="2" l="1"/>
  <c r="E2495" i="2"/>
  <c r="F2495" i="2" s="1"/>
  <c r="H2495" i="2"/>
  <c r="I2495" i="2" s="1"/>
  <c r="K2494" i="2"/>
  <c r="J2495" i="2" s="1"/>
  <c r="L2493" i="2"/>
  <c r="L2494" i="2" l="1"/>
  <c r="H2496" i="2"/>
  <c r="I2496" i="2" s="1"/>
  <c r="K2495" i="2"/>
  <c r="J2496" i="2" s="1"/>
  <c r="G2496" i="2"/>
  <c r="E2496" i="2"/>
  <c r="F2496" i="2" s="1"/>
  <c r="L2495" i="2" l="1"/>
  <c r="E2497" i="2"/>
  <c r="F2497" i="2" s="1"/>
  <c r="H2497" i="2"/>
  <c r="I2497" i="2" s="1"/>
  <c r="K2496" i="2"/>
  <c r="L2496" i="2" s="1"/>
  <c r="G2497" i="2"/>
  <c r="E2498" i="2" l="1"/>
  <c r="F2498" i="2" s="1"/>
  <c r="H2498" i="2"/>
  <c r="I2498" i="2" s="1"/>
  <c r="K2497" i="2"/>
  <c r="J2498" i="2" s="1"/>
  <c r="G2498" i="2"/>
  <c r="J2497" i="2"/>
  <c r="L2497" i="2" l="1"/>
  <c r="G2499" i="2"/>
  <c r="H2499" i="2"/>
  <c r="I2499" i="2" s="1"/>
  <c r="K2498" i="2"/>
  <c r="L2498" i="2" s="1"/>
  <c r="E2499" i="2"/>
  <c r="F2499" i="2" s="1"/>
  <c r="J2499" i="2" l="1"/>
  <c r="H2500" i="2"/>
  <c r="I2500" i="2" s="1"/>
  <c r="K2499" i="2"/>
  <c r="J2500" i="2" s="1"/>
  <c r="G2500" i="2"/>
  <c r="E2500" i="2"/>
  <c r="F2500" i="2" s="1"/>
  <c r="L2499" i="2" l="1"/>
  <c r="E2501" i="2"/>
  <c r="F2501" i="2" s="1"/>
  <c r="H2501" i="2"/>
  <c r="I2501" i="2" s="1"/>
  <c r="K2500" i="2"/>
  <c r="L2500" i="2" s="1"/>
  <c r="G2501" i="2"/>
  <c r="E2502" i="2" l="1"/>
  <c r="F2502" i="2" s="1"/>
  <c r="H2502" i="2"/>
  <c r="I2502" i="2" s="1"/>
  <c r="K2501" i="2"/>
  <c r="J2502" i="2" s="1"/>
  <c r="G2502" i="2"/>
  <c r="J2501" i="2"/>
  <c r="G2503" i="2" l="1"/>
  <c r="E2503" i="2"/>
  <c r="F2503" i="2" s="1"/>
  <c r="H2503" i="2"/>
  <c r="I2503" i="2" s="1"/>
  <c r="K2502" i="2"/>
  <c r="L2502" i="2" s="1"/>
  <c r="L2501" i="2"/>
  <c r="J2503" i="2" l="1"/>
  <c r="H2504" i="2"/>
  <c r="I2504" i="2" s="1"/>
  <c r="K2503" i="2"/>
  <c r="J2504" i="2" s="1"/>
  <c r="G2504" i="2"/>
  <c r="E2504" i="2"/>
  <c r="F2504" i="2" s="1"/>
  <c r="E2505" i="2" l="1"/>
  <c r="F2505" i="2" s="1"/>
  <c r="H2505" i="2"/>
  <c r="I2505" i="2" s="1"/>
  <c r="K2504" i="2"/>
  <c r="J2505" i="2" s="1"/>
  <c r="G2505" i="2"/>
  <c r="L2503" i="2"/>
  <c r="L2504" i="2" l="1"/>
  <c r="E2506" i="2"/>
  <c r="F2506" i="2" s="1"/>
  <c r="H2506" i="2"/>
  <c r="I2506" i="2" s="1"/>
  <c r="K2505" i="2"/>
  <c r="L2505" i="2" s="1"/>
  <c r="G2506" i="2"/>
  <c r="J2506" i="2" l="1"/>
  <c r="G2507" i="2"/>
  <c r="H2507" i="2"/>
  <c r="I2507" i="2" s="1"/>
  <c r="K2506" i="2"/>
  <c r="J2507" i="2" s="1"/>
  <c r="E2507" i="2"/>
  <c r="F2507" i="2" s="1"/>
  <c r="H2508" i="2" l="1"/>
  <c r="I2508" i="2" s="1"/>
  <c r="K2507" i="2"/>
  <c r="J2508" i="2" s="1"/>
  <c r="G2508" i="2"/>
  <c r="E2508" i="2"/>
  <c r="F2508" i="2" s="1"/>
  <c r="L2506" i="2"/>
  <c r="L2507" i="2" l="1"/>
  <c r="H2509" i="2"/>
  <c r="I2509" i="2" s="1"/>
  <c r="K2508" i="2"/>
  <c r="L2508" i="2" s="1"/>
  <c r="G2509" i="2"/>
  <c r="E2509" i="2"/>
  <c r="F2509" i="2" s="1"/>
  <c r="J2509" i="2" l="1"/>
  <c r="E2510" i="2"/>
  <c r="F2510" i="2" s="1"/>
  <c r="G2510" i="2"/>
  <c r="K2509" i="2"/>
  <c r="J2510" i="2" s="1"/>
  <c r="H2510" i="2"/>
  <c r="I2510" i="2" s="1"/>
  <c r="G2511" i="2" l="1"/>
  <c r="E2511" i="2"/>
  <c r="F2511" i="2" s="1"/>
  <c r="K2510" i="2"/>
  <c r="L2510" i="2" s="1"/>
  <c r="H2511" i="2"/>
  <c r="I2511" i="2" s="1"/>
  <c r="L2509" i="2"/>
  <c r="J2511" i="2" l="1"/>
  <c r="G2512" i="2"/>
  <c r="E2512" i="2"/>
  <c r="F2512" i="2" s="1"/>
  <c r="K2511" i="2"/>
  <c r="H2512" i="2"/>
  <c r="I2512" i="2" s="1"/>
  <c r="L2511" i="2" l="1"/>
  <c r="J2512" i="2"/>
  <c r="H2513" i="2"/>
  <c r="I2513" i="2" s="1"/>
  <c r="K2512" i="2"/>
  <c r="E2513" i="2"/>
  <c r="F2513" i="2" s="1"/>
  <c r="G2513" i="2"/>
  <c r="L2512" i="2" l="1"/>
  <c r="J2513" i="2"/>
  <c r="E2514" i="2"/>
  <c r="F2514" i="2" s="1"/>
  <c r="K2513" i="2"/>
  <c r="J2514" i="2" s="1"/>
  <c r="H2514" i="2"/>
  <c r="I2514" i="2" s="1"/>
  <c r="G2514" i="2"/>
  <c r="E2515" i="2" l="1"/>
  <c r="F2515" i="2" s="1"/>
  <c r="K2514" i="2"/>
  <c r="L2514" i="2" s="1"/>
  <c r="H2515" i="2"/>
  <c r="I2515" i="2" s="1"/>
  <c r="G2515" i="2"/>
  <c r="L2513" i="2"/>
  <c r="J2515" i="2" l="1"/>
  <c r="G2516" i="2"/>
  <c r="E2516" i="2"/>
  <c r="F2516" i="2" s="1"/>
  <c r="K2515" i="2"/>
  <c r="J2516" i="2" s="1"/>
  <c r="H2516" i="2"/>
  <c r="I2516" i="2" s="1"/>
  <c r="H2517" i="2" l="1"/>
  <c r="I2517" i="2" s="1"/>
  <c r="K2516" i="2"/>
  <c r="L2516" i="2" s="1"/>
  <c r="E2517" i="2"/>
  <c r="F2517" i="2" s="1"/>
  <c r="G2517" i="2"/>
  <c r="L2515" i="2"/>
  <c r="J2517" i="2" l="1"/>
  <c r="E2518" i="2"/>
  <c r="F2518" i="2" s="1"/>
  <c r="H2518" i="2"/>
  <c r="I2518" i="2" s="1"/>
  <c r="K2517" i="2"/>
  <c r="G2518" i="2"/>
  <c r="L2517" i="2" l="1"/>
  <c r="J2518" i="2"/>
  <c r="H2519" i="2"/>
  <c r="I2519" i="2" s="1"/>
  <c r="K2518" i="2"/>
  <c r="G2519" i="2"/>
  <c r="E2519" i="2"/>
  <c r="F2519" i="2" s="1"/>
  <c r="L2518" i="2" l="1"/>
  <c r="J2519" i="2"/>
  <c r="G2520" i="2"/>
  <c r="H2520" i="2"/>
  <c r="I2520" i="2" s="1"/>
  <c r="K2519" i="2"/>
  <c r="E2520" i="2"/>
  <c r="F2520" i="2" s="1"/>
  <c r="L2519" i="2" l="1"/>
  <c r="J2520" i="2"/>
  <c r="H2521" i="2"/>
  <c r="I2521" i="2" s="1"/>
  <c r="K2520" i="2"/>
  <c r="J2521" i="2" s="1"/>
  <c r="G2521" i="2"/>
  <c r="E2521" i="2"/>
  <c r="F2521" i="2" s="1"/>
  <c r="E2522" i="2" l="1"/>
  <c r="F2522" i="2" s="1"/>
  <c r="H2522" i="2"/>
  <c r="I2522" i="2" s="1"/>
  <c r="G2522" i="2"/>
  <c r="K2521" i="2"/>
  <c r="L2521" i="2" s="1"/>
  <c r="L2520" i="2"/>
  <c r="J2522" i="2" l="1"/>
  <c r="H2523" i="2"/>
  <c r="I2523" i="2" s="1"/>
  <c r="G2523" i="2"/>
  <c r="K2522" i="2"/>
  <c r="E2523" i="2"/>
  <c r="F2523" i="2" s="1"/>
  <c r="L2522" i="2" l="1"/>
  <c r="J2523" i="2"/>
  <c r="G2524" i="2"/>
  <c r="H2524" i="2"/>
  <c r="I2524" i="2" s="1"/>
  <c r="K2523" i="2"/>
  <c r="J2524" i="2" s="1"/>
  <c r="E2524" i="2"/>
  <c r="F2524" i="2" s="1"/>
  <c r="L2523" i="2" l="1"/>
  <c r="H2525" i="2"/>
  <c r="I2525" i="2" s="1"/>
  <c r="K2524" i="2"/>
  <c r="L2524" i="2" s="1"/>
  <c r="G2525" i="2"/>
  <c r="E2525" i="2"/>
  <c r="F2525" i="2" s="1"/>
  <c r="J2525" i="2" l="1"/>
  <c r="E2526" i="2"/>
  <c r="F2526" i="2" s="1"/>
  <c r="G2526" i="2"/>
  <c r="K2525" i="2"/>
  <c r="H2526" i="2"/>
  <c r="I2526" i="2" s="1"/>
  <c r="L2525" i="2" l="1"/>
  <c r="J2526" i="2"/>
  <c r="G2527" i="2"/>
  <c r="E2527" i="2"/>
  <c r="F2527" i="2" s="1"/>
  <c r="K2526" i="2"/>
  <c r="J2527" i="2" s="1"/>
  <c r="H2527" i="2"/>
  <c r="I2527" i="2" s="1"/>
  <c r="G2528" i="2" l="1"/>
  <c r="E2528" i="2"/>
  <c r="F2528" i="2" s="1"/>
  <c r="K2527" i="2"/>
  <c r="J2528" i="2" s="1"/>
  <c r="H2528" i="2"/>
  <c r="I2528" i="2" s="1"/>
  <c r="L2526" i="2"/>
  <c r="L2527" i="2" l="1"/>
  <c r="H2529" i="2"/>
  <c r="I2529" i="2" s="1"/>
  <c r="K2528" i="2"/>
  <c r="L2528" i="2" s="1"/>
  <c r="E2529" i="2"/>
  <c r="F2529" i="2" s="1"/>
  <c r="G2529" i="2"/>
  <c r="E2530" i="2" l="1"/>
  <c r="F2530" i="2" s="1"/>
  <c r="K2529" i="2"/>
  <c r="J2530" i="2" s="1"/>
  <c r="H2530" i="2"/>
  <c r="I2530" i="2" s="1"/>
  <c r="G2530" i="2"/>
  <c r="J2529" i="2"/>
  <c r="L2529" i="2" l="1"/>
  <c r="E2531" i="2"/>
  <c r="F2531" i="2" s="1"/>
  <c r="K2530" i="2"/>
  <c r="J2531" i="2" s="1"/>
  <c r="H2531" i="2"/>
  <c r="I2531" i="2" s="1"/>
  <c r="G2531" i="2"/>
  <c r="G2532" i="2" l="1"/>
  <c r="E2532" i="2"/>
  <c r="F2532" i="2" s="1"/>
  <c r="K2531" i="2"/>
  <c r="L2531" i="2" s="1"/>
  <c r="H2532" i="2"/>
  <c r="I2532" i="2" s="1"/>
  <c r="L2530" i="2"/>
  <c r="J2532" i="2" l="1"/>
  <c r="H2533" i="2"/>
  <c r="I2533" i="2" s="1"/>
  <c r="K2532" i="2"/>
  <c r="E2533" i="2"/>
  <c r="F2533" i="2" s="1"/>
  <c r="G2533" i="2"/>
  <c r="L2532" i="2" l="1"/>
  <c r="J2533" i="2"/>
  <c r="E2534" i="2"/>
  <c r="F2534" i="2" s="1"/>
  <c r="H2534" i="2"/>
  <c r="I2534" i="2" s="1"/>
  <c r="G2534" i="2"/>
  <c r="K2533" i="2"/>
  <c r="J2534" i="2" s="1"/>
  <c r="H2535" i="2" l="1"/>
  <c r="I2535" i="2" s="1"/>
  <c r="G2535" i="2"/>
  <c r="E2535" i="2"/>
  <c r="F2535" i="2" s="1"/>
  <c r="K2534" i="2"/>
  <c r="L2534" i="2" s="1"/>
  <c r="L2533" i="2"/>
  <c r="G2536" i="2" l="1"/>
  <c r="H2536" i="2"/>
  <c r="I2536" i="2" s="1"/>
  <c r="E2536" i="2"/>
  <c r="F2536" i="2" s="1"/>
  <c r="K2535" i="2"/>
  <c r="J2536" i="2" s="1"/>
  <c r="J2535" i="2"/>
  <c r="L2535" i="2" l="1"/>
  <c r="H2537" i="2"/>
  <c r="I2537" i="2" s="1"/>
  <c r="K2536" i="2"/>
  <c r="L2536" i="2" s="1"/>
  <c r="G2537" i="2"/>
  <c r="E2537" i="2"/>
  <c r="F2537" i="2" s="1"/>
  <c r="J2537" i="2" l="1"/>
  <c r="E2538" i="2"/>
  <c r="F2538" i="2" s="1"/>
  <c r="H2538" i="2"/>
  <c r="I2538" i="2" s="1"/>
  <c r="G2538" i="2"/>
  <c r="K2537" i="2"/>
  <c r="L2537" i="2" l="1"/>
  <c r="J2538" i="2"/>
  <c r="H2539" i="2"/>
  <c r="I2539" i="2" s="1"/>
  <c r="G2539" i="2"/>
  <c r="E2539" i="2"/>
  <c r="F2539" i="2" s="1"/>
  <c r="K2538" i="2"/>
  <c r="J2539" i="2" s="1"/>
  <c r="L2538" i="2" l="1"/>
  <c r="G2540" i="2"/>
  <c r="H2540" i="2"/>
  <c r="I2540" i="2" s="1"/>
  <c r="E2540" i="2"/>
  <c r="F2540" i="2" s="1"/>
  <c r="K2539" i="2"/>
  <c r="L2539" i="2" s="1"/>
  <c r="J2540" i="2" l="1"/>
  <c r="H2541" i="2"/>
  <c r="I2541" i="2" s="1"/>
  <c r="K2540" i="2"/>
  <c r="G2541" i="2"/>
  <c r="E2541" i="2"/>
  <c r="F2541" i="2" s="1"/>
  <c r="L2540" i="2" l="1"/>
  <c r="J2541" i="2"/>
  <c r="E2542" i="2"/>
  <c r="F2542" i="2" s="1"/>
  <c r="G2542" i="2"/>
  <c r="K2541" i="2"/>
  <c r="J2542" i="2" s="1"/>
  <c r="H2542" i="2"/>
  <c r="I2542" i="2" s="1"/>
  <c r="G2543" i="2" l="1"/>
  <c r="E2543" i="2"/>
  <c r="F2543" i="2" s="1"/>
  <c r="K2542" i="2"/>
  <c r="L2542" i="2" s="1"/>
  <c r="H2543" i="2"/>
  <c r="I2543" i="2" s="1"/>
  <c r="L2541" i="2"/>
  <c r="J2543" i="2" l="1"/>
  <c r="G2544" i="2"/>
  <c r="E2544" i="2"/>
  <c r="F2544" i="2" s="1"/>
  <c r="K2543" i="2"/>
  <c r="H2544" i="2"/>
  <c r="I2544" i="2" s="1"/>
  <c r="L2543" i="2" l="1"/>
  <c r="J2544" i="2"/>
  <c r="H2545" i="2"/>
  <c r="I2545" i="2" s="1"/>
  <c r="K2544" i="2"/>
  <c r="E2545" i="2"/>
  <c r="F2545" i="2" s="1"/>
  <c r="G2545" i="2"/>
  <c r="L2544" i="2" l="1"/>
  <c r="J2545" i="2"/>
  <c r="E2546" i="2"/>
  <c r="F2546" i="2" s="1"/>
  <c r="K2545" i="2"/>
  <c r="J2546" i="2" s="1"/>
  <c r="H2546" i="2"/>
  <c r="I2546" i="2" s="1"/>
  <c r="G2546" i="2"/>
  <c r="E2547" i="2" l="1"/>
  <c r="F2547" i="2" s="1"/>
  <c r="K2546" i="2"/>
  <c r="L2546" i="2" s="1"/>
  <c r="H2547" i="2"/>
  <c r="I2547" i="2" s="1"/>
  <c r="G2547" i="2"/>
  <c r="L2545" i="2"/>
  <c r="J2547" i="2" l="1"/>
  <c r="G2548" i="2"/>
  <c r="E2548" i="2"/>
  <c r="F2548" i="2" s="1"/>
  <c r="K2547" i="2"/>
  <c r="J2548" i="2" s="1"/>
  <c r="H2548" i="2"/>
  <c r="I2548" i="2" s="1"/>
  <c r="H2549" i="2" l="1"/>
  <c r="I2549" i="2" s="1"/>
  <c r="K2548" i="2"/>
  <c r="L2548" i="2" s="1"/>
  <c r="E2549" i="2"/>
  <c r="F2549" i="2" s="1"/>
  <c r="G2549" i="2"/>
  <c r="L2547" i="2"/>
  <c r="J2549" i="2" l="1"/>
  <c r="E2550" i="2"/>
  <c r="F2550" i="2" s="1"/>
  <c r="H2550" i="2"/>
  <c r="I2550" i="2" s="1"/>
  <c r="K2549" i="2"/>
  <c r="J2550" i="2" s="1"/>
  <c r="G2550" i="2"/>
  <c r="H2551" i="2" l="1"/>
  <c r="I2551" i="2" s="1"/>
  <c r="K2550" i="2"/>
  <c r="J2551" i="2" s="1"/>
  <c r="G2551" i="2"/>
  <c r="E2551" i="2"/>
  <c r="F2551" i="2" s="1"/>
  <c r="L2549" i="2"/>
  <c r="L2550" i="2" l="1"/>
  <c r="G2552" i="2"/>
  <c r="H2552" i="2"/>
  <c r="I2552" i="2" s="1"/>
  <c r="K2551" i="2"/>
  <c r="L2551" i="2" s="1"/>
  <c r="E2552" i="2"/>
  <c r="F2552" i="2" s="1"/>
  <c r="H2553" i="2" l="1"/>
  <c r="I2553" i="2" s="1"/>
  <c r="K2552" i="2"/>
  <c r="J2553" i="2" s="1"/>
  <c r="G2553" i="2"/>
  <c r="E2553" i="2"/>
  <c r="F2553" i="2" s="1"/>
  <c r="J2552" i="2"/>
  <c r="L2552" i="2" l="1"/>
  <c r="E2554" i="2"/>
  <c r="F2554" i="2" s="1"/>
  <c r="H2554" i="2"/>
  <c r="I2554" i="2" s="1"/>
  <c r="G2554" i="2"/>
  <c r="K2553" i="2"/>
  <c r="L2553" i="2" s="1"/>
  <c r="J2554" i="2" l="1"/>
  <c r="H2555" i="2"/>
  <c r="I2555" i="2" s="1"/>
  <c r="G2555" i="2"/>
  <c r="K2554" i="2"/>
  <c r="E2555" i="2"/>
  <c r="F2555" i="2" s="1"/>
  <c r="L2554" i="2" l="1"/>
  <c r="J2555" i="2"/>
  <c r="G2556" i="2"/>
  <c r="H2556" i="2"/>
  <c r="I2556" i="2" s="1"/>
  <c r="K2555" i="2"/>
  <c r="E2556" i="2"/>
  <c r="F2556" i="2" s="1"/>
  <c r="L2555" i="2" l="1"/>
  <c r="J2556" i="2"/>
  <c r="H2557" i="2"/>
  <c r="I2557" i="2" s="1"/>
  <c r="K2556" i="2"/>
  <c r="G2557" i="2"/>
  <c r="E2557" i="2"/>
  <c r="F2557" i="2" s="1"/>
  <c r="L2556" i="2" l="1"/>
  <c r="J2557" i="2"/>
  <c r="E2558" i="2"/>
  <c r="F2558" i="2" s="1"/>
  <c r="G2558" i="2"/>
  <c r="K2557" i="2"/>
  <c r="H2558" i="2"/>
  <c r="I2558" i="2" s="1"/>
  <c r="L2557" i="2" l="1"/>
  <c r="J2558" i="2"/>
  <c r="G2559" i="2"/>
  <c r="E2559" i="2"/>
  <c r="F2559" i="2" s="1"/>
  <c r="K2558" i="2"/>
  <c r="H2559" i="2"/>
  <c r="I2559" i="2" s="1"/>
  <c r="L2558" i="2" l="1"/>
  <c r="J2559" i="2"/>
  <c r="G2560" i="2"/>
  <c r="E2560" i="2"/>
  <c r="F2560" i="2" s="1"/>
  <c r="K2559" i="2"/>
  <c r="J2560" i="2" s="1"/>
  <c r="H2560" i="2"/>
  <c r="I2560" i="2" s="1"/>
  <c r="L2559" i="2" l="1"/>
  <c r="H2561" i="2"/>
  <c r="I2561" i="2" s="1"/>
  <c r="K2560" i="2"/>
  <c r="L2560" i="2" s="1"/>
  <c r="E2561" i="2"/>
  <c r="F2561" i="2" s="1"/>
  <c r="G2561" i="2"/>
  <c r="J2561" i="2" l="1"/>
  <c r="E2562" i="2"/>
  <c r="F2562" i="2" s="1"/>
  <c r="K2561" i="2"/>
  <c r="J2562" i="2" s="1"/>
  <c r="H2562" i="2"/>
  <c r="I2562" i="2" s="1"/>
  <c r="G2562" i="2"/>
  <c r="L2561" i="2" l="1"/>
  <c r="E2563" i="2"/>
  <c r="F2563" i="2" s="1"/>
  <c r="K2562" i="2"/>
  <c r="L2562" i="2" s="1"/>
  <c r="H2563" i="2"/>
  <c r="I2563" i="2" s="1"/>
  <c r="G2563" i="2"/>
  <c r="J2563" i="2" l="1"/>
  <c r="G2564" i="2"/>
  <c r="E2564" i="2"/>
  <c r="F2564" i="2" s="1"/>
  <c r="K2563" i="2"/>
  <c r="H2564" i="2"/>
  <c r="I2564" i="2" s="1"/>
  <c r="L2563" i="2" l="1"/>
  <c r="J2564" i="2"/>
  <c r="H2565" i="2"/>
  <c r="I2565" i="2" s="1"/>
  <c r="K2564" i="2"/>
  <c r="L2564" i="2" s="1"/>
  <c r="E2565" i="2"/>
  <c r="F2565" i="2" s="1"/>
  <c r="G2565" i="2"/>
  <c r="J2565" i="2" l="1"/>
  <c r="E2566" i="2"/>
  <c r="F2566" i="2" s="1"/>
  <c r="H2566" i="2"/>
  <c r="I2566" i="2" s="1"/>
  <c r="G2566" i="2"/>
  <c r="K2565" i="2"/>
  <c r="L2565" i="2" s="1"/>
  <c r="J2566" i="2" l="1"/>
  <c r="H2567" i="2"/>
  <c r="I2567" i="2" s="1"/>
  <c r="G2567" i="2"/>
  <c r="E2567" i="2"/>
  <c r="F2567" i="2" s="1"/>
  <c r="K2566" i="2"/>
  <c r="J2567" i="2" s="1"/>
  <c r="L2566" i="2" l="1"/>
  <c r="G2568" i="2"/>
  <c r="H2568" i="2"/>
  <c r="I2568" i="2" s="1"/>
  <c r="E2568" i="2"/>
  <c r="F2568" i="2" s="1"/>
  <c r="K2567" i="2"/>
  <c r="J2568" i="2" s="1"/>
  <c r="L2567" i="2" l="1"/>
  <c r="H2569" i="2"/>
  <c r="I2569" i="2" s="1"/>
  <c r="K2568" i="2"/>
  <c r="L2568" i="2" s="1"/>
  <c r="G2569" i="2"/>
  <c r="E2569" i="2"/>
  <c r="F2569" i="2" s="1"/>
  <c r="J2569" i="2" l="1"/>
  <c r="E2570" i="2"/>
  <c r="F2570" i="2" s="1"/>
  <c r="H2570" i="2"/>
  <c r="I2570" i="2" s="1"/>
  <c r="G2570" i="2"/>
  <c r="K2569" i="2"/>
  <c r="L2569" i="2" s="1"/>
  <c r="J2570" i="2" l="1"/>
  <c r="H2571" i="2"/>
  <c r="I2571" i="2" s="1"/>
  <c r="G2571" i="2"/>
  <c r="E2571" i="2"/>
  <c r="F2571" i="2" s="1"/>
  <c r="K2570" i="2"/>
  <c r="J2571" i="2" s="1"/>
  <c r="L2570" i="2" l="1"/>
  <c r="G2572" i="2"/>
  <c r="H2572" i="2"/>
  <c r="I2572" i="2" s="1"/>
  <c r="E2572" i="2"/>
  <c r="F2572" i="2" s="1"/>
  <c r="K2571" i="2"/>
  <c r="L2571" i="2" s="1"/>
  <c r="J2572" i="2" l="1"/>
  <c r="H2573" i="2"/>
  <c r="I2573" i="2" s="1"/>
  <c r="K2572" i="2"/>
  <c r="G2573" i="2"/>
  <c r="E2573" i="2"/>
  <c r="F2573" i="2" s="1"/>
  <c r="L2572" i="2" l="1"/>
  <c r="J2573" i="2"/>
  <c r="E2574" i="2"/>
  <c r="F2574" i="2" s="1"/>
  <c r="G2574" i="2"/>
  <c r="K2573" i="2"/>
  <c r="H2574" i="2"/>
  <c r="I2574" i="2" s="1"/>
  <c r="L2573" i="2" l="1"/>
  <c r="J2574" i="2"/>
  <c r="G2575" i="2"/>
  <c r="E2575" i="2"/>
  <c r="F2575" i="2" s="1"/>
  <c r="K2574" i="2"/>
  <c r="J2575" i="2" s="1"/>
  <c r="H2575" i="2"/>
  <c r="I2575" i="2" s="1"/>
  <c r="G2576" i="2" l="1"/>
  <c r="E2576" i="2"/>
  <c r="F2576" i="2" s="1"/>
  <c r="K2575" i="2"/>
  <c r="J2576" i="2" s="1"/>
  <c r="H2576" i="2"/>
  <c r="I2576" i="2" s="1"/>
  <c r="L2574" i="2"/>
  <c r="L2575" i="2" l="1"/>
  <c r="H2577" i="2"/>
  <c r="I2577" i="2" s="1"/>
  <c r="K2576" i="2"/>
  <c r="L2576" i="2" s="1"/>
  <c r="E2577" i="2"/>
  <c r="F2577" i="2" s="1"/>
  <c r="G2577" i="2"/>
  <c r="E2578" i="2" l="1"/>
  <c r="F2578" i="2" s="1"/>
  <c r="K2577" i="2"/>
  <c r="J2578" i="2" s="1"/>
  <c r="H2578" i="2"/>
  <c r="I2578" i="2" s="1"/>
  <c r="G2578" i="2"/>
  <c r="J2577" i="2"/>
  <c r="L2577" i="2" l="1"/>
  <c r="E2579" i="2"/>
  <c r="F2579" i="2" s="1"/>
  <c r="K2578" i="2"/>
  <c r="L2578" i="2" s="1"/>
  <c r="H2579" i="2"/>
  <c r="I2579" i="2" s="1"/>
  <c r="G2579" i="2"/>
  <c r="J2579" i="2" l="1"/>
  <c r="G2580" i="2"/>
  <c r="E2580" i="2"/>
  <c r="F2580" i="2" s="1"/>
  <c r="K2579" i="2"/>
  <c r="J2580" i="2" s="1"/>
  <c r="H2580" i="2"/>
  <c r="I2580" i="2" s="1"/>
  <c r="H2581" i="2" l="1"/>
  <c r="I2581" i="2" s="1"/>
  <c r="K2580" i="2"/>
  <c r="L2580" i="2" s="1"/>
  <c r="E2581" i="2"/>
  <c r="F2581" i="2" s="1"/>
  <c r="G2581" i="2"/>
  <c r="L2579" i="2"/>
  <c r="J2581" i="2" l="1"/>
  <c r="E2582" i="2"/>
  <c r="F2582" i="2" s="1"/>
  <c r="H2582" i="2"/>
  <c r="I2582" i="2" s="1"/>
  <c r="K2581" i="2"/>
  <c r="G2582" i="2"/>
  <c r="L2581" i="2" l="1"/>
  <c r="J2582" i="2"/>
  <c r="H2583" i="2"/>
  <c r="I2583" i="2" s="1"/>
  <c r="K2582" i="2"/>
  <c r="G2583" i="2"/>
  <c r="E2583" i="2"/>
  <c r="F2583" i="2" s="1"/>
  <c r="L2582" i="2" l="1"/>
  <c r="J2583" i="2"/>
  <c r="G2584" i="2"/>
  <c r="H2584" i="2"/>
  <c r="I2584" i="2" s="1"/>
  <c r="K2583" i="2"/>
  <c r="E2584" i="2"/>
  <c r="F2584" i="2" s="1"/>
  <c r="L2583" i="2" l="1"/>
  <c r="J2584" i="2"/>
  <c r="H2585" i="2"/>
  <c r="I2585" i="2" s="1"/>
  <c r="K2584" i="2"/>
  <c r="J2585" i="2" s="1"/>
  <c r="G2585" i="2"/>
  <c r="E2585" i="2"/>
  <c r="F2585" i="2" s="1"/>
  <c r="E2586" i="2" l="1"/>
  <c r="F2586" i="2" s="1"/>
  <c r="H2586" i="2"/>
  <c r="I2586" i="2" s="1"/>
  <c r="G2586" i="2"/>
  <c r="K2585" i="2"/>
  <c r="J2586" i="2" s="1"/>
  <c r="L2584" i="2"/>
  <c r="L2585" i="2" l="1"/>
  <c r="H2587" i="2"/>
  <c r="I2587" i="2" s="1"/>
  <c r="G2587" i="2"/>
  <c r="K2586" i="2"/>
  <c r="L2586" i="2" s="1"/>
  <c r="E2587" i="2"/>
  <c r="F2587" i="2" s="1"/>
  <c r="J2587" i="2" l="1"/>
  <c r="G2588" i="2"/>
  <c r="H2588" i="2"/>
  <c r="I2588" i="2" s="1"/>
  <c r="K2587" i="2"/>
  <c r="E2588" i="2"/>
  <c r="F2588" i="2" s="1"/>
  <c r="L2587" i="2" l="1"/>
  <c r="J2588" i="2"/>
  <c r="H2589" i="2"/>
  <c r="I2589" i="2" s="1"/>
  <c r="K2588" i="2"/>
  <c r="J2589" i="2" s="1"/>
  <c r="G2589" i="2"/>
  <c r="E2589" i="2"/>
  <c r="F2589" i="2" s="1"/>
  <c r="E2590" i="2" l="1"/>
  <c r="F2590" i="2" s="1"/>
  <c r="G2590" i="2"/>
  <c r="K2589" i="2"/>
  <c r="L2589" i="2" s="1"/>
  <c r="H2590" i="2"/>
  <c r="I2590" i="2" s="1"/>
  <c r="L2588" i="2"/>
  <c r="G2591" i="2" l="1"/>
  <c r="E2591" i="2"/>
  <c r="F2591" i="2" s="1"/>
  <c r="K2590" i="2"/>
  <c r="J2591" i="2" s="1"/>
  <c r="H2591" i="2"/>
  <c r="I2591" i="2" s="1"/>
  <c r="J2590" i="2"/>
  <c r="L2590" i="2" l="1"/>
  <c r="G2592" i="2"/>
  <c r="E2592" i="2"/>
  <c r="F2592" i="2" s="1"/>
  <c r="K2591" i="2"/>
  <c r="L2591" i="2" s="1"/>
  <c r="H2592" i="2"/>
  <c r="I2592" i="2" s="1"/>
  <c r="J2592" i="2" l="1"/>
  <c r="H2593" i="2"/>
  <c r="I2593" i="2" s="1"/>
  <c r="K2592" i="2"/>
  <c r="E2593" i="2"/>
  <c r="F2593" i="2" s="1"/>
  <c r="G2593" i="2"/>
  <c r="L2592" i="2" l="1"/>
  <c r="J2593" i="2"/>
  <c r="E2594" i="2"/>
  <c r="F2594" i="2" s="1"/>
  <c r="K2593" i="2"/>
  <c r="J2594" i="2" s="1"/>
  <c r="H2594" i="2"/>
  <c r="I2594" i="2" s="1"/>
  <c r="G2594" i="2"/>
  <c r="E2595" i="2" l="1"/>
  <c r="F2595" i="2" s="1"/>
  <c r="K2594" i="2"/>
  <c r="L2594" i="2" s="1"/>
  <c r="H2595" i="2"/>
  <c r="I2595" i="2" s="1"/>
  <c r="G2595" i="2"/>
  <c r="L2593" i="2"/>
  <c r="J2595" i="2" l="1"/>
  <c r="G2596" i="2"/>
  <c r="E2596" i="2"/>
  <c r="F2596" i="2" s="1"/>
  <c r="K2595" i="2"/>
  <c r="J2596" i="2" s="1"/>
  <c r="H2596" i="2"/>
  <c r="I2596" i="2" s="1"/>
  <c r="H2597" i="2" l="1"/>
  <c r="I2597" i="2" s="1"/>
  <c r="K2596" i="2"/>
  <c r="L2596" i="2" s="1"/>
  <c r="E2597" i="2"/>
  <c r="F2597" i="2" s="1"/>
  <c r="G2597" i="2"/>
  <c r="L2595" i="2"/>
  <c r="J2597" i="2" l="1"/>
  <c r="E2598" i="2"/>
  <c r="F2598" i="2" s="1"/>
  <c r="H2598" i="2"/>
  <c r="I2598" i="2" s="1"/>
  <c r="G2598" i="2"/>
  <c r="K2597" i="2"/>
  <c r="L2597" i="2" s="1"/>
  <c r="J2598" i="2" l="1"/>
  <c r="H2599" i="2"/>
  <c r="I2599" i="2" s="1"/>
  <c r="G2599" i="2"/>
  <c r="E2599" i="2"/>
  <c r="F2599" i="2" s="1"/>
  <c r="K2598" i="2"/>
  <c r="J2599" i="2" s="1"/>
  <c r="L2598" i="2" l="1"/>
  <c r="G2600" i="2"/>
  <c r="H2600" i="2"/>
  <c r="I2600" i="2" s="1"/>
  <c r="E2600" i="2"/>
  <c r="F2600" i="2" s="1"/>
  <c r="K2599" i="2"/>
  <c r="L2599" i="2" s="1"/>
  <c r="J2600" i="2" l="1"/>
  <c r="H2601" i="2"/>
  <c r="I2601" i="2" s="1"/>
  <c r="K2600" i="2"/>
  <c r="J2601" i="2" s="1"/>
  <c r="G2601" i="2"/>
  <c r="E2601" i="2"/>
  <c r="F2601" i="2" s="1"/>
  <c r="L2600" i="2" l="1"/>
  <c r="E2602" i="2"/>
  <c r="F2602" i="2" s="1"/>
  <c r="H2602" i="2"/>
  <c r="I2602" i="2" s="1"/>
  <c r="G2602" i="2"/>
  <c r="K2601" i="2"/>
  <c r="L2601" i="2" s="1"/>
  <c r="J2602" i="2" l="1"/>
  <c r="H2603" i="2"/>
  <c r="I2603" i="2" s="1"/>
  <c r="G2603" i="2"/>
  <c r="E2603" i="2"/>
  <c r="F2603" i="2" s="1"/>
  <c r="K2602" i="2"/>
  <c r="J2603" i="2" s="1"/>
  <c r="L2602" i="2" l="1"/>
  <c r="G2604" i="2"/>
  <c r="H2604" i="2"/>
  <c r="I2604" i="2" s="1"/>
  <c r="E2604" i="2"/>
  <c r="F2604" i="2" s="1"/>
  <c r="K2603" i="2"/>
  <c r="L2603" i="2" s="1"/>
  <c r="H2605" i="2" l="1"/>
  <c r="I2605" i="2" s="1"/>
  <c r="K2604" i="2"/>
  <c r="J2605" i="2" s="1"/>
  <c r="G2605" i="2"/>
  <c r="E2605" i="2"/>
  <c r="F2605" i="2" s="1"/>
  <c r="J2604" i="2"/>
  <c r="L2604" i="2" l="1"/>
  <c r="E2606" i="2"/>
  <c r="F2606" i="2" s="1"/>
  <c r="G2606" i="2"/>
  <c r="K2605" i="2"/>
  <c r="L2605" i="2" s="1"/>
  <c r="H2606" i="2"/>
  <c r="I2606" i="2" s="1"/>
  <c r="G2607" i="2" l="1"/>
  <c r="E2607" i="2"/>
  <c r="F2607" i="2" s="1"/>
  <c r="K2606" i="2"/>
  <c r="J2607" i="2" s="1"/>
  <c r="H2607" i="2"/>
  <c r="I2607" i="2" s="1"/>
  <c r="J2606" i="2"/>
  <c r="L2606" i="2" l="1"/>
  <c r="G2608" i="2"/>
  <c r="E2608" i="2"/>
  <c r="F2608" i="2" s="1"/>
  <c r="K2607" i="2"/>
  <c r="L2607" i="2" s="1"/>
  <c r="H2608" i="2"/>
  <c r="I2608" i="2" s="1"/>
  <c r="J2608" i="2" l="1"/>
  <c r="H2609" i="2"/>
  <c r="I2609" i="2" s="1"/>
  <c r="K2608" i="2"/>
  <c r="E2609" i="2"/>
  <c r="F2609" i="2" s="1"/>
  <c r="G2609" i="2"/>
  <c r="L2608" i="2" l="1"/>
  <c r="J2609" i="2"/>
  <c r="E2610" i="2"/>
  <c r="F2610" i="2" s="1"/>
  <c r="K2609" i="2"/>
  <c r="H2610" i="2"/>
  <c r="I2610" i="2" s="1"/>
  <c r="G2610" i="2"/>
  <c r="L2609" i="2" l="1"/>
  <c r="J2610" i="2"/>
  <c r="E2611" i="2"/>
  <c r="F2611" i="2" s="1"/>
  <c r="K2610" i="2"/>
  <c r="H2611" i="2"/>
  <c r="I2611" i="2" s="1"/>
  <c r="G2611" i="2"/>
  <c r="L2610" i="2" l="1"/>
  <c r="J2611" i="2"/>
  <c r="G2612" i="2"/>
  <c r="E2612" i="2"/>
  <c r="F2612" i="2" s="1"/>
  <c r="K2611" i="2"/>
  <c r="H2612" i="2"/>
  <c r="I2612" i="2" s="1"/>
  <c r="L2611" i="2" l="1"/>
  <c r="J2612" i="2"/>
  <c r="H2613" i="2"/>
  <c r="I2613" i="2" s="1"/>
  <c r="K2612" i="2"/>
  <c r="E2613" i="2"/>
  <c r="F2613" i="2" s="1"/>
  <c r="G2613" i="2"/>
  <c r="L2612" i="2" l="1"/>
  <c r="E2614" i="2"/>
  <c r="F2614" i="2" s="1"/>
  <c r="H2614" i="2"/>
  <c r="I2614" i="2" s="1"/>
  <c r="K2613" i="2"/>
  <c r="J2614" i="2" s="1"/>
  <c r="G2614" i="2"/>
  <c r="J2613" i="2"/>
  <c r="H2615" i="2" l="1"/>
  <c r="I2615" i="2" s="1"/>
  <c r="K2614" i="2"/>
  <c r="L2614" i="2" s="1"/>
  <c r="G2615" i="2"/>
  <c r="E2615" i="2"/>
  <c r="F2615" i="2" s="1"/>
  <c r="L2613" i="2"/>
  <c r="G2616" i="2" l="1"/>
  <c r="H2616" i="2"/>
  <c r="I2616" i="2" s="1"/>
  <c r="K2615" i="2"/>
  <c r="J2616" i="2" s="1"/>
  <c r="E2616" i="2"/>
  <c r="F2616" i="2" s="1"/>
  <c r="J2615" i="2"/>
  <c r="L2615" i="2" l="1"/>
  <c r="H2617" i="2"/>
  <c r="I2617" i="2" s="1"/>
  <c r="K2616" i="2"/>
  <c r="L2616" i="2" s="1"/>
  <c r="G2617" i="2"/>
  <c r="E2617" i="2"/>
  <c r="F2617" i="2" s="1"/>
  <c r="J2617" i="2" l="1"/>
  <c r="E2618" i="2"/>
  <c r="F2618" i="2" s="1"/>
  <c r="H2618" i="2"/>
  <c r="I2618" i="2" s="1"/>
  <c r="G2618" i="2"/>
  <c r="K2617" i="2"/>
  <c r="L2617" i="2" l="1"/>
  <c r="J2618" i="2"/>
  <c r="H2619" i="2"/>
  <c r="I2619" i="2" s="1"/>
  <c r="G2619" i="2"/>
  <c r="K2618" i="2"/>
  <c r="E2619" i="2"/>
  <c r="F2619" i="2" s="1"/>
  <c r="L2618" i="2" l="1"/>
  <c r="J2619" i="2"/>
  <c r="G2620" i="2"/>
  <c r="H2620" i="2"/>
  <c r="I2620" i="2" s="1"/>
  <c r="K2619" i="2"/>
  <c r="E2620" i="2"/>
  <c r="F2620" i="2" s="1"/>
  <c r="L2619" i="2" l="1"/>
  <c r="J2620" i="2"/>
  <c r="H2621" i="2"/>
  <c r="I2621" i="2" s="1"/>
  <c r="K2620" i="2"/>
  <c r="G2621" i="2"/>
  <c r="E2621" i="2"/>
  <c r="F2621" i="2" s="1"/>
  <c r="L2620" i="2" l="1"/>
  <c r="E2622" i="2"/>
  <c r="F2622" i="2" s="1"/>
  <c r="G2622" i="2"/>
  <c r="K2621" i="2"/>
  <c r="J2622" i="2" s="1"/>
  <c r="H2622" i="2"/>
  <c r="I2622" i="2" s="1"/>
  <c r="J2621" i="2"/>
  <c r="L2621" i="2" l="1"/>
  <c r="G2623" i="2"/>
  <c r="H2623" i="2"/>
  <c r="I2623" i="2" s="1"/>
  <c r="K2622" i="2"/>
  <c r="L2622" i="2" s="1"/>
  <c r="E2623" i="2"/>
  <c r="F2623" i="2" s="1"/>
  <c r="J2623" i="2" l="1"/>
  <c r="H2624" i="2"/>
  <c r="I2624" i="2" s="1"/>
  <c r="K2623" i="2"/>
  <c r="G2624" i="2"/>
  <c r="E2624" i="2"/>
  <c r="F2624" i="2" s="1"/>
  <c r="L2623" i="2" l="1"/>
  <c r="J2624" i="2"/>
  <c r="E2625" i="2"/>
  <c r="F2625" i="2" s="1"/>
  <c r="H2625" i="2"/>
  <c r="I2625" i="2" s="1"/>
  <c r="K2624" i="2"/>
  <c r="J2625" i="2" s="1"/>
  <c r="G2625" i="2"/>
  <c r="E2626" i="2" l="1"/>
  <c r="F2626" i="2" s="1"/>
  <c r="H2626" i="2"/>
  <c r="I2626" i="2" s="1"/>
  <c r="K2625" i="2"/>
  <c r="L2625" i="2" s="1"/>
  <c r="G2626" i="2"/>
  <c r="L2624" i="2"/>
  <c r="J2626" i="2" l="1"/>
  <c r="G2627" i="2"/>
  <c r="E2627" i="2"/>
  <c r="F2627" i="2" s="1"/>
  <c r="K2626" i="2"/>
  <c r="J2627" i="2" s="1"/>
  <c r="H2627" i="2"/>
  <c r="I2627" i="2" s="1"/>
  <c r="L2626" i="2" l="1"/>
  <c r="H2628" i="2"/>
  <c r="I2628" i="2" s="1"/>
  <c r="K2627" i="2"/>
  <c r="L2627" i="2" s="1"/>
  <c r="G2628" i="2"/>
  <c r="E2628" i="2"/>
  <c r="F2628" i="2" s="1"/>
  <c r="J2628" i="2" l="1"/>
  <c r="E2629" i="2"/>
  <c r="F2629" i="2" s="1"/>
  <c r="H2629" i="2"/>
  <c r="I2629" i="2" s="1"/>
  <c r="K2628" i="2"/>
  <c r="J2629" i="2" s="1"/>
  <c r="G2629" i="2"/>
  <c r="L2628" i="2" l="1"/>
  <c r="E2630" i="2"/>
  <c r="F2630" i="2" s="1"/>
  <c r="K2629" i="2"/>
  <c r="L2629" i="2" s="1"/>
  <c r="H2630" i="2"/>
  <c r="I2630" i="2" s="1"/>
  <c r="G2630" i="2"/>
  <c r="J2630" i="2" l="1"/>
  <c r="G2631" i="2"/>
  <c r="H2631" i="2"/>
  <c r="I2631" i="2" s="1"/>
  <c r="K2630" i="2"/>
  <c r="E2631" i="2"/>
  <c r="F2631" i="2" s="1"/>
  <c r="L2630" i="2" l="1"/>
  <c r="J2631" i="2"/>
  <c r="H2632" i="2"/>
  <c r="I2632" i="2" s="1"/>
  <c r="K2631" i="2"/>
  <c r="J2632" i="2" s="1"/>
  <c r="G2632" i="2"/>
  <c r="E2632" i="2"/>
  <c r="F2632" i="2" s="1"/>
  <c r="L2631" i="2" l="1"/>
  <c r="E2633" i="2"/>
  <c r="F2633" i="2" s="1"/>
  <c r="H2633" i="2"/>
  <c r="I2633" i="2" s="1"/>
  <c r="K2632" i="2"/>
  <c r="L2632" i="2" s="1"/>
  <c r="G2633" i="2"/>
  <c r="J2633" i="2" l="1"/>
  <c r="E2634" i="2"/>
  <c r="F2634" i="2" s="1"/>
  <c r="H2634" i="2"/>
  <c r="I2634" i="2" s="1"/>
  <c r="K2633" i="2"/>
  <c r="J2634" i="2" s="1"/>
  <c r="G2634" i="2"/>
  <c r="G2635" i="2" l="1"/>
  <c r="E2635" i="2"/>
  <c r="F2635" i="2" s="1"/>
  <c r="H2635" i="2"/>
  <c r="I2635" i="2" s="1"/>
  <c r="K2634" i="2"/>
  <c r="L2634" i="2" s="1"/>
  <c r="L2633" i="2"/>
  <c r="J2635" i="2" l="1"/>
  <c r="H2636" i="2"/>
  <c r="I2636" i="2" s="1"/>
  <c r="K2635" i="2"/>
  <c r="J2636" i="2" s="1"/>
  <c r="G2636" i="2"/>
  <c r="E2636" i="2"/>
  <c r="F2636" i="2" s="1"/>
  <c r="E2637" i="2" l="1"/>
  <c r="F2637" i="2" s="1"/>
  <c r="H2637" i="2"/>
  <c r="I2637" i="2" s="1"/>
  <c r="K2636" i="2"/>
  <c r="L2636" i="2" s="1"/>
  <c r="G2637" i="2"/>
  <c r="L2635" i="2"/>
  <c r="E2638" i="2" l="1"/>
  <c r="F2638" i="2" s="1"/>
  <c r="H2638" i="2"/>
  <c r="I2638" i="2" s="1"/>
  <c r="G2638" i="2"/>
  <c r="K2637" i="2"/>
  <c r="J2638" i="2" s="1"/>
  <c r="J2637" i="2"/>
  <c r="L2637" i="2" l="1"/>
  <c r="G2639" i="2"/>
  <c r="H2639" i="2"/>
  <c r="I2639" i="2" s="1"/>
  <c r="K2638" i="2"/>
  <c r="L2638" i="2" s="1"/>
  <c r="E2639" i="2"/>
  <c r="F2639" i="2" s="1"/>
  <c r="J2639" i="2" l="1"/>
  <c r="H2640" i="2"/>
  <c r="I2640" i="2" s="1"/>
  <c r="K2639" i="2"/>
  <c r="J2640" i="2" s="1"/>
  <c r="G2640" i="2"/>
  <c r="E2640" i="2"/>
  <c r="F2640" i="2" s="1"/>
  <c r="L2639" i="2" l="1"/>
  <c r="E2641" i="2"/>
  <c r="F2641" i="2" s="1"/>
  <c r="H2641" i="2"/>
  <c r="I2641" i="2" s="1"/>
  <c r="K2640" i="2"/>
  <c r="L2640" i="2" s="1"/>
  <c r="G2641" i="2"/>
  <c r="J2641" i="2" l="1"/>
  <c r="E2642" i="2"/>
  <c r="F2642" i="2" s="1"/>
  <c r="H2642" i="2"/>
  <c r="I2642" i="2" s="1"/>
  <c r="K2641" i="2"/>
  <c r="J2642" i="2" s="1"/>
  <c r="G2642" i="2"/>
  <c r="G2643" i="2" l="1"/>
  <c r="E2643" i="2"/>
  <c r="F2643" i="2" s="1"/>
  <c r="K2642" i="2"/>
  <c r="L2642" i="2" s="1"/>
  <c r="H2643" i="2"/>
  <c r="I2643" i="2" s="1"/>
  <c r="L2641" i="2"/>
  <c r="J2643" i="2" l="1"/>
  <c r="H2644" i="2"/>
  <c r="I2644" i="2" s="1"/>
  <c r="K2643" i="2"/>
  <c r="G2644" i="2"/>
  <c r="E2644" i="2"/>
  <c r="F2644" i="2" s="1"/>
  <c r="L2643" i="2" l="1"/>
  <c r="E2645" i="2"/>
  <c r="F2645" i="2" s="1"/>
  <c r="H2645" i="2"/>
  <c r="I2645" i="2" s="1"/>
  <c r="K2644" i="2"/>
  <c r="J2645" i="2" s="1"/>
  <c r="G2645" i="2"/>
  <c r="J2644" i="2"/>
  <c r="L2644" i="2" l="1"/>
  <c r="E2646" i="2"/>
  <c r="F2646" i="2" s="1"/>
  <c r="K2645" i="2"/>
  <c r="L2645" i="2" s="1"/>
  <c r="H2646" i="2"/>
  <c r="I2646" i="2" s="1"/>
  <c r="G2646" i="2"/>
  <c r="J2646" i="2" l="1"/>
  <c r="G2647" i="2"/>
  <c r="H2647" i="2"/>
  <c r="I2647" i="2" s="1"/>
  <c r="K2646" i="2"/>
  <c r="E2647" i="2"/>
  <c r="F2647" i="2" s="1"/>
  <c r="L2646" i="2" l="1"/>
  <c r="J2647" i="2"/>
  <c r="H2648" i="2"/>
  <c r="I2648" i="2" s="1"/>
  <c r="K2647" i="2"/>
  <c r="J2648" i="2" s="1"/>
  <c r="G2648" i="2"/>
  <c r="E2648" i="2"/>
  <c r="F2648" i="2" s="1"/>
  <c r="L2647" i="2" l="1"/>
  <c r="E2649" i="2"/>
  <c r="F2649" i="2" s="1"/>
  <c r="H2649" i="2"/>
  <c r="I2649" i="2" s="1"/>
  <c r="K2648" i="2"/>
  <c r="L2648" i="2" s="1"/>
  <c r="G2649" i="2"/>
  <c r="J2649" i="2" l="1"/>
  <c r="E2650" i="2"/>
  <c r="F2650" i="2" s="1"/>
  <c r="H2650" i="2"/>
  <c r="I2650" i="2" s="1"/>
  <c r="K2649" i="2"/>
  <c r="J2650" i="2" s="1"/>
  <c r="G2650" i="2"/>
  <c r="G2651" i="2" l="1"/>
  <c r="E2651" i="2"/>
  <c r="F2651" i="2" s="1"/>
  <c r="H2651" i="2"/>
  <c r="I2651" i="2" s="1"/>
  <c r="K2650" i="2"/>
  <c r="L2650" i="2" s="1"/>
  <c r="L2649" i="2"/>
  <c r="J2651" i="2" l="1"/>
  <c r="H2652" i="2"/>
  <c r="I2652" i="2" s="1"/>
  <c r="K2651" i="2"/>
  <c r="J2652" i="2" s="1"/>
  <c r="G2652" i="2"/>
  <c r="E2652" i="2"/>
  <c r="F2652" i="2" s="1"/>
  <c r="E2653" i="2" l="1"/>
  <c r="F2653" i="2" s="1"/>
  <c r="H2653" i="2"/>
  <c r="I2653" i="2" s="1"/>
  <c r="K2652" i="2"/>
  <c r="L2652" i="2" s="1"/>
  <c r="G2653" i="2"/>
  <c r="L2651" i="2"/>
  <c r="J2653" i="2" l="1"/>
  <c r="E2654" i="2"/>
  <c r="F2654" i="2" s="1"/>
  <c r="H2654" i="2"/>
  <c r="I2654" i="2" s="1"/>
  <c r="G2654" i="2"/>
  <c r="K2653" i="2"/>
  <c r="J2654" i="2" s="1"/>
  <c r="L2653" i="2" l="1"/>
  <c r="G2655" i="2"/>
  <c r="H2655" i="2"/>
  <c r="I2655" i="2" s="1"/>
  <c r="K2654" i="2"/>
  <c r="L2654" i="2" s="1"/>
  <c r="E2655" i="2"/>
  <c r="F2655" i="2" s="1"/>
  <c r="J2655" i="2" l="1"/>
  <c r="H2656" i="2"/>
  <c r="I2656" i="2" s="1"/>
  <c r="K2655" i="2"/>
  <c r="J2656" i="2" s="1"/>
  <c r="G2656" i="2"/>
  <c r="E2656" i="2"/>
  <c r="F2656" i="2" s="1"/>
  <c r="L2655" i="2" l="1"/>
  <c r="E2657" i="2"/>
  <c r="F2657" i="2" s="1"/>
  <c r="H2657" i="2"/>
  <c r="I2657" i="2" s="1"/>
  <c r="K2656" i="2"/>
  <c r="L2656" i="2" s="1"/>
  <c r="G2657" i="2"/>
  <c r="E2658" i="2" l="1"/>
  <c r="F2658" i="2" s="1"/>
  <c r="H2658" i="2"/>
  <c r="I2658" i="2" s="1"/>
  <c r="K2657" i="2"/>
  <c r="J2658" i="2" s="1"/>
  <c r="G2658" i="2"/>
  <c r="J2657" i="2"/>
  <c r="G2659" i="2" l="1"/>
  <c r="E2659" i="2"/>
  <c r="F2659" i="2" s="1"/>
  <c r="K2658" i="2"/>
  <c r="L2658" i="2" s="1"/>
  <c r="H2659" i="2"/>
  <c r="I2659" i="2" s="1"/>
  <c r="L2657" i="2"/>
  <c r="J2659" i="2" l="1"/>
  <c r="H2660" i="2"/>
  <c r="I2660" i="2" s="1"/>
  <c r="K2659" i="2"/>
  <c r="G2660" i="2"/>
  <c r="E2660" i="2"/>
  <c r="F2660" i="2" s="1"/>
  <c r="L2659" i="2" l="1"/>
  <c r="J2660" i="2"/>
  <c r="E2661" i="2"/>
  <c r="F2661" i="2" s="1"/>
  <c r="H2661" i="2"/>
  <c r="I2661" i="2" s="1"/>
  <c r="K2660" i="2"/>
  <c r="G2661" i="2"/>
  <c r="L2660" i="2" l="1"/>
  <c r="J2661" i="2"/>
  <c r="E2662" i="2"/>
  <c r="F2662" i="2" s="1"/>
  <c r="K2661" i="2"/>
  <c r="J2662" i="2" s="1"/>
  <c r="H2662" i="2"/>
  <c r="I2662" i="2" s="1"/>
  <c r="G2662" i="2"/>
  <c r="H2663" i="2" l="1"/>
  <c r="I2663" i="2" s="1"/>
  <c r="G2663" i="2"/>
  <c r="K2662" i="2"/>
  <c r="L2662" i="2" s="1"/>
  <c r="E2663" i="2"/>
  <c r="F2663" i="2" s="1"/>
  <c r="L2661" i="2"/>
  <c r="J2663" i="2" l="1"/>
  <c r="E2664" i="2"/>
  <c r="F2664" i="2" s="1"/>
  <c r="G2664" i="2"/>
  <c r="K2663" i="2"/>
  <c r="H2664" i="2"/>
  <c r="I2664" i="2" s="1"/>
  <c r="L2663" i="2" l="1"/>
  <c r="J2664" i="2"/>
  <c r="G2665" i="2"/>
  <c r="E2665" i="2"/>
  <c r="F2665" i="2" s="1"/>
  <c r="K2664" i="2"/>
  <c r="H2665" i="2"/>
  <c r="I2665" i="2" s="1"/>
  <c r="L2664" i="2" l="1"/>
  <c r="J2665" i="2"/>
  <c r="G2666" i="2"/>
  <c r="E2666" i="2"/>
  <c r="F2666" i="2" s="1"/>
  <c r="K2665" i="2"/>
  <c r="H2666" i="2"/>
  <c r="I2666" i="2" s="1"/>
  <c r="L2665" i="2" l="1"/>
  <c r="J2666" i="2"/>
  <c r="H2667" i="2"/>
  <c r="I2667" i="2" s="1"/>
  <c r="K2666" i="2"/>
  <c r="J2667" i="2" s="1"/>
  <c r="E2667" i="2"/>
  <c r="F2667" i="2" s="1"/>
  <c r="G2667" i="2"/>
  <c r="E2668" i="2" l="1"/>
  <c r="F2668" i="2" s="1"/>
  <c r="K2667" i="2"/>
  <c r="L2667" i="2" s="1"/>
  <c r="H2668" i="2"/>
  <c r="I2668" i="2" s="1"/>
  <c r="G2668" i="2"/>
  <c r="L2666" i="2"/>
  <c r="J2668" i="2" l="1"/>
  <c r="E2669" i="2"/>
  <c r="F2669" i="2" s="1"/>
  <c r="K2668" i="2"/>
  <c r="J2669" i="2" s="1"/>
  <c r="H2669" i="2"/>
  <c r="I2669" i="2" s="1"/>
  <c r="G2669" i="2"/>
  <c r="G2670" i="2" l="1"/>
  <c r="E2670" i="2"/>
  <c r="F2670" i="2" s="1"/>
  <c r="K2669" i="2"/>
  <c r="L2669" i="2" s="1"/>
  <c r="H2670" i="2"/>
  <c r="I2670" i="2" s="1"/>
  <c r="L2668" i="2"/>
  <c r="J2670" i="2" l="1"/>
  <c r="H2671" i="2"/>
  <c r="I2671" i="2" s="1"/>
  <c r="K2670" i="2"/>
  <c r="E2671" i="2"/>
  <c r="F2671" i="2" s="1"/>
  <c r="G2671" i="2"/>
  <c r="L2670" i="2" l="1"/>
  <c r="J2671" i="2"/>
  <c r="E2672" i="2"/>
  <c r="F2672" i="2" s="1"/>
  <c r="H2672" i="2"/>
  <c r="I2672" i="2" s="1"/>
  <c r="G2672" i="2"/>
  <c r="K2671" i="2"/>
  <c r="J2672" i="2" s="1"/>
  <c r="H2673" i="2" l="1"/>
  <c r="I2673" i="2" s="1"/>
  <c r="G2673" i="2"/>
  <c r="E2673" i="2"/>
  <c r="F2673" i="2" s="1"/>
  <c r="K2672" i="2"/>
  <c r="L2672" i="2" s="1"/>
  <c r="L2671" i="2"/>
  <c r="G2674" i="2" l="1"/>
  <c r="H2674" i="2"/>
  <c r="I2674" i="2" s="1"/>
  <c r="E2674" i="2"/>
  <c r="F2674" i="2" s="1"/>
  <c r="K2673" i="2"/>
  <c r="J2674" i="2" s="1"/>
  <c r="J2673" i="2"/>
  <c r="L2673" i="2" l="1"/>
  <c r="H2675" i="2"/>
  <c r="I2675" i="2" s="1"/>
  <c r="K2674" i="2"/>
  <c r="L2674" i="2" s="1"/>
  <c r="G2675" i="2"/>
  <c r="E2675" i="2"/>
  <c r="F2675" i="2" s="1"/>
  <c r="E2676" i="2" l="1"/>
  <c r="F2676" i="2" s="1"/>
  <c r="H2676" i="2"/>
  <c r="I2676" i="2" s="1"/>
  <c r="G2676" i="2"/>
  <c r="K2675" i="2"/>
  <c r="J2676" i="2" s="1"/>
  <c r="J2675" i="2"/>
  <c r="L2675" i="2" l="1"/>
  <c r="H2677" i="2"/>
  <c r="I2677" i="2" s="1"/>
  <c r="G2677" i="2"/>
  <c r="E2677" i="2"/>
  <c r="F2677" i="2" s="1"/>
  <c r="K2676" i="2"/>
  <c r="L2676" i="2" s="1"/>
  <c r="G2678" i="2" l="1"/>
  <c r="H2678" i="2"/>
  <c r="I2678" i="2" s="1"/>
  <c r="E2678" i="2"/>
  <c r="F2678" i="2" s="1"/>
  <c r="K2677" i="2"/>
  <c r="J2678" i="2" s="1"/>
  <c r="J2677" i="2"/>
  <c r="L2677" i="2" l="1"/>
  <c r="H2679" i="2"/>
  <c r="I2679" i="2" s="1"/>
  <c r="K2678" i="2"/>
  <c r="L2678" i="2" s="1"/>
  <c r="G2679" i="2"/>
  <c r="E2679" i="2"/>
  <c r="F2679" i="2" s="1"/>
  <c r="J2679" i="2" l="1"/>
  <c r="E2680" i="2"/>
  <c r="F2680" i="2" s="1"/>
  <c r="G2680" i="2"/>
  <c r="K2679" i="2"/>
  <c r="J2680" i="2" s="1"/>
  <c r="H2680" i="2"/>
  <c r="I2680" i="2" s="1"/>
  <c r="G2681" i="2" l="1"/>
  <c r="E2681" i="2"/>
  <c r="F2681" i="2" s="1"/>
  <c r="K2680" i="2"/>
  <c r="L2680" i="2" s="1"/>
  <c r="H2681" i="2"/>
  <c r="I2681" i="2" s="1"/>
  <c r="L2679" i="2"/>
  <c r="J2681" i="2" l="1"/>
  <c r="G2682" i="2"/>
  <c r="E2682" i="2"/>
  <c r="F2682" i="2" s="1"/>
  <c r="K2681" i="2"/>
  <c r="L2681" i="2" s="1"/>
  <c r="H2682" i="2"/>
  <c r="I2682" i="2" s="1"/>
  <c r="J2682" i="2" l="1"/>
  <c r="H2683" i="2"/>
  <c r="I2683" i="2" s="1"/>
  <c r="K2682" i="2"/>
  <c r="E2683" i="2"/>
  <c r="F2683" i="2" s="1"/>
  <c r="G2683" i="2"/>
  <c r="L2682" i="2" l="1"/>
  <c r="J2683" i="2"/>
  <c r="E2684" i="2"/>
  <c r="F2684" i="2" s="1"/>
  <c r="K2683" i="2"/>
  <c r="L2683" i="2" s="1"/>
  <c r="G2684" i="2"/>
  <c r="H2684" i="2"/>
  <c r="I2684" i="2" s="1"/>
  <c r="J2684" i="2" l="1"/>
  <c r="E2685" i="2"/>
  <c r="F2685" i="2" s="1"/>
  <c r="K2684" i="2"/>
  <c r="L2684" i="2" s="1"/>
  <c r="G2685" i="2"/>
  <c r="H2685" i="2"/>
  <c r="I2685" i="2" s="1"/>
  <c r="G2686" i="2" l="1"/>
  <c r="E2686" i="2"/>
  <c r="F2686" i="2" s="1"/>
  <c r="K2685" i="2"/>
  <c r="J2686" i="2" s="1"/>
  <c r="H2686" i="2"/>
  <c r="I2686" i="2" s="1"/>
  <c r="J2685" i="2"/>
  <c r="L2685" i="2" l="1"/>
  <c r="H2687" i="2"/>
  <c r="I2687" i="2" s="1"/>
  <c r="K2686" i="2"/>
  <c r="L2686" i="2" s="1"/>
  <c r="E2687" i="2"/>
  <c r="F2687" i="2" s="1"/>
  <c r="G2687" i="2"/>
  <c r="J2687" i="2" l="1"/>
  <c r="E2688" i="2"/>
  <c r="F2688" i="2" s="1"/>
  <c r="H2688" i="2"/>
  <c r="I2688" i="2" s="1"/>
  <c r="K2687" i="2"/>
  <c r="J2688" i="2" s="1"/>
  <c r="G2688" i="2"/>
  <c r="H2689" i="2" l="1"/>
  <c r="I2689" i="2" s="1"/>
  <c r="K2688" i="2"/>
  <c r="L2688" i="2" s="1"/>
  <c r="E2689" i="2"/>
  <c r="F2689" i="2" s="1"/>
  <c r="G2689" i="2"/>
  <c r="L2687" i="2"/>
  <c r="G2690" i="2" l="1"/>
  <c r="H2690" i="2"/>
  <c r="I2690" i="2" s="1"/>
  <c r="K2689" i="2"/>
  <c r="J2690" i="2" s="1"/>
  <c r="E2690" i="2"/>
  <c r="F2690" i="2" s="1"/>
  <c r="J2689" i="2"/>
  <c r="L2689" i="2" l="1"/>
  <c r="H2691" i="2"/>
  <c r="I2691" i="2" s="1"/>
  <c r="K2690" i="2"/>
  <c r="L2690" i="2" s="1"/>
  <c r="G2691" i="2"/>
  <c r="E2691" i="2"/>
  <c r="F2691" i="2" s="1"/>
  <c r="J2691" i="2" l="1"/>
  <c r="E2692" i="2"/>
  <c r="F2692" i="2" s="1"/>
  <c r="H2692" i="2"/>
  <c r="I2692" i="2" s="1"/>
  <c r="G2692" i="2"/>
  <c r="K2691" i="2"/>
  <c r="J2692" i="2" s="1"/>
  <c r="L2691" i="2" l="1"/>
  <c r="H2693" i="2"/>
  <c r="I2693" i="2" s="1"/>
  <c r="G2693" i="2"/>
  <c r="K2692" i="2"/>
  <c r="L2692" i="2" s="1"/>
  <c r="E2693" i="2"/>
  <c r="F2693" i="2" s="1"/>
  <c r="J2693" i="2" l="1"/>
  <c r="G2694" i="2"/>
  <c r="H2694" i="2"/>
  <c r="I2694" i="2" s="1"/>
  <c r="K2693" i="2"/>
  <c r="E2694" i="2"/>
  <c r="F2694" i="2" s="1"/>
  <c r="L2693" i="2" l="1"/>
  <c r="J2694" i="2"/>
  <c r="H2695" i="2"/>
  <c r="I2695" i="2" s="1"/>
  <c r="K2694" i="2"/>
  <c r="G2695" i="2"/>
  <c r="E2695" i="2"/>
  <c r="F2695" i="2" s="1"/>
  <c r="L2694" i="2" l="1"/>
  <c r="J2695" i="2"/>
  <c r="E2696" i="2"/>
  <c r="F2696" i="2" s="1"/>
  <c r="G2696" i="2"/>
  <c r="K2695" i="2"/>
  <c r="H2696" i="2"/>
  <c r="I2696" i="2" s="1"/>
  <c r="L2695" i="2" l="1"/>
  <c r="J2696" i="2"/>
  <c r="G2697" i="2"/>
  <c r="E2697" i="2"/>
  <c r="F2697" i="2" s="1"/>
  <c r="K2696" i="2"/>
  <c r="H2697" i="2"/>
  <c r="I2697" i="2" s="1"/>
  <c r="L2696" i="2" l="1"/>
  <c r="J2697" i="2"/>
  <c r="G2698" i="2"/>
  <c r="E2698" i="2"/>
  <c r="F2698" i="2" s="1"/>
  <c r="K2697" i="2"/>
  <c r="J2698" i="2" s="1"/>
  <c r="H2698" i="2"/>
  <c r="I2698" i="2" s="1"/>
  <c r="L2697" i="2" l="1"/>
  <c r="H2699" i="2"/>
  <c r="I2699" i="2" s="1"/>
  <c r="K2698" i="2"/>
  <c r="L2698" i="2" s="1"/>
  <c r="E2699" i="2"/>
  <c r="F2699" i="2" s="1"/>
  <c r="G2699" i="2"/>
  <c r="E2700" i="2" l="1"/>
  <c r="F2700" i="2" s="1"/>
  <c r="K2699" i="2"/>
  <c r="J2700" i="2" s="1"/>
  <c r="H2700" i="2"/>
  <c r="I2700" i="2" s="1"/>
  <c r="G2700" i="2"/>
  <c r="J2699" i="2"/>
  <c r="L2699" i="2" l="1"/>
  <c r="E2701" i="2"/>
  <c r="F2701" i="2" s="1"/>
  <c r="K2700" i="2"/>
  <c r="L2700" i="2" s="1"/>
  <c r="H2701" i="2"/>
  <c r="I2701" i="2" s="1"/>
  <c r="G2701" i="2"/>
  <c r="J2701" i="2" l="1"/>
  <c r="G2702" i="2"/>
  <c r="E2702" i="2"/>
  <c r="F2702" i="2" s="1"/>
  <c r="K2701" i="2"/>
  <c r="H2702" i="2"/>
  <c r="I2702" i="2" s="1"/>
  <c r="L2701" i="2" l="1"/>
  <c r="J2702" i="2"/>
  <c r="H2703" i="2"/>
  <c r="I2703" i="2" s="1"/>
  <c r="K2702" i="2"/>
  <c r="E2703" i="2"/>
  <c r="F2703" i="2" s="1"/>
  <c r="G2703" i="2"/>
  <c r="L2702" i="2" l="1"/>
  <c r="J2703" i="2"/>
  <c r="E2704" i="2"/>
  <c r="F2704" i="2" s="1"/>
  <c r="H2704" i="2"/>
  <c r="I2704" i="2" s="1"/>
  <c r="G2704" i="2"/>
  <c r="K2703" i="2"/>
  <c r="L2703" i="2" l="1"/>
  <c r="J2704" i="2"/>
  <c r="H2705" i="2"/>
  <c r="I2705" i="2" s="1"/>
  <c r="G2705" i="2"/>
  <c r="E2705" i="2"/>
  <c r="F2705" i="2" s="1"/>
  <c r="K2704" i="2"/>
  <c r="J2705" i="2" s="1"/>
  <c r="L2704" i="2" l="1"/>
  <c r="G2706" i="2"/>
  <c r="H2706" i="2"/>
  <c r="I2706" i="2" s="1"/>
  <c r="E2706" i="2"/>
  <c r="F2706" i="2" s="1"/>
  <c r="K2705" i="2"/>
  <c r="L2705" i="2" s="1"/>
  <c r="J2706" i="2" l="1"/>
  <c r="H2707" i="2"/>
  <c r="I2707" i="2" s="1"/>
  <c r="K2706" i="2"/>
  <c r="J2707" i="2" s="1"/>
  <c r="G2707" i="2"/>
  <c r="E2707" i="2"/>
  <c r="F2707" i="2" s="1"/>
  <c r="L2706" i="2" l="1"/>
  <c r="E2708" i="2"/>
  <c r="F2708" i="2" s="1"/>
  <c r="H2708" i="2"/>
  <c r="I2708" i="2" s="1"/>
  <c r="G2708" i="2"/>
  <c r="K2707" i="2"/>
  <c r="L2707" i="2" s="1"/>
  <c r="J2708" i="2" l="1"/>
  <c r="H2709" i="2"/>
  <c r="I2709" i="2" s="1"/>
  <c r="G2709" i="2"/>
  <c r="E2709" i="2"/>
  <c r="F2709" i="2" s="1"/>
  <c r="K2708" i="2"/>
  <c r="J2709" i="2" s="1"/>
  <c r="L2708" i="2" l="1"/>
  <c r="G2710" i="2"/>
  <c r="H2710" i="2"/>
  <c r="I2710" i="2" s="1"/>
  <c r="E2710" i="2"/>
  <c r="F2710" i="2" s="1"/>
  <c r="K2709" i="2"/>
  <c r="L2709" i="2" s="1"/>
  <c r="H2711" i="2" l="1"/>
  <c r="I2711" i="2" s="1"/>
  <c r="K2710" i="2"/>
  <c r="J2711" i="2" s="1"/>
  <c r="G2711" i="2"/>
  <c r="E2711" i="2"/>
  <c r="F2711" i="2" s="1"/>
  <c r="J2710" i="2"/>
  <c r="L2710" i="2" l="1"/>
  <c r="E2712" i="2"/>
  <c r="F2712" i="2" s="1"/>
  <c r="G2712" i="2"/>
  <c r="K2711" i="2"/>
  <c r="L2711" i="2" s="1"/>
  <c r="H2712" i="2"/>
  <c r="I2712" i="2" s="1"/>
  <c r="J2712" i="2" l="1"/>
  <c r="G2713" i="2"/>
  <c r="E2713" i="2"/>
  <c r="F2713" i="2" s="1"/>
  <c r="K2712" i="2"/>
  <c r="H2713" i="2"/>
  <c r="I2713" i="2" s="1"/>
  <c r="L2712" i="2" l="1"/>
  <c r="J2713" i="2"/>
  <c r="G2714" i="2"/>
  <c r="E2714" i="2"/>
  <c r="F2714" i="2" s="1"/>
  <c r="K2713" i="2"/>
  <c r="H2714" i="2"/>
  <c r="I2714" i="2" s="1"/>
  <c r="L2713" i="2" l="1"/>
  <c r="J2714" i="2"/>
  <c r="H2715" i="2"/>
  <c r="I2715" i="2" s="1"/>
  <c r="K2714" i="2"/>
  <c r="L2714" i="2" s="1"/>
  <c r="E2715" i="2"/>
  <c r="F2715" i="2" s="1"/>
  <c r="G2715" i="2"/>
  <c r="J2715" i="2" l="1"/>
  <c r="E2716" i="2"/>
  <c r="F2716" i="2" s="1"/>
  <c r="K2715" i="2"/>
  <c r="L2715" i="2" s="1"/>
  <c r="G2716" i="2"/>
  <c r="H2716" i="2"/>
  <c r="I2716" i="2" s="1"/>
  <c r="J2716" i="2" l="1"/>
  <c r="E2717" i="2"/>
  <c r="F2717" i="2" s="1"/>
  <c r="K2716" i="2"/>
  <c r="G2717" i="2"/>
  <c r="H2717" i="2"/>
  <c r="I2717" i="2" s="1"/>
  <c r="L2716" i="2" l="1"/>
  <c r="J2717" i="2"/>
  <c r="G2718" i="2"/>
  <c r="E2718" i="2"/>
  <c r="F2718" i="2" s="1"/>
  <c r="K2717" i="2"/>
  <c r="J2718" i="2" s="1"/>
  <c r="H2718" i="2"/>
  <c r="I2718" i="2" s="1"/>
  <c r="L2717" i="2" l="1"/>
  <c r="H2719" i="2"/>
  <c r="I2719" i="2" s="1"/>
  <c r="K2718" i="2"/>
  <c r="L2718" i="2" s="1"/>
  <c r="E2719" i="2"/>
  <c r="F2719" i="2" s="1"/>
  <c r="G2719" i="2"/>
  <c r="E2720" i="2" l="1"/>
  <c r="F2720" i="2" s="1"/>
  <c r="H2720" i="2"/>
  <c r="I2720" i="2" s="1"/>
  <c r="K2719" i="2"/>
  <c r="J2720" i="2" s="1"/>
  <c r="G2720" i="2"/>
  <c r="J2719" i="2"/>
  <c r="H2721" i="2" l="1"/>
  <c r="I2721" i="2" s="1"/>
  <c r="K2720" i="2"/>
  <c r="L2720" i="2" s="1"/>
  <c r="E2721" i="2"/>
  <c r="F2721" i="2" s="1"/>
  <c r="G2721" i="2"/>
  <c r="L2719" i="2"/>
  <c r="G2722" i="2" l="1"/>
  <c r="H2722" i="2"/>
  <c r="I2722" i="2" s="1"/>
  <c r="K2721" i="2"/>
  <c r="J2722" i="2" s="1"/>
  <c r="E2722" i="2"/>
  <c r="F2722" i="2" s="1"/>
  <c r="J2721" i="2"/>
  <c r="H2723" i="2" l="1"/>
  <c r="I2723" i="2" s="1"/>
  <c r="K2722" i="2"/>
  <c r="L2722" i="2" s="1"/>
  <c r="G2723" i="2"/>
  <c r="E2723" i="2"/>
  <c r="F2723" i="2" s="1"/>
  <c r="L2721" i="2"/>
  <c r="J2723" i="2" l="1"/>
  <c r="E2724" i="2"/>
  <c r="F2724" i="2" s="1"/>
  <c r="H2724" i="2"/>
  <c r="I2724" i="2" s="1"/>
  <c r="G2724" i="2"/>
  <c r="K2723" i="2"/>
  <c r="J2724" i="2" s="1"/>
  <c r="L2723" i="2" l="1"/>
  <c r="H2725" i="2"/>
  <c r="I2725" i="2" s="1"/>
  <c r="G2725" i="2"/>
  <c r="K2724" i="2"/>
  <c r="L2724" i="2" s="1"/>
  <c r="E2725" i="2"/>
  <c r="F2725" i="2" s="1"/>
  <c r="G2726" i="2" l="1"/>
  <c r="H2726" i="2"/>
  <c r="I2726" i="2" s="1"/>
  <c r="K2725" i="2"/>
  <c r="J2726" i="2" s="1"/>
  <c r="E2726" i="2"/>
  <c r="F2726" i="2" s="1"/>
  <c r="J2725" i="2"/>
  <c r="H2727" i="2" l="1"/>
  <c r="I2727" i="2" s="1"/>
  <c r="K2726" i="2"/>
  <c r="L2726" i="2" s="1"/>
  <c r="G2727" i="2"/>
  <c r="E2727" i="2"/>
  <c r="F2727" i="2" s="1"/>
  <c r="L2725" i="2"/>
  <c r="E2728" i="2" l="1"/>
  <c r="F2728" i="2" s="1"/>
  <c r="G2728" i="2"/>
  <c r="K2727" i="2"/>
  <c r="J2728" i="2" s="1"/>
  <c r="H2728" i="2"/>
  <c r="I2728" i="2" s="1"/>
  <c r="J2727" i="2"/>
  <c r="L2727" i="2" l="1"/>
  <c r="G2729" i="2"/>
  <c r="E2729" i="2"/>
  <c r="F2729" i="2" s="1"/>
  <c r="K2728" i="2"/>
  <c r="L2728" i="2" s="1"/>
  <c r="H2729" i="2"/>
  <c r="I2729" i="2" s="1"/>
  <c r="G2730" i="2" l="1"/>
  <c r="E2730" i="2"/>
  <c r="F2730" i="2" s="1"/>
  <c r="K2729" i="2"/>
  <c r="J2730" i="2" s="1"/>
  <c r="H2730" i="2"/>
  <c r="I2730" i="2" s="1"/>
  <c r="J2729" i="2"/>
  <c r="L2729" i="2" l="1"/>
  <c r="H2731" i="2"/>
  <c r="I2731" i="2" s="1"/>
  <c r="K2730" i="2"/>
  <c r="L2730" i="2" s="1"/>
  <c r="E2731" i="2"/>
  <c r="F2731" i="2" s="1"/>
  <c r="G2731" i="2"/>
  <c r="E2732" i="2" l="1"/>
  <c r="F2732" i="2" s="1"/>
  <c r="K2731" i="2"/>
  <c r="J2732" i="2" s="1"/>
  <c r="H2732" i="2"/>
  <c r="I2732" i="2" s="1"/>
  <c r="G2732" i="2"/>
  <c r="J2731" i="2"/>
  <c r="L2731" i="2" l="1"/>
  <c r="E2733" i="2"/>
  <c r="F2733" i="2" s="1"/>
  <c r="K2732" i="2"/>
  <c r="L2732" i="2" s="1"/>
  <c r="H2733" i="2"/>
  <c r="I2733" i="2" s="1"/>
  <c r="G2733" i="2"/>
  <c r="J2733" i="2" l="1"/>
  <c r="G2734" i="2"/>
  <c r="E2734" i="2"/>
  <c r="F2734" i="2" s="1"/>
  <c r="K2733" i="2"/>
  <c r="J2734" i="2" s="1"/>
  <c r="H2734" i="2"/>
  <c r="I2734" i="2" s="1"/>
  <c r="H2735" i="2" l="1"/>
  <c r="I2735" i="2" s="1"/>
  <c r="K2734" i="2"/>
  <c r="L2734" i="2" s="1"/>
  <c r="E2735" i="2"/>
  <c r="F2735" i="2" s="1"/>
  <c r="G2735" i="2"/>
  <c r="L2733" i="2"/>
  <c r="J2735" i="2" l="1"/>
  <c r="E2736" i="2"/>
  <c r="F2736" i="2" s="1"/>
  <c r="H2736" i="2"/>
  <c r="I2736" i="2" s="1"/>
  <c r="G2736" i="2"/>
  <c r="K2735" i="2"/>
  <c r="J2736" i="2" s="1"/>
  <c r="H2737" i="2" l="1"/>
  <c r="I2737" i="2" s="1"/>
  <c r="G2737" i="2"/>
  <c r="E2737" i="2"/>
  <c r="F2737" i="2" s="1"/>
  <c r="K2736" i="2"/>
  <c r="L2736" i="2" s="1"/>
  <c r="L2735" i="2"/>
  <c r="G2738" i="2" l="1"/>
  <c r="H2738" i="2"/>
  <c r="I2738" i="2" s="1"/>
  <c r="E2738" i="2"/>
  <c r="F2738" i="2" s="1"/>
  <c r="K2737" i="2"/>
  <c r="J2738" i="2" s="1"/>
  <c r="J2737" i="2"/>
  <c r="L2737" i="2" l="1"/>
  <c r="H2739" i="2"/>
  <c r="I2739" i="2" s="1"/>
  <c r="K2738" i="2"/>
  <c r="L2738" i="2" s="1"/>
  <c r="G2739" i="2"/>
  <c r="E2739" i="2"/>
  <c r="F2739" i="2" s="1"/>
  <c r="J2739" i="2" l="1"/>
  <c r="E2740" i="2"/>
  <c r="F2740" i="2" s="1"/>
  <c r="H2740" i="2"/>
  <c r="I2740" i="2" s="1"/>
  <c r="G2740" i="2"/>
  <c r="K2739" i="2"/>
  <c r="J2740" i="2" s="1"/>
  <c r="H2741" i="2" l="1"/>
  <c r="I2741" i="2" s="1"/>
  <c r="G2741" i="2"/>
  <c r="E2741" i="2"/>
  <c r="F2741" i="2" s="1"/>
  <c r="K2740" i="2"/>
  <c r="L2740" i="2" s="1"/>
  <c r="L2739" i="2"/>
  <c r="G2742" i="2" l="1"/>
  <c r="H2742" i="2"/>
  <c r="I2742" i="2" s="1"/>
  <c r="E2742" i="2"/>
  <c r="F2742" i="2" s="1"/>
  <c r="K2741" i="2"/>
  <c r="J2742" i="2" s="1"/>
  <c r="J2741" i="2"/>
  <c r="L2741" i="2" l="1"/>
  <c r="H2743" i="2"/>
  <c r="I2743" i="2" s="1"/>
  <c r="K2742" i="2"/>
  <c r="L2742" i="2" s="1"/>
  <c r="G2743" i="2"/>
  <c r="E2743" i="2"/>
  <c r="F2743" i="2" s="1"/>
  <c r="J2743" i="2" l="1"/>
  <c r="E2744" i="2"/>
  <c r="F2744" i="2" s="1"/>
  <c r="G2744" i="2"/>
  <c r="K2743" i="2"/>
  <c r="J2744" i="2" s="1"/>
  <c r="H2744" i="2"/>
  <c r="I2744" i="2" s="1"/>
  <c r="G2745" i="2" l="1"/>
  <c r="E2745" i="2"/>
  <c r="F2745" i="2" s="1"/>
  <c r="K2744" i="2"/>
  <c r="L2744" i="2" s="1"/>
  <c r="H2745" i="2"/>
  <c r="I2745" i="2" s="1"/>
  <c r="L2743" i="2"/>
  <c r="J2745" i="2" l="1"/>
  <c r="G2746" i="2"/>
  <c r="E2746" i="2"/>
  <c r="F2746" i="2" s="1"/>
  <c r="K2745" i="2"/>
  <c r="H2746" i="2"/>
  <c r="I2746" i="2" s="1"/>
  <c r="L2745" i="2" l="1"/>
  <c r="J2746" i="2"/>
  <c r="H2747" i="2"/>
  <c r="I2747" i="2" s="1"/>
  <c r="K2746" i="2"/>
  <c r="E2747" i="2"/>
  <c r="F2747" i="2" s="1"/>
  <c r="G2747" i="2"/>
  <c r="L2746" i="2" l="1"/>
  <c r="J2747" i="2"/>
  <c r="E2748" i="2"/>
  <c r="F2748" i="2" s="1"/>
  <c r="K2747" i="2"/>
  <c r="J2748" i="2" s="1"/>
  <c r="G2748" i="2"/>
  <c r="H2748" i="2"/>
  <c r="I2748" i="2" s="1"/>
  <c r="E2749" i="2" l="1"/>
  <c r="F2749" i="2" s="1"/>
  <c r="K2748" i="2"/>
  <c r="L2748" i="2" s="1"/>
  <c r="G2749" i="2"/>
  <c r="H2749" i="2"/>
  <c r="I2749" i="2" s="1"/>
  <c r="L2747" i="2"/>
  <c r="J2749" i="2" l="1"/>
  <c r="G2750" i="2"/>
  <c r="E2750" i="2"/>
  <c r="F2750" i="2" s="1"/>
  <c r="K2749" i="2"/>
  <c r="J2750" i="2" s="1"/>
  <c r="H2750" i="2"/>
  <c r="I2750" i="2" s="1"/>
  <c r="H2751" i="2" l="1"/>
  <c r="I2751" i="2" s="1"/>
  <c r="K2750" i="2"/>
  <c r="L2750" i="2" s="1"/>
  <c r="E2751" i="2"/>
  <c r="F2751" i="2" s="1"/>
  <c r="G2751" i="2"/>
  <c r="L2749" i="2"/>
  <c r="J2751" i="2" l="1"/>
  <c r="E2752" i="2"/>
  <c r="F2752" i="2" s="1"/>
  <c r="H2752" i="2"/>
  <c r="I2752" i="2" s="1"/>
  <c r="K2751" i="2"/>
  <c r="J2752" i="2" s="1"/>
  <c r="G2752" i="2"/>
  <c r="H2753" i="2" l="1"/>
  <c r="I2753" i="2" s="1"/>
  <c r="K2752" i="2"/>
  <c r="L2752" i="2" s="1"/>
  <c r="E2753" i="2"/>
  <c r="F2753" i="2" s="1"/>
  <c r="G2753" i="2"/>
  <c r="L2751" i="2"/>
  <c r="J2753" i="2" l="1"/>
  <c r="G2754" i="2"/>
  <c r="H2754" i="2"/>
  <c r="I2754" i="2" s="1"/>
  <c r="K2753" i="2"/>
  <c r="E2754" i="2"/>
  <c r="F2754" i="2" s="1"/>
  <c r="L2753" i="2" l="1"/>
  <c r="J2754" i="2"/>
  <c r="H2755" i="2"/>
  <c r="I2755" i="2" s="1"/>
  <c r="K2754" i="2"/>
  <c r="G2755" i="2"/>
  <c r="E2755" i="2"/>
  <c r="F2755" i="2" s="1"/>
  <c r="L2754" i="2" l="1"/>
  <c r="J2755" i="2"/>
  <c r="E2756" i="2"/>
  <c r="F2756" i="2" s="1"/>
  <c r="H2756" i="2"/>
  <c r="I2756" i="2" s="1"/>
  <c r="G2756" i="2"/>
  <c r="K2755" i="2"/>
  <c r="J2756" i="2" s="1"/>
  <c r="L2755" i="2" l="1"/>
  <c r="H2757" i="2"/>
  <c r="I2757" i="2" s="1"/>
  <c r="G2757" i="2"/>
  <c r="K2756" i="2"/>
  <c r="L2756" i="2" s="1"/>
  <c r="E2757" i="2"/>
  <c r="F2757" i="2" s="1"/>
  <c r="J2757" i="2" l="1"/>
  <c r="G2758" i="2"/>
  <c r="H2758" i="2"/>
  <c r="I2758" i="2" s="1"/>
  <c r="K2757" i="2"/>
  <c r="E2758" i="2"/>
  <c r="F2758" i="2" s="1"/>
  <c r="L2757" i="2" l="1"/>
  <c r="J2758" i="2"/>
  <c r="H2759" i="2"/>
  <c r="I2759" i="2" s="1"/>
  <c r="K2758" i="2"/>
  <c r="J2759" i="2" s="1"/>
  <c r="G2759" i="2"/>
  <c r="E2759" i="2"/>
  <c r="F2759" i="2" s="1"/>
  <c r="E2760" i="2" l="1"/>
  <c r="F2760" i="2" s="1"/>
  <c r="G2760" i="2"/>
  <c r="K2759" i="2"/>
  <c r="L2759" i="2" s="1"/>
  <c r="H2760" i="2"/>
  <c r="I2760" i="2" s="1"/>
  <c r="L2758" i="2"/>
  <c r="G2761" i="2" l="1"/>
  <c r="E2761" i="2"/>
  <c r="F2761" i="2" s="1"/>
  <c r="K2760" i="2"/>
  <c r="J2761" i="2" s="1"/>
  <c r="H2761" i="2"/>
  <c r="I2761" i="2" s="1"/>
  <c r="J2760" i="2"/>
  <c r="L2760" i="2" l="1"/>
  <c r="G2762" i="2"/>
  <c r="E2762" i="2"/>
  <c r="F2762" i="2" s="1"/>
  <c r="K2761" i="2"/>
  <c r="J2762" i="2" s="1"/>
  <c r="H2762" i="2"/>
  <c r="I2762" i="2" s="1"/>
  <c r="L2761" i="2" l="1"/>
  <c r="H2763" i="2"/>
  <c r="I2763" i="2" s="1"/>
  <c r="K2762" i="2"/>
  <c r="L2762" i="2" s="1"/>
  <c r="E2763" i="2"/>
  <c r="F2763" i="2" s="1"/>
  <c r="G2763" i="2"/>
  <c r="J2763" i="2" l="1"/>
  <c r="E2764" i="2"/>
  <c r="F2764" i="2" s="1"/>
  <c r="K2763" i="2"/>
  <c r="J2764" i="2" s="1"/>
  <c r="H2764" i="2"/>
  <c r="I2764" i="2" s="1"/>
  <c r="G2764" i="2"/>
  <c r="E2765" i="2" l="1"/>
  <c r="F2765" i="2" s="1"/>
  <c r="K2764" i="2"/>
  <c r="L2764" i="2" s="1"/>
  <c r="H2765" i="2"/>
  <c r="I2765" i="2" s="1"/>
  <c r="G2765" i="2"/>
  <c r="L2763" i="2"/>
  <c r="J2765" i="2" l="1"/>
  <c r="G2766" i="2"/>
  <c r="E2766" i="2"/>
  <c r="F2766" i="2" s="1"/>
  <c r="K2765" i="2"/>
  <c r="J2766" i="2" s="1"/>
  <c r="H2766" i="2"/>
  <c r="I2766" i="2" s="1"/>
  <c r="H2767" i="2" l="1"/>
  <c r="I2767" i="2" s="1"/>
  <c r="K2766" i="2"/>
  <c r="L2766" i="2" s="1"/>
  <c r="E2767" i="2"/>
  <c r="F2767" i="2" s="1"/>
  <c r="G2767" i="2"/>
  <c r="L2765" i="2"/>
  <c r="J2767" i="2" l="1"/>
  <c r="E2768" i="2"/>
  <c r="F2768" i="2" s="1"/>
  <c r="H2768" i="2"/>
  <c r="I2768" i="2" s="1"/>
  <c r="G2768" i="2"/>
  <c r="K2767" i="2"/>
  <c r="L2767" i="2" l="1"/>
  <c r="H2769" i="2"/>
  <c r="I2769" i="2" s="1"/>
  <c r="G2769" i="2"/>
  <c r="E2769" i="2"/>
  <c r="F2769" i="2" s="1"/>
  <c r="K2768" i="2"/>
  <c r="J2769" i="2" s="1"/>
  <c r="J2768" i="2"/>
  <c r="L2768" i="2" l="1"/>
  <c r="G2770" i="2"/>
  <c r="H2770" i="2"/>
  <c r="I2770" i="2" s="1"/>
  <c r="E2770" i="2"/>
  <c r="F2770" i="2" s="1"/>
  <c r="K2769" i="2"/>
  <c r="L2769" i="2" s="1"/>
  <c r="J2770" i="2" l="1"/>
  <c r="H2771" i="2"/>
  <c r="I2771" i="2" s="1"/>
  <c r="K2770" i="2"/>
  <c r="J2771" i="2" s="1"/>
  <c r="G2771" i="2"/>
  <c r="E2771" i="2"/>
  <c r="F2771" i="2" s="1"/>
  <c r="L2770" i="2" l="1"/>
  <c r="E2772" i="2"/>
  <c r="F2772" i="2" s="1"/>
  <c r="H2772" i="2"/>
  <c r="I2772" i="2" s="1"/>
  <c r="G2772" i="2"/>
  <c r="K2771" i="2"/>
  <c r="L2771" i="2" s="1"/>
  <c r="H2773" i="2" l="1"/>
  <c r="I2773" i="2" s="1"/>
  <c r="G2773" i="2"/>
  <c r="E2773" i="2"/>
  <c r="F2773" i="2" s="1"/>
  <c r="K2772" i="2"/>
  <c r="J2773" i="2" s="1"/>
  <c r="J2772" i="2"/>
  <c r="L2772" i="2" l="1"/>
  <c r="G2774" i="2"/>
  <c r="H2774" i="2"/>
  <c r="I2774" i="2" s="1"/>
  <c r="E2774" i="2"/>
  <c r="F2774" i="2" s="1"/>
  <c r="K2773" i="2"/>
  <c r="L2773" i="2" s="1"/>
  <c r="H2775" i="2" l="1"/>
  <c r="I2775" i="2" s="1"/>
  <c r="K2774" i="2"/>
  <c r="J2775" i="2" s="1"/>
  <c r="G2775" i="2"/>
  <c r="E2775" i="2"/>
  <c r="F2775" i="2" s="1"/>
  <c r="J2774" i="2"/>
  <c r="L2774" i="2" l="1"/>
  <c r="E2776" i="2"/>
  <c r="F2776" i="2" s="1"/>
  <c r="G2776" i="2"/>
  <c r="K2775" i="2"/>
  <c r="L2775" i="2" s="1"/>
  <c r="H2776" i="2"/>
  <c r="I2776" i="2" s="1"/>
  <c r="G2777" i="2" l="1"/>
  <c r="E2777" i="2"/>
  <c r="F2777" i="2" s="1"/>
  <c r="K2776" i="2"/>
  <c r="J2777" i="2" s="1"/>
  <c r="H2777" i="2"/>
  <c r="I2777" i="2" s="1"/>
  <c r="J2776" i="2"/>
  <c r="L2776" i="2" l="1"/>
  <c r="G2778" i="2"/>
  <c r="E2778" i="2"/>
  <c r="F2778" i="2" s="1"/>
  <c r="K2777" i="2"/>
  <c r="L2777" i="2" s="1"/>
  <c r="H2778" i="2"/>
  <c r="I2778" i="2" s="1"/>
  <c r="J2778" i="2" l="1"/>
  <c r="H2779" i="2"/>
  <c r="I2779" i="2" s="1"/>
  <c r="K2778" i="2"/>
  <c r="J2779" i="2" s="1"/>
  <c r="E2779" i="2"/>
  <c r="F2779" i="2" s="1"/>
  <c r="G2779" i="2"/>
  <c r="E2780" i="2" l="1"/>
  <c r="F2780" i="2" s="1"/>
  <c r="K2779" i="2"/>
  <c r="L2779" i="2" s="1"/>
  <c r="H2780" i="2"/>
  <c r="I2780" i="2" s="1"/>
  <c r="G2780" i="2"/>
  <c r="L2778" i="2"/>
  <c r="J2780" i="2" l="1"/>
  <c r="E2781" i="2"/>
  <c r="F2781" i="2" s="1"/>
  <c r="K2780" i="2"/>
  <c r="G2781" i="2"/>
  <c r="H2781" i="2"/>
  <c r="I2781" i="2" s="1"/>
  <c r="L2780" i="2" l="1"/>
  <c r="G2782" i="2"/>
  <c r="E2782" i="2"/>
  <c r="F2782" i="2" s="1"/>
  <c r="K2781" i="2"/>
  <c r="J2782" i="2" s="1"/>
  <c r="H2782" i="2"/>
  <c r="I2782" i="2" s="1"/>
  <c r="J2781" i="2"/>
  <c r="L2781" i="2" l="1"/>
  <c r="H2783" i="2"/>
  <c r="I2783" i="2" s="1"/>
  <c r="K2782" i="2"/>
  <c r="L2782" i="2" s="1"/>
  <c r="E2783" i="2"/>
  <c r="F2783" i="2" s="1"/>
  <c r="G2783" i="2"/>
  <c r="E2784" i="2" l="1"/>
  <c r="F2784" i="2" s="1"/>
  <c r="H2784" i="2"/>
  <c r="I2784" i="2" s="1"/>
  <c r="K2783" i="2"/>
  <c r="J2784" i="2" s="1"/>
  <c r="G2784" i="2"/>
  <c r="J2783" i="2"/>
  <c r="H2785" i="2" l="1"/>
  <c r="I2785" i="2" s="1"/>
  <c r="K2784" i="2"/>
  <c r="L2784" i="2" s="1"/>
  <c r="E2785" i="2"/>
  <c r="F2785" i="2" s="1"/>
  <c r="G2785" i="2"/>
  <c r="L2783" i="2"/>
  <c r="J2785" i="2" l="1"/>
  <c r="G2786" i="2"/>
  <c r="H2786" i="2"/>
  <c r="I2786" i="2" s="1"/>
  <c r="K2785" i="2"/>
  <c r="E2786" i="2"/>
  <c r="F2786" i="2" s="1"/>
  <c r="L2785" i="2" l="1"/>
  <c r="J2786" i="2"/>
  <c r="H2787" i="2"/>
  <c r="I2787" i="2" s="1"/>
  <c r="K2786" i="2"/>
  <c r="L2786" i="2" s="1"/>
  <c r="G2787" i="2"/>
  <c r="E2787" i="2"/>
  <c r="F2787" i="2" s="1"/>
  <c r="E2788" i="2" l="1"/>
  <c r="F2788" i="2" s="1"/>
  <c r="H2788" i="2"/>
  <c r="I2788" i="2" s="1"/>
  <c r="G2788" i="2"/>
  <c r="K2787" i="2"/>
  <c r="J2788" i="2" s="1"/>
  <c r="J2787" i="2"/>
  <c r="L2787" i="2" l="1"/>
  <c r="H2789" i="2"/>
  <c r="I2789" i="2" s="1"/>
  <c r="G2789" i="2"/>
  <c r="K2788" i="2"/>
  <c r="J2789" i="2" s="1"/>
  <c r="E2789" i="2"/>
  <c r="F2789" i="2" s="1"/>
  <c r="L2788" i="2" l="1"/>
  <c r="G2790" i="2"/>
  <c r="H2790" i="2"/>
  <c r="I2790" i="2" s="1"/>
  <c r="K2789" i="2"/>
  <c r="L2789" i="2" s="1"/>
  <c r="E2790" i="2"/>
  <c r="F2790" i="2" s="1"/>
  <c r="J2790" i="2" l="1"/>
  <c r="H2791" i="2"/>
  <c r="I2791" i="2" s="1"/>
  <c r="K2790" i="2"/>
  <c r="J2791" i="2" s="1"/>
  <c r="G2791" i="2"/>
  <c r="E2791" i="2"/>
  <c r="F2791" i="2" s="1"/>
  <c r="E2792" i="2" l="1"/>
  <c r="F2792" i="2" s="1"/>
  <c r="G2792" i="2"/>
  <c r="K2791" i="2"/>
  <c r="L2791" i="2" s="1"/>
  <c r="H2792" i="2"/>
  <c r="I2792" i="2" s="1"/>
  <c r="L2790" i="2"/>
  <c r="G2793" i="2" l="1"/>
  <c r="E2793" i="2"/>
  <c r="F2793" i="2" s="1"/>
  <c r="K2792" i="2"/>
  <c r="J2793" i="2" s="1"/>
  <c r="H2793" i="2"/>
  <c r="I2793" i="2" s="1"/>
  <c r="J2792" i="2"/>
  <c r="L2792" i="2" l="1"/>
  <c r="G2794" i="2"/>
  <c r="E2794" i="2"/>
  <c r="F2794" i="2" s="1"/>
  <c r="K2793" i="2"/>
  <c r="L2793" i="2" s="1"/>
  <c r="H2794" i="2"/>
  <c r="I2794" i="2" s="1"/>
  <c r="J2794" i="2" l="1"/>
  <c r="H2795" i="2"/>
  <c r="I2795" i="2" s="1"/>
  <c r="K2794" i="2"/>
  <c r="J2795" i="2" s="1"/>
  <c r="E2795" i="2"/>
  <c r="F2795" i="2" s="1"/>
  <c r="G2795" i="2"/>
  <c r="E2796" i="2" l="1"/>
  <c r="F2796" i="2" s="1"/>
  <c r="K2795" i="2"/>
  <c r="L2795" i="2" s="1"/>
  <c r="H2796" i="2"/>
  <c r="I2796" i="2" s="1"/>
  <c r="G2796" i="2"/>
  <c r="L2794" i="2"/>
  <c r="J2796" i="2" l="1"/>
  <c r="E2797" i="2"/>
  <c r="F2797" i="2" s="1"/>
  <c r="K2796" i="2"/>
  <c r="H2797" i="2"/>
  <c r="I2797" i="2" s="1"/>
  <c r="G2797" i="2"/>
  <c r="L2796" i="2" l="1"/>
  <c r="J2797" i="2"/>
  <c r="G2798" i="2"/>
  <c r="E2798" i="2"/>
  <c r="F2798" i="2" s="1"/>
  <c r="K2797" i="2"/>
  <c r="J2798" i="2" s="1"/>
  <c r="H2798" i="2"/>
  <c r="I2798" i="2" s="1"/>
  <c r="H2799" i="2" l="1"/>
  <c r="I2799" i="2" s="1"/>
  <c r="K2798" i="2"/>
  <c r="L2798" i="2" s="1"/>
  <c r="E2799" i="2"/>
  <c r="F2799" i="2" s="1"/>
  <c r="G2799" i="2"/>
  <c r="L2797" i="2"/>
  <c r="J2799" i="2" l="1"/>
  <c r="E2800" i="2"/>
  <c r="F2800" i="2" s="1"/>
  <c r="H2800" i="2"/>
  <c r="I2800" i="2" s="1"/>
  <c r="G2800" i="2"/>
  <c r="K2799" i="2"/>
  <c r="J2800" i="2" s="1"/>
  <c r="H2801" i="2" l="1"/>
  <c r="I2801" i="2" s="1"/>
  <c r="G2801" i="2"/>
  <c r="E2801" i="2"/>
  <c r="F2801" i="2" s="1"/>
  <c r="K2800" i="2"/>
  <c r="L2800" i="2" s="1"/>
  <c r="L2799" i="2"/>
  <c r="G2802" i="2" l="1"/>
  <c r="H2802" i="2"/>
  <c r="I2802" i="2" s="1"/>
  <c r="E2802" i="2"/>
  <c r="F2802" i="2" s="1"/>
  <c r="K2801" i="2"/>
  <c r="J2802" i="2" s="1"/>
  <c r="J2801" i="2"/>
  <c r="L2801" i="2" l="1"/>
  <c r="H2803" i="2"/>
  <c r="I2803" i="2" s="1"/>
  <c r="K2802" i="2"/>
  <c r="L2802" i="2" s="1"/>
  <c r="G2803" i="2"/>
  <c r="E2803" i="2"/>
  <c r="F2803" i="2" s="1"/>
  <c r="J2803" i="2" l="1"/>
  <c r="E2804" i="2"/>
  <c r="F2804" i="2" s="1"/>
  <c r="H2804" i="2"/>
  <c r="I2804" i="2" s="1"/>
  <c r="G2804" i="2"/>
  <c r="K2803" i="2"/>
  <c r="J2804" i="2" s="1"/>
  <c r="H2805" i="2" l="1"/>
  <c r="I2805" i="2" s="1"/>
  <c r="G2805" i="2"/>
  <c r="E2805" i="2"/>
  <c r="F2805" i="2" s="1"/>
  <c r="K2804" i="2"/>
  <c r="L2804" i="2" s="1"/>
  <c r="L2803" i="2"/>
  <c r="G2806" i="2" l="1"/>
  <c r="H2806" i="2"/>
  <c r="I2806" i="2" s="1"/>
  <c r="E2806" i="2"/>
  <c r="F2806" i="2" s="1"/>
  <c r="K2805" i="2"/>
  <c r="J2806" i="2" s="1"/>
  <c r="J2805" i="2"/>
  <c r="H2807" i="2" l="1"/>
  <c r="I2807" i="2" s="1"/>
  <c r="K2806" i="2"/>
  <c r="L2806" i="2" s="1"/>
  <c r="G2807" i="2"/>
  <c r="E2807" i="2"/>
  <c r="F2807" i="2" s="1"/>
  <c r="L2805" i="2"/>
  <c r="J2807" i="2" l="1"/>
  <c r="E2808" i="2"/>
  <c r="F2808" i="2" s="1"/>
  <c r="G2808" i="2"/>
  <c r="K2807" i="2"/>
  <c r="J2808" i="2" s="1"/>
  <c r="H2808" i="2"/>
  <c r="I2808" i="2" s="1"/>
  <c r="G2809" i="2" l="1"/>
  <c r="E2809" i="2"/>
  <c r="F2809" i="2" s="1"/>
  <c r="K2808" i="2"/>
  <c r="L2808" i="2" s="1"/>
  <c r="H2809" i="2"/>
  <c r="I2809" i="2" s="1"/>
  <c r="L2807" i="2"/>
  <c r="J2809" i="2" l="1"/>
  <c r="G2810" i="2"/>
  <c r="E2810" i="2"/>
  <c r="F2810" i="2" s="1"/>
  <c r="K2809" i="2"/>
  <c r="H2810" i="2"/>
  <c r="I2810" i="2" s="1"/>
  <c r="L2809" i="2" l="1"/>
  <c r="J2810" i="2"/>
  <c r="H2811" i="2"/>
  <c r="I2811" i="2" s="1"/>
  <c r="K2810" i="2"/>
  <c r="J2811" i="2" s="1"/>
  <c r="E2811" i="2"/>
  <c r="F2811" i="2" s="1"/>
  <c r="G2811" i="2"/>
  <c r="E2812" i="2" l="1"/>
  <c r="F2812" i="2" s="1"/>
  <c r="K2811" i="2"/>
  <c r="L2811" i="2" s="1"/>
  <c r="G2812" i="2"/>
  <c r="H2812" i="2"/>
  <c r="I2812" i="2" s="1"/>
  <c r="L2810" i="2"/>
  <c r="J2812" i="2" l="1"/>
  <c r="E2813" i="2"/>
  <c r="F2813" i="2" s="1"/>
  <c r="K2812" i="2"/>
  <c r="H2813" i="2"/>
  <c r="I2813" i="2" s="1"/>
  <c r="G2813" i="2"/>
  <c r="L2812" i="2" l="1"/>
  <c r="J2813" i="2"/>
  <c r="G2814" i="2"/>
  <c r="E2814" i="2"/>
  <c r="F2814" i="2" s="1"/>
  <c r="K2813" i="2"/>
  <c r="J2814" i="2" s="1"/>
  <c r="H2814" i="2"/>
  <c r="I2814" i="2" s="1"/>
  <c r="H2815" i="2" l="1"/>
  <c r="I2815" i="2" s="1"/>
  <c r="K2814" i="2"/>
  <c r="L2814" i="2" s="1"/>
  <c r="E2815" i="2"/>
  <c r="F2815" i="2" s="1"/>
  <c r="G2815" i="2"/>
  <c r="L2813" i="2"/>
  <c r="J2815" i="2" l="1"/>
  <c r="E2816" i="2"/>
  <c r="F2816" i="2" s="1"/>
  <c r="H2816" i="2"/>
  <c r="I2816" i="2" s="1"/>
  <c r="K2815" i="2"/>
  <c r="G2816" i="2"/>
  <c r="L2815" i="2" l="1"/>
  <c r="J2816" i="2"/>
  <c r="H2817" i="2"/>
  <c r="I2817" i="2" s="1"/>
  <c r="K2816" i="2"/>
  <c r="J2817" i="2" s="1"/>
  <c r="G2817" i="2"/>
  <c r="E2817" i="2"/>
  <c r="F2817" i="2" s="1"/>
  <c r="L2816" i="2" l="1"/>
  <c r="G2818" i="2"/>
  <c r="H2818" i="2"/>
  <c r="I2818" i="2" s="1"/>
  <c r="K2817" i="2"/>
  <c r="L2817" i="2" s="1"/>
  <c r="E2818" i="2"/>
  <c r="F2818" i="2" s="1"/>
  <c r="H2819" i="2" l="1"/>
  <c r="I2819" i="2" s="1"/>
  <c r="K2818" i="2"/>
  <c r="J2819" i="2" s="1"/>
  <c r="G2819" i="2"/>
  <c r="E2819" i="2"/>
  <c r="F2819" i="2" s="1"/>
  <c r="J2818" i="2"/>
  <c r="L2818" i="2" l="1"/>
  <c r="E2820" i="2"/>
  <c r="F2820" i="2" s="1"/>
  <c r="H2820" i="2"/>
  <c r="I2820" i="2" s="1"/>
  <c r="G2820" i="2"/>
  <c r="K2819" i="2"/>
  <c r="L2819" i="2" s="1"/>
  <c r="J2820" i="2" l="1"/>
  <c r="H2821" i="2"/>
  <c r="I2821" i="2" s="1"/>
  <c r="G2821" i="2"/>
  <c r="K2820" i="2"/>
  <c r="J2821" i="2" s="1"/>
  <c r="E2821" i="2"/>
  <c r="F2821" i="2" s="1"/>
  <c r="L2820" i="2" l="1"/>
  <c r="G2822" i="2"/>
  <c r="H2822" i="2"/>
  <c r="I2822" i="2" s="1"/>
  <c r="K2821" i="2"/>
  <c r="L2821" i="2" s="1"/>
  <c r="E2822" i="2"/>
  <c r="F2822" i="2" s="1"/>
  <c r="H2823" i="2" l="1"/>
  <c r="I2823" i="2" s="1"/>
  <c r="K2822" i="2"/>
  <c r="J2823" i="2" s="1"/>
  <c r="G2823" i="2"/>
  <c r="E2823" i="2"/>
  <c r="F2823" i="2" s="1"/>
  <c r="J2822" i="2"/>
  <c r="L2822" i="2" l="1"/>
  <c r="E2824" i="2"/>
  <c r="F2824" i="2" s="1"/>
  <c r="G2824" i="2"/>
  <c r="K2823" i="2"/>
  <c r="L2823" i="2" s="1"/>
  <c r="H2824" i="2"/>
  <c r="I2824" i="2" s="1"/>
  <c r="G2825" i="2" l="1"/>
  <c r="E2825" i="2"/>
  <c r="F2825" i="2" s="1"/>
  <c r="K2824" i="2"/>
  <c r="J2825" i="2" s="1"/>
  <c r="H2825" i="2"/>
  <c r="I2825" i="2" s="1"/>
  <c r="J2824" i="2"/>
  <c r="L2824" i="2" l="1"/>
  <c r="G2826" i="2"/>
  <c r="E2826" i="2"/>
  <c r="F2826" i="2" s="1"/>
  <c r="K2825" i="2"/>
  <c r="L2825" i="2" s="1"/>
  <c r="H2826" i="2"/>
  <c r="I2826" i="2" s="1"/>
  <c r="J2826" i="2" l="1"/>
  <c r="H2827" i="2"/>
  <c r="I2827" i="2" s="1"/>
  <c r="K2826" i="2"/>
  <c r="J2827" i="2" s="1"/>
  <c r="E2827" i="2"/>
  <c r="F2827" i="2" s="1"/>
  <c r="G2827" i="2"/>
  <c r="E2828" i="2" l="1"/>
  <c r="F2828" i="2" s="1"/>
  <c r="K2827" i="2"/>
  <c r="L2827" i="2" s="1"/>
  <c r="H2828" i="2"/>
  <c r="I2828" i="2" s="1"/>
  <c r="G2828" i="2"/>
  <c r="L2826" i="2"/>
  <c r="J2828" i="2" l="1"/>
  <c r="E2829" i="2"/>
  <c r="F2829" i="2" s="1"/>
  <c r="K2828" i="2"/>
  <c r="J2829" i="2" s="1"/>
  <c r="H2829" i="2"/>
  <c r="I2829" i="2" s="1"/>
  <c r="G2829" i="2"/>
  <c r="G2830" i="2" l="1"/>
  <c r="E2830" i="2"/>
  <c r="F2830" i="2" s="1"/>
  <c r="K2829" i="2"/>
  <c r="L2829" i="2" s="1"/>
  <c r="H2830" i="2"/>
  <c r="I2830" i="2" s="1"/>
  <c r="L2828" i="2"/>
  <c r="J2830" i="2" l="1"/>
  <c r="H2831" i="2"/>
  <c r="I2831" i="2" s="1"/>
  <c r="K2830" i="2"/>
  <c r="E2831" i="2"/>
  <c r="F2831" i="2" s="1"/>
  <c r="G2831" i="2"/>
  <c r="L2830" i="2" l="1"/>
  <c r="J2831" i="2"/>
  <c r="E2832" i="2"/>
  <c r="F2832" i="2" s="1"/>
  <c r="H2832" i="2"/>
  <c r="I2832" i="2" s="1"/>
  <c r="G2832" i="2"/>
  <c r="K2831" i="2"/>
  <c r="J2832" i="2" s="1"/>
  <c r="H2833" i="2" l="1"/>
  <c r="I2833" i="2" s="1"/>
  <c r="G2833" i="2"/>
  <c r="E2833" i="2"/>
  <c r="F2833" i="2" s="1"/>
  <c r="K2832" i="2"/>
  <c r="L2832" i="2" s="1"/>
  <c r="L2831" i="2"/>
  <c r="G2834" i="2" l="1"/>
  <c r="H2834" i="2"/>
  <c r="I2834" i="2" s="1"/>
  <c r="E2834" i="2"/>
  <c r="F2834" i="2" s="1"/>
  <c r="K2833" i="2"/>
  <c r="J2834" i="2" s="1"/>
  <c r="J2833" i="2"/>
  <c r="H2835" i="2" l="1"/>
  <c r="I2835" i="2" s="1"/>
  <c r="K2834" i="2"/>
  <c r="L2834" i="2" s="1"/>
  <c r="G2835" i="2"/>
  <c r="E2835" i="2"/>
  <c r="F2835" i="2" s="1"/>
  <c r="L2833" i="2"/>
  <c r="J2835" i="2" l="1"/>
  <c r="E2836" i="2"/>
  <c r="F2836" i="2" s="1"/>
  <c r="H2836" i="2"/>
  <c r="I2836" i="2" s="1"/>
  <c r="G2836" i="2"/>
  <c r="K2835" i="2"/>
  <c r="J2836" i="2" s="1"/>
  <c r="H2837" i="2" l="1"/>
  <c r="I2837" i="2" s="1"/>
  <c r="G2837" i="2"/>
  <c r="E2837" i="2"/>
  <c r="F2837" i="2" s="1"/>
  <c r="K2836" i="2"/>
  <c r="L2836" i="2" s="1"/>
  <c r="L2835" i="2"/>
  <c r="G2838" i="2" l="1"/>
  <c r="H2838" i="2"/>
  <c r="I2838" i="2" s="1"/>
  <c r="E2838" i="2"/>
  <c r="F2838" i="2" s="1"/>
  <c r="K2837" i="2"/>
  <c r="J2838" i="2" s="1"/>
  <c r="J2837" i="2"/>
  <c r="L2837" i="2" l="1"/>
  <c r="H2839" i="2"/>
  <c r="I2839" i="2" s="1"/>
  <c r="K2838" i="2"/>
  <c r="L2838" i="2" s="1"/>
  <c r="G2839" i="2"/>
  <c r="E2839" i="2"/>
  <c r="F2839" i="2" s="1"/>
  <c r="E2840" i="2" l="1"/>
  <c r="F2840" i="2" s="1"/>
  <c r="G2840" i="2"/>
  <c r="K2839" i="2"/>
  <c r="J2840" i="2" s="1"/>
  <c r="H2840" i="2"/>
  <c r="I2840" i="2" s="1"/>
  <c r="J2839" i="2"/>
  <c r="L2839" i="2" l="1"/>
  <c r="G2841" i="2"/>
  <c r="E2841" i="2"/>
  <c r="F2841" i="2" s="1"/>
  <c r="K2840" i="2"/>
  <c r="L2840" i="2" s="1"/>
  <c r="H2841" i="2"/>
  <c r="I2841" i="2" s="1"/>
  <c r="J2841" i="2" l="1"/>
  <c r="G2842" i="2"/>
  <c r="E2842" i="2"/>
  <c r="F2842" i="2" s="1"/>
  <c r="K2841" i="2"/>
  <c r="J2842" i="2" s="1"/>
  <c r="H2842" i="2"/>
  <c r="I2842" i="2" s="1"/>
  <c r="L2841" i="2" l="1"/>
  <c r="H2843" i="2"/>
  <c r="I2843" i="2" s="1"/>
  <c r="K2842" i="2"/>
  <c r="L2842" i="2" s="1"/>
  <c r="E2843" i="2"/>
  <c r="F2843" i="2" s="1"/>
  <c r="G2843" i="2"/>
  <c r="J2843" i="2" l="1"/>
  <c r="E2844" i="2"/>
  <c r="F2844" i="2" s="1"/>
  <c r="K2843" i="2"/>
  <c r="J2844" i="2" s="1"/>
  <c r="H2844" i="2"/>
  <c r="I2844" i="2" s="1"/>
  <c r="G2844" i="2"/>
  <c r="L2843" i="2" l="1"/>
  <c r="E2845" i="2"/>
  <c r="F2845" i="2" s="1"/>
  <c r="K2844" i="2"/>
  <c r="J2845" i="2" s="1"/>
  <c r="G2845" i="2"/>
  <c r="H2845" i="2"/>
  <c r="I2845" i="2" s="1"/>
  <c r="L2844" i="2" l="1"/>
  <c r="G2846" i="2"/>
  <c r="E2846" i="2"/>
  <c r="F2846" i="2" s="1"/>
  <c r="K2845" i="2"/>
  <c r="J2846" i="2" s="1"/>
  <c r="H2846" i="2"/>
  <c r="I2846" i="2" s="1"/>
  <c r="L2845" i="2" l="1"/>
  <c r="H2847" i="2"/>
  <c r="I2847" i="2" s="1"/>
  <c r="K2846" i="2"/>
  <c r="L2846" i="2" s="1"/>
  <c r="E2847" i="2"/>
  <c r="F2847" i="2" s="1"/>
  <c r="G2847" i="2"/>
  <c r="E2848" i="2" l="1"/>
  <c r="F2848" i="2" s="1"/>
  <c r="H2848" i="2"/>
  <c r="I2848" i="2" s="1"/>
  <c r="K2847" i="2"/>
  <c r="J2848" i="2" s="1"/>
  <c r="G2848" i="2"/>
  <c r="J2847" i="2"/>
  <c r="H2849" i="2" l="1"/>
  <c r="I2849" i="2" s="1"/>
  <c r="K2848" i="2"/>
  <c r="J2849" i="2" s="1"/>
  <c r="E2849" i="2"/>
  <c r="F2849" i="2" s="1"/>
  <c r="G2849" i="2"/>
  <c r="L2847" i="2"/>
  <c r="L2848" i="2" l="1"/>
  <c r="G2850" i="2"/>
  <c r="H2850" i="2"/>
  <c r="I2850" i="2" s="1"/>
  <c r="K2849" i="2"/>
  <c r="L2849" i="2" s="1"/>
  <c r="E2850" i="2"/>
  <c r="F2850" i="2" s="1"/>
  <c r="J2850" i="2" l="1"/>
  <c r="H2851" i="2"/>
  <c r="I2851" i="2" s="1"/>
  <c r="K2850" i="2"/>
  <c r="J2851" i="2" s="1"/>
  <c r="G2851" i="2"/>
  <c r="E2851" i="2"/>
  <c r="F2851" i="2" s="1"/>
  <c r="E2852" i="2" l="1"/>
  <c r="F2852" i="2" s="1"/>
  <c r="H2852" i="2"/>
  <c r="I2852" i="2" s="1"/>
  <c r="G2852" i="2"/>
  <c r="K2851" i="2"/>
  <c r="L2851" i="2" s="1"/>
  <c r="L2850" i="2"/>
  <c r="J2852" i="2" l="1"/>
  <c r="H2853" i="2"/>
  <c r="I2853" i="2" s="1"/>
  <c r="G2853" i="2"/>
  <c r="K2852" i="2"/>
  <c r="J2853" i="2" s="1"/>
  <c r="E2853" i="2"/>
  <c r="F2853" i="2" s="1"/>
  <c r="L2852" i="2" l="1"/>
  <c r="G2854" i="2"/>
  <c r="H2854" i="2"/>
  <c r="I2854" i="2" s="1"/>
  <c r="K2853" i="2"/>
  <c r="L2853" i="2" s="1"/>
  <c r="E2854" i="2"/>
  <c r="F2854" i="2" s="1"/>
  <c r="H2855" i="2" l="1"/>
  <c r="I2855" i="2" s="1"/>
  <c r="K2854" i="2"/>
  <c r="J2855" i="2" s="1"/>
  <c r="G2855" i="2"/>
  <c r="E2855" i="2"/>
  <c r="F2855" i="2" s="1"/>
  <c r="J2854" i="2"/>
  <c r="L2854" i="2" l="1"/>
  <c r="E2856" i="2"/>
  <c r="F2856" i="2" s="1"/>
  <c r="G2856" i="2"/>
  <c r="K2855" i="2"/>
  <c r="L2855" i="2" s="1"/>
  <c r="H2856" i="2"/>
  <c r="I2856" i="2" s="1"/>
  <c r="G2857" i="2" l="1"/>
  <c r="E2857" i="2"/>
  <c r="F2857" i="2" s="1"/>
  <c r="K2856" i="2"/>
  <c r="J2857" i="2" s="1"/>
  <c r="H2857" i="2"/>
  <c r="I2857" i="2" s="1"/>
  <c r="J2856" i="2"/>
  <c r="L2856" i="2" l="1"/>
  <c r="G2858" i="2"/>
  <c r="E2858" i="2"/>
  <c r="F2858" i="2" s="1"/>
  <c r="K2857" i="2"/>
  <c r="L2857" i="2" s="1"/>
  <c r="H2858" i="2"/>
  <c r="I2858" i="2" s="1"/>
  <c r="J2858" i="2" l="1"/>
  <c r="H2859" i="2"/>
  <c r="I2859" i="2" s="1"/>
  <c r="K2858" i="2"/>
  <c r="J2859" i="2" s="1"/>
  <c r="E2859" i="2"/>
  <c r="F2859" i="2" s="1"/>
  <c r="G2859" i="2"/>
  <c r="E2860" i="2" l="1"/>
  <c r="F2860" i="2" s="1"/>
  <c r="K2859" i="2"/>
  <c r="L2859" i="2" s="1"/>
  <c r="H2860" i="2"/>
  <c r="I2860" i="2" s="1"/>
  <c r="G2860" i="2"/>
  <c r="L2858" i="2"/>
  <c r="J2860" i="2" l="1"/>
  <c r="E2861" i="2"/>
  <c r="F2861" i="2" s="1"/>
  <c r="K2860" i="2"/>
  <c r="J2861" i="2" s="1"/>
  <c r="H2861" i="2"/>
  <c r="I2861" i="2" s="1"/>
  <c r="G2861" i="2"/>
  <c r="G2862" i="2" l="1"/>
  <c r="E2862" i="2"/>
  <c r="F2862" i="2" s="1"/>
  <c r="K2861" i="2"/>
  <c r="L2861" i="2" s="1"/>
  <c r="H2862" i="2"/>
  <c r="I2862" i="2" s="1"/>
  <c r="L2860" i="2"/>
  <c r="J2862" i="2" l="1"/>
  <c r="H2863" i="2"/>
  <c r="I2863" i="2" s="1"/>
  <c r="K2862" i="2"/>
  <c r="E2863" i="2"/>
  <c r="F2863" i="2" s="1"/>
  <c r="G2863" i="2"/>
  <c r="L2862" i="2" l="1"/>
  <c r="J2863" i="2"/>
  <c r="E2864" i="2"/>
  <c r="F2864" i="2" s="1"/>
  <c r="H2864" i="2"/>
  <c r="I2864" i="2" s="1"/>
  <c r="G2864" i="2"/>
  <c r="K2863" i="2"/>
  <c r="J2864" i="2" s="1"/>
  <c r="H2865" i="2" l="1"/>
  <c r="I2865" i="2" s="1"/>
  <c r="G2865" i="2"/>
  <c r="E2865" i="2"/>
  <c r="F2865" i="2" s="1"/>
  <c r="K2864" i="2"/>
  <c r="L2864" i="2" s="1"/>
  <c r="L2863" i="2"/>
  <c r="G2866" i="2" l="1"/>
  <c r="H2866" i="2"/>
  <c r="I2866" i="2" s="1"/>
  <c r="E2866" i="2"/>
  <c r="F2866" i="2" s="1"/>
  <c r="K2865" i="2"/>
  <c r="J2866" i="2" s="1"/>
  <c r="J2865" i="2"/>
  <c r="L2865" i="2" l="1"/>
  <c r="H2867" i="2"/>
  <c r="I2867" i="2" s="1"/>
  <c r="K2866" i="2"/>
  <c r="L2866" i="2" s="1"/>
  <c r="G2867" i="2"/>
  <c r="E2867" i="2"/>
  <c r="F2867" i="2" s="1"/>
  <c r="J2867" i="2" l="1"/>
  <c r="E2868" i="2"/>
  <c r="F2868" i="2" s="1"/>
  <c r="H2868" i="2"/>
  <c r="I2868" i="2" s="1"/>
  <c r="G2868" i="2"/>
  <c r="K2867" i="2"/>
  <c r="J2868" i="2" s="1"/>
  <c r="H2869" i="2" l="1"/>
  <c r="I2869" i="2" s="1"/>
  <c r="G2869" i="2"/>
  <c r="E2869" i="2"/>
  <c r="F2869" i="2" s="1"/>
  <c r="K2868" i="2"/>
  <c r="L2868" i="2" s="1"/>
  <c r="L2867" i="2"/>
  <c r="G2870" i="2" l="1"/>
  <c r="H2870" i="2"/>
  <c r="I2870" i="2" s="1"/>
  <c r="E2870" i="2"/>
  <c r="F2870" i="2" s="1"/>
  <c r="K2869" i="2"/>
  <c r="J2870" i="2" s="1"/>
  <c r="J2869" i="2"/>
  <c r="H2871" i="2" l="1"/>
  <c r="I2871" i="2" s="1"/>
  <c r="K2870" i="2"/>
  <c r="L2870" i="2" s="1"/>
  <c r="G2871" i="2"/>
  <c r="E2871" i="2"/>
  <c r="F2871" i="2" s="1"/>
  <c r="L2869" i="2"/>
  <c r="J2871" i="2" l="1"/>
  <c r="E2872" i="2"/>
  <c r="F2872" i="2" s="1"/>
  <c r="G2872" i="2"/>
  <c r="K2871" i="2"/>
  <c r="J2872" i="2" s="1"/>
  <c r="H2872" i="2"/>
  <c r="I2872" i="2" s="1"/>
  <c r="G2873" i="2" l="1"/>
  <c r="E2873" i="2"/>
  <c r="F2873" i="2" s="1"/>
  <c r="K2872" i="2"/>
  <c r="L2872" i="2" s="1"/>
  <c r="H2873" i="2"/>
  <c r="I2873" i="2" s="1"/>
  <c r="L2871" i="2"/>
  <c r="J2873" i="2" l="1"/>
  <c r="G2874" i="2"/>
  <c r="E2874" i="2"/>
  <c r="F2874" i="2" s="1"/>
  <c r="K2873" i="2"/>
  <c r="H2874" i="2"/>
  <c r="I2874" i="2" s="1"/>
  <c r="L2873" i="2" l="1"/>
  <c r="J2874" i="2"/>
  <c r="H2875" i="2"/>
  <c r="I2875" i="2" s="1"/>
  <c r="K2874" i="2"/>
  <c r="E2875" i="2"/>
  <c r="F2875" i="2" s="1"/>
  <c r="G2875" i="2"/>
  <c r="L2874" i="2" l="1"/>
  <c r="J2875" i="2"/>
  <c r="E2876" i="2"/>
  <c r="F2876" i="2" s="1"/>
  <c r="K2875" i="2"/>
  <c r="G2876" i="2"/>
  <c r="H2876" i="2"/>
  <c r="I2876" i="2" s="1"/>
  <c r="L2875" i="2" l="1"/>
  <c r="J2876" i="2"/>
  <c r="E2877" i="2"/>
  <c r="F2877" i="2" s="1"/>
  <c r="K2876" i="2"/>
  <c r="H2877" i="2"/>
  <c r="I2877" i="2" s="1"/>
  <c r="G2877" i="2"/>
  <c r="L2876" i="2" l="1"/>
  <c r="J2877" i="2"/>
  <c r="G2878" i="2"/>
  <c r="E2878" i="2"/>
  <c r="F2878" i="2" s="1"/>
  <c r="K2877" i="2"/>
  <c r="H2878" i="2"/>
  <c r="I2878" i="2" s="1"/>
  <c r="L2877" i="2" l="1"/>
  <c r="J2878" i="2"/>
  <c r="H2879" i="2"/>
  <c r="I2879" i="2" s="1"/>
  <c r="K2878" i="2"/>
  <c r="L2878" i="2" s="1"/>
  <c r="E2879" i="2"/>
  <c r="F2879" i="2" s="1"/>
  <c r="G2879" i="2"/>
  <c r="J2879" i="2" l="1"/>
  <c r="E2880" i="2"/>
  <c r="F2880" i="2" s="1"/>
  <c r="H2880" i="2"/>
  <c r="I2880" i="2" s="1"/>
  <c r="K2879" i="2"/>
  <c r="J2880" i="2" s="1"/>
  <c r="G2880" i="2"/>
  <c r="H2881" i="2" l="1"/>
  <c r="I2881" i="2" s="1"/>
  <c r="K2880" i="2"/>
  <c r="J2881" i="2" s="1"/>
  <c r="G2881" i="2"/>
  <c r="E2881" i="2"/>
  <c r="F2881" i="2" s="1"/>
  <c r="L2879" i="2"/>
  <c r="L2880" i="2" l="1"/>
  <c r="G2882" i="2"/>
  <c r="H2882" i="2"/>
  <c r="I2882" i="2" s="1"/>
  <c r="K2881" i="2"/>
  <c r="L2881" i="2" s="1"/>
  <c r="E2882" i="2"/>
  <c r="F2882" i="2" s="1"/>
  <c r="J2882" i="2" l="1"/>
  <c r="H2883" i="2"/>
  <c r="I2883" i="2" s="1"/>
  <c r="K2882" i="2"/>
  <c r="G2883" i="2"/>
  <c r="E2883" i="2"/>
  <c r="F2883" i="2" s="1"/>
  <c r="L2882" i="2" l="1"/>
  <c r="J2883" i="2"/>
  <c r="E2884" i="2"/>
  <c r="F2884" i="2" s="1"/>
  <c r="H2884" i="2"/>
  <c r="I2884" i="2" s="1"/>
  <c r="G2884" i="2"/>
  <c r="K2883" i="2"/>
  <c r="L2883" i="2" l="1"/>
  <c r="J2884" i="2"/>
  <c r="H2885" i="2"/>
  <c r="I2885" i="2" s="1"/>
  <c r="G2885" i="2"/>
  <c r="K2884" i="2"/>
  <c r="J2885" i="2" s="1"/>
  <c r="E2885" i="2"/>
  <c r="F2885" i="2" s="1"/>
  <c r="L2884" i="2" l="1"/>
  <c r="G2886" i="2"/>
  <c r="H2886" i="2"/>
  <c r="I2886" i="2" s="1"/>
  <c r="K2885" i="2"/>
  <c r="L2885" i="2" s="1"/>
  <c r="E2886" i="2"/>
  <c r="F2886" i="2" s="1"/>
  <c r="H2887" i="2" l="1"/>
  <c r="I2887" i="2" s="1"/>
  <c r="K2886" i="2"/>
  <c r="J2887" i="2" s="1"/>
  <c r="G2887" i="2"/>
  <c r="E2887" i="2"/>
  <c r="F2887" i="2" s="1"/>
  <c r="J2886" i="2"/>
  <c r="L2886" i="2" l="1"/>
  <c r="E2888" i="2"/>
  <c r="F2888" i="2" s="1"/>
  <c r="G2888" i="2"/>
  <c r="K2887" i="2"/>
  <c r="L2887" i="2" s="1"/>
  <c r="H2888" i="2"/>
  <c r="I2888" i="2" s="1"/>
  <c r="G2889" i="2" l="1"/>
  <c r="E2889" i="2"/>
  <c r="F2889" i="2" s="1"/>
  <c r="K2888" i="2"/>
  <c r="J2889" i="2" s="1"/>
  <c r="H2889" i="2"/>
  <c r="I2889" i="2" s="1"/>
  <c r="J2888" i="2"/>
  <c r="L2888" i="2" l="1"/>
  <c r="G2890" i="2"/>
  <c r="E2890" i="2"/>
  <c r="F2890" i="2" s="1"/>
  <c r="K2889" i="2"/>
  <c r="L2889" i="2" s="1"/>
  <c r="H2890" i="2"/>
  <c r="I2890" i="2" s="1"/>
  <c r="J2890" i="2" l="1"/>
  <c r="H2891" i="2"/>
  <c r="I2891" i="2" s="1"/>
  <c r="K2890" i="2"/>
  <c r="E2891" i="2"/>
  <c r="F2891" i="2" s="1"/>
  <c r="G2891" i="2"/>
  <c r="L2890" i="2" l="1"/>
  <c r="J2891" i="2"/>
  <c r="E2892" i="2"/>
  <c r="F2892" i="2" s="1"/>
  <c r="K2891" i="2"/>
  <c r="L2891" i="2" s="1"/>
  <c r="H2892" i="2"/>
  <c r="I2892" i="2" s="1"/>
  <c r="G2892" i="2"/>
  <c r="J2892" i="2" l="1"/>
  <c r="E2893" i="2"/>
  <c r="F2893" i="2" s="1"/>
  <c r="K2892" i="2"/>
  <c r="J2893" i="2" s="1"/>
  <c r="H2893" i="2"/>
  <c r="I2893" i="2" s="1"/>
  <c r="G2893" i="2"/>
  <c r="G2894" i="2" l="1"/>
  <c r="E2894" i="2"/>
  <c r="F2894" i="2" s="1"/>
  <c r="K2893" i="2"/>
  <c r="L2893" i="2" s="1"/>
  <c r="H2894" i="2"/>
  <c r="I2894" i="2" s="1"/>
  <c r="L2892" i="2"/>
  <c r="J2894" i="2" l="1"/>
  <c r="H2895" i="2"/>
  <c r="I2895" i="2" s="1"/>
  <c r="K2894" i="2"/>
  <c r="E2895" i="2"/>
  <c r="F2895" i="2" s="1"/>
  <c r="G2895" i="2"/>
  <c r="L2894" i="2" l="1"/>
  <c r="J2895" i="2"/>
  <c r="E2896" i="2"/>
  <c r="F2896" i="2" s="1"/>
  <c r="H2896" i="2"/>
  <c r="I2896" i="2" s="1"/>
  <c r="G2896" i="2"/>
  <c r="K2895" i="2"/>
  <c r="L2895" i="2" l="1"/>
  <c r="J2896" i="2"/>
  <c r="H2897" i="2"/>
  <c r="I2897" i="2" s="1"/>
  <c r="G2897" i="2"/>
  <c r="E2897" i="2"/>
  <c r="F2897" i="2" s="1"/>
  <c r="K2896" i="2"/>
  <c r="J2897" i="2" s="1"/>
  <c r="L2896" i="2" l="1"/>
  <c r="G2898" i="2"/>
  <c r="H2898" i="2"/>
  <c r="I2898" i="2" s="1"/>
  <c r="E2898" i="2"/>
  <c r="F2898" i="2" s="1"/>
  <c r="K2897" i="2"/>
  <c r="J2898" i="2" s="1"/>
  <c r="H2899" i="2" l="1"/>
  <c r="I2899" i="2" s="1"/>
  <c r="K2898" i="2"/>
  <c r="L2898" i="2" s="1"/>
  <c r="G2899" i="2"/>
  <c r="E2899" i="2"/>
  <c r="F2899" i="2" s="1"/>
  <c r="L2897" i="2"/>
  <c r="J2899" i="2" l="1"/>
  <c r="E2900" i="2"/>
  <c r="F2900" i="2" s="1"/>
  <c r="H2900" i="2"/>
  <c r="I2900" i="2" s="1"/>
  <c r="G2900" i="2"/>
  <c r="K2899" i="2"/>
  <c r="J2900" i="2" s="1"/>
  <c r="H2901" i="2" l="1"/>
  <c r="I2901" i="2" s="1"/>
  <c r="G2901" i="2"/>
  <c r="E2901" i="2"/>
  <c r="F2901" i="2" s="1"/>
  <c r="K2900" i="2"/>
  <c r="L2900" i="2" s="1"/>
  <c r="L2899" i="2"/>
  <c r="G2902" i="2" l="1"/>
  <c r="H2902" i="2"/>
  <c r="I2902" i="2" s="1"/>
  <c r="E2902" i="2"/>
  <c r="F2902" i="2" s="1"/>
  <c r="K2901" i="2"/>
  <c r="J2902" i="2" s="1"/>
  <c r="J2901" i="2"/>
  <c r="L2901" i="2" l="1"/>
  <c r="H2903" i="2"/>
  <c r="I2903" i="2" s="1"/>
  <c r="K2902" i="2"/>
  <c r="L2902" i="2" s="1"/>
  <c r="G2903" i="2"/>
  <c r="E2903" i="2"/>
  <c r="F2903" i="2" s="1"/>
  <c r="J2903" i="2" l="1"/>
  <c r="E2904" i="2"/>
  <c r="F2904" i="2" s="1"/>
  <c r="G2904" i="2"/>
  <c r="K2903" i="2"/>
  <c r="J2904" i="2" s="1"/>
  <c r="H2904" i="2"/>
  <c r="I2904" i="2" s="1"/>
  <c r="G2905" i="2" l="1"/>
  <c r="E2905" i="2"/>
  <c r="F2905" i="2" s="1"/>
  <c r="K2904" i="2"/>
  <c r="L2904" i="2" s="1"/>
  <c r="H2905" i="2"/>
  <c r="I2905" i="2" s="1"/>
  <c r="L2903" i="2"/>
  <c r="J2905" i="2" l="1"/>
  <c r="G2906" i="2"/>
  <c r="E2906" i="2"/>
  <c r="F2906" i="2" s="1"/>
  <c r="K2905" i="2"/>
  <c r="J2906" i="2" s="1"/>
  <c r="H2906" i="2"/>
  <c r="I2906" i="2" s="1"/>
  <c r="L2905" i="2" l="1"/>
  <c r="H2907" i="2"/>
  <c r="I2907" i="2" s="1"/>
  <c r="K2906" i="2"/>
  <c r="L2906" i="2" s="1"/>
  <c r="E2907" i="2"/>
  <c r="F2907" i="2" s="1"/>
  <c r="G2907" i="2"/>
  <c r="E2908" i="2" l="1"/>
  <c r="F2908" i="2" s="1"/>
  <c r="K2907" i="2"/>
  <c r="J2908" i="2" s="1"/>
  <c r="H2908" i="2"/>
  <c r="I2908" i="2" s="1"/>
  <c r="G2908" i="2"/>
  <c r="J2907" i="2"/>
  <c r="L2907" i="2" l="1"/>
  <c r="E2909" i="2"/>
  <c r="F2909" i="2" s="1"/>
  <c r="K2908" i="2"/>
  <c r="L2908" i="2" s="1"/>
  <c r="G2909" i="2"/>
  <c r="H2909" i="2"/>
  <c r="I2909" i="2" s="1"/>
  <c r="G2910" i="2" l="1"/>
  <c r="E2910" i="2"/>
  <c r="F2910" i="2" s="1"/>
  <c r="K2909" i="2"/>
  <c r="J2910" i="2" s="1"/>
  <c r="H2910" i="2"/>
  <c r="I2910" i="2" s="1"/>
  <c r="J2909" i="2"/>
  <c r="L2909" i="2" l="1"/>
  <c r="H2911" i="2"/>
  <c r="I2911" i="2" s="1"/>
  <c r="K2910" i="2"/>
  <c r="L2910" i="2" s="1"/>
  <c r="E2911" i="2"/>
  <c r="F2911" i="2" s="1"/>
  <c r="G2911" i="2"/>
  <c r="E2912" i="2" l="1"/>
  <c r="F2912" i="2" s="1"/>
  <c r="H2912" i="2"/>
  <c r="I2912" i="2" s="1"/>
  <c r="K2911" i="2"/>
  <c r="J2912" i="2" s="1"/>
  <c r="G2912" i="2"/>
  <c r="J2911" i="2"/>
  <c r="H2913" i="2" l="1"/>
  <c r="I2913" i="2" s="1"/>
  <c r="K2912" i="2"/>
  <c r="L2912" i="2" s="1"/>
  <c r="E2913" i="2"/>
  <c r="F2913" i="2" s="1"/>
  <c r="G2913" i="2"/>
  <c r="L2911" i="2"/>
  <c r="G2914" i="2" l="1"/>
  <c r="H2914" i="2"/>
  <c r="I2914" i="2" s="1"/>
  <c r="K2913" i="2"/>
  <c r="J2914" i="2" s="1"/>
  <c r="E2914" i="2"/>
  <c r="F2914" i="2" s="1"/>
  <c r="J2913" i="2"/>
  <c r="H2915" i="2" l="1"/>
  <c r="I2915" i="2" s="1"/>
  <c r="K2914" i="2"/>
  <c r="L2914" i="2" s="1"/>
  <c r="G2915" i="2"/>
  <c r="E2915" i="2"/>
  <c r="F2915" i="2" s="1"/>
  <c r="L2913" i="2"/>
  <c r="E2916" i="2" l="1"/>
  <c r="F2916" i="2" s="1"/>
  <c r="H2916" i="2"/>
  <c r="I2916" i="2" s="1"/>
  <c r="G2916" i="2"/>
  <c r="K2915" i="2"/>
  <c r="J2916" i="2" s="1"/>
  <c r="J2915" i="2"/>
  <c r="H2917" i="2" l="1"/>
  <c r="I2917" i="2" s="1"/>
  <c r="G2917" i="2"/>
  <c r="K2916" i="2"/>
  <c r="L2916" i="2" s="1"/>
  <c r="E2917" i="2"/>
  <c r="F2917" i="2" s="1"/>
  <c r="L2915" i="2"/>
  <c r="J2917" i="2" l="1"/>
  <c r="G2918" i="2"/>
  <c r="H2918" i="2"/>
  <c r="I2918" i="2" s="1"/>
  <c r="K2917" i="2"/>
  <c r="E2918" i="2"/>
  <c r="F2918" i="2" s="1"/>
  <c r="L2917" i="2" l="1"/>
  <c r="J2918" i="2"/>
  <c r="H2919" i="2"/>
  <c r="I2919" i="2" s="1"/>
  <c r="K2918" i="2"/>
  <c r="G2919" i="2"/>
  <c r="E2919" i="2"/>
  <c r="F2919" i="2" s="1"/>
  <c r="L2918" i="2" l="1"/>
  <c r="E2920" i="2"/>
  <c r="F2920" i="2" s="1"/>
  <c r="G2920" i="2"/>
  <c r="K2919" i="2"/>
  <c r="J2920" i="2" s="1"/>
  <c r="H2920" i="2"/>
  <c r="I2920" i="2" s="1"/>
  <c r="J2919" i="2"/>
  <c r="L2919" i="2" l="1"/>
  <c r="G2921" i="2"/>
  <c r="E2921" i="2"/>
  <c r="F2921" i="2" s="1"/>
  <c r="K2920" i="2"/>
  <c r="L2920" i="2" s="1"/>
  <c r="H2921" i="2"/>
  <c r="I2921" i="2" s="1"/>
  <c r="J2921" i="2" l="1"/>
  <c r="G2922" i="2"/>
  <c r="E2922" i="2"/>
  <c r="F2922" i="2" s="1"/>
  <c r="K2921" i="2"/>
  <c r="H2922" i="2"/>
  <c r="I2922" i="2" s="1"/>
  <c r="L2921" i="2" l="1"/>
  <c r="J2922" i="2"/>
  <c r="H2923" i="2"/>
  <c r="I2923" i="2" s="1"/>
  <c r="K2922" i="2"/>
  <c r="L2922" i="2" s="1"/>
  <c r="E2923" i="2"/>
  <c r="F2923" i="2" s="1"/>
  <c r="G2923" i="2"/>
  <c r="J2923" i="2" l="1"/>
  <c r="E2924" i="2"/>
  <c r="F2924" i="2" s="1"/>
  <c r="K2923" i="2"/>
  <c r="H2924" i="2"/>
  <c r="I2924" i="2" s="1"/>
  <c r="G2924" i="2"/>
  <c r="L2923" i="2" l="1"/>
  <c r="J2924" i="2"/>
  <c r="E2925" i="2"/>
  <c r="F2925" i="2" s="1"/>
  <c r="K2924" i="2"/>
  <c r="H2925" i="2"/>
  <c r="I2925" i="2" s="1"/>
  <c r="G2925" i="2"/>
  <c r="L2924" i="2" l="1"/>
  <c r="J2925" i="2"/>
  <c r="G2926" i="2"/>
  <c r="E2926" i="2"/>
  <c r="F2926" i="2" s="1"/>
  <c r="K2925" i="2"/>
  <c r="J2926" i="2" s="1"/>
  <c r="H2926" i="2"/>
  <c r="I2926" i="2" s="1"/>
  <c r="H2927" i="2" l="1"/>
  <c r="I2927" i="2" s="1"/>
  <c r="K2926" i="2"/>
  <c r="L2926" i="2" s="1"/>
  <c r="E2927" i="2"/>
  <c r="F2927" i="2" s="1"/>
  <c r="G2927" i="2"/>
  <c r="L2925" i="2"/>
  <c r="J2927" i="2" l="1"/>
  <c r="E2928" i="2"/>
  <c r="F2928" i="2" s="1"/>
  <c r="H2928" i="2"/>
  <c r="I2928" i="2" s="1"/>
  <c r="G2928" i="2"/>
  <c r="K2927" i="2"/>
  <c r="L2927" i="2" l="1"/>
  <c r="J2928" i="2"/>
  <c r="H2929" i="2"/>
  <c r="I2929" i="2" s="1"/>
  <c r="G2929" i="2"/>
  <c r="E2929" i="2"/>
  <c r="F2929" i="2" s="1"/>
  <c r="K2928" i="2"/>
  <c r="J2929" i="2" s="1"/>
  <c r="L2928" i="2" l="1"/>
  <c r="G2930" i="2"/>
  <c r="H2930" i="2"/>
  <c r="I2930" i="2" s="1"/>
  <c r="E2930" i="2"/>
  <c r="F2930" i="2" s="1"/>
  <c r="K2929" i="2"/>
  <c r="J2930" i="2" s="1"/>
  <c r="L2929" i="2" l="1"/>
  <c r="H2931" i="2"/>
  <c r="I2931" i="2" s="1"/>
  <c r="K2930" i="2"/>
  <c r="L2930" i="2" s="1"/>
  <c r="G2931" i="2"/>
  <c r="E2931" i="2"/>
  <c r="F2931" i="2" s="1"/>
  <c r="J2931" i="2" l="1"/>
  <c r="E2932" i="2"/>
  <c r="F2932" i="2" s="1"/>
  <c r="H2932" i="2"/>
  <c r="I2932" i="2" s="1"/>
  <c r="G2932" i="2"/>
  <c r="K2931" i="2"/>
  <c r="J2932" i="2" s="1"/>
  <c r="H2933" i="2" l="1"/>
  <c r="I2933" i="2" s="1"/>
  <c r="G2933" i="2"/>
  <c r="E2933" i="2"/>
  <c r="F2933" i="2" s="1"/>
  <c r="K2932" i="2"/>
  <c r="L2932" i="2" s="1"/>
  <c r="L2931" i="2"/>
  <c r="J2933" i="2" l="1"/>
  <c r="G2934" i="2"/>
  <c r="H2934" i="2"/>
  <c r="I2934" i="2" s="1"/>
  <c r="E2934" i="2"/>
  <c r="F2934" i="2" s="1"/>
  <c r="K2933" i="2"/>
  <c r="J2934" i="2" s="1"/>
  <c r="H2935" i="2" l="1"/>
  <c r="I2935" i="2" s="1"/>
  <c r="K2934" i="2"/>
  <c r="L2934" i="2" s="1"/>
  <c r="G2935" i="2"/>
  <c r="E2935" i="2"/>
  <c r="F2935" i="2" s="1"/>
  <c r="L2933" i="2"/>
  <c r="J2935" i="2" l="1"/>
  <c r="E2936" i="2"/>
  <c r="F2936" i="2" s="1"/>
  <c r="G2936" i="2"/>
  <c r="K2935" i="2"/>
  <c r="L2935" i="2" s="1"/>
  <c r="H2936" i="2"/>
  <c r="I2936" i="2" s="1"/>
  <c r="J2936" i="2" l="1"/>
  <c r="G2937" i="2"/>
  <c r="E2937" i="2"/>
  <c r="F2937" i="2" s="1"/>
  <c r="K2936" i="2"/>
  <c r="H2937" i="2"/>
  <c r="I2937" i="2" s="1"/>
  <c r="L2936" i="2" l="1"/>
  <c r="J2937" i="2"/>
  <c r="G2938" i="2"/>
  <c r="E2938" i="2"/>
  <c r="F2938" i="2" s="1"/>
  <c r="K2937" i="2"/>
  <c r="J2938" i="2" s="1"/>
  <c r="H2938" i="2"/>
  <c r="I2938" i="2" s="1"/>
  <c r="L2937" i="2" l="1"/>
  <c r="H2939" i="2"/>
  <c r="I2939" i="2" s="1"/>
  <c r="K2938" i="2"/>
  <c r="L2938" i="2" s="1"/>
  <c r="E2939" i="2"/>
  <c r="F2939" i="2" s="1"/>
  <c r="G2939" i="2"/>
  <c r="E2940" i="2" l="1"/>
  <c r="F2940" i="2" s="1"/>
  <c r="K2939" i="2"/>
  <c r="J2940" i="2" s="1"/>
  <c r="G2940" i="2"/>
  <c r="H2940" i="2"/>
  <c r="I2940" i="2" s="1"/>
  <c r="J2939" i="2"/>
  <c r="L2939" i="2" l="1"/>
  <c r="E2941" i="2"/>
  <c r="F2941" i="2" s="1"/>
  <c r="K2940" i="2"/>
  <c r="L2940" i="2" s="1"/>
  <c r="H2941" i="2"/>
  <c r="I2941" i="2" s="1"/>
  <c r="G2941" i="2"/>
  <c r="J2941" i="2" l="1"/>
  <c r="G2942" i="2"/>
  <c r="E2942" i="2"/>
  <c r="F2942" i="2" s="1"/>
  <c r="K2941" i="2"/>
  <c r="H2942" i="2"/>
  <c r="I2942" i="2" s="1"/>
  <c r="L2941" i="2" l="1"/>
  <c r="J2942" i="2"/>
  <c r="H2943" i="2"/>
  <c r="I2943" i="2" s="1"/>
  <c r="K2942" i="2"/>
  <c r="E2943" i="2"/>
  <c r="F2943" i="2" s="1"/>
  <c r="G2943" i="2"/>
  <c r="L2942" i="2" l="1"/>
  <c r="J2943" i="2"/>
  <c r="E2944" i="2"/>
  <c r="F2944" i="2" s="1"/>
  <c r="H2944" i="2"/>
  <c r="I2944" i="2" s="1"/>
  <c r="K2943" i="2"/>
  <c r="J2944" i="2" s="1"/>
  <c r="G2944" i="2"/>
  <c r="H2945" i="2" l="1"/>
  <c r="I2945" i="2" s="1"/>
  <c r="K2944" i="2"/>
  <c r="L2944" i="2" s="1"/>
  <c r="G2945" i="2"/>
  <c r="E2945" i="2"/>
  <c r="F2945" i="2" s="1"/>
  <c r="L2943" i="2"/>
  <c r="J2945" i="2" l="1"/>
  <c r="G2946" i="2"/>
  <c r="H2946" i="2"/>
  <c r="I2946" i="2" s="1"/>
  <c r="K2945" i="2"/>
  <c r="E2946" i="2"/>
  <c r="F2946" i="2" s="1"/>
  <c r="L2945" i="2" l="1"/>
  <c r="J2946" i="2"/>
  <c r="H2947" i="2"/>
  <c r="I2947" i="2" s="1"/>
  <c r="K2946" i="2"/>
  <c r="J2947" i="2" s="1"/>
  <c r="G2947" i="2"/>
  <c r="E2947" i="2"/>
  <c r="F2947" i="2" s="1"/>
  <c r="L2946" i="2" l="1"/>
  <c r="E2948" i="2"/>
  <c r="F2948" i="2" s="1"/>
  <c r="H2948" i="2"/>
  <c r="I2948" i="2" s="1"/>
  <c r="G2948" i="2"/>
  <c r="K2947" i="2"/>
  <c r="J2948" i="2" s="1"/>
  <c r="L2947" i="2" l="1"/>
  <c r="H2949" i="2"/>
  <c r="I2949" i="2" s="1"/>
  <c r="G2949" i="2"/>
  <c r="K2948" i="2"/>
  <c r="L2948" i="2" s="1"/>
  <c r="E2949" i="2"/>
  <c r="F2949" i="2" s="1"/>
  <c r="J2949" i="2" l="1"/>
  <c r="G2950" i="2"/>
  <c r="H2950" i="2"/>
  <c r="I2950" i="2" s="1"/>
  <c r="K2949" i="2"/>
  <c r="E2950" i="2"/>
  <c r="F2950" i="2" s="1"/>
  <c r="L2949" i="2" l="1"/>
  <c r="J2950" i="2"/>
  <c r="H2951" i="2"/>
  <c r="I2951" i="2" s="1"/>
  <c r="K2950" i="2"/>
  <c r="J2951" i="2" s="1"/>
  <c r="G2951" i="2"/>
  <c r="E2951" i="2"/>
  <c r="F2951" i="2" s="1"/>
  <c r="E2952" i="2" l="1"/>
  <c r="F2952" i="2" s="1"/>
  <c r="G2952" i="2"/>
  <c r="K2951" i="2"/>
  <c r="L2951" i="2" s="1"/>
  <c r="H2952" i="2"/>
  <c r="I2952" i="2" s="1"/>
  <c r="L2950" i="2"/>
  <c r="J2952" i="2" l="1"/>
  <c r="G2953" i="2"/>
  <c r="E2953" i="2"/>
  <c r="F2953" i="2" s="1"/>
  <c r="K2952" i="2"/>
  <c r="J2953" i="2" s="1"/>
  <c r="H2953" i="2"/>
  <c r="I2953" i="2" s="1"/>
  <c r="L2952" i="2" l="1"/>
  <c r="G2954" i="2"/>
  <c r="E2954" i="2"/>
  <c r="F2954" i="2" s="1"/>
  <c r="K2953" i="2"/>
  <c r="L2953" i="2" s="1"/>
  <c r="H2954" i="2"/>
  <c r="I2954" i="2" s="1"/>
  <c r="J2954" i="2" l="1"/>
  <c r="H2955" i="2"/>
  <c r="I2955" i="2" s="1"/>
  <c r="K2954" i="2"/>
  <c r="L2954" i="2" s="1"/>
  <c r="E2955" i="2"/>
  <c r="F2955" i="2" s="1"/>
  <c r="G2955" i="2"/>
  <c r="J2955" i="2" l="1"/>
  <c r="E2956" i="2"/>
  <c r="F2956" i="2" s="1"/>
  <c r="K2955" i="2"/>
  <c r="J2956" i="2" s="1"/>
  <c r="H2956" i="2"/>
  <c r="I2956" i="2" s="1"/>
  <c r="G2956" i="2"/>
  <c r="E2957" i="2" l="1"/>
  <c r="F2957" i="2" s="1"/>
  <c r="K2956" i="2"/>
  <c r="L2956" i="2" s="1"/>
  <c r="H2957" i="2"/>
  <c r="I2957" i="2" s="1"/>
  <c r="G2957" i="2"/>
  <c r="L2955" i="2"/>
  <c r="J2957" i="2" l="1"/>
  <c r="G2958" i="2"/>
  <c r="E2958" i="2"/>
  <c r="F2958" i="2" s="1"/>
  <c r="K2957" i="2"/>
  <c r="J2958" i="2" s="1"/>
  <c r="H2958" i="2"/>
  <c r="I2958" i="2" s="1"/>
  <c r="H2959" i="2" l="1"/>
  <c r="I2959" i="2" s="1"/>
  <c r="K2958" i="2"/>
  <c r="L2958" i="2" s="1"/>
  <c r="E2959" i="2"/>
  <c r="F2959" i="2" s="1"/>
  <c r="G2959" i="2"/>
  <c r="L2957" i="2"/>
  <c r="J2959" i="2" l="1"/>
  <c r="E2960" i="2"/>
  <c r="F2960" i="2" s="1"/>
  <c r="H2960" i="2"/>
  <c r="I2960" i="2" s="1"/>
  <c r="G2960" i="2"/>
  <c r="K2959" i="2"/>
  <c r="L2959" i="2" s="1"/>
  <c r="J2960" i="2" l="1"/>
  <c r="H2961" i="2"/>
  <c r="I2961" i="2" s="1"/>
  <c r="G2961" i="2"/>
  <c r="E2961" i="2"/>
  <c r="F2961" i="2" s="1"/>
  <c r="K2960" i="2"/>
  <c r="J2961" i="2" s="1"/>
  <c r="L2960" i="2" l="1"/>
  <c r="G2962" i="2"/>
  <c r="H2962" i="2"/>
  <c r="I2962" i="2" s="1"/>
  <c r="E2962" i="2"/>
  <c r="F2962" i="2" s="1"/>
  <c r="K2961" i="2"/>
  <c r="L2961" i="2" s="1"/>
  <c r="J2962" i="2" l="1"/>
  <c r="H2963" i="2"/>
  <c r="I2963" i="2" s="1"/>
  <c r="K2962" i="2"/>
  <c r="J2963" i="2" s="1"/>
  <c r="G2963" i="2"/>
  <c r="E2963" i="2"/>
  <c r="F2963" i="2" s="1"/>
  <c r="L2962" i="2" l="1"/>
  <c r="E2964" i="2"/>
  <c r="F2964" i="2" s="1"/>
  <c r="H2964" i="2"/>
  <c r="I2964" i="2" s="1"/>
  <c r="G2964" i="2"/>
  <c r="K2963" i="2"/>
  <c r="L2963" i="2" s="1"/>
  <c r="J2964" i="2" l="1"/>
  <c r="H2965" i="2"/>
  <c r="I2965" i="2" s="1"/>
  <c r="G2965" i="2"/>
  <c r="E2965" i="2"/>
  <c r="F2965" i="2" s="1"/>
  <c r="K2964" i="2"/>
  <c r="J2965" i="2" s="1"/>
  <c r="L2964" i="2" l="1"/>
  <c r="G2966" i="2"/>
  <c r="H2966" i="2"/>
  <c r="I2966" i="2" s="1"/>
  <c r="E2966" i="2"/>
  <c r="F2966" i="2" s="1"/>
  <c r="K2965" i="2"/>
  <c r="L2965" i="2" s="1"/>
  <c r="H2967" i="2" l="1"/>
  <c r="I2967" i="2" s="1"/>
  <c r="K2966" i="2"/>
  <c r="J2967" i="2" s="1"/>
  <c r="G2967" i="2"/>
  <c r="E2967" i="2"/>
  <c r="F2967" i="2" s="1"/>
  <c r="J2966" i="2"/>
  <c r="L2966" i="2" l="1"/>
  <c r="E2968" i="2"/>
  <c r="F2968" i="2" s="1"/>
  <c r="G2968" i="2"/>
  <c r="K2967" i="2"/>
  <c r="L2967" i="2" s="1"/>
  <c r="H2968" i="2"/>
  <c r="I2968" i="2" s="1"/>
  <c r="G2969" i="2" l="1"/>
  <c r="E2969" i="2"/>
  <c r="F2969" i="2" s="1"/>
  <c r="K2968" i="2"/>
  <c r="J2969" i="2" s="1"/>
  <c r="H2969" i="2"/>
  <c r="I2969" i="2" s="1"/>
  <c r="J2968" i="2"/>
  <c r="L2968" i="2" l="1"/>
  <c r="G2970" i="2"/>
  <c r="E2970" i="2"/>
  <c r="F2970" i="2" s="1"/>
  <c r="K2969" i="2"/>
  <c r="L2969" i="2" s="1"/>
  <c r="H2970" i="2"/>
  <c r="I2970" i="2" s="1"/>
  <c r="J2970" i="2" l="1"/>
  <c r="H2971" i="2"/>
  <c r="I2971" i="2" s="1"/>
  <c r="K2970" i="2"/>
  <c r="J2971" i="2" s="1"/>
  <c r="E2971" i="2"/>
  <c r="F2971" i="2" s="1"/>
  <c r="G2971" i="2"/>
  <c r="E2972" i="2" l="1"/>
  <c r="F2972" i="2" s="1"/>
  <c r="K2971" i="2"/>
  <c r="L2971" i="2" s="1"/>
  <c r="H2972" i="2"/>
  <c r="I2972" i="2" s="1"/>
  <c r="G2972" i="2"/>
  <c r="L2970" i="2"/>
  <c r="J2972" i="2" l="1"/>
  <c r="E2973" i="2"/>
  <c r="F2973" i="2" s="1"/>
  <c r="K2972" i="2"/>
  <c r="J2973" i="2" s="1"/>
  <c r="H2973" i="2"/>
  <c r="I2973" i="2" s="1"/>
  <c r="G2973" i="2"/>
  <c r="G2974" i="2" l="1"/>
  <c r="E2974" i="2"/>
  <c r="F2974" i="2" s="1"/>
  <c r="K2973" i="2"/>
  <c r="L2973" i="2" s="1"/>
  <c r="H2974" i="2"/>
  <c r="I2974" i="2" s="1"/>
  <c r="L2972" i="2"/>
  <c r="J2974" i="2" l="1"/>
  <c r="H2975" i="2"/>
  <c r="I2975" i="2" s="1"/>
  <c r="K2974" i="2"/>
  <c r="E2975" i="2"/>
  <c r="F2975" i="2" s="1"/>
  <c r="G2975" i="2"/>
  <c r="L2974" i="2" l="1"/>
  <c r="J2975" i="2"/>
  <c r="E2976" i="2"/>
  <c r="F2976" i="2" s="1"/>
  <c r="H2976" i="2"/>
  <c r="I2976" i="2" s="1"/>
  <c r="K2975" i="2"/>
  <c r="J2976" i="2" s="1"/>
  <c r="G2976" i="2"/>
  <c r="H2977" i="2" l="1"/>
  <c r="I2977" i="2" s="1"/>
  <c r="K2976" i="2"/>
  <c r="J2977" i="2" s="1"/>
  <c r="G2977" i="2"/>
  <c r="E2977" i="2"/>
  <c r="F2977" i="2" s="1"/>
  <c r="L2975" i="2"/>
  <c r="L2976" i="2" l="1"/>
  <c r="G2978" i="2"/>
  <c r="H2978" i="2"/>
  <c r="I2978" i="2" s="1"/>
  <c r="K2977" i="2"/>
  <c r="L2977" i="2" s="1"/>
  <c r="E2978" i="2"/>
  <c r="F2978" i="2" s="1"/>
  <c r="H2979" i="2" l="1"/>
  <c r="I2979" i="2" s="1"/>
  <c r="K2978" i="2"/>
  <c r="J2979" i="2" s="1"/>
  <c r="G2979" i="2"/>
  <c r="E2979" i="2"/>
  <c r="F2979" i="2" s="1"/>
  <c r="J2978" i="2"/>
  <c r="L2978" i="2" l="1"/>
  <c r="E2980" i="2"/>
  <c r="F2980" i="2" s="1"/>
  <c r="H2980" i="2"/>
  <c r="I2980" i="2" s="1"/>
  <c r="G2980" i="2"/>
  <c r="K2979" i="2"/>
  <c r="L2979" i="2" s="1"/>
  <c r="J2980" i="2" l="1"/>
  <c r="H2981" i="2"/>
  <c r="I2981" i="2" s="1"/>
  <c r="G2981" i="2"/>
  <c r="K2980" i="2"/>
  <c r="J2981" i="2" s="1"/>
  <c r="E2981" i="2"/>
  <c r="F2981" i="2" s="1"/>
  <c r="L2980" i="2" l="1"/>
  <c r="G2982" i="2"/>
  <c r="H2982" i="2"/>
  <c r="I2982" i="2" s="1"/>
  <c r="K2981" i="2"/>
  <c r="L2981" i="2" s="1"/>
  <c r="E2982" i="2"/>
  <c r="F2982" i="2" s="1"/>
  <c r="H2983" i="2" l="1"/>
  <c r="I2983" i="2" s="1"/>
  <c r="K2982" i="2"/>
  <c r="J2983" i="2" s="1"/>
  <c r="G2983" i="2"/>
  <c r="E2983" i="2"/>
  <c r="F2983" i="2" s="1"/>
  <c r="J2982" i="2"/>
  <c r="L2982" i="2" l="1"/>
  <c r="E2984" i="2"/>
  <c r="F2984" i="2" s="1"/>
  <c r="G2984" i="2"/>
  <c r="K2983" i="2"/>
  <c r="L2983" i="2" s="1"/>
  <c r="H2984" i="2"/>
  <c r="I2984" i="2" s="1"/>
  <c r="G2985" i="2" l="1"/>
  <c r="E2985" i="2"/>
  <c r="F2985" i="2" s="1"/>
  <c r="K2984" i="2"/>
  <c r="J2985" i="2" s="1"/>
  <c r="H2985" i="2"/>
  <c r="I2985" i="2" s="1"/>
  <c r="J2984" i="2"/>
  <c r="L2984" i="2" l="1"/>
  <c r="G2986" i="2"/>
  <c r="E2986" i="2"/>
  <c r="F2986" i="2" s="1"/>
  <c r="K2985" i="2"/>
  <c r="L2985" i="2" s="1"/>
  <c r="H2986" i="2"/>
  <c r="I2986" i="2" s="1"/>
  <c r="J2986" i="2" l="1"/>
  <c r="H2987" i="2"/>
  <c r="I2987" i="2" s="1"/>
  <c r="K2986" i="2"/>
  <c r="J2987" i="2" s="1"/>
  <c r="E2987" i="2"/>
  <c r="F2987" i="2" s="1"/>
  <c r="G2987" i="2"/>
  <c r="E2988" i="2" l="1"/>
  <c r="F2988" i="2" s="1"/>
  <c r="K2987" i="2"/>
  <c r="L2987" i="2" s="1"/>
  <c r="H2988" i="2"/>
  <c r="I2988" i="2" s="1"/>
  <c r="G2988" i="2"/>
  <c r="L2986" i="2"/>
  <c r="J2988" i="2" l="1"/>
  <c r="E2989" i="2"/>
  <c r="F2989" i="2" s="1"/>
  <c r="K2988" i="2"/>
  <c r="H2989" i="2"/>
  <c r="I2989" i="2" s="1"/>
  <c r="G2989" i="2"/>
  <c r="L2988" i="2" l="1"/>
  <c r="J2989" i="2"/>
  <c r="G2990" i="2"/>
  <c r="E2990" i="2"/>
  <c r="F2990" i="2" s="1"/>
  <c r="K2989" i="2"/>
  <c r="J2990" i="2" s="1"/>
  <c r="H2990" i="2"/>
  <c r="I2990" i="2" s="1"/>
  <c r="H2991" i="2" l="1"/>
  <c r="I2991" i="2" s="1"/>
  <c r="K2990" i="2"/>
  <c r="L2990" i="2" s="1"/>
  <c r="E2991" i="2"/>
  <c r="F2991" i="2" s="1"/>
  <c r="G2991" i="2"/>
  <c r="L2989" i="2"/>
  <c r="J2991" i="2" l="1"/>
  <c r="E2992" i="2"/>
  <c r="F2992" i="2" s="1"/>
  <c r="H2992" i="2"/>
  <c r="I2992" i="2" s="1"/>
  <c r="G2992" i="2"/>
  <c r="K2991" i="2"/>
  <c r="J2992" i="2" s="1"/>
  <c r="H2993" i="2" l="1"/>
  <c r="I2993" i="2" s="1"/>
  <c r="G2993" i="2"/>
  <c r="E2993" i="2"/>
  <c r="F2993" i="2" s="1"/>
  <c r="K2992" i="2"/>
  <c r="L2992" i="2" s="1"/>
  <c r="L2991" i="2"/>
  <c r="G2994" i="2" l="1"/>
  <c r="H2994" i="2"/>
  <c r="I2994" i="2" s="1"/>
  <c r="E2994" i="2"/>
  <c r="F2994" i="2" s="1"/>
  <c r="K2993" i="2"/>
  <c r="J2994" i="2" s="1"/>
  <c r="J2993" i="2"/>
  <c r="L2993" i="2" l="1"/>
  <c r="H2995" i="2"/>
  <c r="I2995" i="2" s="1"/>
  <c r="K2994" i="2"/>
  <c r="L2994" i="2" s="1"/>
  <c r="G2995" i="2"/>
  <c r="E2995" i="2"/>
  <c r="F2995" i="2" s="1"/>
  <c r="J2995" i="2" l="1"/>
  <c r="E2996" i="2"/>
  <c r="F2996" i="2" s="1"/>
  <c r="H2996" i="2"/>
  <c r="I2996" i="2" s="1"/>
  <c r="G2996" i="2"/>
  <c r="K2995" i="2"/>
  <c r="J2996" i="2" s="1"/>
  <c r="H2997" i="2" l="1"/>
  <c r="I2997" i="2" s="1"/>
  <c r="G2997" i="2"/>
  <c r="E2997" i="2"/>
  <c r="F2997" i="2" s="1"/>
  <c r="K2996" i="2"/>
  <c r="J2997" i="2" s="1"/>
  <c r="L2995" i="2"/>
  <c r="L2996" i="2" l="1"/>
  <c r="G2998" i="2"/>
  <c r="H2998" i="2"/>
  <c r="I2998" i="2" s="1"/>
  <c r="E2998" i="2"/>
  <c r="F2998" i="2" s="1"/>
  <c r="K2997" i="2"/>
  <c r="L2997" i="2" s="1"/>
  <c r="J2998" i="2" l="1"/>
  <c r="H2999" i="2"/>
  <c r="I2999" i="2" s="1"/>
  <c r="K2998" i="2"/>
  <c r="J2999" i="2" s="1"/>
  <c r="G2999" i="2"/>
  <c r="E2999" i="2"/>
  <c r="F2999" i="2" s="1"/>
  <c r="L2998" i="2" l="1"/>
  <c r="E3000" i="2"/>
  <c r="F3000" i="2" s="1"/>
  <c r="G3000" i="2"/>
  <c r="K2999" i="2"/>
  <c r="L2999" i="2" s="1"/>
  <c r="H3000" i="2"/>
  <c r="I3000" i="2" s="1"/>
  <c r="J3000" i="2" l="1"/>
  <c r="G3001" i="2"/>
  <c r="E3001" i="2"/>
  <c r="F3001" i="2" s="1"/>
  <c r="K3000" i="2"/>
  <c r="L3000" i="2" s="1"/>
  <c r="H3001" i="2"/>
  <c r="I3001" i="2" s="1"/>
  <c r="J3001" i="2" l="1"/>
  <c r="G3002" i="2"/>
  <c r="E3002" i="2"/>
  <c r="F3002" i="2" s="1"/>
  <c r="K3001" i="2"/>
  <c r="H3002" i="2"/>
  <c r="I3002" i="2" s="1"/>
  <c r="L3001" i="2" l="1"/>
  <c r="J3002" i="2"/>
  <c r="H3003" i="2"/>
  <c r="I3003" i="2" s="1"/>
  <c r="K3002" i="2"/>
  <c r="E3003" i="2"/>
  <c r="F3003" i="2" s="1"/>
  <c r="G3003" i="2"/>
  <c r="L3002" i="2" l="1"/>
  <c r="E3004" i="2"/>
  <c r="F3004" i="2" s="1"/>
  <c r="K3003" i="2"/>
  <c r="J3004" i="2" s="1"/>
  <c r="H3004" i="2"/>
  <c r="I3004" i="2" s="1"/>
  <c r="G3004" i="2"/>
  <c r="J3003" i="2"/>
  <c r="L3003" i="2" l="1"/>
  <c r="E3005" i="2"/>
  <c r="F3005" i="2" s="1"/>
  <c r="K3004" i="2"/>
  <c r="L3004" i="2" s="1"/>
  <c r="H3005" i="2"/>
  <c r="I3005" i="2" s="1"/>
  <c r="G3005" i="2"/>
  <c r="J3005" i="2" l="1"/>
  <c r="G3006" i="2"/>
  <c r="E3006" i="2"/>
  <c r="F3006" i="2" s="1"/>
  <c r="K3005" i="2"/>
  <c r="J3006" i="2" s="1"/>
  <c r="H3006" i="2"/>
  <c r="I3006" i="2" s="1"/>
  <c r="H3007" i="2" l="1"/>
  <c r="I3007" i="2" s="1"/>
  <c r="K3006" i="2"/>
  <c r="L3006" i="2" s="1"/>
  <c r="E3007" i="2"/>
  <c r="F3007" i="2" s="1"/>
  <c r="G3007" i="2"/>
  <c r="L3005" i="2"/>
  <c r="J3007" i="2" l="1"/>
  <c r="E3008" i="2"/>
  <c r="F3008" i="2" s="1"/>
  <c r="H3008" i="2"/>
  <c r="I3008" i="2" s="1"/>
  <c r="K3007" i="2"/>
  <c r="G3008" i="2"/>
  <c r="L3007" i="2" l="1"/>
  <c r="J3008" i="2"/>
  <c r="H3009" i="2"/>
  <c r="I3009" i="2" s="1"/>
  <c r="K3008" i="2"/>
  <c r="J3009" i="2" s="1"/>
  <c r="G3009" i="2"/>
  <c r="E3009" i="2"/>
  <c r="F3009" i="2" s="1"/>
  <c r="L3008" i="2" l="1"/>
  <c r="G3010" i="2"/>
  <c r="H3010" i="2"/>
  <c r="I3010" i="2" s="1"/>
  <c r="K3009" i="2"/>
  <c r="L3009" i="2" s="1"/>
  <c r="E3010" i="2"/>
  <c r="F3010" i="2" s="1"/>
  <c r="H3011" i="2" l="1"/>
  <c r="I3011" i="2" s="1"/>
  <c r="K3010" i="2"/>
  <c r="J3011" i="2" s="1"/>
  <c r="G3011" i="2"/>
  <c r="E3011" i="2"/>
  <c r="F3011" i="2" s="1"/>
  <c r="J3010" i="2"/>
  <c r="L3010" i="2" l="1"/>
  <c r="E3012" i="2"/>
  <c r="F3012" i="2" s="1"/>
  <c r="H3012" i="2"/>
  <c r="I3012" i="2" s="1"/>
  <c r="G3012" i="2"/>
  <c r="K3011" i="2"/>
  <c r="L3011" i="2" s="1"/>
  <c r="J3012" i="2" l="1"/>
  <c r="H3013" i="2"/>
  <c r="I3013" i="2" s="1"/>
  <c r="G3013" i="2"/>
  <c r="K3012" i="2"/>
  <c r="E3013" i="2"/>
  <c r="F3013" i="2" s="1"/>
  <c r="L3012" i="2" l="1"/>
  <c r="J3013" i="2"/>
  <c r="G3014" i="2"/>
  <c r="H3014" i="2"/>
  <c r="I3014" i="2" s="1"/>
  <c r="K3013" i="2"/>
  <c r="E3014" i="2"/>
  <c r="F3014" i="2" s="1"/>
  <c r="L3013" i="2" l="1"/>
  <c r="J3014" i="2"/>
  <c r="H3015" i="2"/>
  <c r="I3015" i="2" s="1"/>
  <c r="K3014" i="2"/>
  <c r="G3015" i="2"/>
  <c r="E3015" i="2"/>
  <c r="F3015" i="2" s="1"/>
  <c r="L3014" i="2" l="1"/>
  <c r="E3016" i="2"/>
  <c r="F3016" i="2" s="1"/>
  <c r="G3016" i="2"/>
  <c r="K3015" i="2"/>
  <c r="J3016" i="2" s="1"/>
  <c r="H3016" i="2"/>
  <c r="I3016" i="2" s="1"/>
  <c r="J3015" i="2"/>
  <c r="L3015" i="2" l="1"/>
  <c r="G3017" i="2"/>
  <c r="E3017" i="2"/>
  <c r="F3017" i="2" s="1"/>
  <c r="K3016" i="2"/>
  <c r="L3016" i="2" s="1"/>
  <c r="H3017" i="2"/>
  <c r="I3017" i="2" s="1"/>
  <c r="J3017" i="2" l="1"/>
  <c r="G3018" i="2"/>
  <c r="E3018" i="2"/>
  <c r="F3018" i="2" s="1"/>
  <c r="K3017" i="2"/>
  <c r="H3018" i="2"/>
  <c r="I3018" i="2" s="1"/>
  <c r="L3017" i="2" l="1"/>
  <c r="J3018" i="2"/>
  <c r="H3019" i="2"/>
  <c r="I3019" i="2" s="1"/>
  <c r="K3018" i="2"/>
  <c r="L3018" i="2" s="1"/>
  <c r="E3019" i="2"/>
  <c r="F3019" i="2" s="1"/>
  <c r="G3019" i="2"/>
  <c r="J3019" i="2" l="1"/>
  <c r="E3020" i="2"/>
  <c r="F3020" i="2" s="1"/>
  <c r="K3019" i="2"/>
  <c r="H3020" i="2"/>
  <c r="I3020" i="2" s="1"/>
  <c r="G3020" i="2"/>
  <c r="L3019" i="2" l="1"/>
  <c r="J3020" i="2"/>
  <c r="E3021" i="2"/>
  <c r="F3021" i="2" s="1"/>
  <c r="K3020" i="2"/>
  <c r="L3020" i="2" s="1"/>
  <c r="H3021" i="2"/>
  <c r="I3021" i="2" s="1"/>
  <c r="G3021" i="2"/>
  <c r="J3021" i="2" l="1"/>
  <c r="G3022" i="2"/>
  <c r="E3022" i="2"/>
  <c r="F3022" i="2" s="1"/>
  <c r="K3021" i="2"/>
  <c r="J3022" i="2" s="1"/>
  <c r="H3022" i="2"/>
  <c r="I3022" i="2" s="1"/>
  <c r="H3023" i="2" l="1"/>
  <c r="I3023" i="2" s="1"/>
  <c r="K3022" i="2"/>
  <c r="L3022" i="2" s="1"/>
  <c r="E3023" i="2"/>
  <c r="F3023" i="2" s="1"/>
  <c r="G3023" i="2"/>
  <c r="L3021" i="2"/>
  <c r="J3023" i="2" l="1"/>
  <c r="E3024" i="2"/>
  <c r="F3024" i="2" s="1"/>
  <c r="H3024" i="2"/>
  <c r="I3024" i="2" s="1"/>
  <c r="G3024" i="2"/>
  <c r="K3023" i="2"/>
  <c r="J3024" i="2" s="1"/>
  <c r="H3025" i="2" l="1"/>
  <c r="I3025" i="2" s="1"/>
  <c r="G3025" i="2"/>
  <c r="E3025" i="2"/>
  <c r="F3025" i="2" s="1"/>
  <c r="K3024" i="2"/>
  <c r="L3024" i="2" s="1"/>
  <c r="L3023" i="2"/>
  <c r="G3026" i="2" l="1"/>
  <c r="H3026" i="2"/>
  <c r="I3026" i="2" s="1"/>
  <c r="E3026" i="2"/>
  <c r="F3026" i="2" s="1"/>
  <c r="K3025" i="2"/>
  <c r="J3026" i="2" s="1"/>
  <c r="J3025" i="2"/>
  <c r="L3025" i="2" l="1"/>
  <c r="H3027" i="2"/>
  <c r="I3027" i="2" s="1"/>
  <c r="K3026" i="2"/>
  <c r="L3026" i="2" s="1"/>
  <c r="G3027" i="2"/>
  <c r="E3027" i="2"/>
  <c r="F3027" i="2" s="1"/>
  <c r="J3027" i="2" l="1"/>
  <c r="E3028" i="2"/>
  <c r="F3028" i="2" s="1"/>
  <c r="H3028" i="2"/>
  <c r="I3028" i="2" s="1"/>
  <c r="G3028" i="2"/>
  <c r="K3027" i="2"/>
  <c r="J3028" i="2" s="1"/>
  <c r="H3029" i="2" l="1"/>
  <c r="I3029" i="2" s="1"/>
  <c r="G3029" i="2"/>
  <c r="E3029" i="2"/>
  <c r="F3029" i="2" s="1"/>
  <c r="K3028" i="2"/>
  <c r="L3028" i="2" s="1"/>
  <c r="L3027" i="2"/>
  <c r="G3030" i="2" l="1"/>
  <c r="H3030" i="2"/>
  <c r="I3030" i="2" s="1"/>
  <c r="E3030" i="2"/>
  <c r="F3030" i="2" s="1"/>
  <c r="K3029" i="2"/>
  <c r="J3030" i="2" s="1"/>
  <c r="J3029" i="2"/>
  <c r="L3029" i="2" l="1"/>
  <c r="H3031" i="2"/>
  <c r="I3031" i="2" s="1"/>
  <c r="K3030" i="2"/>
  <c r="L3030" i="2" s="1"/>
  <c r="G3031" i="2"/>
  <c r="E3031" i="2"/>
  <c r="F3031" i="2" s="1"/>
  <c r="E3032" i="2" l="1"/>
  <c r="F3032" i="2" s="1"/>
  <c r="G3032" i="2"/>
  <c r="K3031" i="2"/>
  <c r="J3032" i="2" s="1"/>
  <c r="H3032" i="2"/>
  <c r="I3032" i="2" s="1"/>
  <c r="J3031" i="2"/>
  <c r="L3031" i="2" l="1"/>
  <c r="G3033" i="2"/>
  <c r="E3033" i="2"/>
  <c r="F3033" i="2" s="1"/>
  <c r="K3032" i="2"/>
  <c r="L3032" i="2" s="1"/>
  <c r="H3033" i="2"/>
  <c r="I3033" i="2" s="1"/>
  <c r="J3033" i="2" l="1"/>
  <c r="G3034" i="2"/>
  <c r="E3034" i="2"/>
  <c r="F3034" i="2" s="1"/>
  <c r="K3033" i="2"/>
  <c r="H3034" i="2"/>
  <c r="I3034" i="2" s="1"/>
  <c r="L3033" i="2" l="1"/>
  <c r="J3034" i="2"/>
  <c r="H3035" i="2"/>
  <c r="I3035" i="2" s="1"/>
  <c r="K3034" i="2"/>
  <c r="E3035" i="2"/>
  <c r="F3035" i="2" s="1"/>
  <c r="G3035" i="2"/>
  <c r="L3034" i="2" l="1"/>
  <c r="J3035" i="2"/>
  <c r="G3036" i="2"/>
  <c r="H3036" i="2"/>
  <c r="I3036" i="2" s="1"/>
  <c r="K3035" i="2"/>
  <c r="E3036" i="2"/>
  <c r="F3036" i="2" s="1"/>
  <c r="L3035" i="2" l="1"/>
  <c r="J3036" i="2"/>
  <c r="H3037" i="2"/>
  <c r="I3037" i="2" s="1"/>
  <c r="K3036" i="2"/>
  <c r="J3037" i="2" s="1"/>
  <c r="G3037" i="2"/>
  <c r="E3037" i="2"/>
  <c r="F3037" i="2" s="1"/>
  <c r="L3036" i="2" l="1"/>
  <c r="E3038" i="2"/>
  <c r="F3038" i="2" s="1"/>
  <c r="H3038" i="2"/>
  <c r="I3038" i="2" s="1"/>
  <c r="K3037" i="2"/>
  <c r="L3037" i="2" s="1"/>
  <c r="G3038" i="2"/>
  <c r="E3039" i="2" l="1"/>
  <c r="F3039" i="2" s="1"/>
  <c r="H3039" i="2"/>
  <c r="I3039" i="2" s="1"/>
  <c r="K3038" i="2"/>
  <c r="J3039" i="2" s="1"/>
  <c r="G3039" i="2"/>
  <c r="J3038" i="2"/>
  <c r="G3040" i="2" l="1"/>
  <c r="E3040" i="2"/>
  <c r="F3040" i="2" s="1"/>
  <c r="K3039" i="2"/>
  <c r="L3039" i="2" s="1"/>
  <c r="H3040" i="2"/>
  <c r="I3040" i="2" s="1"/>
  <c r="L3038" i="2"/>
  <c r="J3040" i="2" l="1"/>
  <c r="H3041" i="2"/>
  <c r="I3041" i="2" s="1"/>
  <c r="K3040" i="2"/>
  <c r="G3041" i="2"/>
  <c r="E3041" i="2"/>
  <c r="F3041" i="2" s="1"/>
  <c r="L3040" i="2" l="1"/>
  <c r="E3042" i="2"/>
  <c r="F3042" i="2" s="1"/>
  <c r="H3042" i="2"/>
  <c r="I3042" i="2" s="1"/>
  <c r="K3041" i="2"/>
  <c r="J3042" i="2" s="1"/>
  <c r="G3042" i="2"/>
  <c r="J3041" i="2"/>
  <c r="L3041" i="2" l="1"/>
  <c r="E3043" i="2"/>
  <c r="F3043" i="2" s="1"/>
  <c r="K3042" i="2"/>
  <c r="L3042" i="2" s="1"/>
  <c r="H3043" i="2"/>
  <c r="I3043" i="2" s="1"/>
  <c r="G3043" i="2"/>
  <c r="J3043" i="2" l="1"/>
  <c r="G3044" i="2"/>
  <c r="H3044" i="2"/>
  <c r="I3044" i="2" s="1"/>
  <c r="K3043" i="2"/>
  <c r="J3044" i="2" s="1"/>
  <c r="E3044" i="2"/>
  <c r="F3044" i="2" s="1"/>
  <c r="H3045" i="2" l="1"/>
  <c r="I3045" i="2" s="1"/>
  <c r="K3044" i="2"/>
  <c r="J3045" i="2" s="1"/>
  <c r="G3045" i="2"/>
  <c r="E3045" i="2"/>
  <c r="F3045" i="2" s="1"/>
  <c r="L3043" i="2"/>
  <c r="L3044" i="2" l="1"/>
  <c r="E3046" i="2"/>
  <c r="F3046" i="2" s="1"/>
  <c r="H3046" i="2"/>
  <c r="I3046" i="2" s="1"/>
  <c r="K3045" i="2"/>
  <c r="L3045" i="2" s="1"/>
  <c r="G3046" i="2"/>
  <c r="E3047" i="2" l="1"/>
  <c r="F3047" i="2" s="1"/>
  <c r="H3047" i="2"/>
  <c r="I3047" i="2" s="1"/>
  <c r="K3046" i="2"/>
  <c r="J3047" i="2" s="1"/>
  <c r="G3047" i="2"/>
  <c r="J3046" i="2"/>
  <c r="G3048" i="2" l="1"/>
  <c r="E3048" i="2"/>
  <c r="F3048" i="2" s="1"/>
  <c r="H3048" i="2"/>
  <c r="I3048" i="2" s="1"/>
  <c r="K3047" i="2"/>
  <c r="J3048" i="2" s="1"/>
  <c r="L3046" i="2"/>
  <c r="L3047" i="2" l="1"/>
  <c r="H3049" i="2"/>
  <c r="I3049" i="2" s="1"/>
  <c r="K3048" i="2"/>
  <c r="J3049" i="2" s="1"/>
  <c r="G3049" i="2"/>
  <c r="E3049" i="2"/>
  <c r="F3049" i="2" s="1"/>
  <c r="L3048" i="2" l="1"/>
  <c r="E3050" i="2"/>
  <c r="F3050" i="2" s="1"/>
  <c r="H3050" i="2"/>
  <c r="I3050" i="2" s="1"/>
  <c r="K3049" i="2"/>
  <c r="L3049" i="2" s="1"/>
  <c r="G3050" i="2"/>
  <c r="J3050" i="2" l="1"/>
  <c r="E3051" i="2"/>
  <c r="F3051" i="2" s="1"/>
  <c r="H3051" i="2"/>
  <c r="I3051" i="2" s="1"/>
  <c r="G3051" i="2"/>
  <c r="K3050" i="2"/>
  <c r="J3051" i="2" s="1"/>
  <c r="L3050" i="2" l="1"/>
  <c r="G3052" i="2"/>
  <c r="H3052" i="2"/>
  <c r="I3052" i="2" s="1"/>
  <c r="K3051" i="2"/>
  <c r="J3052" i="2" s="1"/>
  <c r="E3052" i="2"/>
  <c r="F3052" i="2" s="1"/>
  <c r="H3053" i="2" l="1"/>
  <c r="I3053" i="2" s="1"/>
  <c r="K3052" i="2"/>
  <c r="L3052" i="2" s="1"/>
  <c r="G3053" i="2"/>
  <c r="E3053" i="2"/>
  <c r="F3053" i="2" s="1"/>
  <c r="L3051" i="2"/>
  <c r="E3054" i="2" l="1"/>
  <c r="F3054" i="2" s="1"/>
  <c r="H3054" i="2"/>
  <c r="I3054" i="2" s="1"/>
  <c r="K3053" i="2"/>
  <c r="J3054" i="2" s="1"/>
  <c r="G3054" i="2"/>
  <c r="J3053" i="2"/>
  <c r="L3053" i="2" l="1"/>
  <c r="E3055" i="2"/>
  <c r="F3055" i="2" s="1"/>
  <c r="H3055" i="2"/>
  <c r="I3055" i="2" s="1"/>
  <c r="K3054" i="2"/>
  <c r="L3054" i="2" s="1"/>
  <c r="G3055" i="2"/>
  <c r="J3055" i="2" l="1"/>
  <c r="G3056" i="2"/>
  <c r="E3056" i="2"/>
  <c r="F3056" i="2" s="1"/>
  <c r="K3055" i="2"/>
  <c r="L3055" i="2" s="1"/>
  <c r="H3056" i="2"/>
  <c r="I3056" i="2" s="1"/>
  <c r="J3056" i="2" l="1"/>
  <c r="H3057" i="2"/>
  <c r="I3057" i="2" s="1"/>
  <c r="K3056" i="2"/>
  <c r="G3057" i="2"/>
  <c r="E3057" i="2"/>
  <c r="F3057" i="2" s="1"/>
  <c r="L3056" i="2" l="1"/>
  <c r="J3057" i="2"/>
  <c r="E3058" i="2"/>
  <c r="F3058" i="2" s="1"/>
  <c r="H3058" i="2"/>
  <c r="I3058" i="2" s="1"/>
  <c r="K3057" i="2"/>
  <c r="J3058" i="2" s="1"/>
  <c r="G3058" i="2"/>
  <c r="L3057" i="2" l="1"/>
  <c r="E3059" i="2"/>
  <c r="F3059" i="2" s="1"/>
  <c r="K3058" i="2"/>
  <c r="L3058" i="2" s="1"/>
  <c r="H3059" i="2"/>
  <c r="I3059" i="2" s="1"/>
  <c r="G3059" i="2"/>
  <c r="J3059" i="2" l="1"/>
  <c r="G3060" i="2"/>
  <c r="H3060" i="2"/>
  <c r="I3060" i="2" s="1"/>
  <c r="K3059" i="2"/>
  <c r="E3060" i="2"/>
  <c r="F3060" i="2" s="1"/>
  <c r="L3059" i="2" l="1"/>
  <c r="J3060" i="2"/>
  <c r="H3061" i="2"/>
  <c r="I3061" i="2" s="1"/>
  <c r="K3060" i="2"/>
  <c r="J3061" i="2" s="1"/>
  <c r="G3061" i="2"/>
  <c r="E3061" i="2"/>
  <c r="F3061" i="2" s="1"/>
  <c r="L3060" i="2" l="1"/>
  <c r="E3062" i="2"/>
  <c r="F3062" i="2" s="1"/>
  <c r="H3062" i="2"/>
  <c r="I3062" i="2" s="1"/>
  <c r="K3061" i="2"/>
  <c r="L3061" i="2" s="1"/>
  <c r="G3062" i="2"/>
  <c r="J3062" i="2" l="1"/>
  <c r="E3063" i="2"/>
  <c r="F3063" i="2" s="1"/>
  <c r="H3063" i="2"/>
  <c r="I3063" i="2" s="1"/>
  <c r="K3062" i="2"/>
  <c r="J3063" i="2" s="1"/>
  <c r="G3063" i="2"/>
  <c r="G3064" i="2" l="1"/>
  <c r="E3064" i="2"/>
  <c r="F3064" i="2" s="1"/>
  <c r="H3064" i="2"/>
  <c r="I3064" i="2" s="1"/>
  <c r="K3063" i="2"/>
  <c r="L3063" i="2" s="1"/>
  <c r="L3062" i="2"/>
  <c r="J3064" i="2" l="1"/>
  <c r="H3065" i="2"/>
  <c r="I3065" i="2" s="1"/>
  <c r="K3064" i="2"/>
  <c r="G3065" i="2"/>
  <c r="E3065" i="2"/>
  <c r="F3065" i="2" s="1"/>
  <c r="L3064" i="2" l="1"/>
  <c r="J3065" i="2"/>
  <c r="E3066" i="2"/>
  <c r="F3066" i="2" s="1"/>
  <c r="H3066" i="2"/>
  <c r="I3066" i="2" s="1"/>
  <c r="K3065" i="2"/>
  <c r="G3066" i="2"/>
  <c r="L3065" i="2" l="1"/>
  <c r="J3066" i="2"/>
  <c r="E3067" i="2"/>
  <c r="F3067" i="2" s="1"/>
  <c r="H3067" i="2"/>
  <c r="I3067" i="2" s="1"/>
  <c r="G3067" i="2"/>
  <c r="K3066" i="2"/>
  <c r="J3067" i="2" s="1"/>
  <c r="L3066" i="2" l="1"/>
  <c r="G3068" i="2"/>
  <c r="H3068" i="2"/>
  <c r="I3068" i="2" s="1"/>
  <c r="K3067" i="2"/>
  <c r="L3067" i="2" s="1"/>
  <c r="E3068" i="2"/>
  <c r="F3068" i="2" s="1"/>
  <c r="J3068" i="2" l="1"/>
  <c r="H3069" i="2"/>
  <c r="I3069" i="2" s="1"/>
  <c r="K3068" i="2"/>
  <c r="J3069" i="2" s="1"/>
  <c r="G3069" i="2"/>
  <c r="E3069" i="2"/>
  <c r="F3069" i="2" s="1"/>
  <c r="L3068" i="2" l="1"/>
  <c r="E3070" i="2"/>
  <c r="F3070" i="2" s="1"/>
  <c r="H3070" i="2"/>
  <c r="I3070" i="2" s="1"/>
  <c r="K3069" i="2"/>
  <c r="L3069" i="2" s="1"/>
  <c r="G3070" i="2"/>
  <c r="J3070" i="2" l="1"/>
  <c r="E3071" i="2"/>
  <c r="F3071" i="2" s="1"/>
  <c r="H3071" i="2"/>
  <c r="I3071" i="2" s="1"/>
  <c r="K3070" i="2"/>
  <c r="J3071" i="2" s="1"/>
  <c r="G3071" i="2"/>
  <c r="G3072" i="2" l="1"/>
  <c r="E3072" i="2"/>
  <c r="F3072" i="2" s="1"/>
  <c r="K3071" i="2"/>
  <c r="L3071" i="2" s="1"/>
  <c r="H3072" i="2"/>
  <c r="I3072" i="2" s="1"/>
  <c r="L3070" i="2"/>
  <c r="J3072" i="2" l="1"/>
  <c r="H3073" i="2"/>
  <c r="I3073" i="2" s="1"/>
  <c r="K3072" i="2"/>
  <c r="G3073" i="2"/>
  <c r="E3073" i="2"/>
  <c r="F3073" i="2" s="1"/>
  <c r="L3072" i="2" l="1"/>
  <c r="E3074" i="2"/>
  <c r="F3074" i="2" s="1"/>
  <c r="H3074" i="2"/>
  <c r="I3074" i="2" s="1"/>
  <c r="K3073" i="2"/>
  <c r="J3074" i="2" s="1"/>
  <c r="G3074" i="2"/>
  <c r="J3073" i="2"/>
  <c r="L3073" i="2" l="1"/>
  <c r="E3075" i="2"/>
  <c r="F3075" i="2" s="1"/>
  <c r="K3074" i="2"/>
  <c r="L3074" i="2" s="1"/>
  <c r="H3075" i="2"/>
  <c r="I3075" i="2" s="1"/>
  <c r="G3075" i="2"/>
  <c r="J3075" i="2" l="1"/>
  <c r="G3076" i="2"/>
  <c r="H3076" i="2"/>
  <c r="I3076" i="2" s="1"/>
  <c r="K3075" i="2"/>
  <c r="E3076" i="2"/>
  <c r="F3076" i="2" s="1"/>
  <c r="L3075" i="2" l="1"/>
  <c r="J3076" i="2"/>
  <c r="H3077" i="2"/>
  <c r="I3077" i="2" s="1"/>
  <c r="K3076" i="2"/>
  <c r="J3077" i="2" s="1"/>
  <c r="G3077" i="2"/>
  <c r="E3077" i="2"/>
  <c r="F3077" i="2" s="1"/>
  <c r="L3076" i="2" l="1"/>
  <c r="E3078" i="2"/>
  <c r="F3078" i="2" s="1"/>
  <c r="H3078" i="2"/>
  <c r="I3078" i="2" s="1"/>
  <c r="K3077" i="2"/>
  <c r="L3077" i="2" s="1"/>
  <c r="G3078" i="2"/>
  <c r="E3079" i="2" l="1"/>
  <c r="F3079" i="2" s="1"/>
  <c r="H3079" i="2"/>
  <c r="I3079" i="2" s="1"/>
  <c r="K3078" i="2"/>
  <c r="J3079" i="2" s="1"/>
  <c r="G3079" i="2"/>
  <c r="J3078" i="2"/>
  <c r="G3080" i="2" l="1"/>
  <c r="E3080" i="2"/>
  <c r="F3080" i="2" s="1"/>
  <c r="H3080" i="2"/>
  <c r="I3080" i="2" s="1"/>
  <c r="K3079" i="2"/>
  <c r="L3079" i="2" s="1"/>
  <c r="L3078" i="2"/>
  <c r="J3080" i="2" l="1"/>
  <c r="H3081" i="2"/>
  <c r="I3081" i="2" s="1"/>
  <c r="K3080" i="2"/>
  <c r="J3081" i="2" s="1"/>
  <c r="G3081" i="2"/>
  <c r="E3081" i="2"/>
  <c r="F3081" i="2" s="1"/>
  <c r="E3082" i="2" l="1"/>
  <c r="F3082" i="2" s="1"/>
  <c r="H3082" i="2"/>
  <c r="I3082" i="2" s="1"/>
  <c r="K3081" i="2"/>
  <c r="L3081" i="2" s="1"/>
  <c r="G3082" i="2"/>
  <c r="L3080" i="2"/>
  <c r="J3082" i="2" l="1"/>
  <c r="E3083" i="2"/>
  <c r="F3083" i="2" s="1"/>
  <c r="H3083" i="2"/>
  <c r="I3083" i="2" s="1"/>
  <c r="G3083" i="2"/>
  <c r="K3082" i="2"/>
  <c r="J3083" i="2" s="1"/>
  <c r="L3082" i="2" l="1"/>
  <c r="G3084" i="2"/>
  <c r="H3084" i="2"/>
  <c r="I3084" i="2" s="1"/>
  <c r="K3083" i="2"/>
  <c r="L3083" i="2" s="1"/>
  <c r="E3084" i="2"/>
  <c r="F3084" i="2" s="1"/>
  <c r="J3084" i="2" l="1"/>
  <c r="H3085" i="2"/>
  <c r="I3085" i="2" s="1"/>
  <c r="K3084" i="2"/>
  <c r="J3085" i="2" s="1"/>
  <c r="G3085" i="2"/>
  <c r="E3085" i="2"/>
  <c r="F3085" i="2" s="1"/>
  <c r="L3084" i="2" l="1"/>
  <c r="E3086" i="2"/>
  <c r="F3086" i="2" s="1"/>
  <c r="H3086" i="2"/>
  <c r="I3086" i="2" s="1"/>
  <c r="K3085" i="2"/>
  <c r="L3085" i="2" s="1"/>
  <c r="G3086" i="2"/>
  <c r="J3086" i="2" l="1"/>
  <c r="E3087" i="2"/>
  <c r="F3087" i="2" s="1"/>
  <c r="H3087" i="2"/>
  <c r="I3087" i="2" s="1"/>
  <c r="K3086" i="2"/>
  <c r="J3087" i="2" s="1"/>
  <c r="G3087" i="2"/>
  <c r="G3088" i="2" l="1"/>
  <c r="E3088" i="2"/>
  <c r="F3088" i="2" s="1"/>
  <c r="K3087" i="2"/>
  <c r="L3087" i="2" s="1"/>
  <c r="H3088" i="2"/>
  <c r="I3088" i="2" s="1"/>
  <c r="L3086" i="2"/>
  <c r="J3088" i="2" l="1"/>
  <c r="H3089" i="2"/>
  <c r="I3089" i="2" s="1"/>
  <c r="K3088" i="2"/>
  <c r="G3089" i="2"/>
  <c r="E3089" i="2"/>
  <c r="F3089" i="2" s="1"/>
  <c r="L3088" i="2" l="1"/>
  <c r="J3089" i="2"/>
  <c r="E3090" i="2"/>
  <c r="F3090" i="2" s="1"/>
  <c r="H3090" i="2"/>
  <c r="I3090" i="2" s="1"/>
  <c r="K3089" i="2"/>
  <c r="J3090" i="2" s="1"/>
  <c r="G3090" i="2"/>
  <c r="L3089" i="2" l="1"/>
  <c r="E3091" i="2"/>
  <c r="F3091" i="2" s="1"/>
  <c r="K3090" i="2"/>
  <c r="L3090" i="2" s="1"/>
  <c r="H3091" i="2"/>
  <c r="I3091" i="2" s="1"/>
  <c r="G3091" i="2"/>
  <c r="J3091" i="2" l="1"/>
  <c r="G3092" i="2"/>
  <c r="H3092" i="2"/>
  <c r="I3092" i="2" s="1"/>
  <c r="K3091" i="2"/>
  <c r="J3092" i="2" s="1"/>
  <c r="E3092" i="2"/>
  <c r="F3092" i="2" s="1"/>
  <c r="H3093" i="2" l="1"/>
  <c r="I3093" i="2" s="1"/>
  <c r="K3092" i="2"/>
  <c r="L3092" i="2" s="1"/>
  <c r="G3093" i="2"/>
  <c r="E3093" i="2"/>
  <c r="F3093" i="2" s="1"/>
  <c r="L3091" i="2"/>
  <c r="J3093" i="2" l="1"/>
  <c r="E3094" i="2"/>
  <c r="F3094" i="2" s="1"/>
  <c r="H3094" i="2"/>
  <c r="I3094" i="2" s="1"/>
  <c r="K3093" i="2"/>
  <c r="G3094" i="2"/>
  <c r="L3093" i="2" l="1"/>
  <c r="E3095" i="2"/>
  <c r="F3095" i="2" s="1"/>
  <c r="H3095" i="2"/>
  <c r="I3095" i="2" s="1"/>
  <c r="K3094" i="2"/>
  <c r="J3095" i="2" s="1"/>
  <c r="G3095" i="2"/>
  <c r="J3094" i="2"/>
  <c r="G3096" i="2" l="1"/>
  <c r="E3096" i="2"/>
  <c r="F3096" i="2" s="1"/>
  <c r="H3096" i="2"/>
  <c r="I3096" i="2" s="1"/>
  <c r="K3095" i="2"/>
  <c r="L3095" i="2" s="1"/>
  <c r="L3094" i="2"/>
  <c r="J3096" i="2" l="1"/>
  <c r="H3097" i="2"/>
  <c r="I3097" i="2" s="1"/>
  <c r="K3096" i="2"/>
  <c r="G3097" i="2"/>
  <c r="E3097" i="2"/>
  <c r="F3097" i="2" s="1"/>
  <c r="L3096" i="2" l="1"/>
  <c r="E3098" i="2"/>
  <c r="F3098" i="2" s="1"/>
  <c r="H3098" i="2"/>
  <c r="I3098" i="2" s="1"/>
  <c r="K3097" i="2"/>
  <c r="J3098" i="2" s="1"/>
  <c r="G3098" i="2"/>
  <c r="J3097" i="2"/>
  <c r="L3097" i="2" l="1"/>
  <c r="E3099" i="2"/>
  <c r="F3099" i="2" s="1"/>
  <c r="H3099" i="2"/>
  <c r="I3099" i="2" s="1"/>
  <c r="G3099" i="2"/>
  <c r="K3098" i="2"/>
  <c r="L3098" i="2" s="1"/>
  <c r="J3099" i="2" l="1"/>
  <c r="G3100" i="2"/>
  <c r="H3100" i="2"/>
  <c r="I3100" i="2" s="1"/>
  <c r="K3099" i="2"/>
  <c r="J3100" i="2" s="1"/>
  <c r="E3100" i="2"/>
  <c r="F3100" i="2" s="1"/>
  <c r="H3101" i="2" l="1"/>
  <c r="I3101" i="2" s="1"/>
  <c r="K3100" i="2"/>
  <c r="J3101" i="2" s="1"/>
  <c r="G3101" i="2"/>
  <c r="E3101" i="2"/>
  <c r="F3101" i="2" s="1"/>
  <c r="L3099" i="2"/>
  <c r="L3100" i="2" l="1"/>
  <c r="E3102" i="2"/>
  <c r="F3102" i="2" s="1"/>
  <c r="H3102" i="2"/>
  <c r="I3102" i="2" s="1"/>
  <c r="K3101" i="2"/>
  <c r="L3101" i="2" s="1"/>
  <c r="G3102" i="2"/>
  <c r="E3103" i="2" l="1"/>
  <c r="F3103" i="2" s="1"/>
  <c r="H3103" i="2"/>
  <c r="I3103" i="2" s="1"/>
  <c r="K3102" i="2"/>
  <c r="J3103" i="2" s="1"/>
  <c r="G3103" i="2"/>
  <c r="J3102" i="2"/>
  <c r="G3104" i="2" l="1"/>
  <c r="E3104" i="2"/>
  <c r="F3104" i="2" s="1"/>
  <c r="K3103" i="2"/>
  <c r="L3103" i="2" s="1"/>
  <c r="H3104" i="2"/>
  <c r="I3104" i="2" s="1"/>
  <c r="L3102" i="2"/>
  <c r="J3104" i="2" l="1"/>
  <c r="H3105" i="2"/>
  <c r="I3105" i="2" s="1"/>
  <c r="K3104" i="2"/>
  <c r="G3105" i="2"/>
  <c r="E3105" i="2"/>
  <c r="F3105" i="2" s="1"/>
  <c r="L3104" i="2" l="1"/>
  <c r="E3106" i="2"/>
  <c r="F3106" i="2" s="1"/>
  <c r="H3106" i="2"/>
  <c r="I3106" i="2" s="1"/>
  <c r="K3105" i="2"/>
  <c r="J3106" i="2" s="1"/>
  <c r="G3106" i="2"/>
  <c r="J3105" i="2"/>
  <c r="L3105" i="2" l="1"/>
  <c r="E3107" i="2"/>
  <c r="F3107" i="2" s="1"/>
  <c r="K3106" i="2"/>
  <c r="L3106" i="2" s="1"/>
  <c r="H3107" i="2"/>
  <c r="I3107" i="2" s="1"/>
  <c r="G3107" i="2"/>
  <c r="J3107" i="2" l="1"/>
  <c r="G3108" i="2"/>
  <c r="H3108" i="2"/>
  <c r="I3108" i="2" s="1"/>
  <c r="K3107" i="2"/>
  <c r="J3108" i="2" s="1"/>
  <c r="E3108" i="2"/>
  <c r="F3108" i="2" s="1"/>
  <c r="H3109" i="2" l="1"/>
  <c r="I3109" i="2" s="1"/>
  <c r="K3108" i="2"/>
  <c r="L3108" i="2" s="1"/>
  <c r="G3109" i="2"/>
  <c r="E3109" i="2"/>
  <c r="F3109" i="2" s="1"/>
  <c r="L3107" i="2"/>
  <c r="J3109" i="2" l="1"/>
  <c r="E3110" i="2"/>
  <c r="F3110" i="2" s="1"/>
  <c r="H3110" i="2"/>
  <c r="I3110" i="2" s="1"/>
  <c r="K3109" i="2"/>
  <c r="J3110" i="2" s="1"/>
  <c r="G3110" i="2"/>
  <c r="E3111" i="2" l="1"/>
  <c r="F3111" i="2" s="1"/>
  <c r="H3111" i="2"/>
  <c r="I3111" i="2" s="1"/>
  <c r="K3110" i="2"/>
  <c r="L3110" i="2" s="1"/>
  <c r="G3111" i="2"/>
  <c r="L3109" i="2"/>
  <c r="J3111" i="2" l="1"/>
  <c r="G3112" i="2"/>
  <c r="E3112" i="2"/>
  <c r="F3112" i="2" s="1"/>
  <c r="H3112" i="2"/>
  <c r="I3112" i="2" s="1"/>
  <c r="K3111" i="2"/>
  <c r="J3112" i="2" s="1"/>
  <c r="L3111" i="2" l="1"/>
  <c r="H3113" i="2"/>
  <c r="I3113" i="2" s="1"/>
  <c r="K3112" i="2"/>
  <c r="J3113" i="2" s="1"/>
  <c r="G3113" i="2"/>
  <c r="E3113" i="2"/>
  <c r="F3113" i="2" s="1"/>
  <c r="L3112" i="2" l="1"/>
  <c r="E3114" i="2"/>
  <c r="F3114" i="2" s="1"/>
  <c r="H3114" i="2"/>
  <c r="I3114" i="2" s="1"/>
  <c r="K3113" i="2"/>
  <c r="L3113" i="2" s="1"/>
  <c r="G3114" i="2"/>
  <c r="E3115" i="2" l="1"/>
  <c r="F3115" i="2" s="1"/>
  <c r="H3115" i="2"/>
  <c r="I3115" i="2" s="1"/>
  <c r="G3115" i="2"/>
  <c r="K3114" i="2"/>
  <c r="J3115" i="2" s="1"/>
  <c r="J3114" i="2"/>
  <c r="L3114" i="2" l="1"/>
  <c r="G3116" i="2"/>
  <c r="H3116" i="2"/>
  <c r="I3116" i="2" s="1"/>
  <c r="K3115" i="2"/>
  <c r="L3115" i="2" s="1"/>
  <c r="E3116" i="2"/>
  <c r="F3116" i="2" s="1"/>
  <c r="J3116" i="2" l="1"/>
  <c r="H3117" i="2"/>
  <c r="I3117" i="2" s="1"/>
  <c r="K3116" i="2"/>
  <c r="J3117" i="2" s="1"/>
  <c r="G3117" i="2"/>
  <c r="E3117" i="2"/>
  <c r="F3117" i="2" s="1"/>
  <c r="L3116" i="2" l="1"/>
  <c r="E3118" i="2"/>
  <c r="F3118" i="2" s="1"/>
  <c r="H3118" i="2"/>
  <c r="I3118" i="2" s="1"/>
  <c r="K3117" i="2"/>
  <c r="L3117" i="2" s="1"/>
  <c r="G3118" i="2"/>
  <c r="E3119" i="2" l="1"/>
  <c r="F3119" i="2" s="1"/>
  <c r="H3119" i="2"/>
  <c r="I3119" i="2" s="1"/>
  <c r="K3118" i="2"/>
  <c r="J3119" i="2" s="1"/>
  <c r="G3119" i="2"/>
  <c r="J3118" i="2"/>
  <c r="G3120" i="2" l="1"/>
  <c r="E3120" i="2"/>
  <c r="F3120" i="2" s="1"/>
  <c r="K3119" i="2"/>
  <c r="L3119" i="2" s="1"/>
  <c r="H3120" i="2"/>
  <c r="I3120" i="2" s="1"/>
  <c r="L3118" i="2"/>
  <c r="J3120" i="2" l="1"/>
  <c r="H3121" i="2"/>
  <c r="I3121" i="2" s="1"/>
  <c r="K3120" i="2"/>
  <c r="G3121" i="2"/>
  <c r="E3121" i="2"/>
  <c r="F3121" i="2" s="1"/>
  <c r="L3120" i="2" l="1"/>
  <c r="E3122" i="2"/>
  <c r="F3122" i="2" s="1"/>
  <c r="H3122" i="2"/>
  <c r="I3122" i="2" s="1"/>
  <c r="K3121" i="2"/>
  <c r="J3122" i="2" s="1"/>
  <c r="G3122" i="2"/>
  <c r="J3121" i="2"/>
  <c r="L3121" i="2" l="1"/>
  <c r="E3123" i="2"/>
  <c r="F3123" i="2" s="1"/>
  <c r="K3122" i="2"/>
  <c r="L3122" i="2" s="1"/>
  <c r="H3123" i="2"/>
  <c r="I3123" i="2" s="1"/>
  <c r="G3123" i="2"/>
  <c r="J3123" i="2" l="1"/>
  <c r="G3124" i="2"/>
  <c r="H3124" i="2"/>
  <c r="I3124" i="2" s="1"/>
  <c r="K3123" i="2"/>
  <c r="E3124" i="2"/>
  <c r="F3124" i="2" s="1"/>
  <c r="L3123" i="2" l="1"/>
  <c r="J3124" i="2"/>
  <c r="H3125" i="2"/>
  <c r="I3125" i="2" s="1"/>
  <c r="K3124" i="2"/>
  <c r="J3125" i="2" s="1"/>
  <c r="G3125" i="2"/>
  <c r="E3125" i="2"/>
  <c r="F3125" i="2" s="1"/>
  <c r="L3124" i="2" l="1"/>
  <c r="E3126" i="2"/>
  <c r="F3126" i="2" s="1"/>
  <c r="H3126" i="2"/>
  <c r="I3126" i="2" s="1"/>
  <c r="K3125" i="2"/>
  <c r="L3125" i="2" s="1"/>
  <c r="G3126" i="2"/>
  <c r="E3127" i="2" l="1"/>
  <c r="F3127" i="2" s="1"/>
  <c r="H3127" i="2"/>
  <c r="I3127" i="2" s="1"/>
  <c r="K3126" i="2"/>
  <c r="J3127" i="2" s="1"/>
  <c r="G3127" i="2"/>
  <c r="J3126" i="2"/>
  <c r="G3128" i="2" l="1"/>
  <c r="E3128" i="2"/>
  <c r="F3128" i="2" s="1"/>
  <c r="H3128" i="2"/>
  <c r="I3128" i="2" s="1"/>
  <c r="K3127" i="2"/>
  <c r="L3127" i="2" s="1"/>
  <c r="L3126" i="2"/>
  <c r="J3128" i="2" l="1"/>
  <c r="H3129" i="2"/>
  <c r="I3129" i="2" s="1"/>
  <c r="K3128" i="2"/>
  <c r="J3129" i="2" s="1"/>
  <c r="G3129" i="2"/>
  <c r="E3129" i="2"/>
  <c r="F3129" i="2" s="1"/>
  <c r="E3130" i="2" l="1"/>
  <c r="F3130" i="2" s="1"/>
  <c r="H3130" i="2"/>
  <c r="I3130" i="2" s="1"/>
  <c r="K3129" i="2"/>
  <c r="L3129" i="2" s="1"/>
  <c r="G3130" i="2"/>
  <c r="L3128" i="2"/>
  <c r="E3131" i="2" l="1"/>
  <c r="F3131" i="2" s="1"/>
  <c r="H3131" i="2"/>
  <c r="I3131" i="2" s="1"/>
  <c r="G3131" i="2"/>
  <c r="K3130" i="2"/>
  <c r="J3131" i="2" s="1"/>
  <c r="J3130" i="2"/>
  <c r="L3130" i="2" l="1"/>
  <c r="G3132" i="2"/>
  <c r="H3132" i="2"/>
  <c r="I3132" i="2" s="1"/>
  <c r="K3131" i="2"/>
  <c r="L3131" i="2" s="1"/>
  <c r="E3132" i="2"/>
  <c r="F3132" i="2" s="1"/>
  <c r="J3132" i="2" l="1"/>
  <c r="H3133" i="2"/>
  <c r="I3133" i="2" s="1"/>
  <c r="K3132" i="2"/>
  <c r="J3133" i="2" s="1"/>
  <c r="G3133" i="2"/>
  <c r="E3133" i="2"/>
  <c r="F3133" i="2" s="1"/>
  <c r="L3132" i="2" l="1"/>
  <c r="E3134" i="2"/>
  <c r="F3134" i="2" s="1"/>
  <c r="H3134" i="2"/>
  <c r="I3134" i="2" s="1"/>
  <c r="K3133" i="2"/>
  <c r="L3133" i="2" s="1"/>
  <c r="G3134" i="2"/>
  <c r="J3134" i="2" l="1"/>
  <c r="E3135" i="2"/>
  <c r="F3135" i="2" s="1"/>
  <c r="H3135" i="2"/>
  <c r="I3135" i="2" s="1"/>
  <c r="K3134" i="2"/>
  <c r="G3135" i="2"/>
  <c r="L3134" i="2" l="1"/>
  <c r="J3135" i="2"/>
  <c r="G3136" i="2"/>
  <c r="E3136" i="2"/>
  <c r="F3136" i="2" s="1"/>
  <c r="K3135" i="2"/>
  <c r="J3136" i="2" s="1"/>
  <c r="H3136" i="2"/>
  <c r="I3136" i="2" s="1"/>
  <c r="L3135" i="2" l="1"/>
  <c r="H3137" i="2"/>
  <c r="I3137" i="2" s="1"/>
  <c r="K3136" i="2"/>
  <c r="L3136" i="2" s="1"/>
  <c r="G3137" i="2"/>
  <c r="E3137" i="2"/>
  <c r="F3137" i="2" s="1"/>
  <c r="E3138" i="2" l="1"/>
  <c r="F3138" i="2" s="1"/>
  <c r="H3138" i="2"/>
  <c r="I3138" i="2" s="1"/>
  <c r="K3137" i="2"/>
  <c r="J3138" i="2" s="1"/>
  <c r="G3138" i="2"/>
  <c r="J3137" i="2"/>
  <c r="L3137" i="2" l="1"/>
  <c r="E3139" i="2"/>
  <c r="F3139" i="2" s="1"/>
  <c r="K3138" i="2"/>
  <c r="L3138" i="2" s="1"/>
  <c r="H3139" i="2"/>
  <c r="I3139" i="2" s="1"/>
  <c r="G3139" i="2"/>
  <c r="J3139" i="2" l="1"/>
  <c r="G3140" i="2"/>
  <c r="H3140" i="2"/>
  <c r="I3140" i="2" s="1"/>
  <c r="K3139" i="2"/>
  <c r="E3140" i="2"/>
  <c r="F3140" i="2" s="1"/>
  <c r="L3139" i="2" l="1"/>
  <c r="J3140" i="2"/>
  <c r="H3141" i="2"/>
  <c r="I3141" i="2" s="1"/>
  <c r="K3140" i="2"/>
  <c r="J3141" i="2" s="1"/>
  <c r="G3141" i="2"/>
  <c r="E3141" i="2"/>
  <c r="F3141" i="2" s="1"/>
  <c r="L3140" i="2" l="1"/>
  <c r="E3142" i="2"/>
  <c r="F3142" i="2" s="1"/>
  <c r="H3142" i="2"/>
  <c r="I3142" i="2" s="1"/>
  <c r="K3141" i="2"/>
  <c r="L3141" i="2" s="1"/>
  <c r="G3142" i="2"/>
  <c r="J3142" i="2" l="1"/>
  <c r="E3143" i="2"/>
  <c r="F3143" i="2" s="1"/>
  <c r="H3143" i="2"/>
  <c r="I3143" i="2" s="1"/>
  <c r="K3142" i="2"/>
  <c r="J3143" i="2" s="1"/>
  <c r="G3143" i="2"/>
  <c r="G3144" i="2" l="1"/>
  <c r="E3144" i="2"/>
  <c r="F3144" i="2" s="1"/>
  <c r="H3144" i="2"/>
  <c r="I3144" i="2" s="1"/>
  <c r="K3143" i="2"/>
  <c r="L3143" i="2" s="1"/>
  <c r="L3142" i="2"/>
  <c r="J3144" i="2" l="1"/>
  <c r="H3145" i="2"/>
  <c r="I3145" i="2" s="1"/>
  <c r="K3144" i="2"/>
  <c r="J3145" i="2" s="1"/>
  <c r="G3145" i="2"/>
  <c r="E3145" i="2"/>
  <c r="F3145" i="2" s="1"/>
  <c r="E3146" i="2" l="1"/>
  <c r="F3146" i="2" s="1"/>
  <c r="H3146" i="2"/>
  <c r="I3146" i="2" s="1"/>
  <c r="K3145" i="2"/>
  <c r="J3146" i="2" s="1"/>
  <c r="G3146" i="2"/>
  <c r="L3144" i="2"/>
  <c r="L3145" i="2" l="1"/>
  <c r="E3147" i="2"/>
  <c r="F3147" i="2" s="1"/>
  <c r="H3147" i="2"/>
  <c r="I3147" i="2" s="1"/>
  <c r="G3147" i="2"/>
  <c r="K3146" i="2"/>
  <c r="L3146" i="2" s="1"/>
  <c r="J3147" i="2" l="1"/>
  <c r="G3148" i="2"/>
  <c r="H3148" i="2"/>
  <c r="I3148" i="2" s="1"/>
  <c r="K3147" i="2"/>
  <c r="J3148" i="2" s="1"/>
  <c r="E3148" i="2"/>
  <c r="F3148" i="2" s="1"/>
  <c r="H3149" i="2" l="1"/>
  <c r="I3149" i="2" s="1"/>
  <c r="K3148" i="2"/>
  <c r="J3149" i="2" s="1"/>
  <c r="G3149" i="2"/>
  <c r="E3149" i="2"/>
  <c r="F3149" i="2" s="1"/>
  <c r="L3147" i="2"/>
  <c r="L3148" i="2" l="1"/>
  <c r="E3150" i="2"/>
  <c r="F3150" i="2" s="1"/>
  <c r="H3150" i="2"/>
  <c r="I3150" i="2" s="1"/>
  <c r="K3149" i="2"/>
  <c r="L3149" i="2" s="1"/>
  <c r="G3150" i="2"/>
  <c r="E3151" i="2" l="1"/>
  <c r="F3151" i="2" s="1"/>
  <c r="H3151" i="2"/>
  <c r="I3151" i="2" s="1"/>
  <c r="K3150" i="2"/>
  <c r="J3151" i="2" s="1"/>
  <c r="G3151" i="2"/>
  <c r="J3150" i="2"/>
  <c r="G3152" i="2" l="1"/>
  <c r="E3152" i="2"/>
  <c r="F3152" i="2" s="1"/>
  <c r="K3151" i="2"/>
  <c r="L3151" i="2" s="1"/>
  <c r="H3152" i="2"/>
  <c r="I3152" i="2" s="1"/>
  <c r="L3150" i="2"/>
  <c r="J3152" i="2" l="1"/>
  <c r="H3153" i="2"/>
  <c r="I3153" i="2" s="1"/>
  <c r="K3152" i="2"/>
  <c r="G3153" i="2"/>
  <c r="E3153" i="2"/>
  <c r="F3153" i="2" s="1"/>
  <c r="L3152" i="2" l="1"/>
  <c r="J3153" i="2"/>
  <c r="E3154" i="2"/>
  <c r="F3154" i="2" s="1"/>
  <c r="H3154" i="2"/>
  <c r="I3154" i="2" s="1"/>
  <c r="K3153" i="2"/>
  <c r="J3154" i="2" s="1"/>
  <c r="G3154" i="2"/>
  <c r="L3153" i="2" l="1"/>
  <c r="E3155" i="2"/>
  <c r="F3155" i="2" s="1"/>
  <c r="K3154" i="2"/>
  <c r="L3154" i="2" s="1"/>
  <c r="H3155" i="2"/>
  <c r="I3155" i="2" s="1"/>
  <c r="G3155" i="2"/>
  <c r="J3155" i="2" l="1"/>
  <c r="G3156" i="2"/>
  <c r="H3156" i="2"/>
  <c r="I3156" i="2" s="1"/>
  <c r="K3155" i="2"/>
  <c r="E3156" i="2"/>
  <c r="F3156" i="2" s="1"/>
  <c r="L3155" i="2" l="1"/>
  <c r="J3156" i="2"/>
  <c r="H3157" i="2"/>
  <c r="I3157" i="2" s="1"/>
  <c r="K3156" i="2"/>
  <c r="J3157" i="2" s="1"/>
  <c r="G3157" i="2"/>
  <c r="E3157" i="2"/>
  <c r="F3157" i="2" s="1"/>
  <c r="L3156" i="2" l="1"/>
  <c r="E3158" i="2"/>
  <c r="F3158" i="2" s="1"/>
  <c r="H3158" i="2"/>
  <c r="I3158" i="2" s="1"/>
  <c r="K3157" i="2"/>
  <c r="L3157" i="2" s="1"/>
  <c r="G3158" i="2"/>
  <c r="G3159" i="2" l="1"/>
  <c r="E3159" i="2"/>
  <c r="F3159" i="2" s="1"/>
  <c r="K3158" i="2"/>
  <c r="J3159" i="2" s="1"/>
  <c r="H3159" i="2"/>
  <c r="I3159" i="2" s="1"/>
  <c r="J3158" i="2"/>
  <c r="L3158" i="2" l="1"/>
  <c r="H3160" i="2"/>
  <c r="I3160" i="2" s="1"/>
  <c r="G3160" i="2"/>
  <c r="E3160" i="2"/>
  <c r="F3160" i="2" s="1"/>
  <c r="K3159" i="2"/>
  <c r="L3159" i="2" s="1"/>
  <c r="J3160" i="2" l="1"/>
  <c r="E3161" i="2"/>
  <c r="F3161" i="2" s="1"/>
  <c r="H3161" i="2"/>
  <c r="I3161" i="2" s="1"/>
  <c r="K3160" i="2"/>
  <c r="G3161" i="2"/>
  <c r="L3160" i="2" l="1"/>
  <c r="J3161" i="2"/>
  <c r="E3162" i="2"/>
  <c r="F3162" i="2" s="1"/>
  <c r="H3162" i="2"/>
  <c r="I3162" i="2" s="1"/>
  <c r="K3161" i="2"/>
  <c r="J3162" i="2" s="1"/>
  <c r="G3162" i="2"/>
  <c r="L3161" i="2" l="1"/>
  <c r="G3163" i="2"/>
  <c r="E3163" i="2"/>
  <c r="F3163" i="2" s="1"/>
  <c r="H3163" i="2"/>
  <c r="I3163" i="2" s="1"/>
  <c r="K3162" i="2"/>
  <c r="J3163" i="2" s="1"/>
  <c r="L3162" i="2" l="1"/>
  <c r="H3164" i="2"/>
  <c r="I3164" i="2" s="1"/>
  <c r="K3163" i="2"/>
  <c r="L3163" i="2" s="1"/>
  <c r="G3164" i="2"/>
  <c r="E3164" i="2"/>
  <c r="F3164" i="2" s="1"/>
  <c r="J3164" i="2" l="1"/>
  <c r="E3165" i="2"/>
  <c r="F3165" i="2" s="1"/>
  <c r="H3165" i="2"/>
  <c r="I3165" i="2" s="1"/>
  <c r="K3164" i="2"/>
  <c r="G3165" i="2"/>
  <c r="L3164" i="2" l="1"/>
  <c r="J3165" i="2"/>
  <c r="E3166" i="2"/>
  <c r="F3166" i="2" s="1"/>
  <c r="H3166" i="2"/>
  <c r="I3166" i="2" s="1"/>
  <c r="G3166" i="2"/>
  <c r="K3165" i="2"/>
  <c r="J3166" i="2" s="1"/>
  <c r="L3165" i="2" l="1"/>
  <c r="G3167" i="2"/>
  <c r="H3167" i="2"/>
  <c r="I3167" i="2" s="1"/>
  <c r="K3166" i="2"/>
  <c r="L3166" i="2" s="1"/>
  <c r="E3167" i="2"/>
  <c r="F3167" i="2" s="1"/>
  <c r="J3167" i="2" l="1"/>
  <c r="H3168" i="2"/>
  <c r="I3168" i="2" s="1"/>
  <c r="K3167" i="2"/>
  <c r="J3168" i="2" s="1"/>
  <c r="G3168" i="2"/>
  <c r="E3168" i="2"/>
  <c r="F3168" i="2" s="1"/>
  <c r="L3167" i="2" l="1"/>
  <c r="E3169" i="2"/>
  <c r="F3169" i="2" s="1"/>
  <c r="H3169" i="2"/>
  <c r="I3169" i="2" s="1"/>
  <c r="K3168" i="2"/>
  <c r="L3168" i="2" s="1"/>
  <c r="G3169" i="2"/>
  <c r="E3170" i="2" l="1"/>
  <c r="F3170" i="2" s="1"/>
  <c r="H3170" i="2"/>
  <c r="I3170" i="2" s="1"/>
  <c r="K3169" i="2"/>
  <c r="J3170" i="2" s="1"/>
  <c r="G3170" i="2"/>
  <c r="J3169" i="2"/>
  <c r="G3171" i="2" l="1"/>
  <c r="E3171" i="2"/>
  <c r="F3171" i="2" s="1"/>
  <c r="K3170" i="2"/>
  <c r="L3170" i="2" s="1"/>
  <c r="H3171" i="2"/>
  <c r="I3171" i="2" s="1"/>
  <c r="L3169" i="2"/>
  <c r="J3171" i="2" l="1"/>
  <c r="H3172" i="2"/>
  <c r="I3172" i="2" s="1"/>
  <c r="K3171" i="2"/>
  <c r="G3172" i="2"/>
  <c r="E3172" i="2"/>
  <c r="F3172" i="2" s="1"/>
  <c r="L3171" i="2" l="1"/>
  <c r="E3173" i="2"/>
  <c r="F3173" i="2" s="1"/>
  <c r="H3173" i="2"/>
  <c r="I3173" i="2" s="1"/>
  <c r="K3172" i="2"/>
  <c r="J3173" i="2" s="1"/>
  <c r="G3173" i="2"/>
  <c r="J3172" i="2"/>
  <c r="L3172" i="2" l="1"/>
  <c r="E3174" i="2"/>
  <c r="F3174" i="2" s="1"/>
  <c r="K3173" i="2"/>
  <c r="L3173" i="2" s="1"/>
  <c r="H3174" i="2"/>
  <c r="I3174" i="2" s="1"/>
  <c r="G3174" i="2"/>
  <c r="J3174" i="2" l="1"/>
  <c r="G3175" i="2"/>
  <c r="H3175" i="2"/>
  <c r="I3175" i="2" s="1"/>
  <c r="K3174" i="2"/>
  <c r="J3175" i="2" s="1"/>
  <c r="E3175" i="2"/>
  <c r="F3175" i="2" s="1"/>
  <c r="H3176" i="2" l="1"/>
  <c r="I3176" i="2" s="1"/>
  <c r="K3175" i="2"/>
  <c r="J3176" i="2" s="1"/>
  <c r="G3176" i="2"/>
  <c r="E3176" i="2"/>
  <c r="F3176" i="2" s="1"/>
  <c r="L3174" i="2"/>
  <c r="L3175" i="2" l="1"/>
  <c r="E3177" i="2"/>
  <c r="F3177" i="2" s="1"/>
  <c r="H3177" i="2"/>
  <c r="I3177" i="2" s="1"/>
  <c r="K3176" i="2"/>
  <c r="L3176" i="2" s="1"/>
  <c r="G3177" i="2"/>
  <c r="E3178" i="2" l="1"/>
  <c r="F3178" i="2" s="1"/>
  <c r="H3178" i="2"/>
  <c r="I3178" i="2" s="1"/>
  <c r="K3177" i="2"/>
  <c r="J3178" i="2" s="1"/>
  <c r="G3178" i="2"/>
  <c r="J3177" i="2"/>
  <c r="G3179" i="2" l="1"/>
  <c r="E3179" i="2"/>
  <c r="F3179" i="2" s="1"/>
  <c r="H3179" i="2"/>
  <c r="I3179" i="2" s="1"/>
  <c r="K3178" i="2"/>
  <c r="L3178" i="2" s="1"/>
  <c r="L3177" i="2"/>
  <c r="J3179" i="2" l="1"/>
  <c r="H3180" i="2"/>
  <c r="I3180" i="2" s="1"/>
  <c r="K3179" i="2"/>
  <c r="J3180" i="2" s="1"/>
  <c r="G3180" i="2"/>
  <c r="E3180" i="2"/>
  <c r="F3180" i="2" s="1"/>
  <c r="E3181" i="2" l="1"/>
  <c r="F3181" i="2" s="1"/>
  <c r="H3181" i="2"/>
  <c r="I3181" i="2" s="1"/>
  <c r="K3180" i="2"/>
  <c r="L3180" i="2" s="1"/>
  <c r="G3181" i="2"/>
  <c r="L3179" i="2"/>
  <c r="E3182" i="2" l="1"/>
  <c r="F3182" i="2" s="1"/>
  <c r="H3182" i="2"/>
  <c r="I3182" i="2" s="1"/>
  <c r="G3182" i="2"/>
  <c r="K3181" i="2"/>
  <c r="J3182" i="2" s="1"/>
  <c r="J3181" i="2"/>
  <c r="L3181" i="2" l="1"/>
  <c r="G3183" i="2"/>
  <c r="H3183" i="2"/>
  <c r="I3183" i="2" s="1"/>
  <c r="K3182" i="2"/>
  <c r="L3182" i="2" s="1"/>
  <c r="E3183" i="2"/>
  <c r="F3183" i="2" s="1"/>
  <c r="J3183" i="2" l="1"/>
  <c r="H3184" i="2"/>
  <c r="I3184" i="2" s="1"/>
  <c r="K3183" i="2"/>
  <c r="J3184" i="2" s="1"/>
  <c r="G3184" i="2"/>
  <c r="E3184" i="2"/>
  <c r="F3184" i="2" s="1"/>
  <c r="L3183" i="2" l="1"/>
  <c r="E3185" i="2"/>
  <c r="F3185" i="2" s="1"/>
  <c r="H3185" i="2"/>
  <c r="I3185" i="2" s="1"/>
  <c r="K3184" i="2"/>
  <c r="L3184" i="2" s="1"/>
  <c r="G3185" i="2"/>
  <c r="J3185" i="2" l="1"/>
  <c r="E3186" i="2"/>
  <c r="F3186" i="2" s="1"/>
  <c r="H3186" i="2"/>
  <c r="I3186" i="2" s="1"/>
  <c r="K3185" i="2"/>
  <c r="J3186" i="2" s="1"/>
  <c r="G3186" i="2"/>
  <c r="G3187" i="2" l="1"/>
  <c r="E3187" i="2"/>
  <c r="F3187" i="2" s="1"/>
  <c r="K3186" i="2"/>
  <c r="L3186" i="2" s="1"/>
  <c r="H3187" i="2"/>
  <c r="I3187" i="2" s="1"/>
  <c r="L3185" i="2"/>
  <c r="J3187" i="2" l="1"/>
  <c r="H3188" i="2"/>
  <c r="I3188" i="2" s="1"/>
  <c r="K3187" i="2"/>
  <c r="G3188" i="2"/>
  <c r="E3188" i="2"/>
  <c r="F3188" i="2" s="1"/>
  <c r="L3187" i="2" l="1"/>
  <c r="E3189" i="2"/>
  <c r="F3189" i="2" s="1"/>
  <c r="H3189" i="2"/>
  <c r="I3189" i="2" s="1"/>
  <c r="K3188" i="2"/>
  <c r="J3189" i="2" s="1"/>
  <c r="G3189" i="2"/>
  <c r="J3188" i="2"/>
  <c r="E3190" i="2" l="1"/>
  <c r="F3190" i="2" s="1"/>
  <c r="K3189" i="2"/>
  <c r="L3189" i="2" s="1"/>
  <c r="H3190" i="2"/>
  <c r="I3190" i="2" s="1"/>
  <c r="G3190" i="2"/>
  <c r="L3188" i="2"/>
  <c r="J3190" i="2" l="1"/>
  <c r="G3191" i="2"/>
  <c r="H3191" i="2"/>
  <c r="I3191" i="2" s="1"/>
  <c r="K3190" i="2"/>
  <c r="J3191" i="2" s="1"/>
  <c r="E3191" i="2"/>
  <c r="F3191" i="2" s="1"/>
  <c r="H3192" i="2" l="1"/>
  <c r="I3192" i="2" s="1"/>
  <c r="K3191" i="2"/>
  <c r="J3192" i="2" s="1"/>
  <c r="G3192" i="2"/>
  <c r="E3192" i="2"/>
  <c r="F3192" i="2" s="1"/>
  <c r="L3190" i="2"/>
  <c r="L3191" i="2" l="1"/>
  <c r="E3193" i="2"/>
  <c r="F3193" i="2" s="1"/>
  <c r="H3193" i="2"/>
  <c r="I3193" i="2" s="1"/>
  <c r="K3192" i="2"/>
  <c r="L3192" i="2" s="1"/>
  <c r="G3193" i="2"/>
  <c r="E3194" i="2" l="1"/>
  <c r="F3194" i="2" s="1"/>
  <c r="H3194" i="2"/>
  <c r="I3194" i="2" s="1"/>
  <c r="K3193" i="2"/>
  <c r="J3194" i="2" s="1"/>
  <c r="G3194" i="2"/>
  <c r="J3193" i="2"/>
  <c r="G3195" i="2" l="1"/>
  <c r="E3195" i="2"/>
  <c r="F3195" i="2" s="1"/>
  <c r="H3195" i="2"/>
  <c r="I3195" i="2" s="1"/>
  <c r="K3194" i="2"/>
  <c r="L3194" i="2" s="1"/>
  <c r="L3193" i="2"/>
  <c r="J3195" i="2" l="1"/>
  <c r="H3196" i="2"/>
  <c r="I3196" i="2" s="1"/>
  <c r="K3195" i="2"/>
  <c r="L3195" i="2" s="1"/>
  <c r="G3196" i="2"/>
  <c r="E3196" i="2"/>
  <c r="F3196" i="2" s="1"/>
  <c r="E3197" i="2" l="1"/>
  <c r="F3197" i="2" s="1"/>
  <c r="H3197" i="2"/>
  <c r="I3197" i="2" s="1"/>
  <c r="K3196" i="2"/>
  <c r="J3197" i="2" s="1"/>
  <c r="G3197" i="2"/>
  <c r="J3196" i="2"/>
  <c r="E3198" i="2" l="1"/>
  <c r="F3198" i="2" s="1"/>
  <c r="H3198" i="2"/>
  <c r="I3198" i="2" s="1"/>
  <c r="G3198" i="2"/>
  <c r="K3197" i="2"/>
  <c r="J3198" i="2" s="1"/>
  <c r="L3196" i="2"/>
  <c r="L3197" i="2" l="1"/>
  <c r="G3199" i="2"/>
  <c r="H3199" i="2"/>
  <c r="I3199" i="2" s="1"/>
  <c r="K3198" i="2"/>
  <c r="L3198" i="2" s="1"/>
  <c r="E3199" i="2"/>
  <c r="F3199" i="2" s="1"/>
  <c r="J3199" i="2" l="1"/>
  <c r="H3200" i="2"/>
  <c r="I3200" i="2" s="1"/>
  <c r="K3199" i="2"/>
  <c r="J3200" i="2" s="1"/>
  <c r="G3200" i="2"/>
  <c r="E3200" i="2"/>
  <c r="F3200" i="2" s="1"/>
  <c r="L3199" i="2" l="1"/>
  <c r="E3201" i="2"/>
  <c r="F3201" i="2" s="1"/>
  <c r="H3201" i="2"/>
  <c r="I3201" i="2" s="1"/>
  <c r="K3200" i="2"/>
  <c r="L3200" i="2" s="1"/>
  <c r="G3201" i="2"/>
  <c r="E3202" i="2" l="1"/>
  <c r="F3202" i="2" s="1"/>
  <c r="H3202" i="2"/>
  <c r="I3202" i="2" s="1"/>
  <c r="K3201" i="2"/>
  <c r="J3202" i="2" s="1"/>
  <c r="G3202" i="2"/>
  <c r="J3201" i="2"/>
  <c r="G3203" i="2" l="1"/>
  <c r="E3203" i="2"/>
  <c r="F3203" i="2" s="1"/>
  <c r="K3202" i="2"/>
  <c r="L3202" i="2" s="1"/>
  <c r="H3203" i="2"/>
  <c r="I3203" i="2" s="1"/>
  <c r="L3201" i="2"/>
  <c r="J3203" i="2" l="1"/>
  <c r="H3204" i="2"/>
  <c r="I3204" i="2" s="1"/>
  <c r="K3203" i="2"/>
  <c r="J3204" i="2" s="1"/>
  <c r="G3204" i="2"/>
  <c r="E3204" i="2"/>
  <c r="F3204" i="2" s="1"/>
  <c r="E3205" i="2" l="1"/>
  <c r="F3205" i="2" s="1"/>
  <c r="H3205" i="2"/>
  <c r="I3205" i="2" s="1"/>
  <c r="K3204" i="2"/>
  <c r="L3204" i="2" s="1"/>
  <c r="G3205" i="2"/>
  <c r="L3203" i="2"/>
  <c r="J3205" i="2" l="1"/>
  <c r="E3206" i="2"/>
  <c r="F3206" i="2" s="1"/>
  <c r="K3205" i="2"/>
  <c r="L3205" i="2" s="1"/>
  <c r="H3206" i="2"/>
  <c r="I3206" i="2" s="1"/>
  <c r="G3206" i="2"/>
  <c r="J3206" i="2" l="1"/>
  <c r="G3207" i="2"/>
  <c r="H3207" i="2"/>
  <c r="I3207" i="2" s="1"/>
  <c r="K3206" i="2"/>
  <c r="E3207" i="2"/>
  <c r="F3207" i="2" s="1"/>
  <c r="L3206" i="2" l="1"/>
  <c r="J3207" i="2"/>
  <c r="H3208" i="2"/>
  <c r="I3208" i="2" s="1"/>
  <c r="K3207" i="2"/>
  <c r="J3208" i="2" s="1"/>
  <c r="G3208" i="2"/>
  <c r="E3208" i="2"/>
  <c r="F3208" i="2" s="1"/>
  <c r="L3207" i="2" l="1"/>
  <c r="E3209" i="2"/>
  <c r="F3209" i="2" s="1"/>
  <c r="H3209" i="2"/>
  <c r="I3209" i="2" s="1"/>
  <c r="K3208" i="2"/>
  <c r="L3208" i="2" s="1"/>
  <c r="G3209" i="2"/>
  <c r="E3210" i="2" l="1"/>
  <c r="F3210" i="2" s="1"/>
  <c r="H3210" i="2"/>
  <c r="I3210" i="2" s="1"/>
  <c r="K3209" i="2"/>
  <c r="J3210" i="2" s="1"/>
  <c r="G3210" i="2"/>
  <c r="J3209" i="2"/>
  <c r="G3211" i="2" l="1"/>
  <c r="E3211" i="2"/>
  <c r="F3211" i="2" s="1"/>
  <c r="H3211" i="2"/>
  <c r="I3211" i="2" s="1"/>
  <c r="K3210" i="2"/>
  <c r="L3210" i="2" s="1"/>
  <c r="L3209" i="2"/>
  <c r="J3211" i="2" l="1"/>
  <c r="H3212" i="2"/>
  <c r="I3212" i="2" s="1"/>
  <c r="K3211" i="2"/>
  <c r="J3212" i="2" s="1"/>
  <c r="G3212" i="2"/>
  <c r="E3212" i="2"/>
  <c r="F3212" i="2" s="1"/>
  <c r="E3213" i="2" l="1"/>
  <c r="F3213" i="2" s="1"/>
  <c r="H3213" i="2"/>
  <c r="I3213" i="2" s="1"/>
  <c r="K3212" i="2"/>
  <c r="L3212" i="2" s="1"/>
  <c r="G3213" i="2"/>
  <c r="L3211" i="2"/>
  <c r="J3213" i="2" l="1"/>
  <c r="E3214" i="2"/>
  <c r="F3214" i="2" s="1"/>
  <c r="H3214" i="2"/>
  <c r="I3214" i="2" s="1"/>
  <c r="G3214" i="2"/>
  <c r="K3213" i="2"/>
  <c r="J3214" i="2" s="1"/>
  <c r="L3213" i="2" l="1"/>
  <c r="G3215" i="2"/>
  <c r="H3215" i="2"/>
  <c r="I3215" i="2" s="1"/>
  <c r="K3214" i="2"/>
  <c r="L3214" i="2" s="1"/>
  <c r="E3215" i="2"/>
  <c r="F3215" i="2" s="1"/>
  <c r="J3215" i="2" l="1"/>
  <c r="H3216" i="2"/>
  <c r="I3216" i="2" s="1"/>
  <c r="K3215" i="2"/>
  <c r="J3216" i="2" s="1"/>
  <c r="G3216" i="2"/>
  <c r="E3216" i="2"/>
  <c r="F3216" i="2" s="1"/>
  <c r="L3215" i="2" l="1"/>
  <c r="E3217" i="2"/>
  <c r="F3217" i="2" s="1"/>
  <c r="H3217" i="2"/>
  <c r="I3217" i="2" s="1"/>
  <c r="K3216" i="2"/>
  <c r="L3216" i="2" s="1"/>
  <c r="G3217" i="2"/>
  <c r="J3217" i="2" l="1"/>
  <c r="E3218" i="2"/>
  <c r="F3218" i="2" s="1"/>
  <c r="H3218" i="2"/>
  <c r="I3218" i="2" s="1"/>
  <c r="K3217" i="2"/>
  <c r="J3218" i="2" s="1"/>
  <c r="G3218" i="2"/>
  <c r="G3219" i="2" l="1"/>
  <c r="E3219" i="2"/>
  <c r="F3219" i="2" s="1"/>
  <c r="K3218" i="2"/>
  <c r="L3218" i="2" s="1"/>
  <c r="H3219" i="2"/>
  <c r="I3219" i="2" s="1"/>
  <c r="L3217" i="2"/>
  <c r="J3219" i="2" l="1"/>
  <c r="H3220" i="2"/>
  <c r="I3220" i="2" s="1"/>
  <c r="K3219" i="2"/>
  <c r="G3220" i="2"/>
  <c r="E3220" i="2"/>
  <c r="F3220" i="2" s="1"/>
  <c r="L3219" i="2" l="1"/>
  <c r="E3221" i="2"/>
  <c r="F3221" i="2" s="1"/>
  <c r="H3221" i="2"/>
  <c r="I3221" i="2" s="1"/>
  <c r="K3220" i="2"/>
  <c r="J3221" i="2" s="1"/>
  <c r="G3221" i="2"/>
  <c r="J3220" i="2"/>
  <c r="L3220" i="2" l="1"/>
  <c r="E3222" i="2"/>
  <c r="F3222" i="2" s="1"/>
  <c r="K3221" i="2"/>
  <c r="L3221" i="2" s="1"/>
  <c r="H3222" i="2"/>
  <c r="I3222" i="2" s="1"/>
  <c r="G3222" i="2"/>
  <c r="J3222" i="2" l="1"/>
  <c r="G3223" i="2"/>
  <c r="H3223" i="2"/>
  <c r="I3223" i="2" s="1"/>
  <c r="K3222" i="2"/>
  <c r="E3223" i="2"/>
  <c r="F3223" i="2" s="1"/>
  <c r="L3222" i="2" l="1"/>
  <c r="J3223" i="2"/>
  <c r="H3224" i="2"/>
  <c r="I3224" i="2" s="1"/>
  <c r="K3223" i="2"/>
  <c r="J3224" i="2" s="1"/>
  <c r="G3224" i="2"/>
  <c r="E3224" i="2"/>
  <c r="F3224" i="2" s="1"/>
  <c r="L3223" i="2" l="1"/>
  <c r="E3225" i="2"/>
  <c r="F3225" i="2" s="1"/>
  <c r="H3225" i="2"/>
  <c r="I3225" i="2" s="1"/>
  <c r="K3224" i="2"/>
  <c r="L3224" i="2" s="1"/>
  <c r="G3225" i="2"/>
  <c r="J3225" i="2" l="1"/>
  <c r="E3226" i="2"/>
  <c r="F3226" i="2" s="1"/>
  <c r="H3226" i="2"/>
  <c r="I3226" i="2" s="1"/>
  <c r="K3225" i="2"/>
  <c r="G3226" i="2"/>
  <c r="L3225" i="2" l="1"/>
  <c r="J3226" i="2"/>
  <c r="G3227" i="2"/>
  <c r="E3227" i="2"/>
  <c r="F3227" i="2" s="1"/>
  <c r="H3227" i="2"/>
  <c r="I3227" i="2" s="1"/>
  <c r="K3226" i="2"/>
  <c r="J3227" i="2" s="1"/>
  <c r="L3226" i="2" l="1"/>
  <c r="H3228" i="2"/>
  <c r="I3228" i="2" s="1"/>
  <c r="K3227" i="2"/>
  <c r="J3228" i="2" s="1"/>
  <c r="G3228" i="2"/>
  <c r="E3228" i="2"/>
  <c r="F3228" i="2" s="1"/>
  <c r="L3227" i="2" l="1"/>
  <c r="E3229" i="2"/>
  <c r="F3229" i="2" s="1"/>
  <c r="H3229" i="2"/>
  <c r="I3229" i="2" s="1"/>
  <c r="K3228" i="2"/>
  <c r="L3228" i="2" s="1"/>
  <c r="G3229" i="2"/>
  <c r="E3230" i="2" l="1"/>
  <c r="F3230" i="2" s="1"/>
  <c r="H3230" i="2"/>
  <c r="I3230" i="2" s="1"/>
  <c r="G3230" i="2"/>
  <c r="K3229" i="2"/>
  <c r="J3230" i="2" s="1"/>
  <c r="J3229" i="2"/>
  <c r="L3229" i="2" l="1"/>
  <c r="G3231" i="2"/>
  <c r="H3231" i="2"/>
  <c r="I3231" i="2" s="1"/>
  <c r="K3230" i="2"/>
  <c r="L3230" i="2" s="1"/>
  <c r="E3231" i="2"/>
  <c r="F3231" i="2" s="1"/>
  <c r="J3231" i="2" l="1"/>
  <c r="H3232" i="2"/>
  <c r="I3232" i="2" s="1"/>
  <c r="K3231" i="2"/>
  <c r="J3232" i="2" s="1"/>
  <c r="G3232" i="2"/>
  <c r="E3232" i="2"/>
  <c r="F3232" i="2" s="1"/>
  <c r="L3231" i="2" l="1"/>
  <c r="E3233" i="2"/>
  <c r="F3233" i="2" s="1"/>
  <c r="H3233" i="2"/>
  <c r="I3233" i="2" s="1"/>
  <c r="K3232" i="2"/>
  <c r="L3232" i="2" s="1"/>
  <c r="G3233" i="2"/>
  <c r="E3234" i="2" l="1"/>
  <c r="F3234" i="2" s="1"/>
  <c r="H3234" i="2"/>
  <c r="I3234" i="2" s="1"/>
  <c r="K3233" i="2"/>
  <c r="J3234" i="2" s="1"/>
  <c r="G3234" i="2"/>
  <c r="J3233" i="2"/>
  <c r="G3235" i="2" l="1"/>
  <c r="E3235" i="2"/>
  <c r="F3235" i="2" s="1"/>
  <c r="K3234" i="2"/>
  <c r="L3234" i="2" s="1"/>
  <c r="H3235" i="2"/>
  <c r="I3235" i="2" s="1"/>
  <c r="L3233" i="2"/>
  <c r="J3235" i="2" l="1"/>
  <c r="H3236" i="2"/>
  <c r="I3236" i="2" s="1"/>
  <c r="K3235" i="2"/>
  <c r="G3236" i="2"/>
  <c r="E3236" i="2"/>
  <c r="F3236" i="2" s="1"/>
  <c r="L3235" i="2" l="1"/>
  <c r="E3237" i="2"/>
  <c r="F3237" i="2" s="1"/>
  <c r="H3237" i="2"/>
  <c r="I3237" i="2" s="1"/>
  <c r="K3236" i="2"/>
  <c r="J3237" i="2" s="1"/>
  <c r="G3237" i="2"/>
  <c r="J3236" i="2"/>
  <c r="L3236" i="2" l="1"/>
  <c r="E3238" i="2"/>
  <c r="F3238" i="2" s="1"/>
  <c r="K3237" i="2"/>
  <c r="L3237" i="2" s="1"/>
  <c r="H3238" i="2"/>
  <c r="I3238" i="2" s="1"/>
  <c r="G3238" i="2"/>
  <c r="J3238" i="2" l="1"/>
  <c r="G3239" i="2"/>
  <c r="H3239" i="2"/>
  <c r="I3239" i="2" s="1"/>
  <c r="K3238" i="2"/>
  <c r="L3238" i="2" s="1"/>
  <c r="E3239" i="2"/>
  <c r="F3239" i="2" s="1"/>
  <c r="J3239" i="2" l="1"/>
  <c r="H3240" i="2"/>
  <c r="I3240" i="2" s="1"/>
  <c r="K3239" i="2"/>
  <c r="J3240" i="2" s="1"/>
  <c r="G3240" i="2"/>
  <c r="E3240" i="2"/>
  <c r="F3240" i="2" s="1"/>
  <c r="L3239" i="2" l="1"/>
  <c r="E3241" i="2"/>
  <c r="F3241" i="2" s="1"/>
  <c r="H3241" i="2"/>
  <c r="I3241" i="2" s="1"/>
  <c r="K3240" i="2"/>
  <c r="L3240" i="2" s="1"/>
  <c r="G3241" i="2"/>
  <c r="J3241" i="2" l="1"/>
  <c r="E3242" i="2"/>
  <c r="F3242" i="2" s="1"/>
  <c r="H3242" i="2"/>
  <c r="I3242" i="2" s="1"/>
  <c r="K3241" i="2"/>
  <c r="J3242" i="2" s="1"/>
  <c r="G3242" i="2"/>
  <c r="G3243" i="2" l="1"/>
  <c r="E3243" i="2"/>
  <c r="F3243" i="2" s="1"/>
  <c r="H3243" i="2"/>
  <c r="I3243" i="2" s="1"/>
  <c r="K3242" i="2"/>
  <c r="L3242" i="2" s="1"/>
  <c r="L3241" i="2"/>
  <c r="J3243" i="2" l="1"/>
  <c r="H3244" i="2"/>
  <c r="I3244" i="2" s="1"/>
  <c r="K3243" i="2"/>
  <c r="J3244" i="2" s="1"/>
  <c r="G3244" i="2"/>
  <c r="E3244" i="2"/>
  <c r="F3244" i="2" s="1"/>
  <c r="E3245" i="2" l="1"/>
  <c r="F3245" i="2" s="1"/>
  <c r="H3245" i="2"/>
  <c r="I3245" i="2" s="1"/>
  <c r="K3244" i="2"/>
  <c r="L3244" i="2" s="1"/>
  <c r="G3245" i="2"/>
  <c r="L3243" i="2"/>
  <c r="E3246" i="2" l="1"/>
  <c r="F3246" i="2" s="1"/>
  <c r="H3246" i="2"/>
  <c r="I3246" i="2" s="1"/>
  <c r="G3246" i="2"/>
  <c r="K3245" i="2"/>
  <c r="J3246" i="2" s="1"/>
  <c r="J3245" i="2"/>
  <c r="L3245" i="2" l="1"/>
  <c r="G3247" i="2"/>
  <c r="H3247" i="2"/>
  <c r="I3247" i="2" s="1"/>
  <c r="K3246" i="2"/>
  <c r="L3246" i="2" s="1"/>
  <c r="E3247" i="2"/>
  <c r="F3247" i="2" s="1"/>
  <c r="J3247" i="2" l="1"/>
  <c r="H3248" i="2"/>
  <c r="I3248" i="2" s="1"/>
  <c r="K3247" i="2"/>
  <c r="J3248" i="2" s="1"/>
  <c r="G3248" i="2"/>
  <c r="E3248" i="2"/>
  <c r="F3248" i="2" s="1"/>
  <c r="L3247" i="2" l="1"/>
  <c r="E3249" i="2"/>
  <c r="F3249" i="2" s="1"/>
  <c r="H3249" i="2"/>
  <c r="I3249" i="2" s="1"/>
  <c r="K3248" i="2"/>
  <c r="L3248" i="2" s="1"/>
  <c r="G3249" i="2"/>
  <c r="J3249" i="2" l="1"/>
  <c r="E3250" i="2"/>
  <c r="F3250" i="2" s="1"/>
  <c r="H3250" i="2"/>
  <c r="I3250" i="2" s="1"/>
  <c r="K3249" i="2"/>
  <c r="J3250" i="2" s="1"/>
  <c r="G3250" i="2"/>
  <c r="G3251" i="2" l="1"/>
  <c r="E3251" i="2"/>
  <c r="F3251" i="2" s="1"/>
  <c r="K3250" i="2"/>
  <c r="L3250" i="2" s="1"/>
  <c r="H3251" i="2"/>
  <c r="I3251" i="2" s="1"/>
  <c r="L3249" i="2"/>
  <c r="J3251" i="2" l="1"/>
  <c r="H3252" i="2"/>
  <c r="I3252" i="2" s="1"/>
  <c r="K3251" i="2"/>
  <c r="G3252" i="2"/>
  <c r="E3252" i="2"/>
  <c r="F3252" i="2" s="1"/>
  <c r="L3251" i="2" l="1"/>
  <c r="E3253" i="2"/>
  <c r="F3253" i="2" s="1"/>
  <c r="H3253" i="2"/>
  <c r="I3253" i="2" s="1"/>
  <c r="K3252" i="2"/>
  <c r="J3253" i="2" s="1"/>
  <c r="G3253" i="2"/>
  <c r="J3252" i="2"/>
  <c r="L3252" i="2" l="1"/>
  <c r="E3254" i="2"/>
  <c r="F3254" i="2" s="1"/>
  <c r="K3253" i="2"/>
  <c r="L3253" i="2" s="1"/>
  <c r="H3254" i="2"/>
  <c r="I3254" i="2" s="1"/>
  <c r="G3254" i="2"/>
  <c r="J3254" i="2" l="1"/>
  <c r="G3255" i="2"/>
  <c r="H3255" i="2"/>
  <c r="I3255" i="2" s="1"/>
  <c r="K3254" i="2"/>
  <c r="E3255" i="2"/>
  <c r="F3255" i="2" s="1"/>
  <c r="L3254" i="2" l="1"/>
  <c r="J3255" i="2"/>
  <c r="H3256" i="2"/>
  <c r="I3256" i="2" s="1"/>
  <c r="K3255" i="2"/>
  <c r="J3256" i="2" s="1"/>
  <c r="G3256" i="2"/>
  <c r="E3256" i="2"/>
  <c r="F3256" i="2" s="1"/>
  <c r="L3255" i="2" l="1"/>
  <c r="E3257" i="2"/>
  <c r="F3257" i="2" s="1"/>
  <c r="H3257" i="2"/>
  <c r="I3257" i="2" s="1"/>
  <c r="K3256" i="2"/>
  <c r="L3256" i="2" s="1"/>
  <c r="G3257" i="2"/>
  <c r="E3258" i="2" l="1"/>
  <c r="F3258" i="2" s="1"/>
  <c r="H3258" i="2"/>
  <c r="I3258" i="2" s="1"/>
  <c r="K3257" i="2"/>
  <c r="J3258" i="2" s="1"/>
  <c r="G3258" i="2"/>
  <c r="J3257" i="2"/>
  <c r="G3259" i="2" l="1"/>
  <c r="E3259" i="2"/>
  <c r="F3259" i="2" s="1"/>
  <c r="H3259" i="2"/>
  <c r="I3259" i="2" s="1"/>
  <c r="K3258" i="2"/>
  <c r="L3258" i="2" s="1"/>
  <c r="L3257" i="2"/>
  <c r="J3259" i="2" l="1"/>
  <c r="H3260" i="2"/>
  <c r="I3260" i="2" s="1"/>
  <c r="K3259" i="2"/>
  <c r="J3260" i="2" s="1"/>
  <c r="G3260" i="2"/>
  <c r="E3260" i="2"/>
  <c r="F3260" i="2" s="1"/>
  <c r="E3261" i="2" l="1"/>
  <c r="F3261" i="2" s="1"/>
  <c r="H3261" i="2"/>
  <c r="I3261" i="2" s="1"/>
  <c r="K3260" i="2"/>
  <c r="L3260" i="2" s="1"/>
  <c r="G3261" i="2"/>
  <c r="L3259" i="2"/>
  <c r="E3262" i="2" l="1"/>
  <c r="F3262" i="2" s="1"/>
  <c r="H3262" i="2"/>
  <c r="I3262" i="2" s="1"/>
  <c r="G3262" i="2"/>
  <c r="K3261" i="2"/>
  <c r="J3262" i="2" s="1"/>
  <c r="J3261" i="2"/>
  <c r="L3261" i="2" l="1"/>
  <c r="G3263" i="2"/>
  <c r="H3263" i="2"/>
  <c r="I3263" i="2" s="1"/>
  <c r="K3262" i="2"/>
  <c r="L3262" i="2" s="1"/>
  <c r="E3263" i="2"/>
  <c r="F3263" i="2" s="1"/>
  <c r="J3263" i="2" l="1"/>
  <c r="H3264" i="2"/>
  <c r="I3264" i="2" s="1"/>
  <c r="K3263" i="2"/>
  <c r="J3264" i="2" s="1"/>
  <c r="G3264" i="2"/>
  <c r="E3264" i="2"/>
  <c r="F3264" i="2" s="1"/>
  <c r="L3263" i="2" l="1"/>
  <c r="E3265" i="2"/>
  <c r="F3265" i="2" s="1"/>
  <c r="H3265" i="2"/>
  <c r="I3265" i="2" s="1"/>
  <c r="K3264" i="2"/>
  <c r="L3264" i="2" s="1"/>
  <c r="G3265" i="2"/>
  <c r="E3266" i="2" l="1"/>
  <c r="F3266" i="2" s="1"/>
  <c r="H3266" i="2"/>
  <c r="I3266" i="2" s="1"/>
  <c r="K3265" i="2"/>
  <c r="J3266" i="2" s="1"/>
  <c r="G3266" i="2"/>
  <c r="J3265" i="2"/>
  <c r="G3267" i="2" l="1"/>
  <c r="E3267" i="2"/>
  <c r="F3267" i="2" s="1"/>
  <c r="K3266" i="2"/>
  <c r="L3266" i="2" s="1"/>
  <c r="H3267" i="2"/>
  <c r="I3267" i="2" s="1"/>
  <c r="L3265" i="2"/>
  <c r="J3267" i="2" l="1"/>
  <c r="H3268" i="2"/>
  <c r="I3268" i="2" s="1"/>
  <c r="K3267" i="2"/>
  <c r="G3268" i="2"/>
  <c r="E3268" i="2"/>
  <c r="F3268" i="2" s="1"/>
  <c r="L3267" i="2" l="1"/>
  <c r="E3269" i="2"/>
  <c r="F3269" i="2" s="1"/>
  <c r="H3269" i="2"/>
  <c r="I3269" i="2" s="1"/>
  <c r="K3268" i="2"/>
  <c r="J3269" i="2" s="1"/>
  <c r="G3269" i="2"/>
  <c r="J3268" i="2"/>
  <c r="L3268" i="2" l="1"/>
  <c r="E3270" i="2"/>
  <c r="F3270" i="2" s="1"/>
  <c r="K3269" i="2"/>
  <c r="L3269" i="2" s="1"/>
  <c r="H3270" i="2"/>
  <c r="I3270" i="2" s="1"/>
  <c r="G3270" i="2"/>
  <c r="J3270" i="2" l="1"/>
  <c r="G3271" i="2"/>
  <c r="H3271" i="2"/>
  <c r="I3271" i="2" s="1"/>
  <c r="K3270" i="2"/>
  <c r="E3271" i="2"/>
  <c r="F3271" i="2" s="1"/>
  <c r="L3270" i="2" l="1"/>
  <c r="J3271" i="2"/>
  <c r="H3272" i="2"/>
  <c r="I3272" i="2" s="1"/>
  <c r="K3271" i="2"/>
  <c r="J3272" i="2" s="1"/>
  <c r="G3272" i="2"/>
  <c r="E3272" i="2"/>
  <c r="F3272" i="2" s="1"/>
  <c r="L3271" i="2" l="1"/>
  <c r="E3273" i="2"/>
  <c r="F3273" i="2" s="1"/>
  <c r="H3273" i="2"/>
  <c r="I3273" i="2" s="1"/>
  <c r="K3272" i="2"/>
  <c r="L3272" i="2" s="1"/>
  <c r="G3273" i="2"/>
  <c r="E3274" i="2" l="1"/>
  <c r="F3274" i="2" s="1"/>
  <c r="H3274" i="2"/>
  <c r="I3274" i="2" s="1"/>
  <c r="K3273" i="2"/>
  <c r="J3274" i="2" s="1"/>
  <c r="G3274" i="2"/>
  <c r="J3273" i="2"/>
  <c r="G3275" i="2" l="1"/>
  <c r="E3275" i="2"/>
  <c r="F3275" i="2" s="1"/>
  <c r="H3275" i="2"/>
  <c r="I3275" i="2" s="1"/>
  <c r="K3274" i="2"/>
  <c r="L3274" i="2" s="1"/>
  <c r="L3273" i="2"/>
  <c r="J3275" i="2" l="1"/>
  <c r="H3276" i="2"/>
  <c r="I3276" i="2" s="1"/>
  <c r="K3275" i="2"/>
  <c r="J3276" i="2" s="1"/>
  <c r="G3276" i="2"/>
  <c r="E3276" i="2"/>
  <c r="F3276" i="2" s="1"/>
  <c r="E3277" i="2" l="1"/>
  <c r="F3277" i="2" s="1"/>
  <c r="H3277" i="2"/>
  <c r="I3277" i="2" s="1"/>
  <c r="K3276" i="2"/>
  <c r="L3276" i="2" s="1"/>
  <c r="G3277" i="2"/>
  <c r="L3275" i="2"/>
  <c r="E3278" i="2" l="1"/>
  <c r="F3278" i="2" s="1"/>
  <c r="H3278" i="2"/>
  <c r="I3278" i="2" s="1"/>
  <c r="G3278" i="2"/>
  <c r="K3277" i="2"/>
  <c r="J3278" i="2" s="1"/>
  <c r="J3277" i="2"/>
  <c r="L3277" i="2" l="1"/>
  <c r="G3279" i="2"/>
  <c r="H3279" i="2"/>
  <c r="I3279" i="2" s="1"/>
  <c r="K3278" i="2"/>
  <c r="L3278" i="2" s="1"/>
  <c r="E3279" i="2"/>
  <c r="F3279" i="2" s="1"/>
  <c r="J3279" i="2" l="1"/>
  <c r="H3280" i="2"/>
  <c r="I3280" i="2" s="1"/>
  <c r="K3279" i="2"/>
  <c r="J3280" i="2" s="1"/>
  <c r="G3280" i="2"/>
  <c r="E3280" i="2"/>
  <c r="F3280" i="2" s="1"/>
  <c r="L3279" i="2" l="1"/>
  <c r="E3281" i="2"/>
  <c r="F3281" i="2" s="1"/>
  <c r="H3281" i="2"/>
  <c r="I3281" i="2" s="1"/>
  <c r="K3280" i="2"/>
  <c r="L3280" i="2" s="1"/>
  <c r="G3281" i="2"/>
  <c r="J3281" i="2" l="1"/>
  <c r="E3282" i="2"/>
  <c r="F3282" i="2" s="1"/>
  <c r="H3282" i="2"/>
  <c r="I3282" i="2" s="1"/>
  <c r="K3281" i="2"/>
  <c r="J3282" i="2" s="1"/>
  <c r="G3282" i="2"/>
  <c r="G3283" i="2" l="1"/>
  <c r="E3283" i="2"/>
  <c r="F3283" i="2" s="1"/>
  <c r="K3282" i="2"/>
  <c r="L3282" i="2" s="1"/>
  <c r="H3283" i="2"/>
  <c r="I3283" i="2" s="1"/>
  <c r="L3281" i="2"/>
  <c r="J3283" i="2" l="1"/>
  <c r="H3284" i="2"/>
  <c r="I3284" i="2" s="1"/>
  <c r="K3283" i="2"/>
  <c r="G3284" i="2"/>
  <c r="E3284" i="2"/>
  <c r="F3284" i="2" s="1"/>
  <c r="L3283" i="2" l="1"/>
  <c r="E3285" i="2"/>
  <c r="F3285" i="2" s="1"/>
  <c r="H3285" i="2"/>
  <c r="I3285" i="2" s="1"/>
  <c r="K3284" i="2"/>
  <c r="J3285" i="2" s="1"/>
  <c r="G3285" i="2"/>
  <c r="J3284" i="2"/>
  <c r="L3284" i="2" l="1"/>
  <c r="E3286" i="2"/>
  <c r="F3286" i="2" s="1"/>
  <c r="K3285" i="2"/>
  <c r="L3285" i="2" s="1"/>
  <c r="H3286" i="2"/>
  <c r="I3286" i="2" s="1"/>
  <c r="G3286" i="2"/>
  <c r="J3286" i="2" l="1"/>
  <c r="G3287" i="2"/>
  <c r="H3287" i="2"/>
  <c r="I3287" i="2" s="1"/>
  <c r="K3286" i="2"/>
  <c r="E3287" i="2"/>
  <c r="F3287" i="2" s="1"/>
  <c r="L3286" i="2" l="1"/>
  <c r="J3287" i="2"/>
  <c r="H3288" i="2"/>
  <c r="I3288" i="2" s="1"/>
  <c r="K3287" i="2"/>
  <c r="J3288" i="2" s="1"/>
  <c r="G3288" i="2"/>
  <c r="E3288" i="2"/>
  <c r="F3288" i="2" s="1"/>
  <c r="L3287" i="2" l="1"/>
  <c r="E3289" i="2"/>
  <c r="F3289" i="2" s="1"/>
  <c r="H3289" i="2"/>
  <c r="I3289" i="2" s="1"/>
  <c r="K3288" i="2"/>
  <c r="L3288" i="2" s="1"/>
  <c r="G3289" i="2"/>
  <c r="J3289" i="2" l="1"/>
  <c r="E3290" i="2"/>
  <c r="F3290" i="2" s="1"/>
  <c r="H3290" i="2"/>
  <c r="I3290" i="2" s="1"/>
  <c r="K3289" i="2"/>
  <c r="J3290" i="2" s="1"/>
  <c r="G3290" i="2"/>
  <c r="G3291" i="2" l="1"/>
  <c r="E3291" i="2"/>
  <c r="F3291" i="2" s="1"/>
  <c r="H3291" i="2"/>
  <c r="I3291" i="2" s="1"/>
  <c r="K3290" i="2"/>
  <c r="L3290" i="2" s="1"/>
  <c r="L3289" i="2"/>
  <c r="J3291" i="2" l="1"/>
  <c r="H3292" i="2"/>
  <c r="I3292" i="2" s="1"/>
  <c r="K3291" i="2"/>
  <c r="J3292" i="2" s="1"/>
  <c r="G3292" i="2"/>
  <c r="E3292" i="2"/>
  <c r="F3292" i="2" s="1"/>
  <c r="E3293" i="2" l="1"/>
  <c r="F3293" i="2" s="1"/>
  <c r="H3293" i="2"/>
  <c r="I3293" i="2" s="1"/>
  <c r="K3292" i="2"/>
  <c r="L3292" i="2" s="1"/>
  <c r="G3293" i="2"/>
  <c r="L3291" i="2"/>
  <c r="E3294" i="2" l="1"/>
  <c r="F3294" i="2" s="1"/>
  <c r="H3294" i="2"/>
  <c r="I3294" i="2" s="1"/>
  <c r="G3294" i="2"/>
  <c r="K3293" i="2"/>
  <c r="J3294" i="2" s="1"/>
  <c r="J3293" i="2"/>
  <c r="L3293" i="2" l="1"/>
  <c r="G3295" i="2"/>
  <c r="H3295" i="2"/>
  <c r="I3295" i="2" s="1"/>
  <c r="K3294" i="2"/>
  <c r="L3294" i="2" s="1"/>
  <c r="E3295" i="2"/>
  <c r="F3295" i="2" s="1"/>
  <c r="J3295" i="2" l="1"/>
  <c r="H3296" i="2"/>
  <c r="I3296" i="2" s="1"/>
  <c r="K3295" i="2"/>
  <c r="J3296" i="2" s="1"/>
  <c r="G3296" i="2"/>
  <c r="E3296" i="2"/>
  <c r="F3296" i="2" s="1"/>
  <c r="L3295" i="2" l="1"/>
  <c r="E3297" i="2"/>
  <c r="F3297" i="2" s="1"/>
  <c r="H3297" i="2"/>
  <c r="I3297" i="2" s="1"/>
  <c r="K3296" i="2"/>
  <c r="L3296" i="2" s="1"/>
  <c r="G3297" i="2"/>
  <c r="E3298" i="2" l="1"/>
  <c r="F3298" i="2" s="1"/>
  <c r="H3298" i="2"/>
  <c r="I3298" i="2" s="1"/>
  <c r="K3297" i="2"/>
  <c r="J3298" i="2" s="1"/>
  <c r="G3298" i="2"/>
  <c r="J3297" i="2"/>
  <c r="G3299" i="2" l="1"/>
  <c r="E3299" i="2"/>
  <c r="F3299" i="2" s="1"/>
  <c r="K3298" i="2"/>
  <c r="L3298" i="2" s="1"/>
  <c r="H3299" i="2"/>
  <c r="I3299" i="2" s="1"/>
  <c r="L3297" i="2"/>
  <c r="J3299" i="2" l="1"/>
  <c r="H3300" i="2"/>
  <c r="I3300" i="2" s="1"/>
  <c r="K3299" i="2"/>
  <c r="G3300" i="2"/>
  <c r="E3300" i="2"/>
  <c r="F3300" i="2" s="1"/>
  <c r="L3299" i="2" l="1"/>
  <c r="E3301" i="2"/>
  <c r="F3301" i="2" s="1"/>
  <c r="H3301" i="2"/>
  <c r="I3301" i="2" s="1"/>
  <c r="K3300" i="2"/>
  <c r="J3301" i="2" s="1"/>
  <c r="G3301" i="2"/>
  <c r="J3300" i="2"/>
  <c r="E3302" i="2" l="1"/>
  <c r="F3302" i="2" s="1"/>
  <c r="K3301" i="2"/>
  <c r="L3301" i="2" s="1"/>
  <c r="H3302" i="2"/>
  <c r="I3302" i="2" s="1"/>
  <c r="G3302" i="2"/>
  <c r="L3300" i="2"/>
  <c r="J3302" i="2" l="1"/>
  <c r="G3303" i="2"/>
  <c r="H3303" i="2"/>
  <c r="I3303" i="2" s="1"/>
  <c r="K3302" i="2"/>
  <c r="J3303" i="2" s="1"/>
  <c r="E3303" i="2"/>
  <c r="F3303" i="2" s="1"/>
  <c r="H3304" i="2" l="1"/>
  <c r="I3304" i="2" s="1"/>
  <c r="K3303" i="2"/>
  <c r="J3304" i="2" s="1"/>
  <c r="G3304" i="2"/>
  <c r="E3304" i="2"/>
  <c r="F3304" i="2" s="1"/>
  <c r="L3302" i="2"/>
  <c r="L3303" i="2" l="1"/>
  <c r="E3305" i="2"/>
  <c r="F3305" i="2" s="1"/>
  <c r="H3305" i="2"/>
  <c r="I3305" i="2" s="1"/>
  <c r="K3304" i="2"/>
  <c r="L3304" i="2" s="1"/>
  <c r="G3305" i="2"/>
  <c r="E3306" i="2" l="1"/>
  <c r="F3306" i="2" s="1"/>
  <c r="H3306" i="2"/>
  <c r="I3306" i="2" s="1"/>
  <c r="K3305" i="2"/>
  <c r="J3306" i="2" s="1"/>
  <c r="G3306" i="2"/>
  <c r="J3305" i="2"/>
  <c r="G3307" i="2" l="1"/>
  <c r="E3307" i="2"/>
  <c r="F3307" i="2" s="1"/>
  <c r="H3307" i="2"/>
  <c r="I3307" i="2" s="1"/>
  <c r="K3306" i="2"/>
  <c r="L3306" i="2" s="1"/>
  <c r="L3305" i="2"/>
  <c r="J3307" i="2" l="1"/>
  <c r="H3308" i="2"/>
  <c r="I3308" i="2" s="1"/>
  <c r="K3307" i="2"/>
  <c r="G3308" i="2"/>
  <c r="E3308" i="2"/>
  <c r="F3308" i="2" s="1"/>
  <c r="L3307" i="2" l="1"/>
  <c r="J3308" i="2"/>
  <c r="E3309" i="2"/>
  <c r="F3309" i="2" s="1"/>
  <c r="H3309" i="2"/>
  <c r="I3309" i="2" s="1"/>
  <c r="K3308" i="2"/>
  <c r="J3309" i="2" s="1"/>
  <c r="G3309" i="2"/>
  <c r="E3310" i="2" l="1"/>
  <c r="F3310" i="2" s="1"/>
  <c r="H3310" i="2"/>
  <c r="I3310" i="2" s="1"/>
  <c r="G3310" i="2"/>
  <c r="K3309" i="2"/>
  <c r="L3309" i="2" s="1"/>
  <c r="L3308" i="2"/>
  <c r="G3311" i="2" l="1"/>
  <c r="H3311" i="2"/>
  <c r="I3311" i="2" s="1"/>
  <c r="K3310" i="2"/>
  <c r="J3311" i="2" s="1"/>
  <c r="E3311" i="2"/>
  <c r="F3311" i="2" s="1"/>
  <c r="J3310" i="2"/>
  <c r="H3312" i="2" l="1"/>
  <c r="I3312" i="2" s="1"/>
  <c r="K3311" i="2"/>
  <c r="L3311" i="2" s="1"/>
  <c r="G3312" i="2"/>
  <c r="E3312" i="2"/>
  <c r="F3312" i="2" s="1"/>
  <c r="L3310" i="2"/>
  <c r="E3313" i="2" l="1"/>
  <c r="F3313" i="2" s="1"/>
  <c r="H3313" i="2"/>
  <c r="I3313" i="2" s="1"/>
  <c r="K3312" i="2"/>
  <c r="J3313" i="2" s="1"/>
  <c r="G3313" i="2"/>
  <c r="J3312" i="2"/>
  <c r="L3312" i="2" l="1"/>
  <c r="E3314" i="2"/>
  <c r="F3314" i="2" s="1"/>
  <c r="H3314" i="2"/>
  <c r="I3314" i="2" s="1"/>
  <c r="K3313" i="2"/>
  <c r="L3313" i="2" s="1"/>
  <c r="G3314" i="2"/>
  <c r="J3314" i="2" l="1"/>
  <c r="G3315" i="2"/>
  <c r="E3315" i="2"/>
  <c r="F3315" i="2" s="1"/>
  <c r="K3314" i="2"/>
  <c r="J3315" i="2" s="1"/>
  <c r="H3315" i="2"/>
  <c r="I3315" i="2" s="1"/>
  <c r="H3316" i="2" l="1"/>
  <c r="I3316" i="2" s="1"/>
  <c r="K3315" i="2"/>
  <c r="L3315" i="2" s="1"/>
  <c r="G3316" i="2"/>
  <c r="E3316" i="2"/>
  <c r="F3316" i="2" s="1"/>
  <c r="L3314" i="2"/>
  <c r="E3317" i="2" l="1"/>
  <c r="F3317" i="2" s="1"/>
  <c r="H3317" i="2"/>
  <c r="I3317" i="2" s="1"/>
  <c r="K3316" i="2"/>
  <c r="J3317" i="2" s="1"/>
  <c r="G3317" i="2"/>
  <c r="J3316" i="2"/>
  <c r="L3316" i="2" l="1"/>
  <c r="E3318" i="2"/>
  <c r="F3318" i="2" s="1"/>
  <c r="K3317" i="2"/>
  <c r="J3318" i="2" s="1"/>
  <c r="H3318" i="2"/>
  <c r="I3318" i="2" s="1"/>
  <c r="G3318" i="2"/>
  <c r="G3319" i="2" l="1"/>
  <c r="H3319" i="2"/>
  <c r="I3319" i="2" s="1"/>
  <c r="K3318" i="2"/>
  <c r="L3318" i="2" s="1"/>
  <c r="E3319" i="2"/>
  <c r="F3319" i="2" s="1"/>
  <c r="L3317" i="2"/>
  <c r="J3319" i="2" l="1"/>
  <c r="H3320" i="2"/>
  <c r="I3320" i="2" s="1"/>
  <c r="K3319" i="2"/>
  <c r="J3320" i="2" s="1"/>
  <c r="G3320" i="2"/>
  <c r="E3320" i="2"/>
  <c r="F3320" i="2" s="1"/>
  <c r="L3319" i="2" l="1"/>
  <c r="E3321" i="2"/>
  <c r="F3321" i="2" s="1"/>
  <c r="H3321" i="2"/>
  <c r="I3321" i="2" s="1"/>
  <c r="K3320" i="2"/>
  <c r="L3320" i="2" s="1"/>
  <c r="G3321" i="2"/>
  <c r="J3321" i="2" l="1"/>
  <c r="E3322" i="2"/>
  <c r="F3322" i="2" s="1"/>
  <c r="H3322" i="2"/>
  <c r="I3322" i="2" s="1"/>
  <c r="K3321" i="2"/>
  <c r="J3322" i="2" s="1"/>
  <c r="G3322" i="2"/>
  <c r="G3323" i="2" l="1"/>
  <c r="E3323" i="2"/>
  <c r="F3323" i="2" s="1"/>
  <c r="H3323" i="2"/>
  <c r="I3323" i="2" s="1"/>
  <c r="K3322" i="2"/>
  <c r="L3322" i="2" s="1"/>
  <c r="L3321" i="2"/>
  <c r="J3323" i="2" l="1"/>
  <c r="H3324" i="2"/>
  <c r="I3324" i="2" s="1"/>
  <c r="K3323" i="2"/>
  <c r="J3324" i="2" s="1"/>
  <c r="G3324" i="2"/>
  <c r="E3324" i="2"/>
  <c r="F3324" i="2" s="1"/>
  <c r="E3325" i="2" l="1"/>
  <c r="F3325" i="2" s="1"/>
  <c r="H3325" i="2"/>
  <c r="I3325" i="2" s="1"/>
  <c r="K3324" i="2"/>
  <c r="L3324" i="2" s="1"/>
  <c r="G3325" i="2"/>
  <c r="L3323" i="2"/>
  <c r="E3326" i="2" l="1"/>
  <c r="F3326" i="2" s="1"/>
  <c r="H3326" i="2"/>
  <c r="I3326" i="2" s="1"/>
  <c r="G3326" i="2"/>
  <c r="K3325" i="2"/>
  <c r="J3326" i="2" s="1"/>
  <c r="J3325" i="2"/>
  <c r="L3325" i="2" l="1"/>
  <c r="G3327" i="2"/>
  <c r="H3327" i="2"/>
  <c r="I3327" i="2" s="1"/>
  <c r="K3326" i="2"/>
  <c r="L3326" i="2" s="1"/>
  <c r="E3327" i="2"/>
  <c r="F3327" i="2" s="1"/>
  <c r="J3327" i="2" l="1"/>
  <c r="H3328" i="2"/>
  <c r="I3328" i="2" s="1"/>
  <c r="K3327" i="2"/>
  <c r="J3328" i="2" s="1"/>
  <c r="G3328" i="2"/>
  <c r="E3328" i="2"/>
  <c r="F3328" i="2" s="1"/>
  <c r="L3327" i="2" l="1"/>
  <c r="E3329" i="2"/>
  <c r="F3329" i="2" s="1"/>
  <c r="H3329" i="2"/>
  <c r="I3329" i="2" s="1"/>
  <c r="K3328" i="2"/>
  <c r="L3328" i="2" s="1"/>
  <c r="G3329" i="2"/>
  <c r="E3330" i="2" l="1"/>
  <c r="F3330" i="2" s="1"/>
  <c r="H3330" i="2"/>
  <c r="I3330" i="2" s="1"/>
  <c r="K3329" i="2"/>
  <c r="J3330" i="2" s="1"/>
  <c r="G3330" i="2"/>
  <c r="J3329" i="2"/>
  <c r="G3331" i="2" l="1"/>
  <c r="E3331" i="2"/>
  <c r="F3331" i="2" s="1"/>
  <c r="K3330" i="2"/>
  <c r="L3330" i="2" s="1"/>
  <c r="H3331" i="2"/>
  <c r="I3331" i="2" s="1"/>
  <c r="L3329" i="2"/>
  <c r="J3331" i="2" l="1"/>
  <c r="H3332" i="2"/>
  <c r="I3332" i="2" s="1"/>
  <c r="K3331" i="2"/>
  <c r="G3332" i="2"/>
  <c r="E3332" i="2"/>
  <c r="F3332" i="2" s="1"/>
  <c r="L3331" i="2" l="1"/>
  <c r="E3333" i="2"/>
  <c r="F3333" i="2" s="1"/>
  <c r="H3333" i="2"/>
  <c r="I3333" i="2" s="1"/>
  <c r="K3332" i="2"/>
  <c r="J3333" i="2" s="1"/>
  <c r="G3333" i="2"/>
  <c r="J3332" i="2"/>
  <c r="L3332" i="2" l="1"/>
  <c r="E3334" i="2"/>
  <c r="F3334" i="2" s="1"/>
  <c r="K3333" i="2"/>
  <c r="L3333" i="2" s="1"/>
  <c r="H3334" i="2"/>
  <c r="I3334" i="2" s="1"/>
  <c r="G3334" i="2"/>
  <c r="J3334" i="2" l="1"/>
  <c r="G3335" i="2"/>
  <c r="H3335" i="2"/>
  <c r="I3335" i="2" s="1"/>
  <c r="K3334" i="2"/>
  <c r="E3335" i="2"/>
  <c r="F3335" i="2" s="1"/>
  <c r="L3334" i="2" l="1"/>
  <c r="J3335" i="2"/>
  <c r="H3336" i="2"/>
  <c r="I3336" i="2" s="1"/>
  <c r="K3335" i="2"/>
  <c r="J3336" i="2" s="1"/>
  <c r="G3336" i="2"/>
  <c r="E3336" i="2"/>
  <c r="F3336" i="2" s="1"/>
  <c r="L3335" i="2" l="1"/>
  <c r="E3337" i="2"/>
  <c r="F3337" i="2" s="1"/>
  <c r="H3337" i="2"/>
  <c r="I3337" i="2" s="1"/>
  <c r="K3336" i="2"/>
  <c r="L3336" i="2" s="1"/>
  <c r="G3337" i="2"/>
  <c r="J3337" i="2" l="1"/>
  <c r="E3338" i="2"/>
  <c r="F3338" i="2" s="1"/>
  <c r="H3338" i="2"/>
  <c r="I3338" i="2" s="1"/>
  <c r="K3337" i="2"/>
  <c r="G3338" i="2"/>
  <c r="L3337" i="2" l="1"/>
  <c r="J3338" i="2"/>
  <c r="G3339" i="2"/>
  <c r="E3339" i="2"/>
  <c r="F3339" i="2" s="1"/>
  <c r="H3339" i="2"/>
  <c r="I3339" i="2" s="1"/>
  <c r="K3338" i="2"/>
  <c r="J3339" i="2" s="1"/>
  <c r="L3338" i="2" l="1"/>
  <c r="G3340" i="2"/>
  <c r="E3340" i="2"/>
  <c r="F3340" i="2" s="1"/>
  <c r="K3339" i="2"/>
  <c r="L3339" i="2" s="1"/>
  <c r="H3340" i="2"/>
  <c r="I3340" i="2" s="1"/>
  <c r="J3340" i="2" l="1"/>
  <c r="H3341" i="2"/>
  <c r="I3341" i="2" s="1"/>
  <c r="K3340" i="2"/>
  <c r="E3341" i="2"/>
  <c r="F3341" i="2" s="1"/>
  <c r="G3341" i="2"/>
  <c r="L3340" i="2" l="1"/>
  <c r="J3341" i="2"/>
  <c r="E3342" i="2"/>
  <c r="F3342" i="2" s="1"/>
  <c r="K3341" i="2"/>
  <c r="L3341" i="2" s="1"/>
  <c r="H3342" i="2"/>
  <c r="I3342" i="2" s="1"/>
  <c r="G3342" i="2"/>
  <c r="J3342" i="2" l="1"/>
  <c r="E3343" i="2"/>
  <c r="F3343" i="2" s="1"/>
  <c r="K3342" i="2"/>
  <c r="H3343" i="2"/>
  <c r="I3343" i="2" s="1"/>
  <c r="G3343" i="2"/>
  <c r="L3342" i="2" l="1"/>
  <c r="J3343" i="2"/>
  <c r="G3344" i="2"/>
  <c r="E3344" i="2"/>
  <c r="F3344" i="2" s="1"/>
  <c r="K3343" i="2"/>
  <c r="H3344" i="2"/>
  <c r="I3344" i="2" s="1"/>
  <c r="L3343" i="2" l="1"/>
  <c r="J3344" i="2"/>
  <c r="H3345" i="2"/>
  <c r="I3345" i="2" s="1"/>
  <c r="K3344" i="2"/>
  <c r="E3345" i="2"/>
  <c r="F3345" i="2" s="1"/>
  <c r="G3345" i="2"/>
  <c r="L3344" i="2" l="1"/>
  <c r="J3345" i="2"/>
  <c r="E3346" i="2"/>
  <c r="F3346" i="2" s="1"/>
  <c r="H3346" i="2"/>
  <c r="I3346" i="2" s="1"/>
  <c r="K3345" i="2"/>
  <c r="J3346" i="2" s="1"/>
  <c r="G3346" i="2"/>
  <c r="E3347" i="2" l="1"/>
  <c r="F3347" i="2" s="1"/>
  <c r="K3346" i="2"/>
  <c r="J3347" i="2" s="1"/>
  <c r="H3347" i="2"/>
  <c r="I3347" i="2" s="1"/>
  <c r="G3347" i="2"/>
  <c r="L3345" i="2"/>
  <c r="G3348" i="2" l="1"/>
  <c r="H3348" i="2"/>
  <c r="I3348" i="2" s="1"/>
  <c r="K3347" i="2"/>
  <c r="L3347" i="2" s="1"/>
  <c r="E3348" i="2"/>
  <c r="F3348" i="2" s="1"/>
  <c r="L3346" i="2"/>
  <c r="J3348" i="2" l="1"/>
  <c r="H3349" i="2"/>
  <c r="I3349" i="2" s="1"/>
  <c r="K3348" i="2"/>
  <c r="J3349" i="2" s="1"/>
  <c r="G3349" i="2"/>
  <c r="E3349" i="2"/>
  <c r="F3349" i="2" s="1"/>
  <c r="L3348" i="2" l="1"/>
  <c r="E3350" i="2"/>
  <c r="F3350" i="2" s="1"/>
  <c r="H3350" i="2"/>
  <c r="I3350" i="2" s="1"/>
  <c r="K3349" i="2"/>
  <c r="L3349" i="2" s="1"/>
  <c r="G3350" i="2"/>
  <c r="E3351" i="2" l="1"/>
  <c r="F3351" i="2" s="1"/>
  <c r="H3351" i="2"/>
  <c r="I3351" i="2" s="1"/>
  <c r="K3350" i="2"/>
  <c r="J3351" i="2" s="1"/>
  <c r="G3351" i="2"/>
  <c r="J3350" i="2"/>
  <c r="G3352" i="2" l="1"/>
  <c r="E3352" i="2"/>
  <c r="F3352" i="2" s="1"/>
  <c r="H3352" i="2"/>
  <c r="I3352" i="2" s="1"/>
  <c r="K3351" i="2"/>
  <c r="L3351" i="2" s="1"/>
  <c r="L3350" i="2"/>
  <c r="J3352" i="2" l="1"/>
  <c r="H3353" i="2"/>
  <c r="I3353" i="2" s="1"/>
  <c r="K3352" i="2"/>
  <c r="J3353" i="2" s="1"/>
  <c r="G3353" i="2"/>
  <c r="E3353" i="2"/>
  <c r="F3353" i="2" s="1"/>
  <c r="E3354" i="2" l="1"/>
  <c r="F3354" i="2" s="1"/>
  <c r="H3354" i="2"/>
  <c r="I3354" i="2" s="1"/>
  <c r="K3353" i="2"/>
  <c r="L3353" i="2" s="1"/>
  <c r="G3354" i="2"/>
  <c r="L3352" i="2"/>
  <c r="E3355" i="2" l="1"/>
  <c r="F3355" i="2" s="1"/>
  <c r="H3355" i="2"/>
  <c r="I3355" i="2" s="1"/>
  <c r="G3355" i="2"/>
  <c r="K3354" i="2"/>
  <c r="J3355" i="2" s="1"/>
  <c r="J3354" i="2"/>
  <c r="L3354" i="2" l="1"/>
  <c r="G3356" i="2"/>
  <c r="H3356" i="2"/>
  <c r="I3356" i="2" s="1"/>
  <c r="K3355" i="2"/>
  <c r="L3355" i="2" s="1"/>
  <c r="E3356" i="2"/>
  <c r="F3356" i="2" s="1"/>
  <c r="J3356" i="2" l="1"/>
  <c r="H3357" i="2"/>
  <c r="I3357" i="2" s="1"/>
  <c r="K3356" i="2"/>
  <c r="J3357" i="2" s="1"/>
  <c r="G3357" i="2"/>
  <c r="E3357" i="2"/>
  <c r="F3357" i="2" s="1"/>
  <c r="L3356" i="2" l="1"/>
  <c r="E3358" i="2"/>
  <c r="F3358" i="2" s="1"/>
  <c r="H3358" i="2"/>
  <c r="I3358" i="2" s="1"/>
  <c r="K3357" i="2"/>
  <c r="L3357" i="2" s="1"/>
  <c r="G3358" i="2"/>
  <c r="J3358" i="2" l="1"/>
  <c r="E3359" i="2"/>
  <c r="F3359" i="2" s="1"/>
  <c r="H3359" i="2"/>
  <c r="I3359" i="2" s="1"/>
  <c r="K3358" i="2"/>
  <c r="G3359" i="2"/>
  <c r="L3358" i="2" l="1"/>
  <c r="J3359" i="2"/>
  <c r="G3360" i="2"/>
  <c r="E3360" i="2"/>
  <c r="F3360" i="2" s="1"/>
  <c r="K3359" i="2"/>
  <c r="J3360" i="2" s="1"/>
  <c r="H3360" i="2"/>
  <c r="I3360" i="2" s="1"/>
  <c r="L3359" i="2" l="1"/>
  <c r="H3361" i="2"/>
  <c r="I3361" i="2" s="1"/>
  <c r="K3360" i="2"/>
  <c r="L3360" i="2" s="1"/>
  <c r="G3361" i="2"/>
  <c r="E3361" i="2"/>
  <c r="F3361" i="2" s="1"/>
  <c r="J3361" i="2" l="1"/>
  <c r="E3362" i="2"/>
  <c r="F3362" i="2" s="1"/>
  <c r="H3362" i="2"/>
  <c r="I3362" i="2" s="1"/>
  <c r="K3361" i="2"/>
  <c r="L3361" i="2" s="1"/>
  <c r="G3362" i="2"/>
  <c r="J3362" i="2" l="1"/>
  <c r="E3363" i="2"/>
  <c r="F3363" i="2" s="1"/>
  <c r="K3362" i="2"/>
  <c r="J3363" i="2" s="1"/>
  <c r="H3363" i="2"/>
  <c r="I3363" i="2" s="1"/>
  <c r="G3363" i="2"/>
  <c r="G3364" i="2" l="1"/>
  <c r="H3364" i="2"/>
  <c r="I3364" i="2" s="1"/>
  <c r="K3363" i="2"/>
  <c r="L3363" i="2" s="1"/>
  <c r="E3364" i="2"/>
  <c r="F3364" i="2" s="1"/>
  <c r="L3362" i="2"/>
  <c r="J3364" i="2" l="1"/>
  <c r="H3365" i="2"/>
  <c r="I3365" i="2" s="1"/>
  <c r="K3364" i="2"/>
  <c r="J3365" i="2" s="1"/>
  <c r="G3365" i="2"/>
  <c r="E3365" i="2"/>
  <c r="F3365" i="2" s="1"/>
  <c r="L3364" i="2" l="1"/>
  <c r="E3366" i="2"/>
  <c r="F3366" i="2" s="1"/>
  <c r="H3366" i="2"/>
  <c r="I3366" i="2" s="1"/>
  <c r="K3365" i="2"/>
  <c r="L3365" i="2" s="1"/>
  <c r="G3366" i="2"/>
  <c r="E3367" i="2" l="1"/>
  <c r="F3367" i="2" s="1"/>
  <c r="H3367" i="2"/>
  <c r="I3367" i="2" s="1"/>
  <c r="K3366" i="2"/>
  <c r="J3367" i="2" s="1"/>
  <c r="G3367" i="2"/>
  <c r="J3366" i="2"/>
  <c r="G3368" i="2" l="1"/>
  <c r="E3368" i="2"/>
  <c r="F3368" i="2" s="1"/>
  <c r="H3368" i="2"/>
  <c r="I3368" i="2" s="1"/>
  <c r="K3367" i="2"/>
  <c r="J3368" i="2" s="1"/>
  <c r="L3366" i="2"/>
  <c r="L3367" i="2" l="1"/>
  <c r="H3369" i="2"/>
  <c r="I3369" i="2" s="1"/>
  <c r="K3368" i="2"/>
  <c r="L3368" i="2" s="1"/>
  <c r="G3369" i="2"/>
  <c r="E3369" i="2"/>
  <c r="F3369" i="2" s="1"/>
  <c r="J3369" i="2" l="1"/>
  <c r="E3370" i="2"/>
  <c r="F3370" i="2" s="1"/>
  <c r="H3370" i="2"/>
  <c r="I3370" i="2" s="1"/>
  <c r="K3369" i="2"/>
  <c r="G3370" i="2"/>
  <c r="L3369" i="2" l="1"/>
  <c r="J3370" i="2"/>
  <c r="E3371" i="2"/>
  <c r="F3371" i="2" s="1"/>
  <c r="H3371" i="2"/>
  <c r="I3371" i="2" s="1"/>
  <c r="G3371" i="2"/>
  <c r="K3370" i="2"/>
  <c r="J3371" i="2" s="1"/>
  <c r="L3370" i="2" l="1"/>
  <c r="G3372" i="2"/>
  <c r="H3372" i="2"/>
  <c r="I3372" i="2" s="1"/>
  <c r="K3371" i="2"/>
  <c r="J3372" i="2" s="1"/>
  <c r="E3372" i="2"/>
  <c r="F3372" i="2" s="1"/>
  <c r="H3373" i="2" l="1"/>
  <c r="I3373" i="2" s="1"/>
  <c r="K3372" i="2"/>
  <c r="L3372" i="2" s="1"/>
  <c r="G3373" i="2"/>
  <c r="E3373" i="2"/>
  <c r="F3373" i="2" s="1"/>
  <c r="L3371" i="2"/>
  <c r="J3373" i="2" l="1"/>
  <c r="E3374" i="2"/>
  <c r="F3374" i="2" s="1"/>
  <c r="H3374" i="2"/>
  <c r="I3374" i="2" s="1"/>
  <c r="K3373" i="2"/>
  <c r="G3374" i="2"/>
  <c r="L3373" i="2" l="1"/>
  <c r="E3375" i="2"/>
  <c r="F3375" i="2" s="1"/>
  <c r="H3375" i="2"/>
  <c r="I3375" i="2" s="1"/>
  <c r="K3374" i="2"/>
  <c r="J3375" i="2" s="1"/>
  <c r="G3375" i="2"/>
  <c r="J3374" i="2"/>
  <c r="G3376" i="2" l="1"/>
  <c r="E3376" i="2"/>
  <c r="F3376" i="2" s="1"/>
  <c r="K3375" i="2"/>
  <c r="L3375" i="2" s="1"/>
  <c r="H3376" i="2"/>
  <c r="I3376" i="2" s="1"/>
  <c r="L3374" i="2"/>
  <c r="J3376" i="2" l="1"/>
  <c r="H3377" i="2"/>
  <c r="I3377" i="2" s="1"/>
  <c r="K3376" i="2"/>
  <c r="G3377" i="2"/>
  <c r="E3377" i="2"/>
  <c r="F3377" i="2" s="1"/>
  <c r="L3376" i="2" l="1"/>
  <c r="J3377" i="2"/>
  <c r="E3378" i="2"/>
  <c r="F3378" i="2" s="1"/>
  <c r="H3378" i="2"/>
  <c r="I3378" i="2" s="1"/>
  <c r="K3377" i="2"/>
  <c r="J3378" i="2" s="1"/>
  <c r="G3378" i="2"/>
  <c r="L3377" i="2" l="1"/>
  <c r="E3379" i="2"/>
  <c r="F3379" i="2" s="1"/>
  <c r="K3378" i="2"/>
  <c r="J3379" i="2" s="1"/>
  <c r="H3379" i="2"/>
  <c r="I3379" i="2" s="1"/>
  <c r="G3379" i="2"/>
  <c r="G3380" i="2" l="1"/>
  <c r="H3380" i="2"/>
  <c r="I3380" i="2" s="1"/>
  <c r="K3379" i="2"/>
  <c r="L3379" i="2" s="1"/>
  <c r="E3380" i="2"/>
  <c r="F3380" i="2" s="1"/>
  <c r="L3378" i="2"/>
  <c r="J3380" i="2" l="1"/>
  <c r="H3381" i="2"/>
  <c r="I3381" i="2" s="1"/>
  <c r="K3380" i="2"/>
  <c r="J3381" i="2" s="1"/>
  <c r="G3381" i="2"/>
  <c r="E3381" i="2"/>
  <c r="F3381" i="2" s="1"/>
  <c r="L3380" i="2" l="1"/>
  <c r="E3382" i="2"/>
  <c r="F3382" i="2" s="1"/>
  <c r="H3382" i="2"/>
  <c r="I3382" i="2" s="1"/>
  <c r="K3381" i="2"/>
  <c r="L3381" i="2" s="1"/>
  <c r="G3382" i="2"/>
  <c r="E3383" i="2" l="1"/>
  <c r="F3383" i="2" s="1"/>
  <c r="H3383" i="2"/>
  <c r="I3383" i="2" s="1"/>
  <c r="K3382" i="2"/>
  <c r="J3383" i="2" s="1"/>
  <c r="G3383" i="2"/>
  <c r="J3382" i="2"/>
  <c r="G3384" i="2" l="1"/>
  <c r="E3384" i="2"/>
  <c r="F3384" i="2" s="1"/>
  <c r="H3384" i="2"/>
  <c r="I3384" i="2" s="1"/>
  <c r="K3383" i="2"/>
  <c r="L3383" i="2" s="1"/>
  <c r="L3382" i="2"/>
  <c r="J3384" i="2" l="1"/>
  <c r="H3385" i="2"/>
  <c r="I3385" i="2" s="1"/>
  <c r="K3384" i="2"/>
  <c r="J3385" i="2" s="1"/>
  <c r="G3385" i="2"/>
  <c r="E3385" i="2"/>
  <c r="F3385" i="2" s="1"/>
  <c r="E3386" i="2" l="1"/>
  <c r="F3386" i="2" s="1"/>
  <c r="H3386" i="2"/>
  <c r="I3386" i="2" s="1"/>
  <c r="K3385" i="2"/>
  <c r="L3385" i="2" s="1"/>
  <c r="G3386" i="2"/>
  <c r="L3384" i="2"/>
  <c r="E3387" i="2" l="1"/>
  <c r="F3387" i="2" s="1"/>
  <c r="H3387" i="2"/>
  <c r="I3387" i="2" s="1"/>
  <c r="G3387" i="2"/>
  <c r="K3386" i="2"/>
  <c r="J3387" i="2" s="1"/>
  <c r="J3386" i="2"/>
  <c r="L3386" i="2" l="1"/>
  <c r="G3388" i="2"/>
  <c r="H3388" i="2"/>
  <c r="I3388" i="2" s="1"/>
  <c r="K3387" i="2"/>
  <c r="L3387" i="2" s="1"/>
  <c r="E3388" i="2"/>
  <c r="F3388" i="2" s="1"/>
  <c r="J3388" i="2" l="1"/>
  <c r="H3389" i="2"/>
  <c r="I3389" i="2" s="1"/>
  <c r="K3388" i="2"/>
  <c r="J3389" i="2" s="1"/>
  <c r="G3389" i="2"/>
  <c r="E3389" i="2"/>
  <c r="F3389" i="2" s="1"/>
  <c r="L3388" i="2" l="1"/>
  <c r="E3390" i="2"/>
  <c r="F3390" i="2" s="1"/>
  <c r="H3390" i="2"/>
  <c r="I3390" i="2" s="1"/>
  <c r="K3389" i="2"/>
  <c r="L3389" i="2" s="1"/>
  <c r="G3390" i="2"/>
  <c r="J3390" i="2" l="1"/>
  <c r="E3391" i="2"/>
  <c r="F3391" i="2" s="1"/>
  <c r="H3391" i="2"/>
  <c r="I3391" i="2" s="1"/>
  <c r="K3390" i="2"/>
  <c r="G3391" i="2"/>
  <c r="L3390" i="2" l="1"/>
  <c r="J3391" i="2"/>
  <c r="G3392" i="2"/>
  <c r="E3392" i="2"/>
  <c r="F3392" i="2" s="1"/>
  <c r="K3391" i="2"/>
  <c r="H3392" i="2"/>
  <c r="I3392" i="2" s="1"/>
  <c r="L3391" i="2" l="1"/>
  <c r="J3392" i="2"/>
  <c r="H3393" i="2"/>
  <c r="I3393" i="2" s="1"/>
  <c r="K3392" i="2"/>
  <c r="L3392" i="2" s="1"/>
  <c r="G3393" i="2"/>
  <c r="E3393" i="2"/>
  <c r="F3393" i="2" s="1"/>
  <c r="J3393" i="2" l="1"/>
  <c r="E3394" i="2"/>
  <c r="F3394" i="2" s="1"/>
  <c r="H3394" i="2"/>
  <c r="I3394" i="2" s="1"/>
  <c r="K3393" i="2"/>
  <c r="G3394" i="2"/>
  <c r="L3393" i="2" l="1"/>
  <c r="J3394" i="2"/>
  <c r="E3395" i="2"/>
  <c r="F3395" i="2" s="1"/>
  <c r="K3394" i="2"/>
  <c r="J3395" i="2" s="1"/>
  <c r="H3395" i="2"/>
  <c r="I3395" i="2" s="1"/>
  <c r="G3395" i="2"/>
  <c r="G3396" i="2" l="1"/>
  <c r="H3396" i="2"/>
  <c r="I3396" i="2" s="1"/>
  <c r="K3395" i="2"/>
  <c r="L3395" i="2" s="1"/>
  <c r="E3396" i="2"/>
  <c r="F3396" i="2" s="1"/>
  <c r="L3394" i="2"/>
  <c r="J3396" i="2" l="1"/>
  <c r="H3397" i="2"/>
  <c r="I3397" i="2" s="1"/>
  <c r="K3396" i="2"/>
  <c r="J3397" i="2" s="1"/>
  <c r="G3397" i="2"/>
  <c r="E3397" i="2"/>
  <c r="F3397" i="2" s="1"/>
  <c r="L3396" i="2" l="1"/>
  <c r="E3398" i="2"/>
  <c r="F3398" i="2" s="1"/>
  <c r="H3398" i="2"/>
  <c r="I3398" i="2" s="1"/>
  <c r="K3397" i="2"/>
  <c r="L3397" i="2" s="1"/>
  <c r="G3398" i="2"/>
  <c r="J3398" i="2" l="1"/>
  <c r="E3399" i="2"/>
  <c r="F3399" i="2" s="1"/>
  <c r="H3399" i="2"/>
  <c r="I3399" i="2" s="1"/>
  <c r="K3398" i="2"/>
  <c r="J3399" i="2" s="1"/>
  <c r="G3399" i="2"/>
  <c r="G3400" i="2" l="1"/>
  <c r="E3400" i="2"/>
  <c r="F3400" i="2" s="1"/>
  <c r="H3400" i="2"/>
  <c r="I3400" i="2" s="1"/>
  <c r="K3399" i="2"/>
  <c r="L3399" i="2" s="1"/>
  <c r="L3398" i="2"/>
  <c r="J3400" i="2" l="1"/>
  <c r="H3401" i="2"/>
  <c r="I3401" i="2" s="1"/>
  <c r="K3400" i="2"/>
  <c r="G3401" i="2"/>
  <c r="E3401" i="2"/>
  <c r="F3401" i="2" s="1"/>
  <c r="L3400" i="2" l="1"/>
  <c r="E3402" i="2"/>
  <c r="F3402" i="2" s="1"/>
  <c r="H3402" i="2"/>
  <c r="I3402" i="2" s="1"/>
  <c r="K3401" i="2"/>
  <c r="J3402" i="2" s="1"/>
  <c r="G3402" i="2"/>
  <c r="J3401" i="2"/>
  <c r="L3401" i="2" l="1"/>
  <c r="E3403" i="2"/>
  <c r="F3403" i="2" s="1"/>
  <c r="H3403" i="2"/>
  <c r="I3403" i="2" s="1"/>
  <c r="G3403" i="2"/>
  <c r="K3402" i="2"/>
  <c r="L3402" i="2" s="1"/>
  <c r="J3403" i="2" l="1"/>
  <c r="G3404" i="2"/>
  <c r="H3404" i="2"/>
  <c r="I3404" i="2" s="1"/>
  <c r="K3403" i="2"/>
  <c r="J3404" i="2" s="1"/>
  <c r="E3404" i="2"/>
  <c r="F3404" i="2" s="1"/>
  <c r="H3405" i="2" l="1"/>
  <c r="I3405" i="2" s="1"/>
  <c r="K3404" i="2"/>
  <c r="J3405" i="2" s="1"/>
  <c r="G3405" i="2"/>
  <c r="E3405" i="2"/>
  <c r="F3405" i="2" s="1"/>
  <c r="L3403" i="2"/>
  <c r="L3404" i="2" l="1"/>
  <c r="G3406" i="2"/>
  <c r="H3406" i="2"/>
  <c r="I3406" i="2" s="1"/>
  <c r="E3406" i="2"/>
  <c r="F3406" i="2" s="1"/>
  <c r="K3405" i="2"/>
  <c r="L3405" i="2" s="1"/>
  <c r="H3407" i="2" l="1"/>
  <c r="I3407" i="2" s="1"/>
  <c r="K3406" i="2"/>
  <c r="J3407" i="2" s="1"/>
  <c r="G3407" i="2"/>
  <c r="E3407" i="2"/>
  <c r="F3407" i="2" s="1"/>
  <c r="J3406" i="2"/>
  <c r="L3406" i="2" l="1"/>
  <c r="E3408" i="2"/>
  <c r="F3408" i="2" s="1"/>
  <c r="G3408" i="2"/>
  <c r="K3407" i="2"/>
  <c r="L3407" i="2" s="1"/>
  <c r="H3408" i="2"/>
  <c r="I3408" i="2" s="1"/>
  <c r="J3408" i="2" l="1"/>
  <c r="G3409" i="2"/>
  <c r="E3409" i="2"/>
  <c r="F3409" i="2" s="1"/>
  <c r="K3408" i="2"/>
  <c r="L3408" i="2" s="1"/>
  <c r="H3409" i="2"/>
  <c r="I3409" i="2" s="1"/>
  <c r="J3409" i="2" l="1"/>
  <c r="G3410" i="2"/>
  <c r="E3410" i="2"/>
  <c r="F3410" i="2" s="1"/>
  <c r="K3409" i="2"/>
  <c r="H3410" i="2"/>
  <c r="I3410" i="2" s="1"/>
  <c r="L3409" i="2" l="1"/>
  <c r="J3410" i="2"/>
  <c r="H3411" i="2"/>
  <c r="I3411" i="2" s="1"/>
  <c r="K3410" i="2"/>
  <c r="J3411" i="2" s="1"/>
  <c r="E3411" i="2"/>
  <c r="F3411" i="2" s="1"/>
  <c r="G3411" i="2"/>
  <c r="E3412" i="2" l="1"/>
  <c r="F3412" i="2" s="1"/>
  <c r="K3411" i="2"/>
  <c r="L3411" i="2" s="1"/>
  <c r="H3412" i="2"/>
  <c r="I3412" i="2" s="1"/>
  <c r="G3412" i="2"/>
  <c r="L3410" i="2"/>
  <c r="J3412" i="2" l="1"/>
  <c r="E3413" i="2"/>
  <c r="F3413" i="2" s="1"/>
  <c r="K3412" i="2"/>
  <c r="H3413" i="2"/>
  <c r="I3413" i="2" s="1"/>
  <c r="G3413" i="2"/>
  <c r="L3412" i="2" l="1"/>
  <c r="J3413" i="2"/>
  <c r="G3414" i="2"/>
  <c r="E3414" i="2"/>
  <c r="F3414" i="2" s="1"/>
  <c r="K3413" i="2"/>
  <c r="H3414" i="2"/>
  <c r="I3414" i="2" s="1"/>
  <c r="L3413" i="2" l="1"/>
  <c r="J3414" i="2"/>
  <c r="H3415" i="2"/>
  <c r="I3415" i="2" s="1"/>
  <c r="K3414" i="2"/>
  <c r="L3414" i="2" s="1"/>
  <c r="E3415" i="2"/>
  <c r="F3415" i="2" s="1"/>
  <c r="G3415" i="2"/>
  <c r="J3415" i="2" l="1"/>
  <c r="E3416" i="2"/>
  <c r="F3416" i="2" s="1"/>
  <c r="H3416" i="2"/>
  <c r="I3416" i="2" s="1"/>
  <c r="K3415" i="2"/>
  <c r="G3416" i="2"/>
  <c r="L3415" i="2" l="1"/>
  <c r="J3416" i="2"/>
  <c r="H3417" i="2"/>
  <c r="I3417" i="2" s="1"/>
  <c r="K3416" i="2"/>
  <c r="J3417" i="2" s="1"/>
  <c r="G3417" i="2"/>
  <c r="E3417" i="2"/>
  <c r="F3417" i="2" s="1"/>
  <c r="L3416" i="2" l="1"/>
  <c r="G3418" i="2"/>
  <c r="H3418" i="2"/>
  <c r="I3418" i="2" s="1"/>
  <c r="K3417" i="2"/>
  <c r="L3417" i="2" s="1"/>
  <c r="E3418" i="2"/>
  <c r="F3418" i="2" s="1"/>
  <c r="H3419" i="2" l="1"/>
  <c r="I3419" i="2" s="1"/>
  <c r="K3418" i="2"/>
  <c r="J3419" i="2" s="1"/>
  <c r="G3419" i="2"/>
  <c r="E3419" i="2"/>
  <c r="F3419" i="2" s="1"/>
  <c r="J3418" i="2"/>
  <c r="L3418" i="2" l="1"/>
  <c r="E3420" i="2"/>
  <c r="F3420" i="2" s="1"/>
  <c r="H3420" i="2"/>
  <c r="I3420" i="2" s="1"/>
  <c r="K3419" i="2"/>
  <c r="L3419" i="2" s="1"/>
  <c r="G3420" i="2"/>
  <c r="J3420" i="2" l="1"/>
  <c r="E3421" i="2"/>
  <c r="F3421" i="2" s="1"/>
  <c r="H3421" i="2"/>
  <c r="I3421" i="2" s="1"/>
  <c r="K3420" i="2"/>
  <c r="G3421" i="2"/>
  <c r="L3420" i="2" l="1"/>
  <c r="J3421" i="2"/>
  <c r="G3422" i="2"/>
  <c r="E3422" i="2"/>
  <c r="F3422" i="2" s="1"/>
  <c r="H3422" i="2"/>
  <c r="I3422" i="2" s="1"/>
  <c r="K3421" i="2"/>
  <c r="J3422" i="2" s="1"/>
  <c r="L3421" i="2" l="1"/>
  <c r="H3423" i="2"/>
  <c r="I3423" i="2" s="1"/>
  <c r="K3422" i="2"/>
  <c r="J3423" i="2" s="1"/>
  <c r="G3423" i="2"/>
  <c r="E3423" i="2"/>
  <c r="F3423" i="2" s="1"/>
  <c r="L3422" i="2" l="1"/>
  <c r="E3424" i="2"/>
  <c r="F3424" i="2" s="1"/>
  <c r="H3424" i="2"/>
  <c r="I3424" i="2" s="1"/>
  <c r="K3423" i="2"/>
  <c r="L3423" i="2" s="1"/>
  <c r="G3424" i="2"/>
  <c r="E3425" i="2" l="1"/>
  <c r="F3425" i="2" s="1"/>
  <c r="H3425" i="2"/>
  <c r="I3425" i="2" s="1"/>
  <c r="G3425" i="2"/>
  <c r="K3424" i="2"/>
  <c r="J3425" i="2" s="1"/>
  <c r="J3424" i="2"/>
  <c r="L3424" i="2" l="1"/>
  <c r="G3426" i="2"/>
  <c r="H3426" i="2"/>
  <c r="I3426" i="2" s="1"/>
  <c r="K3425" i="2"/>
  <c r="L3425" i="2" s="1"/>
  <c r="E3426" i="2"/>
  <c r="F3426" i="2" s="1"/>
  <c r="J3426" i="2" l="1"/>
  <c r="H3427" i="2"/>
  <c r="I3427" i="2" s="1"/>
  <c r="K3426" i="2"/>
  <c r="G3427" i="2"/>
  <c r="E3427" i="2"/>
  <c r="F3427" i="2" s="1"/>
  <c r="L3426" i="2" l="1"/>
  <c r="J3427" i="2"/>
  <c r="E3428" i="2"/>
  <c r="F3428" i="2" s="1"/>
  <c r="H3428" i="2"/>
  <c r="I3428" i="2" s="1"/>
  <c r="K3427" i="2"/>
  <c r="G3428" i="2"/>
  <c r="L3427" i="2" l="1"/>
  <c r="J3428" i="2"/>
  <c r="E3429" i="2"/>
  <c r="F3429" i="2" s="1"/>
  <c r="H3429" i="2"/>
  <c r="I3429" i="2" s="1"/>
  <c r="K3428" i="2"/>
  <c r="J3429" i="2" s="1"/>
  <c r="G3429" i="2"/>
  <c r="G3430" i="2" l="1"/>
  <c r="E3430" i="2"/>
  <c r="F3430" i="2" s="1"/>
  <c r="K3429" i="2"/>
  <c r="L3429" i="2" s="1"/>
  <c r="H3430" i="2"/>
  <c r="I3430" i="2" s="1"/>
  <c r="L3428" i="2"/>
  <c r="J3430" i="2" l="1"/>
  <c r="H3431" i="2"/>
  <c r="I3431" i="2" s="1"/>
  <c r="K3430" i="2"/>
  <c r="G3431" i="2"/>
  <c r="E3431" i="2"/>
  <c r="F3431" i="2" s="1"/>
  <c r="L3430" i="2" l="1"/>
  <c r="J3431" i="2"/>
  <c r="E3432" i="2"/>
  <c r="F3432" i="2" s="1"/>
  <c r="H3432" i="2"/>
  <c r="I3432" i="2" s="1"/>
  <c r="K3431" i="2"/>
  <c r="G3432" i="2"/>
  <c r="L3431" i="2" l="1"/>
  <c r="E3433" i="2"/>
  <c r="F3433" i="2" s="1"/>
  <c r="K3432" i="2"/>
  <c r="J3433" i="2" s="1"/>
  <c r="H3433" i="2"/>
  <c r="I3433" i="2" s="1"/>
  <c r="G3433" i="2"/>
  <c r="J3432" i="2"/>
  <c r="G3434" i="2" l="1"/>
  <c r="H3434" i="2"/>
  <c r="I3434" i="2" s="1"/>
  <c r="K3433" i="2"/>
  <c r="L3433" i="2" s="1"/>
  <c r="E3434" i="2"/>
  <c r="F3434" i="2" s="1"/>
  <c r="L3432" i="2"/>
  <c r="J3434" i="2" l="1"/>
  <c r="H3435" i="2"/>
  <c r="I3435" i="2" s="1"/>
  <c r="K3434" i="2"/>
  <c r="G3435" i="2"/>
  <c r="E3435" i="2"/>
  <c r="F3435" i="2" s="1"/>
  <c r="L3434" i="2" l="1"/>
  <c r="J3435" i="2"/>
  <c r="E3436" i="2"/>
  <c r="F3436" i="2" s="1"/>
  <c r="H3436" i="2"/>
  <c r="I3436" i="2" s="1"/>
  <c r="K3435" i="2"/>
  <c r="J3436" i="2" s="1"/>
  <c r="G3436" i="2"/>
  <c r="E3437" i="2" l="1"/>
  <c r="F3437" i="2" s="1"/>
  <c r="H3437" i="2"/>
  <c r="I3437" i="2" s="1"/>
  <c r="K3436" i="2"/>
  <c r="L3436" i="2" s="1"/>
  <c r="G3437" i="2"/>
  <c r="L3435" i="2"/>
  <c r="J3437" i="2" l="1"/>
  <c r="G3438" i="2"/>
  <c r="E3438" i="2"/>
  <c r="F3438" i="2" s="1"/>
  <c r="H3438" i="2"/>
  <c r="I3438" i="2" s="1"/>
  <c r="K3437" i="2"/>
  <c r="J3438" i="2" s="1"/>
  <c r="L3437" i="2" l="1"/>
  <c r="H3439" i="2"/>
  <c r="I3439" i="2" s="1"/>
  <c r="K3438" i="2"/>
  <c r="L3438" i="2" s="1"/>
  <c r="G3439" i="2"/>
  <c r="E3439" i="2"/>
  <c r="F3439" i="2" s="1"/>
  <c r="J3439" i="2" l="1"/>
  <c r="E3440" i="2"/>
  <c r="F3440" i="2" s="1"/>
  <c r="H3440" i="2"/>
  <c r="I3440" i="2" s="1"/>
  <c r="K3439" i="2"/>
  <c r="G3440" i="2"/>
  <c r="L3439" i="2" l="1"/>
  <c r="J3440" i="2"/>
  <c r="E3441" i="2"/>
  <c r="F3441" i="2" s="1"/>
  <c r="H3441" i="2"/>
  <c r="I3441" i="2" s="1"/>
  <c r="G3441" i="2"/>
  <c r="K3440" i="2"/>
  <c r="J3441" i="2" s="1"/>
  <c r="L3440" i="2" l="1"/>
  <c r="G3442" i="2"/>
  <c r="H3442" i="2"/>
  <c r="I3442" i="2" s="1"/>
  <c r="K3441" i="2"/>
  <c r="L3441" i="2" s="1"/>
  <c r="E3442" i="2"/>
  <c r="F3442" i="2" s="1"/>
  <c r="J3442" i="2" l="1"/>
  <c r="H3443" i="2"/>
  <c r="I3443" i="2" s="1"/>
  <c r="K3442" i="2"/>
  <c r="J3443" i="2" s="1"/>
  <c r="G3443" i="2"/>
  <c r="E3443" i="2"/>
  <c r="F3443" i="2" s="1"/>
  <c r="L3442" i="2" l="1"/>
  <c r="E3444" i="2"/>
  <c r="F3444" i="2" s="1"/>
  <c r="H3444" i="2"/>
  <c r="I3444" i="2" s="1"/>
  <c r="K3443" i="2"/>
  <c r="L3443" i="2" s="1"/>
  <c r="G3444" i="2"/>
  <c r="E3445" i="2" l="1"/>
  <c r="F3445" i="2" s="1"/>
  <c r="H3445" i="2"/>
  <c r="I3445" i="2" s="1"/>
  <c r="K3444" i="2"/>
  <c r="J3445" i="2" s="1"/>
  <c r="G3445" i="2"/>
  <c r="J3444" i="2"/>
  <c r="L3444" i="2" l="1"/>
  <c r="G3446" i="2"/>
  <c r="E3446" i="2"/>
  <c r="F3446" i="2" s="1"/>
  <c r="K3445" i="2"/>
  <c r="L3445" i="2" s="1"/>
  <c r="H3446" i="2"/>
  <c r="I3446" i="2" s="1"/>
  <c r="J3446" i="2" l="1"/>
  <c r="H3447" i="2"/>
  <c r="I3447" i="2" s="1"/>
  <c r="K3446" i="2"/>
  <c r="G3447" i="2"/>
  <c r="E3447" i="2"/>
  <c r="F3447" i="2" s="1"/>
  <c r="L3446" i="2" l="1"/>
  <c r="E3448" i="2"/>
  <c r="F3448" i="2" s="1"/>
  <c r="H3448" i="2"/>
  <c r="I3448" i="2" s="1"/>
  <c r="K3447" i="2"/>
  <c r="J3448" i="2" s="1"/>
  <c r="G3448" i="2"/>
  <c r="J3447" i="2"/>
  <c r="L3447" i="2" l="1"/>
  <c r="E3449" i="2"/>
  <c r="F3449" i="2" s="1"/>
  <c r="K3448" i="2"/>
  <c r="L3448" i="2" s="1"/>
  <c r="H3449" i="2"/>
  <c r="I3449" i="2" s="1"/>
  <c r="G3449" i="2"/>
  <c r="J3449" i="2" l="1"/>
  <c r="G3450" i="2"/>
  <c r="H3450" i="2"/>
  <c r="I3450" i="2" s="1"/>
  <c r="K3449" i="2"/>
  <c r="E3450" i="2"/>
  <c r="F3450" i="2" s="1"/>
  <c r="L3449" i="2" l="1"/>
  <c r="J3450" i="2"/>
  <c r="H3451" i="2"/>
  <c r="I3451" i="2" s="1"/>
  <c r="K3450" i="2"/>
  <c r="G3451" i="2"/>
  <c r="E3451" i="2"/>
  <c r="F3451" i="2" s="1"/>
  <c r="L3450" i="2" l="1"/>
  <c r="J3451" i="2"/>
  <c r="E3452" i="2"/>
  <c r="F3452" i="2" s="1"/>
  <c r="H3452" i="2"/>
  <c r="I3452" i="2" s="1"/>
  <c r="K3451" i="2"/>
  <c r="J3452" i="2" s="1"/>
  <c r="G3452" i="2"/>
  <c r="E3453" i="2" l="1"/>
  <c r="F3453" i="2" s="1"/>
  <c r="H3453" i="2"/>
  <c r="I3453" i="2" s="1"/>
  <c r="K3452" i="2"/>
  <c r="L3452" i="2" s="1"/>
  <c r="G3453" i="2"/>
  <c r="L3451" i="2"/>
  <c r="J3453" i="2" l="1"/>
  <c r="G3454" i="2"/>
  <c r="E3454" i="2"/>
  <c r="F3454" i="2" s="1"/>
  <c r="H3454" i="2"/>
  <c r="I3454" i="2" s="1"/>
  <c r="K3453" i="2"/>
  <c r="J3454" i="2" s="1"/>
  <c r="H3455" i="2" l="1"/>
  <c r="I3455" i="2" s="1"/>
  <c r="K3454" i="2"/>
  <c r="L3454" i="2" s="1"/>
  <c r="G3455" i="2"/>
  <c r="E3455" i="2"/>
  <c r="F3455" i="2" s="1"/>
  <c r="L3453" i="2"/>
  <c r="E3456" i="2" l="1"/>
  <c r="F3456" i="2" s="1"/>
  <c r="H3456" i="2"/>
  <c r="I3456" i="2" s="1"/>
  <c r="K3455" i="2"/>
  <c r="J3456" i="2" s="1"/>
  <c r="G3456" i="2"/>
  <c r="J3455" i="2"/>
  <c r="L3455" i="2" l="1"/>
  <c r="E3457" i="2"/>
  <c r="F3457" i="2" s="1"/>
  <c r="H3457" i="2"/>
  <c r="I3457" i="2" s="1"/>
  <c r="G3457" i="2"/>
  <c r="K3456" i="2"/>
  <c r="L3456" i="2" s="1"/>
  <c r="J3457" i="2" l="1"/>
  <c r="G3458" i="2"/>
  <c r="H3458" i="2"/>
  <c r="I3458" i="2" s="1"/>
  <c r="K3457" i="2"/>
  <c r="J3458" i="2" s="1"/>
  <c r="E3458" i="2"/>
  <c r="F3458" i="2" s="1"/>
  <c r="H3459" i="2" l="1"/>
  <c r="I3459" i="2" s="1"/>
  <c r="K3458" i="2"/>
  <c r="J3459" i="2" s="1"/>
  <c r="G3459" i="2"/>
  <c r="E3459" i="2"/>
  <c r="F3459" i="2" s="1"/>
  <c r="L3457" i="2"/>
  <c r="L3458" i="2" l="1"/>
  <c r="E3460" i="2"/>
  <c r="F3460" i="2" s="1"/>
  <c r="H3460" i="2"/>
  <c r="I3460" i="2" s="1"/>
  <c r="K3459" i="2"/>
  <c r="L3459" i="2" s="1"/>
  <c r="G3460" i="2"/>
  <c r="E3461" i="2" l="1"/>
  <c r="F3461" i="2" s="1"/>
  <c r="H3461" i="2"/>
  <c r="I3461" i="2" s="1"/>
  <c r="K3460" i="2"/>
  <c r="J3461" i="2" s="1"/>
  <c r="G3461" i="2"/>
  <c r="J3460" i="2"/>
  <c r="G3462" i="2" l="1"/>
  <c r="E3462" i="2"/>
  <c r="F3462" i="2" s="1"/>
  <c r="K3461" i="2"/>
  <c r="L3461" i="2" s="1"/>
  <c r="H3462" i="2"/>
  <c r="I3462" i="2" s="1"/>
  <c r="L3460" i="2"/>
  <c r="J3462" i="2" l="1"/>
  <c r="H3463" i="2"/>
  <c r="I3463" i="2" s="1"/>
  <c r="K3462" i="2"/>
  <c r="G3463" i="2"/>
  <c r="E3463" i="2"/>
  <c r="F3463" i="2" s="1"/>
  <c r="L3462" i="2" l="1"/>
  <c r="E3464" i="2"/>
  <c r="F3464" i="2" s="1"/>
  <c r="H3464" i="2"/>
  <c r="I3464" i="2" s="1"/>
  <c r="K3463" i="2"/>
  <c r="J3464" i="2" s="1"/>
  <c r="G3464" i="2"/>
  <c r="J3463" i="2"/>
  <c r="L3463" i="2" l="1"/>
  <c r="E3465" i="2"/>
  <c r="F3465" i="2" s="1"/>
  <c r="K3464" i="2"/>
  <c r="L3464" i="2" s="1"/>
  <c r="H3465" i="2"/>
  <c r="I3465" i="2" s="1"/>
  <c r="G3465" i="2"/>
  <c r="J3465" i="2" l="1"/>
  <c r="G3466" i="2"/>
  <c r="H3466" i="2"/>
  <c r="I3466" i="2" s="1"/>
  <c r="K3465" i="2"/>
  <c r="E3466" i="2"/>
  <c r="F3466" i="2" s="1"/>
  <c r="L3465" i="2" l="1"/>
  <c r="J3466" i="2"/>
  <c r="H3467" i="2"/>
  <c r="I3467" i="2" s="1"/>
  <c r="K3466" i="2"/>
  <c r="G3467" i="2"/>
  <c r="E3467" i="2"/>
  <c r="F3467" i="2" s="1"/>
  <c r="L3466" i="2" l="1"/>
  <c r="J3467" i="2"/>
  <c r="E3468" i="2"/>
  <c r="F3468" i="2" s="1"/>
  <c r="H3468" i="2"/>
  <c r="I3468" i="2" s="1"/>
  <c r="K3467" i="2"/>
  <c r="J3468" i="2" s="1"/>
  <c r="G3468" i="2"/>
  <c r="E3469" i="2" l="1"/>
  <c r="F3469" i="2" s="1"/>
  <c r="H3469" i="2"/>
  <c r="I3469" i="2" s="1"/>
  <c r="K3468" i="2"/>
  <c r="L3468" i="2" s="1"/>
  <c r="G3469" i="2"/>
  <c r="L3467" i="2"/>
  <c r="J3469" i="2" l="1"/>
  <c r="G3470" i="2"/>
  <c r="E3470" i="2"/>
  <c r="F3470" i="2" s="1"/>
  <c r="H3470" i="2"/>
  <c r="I3470" i="2" s="1"/>
  <c r="K3469" i="2"/>
  <c r="J3470" i="2" s="1"/>
  <c r="L3469" i="2" l="1"/>
  <c r="H3471" i="2"/>
  <c r="I3471" i="2" s="1"/>
  <c r="K3470" i="2"/>
  <c r="L3470" i="2" s="1"/>
  <c r="G3471" i="2"/>
  <c r="E3471" i="2"/>
  <c r="F3471" i="2" s="1"/>
  <c r="E3472" i="2" l="1"/>
  <c r="F3472" i="2" s="1"/>
  <c r="H3472" i="2"/>
  <c r="I3472" i="2" s="1"/>
  <c r="K3471" i="2"/>
  <c r="J3472" i="2" s="1"/>
  <c r="G3472" i="2"/>
  <c r="J3471" i="2"/>
  <c r="L3471" i="2" l="1"/>
  <c r="E3473" i="2"/>
  <c r="F3473" i="2" s="1"/>
  <c r="H3473" i="2"/>
  <c r="I3473" i="2" s="1"/>
  <c r="G3473" i="2"/>
  <c r="K3472" i="2"/>
  <c r="L3472" i="2" s="1"/>
  <c r="J3473" i="2" l="1"/>
  <c r="G3474" i="2"/>
  <c r="H3474" i="2"/>
  <c r="I3474" i="2" s="1"/>
  <c r="K3473" i="2"/>
  <c r="J3474" i="2" s="1"/>
  <c r="E3474" i="2"/>
  <c r="F3474" i="2" s="1"/>
  <c r="H3475" i="2" l="1"/>
  <c r="I3475" i="2" s="1"/>
  <c r="K3474" i="2"/>
  <c r="J3475" i="2" s="1"/>
  <c r="G3475" i="2"/>
  <c r="E3475" i="2"/>
  <c r="F3475" i="2" s="1"/>
  <c r="L3473" i="2"/>
  <c r="L3474" i="2" l="1"/>
  <c r="E3476" i="2"/>
  <c r="F3476" i="2" s="1"/>
  <c r="H3476" i="2"/>
  <c r="I3476" i="2" s="1"/>
  <c r="K3475" i="2"/>
  <c r="L3475" i="2" s="1"/>
  <c r="G3476" i="2"/>
  <c r="E3477" i="2" l="1"/>
  <c r="F3477" i="2" s="1"/>
  <c r="H3477" i="2"/>
  <c r="I3477" i="2" s="1"/>
  <c r="K3476" i="2"/>
  <c r="J3477" i="2" s="1"/>
  <c r="G3477" i="2"/>
  <c r="J3476" i="2"/>
  <c r="G3478" i="2" l="1"/>
  <c r="E3478" i="2"/>
  <c r="F3478" i="2" s="1"/>
  <c r="K3477" i="2"/>
  <c r="L3477" i="2" s="1"/>
  <c r="H3478" i="2"/>
  <c r="I3478" i="2" s="1"/>
  <c r="L3476" i="2"/>
  <c r="J3478" i="2" l="1"/>
  <c r="H3479" i="2"/>
  <c r="I3479" i="2" s="1"/>
  <c r="K3478" i="2"/>
  <c r="G3479" i="2"/>
  <c r="E3479" i="2"/>
  <c r="F3479" i="2" s="1"/>
  <c r="L3478" i="2" l="1"/>
  <c r="E3480" i="2"/>
  <c r="F3480" i="2" s="1"/>
  <c r="H3480" i="2"/>
  <c r="I3480" i="2" s="1"/>
  <c r="K3479" i="2"/>
  <c r="J3480" i="2" s="1"/>
  <c r="G3480" i="2"/>
  <c r="J3479" i="2"/>
  <c r="L3479" i="2" l="1"/>
  <c r="E3481" i="2"/>
  <c r="F3481" i="2" s="1"/>
  <c r="K3480" i="2"/>
  <c r="L3480" i="2" s="1"/>
  <c r="H3481" i="2"/>
  <c r="I3481" i="2" s="1"/>
  <c r="G3481" i="2"/>
  <c r="J3481" i="2" l="1"/>
  <c r="G3482" i="2"/>
  <c r="H3482" i="2"/>
  <c r="I3482" i="2" s="1"/>
  <c r="K3481" i="2"/>
  <c r="E3482" i="2"/>
  <c r="F3482" i="2" s="1"/>
  <c r="L3481" i="2" l="1"/>
  <c r="J3482" i="2"/>
  <c r="H3483" i="2"/>
  <c r="I3483" i="2" s="1"/>
  <c r="K3482" i="2"/>
  <c r="J3483" i="2" s="1"/>
  <c r="G3483" i="2"/>
  <c r="E3483" i="2"/>
  <c r="F3483" i="2" s="1"/>
  <c r="L3482" i="2" l="1"/>
  <c r="E3484" i="2"/>
  <c r="F3484" i="2" s="1"/>
  <c r="H3484" i="2"/>
  <c r="I3484" i="2" s="1"/>
  <c r="K3483" i="2"/>
  <c r="L3483" i="2" s="1"/>
  <c r="G3484" i="2"/>
  <c r="E3485" i="2" l="1"/>
  <c r="F3485" i="2" s="1"/>
  <c r="H3485" i="2"/>
  <c r="I3485" i="2" s="1"/>
  <c r="K3484" i="2"/>
  <c r="J3485" i="2" s="1"/>
  <c r="G3485" i="2"/>
  <c r="J3484" i="2"/>
  <c r="G3486" i="2" l="1"/>
  <c r="E3486" i="2"/>
  <c r="F3486" i="2" s="1"/>
  <c r="H3486" i="2"/>
  <c r="I3486" i="2" s="1"/>
  <c r="K3485" i="2"/>
  <c r="L3485" i="2" s="1"/>
  <c r="L3484" i="2"/>
  <c r="J3486" i="2" l="1"/>
  <c r="H3487" i="2"/>
  <c r="I3487" i="2" s="1"/>
  <c r="K3486" i="2"/>
  <c r="G3487" i="2"/>
  <c r="E3487" i="2"/>
  <c r="F3487" i="2" s="1"/>
  <c r="L3486" i="2" l="1"/>
  <c r="E3488" i="2"/>
  <c r="F3488" i="2" s="1"/>
  <c r="H3488" i="2"/>
  <c r="I3488" i="2" s="1"/>
  <c r="K3487" i="2"/>
  <c r="J3488" i="2" s="1"/>
  <c r="G3488" i="2"/>
  <c r="J3487" i="2"/>
  <c r="L3487" i="2" l="1"/>
  <c r="E3489" i="2"/>
  <c r="F3489" i="2" s="1"/>
  <c r="H3489" i="2"/>
  <c r="I3489" i="2" s="1"/>
  <c r="G3489" i="2"/>
  <c r="K3488" i="2"/>
  <c r="J3489" i="2" s="1"/>
  <c r="L3488" i="2" l="1"/>
  <c r="G3490" i="2"/>
  <c r="H3490" i="2"/>
  <c r="I3490" i="2" s="1"/>
  <c r="K3489" i="2"/>
  <c r="L3489" i="2" s="1"/>
  <c r="E3490" i="2"/>
  <c r="F3490" i="2" s="1"/>
  <c r="J3490" i="2" l="1"/>
  <c r="H3491" i="2"/>
  <c r="I3491" i="2" s="1"/>
  <c r="K3490" i="2"/>
  <c r="J3491" i="2" s="1"/>
  <c r="G3491" i="2"/>
  <c r="E3491" i="2"/>
  <c r="F3491" i="2" s="1"/>
  <c r="L3490" i="2" l="1"/>
  <c r="E3492" i="2"/>
  <c r="F3492" i="2" s="1"/>
  <c r="H3492" i="2"/>
  <c r="I3492" i="2" s="1"/>
  <c r="K3491" i="2"/>
  <c r="L3491" i="2" s="1"/>
  <c r="G3492" i="2"/>
  <c r="E3493" i="2" l="1"/>
  <c r="F3493" i="2" s="1"/>
  <c r="H3493" i="2"/>
  <c r="I3493" i="2" s="1"/>
  <c r="K3492" i="2"/>
  <c r="J3493" i="2" s="1"/>
  <c r="G3493" i="2"/>
  <c r="J3492" i="2"/>
  <c r="G3494" i="2" l="1"/>
  <c r="E3494" i="2"/>
  <c r="F3494" i="2" s="1"/>
  <c r="K3493" i="2"/>
  <c r="L3493" i="2" s="1"/>
  <c r="H3494" i="2"/>
  <c r="I3494" i="2" s="1"/>
  <c r="L3492" i="2"/>
  <c r="J3494" i="2" l="1"/>
  <c r="H3495" i="2"/>
  <c r="I3495" i="2" s="1"/>
  <c r="K3494" i="2"/>
  <c r="G3495" i="2"/>
  <c r="E3495" i="2"/>
  <c r="F3495" i="2" s="1"/>
  <c r="L3494" i="2" l="1"/>
  <c r="E3496" i="2"/>
  <c r="F3496" i="2" s="1"/>
  <c r="H3496" i="2"/>
  <c r="I3496" i="2" s="1"/>
  <c r="K3495" i="2"/>
  <c r="J3496" i="2" s="1"/>
  <c r="G3496" i="2"/>
  <c r="J3495" i="2"/>
  <c r="L3495" i="2" l="1"/>
  <c r="E3497" i="2"/>
  <c r="F3497" i="2" s="1"/>
  <c r="H3497" i="2"/>
  <c r="I3497" i="2" s="1"/>
  <c r="G3497" i="2"/>
  <c r="K3496" i="2"/>
  <c r="L3496" i="2" s="1"/>
  <c r="J3497" i="2" l="1"/>
  <c r="H3498" i="2"/>
  <c r="I3498" i="2" s="1"/>
  <c r="G3498" i="2"/>
  <c r="E3498" i="2"/>
  <c r="F3498" i="2" s="1"/>
  <c r="K3497" i="2"/>
  <c r="L3497" i="2" l="1"/>
  <c r="G3499" i="2"/>
  <c r="H3499" i="2"/>
  <c r="I3499" i="2" s="1"/>
  <c r="E3499" i="2"/>
  <c r="F3499" i="2" s="1"/>
  <c r="K3498" i="2"/>
  <c r="J3499" i="2" s="1"/>
  <c r="J3498" i="2"/>
  <c r="H3500" i="2" l="1"/>
  <c r="I3500" i="2" s="1"/>
  <c r="K3499" i="2"/>
  <c r="L3499" i="2" s="1"/>
  <c r="G3500" i="2"/>
  <c r="E3500" i="2"/>
  <c r="F3500" i="2" s="1"/>
  <c r="L3498" i="2"/>
  <c r="J3500" i="2" l="1"/>
  <c r="E3501" i="2"/>
  <c r="F3501" i="2" s="1"/>
  <c r="G3501" i="2"/>
  <c r="K3500" i="2"/>
  <c r="J3501" i="2" s="1"/>
  <c r="H3501" i="2"/>
  <c r="I3501" i="2" s="1"/>
  <c r="G3502" i="2" l="1"/>
  <c r="E3502" i="2"/>
  <c r="F3502" i="2" s="1"/>
  <c r="K3501" i="2"/>
  <c r="L3501" i="2" s="1"/>
  <c r="H3502" i="2"/>
  <c r="I3502" i="2" s="1"/>
  <c r="L3500" i="2"/>
  <c r="J3502" i="2" l="1"/>
  <c r="G3503" i="2"/>
  <c r="E3503" i="2"/>
  <c r="F3503" i="2" s="1"/>
  <c r="K3502" i="2"/>
  <c r="L3502" i="2" s="1"/>
  <c r="H3503" i="2"/>
  <c r="I3503" i="2" s="1"/>
  <c r="J3503" i="2" l="1"/>
  <c r="H3504" i="2"/>
  <c r="I3504" i="2" s="1"/>
  <c r="K3503" i="2"/>
  <c r="G3504" i="2"/>
  <c r="E3504" i="2"/>
  <c r="F3504" i="2" s="1"/>
  <c r="L3503" i="2" l="1"/>
  <c r="J3504" i="2"/>
  <c r="E3505" i="2"/>
  <c r="F3505" i="2" s="1"/>
  <c r="H3505" i="2"/>
  <c r="I3505" i="2" s="1"/>
  <c r="K3504" i="2"/>
  <c r="G3505" i="2"/>
  <c r="L3504" i="2" l="1"/>
  <c r="J3505" i="2"/>
  <c r="E3506" i="2"/>
  <c r="F3506" i="2" s="1"/>
  <c r="H3506" i="2"/>
  <c r="I3506" i="2" s="1"/>
  <c r="K3505" i="2"/>
  <c r="G3506" i="2"/>
  <c r="L3505" i="2" l="1"/>
  <c r="J3506" i="2"/>
  <c r="G3507" i="2"/>
  <c r="E3507" i="2"/>
  <c r="F3507" i="2" s="1"/>
  <c r="K3506" i="2"/>
  <c r="H3507" i="2"/>
  <c r="I3507" i="2" s="1"/>
  <c r="L3506" i="2" l="1"/>
  <c r="J3507" i="2"/>
  <c r="H3508" i="2"/>
  <c r="I3508" i="2" s="1"/>
  <c r="K3507" i="2"/>
  <c r="L3507" i="2" s="1"/>
  <c r="G3508" i="2"/>
  <c r="E3508" i="2"/>
  <c r="F3508" i="2" s="1"/>
  <c r="J3508" i="2" l="1"/>
  <c r="E3509" i="2"/>
  <c r="F3509" i="2" s="1"/>
  <c r="H3509" i="2"/>
  <c r="I3509" i="2" s="1"/>
  <c r="K3508" i="2"/>
  <c r="J3509" i="2" s="1"/>
  <c r="G3509" i="2"/>
  <c r="L3508" i="2" l="1"/>
  <c r="E3510" i="2"/>
  <c r="F3510" i="2" s="1"/>
  <c r="K3509" i="2"/>
  <c r="L3509" i="2" s="1"/>
  <c r="H3510" i="2"/>
  <c r="I3510" i="2" s="1"/>
  <c r="G3510" i="2"/>
  <c r="J3510" i="2" l="1"/>
  <c r="G3511" i="2"/>
  <c r="H3511" i="2"/>
  <c r="I3511" i="2" s="1"/>
  <c r="K3510" i="2"/>
  <c r="E3511" i="2"/>
  <c r="F3511" i="2" s="1"/>
  <c r="L3510" i="2" l="1"/>
  <c r="J3511" i="2"/>
  <c r="H3512" i="2"/>
  <c r="I3512" i="2" s="1"/>
  <c r="K3511" i="2"/>
  <c r="J3512" i="2" s="1"/>
  <c r="G3512" i="2"/>
  <c r="E3512" i="2"/>
  <c r="F3512" i="2" s="1"/>
  <c r="L3511" i="2" l="1"/>
  <c r="E3513" i="2"/>
  <c r="F3513" i="2" s="1"/>
  <c r="H3513" i="2"/>
  <c r="I3513" i="2" s="1"/>
  <c r="K3512" i="2"/>
  <c r="L3512" i="2" s="1"/>
  <c r="G3513" i="2"/>
  <c r="E3514" i="2" l="1"/>
  <c r="F3514" i="2" s="1"/>
  <c r="H3514" i="2"/>
  <c r="I3514" i="2" s="1"/>
  <c r="K3513" i="2"/>
  <c r="J3514" i="2" s="1"/>
  <c r="G3514" i="2"/>
  <c r="J3513" i="2"/>
  <c r="G3515" i="2" l="1"/>
  <c r="E3515" i="2"/>
  <c r="F3515" i="2" s="1"/>
  <c r="H3515" i="2"/>
  <c r="I3515" i="2" s="1"/>
  <c r="K3514" i="2"/>
  <c r="L3514" i="2" s="1"/>
  <c r="L3513" i="2"/>
  <c r="J3515" i="2" l="1"/>
  <c r="H3516" i="2"/>
  <c r="I3516" i="2" s="1"/>
  <c r="K3515" i="2"/>
  <c r="G3516" i="2"/>
  <c r="E3516" i="2"/>
  <c r="F3516" i="2" s="1"/>
  <c r="L3515" i="2" l="1"/>
  <c r="J3516" i="2"/>
  <c r="E3517" i="2"/>
  <c r="F3517" i="2" s="1"/>
  <c r="H3517" i="2"/>
  <c r="I3517" i="2" s="1"/>
  <c r="K3516" i="2"/>
  <c r="J3517" i="2" s="1"/>
  <c r="G3517" i="2"/>
  <c r="L3516" i="2" l="1"/>
  <c r="E3518" i="2"/>
  <c r="F3518" i="2" s="1"/>
  <c r="H3518" i="2"/>
  <c r="I3518" i="2" s="1"/>
  <c r="G3518" i="2"/>
  <c r="K3517" i="2"/>
  <c r="L3517" i="2" s="1"/>
  <c r="J3518" i="2" l="1"/>
  <c r="G3519" i="2"/>
  <c r="H3519" i="2"/>
  <c r="I3519" i="2" s="1"/>
  <c r="K3518" i="2"/>
  <c r="J3519" i="2" s="1"/>
  <c r="E3519" i="2"/>
  <c r="F3519" i="2" s="1"/>
  <c r="H3520" i="2" l="1"/>
  <c r="I3520" i="2" s="1"/>
  <c r="K3519" i="2"/>
  <c r="J3520" i="2" s="1"/>
  <c r="G3520" i="2"/>
  <c r="E3520" i="2"/>
  <c r="F3520" i="2" s="1"/>
  <c r="L3518" i="2"/>
  <c r="L3519" i="2" l="1"/>
  <c r="E3521" i="2"/>
  <c r="F3521" i="2" s="1"/>
  <c r="H3521" i="2"/>
  <c r="I3521" i="2" s="1"/>
  <c r="K3520" i="2"/>
  <c r="L3520" i="2" s="1"/>
  <c r="G3521" i="2"/>
  <c r="J3521" i="2" l="1"/>
  <c r="E3522" i="2"/>
  <c r="F3522" i="2" s="1"/>
  <c r="H3522" i="2"/>
  <c r="I3522" i="2" s="1"/>
  <c r="K3521" i="2"/>
  <c r="J3522" i="2" s="1"/>
  <c r="G3522" i="2"/>
  <c r="G3523" i="2" l="1"/>
  <c r="E3523" i="2"/>
  <c r="F3523" i="2" s="1"/>
  <c r="K3522" i="2"/>
  <c r="L3522" i="2" s="1"/>
  <c r="H3523" i="2"/>
  <c r="I3523" i="2" s="1"/>
  <c r="L3521" i="2"/>
  <c r="J3523" i="2" l="1"/>
  <c r="E3524" i="2"/>
  <c r="F3524" i="2" s="1"/>
  <c r="K3523" i="2"/>
  <c r="H3524" i="2"/>
  <c r="I3524" i="2" s="1"/>
  <c r="G3524" i="2"/>
  <c r="L3523" i="2" l="1"/>
  <c r="J3524" i="2"/>
  <c r="E3525" i="2"/>
  <c r="F3525" i="2" s="1"/>
  <c r="K3524" i="2"/>
  <c r="H3525" i="2"/>
  <c r="I3525" i="2" s="1"/>
  <c r="G3525" i="2"/>
  <c r="L3524" i="2" l="1"/>
  <c r="J3525" i="2"/>
  <c r="G3526" i="2"/>
  <c r="E3526" i="2"/>
  <c r="F3526" i="2" s="1"/>
  <c r="K3525" i="2"/>
  <c r="J3526" i="2" s="1"/>
  <c r="H3526" i="2"/>
  <c r="I3526" i="2" s="1"/>
  <c r="H3527" i="2" l="1"/>
  <c r="I3527" i="2" s="1"/>
  <c r="K3526" i="2"/>
  <c r="L3526" i="2" s="1"/>
  <c r="E3527" i="2"/>
  <c r="F3527" i="2" s="1"/>
  <c r="G3527" i="2"/>
  <c r="L3525" i="2"/>
  <c r="J3527" i="2" l="1"/>
  <c r="E3528" i="2"/>
  <c r="F3528" i="2" s="1"/>
  <c r="H3528" i="2"/>
  <c r="I3528" i="2" s="1"/>
  <c r="K3527" i="2"/>
  <c r="G3528" i="2"/>
  <c r="L3527" i="2" l="1"/>
  <c r="J3528" i="2"/>
  <c r="H3529" i="2"/>
  <c r="I3529" i="2" s="1"/>
  <c r="K3528" i="2"/>
  <c r="L3528" i="2" s="1"/>
  <c r="G3529" i="2"/>
  <c r="E3529" i="2"/>
  <c r="F3529" i="2" s="1"/>
  <c r="J3529" i="2" l="1"/>
  <c r="G3530" i="2"/>
  <c r="H3530" i="2"/>
  <c r="I3530" i="2" s="1"/>
  <c r="K3529" i="2"/>
  <c r="E3530" i="2"/>
  <c r="F3530" i="2" s="1"/>
  <c r="L3529" i="2" l="1"/>
  <c r="J3530" i="2"/>
  <c r="H3531" i="2"/>
  <c r="I3531" i="2" s="1"/>
  <c r="K3530" i="2"/>
  <c r="G3531" i="2"/>
  <c r="E3531" i="2"/>
  <c r="F3531" i="2" s="1"/>
  <c r="L3530" i="2" l="1"/>
  <c r="J3531" i="2"/>
  <c r="E3532" i="2"/>
  <c r="F3532" i="2" s="1"/>
  <c r="H3532" i="2"/>
  <c r="I3532" i="2" s="1"/>
  <c r="G3532" i="2"/>
  <c r="K3531" i="2"/>
  <c r="L3531" i="2" l="1"/>
  <c r="J3532" i="2"/>
  <c r="H3533" i="2"/>
  <c r="I3533" i="2" s="1"/>
  <c r="G3533" i="2"/>
  <c r="K3532" i="2"/>
  <c r="E3533" i="2"/>
  <c r="F3533" i="2" s="1"/>
  <c r="L3532" i="2" l="1"/>
  <c r="J3533" i="2"/>
  <c r="G3534" i="2"/>
  <c r="H3534" i="2"/>
  <c r="I3534" i="2" s="1"/>
  <c r="K3533" i="2"/>
  <c r="E3534" i="2"/>
  <c r="F3534" i="2" s="1"/>
  <c r="L3533" i="2" l="1"/>
  <c r="J3534" i="2"/>
  <c r="H3535" i="2"/>
  <c r="I3535" i="2" s="1"/>
  <c r="K3534" i="2"/>
  <c r="G3535" i="2"/>
  <c r="E3535" i="2"/>
  <c r="F3535" i="2" s="1"/>
  <c r="L3534" i="2" l="1"/>
  <c r="J3535" i="2"/>
  <c r="E3536" i="2"/>
  <c r="F3536" i="2" s="1"/>
  <c r="G3536" i="2"/>
  <c r="K3535" i="2"/>
  <c r="H3536" i="2"/>
  <c r="I3536" i="2" s="1"/>
  <c r="L3535" i="2" l="1"/>
  <c r="J3536" i="2"/>
  <c r="G3537" i="2"/>
  <c r="E3537" i="2"/>
  <c r="F3537" i="2" s="1"/>
  <c r="K3536" i="2"/>
  <c r="H3537" i="2"/>
  <c r="I3537" i="2" s="1"/>
  <c r="L3536" i="2" l="1"/>
  <c r="J3537" i="2"/>
  <c r="G3538" i="2"/>
  <c r="E3538" i="2"/>
  <c r="F3538" i="2" s="1"/>
  <c r="K3537" i="2"/>
  <c r="J3538" i="2" s="1"/>
  <c r="H3538" i="2"/>
  <c r="I3538" i="2" s="1"/>
  <c r="L3537" i="2" l="1"/>
  <c r="E3539" i="2"/>
  <c r="F3539" i="2" s="1"/>
  <c r="H3539" i="2"/>
  <c r="I3539" i="2" s="1"/>
  <c r="K3538" i="2"/>
  <c r="L3538" i="2" s="1"/>
  <c r="G3539" i="2"/>
  <c r="J3539" i="2" l="1"/>
  <c r="E3540" i="2"/>
  <c r="F3540" i="2" s="1"/>
  <c r="K3539" i="2"/>
  <c r="H3540" i="2"/>
  <c r="I3540" i="2" s="1"/>
  <c r="G3540" i="2"/>
  <c r="L3539" i="2" l="1"/>
  <c r="J3540" i="2"/>
  <c r="G3541" i="2"/>
  <c r="H3541" i="2"/>
  <c r="I3541" i="2" s="1"/>
  <c r="K3540" i="2"/>
  <c r="J3541" i="2" s="1"/>
  <c r="E3541" i="2"/>
  <c r="F3541" i="2" s="1"/>
  <c r="H3542" i="2" l="1"/>
  <c r="I3542" i="2" s="1"/>
  <c r="K3541" i="2"/>
  <c r="L3541" i="2" s="1"/>
  <c r="G3542" i="2"/>
  <c r="E3542" i="2"/>
  <c r="F3542" i="2" s="1"/>
  <c r="L3540" i="2"/>
  <c r="J3542" i="2" l="1"/>
  <c r="E3543" i="2"/>
  <c r="F3543" i="2" s="1"/>
  <c r="H3543" i="2"/>
  <c r="I3543" i="2" s="1"/>
  <c r="K3542" i="2"/>
  <c r="G3543" i="2"/>
  <c r="L3542" i="2" l="1"/>
  <c r="J3543" i="2"/>
  <c r="E3544" i="2"/>
  <c r="F3544" i="2" s="1"/>
  <c r="H3544" i="2"/>
  <c r="I3544" i="2" s="1"/>
  <c r="K3543" i="2"/>
  <c r="G3544" i="2"/>
  <c r="L3543" i="2" l="1"/>
  <c r="J3544" i="2"/>
  <c r="G3545" i="2"/>
  <c r="E3545" i="2"/>
  <c r="F3545" i="2" s="1"/>
  <c r="H3545" i="2"/>
  <c r="I3545" i="2" s="1"/>
  <c r="K3544" i="2"/>
  <c r="J3545" i="2" s="1"/>
  <c r="L3544" i="2" l="1"/>
  <c r="H3546" i="2"/>
  <c r="I3546" i="2" s="1"/>
  <c r="K3545" i="2"/>
  <c r="L3545" i="2" s="1"/>
  <c r="G3546" i="2"/>
  <c r="E3546" i="2"/>
  <c r="F3546" i="2" s="1"/>
  <c r="J3546" i="2" l="1"/>
  <c r="E3547" i="2"/>
  <c r="F3547" i="2" s="1"/>
  <c r="H3547" i="2"/>
  <c r="I3547" i="2" s="1"/>
  <c r="K3546" i="2"/>
  <c r="G3547" i="2"/>
  <c r="L3546" i="2" l="1"/>
  <c r="J3547" i="2"/>
  <c r="E3548" i="2"/>
  <c r="F3548" i="2" s="1"/>
  <c r="H3548" i="2"/>
  <c r="I3548" i="2" s="1"/>
  <c r="G3548" i="2"/>
  <c r="K3547" i="2"/>
  <c r="J3548" i="2" s="1"/>
  <c r="L3547" i="2" l="1"/>
  <c r="G3549" i="2"/>
  <c r="H3549" i="2"/>
  <c r="I3549" i="2" s="1"/>
  <c r="K3548" i="2"/>
  <c r="L3548" i="2" s="1"/>
  <c r="E3549" i="2"/>
  <c r="F3549" i="2" s="1"/>
  <c r="J3549" i="2" l="1"/>
  <c r="H3550" i="2"/>
  <c r="I3550" i="2" s="1"/>
  <c r="K3549" i="2"/>
  <c r="J3550" i="2" s="1"/>
  <c r="G3550" i="2"/>
  <c r="E3550" i="2"/>
  <c r="F3550" i="2" s="1"/>
  <c r="L3549" i="2" l="1"/>
  <c r="E3551" i="2"/>
  <c r="F3551" i="2" s="1"/>
  <c r="H3551" i="2"/>
  <c r="I3551" i="2" s="1"/>
  <c r="K3550" i="2"/>
  <c r="L3550" i="2" s="1"/>
  <c r="G3551" i="2"/>
  <c r="E3552" i="2" l="1"/>
  <c r="F3552" i="2" s="1"/>
  <c r="H3552" i="2"/>
  <c r="I3552" i="2" s="1"/>
  <c r="K3551" i="2"/>
  <c r="J3552" i="2" s="1"/>
  <c r="G3552" i="2"/>
  <c r="J3551" i="2"/>
  <c r="G3553" i="2" l="1"/>
  <c r="E3553" i="2"/>
  <c r="F3553" i="2" s="1"/>
  <c r="K3552" i="2"/>
  <c r="L3552" i="2" s="1"/>
  <c r="H3553" i="2"/>
  <c r="I3553" i="2" s="1"/>
  <c r="L3551" i="2"/>
  <c r="J3553" i="2" l="1"/>
  <c r="H3554" i="2"/>
  <c r="I3554" i="2" s="1"/>
  <c r="K3553" i="2"/>
  <c r="G3554" i="2"/>
  <c r="E3554" i="2"/>
  <c r="F3554" i="2" s="1"/>
  <c r="L3553" i="2" l="1"/>
  <c r="E3555" i="2"/>
  <c r="F3555" i="2" s="1"/>
  <c r="H3555" i="2"/>
  <c r="I3555" i="2" s="1"/>
  <c r="K3554" i="2"/>
  <c r="J3555" i="2" s="1"/>
  <c r="G3555" i="2"/>
  <c r="J3554" i="2"/>
  <c r="L3554" i="2" l="1"/>
  <c r="E3556" i="2"/>
  <c r="F3556" i="2" s="1"/>
  <c r="K3555" i="2"/>
  <c r="L3555" i="2" s="1"/>
  <c r="H3556" i="2"/>
  <c r="I3556" i="2" s="1"/>
  <c r="G3556" i="2"/>
  <c r="J3556" i="2" l="1"/>
  <c r="G3557" i="2"/>
  <c r="H3557" i="2"/>
  <c r="I3557" i="2" s="1"/>
  <c r="K3556" i="2"/>
  <c r="E3557" i="2"/>
  <c r="F3557" i="2" s="1"/>
  <c r="L3556" i="2" l="1"/>
  <c r="J3557" i="2"/>
  <c r="H3558" i="2"/>
  <c r="I3558" i="2" s="1"/>
  <c r="K3557" i="2"/>
  <c r="G3558" i="2"/>
  <c r="E3558" i="2"/>
  <c r="F3558" i="2" s="1"/>
  <c r="L3557" i="2" l="1"/>
  <c r="J3558" i="2"/>
  <c r="E3559" i="2"/>
  <c r="F3559" i="2" s="1"/>
  <c r="H3559" i="2"/>
  <c r="I3559" i="2" s="1"/>
  <c r="K3558" i="2"/>
  <c r="J3559" i="2" s="1"/>
  <c r="G3559" i="2"/>
  <c r="E3560" i="2" l="1"/>
  <c r="F3560" i="2" s="1"/>
  <c r="H3560" i="2"/>
  <c r="I3560" i="2" s="1"/>
  <c r="K3559" i="2"/>
  <c r="L3559" i="2" s="1"/>
  <c r="G3560" i="2"/>
  <c r="L3558" i="2"/>
  <c r="J3560" i="2" l="1"/>
  <c r="G3561" i="2"/>
  <c r="E3561" i="2"/>
  <c r="F3561" i="2" s="1"/>
  <c r="H3561" i="2"/>
  <c r="I3561" i="2" s="1"/>
  <c r="K3560" i="2"/>
  <c r="J3561" i="2" s="1"/>
  <c r="L3560" i="2" l="1"/>
  <c r="H3562" i="2"/>
  <c r="I3562" i="2" s="1"/>
  <c r="K3561" i="2"/>
  <c r="L3561" i="2" s="1"/>
  <c r="G3562" i="2"/>
  <c r="E3562" i="2"/>
  <c r="F3562" i="2" s="1"/>
  <c r="J3562" i="2" l="1"/>
  <c r="E3563" i="2"/>
  <c r="F3563" i="2" s="1"/>
  <c r="H3563" i="2"/>
  <c r="I3563" i="2" s="1"/>
  <c r="K3562" i="2"/>
  <c r="G3563" i="2"/>
  <c r="L3562" i="2" l="1"/>
  <c r="J3563" i="2"/>
  <c r="E3564" i="2"/>
  <c r="F3564" i="2" s="1"/>
  <c r="H3564" i="2"/>
  <c r="I3564" i="2" s="1"/>
  <c r="G3564" i="2"/>
  <c r="K3563" i="2"/>
  <c r="J3564" i="2" s="1"/>
  <c r="L3563" i="2" l="1"/>
  <c r="G3565" i="2"/>
  <c r="H3565" i="2"/>
  <c r="I3565" i="2" s="1"/>
  <c r="K3564" i="2"/>
  <c r="L3564" i="2" s="1"/>
  <c r="E3565" i="2"/>
  <c r="F3565" i="2" s="1"/>
  <c r="J3565" i="2" l="1"/>
  <c r="H3566" i="2"/>
  <c r="I3566" i="2" s="1"/>
  <c r="K3565" i="2"/>
  <c r="G3566" i="2"/>
  <c r="E3566" i="2"/>
  <c r="F3566" i="2" s="1"/>
  <c r="L3565" i="2" l="1"/>
  <c r="J3566" i="2"/>
  <c r="E3567" i="2"/>
  <c r="F3567" i="2" s="1"/>
  <c r="H3567" i="2"/>
  <c r="I3567" i="2" s="1"/>
  <c r="K3566" i="2"/>
  <c r="G3567" i="2"/>
  <c r="L3566" i="2" l="1"/>
  <c r="J3567" i="2"/>
  <c r="E3568" i="2"/>
  <c r="F3568" i="2" s="1"/>
  <c r="H3568" i="2"/>
  <c r="I3568" i="2" s="1"/>
  <c r="K3567" i="2"/>
  <c r="G3568" i="2"/>
  <c r="L3567" i="2" l="1"/>
  <c r="J3568" i="2"/>
  <c r="E3569" i="2"/>
  <c r="F3569" i="2" s="1"/>
  <c r="H3569" i="2"/>
  <c r="I3569" i="2" s="1"/>
  <c r="G3569" i="2"/>
  <c r="K3568" i="2"/>
  <c r="J3569" i="2" s="1"/>
  <c r="H3570" i="2" l="1"/>
  <c r="I3570" i="2" s="1"/>
  <c r="G3570" i="2"/>
  <c r="E3570" i="2"/>
  <c r="F3570" i="2" s="1"/>
  <c r="K3569" i="2"/>
  <c r="L3569" i="2" s="1"/>
  <c r="L3568" i="2"/>
  <c r="H3571" i="2" l="1"/>
  <c r="I3571" i="2" s="1"/>
  <c r="K3570" i="2"/>
  <c r="J3571" i="2" s="1"/>
  <c r="G3571" i="2"/>
  <c r="E3571" i="2"/>
  <c r="F3571" i="2" s="1"/>
  <c r="J3570" i="2"/>
  <c r="L3570" i="2" l="1"/>
  <c r="E3572" i="2"/>
  <c r="F3572" i="2" s="1"/>
  <c r="H3572" i="2"/>
  <c r="I3572" i="2" s="1"/>
  <c r="K3571" i="2"/>
  <c r="L3571" i="2" s="1"/>
  <c r="G3572" i="2"/>
  <c r="J3572" i="2" l="1"/>
  <c r="E3573" i="2"/>
  <c r="F3573" i="2" s="1"/>
  <c r="H3573" i="2"/>
  <c r="I3573" i="2" s="1"/>
  <c r="K3572" i="2"/>
  <c r="J3573" i="2" s="1"/>
  <c r="G3573" i="2"/>
  <c r="G3574" i="2" l="1"/>
  <c r="E3574" i="2"/>
  <c r="F3574" i="2" s="1"/>
  <c r="H3574" i="2"/>
  <c r="I3574" i="2" s="1"/>
  <c r="K3573" i="2"/>
  <c r="L3573" i="2" s="1"/>
  <c r="L3572" i="2"/>
  <c r="J3574" i="2" l="1"/>
  <c r="H3575" i="2"/>
  <c r="I3575" i="2" s="1"/>
  <c r="K3574" i="2"/>
  <c r="G3575" i="2"/>
  <c r="E3575" i="2"/>
  <c r="F3575" i="2" s="1"/>
  <c r="L3574" i="2" l="1"/>
  <c r="E3576" i="2"/>
  <c r="F3576" i="2" s="1"/>
  <c r="H3576" i="2"/>
  <c r="I3576" i="2" s="1"/>
  <c r="K3575" i="2"/>
  <c r="J3576" i="2" s="1"/>
  <c r="G3576" i="2"/>
  <c r="J3575" i="2"/>
  <c r="L3575" i="2" l="1"/>
  <c r="E3577" i="2"/>
  <c r="F3577" i="2" s="1"/>
  <c r="H3577" i="2"/>
  <c r="I3577" i="2" s="1"/>
  <c r="G3577" i="2"/>
  <c r="K3576" i="2"/>
  <c r="J3577" i="2" s="1"/>
  <c r="L3576" i="2" l="1"/>
  <c r="G3578" i="2"/>
  <c r="H3578" i="2"/>
  <c r="I3578" i="2" s="1"/>
  <c r="K3577" i="2"/>
  <c r="L3577" i="2" s="1"/>
  <c r="E3578" i="2"/>
  <c r="F3578" i="2" s="1"/>
  <c r="J3578" i="2" l="1"/>
  <c r="G3579" i="2"/>
  <c r="E3579" i="2"/>
  <c r="F3579" i="2" s="1"/>
  <c r="K3578" i="2"/>
  <c r="H3579" i="2"/>
  <c r="I3579" i="2" s="1"/>
  <c r="L3578" i="2" l="1"/>
  <c r="J3579" i="2"/>
  <c r="H3580" i="2"/>
  <c r="I3580" i="2" s="1"/>
  <c r="K3579" i="2"/>
  <c r="L3579" i="2" s="1"/>
  <c r="E3580" i="2"/>
  <c r="F3580" i="2" s="1"/>
  <c r="G3580" i="2"/>
  <c r="J3580" i="2" l="1"/>
  <c r="E3581" i="2"/>
  <c r="F3581" i="2" s="1"/>
  <c r="H3581" i="2"/>
  <c r="I3581" i="2" s="1"/>
  <c r="G3581" i="2"/>
  <c r="K3580" i="2"/>
  <c r="L3580" i="2" s="1"/>
  <c r="H3582" i="2" l="1"/>
  <c r="I3582" i="2" s="1"/>
  <c r="G3582" i="2"/>
  <c r="E3582" i="2"/>
  <c r="F3582" i="2" s="1"/>
  <c r="K3581" i="2"/>
  <c r="J3582" i="2" s="1"/>
  <c r="J3581" i="2"/>
  <c r="L3581" i="2" l="1"/>
  <c r="G3583" i="2"/>
  <c r="H3583" i="2"/>
  <c r="I3583" i="2" s="1"/>
  <c r="E3583" i="2"/>
  <c r="F3583" i="2" s="1"/>
  <c r="K3582" i="2"/>
  <c r="L3582" i="2" s="1"/>
  <c r="J3583" i="2" l="1"/>
  <c r="H3584" i="2"/>
  <c r="I3584" i="2" s="1"/>
  <c r="K3583" i="2"/>
  <c r="J3584" i="2" s="1"/>
  <c r="G3584" i="2"/>
  <c r="E3584" i="2"/>
  <c r="F3584" i="2" s="1"/>
  <c r="L3583" i="2" l="1"/>
  <c r="E3585" i="2"/>
  <c r="F3585" i="2" s="1"/>
  <c r="H3585" i="2"/>
  <c r="I3585" i="2" s="1"/>
  <c r="G3585" i="2"/>
  <c r="K3584" i="2"/>
  <c r="L3584" i="2" s="1"/>
  <c r="J3585" i="2" l="1"/>
  <c r="H3586" i="2"/>
  <c r="I3586" i="2" s="1"/>
  <c r="G3586" i="2"/>
  <c r="E3586" i="2"/>
  <c r="F3586" i="2" s="1"/>
  <c r="K3585" i="2"/>
  <c r="J3586" i="2" s="1"/>
  <c r="L3585" i="2" l="1"/>
  <c r="G3587" i="2"/>
  <c r="H3587" i="2"/>
  <c r="I3587" i="2" s="1"/>
  <c r="E3587" i="2"/>
  <c r="F3587" i="2" s="1"/>
  <c r="K3586" i="2"/>
  <c r="L3586" i="2" s="1"/>
  <c r="J3587" i="2" l="1"/>
  <c r="H3588" i="2"/>
  <c r="I3588" i="2" s="1"/>
  <c r="K3587" i="2"/>
  <c r="J3588" i="2" s="1"/>
  <c r="G3588" i="2"/>
  <c r="E3588" i="2"/>
  <c r="F3588" i="2" s="1"/>
  <c r="L3587" i="2" l="1"/>
  <c r="E3589" i="2"/>
  <c r="F3589" i="2" s="1"/>
  <c r="G3589" i="2"/>
  <c r="K3588" i="2"/>
  <c r="L3588" i="2" s="1"/>
  <c r="H3589" i="2"/>
  <c r="I3589" i="2" s="1"/>
  <c r="G3590" i="2" l="1"/>
  <c r="E3590" i="2"/>
  <c r="F3590" i="2" s="1"/>
  <c r="K3589" i="2"/>
  <c r="J3590" i="2" s="1"/>
  <c r="H3590" i="2"/>
  <c r="I3590" i="2" s="1"/>
  <c r="J3589" i="2"/>
  <c r="L3589" i="2" l="1"/>
  <c r="G3591" i="2"/>
  <c r="E3591" i="2"/>
  <c r="F3591" i="2" s="1"/>
  <c r="K3590" i="2"/>
  <c r="L3590" i="2" s="1"/>
  <c r="H3591" i="2"/>
  <c r="I3591" i="2" s="1"/>
  <c r="J3591" i="2" l="1"/>
  <c r="H3592" i="2"/>
  <c r="I3592" i="2" s="1"/>
  <c r="K3591" i="2"/>
  <c r="E3592" i="2"/>
  <c r="F3592" i="2" s="1"/>
  <c r="G3592" i="2"/>
  <c r="L3591" i="2" l="1"/>
  <c r="J3592" i="2"/>
  <c r="E3593" i="2"/>
  <c r="F3593" i="2" s="1"/>
  <c r="K3592" i="2"/>
  <c r="H3593" i="2"/>
  <c r="I3593" i="2" s="1"/>
  <c r="G3593" i="2"/>
  <c r="L3592" i="2" l="1"/>
  <c r="J3593" i="2"/>
  <c r="E3594" i="2"/>
  <c r="F3594" i="2" s="1"/>
  <c r="K3593" i="2"/>
  <c r="H3594" i="2"/>
  <c r="I3594" i="2" s="1"/>
  <c r="G3594" i="2"/>
  <c r="L3593" i="2" l="1"/>
  <c r="J3594" i="2"/>
  <c r="G3595" i="2"/>
  <c r="E3595" i="2"/>
  <c r="F3595" i="2" s="1"/>
  <c r="K3594" i="2"/>
  <c r="J3595" i="2" s="1"/>
  <c r="H3595" i="2"/>
  <c r="I3595" i="2" s="1"/>
  <c r="H3596" i="2" l="1"/>
  <c r="I3596" i="2" s="1"/>
  <c r="K3595" i="2"/>
  <c r="L3595" i="2" s="1"/>
  <c r="E3596" i="2"/>
  <c r="F3596" i="2" s="1"/>
  <c r="G3596" i="2"/>
  <c r="L3594" i="2"/>
  <c r="J3596" i="2" l="1"/>
  <c r="E3597" i="2"/>
  <c r="F3597" i="2" s="1"/>
  <c r="H3597" i="2"/>
  <c r="I3597" i="2" s="1"/>
  <c r="K3596" i="2"/>
  <c r="G3597" i="2"/>
  <c r="L3596" i="2" l="1"/>
  <c r="J3597" i="2"/>
  <c r="H3598" i="2"/>
  <c r="I3598" i="2" s="1"/>
  <c r="K3597" i="2"/>
  <c r="L3597" i="2" s="1"/>
  <c r="G3598" i="2"/>
  <c r="E3598" i="2"/>
  <c r="F3598" i="2" s="1"/>
  <c r="J3598" i="2" l="1"/>
  <c r="G3599" i="2"/>
  <c r="H3599" i="2"/>
  <c r="I3599" i="2" s="1"/>
  <c r="K3598" i="2"/>
  <c r="E3599" i="2"/>
  <c r="F3599" i="2" s="1"/>
  <c r="L3598" i="2" l="1"/>
  <c r="J3599" i="2"/>
  <c r="H3600" i="2"/>
  <c r="I3600" i="2" s="1"/>
  <c r="K3599" i="2"/>
  <c r="L3599" i="2" s="1"/>
  <c r="G3600" i="2"/>
  <c r="E3600" i="2"/>
  <c r="F3600" i="2" s="1"/>
  <c r="J3600" i="2" l="1"/>
  <c r="E3601" i="2"/>
  <c r="F3601" i="2" s="1"/>
  <c r="H3601" i="2"/>
  <c r="I3601" i="2" s="1"/>
  <c r="G3601" i="2"/>
  <c r="K3600" i="2"/>
  <c r="L3600" i="2" s="1"/>
  <c r="J3601" i="2" l="1"/>
  <c r="H3602" i="2"/>
  <c r="I3602" i="2" s="1"/>
  <c r="G3602" i="2"/>
  <c r="K3601" i="2"/>
  <c r="J3602" i="2" s="1"/>
  <c r="E3602" i="2"/>
  <c r="F3602" i="2" s="1"/>
  <c r="L3601" i="2" l="1"/>
  <c r="G3603" i="2"/>
  <c r="H3603" i="2"/>
  <c r="I3603" i="2" s="1"/>
  <c r="K3602" i="2"/>
  <c r="L3602" i="2" s="1"/>
  <c r="E3603" i="2"/>
  <c r="F3603" i="2" s="1"/>
  <c r="J3603" i="2" l="1"/>
  <c r="H3604" i="2"/>
  <c r="I3604" i="2" s="1"/>
  <c r="K3603" i="2"/>
  <c r="L3603" i="2" s="1"/>
  <c r="G3604" i="2"/>
  <c r="E3604" i="2"/>
  <c r="F3604" i="2" s="1"/>
  <c r="J3604" i="2" l="1"/>
  <c r="E3605" i="2"/>
  <c r="G3605" i="2"/>
  <c r="K3604" i="2"/>
  <c r="H3605" i="2"/>
  <c r="I3605" i="2" s="1"/>
  <c r="L3604" i="2" l="1"/>
  <c r="K3605" i="2"/>
  <c r="J3606" i="2" s="1"/>
  <c r="H3606" i="2"/>
  <c r="I3606" i="2" s="1"/>
  <c r="E3606" i="2"/>
  <c r="F3605" i="2"/>
  <c r="G3606" i="2"/>
  <c r="J3605" i="2"/>
  <c r="L3605" i="2" l="1"/>
  <c r="F3606" i="2"/>
  <c r="E3607" i="2"/>
  <c r="G3607" i="2"/>
  <c r="H3607" i="2"/>
  <c r="I3607" i="2" s="1"/>
  <c r="K3606" i="2"/>
  <c r="L3606" i="2" s="1"/>
  <c r="J3607" i="2" l="1"/>
  <c r="E3608" i="2"/>
  <c r="F3607" i="2"/>
  <c r="G3608" i="2"/>
  <c r="H3608" i="2"/>
  <c r="I3608" i="2" s="1"/>
  <c r="K3607" i="2"/>
  <c r="K3610" i="2" s="1"/>
  <c r="J3608" i="2" l="1"/>
  <c r="L3608" i="2" s="1"/>
  <c r="L3607" i="2"/>
  <c r="J3610" i="2"/>
  <c r="F3608" i="2"/>
  <c r="E3610" i="2"/>
  <c r="L3610" i="2" l="1"/>
  <c r="H3" i="1"/>
  <c r="B352" i="1" l="1"/>
  <c r="B504" i="1"/>
  <c r="B506" i="1"/>
  <c r="B496" i="1"/>
  <c r="B480" i="1"/>
  <c r="B492" i="1"/>
  <c r="B476" i="1"/>
  <c r="B502" i="1"/>
  <c r="B472" i="1"/>
  <c r="B10" i="1"/>
  <c r="C10" i="1" s="1"/>
  <c r="B488" i="1"/>
  <c r="B508" i="1"/>
  <c r="B500" i="1"/>
  <c r="B484" i="1"/>
  <c r="B468" i="1"/>
  <c r="B498" i="1"/>
  <c r="B494" i="1"/>
  <c r="B509" i="1"/>
  <c r="B505" i="1"/>
  <c r="B501" i="1"/>
  <c r="B497" i="1"/>
  <c r="B493" i="1"/>
  <c r="B489" i="1"/>
  <c r="B485" i="1"/>
  <c r="B481" i="1"/>
  <c r="B477" i="1"/>
  <c r="B473" i="1"/>
  <c r="B469" i="1"/>
  <c r="B465" i="1"/>
  <c r="B461" i="1"/>
  <c r="B457" i="1"/>
  <c r="B453" i="1"/>
  <c r="B449" i="1"/>
  <c r="B445" i="1"/>
  <c r="B441" i="1"/>
  <c r="B437" i="1"/>
  <c r="B433" i="1"/>
  <c r="B429" i="1"/>
  <c r="B425" i="1"/>
  <c r="B421" i="1"/>
  <c r="B417" i="1"/>
  <c r="B413" i="1"/>
  <c r="B409" i="1"/>
  <c r="B405" i="1"/>
  <c r="B401" i="1"/>
  <c r="B397" i="1"/>
  <c r="B393" i="1"/>
  <c r="B389" i="1"/>
  <c r="B385" i="1"/>
  <c r="B381" i="1"/>
  <c r="B377" i="1"/>
  <c r="B373" i="1"/>
  <c r="B369" i="1"/>
  <c r="B365" i="1"/>
  <c r="B361" i="1"/>
  <c r="B357" i="1"/>
  <c r="B353" i="1"/>
  <c r="B464" i="1"/>
  <c r="B460" i="1"/>
  <c r="B456" i="1"/>
  <c r="B452" i="1"/>
  <c r="B448" i="1"/>
  <c r="B444" i="1"/>
  <c r="B440" i="1"/>
  <c r="B436" i="1"/>
  <c r="B432" i="1"/>
  <c r="B428" i="1"/>
  <c r="B424" i="1"/>
  <c r="B420" i="1"/>
  <c r="B416" i="1"/>
  <c r="B412" i="1"/>
  <c r="B408" i="1"/>
  <c r="B404" i="1"/>
  <c r="B400" i="1"/>
  <c r="B396" i="1"/>
  <c r="B392" i="1"/>
  <c r="B388" i="1"/>
  <c r="B384" i="1"/>
  <c r="B380" i="1"/>
  <c r="B376" i="1"/>
  <c r="B372" i="1"/>
  <c r="B368" i="1"/>
  <c r="B364" i="1"/>
  <c r="B360" i="1"/>
  <c r="B356" i="1"/>
  <c r="B512" i="1"/>
  <c r="B12" i="1"/>
  <c r="B16" i="1"/>
  <c r="B14" i="1"/>
  <c r="B18" i="1"/>
  <c r="B15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B129" i="1"/>
  <c r="B133" i="1"/>
  <c r="B137" i="1"/>
  <c r="B141" i="1"/>
  <c r="B145" i="1"/>
  <c r="B149" i="1"/>
  <c r="B153" i="1"/>
  <c r="B157" i="1"/>
  <c r="B161" i="1"/>
  <c r="B165" i="1"/>
  <c r="B169" i="1"/>
  <c r="B173" i="1"/>
  <c r="B177" i="1"/>
  <c r="B181" i="1"/>
  <c r="B185" i="1"/>
  <c r="B189" i="1"/>
  <c r="B193" i="1"/>
  <c r="B197" i="1"/>
  <c r="B201" i="1"/>
  <c r="B205" i="1"/>
  <c r="B209" i="1"/>
  <c r="B213" i="1"/>
  <c r="B217" i="1"/>
  <c r="B221" i="1"/>
  <c r="B225" i="1"/>
  <c r="B229" i="1"/>
  <c r="B233" i="1"/>
  <c r="B237" i="1"/>
  <c r="B241" i="1"/>
  <c r="B245" i="1"/>
  <c r="B249" i="1"/>
  <c r="B253" i="1"/>
  <c r="B257" i="1"/>
  <c r="B261" i="1"/>
  <c r="B265" i="1"/>
  <c r="B269" i="1"/>
  <c r="B273" i="1"/>
  <c r="B277" i="1"/>
  <c r="B281" i="1"/>
  <c r="B285" i="1"/>
  <c r="B289" i="1"/>
  <c r="B293" i="1"/>
  <c r="B297" i="1"/>
  <c r="B301" i="1"/>
  <c r="B305" i="1"/>
  <c r="B309" i="1"/>
  <c r="B313" i="1"/>
  <c r="B317" i="1"/>
  <c r="B321" i="1"/>
  <c r="B325" i="1"/>
  <c r="B329" i="1"/>
  <c r="B333" i="1"/>
  <c r="B337" i="1"/>
  <c r="B341" i="1"/>
  <c r="B345" i="1"/>
  <c r="B349" i="1"/>
  <c r="B17" i="1"/>
  <c r="B22" i="1"/>
  <c r="B26" i="1"/>
  <c r="B30" i="1"/>
  <c r="B34" i="1"/>
  <c r="B38" i="1"/>
  <c r="B42" i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06" i="1"/>
  <c r="B110" i="1"/>
  <c r="B114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214" i="1"/>
  <c r="B218" i="1"/>
  <c r="B222" i="1"/>
  <c r="B226" i="1"/>
  <c r="B230" i="1"/>
  <c r="B234" i="1"/>
  <c r="B238" i="1"/>
  <c r="B242" i="1"/>
  <c r="B246" i="1"/>
  <c r="B250" i="1"/>
  <c r="B254" i="1"/>
  <c r="B258" i="1"/>
  <c r="B262" i="1"/>
  <c r="B266" i="1"/>
  <c r="B270" i="1"/>
  <c r="B274" i="1"/>
  <c r="B278" i="1"/>
  <c r="B282" i="1"/>
  <c r="B286" i="1"/>
  <c r="B290" i="1"/>
  <c r="B294" i="1"/>
  <c r="B298" i="1"/>
  <c r="B302" i="1"/>
  <c r="B306" i="1"/>
  <c r="B310" i="1"/>
  <c r="B314" i="1"/>
  <c r="B318" i="1"/>
  <c r="B322" i="1"/>
  <c r="B326" i="1"/>
  <c r="B330" i="1"/>
  <c r="B334" i="1"/>
  <c r="B338" i="1"/>
  <c r="B342" i="1"/>
  <c r="B346" i="1"/>
  <c r="B11" i="1"/>
  <c r="B19" i="1"/>
  <c r="B23" i="1"/>
  <c r="B27" i="1"/>
  <c r="B31" i="1"/>
  <c r="B35" i="1"/>
  <c r="B39" i="1"/>
  <c r="B43" i="1"/>
  <c r="B47" i="1"/>
  <c r="B51" i="1"/>
  <c r="B55" i="1"/>
  <c r="B59" i="1"/>
  <c r="B63" i="1"/>
  <c r="B67" i="1"/>
  <c r="B71" i="1"/>
  <c r="B75" i="1"/>
  <c r="B79" i="1"/>
  <c r="B83" i="1"/>
  <c r="B87" i="1"/>
  <c r="B91" i="1"/>
  <c r="B95" i="1"/>
  <c r="B99" i="1"/>
  <c r="B103" i="1"/>
  <c r="B107" i="1"/>
  <c r="B111" i="1"/>
  <c r="B115" i="1"/>
  <c r="B119" i="1"/>
  <c r="B123" i="1"/>
  <c r="B127" i="1"/>
  <c r="B131" i="1"/>
  <c r="B135" i="1"/>
  <c r="B139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B203" i="1"/>
  <c r="B207" i="1"/>
  <c r="B211" i="1"/>
  <c r="B215" i="1"/>
  <c r="B219" i="1"/>
  <c r="B223" i="1"/>
  <c r="B227" i="1"/>
  <c r="B231" i="1"/>
  <c r="B235" i="1"/>
  <c r="B239" i="1"/>
  <c r="B243" i="1"/>
  <c r="B247" i="1"/>
  <c r="B251" i="1"/>
  <c r="B255" i="1"/>
  <c r="B259" i="1"/>
  <c r="B263" i="1"/>
  <c r="B267" i="1"/>
  <c r="B271" i="1"/>
  <c r="B275" i="1"/>
  <c r="B279" i="1"/>
  <c r="B283" i="1"/>
  <c r="B287" i="1"/>
  <c r="B291" i="1"/>
  <c r="B295" i="1"/>
  <c r="B299" i="1"/>
  <c r="B303" i="1"/>
  <c r="B307" i="1"/>
  <c r="B311" i="1"/>
  <c r="B315" i="1"/>
  <c r="B319" i="1"/>
  <c r="B323" i="1"/>
  <c r="B327" i="1"/>
  <c r="B331" i="1"/>
  <c r="B335" i="1"/>
  <c r="B339" i="1"/>
  <c r="B343" i="1"/>
  <c r="B347" i="1"/>
  <c r="B13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B104" i="1"/>
  <c r="B108" i="1"/>
  <c r="B112" i="1"/>
  <c r="B116" i="1"/>
  <c r="B120" i="1"/>
  <c r="B124" i="1"/>
  <c r="B128" i="1"/>
  <c r="B132" i="1"/>
  <c r="B136" i="1"/>
  <c r="B140" i="1"/>
  <c r="B144" i="1"/>
  <c r="B148" i="1"/>
  <c r="B152" i="1"/>
  <c r="B156" i="1"/>
  <c r="B160" i="1"/>
  <c r="B164" i="1"/>
  <c r="B168" i="1"/>
  <c r="B172" i="1"/>
  <c r="B176" i="1"/>
  <c r="B180" i="1"/>
  <c r="B184" i="1"/>
  <c r="B188" i="1"/>
  <c r="B192" i="1"/>
  <c r="B196" i="1"/>
  <c r="B200" i="1"/>
  <c r="B204" i="1"/>
  <c r="B208" i="1"/>
  <c r="B212" i="1"/>
  <c r="B216" i="1"/>
  <c r="B220" i="1"/>
  <c r="B224" i="1"/>
  <c r="B228" i="1"/>
  <c r="B232" i="1"/>
  <c r="B236" i="1"/>
  <c r="B240" i="1"/>
  <c r="B244" i="1"/>
  <c r="B248" i="1"/>
  <c r="B252" i="1"/>
  <c r="B256" i="1"/>
  <c r="B260" i="1"/>
  <c r="B264" i="1"/>
  <c r="B268" i="1"/>
  <c r="B272" i="1"/>
  <c r="B276" i="1"/>
  <c r="B280" i="1"/>
  <c r="B284" i="1"/>
  <c r="B288" i="1"/>
  <c r="B292" i="1"/>
  <c r="B296" i="1"/>
  <c r="B300" i="1"/>
  <c r="B304" i="1"/>
  <c r="B308" i="1"/>
  <c r="B312" i="1"/>
  <c r="B316" i="1"/>
  <c r="B320" i="1"/>
  <c r="B324" i="1"/>
  <c r="B328" i="1"/>
  <c r="B332" i="1"/>
  <c r="B336" i="1"/>
  <c r="B340" i="1"/>
  <c r="B344" i="1"/>
  <c r="B348" i="1"/>
  <c r="B507" i="1"/>
  <c r="B503" i="1"/>
  <c r="B499" i="1"/>
  <c r="B495" i="1"/>
  <c r="B491" i="1"/>
  <c r="B487" i="1"/>
  <c r="B483" i="1"/>
  <c r="B479" i="1"/>
  <c r="B475" i="1"/>
  <c r="B471" i="1"/>
  <c r="B467" i="1"/>
  <c r="B463" i="1"/>
  <c r="B459" i="1"/>
  <c r="B455" i="1"/>
  <c r="B451" i="1"/>
  <c r="B447" i="1"/>
  <c r="B443" i="1"/>
  <c r="B439" i="1"/>
  <c r="B435" i="1"/>
  <c r="B431" i="1"/>
  <c r="B427" i="1"/>
  <c r="B423" i="1"/>
  <c r="B419" i="1"/>
  <c r="B415" i="1"/>
  <c r="B411" i="1"/>
  <c r="B407" i="1"/>
  <c r="B403" i="1"/>
  <c r="B399" i="1"/>
  <c r="B395" i="1"/>
  <c r="B391" i="1"/>
  <c r="B387" i="1"/>
  <c r="B383" i="1"/>
  <c r="B379" i="1"/>
  <c r="B375" i="1"/>
  <c r="B371" i="1"/>
  <c r="B367" i="1"/>
  <c r="B363" i="1"/>
  <c r="B359" i="1"/>
  <c r="B355" i="1"/>
  <c r="B351" i="1"/>
  <c r="B490" i="1"/>
  <c r="B486" i="1"/>
  <c r="B482" i="1"/>
  <c r="B478" i="1"/>
  <c r="B474" i="1"/>
  <c r="B470" i="1"/>
  <c r="B466" i="1"/>
  <c r="B462" i="1"/>
  <c r="B458" i="1"/>
  <c r="B454" i="1"/>
  <c r="B450" i="1"/>
  <c r="B446" i="1"/>
  <c r="B442" i="1"/>
  <c r="B438" i="1"/>
  <c r="B434" i="1"/>
  <c r="B430" i="1"/>
  <c r="B426" i="1"/>
  <c r="B422" i="1"/>
  <c r="B418" i="1"/>
  <c r="B414" i="1"/>
  <c r="B410" i="1"/>
  <c r="B406" i="1"/>
  <c r="B402" i="1"/>
  <c r="B398" i="1"/>
  <c r="B394" i="1"/>
  <c r="B390" i="1"/>
  <c r="B386" i="1"/>
  <c r="B382" i="1"/>
  <c r="B378" i="1"/>
  <c r="B374" i="1"/>
  <c r="B370" i="1"/>
  <c r="B366" i="1"/>
  <c r="B362" i="1"/>
  <c r="B358" i="1"/>
  <c r="B354" i="1"/>
  <c r="B350" i="1"/>
  <c r="E10" i="1"/>
  <c r="G5" i="1"/>
  <c r="H5" i="1"/>
  <c r="G6" i="1" l="1"/>
  <c r="S512" i="1" s="1"/>
  <c r="F12" i="1"/>
  <c r="F512" i="1"/>
  <c r="M13" i="1"/>
  <c r="M17" i="1"/>
  <c r="M21" i="1"/>
  <c r="M25" i="1"/>
  <c r="M29" i="1"/>
  <c r="M33" i="1"/>
  <c r="M37" i="1"/>
  <c r="M41" i="1"/>
  <c r="M45" i="1"/>
  <c r="M49" i="1"/>
  <c r="M53" i="1"/>
  <c r="M57" i="1"/>
  <c r="M61" i="1"/>
  <c r="M65" i="1"/>
  <c r="M69" i="1"/>
  <c r="M73" i="1"/>
  <c r="M77" i="1"/>
  <c r="M81" i="1"/>
  <c r="M85" i="1"/>
  <c r="M89" i="1"/>
  <c r="M93" i="1"/>
  <c r="M97" i="1"/>
  <c r="M101" i="1"/>
  <c r="M105" i="1"/>
  <c r="M109" i="1"/>
  <c r="M113" i="1"/>
  <c r="M117" i="1"/>
  <c r="M121" i="1"/>
  <c r="M125" i="1"/>
  <c r="M129" i="1"/>
  <c r="M133" i="1"/>
  <c r="M137" i="1"/>
  <c r="M141" i="1"/>
  <c r="M145" i="1"/>
  <c r="M149" i="1"/>
  <c r="M153" i="1"/>
  <c r="M157" i="1"/>
  <c r="M161" i="1"/>
  <c r="M165" i="1"/>
  <c r="M169" i="1"/>
  <c r="M173" i="1"/>
  <c r="M177" i="1"/>
  <c r="M181" i="1"/>
  <c r="M185" i="1"/>
  <c r="M189" i="1"/>
  <c r="M193" i="1"/>
  <c r="M197" i="1"/>
  <c r="M201" i="1"/>
  <c r="M205" i="1"/>
  <c r="M209" i="1"/>
  <c r="M213" i="1"/>
  <c r="M217" i="1"/>
  <c r="M221" i="1"/>
  <c r="M225" i="1"/>
  <c r="M229" i="1"/>
  <c r="M233" i="1"/>
  <c r="M237" i="1"/>
  <c r="M241" i="1"/>
  <c r="M245" i="1"/>
  <c r="M249" i="1"/>
  <c r="M253" i="1"/>
  <c r="M257" i="1"/>
  <c r="M261" i="1"/>
  <c r="M265" i="1"/>
  <c r="M269" i="1"/>
  <c r="M273" i="1"/>
  <c r="M277" i="1"/>
  <c r="M281" i="1"/>
  <c r="M285" i="1"/>
  <c r="M289" i="1"/>
  <c r="M293" i="1"/>
  <c r="M297" i="1"/>
  <c r="M301" i="1"/>
  <c r="M305" i="1"/>
  <c r="M309" i="1"/>
  <c r="M313" i="1"/>
  <c r="M317" i="1"/>
  <c r="M321" i="1"/>
  <c r="M325" i="1"/>
  <c r="M329" i="1"/>
  <c r="M333" i="1"/>
  <c r="M512" i="1"/>
  <c r="M14" i="1"/>
  <c r="M18" i="1"/>
  <c r="M22" i="1"/>
  <c r="M26" i="1"/>
  <c r="M30" i="1"/>
  <c r="M34" i="1"/>
  <c r="M38" i="1"/>
  <c r="M42" i="1"/>
  <c r="M46" i="1"/>
  <c r="M50" i="1"/>
  <c r="M54" i="1"/>
  <c r="M58" i="1"/>
  <c r="M62" i="1"/>
  <c r="M66" i="1"/>
  <c r="M70" i="1"/>
  <c r="M74" i="1"/>
  <c r="M78" i="1"/>
  <c r="M82" i="1"/>
  <c r="M86" i="1"/>
  <c r="M90" i="1"/>
  <c r="M94" i="1"/>
  <c r="M98" i="1"/>
  <c r="M102" i="1"/>
  <c r="M106" i="1"/>
  <c r="M110" i="1"/>
  <c r="M114" i="1"/>
  <c r="M118" i="1"/>
  <c r="M122" i="1"/>
  <c r="M126" i="1"/>
  <c r="M130" i="1"/>
  <c r="M134" i="1"/>
  <c r="M138" i="1"/>
  <c r="M142" i="1"/>
  <c r="M146" i="1"/>
  <c r="M150" i="1"/>
  <c r="M154" i="1"/>
  <c r="M158" i="1"/>
  <c r="M162" i="1"/>
  <c r="M166" i="1"/>
  <c r="M170" i="1"/>
  <c r="M174" i="1"/>
  <c r="M178" i="1"/>
  <c r="M182" i="1"/>
  <c r="M186" i="1"/>
  <c r="M190" i="1"/>
  <c r="M194" i="1"/>
  <c r="M198" i="1"/>
  <c r="M202" i="1"/>
  <c r="M206" i="1"/>
  <c r="M210" i="1"/>
  <c r="M214" i="1"/>
  <c r="M218" i="1"/>
  <c r="M222" i="1"/>
  <c r="M226" i="1"/>
  <c r="M230" i="1"/>
  <c r="M234" i="1"/>
  <c r="M238" i="1"/>
  <c r="M242" i="1"/>
  <c r="M246" i="1"/>
  <c r="M250" i="1"/>
  <c r="M254" i="1"/>
  <c r="M258" i="1"/>
  <c r="M262" i="1"/>
  <c r="M266" i="1"/>
  <c r="M270" i="1"/>
  <c r="M274" i="1"/>
  <c r="M278" i="1"/>
  <c r="M282" i="1"/>
  <c r="M286" i="1"/>
  <c r="M290" i="1"/>
  <c r="M294" i="1"/>
  <c r="M298" i="1"/>
  <c r="M302" i="1"/>
  <c r="M306" i="1"/>
  <c r="M310" i="1"/>
  <c r="M314" i="1"/>
  <c r="M318" i="1"/>
  <c r="M322" i="1"/>
  <c r="M326" i="1"/>
  <c r="M330" i="1"/>
  <c r="M334" i="1"/>
  <c r="M338" i="1"/>
  <c r="M342" i="1"/>
  <c r="M346" i="1"/>
  <c r="M11" i="1"/>
  <c r="M15" i="1"/>
  <c r="M19" i="1"/>
  <c r="M23" i="1"/>
  <c r="M27" i="1"/>
  <c r="M31" i="1"/>
  <c r="M35" i="1"/>
  <c r="M39" i="1"/>
  <c r="M43" i="1"/>
  <c r="M47" i="1"/>
  <c r="M51" i="1"/>
  <c r="M55" i="1"/>
  <c r="M59" i="1"/>
  <c r="M63" i="1"/>
  <c r="M67" i="1"/>
  <c r="M71" i="1"/>
  <c r="M75" i="1"/>
  <c r="M79" i="1"/>
  <c r="M83" i="1"/>
  <c r="M87" i="1"/>
  <c r="M91" i="1"/>
  <c r="M95" i="1"/>
  <c r="M99" i="1"/>
  <c r="M103" i="1"/>
  <c r="M107" i="1"/>
  <c r="M111" i="1"/>
  <c r="M115" i="1"/>
  <c r="M119" i="1"/>
  <c r="M123" i="1"/>
  <c r="M127" i="1"/>
  <c r="M131" i="1"/>
  <c r="M135" i="1"/>
  <c r="M139" i="1"/>
  <c r="M143" i="1"/>
  <c r="M147" i="1"/>
  <c r="M151" i="1"/>
  <c r="M155" i="1"/>
  <c r="M159" i="1"/>
  <c r="M163" i="1"/>
  <c r="M167" i="1"/>
  <c r="M171" i="1"/>
  <c r="M175" i="1"/>
  <c r="M179" i="1"/>
  <c r="M183" i="1"/>
  <c r="M187" i="1"/>
  <c r="M191" i="1"/>
  <c r="M195" i="1"/>
  <c r="M199" i="1"/>
  <c r="M203" i="1"/>
  <c r="M207" i="1"/>
  <c r="M211" i="1"/>
  <c r="M215" i="1"/>
  <c r="M219" i="1"/>
  <c r="M223" i="1"/>
  <c r="M227" i="1"/>
  <c r="M231" i="1"/>
  <c r="M235" i="1"/>
  <c r="M239" i="1"/>
  <c r="M243" i="1"/>
  <c r="M247" i="1"/>
  <c r="M251" i="1"/>
  <c r="M255" i="1"/>
  <c r="M259" i="1"/>
  <c r="M263" i="1"/>
  <c r="M267" i="1"/>
  <c r="M271" i="1"/>
  <c r="M275" i="1"/>
  <c r="M279" i="1"/>
  <c r="M283" i="1"/>
  <c r="M287" i="1"/>
  <c r="M291" i="1"/>
  <c r="M295" i="1"/>
  <c r="M299" i="1"/>
  <c r="M303" i="1"/>
  <c r="M307" i="1"/>
  <c r="M311" i="1"/>
  <c r="M315" i="1"/>
  <c r="M319" i="1"/>
  <c r="M323" i="1"/>
  <c r="M327" i="1"/>
  <c r="M331" i="1"/>
  <c r="M335" i="1"/>
  <c r="M339" i="1"/>
  <c r="M343" i="1"/>
  <c r="M347" i="1"/>
  <c r="M12" i="1"/>
  <c r="M16" i="1"/>
  <c r="M20" i="1"/>
  <c r="M24" i="1"/>
  <c r="M28" i="1"/>
  <c r="M32" i="1"/>
  <c r="M36" i="1"/>
  <c r="M40" i="1"/>
  <c r="M44" i="1"/>
  <c r="M48" i="1"/>
  <c r="M52" i="1"/>
  <c r="M56" i="1"/>
  <c r="M60" i="1"/>
  <c r="M64" i="1"/>
  <c r="M68" i="1"/>
  <c r="M72" i="1"/>
  <c r="M76" i="1"/>
  <c r="M80" i="1"/>
  <c r="M84" i="1"/>
  <c r="M88" i="1"/>
  <c r="M92" i="1"/>
  <c r="M96" i="1"/>
  <c r="M100" i="1"/>
  <c r="M104" i="1"/>
  <c r="M108" i="1"/>
  <c r="M112" i="1"/>
  <c r="M116" i="1"/>
  <c r="M120" i="1"/>
  <c r="M124" i="1"/>
  <c r="M128" i="1"/>
  <c r="M132" i="1"/>
  <c r="M136" i="1"/>
  <c r="M140" i="1"/>
  <c r="M144" i="1"/>
  <c r="M148" i="1"/>
  <c r="M152" i="1"/>
  <c r="M156" i="1"/>
  <c r="M160" i="1"/>
  <c r="M164" i="1"/>
  <c r="M168" i="1"/>
  <c r="M172" i="1"/>
  <c r="M176" i="1"/>
  <c r="M180" i="1"/>
  <c r="M184" i="1"/>
  <c r="M188" i="1"/>
  <c r="M192" i="1"/>
  <c r="M196" i="1"/>
  <c r="M200" i="1"/>
  <c r="M204" i="1"/>
  <c r="M208" i="1"/>
  <c r="M212" i="1"/>
  <c r="M216" i="1"/>
  <c r="M220" i="1"/>
  <c r="M224" i="1"/>
  <c r="M228" i="1"/>
  <c r="M232" i="1"/>
  <c r="M236" i="1"/>
  <c r="M240" i="1"/>
  <c r="M244" i="1"/>
  <c r="M248" i="1"/>
  <c r="M252" i="1"/>
  <c r="M256" i="1"/>
  <c r="M260" i="1"/>
  <c r="M264" i="1"/>
  <c r="M268" i="1"/>
  <c r="M272" i="1"/>
  <c r="M276" i="1"/>
  <c r="M280" i="1"/>
  <c r="M284" i="1"/>
  <c r="M288" i="1"/>
  <c r="M292" i="1"/>
  <c r="M296" i="1"/>
  <c r="M300" i="1"/>
  <c r="M304" i="1"/>
  <c r="M308" i="1"/>
  <c r="M312" i="1"/>
  <c r="M316" i="1"/>
  <c r="M320" i="1"/>
  <c r="M324" i="1"/>
  <c r="M328" i="1"/>
  <c r="M332" i="1"/>
  <c r="M336" i="1"/>
  <c r="M344" i="1"/>
  <c r="M350" i="1"/>
  <c r="M354" i="1"/>
  <c r="M358" i="1"/>
  <c r="M362" i="1"/>
  <c r="M366" i="1"/>
  <c r="M370" i="1"/>
  <c r="M374" i="1"/>
  <c r="M378" i="1"/>
  <c r="M382" i="1"/>
  <c r="M386" i="1"/>
  <c r="M390" i="1"/>
  <c r="M394" i="1"/>
  <c r="M398" i="1"/>
  <c r="M402" i="1"/>
  <c r="M406" i="1"/>
  <c r="M410" i="1"/>
  <c r="M414" i="1"/>
  <c r="M418" i="1"/>
  <c r="M422" i="1"/>
  <c r="M426" i="1"/>
  <c r="M430" i="1"/>
  <c r="M434" i="1"/>
  <c r="M438" i="1"/>
  <c r="M442" i="1"/>
  <c r="M446" i="1"/>
  <c r="M450" i="1"/>
  <c r="M454" i="1"/>
  <c r="M458" i="1"/>
  <c r="M462" i="1"/>
  <c r="M466" i="1"/>
  <c r="M470" i="1"/>
  <c r="M474" i="1"/>
  <c r="M478" i="1"/>
  <c r="M482" i="1"/>
  <c r="M486" i="1"/>
  <c r="M490" i="1"/>
  <c r="M494" i="1"/>
  <c r="M498" i="1"/>
  <c r="M502" i="1"/>
  <c r="M506" i="1"/>
  <c r="M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118" i="1"/>
  <c r="F122" i="1"/>
  <c r="F126" i="1"/>
  <c r="F130" i="1"/>
  <c r="F134" i="1"/>
  <c r="F138" i="1"/>
  <c r="F142" i="1"/>
  <c r="F146" i="1"/>
  <c r="F150" i="1"/>
  <c r="F154" i="1"/>
  <c r="F158" i="1"/>
  <c r="F162" i="1"/>
  <c r="F166" i="1"/>
  <c r="F170" i="1"/>
  <c r="F174" i="1"/>
  <c r="M337" i="1"/>
  <c r="M345" i="1"/>
  <c r="M351" i="1"/>
  <c r="M355" i="1"/>
  <c r="M359" i="1"/>
  <c r="M363" i="1"/>
  <c r="M367" i="1"/>
  <c r="M371" i="1"/>
  <c r="M375" i="1"/>
  <c r="M379" i="1"/>
  <c r="M383" i="1"/>
  <c r="M387" i="1"/>
  <c r="M391" i="1"/>
  <c r="M395" i="1"/>
  <c r="M399" i="1"/>
  <c r="M403" i="1"/>
  <c r="M407" i="1"/>
  <c r="M411" i="1"/>
  <c r="M415" i="1"/>
  <c r="M419" i="1"/>
  <c r="M423" i="1"/>
  <c r="M427" i="1"/>
  <c r="M431" i="1"/>
  <c r="M435" i="1"/>
  <c r="M439" i="1"/>
  <c r="M443" i="1"/>
  <c r="M447" i="1"/>
  <c r="M451" i="1"/>
  <c r="M455" i="1"/>
  <c r="M459" i="1"/>
  <c r="M463" i="1"/>
  <c r="M467" i="1"/>
  <c r="M471" i="1"/>
  <c r="M475" i="1"/>
  <c r="M479" i="1"/>
  <c r="M483" i="1"/>
  <c r="M487" i="1"/>
  <c r="M491" i="1"/>
  <c r="M495" i="1"/>
  <c r="M499" i="1"/>
  <c r="M503" i="1"/>
  <c r="M507" i="1"/>
  <c r="F11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107" i="1"/>
  <c r="F111" i="1"/>
  <c r="F115" i="1"/>
  <c r="F119" i="1"/>
  <c r="F123" i="1"/>
  <c r="F127" i="1"/>
  <c r="F131" i="1"/>
  <c r="F135" i="1"/>
  <c r="F139" i="1"/>
  <c r="F143" i="1"/>
  <c r="F147" i="1"/>
  <c r="F151" i="1"/>
  <c r="F155" i="1"/>
  <c r="F159" i="1"/>
  <c r="F163" i="1"/>
  <c r="F167" i="1"/>
  <c r="F171" i="1"/>
  <c r="F175" i="1"/>
  <c r="F179" i="1"/>
  <c r="F183" i="1"/>
  <c r="M340" i="1"/>
  <c r="M348" i="1"/>
  <c r="M352" i="1"/>
  <c r="M356" i="1"/>
  <c r="M360" i="1"/>
  <c r="M364" i="1"/>
  <c r="M368" i="1"/>
  <c r="M372" i="1"/>
  <c r="M376" i="1"/>
  <c r="M380" i="1"/>
  <c r="M384" i="1"/>
  <c r="M388" i="1"/>
  <c r="M392" i="1"/>
  <c r="M396" i="1"/>
  <c r="M400" i="1"/>
  <c r="M404" i="1"/>
  <c r="M408" i="1"/>
  <c r="M412" i="1"/>
  <c r="M416" i="1"/>
  <c r="M420" i="1"/>
  <c r="M424" i="1"/>
  <c r="M428" i="1"/>
  <c r="M432" i="1"/>
  <c r="M436" i="1"/>
  <c r="M440" i="1"/>
  <c r="M444" i="1"/>
  <c r="M448" i="1"/>
  <c r="M452" i="1"/>
  <c r="M456" i="1"/>
  <c r="M460" i="1"/>
  <c r="M464" i="1"/>
  <c r="M468" i="1"/>
  <c r="M472" i="1"/>
  <c r="M476" i="1"/>
  <c r="M480" i="1"/>
  <c r="M484" i="1"/>
  <c r="M488" i="1"/>
  <c r="M492" i="1"/>
  <c r="M496" i="1"/>
  <c r="M500" i="1"/>
  <c r="M504" i="1"/>
  <c r="M508" i="1"/>
  <c r="F16" i="1"/>
  <c r="F20" i="1"/>
  <c r="F24" i="1"/>
  <c r="F28" i="1"/>
  <c r="F32" i="1"/>
  <c r="F36" i="1"/>
  <c r="F40" i="1"/>
  <c r="F44" i="1"/>
  <c r="F48" i="1"/>
  <c r="F52" i="1"/>
  <c r="F56" i="1"/>
  <c r="F60" i="1"/>
  <c r="F64" i="1"/>
  <c r="F68" i="1"/>
  <c r="F72" i="1"/>
  <c r="F76" i="1"/>
  <c r="F80" i="1"/>
  <c r="F84" i="1"/>
  <c r="F88" i="1"/>
  <c r="F92" i="1"/>
  <c r="F96" i="1"/>
  <c r="F100" i="1"/>
  <c r="F104" i="1"/>
  <c r="F108" i="1"/>
  <c r="F112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168" i="1"/>
  <c r="F172" i="1"/>
  <c r="M341" i="1"/>
  <c r="M349" i="1"/>
  <c r="M353" i="1"/>
  <c r="M357" i="1"/>
  <c r="M361" i="1"/>
  <c r="M365" i="1"/>
  <c r="M369" i="1"/>
  <c r="M373" i="1"/>
  <c r="M377" i="1"/>
  <c r="M381" i="1"/>
  <c r="M385" i="1"/>
  <c r="M389" i="1"/>
  <c r="M393" i="1"/>
  <c r="M397" i="1"/>
  <c r="M401" i="1"/>
  <c r="M405" i="1"/>
  <c r="M409" i="1"/>
  <c r="M413" i="1"/>
  <c r="M417" i="1"/>
  <c r="M421" i="1"/>
  <c r="M425" i="1"/>
  <c r="M429" i="1"/>
  <c r="M433" i="1"/>
  <c r="M437" i="1"/>
  <c r="M441" i="1"/>
  <c r="M445" i="1"/>
  <c r="M449" i="1"/>
  <c r="M453" i="1"/>
  <c r="M457" i="1"/>
  <c r="M461" i="1"/>
  <c r="M465" i="1"/>
  <c r="M469" i="1"/>
  <c r="M473" i="1"/>
  <c r="M477" i="1"/>
  <c r="M481" i="1"/>
  <c r="M485" i="1"/>
  <c r="M489" i="1"/>
  <c r="M493" i="1"/>
  <c r="M497" i="1"/>
  <c r="M501" i="1"/>
  <c r="M505" i="1"/>
  <c r="M509" i="1"/>
  <c r="F13" i="1"/>
  <c r="F17" i="1"/>
  <c r="F21" i="1"/>
  <c r="F25" i="1"/>
  <c r="F29" i="1"/>
  <c r="F33" i="1"/>
  <c r="F37" i="1"/>
  <c r="F41" i="1"/>
  <c r="F45" i="1"/>
  <c r="F49" i="1"/>
  <c r="F53" i="1"/>
  <c r="F57" i="1"/>
  <c r="F61" i="1"/>
  <c r="F65" i="1"/>
  <c r="F69" i="1"/>
  <c r="F73" i="1"/>
  <c r="F77" i="1"/>
  <c r="F81" i="1"/>
  <c r="F85" i="1"/>
  <c r="F89" i="1"/>
  <c r="F93" i="1"/>
  <c r="F97" i="1"/>
  <c r="F101" i="1"/>
  <c r="F105" i="1"/>
  <c r="F109" i="1"/>
  <c r="F113" i="1"/>
  <c r="F117" i="1"/>
  <c r="F121" i="1"/>
  <c r="F125" i="1"/>
  <c r="F129" i="1"/>
  <c r="F133" i="1"/>
  <c r="F137" i="1"/>
  <c r="F141" i="1"/>
  <c r="F145" i="1"/>
  <c r="F149" i="1"/>
  <c r="F153" i="1"/>
  <c r="F157" i="1"/>
  <c r="F161" i="1"/>
  <c r="F165" i="1"/>
  <c r="F169" i="1"/>
  <c r="F173" i="1"/>
  <c r="F177" i="1"/>
  <c r="F181" i="1"/>
  <c r="F176" i="1"/>
  <c r="F184" i="1"/>
  <c r="F188" i="1"/>
  <c r="F192" i="1"/>
  <c r="F196" i="1"/>
  <c r="F200" i="1"/>
  <c r="F204" i="1"/>
  <c r="F208" i="1"/>
  <c r="F212" i="1"/>
  <c r="F216" i="1"/>
  <c r="F220" i="1"/>
  <c r="F224" i="1"/>
  <c r="F228" i="1"/>
  <c r="F232" i="1"/>
  <c r="F236" i="1"/>
  <c r="F240" i="1"/>
  <c r="F244" i="1"/>
  <c r="F248" i="1"/>
  <c r="F252" i="1"/>
  <c r="F256" i="1"/>
  <c r="F260" i="1"/>
  <c r="F264" i="1"/>
  <c r="F268" i="1"/>
  <c r="F272" i="1"/>
  <c r="F276" i="1"/>
  <c r="F280" i="1"/>
  <c r="F284" i="1"/>
  <c r="F288" i="1"/>
  <c r="F292" i="1"/>
  <c r="F296" i="1"/>
  <c r="F300" i="1"/>
  <c r="F304" i="1"/>
  <c r="F308" i="1"/>
  <c r="F312" i="1"/>
  <c r="F316" i="1"/>
  <c r="F320" i="1"/>
  <c r="F324" i="1"/>
  <c r="F328" i="1"/>
  <c r="F332" i="1"/>
  <c r="F336" i="1"/>
  <c r="F340" i="1"/>
  <c r="F344" i="1"/>
  <c r="F348" i="1"/>
  <c r="F352" i="1"/>
  <c r="F356" i="1"/>
  <c r="F360" i="1"/>
  <c r="F364" i="1"/>
  <c r="F368" i="1"/>
  <c r="F372" i="1"/>
  <c r="F376" i="1"/>
  <c r="F380" i="1"/>
  <c r="F384" i="1"/>
  <c r="F388" i="1"/>
  <c r="F392" i="1"/>
  <c r="F396" i="1"/>
  <c r="F400" i="1"/>
  <c r="F404" i="1"/>
  <c r="F408" i="1"/>
  <c r="F412" i="1"/>
  <c r="F416" i="1"/>
  <c r="F420" i="1"/>
  <c r="F424" i="1"/>
  <c r="F428" i="1"/>
  <c r="F432" i="1"/>
  <c r="F436" i="1"/>
  <c r="F440" i="1"/>
  <c r="F444" i="1"/>
  <c r="F448" i="1"/>
  <c r="F452" i="1"/>
  <c r="F456" i="1"/>
  <c r="F460" i="1"/>
  <c r="F464" i="1"/>
  <c r="F468" i="1"/>
  <c r="F472" i="1"/>
  <c r="F476" i="1"/>
  <c r="F480" i="1"/>
  <c r="F484" i="1"/>
  <c r="F488" i="1"/>
  <c r="F492" i="1"/>
  <c r="F496" i="1"/>
  <c r="F500" i="1"/>
  <c r="F504" i="1"/>
  <c r="F508" i="1"/>
  <c r="F178" i="1"/>
  <c r="F185" i="1"/>
  <c r="F189" i="1"/>
  <c r="F193" i="1"/>
  <c r="F197" i="1"/>
  <c r="F201" i="1"/>
  <c r="F205" i="1"/>
  <c r="F209" i="1"/>
  <c r="F213" i="1"/>
  <c r="F217" i="1"/>
  <c r="F221" i="1"/>
  <c r="F225" i="1"/>
  <c r="F229" i="1"/>
  <c r="F233" i="1"/>
  <c r="F237" i="1"/>
  <c r="F241" i="1"/>
  <c r="F245" i="1"/>
  <c r="F249" i="1"/>
  <c r="F253" i="1"/>
  <c r="F257" i="1"/>
  <c r="F261" i="1"/>
  <c r="F265" i="1"/>
  <c r="F269" i="1"/>
  <c r="F273" i="1"/>
  <c r="F277" i="1"/>
  <c r="F281" i="1"/>
  <c r="F285" i="1"/>
  <c r="F289" i="1"/>
  <c r="F293" i="1"/>
  <c r="F297" i="1"/>
  <c r="F301" i="1"/>
  <c r="F305" i="1"/>
  <c r="F309" i="1"/>
  <c r="F313" i="1"/>
  <c r="F317" i="1"/>
  <c r="F321" i="1"/>
  <c r="F325" i="1"/>
  <c r="F329" i="1"/>
  <c r="F333" i="1"/>
  <c r="F337" i="1"/>
  <c r="F341" i="1"/>
  <c r="F345" i="1"/>
  <c r="F349" i="1"/>
  <c r="F353" i="1"/>
  <c r="F357" i="1"/>
  <c r="F361" i="1"/>
  <c r="F365" i="1"/>
  <c r="F369" i="1"/>
  <c r="F373" i="1"/>
  <c r="F377" i="1"/>
  <c r="F381" i="1"/>
  <c r="F385" i="1"/>
  <c r="F389" i="1"/>
  <c r="F393" i="1"/>
  <c r="F397" i="1"/>
  <c r="F401" i="1"/>
  <c r="F405" i="1"/>
  <c r="F409" i="1"/>
  <c r="F413" i="1"/>
  <c r="F417" i="1"/>
  <c r="F421" i="1"/>
  <c r="F425" i="1"/>
  <c r="F429" i="1"/>
  <c r="F433" i="1"/>
  <c r="F437" i="1"/>
  <c r="F441" i="1"/>
  <c r="F445" i="1"/>
  <c r="F449" i="1"/>
  <c r="F453" i="1"/>
  <c r="F457" i="1"/>
  <c r="F461" i="1"/>
  <c r="F465" i="1"/>
  <c r="F469" i="1"/>
  <c r="F473" i="1"/>
  <c r="F477" i="1"/>
  <c r="F481" i="1"/>
  <c r="F485" i="1"/>
  <c r="F180" i="1"/>
  <c r="F186" i="1"/>
  <c r="F190" i="1"/>
  <c r="F194" i="1"/>
  <c r="F198" i="1"/>
  <c r="F202" i="1"/>
  <c r="F206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F270" i="1"/>
  <c r="F274" i="1"/>
  <c r="F278" i="1"/>
  <c r="F282" i="1"/>
  <c r="F286" i="1"/>
  <c r="F290" i="1"/>
  <c r="F294" i="1"/>
  <c r="F298" i="1"/>
  <c r="F302" i="1"/>
  <c r="F306" i="1"/>
  <c r="F310" i="1"/>
  <c r="F314" i="1"/>
  <c r="F318" i="1"/>
  <c r="F322" i="1"/>
  <c r="F326" i="1"/>
  <c r="F330" i="1"/>
  <c r="F334" i="1"/>
  <c r="F338" i="1"/>
  <c r="F342" i="1"/>
  <c r="F346" i="1"/>
  <c r="F350" i="1"/>
  <c r="F354" i="1"/>
  <c r="F358" i="1"/>
  <c r="F362" i="1"/>
  <c r="F366" i="1"/>
  <c r="F370" i="1"/>
  <c r="F374" i="1"/>
  <c r="F378" i="1"/>
  <c r="F382" i="1"/>
  <c r="F386" i="1"/>
  <c r="F390" i="1"/>
  <c r="F394" i="1"/>
  <c r="F398" i="1"/>
  <c r="F402" i="1"/>
  <c r="F406" i="1"/>
  <c r="F410" i="1"/>
  <c r="F414" i="1"/>
  <c r="F418" i="1"/>
  <c r="F422" i="1"/>
  <c r="F426" i="1"/>
  <c r="F430" i="1"/>
  <c r="F434" i="1"/>
  <c r="F438" i="1"/>
  <c r="F442" i="1"/>
  <c r="F446" i="1"/>
  <c r="F450" i="1"/>
  <c r="F454" i="1"/>
  <c r="F458" i="1"/>
  <c r="F462" i="1"/>
  <c r="F466" i="1"/>
  <c r="F470" i="1"/>
  <c r="F474" i="1"/>
  <c r="F478" i="1"/>
  <c r="F482" i="1"/>
  <c r="F486" i="1"/>
  <c r="F490" i="1"/>
  <c r="F494" i="1"/>
  <c r="F498" i="1"/>
  <c r="F502" i="1"/>
  <c r="F506" i="1"/>
  <c r="F10" i="1"/>
  <c r="F182" i="1"/>
  <c r="F187" i="1"/>
  <c r="F191" i="1"/>
  <c r="F195" i="1"/>
  <c r="F199" i="1"/>
  <c r="F203" i="1"/>
  <c r="F207" i="1"/>
  <c r="F211" i="1"/>
  <c r="F215" i="1"/>
  <c r="F219" i="1"/>
  <c r="F223" i="1"/>
  <c r="F227" i="1"/>
  <c r="F231" i="1"/>
  <c r="F235" i="1"/>
  <c r="F239" i="1"/>
  <c r="F243" i="1"/>
  <c r="F247" i="1"/>
  <c r="F251" i="1"/>
  <c r="F255" i="1"/>
  <c r="F259" i="1"/>
  <c r="F263" i="1"/>
  <c r="F267" i="1"/>
  <c r="F271" i="1"/>
  <c r="F275" i="1"/>
  <c r="F279" i="1"/>
  <c r="F283" i="1"/>
  <c r="F287" i="1"/>
  <c r="F291" i="1"/>
  <c r="F295" i="1"/>
  <c r="F299" i="1"/>
  <c r="F303" i="1"/>
  <c r="F307" i="1"/>
  <c r="F311" i="1"/>
  <c r="F315" i="1"/>
  <c r="F319" i="1"/>
  <c r="F323" i="1"/>
  <c r="F327" i="1"/>
  <c r="F331" i="1"/>
  <c r="F335" i="1"/>
  <c r="F339" i="1"/>
  <c r="F343" i="1"/>
  <c r="F347" i="1"/>
  <c r="F351" i="1"/>
  <c r="F355" i="1"/>
  <c r="F359" i="1"/>
  <c r="F363" i="1"/>
  <c r="F367" i="1"/>
  <c r="F371" i="1"/>
  <c r="F375" i="1"/>
  <c r="F379" i="1"/>
  <c r="F383" i="1"/>
  <c r="F387" i="1"/>
  <c r="F391" i="1"/>
  <c r="F395" i="1"/>
  <c r="F399" i="1"/>
  <c r="F403" i="1"/>
  <c r="F407" i="1"/>
  <c r="F411" i="1"/>
  <c r="F415" i="1"/>
  <c r="F419" i="1"/>
  <c r="F423" i="1"/>
  <c r="F427" i="1"/>
  <c r="F431" i="1"/>
  <c r="F435" i="1"/>
  <c r="F439" i="1"/>
  <c r="F443" i="1"/>
  <c r="F447" i="1"/>
  <c r="F451" i="1"/>
  <c r="F455" i="1"/>
  <c r="F459" i="1"/>
  <c r="F463" i="1"/>
  <c r="F467" i="1"/>
  <c r="F471" i="1"/>
  <c r="F475" i="1"/>
  <c r="F479" i="1"/>
  <c r="F483" i="1"/>
  <c r="F487" i="1"/>
  <c r="F491" i="1"/>
  <c r="F495" i="1"/>
  <c r="F499" i="1"/>
  <c r="F503" i="1"/>
  <c r="F507" i="1"/>
  <c r="F489" i="1"/>
  <c r="F505" i="1"/>
  <c r="F493" i="1"/>
  <c r="F509" i="1"/>
  <c r="F497" i="1"/>
  <c r="F501" i="1"/>
  <c r="M5" i="1" l="1"/>
  <c r="K512" i="1"/>
  <c r="G10" i="1"/>
  <c r="M511" i="1"/>
  <c r="F511" i="1"/>
  <c r="B511" i="1"/>
  <c r="C11" i="1"/>
  <c r="R10" i="1" l="1"/>
  <c r="Q11" i="1"/>
  <c r="D11" i="1"/>
  <c r="C12" i="1"/>
  <c r="O11" i="1" l="1"/>
  <c r="E11" i="1"/>
  <c r="H11" i="1"/>
  <c r="L11" i="1"/>
  <c r="N11" i="1" s="1"/>
  <c r="C13" i="1"/>
  <c r="C14" i="1" l="1"/>
  <c r="C15" i="1" l="1"/>
  <c r="J10" i="1" l="1"/>
  <c r="K10" i="1" s="1"/>
  <c r="C16" i="1"/>
  <c r="R11" i="1" l="1"/>
  <c r="Q12" i="1" s="1"/>
  <c r="I11" i="1"/>
  <c r="C17" i="1"/>
  <c r="C18" i="1" l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s="1"/>
  <c r="C57" i="1" l="1"/>
  <c r="C58" i="1" l="1"/>
  <c r="C59" i="1" l="1"/>
  <c r="C60" i="1" l="1"/>
  <c r="C61" i="1" l="1"/>
  <c r="C62" i="1" l="1"/>
  <c r="C63" i="1" l="1"/>
  <c r="C64" i="1" l="1"/>
  <c r="C65" i="1" l="1"/>
  <c r="C66" i="1" l="1"/>
  <c r="C67" i="1" l="1"/>
  <c r="C68" i="1" l="1"/>
  <c r="C69" i="1" l="1"/>
  <c r="C70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C97" i="1" l="1"/>
  <c r="C98" i="1" l="1"/>
  <c r="C99" i="1" l="1"/>
  <c r="C100" i="1" l="1"/>
  <c r="C101" i="1" l="1"/>
  <c r="C102" i="1" l="1"/>
  <c r="C103" i="1" l="1"/>
  <c r="C104" i="1" l="1"/>
  <c r="C105" i="1" l="1"/>
  <c r="C106" i="1" l="1"/>
  <c r="C107" i="1" l="1"/>
  <c r="C108" i="1" l="1"/>
  <c r="C109" i="1" l="1"/>
  <c r="C110" i="1" l="1"/>
  <c r="C111" i="1" l="1"/>
  <c r="C112" i="1" l="1"/>
  <c r="C113" i="1" l="1"/>
  <c r="C114" i="1" l="1"/>
  <c r="C115" i="1" l="1"/>
  <c r="C116" i="1" l="1"/>
  <c r="C117" i="1" l="1"/>
  <c r="C118" i="1" l="1"/>
  <c r="C119" i="1" l="1"/>
  <c r="C120" i="1" l="1"/>
  <c r="C121" i="1" l="1"/>
  <c r="C122" i="1" l="1"/>
  <c r="C123" i="1" l="1"/>
  <c r="C124" i="1" l="1"/>
  <c r="C125" i="1" l="1"/>
  <c r="C126" i="1" l="1"/>
  <c r="C127" i="1" l="1"/>
  <c r="C128" i="1" l="1"/>
  <c r="C129" i="1" l="1"/>
  <c r="C130" i="1" l="1"/>
  <c r="C131" i="1" l="1"/>
  <c r="C132" i="1" l="1"/>
  <c r="C133" i="1" l="1"/>
  <c r="C134" i="1" l="1"/>
  <c r="C135" i="1" l="1"/>
  <c r="C136" i="1" l="1"/>
  <c r="C137" i="1" l="1"/>
  <c r="C138" i="1" l="1"/>
  <c r="C139" i="1" l="1"/>
  <c r="C140" i="1" l="1"/>
  <c r="C141" i="1" l="1"/>
  <c r="C142" i="1" l="1"/>
  <c r="C143" i="1" l="1"/>
  <c r="C144" i="1" l="1"/>
  <c r="C145" i="1" l="1"/>
  <c r="C146" i="1" l="1"/>
  <c r="C147" i="1" l="1"/>
  <c r="C148" i="1" l="1"/>
  <c r="C149" i="1" l="1"/>
  <c r="C150" i="1" l="1"/>
  <c r="C151" i="1" l="1"/>
  <c r="C152" i="1" l="1"/>
  <c r="C153" i="1" l="1"/>
  <c r="C154" i="1" l="1"/>
  <c r="C155" i="1" l="1"/>
  <c r="C156" i="1" l="1"/>
  <c r="C157" i="1" l="1"/>
  <c r="C158" i="1" l="1"/>
  <c r="C159" i="1" l="1"/>
  <c r="C160" i="1" l="1"/>
  <c r="C161" i="1" l="1"/>
  <c r="C162" i="1" l="1"/>
  <c r="C163" i="1" l="1"/>
  <c r="C164" i="1" l="1"/>
  <c r="C165" i="1" l="1"/>
  <c r="C166" i="1" l="1"/>
  <c r="C167" i="1" l="1"/>
  <c r="C168" i="1" l="1"/>
  <c r="C169" i="1" l="1"/>
  <c r="C170" i="1" l="1"/>
  <c r="C171" i="1" l="1"/>
  <c r="C172" i="1" l="1"/>
  <c r="C173" i="1" l="1"/>
  <c r="C174" i="1" l="1"/>
  <c r="C175" i="1" l="1"/>
  <c r="C176" i="1" l="1"/>
  <c r="C177" i="1" l="1"/>
  <c r="C178" i="1" l="1"/>
  <c r="C179" i="1" l="1"/>
  <c r="C180" i="1" l="1"/>
  <c r="C181" i="1" l="1"/>
  <c r="C182" i="1" l="1"/>
  <c r="C183" i="1" l="1"/>
  <c r="C184" i="1" l="1"/>
  <c r="C185" i="1" l="1"/>
  <c r="C186" i="1" l="1"/>
  <c r="C187" i="1" l="1"/>
  <c r="C188" i="1" l="1"/>
  <c r="C189" i="1" l="1"/>
  <c r="C190" i="1" l="1"/>
  <c r="C191" i="1" l="1"/>
  <c r="C192" i="1" l="1"/>
  <c r="C193" i="1" l="1"/>
  <c r="C194" i="1" l="1"/>
  <c r="C195" i="1" l="1"/>
  <c r="C196" i="1" l="1"/>
  <c r="C197" i="1" l="1"/>
  <c r="C198" i="1" l="1"/>
  <c r="C199" i="1" l="1"/>
  <c r="C200" i="1" l="1"/>
  <c r="C201" i="1" l="1"/>
  <c r="C202" i="1" l="1"/>
  <c r="C203" i="1" l="1"/>
  <c r="C204" i="1" l="1"/>
  <c r="C205" i="1" l="1"/>
  <c r="C206" i="1" l="1"/>
  <c r="C207" i="1" l="1"/>
  <c r="C208" i="1" l="1"/>
  <c r="C209" i="1" l="1"/>
  <c r="C210" i="1" l="1"/>
  <c r="C211" i="1" l="1"/>
  <c r="C212" i="1" l="1"/>
  <c r="C213" i="1" l="1"/>
  <c r="C214" i="1" l="1"/>
  <c r="C215" i="1" l="1"/>
  <c r="C216" i="1" l="1"/>
  <c r="C217" i="1" l="1"/>
  <c r="C218" i="1" l="1"/>
  <c r="C219" i="1" l="1"/>
  <c r="C220" i="1" l="1"/>
  <c r="C221" i="1" l="1"/>
  <c r="C222" i="1" l="1"/>
  <c r="C223" i="1" l="1"/>
  <c r="C224" i="1" l="1"/>
  <c r="C225" i="1" l="1"/>
  <c r="C226" i="1" l="1"/>
  <c r="C227" i="1" l="1"/>
  <c r="C228" i="1" l="1"/>
  <c r="C229" i="1" l="1"/>
  <c r="C230" i="1" l="1"/>
  <c r="C231" i="1" l="1"/>
  <c r="C232" i="1" l="1"/>
  <c r="C233" i="1" l="1"/>
  <c r="C234" i="1" l="1"/>
  <c r="C235" i="1" l="1"/>
  <c r="C236" i="1" l="1"/>
  <c r="C237" i="1" l="1"/>
  <c r="C238" i="1" l="1"/>
  <c r="C239" i="1" l="1"/>
  <c r="C240" i="1" l="1"/>
  <c r="C241" i="1" l="1"/>
  <c r="C242" i="1" l="1"/>
  <c r="C243" i="1" l="1"/>
  <c r="C244" i="1" l="1"/>
  <c r="C245" i="1" l="1"/>
  <c r="C246" i="1" l="1"/>
  <c r="C247" i="1" l="1"/>
  <c r="C248" i="1" l="1"/>
  <c r="C249" i="1" l="1"/>
  <c r="C250" i="1" l="1"/>
  <c r="C251" i="1" l="1"/>
  <c r="C252" i="1" l="1"/>
  <c r="C253" i="1" l="1"/>
  <c r="C254" i="1" l="1"/>
  <c r="C255" i="1" l="1"/>
  <c r="C256" i="1" l="1"/>
  <c r="C257" i="1" l="1"/>
  <c r="C258" i="1" l="1"/>
  <c r="C259" i="1" l="1"/>
  <c r="C260" i="1" l="1"/>
  <c r="C261" i="1" l="1"/>
  <c r="C262" i="1" l="1"/>
  <c r="C263" i="1" l="1"/>
  <c r="C264" i="1" l="1"/>
  <c r="C265" i="1" l="1"/>
  <c r="C266" i="1" l="1"/>
  <c r="C267" i="1" l="1"/>
  <c r="C268" i="1" l="1"/>
  <c r="C269" i="1" l="1"/>
  <c r="C270" i="1" l="1"/>
  <c r="C271" i="1" l="1"/>
  <c r="C272" i="1" l="1"/>
  <c r="C273" i="1" l="1"/>
  <c r="C274" i="1" l="1"/>
  <c r="C275" i="1" l="1"/>
  <c r="C276" i="1" l="1"/>
  <c r="C277" i="1" l="1"/>
  <c r="C278" i="1" l="1"/>
  <c r="C279" i="1" l="1"/>
  <c r="C280" i="1" l="1"/>
  <c r="C281" i="1" l="1"/>
  <c r="C282" i="1" l="1"/>
  <c r="C283" i="1" l="1"/>
  <c r="C284" i="1" l="1"/>
  <c r="C285" i="1" l="1"/>
  <c r="C286" i="1" l="1"/>
  <c r="C287" i="1" l="1"/>
  <c r="C288" i="1" l="1"/>
  <c r="C289" i="1" l="1"/>
  <c r="C290" i="1" l="1"/>
  <c r="C291" i="1" l="1"/>
  <c r="C292" i="1" l="1"/>
  <c r="C293" i="1" l="1"/>
  <c r="C294" i="1" l="1"/>
  <c r="C295" i="1" l="1"/>
  <c r="C296" i="1" l="1"/>
  <c r="C297" i="1" l="1"/>
  <c r="C298" i="1" l="1"/>
  <c r="C299" i="1" l="1"/>
  <c r="C300" i="1" l="1"/>
  <c r="C301" i="1" l="1"/>
  <c r="C302" i="1" l="1"/>
  <c r="C303" i="1" l="1"/>
  <c r="C304" i="1" l="1"/>
  <c r="C305" i="1" l="1"/>
  <c r="C306" i="1" l="1"/>
  <c r="C307" i="1" l="1"/>
  <c r="C308" i="1" l="1"/>
  <c r="C309" i="1" l="1"/>
  <c r="C310" i="1" l="1"/>
  <c r="C311" i="1" l="1"/>
  <c r="C312" i="1" l="1"/>
  <c r="C313" i="1" l="1"/>
  <c r="C314" i="1" l="1"/>
  <c r="C315" i="1" l="1"/>
  <c r="C316" i="1" l="1"/>
  <c r="C317" i="1" l="1"/>
  <c r="C318" i="1" l="1"/>
  <c r="C319" i="1" l="1"/>
  <c r="C320" i="1" l="1"/>
  <c r="C321" i="1" l="1"/>
  <c r="C322" i="1" l="1"/>
  <c r="C323" i="1" l="1"/>
  <c r="C324" i="1" l="1"/>
  <c r="C325" i="1" l="1"/>
  <c r="C326" i="1" l="1"/>
  <c r="C327" i="1" l="1"/>
  <c r="C328" i="1" l="1"/>
  <c r="C329" i="1" l="1"/>
  <c r="C330" i="1" l="1"/>
  <c r="C331" i="1" l="1"/>
  <c r="C332" i="1" l="1"/>
  <c r="C333" i="1" l="1"/>
  <c r="C334" i="1" l="1"/>
  <c r="C335" i="1" l="1"/>
  <c r="C336" i="1" l="1"/>
  <c r="C337" i="1" l="1"/>
  <c r="C338" i="1" l="1"/>
  <c r="C339" i="1" l="1"/>
  <c r="C340" i="1" l="1"/>
  <c r="C341" i="1" l="1"/>
  <c r="C342" i="1" l="1"/>
  <c r="C343" i="1" l="1"/>
  <c r="C344" i="1" l="1"/>
  <c r="C345" i="1" l="1"/>
  <c r="C346" i="1" l="1"/>
  <c r="C347" i="1" l="1"/>
  <c r="C348" i="1" l="1"/>
  <c r="C349" i="1" l="1"/>
  <c r="C350" i="1" l="1"/>
  <c r="C351" i="1" l="1"/>
  <c r="C352" i="1" l="1"/>
  <c r="C353" i="1" l="1"/>
  <c r="C354" i="1" l="1"/>
  <c r="C355" i="1" l="1"/>
  <c r="C356" i="1" l="1"/>
  <c r="C357" i="1" l="1"/>
  <c r="C358" i="1" l="1"/>
  <c r="C359" i="1" l="1"/>
  <c r="C360" i="1" l="1"/>
  <c r="C361" i="1" l="1"/>
  <c r="C362" i="1" l="1"/>
  <c r="C363" i="1" l="1"/>
  <c r="C364" i="1" l="1"/>
  <c r="C365" i="1" l="1"/>
  <c r="C366" i="1" l="1"/>
  <c r="C367" i="1" l="1"/>
  <c r="C368" i="1" l="1"/>
  <c r="C369" i="1" l="1"/>
  <c r="C370" i="1" l="1"/>
  <c r="C371" i="1" l="1"/>
  <c r="C372" i="1" l="1"/>
  <c r="C373" i="1" l="1"/>
  <c r="C374" i="1" l="1"/>
  <c r="C375" i="1" l="1"/>
  <c r="C376" i="1" l="1"/>
  <c r="C377" i="1" l="1"/>
  <c r="C378" i="1" l="1"/>
  <c r="C379" i="1" l="1"/>
  <c r="C380" i="1" l="1"/>
  <c r="C381" i="1" l="1"/>
  <c r="C382" i="1" l="1"/>
  <c r="C383" i="1" l="1"/>
  <c r="C384" i="1" l="1"/>
  <c r="C385" i="1" l="1"/>
  <c r="C386" i="1" l="1"/>
  <c r="C387" i="1" l="1"/>
  <c r="C388" i="1" l="1"/>
  <c r="C389" i="1" l="1"/>
  <c r="C390" i="1" l="1"/>
  <c r="C391" i="1" l="1"/>
  <c r="C392" i="1" l="1"/>
  <c r="C393" i="1" l="1"/>
  <c r="C394" i="1" l="1"/>
  <c r="C395" i="1" l="1"/>
  <c r="C396" i="1" l="1"/>
  <c r="C397" i="1" l="1"/>
  <c r="C398" i="1" l="1"/>
  <c r="C399" i="1" l="1"/>
  <c r="C400" i="1" l="1"/>
  <c r="C401" i="1" l="1"/>
  <c r="C402" i="1" l="1"/>
  <c r="C403" i="1" l="1"/>
  <c r="C404" i="1" l="1"/>
  <c r="C405" i="1" l="1"/>
  <c r="C406" i="1" l="1"/>
  <c r="C407" i="1" l="1"/>
  <c r="C408" i="1" l="1"/>
  <c r="C409" i="1" l="1"/>
  <c r="C410" i="1" l="1"/>
  <c r="C411" i="1" l="1"/>
  <c r="C412" i="1" l="1"/>
  <c r="C413" i="1" l="1"/>
  <c r="C414" i="1" l="1"/>
  <c r="C415" i="1" l="1"/>
  <c r="C416" i="1" l="1"/>
  <c r="C417" i="1" l="1"/>
  <c r="C418" i="1" l="1"/>
  <c r="C419" i="1" l="1"/>
  <c r="C420" i="1" l="1"/>
  <c r="C421" i="1" l="1"/>
  <c r="C422" i="1" l="1"/>
  <c r="C423" i="1" l="1"/>
  <c r="C424" i="1" l="1"/>
  <c r="C425" i="1" l="1"/>
  <c r="C426" i="1" l="1"/>
  <c r="C427" i="1" l="1"/>
  <c r="C428" i="1" l="1"/>
  <c r="C429" i="1" l="1"/>
  <c r="C430" i="1" l="1"/>
  <c r="C431" i="1" l="1"/>
  <c r="C432" i="1" l="1"/>
  <c r="C433" i="1" l="1"/>
  <c r="C434" i="1" l="1"/>
  <c r="C435" i="1" l="1"/>
  <c r="C436" i="1" l="1"/>
  <c r="C437" i="1" l="1"/>
  <c r="C438" i="1" l="1"/>
  <c r="C439" i="1" l="1"/>
  <c r="C440" i="1" l="1"/>
  <c r="C441" i="1" l="1"/>
  <c r="C442" i="1" l="1"/>
  <c r="C443" i="1" l="1"/>
  <c r="C444" i="1" l="1"/>
  <c r="C445" i="1" l="1"/>
  <c r="C446" i="1" l="1"/>
  <c r="C447" i="1" l="1"/>
  <c r="C448" i="1" l="1"/>
  <c r="C449" i="1" l="1"/>
  <c r="C450" i="1" l="1"/>
  <c r="C451" i="1" l="1"/>
  <c r="C452" i="1" l="1"/>
  <c r="C453" i="1" l="1"/>
  <c r="C454" i="1" l="1"/>
  <c r="C455" i="1" l="1"/>
  <c r="C456" i="1" l="1"/>
  <c r="C457" i="1" l="1"/>
  <c r="C458" i="1" l="1"/>
  <c r="C459" i="1" l="1"/>
  <c r="C460" i="1" l="1"/>
  <c r="C461" i="1" l="1"/>
  <c r="C462" i="1" l="1"/>
  <c r="C463" i="1" l="1"/>
  <c r="C464" i="1" l="1"/>
  <c r="C465" i="1" l="1"/>
  <c r="C466" i="1" l="1"/>
  <c r="C467" i="1" l="1"/>
  <c r="C468" i="1" l="1"/>
  <c r="C469" i="1" l="1"/>
  <c r="C470" i="1" l="1"/>
  <c r="C471" i="1" l="1"/>
  <c r="C472" i="1" l="1"/>
  <c r="C473" i="1" l="1"/>
  <c r="C474" i="1" l="1"/>
  <c r="C475" i="1" l="1"/>
  <c r="C476" i="1" l="1"/>
  <c r="C477" i="1" l="1"/>
  <c r="C478" i="1" l="1"/>
  <c r="C479" i="1" l="1"/>
  <c r="C480" i="1" l="1"/>
  <c r="C481" i="1" l="1"/>
  <c r="C482" i="1" l="1"/>
  <c r="C483" i="1" l="1"/>
  <c r="C484" i="1" l="1"/>
  <c r="C485" i="1" l="1"/>
  <c r="C486" i="1" l="1"/>
  <c r="C487" i="1" l="1"/>
  <c r="C488" i="1" l="1"/>
  <c r="C489" i="1" l="1"/>
  <c r="C490" i="1" l="1"/>
  <c r="C491" i="1" l="1"/>
  <c r="C492" i="1" l="1"/>
  <c r="C493" i="1" l="1"/>
  <c r="C494" i="1" l="1"/>
  <c r="C495" i="1" l="1"/>
  <c r="C496" i="1" l="1"/>
  <c r="C497" i="1" l="1"/>
  <c r="C498" i="1" l="1"/>
  <c r="C499" i="1" l="1"/>
  <c r="C500" i="1" l="1"/>
  <c r="C501" i="1" l="1"/>
  <c r="C502" i="1" l="1"/>
  <c r="C503" i="1" l="1"/>
  <c r="C504" i="1" l="1"/>
  <c r="C505" i="1" l="1"/>
  <c r="C506" i="1" l="1"/>
  <c r="C507" i="1" l="1"/>
  <c r="C508" i="1" l="1"/>
  <c r="C509" i="1" l="1"/>
  <c r="S10" i="1" l="1"/>
  <c r="S11" i="1"/>
  <c r="G11" i="1" l="1"/>
  <c r="J11" i="1" l="1"/>
  <c r="K11" i="1" s="1"/>
  <c r="D12" i="1"/>
  <c r="I12" i="1" l="1"/>
  <c r="H12" i="1"/>
  <c r="O12" i="1"/>
  <c r="P11" i="1"/>
  <c r="E12" i="1"/>
  <c r="G12" i="1" s="1"/>
  <c r="L12" i="1"/>
  <c r="N12" i="1" s="1"/>
  <c r="D13" i="1" l="1"/>
  <c r="H13" i="1" s="1"/>
  <c r="J12" i="1"/>
  <c r="K12" i="1" s="1"/>
  <c r="R12" i="1"/>
  <c r="Q13" i="1" s="1"/>
  <c r="P12" i="1"/>
  <c r="L13" i="1" l="1"/>
  <c r="N13" i="1" s="1"/>
  <c r="R13" i="1" s="1"/>
  <c r="S13" i="1" s="1"/>
  <c r="I13" i="1"/>
  <c r="O13" i="1"/>
  <c r="S12" i="1"/>
  <c r="E13" i="1"/>
  <c r="G13" i="1" s="1"/>
  <c r="Q14" i="1" l="1"/>
  <c r="D14" i="1"/>
  <c r="L14" i="1" s="1"/>
  <c r="N14" i="1" s="1"/>
  <c r="J13" i="1"/>
  <c r="K13" i="1" s="1"/>
  <c r="P13" i="1"/>
  <c r="O14" i="1" l="1"/>
  <c r="E14" i="1"/>
  <c r="G14" i="1" s="1"/>
  <c r="J14" i="1" s="1"/>
  <c r="I15" i="1" s="1"/>
  <c r="I14" i="1"/>
  <c r="H14" i="1"/>
  <c r="R14" i="1"/>
  <c r="Q15" i="1" s="1"/>
  <c r="P14" i="1" l="1"/>
  <c r="K14" i="1"/>
  <c r="D15" i="1"/>
  <c r="O15" i="1" s="1"/>
  <c r="S14" i="1"/>
  <c r="E15" i="1" l="1"/>
  <c r="G15" i="1" s="1"/>
  <c r="J15" i="1" s="1"/>
  <c r="K15" i="1" s="1"/>
  <c r="L15" i="1"/>
  <c r="N15" i="1" s="1"/>
  <c r="H15" i="1"/>
  <c r="D16" i="1" l="1"/>
  <c r="E16" i="1" s="1"/>
  <c r="G16" i="1" s="1"/>
  <c r="J16" i="1" s="1"/>
  <c r="P15" i="1"/>
  <c r="R15" i="1"/>
  <c r="Q16" i="1" s="1"/>
  <c r="I16" i="1"/>
  <c r="L16" i="1" l="1"/>
  <c r="N16" i="1" s="1"/>
  <c r="D17" i="1" s="1"/>
  <c r="H17" i="1" s="1"/>
  <c r="H16" i="1"/>
  <c r="O16" i="1"/>
  <c r="K16" i="1"/>
  <c r="I17" i="1"/>
  <c r="S15" i="1"/>
  <c r="L17" i="1" l="1"/>
  <c r="N17" i="1" s="1"/>
  <c r="R17" i="1" s="1"/>
  <c r="R16" i="1"/>
  <c r="Q17" i="1" s="1"/>
  <c r="E17" i="1"/>
  <c r="G17" i="1" s="1"/>
  <c r="D18" i="1" s="1"/>
  <c r="O18" i="1" s="1"/>
  <c r="O17" i="1"/>
  <c r="P16" i="1"/>
  <c r="S17" i="1" l="1"/>
  <c r="S16" i="1"/>
  <c r="P17" i="1"/>
  <c r="J17" i="1"/>
  <c r="K17" i="1" s="1"/>
  <c r="Q18" i="1"/>
  <c r="E18" i="1"/>
  <c r="G18" i="1" s="1"/>
  <c r="H18" i="1"/>
  <c r="L18" i="1"/>
  <c r="N18" i="1" s="1"/>
  <c r="I18" i="1" l="1"/>
  <c r="J18" i="1"/>
  <c r="P18" i="1"/>
  <c r="R18" i="1"/>
  <c r="S18" i="1" s="1"/>
  <c r="D19" i="1"/>
  <c r="E19" i="1" s="1"/>
  <c r="G19" i="1" s="1"/>
  <c r="K18" i="1" l="1"/>
  <c r="I19" i="1"/>
  <c r="J19" i="1"/>
  <c r="Q19" i="1"/>
  <c r="O19" i="1"/>
  <c r="L19" i="1"/>
  <c r="N19" i="1" s="1"/>
  <c r="D20" i="1" s="1"/>
  <c r="H19" i="1"/>
  <c r="K19" i="1" l="1"/>
  <c r="I20" i="1"/>
  <c r="R19" i="1"/>
  <c r="S19" i="1" s="1"/>
  <c r="P19" i="1"/>
  <c r="O20" i="1"/>
  <c r="E20" i="1"/>
  <c r="G20" i="1" s="1"/>
  <c r="H20" i="1"/>
  <c r="L20" i="1"/>
  <c r="N20" i="1" s="1"/>
  <c r="Q20" i="1" l="1"/>
  <c r="J20" i="1"/>
  <c r="K20" i="1" s="1"/>
  <c r="R20" i="1"/>
  <c r="D21" i="1"/>
  <c r="L21" i="1" s="1"/>
  <c r="N21" i="1" s="1"/>
  <c r="P20" i="1"/>
  <c r="S20" i="1" l="1"/>
  <c r="I21" i="1"/>
  <c r="Q21" i="1"/>
  <c r="R21" i="1"/>
  <c r="H21" i="1"/>
  <c r="O21" i="1"/>
  <c r="E21" i="1"/>
  <c r="G21" i="1" s="1"/>
  <c r="S21" i="1" l="1"/>
  <c r="Q22" i="1"/>
  <c r="D22" i="1"/>
  <c r="O22" i="1" s="1"/>
  <c r="J21" i="1"/>
  <c r="K21" i="1" s="1"/>
  <c r="P21" i="1"/>
  <c r="I22" i="1" l="1"/>
  <c r="E22" i="1"/>
  <c r="G22" i="1" s="1"/>
  <c r="L22" i="1"/>
  <c r="N22" i="1" s="1"/>
  <c r="R22" i="1" s="1"/>
  <c r="S22" i="1" s="1"/>
  <c r="H22" i="1"/>
  <c r="P22" i="1" l="1"/>
  <c r="D23" i="1"/>
  <c r="O23" i="1" s="1"/>
  <c r="J22" i="1"/>
  <c r="I23" i="1" s="1"/>
  <c r="Q23" i="1"/>
  <c r="K22" i="1" l="1"/>
  <c r="L23" i="1"/>
  <c r="N23" i="1" s="1"/>
  <c r="R23" i="1" s="1"/>
  <c r="S23" i="1" s="1"/>
  <c r="E23" i="1"/>
  <c r="G23" i="1" s="1"/>
  <c r="J23" i="1" s="1"/>
  <c r="K23" i="1" s="1"/>
  <c r="H23" i="1"/>
  <c r="D24" i="1" l="1"/>
  <c r="L24" i="1" s="1"/>
  <c r="N24" i="1" s="1"/>
  <c r="R24" i="1" s="1"/>
  <c r="I24" i="1"/>
  <c r="P23" i="1"/>
  <c r="Q24" i="1"/>
  <c r="H24" i="1" l="1"/>
  <c r="E24" i="1"/>
  <c r="G24" i="1" s="1"/>
  <c r="D25" i="1" s="1"/>
  <c r="E25" i="1" s="1"/>
  <c r="G25" i="1" s="1"/>
  <c r="O24" i="1"/>
  <c r="P24" i="1"/>
  <c r="J25" i="1"/>
  <c r="I26" i="1" s="1"/>
  <c r="S24" i="1"/>
  <c r="J24" i="1"/>
  <c r="I25" i="1" s="1"/>
  <c r="Q25" i="1"/>
  <c r="O25" i="1"/>
  <c r="L25" i="1"/>
  <c r="N25" i="1" s="1"/>
  <c r="D26" i="1" s="1"/>
  <c r="H25" i="1"/>
  <c r="K25" i="1" l="1"/>
  <c r="K24" i="1"/>
  <c r="R25" i="1"/>
  <c r="S25" i="1" s="1"/>
  <c r="P25" i="1"/>
  <c r="L26" i="1"/>
  <c r="N26" i="1" s="1"/>
  <c r="E26" i="1"/>
  <c r="G26" i="1" s="1"/>
  <c r="O26" i="1"/>
  <c r="H26" i="1"/>
  <c r="Q26" i="1" l="1"/>
  <c r="J26" i="1"/>
  <c r="K26" i="1" s="1"/>
  <c r="P26" i="1"/>
  <c r="R26" i="1"/>
  <c r="D27" i="1"/>
  <c r="S26" i="1" l="1"/>
  <c r="I27" i="1"/>
  <c r="Q27" i="1"/>
  <c r="L27" i="1"/>
  <c r="N27" i="1" s="1"/>
  <c r="H27" i="1"/>
  <c r="E27" i="1"/>
  <c r="G27" i="1" s="1"/>
  <c r="O27" i="1"/>
  <c r="P27" i="1" l="1"/>
  <c r="J27" i="1"/>
  <c r="K27" i="1" s="1"/>
  <c r="R27" i="1"/>
  <c r="S27" i="1" s="1"/>
  <c r="D28" i="1"/>
  <c r="E28" i="1" s="1"/>
  <c r="G28" i="1" s="1"/>
  <c r="I28" i="1" l="1"/>
  <c r="Q28" i="1"/>
  <c r="J28" i="1"/>
  <c r="I29" i="1" s="1"/>
  <c r="O28" i="1"/>
  <c r="H28" i="1"/>
  <c r="L28" i="1"/>
  <c r="N28" i="1" s="1"/>
  <c r="P28" i="1" s="1"/>
  <c r="K28" i="1" l="1"/>
  <c r="D29" i="1"/>
  <c r="O29" i="1" s="1"/>
  <c r="R28" i="1"/>
  <c r="S28" i="1" s="1"/>
  <c r="L29" i="1" l="1"/>
  <c r="N29" i="1" s="1"/>
  <c r="E29" i="1"/>
  <c r="G29" i="1" s="1"/>
  <c r="J29" i="1" s="1"/>
  <c r="K29" i="1" s="1"/>
  <c r="H29" i="1"/>
  <c r="Q29" i="1"/>
  <c r="R29" i="1"/>
  <c r="Q30" i="1" s="1"/>
  <c r="I30" i="1" l="1"/>
  <c r="P29" i="1"/>
  <c r="D30" i="1"/>
  <c r="O30" i="1" s="1"/>
  <c r="S29" i="1"/>
  <c r="E30" i="1" l="1"/>
  <c r="G30" i="1" s="1"/>
  <c r="J30" i="1" s="1"/>
  <c r="K30" i="1" s="1"/>
  <c r="L30" i="1"/>
  <c r="N30" i="1" s="1"/>
  <c r="H30" i="1"/>
  <c r="D31" i="1" l="1"/>
  <c r="H31" i="1" s="1"/>
  <c r="P30" i="1"/>
  <c r="R30" i="1"/>
  <c r="S30" i="1" s="1"/>
  <c r="I31" i="1"/>
  <c r="L31" i="1"/>
  <c r="N31" i="1" s="1"/>
  <c r="E31" i="1"/>
  <c r="G31" i="1" s="1"/>
  <c r="O31" i="1"/>
  <c r="Q31" i="1" l="1"/>
  <c r="D32" i="1"/>
  <c r="E32" i="1" s="1"/>
  <c r="G32" i="1" s="1"/>
  <c r="J31" i="1"/>
  <c r="K31" i="1" s="1"/>
  <c r="R31" i="1"/>
  <c r="S31" i="1" s="1"/>
  <c r="P31" i="1"/>
  <c r="L32" i="1" l="1"/>
  <c r="N32" i="1" s="1"/>
  <c r="R32" i="1" s="1"/>
  <c r="Q33" i="1" s="1"/>
  <c r="H32" i="1"/>
  <c r="I32" i="1"/>
  <c r="J32" i="1"/>
  <c r="I33" i="1" s="1"/>
  <c r="O32" i="1"/>
  <c r="Q32" i="1"/>
  <c r="D33" i="1"/>
  <c r="E33" i="1" s="1"/>
  <c r="G33" i="1" s="1"/>
  <c r="P32" i="1" l="1"/>
  <c r="K32" i="1"/>
  <c r="J33" i="1"/>
  <c r="K33" i="1" s="1"/>
  <c r="S32" i="1"/>
  <c r="H33" i="1"/>
  <c r="O33" i="1"/>
  <c r="L33" i="1"/>
  <c r="N33" i="1" s="1"/>
  <c r="P33" i="1" s="1"/>
  <c r="I34" i="1" l="1"/>
  <c r="R33" i="1"/>
  <c r="S33" i="1" s="1"/>
  <c r="D34" i="1"/>
  <c r="L34" i="1" s="1"/>
  <c r="N34" i="1" s="1"/>
  <c r="Q34" i="1" l="1"/>
  <c r="R34" i="1"/>
  <c r="H34" i="1"/>
  <c r="E34" i="1"/>
  <c r="G34" i="1" s="1"/>
  <c r="O34" i="1"/>
  <c r="S34" i="1" l="1"/>
  <c r="Q35" i="1"/>
  <c r="D35" i="1"/>
  <c r="H35" i="1" s="1"/>
  <c r="J34" i="1"/>
  <c r="K34" i="1" s="1"/>
  <c r="P34" i="1"/>
  <c r="I35" i="1" l="1"/>
  <c r="E35" i="1"/>
  <c r="G35" i="1" s="1"/>
  <c r="L35" i="1"/>
  <c r="N35" i="1" s="1"/>
  <c r="R35" i="1" s="1"/>
  <c r="S35" i="1" s="1"/>
  <c r="O35" i="1"/>
  <c r="D36" i="1" l="1"/>
  <c r="E36" i="1" s="1"/>
  <c r="G36" i="1" s="1"/>
  <c r="J36" i="1" s="1"/>
  <c r="I37" i="1" s="1"/>
  <c r="P35" i="1"/>
  <c r="J35" i="1"/>
  <c r="I36" i="1" s="1"/>
  <c r="Q36" i="1"/>
  <c r="L36" i="1" l="1"/>
  <c r="N36" i="1" s="1"/>
  <c r="R36" i="1" s="1"/>
  <c r="Q37" i="1" s="1"/>
  <c r="H36" i="1"/>
  <c r="O36" i="1"/>
  <c r="K36" i="1"/>
  <c r="K35" i="1"/>
  <c r="P36" i="1"/>
  <c r="D37" i="1" l="1"/>
  <c r="H37" i="1" s="1"/>
  <c r="S36" i="1"/>
  <c r="L37" i="1" l="1"/>
  <c r="N37" i="1" s="1"/>
  <c r="E37" i="1"/>
  <c r="G37" i="1" s="1"/>
  <c r="J37" i="1" s="1"/>
  <c r="K37" i="1" s="1"/>
  <c r="O37" i="1"/>
  <c r="D38" i="1" l="1"/>
  <c r="H38" i="1" s="1"/>
  <c r="P37" i="1"/>
  <c r="R37" i="1"/>
  <c r="S37" i="1" s="1"/>
  <c r="I38" i="1"/>
  <c r="E38" i="1" l="1"/>
  <c r="G38" i="1" s="1"/>
  <c r="L38" i="1"/>
  <c r="N38" i="1" s="1"/>
  <c r="R38" i="1" s="1"/>
  <c r="Q39" i="1" s="1"/>
  <c r="Q38" i="1"/>
  <c r="O38" i="1"/>
  <c r="J38" i="1"/>
  <c r="K38" i="1" s="1"/>
  <c r="D39" i="1" l="1"/>
  <c r="L39" i="1" s="1"/>
  <c r="N39" i="1" s="1"/>
  <c r="S38" i="1"/>
  <c r="P38" i="1"/>
  <c r="I39" i="1"/>
  <c r="H39" i="1" l="1"/>
  <c r="O39" i="1"/>
  <c r="E39" i="1"/>
  <c r="G39" i="1" s="1"/>
  <c r="J39" i="1" s="1"/>
  <c r="R39" i="1"/>
  <c r="S39" i="1" s="1"/>
  <c r="Q40" i="1" l="1"/>
  <c r="P39" i="1"/>
  <c r="I40" i="1"/>
  <c r="K39" i="1"/>
  <c r="D40" i="1"/>
  <c r="O40" i="1" l="1"/>
  <c r="L40" i="1"/>
  <c r="N40" i="1" s="1"/>
  <c r="E40" i="1"/>
  <c r="G40" i="1" s="1"/>
  <c r="H40" i="1"/>
  <c r="P40" i="1" l="1"/>
  <c r="D41" i="1"/>
  <c r="J40" i="1"/>
  <c r="K40" i="1" s="1"/>
  <c r="R40" i="1"/>
  <c r="S40" i="1" s="1"/>
  <c r="Q41" i="1" l="1"/>
  <c r="E41" i="1"/>
  <c r="G41" i="1" s="1"/>
  <c r="J41" i="1" s="1"/>
  <c r="I42" i="1" s="1"/>
  <c r="O41" i="1"/>
  <c r="L41" i="1"/>
  <c r="N41" i="1" s="1"/>
  <c r="H41" i="1"/>
  <c r="I41" i="1"/>
  <c r="K41" i="1" l="1"/>
  <c r="D42" i="1"/>
  <c r="R41" i="1"/>
  <c r="S41" i="1" s="1"/>
  <c r="P41" i="1"/>
  <c r="Q42" i="1" l="1"/>
  <c r="L42" i="1"/>
  <c r="N42" i="1" s="1"/>
  <c r="O42" i="1"/>
  <c r="E42" i="1"/>
  <c r="G42" i="1" s="1"/>
  <c r="H42" i="1"/>
  <c r="D43" i="1" l="1"/>
  <c r="J42" i="1"/>
  <c r="P42" i="1"/>
  <c r="R42" i="1"/>
  <c r="S42" i="1" s="1"/>
  <c r="Q43" i="1" l="1"/>
  <c r="I43" i="1"/>
  <c r="K42" i="1"/>
  <c r="E43" i="1"/>
  <c r="G43" i="1" s="1"/>
  <c r="H43" i="1"/>
  <c r="L43" i="1"/>
  <c r="N43" i="1" s="1"/>
  <c r="O43" i="1"/>
  <c r="P43" i="1" l="1"/>
  <c r="J43" i="1"/>
  <c r="I44" i="1" s="1"/>
  <c r="D44" i="1"/>
  <c r="R43" i="1"/>
  <c r="S43" i="1" s="1"/>
  <c r="K43" i="1" l="1"/>
  <c r="Q44" i="1"/>
  <c r="E44" i="1"/>
  <c r="G44" i="1" s="1"/>
  <c r="L44" i="1"/>
  <c r="N44" i="1" s="1"/>
  <c r="O44" i="1"/>
  <c r="H44" i="1"/>
  <c r="P44" i="1" l="1"/>
  <c r="R44" i="1"/>
  <c r="S44" i="1" s="1"/>
  <c r="J44" i="1"/>
  <c r="K44" i="1" s="1"/>
  <c r="D45" i="1"/>
  <c r="Q45" i="1" l="1"/>
  <c r="I45" i="1"/>
  <c r="O45" i="1"/>
  <c r="H45" i="1"/>
  <c r="E45" i="1"/>
  <c r="G45" i="1" s="1"/>
  <c r="L45" i="1"/>
  <c r="N45" i="1" s="1"/>
  <c r="J45" i="1" l="1"/>
  <c r="K45" i="1" s="1"/>
  <c r="D46" i="1"/>
  <c r="I46" i="1"/>
  <c r="R45" i="1"/>
  <c r="S45" i="1" s="1"/>
  <c r="P45" i="1"/>
  <c r="E46" i="1" l="1"/>
  <c r="G46" i="1" s="1"/>
  <c r="O46" i="1"/>
  <c r="H46" i="1"/>
  <c r="L46" i="1"/>
  <c r="N46" i="1" s="1"/>
  <c r="Q46" i="1"/>
  <c r="P46" i="1" l="1"/>
  <c r="J46" i="1"/>
  <c r="K46" i="1" s="1"/>
  <c r="D47" i="1"/>
  <c r="R46" i="1"/>
  <c r="S46" i="1" s="1"/>
  <c r="Q47" i="1" l="1"/>
  <c r="I47" i="1"/>
  <c r="O47" i="1"/>
  <c r="L47" i="1"/>
  <c r="N47" i="1" s="1"/>
  <c r="E47" i="1"/>
  <c r="G47" i="1" s="1"/>
  <c r="H47" i="1"/>
  <c r="P47" i="1" l="1"/>
  <c r="R47" i="1"/>
  <c r="S47" i="1" s="1"/>
  <c r="J47" i="1"/>
  <c r="K47" i="1" s="1"/>
  <c r="D48" i="1"/>
  <c r="Q48" i="1" l="1"/>
  <c r="I48" i="1"/>
  <c r="H48" i="1"/>
  <c r="E48" i="1"/>
  <c r="G48" i="1" s="1"/>
  <c r="O48" i="1"/>
  <c r="L48" i="1"/>
  <c r="N48" i="1" s="1"/>
  <c r="J48" i="1" l="1"/>
  <c r="K48" i="1" s="1"/>
  <c r="D49" i="1"/>
  <c r="R48" i="1"/>
  <c r="S48" i="1" s="1"/>
  <c r="P48" i="1"/>
  <c r="I49" i="1" l="1"/>
  <c r="Q49" i="1"/>
  <c r="E49" i="1"/>
  <c r="G49" i="1" s="1"/>
  <c r="H49" i="1"/>
  <c r="O49" i="1"/>
  <c r="L49" i="1"/>
  <c r="N49" i="1" s="1"/>
  <c r="P49" i="1" l="1"/>
  <c r="R49" i="1"/>
  <c r="J49" i="1"/>
  <c r="D50" i="1"/>
  <c r="Q50" i="1" l="1"/>
  <c r="S49" i="1"/>
  <c r="L50" i="1"/>
  <c r="N50" i="1" s="1"/>
  <c r="O50" i="1"/>
  <c r="E50" i="1"/>
  <c r="G50" i="1" s="1"/>
  <c r="H50" i="1"/>
  <c r="I50" i="1"/>
  <c r="K49" i="1"/>
  <c r="P50" i="1" l="1"/>
  <c r="R50" i="1"/>
  <c r="Q51" i="1" s="1"/>
  <c r="D51" i="1"/>
  <c r="J50" i="1"/>
  <c r="K50" i="1" s="1"/>
  <c r="S50" i="1" l="1"/>
  <c r="E51" i="1"/>
  <c r="G51" i="1" s="1"/>
  <c r="O51" i="1"/>
  <c r="L51" i="1"/>
  <c r="N51" i="1" s="1"/>
  <c r="H51" i="1"/>
  <c r="I51" i="1"/>
  <c r="P51" i="1" l="1"/>
  <c r="R51" i="1"/>
  <c r="S51" i="1" s="1"/>
  <c r="J51" i="1"/>
  <c r="I52" i="1" s="1"/>
  <c r="D52" i="1"/>
  <c r="Q52" i="1" l="1"/>
  <c r="K51" i="1"/>
  <c r="E52" i="1"/>
  <c r="G52" i="1" s="1"/>
  <c r="O52" i="1"/>
  <c r="H52" i="1"/>
  <c r="L52" i="1"/>
  <c r="N52" i="1" s="1"/>
  <c r="P52" i="1" l="1"/>
  <c r="R52" i="1"/>
  <c r="S52" i="1" s="1"/>
  <c r="J52" i="1"/>
  <c r="K52" i="1" s="1"/>
  <c r="D53" i="1"/>
  <c r="Q53" i="1" l="1"/>
  <c r="I53" i="1"/>
  <c r="E53" i="1"/>
  <c r="G53" i="1" s="1"/>
  <c r="L53" i="1"/>
  <c r="N53" i="1" s="1"/>
  <c r="O53" i="1"/>
  <c r="H53" i="1"/>
  <c r="R53" i="1" l="1"/>
  <c r="S53" i="1" s="1"/>
  <c r="Q54" i="1"/>
  <c r="P53" i="1"/>
  <c r="D54" i="1"/>
  <c r="J53" i="1"/>
  <c r="K53" i="1" s="1"/>
  <c r="I54" i="1" l="1"/>
  <c r="O54" i="1"/>
  <c r="L54" i="1"/>
  <c r="N54" i="1" s="1"/>
  <c r="H54" i="1"/>
  <c r="E54" i="1"/>
  <c r="G54" i="1" s="1"/>
  <c r="R54" i="1" l="1"/>
  <c r="S54" i="1" s="1"/>
  <c r="D55" i="1"/>
  <c r="J54" i="1"/>
  <c r="K54" i="1" s="1"/>
  <c r="P54" i="1"/>
  <c r="Q55" i="1" l="1"/>
  <c r="L55" i="1"/>
  <c r="N55" i="1" s="1"/>
  <c r="O55" i="1"/>
  <c r="H55" i="1"/>
  <c r="E55" i="1"/>
  <c r="G55" i="1" s="1"/>
  <c r="I55" i="1"/>
  <c r="P55" i="1" l="1"/>
  <c r="J55" i="1"/>
  <c r="K55" i="1" s="1"/>
  <c r="D56" i="1"/>
  <c r="R55" i="1"/>
  <c r="S55" i="1" s="1"/>
  <c r="I56" i="1" l="1"/>
  <c r="Q56" i="1"/>
  <c r="E56" i="1"/>
  <c r="G56" i="1" s="1"/>
  <c r="L56" i="1"/>
  <c r="N56" i="1" s="1"/>
  <c r="O56" i="1"/>
  <c r="H56" i="1"/>
  <c r="P56" i="1" l="1"/>
  <c r="R56" i="1"/>
  <c r="S56" i="1" s="1"/>
  <c r="J56" i="1"/>
  <c r="K56" i="1" s="1"/>
  <c r="D57" i="1"/>
  <c r="Q57" i="1" l="1"/>
  <c r="I57" i="1"/>
  <c r="H57" i="1"/>
  <c r="L57" i="1"/>
  <c r="N57" i="1" s="1"/>
  <c r="O57" i="1"/>
  <c r="E57" i="1"/>
  <c r="G57" i="1" s="1"/>
  <c r="J57" i="1" l="1"/>
  <c r="D58" i="1"/>
  <c r="P57" i="1"/>
  <c r="R57" i="1"/>
  <c r="S57" i="1" s="1"/>
  <c r="Q58" i="1" l="1"/>
  <c r="L58" i="1"/>
  <c r="N58" i="1" s="1"/>
  <c r="H58" i="1"/>
  <c r="E58" i="1"/>
  <c r="G58" i="1" s="1"/>
  <c r="P58" i="1" s="1"/>
  <c r="O58" i="1"/>
  <c r="I58" i="1"/>
  <c r="K57" i="1"/>
  <c r="D59" i="1" l="1"/>
  <c r="J58" i="1"/>
  <c r="K58" i="1" s="1"/>
  <c r="R58" i="1"/>
  <c r="S58" i="1" s="1"/>
  <c r="I59" i="1" l="1"/>
  <c r="Q59" i="1"/>
  <c r="H59" i="1"/>
  <c r="E59" i="1"/>
  <c r="G59" i="1" s="1"/>
  <c r="P59" i="1" s="1"/>
  <c r="L59" i="1"/>
  <c r="N59" i="1" s="1"/>
  <c r="O59" i="1"/>
  <c r="R59" i="1" l="1"/>
  <c r="S59" i="1" s="1"/>
  <c r="J59" i="1"/>
  <c r="K59" i="1" s="1"/>
  <c r="D60" i="1"/>
  <c r="Q60" i="1" l="1"/>
  <c r="I60" i="1"/>
  <c r="O60" i="1"/>
  <c r="L60" i="1"/>
  <c r="N60" i="1" s="1"/>
  <c r="E60" i="1"/>
  <c r="G60" i="1" s="1"/>
  <c r="H60" i="1"/>
  <c r="P60" i="1" l="1"/>
  <c r="D61" i="1"/>
  <c r="J60" i="1"/>
  <c r="R60" i="1"/>
  <c r="S60" i="1" s="1"/>
  <c r="Q61" i="1" l="1"/>
  <c r="I61" i="1"/>
  <c r="K60" i="1"/>
  <c r="E61" i="1"/>
  <c r="G61" i="1" s="1"/>
  <c r="L61" i="1"/>
  <c r="N61" i="1" s="1"/>
  <c r="O61" i="1"/>
  <c r="H61" i="1"/>
  <c r="R61" i="1" l="1"/>
  <c r="S61" i="1" s="1"/>
  <c r="P61" i="1"/>
  <c r="J61" i="1"/>
  <c r="K61" i="1" s="1"/>
  <c r="D62" i="1"/>
  <c r="I62" i="1" l="1"/>
  <c r="Q62" i="1"/>
  <c r="L62" i="1"/>
  <c r="N62" i="1" s="1"/>
  <c r="O62" i="1"/>
  <c r="E62" i="1"/>
  <c r="G62" i="1" s="1"/>
  <c r="H62" i="1"/>
  <c r="P62" i="1" l="1"/>
  <c r="R62" i="1"/>
  <c r="S62" i="1" s="1"/>
  <c r="D63" i="1"/>
  <c r="J62" i="1"/>
  <c r="Q63" i="1" l="1"/>
  <c r="I63" i="1"/>
  <c r="K62" i="1"/>
  <c r="O63" i="1"/>
  <c r="E63" i="1"/>
  <c r="G63" i="1" s="1"/>
  <c r="H63" i="1"/>
  <c r="L63" i="1"/>
  <c r="N63" i="1" s="1"/>
  <c r="R63" i="1" l="1"/>
  <c r="S63" i="1" s="1"/>
  <c r="D64" i="1"/>
  <c r="J63" i="1"/>
  <c r="I64" i="1" s="1"/>
  <c r="P63" i="1"/>
  <c r="Q64" i="1" l="1"/>
  <c r="K63" i="1"/>
  <c r="H64" i="1"/>
  <c r="E64" i="1"/>
  <c r="G64" i="1" s="1"/>
  <c r="L64" i="1"/>
  <c r="N64" i="1" s="1"/>
  <c r="O64" i="1"/>
  <c r="P64" i="1" l="1"/>
  <c r="J64" i="1"/>
  <c r="K64" i="1" s="1"/>
  <c r="D65" i="1"/>
  <c r="R64" i="1"/>
  <c r="S64" i="1" s="1"/>
  <c r="I65" i="1" l="1"/>
  <c r="E65" i="1"/>
  <c r="G65" i="1" s="1"/>
  <c r="O65" i="1"/>
  <c r="H65" i="1"/>
  <c r="L65" i="1"/>
  <c r="N65" i="1" s="1"/>
  <c r="Q65" i="1"/>
  <c r="P65" i="1" l="1"/>
  <c r="R65" i="1"/>
  <c r="S65" i="1" s="1"/>
  <c r="D66" i="1"/>
  <c r="J65" i="1"/>
  <c r="K65" i="1" s="1"/>
  <c r="Q66" i="1" l="1"/>
  <c r="H66" i="1"/>
  <c r="O66" i="1"/>
  <c r="L66" i="1"/>
  <c r="N66" i="1" s="1"/>
  <c r="E66" i="1"/>
  <c r="G66" i="1" s="1"/>
  <c r="I66" i="1"/>
  <c r="D67" i="1" l="1"/>
  <c r="J66" i="1"/>
  <c r="K66" i="1" s="1"/>
  <c r="R66" i="1"/>
  <c r="S66" i="1" s="1"/>
  <c r="P66" i="1"/>
  <c r="Q67" i="1" l="1"/>
  <c r="I67" i="1"/>
  <c r="L67" i="1"/>
  <c r="N67" i="1" s="1"/>
  <c r="O67" i="1"/>
  <c r="E67" i="1"/>
  <c r="G67" i="1" s="1"/>
  <c r="H67" i="1"/>
  <c r="J67" i="1" l="1"/>
  <c r="K67" i="1" s="1"/>
  <c r="D68" i="1"/>
  <c r="P67" i="1"/>
  <c r="R67" i="1"/>
  <c r="S67" i="1" s="1"/>
  <c r="Q68" i="1" l="1"/>
  <c r="I68" i="1"/>
  <c r="H68" i="1"/>
  <c r="O68" i="1"/>
  <c r="E68" i="1"/>
  <c r="G68" i="1" s="1"/>
  <c r="L68" i="1"/>
  <c r="N68" i="1" s="1"/>
  <c r="J68" i="1" l="1"/>
  <c r="K68" i="1" s="1"/>
  <c r="D69" i="1"/>
  <c r="P68" i="1"/>
  <c r="R68" i="1"/>
  <c r="S68" i="1" s="1"/>
  <c r="I69" i="1" l="1"/>
  <c r="Q69" i="1"/>
  <c r="O69" i="1"/>
  <c r="E69" i="1"/>
  <c r="G69" i="1" s="1"/>
  <c r="L69" i="1"/>
  <c r="N69" i="1" s="1"/>
  <c r="H69" i="1"/>
  <c r="R69" i="1" l="1"/>
  <c r="S69" i="1" s="1"/>
  <c r="J69" i="1"/>
  <c r="K69" i="1" s="1"/>
  <c r="D70" i="1"/>
  <c r="P69" i="1"/>
  <c r="Q70" i="1" l="1"/>
  <c r="I70" i="1"/>
  <c r="E70" i="1"/>
  <c r="G70" i="1" s="1"/>
  <c r="L70" i="1"/>
  <c r="N70" i="1" s="1"/>
  <c r="R70" i="1" s="1"/>
  <c r="Q71" i="1" s="1"/>
  <c r="O70" i="1"/>
  <c r="H70" i="1"/>
  <c r="P70" i="1" l="1"/>
  <c r="J70" i="1"/>
  <c r="K70" i="1" s="1"/>
  <c r="D71" i="1"/>
  <c r="S70" i="1"/>
  <c r="I71" i="1" l="1"/>
  <c r="H71" i="1"/>
  <c r="E71" i="1"/>
  <c r="G71" i="1" s="1"/>
  <c r="L71" i="1"/>
  <c r="N71" i="1" s="1"/>
  <c r="O71" i="1"/>
  <c r="R71" i="1" l="1"/>
  <c r="S71" i="1" s="1"/>
  <c r="J71" i="1"/>
  <c r="K71" i="1" s="1"/>
  <c r="D72" i="1"/>
  <c r="P71" i="1"/>
  <c r="Q72" i="1" l="1"/>
  <c r="I72" i="1"/>
  <c r="E72" i="1"/>
  <c r="G72" i="1" s="1"/>
  <c r="H72" i="1"/>
  <c r="L72" i="1"/>
  <c r="N72" i="1" s="1"/>
  <c r="O72" i="1"/>
  <c r="P72" i="1" l="1"/>
  <c r="R72" i="1"/>
  <c r="S72" i="1" s="1"/>
  <c r="J72" i="1"/>
  <c r="K72" i="1" s="1"/>
  <c r="D73" i="1"/>
  <c r="Q73" i="1" l="1"/>
  <c r="I73" i="1"/>
  <c r="E73" i="1"/>
  <c r="G73" i="1" s="1"/>
  <c r="H73" i="1"/>
  <c r="L73" i="1"/>
  <c r="N73" i="1" s="1"/>
  <c r="R73" i="1" s="1"/>
  <c r="Q74" i="1" s="1"/>
  <c r="O73" i="1"/>
  <c r="P73" i="1" l="1"/>
  <c r="S73" i="1"/>
  <c r="J73" i="1"/>
  <c r="K73" i="1" s="1"/>
  <c r="D74" i="1"/>
  <c r="I74" i="1" l="1"/>
  <c r="E74" i="1"/>
  <c r="G74" i="1" s="1"/>
  <c r="L74" i="1"/>
  <c r="N74" i="1" s="1"/>
  <c r="H74" i="1"/>
  <c r="O74" i="1"/>
  <c r="P74" i="1" l="1"/>
  <c r="R74" i="1"/>
  <c r="S74" i="1" s="1"/>
  <c r="J74" i="1"/>
  <c r="K74" i="1" s="1"/>
  <c r="D75" i="1"/>
  <c r="Q75" i="1" l="1"/>
  <c r="L75" i="1"/>
  <c r="N75" i="1" s="1"/>
  <c r="H75" i="1"/>
  <c r="E75" i="1"/>
  <c r="G75" i="1" s="1"/>
  <c r="P75" i="1" s="1"/>
  <c r="O75" i="1"/>
  <c r="I75" i="1"/>
  <c r="J75" i="1" l="1"/>
  <c r="K75" i="1" s="1"/>
  <c r="D76" i="1"/>
  <c r="I76" i="1"/>
  <c r="R75" i="1"/>
  <c r="S75" i="1" s="1"/>
  <c r="Q76" i="1" l="1"/>
  <c r="O76" i="1"/>
  <c r="H76" i="1"/>
  <c r="E76" i="1"/>
  <c r="G76" i="1" s="1"/>
  <c r="L76" i="1"/>
  <c r="N76" i="1" s="1"/>
  <c r="R76" i="1" l="1"/>
  <c r="S76" i="1" s="1"/>
  <c r="J76" i="1"/>
  <c r="K76" i="1" s="1"/>
  <c r="D77" i="1"/>
  <c r="P76" i="1"/>
  <c r="Q77" i="1" l="1"/>
  <c r="I77" i="1"/>
  <c r="O77" i="1"/>
  <c r="L77" i="1"/>
  <c r="N77" i="1" s="1"/>
  <c r="E77" i="1"/>
  <c r="G77" i="1" s="1"/>
  <c r="H77" i="1"/>
  <c r="J77" i="1" l="1"/>
  <c r="K77" i="1" s="1"/>
  <c r="D78" i="1"/>
  <c r="R77" i="1"/>
  <c r="S77" i="1" s="1"/>
  <c r="P77" i="1"/>
  <c r="I78" i="1" l="1"/>
  <c r="Q78" i="1"/>
  <c r="L78" i="1"/>
  <c r="N78" i="1" s="1"/>
  <c r="O78" i="1"/>
  <c r="E78" i="1"/>
  <c r="G78" i="1" s="1"/>
  <c r="H78" i="1"/>
  <c r="J78" i="1" l="1"/>
  <c r="K78" i="1" s="1"/>
  <c r="D79" i="1"/>
  <c r="P78" i="1"/>
  <c r="R78" i="1"/>
  <c r="S78" i="1" s="1"/>
  <c r="Q79" i="1" l="1"/>
  <c r="I79" i="1"/>
  <c r="O79" i="1"/>
  <c r="H79" i="1"/>
  <c r="L79" i="1"/>
  <c r="N79" i="1" s="1"/>
  <c r="E79" i="1"/>
  <c r="G79" i="1" s="1"/>
  <c r="P79" i="1" l="1"/>
  <c r="D80" i="1"/>
  <c r="J79" i="1"/>
  <c r="K79" i="1" s="1"/>
  <c r="R79" i="1"/>
  <c r="S79" i="1" s="1"/>
  <c r="Q80" i="1" l="1"/>
  <c r="I80" i="1"/>
  <c r="E80" i="1"/>
  <c r="G80" i="1" s="1"/>
  <c r="O80" i="1"/>
  <c r="H80" i="1"/>
  <c r="L80" i="1"/>
  <c r="N80" i="1" s="1"/>
  <c r="R80" i="1" l="1"/>
  <c r="S80" i="1" s="1"/>
  <c r="P80" i="1"/>
  <c r="J80" i="1"/>
  <c r="K80" i="1" s="1"/>
  <c r="D81" i="1"/>
  <c r="Q81" i="1" l="1"/>
  <c r="I81" i="1"/>
  <c r="O81" i="1"/>
  <c r="L81" i="1"/>
  <c r="N81" i="1" s="1"/>
  <c r="H81" i="1"/>
  <c r="E81" i="1"/>
  <c r="G81" i="1" s="1"/>
  <c r="J81" i="1" l="1"/>
  <c r="K81" i="1" s="1"/>
  <c r="D82" i="1"/>
  <c r="R81" i="1"/>
  <c r="S81" i="1" s="1"/>
  <c r="P81" i="1"/>
  <c r="I82" i="1" l="1"/>
  <c r="Q82" i="1"/>
  <c r="E82" i="1"/>
  <c r="G82" i="1" s="1"/>
  <c r="H82" i="1"/>
  <c r="O82" i="1"/>
  <c r="L82" i="1"/>
  <c r="N82" i="1" s="1"/>
  <c r="R82" i="1" s="1"/>
  <c r="Q83" i="1" s="1"/>
  <c r="S82" i="1" l="1"/>
  <c r="P82" i="1"/>
  <c r="J82" i="1"/>
  <c r="K82" i="1" s="1"/>
  <c r="D83" i="1"/>
  <c r="I83" i="1" l="1"/>
  <c r="E83" i="1"/>
  <c r="G83" i="1" s="1"/>
  <c r="L83" i="1"/>
  <c r="N83" i="1" s="1"/>
  <c r="O83" i="1"/>
  <c r="H83" i="1"/>
  <c r="P83" i="1" l="1"/>
  <c r="R83" i="1"/>
  <c r="S83" i="1" s="1"/>
  <c r="D84" i="1"/>
  <c r="J83" i="1"/>
  <c r="K83" i="1" s="1"/>
  <c r="Q84" i="1" l="1"/>
  <c r="E84" i="1"/>
  <c r="G84" i="1" s="1"/>
  <c r="L84" i="1"/>
  <c r="N84" i="1" s="1"/>
  <c r="R84" i="1" s="1"/>
  <c r="Q85" i="1" s="1"/>
  <c r="O84" i="1"/>
  <c r="H84" i="1"/>
  <c r="I84" i="1"/>
  <c r="S84" i="1" l="1"/>
  <c r="P84" i="1"/>
  <c r="D85" i="1"/>
  <c r="J84" i="1"/>
  <c r="K84" i="1" s="1"/>
  <c r="I85" i="1" l="1"/>
  <c r="O85" i="1"/>
  <c r="H85" i="1"/>
  <c r="L85" i="1"/>
  <c r="N85" i="1" s="1"/>
  <c r="E85" i="1"/>
  <c r="G85" i="1" s="1"/>
  <c r="J85" i="1" l="1"/>
  <c r="K85" i="1" s="1"/>
  <c r="D86" i="1"/>
  <c r="I86" i="1"/>
  <c r="R85" i="1"/>
  <c r="S85" i="1" s="1"/>
  <c r="P85" i="1"/>
  <c r="Q86" i="1" l="1"/>
  <c r="O86" i="1"/>
  <c r="H86" i="1"/>
  <c r="E86" i="1"/>
  <c r="G86" i="1" s="1"/>
  <c r="L86" i="1"/>
  <c r="N86" i="1" s="1"/>
  <c r="R86" i="1" l="1"/>
  <c r="S86" i="1" s="1"/>
  <c r="Q87" i="1"/>
  <c r="J86" i="1"/>
  <c r="K86" i="1" s="1"/>
  <c r="D87" i="1"/>
  <c r="P86" i="1"/>
  <c r="I87" i="1" l="1"/>
  <c r="E87" i="1"/>
  <c r="G87" i="1" s="1"/>
  <c r="H87" i="1"/>
  <c r="L87" i="1"/>
  <c r="N87" i="1" s="1"/>
  <c r="O87" i="1"/>
  <c r="P87" i="1" l="1"/>
  <c r="R87" i="1"/>
  <c r="S87" i="1" s="1"/>
  <c r="J87" i="1"/>
  <c r="K87" i="1" s="1"/>
  <c r="D88" i="1"/>
  <c r="Q88" i="1" l="1"/>
  <c r="E88" i="1"/>
  <c r="G88" i="1" s="1"/>
  <c r="L88" i="1"/>
  <c r="N88" i="1" s="1"/>
  <c r="O88" i="1"/>
  <c r="H88" i="1"/>
  <c r="I88" i="1"/>
  <c r="R88" i="1" l="1"/>
  <c r="S88" i="1" s="1"/>
  <c r="Q89" i="1"/>
  <c r="P88" i="1"/>
  <c r="D89" i="1"/>
  <c r="J88" i="1"/>
  <c r="K88" i="1" s="1"/>
  <c r="I89" i="1" l="1"/>
  <c r="E89" i="1"/>
  <c r="G89" i="1" s="1"/>
  <c r="L89" i="1"/>
  <c r="N89" i="1" s="1"/>
  <c r="O89" i="1"/>
  <c r="H89" i="1"/>
  <c r="P89" i="1" l="1"/>
  <c r="R89" i="1"/>
  <c r="S89" i="1" s="1"/>
  <c r="D90" i="1"/>
  <c r="J89" i="1"/>
  <c r="K89" i="1" s="1"/>
  <c r="Q90" i="1" l="1"/>
  <c r="I90" i="1"/>
  <c r="H90" i="1"/>
  <c r="E90" i="1"/>
  <c r="G90" i="1" s="1"/>
  <c r="L90" i="1"/>
  <c r="N90" i="1" s="1"/>
  <c r="O90" i="1"/>
  <c r="R90" i="1" l="1"/>
  <c r="S90" i="1" s="1"/>
  <c r="Q91" i="1"/>
  <c r="D91" i="1"/>
  <c r="J90" i="1"/>
  <c r="K90" i="1" s="1"/>
  <c r="P90" i="1"/>
  <c r="I91" i="1" l="1"/>
  <c r="E91" i="1"/>
  <c r="G91" i="1" s="1"/>
  <c r="L91" i="1"/>
  <c r="N91" i="1" s="1"/>
  <c r="O91" i="1"/>
  <c r="H91" i="1"/>
  <c r="P91" i="1" l="1"/>
  <c r="R91" i="1"/>
  <c r="S91" i="1" s="1"/>
  <c r="D92" i="1"/>
  <c r="J91" i="1"/>
  <c r="K91" i="1" s="1"/>
  <c r="Q92" i="1" l="1"/>
  <c r="I92" i="1"/>
  <c r="O92" i="1"/>
  <c r="H92" i="1"/>
  <c r="L92" i="1"/>
  <c r="N92" i="1" s="1"/>
  <c r="E92" i="1"/>
  <c r="G92" i="1" s="1"/>
  <c r="J92" i="1" l="1"/>
  <c r="K92" i="1" s="1"/>
  <c r="D93" i="1"/>
  <c r="I93" i="1"/>
  <c r="R92" i="1"/>
  <c r="S92" i="1" s="1"/>
  <c r="P92" i="1"/>
  <c r="Q93" i="1" l="1"/>
  <c r="H93" i="1"/>
  <c r="L93" i="1"/>
  <c r="N93" i="1" s="1"/>
  <c r="E93" i="1"/>
  <c r="G93" i="1" s="1"/>
  <c r="O93" i="1"/>
  <c r="J93" i="1" l="1"/>
  <c r="K93" i="1" s="1"/>
  <c r="D94" i="1"/>
  <c r="R93" i="1"/>
  <c r="S93" i="1" s="1"/>
  <c r="P93" i="1"/>
  <c r="I94" i="1" l="1"/>
  <c r="E94" i="1"/>
  <c r="G94" i="1" s="1"/>
  <c r="O94" i="1"/>
  <c r="H94" i="1"/>
  <c r="L94" i="1"/>
  <c r="N94" i="1" s="1"/>
  <c r="Q94" i="1"/>
  <c r="P94" i="1" l="1"/>
  <c r="R94" i="1"/>
  <c r="S94" i="1" s="1"/>
  <c r="D95" i="1"/>
  <c r="J94" i="1"/>
  <c r="K94" i="1" s="1"/>
  <c r="Q95" i="1" l="1"/>
  <c r="I95" i="1"/>
  <c r="L95" i="1"/>
  <c r="N95" i="1" s="1"/>
  <c r="E95" i="1"/>
  <c r="G95" i="1" s="1"/>
  <c r="O95" i="1"/>
  <c r="H95" i="1"/>
  <c r="P95" i="1" l="1"/>
  <c r="D96" i="1"/>
  <c r="J95" i="1"/>
  <c r="K95" i="1" s="1"/>
  <c r="R95" i="1"/>
  <c r="S95" i="1" s="1"/>
  <c r="I96" i="1" l="1"/>
  <c r="Q96" i="1"/>
  <c r="L96" i="1"/>
  <c r="N96" i="1" s="1"/>
  <c r="E96" i="1"/>
  <c r="G96" i="1" s="1"/>
  <c r="O96" i="1"/>
  <c r="H96" i="1"/>
  <c r="D97" i="1" l="1"/>
  <c r="J96" i="1"/>
  <c r="K96" i="1" s="1"/>
  <c r="P96" i="1"/>
  <c r="R96" i="1"/>
  <c r="S96" i="1" s="1"/>
  <c r="Q97" i="1" l="1"/>
  <c r="I97" i="1"/>
  <c r="L97" i="1"/>
  <c r="N97" i="1" s="1"/>
  <c r="O97" i="1"/>
  <c r="H97" i="1"/>
  <c r="E97" i="1"/>
  <c r="G97" i="1" s="1"/>
  <c r="D98" i="1" l="1"/>
  <c r="J97" i="1"/>
  <c r="K97" i="1" s="1"/>
  <c r="P97" i="1"/>
  <c r="R97" i="1"/>
  <c r="S97" i="1" s="1"/>
  <c r="Q98" i="1" l="1"/>
  <c r="I98" i="1"/>
  <c r="H98" i="1"/>
  <c r="O98" i="1"/>
  <c r="L98" i="1"/>
  <c r="N98" i="1" s="1"/>
  <c r="E98" i="1"/>
  <c r="G98" i="1" s="1"/>
  <c r="R98" i="1" l="1"/>
  <c r="S98" i="1" s="1"/>
  <c r="J98" i="1"/>
  <c r="K98" i="1" s="1"/>
  <c r="D99" i="1"/>
  <c r="P98" i="1"/>
  <c r="Q99" i="1" l="1"/>
  <c r="L99" i="1"/>
  <c r="N99" i="1" s="1"/>
  <c r="R99" i="1" s="1"/>
  <c r="Q100" i="1" s="1"/>
  <c r="H99" i="1"/>
  <c r="O99" i="1"/>
  <c r="E99" i="1"/>
  <c r="G99" i="1" s="1"/>
  <c r="I99" i="1"/>
  <c r="P99" i="1" l="1"/>
  <c r="S99" i="1"/>
  <c r="D100" i="1"/>
  <c r="J99" i="1"/>
  <c r="I100" i="1" s="1"/>
  <c r="O100" i="1" l="1"/>
  <c r="H100" i="1"/>
  <c r="E100" i="1"/>
  <c r="G100" i="1" s="1"/>
  <c r="L100" i="1"/>
  <c r="N100" i="1" s="1"/>
  <c r="K99" i="1"/>
  <c r="D101" i="1" l="1"/>
  <c r="J100" i="1"/>
  <c r="K100" i="1" s="1"/>
  <c r="R100" i="1"/>
  <c r="S100" i="1" s="1"/>
  <c r="P100" i="1"/>
  <c r="I101" i="1" l="1"/>
  <c r="Q101" i="1"/>
  <c r="H101" i="1"/>
  <c r="L101" i="1"/>
  <c r="N101" i="1" s="1"/>
  <c r="O101" i="1"/>
  <c r="E101" i="1"/>
  <c r="G101" i="1" s="1"/>
  <c r="R101" i="1" l="1"/>
  <c r="S101" i="1" s="1"/>
  <c r="Q102" i="1"/>
  <c r="D102" i="1"/>
  <c r="J101" i="1"/>
  <c r="K101" i="1" s="1"/>
  <c r="P101" i="1"/>
  <c r="E102" i="1" l="1"/>
  <c r="G102" i="1" s="1"/>
  <c r="O102" i="1"/>
  <c r="L102" i="1"/>
  <c r="N102" i="1" s="1"/>
  <c r="H102" i="1"/>
  <c r="I102" i="1"/>
  <c r="R102" i="1" l="1"/>
  <c r="S102" i="1" s="1"/>
  <c r="Q103" i="1"/>
  <c r="P102" i="1"/>
  <c r="D103" i="1"/>
  <c r="J102" i="1"/>
  <c r="K102" i="1" s="1"/>
  <c r="I103" i="1" l="1"/>
  <c r="L103" i="1"/>
  <c r="N103" i="1" s="1"/>
  <c r="E103" i="1"/>
  <c r="G103" i="1" s="1"/>
  <c r="O103" i="1"/>
  <c r="H103" i="1"/>
  <c r="J103" i="1" l="1"/>
  <c r="K103" i="1" s="1"/>
  <c r="D104" i="1"/>
  <c r="R103" i="1"/>
  <c r="S103" i="1" s="1"/>
  <c r="P103" i="1"/>
  <c r="I104" i="1" l="1"/>
  <c r="Q104" i="1"/>
  <c r="E104" i="1"/>
  <c r="G104" i="1" s="1"/>
  <c r="L104" i="1"/>
  <c r="N104" i="1" s="1"/>
  <c r="H104" i="1"/>
  <c r="O104" i="1"/>
  <c r="P104" i="1" l="1"/>
  <c r="R104" i="1"/>
  <c r="S104" i="1" s="1"/>
  <c r="J104" i="1"/>
  <c r="K104" i="1" s="1"/>
  <c r="D105" i="1"/>
  <c r="Q105" i="1" l="1"/>
  <c r="O105" i="1"/>
  <c r="L105" i="1"/>
  <c r="N105" i="1" s="1"/>
  <c r="H105" i="1"/>
  <c r="E105" i="1"/>
  <c r="G105" i="1" s="1"/>
  <c r="I105" i="1"/>
  <c r="D106" i="1" l="1"/>
  <c r="J105" i="1"/>
  <c r="K105" i="1" s="1"/>
  <c r="R105" i="1"/>
  <c r="S105" i="1" s="1"/>
  <c r="P105" i="1"/>
  <c r="Q106" i="1" l="1"/>
  <c r="I106" i="1"/>
  <c r="L106" i="1"/>
  <c r="N106" i="1" s="1"/>
  <c r="E106" i="1"/>
  <c r="G106" i="1" s="1"/>
  <c r="O106" i="1"/>
  <c r="H106" i="1"/>
  <c r="J106" i="1" l="1"/>
  <c r="K106" i="1" s="1"/>
  <c r="D107" i="1"/>
  <c r="P106" i="1"/>
  <c r="R106" i="1"/>
  <c r="S106" i="1" s="1"/>
  <c r="Q107" i="1" l="1"/>
  <c r="H107" i="1"/>
  <c r="E107" i="1"/>
  <c r="G107" i="1" s="1"/>
  <c r="O107" i="1"/>
  <c r="L107" i="1"/>
  <c r="N107" i="1" s="1"/>
  <c r="I107" i="1"/>
  <c r="R107" i="1" l="1"/>
  <c r="S107" i="1" s="1"/>
  <c r="D108" i="1"/>
  <c r="J107" i="1"/>
  <c r="K107" i="1" s="1"/>
  <c r="P107" i="1"/>
  <c r="Q108" i="1" l="1"/>
  <c r="I108" i="1"/>
  <c r="H108" i="1"/>
  <c r="E108" i="1"/>
  <c r="G108" i="1" s="1"/>
  <c r="L108" i="1"/>
  <c r="N108" i="1" s="1"/>
  <c r="O108" i="1"/>
  <c r="R108" i="1" l="1"/>
  <c r="S108" i="1" s="1"/>
  <c r="D109" i="1"/>
  <c r="J108" i="1"/>
  <c r="K108" i="1" s="1"/>
  <c r="P108" i="1"/>
  <c r="Q109" i="1" l="1"/>
  <c r="I109" i="1"/>
  <c r="L109" i="1"/>
  <c r="N109" i="1" s="1"/>
  <c r="E109" i="1"/>
  <c r="G109" i="1" s="1"/>
  <c r="O109" i="1"/>
  <c r="H109" i="1"/>
  <c r="D110" i="1" l="1"/>
  <c r="J109" i="1"/>
  <c r="K109" i="1" s="1"/>
  <c r="P109" i="1"/>
  <c r="R109" i="1"/>
  <c r="S109" i="1" s="1"/>
  <c r="Q110" i="1" l="1"/>
  <c r="I110" i="1"/>
  <c r="O110" i="1"/>
  <c r="H110" i="1"/>
  <c r="E110" i="1"/>
  <c r="G110" i="1" s="1"/>
  <c r="L110" i="1"/>
  <c r="N110" i="1" s="1"/>
  <c r="P110" i="1" l="1"/>
  <c r="J110" i="1"/>
  <c r="K110" i="1" s="1"/>
  <c r="D111" i="1"/>
  <c r="R110" i="1"/>
  <c r="S110" i="1" s="1"/>
  <c r="I111" i="1" l="1"/>
  <c r="L111" i="1"/>
  <c r="N111" i="1" s="1"/>
  <c r="H111" i="1"/>
  <c r="O111" i="1"/>
  <c r="E111" i="1"/>
  <c r="G111" i="1" s="1"/>
  <c r="Q111" i="1"/>
  <c r="J111" i="1" l="1"/>
  <c r="K111" i="1" s="1"/>
  <c r="D112" i="1"/>
  <c r="P111" i="1"/>
  <c r="R111" i="1"/>
  <c r="S111" i="1" s="1"/>
  <c r="Q112" i="1" l="1"/>
  <c r="I112" i="1"/>
  <c r="L112" i="1"/>
  <c r="N112" i="1" s="1"/>
  <c r="R112" i="1" s="1"/>
  <c r="Q113" i="1" s="1"/>
  <c r="O112" i="1"/>
  <c r="E112" i="1"/>
  <c r="G112" i="1" s="1"/>
  <c r="H112" i="1"/>
  <c r="S112" i="1" l="1"/>
  <c r="J112" i="1"/>
  <c r="K112" i="1" s="1"/>
  <c r="D113" i="1"/>
  <c r="P112" i="1"/>
  <c r="I113" i="1" l="1"/>
  <c r="L113" i="1"/>
  <c r="N113" i="1" s="1"/>
  <c r="H113" i="1"/>
  <c r="E113" i="1"/>
  <c r="G113" i="1" s="1"/>
  <c r="P113" i="1" s="1"/>
  <c r="O113" i="1"/>
  <c r="J113" i="1" l="1"/>
  <c r="K113" i="1" s="1"/>
  <c r="D114" i="1"/>
  <c r="R113" i="1"/>
  <c r="S113" i="1" s="1"/>
  <c r="I114" i="1" l="1"/>
  <c r="Q114" i="1"/>
  <c r="E114" i="1"/>
  <c r="G114" i="1" s="1"/>
  <c r="L114" i="1"/>
  <c r="N114" i="1" s="1"/>
  <c r="O114" i="1"/>
  <c r="H114" i="1"/>
  <c r="P114" i="1" l="1"/>
  <c r="R114" i="1"/>
  <c r="S114" i="1" s="1"/>
  <c r="D115" i="1"/>
  <c r="J114" i="1"/>
  <c r="K114" i="1" s="1"/>
  <c r="Q115" i="1" l="1"/>
  <c r="I115" i="1"/>
  <c r="L115" i="1"/>
  <c r="N115" i="1" s="1"/>
  <c r="O115" i="1"/>
  <c r="H115" i="1"/>
  <c r="E115" i="1"/>
  <c r="G115" i="1" s="1"/>
  <c r="J115" i="1" l="1"/>
  <c r="K115" i="1" s="1"/>
  <c r="D116" i="1"/>
  <c r="P115" i="1"/>
  <c r="R115" i="1"/>
  <c r="S115" i="1" s="1"/>
  <c r="Q116" i="1" l="1"/>
  <c r="I116" i="1"/>
  <c r="E116" i="1"/>
  <c r="G116" i="1" s="1"/>
  <c r="H116" i="1"/>
  <c r="O116" i="1"/>
  <c r="L116" i="1"/>
  <c r="N116" i="1" s="1"/>
  <c r="P116" i="1" l="1"/>
  <c r="R116" i="1"/>
  <c r="S116" i="1" s="1"/>
  <c r="J116" i="1"/>
  <c r="K116" i="1" s="1"/>
  <c r="D117" i="1"/>
  <c r="Q117" i="1" l="1"/>
  <c r="O117" i="1"/>
  <c r="L117" i="1"/>
  <c r="N117" i="1" s="1"/>
  <c r="E117" i="1"/>
  <c r="G117" i="1" s="1"/>
  <c r="H117" i="1"/>
  <c r="I117" i="1"/>
  <c r="J117" i="1" l="1"/>
  <c r="K117" i="1" s="1"/>
  <c r="D118" i="1"/>
  <c r="R117" i="1"/>
  <c r="S117" i="1" s="1"/>
  <c r="P117" i="1"/>
  <c r="I118" i="1" l="1"/>
  <c r="H118" i="1"/>
  <c r="E118" i="1"/>
  <c r="G118" i="1" s="1"/>
  <c r="L118" i="1"/>
  <c r="N118" i="1" s="1"/>
  <c r="R118" i="1" s="1"/>
  <c r="Q119" i="1" s="1"/>
  <c r="O118" i="1"/>
  <c r="Q118" i="1"/>
  <c r="S118" i="1" l="1"/>
  <c r="J118" i="1"/>
  <c r="K118" i="1" s="1"/>
  <c r="D119" i="1"/>
  <c r="P118" i="1"/>
  <c r="I119" i="1" l="1"/>
  <c r="E119" i="1"/>
  <c r="G119" i="1" s="1"/>
  <c r="O119" i="1"/>
  <c r="H119" i="1"/>
  <c r="L119" i="1"/>
  <c r="N119" i="1" s="1"/>
  <c r="P119" i="1" l="1"/>
  <c r="R119" i="1"/>
  <c r="S119" i="1" s="1"/>
  <c r="J119" i="1"/>
  <c r="K119" i="1" s="1"/>
  <c r="D120" i="1"/>
  <c r="Q120" i="1" l="1"/>
  <c r="L120" i="1"/>
  <c r="N120" i="1" s="1"/>
  <c r="O120" i="1"/>
  <c r="E120" i="1"/>
  <c r="G120" i="1" s="1"/>
  <c r="H120" i="1"/>
  <c r="I120" i="1"/>
  <c r="J120" i="1" l="1"/>
  <c r="K120" i="1" s="1"/>
  <c r="D121" i="1"/>
  <c r="I121" i="1"/>
  <c r="P120" i="1"/>
  <c r="R120" i="1"/>
  <c r="S120" i="1" s="1"/>
  <c r="Q121" i="1" l="1"/>
  <c r="O121" i="1"/>
  <c r="E121" i="1"/>
  <c r="G121" i="1" s="1"/>
  <c r="L121" i="1"/>
  <c r="N121" i="1" s="1"/>
  <c r="H121" i="1"/>
  <c r="R121" i="1" l="1"/>
  <c r="S121" i="1" s="1"/>
  <c r="Q122" i="1"/>
  <c r="D122" i="1"/>
  <c r="J121" i="1"/>
  <c r="K121" i="1" s="1"/>
  <c r="P121" i="1"/>
  <c r="I122" i="1" l="1"/>
  <c r="O122" i="1"/>
  <c r="E122" i="1"/>
  <c r="G122" i="1" s="1"/>
  <c r="L122" i="1"/>
  <c r="N122" i="1" s="1"/>
  <c r="H122" i="1"/>
  <c r="R122" i="1" l="1"/>
  <c r="S122" i="1" s="1"/>
  <c r="Q123" i="1"/>
  <c r="D123" i="1"/>
  <c r="J122" i="1"/>
  <c r="K122" i="1" s="1"/>
  <c r="P122" i="1"/>
  <c r="I123" i="1" l="1"/>
  <c r="L123" i="1"/>
  <c r="N123" i="1" s="1"/>
  <c r="H123" i="1"/>
  <c r="E123" i="1"/>
  <c r="G123" i="1" s="1"/>
  <c r="O123" i="1"/>
  <c r="J123" i="1" l="1"/>
  <c r="K123" i="1" s="1"/>
  <c r="D124" i="1"/>
  <c r="P123" i="1"/>
  <c r="R123" i="1"/>
  <c r="S123" i="1" s="1"/>
  <c r="Q124" i="1" l="1"/>
  <c r="E124" i="1"/>
  <c r="G124" i="1" s="1"/>
  <c r="O124" i="1"/>
  <c r="H124" i="1"/>
  <c r="L124" i="1"/>
  <c r="N124" i="1" s="1"/>
  <c r="I124" i="1"/>
  <c r="R124" i="1" l="1"/>
  <c r="S124" i="1" s="1"/>
  <c r="Q125" i="1"/>
  <c r="P124" i="1"/>
  <c r="D125" i="1"/>
  <c r="J124" i="1"/>
  <c r="K124" i="1" s="1"/>
  <c r="I125" i="1" l="1"/>
  <c r="E125" i="1"/>
  <c r="G125" i="1" s="1"/>
  <c r="O125" i="1"/>
  <c r="H125" i="1"/>
  <c r="L125" i="1"/>
  <c r="N125" i="1" s="1"/>
  <c r="P125" i="1" l="1"/>
  <c r="R125" i="1"/>
  <c r="S125" i="1" s="1"/>
  <c r="D126" i="1"/>
  <c r="J125" i="1"/>
  <c r="K125" i="1" s="1"/>
  <c r="Q126" i="1" l="1"/>
  <c r="O126" i="1"/>
  <c r="H126" i="1"/>
  <c r="E126" i="1"/>
  <c r="G126" i="1" s="1"/>
  <c r="L126" i="1"/>
  <c r="N126" i="1" s="1"/>
  <c r="I126" i="1"/>
  <c r="R126" i="1" l="1"/>
  <c r="S126" i="1" s="1"/>
  <c r="D127" i="1"/>
  <c r="J126" i="1"/>
  <c r="K126" i="1" s="1"/>
  <c r="P126" i="1"/>
  <c r="Q127" i="1" l="1"/>
  <c r="I127" i="1"/>
  <c r="E127" i="1"/>
  <c r="G127" i="1" s="1"/>
  <c r="H127" i="1"/>
  <c r="L127" i="1"/>
  <c r="N127" i="1" s="1"/>
  <c r="R127" i="1" s="1"/>
  <c r="Q128" i="1" s="1"/>
  <c r="O127" i="1"/>
  <c r="S127" i="1" l="1"/>
  <c r="P127" i="1"/>
  <c r="J127" i="1"/>
  <c r="K127" i="1" s="1"/>
  <c r="D128" i="1"/>
  <c r="H128" i="1" l="1"/>
  <c r="L128" i="1"/>
  <c r="N128" i="1" s="1"/>
  <c r="E128" i="1"/>
  <c r="G128" i="1" s="1"/>
  <c r="O128" i="1"/>
  <c r="I128" i="1"/>
  <c r="P128" i="1" l="1"/>
  <c r="J128" i="1"/>
  <c r="K128" i="1" s="1"/>
  <c r="D129" i="1"/>
  <c r="R128" i="1"/>
  <c r="S128" i="1" s="1"/>
  <c r="Q129" i="1" l="1"/>
  <c r="I129" i="1"/>
  <c r="L129" i="1"/>
  <c r="N129" i="1" s="1"/>
  <c r="O129" i="1"/>
  <c r="H129" i="1"/>
  <c r="E129" i="1"/>
  <c r="G129" i="1" s="1"/>
  <c r="D130" i="1" l="1"/>
  <c r="J129" i="1"/>
  <c r="K129" i="1" s="1"/>
  <c r="P129" i="1"/>
  <c r="R129" i="1"/>
  <c r="S129" i="1" s="1"/>
  <c r="Q130" i="1" l="1"/>
  <c r="I130" i="1"/>
  <c r="L130" i="1"/>
  <c r="N130" i="1" s="1"/>
  <c r="H130" i="1"/>
  <c r="E130" i="1"/>
  <c r="G130" i="1" s="1"/>
  <c r="O130" i="1"/>
  <c r="D131" i="1" l="1"/>
  <c r="J130" i="1"/>
  <c r="K130" i="1" s="1"/>
  <c r="P130" i="1"/>
  <c r="R130" i="1"/>
  <c r="S130" i="1" s="1"/>
  <c r="Q131" i="1" l="1"/>
  <c r="I131" i="1"/>
  <c r="E131" i="1"/>
  <c r="G131" i="1" s="1"/>
  <c r="H131" i="1"/>
  <c r="L131" i="1"/>
  <c r="N131" i="1" s="1"/>
  <c r="O131" i="1"/>
  <c r="P131" i="1" l="1"/>
  <c r="R131" i="1"/>
  <c r="S131" i="1" s="1"/>
  <c r="J131" i="1"/>
  <c r="D132" i="1"/>
  <c r="Q132" i="1" l="1"/>
  <c r="E132" i="1"/>
  <c r="G132" i="1" s="1"/>
  <c r="H132" i="1"/>
  <c r="L132" i="1"/>
  <c r="N132" i="1" s="1"/>
  <c r="R132" i="1" s="1"/>
  <c r="Q133" i="1" s="1"/>
  <c r="O132" i="1"/>
  <c r="I132" i="1"/>
  <c r="K131" i="1"/>
  <c r="P132" i="1" l="1"/>
  <c r="S132" i="1"/>
  <c r="J132" i="1"/>
  <c r="K132" i="1" s="1"/>
  <c r="D133" i="1"/>
  <c r="I133" i="1" l="1"/>
  <c r="H133" i="1"/>
  <c r="L133" i="1"/>
  <c r="N133" i="1" s="1"/>
  <c r="O133" i="1"/>
  <c r="E133" i="1"/>
  <c r="G133" i="1" s="1"/>
  <c r="D134" i="1" l="1"/>
  <c r="J133" i="1"/>
  <c r="K133" i="1" s="1"/>
  <c r="R133" i="1"/>
  <c r="S133" i="1" s="1"/>
  <c r="P133" i="1"/>
  <c r="Q134" i="1" l="1"/>
  <c r="I134" i="1"/>
  <c r="O134" i="1"/>
  <c r="H134" i="1"/>
  <c r="L134" i="1"/>
  <c r="N134" i="1" s="1"/>
  <c r="E134" i="1"/>
  <c r="G134" i="1" s="1"/>
  <c r="R134" i="1" l="1"/>
  <c r="S134" i="1" s="1"/>
  <c r="P134" i="1"/>
  <c r="D135" i="1"/>
  <c r="J134" i="1"/>
  <c r="K134" i="1" s="1"/>
  <c r="Q135" i="1" l="1"/>
  <c r="I135" i="1"/>
  <c r="E135" i="1"/>
  <c r="G135" i="1" s="1"/>
  <c r="L135" i="1"/>
  <c r="N135" i="1" s="1"/>
  <c r="O135" i="1"/>
  <c r="H135" i="1"/>
  <c r="P135" i="1" l="1"/>
  <c r="R135" i="1"/>
  <c r="S135" i="1" s="1"/>
  <c r="J135" i="1"/>
  <c r="K135" i="1" s="1"/>
  <c r="D136" i="1"/>
  <c r="Q136" i="1" l="1"/>
  <c r="O136" i="1"/>
  <c r="E136" i="1"/>
  <c r="G136" i="1" s="1"/>
  <c r="H136" i="1"/>
  <c r="L136" i="1"/>
  <c r="N136" i="1" s="1"/>
  <c r="I136" i="1"/>
  <c r="R136" i="1" l="1"/>
  <c r="S136" i="1" s="1"/>
  <c r="Q137" i="1"/>
  <c r="J136" i="1"/>
  <c r="K136" i="1" s="1"/>
  <c r="D137" i="1"/>
  <c r="P136" i="1"/>
  <c r="I137" i="1" l="1"/>
  <c r="E137" i="1"/>
  <c r="G137" i="1" s="1"/>
  <c r="L137" i="1"/>
  <c r="N137" i="1" s="1"/>
  <c r="O137" i="1"/>
  <c r="H137" i="1"/>
  <c r="R137" i="1" l="1"/>
  <c r="S137" i="1" s="1"/>
  <c r="Q138" i="1"/>
  <c r="P137" i="1"/>
  <c r="J137" i="1"/>
  <c r="K137" i="1" s="1"/>
  <c r="D138" i="1"/>
  <c r="I138" i="1" l="1"/>
  <c r="E138" i="1"/>
  <c r="G138" i="1" s="1"/>
  <c r="H138" i="1"/>
  <c r="L138" i="1"/>
  <c r="N138" i="1" s="1"/>
  <c r="R138" i="1" s="1"/>
  <c r="Q139" i="1" s="1"/>
  <c r="O138" i="1"/>
  <c r="P138" i="1" l="1"/>
  <c r="D139" i="1"/>
  <c r="J138" i="1"/>
  <c r="K138" i="1" s="1"/>
  <c r="S138" i="1"/>
  <c r="I139" i="1" l="1"/>
  <c r="E139" i="1"/>
  <c r="G139" i="1" s="1"/>
  <c r="O139" i="1"/>
  <c r="L139" i="1"/>
  <c r="N139" i="1" s="1"/>
  <c r="P139" i="1" s="1"/>
  <c r="H139" i="1"/>
  <c r="R139" i="1" l="1"/>
  <c r="S139" i="1" s="1"/>
  <c r="J139" i="1"/>
  <c r="K139" i="1" s="1"/>
  <c r="D140" i="1"/>
  <c r="Q140" i="1" l="1"/>
  <c r="I140" i="1"/>
  <c r="H140" i="1"/>
  <c r="O140" i="1"/>
  <c r="L140" i="1"/>
  <c r="N140" i="1" s="1"/>
  <c r="E140" i="1"/>
  <c r="G140" i="1" s="1"/>
  <c r="P140" i="1" l="1"/>
  <c r="D141" i="1"/>
  <c r="J140" i="1"/>
  <c r="K140" i="1" s="1"/>
  <c r="R140" i="1"/>
  <c r="S140" i="1" s="1"/>
  <c r="Q141" i="1" l="1"/>
  <c r="I141" i="1"/>
  <c r="E141" i="1"/>
  <c r="G141" i="1" s="1"/>
  <c r="L141" i="1"/>
  <c r="N141" i="1" s="1"/>
  <c r="O141" i="1"/>
  <c r="H141" i="1"/>
  <c r="P141" i="1" l="1"/>
  <c r="R141" i="1"/>
  <c r="S141" i="1" s="1"/>
  <c r="D142" i="1"/>
  <c r="J141" i="1"/>
  <c r="K141" i="1" s="1"/>
  <c r="Q142" i="1" l="1"/>
  <c r="L142" i="1"/>
  <c r="N142" i="1" s="1"/>
  <c r="E142" i="1"/>
  <c r="G142" i="1" s="1"/>
  <c r="O142" i="1"/>
  <c r="H142" i="1"/>
  <c r="I142" i="1"/>
  <c r="P142" i="1" l="1"/>
  <c r="J142" i="1"/>
  <c r="I143" i="1" s="1"/>
  <c r="D143" i="1"/>
  <c r="R142" i="1"/>
  <c r="S142" i="1" s="1"/>
  <c r="L143" i="1" l="1"/>
  <c r="N143" i="1" s="1"/>
  <c r="E143" i="1"/>
  <c r="G143" i="1" s="1"/>
  <c r="H143" i="1"/>
  <c r="O143" i="1"/>
  <c r="Q143" i="1"/>
  <c r="K142" i="1"/>
  <c r="J143" i="1" l="1"/>
  <c r="K143" i="1" s="1"/>
  <c r="D144" i="1"/>
  <c r="P143" i="1"/>
  <c r="R143" i="1"/>
  <c r="S143" i="1" s="1"/>
  <c r="I144" i="1" l="1"/>
  <c r="Q144" i="1"/>
  <c r="E144" i="1"/>
  <c r="G144" i="1" s="1"/>
  <c r="O144" i="1"/>
  <c r="H144" i="1"/>
  <c r="L144" i="1"/>
  <c r="N144" i="1" s="1"/>
  <c r="P144" i="1" l="1"/>
  <c r="R144" i="1"/>
  <c r="S144" i="1" s="1"/>
  <c r="D145" i="1"/>
  <c r="J144" i="1"/>
  <c r="K144" i="1" s="1"/>
  <c r="Q145" i="1" l="1"/>
  <c r="H145" i="1"/>
  <c r="L145" i="1"/>
  <c r="N145" i="1" s="1"/>
  <c r="E145" i="1"/>
  <c r="G145" i="1" s="1"/>
  <c r="O145" i="1"/>
  <c r="I145" i="1"/>
  <c r="D146" i="1" l="1"/>
  <c r="J145" i="1"/>
  <c r="K145" i="1" s="1"/>
  <c r="R145" i="1"/>
  <c r="S145" i="1" s="1"/>
  <c r="P145" i="1"/>
  <c r="Q146" i="1" l="1"/>
  <c r="I146" i="1"/>
  <c r="O146" i="1"/>
  <c r="E146" i="1"/>
  <c r="G146" i="1" s="1"/>
  <c r="L146" i="1"/>
  <c r="N146" i="1" s="1"/>
  <c r="H146" i="1"/>
  <c r="R146" i="1" l="1"/>
  <c r="S146" i="1" s="1"/>
  <c r="J146" i="1"/>
  <c r="K146" i="1" s="1"/>
  <c r="D147" i="1"/>
  <c r="P146" i="1"/>
  <c r="Q147" i="1" l="1"/>
  <c r="L147" i="1"/>
  <c r="N147" i="1" s="1"/>
  <c r="E147" i="1"/>
  <c r="G147" i="1" s="1"/>
  <c r="O147" i="1"/>
  <c r="H147" i="1"/>
  <c r="I147" i="1"/>
  <c r="P147" i="1" l="1"/>
  <c r="J147" i="1"/>
  <c r="K147" i="1" s="1"/>
  <c r="D148" i="1"/>
  <c r="R147" i="1"/>
  <c r="S147" i="1" s="1"/>
  <c r="I148" i="1" l="1"/>
  <c r="O148" i="1"/>
  <c r="E148" i="1"/>
  <c r="G148" i="1" s="1"/>
  <c r="H148" i="1"/>
  <c r="L148" i="1"/>
  <c r="N148" i="1" s="1"/>
  <c r="Q148" i="1"/>
  <c r="R148" i="1" l="1"/>
  <c r="S148" i="1" s="1"/>
  <c r="D149" i="1"/>
  <c r="J148" i="1"/>
  <c r="K148" i="1" s="1"/>
  <c r="P148" i="1"/>
  <c r="Q149" i="1" l="1"/>
  <c r="E149" i="1"/>
  <c r="G149" i="1" s="1"/>
  <c r="O149" i="1"/>
  <c r="H149" i="1"/>
  <c r="L149" i="1"/>
  <c r="N149" i="1" s="1"/>
  <c r="I149" i="1"/>
  <c r="R149" i="1" l="1"/>
  <c r="S149" i="1" s="1"/>
  <c r="P149" i="1"/>
  <c r="J149" i="1"/>
  <c r="K149" i="1" s="1"/>
  <c r="D150" i="1"/>
  <c r="Q150" i="1" l="1"/>
  <c r="I150" i="1"/>
  <c r="H150" i="1"/>
  <c r="L150" i="1"/>
  <c r="N150" i="1" s="1"/>
  <c r="E150" i="1"/>
  <c r="G150" i="1" s="1"/>
  <c r="O150" i="1"/>
  <c r="D151" i="1" l="1"/>
  <c r="J150" i="1"/>
  <c r="K150" i="1" s="1"/>
  <c r="R150" i="1"/>
  <c r="S150" i="1" s="1"/>
  <c r="P150" i="1"/>
  <c r="I151" i="1" l="1"/>
  <c r="Q151" i="1"/>
  <c r="O151" i="1"/>
  <c r="E151" i="1"/>
  <c r="G151" i="1" s="1"/>
  <c r="H151" i="1"/>
  <c r="L151" i="1"/>
  <c r="N151" i="1" s="1"/>
  <c r="R151" i="1" s="1"/>
  <c r="Q152" i="1" s="1"/>
  <c r="P151" i="1" l="1"/>
  <c r="J151" i="1"/>
  <c r="K151" i="1" s="1"/>
  <c r="D152" i="1"/>
  <c r="S151" i="1"/>
  <c r="I152" i="1" l="1"/>
  <c r="E152" i="1"/>
  <c r="G152" i="1" s="1"/>
  <c r="L152" i="1"/>
  <c r="N152" i="1" s="1"/>
  <c r="H152" i="1"/>
  <c r="O152" i="1"/>
  <c r="P152" i="1" l="1"/>
  <c r="R152" i="1"/>
  <c r="S152" i="1" s="1"/>
  <c r="D153" i="1"/>
  <c r="J152" i="1"/>
  <c r="K152" i="1" s="1"/>
  <c r="Q153" i="1" l="1"/>
  <c r="I153" i="1"/>
  <c r="E153" i="1"/>
  <c r="G153" i="1" s="1"/>
  <c r="H153" i="1"/>
  <c r="O153" i="1"/>
  <c r="L153" i="1"/>
  <c r="N153" i="1" s="1"/>
  <c r="P153" i="1" l="1"/>
  <c r="R153" i="1"/>
  <c r="S153" i="1" s="1"/>
  <c r="J153" i="1"/>
  <c r="K153" i="1" s="1"/>
  <c r="D154" i="1"/>
  <c r="Q154" i="1" l="1"/>
  <c r="I154" i="1"/>
  <c r="L154" i="1"/>
  <c r="N154" i="1" s="1"/>
  <c r="E154" i="1"/>
  <c r="G154" i="1" s="1"/>
  <c r="O154" i="1"/>
  <c r="H154" i="1"/>
  <c r="D155" i="1" l="1"/>
  <c r="J154" i="1"/>
  <c r="K154" i="1" s="1"/>
  <c r="P154" i="1"/>
  <c r="R154" i="1"/>
  <c r="S154" i="1" s="1"/>
  <c r="Q155" i="1" l="1"/>
  <c r="I155" i="1"/>
  <c r="L155" i="1"/>
  <c r="N155" i="1" s="1"/>
  <c r="H155" i="1"/>
  <c r="O155" i="1"/>
  <c r="E155" i="1"/>
  <c r="G155" i="1" s="1"/>
  <c r="D156" i="1" l="1"/>
  <c r="J155" i="1"/>
  <c r="K155" i="1" s="1"/>
  <c r="P155" i="1"/>
  <c r="R155" i="1"/>
  <c r="S155" i="1" s="1"/>
  <c r="Q156" i="1" l="1"/>
  <c r="I156" i="1"/>
  <c r="O156" i="1"/>
  <c r="L156" i="1"/>
  <c r="N156" i="1" s="1"/>
  <c r="E156" i="1"/>
  <c r="G156" i="1" s="1"/>
  <c r="H156" i="1"/>
  <c r="P156" i="1" l="1"/>
  <c r="D157" i="1"/>
  <c r="J156" i="1"/>
  <c r="K156" i="1" s="1"/>
  <c r="R156" i="1"/>
  <c r="S156" i="1" s="1"/>
  <c r="I157" i="1" l="1"/>
  <c r="Q157" i="1"/>
  <c r="L157" i="1"/>
  <c r="N157" i="1" s="1"/>
  <c r="E157" i="1"/>
  <c r="G157" i="1" s="1"/>
  <c r="O157" i="1"/>
  <c r="H157" i="1"/>
  <c r="P157" i="1" l="1"/>
  <c r="D158" i="1"/>
  <c r="J157" i="1"/>
  <c r="K157" i="1" s="1"/>
  <c r="R157" i="1"/>
  <c r="S157" i="1" s="1"/>
  <c r="Q158" i="1" l="1"/>
  <c r="I158" i="1"/>
  <c r="H158" i="1"/>
  <c r="L158" i="1"/>
  <c r="N158" i="1" s="1"/>
  <c r="O158" i="1"/>
  <c r="E158" i="1"/>
  <c r="G158" i="1" s="1"/>
  <c r="P158" i="1" l="1"/>
  <c r="R158" i="1"/>
  <c r="S158" i="1" s="1"/>
  <c r="J158" i="1"/>
  <c r="K158" i="1" s="1"/>
  <c r="D159" i="1"/>
  <c r="I159" i="1" l="1"/>
  <c r="Q159" i="1"/>
  <c r="O159" i="1"/>
  <c r="L159" i="1"/>
  <c r="N159" i="1" s="1"/>
  <c r="E159" i="1"/>
  <c r="G159" i="1" s="1"/>
  <c r="H159" i="1"/>
  <c r="D160" i="1" l="1"/>
  <c r="J159" i="1"/>
  <c r="K159" i="1" s="1"/>
  <c r="R159" i="1"/>
  <c r="S159" i="1" s="1"/>
  <c r="P159" i="1"/>
  <c r="I160" i="1" l="1"/>
  <c r="Q160" i="1"/>
  <c r="H160" i="1"/>
  <c r="E160" i="1"/>
  <c r="G160" i="1" s="1"/>
  <c r="O160" i="1"/>
  <c r="L160" i="1"/>
  <c r="N160" i="1" s="1"/>
  <c r="R160" i="1" s="1"/>
  <c r="Q161" i="1" s="1"/>
  <c r="P160" i="1" l="1"/>
  <c r="J160" i="1"/>
  <c r="K160" i="1" s="1"/>
  <c r="D161" i="1"/>
  <c r="S160" i="1"/>
  <c r="I161" i="1" l="1"/>
  <c r="E161" i="1"/>
  <c r="G161" i="1" s="1"/>
  <c r="H161" i="1"/>
  <c r="O161" i="1"/>
  <c r="L161" i="1"/>
  <c r="N161" i="1" s="1"/>
  <c r="R161" i="1" l="1"/>
  <c r="S161" i="1" s="1"/>
  <c r="P161" i="1"/>
  <c r="J161" i="1"/>
  <c r="K161" i="1" s="1"/>
  <c r="D162" i="1"/>
  <c r="Q162" i="1" l="1"/>
  <c r="I162" i="1"/>
  <c r="E162" i="1"/>
  <c r="G162" i="1" s="1"/>
  <c r="O162" i="1"/>
  <c r="L162" i="1"/>
  <c r="N162" i="1" s="1"/>
  <c r="H162" i="1"/>
  <c r="P162" i="1" l="1"/>
  <c r="R162" i="1"/>
  <c r="S162" i="1" s="1"/>
  <c r="D163" i="1"/>
  <c r="J162" i="1"/>
  <c r="K162" i="1" s="1"/>
  <c r="I163" i="1" l="1"/>
  <c r="Q163" i="1"/>
  <c r="L163" i="1"/>
  <c r="N163" i="1" s="1"/>
  <c r="R163" i="1" s="1"/>
  <c r="Q164" i="1" s="1"/>
  <c r="O163" i="1"/>
  <c r="E163" i="1"/>
  <c r="G163" i="1" s="1"/>
  <c r="H163" i="1"/>
  <c r="S163" i="1" l="1"/>
  <c r="D164" i="1"/>
  <c r="J163" i="1"/>
  <c r="K163" i="1" s="1"/>
  <c r="P163" i="1"/>
  <c r="I164" i="1" l="1"/>
  <c r="E164" i="1"/>
  <c r="G164" i="1" s="1"/>
  <c r="H164" i="1"/>
  <c r="L164" i="1"/>
  <c r="N164" i="1" s="1"/>
  <c r="O164" i="1"/>
  <c r="R164" i="1" l="1"/>
  <c r="S164" i="1" s="1"/>
  <c r="P164" i="1"/>
  <c r="J164" i="1"/>
  <c r="K164" i="1" s="1"/>
  <c r="D165" i="1"/>
  <c r="Q165" i="1" l="1"/>
  <c r="I165" i="1"/>
  <c r="E165" i="1"/>
  <c r="G165" i="1" s="1"/>
  <c r="O165" i="1"/>
  <c r="H165" i="1"/>
  <c r="L165" i="1"/>
  <c r="N165" i="1" s="1"/>
  <c r="R165" i="1" s="1"/>
  <c r="Q166" i="1" s="1"/>
  <c r="P165" i="1" l="1"/>
  <c r="D166" i="1"/>
  <c r="J165" i="1"/>
  <c r="K165" i="1" s="1"/>
  <c r="S165" i="1"/>
  <c r="I166" i="1" l="1"/>
  <c r="H166" i="1"/>
  <c r="E166" i="1"/>
  <c r="G166" i="1" s="1"/>
  <c r="L166" i="1"/>
  <c r="N166" i="1" s="1"/>
  <c r="O166" i="1"/>
  <c r="R166" i="1" l="1"/>
  <c r="S166" i="1" s="1"/>
  <c r="J166" i="1"/>
  <c r="K166" i="1" s="1"/>
  <c r="D167" i="1"/>
  <c r="P166" i="1"/>
  <c r="I167" i="1" l="1"/>
  <c r="O167" i="1"/>
  <c r="E167" i="1"/>
  <c r="G167" i="1" s="1"/>
  <c r="L167" i="1"/>
  <c r="N167" i="1" s="1"/>
  <c r="R167" i="1" s="1"/>
  <c r="Q168" i="1" s="1"/>
  <c r="H167" i="1"/>
  <c r="Q167" i="1"/>
  <c r="S167" i="1" l="1"/>
  <c r="J167" i="1"/>
  <c r="K167" i="1" s="1"/>
  <c r="D168" i="1"/>
  <c r="P167" i="1"/>
  <c r="I168" i="1" l="1"/>
  <c r="H168" i="1"/>
  <c r="L168" i="1"/>
  <c r="N168" i="1" s="1"/>
  <c r="O168" i="1"/>
  <c r="E168" i="1"/>
  <c r="G168" i="1" s="1"/>
  <c r="J168" i="1" l="1"/>
  <c r="K168" i="1" s="1"/>
  <c r="D169" i="1"/>
  <c r="I169" i="1"/>
  <c r="P168" i="1"/>
  <c r="R168" i="1"/>
  <c r="S168" i="1" s="1"/>
  <c r="Q169" i="1" l="1"/>
  <c r="H169" i="1"/>
  <c r="O169" i="1"/>
  <c r="L169" i="1"/>
  <c r="N169" i="1" s="1"/>
  <c r="E169" i="1"/>
  <c r="G169" i="1" s="1"/>
  <c r="D170" i="1" l="1"/>
  <c r="J169" i="1"/>
  <c r="K169" i="1" s="1"/>
  <c r="R169" i="1"/>
  <c r="S169" i="1" s="1"/>
  <c r="P169" i="1"/>
  <c r="Q170" i="1" l="1"/>
  <c r="I170" i="1"/>
  <c r="O170" i="1"/>
  <c r="E170" i="1"/>
  <c r="G170" i="1" s="1"/>
  <c r="H170" i="1"/>
  <c r="L170" i="1"/>
  <c r="N170" i="1" s="1"/>
  <c r="P170" i="1" l="1"/>
  <c r="D171" i="1"/>
  <c r="J170" i="1"/>
  <c r="I171" i="1" s="1"/>
  <c r="R170" i="1"/>
  <c r="S170" i="1" s="1"/>
  <c r="Q171" i="1" l="1"/>
  <c r="K170" i="1"/>
  <c r="L171" i="1"/>
  <c r="N171" i="1" s="1"/>
  <c r="E171" i="1"/>
  <c r="G171" i="1" s="1"/>
  <c r="H171" i="1"/>
  <c r="O171" i="1"/>
  <c r="D172" i="1" l="1"/>
  <c r="J171" i="1"/>
  <c r="K171" i="1" s="1"/>
  <c r="P171" i="1"/>
  <c r="R171" i="1"/>
  <c r="S171" i="1" s="1"/>
  <c r="Q172" i="1" l="1"/>
  <c r="I172" i="1"/>
  <c r="E172" i="1"/>
  <c r="G172" i="1" s="1"/>
  <c r="L172" i="1"/>
  <c r="N172" i="1" s="1"/>
  <c r="O172" i="1"/>
  <c r="H172" i="1"/>
  <c r="P172" i="1" l="1"/>
  <c r="R172" i="1"/>
  <c r="S172" i="1" s="1"/>
  <c r="D173" i="1"/>
  <c r="J172" i="1"/>
  <c r="K172" i="1" s="1"/>
  <c r="Q173" i="1" l="1"/>
  <c r="L173" i="1"/>
  <c r="N173" i="1" s="1"/>
  <c r="O173" i="1"/>
  <c r="H173" i="1"/>
  <c r="E173" i="1"/>
  <c r="G173" i="1" s="1"/>
  <c r="I173" i="1"/>
  <c r="P173" i="1" l="1"/>
  <c r="J173" i="1"/>
  <c r="K173" i="1" s="1"/>
  <c r="D174" i="1"/>
  <c r="R173" i="1"/>
  <c r="S173" i="1" s="1"/>
  <c r="I174" i="1" l="1"/>
  <c r="E174" i="1"/>
  <c r="G174" i="1" s="1"/>
  <c r="H174" i="1"/>
  <c r="O174" i="1"/>
  <c r="L174" i="1"/>
  <c r="N174" i="1" s="1"/>
  <c r="Q174" i="1"/>
  <c r="P174" i="1" l="1"/>
  <c r="R174" i="1"/>
  <c r="S174" i="1" s="1"/>
  <c r="D175" i="1"/>
  <c r="J174" i="1"/>
  <c r="K174" i="1" s="1"/>
  <c r="Q175" i="1" l="1"/>
  <c r="O175" i="1"/>
  <c r="E175" i="1"/>
  <c r="G175" i="1" s="1"/>
  <c r="L175" i="1"/>
  <c r="N175" i="1" s="1"/>
  <c r="H175" i="1"/>
  <c r="I175" i="1"/>
  <c r="R175" i="1" l="1"/>
  <c r="S175" i="1" s="1"/>
  <c r="J175" i="1"/>
  <c r="K175" i="1" s="1"/>
  <c r="D176" i="1"/>
  <c r="P175" i="1"/>
  <c r="I176" i="1" l="1"/>
  <c r="Q176" i="1"/>
  <c r="O176" i="1"/>
  <c r="L176" i="1"/>
  <c r="N176" i="1" s="1"/>
  <c r="E176" i="1"/>
  <c r="G176" i="1" s="1"/>
  <c r="H176" i="1"/>
  <c r="P176" i="1" l="1"/>
  <c r="R176" i="1"/>
  <c r="S176" i="1" s="1"/>
  <c r="D177" i="1"/>
  <c r="J176" i="1"/>
  <c r="K176" i="1" s="1"/>
  <c r="Q177" i="1" l="1"/>
  <c r="I177" i="1"/>
  <c r="L177" i="1"/>
  <c r="N177" i="1" s="1"/>
  <c r="O177" i="1"/>
  <c r="E177" i="1"/>
  <c r="G177" i="1" s="1"/>
  <c r="H177" i="1"/>
  <c r="D178" i="1" l="1"/>
  <c r="J177" i="1"/>
  <c r="K177" i="1" s="1"/>
  <c r="P177" i="1"/>
  <c r="R177" i="1"/>
  <c r="S177" i="1" s="1"/>
  <c r="Q178" i="1" l="1"/>
  <c r="I178" i="1"/>
  <c r="O178" i="1"/>
  <c r="H178" i="1"/>
  <c r="E178" i="1"/>
  <c r="G178" i="1" s="1"/>
  <c r="L178" i="1"/>
  <c r="N178" i="1" s="1"/>
  <c r="R178" i="1" l="1"/>
  <c r="S178" i="1" s="1"/>
  <c r="D179" i="1"/>
  <c r="J178" i="1"/>
  <c r="K178" i="1" s="1"/>
  <c r="P178" i="1"/>
  <c r="Q179" i="1" l="1"/>
  <c r="I179" i="1"/>
  <c r="H179" i="1"/>
  <c r="E179" i="1"/>
  <c r="G179" i="1" s="1"/>
  <c r="L179" i="1"/>
  <c r="N179" i="1" s="1"/>
  <c r="O179" i="1"/>
  <c r="R179" i="1" l="1"/>
  <c r="S179" i="1" s="1"/>
  <c r="J179" i="1"/>
  <c r="K179" i="1" s="1"/>
  <c r="D180" i="1"/>
  <c r="P179" i="1"/>
  <c r="Q180" i="1" l="1"/>
  <c r="L180" i="1"/>
  <c r="N180" i="1" s="1"/>
  <c r="H180" i="1"/>
  <c r="E180" i="1"/>
  <c r="G180" i="1" s="1"/>
  <c r="O180" i="1"/>
  <c r="I180" i="1"/>
  <c r="P180" i="1" l="1"/>
  <c r="D181" i="1"/>
  <c r="J180" i="1"/>
  <c r="K180" i="1" s="1"/>
  <c r="R180" i="1"/>
  <c r="S180" i="1" s="1"/>
  <c r="I181" i="1" l="1"/>
  <c r="Q181" i="1"/>
  <c r="H181" i="1"/>
  <c r="E181" i="1"/>
  <c r="G181" i="1" s="1"/>
  <c r="O181" i="1"/>
  <c r="L181" i="1"/>
  <c r="N181" i="1" s="1"/>
  <c r="P181" i="1" l="1"/>
  <c r="J181" i="1"/>
  <c r="K181" i="1" s="1"/>
  <c r="D182" i="1"/>
  <c r="R181" i="1"/>
  <c r="S181" i="1" s="1"/>
  <c r="I182" i="1" l="1"/>
  <c r="Q182" i="1"/>
  <c r="H182" i="1"/>
  <c r="O182" i="1"/>
  <c r="E182" i="1"/>
  <c r="G182" i="1" s="1"/>
  <c r="L182" i="1"/>
  <c r="N182" i="1" s="1"/>
  <c r="R182" i="1" l="1"/>
  <c r="S182" i="1" s="1"/>
  <c r="D183" i="1"/>
  <c r="J182" i="1"/>
  <c r="K182" i="1" s="1"/>
  <c r="P182" i="1"/>
  <c r="Q183" i="1" l="1"/>
  <c r="I183" i="1"/>
  <c r="E183" i="1"/>
  <c r="G183" i="1" s="1"/>
  <c r="H183" i="1"/>
  <c r="O183" i="1"/>
  <c r="L183" i="1"/>
  <c r="N183" i="1" s="1"/>
  <c r="R183" i="1" s="1"/>
  <c r="Q184" i="1" s="1"/>
  <c r="S183" i="1" l="1"/>
  <c r="P183" i="1"/>
  <c r="J183" i="1"/>
  <c r="K183" i="1" s="1"/>
  <c r="D184" i="1"/>
  <c r="I184" i="1" l="1"/>
  <c r="H184" i="1"/>
  <c r="L184" i="1"/>
  <c r="N184" i="1" s="1"/>
  <c r="O184" i="1"/>
  <c r="E184" i="1"/>
  <c r="G184" i="1" s="1"/>
  <c r="J184" i="1" l="1"/>
  <c r="K184" i="1" s="1"/>
  <c r="D185" i="1"/>
  <c r="R184" i="1"/>
  <c r="S184" i="1" s="1"/>
  <c r="P184" i="1"/>
  <c r="I185" i="1" l="1"/>
  <c r="Q185" i="1"/>
  <c r="E185" i="1"/>
  <c r="G185" i="1" s="1"/>
  <c r="L185" i="1"/>
  <c r="N185" i="1" s="1"/>
  <c r="O185" i="1"/>
  <c r="H185" i="1"/>
  <c r="P185" i="1" l="1"/>
  <c r="R185" i="1"/>
  <c r="S185" i="1" s="1"/>
  <c r="J185" i="1"/>
  <c r="K185" i="1" s="1"/>
  <c r="D186" i="1"/>
  <c r="Q186" i="1" l="1"/>
  <c r="I186" i="1"/>
  <c r="O186" i="1"/>
  <c r="H186" i="1"/>
  <c r="E186" i="1"/>
  <c r="G186" i="1" s="1"/>
  <c r="L186" i="1"/>
  <c r="N186" i="1" s="1"/>
  <c r="R186" i="1" l="1"/>
  <c r="S186" i="1" s="1"/>
  <c r="D187" i="1"/>
  <c r="J186" i="1"/>
  <c r="K186" i="1" s="1"/>
  <c r="P186" i="1"/>
  <c r="Q187" i="1" l="1"/>
  <c r="I187" i="1"/>
  <c r="L187" i="1"/>
  <c r="N187" i="1" s="1"/>
  <c r="R187" i="1" s="1"/>
  <c r="Q188" i="1" s="1"/>
  <c r="O187" i="1"/>
  <c r="E187" i="1"/>
  <c r="G187" i="1" s="1"/>
  <c r="H187" i="1"/>
  <c r="S187" i="1" l="1"/>
  <c r="J187" i="1"/>
  <c r="K187" i="1" s="1"/>
  <c r="D188" i="1"/>
  <c r="P187" i="1"/>
  <c r="I188" i="1" l="1"/>
  <c r="O188" i="1"/>
  <c r="E188" i="1"/>
  <c r="G188" i="1" s="1"/>
  <c r="L188" i="1"/>
  <c r="N188" i="1" s="1"/>
  <c r="H188" i="1"/>
  <c r="R188" i="1" l="1"/>
  <c r="S188" i="1" s="1"/>
  <c r="J188" i="1"/>
  <c r="D189" i="1"/>
  <c r="P188" i="1"/>
  <c r="Q189" i="1" l="1"/>
  <c r="L189" i="1"/>
  <c r="N189" i="1" s="1"/>
  <c r="E189" i="1"/>
  <c r="G189" i="1" s="1"/>
  <c r="H189" i="1"/>
  <c r="O189" i="1"/>
  <c r="I189" i="1"/>
  <c r="K188" i="1"/>
  <c r="J189" i="1" l="1"/>
  <c r="K189" i="1" s="1"/>
  <c r="D190" i="1"/>
  <c r="P189" i="1"/>
  <c r="R189" i="1"/>
  <c r="S189" i="1" s="1"/>
  <c r="Q190" i="1" l="1"/>
  <c r="I190" i="1"/>
  <c r="L190" i="1"/>
  <c r="N190" i="1" s="1"/>
  <c r="H190" i="1"/>
  <c r="E190" i="1"/>
  <c r="G190" i="1" s="1"/>
  <c r="O190" i="1"/>
  <c r="D191" i="1" l="1"/>
  <c r="J190" i="1"/>
  <c r="K190" i="1" s="1"/>
  <c r="P190" i="1"/>
  <c r="R190" i="1"/>
  <c r="S190" i="1" s="1"/>
  <c r="Q191" i="1" l="1"/>
  <c r="I191" i="1"/>
  <c r="H191" i="1"/>
  <c r="O191" i="1"/>
  <c r="E191" i="1"/>
  <c r="G191" i="1" s="1"/>
  <c r="L191" i="1"/>
  <c r="N191" i="1" s="1"/>
  <c r="P191" i="1" l="1"/>
  <c r="J191" i="1"/>
  <c r="K191" i="1" s="1"/>
  <c r="D192" i="1"/>
  <c r="R191" i="1"/>
  <c r="S191" i="1" s="1"/>
  <c r="Q192" i="1" l="1"/>
  <c r="I192" i="1"/>
  <c r="O192" i="1"/>
  <c r="L192" i="1"/>
  <c r="N192" i="1" s="1"/>
  <c r="E192" i="1"/>
  <c r="G192" i="1" s="1"/>
  <c r="H192" i="1"/>
  <c r="J192" i="1" l="1"/>
  <c r="K192" i="1" s="1"/>
  <c r="D193" i="1"/>
  <c r="I193" i="1"/>
  <c r="Q193" i="1"/>
  <c r="R192" i="1"/>
  <c r="S192" i="1" s="1"/>
  <c r="P192" i="1"/>
  <c r="O193" i="1" l="1"/>
  <c r="H193" i="1"/>
  <c r="L193" i="1"/>
  <c r="N193" i="1" s="1"/>
  <c r="E193" i="1"/>
  <c r="G193" i="1" s="1"/>
  <c r="D194" i="1" l="1"/>
  <c r="J193" i="1"/>
  <c r="K193" i="1" s="1"/>
  <c r="R193" i="1"/>
  <c r="S193" i="1" s="1"/>
  <c r="P193" i="1"/>
  <c r="Q194" i="1" l="1"/>
  <c r="I194" i="1"/>
  <c r="O194" i="1"/>
  <c r="L194" i="1"/>
  <c r="N194" i="1" s="1"/>
  <c r="H194" i="1"/>
  <c r="E194" i="1"/>
  <c r="G194" i="1" s="1"/>
  <c r="D195" i="1" l="1"/>
  <c r="J194" i="1"/>
  <c r="K194" i="1" s="1"/>
  <c r="R194" i="1"/>
  <c r="S194" i="1" s="1"/>
  <c r="P194" i="1"/>
  <c r="I195" i="1" l="1"/>
  <c r="Q195" i="1"/>
  <c r="E195" i="1"/>
  <c r="G195" i="1" s="1"/>
  <c r="O195" i="1"/>
  <c r="H195" i="1"/>
  <c r="L195" i="1"/>
  <c r="N195" i="1" s="1"/>
  <c r="R195" i="1" s="1"/>
  <c r="Q196" i="1" s="1"/>
  <c r="P195" i="1" l="1"/>
  <c r="D196" i="1"/>
  <c r="J195" i="1"/>
  <c r="K195" i="1" s="1"/>
  <c r="S195" i="1"/>
  <c r="I196" i="1" l="1"/>
  <c r="H196" i="1"/>
  <c r="O196" i="1"/>
  <c r="L196" i="1"/>
  <c r="N196" i="1" s="1"/>
  <c r="E196" i="1"/>
  <c r="G196" i="1" s="1"/>
  <c r="P196" i="1" l="1"/>
  <c r="R196" i="1"/>
  <c r="S196" i="1" s="1"/>
  <c r="J196" i="1"/>
  <c r="K196" i="1" s="1"/>
  <c r="D197" i="1"/>
  <c r="Q197" i="1" l="1"/>
  <c r="O197" i="1"/>
  <c r="E197" i="1"/>
  <c r="G197" i="1" s="1"/>
  <c r="H197" i="1"/>
  <c r="L197" i="1"/>
  <c r="N197" i="1" s="1"/>
  <c r="I197" i="1"/>
  <c r="D198" i="1" l="1"/>
  <c r="J197" i="1"/>
  <c r="I198" i="1" s="1"/>
  <c r="R197" i="1"/>
  <c r="S197" i="1" s="1"/>
  <c r="P197" i="1"/>
  <c r="Q198" i="1" l="1"/>
  <c r="L198" i="1"/>
  <c r="N198" i="1" s="1"/>
  <c r="H198" i="1"/>
  <c r="E198" i="1"/>
  <c r="G198" i="1" s="1"/>
  <c r="O198" i="1"/>
  <c r="K197" i="1"/>
  <c r="D199" i="1" l="1"/>
  <c r="J198" i="1"/>
  <c r="K198" i="1" s="1"/>
  <c r="P198" i="1"/>
  <c r="R198" i="1"/>
  <c r="S198" i="1" s="1"/>
  <c r="Q199" i="1" l="1"/>
  <c r="I199" i="1"/>
  <c r="E199" i="1"/>
  <c r="G199" i="1" s="1"/>
  <c r="H199" i="1"/>
  <c r="L199" i="1"/>
  <c r="N199" i="1" s="1"/>
  <c r="R199" i="1" s="1"/>
  <c r="Q200" i="1" s="1"/>
  <c r="O199" i="1"/>
  <c r="S199" i="1" l="1"/>
  <c r="P199" i="1"/>
  <c r="J199" i="1"/>
  <c r="K199" i="1" s="1"/>
  <c r="D200" i="1"/>
  <c r="I200" i="1" l="1"/>
  <c r="E200" i="1"/>
  <c r="G200" i="1" s="1"/>
  <c r="L200" i="1"/>
  <c r="N200" i="1" s="1"/>
  <c r="O200" i="1"/>
  <c r="H200" i="1"/>
  <c r="P200" i="1" l="1"/>
  <c r="R200" i="1"/>
  <c r="S200" i="1" s="1"/>
  <c r="D201" i="1"/>
  <c r="J200" i="1"/>
  <c r="K200" i="1" s="1"/>
  <c r="Q201" i="1" l="1"/>
  <c r="I201" i="1"/>
  <c r="O201" i="1"/>
  <c r="L201" i="1"/>
  <c r="N201" i="1" s="1"/>
  <c r="E201" i="1"/>
  <c r="G201" i="1" s="1"/>
  <c r="H201" i="1"/>
  <c r="D202" i="1" l="1"/>
  <c r="J201" i="1"/>
  <c r="K201" i="1" s="1"/>
  <c r="R201" i="1"/>
  <c r="S201" i="1" s="1"/>
  <c r="P201" i="1"/>
  <c r="Q202" i="1" l="1"/>
  <c r="I202" i="1"/>
  <c r="O202" i="1"/>
  <c r="L202" i="1"/>
  <c r="N202" i="1" s="1"/>
  <c r="H202" i="1"/>
  <c r="E202" i="1"/>
  <c r="G202" i="1" s="1"/>
  <c r="R202" i="1" l="1"/>
  <c r="S202" i="1" s="1"/>
  <c r="D203" i="1"/>
  <c r="J202" i="1"/>
  <c r="K202" i="1" s="1"/>
  <c r="P202" i="1"/>
  <c r="Q203" i="1" l="1"/>
  <c r="I203" i="1"/>
  <c r="L203" i="1"/>
  <c r="N203" i="1" s="1"/>
  <c r="E203" i="1"/>
  <c r="G203" i="1" s="1"/>
  <c r="H203" i="1"/>
  <c r="O203" i="1"/>
  <c r="D204" i="1" l="1"/>
  <c r="J203" i="1"/>
  <c r="K203" i="1" s="1"/>
  <c r="P203" i="1"/>
  <c r="R203" i="1"/>
  <c r="S203" i="1" s="1"/>
  <c r="Q204" i="1" l="1"/>
  <c r="I204" i="1"/>
  <c r="H204" i="1"/>
  <c r="E204" i="1"/>
  <c r="G204" i="1" s="1"/>
  <c r="O204" i="1"/>
  <c r="L204" i="1"/>
  <c r="N204" i="1" s="1"/>
  <c r="P204" i="1" l="1"/>
  <c r="D205" i="1"/>
  <c r="J204" i="1"/>
  <c r="K204" i="1" s="1"/>
  <c r="R204" i="1"/>
  <c r="S204" i="1" s="1"/>
  <c r="I205" i="1" l="1"/>
  <c r="Q205" i="1"/>
  <c r="O205" i="1"/>
  <c r="H205" i="1"/>
  <c r="E205" i="1"/>
  <c r="G205" i="1" s="1"/>
  <c r="L205" i="1"/>
  <c r="N205" i="1" s="1"/>
  <c r="R205" i="1" l="1"/>
  <c r="S205" i="1" s="1"/>
  <c r="Q206" i="1"/>
  <c r="J205" i="1"/>
  <c r="K205" i="1" s="1"/>
  <c r="D206" i="1"/>
  <c r="P205" i="1"/>
  <c r="E206" i="1" l="1"/>
  <c r="G206" i="1" s="1"/>
  <c r="L206" i="1"/>
  <c r="N206" i="1" s="1"/>
  <c r="H206" i="1"/>
  <c r="O206" i="1"/>
  <c r="I206" i="1"/>
  <c r="R206" i="1" l="1"/>
  <c r="S206" i="1" s="1"/>
  <c r="P206" i="1"/>
  <c r="J206" i="1"/>
  <c r="K206" i="1" s="1"/>
  <c r="D207" i="1"/>
  <c r="Q207" i="1" l="1"/>
  <c r="I207" i="1"/>
  <c r="O207" i="1"/>
  <c r="L207" i="1"/>
  <c r="N207" i="1" s="1"/>
  <c r="E207" i="1"/>
  <c r="G207" i="1" s="1"/>
  <c r="H207" i="1"/>
  <c r="R207" i="1" l="1"/>
  <c r="S207" i="1" s="1"/>
  <c r="D208" i="1"/>
  <c r="J207" i="1"/>
  <c r="K207" i="1" s="1"/>
  <c r="P207" i="1"/>
  <c r="Q208" i="1" l="1"/>
  <c r="I208" i="1"/>
  <c r="E208" i="1"/>
  <c r="G208" i="1" s="1"/>
  <c r="H208" i="1"/>
  <c r="O208" i="1"/>
  <c r="L208" i="1"/>
  <c r="N208" i="1" s="1"/>
  <c r="R208" i="1" s="1"/>
  <c r="Q209" i="1" s="1"/>
  <c r="P208" i="1" l="1"/>
  <c r="S208" i="1"/>
  <c r="D209" i="1"/>
  <c r="J208" i="1"/>
  <c r="K208" i="1" s="1"/>
  <c r="I209" i="1" l="1"/>
  <c r="E209" i="1"/>
  <c r="G209" i="1" s="1"/>
  <c r="H209" i="1"/>
  <c r="O209" i="1"/>
  <c r="L209" i="1"/>
  <c r="N209" i="1" s="1"/>
  <c r="P209" i="1" l="1"/>
  <c r="R209" i="1"/>
  <c r="S209" i="1" s="1"/>
  <c r="D210" i="1"/>
  <c r="J209" i="1"/>
  <c r="K209" i="1" s="1"/>
  <c r="Q210" i="1" l="1"/>
  <c r="I210" i="1"/>
  <c r="E210" i="1"/>
  <c r="G210" i="1" s="1"/>
  <c r="L210" i="1"/>
  <c r="N210" i="1" s="1"/>
  <c r="O210" i="1"/>
  <c r="H210" i="1"/>
  <c r="P210" i="1" l="1"/>
  <c r="R210" i="1"/>
  <c r="S210" i="1" s="1"/>
  <c r="D211" i="1"/>
  <c r="J210" i="1"/>
  <c r="K210" i="1" s="1"/>
  <c r="Q211" i="1" l="1"/>
  <c r="L211" i="1"/>
  <c r="N211" i="1" s="1"/>
  <c r="E211" i="1"/>
  <c r="G211" i="1" s="1"/>
  <c r="O211" i="1"/>
  <c r="H211" i="1"/>
  <c r="I211" i="1"/>
  <c r="P211" i="1" l="1"/>
  <c r="J211" i="1"/>
  <c r="K211" i="1" s="1"/>
  <c r="D212" i="1"/>
  <c r="R211" i="1"/>
  <c r="S211" i="1" s="1"/>
  <c r="I212" i="1" l="1"/>
  <c r="Q212" i="1"/>
  <c r="O212" i="1"/>
  <c r="H212" i="1"/>
  <c r="L212" i="1"/>
  <c r="N212" i="1" s="1"/>
  <c r="E212" i="1"/>
  <c r="G212" i="1" s="1"/>
  <c r="D213" i="1" l="1"/>
  <c r="J212" i="1"/>
  <c r="K212" i="1" s="1"/>
  <c r="R212" i="1"/>
  <c r="S212" i="1" s="1"/>
  <c r="P212" i="1"/>
  <c r="Q213" i="1" l="1"/>
  <c r="I213" i="1"/>
  <c r="O213" i="1"/>
  <c r="L213" i="1"/>
  <c r="N213" i="1" s="1"/>
  <c r="H213" i="1"/>
  <c r="E213" i="1"/>
  <c r="G213" i="1" s="1"/>
  <c r="R213" i="1" l="1"/>
  <c r="S213" i="1" s="1"/>
  <c r="D214" i="1"/>
  <c r="J213" i="1"/>
  <c r="K213" i="1" s="1"/>
  <c r="P213" i="1"/>
  <c r="Q214" i="1" l="1"/>
  <c r="L214" i="1"/>
  <c r="N214" i="1" s="1"/>
  <c r="R214" i="1" s="1"/>
  <c r="Q215" i="1" s="1"/>
  <c r="E214" i="1"/>
  <c r="G214" i="1" s="1"/>
  <c r="H214" i="1"/>
  <c r="O214" i="1"/>
  <c r="I214" i="1"/>
  <c r="S214" i="1" l="1"/>
  <c r="P214" i="1"/>
  <c r="D215" i="1"/>
  <c r="J214" i="1"/>
  <c r="K214" i="1" s="1"/>
  <c r="I215" i="1" l="1"/>
  <c r="H215" i="1"/>
  <c r="E215" i="1"/>
  <c r="G215" i="1" s="1"/>
  <c r="O215" i="1"/>
  <c r="L215" i="1"/>
  <c r="N215" i="1" s="1"/>
  <c r="J215" i="1" l="1"/>
  <c r="K215" i="1" s="1"/>
  <c r="D216" i="1"/>
  <c r="P215" i="1"/>
  <c r="R215" i="1"/>
  <c r="S215" i="1" s="1"/>
  <c r="Q216" i="1" l="1"/>
  <c r="I216" i="1"/>
  <c r="E216" i="1"/>
  <c r="G216" i="1" s="1"/>
  <c r="O216" i="1"/>
  <c r="L216" i="1"/>
  <c r="N216" i="1" s="1"/>
  <c r="R216" i="1" s="1"/>
  <c r="Q217" i="1" s="1"/>
  <c r="H216" i="1"/>
  <c r="S216" i="1" l="1"/>
  <c r="P216" i="1"/>
  <c r="D217" i="1"/>
  <c r="J216" i="1"/>
  <c r="K216" i="1" s="1"/>
  <c r="I217" i="1" l="1"/>
  <c r="E217" i="1"/>
  <c r="G217" i="1" s="1"/>
  <c r="O217" i="1"/>
  <c r="H217" i="1"/>
  <c r="L217" i="1"/>
  <c r="N217" i="1" s="1"/>
  <c r="P217" i="1" l="1"/>
  <c r="R217" i="1"/>
  <c r="S217" i="1" s="1"/>
  <c r="J217" i="1"/>
  <c r="K217" i="1" s="1"/>
  <c r="D218" i="1"/>
  <c r="Q218" i="1" l="1"/>
  <c r="L218" i="1"/>
  <c r="N218" i="1" s="1"/>
  <c r="R218" i="1" s="1"/>
  <c r="Q219" i="1" s="1"/>
  <c r="H218" i="1"/>
  <c r="E218" i="1"/>
  <c r="G218" i="1" s="1"/>
  <c r="P218" i="1" s="1"/>
  <c r="O218" i="1"/>
  <c r="I218" i="1"/>
  <c r="S218" i="1" l="1"/>
  <c r="J218" i="1"/>
  <c r="K218" i="1" s="1"/>
  <c r="D219" i="1"/>
  <c r="I219" i="1" l="1"/>
  <c r="L219" i="1"/>
  <c r="N219" i="1" s="1"/>
  <c r="E219" i="1"/>
  <c r="G219" i="1" s="1"/>
  <c r="O219" i="1"/>
  <c r="H219" i="1"/>
  <c r="J219" i="1" l="1"/>
  <c r="K219" i="1" s="1"/>
  <c r="D220" i="1"/>
  <c r="P219" i="1"/>
  <c r="R219" i="1"/>
  <c r="S219" i="1" s="1"/>
  <c r="I220" i="1" l="1"/>
  <c r="Q220" i="1"/>
  <c r="H220" i="1"/>
  <c r="E220" i="1"/>
  <c r="G220" i="1" s="1"/>
  <c r="O220" i="1"/>
  <c r="L220" i="1"/>
  <c r="N220" i="1" s="1"/>
  <c r="D221" i="1" l="1"/>
  <c r="J220" i="1"/>
  <c r="K220" i="1" s="1"/>
  <c r="R220" i="1"/>
  <c r="S220" i="1" s="1"/>
  <c r="P220" i="1"/>
  <c r="Q221" i="1" l="1"/>
  <c r="I221" i="1"/>
  <c r="E221" i="1"/>
  <c r="G221" i="1" s="1"/>
  <c r="H221" i="1"/>
  <c r="O221" i="1"/>
  <c r="L221" i="1"/>
  <c r="N221" i="1" s="1"/>
  <c r="P221" i="1" l="1"/>
  <c r="R221" i="1"/>
  <c r="S221" i="1" s="1"/>
  <c r="J221" i="1"/>
  <c r="K221" i="1" s="1"/>
  <c r="D222" i="1"/>
  <c r="Q222" i="1" l="1"/>
  <c r="O222" i="1"/>
  <c r="L222" i="1"/>
  <c r="N222" i="1" s="1"/>
  <c r="H222" i="1"/>
  <c r="E222" i="1"/>
  <c r="G222" i="1" s="1"/>
  <c r="I222" i="1"/>
  <c r="P222" i="1" l="1"/>
  <c r="D223" i="1"/>
  <c r="J222" i="1"/>
  <c r="K222" i="1" s="1"/>
  <c r="R222" i="1"/>
  <c r="S222" i="1" s="1"/>
  <c r="Q223" i="1" l="1"/>
  <c r="I223" i="1"/>
  <c r="L223" i="1"/>
  <c r="N223" i="1" s="1"/>
  <c r="E223" i="1"/>
  <c r="G223" i="1" s="1"/>
  <c r="H223" i="1"/>
  <c r="O223" i="1"/>
  <c r="J223" i="1" l="1"/>
  <c r="K223" i="1" s="1"/>
  <c r="D224" i="1"/>
  <c r="I224" i="1"/>
  <c r="P223" i="1"/>
  <c r="R223" i="1"/>
  <c r="S223" i="1" s="1"/>
  <c r="Q224" i="1" l="1"/>
  <c r="E224" i="1"/>
  <c r="G224" i="1" s="1"/>
  <c r="O224" i="1"/>
  <c r="H224" i="1"/>
  <c r="L224" i="1"/>
  <c r="N224" i="1" s="1"/>
  <c r="R224" i="1" s="1"/>
  <c r="Q225" i="1" s="1"/>
  <c r="P224" i="1" l="1"/>
  <c r="S224" i="1"/>
  <c r="D225" i="1"/>
  <c r="J224" i="1"/>
  <c r="K224" i="1" s="1"/>
  <c r="I225" i="1" l="1"/>
  <c r="H225" i="1"/>
  <c r="E225" i="1"/>
  <c r="G225" i="1" s="1"/>
  <c r="O225" i="1"/>
  <c r="L225" i="1"/>
  <c r="N225" i="1" s="1"/>
  <c r="R225" i="1" l="1"/>
  <c r="S225" i="1" s="1"/>
  <c r="J225" i="1"/>
  <c r="K225" i="1" s="1"/>
  <c r="D226" i="1"/>
  <c r="P225" i="1"/>
  <c r="Q226" i="1" l="1"/>
  <c r="I226" i="1"/>
  <c r="O226" i="1"/>
  <c r="L226" i="1"/>
  <c r="N226" i="1" s="1"/>
  <c r="R226" i="1" s="1"/>
  <c r="Q227" i="1" s="1"/>
  <c r="H226" i="1"/>
  <c r="E226" i="1"/>
  <c r="G226" i="1" s="1"/>
  <c r="P226" i="1" l="1"/>
  <c r="J226" i="1"/>
  <c r="K226" i="1" s="1"/>
  <c r="D227" i="1"/>
  <c r="S226" i="1"/>
  <c r="I227" i="1" l="1"/>
  <c r="O227" i="1"/>
  <c r="H227" i="1"/>
  <c r="E227" i="1"/>
  <c r="G227" i="1" s="1"/>
  <c r="L227" i="1"/>
  <c r="N227" i="1" s="1"/>
  <c r="D228" i="1" l="1"/>
  <c r="J227" i="1"/>
  <c r="K227" i="1" s="1"/>
  <c r="R227" i="1"/>
  <c r="S227" i="1" s="1"/>
  <c r="P227" i="1"/>
  <c r="I228" i="1" l="1"/>
  <c r="Q228" i="1"/>
  <c r="O228" i="1"/>
  <c r="E228" i="1"/>
  <c r="G228" i="1" s="1"/>
  <c r="H228" i="1"/>
  <c r="L228" i="1"/>
  <c r="N228" i="1" s="1"/>
  <c r="J228" i="1" l="1"/>
  <c r="K228" i="1" s="1"/>
  <c r="D229" i="1"/>
  <c r="P228" i="1"/>
  <c r="R228" i="1"/>
  <c r="S228" i="1" s="1"/>
  <c r="Q229" i="1"/>
  <c r="I229" i="1" l="1"/>
  <c r="O229" i="1"/>
  <c r="H229" i="1"/>
  <c r="E229" i="1"/>
  <c r="G229" i="1" s="1"/>
  <c r="L229" i="1"/>
  <c r="N229" i="1" s="1"/>
  <c r="D230" i="1" l="1"/>
  <c r="J229" i="1"/>
  <c r="K229" i="1" s="1"/>
  <c r="P229" i="1"/>
  <c r="R229" i="1"/>
  <c r="S229" i="1" s="1"/>
  <c r="Q230" i="1" l="1"/>
  <c r="I230" i="1"/>
  <c r="O230" i="1"/>
  <c r="E230" i="1"/>
  <c r="G230" i="1" s="1"/>
  <c r="H230" i="1"/>
  <c r="L230" i="1"/>
  <c r="N230" i="1" s="1"/>
  <c r="D231" i="1" l="1"/>
  <c r="J230" i="1"/>
  <c r="K230" i="1" s="1"/>
  <c r="P230" i="1"/>
  <c r="R230" i="1"/>
  <c r="S230" i="1" s="1"/>
  <c r="Q231" i="1" l="1"/>
  <c r="I231" i="1"/>
  <c r="O231" i="1"/>
  <c r="L231" i="1"/>
  <c r="N231" i="1" s="1"/>
  <c r="E231" i="1"/>
  <c r="G231" i="1" s="1"/>
  <c r="H231" i="1"/>
  <c r="D232" i="1" l="1"/>
  <c r="J231" i="1"/>
  <c r="K231" i="1" s="1"/>
  <c r="P231" i="1"/>
  <c r="R231" i="1"/>
  <c r="S231" i="1" s="1"/>
  <c r="I232" i="1" l="1"/>
  <c r="Q232" i="1"/>
  <c r="E232" i="1"/>
  <c r="G232" i="1" s="1"/>
  <c r="H232" i="1"/>
  <c r="L232" i="1"/>
  <c r="N232" i="1" s="1"/>
  <c r="O232" i="1"/>
  <c r="R232" i="1" l="1"/>
  <c r="S232" i="1" s="1"/>
  <c r="P232" i="1"/>
  <c r="D233" i="1"/>
  <c r="J232" i="1"/>
  <c r="K232" i="1" s="1"/>
  <c r="Q233" i="1" l="1"/>
  <c r="I233" i="1"/>
  <c r="E233" i="1"/>
  <c r="G233" i="1" s="1"/>
  <c r="O233" i="1"/>
  <c r="L233" i="1"/>
  <c r="N233" i="1" s="1"/>
  <c r="H233" i="1"/>
  <c r="R233" i="1" l="1"/>
  <c r="S233" i="1" s="1"/>
  <c r="P233" i="1"/>
  <c r="J233" i="1"/>
  <c r="K233" i="1" s="1"/>
  <c r="D234" i="1"/>
  <c r="Q234" i="1" l="1"/>
  <c r="I234" i="1"/>
  <c r="O234" i="1"/>
  <c r="E234" i="1"/>
  <c r="G234" i="1" s="1"/>
  <c r="H234" i="1"/>
  <c r="L234" i="1"/>
  <c r="N234" i="1" s="1"/>
  <c r="D235" i="1" l="1"/>
  <c r="J234" i="1"/>
  <c r="K234" i="1" s="1"/>
  <c r="P234" i="1"/>
  <c r="R234" i="1"/>
  <c r="S234" i="1" s="1"/>
  <c r="Q235" i="1" l="1"/>
  <c r="I235" i="1"/>
  <c r="H235" i="1"/>
  <c r="O235" i="1"/>
  <c r="L235" i="1"/>
  <c r="N235" i="1" s="1"/>
  <c r="R235" i="1" s="1"/>
  <c r="Q236" i="1" s="1"/>
  <c r="E235" i="1"/>
  <c r="G235" i="1" s="1"/>
  <c r="P235" i="1" l="1"/>
  <c r="D236" i="1"/>
  <c r="J235" i="1"/>
  <c r="K235" i="1" s="1"/>
  <c r="S235" i="1"/>
  <c r="I236" i="1" l="1"/>
  <c r="O236" i="1"/>
  <c r="L236" i="1"/>
  <c r="N236" i="1" s="1"/>
  <c r="E236" i="1"/>
  <c r="G236" i="1" s="1"/>
  <c r="H236" i="1"/>
  <c r="J236" i="1" l="1"/>
  <c r="K236" i="1" s="1"/>
  <c r="D237" i="1"/>
  <c r="R236" i="1"/>
  <c r="S236" i="1" s="1"/>
  <c r="P236" i="1"/>
  <c r="I237" i="1" l="1"/>
  <c r="E237" i="1"/>
  <c r="G237" i="1" s="1"/>
  <c r="H237" i="1"/>
  <c r="O237" i="1"/>
  <c r="L237" i="1"/>
  <c r="N237" i="1" s="1"/>
  <c r="Q237" i="1"/>
  <c r="P237" i="1" l="1"/>
  <c r="R237" i="1"/>
  <c r="S237" i="1" s="1"/>
  <c r="D238" i="1"/>
  <c r="J237" i="1"/>
  <c r="K237" i="1" s="1"/>
  <c r="Q238" i="1" l="1"/>
  <c r="I238" i="1"/>
  <c r="L238" i="1"/>
  <c r="N238" i="1" s="1"/>
  <c r="E238" i="1"/>
  <c r="G238" i="1" s="1"/>
  <c r="O238" i="1"/>
  <c r="H238" i="1"/>
  <c r="P238" i="1" l="1"/>
  <c r="D239" i="1"/>
  <c r="J238" i="1"/>
  <c r="K238" i="1" s="1"/>
  <c r="R238" i="1"/>
  <c r="S238" i="1" s="1"/>
  <c r="Q239" i="1" l="1"/>
  <c r="I239" i="1"/>
  <c r="O239" i="1"/>
  <c r="L239" i="1"/>
  <c r="N239" i="1" s="1"/>
  <c r="E239" i="1"/>
  <c r="G239" i="1" s="1"/>
  <c r="H239" i="1"/>
  <c r="J239" i="1" l="1"/>
  <c r="K239" i="1" s="1"/>
  <c r="D240" i="1"/>
  <c r="I240" i="1"/>
  <c r="R239" i="1"/>
  <c r="S239" i="1" s="1"/>
  <c r="P239" i="1"/>
  <c r="Q240" i="1" l="1"/>
  <c r="E240" i="1"/>
  <c r="G240" i="1" s="1"/>
  <c r="H240" i="1"/>
  <c r="L240" i="1"/>
  <c r="N240" i="1" s="1"/>
  <c r="O240" i="1"/>
  <c r="P240" i="1" l="1"/>
  <c r="R240" i="1"/>
  <c r="S240" i="1" s="1"/>
  <c r="J240" i="1"/>
  <c r="K240" i="1" s="1"/>
  <c r="D241" i="1"/>
  <c r="Q241" i="1" l="1"/>
  <c r="E241" i="1"/>
  <c r="G241" i="1" s="1"/>
  <c r="H241" i="1"/>
  <c r="L241" i="1"/>
  <c r="N241" i="1" s="1"/>
  <c r="O241" i="1"/>
  <c r="I241" i="1"/>
  <c r="R241" i="1" l="1"/>
  <c r="S241" i="1" s="1"/>
  <c r="P241" i="1"/>
  <c r="J241" i="1"/>
  <c r="I242" i="1" s="1"/>
  <c r="D242" i="1"/>
  <c r="Q242" i="1" l="1"/>
  <c r="K241" i="1"/>
  <c r="O242" i="1"/>
  <c r="L242" i="1"/>
  <c r="N242" i="1" s="1"/>
  <c r="E242" i="1"/>
  <c r="G242" i="1" s="1"/>
  <c r="H242" i="1"/>
  <c r="D243" i="1" l="1"/>
  <c r="J242" i="1"/>
  <c r="K242" i="1" s="1"/>
  <c r="R242" i="1"/>
  <c r="S242" i="1" s="1"/>
  <c r="P242" i="1"/>
  <c r="Q243" i="1" l="1"/>
  <c r="I243" i="1"/>
  <c r="L243" i="1"/>
  <c r="N243" i="1" s="1"/>
  <c r="O243" i="1"/>
  <c r="H243" i="1"/>
  <c r="E243" i="1"/>
  <c r="G243" i="1" s="1"/>
  <c r="P243" i="1" l="1"/>
  <c r="R243" i="1"/>
  <c r="S243" i="1" s="1"/>
  <c r="D244" i="1"/>
  <c r="J243" i="1"/>
  <c r="K243" i="1" s="1"/>
  <c r="Q244" i="1" l="1"/>
  <c r="I244" i="1"/>
  <c r="H244" i="1"/>
  <c r="L244" i="1"/>
  <c r="N244" i="1" s="1"/>
  <c r="E244" i="1"/>
  <c r="G244" i="1" s="1"/>
  <c r="O244" i="1"/>
  <c r="J244" i="1" l="1"/>
  <c r="K244" i="1" s="1"/>
  <c r="D245" i="1"/>
  <c r="R244" i="1"/>
  <c r="S244" i="1" s="1"/>
  <c r="P244" i="1"/>
  <c r="I245" i="1" l="1"/>
  <c r="Q245" i="1"/>
  <c r="L245" i="1"/>
  <c r="N245" i="1" s="1"/>
  <c r="H245" i="1"/>
  <c r="O245" i="1"/>
  <c r="E245" i="1"/>
  <c r="G245" i="1" s="1"/>
  <c r="J245" i="1" l="1"/>
  <c r="K245" i="1" s="1"/>
  <c r="D246" i="1"/>
  <c r="P245" i="1"/>
  <c r="R245" i="1"/>
  <c r="S245" i="1" s="1"/>
  <c r="Q246" i="1" l="1"/>
  <c r="H246" i="1"/>
  <c r="E246" i="1"/>
  <c r="G246" i="1" s="1"/>
  <c r="L246" i="1"/>
  <c r="N246" i="1" s="1"/>
  <c r="O246" i="1"/>
  <c r="I246" i="1"/>
  <c r="R246" i="1" l="1"/>
  <c r="S246" i="1" s="1"/>
  <c r="J246" i="1"/>
  <c r="K246" i="1" s="1"/>
  <c r="D247" i="1"/>
  <c r="P246" i="1"/>
  <c r="Q247" i="1" l="1"/>
  <c r="I247" i="1"/>
  <c r="L247" i="1"/>
  <c r="N247" i="1" s="1"/>
  <c r="R247" i="1" s="1"/>
  <c r="Q248" i="1" s="1"/>
  <c r="O247" i="1"/>
  <c r="E247" i="1"/>
  <c r="G247" i="1" s="1"/>
  <c r="H247" i="1"/>
  <c r="S247" i="1" l="1"/>
  <c r="D248" i="1"/>
  <c r="J247" i="1"/>
  <c r="P247" i="1"/>
  <c r="I248" i="1" l="1"/>
  <c r="K247" i="1"/>
  <c r="O248" i="1"/>
  <c r="L248" i="1"/>
  <c r="N248" i="1" s="1"/>
  <c r="H248" i="1"/>
  <c r="E248" i="1"/>
  <c r="G248" i="1" s="1"/>
  <c r="R248" i="1" l="1"/>
  <c r="S248" i="1" s="1"/>
  <c r="Q249" i="1"/>
  <c r="J248" i="1"/>
  <c r="K248" i="1" s="1"/>
  <c r="D249" i="1"/>
  <c r="P248" i="1"/>
  <c r="I249" i="1" l="1"/>
  <c r="E249" i="1"/>
  <c r="G249" i="1" s="1"/>
  <c r="H249" i="1"/>
  <c r="L249" i="1"/>
  <c r="N249" i="1" s="1"/>
  <c r="O249" i="1"/>
  <c r="R249" i="1" l="1"/>
  <c r="S249" i="1" s="1"/>
  <c r="P249" i="1"/>
  <c r="D250" i="1"/>
  <c r="J249" i="1"/>
  <c r="K249" i="1" s="1"/>
  <c r="Q250" i="1" l="1"/>
  <c r="I250" i="1"/>
  <c r="E250" i="1"/>
  <c r="G250" i="1" s="1"/>
  <c r="O250" i="1"/>
  <c r="L250" i="1"/>
  <c r="N250" i="1" s="1"/>
  <c r="H250" i="1"/>
  <c r="R250" i="1" l="1"/>
  <c r="S250" i="1" s="1"/>
  <c r="P250" i="1"/>
  <c r="J250" i="1"/>
  <c r="K250" i="1" s="1"/>
  <c r="D251" i="1"/>
  <c r="Q251" i="1" l="1"/>
  <c r="I251" i="1"/>
  <c r="O251" i="1"/>
  <c r="H251" i="1"/>
  <c r="E251" i="1"/>
  <c r="G251" i="1" s="1"/>
  <c r="L251" i="1"/>
  <c r="N251" i="1" s="1"/>
  <c r="R251" i="1" l="1"/>
  <c r="S251" i="1" s="1"/>
  <c r="J251" i="1"/>
  <c r="K251" i="1" s="1"/>
  <c r="D252" i="1"/>
  <c r="P251" i="1"/>
  <c r="Q252" i="1" l="1"/>
  <c r="O252" i="1"/>
  <c r="L252" i="1"/>
  <c r="N252" i="1" s="1"/>
  <c r="R252" i="1" s="1"/>
  <c r="Q253" i="1" s="1"/>
  <c r="H252" i="1"/>
  <c r="E252" i="1"/>
  <c r="G252" i="1" s="1"/>
  <c r="I252" i="1"/>
  <c r="D253" i="1" l="1"/>
  <c r="J252" i="1"/>
  <c r="K252" i="1" s="1"/>
  <c r="S252" i="1"/>
  <c r="P252" i="1"/>
  <c r="I253" i="1" l="1"/>
  <c r="L253" i="1"/>
  <c r="N253" i="1" s="1"/>
  <c r="O253" i="1"/>
  <c r="H253" i="1"/>
  <c r="E253" i="1"/>
  <c r="G253" i="1" s="1"/>
  <c r="J253" i="1" l="1"/>
  <c r="K253" i="1" s="1"/>
  <c r="D254" i="1"/>
  <c r="P253" i="1"/>
  <c r="R253" i="1"/>
  <c r="S253" i="1" s="1"/>
  <c r="I254" i="1" l="1"/>
  <c r="Q254" i="1"/>
  <c r="L254" i="1"/>
  <c r="N254" i="1" s="1"/>
  <c r="R254" i="1" s="1"/>
  <c r="Q255" i="1" s="1"/>
  <c r="O254" i="1"/>
  <c r="E254" i="1"/>
  <c r="G254" i="1" s="1"/>
  <c r="H254" i="1"/>
  <c r="S254" i="1" l="1"/>
  <c r="J254" i="1"/>
  <c r="K254" i="1" s="1"/>
  <c r="D255" i="1"/>
  <c r="P254" i="1"/>
  <c r="I255" i="1" l="1"/>
  <c r="O255" i="1"/>
  <c r="E255" i="1"/>
  <c r="G255" i="1" s="1"/>
  <c r="L255" i="1"/>
  <c r="N255" i="1" s="1"/>
  <c r="H255" i="1"/>
  <c r="R255" i="1" l="1"/>
  <c r="S255" i="1" s="1"/>
  <c r="D256" i="1"/>
  <c r="J255" i="1"/>
  <c r="K255" i="1" s="1"/>
  <c r="P255" i="1"/>
  <c r="Q256" i="1" l="1"/>
  <c r="I256" i="1"/>
  <c r="L256" i="1"/>
  <c r="N256" i="1" s="1"/>
  <c r="E256" i="1"/>
  <c r="G256" i="1" s="1"/>
  <c r="H256" i="1"/>
  <c r="O256" i="1"/>
  <c r="J256" i="1" l="1"/>
  <c r="K256" i="1" s="1"/>
  <c r="D257" i="1"/>
  <c r="P256" i="1"/>
  <c r="R256" i="1"/>
  <c r="S256" i="1" s="1"/>
  <c r="Q257" i="1" l="1"/>
  <c r="I257" i="1"/>
  <c r="H257" i="1"/>
  <c r="L257" i="1"/>
  <c r="N257" i="1" s="1"/>
  <c r="O257" i="1"/>
  <c r="E257" i="1"/>
  <c r="G257" i="1" s="1"/>
  <c r="D258" i="1" l="1"/>
  <c r="J257" i="1"/>
  <c r="K257" i="1" s="1"/>
  <c r="R257" i="1"/>
  <c r="S257" i="1" s="1"/>
  <c r="P257" i="1"/>
  <c r="Q258" i="1" l="1"/>
  <c r="I258" i="1"/>
  <c r="L258" i="1"/>
  <c r="N258" i="1" s="1"/>
  <c r="R258" i="1" s="1"/>
  <c r="Q259" i="1" s="1"/>
  <c r="H258" i="1"/>
  <c r="O258" i="1"/>
  <c r="E258" i="1"/>
  <c r="G258" i="1" s="1"/>
  <c r="P258" i="1" l="1"/>
  <c r="D259" i="1"/>
  <c r="J258" i="1"/>
  <c r="K258" i="1" s="1"/>
  <c r="S258" i="1"/>
  <c r="I259" i="1" l="1"/>
  <c r="O259" i="1"/>
  <c r="H259" i="1"/>
  <c r="E259" i="1"/>
  <c r="G259" i="1" s="1"/>
  <c r="L259" i="1"/>
  <c r="N259" i="1" s="1"/>
  <c r="P259" i="1" l="1"/>
  <c r="D260" i="1"/>
  <c r="J259" i="1"/>
  <c r="K259" i="1" s="1"/>
  <c r="R259" i="1"/>
  <c r="S259" i="1" s="1"/>
  <c r="Q260" i="1" l="1"/>
  <c r="I260" i="1"/>
  <c r="L260" i="1"/>
  <c r="N260" i="1" s="1"/>
  <c r="H260" i="1"/>
  <c r="E260" i="1"/>
  <c r="G260" i="1" s="1"/>
  <c r="O260" i="1"/>
  <c r="P260" i="1" l="1"/>
  <c r="J260" i="1"/>
  <c r="K260" i="1" s="1"/>
  <c r="D261" i="1"/>
  <c r="R260" i="1"/>
  <c r="S260" i="1" s="1"/>
  <c r="Q261" i="1" l="1"/>
  <c r="H261" i="1"/>
  <c r="L261" i="1"/>
  <c r="N261" i="1" s="1"/>
  <c r="O261" i="1"/>
  <c r="E261" i="1"/>
  <c r="G261" i="1" s="1"/>
  <c r="I261" i="1"/>
  <c r="J261" i="1" l="1"/>
  <c r="I262" i="1" s="1"/>
  <c r="D262" i="1"/>
  <c r="R261" i="1"/>
  <c r="S261" i="1" s="1"/>
  <c r="P261" i="1"/>
  <c r="K261" i="1" l="1"/>
  <c r="L262" i="1"/>
  <c r="N262" i="1" s="1"/>
  <c r="R262" i="1" s="1"/>
  <c r="Q263" i="1" s="1"/>
  <c r="O262" i="1"/>
  <c r="H262" i="1"/>
  <c r="E262" i="1"/>
  <c r="G262" i="1" s="1"/>
  <c r="Q262" i="1"/>
  <c r="S262" i="1" l="1"/>
  <c r="J262" i="1"/>
  <c r="K262" i="1" s="1"/>
  <c r="D263" i="1"/>
  <c r="I263" i="1"/>
  <c r="P262" i="1"/>
  <c r="L263" i="1" l="1"/>
  <c r="N263" i="1" s="1"/>
  <c r="E263" i="1"/>
  <c r="G263" i="1" s="1"/>
  <c r="H263" i="1"/>
  <c r="O263" i="1"/>
  <c r="D264" i="1" l="1"/>
  <c r="J263" i="1"/>
  <c r="K263" i="1" s="1"/>
  <c r="P263" i="1"/>
  <c r="R263" i="1"/>
  <c r="S263" i="1" s="1"/>
  <c r="Q264" i="1" l="1"/>
  <c r="I264" i="1"/>
  <c r="O264" i="1"/>
  <c r="H264" i="1"/>
  <c r="L264" i="1"/>
  <c r="N264" i="1" s="1"/>
  <c r="E264" i="1"/>
  <c r="G264" i="1" s="1"/>
  <c r="R264" i="1" l="1"/>
  <c r="S264" i="1" s="1"/>
  <c r="Q265" i="1"/>
  <c r="P264" i="1"/>
  <c r="J264" i="1"/>
  <c r="K264" i="1" s="1"/>
  <c r="D265" i="1"/>
  <c r="I265" i="1" l="1"/>
  <c r="L265" i="1"/>
  <c r="N265" i="1" s="1"/>
  <c r="E265" i="1"/>
  <c r="G265" i="1" s="1"/>
  <c r="H265" i="1"/>
  <c r="O265" i="1"/>
  <c r="P265" i="1" l="1"/>
  <c r="J265" i="1"/>
  <c r="K265" i="1" s="1"/>
  <c r="D266" i="1"/>
  <c r="R265" i="1"/>
  <c r="S265" i="1" s="1"/>
  <c r="Q266" i="1" l="1"/>
  <c r="I266" i="1"/>
  <c r="L266" i="1"/>
  <c r="N266" i="1" s="1"/>
  <c r="H266" i="1"/>
  <c r="O266" i="1"/>
  <c r="E266" i="1"/>
  <c r="G266" i="1" s="1"/>
  <c r="R266" i="1" l="1"/>
  <c r="S266" i="1" s="1"/>
  <c r="P266" i="1"/>
  <c r="D267" i="1"/>
  <c r="J266" i="1"/>
  <c r="Q267" i="1" l="1"/>
  <c r="E267" i="1"/>
  <c r="G267" i="1" s="1"/>
  <c r="L267" i="1"/>
  <c r="N267" i="1" s="1"/>
  <c r="H267" i="1"/>
  <c r="O267" i="1"/>
  <c r="I267" i="1"/>
  <c r="K266" i="1"/>
  <c r="P267" i="1" l="1"/>
  <c r="R267" i="1"/>
  <c r="S267" i="1" s="1"/>
  <c r="Q268" i="1"/>
  <c r="J267" i="1"/>
  <c r="K267" i="1" s="1"/>
  <c r="D268" i="1"/>
  <c r="I268" i="1" l="1"/>
  <c r="O268" i="1"/>
  <c r="L268" i="1"/>
  <c r="N268" i="1" s="1"/>
  <c r="E268" i="1"/>
  <c r="G268" i="1" s="1"/>
  <c r="H268" i="1"/>
  <c r="J268" i="1" l="1"/>
  <c r="K268" i="1" s="1"/>
  <c r="D269" i="1"/>
  <c r="R268" i="1"/>
  <c r="S268" i="1" s="1"/>
  <c r="P268" i="1"/>
  <c r="I269" i="1" l="1"/>
  <c r="Q269" i="1"/>
  <c r="E269" i="1"/>
  <c r="G269" i="1" s="1"/>
  <c r="L269" i="1"/>
  <c r="N269" i="1" s="1"/>
  <c r="O269" i="1"/>
  <c r="H269" i="1"/>
  <c r="P269" i="1" l="1"/>
  <c r="R269" i="1"/>
  <c r="S269" i="1" s="1"/>
  <c r="D270" i="1"/>
  <c r="J269" i="1"/>
  <c r="K269" i="1" s="1"/>
  <c r="Q270" i="1" l="1"/>
  <c r="I270" i="1"/>
  <c r="O270" i="1"/>
  <c r="L270" i="1"/>
  <c r="N270" i="1" s="1"/>
  <c r="R270" i="1" s="1"/>
  <c r="Q271" i="1" s="1"/>
  <c r="H270" i="1"/>
  <c r="E270" i="1"/>
  <c r="G270" i="1" s="1"/>
  <c r="S270" i="1" l="1"/>
  <c r="D271" i="1"/>
  <c r="J270" i="1"/>
  <c r="K270" i="1" s="1"/>
  <c r="P270" i="1"/>
  <c r="I271" i="1" l="1"/>
  <c r="O271" i="1"/>
  <c r="L271" i="1"/>
  <c r="N271" i="1" s="1"/>
  <c r="H271" i="1"/>
  <c r="E271" i="1"/>
  <c r="G271" i="1" s="1"/>
  <c r="J271" i="1" l="1"/>
  <c r="K271" i="1" s="1"/>
  <c r="D272" i="1"/>
  <c r="R271" i="1"/>
  <c r="S271" i="1" s="1"/>
  <c r="P271" i="1"/>
  <c r="Q272" i="1" l="1"/>
  <c r="E272" i="1"/>
  <c r="G272" i="1" s="1"/>
  <c r="O272" i="1"/>
  <c r="H272" i="1"/>
  <c r="L272" i="1"/>
  <c r="N272" i="1" s="1"/>
  <c r="R272" i="1" s="1"/>
  <c r="Q273" i="1" s="1"/>
  <c r="I272" i="1"/>
  <c r="S272" i="1" l="1"/>
  <c r="P272" i="1"/>
  <c r="J272" i="1"/>
  <c r="K272" i="1" s="1"/>
  <c r="D273" i="1"/>
  <c r="I273" i="1" l="1"/>
  <c r="O273" i="1"/>
  <c r="H273" i="1"/>
  <c r="E273" i="1"/>
  <c r="G273" i="1" s="1"/>
  <c r="L273" i="1"/>
  <c r="N273" i="1" s="1"/>
  <c r="R273" i="1" l="1"/>
  <c r="S273" i="1" s="1"/>
  <c r="Q274" i="1"/>
  <c r="D274" i="1"/>
  <c r="J273" i="1"/>
  <c r="K273" i="1" s="1"/>
  <c r="P273" i="1"/>
  <c r="I274" i="1" l="1"/>
  <c r="E274" i="1"/>
  <c r="G274" i="1" s="1"/>
  <c r="O274" i="1"/>
  <c r="L274" i="1"/>
  <c r="N274" i="1" s="1"/>
  <c r="P274" i="1" s="1"/>
  <c r="H274" i="1"/>
  <c r="R274" i="1" l="1"/>
  <c r="S274" i="1" s="1"/>
  <c r="J274" i="1"/>
  <c r="K274" i="1" s="1"/>
  <c r="D275" i="1"/>
  <c r="Q275" i="1" l="1"/>
  <c r="I275" i="1"/>
  <c r="E275" i="1"/>
  <c r="G275" i="1" s="1"/>
  <c r="L275" i="1"/>
  <c r="N275" i="1" s="1"/>
  <c r="R275" i="1" s="1"/>
  <c r="Q276" i="1" s="1"/>
  <c r="O275" i="1"/>
  <c r="H275" i="1"/>
  <c r="P275" i="1" l="1"/>
  <c r="S275" i="1"/>
  <c r="J275" i="1"/>
  <c r="K275" i="1" s="1"/>
  <c r="D276" i="1"/>
  <c r="I276" i="1" l="1"/>
  <c r="H276" i="1"/>
  <c r="E276" i="1"/>
  <c r="G276" i="1" s="1"/>
  <c r="L276" i="1"/>
  <c r="N276" i="1" s="1"/>
  <c r="O276" i="1"/>
  <c r="R276" i="1" l="1"/>
  <c r="S276" i="1" s="1"/>
  <c r="J276" i="1"/>
  <c r="K276" i="1" s="1"/>
  <c r="D277" i="1"/>
  <c r="P276" i="1"/>
  <c r="Q277" i="1" l="1"/>
  <c r="I277" i="1"/>
  <c r="O277" i="1"/>
  <c r="E277" i="1"/>
  <c r="G277" i="1" s="1"/>
  <c r="L277" i="1"/>
  <c r="N277" i="1" s="1"/>
  <c r="R277" i="1" s="1"/>
  <c r="Q278" i="1" s="1"/>
  <c r="H277" i="1"/>
  <c r="S277" i="1" l="1"/>
  <c r="D278" i="1"/>
  <c r="J277" i="1"/>
  <c r="K277" i="1" s="1"/>
  <c r="P277" i="1"/>
  <c r="I278" i="1" l="1"/>
  <c r="L278" i="1"/>
  <c r="N278" i="1" s="1"/>
  <c r="O278" i="1"/>
  <c r="H278" i="1"/>
  <c r="E278" i="1"/>
  <c r="G278" i="1" s="1"/>
  <c r="J278" i="1" l="1"/>
  <c r="K278" i="1" s="1"/>
  <c r="D279" i="1"/>
  <c r="I279" i="1"/>
  <c r="P278" i="1"/>
  <c r="R278" i="1"/>
  <c r="S278" i="1" s="1"/>
  <c r="Q279" i="1" l="1"/>
  <c r="H279" i="1"/>
  <c r="O279" i="1"/>
  <c r="L279" i="1"/>
  <c r="N279" i="1" s="1"/>
  <c r="E279" i="1"/>
  <c r="G279" i="1" s="1"/>
  <c r="R279" i="1" l="1"/>
  <c r="S279" i="1" s="1"/>
  <c r="D280" i="1"/>
  <c r="J279" i="1"/>
  <c r="K279" i="1" s="1"/>
  <c r="P279" i="1"/>
  <c r="Q280" i="1" l="1"/>
  <c r="I280" i="1"/>
  <c r="E280" i="1"/>
  <c r="G280" i="1" s="1"/>
  <c r="H280" i="1"/>
  <c r="L280" i="1"/>
  <c r="N280" i="1" s="1"/>
  <c r="O280" i="1"/>
  <c r="P280" i="1" l="1"/>
  <c r="R280" i="1"/>
  <c r="S280" i="1" s="1"/>
  <c r="D281" i="1"/>
  <c r="J280" i="1"/>
  <c r="K280" i="1" s="1"/>
  <c r="Q281" i="1" l="1"/>
  <c r="I281" i="1"/>
  <c r="L281" i="1"/>
  <c r="N281" i="1" s="1"/>
  <c r="O281" i="1"/>
  <c r="E281" i="1"/>
  <c r="G281" i="1" s="1"/>
  <c r="H281" i="1"/>
  <c r="J281" i="1" l="1"/>
  <c r="K281" i="1" s="1"/>
  <c r="D282" i="1"/>
  <c r="P281" i="1"/>
  <c r="R281" i="1"/>
  <c r="S281" i="1" s="1"/>
  <c r="I282" i="1" l="1"/>
  <c r="Q282" i="1"/>
  <c r="H282" i="1"/>
  <c r="E282" i="1"/>
  <c r="G282" i="1" s="1"/>
  <c r="O282" i="1"/>
  <c r="L282" i="1"/>
  <c r="N282" i="1" s="1"/>
  <c r="P282" i="1" l="1"/>
  <c r="D283" i="1"/>
  <c r="J282" i="1"/>
  <c r="R282" i="1"/>
  <c r="S282" i="1" s="1"/>
  <c r="Q283" i="1" l="1"/>
  <c r="I283" i="1"/>
  <c r="K282" i="1"/>
  <c r="L283" i="1"/>
  <c r="N283" i="1" s="1"/>
  <c r="O283" i="1"/>
  <c r="E283" i="1"/>
  <c r="G283" i="1" s="1"/>
  <c r="H283" i="1"/>
  <c r="P283" i="1" l="1"/>
  <c r="R283" i="1"/>
  <c r="S283" i="1" s="1"/>
  <c r="J283" i="1"/>
  <c r="K283" i="1" s="1"/>
  <c r="D284" i="1"/>
  <c r="Q284" i="1" l="1"/>
  <c r="O284" i="1"/>
  <c r="E284" i="1"/>
  <c r="G284" i="1" s="1"/>
  <c r="L284" i="1"/>
  <c r="N284" i="1" s="1"/>
  <c r="H284" i="1"/>
  <c r="I284" i="1"/>
  <c r="R284" i="1" l="1"/>
  <c r="S284" i="1" s="1"/>
  <c r="D285" i="1"/>
  <c r="J284" i="1"/>
  <c r="K284" i="1" s="1"/>
  <c r="P284" i="1"/>
  <c r="Q285" i="1" l="1"/>
  <c r="I285" i="1"/>
  <c r="O285" i="1"/>
  <c r="E285" i="1"/>
  <c r="G285" i="1" s="1"/>
  <c r="H285" i="1"/>
  <c r="L285" i="1"/>
  <c r="N285" i="1" s="1"/>
  <c r="D286" i="1" l="1"/>
  <c r="J285" i="1"/>
  <c r="K285" i="1" s="1"/>
  <c r="R285" i="1"/>
  <c r="S285" i="1" s="1"/>
  <c r="P285" i="1"/>
  <c r="I286" i="1" l="1"/>
  <c r="Q286" i="1"/>
  <c r="O286" i="1"/>
  <c r="L286" i="1"/>
  <c r="N286" i="1" s="1"/>
  <c r="H286" i="1"/>
  <c r="E286" i="1"/>
  <c r="G286" i="1" s="1"/>
  <c r="J286" i="1" l="1"/>
  <c r="K286" i="1" s="1"/>
  <c r="D287" i="1"/>
  <c r="I287" i="1"/>
  <c r="R286" i="1"/>
  <c r="S286" i="1" s="1"/>
  <c r="P286" i="1"/>
  <c r="Q287" i="1" l="1"/>
  <c r="E287" i="1"/>
  <c r="G287" i="1" s="1"/>
  <c r="O287" i="1"/>
  <c r="L287" i="1"/>
  <c r="N287" i="1" s="1"/>
  <c r="R287" i="1" s="1"/>
  <c r="Q288" i="1" s="1"/>
  <c r="H287" i="1"/>
  <c r="S287" i="1" l="1"/>
  <c r="P287" i="1"/>
  <c r="D288" i="1"/>
  <c r="J287" i="1"/>
  <c r="K287" i="1" s="1"/>
  <c r="I288" i="1" l="1"/>
  <c r="L288" i="1"/>
  <c r="N288" i="1" s="1"/>
  <c r="H288" i="1"/>
  <c r="O288" i="1"/>
  <c r="E288" i="1"/>
  <c r="G288" i="1" s="1"/>
  <c r="J288" i="1" l="1"/>
  <c r="K288" i="1" s="1"/>
  <c r="D289" i="1"/>
  <c r="P288" i="1"/>
  <c r="R288" i="1"/>
  <c r="S288" i="1" s="1"/>
  <c r="Q289" i="1" l="1"/>
  <c r="I289" i="1"/>
  <c r="O289" i="1"/>
  <c r="E289" i="1"/>
  <c r="G289" i="1" s="1"/>
  <c r="L289" i="1"/>
  <c r="N289" i="1" s="1"/>
  <c r="R289" i="1" s="1"/>
  <c r="Q290" i="1" s="1"/>
  <c r="H289" i="1"/>
  <c r="J289" i="1" l="1"/>
  <c r="K289" i="1" s="1"/>
  <c r="D290" i="1"/>
  <c r="I290" i="1"/>
  <c r="P289" i="1"/>
  <c r="S289" i="1"/>
  <c r="H290" i="1" l="1"/>
  <c r="E290" i="1"/>
  <c r="G290" i="1" s="1"/>
  <c r="L290" i="1"/>
  <c r="N290" i="1" s="1"/>
  <c r="O290" i="1"/>
  <c r="R290" i="1" l="1"/>
  <c r="S290" i="1" s="1"/>
  <c r="J290" i="1"/>
  <c r="K290" i="1" s="1"/>
  <c r="D291" i="1"/>
  <c r="P290" i="1"/>
  <c r="Q291" i="1" l="1"/>
  <c r="I291" i="1"/>
  <c r="O291" i="1"/>
  <c r="L291" i="1"/>
  <c r="N291" i="1" s="1"/>
  <c r="R291" i="1" s="1"/>
  <c r="Q292" i="1" s="1"/>
  <c r="H291" i="1"/>
  <c r="E291" i="1"/>
  <c r="G291" i="1" s="1"/>
  <c r="S291" i="1" l="1"/>
  <c r="D292" i="1"/>
  <c r="J291" i="1"/>
  <c r="P291" i="1"/>
  <c r="I292" i="1" l="1"/>
  <c r="K291" i="1"/>
  <c r="E292" i="1"/>
  <c r="G292" i="1" s="1"/>
  <c r="H292" i="1"/>
  <c r="L292" i="1"/>
  <c r="N292" i="1" s="1"/>
  <c r="O292" i="1"/>
  <c r="P292" i="1" l="1"/>
  <c r="D293" i="1"/>
  <c r="J292" i="1"/>
  <c r="K292" i="1" s="1"/>
  <c r="R292" i="1"/>
  <c r="S292" i="1" s="1"/>
  <c r="Q293" i="1" l="1"/>
  <c r="I293" i="1"/>
  <c r="E293" i="1"/>
  <c r="G293" i="1" s="1"/>
  <c r="H293" i="1"/>
  <c r="O293" i="1"/>
  <c r="L293" i="1"/>
  <c r="N293" i="1" s="1"/>
  <c r="P293" i="1" l="1"/>
  <c r="R293" i="1"/>
  <c r="S293" i="1" s="1"/>
  <c r="J293" i="1"/>
  <c r="K293" i="1" s="1"/>
  <c r="D294" i="1"/>
  <c r="Q294" i="1" l="1"/>
  <c r="I294" i="1"/>
  <c r="E294" i="1"/>
  <c r="G294" i="1" s="1"/>
  <c r="H294" i="1"/>
  <c r="L294" i="1"/>
  <c r="N294" i="1" s="1"/>
  <c r="O294" i="1"/>
  <c r="P294" i="1" l="1"/>
  <c r="R294" i="1"/>
  <c r="S294" i="1" s="1"/>
  <c r="D295" i="1"/>
  <c r="J294" i="1"/>
  <c r="K294" i="1" s="1"/>
  <c r="Q295" i="1" l="1"/>
  <c r="I295" i="1"/>
  <c r="L295" i="1"/>
  <c r="N295" i="1" s="1"/>
  <c r="H295" i="1"/>
  <c r="E295" i="1"/>
  <c r="G295" i="1" s="1"/>
  <c r="O295" i="1"/>
  <c r="J295" i="1" l="1"/>
  <c r="K295" i="1" s="1"/>
  <c r="D296" i="1"/>
  <c r="I296" i="1"/>
  <c r="P295" i="1"/>
  <c r="R295" i="1"/>
  <c r="S295" i="1" s="1"/>
  <c r="Q296" i="1" l="1"/>
  <c r="O296" i="1"/>
  <c r="L296" i="1"/>
  <c r="N296" i="1" s="1"/>
  <c r="E296" i="1"/>
  <c r="G296" i="1" s="1"/>
  <c r="H296" i="1"/>
  <c r="P296" i="1" l="1"/>
  <c r="J296" i="1"/>
  <c r="D297" i="1"/>
  <c r="R296" i="1"/>
  <c r="S296" i="1" s="1"/>
  <c r="L297" i="1" l="1"/>
  <c r="N297" i="1" s="1"/>
  <c r="O297" i="1"/>
  <c r="H297" i="1"/>
  <c r="E297" i="1"/>
  <c r="G297" i="1" s="1"/>
  <c r="Q297" i="1"/>
  <c r="I297" i="1"/>
  <c r="K296" i="1"/>
  <c r="J297" i="1" l="1"/>
  <c r="K297" i="1" s="1"/>
  <c r="D298" i="1"/>
  <c r="P297" i="1"/>
  <c r="R297" i="1"/>
  <c r="S297" i="1" s="1"/>
  <c r="Q298" i="1" l="1"/>
  <c r="I298" i="1"/>
  <c r="H298" i="1"/>
  <c r="E298" i="1"/>
  <c r="G298" i="1" s="1"/>
  <c r="O298" i="1"/>
  <c r="L298" i="1"/>
  <c r="N298" i="1" s="1"/>
  <c r="R298" i="1" l="1"/>
  <c r="S298" i="1" s="1"/>
  <c r="J298" i="1"/>
  <c r="K298" i="1" s="1"/>
  <c r="D299" i="1"/>
  <c r="P298" i="1"/>
  <c r="Q299" i="1" l="1"/>
  <c r="O299" i="1"/>
  <c r="L299" i="1"/>
  <c r="N299" i="1" s="1"/>
  <c r="E299" i="1"/>
  <c r="G299" i="1" s="1"/>
  <c r="H299" i="1"/>
  <c r="I299" i="1"/>
  <c r="J299" i="1" l="1"/>
  <c r="K299" i="1" s="1"/>
  <c r="D300" i="1"/>
  <c r="R299" i="1"/>
  <c r="S299" i="1" s="1"/>
  <c r="P299" i="1"/>
  <c r="I300" i="1" l="1"/>
  <c r="O300" i="1"/>
  <c r="L300" i="1"/>
  <c r="N300" i="1" s="1"/>
  <c r="R300" i="1" s="1"/>
  <c r="Q301" i="1" s="1"/>
  <c r="E300" i="1"/>
  <c r="G300" i="1" s="1"/>
  <c r="H300" i="1"/>
  <c r="Q300" i="1"/>
  <c r="S300" i="1" l="1"/>
  <c r="J300" i="1"/>
  <c r="K300" i="1" s="1"/>
  <c r="D301" i="1"/>
  <c r="P300" i="1"/>
  <c r="I301" i="1" l="1"/>
  <c r="E301" i="1"/>
  <c r="G301" i="1" s="1"/>
  <c r="H301" i="1"/>
  <c r="O301" i="1"/>
  <c r="L301" i="1"/>
  <c r="N301" i="1" s="1"/>
  <c r="P301" i="1" l="1"/>
  <c r="J301" i="1"/>
  <c r="K301" i="1" s="1"/>
  <c r="D302" i="1"/>
  <c r="R301" i="1"/>
  <c r="S301" i="1" s="1"/>
  <c r="I302" i="1" l="1"/>
  <c r="Q302" i="1"/>
  <c r="L302" i="1"/>
  <c r="N302" i="1" s="1"/>
  <c r="O302" i="1"/>
  <c r="H302" i="1"/>
  <c r="E302" i="1"/>
  <c r="G302" i="1" s="1"/>
  <c r="P302" i="1" l="1"/>
  <c r="J302" i="1"/>
  <c r="K302" i="1" s="1"/>
  <c r="D303" i="1"/>
  <c r="R302" i="1"/>
  <c r="S302" i="1" s="1"/>
  <c r="I303" i="1" l="1"/>
  <c r="L303" i="1"/>
  <c r="N303" i="1" s="1"/>
  <c r="E303" i="1"/>
  <c r="G303" i="1" s="1"/>
  <c r="H303" i="1"/>
  <c r="O303" i="1"/>
  <c r="Q303" i="1"/>
  <c r="D304" i="1" l="1"/>
  <c r="J303" i="1"/>
  <c r="K303" i="1" s="1"/>
  <c r="P303" i="1"/>
  <c r="R303" i="1"/>
  <c r="S303" i="1" s="1"/>
  <c r="Q304" i="1" l="1"/>
  <c r="I304" i="1"/>
  <c r="E304" i="1"/>
  <c r="G304" i="1" s="1"/>
  <c r="L304" i="1"/>
  <c r="N304" i="1" s="1"/>
  <c r="H304" i="1"/>
  <c r="O304" i="1"/>
  <c r="P304" i="1" l="1"/>
  <c r="R304" i="1"/>
  <c r="S304" i="1" s="1"/>
  <c r="J304" i="1"/>
  <c r="K304" i="1" s="1"/>
  <c r="D305" i="1"/>
  <c r="Q305" i="1" l="1"/>
  <c r="I305" i="1"/>
  <c r="H305" i="1"/>
  <c r="L305" i="1"/>
  <c r="N305" i="1" s="1"/>
  <c r="E305" i="1"/>
  <c r="G305" i="1" s="1"/>
  <c r="O305" i="1"/>
  <c r="D306" i="1" l="1"/>
  <c r="J305" i="1"/>
  <c r="K305" i="1" s="1"/>
  <c r="R305" i="1"/>
  <c r="S305" i="1" s="1"/>
  <c r="P305" i="1"/>
  <c r="Q306" i="1" l="1"/>
  <c r="I306" i="1"/>
  <c r="E306" i="1"/>
  <c r="G306" i="1" s="1"/>
  <c r="L306" i="1"/>
  <c r="N306" i="1" s="1"/>
  <c r="O306" i="1"/>
  <c r="H306" i="1"/>
  <c r="R306" i="1" l="1"/>
  <c r="S306" i="1" s="1"/>
  <c r="Q307" i="1"/>
  <c r="P306" i="1"/>
  <c r="J306" i="1"/>
  <c r="K306" i="1" s="1"/>
  <c r="D307" i="1"/>
  <c r="I307" i="1" l="1"/>
  <c r="L307" i="1"/>
  <c r="N307" i="1" s="1"/>
  <c r="R307" i="1" s="1"/>
  <c r="Q308" i="1" s="1"/>
  <c r="O307" i="1"/>
  <c r="H307" i="1"/>
  <c r="E307" i="1"/>
  <c r="G307" i="1" s="1"/>
  <c r="P307" i="1" l="1"/>
  <c r="D308" i="1"/>
  <c r="J307" i="1"/>
  <c r="K307" i="1" s="1"/>
  <c r="S307" i="1"/>
  <c r="I308" i="1" l="1"/>
  <c r="O308" i="1"/>
  <c r="L308" i="1"/>
  <c r="N308" i="1" s="1"/>
  <c r="E308" i="1"/>
  <c r="G308" i="1" s="1"/>
  <c r="H308" i="1"/>
  <c r="D309" i="1" l="1"/>
  <c r="J308" i="1"/>
  <c r="K308" i="1" s="1"/>
  <c r="R308" i="1"/>
  <c r="S308" i="1" s="1"/>
  <c r="P308" i="1"/>
  <c r="I309" i="1" l="1"/>
  <c r="Q309" i="1"/>
  <c r="O309" i="1"/>
  <c r="L309" i="1"/>
  <c r="N309" i="1" s="1"/>
  <c r="E309" i="1"/>
  <c r="G309" i="1" s="1"/>
  <c r="H309" i="1"/>
  <c r="D310" i="1" l="1"/>
  <c r="J309" i="1"/>
  <c r="K309" i="1" s="1"/>
  <c r="R309" i="1"/>
  <c r="S309" i="1" s="1"/>
  <c r="P309" i="1"/>
  <c r="I310" i="1" l="1"/>
  <c r="Q310" i="1"/>
  <c r="H310" i="1"/>
  <c r="E310" i="1"/>
  <c r="G310" i="1" s="1"/>
  <c r="L310" i="1"/>
  <c r="N310" i="1" s="1"/>
  <c r="O310" i="1"/>
  <c r="R310" i="1" l="1"/>
  <c r="S310" i="1" s="1"/>
  <c r="D311" i="1"/>
  <c r="J310" i="1"/>
  <c r="K310" i="1" s="1"/>
  <c r="P310" i="1"/>
  <c r="Q311" i="1" l="1"/>
  <c r="L311" i="1"/>
  <c r="N311" i="1" s="1"/>
  <c r="E311" i="1"/>
  <c r="G311" i="1" s="1"/>
  <c r="O311" i="1"/>
  <c r="H311" i="1"/>
  <c r="I311" i="1"/>
  <c r="P311" i="1" l="1"/>
  <c r="J311" i="1"/>
  <c r="I312" i="1" s="1"/>
  <c r="D312" i="1"/>
  <c r="R311" i="1"/>
  <c r="S311" i="1" s="1"/>
  <c r="Q312" i="1" l="1"/>
  <c r="K311" i="1"/>
  <c r="H312" i="1"/>
  <c r="L312" i="1"/>
  <c r="N312" i="1" s="1"/>
  <c r="O312" i="1"/>
  <c r="E312" i="1"/>
  <c r="G312" i="1" s="1"/>
  <c r="D313" i="1" l="1"/>
  <c r="J312" i="1"/>
  <c r="K312" i="1" s="1"/>
  <c r="R312" i="1"/>
  <c r="S312" i="1" s="1"/>
  <c r="P312" i="1"/>
  <c r="Q313" i="1" l="1"/>
  <c r="I313" i="1"/>
  <c r="H313" i="1"/>
  <c r="O313" i="1"/>
  <c r="L313" i="1"/>
  <c r="N313" i="1" s="1"/>
  <c r="E313" i="1"/>
  <c r="G313" i="1" s="1"/>
  <c r="R313" i="1" l="1"/>
  <c r="S313" i="1" s="1"/>
  <c r="P313" i="1"/>
  <c r="J313" i="1"/>
  <c r="K313" i="1" s="1"/>
  <c r="D314" i="1"/>
  <c r="Q314" i="1" l="1"/>
  <c r="I314" i="1"/>
  <c r="L314" i="1"/>
  <c r="N314" i="1" s="1"/>
  <c r="R314" i="1" s="1"/>
  <c r="Q315" i="1" s="1"/>
  <c r="O314" i="1"/>
  <c r="E314" i="1"/>
  <c r="G314" i="1" s="1"/>
  <c r="H314" i="1"/>
  <c r="J314" i="1" l="1"/>
  <c r="K314" i="1" s="1"/>
  <c r="D315" i="1"/>
  <c r="P314" i="1"/>
  <c r="S314" i="1"/>
  <c r="I315" i="1" l="1"/>
  <c r="L315" i="1"/>
  <c r="N315" i="1" s="1"/>
  <c r="H315" i="1"/>
  <c r="E315" i="1"/>
  <c r="G315" i="1" s="1"/>
  <c r="O315" i="1"/>
  <c r="J315" i="1" l="1"/>
  <c r="K315" i="1" s="1"/>
  <c r="D316" i="1"/>
  <c r="I316" i="1"/>
  <c r="P315" i="1"/>
  <c r="R315" i="1"/>
  <c r="S315" i="1" s="1"/>
  <c r="Q316" i="1" l="1"/>
  <c r="E316" i="1"/>
  <c r="G316" i="1" s="1"/>
  <c r="O316" i="1"/>
  <c r="H316" i="1"/>
  <c r="L316" i="1"/>
  <c r="N316" i="1" s="1"/>
  <c r="D317" i="1" l="1"/>
  <c r="J316" i="1"/>
  <c r="K316" i="1" s="1"/>
  <c r="P316" i="1"/>
  <c r="R316" i="1"/>
  <c r="S316" i="1" s="1"/>
  <c r="Q317" i="1" l="1"/>
  <c r="I317" i="1"/>
  <c r="O317" i="1"/>
  <c r="L317" i="1"/>
  <c r="N317" i="1" s="1"/>
  <c r="H317" i="1"/>
  <c r="E317" i="1"/>
  <c r="G317" i="1" s="1"/>
  <c r="P317" i="1" l="1"/>
  <c r="R317" i="1"/>
  <c r="S317" i="1" s="1"/>
  <c r="D318" i="1"/>
  <c r="J317" i="1"/>
  <c r="K317" i="1" s="1"/>
  <c r="Q318" i="1" l="1"/>
  <c r="I318" i="1"/>
  <c r="E318" i="1"/>
  <c r="G318" i="1" s="1"/>
  <c r="L318" i="1"/>
  <c r="N318" i="1" s="1"/>
  <c r="R318" i="1" s="1"/>
  <c r="Q319" i="1" s="1"/>
  <c r="H318" i="1"/>
  <c r="O318" i="1"/>
  <c r="S318" i="1" l="1"/>
  <c r="P318" i="1"/>
  <c r="D319" i="1"/>
  <c r="J318" i="1"/>
  <c r="K318" i="1" s="1"/>
  <c r="O319" i="1" l="1"/>
  <c r="L319" i="1"/>
  <c r="N319" i="1" s="1"/>
  <c r="E319" i="1"/>
  <c r="G319" i="1" s="1"/>
  <c r="H319" i="1"/>
  <c r="I319" i="1"/>
  <c r="J319" i="1" l="1"/>
  <c r="K319" i="1" s="1"/>
  <c r="D320" i="1"/>
  <c r="P319" i="1"/>
  <c r="R319" i="1"/>
  <c r="S319" i="1" s="1"/>
  <c r="I320" i="1" l="1"/>
  <c r="H320" i="1"/>
  <c r="O320" i="1"/>
  <c r="L320" i="1"/>
  <c r="N320" i="1" s="1"/>
  <c r="R320" i="1" s="1"/>
  <c r="Q321" i="1" s="1"/>
  <c r="E320" i="1"/>
  <c r="G320" i="1" s="1"/>
  <c r="Q320" i="1"/>
  <c r="S320" i="1" l="1"/>
  <c r="D321" i="1"/>
  <c r="J320" i="1"/>
  <c r="K320" i="1" s="1"/>
  <c r="P320" i="1"/>
  <c r="I321" i="1" l="1"/>
  <c r="L321" i="1"/>
  <c r="N321" i="1" s="1"/>
  <c r="H321" i="1"/>
  <c r="O321" i="1"/>
  <c r="E321" i="1"/>
  <c r="G321" i="1" s="1"/>
  <c r="P321" i="1" l="1"/>
  <c r="R321" i="1"/>
  <c r="S321" i="1" s="1"/>
  <c r="J321" i="1"/>
  <c r="K321" i="1" s="1"/>
  <c r="D322" i="1"/>
  <c r="Q322" i="1" l="1"/>
  <c r="I322" i="1"/>
  <c r="O322" i="1"/>
  <c r="H322" i="1"/>
  <c r="L322" i="1"/>
  <c r="N322" i="1" s="1"/>
  <c r="R322" i="1" s="1"/>
  <c r="Q323" i="1" s="1"/>
  <c r="E322" i="1"/>
  <c r="G322" i="1" s="1"/>
  <c r="S322" i="1" l="1"/>
  <c r="J322" i="1"/>
  <c r="K322" i="1" s="1"/>
  <c r="D323" i="1"/>
  <c r="P322" i="1"/>
  <c r="I323" i="1" l="1"/>
  <c r="L323" i="1"/>
  <c r="N323" i="1" s="1"/>
  <c r="O323" i="1"/>
  <c r="H323" i="1"/>
  <c r="E323" i="1"/>
  <c r="G323" i="1" s="1"/>
  <c r="P323" i="1" l="1"/>
  <c r="R323" i="1"/>
  <c r="S323" i="1" s="1"/>
  <c r="J323" i="1"/>
  <c r="K323" i="1" s="1"/>
  <c r="D324" i="1"/>
  <c r="Q324" i="1" l="1"/>
  <c r="I324" i="1"/>
  <c r="E324" i="1"/>
  <c r="G324" i="1" s="1"/>
  <c r="O324" i="1"/>
  <c r="L324" i="1"/>
  <c r="N324" i="1" s="1"/>
  <c r="H324" i="1"/>
  <c r="R324" i="1" l="1"/>
  <c r="S324" i="1" s="1"/>
  <c r="P324" i="1"/>
  <c r="J324" i="1"/>
  <c r="K324" i="1" s="1"/>
  <c r="D325" i="1"/>
  <c r="Q325" i="1" l="1"/>
  <c r="I325" i="1"/>
  <c r="E325" i="1"/>
  <c r="G325" i="1" s="1"/>
  <c r="H325" i="1"/>
  <c r="O325" i="1"/>
  <c r="L325" i="1"/>
  <c r="N325" i="1" s="1"/>
  <c r="P325" i="1" l="1"/>
  <c r="R325" i="1"/>
  <c r="S325" i="1" s="1"/>
  <c r="J325" i="1"/>
  <c r="K325" i="1" s="1"/>
  <c r="D326" i="1"/>
  <c r="Q326" i="1" l="1"/>
  <c r="I326" i="1"/>
  <c r="H326" i="1"/>
  <c r="E326" i="1"/>
  <c r="G326" i="1" s="1"/>
  <c r="L326" i="1"/>
  <c r="N326" i="1" s="1"/>
  <c r="O326" i="1"/>
  <c r="R326" i="1" l="1"/>
  <c r="S326" i="1" s="1"/>
  <c r="J326" i="1"/>
  <c r="K326" i="1" s="1"/>
  <c r="D327" i="1"/>
  <c r="P326" i="1"/>
  <c r="Q327" i="1" l="1"/>
  <c r="I327" i="1"/>
  <c r="L327" i="1"/>
  <c r="N327" i="1" s="1"/>
  <c r="H327" i="1"/>
  <c r="O327" i="1"/>
  <c r="E327" i="1"/>
  <c r="G327" i="1" s="1"/>
  <c r="J327" i="1" l="1"/>
  <c r="K327" i="1" s="1"/>
  <c r="D328" i="1"/>
  <c r="P327" i="1"/>
  <c r="R327" i="1"/>
  <c r="S327" i="1" s="1"/>
  <c r="Q328" i="1" l="1"/>
  <c r="I328" i="1"/>
  <c r="H328" i="1"/>
  <c r="O328" i="1"/>
  <c r="L328" i="1"/>
  <c r="N328" i="1" s="1"/>
  <c r="R328" i="1" s="1"/>
  <c r="Q329" i="1" s="1"/>
  <c r="E328" i="1"/>
  <c r="G328" i="1" s="1"/>
  <c r="S328" i="1" l="1"/>
  <c r="J328" i="1"/>
  <c r="K328" i="1" s="1"/>
  <c r="D329" i="1"/>
  <c r="P328" i="1"/>
  <c r="I329" i="1" l="1"/>
  <c r="O329" i="1"/>
  <c r="L329" i="1"/>
  <c r="N329" i="1" s="1"/>
  <c r="E329" i="1"/>
  <c r="G329" i="1" s="1"/>
  <c r="H329" i="1"/>
  <c r="J329" i="1" l="1"/>
  <c r="K329" i="1" s="1"/>
  <c r="D330" i="1"/>
  <c r="I330" i="1"/>
  <c r="R329" i="1"/>
  <c r="S329" i="1" s="1"/>
  <c r="P329" i="1"/>
  <c r="Q330" i="1" l="1"/>
  <c r="H330" i="1"/>
  <c r="L330" i="1"/>
  <c r="N330" i="1" s="1"/>
  <c r="R330" i="1" s="1"/>
  <c r="Q331" i="1" s="1"/>
  <c r="E330" i="1"/>
  <c r="G330" i="1" s="1"/>
  <c r="O330" i="1"/>
  <c r="S330" i="1" l="1"/>
  <c r="D331" i="1"/>
  <c r="J330" i="1"/>
  <c r="K330" i="1" s="1"/>
  <c r="P330" i="1"/>
  <c r="I331" i="1" l="1"/>
  <c r="H331" i="1"/>
  <c r="O331" i="1"/>
  <c r="E331" i="1"/>
  <c r="G331" i="1" s="1"/>
  <c r="L331" i="1"/>
  <c r="N331" i="1" s="1"/>
  <c r="P331" i="1" l="1"/>
  <c r="D332" i="1"/>
  <c r="J331" i="1"/>
  <c r="K331" i="1" s="1"/>
  <c r="R331" i="1"/>
  <c r="S331" i="1" s="1"/>
  <c r="Q332" i="1" l="1"/>
  <c r="I332" i="1"/>
  <c r="H332" i="1"/>
  <c r="E332" i="1"/>
  <c r="G332" i="1" s="1"/>
  <c r="O332" i="1"/>
  <c r="L332" i="1"/>
  <c r="N332" i="1" s="1"/>
  <c r="R332" i="1" l="1"/>
  <c r="S332" i="1" s="1"/>
  <c r="D333" i="1"/>
  <c r="J332" i="1"/>
  <c r="K332" i="1" s="1"/>
  <c r="P332" i="1"/>
  <c r="Q333" i="1" l="1"/>
  <c r="I333" i="1"/>
  <c r="O333" i="1"/>
  <c r="H333" i="1"/>
  <c r="L333" i="1"/>
  <c r="N333" i="1" s="1"/>
  <c r="R333" i="1" s="1"/>
  <c r="Q334" i="1" s="1"/>
  <c r="E333" i="1"/>
  <c r="G333" i="1" s="1"/>
  <c r="S333" i="1" l="1"/>
  <c r="D334" i="1"/>
  <c r="J333" i="1"/>
  <c r="K333" i="1" s="1"/>
  <c r="P333" i="1"/>
  <c r="I334" i="1" l="1"/>
  <c r="L334" i="1"/>
  <c r="N334" i="1" s="1"/>
  <c r="O334" i="1"/>
  <c r="E334" i="1"/>
  <c r="G334" i="1" s="1"/>
  <c r="H334" i="1"/>
  <c r="J334" i="1" l="1"/>
  <c r="K334" i="1" s="1"/>
  <c r="D335" i="1"/>
  <c r="I335" i="1"/>
  <c r="P334" i="1"/>
  <c r="R334" i="1"/>
  <c r="S334" i="1" s="1"/>
  <c r="Q335" i="1" l="1"/>
  <c r="E335" i="1"/>
  <c r="G335" i="1" s="1"/>
  <c r="O335" i="1"/>
  <c r="L335" i="1"/>
  <c r="N335" i="1" s="1"/>
  <c r="H335" i="1"/>
  <c r="R335" i="1" l="1"/>
  <c r="S335" i="1" s="1"/>
  <c r="P335" i="1"/>
  <c r="J335" i="1"/>
  <c r="K335" i="1" s="1"/>
  <c r="D336" i="1"/>
  <c r="Q336" i="1" l="1"/>
  <c r="I336" i="1"/>
  <c r="O336" i="1"/>
  <c r="L336" i="1"/>
  <c r="N336" i="1" s="1"/>
  <c r="E336" i="1"/>
  <c r="G336" i="1" s="1"/>
  <c r="H336" i="1"/>
  <c r="P336" i="1" l="1"/>
  <c r="J336" i="1"/>
  <c r="K336" i="1" s="1"/>
  <c r="D337" i="1"/>
  <c r="R336" i="1"/>
  <c r="S336" i="1" s="1"/>
  <c r="I337" i="1" l="1"/>
  <c r="L337" i="1"/>
  <c r="N337" i="1" s="1"/>
  <c r="O337" i="1"/>
  <c r="E337" i="1"/>
  <c r="G337" i="1" s="1"/>
  <c r="H337" i="1"/>
  <c r="Q337" i="1"/>
  <c r="D338" i="1" l="1"/>
  <c r="J337" i="1"/>
  <c r="K337" i="1" s="1"/>
  <c r="P337" i="1"/>
  <c r="R337" i="1"/>
  <c r="S337" i="1" s="1"/>
  <c r="Q338" i="1" l="1"/>
  <c r="I338" i="1"/>
  <c r="H338" i="1"/>
  <c r="E338" i="1"/>
  <c r="G338" i="1" s="1"/>
  <c r="L338" i="1"/>
  <c r="N338" i="1" s="1"/>
  <c r="O338" i="1"/>
  <c r="R338" i="1" l="1"/>
  <c r="S338" i="1" s="1"/>
  <c r="J338" i="1"/>
  <c r="K338" i="1" s="1"/>
  <c r="D339" i="1"/>
  <c r="P338" i="1"/>
  <c r="I339" i="1" l="1"/>
  <c r="O339" i="1"/>
  <c r="H339" i="1"/>
  <c r="L339" i="1"/>
  <c r="N339" i="1" s="1"/>
  <c r="E339" i="1"/>
  <c r="G339" i="1" s="1"/>
  <c r="Q339" i="1"/>
  <c r="D340" i="1" l="1"/>
  <c r="J339" i="1"/>
  <c r="K339" i="1" s="1"/>
  <c r="R339" i="1"/>
  <c r="S339" i="1" s="1"/>
  <c r="P339" i="1"/>
  <c r="I340" i="1" l="1"/>
  <c r="Q340" i="1"/>
  <c r="L340" i="1"/>
  <c r="N340" i="1" s="1"/>
  <c r="E340" i="1"/>
  <c r="G340" i="1" s="1"/>
  <c r="O340" i="1"/>
  <c r="H340" i="1"/>
  <c r="J340" i="1" l="1"/>
  <c r="K340" i="1" s="1"/>
  <c r="D341" i="1"/>
  <c r="I341" i="1"/>
  <c r="P340" i="1"/>
  <c r="R340" i="1"/>
  <c r="S340" i="1" s="1"/>
  <c r="Q341" i="1" l="1"/>
  <c r="H341" i="1"/>
  <c r="L341" i="1"/>
  <c r="N341" i="1" s="1"/>
  <c r="E341" i="1"/>
  <c r="G341" i="1" s="1"/>
  <c r="O341" i="1"/>
  <c r="D342" i="1" l="1"/>
  <c r="J341" i="1"/>
  <c r="K341" i="1" s="1"/>
  <c r="R341" i="1"/>
  <c r="S341" i="1" s="1"/>
  <c r="P341" i="1"/>
  <c r="Q342" i="1" l="1"/>
  <c r="I342" i="1"/>
  <c r="E342" i="1"/>
  <c r="G342" i="1" s="1"/>
  <c r="H342" i="1"/>
  <c r="O342" i="1"/>
  <c r="L342" i="1"/>
  <c r="N342" i="1" s="1"/>
  <c r="P342" i="1" l="1"/>
  <c r="J342" i="1"/>
  <c r="K342" i="1" s="1"/>
  <c r="D343" i="1"/>
  <c r="R342" i="1"/>
  <c r="S342" i="1" s="1"/>
  <c r="I343" i="1" l="1"/>
  <c r="Q343" i="1"/>
  <c r="O343" i="1"/>
  <c r="L343" i="1"/>
  <c r="N343" i="1" s="1"/>
  <c r="H343" i="1"/>
  <c r="E343" i="1"/>
  <c r="G343" i="1" s="1"/>
  <c r="J343" i="1" l="1"/>
  <c r="K343" i="1" s="1"/>
  <c r="D344" i="1"/>
  <c r="I344" i="1"/>
  <c r="R343" i="1"/>
  <c r="S343" i="1" s="1"/>
  <c r="P343" i="1"/>
  <c r="Q344" i="1" l="1"/>
  <c r="L344" i="1"/>
  <c r="N344" i="1" s="1"/>
  <c r="O344" i="1"/>
  <c r="E344" i="1"/>
  <c r="G344" i="1" s="1"/>
  <c r="H344" i="1"/>
  <c r="D345" i="1" l="1"/>
  <c r="J344" i="1"/>
  <c r="P344" i="1"/>
  <c r="R344" i="1"/>
  <c r="S344" i="1" s="1"/>
  <c r="Q345" i="1" l="1"/>
  <c r="I345" i="1"/>
  <c r="K344" i="1"/>
  <c r="H345" i="1"/>
  <c r="L345" i="1"/>
  <c r="N345" i="1" s="1"/>
  <c r="E345" i="1"/>
  <c r="G345" i="1" s="1"/>
  <c r="O345" i="1"/>
  <c r="P345" i="1" l="1"/>
  <c r="R345" i="1"/>
  <c r="S345" i="1" s="1"/>
  <c r="J345" i="1"/>
  <c r="I346" i="1" s="1"/>
  <c r="D346" i="1"/>
  <c r="Q346" i="1" l="1"/>
  <c r="K345" i="1"/>
  <c r="H346" i="1"/>
  <c r="E346" i="1"/>
  <c r="G346" i="1" s="1"/>
  <c r="O346" i="1"/>
  <c r="L346" i="1"/>
  <c r="N346" i="1" s="1"/>
  <c r="R346" i="1" l="1"/>
  <c r="S346" i="1" s="1"/>
  <c r="P346" i="1"/>
  <c r="D347" i="1"/>
  <c r="J346" i="1"/>
  <c r="K346" i="1" s="1"/>
  <c r="I347" i="1" l="1"/>
  <c r="Q347" i="1"/>
  <c r="L347" i="1"/>
  <c r="N347" i="1" s="1"/>
  <c r="O347" i="1"/>
  <c r="E347" i="1"/>
  <c r="G347" i="1" s="1"/>
  <c r="H347" i="1"/>
  <c r="J347" i="1" l="1"/>
  <c r="K347" i="1" s="1"/>
  <c r="D348" i="1"/>
  <c r="P347" i="1"/>
  <c r="R347" i="1"/>
  <c r="S347" i="1" s="1"/>
  <c r="Q348" i="1" l="1"/>
  <c r="I348" i="1"/>
  <c r="L348" i="1"/>
  <c r="N348" i="1" s="1"/>
  <c r="E348" i="1"/>
  <c r="G348" i="1" s="1"/>
  <c r="O348" i="1"/>
  <c r="H348" i="1"/>
  <c r="D349" i="1" l="1"/>
  <c r="J348" i="1"/>
  <c r="K348" i="1" s="1"/>
  <c r="P348" i="1"/>
  <c r="Q349" i="1"/>
  <c r="R348" i="1"/>
  <c r="S348" i="1" s="1"/>
  <c r="I349" i="1" l="1"/>
  <c r="O349" i="1"/>
  <c r="L349" i="1"/>
  <c r="N349" i="1" s="1"/>
  <c r="E349" i="1"/>
  <c r="G349" i="1" s="1"/>
  <c r="H349" i="1"/>
  <c r="P349" i="1" l="1"/>
  <c r="D350" i="1"/>
  <c r="J349" i="1"/>
  <c r="K349" i="1" s="1"/>
  <c r="R349" i="1"/>
  <c r="S349" i="1" s="1"/>
  <c r="Q350" i="1" l="1"/>
  <c r="I350" i="1"/>
  <c r="L350" i="1"/>
  <c r="N350" i="1" s="1"/>
  <c r="E350" i="1"/>
  <c r="G350" i="1" s="1"/>
  <c r="H350" i="1"/>
  <c r="O350" i="1"/>
  <c r="D351" i="1" l="1"/>
  <c r="J350" i="1"/>
  <c r="K350" i="1" s="1"/>
  <c r="P350" i="1"/>
  <c r="R350" i="1"/>
  <c r="S350" i="1" s="1"/>
  <c r="Q351" i="1" l="1"/>
  <c r="I351" i="1"/>
  <c r="L351" i="1"/>
  <c r="N351" i="1" s="1"/>
  <c r="H351" i="1"/>
  <c r="E351" i="1"/>
  <c r="G351" i="1" s="1"/>
  <c r="O351" i="1"/>
  <c r="J351" i="1" l="1"/>
  <c r="K351" i="1" s="1"/>
  <c r="D352" i="1"/>
  <c r="P351" i="1"/>
  <c r="R351" i="1"/>
  <c r="S351" i="1" s="1"/>
  <c r="Q352" i="1" l="1"/>
  <c r="I352" i="1"/>
  <c r="L352" i="1"/>
  <c r="N352" i="1" s="1"/>
  <c r="R352" i="1" s="1"/>
  <c r="Q353" i="1" s="1"/>
  <c r="O352" i="1"/>
  <c r="E352" i="1"/>
  <c r="G352" i="1" s="1"/>
  <c r="H352" i="1"/>
  <c r="J352" i="1" l="1"/>
  <c r="K352" i="1" s="1"/>
  <c r="D353" i="1"/>
  <c r="P352" i="1"/>
  <c r="S352" i="1"/>
  <c r="I353" i="1" l="1"/>
  <c r="H353" i="1"/>
  <c r="L353" i="1"/>
  <c r="N353" i="1" s="1"/>
  <c r="E353" i="1"/>
  <c r="G353" i="1" s="1"/>
  <c r="O353" i="1"/>
  <c r="D354" i="1" l="1"/>
  <c r="J353" i="1"/>
  <c r="K353" i="1" s="1"/>
  <c r="R353" i="1"/>
  <c r="S353" i="1" s="1"/>
  <c r="P353" i="1"/>
  <c r="I354" i="1" l="1"/>
  <c r="Q354" i="1"/>
  <c r="E354" i="1"/>
  <c r="G354" i="1" s="1"/>
  <c r="L354" i="1"/>
  <c r="N354" i="1" s="1"/>
  <c r="O354" i="1"/>
  <c r="H354" i="1"/>
  <c r="P354" i="1" l="1"/>
  <c r="R354" i="1"/>
  <c r="S354" i="1" s="1"/>
  <c r="J354" i="1"/>
  <c r="K354" i="1" s="1"/>
  <c r="D355" i="1"/>
  <c r="Q355" i="1" l="1"/>
  <c r="I355" i="1"/>
  <c r="L355" i="1"/>
  <c r="N355" i="1" s="1"/>
  <c r="R355" i="1" s="1"/>
  <c r="Q356" i="1" s="1"/>
  <c r="E355" i="1"/>
  <c r="G355" i="1" s="1"/>
  <c r="H355" i="1"/>
  <c r="O355" i="1"/>
  <c r="S355" i="1" l="1"/>
  <c r="D356" i="1"/>
  <c r="J355" i="1"/>
  <c r="K355" i="1" s="1"/>
  <c r="P355" i="1"/>
  <c r="I356" i="1" l="1"/>
  <c r="E356" i="1"/>
  <c r="G356" i="1" s="1"/>
  <c r="H356" i="1"/>
  <c r="L356" i="1"/>
  <c r="N356" i="1" s="1"/>
  <c r="O356" i="1"/>
  <c r="P356" i="1" l="1"/>
  <c r="R356" i="1"/>
  <c r="S356" i="1" s="1"/>
  <c r="Q357" i="1"/>
  <c r="D357" i="1"/>
  <c r="J356" i="1"/>
  <c r="K356" i="1" s="1"/>
  <c r="L357" i="1" l="1"/>
  <c r="N357" i="1" s="1"/>
  <c r="E357" i="1"/>
  <c r="G357" i="1" s="1"/>
  <c r="O357" i="1"/>
  <c r="H357" i="1"/>
  <c r="I357" i="1"/>
  <c r="P357" i="1" l="1"/>
  <c r="D358" i="1"/>
  <c r="J357" i="1"/>
  <c r="K357" i="1" s="1"/>
  <c r="R357" i="1"/>
  <c r="S357" i="1" s="1"/>
  <c r="Q358" i="1" l="1"/>
  <c r="I358" i="1"/>
  <c r="L358" i="1"/>
  <c r="N358" i="1" s="1"/>
  <c r="E358" i="1"/>
  <c r="G358" i="1" s="1"/>
  <c r="H358" i="1"/>
  <c r="O358" i="1"/>
  <c r="P358" i="1" l="1"/>
  <c r="J358" i="1"/>
  <c r="K358" i="1" s="1"/>
  <c r="D359" i="1"/>
  <c r="R358" i="1"/>
  <c r="S358" i="1" s="1"/>
  <c r="Q359" i="1" l="1"/>
  <c r="L359" i="1"/>
  <c r="N359" i="1" s="1"/>
  <c r="R359" i="1" s="1"/>
  <c r="Q360" i="1" s="1"/>
  <c r="O359" i="1"/>
  <c r="H359" i="1"/>
  <c r="E359" i="1"/>
  <c r="G359" i="1" s="1"/>
  <c r="I359" i="1"/>
  <c r="S359" i="1" l="1"/>
  <c r="P359" i="1"/>
  <c r="D360" i="1"/>
  <c r="J359" i="1"/>
  <c r="K359" i="1" s="1"/>
  <c r="I360" i="1" l="1"/>
  <c r="H360" i="1"/>
  <c r="O360" i="1"/>
  <c r="L360" i="1"/>
  <c r="N360" i="1" s="1"/>
  <c r="E360" i="1"/>
  <c r="G360" i="1" s="1"/>
  <c r="J360" i="1" l="1"/>
  <c r="K360" i="1" s="1"/>
  <c r="D361" i="1"/>
  <c r="R360" i="1"/>
  <c r="S360" i="1" s="1"/>
  <c r="P360" i="1"/>
  <c r="I361" i="1" l="1"/>
  <c r="Q361" i="1"/>
  <c r="O361" i="1"/>
  <c r="E361" i="1"/>
  <c r="G361" i="1" s="1"/>
  <c r="L361" i="1"/>
  <c r="N361" i="1" s="1"/>
  <c r="H361" i="1"/>
  <c r="R361" i="1" l="1"/>
  <c r="S361" i="1" s="1"/>
  <c r="D362" i="1"/>
  <c r="J361" i="1"/>
  <c r="K361" i="1" s="1"/>
  <c r="P361" i="1"/>
  <c r="I362" i="1" l="1"/>
  <c r="Q362" i="1"/>
  <c r="H362" i="1"/>
  <c r="O362" i="1"/>
  <c r="L362" i="1"/>
  <c r="N362" i="1" s="1"/>
  <c r="R362" i="1" s="1"/>
  <c r="Q363" i="1" s="1"/>
  <c r="E362" i="1"/>
  <c r="G362" i="1" s="1"/>
  <c r="S362" i="1" l="1"/>
  <c r="D363" i="1"/>
  <c r="J362" i="1"/>
  <c r="K362" i="1" s="1"/>
  <c r="P362" i="1"/>
  <c r="I363" i="1" l="1"/>
  <c r="E363" i="1"/>
  <c r="G363" i="1" s="1"/>
  <c r="O363" i="1"/>
  <c r="L363" i="1"/>
  <c r="N363" i="1" s="1"/>
  <c r="H363" i="1"/>
  <c r="R363" i="1" l="1"/>
  <c r="S363" i="1" s="1"/>
  <c r="P363" i="1"/>
  <c r="D364" i="1"/>
  <c r="J363" i="1"/>
  <c r="K363" i="1" s="1"/>
  <c r="Q364" i="1" l="1"/>
  <c r="I364" i="1"/>
  <c r="O364" i="1"/>
  <c r="H364" i="1"/>
  <c r="E364" i="1"/>
  <c r="G364" i="1" s="1"/>
  <c r="L364" i="1"/>
  <c r="N364" i="1" s="1"/>
  <c r="R364" i="1" l="1"/>
  <c r="S364" i="1" s="1"/>
  <c r="D365" i="1"/>
  <c r="J364" i="1"/>
  <c r="K364" i="1" s="1"/>
  <c r="P364" i="1"/>
  <c r="Q365" i="1" l="1"/>
  <c r="E365" i="1"/>
  <c r="G365" i="1" s="1"/>
  <c r="O365" i="1"/>
  <c r="H365" i="1"/>
  <c r="L365" i="1"/>
  <c r="N365" i="1" s="1"/>
  <c r="I365" i="1"/>
  <c r="R365" i="1" l="1"/>
  <c r="S365" i="1" s="1"/>
  <c r="Q366" i="1"/>
  <c r="P365" i="1"/>
  <c r="J365" i="1"/>
  <c r="K365" i="1" s="1"/>
  <c r="D366" i="1"/>
  <c r="I366" i="1" l="1"/>
  <c r="O366" i="1"/>
  <c r="L366" i="1"/>
  <c r="N366" i="1" s="1"/>
  <c r="E366" i="1"/>
  <c r="G366" i="1" s="1"/>
  <c r="H366" i="1"/>
  <c r="J366" i="1" l="1"/>
  <c r="K366" i="1" s="1"/>
  <c r="D367" i="1"/>
  <c r="I367" i="1"/>
  <c r="R366" i="1"/>
  <c r="S366" i="1" s="1"/>
  <c r="P366" i="1"/>
  <c r="Q367" i="1" l="1"/>
  <c r="H367" i="1"/>
  <c r="L367" i="1"/>
  <c r="N367" i="1" s="1"/>
  <c r="O367" i="1"/>
  <c r="E367" i="1"/>
  <c r="G367" i="1" s="1"/>
  <c r="D368" i="1" l="1"/>
  <c r="J367" i="1"/>
  <c r="K367" i="1" s="1"/>
  <c r="R367" i="1"/>
  <c r="S367" i="1" s="1"/>
  <c r="P367" i="1"/>
  <c r="Q368" i="1" l="1"/>
  <c r="I368" i="1"/>
  <c r="L368" i="1"/>
  <c r="N368" i="1" s="1"/>
  <c r="R368" i="1" s="1"/>
  <c r="Q369" i="1" s="1"/>
  <c r="O368" i="1"/>
  <c r="E368" i="1"/>
  <c r="G368" i="1" s="1"/>
  <c r="H368" i="1"/>
  <c r="P368" i="1" l="1"/>
  <c r="J368" i="1"/>
  <c r="K368" i="1" s="1"/>
  <c r="D369" i="1"/>
  <c r="S368" i="1"/>
  <c r="I369" i="1" l="1"/>
  <c r="O369" i="1"/>
  <c r="H369" i="1"/>
  <c r="E369" i="1"/>
  <c r="G369" i="1" s="1"/>
  <c r="L369" i="1"/>
  <c r="N369" i="1" s="1"/>
  <c r="R369" i="1" l="1"/>
  <c r="S369" i="1" s="1"/>
  <c r="P369" i="1"/>
  <c r="J369" i="1"/>
  <c r="K369" i="1" s="1"/>
  <c r="D370" i="1"/>
  <c r="Q370" i="1" l="1"/>
  <c r="I370" i="1"/>
  <c r="H370" i="1"/>
  <c r="L370" i="1"/>
  <c r="N370" i="1" s="1"/>
  <c r="E370" i="1"/>
  <c r="G370" i="1" s="1"/>
  <c r="O370" i="1"/>
  <c r="D371" i="1" l="1"/>
  <c r="J370" i="1"/>
  <c r="K370" i="1" s="1"/>
  <c r="R370" i="1"/>
  <c r="S370" i="1" s="1"/>
  <c r="P370" i="1"/>
  <c r="I371" i="1" l="1"/>
  <c r="Q371" i="1"/>
  <c r="H371" i="1"/>
  <c r="E371" i="1"/>
  <c r="G371" i="1" s="1"/>
  <c r="O371" i="1"/>
  <c r="L371" i="1"/>
  <c r="N371" i="1" s="1"/>
  <c r="R371" i="1" l="1"/>
  <c r="S371" i="1" s="1"/>
  <c r="J371" i="1"/>
  <c r="K371" i="1" s="1"/>
  <c r="D372" i="1"/>
  <c r="P371" i="1"/>
  <c r="Q372" i="1" l="1"/>
  <c r="I372" i="1"/>
  <c r="H372" i="1"/>
  <c r="E372" i="1"/>
  <c r="G372" i="1" s="1"/>
  <c r="O372" i="1"/>
  <c r="L372" i="1"/>
  <c r="N372" i="1" s="1"/>
  <c r="R372" i="1" s="1"/>
  <c r="Q373" i="1" s="1"/>
  <c r="D373" i="1" l="1"/>
  <c r="J372" i="1"/>
  <c r="S372" i="1"/>
  <c r="P372" i="1"/>
  <c r="I373" i="1" l="1"/>
  <c r="K372" i="1"/>
  <c r="H373" i="1"/>
  <c r="O373" i="1"/>
  <c r="L373" i="1"/>
  <c r="N373" i="1" s="1"/>
  <c r="E373" i="1"/>
  <c r="G373" i="1" s="1"/>
  <c r="P373" i="1" l="1"/>
  <c r="D374" i="1"/>
  <c r="J373" i="1"/>
  <c r="K373" i="1" s="1"/>
  <c r="R373" i="1"/>
  <c r="S373" i="1" s="1"/>
  <c r="I374" i="1" l="1"/>
  <c r="Q374" i="1"/>
  <c r="E374" i="1"/>
  <c r="G374" i="1" s="1"/>
  <c r="L374" i="1"/>
  <c r="N374" i="1" s="1"/>
  <c r="H374" i="1"/>
  <c r="O374" i="1"/>
  <c r="P374" i="1" l="1"/>
  <c r="R374" i="1"/>
  <c r="S374" i="1" s="1"/>
  <c r="J374" i="1"/>
  <c r="K374" i="1" s="1"/>
  <c r="D375" i="1"/>
  <c r="Q375" i="1" l="1"/>
  <c r="O375" i="1"/>
  <c r="E375" i="1"/>
  <c r="G375" i="1" s="1"/>
  <c r="L375" i="1"/>
  <c r="N375" i="1" s="1"/>
  <c r="R375" i="1" s="1"/>
  <c r="Q376" i="1" s="1"/>
  <c r="H375" i="1"/>
  <c r="I375" i="1"/>
  <c r="S375" i="1" l="1"/>
  <c r="D376" i="1"/>
  <c r="J375" i="1"/>
  <c r="K375" i="1" s="1"/>
  <c r="P375" i="1"/>
  <c r="I376" i="1" l="1"/>
  <c r="O376" i="1"/>
  <c r="E376" i="1"/>
  <c r="G376" i="1" s="1"/>
  <c r="L376" i="1"/>
  <c r="N376" i="1" s="1"/>
  <c r="H376" i="1"/>
  <c r="R376" i="1" l="1"/>
  <c r="S376" i="1" s="1"/>
  <c r="J376" i="1"/>
  <c r="K376" i="1" s="1"/>
  <c r="D377" i="1"/>
  <c r="P376" i="1"/>
  <c r="Q377" i="1" l="1"/>
  <c r="L377" i="1"/>
  <c r="N377" i="1" s="1"/>
  <c r="R377" i="1" s="1"/>
  <c r="Q378" i="1" s="1"/>
  <c r="E377" i="1"/>
  <c r="G377" i="1" s="1"/>
  <c r="H377" i="1"/>
  <c r="O377" i="1"/>
  <c r="I377" i="1"/>
  <c r="P377" i="1" l="1"/>
  <c r="S377" i="1"/>
  <c r="J377" i="1"/>
  <c r="K377" i="1" s="1"/>
  <c r="D378" i="1"/>
  <c r="I378" i="1" l="1"/>
  <c r="E378" i="1"/>
  <c r="G378" i="1" s="1"/>
  <c r="L378" i="1"/>
  <c r="N378" i="1" s="1"/>
  <c r="O378" i="1"/>
  <c r="H378" i="1"/>
  <c r="P378" i="1" l="1"/>
  <c r="R378" i="1"/>
  <c r="S378" i="1" s="1"/>
  <c r="Q379" i="1"/>
  <c r="D379" i="1"/>
  <c r="J378" i="1"/>
  <c r="K378" i="1" s="1"/>
  <c r="I379" i="1" l="1"/>
  <c r="E379" i="1"/>
  <c r="G379" i="1" s="1"/>
  <c r="L379" i="1"/>
  <c r="N379" i="1" s="1"/>
  <c r="O379" i="1"/>
  <c r="H379" i="1"/>
  <c r="P379" i="1" l="1"/>
  <c r="R379" i="1"/>
  <c r="S379" i="1" s="1"/>
  <c r="J379" i="1"/>
  <c r="K379" i="1" s="1"/>
  <c r="D380" i="1"/>
  <c r="Q380" i="1" l="1"/>
  <c r="I380" i="1"/>
  <c r="L380" i="1"/>
  <c r="N380" i="1" s="1"/>
  <c r="O380" i="1"/>
  <c r="E380" i="1"/>
  <c r="G380" i="1" s="1"/>
  <c r="H380" i="1"/>
  <c r="D381" i="1" l="1"/>
  <c r="J380" i="1"/>
  <c r="K380" i="1" s="1"/>
  <c r="P380" i="1"/>
  <c r="R380" i="1"/>
  <c r="S380" i="1" s="1"/>
  <c r="Q381" i="1" l="1"/>
  <c r="I381" i="1"/>
  <c r="O381" i="1"/>
  <c r="L381" i="1"/>
  <c r="N381" i="1" s="1"/>
  <c r="H381" i="1"/>
  <c r="E381" i="1"/>
  <c r="G381" i="1" s="1"/>
  <c r="P381" i="1" l="1"/>
  <c r="J381" i="1"/>
  <c r="K381" i="1" s="1"/>
  <c r="D382" i="1"/>
  <c r="R381" i="1"/>
  <c r="S381" i="1" s="1"/>
  <c r="I382" i="1" l="1"/>
  <c r="Q382" i="1"/>
  <c r="E382" i="1"/>
  <c r="G382" i="1" s="1"/>
  <c r="O382" i="1"/>
  <c r="H382" i="1"/>
  <c r="L382" i="1"/>
  <c r="N382" i="1" s="1"/>
  <c r="D383" i="1" l="1"/>
  <c r="J382" i="1"/>
  <c r="K382" i="1" s="1"/>
  <c r="P382" i="1"/>
  <c r="R382" i="1"/>
  <c r="S382" i="1" s="1"/>
  <c r="I383" i="1" l="1"/>
  <c r="Q383" i="1"/>
  <c r="L383" i="1"/>
  <c r="N383" i="1" s="1"/>
  <c r="H383" i="1"/>
  <c r="E383" i="1"/>
  <c r="G383" i="1" s="1"/>
  <c r="O383" i="1"/>
  <c r="P383" i="1" l="1"/>
  <c r="J383" i="1"/>
  <c r="K383" i="1" s="1"/>
  <c r="D384" i="1"/>
  <c r="R383" i="1"/>
  <c r="S383" i="1" s="1"/>
  <c r="I384" i="1" l="1"/>
  <c r="O384" i="1"/>
  <c r="L384" i="1"/>
  <c r="N384" i="1" s="1"/>
  <c r="E384" i="1"/>
  <c r="G384" i="1" s="1"/>
  <c r="H384" i="1"/>
  <c r="Q384" i="1"/>
  <c r="R384" i="1" l="1"/>
  <c r="S384" i="1" s="1"/>
  <c r="Q385" i="1"/>
  <c r="D385" i="1"/>
  <c r="J384" i="1"/>
  <c r="K384" i="1" s="1"/>
  <c r="P384" i="1"/>
  <c r="I385" i="1" l="1"/>
  <c r="E385" i="1"/>
  <c r="G385" i="1" s="1"/>
  <c r="L385" i="1"/>
  <c r="N385" i="1" s="1"/>
  <c r="H385" i="1"/>
  <c r="O385" i="1"/>
  <c r="P385" i="1" l="1"/>
  <c r="R385" i="1"/>
  <c r="S385" i="1" s="1"/>
  <c r="D386" i="1"/>
  <c r="J385" i="1"/>
  <c r="K385" i="1" s="1"/>
  <c r="Q386" i="1" l="1"/>
  <c r="I386" i="1"/>
  <c r="E386" i="1"/>
  <c r="G386" i="1" s="1"/>
  <c r="L386" i="1"/>
  <c r="N386" i="1" s="1"/>
  <c r="H386" i="1"/>
  <c r="O386" i="1"/>
  <c r="P386" i="1" l="1"/>
  <c r="R386" i="1"/>
  <c r="S386" i="1" s="1"/>
  <c r="D387" i="1"/>
  <c r="J386" i="1"/>
  <c r="K386" i="1" s="1"/>
  <c r="Q387" i="1" l="1"/>
  <c r="I387" i="1"/>
  <c r="L387" i="1"/>
  <c r="N387" i="1" s="1"/>
  <c r="E387" i="1"/>
  <c r="G387" i="1" s="1"/>
  <c r="O387" i="1"/>
  <c r="H387" i="1"/>
  <c r="D388" i="1" l="1"/>
  <c r="J387" i="1"/>
  <c r="P387" i="1"/>
  <c r="R387" i="1"/>
  <c r="S387" i="1" s="1"/>
  <c r="Q388" i="1" l="1"/>
  <c r="I388" i="1"/>
  <c r="K387" i="1"/>
  <c r="E388" i="1"/>
  <c r="G388" i="1" s="1"/>
  <c r="L388" i="1"/>
  <c r="N388" i="1" s="1"/>
  <c r="R388" i="1" s="1"/>
  <c r="Q389" i="1" s="1"/>
  <c r="O388" i="1"/>
  <c r="H388" i="1"/>
  <c r="P388" i="1" l="1"/>
  <c r="S388" i="1"/>
  <c r="J388" i="1"/>
  <c r="K388" i="1" s="1"/>
  <c r="D389" i="1"/>
  <c r="I389" i="1"/>
  <c r="E389" i="1" l="1"/>
  <c r="G389" i="1" s="1"/>
  <c r="O389" i="1"/>
  <c r="H389" i="1"/>
  <c r="L389" i="1"/>
  <c r="N389" i="1" s="1"/>
  <c r="P389" i="1" l="1"/>
  <c r="R389" i="1"/>
  <c r="S389" i="1" s="1"/>
  <c r="Q390" i="1"/>
  <c r="D390" i="1"/>
  <c r="J389" i="1"/>
  <c r="K389" i="1" s="1"/>
  <c r="I390" i="1" l="1"/>
  <c r="L390" i="1"/>
  <c r="N390" i="1" s="1"/>
  <c r="H390" i="1"/>
  <c r="O390" i="1"/>
  <c r="E390" i="1"/>
  <c r="G390" i="1" s="1"/>
  <c r="J390" i="1" l="1"/>
  <c r="K390" i="1" s="1"/>
  <c r="D391" i="1"/>
  <c r="I391" i="1"/>
  <c r="P390" i="1"/>
  <c r="R390" i="1"/>
  <c r="S390" i="1" s="1"/>
  <c r="Q391" i="1" l="1"/>
  <c r="L391" i="1"/>
  <c r="N391" i="1" s="1"/>
  <c r="H391" i="1"/>
  <c r="E391" i="1"/>
  <c r="G391" i="1" s="1"/>
  <c r="P391" i="1" s="1"/>
  <c r="O391" i="1"/>
  <c r="D392" i="1" l="1"/>
  <c r="J391" i="1"/>
  <c r="K391" i="1" s="1"/>
  <c r="R391" i="1"/>
  <c r="S391" i="1" s="1"/>
  <c r="I392" i="1" l="1"/>
  <c r="Q392" i="1"/>
  <c r="H392" i="1"/>
  <c r="L392" i="1"/>
  <c r="N392" i="1" s="1"/>
  <c r="O392" i="1"/>
  <c r="E392" i="1"/>
  <c r="G392" i="1" s="1"/>
  <c r="P392" i="1" l="1"/>
  <c r="R392" i="1"/>
  <c r="S392" i="1" s="1"/>
  <c r="D393" i="1"/>
  <c r="J392" i="1"/>
  <c r="K392" i="1" s="1"/>
  <c r="Q393" i="1" l="1"/>
  <c r="I393" i="1"/>
  <c r="L393" i="1"/>
  <c r="N393" i="1" s="1"/>
  <c r="O393" i="1"/>
  <c r="E393" i="1"/>
  <c r="G393" i="1" s="1"/>
  <c r="H393" i="1"/>
  <c r="D394" i="1" l="1"/>
  <c r="J393" i="1"/>
  <c r="K393" i="1" s="1"/>
  <c r="P393" i="1"/>
  <c r="R393" i="1"/>
  <c r="S393" i="1" s="1"/>
  <c r="Q394" i="1" l="1"/>
  <c r="I394" i="1"/>
  <c r="E394" i="1"/>
  <c r="G394" i="1" s="1"/>
  <c r="O394" i="1"/>
  <c r="H394" i="1"/>
  <c r="L394" i="1"/>
  <c r="N394" i="1" s="1"/>
  <c r="P394" i="1" l="1"/>
  <c r="R394" i="1"/>
  <c r="S394" i="1" s="1"/>
  <c r="J394" i="1"/>
  <c r="K394" i="1" s="1"/>
  <c r="D395" i="1"/>
  <c r="Q395" i="1" l="1"/>
  <c r="I395" i="1"/>
  <c r="O395" i="1"/>
  <c r="L395" i="1"/>
  <c r="N395" i="1" s="1"/>
  <c r="H395" i="1"/>
  <c r="E395" i="1"/>
  <c r="G395" i="1" s="1"/>
  <c r="D396" i="1" l="1"/>
  <c r="J395" i="1"/>
  <c r="K395" i="1" s="1"/>
  <c r="R395" i="1"/>
  <c r="S395" i="1" s="1"/>
  <c r="P395" i="1"/>
  <c r="Q396" i="1" l="1"/>
  <c r="I396" i="1"/>
  <c r="E396" i="1"/>
  <c r="G396" i="1" s="1"/>
  <c r="L396" i="1"/>
  <c r="N396" i="1" s="1"/>
  <c r="H396" i="1"/>
  <c r="O396" i="1"/>
  <c r="P396" i="1" l="1"/>
  <c r="R396" i="1"/>
  <c r="S396" i="1" s="1"/>
  <c r="D397" i="1"/>
  <c r="J396" i="1"/>
  <c r="K396" i="1" s="1"/>
  <c r="Q397" i="1" l="1"/>
  <c r="E397" i="1"/>
  <c r="G397" i="1" s="1"/>
  <c r="O397" i="1"/>
  <c r="H397" i="1"/>
  <c r="L397" i="1"/>
  <c r="N397" i="1" s="1"/>
  <c r="I397" i="1"/>
  <c r="R397" i="1" l="1"/>
  <c r="S397" i="1" s="1"/>
  <c r="P397" i="1"/>
  <c r="D398" i="1"/>
  <c r="J397" i="1"/>
  <c r="K397" i="1" s="1"/>
  <c r="Q398" i="1" l="1"/>
  <c r="I398" i="1"/>
  <c r="E398" i="1"/>
  <c r="G398" i="1" s="1"/>
  <c r="H398" i="1"/>
  <c r="L398" i="1"/>
  <c r="N398" i="1" s="1"/>
  <c r="R398" i="1" s="1"/>
  <c r="Q399" i="1" s="1"/>
  <c r="O398" i="1"/>
  <c r="J398" i="1" l="1"/>
  <c r="K398" i="1" s="1"/>
  <c r="D399" i="1"/>
  <c r="P398" i="1"/>
  <c r="S398" i="1"/>
  <c r="I399" i="1" l="1"/>
  <c r="E399" i="1"/>
  <c r="G399" i="1" s="1"/>
  <c r="H399" i="1"/>
  <c r="O399" i="1"/>
  <c r="L399" i="1"/>
  <c r="N399" i="1" s="1"/>
  <c r="P399" i="1" l="1"/>
  <c r="R399" i="1"/>
  <c r="S399" i="1" s="1"/>
  <c r="D400" i="1"/>
  <c r="J399" i="1"/>
  <c r="K399" i="1" s="1"/>
  <c r="Q400" i="1" l="1"/>
  <c r="O400" i="1"/>
  <c r="L400" i="1"/>
  <c r="N400" i="1" s="1"/>
  <c r="E400" i="1"/>
  <c r="G400" i="1" s="1"/>
  <c r="H400" i="1"/>
  <c r="I400" i="1"/>
  <c r="D401" i="1" l="1"/>
  <c r="J400" i="1"/>
  <c r="K400" i="1" s="1"/>
  <c r="R400" i="1"/>
  <c r="S400" i="1" s="1"/>
  <c r="P400" i="1"/>
  <c r="Q401" i="1" l="1"/>
  <c r="I401" i="1"/>
  <c r="E401" i="1"/>
  <c r="G401" i="1" s="1"/>
  <c r="O401" i="1"/>
  <c r="L401" i="1"/>
  <c r="N401" i="1" s="1"/>
  <c r="H401" i="1"/>
  <c r="R401" i="1" l="1"/>
  <c r="S401" i="1" s="1"/>
  <c r="P401" i="1"/>
  <c r="J401" i="1"/>
  <c r="K401" i="1" s="1"/>
  <c r="D402" i="1"/>
  <c r="Q402" i="1" l="1"/>
  <c r="I402" i="1"/>
  <c r="L402" i="1"/>
  <c r="N402" i="1" s="1"/>
  <c r="H402" i="1"/>
  <c r="O402" i="1"/>
  <c r="E402" i="1"/>
  <c r="G402" i="1" s="1"/>
  <c r="P402" i="1" l="1"/>
  <c r="R402" i="1"/>
  <c r="S402" i="1" s="1"/>
  <c r="J402" i="1"/>
  <c r="K402" i="1" s="1"/>
  <c r="D403" i="1"/>
  <c r="Q403" i="1" l="1"/>
  <c r="I403" i="1"/>
  <c r="L403" i="1"/>
  <c r="N403" i="1" s="1"/>
  <c r="R403" i="1" s="1"/>
  <c r="Q404" i="1" s="1"/>
  <c r="H403" i="1"/>
  <c r="E403" i="1"/>
  <c r="G403" i="1" s="1"/>
  <c r="O403" i="1"/>
  <c r="S403" i="1" l="1"/>
  <c r="P403" i="1"/>
  <c r="J403" i="1"/>
  <c r="K403" i="1" s="1"/>
  <c r="D404" i="1"/>
  <c r="I404" i="1" l="1"/>
  <c r="E404" i="1"/>
  <c r="G404" i="1" s="1"/>
  <c r="O404" i="1"/>
  <c r="H404" i="1"/>
  <c r="L404" i="1"/>
  <c r="N404" i="1" s="1"/>
  <c r="P404" i="1" l="1"/>
  <c r="R404" i="1"/>
  <c r="S404" i="1" s="1"/>
  <c r="D405" i="1"/>
  <c r="J404" i="1"/>
  <c r="K404" i="1" s="1"/>
  <c r="Q405" i="1" l="1"/>
  <c r="I405" i="1"/>
  <c r="H405" i="1"/>
  <c r="E405" i="1"/>
  <c r="G405" i="1" s="1"/>
  <c r="L405" i="1"/>
  <c r="N405" i="1" s="1"/>
  <c r="O405" i="1"/>
  <c r="R405" i="1" l="1"/>
  <c r="S405" i="1" s="1"/>
  <c r="J405" i="1"/>
  <c r="K405" i="1" s="1"/>
  <c r="D406" i="1"/>
  <c r="P405" i="1"/>
  <c r="Q406" i="1" l="1"/>
  <c r="E406" i="1"/>
  <c r="G406" i="1" s="1"/>
  <c r="H406" i="1"/>
  <c r="O406" i="1"/>
  <c r="L406" i="1"/>
  <c r="N406" i="1" s="1"/>
  <c r="I406" i="1"/>
  <c r="R406" i="1" l="1"/>
  <c r="S406" i="1" s="1"/>
  <c r="P406" i="1"/>
  <c r="J406" i="1"/>
  <c r="K406" i="1" s="1"/>
  <c r="D407" i="1"/>
  <c r="Q407" i="1" l="1"/>
  <c r="I407" i="1"/>
  <c r="O407" i="1"/>
  <c r="E407" i="1"/>
  <c r="G407" i="1" s="1"/>
  <c r="L407" i="1"/>
  <c r="N407" i="1" s="1"/>
  <c r="H407" i="1"/>
  <c r="D408" i="1" l="1"/>
  <c r="J407" i="1"/>
  <c r="K407" i="1" s="1"/>
  <c r="R407" i="1"/>
  <c r="S407" i="1" s="1"/>
  <c r="P407" i="1"/>
  <c r="I408" i="1" l="1"/>
  <c r="Q408" i="1"/>
  <c r="O408" i="1"/>
  <c r="E408" i="1"/>
  <c r="G408" i="1" s="1"/>
  <c r="L408" i="1"/>
  <c r="N408" i="1" s="1"/>
  <c r="H408" i="1"/>
  <c r="R408" i="1" l="1"/>
  <c r="S408" i="1" s="1"/>
  <c r="J408" i="1"/>
  <c r="K408" i="1" s="1"/>
  <c r="D409" i="1"/>
  <c r="P408" i="1"/>
  <c r="Q409" i="1" l="1"/>
  <c r="E409" i="1"/>
  <c r="G409" i="1" s="1"/>
  <c r="O409" i="1"/>
  <c r="H409" i="1"/>
  <c r="L409" i="1"/>
  <c r="N409" i="1" s="1"/>
  <c r="I409" i="1"/>
  <c r="R409" i="1" l="1"/>
  <c r="S409" i="1" s="1"/>
  <c r="P409" i="1"/>
  <c r="D410" i="1"/>
  <c r="J409" i="1"/>
  <c r="K409" i="1" s="1"/>
  <c r="Q410" i="1" l="1"/>
  <c r="I410" i="1"/>
  <c r="H410" i="1"/>
  <c r="E410" i="1"/>
  <c r="G410" i="1" s="1"/>
  <c r="L410" i="1"/>
  <c r="N410" i="1" s="1"/>
  <c r="O410" i="1"/>
  <c r="D411" i="1" l="1"/>
  <c r="J410" i="1"/>
  <c r="K410" i="1" s="1"/>
  <c r="R410" i="1"/>
  <c r="S410" i="1" s="1"/>
  <c r="P410" i="1"/>
  <c r="Q411" i="1" l="1"/>
  <c r="I411" i="1"/>
  <c r="L411" i="1"/>
  <c r="N411" i="1" s="1"/>
  <c r="O411" i="1"/>
  <c r="H411" i="1"/>
  <c r="E411" i="1"/>
  <c r="G411" i="1" s="1"/>
  <c r="P411" i="1" l="1"/>
  <c r="R411" i="1"/>
  <c r="S411" i="1" s="1"/>
  <c r="J411" i="1"/>
  <c r="D412" i="1"/>
  <c r="Q412" i="1" l="1"/>
  <c r="I412" i="1"/>
  <c r="K411" i="1"/>
  <c r="H412" i="1"/>
  <c r="E412" i="1"/>
  <c r="G412" i="1" s="1"/>
  <c r="L412" i="1"/>
  <c r="N412" i="1" s="1"/>
  <c r="R412" i="1" s="1"/>
  <c r="Q413" i="1" s="1"/>
  <c r="O412" i="1"/>
  <c r="S412" i="1" l="1"/>
  <c r="J412" i="1"/>
  <c r="K412" i="1" s="1"/>
  <c r="D413" i="1"/>
  <c r="P412" i="1"/>
  <c r="I413" i="1" l="1"/>
  <c r="H413" i="1"/>
  <c r="E413" i="1"/>
  <c r="G413" i="1" s="1"/>
  <c r="L413" i="1"/>
  <c r="N413" i="1" s="1"/>
  <c r="O413" i="1"/>
  <c r="J413" i="1" l="1"/>
  <c r="K413" i="1" s="1"/>
  <c r="D414" i="1"/>
  <c r="R413" i="1"/>
  <c r="S413" i="1" s="1"/>
  <c r="P413" i="1"/>
  <c r="Q414" i="1" l="1"/>
  <c r="L414" i="1"/>
  <c r="N414" i="1" s="1"/>
  <c r="R414" i="1" s="1"/>
  <c r="Q415" i="1" s="1"/>
  <c r="E414" i="1"/>
  <c r="G414" i="1" s="1"/>
  <c r="H414" i="1"/>
  <c r="O414" i="1"/>
  <c r="I414" i="1"/>
  <c r="P414" i="1" l="1"/>
  <c r="S414" i="1"/>
  <c r="D415" i="1"/>
  <c r="J414" i="1"/>
  <c r="K414" i="1" s="1"/>
  <c r="I415" i="1" l="1"/>
  <c r="O415" i="1"/>
  <c r="E415" i="1"/>
  <c r="G415" i="1" s="1"/>
  <c r="L415" i="1"/>
  <c r="N415" i="1" s="1"/>
  <c r="H415" i="1"/>
  <c r="D416" i="1" l="1"/>
  <c r="J415" i="1"/>
  <c r="K415" i="1" s="1"/>
  <c r="R415" i="1"/>
  <c r="S415" i="1" s="1"/>
  <c r="P415" i="1"/>
  <c r="Q416" i="1" l="1"/>
  <c r="I416" i="1"/>
  <c r="E416" i="1"/>
  <c r="G416" i="1" s="1"/>
  <c r="H416" i="1"/>
  <c r="L416" i="1"/>
  <c r="N416" i="1" s="1"/>
  <c r="O416" i="1"/>
  <c r="R416" i="1" l="1"/>
  <c r="S416" i="1" s="1"/>
  <c r="P416" i="1"/>
  <c r="J416" i="1"/>
  <c r="K416" i="1" s="1"/>
  <c r="D417" i="1"/>
  <c r="Q417" i="1" l="1"/>
  <c r="I417" i="1"/>
  <c r="O417" i="1"/>
  <c r="E417" i="1"/>
  <c r="G417" i="1" s="1"/>
  <c r="L417" i="1"/>
  <c r="N417" i="1" s="1"/>
  <c r="H417" i="1"/>
  <c r="R417" i="1" l="1"/>
  <c r="S417" i="1" s="1"/>
  <c r="J417" i="1"/>
  <c r="K417" i="1" s="1"/>
  <c r="D418" i="1"/>
  <c r="P417" i="1"/>
  <c r="Q418" i="1" l="1"/>
  <c r="I418" i="1"/>
  <c r="H418" i="1"/>
  <c r="O418" i="1"/>
  <c r="E418" i="1"/>
  <c r="G418" i="1" s="1"/>
  <c r="L418" i="1"/>
  <c r="N418" i="1" s="1"/>
  <c r="P418" i="1" l="1"/>
  <c r="D419" i="1"/>
  <c r="J418" i="1"/>
  <c r="K418" i="1" s="1"/>
  <c r="R418" i="1"/>
  <c r="S418" i="1" s="1"/>
  <c r="Q419" i="1" l="1"/>
  <c r="I419" i="1"/>
  <c r="E419" i="1"/>
  <c r="G419" i="1" s="1"/>
  <c r="O419" i="1"/>
  <c r="L419" i="1"/>
  <c r="N419" i="1" s="1"/>
  <c r="R419" i="1" s="1"/>
  <c r="Q420" i="1" s="1"/>
  <c r="H419" i="1"/>
  <c r="J419" i="1" l="1"/>
  <c r="K419" i="1" s="1"/>
  <c r="D420" i="1"/>
  <c r="S419" i="1"/>
  <c r="P419" i="1"/>
  <c r="I420" i="1" l="1"/>
  <c r="O420" i="1"/>
  <c r="H420" i="1"/>
  <c r="L420" i="1"/>
  <c r="N420" i="1" s="1"/>
  <c r="E420" i="1"/>
  <c r="G420" i="1" s="1"/>
  <c r="R420" i="1" l="1"/>
  <c r="S420" i="1" s="1"/>
  <c r="P420" i="1"/>
  <c r="D421" i="1"/>
  <c r="J420" i="1"/>
  <c r="K420" i="1" s="1"/>
  <c r="Q421" i="1" l="1"/>
  <c r="I421" i="1"/>
  <c r="H421" i="1"/>
  <c r="L421" i="1"/>
  <c r="N421" i="1" s="1"/>
  <c r="O421" i="1"/>
  <c r="E421" i="1"/>
  <c r="G421" i="1" s="1"/>
  <c r="P421" i="1" l="1"/>
  <c r="J421" i="1"/>
  <c r="D422" i="1"/>
  <c r="R421" i="1"/>
  <c r="S421" i="1" s="1"/>
  <c r="Q422" i="1" l="1"/>
  <c r="H422" i="1"/>
  <c r="E422" i="1"/>
  <c r="G422" i="1" s="1"/>
  <c r="L422" i="1"/>
  <c r="N422" i="1" s="1"/>
  <c r="O422" i="1"/>
  <c r="I422" i="1"/>
  <c r="K421" i="1"/>
  <c r="R422" i="1" l="1"/>
  <c r="S422" i="1" s="1"/>
  <c r="Q423" i="1"/>
  <c r="D423" i="1"/>
  <c r="J422" i="1"/>
  <c r="K422" i="1" s="1"/>
  <c r="P422" i="1"/>
  <c r="O423" i="1" l="1"/>
  <c r="L423" i="1"/>
  <c r="N423" i="1" s="1"/>
  <c r="E423" i="1"/>
  <c r="G423" i="1" s="1"/>
  <c r="H423" i="1"/>
  <c r="I423" i="1"/>
  <c r="P423" i="1" l="1"/>
  <c r="J423" i="1"/>
  <c r="K423" i="1" s="1"/>
  <c r="D424" i="1"/>
  <c r="R423" i="1"/>
  <c r="S423" i="1" s="1"/>
  <c r="I424" i="1" l="1"/>
  <c r="O424" i="1"/>
  <c r="L424" i="1"/>
  <c r="N424" i="1" s="1"/>
  <c r="E424" i="1"/>
  <c r="G424" i="1" s="1"/>
  <c r="H424" i="1"/>
  <c r="Q424" i="1"/>
  <c r="J424" i="1" l="1"/>
  <c r="D425" i="1"/>
  <c r="R424" i="1"/>
  <c r="S424" i="1" s="1"/>
  <c r="P424" i="1"/>
  <c r="Q425" i="1" l="1"/>
  <c r="L425" i="1"/>
  <c r="N425" i="1" s="1"/>
  <c r="E425" i="1"/>
  <c r="G425" i="1" s="1"/>
  <c r="O425" i="1"/>
  <c r="H425" i="1"/>
  <c r="I425" i="1"/>
  <c r="K424" i="1"/>
  <c r="P425" i="1" l="1"/>
  <c r="D426" i="1"/>
  <c r="J425" i="1"/>
  <c r="K425" i="1" s="1"/>
  <c r="Q426" i="1"/>
  <c r="R425" i="1"/>
  <c r="S425" i="1" s="1"/>
  <c r="I426" i="1" l="1"/>
  <c r="H426" i="1"/>
  <c r="L426" i="1"/>
  <c r="N426" i="1" s="1"/>
  <c r="O426" i="1"/>
  <c r="E426" i="1"/>
  <c r="G426" i="1" s="1"/>
  <c r="R426" i="1" l="1"/>
  <c r="S426" i="1" s="1"/>
  <c r="J426" i="1"/>
  <c r="K426" i="1" s="1"/>
  <c r="D427" i="1"/>
  <c r="P426" i="1"/>
  <c r="Q427" i="1" l="1"/>
  <c r="I427" i="1"/>
  <c r="O427" i="1"/>
  <c r="L427" i="1"/>
  <c r="N427" i="1" s="1"/>
  <c r="R427" i="1" s="1"/>
  <c r="Q428" i="1" s="1"/>
  <c r="E427" i="1"/>
  <c r="G427" i="1" s="1"/>
  <c r="H427" i="1"/>
  <c r="J427" i="1" l="1"/>
  <c r="K427" i="1" s="1"/>
  <c r="D428" i="1"/>
  <c r="I428" i="1"/>
  <c r="P427" i="1"/>
  <c r="S427" i="1"/>
  <c r="E428" i="1" l="1"/>
  <c r="G428" i="1" s="1"/>
  <c r="O428" i="1"/>
  <c r="H428" i="1"/>
  <c r="L428" i="1"/>
  <c r="N428" i="1" s="1"/>
  <c r="P428" i="1" s="1"/>
  <c r="R428" i="1" l="1"/>
  <c r="S428" i="1" s="1"/>
  <c r="J428" i="1"/>
  <c r="K428" i="1" s="1"/>
  <c r="D429" i="1"/>
  <c r="Q429" i="1" l="1"/>
  <c r="I429" i="1"/>
  <c r="L429" i="1"/>
  <c r="N429" i="1" s="1"/>
  <c r="E429" i="1"/>
  <c r="G429" i="1" s="1"/>
  <c r="H429" i="1"/>
  <c r="O429" i="1"/>
  <c r="J429" i="1" l="1"/>
  <c r="K429" i="1" s="1"/>
  <c r="D430" i="1"/>
  <c r="P429" i="1"/>
  <c r="R429" i="1"/>
  <c r="S429" i="1" s="1"/>
  <c r="I430" i="1" l="1"/>
  <c r="Q430" i="1"/>
  <c r="H430" i="1"/>
  <c r="O430" i="1"/>
  <c r="E430" i="1"/>
  <c r="G430" i="1" s="1"/>
  <c r="L430" i="1"/>
  <c r="N430" i="1" s="1"/>
  <c r="J430" i="1" l="1"/>
  <c r="K430" i="1" s="1"/>
  <c r="D431" i="1"/>
  <c r="R430" i="1"/>
  <c r="S430" i="1" s="1"/>
  <c r="P430" i="1"/>
  <c r="Q431" i="1" l="1"/>
  <c r="L431" i="1"/>
  <c r="N431" i="1" s="1"/>
  <c r="R431" i="1" s="1"/>
  <c r="Q432" i="1" s="1"/>
  <c r="O431" i="1"/>
  <c r="H431" i="1"/>
  <c r="E431" i="1"/>
  <c r="G431" i="1" s="1"/>
  <c r="I431" i="1"/>
  <c r="S431" i="1" l="1"/>
  <c r="P431" i="1"/>
  <c r="J431" i="1"/>
  <c r="K431" i="1" s="1"/>
  <c r="D432" i="1"/>
  <c r="I432" i="1" l="1"/>
  <c r="H432" i="1"/>
  <c r="L432" i="1"/>
  <c r="N432" i="1" s="1"/>
  <c r="E432" i="1"/>
  <c r="G432" i="1" s="1"/>
  <c r="O432" i="1"/>
  <c r="J432" i="1" l="1"/>
  <c r="K432" i="1" s="1"/>
  <c r="D433" i="1"/>
  <c r="I433" i="1"/>
  <c r="R432" i="1"/>
  <c r="S432" i="1" s="1"/>
  <c r="P432" i="1"/>
  <c r="Q433" i="1" l="1"/>
  <c r="O433" i="1"/>
  <c r="L433" i="1"/>
  <c r="N433" i="1" s="1"/>
  <c r="R433" i="1" s="1"/>
  <c r="Q434" i="1" s="1"/>
  <c r="H433" i="1"/>
  <c r="E433" i="1"/>
  <c r="G433" i="1" s="1"/>
  <c r="D434" i="1" l="1"/>
  <c r="J433" i="1"/>
  <c r="K433" i="1" s="1"/>
  <c r="S433" i="1"/>
  <c r="P433" i="1"/>
  <c r="I434" i="1" l="1"/>
  <c r="E434" i="1"/>
  <c r="G434" i="1" s="1"/>
  <c r="H434" i="1"/>
  <c r="L434" i="1"/>
  <c r="N434" i="1" s="1"/>
  <c r="O434" i="1"/>
  <c r="P434" i="1" l="1"/>
  <c r="R434" i="1"/>
  <c r="S434" i="1" s="1"/>
  <c r="J434" i="1"/>
  <c r="K434" i="1" s="1"/>
  <c r="D435" i="1"/>
  <c r="Q435" i="1" l="1"/>
  <c r="O435" i="1"/>
  <c r="L435" i="1"/>
  <c r="N435" i="1" s="1"/>
  <c r="H435" i="1"/>
  <c r="E435" i="1"/>
  <c r="G435" i="1" s="1"/>
  <c r="I435" i="1"/>
  <c r="D436" i="1" l="1"/>
  <c r="J435" i="1"/>
  <c r="I436" i="1" s="1"/>
  <c r="R435" i="1"/>
  <c r="S435" i="1" s="1"/>
  <c r="P435" i="1"/>
  <c r="Q436" i="1" l="1"/>
  <c r="K435" i="1"/>
  <c r="L436" i="1"/>
  <c r="N436" i="1" s="1"/>
  <c r="E436" i="1"/>
  <c r="G436" i="1" s="1"/>
  <c r="H436" i="1"/>
  <c r="O436" i="1"/>
  <c r="J436" i="1" l="1"/>
  <c r="K436" i="1" s="1"/>
  <c r="D437" i="1"/>
  <c r="I437" i="1"/>
  <c r="P436" i="1"/>
  <c r="R436" i="1"/>
  <c r="S436" i="1" s="1"/>
  <c r="Q437" i="1"/>
  <c r="E437" i="1" l="1"/>
  <c r="G437" i="1" s="1"/>
  <c r="O437" i="1"/>
  <c r="L437" i="1"/>
  <c r="N437" i="1" s="1"/>
  <c r="H437" i="1"/>
  <c r="P437" i="1" l="1"/>
  <c r="D438" i="1"/>
  <c r="J437" i="1"/>
  <c r="K437" i="1" s="1"/>
  <c r="R437" i="1"/>
  <c r="S437" i="1" s="1"/>
  <c r="I438" i="1" l="1"/>
  <c r="Q438" i="1"/>
  <c r="E438" i="1"/>
  <c r="G438" i="1" s="1"/>
  <c r="H438" i="1"/>
  <c r="O438" i="1"/>
  <c r="L438" i="1"/>
  <c r="N438" i="1" s="1"/>
  <c r="P438" i="1" l="1"/>
  <c r="D439" i="1"/>
  <c r="J438" i="1"/>
  <c r="K438" i="1" s="1"/>
  <c r="R438" i="1"/>
  <c r="S438" i="1" s="1"/>
  <c r="I439" i="1" l="1"/>
  <c r="Q439" i="1"/>
  <c r="O439" i="1"/>
  <c r="L439" i="1"/>
  <c r="N439" i="1" s="1"/>
  <c r="H439" i="1"/>
  <c r="E439" i="1"/>
  <c r="G439" i="1" s="1"/>
  <c r="R439" i="1" l="1"/>
  <c r="S439" i="1" s="1"/>
  <c r="P439" i="1"/>
  <c r="D440" i="1"/>
  <c r="J439" i="1"/>
  <c r="K439" i="1" s="1"/>
  <c r="I440" i="1" l="1"/>
  <c r="Q440" i="1"/>
  <c r="O440" i="1"/>
  <c r="E440" i="1"/>
  <c r="G440" i="1" s="1"/>
  <c r="L440" i="1"/>
  <c r="N440" i="1" s="1"/>
  <c r="H440" i="1"/>
  <c r="R440" i="1" l="1"/>
  <c r="S440" i="1" s="1"/>
  <c r="Q441" i="1"/>
  <c r="J440" i="1"/>
  <c r="K440" i="1" s="1"/>
  <c r="D441" i="1"/>
  <c r="P440" i="1"/>
  <c r="I441" i="1" l="1"/>
  <c r="L441" i="1"/>
  <c r="N441" i="1" s="1"/>
  <c r="E441" i="1"/>
  <c r="G441" i="1" s="1"/>
  <c r="H441" i="1"/>
  <c r="O441" i="1"/>
  <c r="D442" i="1" l="1"/>
  <c r="J441" i="1"/>
  <c r="K441" i="1" s="1"/>
  <c r="R441" i="1"/>
  <c r="S441" i="1" s="1"/>
  <c r="P441" i="1"/>
  <c r="I442" i="1" l="1"/>
  <c r="Q442" i="1"/>
  <c r="O442" i="1"/>
  <c r="L442" i="1"/>
  <c r="N442" i="1" s="1"/>
  <c r="R442" i="1" s="1"/>
  <c r="Q443" i="1" s="1"/>
  <c r="H442" i="1"/>
  <c r="E442" i="1"/>
  <c r="G442" i="1" s="1"/>
  <c r="P442" i="1" l="1"/>
  <c r="D443" i="1"/>
  <c r="J442" i="1"/>
  <c r="K442" i="1" s="1"/>
  <c r="S442" i="1"/>
  <c r="I443" i="1" l="1"/>
  <c r="L443" i="1"/>
  <c r="N443" i="1" s="1"/>
  <c r="O443" i="1"/>
  <c r="H443" i="1"/>
  <c r="E443" i="1"/>
  <c r="G443" i="1" s="1"/>
  <c r="D444" i="1" l="1"/>
  <c r="J443" i="1"/>
  <c r="K443" i="1" s="1"/>
  <c r="P443" i="1"/>
  <c r="R443" i="1"/>
  <c r="S443" i="1" s="1"/>
  <c r="Q444" i="1" l="1"/>
  <c r="I444" i="1"/>
  <c r="E444" i="1"/>
  <c r="G444" i="1" s="1"/>
  <c r="O444" i="1"/>
  <c r="H444" i="1"/>
  <c r="L444" i="1"/>
  <c r="N444" i="1" s="1"/>
  <c r="R444" i="1" s="1"/>
  <c r="Q445" i="1" s="1"/>
  <c r="P444" i="1" l="1"/>
  <c r="D445" i="1"/>
  <c r="J444" i="1"/>
  <c r="K444" i="1" s="1"/>
  <c r="S444" i="1"/>
  <c r="I445" i="1" l="1"/>
  <c r="H445" i="1"/>
  <c r="E445" i="1"/>
  <c r="G445" i="1" s="1"/>
  <c r="L445" i="1"/>
  <c r="N445" i="1" s="1"/>
  <c r="O445" i="1"/>
  <c r="R445" i="1" l="1"/>
  <c r="S445" i="1" s="1"/>
  <c r="Q446" i="1"/>
  <c r="J445" i="1"/>
  <c r="K445" i="1" s="1"/>
  <c r="D446" i="1"/>
  <c r="P445" i="1"/>
  <c r="I446" i="1" l="1"/>
  <c r="O446" i="1"/>
  <c r="H446" i="1"/>
  <c r="E446" i="1"/>
  <c r="G446" i="1" s="1"/>
  <c r="L446" i="1"/>
  <c r="N446" i="1" s="1"/>
  <c r="D447" i="1" l="1"/>
  <c r="J446" i="1"/>
  <c r="K446" i="1" s="1"/>
  <c r="R446" i="1"/>
  <c r="S446" i="1" s="1"/>
  <c r="P446" i="1"/>
  <c r="I447" i="1" l="1"/>
  <c r="Q447" i="1"/>
  <c r="E447" i="1"/>
  <c r="G447" i="1" s="1"/>
  <c r="O447" i="1"/>
  <c r="L447" i="1"/>
  <c r="N447" i="1" s="1"/>
  <c r="H447" i="1"/>
  <c r="R447" i="1" l="1"/>
  <c r="S447" i="1" s="1"/>
  <c r="P447" i="1"/>
  <c r="J447" i="1"/>
  <c r="K447" i="1" s="1"/>
  <c r="D448" i="1"/>
  <c r="Q448" i="1" l="1"/>
  <c r="I448" i="1"/>
  <c r="O448" i="1"/>
  <c r="H448" i="1"/>
  <c r="L448" i="1"/>
  <c r="N448" i="1" s="1"/>
  <c r="E448" i="1"/>
  <c r="G448" i="1" s="1"/>
  <c r="R448" i="1" l="1"/>
  <c r="S448" i="1" s="1"/>
  <c r="Q449" i="1"/>
  <c r="J448" i="1"/>
  <c r="K448" i="1" s="1"/>
  <c r="D449" i="1"/>
  <c r="P448" i="1"/>
  <c r="L449" i="1" l="1"/>
  <c r="N449" i="1" s="1"/>
  <c r="E449" i="1"/>
  <c r="G449" i="1" s="1"/>
  <c r="H449" i="1"/>
  <c r="O449" i="1"/>
  <c r="I449" i="1"/>
  <c r="P449" i="1" l="1"/>
  <c r="J449" i="1"/>
  <c r="K449" i="1" s="1"/>
  <c r="D450" i="1"/>
  <c r="R449" i="1"/>
  <c r="S449" i="1" s="1"/>
  <c r="I450" i="1" l="1"/>
  <c r="L450" i="1"/>
  <c r="N450" i="1" s="1"/>
  <c r="O450" i="1"/>
  <c r="H450" i="1"/>
  <c r="E450" i="1"/>
  <c r="G450" i="1" s="1"/>
  <c r="Q450" i="1"/>
  <c r="D451" i="1" l="1"/>
  <c r="J450" i="1"/>
  <c r="K450" i="1" s="1"/>
  <c r="P450" i="1"/>
  <c r="R450" i="1"/>
  <c r="S450" i="1" s="1"/>
  <c r="Q451" i="1" l="1"/>
  <c r="I451" i="1"/>
  <c r="L451" i="1"/>
  <c r="N451" i="1" s="1"/>
  <c r="H451" i="1"/>
  <c r="O451" i="1"/>
  <c r="E451" i="1"/>
  <c r="G451" i="1" s="1"/>
  <c r="P451" i="1" l="1"/>
  <c r="R451" i="1"/>
  <c r="S451" i="1" s="1"/>
  <c r="D452" i="1"/>
  <c r="J451" i="1"/>
  <c r="K451" i="1" s="1"/>
  <c r="Q452" i="1" l="1"/>
  <c r="I452" i="1"/>
  <c r="L452" i="1"/>
  <c r="N452" i="1" s="1"/>
  <c r="R452" i="1" s="1"/>
  <c r="Q453" i="1" s="1"/>
  <c r="H452" i="1"/>
  <c r="E452" i="1"/>
  <c r="G452" i="1" s="1"/>
  <c r="O452" i="1"/>
  <c r="S452" i="1" l="1"/>
  <c r="D453" i="1"/>
  <c r="J452" i="1"/>
  <c r="K452" i="1" s="1"/>
  <c r="P452" i="1"/>
  <c r="I453" i="1" l="1"/>
  <c r="O453" i="1"/>
  <c r="L453" i="1"/>
  <c r="N453" i="1" s="1"/>
  <c r="E453" i="1"/>
  <c r="G453" i="1" s="1"/>
  <c r="H453" i="1"/>
  <c r="D454" i="1" l="1"/>
  <c r="J453" i="1"/>
  <c r="K453" i="1" s="1"/>
  <c r="R453" i="1"/>
  <c r="S453" i="1" s="1"/>
  <c r="P453" i="1"/>
  <c r="Q454" i="1" l="1"/>
  <c r="I454" i="1"/>
  <c r="H454" i="1"/>
  <c r="E454" i="1"/>
  <c r="G454" i="1" s="1"/>
  <c r="O454" i="1"/>
  <c r="L454" i="1"/>
  <c r="N454" i="1" s="1"/>
  <c r="R454" i="1" l="1"/>
  <c r="S454" i="1" s="1"/>
  <c r="J454" i="1"/>
  <c r="K454" i="1" s="1"/>
  <c r="D455" i="1"/>
  <c r="P454" i="1"/>
  <c r="Q455" i="1" l="1"/>
  <c r="I455" i="1"/>
  <c r="L455" i="1"/>
  <c r="N455" i="1" s="1"/>
  <c r="E455" i="1"/>
  <c r="G455" i="1" s="1"/>
  <c r="O455" i="1"/>
  <c r="H455" i="1"/>
  <c r="J455" i="1" l="1"/>
  <c r="K455" i="1" s="1"/>
  <c r="D456" i="1"/>
  <c r="P455" i="1"/>
  <c r="R455" i="1"/>
  <c r="S455" i="1" s="1"/>
  <c r="I456" i="1" l="1"/>
  <c r="Q456" i="1"/>
  <c r="O456" i="1"/>
  <c r="E456" i="1"/>
  <c r="G456" i="1" s="1"/>
  <c r="H456" i="1"/>
  <c r="L456" i="1"/>
  <c r="N456" i="1" s="1"/>
  <c r="P456" i="1" l="1"/>
  <c r="R456" i="1"/>
  <c r="S456" i="1" s="1"/>
  <c r="D457" i="1"/>
  <c r="J456" i="1"/>
  <c r="K456" i="1" s="1"/>
  <c r="Q457" i="1" l="1"/>
  <c r="I457" i="1"/>
  <c r="H457" i="1"/>
  <c r="L457" i="1"/>
  <c r="N457" i="1" s="1"/>
  <c r="E457" i="1"/>
  <c r="G457" i="1" s="1"/>
  <c r="O457" i="1"/>
  <c r="D458" i="1" l="1"/>
  <c r="J457" i="1"/>
  <c r="K457" i="1" s="1"/>
  <c r="R457" i="1"/>
  <c r="S457" i="1" s="1"/>
  <c r="P457" i="1"/>
  <c r="I458" i="1" l="1"/>
  <c r="Q458" i="1"/>
  <c r="O458" i="1"/>
  <c r="L458" i="1"/>
  <c r="N458" i="1" s="1"/>
  <c r="R458" i="1" s="1"/>
  <c r="Q459" i="1" s="1"/>
  <c r="H458" i="1"/>
  <c r="E458" i="1"/>
  <c r="G458" i="1" s="1"/>
  <c r="P458" i="1" l="1"/>
  <c r="J458" i="1"/>
  <c r="K458" i="1" s="1"/>
  <c r="D459" i="1"/>
  <c r="S458" i="1"/>
  <c r="I459" i="1" l="1"/>
  <c r="O459" i="1"/>
  <c r="L459" i="1"/>
  <c r="N459" i="1" s="1"/>
  <c r="H459" i="1"/>
  <c r="E459" i="1"/>
  <c r="G459" i="1" s="1"/>
  <c r="P459" i="1" l="1"/>
  <c r="J459" i="1"/>
  <c r="K459" i="1" s="1"/>
  <c r="D460" i="1"/>
  <c r="R459" i="1"/>
  <c r="S459" i="1" s="1"/>
  <c r="Q460" i="1" l="1"/>
  <c r="I460" i="1"/>
  <c r="E460" i="1"/>
  <c r="G460" i="1" s="1"/>
  <c r="O460" i="1"/>
  <c r="H460" i="1"/>
  <c r="L460" i="1"/>
  <c r="N460" i="1" s="1"/>
  <c r="P460" i="1" l="1"/>
  <c r="R460" i="1"/>
  <c r="S460" i="1" s="1"/>
  <c r="J460" i="1"/>
  <c r="K460" i="1" s="1"/>
  <c r="D461" i="1"/>
  <c r="Q461" i="1" l="1"/>
  <c r="I461" i="1"/>
  <c r="H461" i="1"/>
  <c r="E461" i="1"/>
  <c r="G461" i="1" s="1"/>
  <c r="L461" i="1"/>
  <c r="N461" i="1" s="1"/>
  <c r="O461" i="1"/>
  <c r="R461" i="1" l="1"/>
  <c r="S461" i="1" s="1"/>
  <c r="J461" i="1"/>
  <c r="K461" i="1" s="1"/>
  <c r="D462" i="1"/>
  <c r="P461" i="1"/>
  <c r="Q462" i="1" l="1"/>
  <c r="I462" i="1"/>
  <c r="O462" i="1"/>
  <c r="E462" i="1"/>
  <c r="G462" i="1" s="1"/>
  <c r="H462" i="1"/>
  <c r="L462" i="1"/>
  <c r="N462" i="1" s="1"/>
  <c r="R462" i="1" l="1"/>
  <c r="S462" i="1" s="1"/>
  <c r="J462" i="1"/>
  <c r="K462" i="1" s="1"/>
  <c r="D463" i="1"/>
  <c r="P462" i="1"/>
  <c r="Q463" i="1" l="1"/>
  <c r="I463" i="1"/>
  <c r="L463" i="1"/>
  <c r="N463" i="1" s="1"/>
  <c r="H463" i="1"/>
  <c r="O463" i="1"/>
  <c r="E463" i="1"/>
  <c r="G463" i="1" s="1"/>
  <c r="D464" i="1" l="1"/>
  <c r="J463" i="1"/>
  <c r="K463" i="1" s="1"/>
  <c r="P463" i="1"/>
  <c r="R463" i="1"/>
  <c r="S463" i="1" s="1"/>
  <c r="Q464" i="1" l="1"/>
  <c r="I464" i="1"/>
  <c r="E464" i="1"/>
  <c r="G464" i="1" s="1"/>
  <c r="O464" i="1"/>
  <c r="H464" i="1"/>
  <c r="L464" i="1"/>
  <c r="N464" i="1" s="1"/>
  <c r="P464" i="1" l="1"/>
  <c r="R464" i="1"/>
  <c r="S464" i="1" s="1"/>
  <c r="D465" i="1"/>
  <c r="J464" i="1"/>
  <c r="K464" i="1" s="1"/>
  <c r="Q465" i="1" l="1"/>
  <c r="L465" i="1"/>
  <c r="N465" i="1" s="1"/>
  <c r="R465" i="1" s="1"/>
  <c r="Q466" i="1" s="1"/>
  <c r="E465" i="1"/>
  <c r="G465" i="1" s="1"/>
  <c r="P465" i="1" s="1"/>
  <c r="O465" i="1"/>
  <c r="H465" i="1"/>
  <c r="I465" i="1"/>
  <c r="S465" i="1" l="1"/>
  <c r="J465" i="1"/>
  <c r="K465" i="1" s="1"/>
  <c r="D466" i="1"/>
  <c r="I466" i="1"/>
  <c r="H466" i="1" l="1"/>
  <c r="E466" i="1"/>
  <c r="G466" i="1" s="1"/>
  <c r="L466" i="1"/>
  <c r="N466" i="1" s="1"/>
  <c r="O466" i="1"/>
  <c r="R466" i="1" l="1"/>
  <c r="S466" i="1" s="1"/>
  <c r="J466" i="1"/>
  <c r="K466" i="1" s="1"/>
  <c r="D467" i="1"/>
  <c r="P466" i="1"/>
  <c r="Q467" i="1" l="1"/>
  <c r="I467" i="1"/>
  <c r="O467" i="1"/>
  <c r="H467" i="1"/>
  <c r="E467" i="1"/>
  <c r="G467" i="1" s="1"/>
  <c r="L467" i="1"/>
  <c r="N467" i="1" s="1"/>
  <c r="J467" i="1" l="1"/>
  <c r="K467" i="1" s="1"/>
  <c r="D468" i="1"/>
  <c r="I468" i="1"/>
  <c r="R467" i="1"/>
  <c r="S467" i="1" s="1"/>
  <c r="P467" i="1"/>
  <c r="Q468" i="1" l="1"/>
  <c r="L468" i="1"/>
  <c r="N468" i="1" s="1"/>
  <c r="E468" i="1"/>
  <c r="G468" i="1" s="1"/>
  <c r="H468" i="1"/>
  <c r="O468" i="1"/>
  <c r="J468" i="1" l="1"/>
  <c r="K468" i="1" s="1"/>
  <c r="D469" i="1"/>
  <c r="P468" i="1"/>
  <c r="R468" i="1"/>
  <c r="S468" i="1" s="1"/>
  <c r="Q469" i="1" l="1"/>
  <c r="I469" i="1"/>
  <c r="L469" i="1"/>
  <c r="N469" i="1" s="1"/>
  <c r="O469" i="1"/>
  <c r="H469" i="1"/>
  <c r="E469" i="1"/>
  <c r="G469" i="1" s="1"/>
  <c r="D470" i="1" l="1"/>
  <c r="J469" i="1"/>
  <c r="K469" i="1" s="1"/>
  <c r="P469" i="1"/>
  <c r="R469" i="1"/>
  <c r="S469" i="1" s="1"/>
  <c r="Q470" i="1" l="1"/>
  <c r="I470" i="1"/>
  <c r="E470" i="1"/>
  <c r="G470" i="1" s="1"/>
  <c r="H470" i="1"/>
  <c r="L470" i="1"/>
  <c r="N470" i="1" s="1"/>
  <c r="O470" i="1"/>
  <c r="R470" i="1" l="1"/>
  <c r="S470" i="1" s="1"/>
  <c r="P470" i="1"/>
  <c r="D471" i="1"/>
  <c r="J470" i="1"/>
  <c r="K470" i="1" s="1"/>
  <c r="Q471" i="1" l="1"/>
  <c r="I471" i="1"/>
  <c r="L471" i="1"/>
  <c r="N471" i="1" s="1"/>
  <c r="H471" i="1"/>
  <c r="O471" i="1"/>
  <c r="E471" i="1"/>
  <c r="G471" i="1" s="1"/>
  <c r="D472" i="1" l="1"/>
  <c r="J471" i="1"/>
  <c r="K471" i="1" s="1"/>
  <c r="P471" i="1"/>
  <c r="R471" i="1"/>
  <c r="S471" i="1" s="1"/>
  <c r="Q472" i="1" l="1"/>
  <c r="I472" i="1"/>
  <c r="L472" i="1"/>
  <c r="N472" i="1" s="1"/>
  <c r="H472" i="1"/>
  <c r="E472" i="1"/>
  <c r="G472" i="1" s="1"/>
  <c r="O472" i="1"/>
  <c r="D473" i="1" l="1"/>
  <c r="J472" i="1"/>
  <c r="K472" i="1" s="1"/>
  <c r="P472" i="1"/>
  <c r="R472" i="1"/>
  <c r="S472" i="1" s="1"/>
  <c r="Q473" i="1" l="1"/>
  <c r="I473" i="1"/>
  <c r="H473" i="1"/>
  <c r="L473" i="1"/>
  <c r="N473" i="1" s="1"/>
  <c r="R473" i="1" s="1"/>
  <c r="Q474" i="1" s="1"/>
  <c r="E473" i="1"/>
  <c r="G473" i="1" s="1"/>
  <c r="O473" i="1"/>
  <c r="P473" i="1" l="1"/>
  <c r="J473" i="1"/>
  <c r="K473" i="1" s="1"/>
  <c r="D474" i="1"/>
  <c r="S473" i="1"/>
  <c r="I474" i="1" l="1"/>
  <c r="L474" i="1"/>
  <c r="N474" i="1" s="1"/>
  <c r="H474" i="1"/>
  <c r="E474" i="1"/>
  <c r="G474" i="1" s="1"/>
  <c r="O474" i="1"/>
  <c r="J474" i="1" l="1"/>
  <c r="K474" i="1" s="1"/>
  <c r="D475" i="1"/>
  <c r="I475" i="1"/>
  <c r="P474" i="1"/>
  <c r="R474" i="1"/>
  <c r="S474" i="1" s="1"/>
  <c r="Q475" i="1"/>
  <c r="E475" i="1" l="1"/>
  <c r="G475" i="1" s="1"/>
  <c r="H475" i="1"/>
  <c r="O475" i="1"/>
  <c r="L475" i="1"/>
  <c r="N475" i="1" s="1"/>
  <c r="R475" i="1" l="1"/>
  <c r="S475" i="1" s="1"/>
  <c r="P475" i="1"/>
  <c r="D476" i="1"/>
  <c r="J475" i="1"/>
  <c r="K475" i="1" s="1"/>
  <c r="I476" i="1" l="1"/>
  <c r="Q476" i="1"/>
  <c r="H476" i="1"/>
  <c r="L476" i="1"/>
  <c r="N476" i="1" s="1"/>
  <c r="E476" i="1"/>
  <c r="G476" i="1" s="1"/>
  <c r="O476" i="1"/>
  <c r="D477" i="1" l="1"/>
  <c r="J476" i="1"/>
  <c r="K476" i="1" s="1"/>
  <c r="R476" i="1"/>
  <c r="S476" i="1" s="1"/>
  <c r="P476" i="1"/>
  <c r="Q477" i="1" l="1"/>
  <c r="I477" i="1"/>
  <c r="H477" i="1"/>
  <c r="E477" i="1"/>
  <c r="G477" i="1" s="1"/>
  <c r="L477" i="1"/>
  <c r="N477" i="1" s="1"/>
  <c r="O477" i="1"/>
  <c r="R477" i="1" l="1"/>
  <c r="S477" i="1" s="1"/>
  <c r="J477" i="1"/>
  <c r="I478" i="1" s="1"/>
  <c r="D478" i="1"/>
  <c r="P477" i="1"/>
  <c r="Q478" i="1" l="1"/>
  <c r="K477" i="1"/>
  <c r="H478" i="1"/>
  <c r="L478" i="1"/>
  <c r="N478" i="1" s="1"/>
  <c r="O478" i="1"/>
  <c r="E478" i="1"/>
  <c r="G478" i="1" s="1"/>
  <c r="J478" i="1" l="1"/>
  <c r="K478" i="1" s="1"/>
  <c r="D479" i="1"/>
  <c r="I479" i="1"/>
  <c r="R478" i="1"/>
  <c r="S478" i="1" s="1"/>
  <c r="P478" i="1"/>
  <c r="Q479" i="1" l="1"/>
  <c r="L479" i="1"/>
  <c r="N479" i="1" s="1"/>
  <c r="R479" i="1" s="1"/>
  <c r="Q480" i="1" s="1"/>
  <c r="O479" i="1"/>
  <c r="E479" i="1"/>
  <c r="G479" i="1" s="1"/>
  <c r="H479" i="1"/>
  <c r="P479" i="1" l="1"/>
  <c r="S479" i="1"/>
  <c r="D480" i="1"/>
  <c r="J479" i="1"/>
  <c r="K479" i="1" s="1"/>
  <c r="I480" i="1" l="1"/>
  <c r="H480" i="1"/>
  <c r="O480" i="1"/>
  <c r="L480" i="1"/>
  <c r="N480" i="1" s="1"/>
  <c r="E480" i="1"/>
  <c r="G480" i="1" s="1"/>
  <c r="J480" i="1" l="1"/>
  <c r="K480" i="1" s="1"/>
  <c r="D481" i="1"/>
  <c r="I481" i="1"/>
  <c r="R480" i="1"/>
  <c r="S480" i="1" s="1"/>
  <c r="P480" i="1"/>
  <c r="Q481" i="1" l="1"/>
  <c r="H481" i="1"/>
  <c r="O481" i="1"/>
  <c r="L481" i="1"/>
  <c r="N481" i="1" s="1"/>
  <c r="E481" i="1"/>
  <c r="G481" i="1" s="1"/>
  <c r="P481" i="1" l="1"/>
  <c r="R481" i="1"/>
  <c r="S481" i="1" s="1"/>
  <c r="J481" i="1"/>
  <c r="K481" i="1" s="1"/>
  <c r="D482" i="1"/>
  <c r="Q482" i="1" l="1"/>
  <c r="E482" i="1"/>
  <c r="G482" i="1" s="1"/>
  <c r="O482" i="1"/>
  <c r="H482" i="1"/>
  <c r="L482" i="1"/>
  <c r="N482" i="1" s="1"/>
  <c r="I482" i="1"/>
  <c r="R482" i="1" l="1"/>
  <c r="S482" i="1" s="1"/>
  <c r="P482" i="1"/>
  <c r="J482" i="1"/>
  <c r="K482" i="1" s="1"/>
  <c r="D483" i="1"/>
  <c r="Q483" i="1" l="1"/>
  <c r="I483" i="1"/>
  <c r="E483" i="1"/>
  <c r="G483" i="1" s="1"/>
  <c r="O483" i="1"/>
  <c r="H483" i="1"/>
  <c r="L483" i="1"/>
  <c r="N483" i="1" s="1"/>
  <c r="P483" i="1" l="1"/>
  <c r="R483" i="1"/>
  <c r="S483" i="1" s="1"/>
  <c r="D484" i="1"/>
  <c r="J483" i="1"/>
  <c r="K483" i="1" s="1"/>
  <c r="Q484" i="1" l="1"/>
  <c r="O484" i="1"/>
  <c r="L484" i="1"/>
  <c r="N484" i="1" s="1"/>
  <c r="E484" i="1"/>
  <c r="G484" i="1" s="1"/>
  <c r="H484" i="1"/>
  <c r="I484" i="1"/>
  <c r="D485" i="1" l="1"/>
  <c r="J484" i="1"/>
  <c r="I485" i="1" s="1"/>
  <c r="R484" i="1"/>
  <c r="S484" i="1" s="1"/>
  <c r="P484" i="1"/>
  <c r="Q485" i="1" l="1"/>
  <c r="K484" i="1"/>
  <c r="E485" i="1"/>
  <c r="G485" i="1" s="1"/>
  <c r="H485" i="1"/>
  <c r="O485" i="1"/>
  <c r="L485" i="1"/>
  <c r="N485" i="1" s="1"/>
  <c r="P485" i="1" l="1"/>
  <c r="D486" i="1"/>
  <c r="J485" i="1"/>
  <c r="K485" i="1" s="1"/>
  <c r="R485" i="1"/>
  <c r="S485" i="1" s="1"/>
  <c r="Q486" i="1" l="1"/>
  <c r="I486" i="1"/>
  <c r="O486" i="1"/>
  <c r="L486" i="1"/>
  <c r="N486" i="1" s="1"/>
  <c r="H486" i="1"/>
  <c r="E486" i="1"/>
  <c r="G486" i="1" s="1"/>
  <c r="R486" i="1" l="1"/>
  <c r="S486" i="1" s="1"/>
  <c r="Q487" i="1"/>
  <c r="P486" i="1"/>
  <c r="D487" i="1"/>
  <c r="J486" i="1"/>
  <c r="K486" i="1" s="1"/>
  <c r="I487" i="1" l="1"/>
  <c r="E487" i="1"/>
  <c r="G487" i="1" s="1"/>
  <c r="O487" i="1"/>
  <c r="H487" i="1"/>
  <c r="L487" i="1"/>
  <c r="N487" i="1" s="1"/>
  <c r="P487" i="1" l="1"/>
  <c r="R487" i="1"/>
  <c r="S487" i="1" s="1"/>
  <c r="D488" i="1"/>
  <c r="J487" i="1"/>
  <c r="K487" i="1" s="1"/>
  <c r="Q488" i="1" l="1"/>
  <c r="I488" i="1"/>
  <c r="E488" i="1"/>
  <c r="G488" i="1" s="1"/>
  <c r="H488" i="1"/>
  <c r="O488" i="1"/>
  <c r="L488" i="1"/>
  <c r="N488" i="1" s="1"/>
  <c r="P488" i="1" l="1"/>
  <c r="R488" i="1"/>
  <c r="S488" i="1" s="1"/>
  <c r="D489" i="1"/>
  <c r="J488" i="1"/>
  <c r="K488" i="1" s="1"/>
  <c r="Q489" i="1" l="1"/>
  <c r="I489" i="1"/>
  <c r="O489" i="1"/>
  <c r="H489" i="1"/>
  <c r="E489" i="1"/>
  <c r="G489" i="1" s="1"/>
  <c r="L489" i="1"/>
  <c r="N489" i="1" s="1"/>
  <c r="R489" i="1" l="1"/>
  <c r="S489" i="1" s="1"/>
  <c r="J489" i="1"/>
  <c r="K489" i="1" s="1"/>
  <c r="D490" i="1"/>
  <c r="P489" i="1"/>
  <c r="Q490" i="1" l="1"/>
  <c r="H490" i="1"/>
  <c r="O490" i="1"/>
  <c r="E490" i="1"/>
  <c r="G490" i="1" s="1"/>
  <c r="L490" i="1"/>
  <c r="N490" i="1" s="1"/>
  <c r="R490" i="1" s="1"/>
  <c r="Q491" i="1" s="1"/>
  <c r="I490" i="1"/>
  <c r="S490" i="1" l="1"/>
  <c r="J490" i="1"/>
  <c r="K490" i="1" s="1"/>
  <c r="D491" i="1"/>
  <c r="P490" i="1"/>
  <c r="I491" i="1" l="1"/>
  <c r="E491" i="1"/>
  <c r="G491" i="1" s="1"/>
  <c r="L491" i="1"/>
  <c r="N491" i="1" s="1"/>
  <c r="O491" i="1"/>
  <c r="H491" i="1"/>
  <c r="P491" i="1" l="1"/>
  <c r="R491" i="1"/>
  <c r="S491" i="1" s="1"/>
  <c r="J491" i="1"/>
  <c r="K491" i="1" s="1"/>
  <c r="D492" i="1"/>
  <c r="Q492" i="1" l="1"/>
  <c r="O492" i="1"/>
  <c r="L492" i="1"/>
  <c r="N492" i="1" s="1"/>
  <c r="H492" i="1"/>
  <c r="E492" i="1"/>
  <c r="G492" i="1" s="1"/>
  <c r="I492" i="1"/>
  <c r="J492" i="1" l="1"/>
  <c r="K492" i="1" s="1"/>
  <c r="D493" i="1"/>
  <c r="R492" i="1"/>
  <c r="S492" i="1" s="1"/>
  <c r="P492" i="1"/>
  <c r="I493" i="1" l="1"/>
  <c r="L493" i="1"/>
  <c r="N493" i="1" s="1"/>
  <c r="R493" i="1" s="1"/>
  <c r="Q494" i="1" s="1"/>
  <c r="O493" i="1"/>
  <c r="E493" i="1"/>
  <c r="G493" i="1" s="1"/>
  <c r="H493" i="1"/>
  <c r="Q493" i="1"/>
  <c r="S493" i="1" l="1"/>
  <c r="D494" i="1"/>
  <c r="J493" i="1"/>
  <c r="K493" i="1" s="1"/>
  <c r="P493" i="1"/>
  <c r="I494" i="1" l="1"/>
  <c r="H494" i="1"/>
  <c r="O494" i="1"/>
  <c r="E494" i="1"/>
  <c r="G494" i="1" s="1"/>
  <c r="L494" i="1"/>
  <c r="N494" i="1" s="1"/>
  <c r="P494" i="1" l="1"/>
  <c r="J494" i="1"/>
  <c r="K494" i="1" s="1"/>
  <c r="D495" i="1"/>
  <c r="R494" i="1"/>
  <c r="S494" i="1" s="1"/>
  <c r="I495" i="1" l="1"/>
  <c r="Q495" i="1"/>
  <c r="O495" i="1"/>
  <c r="L495" i="1"/>
  <c r="N495" i="1" s="1"/>
  <c r="R495" i="1" s="1"/>
  <c r="Q496" i="1" s="1"/>
  <c r="H495" i="1"/>
  <c r="E495" i="1"/>
  <c r="G495" i="1" s="1"/>
  <c r="S495" i="1" l="1"/>
  <c r="J495" i="1"/>
  <c r="K495" i="1" s="1"/>
  <c r="D496" i="1"/>
  <c r="P495" i="1"/>
  <c r="I496" i="1" l="1"/>
  <c r="E496" i="1"/>
  <c r="G496" i="1" s="1"/>
  <c r="O496" i="1"/>
  <c r="H496" i="1"/>
  <c r="L496" i="1"/>
  <c r="N496" i="1" s="1"/>
  <c r="R496" i="1" l="1"/>
  <c r="S496" i="1" s="1"/>
  <c r="P496" i="1"/>
  <c r="D497" i="1"/>
  <c r="J496" i="1"/>
  <c r="K496" i="1" s="1"/>
  <c r="I497" i="1" l="1"/>
  <c r="Q497" i="1"/>
  <c r="H497" i="1"/>
  <c r="L497" i="1"/>
  <c r="N497" i="1" s="1"/>
  <c r="O497" i="1"/>
  <c r="E497" i="1"/>
  <c r="G497" i="1" s="1"/>
  <c r="J497" i="1" l="1"/>
  <c r="K497" i="1" s="1"/>
  <c r="D498" i="1"/>
  <c r="R497" i="1"/>
  <c r="S497" i="1" s="1"/>
  <c r="P497" i="1"/>
  <c r="I498" i="1" l="1"/>
  <c r="Q498" i="1"/>
  <c r="L498" i="1"/>
  <c r="N498" i="1" s="1"/>
  <c r="E498" i="1"/>
  <c r="G498" i="1" s="1"/>
  <c r="H498" i="1"/>
  <c r="O498" i="1"/>
  <c r="J498" i="1" l="1"/>
  <c r="K498" i="1" s="1"/>
  <c r="D499" i="1"/>
  <c r="P498" i="1"/>
  <c r="R498" i="1"/>
  <c r="S498" i="1" s="1"/>
  <c r="Q499" i="1" l="1"/>
  <c r="I499" i="1"/>
  <c r="O499" i="1"/>
  <c r="E499" i="1"/>
  <c r="G499" i="1" s="1"/>
  <c r="L499" i="1"/>
  <c r="N499" i="1" s="1"/>
  <c r="H499" i="1"/>
  <c r="R499" i="1" l="1"/>
  <c r="S499" i="1" s="1"/>
  <c r="Q500" i="1"/>
  <c r="D500" i="1"/>
  <c r="J499" i="1"/>
  <c r="K499" i="1" s="1"/>
  <c r="P499" i="1"/>
  <c r="O500" i="1" l="1"/>
  <c r="H500" i="1"/>
  <c r="E500" i="1"/>
  <c r="G500" i="1" s="1"/>
  <c r="L500" i="1"/>
  <c r="N500" i="1" s="1"/>
  <c r="I500" i="1"/>
  <c r="R500" i="1" l="1"/>
  <c r="S500" i="1" s="1"/>
  <c r="Q501" i="1"/>
  <c r="D501" i="1"/>
  <c r="J500" i="1"/>
  <c r="K500" i="1" s="1"/>
  <c r="P500" i="1"/>
  <c r="I501" i="1" l="1"/>
  <c r="O501" i="1"/>
  <c r="E501" i="1"/>
  <c r="G501" i="1" s="1"/>
  <c r="H501" i="1"/>
  <c r="L501" i="1"/>
  <c r="N501" i="1" s="1"/>
  <c r="R501" i="1" l="1"/>
  <c r="S501" i="1" s="1"/>
  <c r="D502" i="1"/>
  <c r="J501" i="1"/>
  <c r="K501" i="1" s="1"/>
  <c r="P501" i="1"/>
  <c r="Q502" i="1" l="1"/>
  <c r="L502" i="1"/>
  <c r="N502" i="1" s="1"/>
  <c r="O502" i="1"/>
  <c r="H502" i="1"/>
  <c r="E502" i="1"/>
  <c r="G502" i="1" s="1"/>
  <c r="I502" i="1"/>
  <c r="P502" i="1" l="1"/>
  <c r="D503" i="1"/>
  <c r="J502" i="1"/>
  <c r="K502" i="1" s="1"/>
  <c r="R502" i="1"/>
  <c r="S502" i="1" s="1"/>
  <c r="I503" i="1" l="1"/>
  <c r="Q503" i="1"/>
  <c r="L503" i="1"/>
  <c r="N503" i="1" s="1"/>
  <c r="H503" i="1"/>
  <c r="O503" i="1"/>
  <c r="E503" i="1"/>
  <c r="G503" i="1" s="1"/>
  <c r="J503" i="1" l="1"/>
  <c r="K503" i="1" s="1"/>
  <c r="D504" i="1"/>
  <c r="P503" i="1"/>
  <c r="R503" i="1"/>
  <c r="S503" i="1" s="1"/>
  <c r="Q504" i="1" l="1"/>
  <c r="I504" i="1"/>
  <c r="L504" i="1"/>
  <c r="N504" i="1" s="1"/>
  <c r="H504" i="1"/>
  <c r="E504" i="1"/>
  <c r="G504" i="1" s="1"/>
  <c r="O504" i="1"/>
  <c r="P504" i="1" l="1"/>
  <c r="J504" i="1"/>
  <c r="K504" i="1" s="1"/>
  <c r="D505" i="1"/>
  <c r="R504" i="1"/>
  <c r="S504" i="1" s="1"/>
  <c r="I505" i="1" l="1"/>
  <c r="Q505" i="1"/>
  <c r="E505" i="1"/>
  <c r="G505" i="1" s="1"/>
  <c r="O505" i="1"/>
  <c r="H505" i="1"/>
  <c r="L505" i="1"/>
  <c r="N505" i="1" s="1"/>
  <c r="P505" i="1" l="1"/>
  <c r="R505" i="1"/>
  <c r="S505" i="1" s="1"/>
  <c r="J505" i="1"/>
  <c r="K505" i="1" s="1"/>
  <c r="D506" i="1"/>
  <c r="Q506" i="1" l="1"/>
  <c r="I506" i="1"/>
  <c r="L506" i="1"/>
  <c r="N506" i="1" s="1"/>
  <c r="H506" i="1"/>
  <c r="O506" i="1"/>
  <c r="E506" i="1"/>
  <c r="G506" i="1" s="1"/>
  <c r="P506" i="1" l="1"/>
  <c r="R506" i="1"/>
  <c r="S506" i="1" s="1"/>
  <c r="D507" i="1"/>
  <c r="J506" i="1"/>
  <c r="K506" i="1" s="1"/>
  <c r="Q507" i="1" l="1"/>
  <c r="E507" i="1"/>
  <c r="G507" i="1" s="1"/>
  <c r="H507" i="1"/>
  <c r="L507" i="1"/>
  <c r="N507" i="1" s="1"/>
  <c r="R507" i="1" s="1"/>
  <c r="Q508" i="1" s="1"/>
  <c r="O507" i="1"/>
  <c r="I507" i="1"/>
  <c r="S507" i="1" l="1"/>
  <c r="P507" i="1"/>
  <c r="D508" i="1"/>
  <c r="J507" i="1"/>
  <c r="K507" i="1" s="1"/>
  <c r="I508" i="1" l="1"/>
  <c r="H508" i="1"/>
  <c r="E508" i="1"/>
  <c r="G508" i="1" s="1"/>
  <c r="L508" i="1"/>
  <c r="N508" i="1" s="1"/>
  <c r="O508" i="1"/>
  <c r="R508" i="1" l="1"/>
  <c r="S508" i="1" s="1"/>
  <c r="J508" i="1"/>
  <c r="K508" i="1" s="1"/>
  <c r="D509" i="1"/>
  <c r="P508" i="1"/>
  <c r="P511" i="1" s="1"/>
  <c r="Q509" i="1" l="1"/>
  <c r="Q511" i="1"/>
  <c r="E509" i="1"/>
  <c r="G509" i="1" s="1"/>
  <c r="J509" i="1" s="1"/>
  <c r="J511" i="1" s="1"/>
  <c r="H509" i="1"/>
  <c r="O509" i="1"/>
  <c r="L509" i="1"/>
  <c r="N509" i="1" s="1"/>
  <c r="R509" i="1" s="1"/>
  <c r="R511" i="1" s="1"/>
  <c r="I509" i="1"/>
  <c r="K509" i="1" l="1"/>
  <c r="K511" i="1" s="1"/>
  <c r="I511" i="1"/>
  <c r="S509" i="1"/>
  <c r="S511" i="1" s="1"/>
  <c r="M4" i="1" l="1"/>
</calcChain>
</file>

<file path=xl/sharedStrings.xml><?xml version="1.0" encoding="utf-8"?>
<sst xmlns="http://schemas.openxmlformats.org/spreadsheetml/2006/main" count="57" uniqueCount="48">
  <si>
    <t>Avg.Inspection Time(Minutes per Block)</t>
  </si>
  <si>
    <t>ƛ</t>
  </si>
  <si>
    <t>µ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</si>
  <si>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s</t>
    </r>
  </si>
  <si>
    <t>Hours</t>
  </si>
  <si>
    <t>Arrival Rate (Engine Blocks per unit Time)</t>
  </si>
  <si>
    <t>Minutes</t>
  </si>
  <si>
    <t>Blocks</t>
  </si>
  <si>
    <t>Inter Arrival Time</t>
  </si>
  <si>
    <t>Arrival Time</t>
  </si>
  <si>
    <t>Queue Length on Arrival</t>
  </si>
  <si>
    <t>Queue Length on Departure</t>
  </si>
  <si>
    <t>Average</t>
  </si>
  <si>
    <t>Theoratical</t>
  </si>
  <si>
    <t>Service Time      (C-1)</t>
  </si>
  <si>
    <t>Service Time      (C-2)</t>
  </si>
  <si>
    <t>Server   (C-1)   Idle?</t>
  </si>
  <si>
    <t>Service Begin Time at (C-1)</t>
  </si>
  <si>
    <t>Service Begin Time at (C-2)</t>
  </si>
  <si>
    <t>Service End Time at (C-1)</t>
  </si>
  <si>
    <t>Service End Time at (C-2)</t>
  </si>
  <si>
    <t>C1</t>
  </si>
  <si>
    <t>Server</t>
  </si>
  <si>
    <t>Server     (C-2)   Idle?</t>
  </si>
  <si>
    <t>Waiting Time</t>
  </si>
  <si>
    <t>Service Rate (Engine Blocks per unit Time)</t>
  </si>
  <si>
    <t>Simulation of M/M/1 Queue</t>
  </si>
  <si>
    <t>Mean Arrival Rate (Lambda)</t>
  </si>
  <si>
    <t>Mean Service Time</t>
  </si>
  <si>
    <t>Mean Service Rate (Mu)</t>
  </si>
  <si>
    <t>Customer</t>
  </si>
  <si>
    <t>Service Time</t>
  </si>
  <si>
    <t>Server Idle?</t>
  </si>
  <si>
    <t>Server Idle Time</t>
  </si>
  <si>
    <t>Service Begin Time</t>
  </si>
  <si>
    <t>Service End Time</t>
  </si>
  <si>
    <t>Average Queue Length</t>
  </si>
  <si>
    <t>Averages</t>
  </si>
  <si>
    <t>Theoretical</t>
  </si>
  <si>
    <t>Simulation of M/M/2 Queue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</si>
  <si>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0</t>
    </r>
  </si>
  <si>
    <t>Queue Length on Arrival for C-2</t>
  </si>
  <si>
    <t>Queue Length on Departure for C-2</t>
  </si>
  <si>
    <t>Avg. Queue Length for C-2</t>
  </si>
  <si>
    <t>From Simulation</t>
  </si>
  <si>
    <t>From Theory</t>
  </si>
  <si>
    <t>Results</t>
  </si>
  <si>
    <t>Probability that no units are in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</si>
</sst>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4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7" borderId="3" xfId="0" applyFont="1" applyFill="1" applyBorder="1"/>
    <xf numFmtId="0" fontId="1" fillId="7" borderId="9" xfId="0" applyFont="1" applyFill="1" applyBorder="1"/>
    <xf numFmtId="164" fontId="1" fillId="7" borderId="10" xfId="0" applyNumberFormat="1" applyFont="1" applyFill="1" applyBorder="1"/>
    <xf numFmtId="0" fontId="1" fillId="7" borderId="10" xfId="0" applyFont="1" applyFill="1" applyBorder="1"/>
    <xf numFmtId="0" fontId="1" fillId="7" borderId="1" xfId="0" applyFont="1" applyFill="1" applyBorder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11" xfId="0" applyNumberFormat="1" applyFont="1" applyFill="1" applyBorder="1" applyAlignment="1">
      <alignment horizontal="center"/>
    </xf>
    <xf numFmtId="0" fontId="6" fillId="6" borderId="4" xfId="0" applyFont="1" applyFill="1" applyBorder="1"/>
    <xf numFmtId="0" fontId="0" fillId="6" borderId="5" xfId="0" applyFill="1" applyBorder="1"/>
    <xf numFmtId="0" fontId="0" fillId="6" borderId="5" xfId="0" quotePrefix="1" applyFill="1" applyBorder="1" applyAlignment="1">
      <alignment horizontal="right"/>
    </xf>
    <xf numFmtId="164" fontId="0" fillId="0" borderId="0" xfId="0" applyNumberFormat="1" applyAlignment="1">
      <alignment horizontal="center" vertical="center"/>
    </xf>
    <xf numFmtId="0" fontId="1" fillId="0" borderId="0" xfId="0" applyFont="1" applyFill="1" applyBorder="1"/>
    <xf numFmtId="0" fontId="1" fillId="9" borderId="1" xfId="0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/>
    </xf>
    <xf numFmtId="166" fontId="7" fillId="7" borderId="1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/>
    <xf numFmtId="0" fontId="1" fillId="12" borderId="1" xfId="0" applyNumberFormat="1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165" fontId="1" fillId="12" borderId="1" xfId="0" quotePrefix="1" applyNumberFormat="1" applyFont="1" applyFill="1" applyBorder="1" applyAlignment="1">
      <alignment horizontal="center"/>
    </xf>
    <xf numFmtId="2" fontId="1" fillId="12" borderId="1" xfId="0" quotePrefix="1" applyNumberFormat="1" applyFont="1" applyFill="1" applyBorder="1" applyAlignment="1">
      <alignment horizontal="center"/>
    </xf>
    <xf numFmtId="166" fontId="1" fillId="10" borderId="1" xfId="0" applyNumberFormat="1" applyFont="1" applyFill="1" applyBorder="1"/>
    <xf numFmtId="166" fontId="0" fillId="0" borderId="0" xfId="0" applyNumberFormat="1"/>
    <xf numFmtId="166" fontId="0" fillId="0" borderId="0" xfId="0" applyNumberFormat="1" applyAlignment="1">
      <alignment horizontal="right"/>
    </xf>
    <xf numFmtId="166" fontId="1" fillId="7" borderId="1" xfId="0" applyNumberFormat="1" applyFont="1" applyFill="1" applyBorder="1"/>
    <xf numFmtId="166" fontId="1" fillId="7" borderId="3" xfId="0" applyNumberFormat="1" applyFont="1" applyFill="1" applyBorder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2" borderId="5" xfId="0" applyFill="1" applyBorder="1"/>
    <xf numFmtId="0" fontId="0" fillId="2" borderId="12" xfId="0" applyFill="1" applyBorder="1"/>
    <xf numFmtId="0" fontId="1" fillId="2" borderId="4" xfId="0" applyFont="1" applyFill="1" applyBorder="1"/>
    <xf numFmtId="0" fontId="2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6" fontId="1" fillId="9" borderId="6" xfId="0" applyNumberFormat="1" applyFont="1" applyFill="1" applyBorder="1"/>
    <xf numFmtId="0" fontId="1" fillId="3" borderId="16" xfId="0" applyFont="1" applyFill="1" applyBorder="1" applyAlignment="1">
      <alignment vertical="center"/>
    </xf>
    <xf numFmtId="166" fontId="1" fillId="4" borderId="17" xfId="0" applyNumberFormat="1" applyFont="1" applyFill="1" applyBorder="1"/>
    <xf numFmtId="165" fontId="1" fillId="3" borderId="16" xfId="0" applyNumberFormat="1" applyFont="1" applyFill="1" applyBorder="1" applyAlignment="1">
      <alignment horizontal="right" vertical="center"/>
    </xf>
    <xf numFmtId="0" fontId="1" fillId="4" borderId="17" xfId="0" applyFont="1" applyFill="1" applyBorder="1" applyAlignment="1">
      <alignment horizontal="right" vertical="center"/>
    </xf>
    <xf numFmtId="0" fontId="1" fillId="3" borderId="18" xfId="0" applyFont="1" applyFill="1" applyBorder="1"/>
    <xf numFmtId="0" fontId="1" fillId="4" borderId="19" xfId="0" applyFont="1" applyFill="1" applyBorder="1"/>
    <xf numFmtId="0" fontId="4" fillId="13" borderId="14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8101-077B-4339-BF47-B9EE8BFCE8D9}">
  <sheetPr>
    <tabColor rgb="FF002060"/>
  </sheetPr>
  <dimension ref="A1:L3611"/>
  <sheetViews>
    <sheetView tabSelected="1" zoomScale="106" zoomScaleNormal="106" workbookViewId="0">
      <pane ySplit="15" topLeftCell="A3607" activePane="bottomLeft" state="frozen"/>
      <selection pane="bottomLeft" activeCell="M14" sqref="M14"/>
    </sheetView>
  </sheetViews>
  <sheetFormatPr defaultRowHeight="15" x14ac:dyDescent="0.25"/>
  <cols>
    <col min="1" max="12" width="12.7109375" customWidth="1"/>
  </cols>
  <sheetData>
    <row r="1" spans="1:12" ht="20.25" x14ac:dyDescent="0.3">
      <c r="A1" s="72" t="s">
        <v>26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1:12" ht="12.7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12.75" customHeight="1" x14ac:dyDescent="0.3">
      <c r="A3" s="23"/>
      <c r="B3" s="23"/>
      <c r="C3" s="24" t="s">
        <v>4</v>
      </c>
      <c r="D3" s="24" t="s">
        <v>6</v>
      </c>
      <c r="E3" s="56"/>
      <c r="F3" s="55"/>
      <c r="G3" s="56"/>
      <c r="H3" s="56"/>
      <c r="I3" s="56"/>
      <c r="J3" s="56"/>
      <c r="K3" s="56"/>
      <c r="L3" s="56"/>
    </row>
    <row r="4" spans="1:12" ht="12.75" customHeight="1" x14ac:dyDescent="0.25">
      <c r="A4" s="25" t="s">
        <v>27</v>
      </c>
      <c r="B4" s="26"/>
      <c r="C4" s="46">
        <v>20</v>
      </c>
      <c r="D4" s="47">
        <f>20/60</f>
        <v>0.33333333333333331</v>
      </c>
      <c r="F4" s="57"/>
    </row>
    <row r="5" spans="1:12" ht="12.75" customHeight="1" x14ac:dyDescent="0.25">
      <c r="A5" s="25" t="s">
        <v>28</v>
      </c>
      <c r="B5" s="27"/>
      <c r="C5" s="48">
        <f>D5/60</f>
        <v>4.1666666666666664E-2</v>
      </c>
      <c r="D5" s="49">
        <v>2.5</v>
      </c>
    </row>
    <row r="6" spans="1:12" ht="12.75" customHeight="1" x14ac:dyDescent="0.25">
      <c r="A6" s="25" t="s">
        <v>29</v>
      </c>
      <c r="B6" s="26"/>
      <c r="C6" s="46">
        <v>24</v>
      </c>
      <c r="D6" s="47">
        <f>1/D5</f>
        <v>0.4</v>
      </c>
    </row>
    <row r="7" spans="1:12" ht="12.75" customHeight="1" x14ac:dyDescent="0.25"/>
    <row r="8" spans="1:12" ht="45" customHeight="1" x14ac:dyDescent="0.25">
      <c r="A8" s="40" t="s">
        <v>30</v>
      </c>
      <c r="B8" s="40" t="s">
        <v>8</v>
      </c>
      <c r="C8" s="40" t="s">
        <v>9</v>
      </c>
      <c r="D8" s="40" t="s">
        <v>31</v>
      </c>
      <c r="E8" s="40" t="s">
        <v>24</v>
      </c>
      <c r="F8" s="40" t="s">
        <v>32</v>
      </c>
      <c r="G8" s="40" t="s">
        <v>33</v>
      </c>
      <c r="H8" s="40" t="s">
        <v>34</v>
      </c>
      <c r="I8" s="40" t="s">
        <v>35</v>
      </c>
      <c r="J8" s="40" t="s">
        <v>10</v>
      </c>
      <c r="K8" s="40" t="s">
        <v>11</v>
      </c>
      <c r="L8" s="40" t="s">
        <v>36</v>
      </c>
    </row>
    <row r="9" spans="1:12" x14ac:dyDescent="0.25">
      <c r="A9" s="20">
        <v>1</v>
      </c>
      <c r="B9" s="21">
        <f ca="1">-LN(RAND())/$D$4</f>
        <v>1.7787630346095831</v>
      </c>
      <c r="C9" s="21">
        <f ca="1">$B9</f>
        <v>1.7787630346095831</v>
      </c>
      <c r="D9" s="21">
        <f ca="1">-LN(RAND())/$D$6</f>
        <v>1.7186518624093474</v>
      </c>
      <c r="E9" s="21">
        <v>0</v>
      </c>
      <c r="F9" s="20" t="str">
        <f>IF(E9=0,"Yes","No")</f>
        <v>Yes</v>
      </c>
      <c r="G9" s="21">
        <f ca="1">$C9</f>
        <v>1.7787630346095831</v>
      </c>
      <c r="H9" s="21">
        <f ca="1">$C9</f>
        <v>1.7787630346095831</v>
      </c>
      <c r="I9" s="21">
        <f t="shared" ref="I9:I72" ca="1" si="0">$H9+$D9</f>
        <v>3.4974148970189303</v>
      </c>
      <c r="J9" s="20">
        <v>0</v>
      </c>
      <c r="K9" s="20">
        <f t="shared" ref="K9:K72" ca="1" si="1">IF($I9&lt;=$C10,0,IF($I9&lt;=$C11,1,IF($I9&lt;=$C12,2,IF($I9&lt;=$C13,3,IF($I9&lt;=$C14,4,5)))))</f>
        <v>1</v>
      </c>
      <c r="L9" s="43">
        <f ca="1">(J9+K9)/2</f>
        <v>0.5</v>
      </c>
    </row>
    <row r="10" spans="1:12" x14ac:dyDescent="0.25">
      <c r="A10" s="20">
        <v>2</v>
      </c>
      <c r="B10" s="21">
        <f t="shared" ref="B10:B73" ca="1" si="2">-LN(RAND())/$D$4</f>
        <v>0.49430546990762869</v>
      </c>
      <c r="C10" s="21">
        <f ca="1">$C9+$B10</f>
        <v>2.2730685045172119</v>
      </c>
      <c r="D10" s="21">
        <f t="shared" ref="D10:D73" ca="1" si="3">-LN(RAND())/$D$6</f>
        <v>0.6780779476736235</v>
      </c>
      <c r="E10" s="21">
        <f ca="1">IF($I9&lt;=$C10,0,$I9-$C10)</f>
        <v>1.2243463925017184</v>
      </c>
      <c r="F10" s="20" t="str">
        <f ca="1">IF(E10=0,"Yes","No")</f>
        <v>No</v>
      </c>
      <c r="G10" s="21">
        <f ca="1">IF($I9&lt;=$C10,$C10-$I9,0)</f>
        <v>0</v>
      </c>
      <c r="H10" s="21">
        <f t="shared" ref="H10:H73" ca="1" si="4">IF($I9&lt;=$C10,$C10,$I9)</f>
        <v>3.4974148970189303</v>
      </c>
      <c r="I10" s="21">
        <f ca="1">$H10+$D10</f>
        <v>4.1754928446925534</v>
      </c>
      <c r="J10" s="20">
        <f ca="1">IF($I9&lt;=$C10,0,$K9+1)</f>
        <v>2</v>
      </c>
      <c r="K10" s="20">
        <f ca="1">IF($I10&lt;=$C11,0,IF($I10&lt;=$C12,1,IF($I10&lt;=$C13,2,IF($I10&lt;=$C14,3,IF($I10&lt;=$C15,4,5)))))</f>
        <v>0</v>
      </c>
      <c r="L10" s="44">
        <f t="shared" ref="L10:L73" ca="1" si="5">(J10+K10)/2</f>
        <v>1</v>
      </c>
    </row>
    <row r="11" spans="1:12" x14ac:dyDescent="0.25">
      <c r="A11" s="20">
        <v>3</v>
      </c>
      <c r="B11" s="21">
        <f t="shared" ca="1" si="2"/>
        <v>2.466353734424608</v>
      </c>
      <c r="C11" s="21">
        <f t="shared" ref="C11:C74" ca="1" si="6">$C10+$B11</f>
        <v>4.7394222389418204</v>
      </c>
      <c r="D11" s="21">
        <f t="shared" ca="1" si="3"/>
        <v>6.4237730008014957E-2</v>
      </c>
      <c r="E11" s="21">
        <f ca="1">IF($I10&lt;=$C11,0,$I10-$C11)</f>
        <v>0</v>
      </c>
      <c r="F11" s="20" t="str">
        <f t="shared" ref="F11:F74" ca="1" si="7">IF(E11=0,"Yes","No")</f>
        <v>Yes</v>
      </c>
      <c r="G11" s="21">
        <f t="shared" ref="G11:G73" ca="1" si="8">IF($I10&lt;=$C11,$C11-$I10,0)</f>
        <v>0.56392939424926691</v>
      </c>
      <c r="H11" s="21">
        <f t="shared" ca="1" si="4"/>
        <v>4.7394222389418204</v>
      </c>
      <c r="I11" s="21">
        <f ca="1">$H11+$D11</f>
        <v>4.8036599689498356</v>
      </c>
      <c r="J11" s="20">
        <f t="shared" ref="J11:J74" ca="1" si="9">IF($I10&lt;=$C11,0,$K10+1)</f>
        <v>0</v>
      </c>
      <c r="K11" s="20">
        <f ca="1">IF($I11&lt;=$C12,0,IF($I11&lt;=$C13,1,IF($I11&lt;=$C14,2,IF($I11&lt;=$C15,3,IF($I11&lt;=$C16,4,5)))))</f>
        <v>0</v>
      </c>
      <c r="L11" s="44">
        <f t="shared" ca="1" si="5"/>
        <v>0</v>
      </c>
    </row>
    <row r="12" spans="1:12" x14ac:dyDescent="0.25">
      <c r="A12" s="20">
        <v>4</v>
      </c>
      <c r="B12" s="21">
        <f t="shared" ca="1" si="2"/>
        <v>0.50511685946597218</v>
      </c>
      <c r="C12" s="21">
        <f t="shared" ca="1" si="6"/>
        <v>5.2445390984077926</v>
      </c>
      <c r="D12" s="21">
        <f t="shared" ca="1" si="3"/>
        <v>3.5573473986965651</v>
      </c>
      <c r="E12" s="21">
        <f t="shared" ref="E12:E75" ca="1" si="10">IF($I11&lt;=$C12,0,$I11-$C12)</f>
        <v>0</v>
      </c>
      <c r="F12" s="20" t="str">
        <f t="shared" ca="1" si="7"/>
        <v>Yes</v>
      </c>
      <c r="G12" s="21">
        <f ca="1">IF($I11&lt;=$C12,$C12-$I11,0)</f>
        <v>0.44087912945795704</v>
      </c>
      <c r="H12" s="21">
        <f ca="1">IF($I11&lt;=$C12,$C12,$I11)</f>
        <v>5.2445390984077926</v>
      </c>
      <c r="I12" s="21">
        <f t="shared" ca="1" si="0"/>
        <v>8.8018864971043573</v>
      </c>
      <c r="J12" s="20">
        <f t="shared" ca="1" si="9"/>
        <v>0</v>
      </c>
      <c r="K12" s="20">
        <f t="shared" ca="1" si="1"/>
        <v>0</v>
      </c>
      <c r="L12" s="44">
        <f t="shared" ca="1" si="5"/>
        <v>0</v>
      </c>
    </row>
    <row r="13" spans="1:12" x14ac:dyDescent="0.25">
      <c r="A13" s="20">
        <v>5</v>
      </c>
      <c r="B13" s="21">
        <f t="shared" ca="1" si="2"/>
        <v>10.124759067358006</v>
      </c>
      <c r="C13" s="21">
        <f t="shared" ca="1" si="6"/>
        <v>15.369298165765798</v>
      </c>
      <c r="D13" s="21">
        <f t="shared" ca="1" si="3"/>
        <v>0.55110335372412722</v>
      </c>
      <c r="E13" s="21">
        <f ca="1">IF($I12&lt;=$C13,0,$I12-$C13)</f>
        <v>0</v>
      </c>
      <c r="F13" s="20" t="str">
        <f t="shared" ca="1" si="7"/>
        <v>Yes</v>
      </c>
      <c r="G13" s="21">
        <f ca="1">IF($I12&lt;=$C13,$C13-$I12,0)</f>
        <v>6.5674116686614408</v>
      </c>
      <c r="H13" s="21">
        <f t="shared" ca="1" si="4"/>
        <v>15.369298165765798</v>
      </c>
      <c r="I13" s="21">
        <f t="shared" ca="1" si="0"/>
        <v>15.920401519489925</v>
      </c>
      <c r="J13" s="20">
        <f t="shared" ca="1" si="9"/>
        <v>0</v>
      </c>
      <c r="K13" s="20">
        <f t="shared" ca="1" si="1"/>
        <v>0</v>
      </c>
      <c r="L13" s="44">
        <f t="shared" ca="1" si="5"/>
        <v>0</v>
      </c>
    </row>
    <row r="14" spans="1:12" x14ac:dyDescent="0.25">
      <c r="A14" s="20">
        <v>6</v>
      </c>
      <c r="B14" s="21">
        <f t="shared" ca="1" si="2"/>
        <v>3.6103688495338897</v>
      </c>
      <c r="C14" s="21">
        <f t="shared" ca="1" si="6"/>
        <v>18.97966701529969</v>
      </c>
      <c r="D14" s="21">
        <f t="shared" ca="1" si="3"/>
        <v>5.6094161023554516</v>
      </c>
      <c r="E14" s="21">
        <f t="shared" ca="1" si="10"/>
        <v>0</v>
      </c>
      <c r="F14" s="20" t="str">
        <f t="shared" ca="1" si="7"/>
        <v>Yes</v>
      </c>
      <c r="G14" s="21">
        <f ca="1">IF($I13&lt;=$C14,$C14-$I13,0)</f>
        <v>3.0592654958097647</v>
      </c>
      <c r="H14" s="21">
        <f t="shared" ca="1" si="4"/>
        <v>18.97966701529969</v>
      </c>
      <c r="I14" s="21">
        <f t="shared" ca="1" si="0"/>
        <v>24.589083117655143</v>
      </c>
      <c r="J14" s="20">
        <f t="shared" ca="1" si="9"/>
        <v>0</v>
      </c>
      <c r="K14" s="20">
        <f t="shared" ca="1" si="1"/>
        <v>2</v>
      </c>
      <c r="L14" s="44">
        <f t="shared" ca="1" si="5"/>
        <v>1</v>
      </c>
    </row>
    <row r="15" spans="1:12" x14ac:dyDescent="0.25">
      <c r="A15" s="20">
        <v>7</v>
      </c>
      <c r="B15" s="21">
        <f t="shared" ca="1" si="2"/>
        <v>2.8805576643674948</v>
      </c>
      <c r="C15" s="21">
        <f t="shared" ca="1" si="6"/>
        <v>21.860224679667184</v>
      </c>
      <c r="D15" s="21">
        <f t="shared" ca="1" si="3"/>
        <v>0.16083597180373629</v>
      </c>
      <c r="E15" s="21">
        <f t="shared" ca="1" si="10"/>
        <v>2.7288584379879595</v>
      </c>
      <c r="F15" s="20" t="str">
        <f t="shared" ca="1" si="7"/>
        <v>No</v>
      </c>
      <c r="G15" s="21">
        <f t="shared" ca="1" si="8"/>
        <v>0</v>
      </c>
      <c r="H15" s="21">
        <f t="shared" ca="1" si="4"/>
        <v>24.589083117655143</v>
      </c>
      <c r="I15" s="21">
        <f t="shared" ca="1" si="0"/>
        <v>24.749919089458878</v>
      </c>
      <c r="J15" s="20">
        <f t="shared" ca="1" si="9"/>
        <v>3</v>
      </c>
      <c r="K15" s="20">
        <f t="shared" ca="1" si="1"/>
        <v>1</v>
      </c>
      <c r="L15" s="44">
        <f t="shared" ca="1" si="5"/>
        <v>2</v>
      </c>
    </row>
    <row r="16" spans="1:12" x14ac:dyDescent="0.25">
      <c r="A16" s="20">
        <v>8</v>
      </c>
      <c r="B16" s="21">
        <f t="shared" ca="1" si="2"/>
        <v>1.5775526968576135</v>
      </c>
      <c r="C16" s="21">
        <f t="shared" ca="1" si="6"/>
        <v>23.437777376524796</v>
      </c>
      <c r="D16" s="21">
        <f t="shared" ca="1" si="3"/>
        <v>0.59533455662109591</v>
      </c>
      <c r="E16" s="21">
        <f t="shared" ca="1" si="10"/>
        <v>1.312141712934082</v>
      </c>
      <c r="F16" s="20" t="str">
        <f t="shared" ca="1" si="7"/>
        <v>No</v>
      </c>
      <c r="G16" s="21">
        <f t="shared" ca="1" si="8"/>
        <v>0</v>
      </c>
      <c r="H16" s="21">
        <f t="shared" ca="1" si="4"/>
        <v>24.749919089458878</v>
      </c>
      <c r="I16" s="21">
        <f t="shared" ca="1" si="0"/>
        <v>25.345253646079975</v>
      </c>
      <c r="J16" s="20">
        <f t="shared" ca="1" si="9"/>
        <v>2</v>
      </c>
      <c r="K16" s="20">
        <f t="shared" ca="1" si="1"/>
        <v>0</v>
      </c>
      <c r="L16" s="44">
        <f t="shared" ca="1" si="5"/>
        <v>1</v>
      </c>
    </row>
    <row r="17" spans="1:12" x14ac:dyDescent="0.25">
      <c r="A17" s="20">
        <v>9</v>
      </c>
      <c r="B17" s="21">
        <f t="shared" ca="1" si="2"/>
        <v>3.2175424903699885</v>
      </c>
      <c r="C17" s="21">
        <f t="shared" ca="1" si="6"/>
        <v>26.655319866894786</v>
      </c>
      <c r="D17" s="21">
        <f t="shared" ca="1" si="3"/>
        <v>9.5385943977801837</v>
      </c>
      <c r="E17" s="21">
        <f t="shared" ca="1" si="10"/>
        <v>0</v>
      </c>
      <c r="F17" s="20" t="str">
        <f t="shared" ca="1" si="7"/>
        <v>Yes</v>
      </c>
      <c r="G17" s="21">
        <f t="shared" ca="1" si="8"/>
        <v>1.3100662208148108</v>
      </c>
      <c r="H17" s="21">
        <f t="shared" ca="1" si="4"/>
        <v>26.655319866894786</v>
      </c>
      <c r="I17" s="21">
        <f t="shared" ca="1" si="0"/>
        <v>36.193914264674973</v>
      </c>
      <c r="J17" s="20">
        <f t="shared" ca="1" si="9"/>
        <v>0</v>
      </c>
      <c r="K17" s="20">
        <f t="shared" ca="1" si="1"/>
        <v>2</v>
      </c>
      <c r="L17" s="44">
        <f t="shared" ca="1" si="5"/>
        <v>1</v>
      </c>
    </row>
    <row r="18" spans="1:12" x14ac:dyDescent="0.25">
      <c r="A18" s="20">
        <v>10</v>
      </c>
      <c r="B18" s="21">
        <f t="shared" ca="1" si="2"/>
        <v>7.6406384445720734</v>
      </c>
      <c r="C18" s="21">
        <f t="shared" ca="1" si="6"/>
        <v>34.295958311466862</v>
      </c>
      <c r="D18" s="21">
        <f t="shared" ca="1" si="3"/>
        <v>6.1087629657569193</v>
      </c>
      <c r="E18" s="21">
        <f t="shared" ca="1" si="10"/>
        <v>1.8979559532081112</v>
      </c>
      <c r="F18" s="20" t="str">
        <f t="shared" ca="1" si="7"/>
        <v>No</v>
      </c>
      <c r="G18" s="21">
        <f t="shared" ca="1" si="8"/>
        <v>0</v>
      </c>
      <c r="H18" s="21">
        <f t="shared" ca="1" si="4"/>
        <v>36.193914264674973</v>
      </c>
      <c r="I18" s="21">
        <f t="shared" ca="1" si="0"/>
        <v>42.30267723043189</v>
      </c>
      <c r="J18" s="20">
        <f t="shared" ca="1" si="9"/>
        <v>3</v>
      </c>
      <c r="K18" s="20">
        <f t="shared" ca="1" si="1"/>
        <v>3</v>
      </c>
      <c r="L18" s="44">
        <f t="shared" ca="1" si="5"/>
        <v>3</v>
      </c>
    </row>
    <row r="19" spans="1:12" x14ac:dyDescent="0.25">
      <c r="A19" s="20">
        <v>11</v>
      </c>
      <c r="B19" s="21">
        <f t="shared" ca="1" si="2"/>
        <v>0.29765637990376936</v>
      </c>
      <c r="C19" s="21">
        <f t="shared" ca="1" si="6"/>
        <v>34.593614691370632</v>
      </c>
      <c r="D19" s="21">
        <f t="shared" ca="1" si="3"/>
        <v>1.6362530883148734</v>
      </c>
      <c r="E19" s="21">
        <f t="shared" ca="1" si="10"/>
        <v>7.7090625390612573</v>
      </c>
      <c r="F19" s="20" t="str">
        <f t="shared" ca="1" si="7"/>
        <v>No</v>
      </c>
      <c r="G19" s="21">
        <f t="shared" ca="1" si="8"/>
        <v>0</v>
      </c>
      <c r="H19" s="21">
        <f t="shared" ca="1" si="4"/>
        <v>42.30267723043189</v>
      </c>
      <c r="I19" s="21">
        <f t="shared" ca="1" si="0"/>
        <v>43.938930318746763</v>
      </c>
      <c r="J19" s="20">
        <f t="shared" ca="1" si="9"/>
        <v>4</v>
      </c>
      <c r="K19" s="20">
        <f t="shared" ca="1" si="1"/>
        <v>3</v>
      </c>
      <c r="L19" s="44">
        <f t="shared" ca="1" si="5"/>
        <v>3.5</v>
      </c>
    </row>
    <row r="20" spans="1:12" x14ac:dyDescent="0.25">
      <c r="A20" s="20">
        <v>12</v>
      </c>
      <c r="B20" s="21">
        <f t="shared" ca="1" si="2"/>
        <v>4.1840649432487389</v>
      </c>
      <c r="C20" s="21">
        <f t="shared" ca="1" si="6"/>
        <v>38.777679634619375</v>
      </c>
      <c r="D20" s="21">
        <f t="shared" ca="1" si="3"/>
        <v>1.4904261574345279</v>
      </c>
      <c r="E20" s="21">
        <f t="shared" ca="1" si="10"/>
        <v>5.1612506841273884</v>
      </c>
      <c r="F20" s="20" t="str">
        <f t="shared" ca="1" si="7"/>
        <v>No</v>
      </c>
      <c r="G20" s="21">
        <f t="shared" ca="1" si="8"/>
        <v>0</v>
      </c>
      <c r="H20" s="21">
        <f t="shared" ca="1" si="4"/>
        <v>43.938930318746763</v>
      </c>
      <c r="I20" s="21">
        <f t="shared" ca="1" si="0"/>
        <v>45.42935647618129</v>
      </c>
      <c r="J20" s="20">
        <f t="shared" ca="1" si="9"/>
        <v>4</v>
      </c>
      <c r="K20" s="20">
        <f t="shared" ca="1" si="1"/>
        <v>2</v>
      </c>
      <c r="L20" s="44">
        <f t="shared" ca="1" si="5"/>
        <v>3</v>
      </c>
    </row>
    <row r="21" spans="1:12" x14ac:dyDescent="0.25">
      <c r="A21" s="20">
        <v>13</v>
      </c>
      <c r="B21" s="21">
        <f t="shared" ca="1" si="2"/>
        <v>2.0869459938836936</v>
      </c>
      <c r="C21" s="21">
        <f t="shared" ca="1" si="6"/>
        <v>40.86462562850307</v>
      </c>
      <c r="D21" s="21">
        <f t="shared" ca="1" si="3"/>
        <v>4.0359897283652382</v>
      </c>
      <c r="E21" s="21">
        <f t="shared" ca="1" si="10"/>
        <v>4.56473084767822</v>
      </c>
      <c r="F21" s="20" t="str">
        <f t="shared" ca="1" si="7"/>
        <v>No</v>
      </c>
      <c r="G21" s="21">
        <f t="shared" ca="1" si="8"/>
        <v>0</v>
      </c>
      <c r="H21" s="21">
        <f t="shared" ca="1" si="4"/>
        <v>45.42935647618129</v>
      </c>
      <c r="I21" s="21">
        <f t="shared" ca="1" si="0"/>
        <v>49.465346204546528</v>
      </c>
      <c r="J21" s="20">
        <f t="shared" ca="1" si="9"/>
        <v>3</v>
      </c>
      <c r="K21" s="20">
        <f t="shared" ca="1" si="1"/>
        <v>2</v>
      </c>
      <c r="L21" s="44">
        <f t="shared" ca="1" si="5"/>
        <v>2.5</v>
      </c>
    </row>
    <row r="22" spans="1:12" x14ac:dyDescent="0.25">
      <c r="A22" s="20">
        <v>14</v>
      </c>
      <c r="B22" s="21">
        <f t="shared" ca="1" si="2"/>
        <v>2.4836951371647618</v>
      </c>
      <c r="C22" s="21">
        <f t="shared" ca="1" si="6"/>
        <v>43.348320765667829</v>
      </c>
      <c r="D22" s="21">
        <f t="shared" ca="1" si="3"/>
        <v>1.6407761655332278</v>
      </c>
      <c r="E22" s="21">
        <f t="shared" ca="1" si="10"/>
        <v>6.1170254388786987</v>
      </c>
      <c r="F22" s="20" t="str">
        <f t="shared" ca="1" si="7"/>
        <v>No</v>
      </c>
      <c r="G22" s="21">
        <f t="shared" ca="1" si="8"/>
        <v>0</v>
      </c>
      <c r="H22" s="21">
        <f t="shared" ca="1" si="4"/>
        <v>49.465346204546528</v>
      </c>
      <c r="I22" s="21">
        <f t="shared" ca="1" si="0"/>
        <v>51.106122370079753</v>
      </c>
      <c r="J22" s="20">
        <f t="shared" ca="1" si="9"/>
        <v>3</v>
      </c>
      <c r="K22" s="20">
        <f t="shared" ca="1" si="1"/>
        <v>2</v>
      </c>
      <c r="L22" s="44">
        <f t="shared" ca="1" si="5"/>
        <v>2.5</v>
      </c>
    </row>
    <row r="23" spans="1:12" x14ac:dyDescent="0.25">
      <c r="A23" s="20">
        <v>15</v>
      </c>
      <c r="B23" s="21">
        <f t="shared" ca="1" si="2"/>
        <v>3.251831855358065</v>
      </c>
      <c r="C23" s="21">
        <f t="shared" ca="1" si="6"/>
        <v>46.600152621025892</v>
      </c>
      <c r="D23" s="21">
        <f t="shared" ca="1" si="3"/>
        <v>1.6057212170563966</v>
      </c>
      <c r="E23" s="21">
        <f t="shared" ca="1" si="10"/>
        <v>4.5059697490538611</v>
      </c>
      <c r="F23" s="20" t="str">
        <f t="shared" ca="1" si="7"/>
        <v>No</v>
      </c>
      <c r="G23" s="21">
        <f t="shared" ca="1" si="8"/>
        <v>0</v>
      </c>
      <c r="H23" s="21">
        <f t="shared" ca="1" si="4"/>
        <v>51.106122370079753</v>
      </c>
      <c r="I23" s="21">
        <f t="shared" ca="1" si="0"/>
        <v>52.711843587136151</v>
      </c>
      <c r="J23" s="20">
        <f t="shared" ca="1" si="9"/>
        <v>3</v>
      </c>
      <c r="K23" s="20">
        <f t="shared" ca="1" si="1"/>
        <v>1</v>
      </c>
      <c r="L23" s="44">
        <f t="shared" ca="1" si="5"/>
        <v>2</v>
      </c>
    </row>
    <row r="24" spans="1:12" x14ac:dyDescent="0.25">
      <c r="A24" s="20">
        <v>16</v>
      </c>
      <c r="B24" s="21">
        <f t="shared" ca="1" si="2"/>
        <v>3.3810491282668962</v>
      </c>
      <c r="C24" s="21">
        <f t="shared" ca="1" si="6"/>
        <v>49.981201749292786</v>
      </c>
      <c r="D24" s="21">
        <f t="shared" ca="1" si="3"/>
        <v>0.83555460557937633</v>
      </c>
      <c r="E24" s="21">
        <f t="shared" ca="1" si="10"/>
        <v>2.7306418378433648</v>
      </c>
      <c r="F24" s="20" t="str">
        <f t="shared" ca="1" si="7"/>
        <v>No</v>
      </c>
      <c r="G24" s="21">
        <f t="shared" ca="1" si="8"/>
        <v>0</v>
      </c>
      <c r="H24" s="21">
        <f t="shared" ca="1" si="4"/>
        <v>52.711843587136151</v>
      </c>
      <c r="I24" s="21">
        <f t="shared" ca="1" si="0"/>
        <v>53.547398192715526</v>
      </c>
      <c r="J24" s="20">
        <f t="shared" ca="1" si="9"/>
        <v>2</v>
      </c>
      <c r="K24" s="20">
        <f t="shared" ca="1" si="1"/>
        <v>0</v>
      </c>
      <c r="L24" s="44">
        <f t="shared" ca="1" si="5"/>
        <v>1</v>
      </c>
    </row>
    <row r="25" spans="1:12" x14ac:dyDescent="0.25">
      <c r="A25" s="20">
        <v>17</v>
      </c>
      <c r="B25" s="21">
        <f t="shared" ca="1" si="2"/>
        <v>6.3587693181655691</v>
      </c>
      <c r="C25" s="21">
        <f t="shared" ca="1" si="6"/>
        <v>56.339971067458357</v>
      </c>
      <c r="D25" s="21">
        <f t="shared" ca="1" si="3"/>
        <v>6.9871563724665942</v>
      </c>
      <c r="E25" s="21">
        <f t="shared" ca="1" si="10"/>
        <v>0</v>
      </c>
      <c r="F25" s="20" t="str">
        <f t="shared" ca="1" si="7"/>
        <v>Yes</v>
      </c>
      <c r="G25" s="21">
        <f t="shared" ca="1" si="8"/>
        <v>2.7925728747428309</v>
      </c>
      <c r="H25" s="21">
        <f t="shared" ca="1" si="4"/>
        <v>56.339971067458357</v>
      </c>
      <c r="I25" s="21">
        <f t="shared" ca="1" si="0"/>
        <v>63.327127439924951</v>
      </c>
      <c r="J25" s="20">
        <f t="shared" ca="1" si="9"/>
        <v>0</v>
      </c>
      <c r="K25" s="20">
        <f t="shared" ca="1" si="1"/>
        <v>5</v>
      </c>
      <c r="L25" s="44">
        <f t="shared" ca="1" si="5"/>
        <v>2.5</v>
      </c>
    </row>
    <row r="26" spans="1:12" x14ac:dyDescent="0.25">
      <c r="A26" s="20">
        <v>18</v>
      </c>
      <c r="B26" s="21">
        <f t="shared" ca="1" si="2"/>
        <v>0.4790941399652805</v>
      </c>
      <c r="C26" s="21">
        <f t="shared" ca="1" si="6"/>
        <v>56.819065207423641</v>
      </c>
      <c r="D26" s="21">
        <f t="shared" ca="1" si="3"/>
        <v>1.2391864948775895</v>
      </c>
      <c r="E26" s="21">
        <f t="shared" ca="1" si="10"/>
        <v>6.5080622325013096</v>
      </c>
      <c r="F26" s="20" t="str">
        <f t="shared" ca="1" si="7"/>
        <v>No</v>
      </c>
      <c r="G26" s="21">
        <f t="shared" ca="1" si="8"/>
        <v>0</v>
      </c>
      <c r="H26" s="21">
        <f t="shared" ca="1" si="4"/>
        <v>63.327127439924951</v>
      </c>
      <c r="I26" s="21">
        <f t="shared" ca="1" si="0"/>
        <v>64.566313934802537</v>
      </c>
      <c r="J26" s="20">
        <f t="shared" ca="1" si="9"/>
        <v>6</v>
      </c>
      <c r="K26" s="20">
        <f t="shared" ca="1" si="1"/>
        <v>5</v>
      </c>
      <c r="L26" s="44">
        <f t="shared" ca="1" si="5"/>
        <v>5.5</v>
      </c>
    </row>
    <row r="27" spans="1:12" x14ac:dyDescent="0.25">
      <c r="A27" s="20">
        <v>19</v>
      </c>
      <c r="B27" s="21">
        <f t="shared" ca="1" si="2"/>
        <v>0.65999064474196723</v>
      </c>
      <c r="C27" s="21">
        <f t="shared" ca="1" si="6"/>
        <v>57.479055852165608</v>
      </c>
      <c r="D27" s="21">
        <f t="shared" ca="1" si="3"/>
        <v>2.7115299809528168</v>
      </c>
      <c r="E27" s="21">
        <f t="shared" ca="1" si="10"/>
        <v>7.0872580826369287</v>
      </c>
      <c r="F27" s="20" t="str">
        <f t="shared" ca="1" si="7"/>
        <v>No</v>
      </c>
      <c r="G27" s="21">
        <f t="shared" ca="1" si="8"/>
        <v>0</v>
      </c>
      <c r="H27" s="21">
        <f t="shared" ca="1" si="4"/>
        <v>64.566313934802537</v>
      </c>
      <c r="I27" s="21">
        <f t="shared" ca="1" si="0"/>
        <v>67.277843915755355</v>
      </c>
      <c r="J27" s="20">
        <f t="shared" ca="1" si="9"/>
        <v>6</v>
      </c>
      <c r="K27" s="20">
        <f t="shared" ca="1" si="1"/>
        <v>5</v>
      </c>
      <c r="L27" s="44">
        <f t="shared" ca="1" si="5"/>
        <v>5.5</v>
      </c>
    </row>
    <row r="28" spans="1:12" x14ac:dyDescent="0.25">
      <c r="A28" s="20">
        <v>20</v>
      </c>
      <c r="B28" s="21">
        <f t="shared" ca="1" si="2"/>
        <v>1.1789316676391224</v>
      </c>
      <c r="C28" s="21">
        <f t="shared" ca="1" si="6"/>
        <v>58.657987519804728</v>
      </c>
      <c r="D28" s="21">
        <f t="shared" ca="1" si="3"/>
        <v>3.0276431305115996</v>
      </c>
      <c r="E28" s="21">
        <f t="shared" ca="1" si="10"/>
        <v>8.6198563959506274</v>
      </c>
      <c r="F28" s="20" t="str">
        <f t="shared" ca="1" si="7"/>
        <v>No</v>
      </c>
      <c r="G28" s="21">
        <f t="shared" ca="1" si="8"/>
        <v>0</v>
      </c>
      <c r="H28" s="21">
        <f t="shared" ca="1" si="4"/>
        <v>67.277843915755355</v>
      </c>
      <c r="I28" s="21">
        <f t="shared" ca="1" si="0"/>
        <v>70.305487046266961</v>
      </c>
      <c r="J28" s="20">
        <f t="shared" ca="1" si="9"/>
        <v>6</v>
      </c>
      <c r="K28" s="20">
        <f t="shared" ca="1" si="1"/>
        <v>5</v>
      </c>
      <c r="L28" s="44">
        <f t="shared" ca="1" si="5"/>
        <v>5.5</v>
      </c>
    </row>
    <row r="29" spans="1:12" x14ac:dyDescent="0.25">
      <c r="A29" s="20">
        <v>21</v>
      </c>
      <c r="B29" s="21">
        <f t="shared" ca="1" si="2"/>
        <v>0.25158140486945962</v>
      </c>
      <c r="C29" s="21">
        <f t="shared" ca="1" si="6"/>
        <v>58.90956892467419</v>
      </c>
      <c r="D29" s="21">
        <f t="shared" ca="1" si="3"/>
        <v>0.79730373898822993</v>
      </c>
      <c r="E29" s="21">
        <f t="shared" ca="1" si="10"/>
        <v>11.395918121592771</v>
      </c>
      <c r="F29" s="20" t="str">
        <f t="shared" ca="1" si="7"/>
        <v>No</v>
      </c>
      <c r="G29" s="21">
        <f t="shared" ca="1" si="8"/>
        <v>0</v>
      </c>
      <c r="H29" s="21">
        <f t="shared" ca="1" si="4"/>
        <v>70.305487046266961</v>
      </c>
      <c r="I29" s="21">
        <f t="shared" ca="1" si="0"/>
        <v>71.102790785255195</v>
      </c>
      <c r="J29" s="20">
        <f t="shared" ca="1" si="9"/>
        <v>6</v>
      </c>
      <c r="K29" s="20">
        <f t="shared" ca="1" si="1"/>
        <v>5</v>
      </c>
      <c r="L29" s="44">
        <f t="shared" ca="1" si="5"/>
        <v>5.5</v>
      </c>
    </row>
    <row r="30" spans="1:12" x14ac:dyDescent="0.25">
      <c r="A30" s="20">
        <v>22</v>
      </c>
      <c r="B30" s="21">
        <f t="shared" ca="1" si="2"/>
        <v>2.3791404180931242</v>
      </c>
      <c r="C30" s="21">
        <f t="shared" ca="1" si="6"/>
        <v>61.288709342767312</v>
      </c>
      <c r="D30" s="21">
        <f t="shared" ca="1" si="3"/>
        <v>1.7176327298572356E-2</v>
      </c>
      <c r="E30" s="21">
        <f t="shared" ca="1" si="10"/>
        <v>9.8140814424878826</v>
      </c>
      <c r="F30" s="20" t="str">
        <f t="shared" ca="1" si="7"/>
        <v>No</v>
      </c>
      <c r="G30" s="21">
        <f t="shared" ca="1" si="8"/>
        <v>0</v>
      </c>
      <c r="H30" s="21">
        <f t="shared" ca="1" si="4"/>
        <v>71.102790785255195</v>
      </c>
      <c r="I30" s="21">
        <f t="shared" ca="1" si="0"/>
        <v>71.119967112553766</v>
      </c>
      <c r="J30" s="20">
        <f t="shared" ca="1" si="9"/>
        <v>6</v>
      </c>
      <c r="K30" s="20">
        <f t="shared" ca="1" si="1"/>
        <v>4</v>
      </c>
      <c r="L30" s="44">
        <f t="shared" ca="1" si="5"/>
        <v>5</v>
      </c>
    </row>
    <row r="31" spans="1:12" x14ac:dyDescent="0.25">
      <c r="A31" s="20">
        <v>23</v>
      </c>
      <c r="B31" s="21">
        <f t="shared" ca="1" si="2"/>
        <v>0.96209973578355412</v>
      </c>
      <c r="C31" s="21">
        <f t="shared" ca="1" si="6"/>
        <v>62.250809078550866</v>
      </c>
      <c r="D31" s="21">
        <f t="shared" ca="1" si="3"/>
        <v>0.99796188793790352</v>
      </c>
      <c r="E31" s="21">
        <f t="shared" ca="1" si="10"/>
        <v>8.8691580340029006</v>
      </c>
      <c r="F31" s="20" t="str">
        <f t="shared" ca="1" si="7"/>
        <v>No</v>
      </c>
      <c r="G31" s="21">
        <f t="shared" ca="1" si="8"/>
        <v>0</v>
      </c>
      <c r="H31" s="21">
        <f t="shared" ca="1" si="4"/>
        <v>71.119967112553766</v>
      </c>
      <c r="I31" s="21">
        <f t="shared" ca="1" si="0"/>
        <v>72.117929000491671</v>
      </c>
      <c r="J31" s="20">
        <f t="shared" ca="1" si="9"/>
        <v>5</v>
      </c>
      <c r="K31" s="20">
        <f t="shared" ca="1" si="1"/>
        <v>4</v>
      </c>
      <c r="L31" s="44">
        <f t="shared" ca="1" si="5"/>
        <v>4.5</v>
      </c>
    </row>
    <row r="32" spans="1:12" x14ac:dyDescent="0.25">
      <c r="A32" s="20">
        <v>24</v>
      </c>
      <c r="B32" s="21">
        <f t="shared" ca="1" si="2"/>
        <v>1.1119823058694336</v>
      </c>
      <c r="C32" s="21">
        <f t="shared" ca="1" si="6"/>
        <v>63.362791384420298</v>
      </c>
      <c r="D32" s="21">
        <f t="shared" ca="1" si="3"/>
        <v>0.53712405283125231</v>
      </c>
      <c r="E32" s="21">
        <f t="shared" ca="1" si="10"/>
        <v>8.755137616071373</v>
      </c>
      <c r="F32" s="20" t="str">
        <f t="shared" ca="1" si="7"/>
        <v>No</v>
      </c>
      <c r="G32" s="21">
        <f t="shared" ca="1" si="8"/>
        <v>0</v>
      </c>
      <c r="H32" s="21">
        <f t="shared" ca="1" si="4"/>
        <v>72.117929000491671</v>
      </c>
      <c r="I32" s="21">
        <f t="shared" ca="1" si="0"/>
        <v>72.655053053322916</v>
      </c>
      <c r="J32" s="20">
        <f t="shared" ca="1" si="9"/>
        <v>5</v>
      </c>
      <c r="K32" s="20">
        <f t="shared" ca="1" si="1"/>
        <v>3</v>
      </c>
      <c r="L32" s="44">
        <f t="shared" ca="1" si="5"/>
        <v>4</v>
      </c>
    </row>
    <row r="33" spans="1:12" x14ac:dyDescent="0.25">
      <c r="A33" s="20">
        <v>25</v>
      </c>
      <c r="B33" s="21">
        <f t="shared" ca="1" si="2"/>
        <v>2.0218652992812065</v>
      </c>
      <c r="C33" s="21">
        <f t="shared" ca="1" si="6"/>
        <v>65.384656683701508</v>
      </c>
      <c r="D33" s="21">
        <f t="shared" ca="1" si="3"/>
        <v>0.52393361534668192</v>
      </c>
      <c r="E33" s="21">
        <f t="shared" ca="1" si="10"/>
        <v>7.2703963696214089</v>
      </c>
      <c r="F33" s="20" t="str">
        <f t="shared" ca="1" si="7"/>
        <v>No</v>
      </c>
      <c r="G33" s="21">
        <f t="shared" ca="1" si="8"/>
        <v>0</v>
      </c>
      <c r="H33" s="21">
        <f t="shared" ca="1" si="4"/>
        <v>72.655053053322916</v>
      </c>
      <c r="I33" s="21">
        <f t="shared" ca="1" si="0"/>
        <v>73.178986668669594</v>
      </c>
      <c r="J33" s="20">
        <f t="shared" ca="1" si="9"/>
        <v>4</v>
      </c>
      <c r="K33" s="20">
        <f t="shared" ca="1" si="1"/>
        <v>2</v>
      </c>
      <c r="L33" s="44">
        <f t="shared" ca="1" si="5"/>
        <v>3</v>
      </c>
    </row>
    <row r="34" spans="1:12" x14ac:dyDescent="0.25">
      <c r="A34" s="20">
        <v>26</v>
      </c>
      <c r="B34" s="21">
        <f t="shared" ca="1" si="2"/>
        <v>1.2847385159103899</v>
      </c>
      <c r="C34" s="21">
        <f t="shared" ca="1" si="6"/>
        <v>66.669395199611898</v>
      </c>
      <c r="D34" s="21">
        <f t="shared" ca="1" si="3"/>
        <v>5.5777783096943407</v>
      </c>
      <c r="E34" s="21">
        <f t="shared" ca="1" si="10"/>
        <v>6.5095914690576961</v>
      </c>
      <c r="F34" s="20" t="str">
        <f t="shared" ca="1" si="7"/>
        <v>No</v>
      </c>
      <c r="G34" s="21">
        <f t="shared" ca="1" si="8"/>
        <v>0</v>
      </c>
      <c r="H34" s="21">
        <f t="shared" ca="1" si="4"/>
        <v>73.178986668669594</v>
      </c>
      <c r="I34" s="21">
        <f t="shared" ca="1" si="0"/>
        <v>78.756764978363933</v>
      </c>
      <c r="J34" s="20">
        <f t="shared" ca="1" si="9"/>
        <v>3</v>
      </c>
      <c r="K34" s="20">
        <f t="shared" ca="1" si="1"/>
        <v>5</v>
      </c>
      <c r="L34" s="44">
        <f t="shared" ca="1" si="5"/>
        <v>4</v>
      </c>
    </row>
    <row r="35" spans="1:12" x14ac:dyDescent="0.25">
      <c r="A35" s="20">
        <v>27</v>
      </c>
      <c r="B35" s="21">
        <f t="shared" ca="1" si="2"/>
        <v>5.0374641953447972</v>
      </c>
      <c r="C35" s="21">
        <f t="shared" ca="1" si="6"/>
        <v>71.706859394956695</v>
      </c>
      <c r="D35" s="21">
        <f t="shared" ca="1" si="3"/>
        <v>0.61592050962095879</v>
      </c>
      <c r="E35" s="21">
        <f t="shared" ca="1" si="10"/>
        <v>7.0499055834072379</v>
      </c>
      <c r="F35" s="20" t="str">
        <f t="shared" ca="1" si="7"/>
        <v>No</v>
      </c>
      <c r="G35" s="21">
        <f t="shared" ca="1" si="8"/>
        <v>0</v>
      </c>
      <c r="H35" s="21">
        <f t="shared" ca="1" si="4"/>
        <v>78.756764978363933</v>
      </c>
      <c r="I35" s="21">
        <f t="shared" ca="1" si="0"/>
        <v>79.372685487984896</v>
      </c>
      <c r="J35" s="20">
        <f t="shared" ca="1" si="9"/>
        <v>6</v>
      </c>
      <c r="K35" s="20">
        <f t="shared" ca="1" si="1"/>
        <v>4</v>
      </c>
      <c r="L35" s="44">
        <f t="shared" ca="1" si="5"/>
        <v>5</v>
      </c>
    </row>
    <row r="36" spans="1:12" x14ac:dyDescent="0.25">
      <c r="A36" s="20">
        <v>28</v>
      </c>
      <c r="B36" s="21">
        <f t="shared" ca="1" si="2"/>
        <v>1.9435528535684716</v>
      </c>
      <c r="C36" s="21">
        <f t="shared" ca="1" si="6"/>
        <v>73.650412248525171</v>
      </c>
      <c r="D36" s="21">
        <f t="shared" ca="1" si="3"/>
        <v>1.1966243682375051</v>
      </c>
      <c r="E36" s="21">
        <f t="shared" ca="1" si="10"/>
        <v>5.7222732394597244</v>
      </c>
      <c r="F36" s="20" t="str">
        <f t="shared" ca="1" si="7"/>
        <v>No</v>
      </c>
      <c r="G36" s="21">
        <f t="shared" ca="1" si="8"/>
        <v>0</v>
      </c>
      <c r="H36" s="21">
        <f t="shared" ca="1" si="4"/>
        <v>79.372685487984896</v>
      </c>
      <c r="I36" s="21">
        <f t="shared" ca="1" si="0"/>
        <v>80.569309856222404</v>
      </c>
      <c r="J36" s="20">
        <f t="shared" ca="1" si="9"/>
        <v>5</v>
      </c>
      <c r="K36" s="20">
        <f t="shared" ca="1" si="1"/>
        <v>3</v>
      </c>
      <c r="L36" s="44">
        <f t="shared" ca="1" si="5"/>
        <v>4</v>
      </c>
    </row>
    <row r="37" spans="1:12" x14ac:dyDescent="0.25">
      <c r="A37" s="20">
        <v>29</v>
      </c>
      <c r="B37" s="21">
        <f t="shared" ca="1" si="2"/>
        <v>2.751344805801061</v>
      </c>
      <c r="C37" s="21">
        <f t="shared" ca="1" si="6"/>
        <v>76.401757054326225</v>
      </c>
      <c r="D37" s="21">
        <f t="shared" ca="1" si="3"/>
        <v>1.8993794722468105</v>
      </c>
      <c r="E37" s="21">
        <f t="shared" ca="1" si="10"/>
        <v>4.1675528018961785</v>
      </c>
      <c r="F37" s="20" t="str">
        <f t="shared" ca="1" si="7"/>
        <v>No</v>
      </c>
      <c r="G37" s="21">
        <f t="shared" ca="1" si="8"/>
        <v>0</v>
      </c>
      <c r="H37" s="21">
        <f t="shared" ca="1" si="4"/>
        <v>80.569309856222404</v>
      </c>
      <c r="I37" s="21">
        <f t="shared" ca="1" si="0"/>
        <v>82.46868932846921</v>
      </c>
      <c r="J37" s="20">
        <f t="shared" ca="1" si="9"/>
        <v>4</v>
      </c>
      <c r="K37" s="20">
        <f t="shared" ca="1" si="1"/>
        <v>3</v>
      </c>
      <c r="L37" s="44">
        <f t="shared" ca="1" si="5"/>
        <v>3.5</v>
      </c>
    </row>
    <row r="38" spans="1:12" x14ac:dyDescent="0.25">
      <c r="A38" s="20">
        <v>30</v>
      </c>
      <c r="B38" s="21">
        <f t="shared" ca="1" si="2"/>
        <v>1.0818440432389369</v>
      </c>
      <c r="C38" s="21">
        <f t="shared" ca="1" si="6"/>
        <v>77.483601097565156</v>
      </c>
      <c r="D38" s="21">
        <f t="shared" ca="1" si="3"/>
        <v>6.418143205567481</v>
      </c>
      <c r="E38" s="21">
        <f t="shared" ca="1" si="10"/>
        <v>4.9850882309040543</v>
      </c>
      <c r="F38" s="20" t="str">
        <f t="shared" ca="1" si="7"/>
        <v>No</v>
      </c>
      <c r="G38" s="21">
        <f t="shared" ca="1" si="8"/>
        <v>0</v>
      </c>
      <c r="H38" s="21">
        <f t="shared" ca="1" si="4"/>
        <v>82.46868932846921</v>
      </c>
      <c r="I38" s="21">
        <f t="shared" ca="1" si="0"/>
        <v>88.886832534036685</v>
      </c>
      <c r="J38" s="20">
        <f t="shared" ca="1" si="9"/>
        <v>4</v>
      </c>
      <c r="K38" s="20">
        <f t="shared" ca="1" si="1"/>
        <v>3</v>
      </c>
      <c r="L38" s="44">
        <f t="shared" ca="1" si="5"/>
        <v>3.5</v>
      </c>
    </row>
    <row r="39" spans="1:12" x14ac:dyDescent="0.25">
      <c r="A39" s="20">
        <v>31</v>
      </c>
      <c r="B39" s="21">
        <f t="shared" ca="1" si="2"/>
        <v>0.41485434177844832</v>
      </c>
      <c r="C39" s="21">
        <f t="shared" ca="1" si="6"/>
        <v>77.898455439343607</v>
      </c>
      <c r="D39" s="21">
        <f t="shared" ca="1" si="3"/>
        <v>8.9569373929068927</v>
      </c>
      <c r="E39" s="21">
        <f t="shared" ca="1" si="10"/>
        <v>10.988377094693078</v>
      </c>
      <c r="F39" s="20" t="str">
        <f t="shared" ca="1" si="7"/>
        <v>No</v>
      </c>
      <c r="G39" s="21">
        <f t="shared" ca="1" si="8"/>
        <v>0</v>
      </c>
      <c r="H39" s="21">
        <f t="shared" ca="1" si="4"/>
        <v>88.886832534036685</v>
      </c>
      <c r="I39" s="21">
        <f t="shared" ca="1" si="0"/>
        <v>97.84376992694358</v>
      </c>
      <c r="J39" s="20">
        <f t="shared" ca="1" si="9"/>
        <v>4</v>
      </c>
      <c r="K39" s="20">
        <f t="shared" ca="1" si="1"/>
        <v>5</v>
      </c>
      <c r="L39" s="44">
        <f t="shared" ca="1" si="5"/>
        <v>4.5</v>
      </c>
    </row>
    <row r="40" spans="1:12" x14ac:dyDescent="0.25">
      <c r="A40" s="20">
        <v>32</v>
      </c>
      <c r="B40" s="21">
        <f t="shared" ca="1" si="2"/>
        <v>4.1715478270035549</v>
      </c>
      <c r="C40" s="21">
        <f t="shared" ca="1" si="6"/>
        <v>82.070003266347157</v>
      </c>
      <c r="D40" s="21">
        <f t="shared" ca="1" si="3"/>
        <v>4.3018777683879765</v>
      </c>
      <c r="E40" s="21">
        <f t="shared" ca="1" si="10"/>
        <v>15.773766660596422</v>
      </c>
      <c r="F40" s="20" t="str">
        <f t="shared" ca="1" si="7"/>
        <v>No</v>
      </c>
      <c r="G40" s="21">
        <f t="shared" ca="1" si="8"/>
        <v>0</v>
      </c>
      <c r="H40" s="21">
        <f t="shared" ca="1" si="4"/>
        <v>97.84376992694358</v>
      </c>
      <c r="I40" s="21">
        <f t="shared" ca="1" si="0"/>
        <v>102.14564769533156</v>
      </c>
      <c r="J40" s="20">
        <f t="shared" ca="1" si="9"/>
        <v>6</v>
      </c>
      <c r="K40" s="20">
        <f t="shared" ca="1" si="1"/>
        <v>5</v>
      </c>
      <c r="L40" s="44">
        <f t="shared" ca="1" si="5"/>
        <v>5.5</v>
      </c>
    </row>
    <row r="41" spans="1:12" x14ac:dyDescent="0.25">
      <c r="A41" s="20">
        <v>33</v>
      </c>
      <c r="B41" s="21">
        <f t="shared" ca="1" si="2"/>
        <v>6.7657835355409182</v>
      </c>
      <c r="C41" s="21">
        <f t="shared" ca="1" si="6"/>
        <v>88.835786801888077</v>
      </c>
      <c r="D41" s="21">
        <f t="shared" ca="1" si="3"/>
        <v>0.47821568606031273</v>
      </c>
      <c r="E41" s="21">
        <f t="shared" ca="1" si="10"/>
        <v>13.309860893443485</v>
      </c>
      <c r="F41" s="20" t="str">
        <f t="shared" ca="1" si="7"/>
        <v>No</v>
      </c>
      <c r="G41" s="21">
        <f t="shared" ca="1" si="8"/>
        <v>0</v>
      </c>
      <c r="H41" s="21">
        <f t="shared" ca="1" si="4"/>
        <v>102.14564769533156</v>
      </c>
      <c r="I41" s="21">
        <f t="shared" ca="1" si="0"/>
        <v>102.62386338139187</v>
      </c>
      <c r="J41" s="20">
        <f t="shared" ca="1" si="9"/>
        <v>6</v>
      </c>
      <c r="K41" s="20">
        <f t="shared" ca="1" si="1"/>
        <v>4</v>
      </c>
      <c r="L41" s="44">
        <f t="shared" ca="1" si="5"/>
        <v>5</v>
      </c>
    </row>
    <row r="42" spans="1:12" x14ac:dyDescent="0.25">
      <c r="A42" s="20">
        <v>34</v>
      </c>
      <c r="B42" s="21">
        <f t="shared" ca="1" si="2"/>
        <v>2.1115833295614843</v>
      </c>
      <c r="C42" s="21">
        <f t="shared" ca="1" si="6"/>
        <v>90.94737013144956</v>
      </c>
      <c r="D42" s="21">
        <f t="shared" ca="1" si="3"/>
        <v>5.0964740448021173</v>
      </c>
      <c r="E42" s="21">
        <f t="shared" ca="1" si="10"/>
        <v>11.676493249942311</v>
      </c>
      <c r="F42" s="20" t="str">
        <f t="shared" ca="1" si="7"/>
        <v>No</v>
      </c>
      <c r="G42" s="21">
        <f t="shared" ca="1" si="8"/>
        <v>0</v>
      </c>
      <c r="H42" s="21">
        <f t="shared" ca="1" si="4"/>
        <v>102.62386338139187</v>
      </c>
      <c r="I42" s="21">
        <f t="shared" ca="1" si="0"/>
        <v>107.72033742619399</v>
      </c>
      <c r="J42" s="20">
        <f t="shared" ca="1" si="9"/>
        <v>5</v>
      </c>
      <c r="K42" s="20">
        <f t="shared" ca="1" si="1"/>
        <v>4</v>
      </c>
      <c r="L42" s="44">
        <f t="shared" ca="1" si="5"/>
        <v>4.5</v>
      </c>
    </row>
    <row r="43" spans="1:12" x14ac:dyDescent="0.25">
      <c r="A43" s="20">
        <v>35</v>
      </c>
      <c r="B43" s="21">
        <f t="shared" ca="1" si="2"/>
        <v>5.0588262594085984</v>
      </c>
      <c r="C43" s="21">
        <f t="shared" ca="1" si="6"/>
        <v>96.006196390858165</v>
      </c>
      <c r="D43" s="21">
        <f t="shared" ca="1" si="3"/>
        <v>2.2255155527481834</v>
      </c>
      <c r="E43" s="21">
        <f t="shared" ca="1" si="10"/>
        <v>11.714141035335828</v>
      </c>
      <c r="F43" s="20" t="str">
        <f t="shared" ca="1" si="7"/>
        <v>No</v>
      </c>
      <c r="G43" s="21">
        <f t="shared" ca="1" si="8"/>
        <v>0</v>
      </c>
      <c r="H43" s="21">
        <f t="shared" ca="1" si="4"/>
        <v>107.72033742619399</v>
      </c>
      <c r="I43" s="21">
        <f t="shared" ca="1" si="0"/>
        <v>109.94585297894217</v>
      </c>
      <c r="J43" s="20">
        <f t="shared" ca="1" si="9"/>
        <v>5</v>
      </c>
      <c r="K43" s="20">
        <f t="shared" ca="1" si="1"/>
        <v>3</v>
      </c>
      <c r="L43" s="44">
        <f t="shared" ca="1" si="5"/>
        <v>4</v>
      </c>
    </row>
    <row r="44" spans="1:12" x14ac:dyDescent="0.25">
      <c r="A44" s="20">
        <v>36</v>
      </c>
      <c r="B44" s="21">
        <f t="shared" ca="1" si="2"/>
        <v>1.5804755468877338</v>
      </c>
      <c r="C44" s="21">
        <f t="shared" ca="1" si="6"/>
        <v>97.586671937745905</v>
      </c>
      <c r="D44" s="21">
        <f t="shared" ca="1" si="3"/>
        <v>1.0774815959074664</v>
      </c>
      <c r="E44" s="21">
        <f t="shared" ca="1" si="10"/>
        <v>12.359181041196265</v>
      </c>
      <c r="F44" s="20" t="str">
        <f t="shared" ca="1" si="7"/>
        <v>No</v>
      </c>
      <c r="G44" s="21">
        <f t="shared" ca="1" si="8"/>
        <v>0</v>
      </c>
      <c r="H44" s="21">
        <f t="shared" ca="1" si="4"/>
        <v>109.94585297894217</v>
      </c>
      <c r="I44" s="21">
        <f t="shared" ca="1" si="0"/>
        <v>111.02333457484964</v>
      </c>
      <c r="J44" s="20">
        <f t="shared" ca="1" si="9"/>
        <v>4</v>
      </c>
      <c r="K44" s="20">
        <f t="shared" ca="1" si="1"/>
        <v>2</v>
      </c>
      <c r="L44" s="44">
        <f t="shared" ca="1" si="5"/>
        <v>3</v>
      </c>
    </row>
    <row r="45" spans="1:12" x14ac:dyDescent="0.25">
      <c r="A45" s="20">
        <v>37</v>
      </c>
      <c r="B45" s="21">
        <f t="shared" ca="1" si="2"/>
        <v>0.65183747516394364</v>
      </c>
      <c r="C45" s="21">
        <f t="shared" ca="1" si="6"/>
        <v>98.238509412909849</v>
      </c>
      <c r="D45" s="21">
        <f t="shared" ca="1" si="3"/>
        <v>0.40357620292447316</v>
      </c>
      <c r="E45" s="21">
        <f t="shared" ca="1" si="10"/>
        <v>12.784825161939793</v>
      </c>
      <c r="F45" s="20" t="str">
        <f t="shared" ca="1" si="7"/>
        <v>No</v>
      </c>
      <c r="G45" s="21">
        <f t="shared" ca="1" si="8"/>
        <v>0</v>
      </c>
      <c r="H45" s="21">
        <f t="shared" ca="1" si="4"/>
        <v>111.02333457484964</v>
      </c>
      <c r="I45" s="21">
        <f t="shared" ca="1" si="0"/>
        <v>111.42691077777411</v>
      </c>
      <c r="J45" s="20">
        <f t="shared" ca="1" si="9"/>
        <v>3</v>
      </c>
      <c r="K45" s="20">
        <f t="shared" ca="1" si="1"/>
        <v>2</v>
      </c>
      <c r="L45" s="44">
        <f t="shared" ca="1" si="5"/>
        <v>2.5</v>
      </c>
    </row>
    <row r="46" spans="1:12" x14ac:dyDescent="0.25">
      <c r="A46" s="20">
        <v>38</v>
      </c>
      <c r="B46" s="21">
        <f t="shared" ca="1" si="2"/>
        <v>8.6769304092928596</v>
      </c>
      <c r="C46" s="21">
        <f t="shared" ca="1" si="6"/>
        <v>106.91543982220271</v>
      </c>
      <c r="D46" s="21">
        <f t="shared" ca="1" si="3"/>
        <v>3.1625539735128223E-2</v>
      </c>
      <c r="E46" s="21">
        <f t="shared" ca="1" si="10"/>
        <v>4.5114709555713972</v>
      </c>
      <c r="F46" s="20" t="str">
        <f t="shared" ca="1" si="7"/>
        <v>No</v>
      </c>
      <c r="G46" s="21">
        <f t="shared" ca="1" si="8"/>
        <v>0</v>
      </c>
      <c r="H46" s="21">
        <f t="shared" ca="1" si="4"/>
        <v>111.42691077777411</v>
      </c>
      <c r="I46" s="21">
        <f t="shared" ca="1" si="0"/>
        <v>111.45853631750924</v>
      </c>
      <c r="J46" s="20">
        <f t="shared" ca="1" si="9"/>
        <v>3</v>
      </c>
      <c r="K46" s="20">
        <f t="shared" ca="1" si="1"/>
        <v>1</v>
      </c>
      <c r="L46" s="44">
        <f t="shared" ca="1" si="5"/>
        <v>2</v>
      </c>
    </row>
    <row r="47" spans="1:12" x14ac:dyDescent="0.25">
      <c r="A47" s="20">
        <v>39</v>
      </c>
      <c r="B47" s="21">
        <f t="shared" ca="1" si="2"/>
        <v>4.2566807987100068</v>
      </c>
      <c r="C47" s="21">
        <f t="shared" ca="1" si="6"/>
        <v>111.17212062091272</v>
      </c>
      <c r="D47" s="21">
        <f t="shared" ca="1" si="3"/>
        <v>1.1714974387733674</v>
      </c>
      <c r="E47" s="21">
        <f t="shared" ca="1" si="10"/>
        <v>0.28641569659652077</v>
      </c>
      <c r="F47" s="20" t="str">
        <f t="shared" ca="1" si="7"/>
        <v>No</v>
      </c>
      <c r="G47" s="21">
        <f t="shared" ca="1" si="8"/>
        <v>0</v>
      </c>
      <c r="H47" s="21">
        <f t="shared" ca="1" si="4"/>
        <v>111.45853631750924</v>
      </c>
      <c r="I47" s="21">
        <f t="shared" ca="1" si="0"/>
        <v>112.63003375628261</v>
      </c>
      <c r="J47" s="20">
        <f t="shared" ca="1" si="9"/>
        <v>2</v>
      </c>
      <c r="K47" s="20">
        <f t="shared" ca="1" si="1"/>
        <v>1</v>
      </c>
      <c r="L47" s="44">
        <f t="shared" ca="1" si="5"/>
        <v>1.5</v>
      </c>
    </row>
    <row r="48" spans="1:12" x14ac:dyDescent="0.25">
      <c r="A48" s="20">
        <v>40</v>
      </c>
      <c r="B48" s="21">
        <f t="shared" ca="1" si="2"/>
        <v>0.5660791354261584</v>
      </c>
      <c r="C48" s="21">
        <f t="shared" ca="1" si="6"/>
        <v>111.73819975633889</v>
      </c>
      <c r="D48" s="21">
        <f t="shared" ca="1" si="3"/>
        <v>2.1659337992255772</v>
      </c>
      <c r="E48" s="21">
        <f t="shared" ca="1" si="10"/>
        <v>0.89183399994372792</v>
      </c>
      <c r="F48" s="20" t="str">
        <f t="shared" ca="1" si="7"/>
        <v>No</v>
      </c>
      <c r="G48" s="21">
        <f t="shared" ca="1" si="8"/>
        <v>0</v>
      </c>
      <c r="H48" s="21">
        <f t="shared" ca="1" si="4"/>
        <v>112.63003375628261</v>
      </c>
      <c r="I48" s="21">
        <f t="shared" ca="1" si="0"/>
        <v>114.79596755550818</v>
      </c>
      <c r="J48" s="20">
        <f t="shared" ca="1" si="9"/>
        <v>2</v>
      </c>
      <c r="K48" s="20">
        <f t="shared" ca="1" si="1"/>
        <v>3</v>
      </c>
      <c r="L48" s="44">
        <f t="shared" ca="1" si="5"/>
        <v>2.5</v>
      </c>
    </row>
    <row r="49" spans="1:12" x14ac:dyDescent="0.25">
      <c r="A49" s="20">
        <v>41</v>
      </c>
      <c r="B49" s="21">
        <f t="shared" ca="1" si="2"/>
        <v>1.3729637316222423</v>
      </c>
      <c r="C49" s="21">
        <f t="shared" ca="1" si="6"/>
        <v>113.11116348796114</v>
      </c>
      <c r="D49" s="21">
        <f t="shared" ca="1" si="3"/>
        <v>0.2478803855074469</v>
      </c>
      <c r="E49" s="21">
        <f t="shared" ca="1" si="10"/>
        <v>1.6848040675470486</v>
      </c>
      <c r="F49" s="20" t="str">
        <f t="shared" ca="1" si="7"/>
        <v>No</v>
      </c>
      <c r="G49" s="21">
        <f t="shared" ca="1" si="8"/>
        <v>0</v>
      </c>
      <c r="H49" s="21">
        <f t="shared" ca="1" si="4"/>
        <v>114.79596755550818</v>
      </c>
      <c r="I49" s="21">
        <f t="shared" ca="1" si="0"/>
        <v>115.04384794101563</v>
      </c>
      <c r="J49" s="20">
        <f t="shared" ca="1" si="9"/>
        <v>4</v>
      </c>
      <c r="K49" s="20">
        <f t="shared" ca="1" si="1"/>
        <v>2</v>
      </c>
      <c r="L49" s="44">
        <f t="shared" ca="1" si="5"/>
        <v>3</v>
      </c>
    </row>
    <row r="50" spans="1:12" x14ac:dyDescent="0.25">
      <c r="A50" s="20">
        <v>42</v>
      </c>
      <c r="B50" s="21">
        <f t="shared" ca="1" si="2"/>
        <v>0.21358006587889167</v>
      </c>
      <c r="C50" s="21">
        <f t="shared" ca="1" si="6"/>
        <v>113.32474355384002</v>
      </c>
      <c r="D50" s="21">
        <f t="shared" ca="1" si="3"/>
        <v>0.9171502423602943</v>
      </c>
      <c r="E50" s="21">
        <f t="shared" ca="1" si="10"/>
        <v>1.7191043871756051</v>
      </c>
      <c r="F50" s="20" t="str">
        <f t="shared" ca="1" si="7"/>
        <v>No</v>
      </c>
      <c r="G50" s="21">
        <f t="shared" ca="1" si="8"/>
        <v>0</v>
      </c>
      <c r="H50" s="21">
        <f t="shared" ca="1" si="4"/>
        <v>115.04384794101563</v>
      </c>
      <c r="I50" s="21">
        <f t="shared" ca="1" si="0"/>
        <v>115.96099818337592</v>
      </c>
      <c r="J50" s="20">
        <f t="shared" ca="1" si="9"/>
        <v>3</v>
      </c>
      <c r="K50" s="20">
        <f t="shared" ca="1" si="1"/>
        <v>1</v>
      </c>
      <c r="L50" s="44">
        <f t="shared" ca="1" si="5"/>
        <v>2</v>
      </c>
    </row>
    <row r="51" spans="1:12" x14ac:dyDescent="0.25">
      <c r="A51" s="20">
        <v>43</v>
      </c>
      <c r="B51" s="21">
        <f t="shared" ca="1" si="2"/>
        <v>0.96299130771336505</v>
      </c>
      <c r="C51" s="21">
        <f t="shared" ca="1" si="6"/>
        <v>114.28773486155339</v>
      </c>
      <c r="D51" s="21">
        <f t="shared" ca="1" si="3"/>
        <v>1.9557922450807208</v>
      </c>
      <c r="E51" s="21">
        <f t="shared" ca="1" si="10"/>
        <v>1.6732633218225317</v>
      </c>
      <c r="F51" s="20" t="str">
        <f t="shared" ca="1" si="7"/>
        <v>No</v>
      </c>
      <c r="G51" s="21">
        <f t="shared" ca="1" si="8"/>
        <v>0</v>
      </c>
      <c r="H51" s="21">
        <f t="shared" ca="1" si="4"/>
        <v>115.96099818337592</v>
      </c>
      <c r="I51" s="21">
        <f t="shared" ca="1" si="0"/>
        <v>117.91679042845664</v>
      </c>
      <c r="J51" s="20">
        <f t="shared" ca="1" si="9"/>
        <v>2</v>
      </c>
      <c r="K51" s="20">
        <f t="shared" ca="1" si="1"/>
        <v>0</v>
      </c>
      <c r="L51" s="44">
        <f t="shared" ca="1" si="5"/>
        <v>1</v>
      </c>
    </row>
    <row r="52" spans="1:12" x14ac:dyDescent="0.25">
      <c r="A52" s="20">
        <v>44</v>
      </c>
      <c r="B52" s="21">
        <f t="shared" ca="1" si="2"/>
        <v>16.266211908532689</v>
      </c>
      <c r="C52" s="21">
        <f t="shared" ca="1" si="6"/>
        <v>130.55394677008607</v>
      </c>
      <c r="D52" s="21">
        <f t="shared" ca="1" si="3"/>
        <v>3.9637924707504451</v>
      </c>
      <c r="E52" s="21">
        <f t="shared" ca="1" si="10"/>
        <v>0</v>
      </c>
      <c r="F52" s="20" t="str">
        <f t="shared" ca="1" si="7"/>
        <v>Yes</v>
      </c>
      <c r="G52" s="21">
        <f t="shared" ca="1" si="8"/>
        <v>12.637156341629435</v>
      </c>
      <c r="H52" s="21">
        <f t="shared" ca="1" si="4"/>
        <v>130.55394677008607</v>
      </c>
      <c r="I52" s="21">
        <f t="shared" ca="1" si="0"/>
        <v>134.51773924083651</v>
      </c>
      <c r="J52" s="20">
        <f t="shared" ca="1" si="9"/>
        <v>0</v>
      </c>
      <c r="K52" s="20">
        <f t="shared" ca="1" si="1"/>
        <v>0</v>
      </c>
      <c r="L52" s="44">
        <f t="shared" ca="1" si="5"/>
        <v>0</v>
      </c>
    </row>
    <row r="53" spans="1:12" x14ac:dyDescent="0.25">
      <c r="A53" s="20">
        <v>45</v>
      </c>
      <c r="B53" s="21">
        <f t="shared" ca="1" si="2"/>
        <v>15.390092586076594</v>
      </c>
      <c r="C53" s="21">
        <f t="shared" ca="1" si="6"/>
        <v>145.94403935616268</v>
      </c>
      <c r="D53" s="21">
        <f t="shared" ca="1" si="3"/>
        <v>1.9647269692605189</v>
      </c>
      <c r="E53" s="21">
        <f t="shared" ca="1" si="10"/>
        <v>0</v>
      </c>
      <c r="F53" s="20" t="str">
        <f t="shared" ca="1" si="7"/>
        <v>Yes</v>
      </c>
      <c r="G53" s="21">
        <f t="shared" ca="1" si="8"/>
        <v>11.426300115326171</v>
      </c>
      <c r="H53" s="21">
        <f t="shared" ca="1" si="4"/>
        <v>145.94403935616268</v>
      </c>
      <c r="I53" s="21">
        <f t="shared" ca="1" si="0"/>
        <v>147.90876632542319</v>
      </c>
      <c r="J53" s="20">
        <f t="shared" ca="1" si="9"/>
        <v>0</v>
      </c>
      <c r="K53" s="20">
        <f t="shared" ca="1" si="1"/>
        <v>0</v>
      </c>
      <c r="L53" s="44">
        <f t="shared" ca="1" si="5"/>
        <v>0</v>
      </c>
    </row>
    <row r="54" spans="1:12" x14ac:dyDescent="0.25">
      <c r="A54" s="20">
        <v>46</v>
      </c>
      <c r="B54" s="21">
        <f t="shared" ca="1" si="2"/>
        <v>9.2084725466759867</v>
      </c>
      <c r="C54" s="21">
        <f t="shared" ca="1" si="6"/>
        <v>155.15251190283865</v>
      </c>
      <c r="D54" s="21">
        <f t="shared" ca="1" si="3"/>
        <v>0.49185024184460197</v>
      </c>
      <c r="E54" s="21">
        <f t="shared" ca="1" si="10"/>
        <v>0</v>
      </c>
      <c r="F54" s="20" t="str">
        <f t="shared" ca="1" si="7"/>
        <v>Yes</v>
      </c>
      <c r="G54" s="21">
        <f t="shared" ca="1" si="8"/>
        <v>7.2437455774154671</v>
      </c>
      <c r="H54" s="21">
        <f t="shared" ca="1" si="4"/>
        <v>155.15251190283865</v>
      </c>
      <c r="I54" s="21">
        <f t="shared" ca="1" si="0"/>
        <v>155.64436214468324</v>
      </c>
      <c r="J54" s="20">
        <f t="shared" ca="1" si="9"/>
        <v>0</v>
      </c>
      <c r="K54" s="20">
        <f t="shared" ca="1" si="1"/>
        <v>0</v>
      </c>
      <c r="L54" s="44">
        <f t="shared" ca="1" si="5"/>
        <v>0</v>
      </c>
    </row>
    <row r="55" spans="1:12" x14ac:dyDescent="0.25">
      <c r="A55" s="20">
        <v>47</v>
      </c>
      <c r="B55" s="21">
        <f t="shared" ca="1" si="2"/>
        <v>2.020969241003626</v>
      </c>
      <c r="C55" s="21">
        <f t="shared" ca="1" si="6"/>
        <v>157.17348114384228</v>
      </c>
      <c r="D55" s="21">
        <f t="shared" ca="1" si="3"/>
        <v>6.6830252552602269</v>
      </c>
      <c r="E55" s="21">
        <f t="shared" ca="1" si="10"/>
        <v>0</v>
      </c>
      <c r="F55" s="20" t="str">
        <f t="shared" ca="1" si="7"/>
        <v>Yes</v>
      </c>
      <c r="G55" s="21">
        <f t="shared" ca="1" si="8"/>
        <v>1.5291189991590386</v>
      </c>
      <c r="H55" s="21">
        <f t="shared" ca="1" si="4"/>
        <v>157.17348114384228</v>
      </c>
      <c r="I55" s="21">
        <f t="shared" ca="1" si="0"/>
        <v>163.8565063991025</v>
      </c>
      <c r="J55" s="20">
        <f t="shared" ca="1" si="9"/>
        <v>0</v>
      </c>
      <c r="K55" s="20">
        <f t="shared" ca="1" si="1"/>
        <v>1</v>
      </c>
      <c r="L55" s="44">
        <f t="shared" ca="1" si="5"/>
        <v>0.5</v>
      </c>
    </row>
    <row r="56" spans="1:12" x14ac:dyDescent="0.25">
      <c r="A56" s="20">
        <v>48</v>
      </c>
      <c r="B56" s="21">
        <f t="shared" ca="1" si="2"/>
        <v>2.3339578623315957</v>
      </c>
      <c r="C56" s="21">
        <f t="shared" ca="1" si="6"/>
        <v>159.50743900617388</v>
      </c>
      <c r="D56" s="21">
        <f t="shared" ca="1" si="3"/>
        <v>0.71108678643857204</v>
      </c>
      <c r="E56" s="21">
        <f t="shared" ca="1" si="10"/>
        <v>4.3490673929286174</v>
      </c>
      <c r="F56" s="20" t="str">
        <f t="shared" ca="1" si="7"/>
        <v>No</v>
      </c>
      <c r="G56" s="21">
        <f t="shared" ca="1" si="8"/>
        <v>0</v>
      </c>
      <c r="H56" s="21">
        <f t="shared" ca="1" si="4"/>
        <v>163.8565063991025</v>
      </c>
      <c r="I56" s="21">
        <f t="shared" ca="1" si="0"/>
        <v>164.56759318554109</v>
      </c>
      <c r="J56" s="20">
        <f t="shared" ca="1" si="9"/>
        <v>2</v>
      </c>
      <c r="K56" s="20">
        <f t="shared" ca="1" si="1"/>
        <v>0</v>
      </c>
      <c r="L56" s="44">
        <f t="shared" ca="1" si="5"/>
        <v>1</v>
      </c>
    </row>
    <row r="57" spans="1:12" x14ac:dyDescent="0.25">
      <c r="A57" s="20">
        <v>49</v>
      </c>
      <c r="B57" s="21">
        <f t="shared" ca="1" si="2"/>
        <v>8.5916913276157931</v>
      </c>
      <c r="C57" s="21">
        <f t="shared" ca="1" si="6"/>
        <v>168.09913033378967</v>
      </c>
      <c r="D57" s="21">
        <f t="shared" ca="1" si="3"/>
        <v>5.3573074159433007</v>
      </c>
      <c r="E57" s="21">
        <f t="shared" ca="1" si="10"/>
        <v>0</v>
      </c>
      <c r="F57" s="20" t="str">
        <f t="shared" ca="1" si="7"/>
        <v>Yes</v>
      </c>
      <c r="G57" s="21">
        <f t="shared" ca="1" si="8"/>
        <v>3.5315371482485887</v>
      </c>
      <c r="H57" s="21">
        <f t="shared" ca="1" si="4"/>
        <v>168.09913033378967</v>
      </c>
      <c r="I57" s="21">
        <f t="shared" ca="1" si="0"/>
        <v>173.45643774973297</v>
      </c>
      <c r="J57" s="20">
        <f t="shared" ca="1" si="9"/>
        <v>0</v>
      </c>
      <c r="K57" s="20">
        <f t="shared" ca="1" si="1"/>
        <v>3</v>
      </c>
      <c r="L57" s="44">
        <f t="shared" ca="1" si="5"/>
        <v>1.5</v>
      </c>
    </row>
    <row r="58" spans="1:12" x14ac:dyDescent="0.25">
      <c r="A58" s="20">
        <v>50</v>
      </c>
      <c r="B58" s="21">
        <f t="shared" ca="1" si="2"/>
        <v>0.89893114597333534</v>
      </c>
      <c r="C58" s="21">
        <f t="shared" ca="1" si="6"/>
        <v>168.99806147976301</v>
      </c>
      <c r="D58" s="21">
        <f t="shared" ca="1" si="3"/>
        <v>1.220467659866062</v>
      </c>
      <c r="E58" s="21">
        <f t="shared" ca="1" si="10"/>
        <v>4.4583762699699605</v>
      </c>
      <c r="F58" s="20" t="str">
        <f t="shared" ca="1" si="7"/>
        <v>No</v>
      </c>
      <c r="G58" s="21">
        <f t="shared" ca="1" si="8"/>
        <v>0</v>
      </c>
      <c r="H58" s="21">
        <f t="shared" ca="1" si="4"/>
        <v>173.45643774973297</v>
      </c>
      <c r="I58" s="21">
        <f t="shared" ca="1" si="0"/>
        <v>174.67690540959904</v>
      </c>
      <c r="J58" s="20">
        <f t="shared" ca="1" si="9"/>
        <v>4</v>
      </c>
      <c r="K58" s="20">
        <f t="shared" ca="1" si="1"/>
        <v>3</v>
      </c>
      <c r="L58" s="44">
        <f t="shared" ca="1" si="5"/>
        <v>3.5</v>
      </c>
    </row>
    <row r="59" spans="1:12" x14ac:dyDescent="0.25">
      <c r="A59" s="20">
        <v>51</v>
      </c>
      <c r="B59" s="21">
        <f t="shared" ca="1" si="2"/>
        <v>3.1648543411290038</v>
      </c>
      <c r="C59" s="21">
        <f t="shared" ca="1" si="6"/>
        <v>172.16291582089201</v>
      </c>
      <c r="D59" s="21">
        <f t="shared" ca="1" si="3"/>
        <v>1.2683096320732752</v>
      </c>
      <c r="E59" s="21">
        <f t="shared" ca="1" si="10"/>
        <v>2.5139895887070338</v>
      </c>
      <c r="F59" s="20" t="str">
        <f t="shared" ca="1" si="7"/>
        <v>No</v>
      </c>
      <c r="G59" s="21">
        <f t="shared" ca="1" si="8"/>
        <v>0</v>
      </c>
      <c r="H59" s="21">
        <f t="shared" ca="1" si="4"/>
        <v>174.67690540959904</v>
      </c>
      <c r="I59" s="21">
        <f t="shared" ca="1" si="0"/>
        <v>175.94521504167233</v>
      </c>
      <c r="J59" s="20">
        <f t="shared" ca="1" si="9"/>
        <v>4</v>
      </c>
      <c r="K59" s="20">
        <f t="shared" ca="1" si="1"/>
        <v>3</v>
      </c>
      <c r="L59" s="44">
        <f t="shared" ca="1" si="5"/>
        <v>3.5</v>
      </c>
    </row>
    <row r="60" spans="1:12" x14ac:dyDescent="0.25">
      <c r="A60" s="20">
        <v>52</v>
      </c>
      <c r="B60" s="21">
        <f t="shared" ca="1" si="2"/>
        <v>0.58234093926599972</v>
      </c>
      <c r="C60" s="21">
        <f t="shared" ca="1" si="6"/>
        <v>172.74525676015801</v>
      </c>
      <c r="D60" s="21">
        <f t="shared" ca="1" si="3"/>
        <v>2.3604005562384134</v>
      </c>
      <c r="E60" s="21">
        <f t="shared" ca="1" si="10"/>
        <v>3.1999582815143128</v>
      </c>
      <c r="F60" s="20" t="str">
        <f t="shared" ca="1" si="7"/>
        <v>No</v>
      </c>
      <c r="G60" s="21">
        <f t="shared" ca="1" si="8"/>
        <v>0</v>
      </c>
      <c r="H60" s="21">
        <f t="shared" ca="1" si="4"/>
        <v>175.94521504167233</v>
      </c>
      <c r="I60" s="21">
        <f t="shared" ca="1" si="0"/>
        <v>178.30561559791073</v>
      </c>
      <c r="J60" s="20">
        <f t="shared" ca="1" si="9"/>
        <v>4</v>
      </c>
      <c r="K60" s="20">
        <f t="shared" ca="1" si="1"/>
        <v>3</v>
      </c>
      <c r="L60" s="44">
        <f t="shared" ca="1" si="5"/>
        <v>3.5</v>
      </c>
    </row>
    <row r="61" spans="1:12" x14ac:dyDescent="0.25">
      <c r="A61" s="20">
        <v>53</v>
      </c>
      <c r="B61" s="21">
        <f t="shared" ca="1" si="2"/>
        <v>1.2884681296935843</v>
      </c>
      <c r="C61" s="21">
        <f t="shared" ca="1" si="6"/>
        <v>174.03372488985161</v>
      </c>
      <c r="D61" s="21">
        <f t="shared" ca="1" si="3"/>
        <v>2.3648693588421126</v>
      </c>
      <c r="E61" s="21">
        <f t="shared" ca="1" si="10"/>
        <v>4.271890708059118</v>
      </c>
      <c r="F61" s="20" t="str">
        <f t="shared" ca="1" si="7"/>
        <v>No</v>
      </c>
      <c r="G61" s="21">
        <f t="shared" ca="1" si="8"/>
        <v>0</v>
      </c>
      <c r="H61" s="21">
        <f t="shared" ca="1" si="4"/>
        <v>178.30561559791073</v>
      </c>
      <c r="I61" s="21">
        <f t="shared" ca="1" si="0"/>
        <v>180.67048495675283</v>
      </c>
      <c r="J61" s="20">
        <f t="shared" ca="1" si="9"/>
        <v>4</v>
      </c>
      <c r="K61" s="20">
        <f t="shared" ca="1" si="1"/>
        <v>3</v>
      </c>
      <c r="L61" s="44">
        <f t="shared" ca="1" si="5"/>
        <v>3.5</v>
      </c>
    </row>
    <row r="62" spans="1:12" x14ac:dyDescent="0.25">
      <c r="A62" s="20">
        <v>54</v>
      </c>
      <c r="B62" s="21">
        <f t="shared" ca="1" si="2"/>
        <v>1.6438575502253538</v>
      </c>
      <c r="C62" s="21">
        <f t="shared" ca="1" si="6"/>
        <v>175.67758244007697</v>
      </c>
      <c r="D62" s="21">
        <f t="shared" ca="1" si="3"/>
        <v>1.3901786925851167</v>
      </c>
      <c r="E62" s="21">
        <f t="shared" ca="1" si="10"/>
        <v>4.9929025166758549</v>
      </c>
      <c r="F62" s="20" t="str">
        <f t="shared" ca="1" si="7"/>
        <v>No</v>
      </c>
      <c r="G62" s="21">
        <f t="shared" ca="1" si="8"/>
        <v>0</v>
      </c>
      <c r="H62" s="21">
        <f t="shared" ca="1" si="4"/>
        <v>180.67048495675283</v>
      </c>
      <c r="I62" s="21">
        <f t="shared" ca="1" si="0"/>
        <v>182.06066364933795</v>
      </c>
      <c r="J62" s="20">
        <f t="shared" ca="1" si="9"/>
        <v>4</v>
      </c>
      <c r="K62" s="20">
        <f t="shared" ca="1" si="1"/>
        <v>3</v>
      </c>
      <c r="L62" s="44">
        <f t="shared" ca="1" si="5"/>
        <v>3.5</v>
      </c>
    </row>
    <row r="63" spans="1:12" x14ac:dyDescent="0.25">
      <c r="A63" s="20">
        <v>55</v>
      </c>
      <c r="B63" s="21">
        <f t="shared" ca="1" si="2"/>
        <v>1.9701356761533402</v>
      </c>
      <c r="C63" s="21">
        <f t="shared" ca="1" si="6"/>
        <v>177.64771811623032</v>
      </c>
      <c r="D63" s="21">
        <f t="shared" ca="1" si="3"/>
        <v>2.9873131086841469</v>
      </c>
      <c r="E63" s="21">
        <f t="shared" ca="1" si="10"/>
        <v>4.4129455331076315</v>
      </c>
      <c r="F63" s="20" t="str">
        <f t="shared" ca="1" si="7"/>
        <v>No</v>
      </c>
      <c r="G63" s="21">
        <f t="shared" ca="1" si="8"/>
        <v>0</v>
      </c>
      <c r="H63" s="21">
        <f t="shared" ca="1" si="4"/>
        <v>182.06066364933795</v>
      </c>
      <c r="I63" s="21">
        <f t="shared" ca="1" si="0"/>
        <v>185.04797675802209</v>
      </c>
      <c r="J63" s="20">
        <f t="shared" ca="1" si="9"/>
        <v>4</v>
      </c>
      <c r="K63" s="20">
        <f t="shared" ca="1" si="1"/>
        <v>3</v>
      </c>
      <c r="L63" s="44">
        <f t="shared" ca="1" si="5"/>
        <v>3.5</v>
      </c>
    </row>
    <row r="64" spans="1:12" x14ac:dyDescent="0.25">
      <c r="A64" s="20">
        <v>56</v>
      </c>
      <c r="B64" s="21">
        <f t="shared" ca="1" si="2"/>
        <v>1.7370937418227221</v>
      </c>
      <c r="C64" s="21">
        <f t="shared" ca="1" si="6"/>
        <v>179.38481185805304</v>
      </c>
      <c r="D64" s="21">
        <f t="shared" ca="1" si="3"/>
        <v>6.4014675413698692</v>
      </c>
      <c r="E64" s="21">
        <f t="shared" ca="1" si="10"/>
        <v>5.6631648999690469</v>
      </c>
      <c r="F64" s="20" t="str">
        <f t="shared" ca="1" si="7"/>
        <v>No</v>
      </c>
      <c r="G64" s="21">
        <f t="shared" ca="1" si="8"/>
        <v>0</v>
      </c>
      <c r="H64" s="21">
        <f t="shared" ca="1" si="4"/>
        <v>185.04797675802209</v>
      </c>
      <c r="I64" s="21">
        <f t="shared" ca="1" si="0"/>
        <v>191.44944429939196</v>
      </c>
      <c r="J64" s="20">
        <f t="shared" ca="1" si="9"/>
        <v>4</v>
      </c>
      <c r="K64" s="20">
        <f t="shared" ca="1" si="1"/>
        <v>3</v>
      </c>
      <c r="L64" s="44">
        <f t="shared" ca="1" si="5"/>
        <v>3.5</v>
      </c>
    </row>
    <row r="65" spans="1:12" x14ac:dyDescent="0.25">
      <c r="A65" s="20">
        <v>57</v>
      </c>
      <c r="B65" s="21">
        <f t="shared" ca="1" si="2"/>
        <v>1.9435012537881911</v>
      </c>
      <c r="C65" s="21">
        <f t="shared" ca="1" si="6"/>
        <v>181.32831311184123</v>
      </c>
      <c r="D65" s="21">
        <f t="shared" ca="1" si="3"/>
        <v>1.6851473569336464</v>
      </c>
      <c r="E65" s="21">
        <f t="shared" ca="1" si="10"/>
        <v>10.121131187550731</v>
      </c>
      <c r="F65" s="20" t="str">
        <f t="shared" ca="1" si="7"/>
        <v>No</v>
      </c>
      <c r="G65" s="21">
        <f t="shared" ca="1" si="8"/>
        <v>0</v>
      </c>
      <c r="H65" s="21">
        <f t="shared" ca="1" si="4"/>
        <v>191.44944429939196</v>
      </c>
      <c r="I65" s="21">
        <f t="shared" ca="1" si="0"/>
        <v>193.1345916563256</v>
      </c>
      <c r="J65" s="20">
        <f t="shared" ca="1" si="9"/>
        <v>4</v>
      </c>
      <c r="K65" s="20">
        <f t="shared" ca="1" si="1"/>
        <v>3</v>
      </c>
      <c r="L65" s="44">
        <f t="shared" ca="1" si="5"/>
        <v>3.5</v>
      </c>
    </row>
    <row r="66" spans="1:12" x14ac:dyDescent="0.25">
      <c r="A66" s="20">
        <v>58</v>
      </c>
      <c r="B66" s="21">
        <f t="shared" ca="1" si="2"/>
        <v>1.6490535366873673</v>
      </c>
      <c r="C66" s="21">
        <f t="shared" ca="1" si="6"/>
        <v>182.9773666485286</v>
      </c>
      <c r="D66" s="21">
        <f t="shared" ca="1" si="3"/>
        <v>0.24399504746621758</v>
      </c>
      <c r="E66" s="21">
        <f t="shared" ca="1" si="10"/>
        <v>10.157225007796995</v>
      </c>
      <c r="F66" s="20" t="str">
        <f t="shared" ca="1" si="7"/>
        <v>No</v>
      </c>
      <c r="G66" s="21">
        <f t="shared" ca="1" si="8"/>
        <v>0</v>
      </c>
      <c r="H66" s="21">
        <f t="shared" ca="1" si="4"/>
        <v>193.1345916563256</v>
      </c>
      <c r="I66" s="21">
        <f t="shared" ca="1" si="0"/>
        <v>193.37858670379183</v>
      </c>
      <c r="J66" s="20">
        <f t="shared" ca="1" si="9"/>
        <v>4</v>
      </c>
      <c r="K66" s="20">
        <f t="shared" ca="1" si="1"/>
        <v>2</v>
      </c>
      <c r="L66" s="44">
        <f t="shared" ca="1" si="5"/>
        <v>3</v>
      </c>
    </row>
    <row r="67" spans="1:12" x14ac:dyDescent="0.25">
      <c r="A67" s="20">
        <v>59</v>
      </c>
      <c r="B67" s="21">
        <f t="shared" ca="1" si="2"/>
        <v>2.9491544642130547</v>
      </c>
      <c r="C67" s="21">
        <f t="shared" ca="1" si="6"/>
        <v>185.92652111274165</v>
      </c>
      <c r="D67" s="21">
        <f t="shared" ca="1" si="3"/>
        <v>0.66292831950233178</v>
      </c>
      <c r="E67" s="21">
        <f t="shared" ca="1" si="10"/>
        <v>7.4520655910501716</v>
      </c>
      <c r="F67" s="20" t="str">
        <f t="shared" ca="1" si="7"/>
        <v>No</v>
      </c>
      <c r="G67" s="21">
        <f t="shared" ca="1" si="8"/>
        <v>0</v>
      </c>
      <c r="H67" s="21">
        <f t="shared" ca="1" si="4"/>
        <v>193.37858670379183</v>
      </c>
      <c r="I67" s="21">
        <f t="shared" ca="1" si="0"/>
        <v>194.04151502329415</v>
      </c>
      <c r="J67" s="20">
        <f t="shared" ca="1" si="9"/>
        <v>3</v>
      </c>
      <c r="K67" s="20">
        <f t="shared" ca="1" si="1"/>
        <v>1</v>
      </c>
      <c r="L67" s="44">
        <f t="shared" ca="1" si="5"/>
        <v>2</v>
      </c>
    </row>
    <row r="68" spans="1:12" x14ac:dyDescent="0.25">
      <c r="A68" s="20">
        <v>60</v>
      </c>
      <c r="B68" s="21">
        <f t="shared" ca="1" si="2"/>
        <v>6.129978487614272</v>
      </c>
      <c r="C68" s="21">
        <f t="shared" ca="1" si="6"/>
        <v>192.05649960035592</v>
      </c>
      <c r="D68" s="21">
        <f t="shared" ca="1" si="3"/>
        <v>3.6266746208075233E-2</v>
      </c>
      <c r="E68" s="21">
        <f t="shared" ca="1" si="10"/>
        <v>1.9850154229382326</v>
      </c>
      <c r="F68" s="20" t="str">
        <f t="shared" ca="1" si="7"/>
        <v>No</v>
      </c>
      <c r="G68" s="21">
        <f t="shared" ca="1" si="8"/>
        <v>0</v>
      </c>
      <c r="H68" s="21">
        <f t="shared" ca="1" si="4"/>
        <v>194.04151502329415</v>
      </c>
      <c r="I68" s="21">
        <f t="shared" ca="1" si="0"/>
        <v>194.07778176950222</v>
      </c>
      <c r="J68" s="20">
        <f t="shared" ca="1" si="9"/>
        <v>2</v>
      </c>
      <c r="K68" s="20">
        <f t="shared" ca="1" si="1"/>
        <v>0</v>
      </c>
      <c r="L68" s="44">
        <f t="shared" ca="1" si="5"/>
        <v>1</v>
      </c>
    </row>
    <row r="69" spans="1:12" x14ac:dyDescent="0.25">
      <c r="A69" s="20">
        <v>61</v>
      </c>
      <c r="B69" s="21">
        <f t="shared" ca="1" si="2"/>
        <v>2.2430209090053661</v>
      </c>
      <c r="C69" s="21">
        <f t="shared" ca="1" si="6"/>
        <v>194.29952050936129</v>
      </c>
      <c r="D69" s="21">
        <f t="shared" ca="1" si="3"/>
        <v>1.3989471427923486</v>
      </c>
      <c r="E69" s="21">
        <f t="shared" ca="1" si="10"/>
        <v>0</v>
      </c>
      <c r="F69" s="20" t="str">
        <f t="shared" ca="1" si="7"/>
        <v>Yes</v>
      </c>
      <c r="G69" s="21">
        <f t="shared" ca="1" si="8"/>
        <v>0.22173873985906312</v>
      </c>
      <c r="H69" s="21">
        <f t="shared" ca="1" si="4"/>
        <v>194.29952050936129</v>
      </c>
      <c r="I69" s="21">
        <f t="shared" ca="1" si="0"/>
        <v>195.69846765215362</v>
      </c>
      <c r="J69" s="20">
        <f t="shared" ca="1" si="9"/>
        <v>0</v>
      </c>
      <c r="K69" s="20">
        <f t="shared" ca="1" si="1"/>
        <v>0</v>
      </c>
      <c r="L69" s="44">
        <f t="shared" ca="1" si="5"/>
        <v>0</v>
      </c>
    </row>
    <row r="70" spans="1:12" x14ac:dyDescent="0.25">
      <c r="A70" s="20">
        <v>62</v>
      </c>
      <c r="B70" s="21">
        <f t="shared" ca="1" si="2"/>
        <v>5.4166688167933827</v>
      </c>
      <c r="C70" s="21">
        <f t="shared" ca="1" si="6"/>
        <v>199.71618932615468</v>
      </c>
      <c r="D70" s="21">
        <f t="shared" ca="1" si="3"/>
        <v>1.5221208871798722</v>
      </c>
      <c r="E70" s="21">
        <f t="shared" ca="1" si="10"/>
        <v>0</v>
      </c>
      <c r="F70" s="20" t="str">
        <f t="shared" ca="1" si="7"/>
        <v>Yes</v>
      </c>
      <c r="G70" s="21">
        <f t="shared" ca="1" si="8"/>
        <v>4.0177216740010522</v>
      </c>
      <c r="H70" s="21">
        <f t="shared" ca="1" si="4"/>
        <v>199.71618932615468</v>
      </c>
      <c r="I70" s="21">
        <f t="shared" ca="1" si="0"/>
        <v>201.23831021333456</v>
      </c>
      <c r="J70" s="20">
        <f t="shared" ca="1" si="9"/>
        <v>0</v>
      </c>
      <c r="K70" s="20">
        <f t="shared" ca="1" si="1"/>
        <v>1</v>
      </c>
      <c r="L70" s="44">
        <f t="shared" ca="1" si="5"/>
        <v>0.5</v>
      </c>
    </row>
    <row r="71" spans="1:12" x14ac:dyDescent="0.25">
      <c r="A71" s="20">
        <v>63</v>
      </c>
      <c r="B71" s="21">
        <f t="shared" ca="1" si="2"/>
        <v>0.49115288687240949</v>
      </c>
      <c r="C71" s="21">
        <f t="shared" ca="1" si="6"/>
        <v>200.20734221302709</v>
      </c>
      <c r="D71" s="21">
        <f t="shared" ca="1" si="3"/>
        <v>5.4773840637447631</v>
      </c>
      <c r="E71" s="21">
        <f t="shared" ca="1" si="10"/>
        <v>1.0309680003074675</v>
      </c>
      <c r="F71" s="20" t="str">
        <f t="shared" ca="1" si="7"/>
        <v>No</v>
      </c>
      <c r="G71" s="21">
        <f t="shared" ca="1" si="8"/>
        <v>0</v>
      </c>
      <c r="H71" s="21">
        <f t="shared" ca="1" si="4"/>
        <v>201.23831021333456</v>
      </c>
      <c r="I71" s="21">
        <f t="shared" ca="1" si="0"/>
        <v>206.71569427707931</v>
      </c>
      <c r="J71" s="20">
        <f t="shared" ca="1" si="9"/>
        <v>2</v>
      </c>
      <c r="K71" s="20">
        <f t="shared" ca="1" si="1"/>
        <v>2</v>
      </c>
      <c r="L71" s="44">
        <f t="shared" ca="1" si="5"/>
        <v>2</v>
      </c>
    </row>
    <row r="72" spans="1:12" x14ac:dyDescent="0.25">
      <c r="A72" s="20">
        <v>64</v>
      </c>
      <c r="B72" s="21">
        <f t="shared" ca="1" si="2"/>
        <v>3.0160524034172105</v>
      </c>
      <c r="C72" s="21">
        <f t="shared" ca="1" si="6"/>
        <v>203.2233946164443</v>
      </c>
      <c r="D72" s="21">
        <f t="shared" ca="1" si="3"/>
        <v>1.1890599144734264</v>
      </c>
      <c r="E72" s="21">
        <f t="shared" ca="1" si="10"/>
        <v>3.4922996606350125</v>
      </c>
      <c r="F72" s="20" t="str">
        <f t="shared" ca="1" si="7"/>
        <v>No</v>
      </c>
      <c r="G72" s="21">
        <f t="shared" ca="1" si="8"/>
        <v>0</v>
      </c>
      <c r="H72" s="21">
        <f t="shared" ca="1" si="4"/>
        <v>206.71569427707931</v>
      </c>
      <c r="I72" s="21">
        <f t="shared" ca="1" si="0"/>
        <v>207.90475419155274</v>
      </c>
      <c r="J72" s="20">
        <f t="shared" ca="1" si="9"/>
        <v>3</v>
      </c>
      <c r="K72" s="20">
        <f t="shared" ca="1" si="1"/>
        <v>1</v>
      </c>
      <c r="L72" s="44">
        <f t="shared" ca="1" si="5"/>
        <v>2</v>
      </c>
    </row>
    <row r="73" spans="1:12" x14ac:dyDescent="0.25">
      <c r="A73" s="20">
        <v>65</v>
      </c>
      <c r="B73" s="21">
        <f t="shared" ca="1" si="2"/>
        <v>1.135421195622546</v>
      </c>
      <c r="C73" s="21">
        <f t="shared" ca="1" si="6"/>
        <v>204.35881581206684</v>
      </c>
      <c r="D73" s="21">
        <f t="shared" ca="1" si="3"/>
        <v>1.8547344377104009</v>
      </c>
      <c r="E73" s="21">
        <f t="shared" ca="1" si="10"/>
        <v>3.5459383794859036</v>
      </c>
      <c r="F73" s="20" t="str">
        <f t="shared" ca="1" si="7"/>
        <v>No</v>
      </c>
      <c r="G73" s="21">
        <f t="shared" ca="1" si="8"/>
        <v>0</v>
      </c>
      <c r="H73" s="21">
        <f t="shared" ca="1" si="4"/>
        <v>207.90475419155274</v>
      </c>
      <c r="I73" s="21">
        <f t="shared" ref="I73:I136" ca="1" si="11">$H73+$D73</f>
        <v>209.75948862926313</v>
      </c>
      <c r="J73" s="20">
        <f t="shared" ca="1" si="9"/>
        <v>2</v>
      </c>
      <c r="K73" s="20">
        <f t="shared" ref="K73:K136" ca="1" si="12">IF($I73&lt;=$C74,0,IF($I73&lt;=$C75,1,IF($I73&lt;=$C76,2,IF($I73&lt;=$C77,3,IF($I73&lt;=$C78,4,5)))))</f>
        <v>0</v>
      </c>
      <c r="L73" s="44">
        <f t="shared" ca="1" si="5"/>
        <v>1</v>
      </c>
    </row>
    <row r="74" spans="1:12" x14ac:dyDescent="0.25">
      <c r="A74" s="20">
        <v>66</v>
      </c>
      <c r="B74" s="21">
        <f t="shared" ref="B74:B137" ca="1" si="13">-LN(RAND())/$D$4</f>
        <v>9.4750887752174879</v>
      </c>
      <c r="C74" s="21">
        <f t="shared" ca="1" si="6"/>
        <v>213.83390458728434</v>
      </c>
      <c r="D74" s="21">
        <f t="shared" ref="D74:D137" ca="1" si="14">-LN(RAND())/$D$6</f>
        <v>0.10775077523971913</v>
      </c>
      <c r="E74" s="21">
        <f t="shared" ca="1" si="10"/>
        <v>0</v>
      </c>
      <c r="F74" s="20" t="str">
        <f t="shared" ca="1" si="7"/>
        <v>Yes</v>
      </c>
      <c r="G74" s="21">
        <f t="shared" ref="G74:G137" ca="1" si="15">IF($I73&lt;=$C74,$C74-$I73,0)</f>
        <v>4.0744159580212056</v>
      </c>
      <c r="H74" s="21">
        <f t="shared" ref="H74:H137" ca="1" si="16">IF($I73&lt;=$C74,$C74,$I73)</f>
        <v>213.83390458728434</v>
      </c>
      <c r="I74" s="21">
        <f t="shared" ca="1" si="11"/>
        <v>213.94165536252405</v>
      </c>
      <c r="J74" s="20">
        <f t="shared" ca="1" si="9"/>
        <v>0</v>
      </c>
      <c r="K74" s="20">
        <f t="shared" ca="1" si="12"/>
        <v>0</v>
      </c>
      <c r="L74" s="44">
        <f t="shared" ref="L74:L137" ca="1" si="17">(J74+K74)/2</f>
        <v>0</v>
      </c>
    </row>
    <row r="75" spans="1:12" x14ac:dyDescent="0.25">
      <c r="A75" s="20">
        <v>67</v>
      </c>
      <c r="B75" s="21">
        <f t="shared" ca="1" si="13"/>
        <v>1.346953649138436</v>
      </c>
      <c r="C75" s="21">
        <f t="shared" ref="C75:C138" ca="1" si="18">$C74+$B75</f>
        <v>215.18085823642278</v>
      </c>
      <c r="D75" s="21">
        <f t="shared" ca="1" si="14"/>
        <v>8.2431584893499057</v>
      </c>
      <c r="E75" s="21">
        <f t="shared" ca="1" si="10"/>
        <v>0</v>
      </c>
      <c r="F75" s="20" t="str">
        <f t="shared" ref="F75:F138" ca="1" si="19">IF(E75=0,"Yes","No")</f>
        <v>Yes</v>
      </c>
      <c r="G75" s="21">
        <f t="shared" ca="1" si="15"/>
        <v>1.2392028738987335</v>
      </c>
      <c r="H75" s="21">
        <f t="shared" ca="1" si="16"/>
        <v>215.18085823642278</v>
      </c>
      <c r="I75" s="21">
        <f t="shared" ca="1" si="11"/>
        <v>223.42401672577267</v>
      </c>
      <c r="J75" s="20">
        <f t="shared" ref="J75:J138" ca="1" si="20">IF($I74&lt;=$C75,0,$K74+1)</f>
        <v>0</v>
      </c>
      <c r="K75" s="20">
        <f t="shared" ca="1" si="12"/>
        <v>5</v>
      </c>
      <c r="L75" s="44">
        <f t="shared" ca="1" si="17"/>
        <v>2.5</v>
      </c>
    </row>
    <row r="76" spans="1:12" x14ac:dyDescent="0.25">
      <c r="A76" s="20">
        <v>68</v>
      </c>
      <c r="B76" s="21">
        <f t="shared" ca="1" si="13"/>
        <v>2.1732825464018304</v>
      </c>
      <c r="C76" s="21">
        <f t="shared" ca="1" si="18"/>
        <v>217.3541407828246</v>
      </c>
      <c r="D76" s="21">
        <f t="shared" ca="1" si="14"/>
        <v>0.18196771959485403</v>
      </c>
      <c r="E76" s="21">
        <f t="shared" ref="E76:E139" ca="1" si="21">IF($I75&lt;=$C76,0,$I75-$C76)</f>
        <v>6.0698759429480731</v>
      </c>
      <c r="F76" s="20" t="str">
        <f t="shared" ca="1" si="19"/>
        <v>No</v>
      </c>
      <c r="G76" s="21">
        <f t="shared" ca="1" si="15"/>
        <v>0</v>
      </c>
      <c r="H76" s="21">
        <f t="shared" ca="1" si="16"/>
        <v>223.42401672577267</v>
      </c>
      <c r="I76" s="21">
        <f t="shared" ca="1" si="11"/>
        <v>223.60598444536754</v>
      </c>
      <c r="J76" s="20">
        <f t="shared" ca="1" si="20"/>
        <v>6</v>
      </c>
      <c r="K76" s="20">
        <f t="shared" ca="1" si="12"/>
        <v>4</v>
      </c>
      <c r="L76" s="44">
        <f t="shared" ca="1" si="17"/>
        <v>5</v>
      </c>
    </row>
    <row r="77" spans="1:12" x14ac:dyDescent="0.25">
      <c r="A77" s="20">
        <v>69</v>
      </c>
      <c r="B77" s="21">
        <f t="shared" ca="1" si="13"/>
        <v>2.0461109735139806</v>
      </c>
      <c r="C77" s="21">
        <f t="shared" ca="1" si="18"/>
        <v>219.40025175633858</v>
      </c>
      <c r="D77" s="21">
        <f t="shared" ca="1" si="14"/>
        <v>0.52634435673292601</v>
      </c>
      <c r="E77" s="21">
        <f t="shared" ca="1" si="21"/>
        <v>4.205732689028963</v>
      </c>
      <c r="F77" s="20" t="str">
        <f t="shared" ca="1" si="19"/>
        <v>No</v>
      </c>
      <c r="G77" s="21">
        <f t="shared" ca="1" si="15"/>
        <v>0</v>
      </c>
      <c r="H77" s="21">
        <f t="shared" ca="1" si="16"/>
        <v>223.60598444536754</v>
      </c>
      <c r="I77" s="21">
        <f t="shared" ca="1" si="11"/>
        <v>224.13232880210046</v>
      </c>
      <c r="J77" s="20">
        <f t="shared" ca="1" si="20"/>
        <v>5</v>
      </c>
      <c r="K77" s="20">
        <f t="shared" ca="1" si="12"/>
        <v>3</v>
      </c>
      <c r="L77" s="44">
        <f t="shared" ca="1" si="17"/>
        <v>4</v>
      </c>
    </row>
    <row r="78" spans="1:12" x14ac:dyDescent="0.25">
      <c r="A78" s="20">
        <v>70</v>
      </c>
      <c r="B78" s="21">
        <f t="shared" ca="1" si="13"/>
        <v>1.2251228251618822</v>
      </c>
      <c r="C78" s="21">
        <f t="shared" ca="1" si="18"/>
        <v>220.62537458150047</v>
      </c>
      <c r="D78" s="21">
        <f t="shared" ca="1" si="14"/>
        <v>1.5108383300546719</v>
      </c>
      <c r="E78" s="21">
        <f t="shared" ca="1" si="21"/>
        <v>3.5069542205999937</v>
      </c>
      <c r="F78" s="20" t="str">
        <f t="shared" ca="1" si="19"/>
        <v>No</v>
      </c>
      <c r="G78" s="21">
        <f t="shared" ca="1" si="15"/>
        <v>0</v>
      </c>
      <c r="H78" s="21">
        <f t="shared" ca="1" si="16"/>
        <v>224.13232880210046</v>
      </c>
      <c r="I78" s="21">
        <f t="shared" ca="1" si="11"/>
        <v>225.64316713215513</v>
      </c>
      <c r="J78" s="20">
        <f t="shared" ca="1" si="20"/>
        <v>4</v>
      </c>
      <c r="K78" s="20">
        <f t="shared" ca="1" si="12"/>
        <v>4</v>
      </c>
      <c r="L78" s="44">
        <f t="shared" ca="1" si="17"/>
        <v>4</v>
      </c>
    </row>
    <row r="79" spans="1:12" x14ac:dyDescent="0.25">
      <c r="A79" s="20">
        <v>71</v>
      </c>
      <c r="B79" s="21">
        <f t="shared" ca="1" si="13"/>
        <v>0.87641541337702766</v>
      </c>
      <c r="C79" s="21">
        <f t="shared" ca="1" si="18"/>
        <v>221.5017899948775</v>
      </c>
      <c r="D79" s="21">
        <f t="shared" ca="1" si="14"/>
        <v>1.8531506931205999</v>
      </c>
      <c r="E79" s="21">
        <f t="shared" ca="1" si="21"/>
        <v>4.1413771372776296</v>
      </c>
      <c r="F79" s="20" t="str">
        <f t="shared" ca="1" si="19"/>
        <v>No</v>
      </c>
      <c r="G79" s="21">
        <f t="shared" ca="1" si="15"/>
        <v>0</v>
      </c>
      <c r="H79" s="21">
        <f t="shared" ca="1" si="16"/>
        <v>225.64316713215513</v>
      </c>
      <c r="I79" s="21">
        <f t="shared" ca="1" si="11"/>
        <v>227.49631782527572</v>
      </c>
      <c r="J79" s="20">
        <f t="shared" ca="1" si="20"/>
        <v>5</v>
      </c>
      <c r="K79" s="20">
        <f t="shared" ca="1" si="12"/>
        <v>4</v>
      </c>
      <c r="L79" s="44">
        <f t="shared" ca="1" si="17"/>
        <v>4.5</v>
      </c>
    </row>
    <row r="80" spans="1:12" x14ac:dyDescent="0.25">
      <c r="A80" s="20">
        <v>72</v>
      </c>
      <c r="B80" s="21">
        <f t="shared" ca="1" si="13"/>
        <v>0.65445574079000135</v>
      </c>
      <c r="C80" s="21">
        <f t="shared" ca="1" si="18"/>
        <v>222.15624573566751</v>
      </c>
      <c r="D80" s="21">
        <f t="shared" ca="1" si="14"/>
        <v>5.6281302906515469</v>
      </c>
      <c r="E80" s="21">
        <f t="shared" ca="1" si="21"/>
        <v>5.3400720896082134</v>
      </c>
      <c r="F80" s="20" t="str">
        <f t="shared" ca="1" si="19"/>
        <v>No</v>
      </c>
      <c r="G80" s="21">
        <f t="shared" ca="1" si="15"/>
        <v>0</v>
      </c>
      <c r="H80" s="21">
        <f t="shared" ca="1" si="16"/>
        <v>227.49631782527572</v>
      </c>
      <c r="I80" s="21">
        <f t="shared" ca="1" si="11"/>
        <v>233.12444811592727</v>
      </c>
      <c r="J80" s="20">
        <f t="shared" ca="1" si="20"/>
        <v>5</v>
      </c>
      <c r="K80" s="20">
        <f t="shared" ca="1" si="12"/>
        <v>3</v>
      </c>
      <c r="L80" s="44">
        <f t="shared" ca="1" si="17"/>
        <v>4</v>
      </c>
    </row>
    <row r="81" spans="1:12" x14ac:dyDescent="0.25">
      <c r="A81" s="20">
        <v>73</v>
      </c>
      <c r="B81" s="21">
        <f t="shared" ca="1" si="13"/>
        <v>2.8851085514809789</v>
      </c>
      <c r="C81" s="21">
        <f t="shared" ca="1" si="18"/>
        <v>225.04135428714849</v>
      </c>
      <c r="D81" s="21">
        <f t="shared" ca="1" si="14"/>
        <v>2.0587852340687496</v>
      </c>
      <c r="E81" s="21">
        <f t="shared" ca="1" si="21"/>
        <v>8.0830938287787717</v>
      </c>
      <c r="F81" s="20" t="str">
        <f t="shared" ca="1" si="19"/>
        <v>No</v>
      </c>
      <c r="G81" s="21">
        <f t="shared" ca="1" si="15"/>
        <v>0</v>
      </c>
      <c r="H81" s="21">
        <f t="shared" ca="1" si="16"/>
        <v>233.12444811592727</v>
      </c>
      <c r="I81" s="21">
        <f t="shared" ca="1" si="11"/>
        <v>235.18323334999602</v>
      </c>
      <c r="J81" s="20">
        <f t="shared" ca="1" si="20"/>
        <v>4</v>
      </c>
      <c r="K81" s="20">
        <f t="shared" ca="1" si="12"/>
        <v>2</v>
      </c>
      <c r="L81" s="44">
        <f t="shared" ca="1" si="17"/>
        <v>3</v>
      </c>
    </row>
    <row r="82" spans="1:12" x14ac:dyDescent="0.25">
      <c r="A82" s="20">
        <v>74</v>
      </c>
      <c r="B82" s="21">
        <f t="shared" ca="1" si="13"/>
        <v>0.34886763619671057</v>
      </c>
      <c r="C82" s="21">
        <f t="shared" ca="1" si="18"/>
        <v>225.39022192334519</v>
      </c>
      <c r="D82" s="21">
        <f t="shared" ca="1" si="14"/>
        <v>1.0943689244968138</v>
      </c>
      <c r="E82" s="21">
        <f t="shared" ca="1" si="21"/>
        <v>9.7930114266508212</v>
      </c>
      <c r="F82" s="20" t="str">
        <f t="shared" ca="1" si="19"/>
        <v>No</v>
      </c>
      <c r="G82" s="21">
        <f t="shared" ca="1" si="15"/>
        <v>0</v>
      </c>
      <c r="H82" s="21">
        <f t="shared" ca="1" si="16"/>
        <v>235.18323334999602</v>
      </c>
      <c r="I82" s="21">
        <f t="shared" ca="1" si="11"/>
        <v>236.27760227449284</v>
      </c>
      <c r="J82" s="20">
        <f t="shared" ca="1" si="20"/>
        <v>3</v>
      </c>
      <c r="K82" s="20">
        <f t="shared" ca="1" si="12"/>
        <v>1</v>
      </c>
      <c r="L82" s="44">
        <f t="shared" ca="1" si="17"/>
        <v>2</v>
      </c>
    </row>
    <row r="83" spans="1:12" x14ac:dyDescent="0.25">
      <c r="A83" s="20">
        <v>75</v>
      </c>
      <c r="B83" s="21">
        <f t="shared" ca="1" si="13"/>
        <v>0.43663585691147339</v>
      </c>
      <c r="C83" s="21">
        <f t="shared" ca="1" si="18"/>
        <v>225.82685778025666</v>
      </c>
      <c r="D83" s="21">
        <f t="shared" ca="1" si="14"/>
        <v>2.8236775589815556E-2</v>
      </c>
      <c r="E83" s="21">
        <f t="shared" ca="1" si="21"/>
        <v>10.450744494236176</v>
      </c>
      <c r="F83" s="20" t="str">
        <f t="shared" ca="1" si="19"/>
        <v>No</v>
      </c>
      <c r="G83" s="21">
        <f t="shared" ca="1" si="15"/>
        <v>0</v>
      </c>
      <c r="H83" s="21">
        <f t="shared" ca="1" si="16"/>
        <v>236.27760227449284</v>
      </c>
      <c r="I83" s="21">
        <f t="shared" ca="1" si="11"/>
        <v>236.30583905008265</v>
      </c>
      <c r="J83" s="20">
        <f t="shared" ca="1" si="20"/>
        <v>2</v>
      </c>
      <c r="K83" s="20">
        <f t="shared" ca="1" si="12"/>
        <v>0</v>
      </c>
      <c r="L83" s="44">
        <f t="shared" ca="1" si="17"/>
        <v>1</v>
      </c>
    </row>
    <row r="84" spans="1:12" x14ac:dyDescent="0.25">
      <c r="A84" s="20">
        <v>76</v>
      </c>
      <c r="B84" s="21">
        <f t="shared" ca="1" si="13"/>
        <v>12.559990275724147</v>
      </c>
      <c r="C84" s="21">
        <f t="shared" ca="1" si="18"/>
        <v>238.38684805598081</v>
      </c>
      <c r="D84" s="21">
        <f t="shared" ca="1" si="14"/>
        <v>2.1942393327801257</v>
      </c>
      <c r="E84" s="21">
        <f t="shared" ca="1" si="21"/>
        <v>0</v>
      </c>
      <c r="F84" s="20" t="str">
        <f t="shared" ca="1" si="19"/>
        <v>Yes</v>
      </c>
      <c r="G84" s="21">
        <f t="shared" ca="1" si="15"/>
        <v>2.081009005898153</v>
      </c>
      <c r="H84" s="21">
        <f t="shared" ca="1" si="16"/>
        <v>238.38684805598081</v>
      </c>
      <c r="I84" s="21">
        <f t="shared" ca="1" si="11"/>
        <v>240.58108738876092</v>
      </c>
      <c r="J84" s="20">
        <f t="shared" ca="1" si="20"/>
        <v>0</v>
      </c>
      <c r="K84" s="20">
        <f t="shared" ca="1" si="12"/>
        <v>1</v>
      </c>
      <c r="L84" s="44">
        <f t="shared" ca="1" si="17"/>
        <v>0.5</v>
      </c>
    </row>
    <row r="85" spans="1:12" x14ac:dyDescent="0.25">
      <c r="A85" s="20">
        <v>77</v>
      </c>
      <c r="B85" s="21">
        <f t="shared" ca="1" si="13"/>
        <v>0.50879392725369854</v>
      </c>
      <c r="C85" s="21">
        <f t="shared" ca="1" si="18"/>
        <v>238.8956419832345</v>
      </c>
      <c r="D85" s="21">
        <f t="shared" ca="1" si="14"/>
        <v>0.45638285892278591</v>
      </c>
      <c r="E85" s="21">
        <f t="shared" ca="1" si="21"/>
        <v>1.6854454055264227</v>
      </c>
      <c r="F85" s="20" t="str">
        <f t="shared" ca="1" si="19"/>
        <v>No</v>
      </c>
      <c r="G85" s="21">
        <f t="shared" ca="1" si="15"/>
        <v>0</v>
      </c>
      <c r="H85" s="21">
        <f t="shared" ca="1" si="16"/>
        <v>240.58108738876092</v>
      </c>
      <c r="I85" s="21">
        <f t="shared" ca="1" si="11"/>
        <v>241.0374702476837</v>
      </c>
      <c r="J85" s="20">
        <f t="shared" ca="1" si="20"/>
        <v>2</v>
      </c>
      <c r="K85" s="20">
        <f t="shared" ca="1" si="12"/>
        <v>0</v>
      </c>
      <c r="L85" s="44">
        <f t="shared" ca="1" si="17"/>
        <v>1</v>
      </c>
    </row>
    <row r="86" spans="1:12" x14ac:dyDescent="0.25">
      <c r="A86" s="20">
        <v>78</v>
      </c>
      <c r="B86" s="21">
        <f t="shared" ca="1" si="13"/>
        <v>3.416987570272203</v>
      </c>
      <c r="C86" s="21">
        <f t="shared" ca="1" si="18"/>
        <v>242.3126295535067</v>
      </c>
      <c r="D86" s="21">
        <f t="shared" ca="1" si="14"/>
        <v>3.2696748343342019</v>
      </c>
      <c r="E86" s="21">
        <f t="shared" ca="1" si="21"/>
        <v>0</v>
      </c>
      <c r="F86" s="20" t="str">
        <f t="shared" ca="1" si="19"/>
        <v>Yes</v>
      </c>
      <c r="G86" s="21">
        <f t="shared" ca="1" si="15"/>
        <v>1.2751593058229957</v>
      </c>
      <c r="H86" s="21">
        <f t="shared" ca="1" si="16"/>
        <v>242.3126295535067</v>
      </c>
      <c r="I86" s="21">
        <f t="shared" ca="1" si="11"/>
        <v>245.58230438784091</v>
      </c>
      <c r="J86" s="20">
        <f t="shared" ca="1" si="20"/>
        <v>0</v>
      </c>
      <c r="K86" s="20">
        <f t="shared" ca="1" si="12"/>
        <v>0</v>
      </c>
      <c r="L86" s="44">
        <f t="shared" ca="1" si="17"/>
        <v>0</v>
      </c>
    </row>
    <row r="87" spans="1:12" x14ac:dyDescent="0.25">
      <c r="A87" s="20">
        <v>79</v>
      </c>
      <c r="B87" s="21">
        <f t="shared" ca="1" si="13"/>
        <v>4.6691495263476552</v>
      </c>
      <c r="C87" s="21">
        <f t="shared" ca="1" si="18"/>
        <v>246.98177907985436</v>
      </c>
      <c r="D87" s="21">
        <f t="shared" ca="1" si="14"/>
        <v>2.0979651100591243</v>
      </c>
      <c r="E87" s="21">
        <f t="shared" ca="1" si="21"/>
        <v>0</v>
      </c>
      <c r="F87" s="20" t="str">
        <f t="shared" ca="1" si="19"/>
        <v>Yes</v>
      </c>
      <c r="G87" s="21">
        <f t="shared" ca="1" si="15"/>
        <v>1.399474692013456</v>
      </c>
      <c r="H87" s="21">
        <f t="shared" ca="1" si="16"/>
        <v>246.98177907985436</v>
      </c>
      <c r="I87" s="21">
        <f t="shared" ca="1" si="11"/>
        <v>249.0797441899135</v>
      </c>
      <c r="J87" s="20">
        <f t="shared" ca="1" si="20"/>
        <v>0</v>
      </c>
      <c r="K87" s="20">
        <f t="shared" ca="1" si="12"/>
        <v>0</v>
      </c>
      <c r="L87" s="44">
        <f t="shared" ca="1" si="17"/>
        <v>0</v>
      </c>
    </row>
    <row r="88" spans="1:12" x14ac:dyDescent="0.25">
      <c r="A88" s="20">
        <v>80</v>
      </c>
      <c r="B88" s="21">
        <f t="shared" ca="1" si="13"/>
        <v>3.0290213034213673</v>
      </c>
      <c r="C88" s="21">
        <f t="shared" ca="1" si="18"/>
        <v>250.01080038327572</v>
      </c>
      <c r="D88" s="21">
        <f t="shared" ca="1" si="14"/>
        <v>0.85835696167828801</v>
      </c>
      <c r="E88" s="21">
        <f t="shared" ca="1" si="21"/>
        <v>0</v>
      </c>
      <c r="F88" s="20" t="str">
        <f t="shared" ca="1" si="19"/>
        <v>Yes</v>
      </c>
      <c r="G88" s="21">
        <f t="shared" ca="1" si="15"/>
        <v>0.93105619336222389</v>
      </c>
      <c r="H88" s="21">
        <f t="shared" ca="1" si="16"/>
        <v>250.01080038327572</v>
      </c>
      <c r="I88" s="21">
        <f t="shared" ca="1" si="11"/>
        <v>250.869157344954</v>
      </c>
      <c r="J88" s="20">
        <f t="shared" ca="1" si="20"/>
        <v>0</v>
      </c>
      <c r="K88" s="20">
        <f t="shared" ca="1" si="12"/>
        <v>2</v>
      </c>
      <c r="L88" s="44">
        <f t="shared" ca="1" si="17"/>
        <v>1</v>
      </c>
    </row>
    <row r="89" spans="1:12" x14ac:dyDescent="0.25">
      <c r="A89" s="20">
        <v>81</v>
      </c>
      <c r="B89" s="21">
        <f t="shared" ca="1" si="13"/>
        <v>0.37488900958900906</v>
      </c>
      <c r="C89" s="21">
        <f t="shared" ca="1" si="18"/>
        <v>250.38568939286472</v>
      </c>
      <c r="D89" s="21">
        <f t="shared" ca="1" si="14"/>
        <v>6.5001799709633321</v>
      </c>
      <c r="E89" s="21">
        <f t="shared" ca="1" si="21"/>
        <v>0.48346795208928484</v>
      </c>
      <c r="F89" s="20" t="str">
        <f t="shared" ca="1" si="19"/>
        <v>No</v>
      </c>
      <c r="G89" s="21">
        <f t="shared" ca="1" si="15"/>
        <v>0</v>
      </c>
      <c r="H89" s="21">
        <f t="shared" ca="1" si="16"/>
        <v>250.869157344954</v>
      </c>
      <c r="I89" s="21">
        <f t="shared" ca="1" si="11"/>
        <v>257.36933731591733</v>
      </c>
      <c r="J89" s="20">
        <f t="shared" ca="1" si="20"/>
        <v>3</v>
      </c>
      <c r="K89" s="20">
        <f t="shared" ca="1" si="12"/>
        <v>2</v>
      </c>
      <c r="L89" s="44">
        <f t="shared" ca="1" si="17"/>
        <v>2.5</v>
      </c>
    </row>
    <row r="90" spans="1:12" x14ac:dyDescent="0.25">
      <c r="A90" s="20">
        <v>82</v>
      </c>
      <c r="B90" s="21">
        <f t="shared" ca="1" si="13"/>
        <v>8.0048080478487271E-2</v>
      </c>
      <c r="C90" s="21">
        <f t="shared" ca="1" si="18"/>
        <v>250.46573747334321</v>
      </c>
      <c r="D90" s="21">
        <f t="shared" ca="1" si="14"/>
        <v>2.6846163705363337</v>
      </c>
      <c r="E90" s="21">
        <f t="shared" ca="1" si="21"/>
        <v>6.9035998425741241</v>
      </c>
      <c r="F90" s="20" t="str">
        <f t="shared" ca="1" si="19"/>
        <v>No</v>
      </c>
      <c r="G90" s="21">
        <f t="shared" ca="1" si="15"/>
        <v>0</v>
      </c>
      <c r="H90" s="21">
        <f t="shared" ca="1" si="16"/>
        <v>257.36933731591733</v>
      </c>
      <c r="I90" s="21">
        <f t="shared" ca="1" si="11"/>
        <v>260.05395368645367</v>
      </c>
      <c r="J90" s="20">
        <f t="shared" ca="1" si="20"/>
        <v>3</v>
      </c>
      <c r="K90" s="20">
        <f t="shared" ca="1" si="12"/>
        <v>3</v>
      </c>
      <c r="L90" s="44">
        <f t="shared" ca="1" si="17"/>
        <v>3</v>
      </c>
    </row>
    <row r="91" spans="1:12" x14ac:dyDescent="0.25">
      <c r="A91" s="20">
        <v>83</v>
      </c>
      <c r="B91" s="21">
        <f t="shared" ca="1" si="13"/>
        <v>2.3225416957791101</v>
      </c>
      <c r="C91" s="21">
        <f t="shared" ca="1" si="18"/>
        <v>252.78827916912232</v>
      </c>
      <c r="D91" s="21">
        <f t="shared" ca="1" si="14"/>
        <v>1.1008124899294074</v>
      </c>
      <c r="E91" s="21">
        <f t="shared" ca="1" si="21"/>
        <v>7.2656745173313482</v>
      </c>
      <c r="F91" s="20" t="str">
        <f t="shared" ca="1" si="19"/>
        <v>No</v>
      </c>
      <c r="G91" s="21">
        <f t="shared" ca="1" si="15"/>
        <v>0</v>
      </c>
      <c r="H91" s="21">
        <f t="shared" ca="1" si="16"/>
        <v>260.05395368645367</v>
      </c>
      <c r="I91" s="21">
        <f t="shared" ca="1" si="11"/>
        <v>261.15476617638308</v>
      </c>
      <c r="J91" s="20">
        <f t="shared" ca="1" si="20"/>
        <v>4</v>
      </c>
      <c r="K91" s="20">
        <f t="shared" ca="1" si="12"/>
        <v>2</v>
      </c>
      <c r="L91" s="44">
        <f t="shared" ca="1" si="17"/>
        <v>3</v>
      </c>
    </row>
    <row r="92" spans="1:12" x14ac:dyDescent="0.25">
      <c r="A92" s="20">
        <v>84</v>
      </c>
      <c r="B92" s="21">
        <f t="shared" ca="1" si="13"/>
        <v>4.8570457952293546</v>
      </c>
      <c r="C92" s="21">
        <f t="shared" ca="1" si="18"/>
        <v>257.64532496435169</v>
      </c>
      <c r="D92" s="21">
        <f t="shared" ca="1" si="14"/>
        <v>4.2722642894319263E-2</v>
      </c>
      <c r="E92" s="21">
        <f t="shared" ca="1" si="21"/>
        <v>3.5094412120313905</v>
      </c>
      <c r="F92" s="20" t="str">
        <f t="shared" ca="1" si="19"/>
        <v>No</v>
      </c>
      <c r="G92" s="21">
        <f t="shared" ca="1" si="15"/>
        <v>0</v>
      </c>
      <c r="H92" s="21">
        <f t="shared" ca="1" si="16"/>
        <v>261.15476617638308</v>
      </c>
      <c r="I92" s="21">
        <f t="shared" ca="1" si="11"/>
        <v>261.1974888192774</v>
      </c>
      <c r="J92" s="20">
        <f t="shared" ca="1" si="20"/>
        <v>3</v>
      </c>
      <c r="K92" s="20">
        <f t="shared" ca="1" si="12"/>
        <v>1</v>
      </c>
      <c r="L92" s="44">
        <f t="shared" ca="1" si="17"/>
        <v>2</v>
      </c>
    </row>
    <row r="93" spans="1:12" x14ac:dyDescent="0.25">
      <c r="A93" s="20">
        <v>85</v>
      </c>
      <c r="B93" s="21">
        <f t="shared" ca="1" si="13"/>
        <v>0.49210821144801992</v>
      </c>
      <c r="C93" s="21">
        <f t="shared" ca="1" si="18"/>
        <v>258.13743317579969</v>
      </c>
      <c r="D93" s="21">
        <f t="shared" ca="1" si="14"/>
        <v>2.2239735181016762</v>
      </c>
      <c r="E93" s="21">
        <f t="shared" ca="1" si="21"/>
        <v>3.0600556434777104</v>
      </c>
      <c r="F93" s="20" t="str">
        <f t="shared" ca="1" si="19"/>
        <v>No</v>
      </c>
      <c r="G93" s="21">
        <f t="shared" ca="1" si="15"/>
        <v>0</v>
      </c>
      <c r="H93" s="21">
        <f t="shared" ca="1" si="16"/>
        <v>261.1974888192774</v>
      </c>
      <c r="I93" s="21">
        <f t="shared" ca="1" si="11"/>
        <v>263.42146233737907</v>
      </c>
      <c r="J93" s="20">
        <f t="shared" ca="1" si="20"/>
        <v>2</v>
      </c>
      <c r="K93" s="20">
        <f t="shared" ca="1" si="12"/>
        <v>0</v>
      </c>
      <c r="L93" s="44">
        <f t="shared" ca="1" si="17"/>
        <v>1</v>
      </c>
    </row>
    <row r="94" spans="1:12" x14ac:dyDescent="0.25">
      <c r="A94" s="20">
        <v>86</v>
      </c>
      <c r="B94" s="21">
        <f t="shared" ca="1" si="13"/>
        <v>21.438742268165985</v>
      </c>
      <c r="C94" s="21">
        <f t="shared" ca="1" si="18"/>
        <v>279.57617544396567</v>
      </c>
      <c r="D94" s="21">
        <f t="shared" ca="1" si="14"/>
        <v>0.76213211069418862</v>
      </c>
      <c r="E94" s="21">
        <f t="shared" ca="1" si="21"/>
        <v>0</v>
      </c>
      <c r="F94" s="20" t="str">
        <f t="shared" ca="1" si="19"/>
        <v>Yes</v>
      </c>
      <c r="G94" s="21">
        <f t="shared" ca="1" si="15"/>
        <v>16.154713106586598</v>
      </c>
      <c r="H94" s="21">
        <f t="shared" ca="1" si="16"/>
        <v>279.57617544396567</v>
      </c>
      <c r="I94" s="21">
        <f t="shared" ca="1" si="11"/>
        <v>280.33830755465988</v>
      </c>
      <c r="J94" s="20">
        <f t="shared" ca="1" si="20"/>
        <v>0</v>
      </c>
      <c r="K94" s="20">
        <f t="shared" ca="1" si="12"/>
        <v>1</v>
      </c>
      <c r="L94" s="44">
        <f t="shared" ca="1" si="17"/>
        <v>0.5</v>
      </c>
    </row>
    <row r="95" spans="1:12" x14ac:dyDescent="0.25">
      <c r="A95" s="20">
        <v>87</v>
      </c>
      <c r="B95" s="21">
        <f t="shared" ca="1" si="13"/>
        <v>0.60731605261432975</v>
      </c>
      <c r="C95" s="21">
        <f t="shared" ca="1" si="18"/>
        <v>280.18349149658002</v>
      </c>
      <c r="D95" s="21">
        <f t="shared" ca="1" si="14"/>
        <v>0.36234273586116927</v>
      </c>
      <c r="E95" s="21">
        <f t="shared" ca="1" si="21"/>
        <v>0.15481605807985943</v>
      </c>
      <c r="F95" s="20" t="str">
        <f t="shared" ca="1" si="19"/>
        <v>No</v>
      </c>
      <c r="G95" s="21">
        <f t="shared" ca="1" si="15"/>
        <v>0</v>
      </c>
      <c r="H95" s="21">
        <f t="shared" ca="1" si="16"/>
        <v>280.33830755465988</v>
      </c>
      <c r="I95" s="21">
        <f t="shared" ca="1" si="11"/>
        <v>280.70065029052103</v>
      </c>
      <c r="J95" s="20">
        <f t="shared" ca="1" si="20"/>
        <v>2</v>
      </c>
      <c r="K95" s="20">
        <f t="shared" ca="1" si="12"/>
        <v>0</v>
      </c>
      <c r="L95" s="44">
        <f t="shared" ca="1" si="17"/>
        <v>1</v>
      </c>
    </row>
    <row r="96" spans="1:12" x14ac:dyDescent="0.25">
      <c r="A96" s="20">
        <v>88</v>
      </c>
      <c r="B96" s="21">
        <f t="shared" ca="1" si="13"/>
        <v>0.52237863996935352</v>
      </c>
      <c r="C96" s="21">
        <f t="shared" ca="1" si="18"/>
        <v>280.70587013654938</v>
      </c>
      <c r="D96" s="21">
        <f t="shared" ca="1" si="14"/>
        <v>0.97755073960749617</v>
      </c>
      <c r="E96" s="21">
        <f t="shared" ca="1" si="21"/>
        <v>0</v>
      </c>
      <c r="F96" s="20" t="str">
        <f t="shared" ca="1" si="19"/>
        <v>Yes</v>
      </c>
      <c r="G96" s="21">
        <f t="shared" ca="1" si="15"/>
        <v>5.2198460283534587E-3</v>
      </c>
      <c r="H96" s="21">
        <f t="shared" ca="1" si="16"/>
        <v>280.70587013654938</v>
      </c>
      <c r="I96" s="21">
        <f t="shared" ca="1" si="11"/>
        <v>281.6834208761569</v>
      </c>
      <c r="J96" s="20">
        <f t="shared" ca="1" si="20"/>
        <v>0</v>
      </c>
      <c r="K96" s="20">
        <f t="shared" ca="1" si="12"/>
        <v>0</v>
      </c>
      <c r="L96" s="44">
        <f t="shared" ca="1" si="17"/>
        <v>0</v>
      </c>
    </row>
    <row r="97" spans="1:12" x14ac:dyDescent="0.25">
      <c r="A97" s="20">
        <v>89</v>
      </c>
      <c r="B97" s="21">
        <f t="shared" ca="1" si="13"/>
        <v>5.1509240628964195</v>
      </c>
      <c r="C97" s="21">
        <f t="shared" ca="1" si="18"/>
        <v>285.8567941994458</v>
      </c>
      <c r="D97" s="21">
        <f t="shared" ca="1" si="14"/>
        <v>2.8327153020050764</v>
      </c>
      <c r="E97" s="21">
        <f t="shared" ca="1" si="21"/>
        <v>0</v>
      </c>
      <c r="F97" s="20" t="str">
        <f t="shared" ca="1" si="19"/>
        <v>Yes</v>
      </c>
      <c r="G97" s="21">
        <f t="shared" ca="1" si="15"/>
        <v>4.1733733232888994</v>
      </c>
      <c r="H97" s="21">
        <f t="shared" ca="1" si="16"/>
        <v>285.8567941994458</v>
      </c>
      <c r="I97" s="21">
        <f t="shared" ca="1" si="11"/>
        <v>288.68950950145086</v>
      </c>
      <c r="J97" s="20">
        <f t="shared" ca="1" si="20"/>
        <v>0</v>
      </c>
      <c r="K97" s="20">
        <f t="shared" ca="1" si="12"/>
        <v>0</v>
      </c>
      <c r="L97" s="44">
        <f t="shared" ca="1" si="17"/>
        <v>0</v>
      </c>
    </row>
    <row r="98" spans="1:12" x14ac:dyDescent="0.25">
      <c r="A98" s="20">
        <v>90</v>
      </c>
      <c r="B98" s="21">
        <f t="shared" ca="1" si="13"/>
        <v>4.4161121447930114</v>
      </c>
      <c r="C98" s="21">
        <f t="shared" ca="1" si="18"/>
        <v>290.27290634423883</v>
      </c>
      <c r="D98" s="21">
        <f t="shared" ca="1" si="14"/>
        <v>5.3717834716804722</v>
      </c>
      <c r="E98" s="21">
        <f t="shared" ca="1" si="21"/>
        <v>0</v>
      </c>
      <c r="F98" s="20" t="str">
        <f t="shared" ca="1" si="19"/>
        <v>Yes</v>
      </c>
      <c r="G98" s="21">
        <f t="shared" ca="1" si="15"/>
        <v>1.5833968427879768</v>
      </c>
      <c r="H98" s="21">
        <f t="shared" ca="1" si="16"/>
        <v>290.27290634423883</v>
      </c>
      <c r="I98" s="21">
        <f t="shared" ca="1" si="11"/>
        <v>295.64468981591932</v>
      </c>
      <c r="J98" s="20">
        <f t="shared" ca="1" si="20"/>
        <v>0</v>
      </c>
      <c r="K98" s="20">
        <f t="shared" ca="1" si="12"/>
        <v>2</v>
      </c>
      <c r="L98" s="44">
        <f t="shared" ca="1" si="17"/>
        <v>1</v>
      </c>
    </row>
    <row r="99" spans="1:12" x14ac:dyDescent="0.25">
      <c r="A99" s="20">
        <v>91</v>
      </c>
      <c r="B99" s="21">
        <f t="shared" ca="1" si="13"/>
        <v>0.2896558571297238</v>
      </c>
      <c r="C99" s="21">
        <f t="shared" ca="1" si="18"/>
        <v>290.56256220136856</v>
      </c>
      <c r="D99" s="21">
        <f t="shared" ca="1" si="14"/>
        <v>3.0723108757436943</v>
      </c>
      <c r="E99" s="21">
        <f t="shared" ca="1" si="21"/>
        <v>5.0821276145507568</v>
      </c>
      <c r="F99" s="20" t="str">
        <f t="shared" ca="1" si="19"/>
        <v>No</v>
      </c>
      <c r="G99" s="21">
        <f t="shared" ca="1" si="15"/>
        <v>0</v>
      </c>
      <c r="H99" s="21">
        <f t="shared" ca="1" si="16"/>
        <v>295.64468981591932</v>
      </c>
      <c r="I99" s="21">
        <f t="shared" ca="1" si="11"/>
        <v>298.71700069166303</v>
      </c>
      <c r="J99" s="20">
        <f t="shared" ca="1" si="20"/>
        <v>3</v>
      </c>
      <c r="K99" s="20">
        <f t="shared" ca="1" si="12"/>
        <v>1</v>
      </c>
      <c r="L99" s="44">
        <f t="shared" ca="1" si="17"/>
        <v>2</v>
      </c>
    </row>
    <row r="100" spans="1:12" x14ac:dyDescent="0.25">
      <c r="A100" s="20">
        <v>92</v>
      </c>
      <c r="B100" s="21">
        <f t="shared" ca="1" si="13"/>
        <v>0.55489883015800201</v>
      </c>
      <c r="C100" s="21">
        <f t="shared" ca="1" si="18"/>
        <v>291.11746103152655</v>
      </c>
      <c r="D100" s="21">
        <f t="shared" ca="1" si="14"/>
        <v>5.2185902703579128</v>
      </c>
      <c r="E100" s="21">
        <f t="shared" ca="1" si="21"/>
        <v>7.599539660136486</v>
      </c>
      <c r="F100" s="20" t="str">
        <f t="shared" ca="1" si="19"/>
        <v>No</v>
      </c>
      <c r="G100" s="21">
        <f t="shared" ca="1" si="15"/>
        <v>0</v>
      </c>
      <c r="H100" s="21">
        <f t="shared" ca="1" si="16"/>
        <v>298.71700069166303</v>
      </c>
      <c r="I100" s="21">
        <f t="shared" ca="1" si="11"/>
        <v>303.93559096202097</v>
      </c>
      <c r="J100" s="20">
        <f t="shared" ca="1" si="20"/>
        <v>2</v>
      </c>
      <c r="K100" s="20">
        <f t="shared" ca="1" si="12"/>
        <v>1</v>
      </c>
      <c r="L100" s="44">
        <f t="shared" ca="1" si="17"/>
        <v>1.5</v>
      </c>
    </row>
    <row r="101" spans="1:12" x14ac:dyDescent="0.25">
      <c r="A101" s="20">
        <v>93</v>
      </c>
      <c r="B101" s="21">
        <f t="shared" ca="1" si="13"/>
        <v>11.196958574576071</v>
      </c>
      <c r="C101" s="21">
        <f t="shared" ca="1" si="18"/>
        <v>302.3144196061026</v>
      </c>
      <c r="D101" s="21">
        <f t="shared" ca="1" si="14"/>
        <v>3.9632381133010597</v>
      </c>
      <c r="E101" s="21">
        <f t="shared" ca="1" si="21"/>
        <v>1.6211713559183636</v>
      </c>
      <c r="F101" s="20" t="str">
        <f t="shared" ca="1" si="19"/>
        <v>No</v>
      </c>
      <c r="G101" s="21">
        <f t="shared" ca="1" si="15"/>
        <v>0</v>
      </c>
      <c r="H101" s="21">
        <f t="shared" ca="1" si="16"/>
        <v>303.93559096202097</v>
      </c>
      <c r="I101" s="21">
        <f t="shared" ca="1" si="11"/>
        <v>307.89882907532206</v>
      </c>
      <c r="J101" s="20">
        <f t="shared" ca="1" si="20"/>
        <v>2</v>
      </c>
      <c r="K101" s="20">
        <f t="shared" ca="1" si="12"/>
        <v>2</v>
      </c>
      <c r="L101" s="44">
        <f t="shared" ca="1" si="17"/>
        <v>2</v>
      </c>
    </row>
    <row r="102" spans="1:12" x14ac:dyDescent="0.25">
      <c r="A102" s="20">
        <v>94</v>
      </c>
      <c r="B102" s="21">
        <f t="shared" ca="1" si="13"/>
        <v>2.4828134693830686</v>
      </c>
      <c r="C102" s="21">
        <f t="shared" ca="1" si="18"/>
        <v>304.79723307548568</v>
      </c>
      <c r="D102" s="21">
        <f t="shared" ca="1" si="14"/>
        <v>1.2769041962611141</v>
      </c>
      <c r="E102" s="21">
        <f t="shared" ca="1" si="21"/>
        <v>3.1015959998363769</v>
      </c>
      <c r="F102" s="20" t="str">
        <f t="shared" ca="1" si="19"/>
        <v>No</v>
      </c>
      <c r="G102" s="21">
        <f t="shared" ca="1" si="15"/>
        <v>0</v>
      </c>
      <c r="H102" s="21">
        <f t="shared" ca="1" si="16"/>
        <v>307.89882907532206</v>
      </c>
      <c r="I102" s="21">
        <f t="shared" ca="1" si="11"/>
        <v>309.17573327158317</v>
      </c>
      <c r="J102" s="20">
        <f t="shared" ca="1" si="20"/>
        <v>3</v>
      </c>
      <c r="K102" s="20">
        <f t="shared" ca="1" si="12"/>
        <v>1</v>
      </c>
      <c r="L102" s="44">
        <f t="shared" ca="1" si="17"/>
        <v>2</v>
      </c>
    </row>
    <row r="103" spans="1:12" x14ac:dyDescent="0.25">
      <c r="A103" s="20">
        <v>95</v>
      </c>
      <c r="B103" s="21">
        <f t="shared" ca="1" si="13"/>
        <v>1.8440812341552726</v>
      </c>
      <c r="C103" s="21">
        <f t="shared" ca="1" si="18"/>
        <v>306.64131430964096</v>
      </c>
      <c r="D103" s="21">
        <f t="shared" ca="1" si="14"/>
        <v>5.7007522098809957</v>
      </c>
      <c r="E103" s="21">
        <f t="shared" ca="1" si="21"/>
        <v>2.5344189619422082</v>
      </c>
      <c r="F103" s="20" t="str">
        <f t="shared" ca="1" si="19"/>
        <v>No</v>
      </c>
      <c r="G103" s="21">
        <f t="shared" ca="1" si="15"/>
        <v>0</v>
      </c>
      <c r="H103" s="21">
        <f t="shared" ca="1" si="16"/>
        <v>309.17573327158317</v>
      </c>
      <c r="I103" s="21">
        <f t="shared" ca="1" si="11"/>
        <v>314.87648548146416</v>
      </c>
      <c r="J103" s="20">
        <f t="shared" ca="1" si="20"/>
        <v>2</v>
      </c>
      <c r="K103" s="20">
        <f t="shared" ca="1" si="12"/>
        <v>2</v>
      </c>
      <c r="L103" s="44">
        <f t="shared" ca="1" si="17"/>
        <v>2</v>
      </c>
    </row>
    <row r="104" spans="1:12" x14ac:dyDescent="0.25">
      <c r="A104" s="20">
        <v>96</v>
      </c>
      <c r="B104" s="21">
        <f t="shared" ca="1" si="13"/>
        <v>5.3856771627034048</v>
      </c>
      <c r="C104" s="21">
        <f t="shared" ca="1" si="18"/>
        <v>312.02699147234438</v>
      </c>
      <c r="D104" s="21">
        <f t="shared" ca="1" si="14"/>
        <v>1.6878296126513272</v>
      </c>
      <c r="E104" s="21">
        <f t="shared" ca="1" si="21"/>
        <v>2.8494940091197805</v>
      </c>
      <c r="F104" s="20" t="str">
        <f t="shared" ca="1" si="19"/>
        <v>No</v>
      </c>
      <c r="G104" s="21">
        <f t="shared" ca="1" si="15"/>
        <v>0</v>
      </c>
      <c r="H104" s="21">
        <f t="shared" ca="1" si="16"/>
        <v>314.87648548146416</v>
      </c>
      <c r="I104" s="21">
        <f t="shared" ca="1" si="11"/>
        <v>316.5643150941155</v>
      </c>
      <c r="J104" s="20">
        <f t="shared" ca="1" si="20"/>
        <v>3</v>
      </c>
      <c r="K104" s="20">
        <f t="shared" ca="1" si="12"/>
        <v>1</v>
      </c>
      <c r="L104" s="44">
        <f t="shared" ca="1" si="17"/>
        <v>2</v>
      </c>
    </row>
    <row r="105" spans="1:12" x14ac:dyDescent="0.25">
      <c r="A105" s="20">
        <v>97</v>
      </c>
      <c r="B105" s="21">
        <f t="shared" ca="1" si="13"/>
        <v>0.92427906041106533</v>
      </c>
      <c r="C105" s="21">
        <f t="shared" ca="1" si="18"/>
        <v>312.95127053275542</v>
      </c>
      <c r="D105" s="21">
        <f t="shared" ca="1" si="14"/>
        <v>0.72803373688289819</v>
      </c>
      <c r="E105" s="21">
        <f t="shared" ca="1" si="21"/>
        <v>3.6130445613600841</v>
      </c>
      <c r="F105" s="20" t="str">
        <f t="shared" ca="1" si="19"/>
        <v>No</v>
      </c>
      <c r="G105" s="21">
        <f t="shared" ca="1" si="15"/>
        <v>0</v>
      </c>
      <c r="H105" s="21">
        <f t="shared" ca="1" si="16"/>
        <v>316.5643150941155</v>
      </c>
      <c r="I105" s="21">
        <f t="shared" ca="1" si="11"/>
        <v>317.29234883099838</v>
      </c>
      <c r="J105" s="20">
        <f t="shared" ca="1" si="20"/>
        <v>2</v>
      </c>
      <c r="K105" s="20">
        <f t="shared" ca="1" si="12"/>
        <v>0</v>
      </c>
      <c r="L105" s="44">
        <f t="shared" ca="1" si="17"/>
        <v>1</v>
      </c>
    </row>
    <row r="106" spans="1:12" x14ac:dyDescent="0.25">
      <c r="A106" s="20">
        <v>98</v>
      </c>
      <c r="B106" s="21">
        <f t="shared" ca="1" si="13"/>
        <v>8.9666059247626269</v>
      </c>
      <c r="C106" s="21">
        <f t="shared" ca="1" si="18"/>
        <v>321.91787645751805</v>
      </c>
      <c r="D106" s="21">
        <f t="shared" ca="1" si="14"/>
        <v>2.537011710545892</v>
      </c>
      <c r="E106" s="21">
        <f t="shared" ca="1" si="21"/>
        <v>0</v>
      </c>
      <c r="F106" s="20" t="str">
        <f t="shared" ca="1" si="19"/>
        <v>Yes</v>
      </c>
      <c r="G106" s="21">
        <f t="shared" ca="1" si="15"/>
        <v>4.6255276265196699</v>
      </c>
      <c r="H106" s="21">
        <f t="shared" ca="1" si="16"/>
        <v>321.91787645751805</v>
      </c>
      <c r="I106" s="21">
        <f t="shared" ca="1" si="11"/>
        <v>324.45488816806392</v>
      </c>
      <c r="J106" s="20">
        <f t="shared" ca="1" si="20"/>
        <v>0</v>
      </c>
      <c r="K106" s="20">
        <f t="shared" ca="1" si="12"/>
        <v>0</v>
      </c>
      <c r="L106" s="44">
        <f t="shared" ca="1" si="17"/>
        <v>0</v>
      </c>
    </row>
    <row r="107" spans="1:12" x14ac:dyDescent="0.25">
      <c r="A107" s="20">
        <v>99</v>
      </c>
      <c r="B107" s="21">
        <f t="shared" ca="1" si="13"/>
        <v>3.6953582928509072</v>
      </c>
      <c r="C107" s="21">
        <f t="shared" ca="1" si="18"/>
        <v>325.61323475036897</v>
      </c>
      <c r="D107" s="21">
        <f t="shared" ca="1" si="14"/>
        <v>1.8749077643691188</v>
      </c>
      <c r="E107" s="21">
        <f t="shared" ca="1" si="21"/>
        <v>0</v>
      </c>
      <c r="F107" s="20" t="str">
        <f t="shared" ca="1" si="19"/>
        <v>Yes</v>
      </c>
      <c r="G107" s="21">
        <f t="shared" ca="1" si="15"/>
        <v>1.1583465823050574</v>
      </c>
      <c r="H107" s="21">
        <f t="shared" ca="1" si="16"/>
        <v>325.61323475036897</v>
      </c>
      <c r="I107" s="21">
        <f t="shared" ca="1" si="11"/>
        <v>327.48814251473812</v>
      </c>
      <c r="J107" s="20">
        <f t="shared" ca="1" si="20"/>
        <v>0</v>
      </c>
      <c r="K107" s="20">
        <f t="shared" ca="1" si="12"/>
        <v>1</v>
      </c>
      <c r="L107" s="44">
        <f t="shared" ca="1" si="17"/>
        <v>0.5</v>
      </c>
    </row>
    <row r="108" spans="1:12" x14ac:dyDescent="0.25">
      <c r="A108" s="20">
        <v>100</v>
      </c>
      <c r="B108" s="21">
        <f t="shared" ca="1" si="13"/>
        <v>1.137726108206065</v>
      </c>
      <c r="C108" s="21">
        <f t="shared" ca="1" si="18"/>
        <v>326.75096085857501</v>
      </c>
      <c r="D108" s="21">
        <f t="shared" ca="1" si="14"/>
        <v>0.61174933695809564</v>
      </c>
      <c r="E108" s="21">
        <f t="shared" ca="1" si="21"/>
        <v>0.73718165616310216</v>
      </c>
      <c r="F108" s="20" t="str">
        <f t="shared" ca="1" si="19"/>
        <v>No</v>
      </c>
      <c r="G108" s="21">
        <f t="shared" ca="1" si="15"/>
        <v>0</v>
      </c>
      <c r="H108" s="21">
        <f t="shared" ca="1" si="16"/>
        <v>327.48814251473812</v>
      </c>
      <c r="I108" s="21">
        <f t="shared" ca="1" si="11"/>
        <v>328.09989185169621</v>
      </c>
      <c r="J108" s="20">
        <f t="shared" ca="1" si="20"/>
        <v>2</v>
      </c>
      <c r="K108" s="20">
        <f t="shared" ca="1" si="12"/>
        <v>1</v>
      </c>
      <c r="L108" s="44">
        <f t="shared" ca="1" si="17"/>
        <v>1.5</v>
      </c>
    </row>
    <row r="109" spans="1:12" x14ac:dyDescent="0.25">
      <c r="A109" s="20">
        <v>101</v>
      </c>
      <c r="B109" s="21">
        <f t="shared" ca="1" si="13"/>
        <v>0.76550481495721157</v>
      </c>
      <c r="C109" s="21">
        <f t="shared" ca="1" si="18"/>
        <v>327.51646567353225</v>
      </c>
      <c r="D109" s="21">
        <f t="shared" ca="1" si="14"/>
        <v>7.0757633870280917E-2</v>
      </c>
      <c r="E109" s="21">
        <f t="shared" ca="1" si="21"/>
        <v>0.58342617816396114</v>
      </c>
      <c r="F109" s="20" t="str">
        <f t="shared" ca="1" si="19"/>
        <v>No</v>
      </c>
      <c r="G109" s="21">
        <f t="shared" ca="1" si="15"/>
        <v>0</v>
      </c>
      <c r="H109" s="21">
        <f t="shared" ca="1" si="16"/>
        <v>328.09989185169621</v>
      </c>
      <c r="I109" s="21">
        <f t="shared" ca="1" si="11"/>
        <v>328.17064948556651</v>
      </c>
      <c r="J109" s="20">
        <f t="shared" ca="1" si="20"/>
        <v>2</v>
      </c>
      <c r="K109" s="20">
        <f t="shared" ca="1" si="12"/>
        <v>0</v>
      </c>
      <c r="L109" s="44">
        <f t="shared" ca="1" si="17"/>
        <v>1</v>
      </c>
    </row>
    <row r="110" spans="1:12" x14ac:dyDescent="0.25">
      <c r="A110" s="20">
        <v>102</v>
      </c>
      <c r="B110" s="21">
        <f t="shared" ca="1" si="13"/>
        <v>1.7715029883714681</v>
      </c>
      <c r="C110" s="21">
        <f t="shared" ca="1" si="18"/>
        <v>329.28796866190373</v>
      </c>
      <c r="D110" s="21">
        <f t="shared" ca="1" si="14"/>
        <v>4.3428826881856466</v>
      </c>
      <c r="E110" s="21">
        <f t="shared" ca="1" si="21"/>
        <v>0</v>
      </c>
      <c r="F110" s="20" t="str">
        <f t="shared" ca="1" si="19"/>
        <v>Yes</v>
      </c>
      <c r="G110" s="21">
        <f t="shared" ca="1" si="15"/>
        <v>1.1173191763372188</v>
      </c>
      <c r="H110" s="21">
        <f t="shared" ca="1" si="16"/>
        <v>329.28796866190373</v>
      </c>
      <c r="I110" s="21">
        <f t="shared" ca="1" si="11"/>
        <v>333.63085135008936</v>
      </c>
      <c r="J110" s="20">
        <f t="shared" ca="1" si="20"/>
        <v>0</v>
      </c>
      <c r="K110" s="20">
        <f t="shared" ca="1" si="12"/>
        <v>2</v>
      </c>
      <c r="L110" s="44">
        <f t="shared" ca="1" si="17"/>
        <v>1</v>
      </c>
    </row>
    <row r="111" spans="1:12" x14ac:dyDescent="0.25">
      <c r="A111" s="20">
        <v>103</v>
      </c>
      <c r="B111" s="21">
        <f t="shared" ca="1" si="13"/>
        <v>0.42281334365285622</v>
      </c>
      <c r="C111" s="21">
        <f t="shared" ca="1" si="18"/>
        <v>329.71078200555661</v>
      </c>
      <c r="D111" s="21">
        <f t="shared" ca="1" si="14"/>
        <v>1.0696536973642237</v>
      </c>
      <c r="E111" s="21">
        <f t="shared" ca="1" si="21"/>
        <v>3.9200693445327488</v>
      </c>
      <c r="F111" s="20" t="str">
        <f t="shared" ca="1" si="19"/>
        <v>No</v>
      </c>
      <c r="G111" s="21">
        <f t="shared" ca="1" si="15"/>
        <v>0</v>
      </c>
      <c r="H111" s="21">
        <f t="shared" ca="1" si="16"/>
        <v>333.63085135008936</v>
      </c>
      <c r="I111" s="21">
        <f t="shared" ca="1" si="11"/>
        <v>334.70050504745359</v>
      </c>
      <c r="J111" s="20">
        <f t="shared" ca="1" si="20"/>
        <v>3</v>
      </c>
      <c r="K111" s="20">
        <f t="shared" ca="1" si="12"/>
        <v>1</v>
      </c>
      <c r="L111" s="44">
        <f t="shared" ca="1" si="17"/>
        <v>2</v>
      </c>
    </row>
    <row r="112" spans="1:12" x14ac:dyDescent="0.25">
      <c r="A112" s="20">
        <v>104</v>
      </c>
      <c r="B112" s="21">
        <f t="shared" ca="1" si="13"/>
        <v>2.1334481453749716</v>
      </c>
      <c r="C112" s="21">
        <f t="shared" ca="1" si="18"/>
        <v>331.84423015093159</v>
      </c>
      <c r="D112" s="21">
        <f t="shared" ca="1" si="14"/>
        <v>1.6690685881813823</v>
      </c>
      <c r="E112" s="21">
        <f t="shared" ca="1" si="21"/>
        <v>2.8562748965219953</v>
      </c>
      <c r="F112" s="20" t="str">
        <f t="shared" ca="1" si="19"/>
        <v>No</v>
      </c>
      <c r="G112" s="21">
        <f t="shared" ca="1" si="15"/>
        <v>0</v>
      </c>
      <c r="H112" s="21">
        <f t="shared" ca="1" si="16"/>
        <v>334.70050504745359</v>
      </c>
      <c r="I112" s="21">
        <f t="shared" ca="1" si="11"/>
        <v>336.36957363563499</v>
      </c>
      <c r="J112" s="20">
        <f t="shared" ca="1" si="20"/>
        <v>2</v>
      </c>
      <c r="K112" s="20">
        <f t="shared" ca="1" si="12"/>
        <v>1</v>
      </c>
      <c r="L112" s="44">
        <f t="shared" ca="1" si="17"/>
        <v>1.5</v>
      </c>
    </row>
    <row r="113" spans="1:12" x14ac:dyDescent="0.25">
      <c r="A113" s="20">
        <v>105</v>
      </c>
      <c r="B113" s="21">
        <f t="shared" ca="1" si="13"/>
        <v>4.5105005470426764</v>
      </c>
      <c r="C113" s="21">
        <f t="shared" ca="1" si="18"/>
        <v>336.35473069797428</v>
      </c>
      <c r="D113" s="21">
        <f t="shared" ca="1" si="14"/>
        <v>6.1818985731778602</v>
      </c>
      <c r="E113" s="21">
        <f t="shared" ca="1" si="21"/>
        <v>1.4842937660716871E-2</v>
      </c>
      <c r="F113" s="20" t="str">
        <f t="shared" ca="1" si="19"/>
        <v>No</v>
      </c>
      <c r="G113" s="21">
        <f t="shared" ca="1" si="15"/>
        <v>0</v>
      </c>
      <c r="H113" s="21">
        <f t="shared" ca="1" si="16"/>
        <v>336.36957363563499</v>
      </c>
      <c r="I113" s="21">
        <f t="shared" ca="1" si="11"/>
        <v>342.55147220881287</v>
      </c>
      <c r="J113" s="20">
        <f t="shared" ca="1" si="20"/>
        <v>2</v>
      </c>
      <c r="K113" s="20">
        <f t="shared" ca="1" si="12"/>
        <v>4</v>
      </c>
      <c r="L113" s="44">
        <f t="shared" ca="1" si="17"/>
        <v>3</v>
      </c>
    </row>
    <row r="114" spans="1:12" x14ac:dyDescent="0.25">
      <c r="A114" s="20">
        <v>106</v>
      </c>
      <c r="B114" s="21">
        <f t="shared" ca="1" si="13"/>
        <v>0.3069889615566963</v>
      </c>
      <c r="C114" s="21">
        <f t="shared" ca="1" si="18"/>
        <v>336.66171965953095</v>
      </c>
      <c r="D114" s="21">
        <f t="shared" ca="1" si="14"/>
        <v>0.32978731664955618</v>
      </c>
      <c r="E114" s="21">
        <f t="shared" ca="1" si="21"/>
        <v>5.8897525492819227</v>
      </c>
      <c r="F114" s="20" t="str">
        <f t="shared" ca="1" si="19"/>
        <v>No</v>
      </c>
      <c r="G114" s="21">
        <f t="shared" ca="1" si="15"/>
        <v>0</v>
      </c>
      <c r="H114" s="21">
        <f t="shared" ca="1" si="16"/>
        <v>342.55147220881287</v>
      </c>
      <c r="I114" s="21">
        <f t="shared" ca="1" si="11"/>
        <v>342.88125952546244</v>
      </c>
      <c r="J114" s="20">
        <f t="shared" ca="1" si="20"/>
        <v>5</v>
      </c>
      <c r="K114" s="20">
        <f t="shared" ca="1" si="12"/>
        <v>3</v>
      </c>
      <c r="L114" s="44">
        <f t="shared" ca="1" si="17"/>
        <v>4</v>
      </c>
    </row>
    <row r="115" spans="1:12" x14ac:dyDescent="0.25">
      <c r="A115" s="20">
        <v>107</v>
      </c>
      <c r="B115" s="21">
        <f t="shared" ca="1" si="13"/>
        <v>0.22037740952526635</v>
      </c>
      <c r="C115" s="21">
        <f t="shared" ca="1" si="18"/>
        <v>336.88209706905621</v>
      </c>
      <c r="D115" s="21">
        <f t="shared" ca="1" si="14"/>
        <v>0.29594576547847801</v>
      </c>
      <c r="E115" s="21">
        <f t="shared" ca="1" si="21"/>
        <v>5.9991624564062249</v>
      </c>
      <c r="F115" s="20" t="str">
        <f t="shared" ca="1" si="19"/>
        <v>No</v>
      </c>
      <c r="G115" s="21">
        <f t="shared" ca="1" si="15"/>
        <v>0</v>
      </c>
      <c r="H115" s="21">
        <f t="shared" ca="1" si="16"/>
        <v>342.88125952546244</v>
      </c>
      <c r="I115" s="21">
        <f t="shared" ca="1" si="11"/>
        <v>343.17720529094089</v>
      </c>
      <c r="J115" s="20">
        <f t="shared" ca="1" si="20"/>
        <v>4</v>
      </c>
      <c r="K115" s="20">
        <f t="shared" ca="1" si="12"/>
        <v>2</v>
      </c>
      <c r="L115" s="44">
        <f t="shared" ca="1" si="17"/>
        <v>3</v>
      </c>
    </row>
    <row r="116" spans="1:12" x14ac:dyDescent="0.25">
      <c r="A116" s="20">
        <v>108</v>
      </c>
      <c r="B116" s="21">
        <f t="shared" ca="1" si="13"/>
        <v>1.3838915309828543</v>
      </c>
      <c r="C116" s="21">
        <f t="shared" ca="1" si="18"/>
        <v>338.26598860003907</v>
      </c>
      <c r="D116" s="21">
        <f t="shared" ca="1" si="14"/>
        <v>0.40417924672250788</v>
      </c>
      <c r="E116" s="21">
        <f t="shared" ca="1" si="21"/>
        <v>4.9112166909018242</v>
      </c>
      <c r="F116" s="20" t="str">
        <f t="shared" ca="1" si="19"/>
        <v>No</v>
      </c>
      <c r="G116" s="21">
        <f t="shared" ca="1" si="15"/>
        <v>0</v>
      </c>
      <c r="H116" s="21">
        <f t="shared" ca="1" si="16"/>
        <v>343.17720529094089</v>
      </c>
      <c r="I116" s="21">
        <f t="shared" ca="1" si="11"/>
        <v>343.58138453766338</v>
      </c>
      <c r="J116" s="20">
        <f t="shared" ca="1" si="20"/>
        <v>3</v>
      </c>
      <c r="K116" s="20">
        <f t="shared" ca="1" si="12"/>
        <v>1</v>
      </c>
      <c r="L116" s="44">
        <f t="shared" ca="1" si="17"/>
        <v>2</v>
      </c>
    </row>
    <row r="117" spans="1:12" x14ac:dyDescent="0.25">
      <c r="A117" s="20">
        <v>109</v>
      </c>
      <c r="B117" s="21">
        <f t="shared" ca="1" si="13"/>
        <v>2.753193378545542</v>
      </c>
      <c r="C117" s="21">
        <f t="shared" ca="1" si="18"/>
        <v>341.01918197858458</v>
      </c>
      <c r="D117" s="21">
        <f t="shared" ca="1" si="14"/>
        <v>4.2688121980336682E-2</v>
      </c>
      <c r="E117" s="21">
        <f t="shared" ca="1" si="21"/>
        <v>2.5622025590787985</v>
      </c>
      <c r="F117" s="20" t="str">
        <f t="shared" ca="1" si="19"/>
        <v>No</v>
      </c>
      <c r="G117" s="21">
        <f t="shared" ca="1" si="15"/>
        <v>0</v>
      </c>
      <c r="H117" s="21">
        <f t="shared" ca="1" si="16"/>
        <v>343.58138453766338</v>
      </c>
      <c r="I117" s="21">
        <f t="shared" ca="1" si="11"/>
        <v>343.62407265964373</v>
      </c>
      <c r="J117" s="20">
        <f t="shared" ca="1" si="20"/>
        <v>2</v>
      </c>
      <c r="K117" s="20">
        <f t="shared" ca="1" si="12"/>
        <v>0</v>
      </c>
      <c r="L117" s="44">
        <f t="shared" ca="1" si="17"/>
        <v>1</v>
      </c>
    </row>
    <row r="118" spans="1:12" x14ac:dyDescent="0.25">
      <c r="A118" s="20">
        <v>110</v>
      </c>
      <c r="B118" s="21">
        <f t="shared" ca="1" si="13"/>
        <v>11.896041714696706</v>
      </c>
      <c r="C118" s="21">
        <f t="shared" ca="1" si="18"/>
        <v>352.91522369328129</v>
      </c>
      <c r="D118" s="21">
        <f t="shared" ca="1" si="14"/>
        <v>2.6485802157470566</v>
      </c>
      <c r="E118" s="21">
        <f t="shared" ca="1" si="21"/>
        <v>0</v>
      </c>
      <c r="F118" s="20" t="str">
        <f t="shared" ca="1" si="19"/>
        <v>Yes</v>
      </c>
      <c r="G118" s="21">
        <f t="shared" ca="1" si="15"/>
        <v>9.2911510336375613</v>
      </c>
      <c r="H118" s="21">
        <f t="shared" ca="1" si="16"/>
        <v>352.91522369328129</v>
      </c>
      <c r="I118" s="21">
        <f t="shared" ca="1" si="11"/>
        <v>355.56380390902837</v>
      </c>
      <c r="J118" s="20">
        <f t="shared" ca="1" si="20"/>
        <v>0</v>
      </c>
      <c r="K118" s="20">
        <f t="shared" ca="1" si="12"/>
        <v>1</v>
      </c>
      <c r="L118" s="44">
        <f t="shared" ca="1" si="17"/>
        <v>0.5</v>
      </c>
    </row>
    <row r="119" spans="1:12" x14ac:dyDescent="0.25">
      <c r="A119" s="20">
        <v>111</v>
      </c>
      <c r="B119" s="21">
        <f t="shared" ca="1" si="13"/>
        <v>1.4609430276914102</v>
      </c>
      <c r="C119" s="21">
        <f t="shared" ca="1" si="18"/>
        <v>354.37616672097272</v>
      </c>
      <c r="D119" s="21">
        <f t="shared" ca="1" si="14"/>
        <v>4.7906951196731171</v>
      </c>
      <c r="E119" s="21">
        <f t="shared" ca="1" si="21"/>
        <v>1.1876371880556462</v>
      </c>
      <c r="F119" s="20" t="str">
        <f t="shared" ca="1" si="19"/>
        <v>No</v>
      </c>
      <c r="G119" s="21">
        <f t="shared" ca="1" si="15"/>
        <v>0</v>
      </c>
      <c r="H119" s="21">
        <f t="shared" ca="1" si="16"/>
        <v>355.56380390902837</v>
      </c>
      <c r="I119" s="21">
        <f t="shared" ca="1" si="11"/>
        <v>360.35449902870147</v>
      </c>
      <c r="J119" s="20">
        <f t="shared" ca="1" si="20"/>
        <v>2</v>
      </c>
      <c r="K119" s="20">
        <f t="shared" ca="1" si="12"/>
        <v>0</v>
      </c>
      <c r="L119" s="44">
        <f t="shared" ca="1" si="17"/>
        <v>1</v>
      </c>
    </row>
    <row r="120" spans="1:12" x14ac:dyDescent="0.25">
      <c r="A120" s="20">
        <v>112</v>
      </c>
      <c r="B120" s="21">
        <f t="shared" ca="1" si="13"/>
        <v>7.0169259911480797</v>
      </c>
      <c r="C120" s="21">
        <f t="shared" ca="1" si="18"/>
        <v>361.39309271212079</v>
      </c>
      <c r="D120" s="21">
        <f t="shared" ca="1" si="14"/>
        <v>3.9745696713118663</v>
      </c>
      <c r="E120" s="21">
        <f t="shared" ca="1" si="21"/>
        <v>0</v>
      </c>
      <c r="F120" s="20" t="str">
        <f t="shared" ca="1" si="19"/>
        <v>Yes</v>
      </c>
      <c r="G120" s="21">
        <f t="shared" ca="1" si="15"/>
        <v>1.0385936834193217</v>
      </c>
      <c r="H120" s="21">
        <f t="shared" ca="1" si="16"/>
        <v>361.39309271212079</v>
      </c>
      <c r="I120" s="21">
        <f t="shared" ca="1" si="11"/>
        <v>365.36766238343267</v>
      </c>
      <c r="J120" s="20">
        <f t="shared" ca="1" si="20"/>
        <v>0</v>
      </c>
      <c r="K120" s="20">
        <f t="shared" ca="1" si="12"/>
        <v>1</v>
      </c>
      <c r="L120" s="44">
        <f t="shared" ca="1" si="17"/>
        <v>0.5</v>
      </c>
    </row>
    <row r="121" spans="1:12" x14ac:dyDescent="0.25">
      <c r="A121" s="20">
        <v>113</v>
      </c>
      <c r="B121" s="21">
        <f t="shared" ca="1" si="13"/>
        <v>0.66853741948829981</v>
      </c>
      <c r="C121" s="21">
        <f t="shared" ca="1" si="18"/>
        <v>362.06163013160909</v>
      </c>
      <c r="D121" s="21">
        <f t="shared" ca="1" si="14"/>
        <v>1.9713518606654807</v>
      </c>
      <c r="E121" s="21">
        <f t="shared" ca="1" si="21"/>
        <v>3.3060322518235807</v>
      </c>
      <c r="F121" s="20" t="str">
        <f t="shared" ca="1" si="19"/>
        <v>No</v>
      </c>
      <c r="G121" s="21">
        <f t="shared" ca="1" si="15"/>
        <v>0</v>
      </c>
      <c r="H121" s="21">
        <f t="shared" ca="1" si="16"/>
        <v>365.36766238343267</v>
      </c>
      <c r="I121" s="21">
        <f t="shared" ca="1" si="11"/>
        <v>367.33901424409817</v>
      </c>
      <c r="J121" s="20">
        <f t="shared" ca="1" si="20"/>
        <v>2</v>
      </c>
      <c r="K121" s="20">
        <f t="shared" ca="1" si="12"/>
        <v>2</v>
      </c>
      <c r="L121" s="44">
        <f t="shared" ca="1" si="17"/>
        <v>2</v>
      </c>
    </row>
    <row r="122" spans="1:12" x14ac:dyDescent="0.25">
      <c r="A122" s="20">
        <v>114</v>
      </c>
      <c r="B122" s="21">
        <f t="shared" ca="1" si="13"/>
        <v>4.3526530905490803</v>
      </c>
      <c r="C122" s="21">
        <f t="shared" ca="1" si="18"/>
        <v>366.41428322215819</v>
      </c>
      <c r="D122" s="21">
        <f t="shared" ca="1" si="14"/>
        <v>5.8805020833008204</v>
      </c>
      <c r="E122" s="21">
        <f t="shared" ca="1" si="21"/>
        <v>0.92473102193997647</v>
      </c>
      <c r="F122" s="20" t="str">
        <f t="shared" ca="1" si="19"/>
        <v>No</v>
      </c>
      <c r="G122" s="21">
        <f t="shared" ca="1" si="15"/>
        <v>0</v>
      </c>
      <c r="H122" s="21">
        <f t="shared" ca="1" si="16"/>
        <v>367.33901424409817</v>
      </c>
      <c r="I122" s="21">
        <f t="shared" ca="1" si="11"/>
        <v>373.21951632739899</v>
      </c>
      <c r="J122" s="20">
        <f t="shared" ca="1" si="20"/>
        <v>3</v>
      </c>
      <c r="K122" s="20">
        <f t="shared" ca="1" si="12"/>
        <v>4</v>
      </c>
      <c r="L122" s="44">
        <f t="shared" ca="1" si="17"/>
        <v>3.5</v>
      </c>
    </row>
    <row r="123" spans="1:12" x14ac:dyDescent="0.25">
      <c r="A123" s="20">
        <v>115</v>
      </c>
      <c r="B123" s="21">
        <f t="shared" ca="1" si="13"/>
        <v>0.24367835010226407</v>
      </c>
      <c r="C123" s="21">
        <f t="shared" ca="1" si="18"/>
        <v>366.65796157226043</v>
      </c>
      <c r="D123" s="21">
        <f t="shared" ca="1" si="14"/>
        <v>0.57481941528608271</v>
      </c>
      <c r="E123" s="21">
        <f t="shared" ca="1" si="21"/>
        <v>6.5615547551385589</v>
      </c>
      <c r="F123" s="20" t="str">
        <f t="shared" ca="1" si="19"/>
        <v>No</v>
      </c>
      <c r="G123" s="21">
        <f t="shared" ca="1" si="15"/>
        <v>0</v>
      </c>
      <c r="H123" s="21">
        <f t="shared" ca="1" si="16"/>
        <v>373.21951632739899</v>
      </c>
      <c r="I123" s="21">
        <f t="shared" ca="1" si="11"/>
        <v>373.79433574268506</v>
      </c>
      <c r="J123" s="20">
        <f t="shared" ca="1" si="20"/>
        <v>5</v>
      </c>
      <c r="K123" s="20">
        <f t="shared" ca="1" si="12"/>
        <v>3</v>
      </c>
      <c r="L123" s="44">
        <f t="shared" ca="1" si="17"/>
        <v>4</v>
      </c>
    </row>
    <row r="124" spans="1:12" x14ac:dyDescent="0.25">
      <c r="A124" s="20">
        <v>116</v>
      </c>
      <c r="B124" s="21">
        <f t="shared" ca="1" si="13"/>
        <v>0.75686981949174903</v>
      </c>
      <c r="C124" s="21">
        <f t="shared" ca="1" si="18"/>
        <v>367.41483139175216</v>
      </c>
      <c r="D124" s="21">
        <f t="shared" ca="1" si="14"/>
        <v>2.0091713843659192E-2</v>
      </c>
      <c r="E124" s="21">
        <f t="shared" ca="1" si="21"/>
        <v>6.3795043509329048</v>
      </c>
      <c r="F124" s="20" t="str">
        <f t="shared" ca="1" si="19"/>
        <v>No</v>
      </c>
      <c r="G124" s="21">
        <f t="shared" ca="1" si="15"/>
        <v>0</v>
      </c>
      <c r="H124" s="21">
        <f t="shared" ca="1" si="16"/>
        <v>373.79433574268506</v>
      </c>
      <c r="I124" s="21">
        <f t="shared" ca="1" si="11"/>
        <v>373.81442745652873</v>
      </c>
      <c r="J124" s="20">
        <f t="shared" ca="1" si="20"/>
        <v>4</v>
      </c>
      <c r="K124" s="20">
        <f t="shared" ca="1" si="12"/>
        <v>2</v>
      </c>
      <c r="L124" s="44">
        <f t="shared" ca="1" si="17"/>
        <v>3</v>
      </c>
    </row>
    <row r="125" spans="1:12" x14ac:dyDescent="0.25">
      <c r="A125" s="20">
        <v>117</v>
      </c>
      <c r="B125" s="21">
        <f t="shared" ca="1" si="13"/>
        <v>0.43791044913625748</v>
      </c>
      <c r="C125" s="21">
        <f t="shared" ca="1" si="18"/>
        <v>367.85274184088843</v>
      </c>
      <c r="D125" s="21">
        <f t="shared" ca="1" si="14"/>
        <v>4.726171530088302</v>
      </c>
      <c r="E125" s="21">
        <f t="shared" ca="1" si="21"/>
        <v>5.961685615640306</v>
      </c>
      <c r="F125" s="20" t="str">
        <f t="shared" ca="1" si="19"/>
        <v>No</v>
      </c>
      <c r="G125" s="21">
        <f t="shared" ca="1" si="15"/>
        <v>0</v>
      </c>
      <c r="H125" s="21">
        <f t="shared" ca="1" si="16"/>
        <v>373.81442745652873</v>
      </c>
      <c r="I125" s="21">
        <f t="shared" ca="1" si="11"/>
        <v>378.54059898661706</v>
      </c>
      <c r="J125" s="20">
        <f t="shared" ca="1" si="20"/>
        <v>3</v>
      </c>
      <c r="K125" s="20">
        <f t="shared" ca="1" si="12"/>
        <v>1</v>
      </c>
      <c r="L125" s="44">
        <f t="shared" ca="1" si="17"/>
        <v>2</v>
      </c>
    </row>
    <row r="126" spans="1:12" x14ac:dyDescent="0.25">
      <c r="A126" s="20">
        <v>118</v>
      </c>
      <c r="B126" s="21">
        <f t="shared" ca="1" si="13"/>
        <v>4.142680695227769</v>
      </c>
      <c r="C126" s="21">
        <f t="shared" ca="1" si="18"/>
        <v>371.99542253611622</v>
      </c>
      <c r="D126" s="21">
        <f t="shared" ca="1" si="14"/>
        <v>4.0823347531543703</v>
      </c>
      <c r="E126" s="21">
        <f t="shared" ca="1" si="21"/>
        <v>6.5451764505008327</v>
      </c>
      <c r="F126" s="20" t="str">
        <f t="shared" ca="1" si="19"/>
        <v>No</v>
      </c>
      <c r="G126" s="21">
        <f t="shared" ca="1" si="15"/>
        <v>0</v>
      </c>
      <c r="H126" s="21">
        <f t="shared" ca="1" si="16"/>
        <v>378.54059898661706</v>
      </c>
      <c r="I126" s="21">
        <f t="shared" ca="1" si="11"/>
        <v>382.62293373977144</v>
      </c>
      <c r="J126" s="20">
        <f t="shared" ca="1" si="20"/>
        <v>2</v>
      </c>
      <c r="K126" s="20">
        <f t="shared" ca="1" si="12"/>
        <v>1</v>
      </c>
      <c r="L126" s="44">
        <f t="shared" ca="1" si="17"/>
        <v>1.5</v>
      </c>
    </row>
    <row r="127" spans="1:12" x14ac:dyDescent="0.25">
      <c r="A127" s="20">
        <v>119</v>
      </c>
      <c r="B127" s="21">
        <f t="shared" ca="1" si="13"/>
        <v>10.136072235615931</v>
      </c>
      <c r="C127" s="21">
        <f t="shared" ca="1" si="18"/>
        <v>382.13149477173215</v>
      </c>
      <c r="D127" s="21">
        <f t="shared" ca="1" si="14"/>
        <v>10.979651639555154</v>
      </c>
      <c r="E127" s="21">
        <f t="shared" ca="1" si="21"/>
        <v>0.4914389680392901</v>
      </c>
      <c r="F127" s="20" t="str">
        <f t="shared" ca="1" si="19"/>
        <v>No</v>
      </c>
      <c r="G127" s="21">
        <f t="shared" ca="1" si="15"/>
        <v>0</v>
      </c>
      <c r="H127" s="21">
        <f t="shared" ca="1" si="16"/>
        <v>382.62293373977144</v>
      </c>
      <c r="I127" s="21">
        <f t="shared" ca="1" si="11"/>
        <v>393.60258537932657</v>
      </c>
      <c r="J127" s="20">
        <f t="shared" ca="1" si="20"/>
        <v>2</v>
      </c>
      <c r="K127" s="20">
        <f t="shared" ca="1" si="12"/>
        <v>2</v>
      </c>
      <c r="L127" s="44">
        <f t="shared" ca="1" si="17"/>
        <v>2</v>
      </c>
    </row>
    <row r="128" spans="1:12" x14ac:dyDescent="0.25">
      <c r="A128" s="20">
        <v>120</v>
      </c>
      <c r="B128" s="21">
        <f t="shared" ca="1" si="13"/>
        <v>6.6892452816517016</v>
      </c>
      <c r="C128" s="21">
        <f t="shared" ca="1" si="18"/>
        <v>388.82074005338387</v>
      </c>
      <c r="D128" s="21">
        <f t="shared" ca="1" si="14"/>
        <v>1.4133622534640813</v>
      </c>
      <c r="E128" s="21">
        <f t="shared" ca="1" si="21"/>
        <v>4.7818453259426974</v>
      </c>
      <c r="F128" s="20" t="str">
        <f t="shared" ca="1" si="19"/>
        <v>No</v>
      </c>
      <c r="G128" s="21">
        <f t="shared" ca="1" si="15"/>
        <v>0</v>
      </c>
      <c r="H128" s="21">
        <f t="shared" ca="1" si="16"/>
        <v>393.60258537932657</v>
      </c>
      <c r="I128" s="21">
        <f t="shared" ca="1" si="11"/>
        <v>395.01594763279064</v>
      </c>
      <c r="J128" s="20">
        <f t="shared" ca="1" si="20"/>
        <v>3</v>
      </c>
      <c r="K128" s="20">
        <f t="shared" ca="1" si="12"/>
        <v>2</v>
      </c>
      <c r="L128" s="44">
        <f t="shared" ca="1" si="17"/>
        <v>2.5</v>
      </c>
    </row>
    <row r="129" spans="1:12" x14ac:dyDescent="0.25">
      <c r="A129" s="20">
        <v>121</v>
      </c>
      <c r="B129" s="21">
        <f t="shared" ca="1" si="13"/>
        <v>1.5383276451725201</v>
      </c>
      <c r="C129" s="21">
        <f t="shared" ca="1" si="18"/>
        <v>390.35906769855637</v>
      </c>
      <c r="D129" s="21">
        <f t="shared" ca="1" si="14"/>
        <v>3.5182871548117225</v>
      </c>
      <c r="E129" s="21">
        <f t="shared" ca="1" si="21"/>
        <v>4.6568799342342686</v>
      </c>
      <c r="F129" s="20" t="str">
        <f t="shared" ca="1" si="19"/>
        <v>No</v>
      </c>
      <c r="G129" s="21">
        <f t="shared" ca="1" si="15"/>
        <v>0</v>
      </c>
      <c r="H129" s="21">
        <f t="shared" ca="1" si="16"/>
        <v>395.01594763279064</v>
      </c>
      <c r="I129" s="21">
        <f t="shared" ca="1" si="11"/>
        <v>398.53423478760237</v>
      </c>
      <c r="J129" s="20">
        <f t="shared" ca="1" si="20"/>
        <v>3</v>
      </c>
      <c r="K129" s="20">
        <f t="shared" ca="1" si="12"/>
        <v>4</v>
      </c>
      <c r="L129" s="44">
        <f t="shared" ca="1" si="17"/>
        <v>3.5</v>
      </c>
    </row>
    <row r="130" spans="1:12" x14ac:dyDescent="0.25">
      <c r="A130" s="20">
        <v>122</v>
      </c>
      <c r="B130" s="21">
        <f t="shared" ca="1" si="13"/>
        <v>4.0227960149525321</v>
      </c>
      <c r="C130" s="21">
        <f t="shared" ca="1" si="18"/>
        <v>394.38186371350889</v>
      </c>
      <c r="D130" s="21">
        <f t="shared" ca="1" si="14"/>
        <v>2.9322146799650715</v>
      </c>
      <c r="E130" s="21">
        <f t="shared" ca="1" si="21"/>
        <v>4.1523710740934803</v>
      </c>
      <c r="F130" s="20" t="str">
        <f t="shared" ca="1" si="19"/>
        <v>No</v>
      </c>
      <c r="G130" s="21">
        <f t="shared" ca="1" si="15"/>
        <v>0</v>
      </c>
      <c r="H130" s="21">
        <f t="shared" ca="1" si="16"/>
        <v>398.53423478760237</v>
      </c>
      <c r="I130" s="21">
        <f t="shared" ca="1" si="11"/>
        <v>401.46644946756743</v>
      </c>
      <c r="J130" s="20">
        <f t="shared" ca="1" si="20"/>
        <v>5</v>
      </c>
      <c r="K130" s="20">
        <f t="shared" ca="1" si="12"/>
        <v>4</v>
      </c>
      <c r="L130" s="44">
        <f t="shared" ca="1" si="17"/>
        <v>4.5</v>
      </c>
    </row>
    <row r="131" spans="1:12" x14ac:dyDescent="0.25">
      <c r="A131" s="20">
        <v>123</v>
      </c>
      <c r="B131" s="21">
        <f t="shared" ca="1" si="13"/>
        <v>2.9096044965998478</v>
      </c>
      <c r="C131" s="21">
        <f t="shared" ca="1" si="18"/>
        <v>397.29146821010875</v>
      </c>
      <c r="D131" s="21">
        <f t="shared" ca="1" si="14"/>
        <v>0.65553113015992892</v>
      </c>
      <c r="E131" s="21">
        <f t="shared" ca="1" si="21"/>
        <v>4.1749812574586826</v>
      </c>
      <c r="F131" s="20" t="str">
        <f t="shared" ca="1" si="19"/>
        <v>No</v>
      </c>
      <c r="G131" s="21">
        <f t="shared" ca="1" si="15"/>
        <v>0</v>
      </c>
      <c r="H131" s="21">
        <f t="shared" ca="1" si="16"/>
        <v>401.46644946756743</v>
      </c>
      <c r="I131" s="21">
        <f t="shared" ca="1" si="11"/>
        <v>402.12198059772737</v>
      </c>
      <c r="J131" s="20">
        <f t="shared" ca="1" si="20"/>
        <v>5</v>
      </c>
      <c r="K131" s="20">
        <f t="shared" ca="1" si="12"/>
        <v>3</v>
      </c>
      <c r="L131" s="44">
        <f t="shared" ca="1" si="17"/>
        <v>4</v>
      </c>
    </row>
    <row r="132" spans="1:12" x14ac:dyDescent="0.25">
      <c r="A132" s="20">
        <v>124</v>
      </c>
      <c r="B132" s="21">
        <f t="shared" ca="1" si="13"/>
        <v>0.95681442611378165</v>
      </c>
      <c r="C132" s="21">
        <f t="shared" ca="1" si="18"/>
        <v>398.24828263622254</v>
      </c>
      <c r="D132" s="21">
        <f t="shared" ca="1" si="14"/>
        <v>8.1107135892160755</v>
      </c>
      <c r="E132" s="21">
        <f t="shared" ca="1" si="21"/>
        <v>3.8736979615048313</v>
      </c>
      <c r="F132" s="20" t="str">
        <f t="shared" ca="1" si="19"/>
        <v>No</v>
      </c>
      <c r="G132" s="21">
        <f t="shared" ca="1" si="15"/>
        <v>0</v>
      </c>
      <c r="H132" s="21">
        <f t="shared" ca="1" si="16"/>
        <v>402.12198059772737</v>
      </c>
      <c r="I132" s="21">
        <f t="shared" ca="1" si="11"/>
        <v>410.23269418694343</v>
      </c>
      <c r="J132" s="20">
        <f t="shared" ca="1" si="20"/>
        <v>4</v>
      </c>
      <c r="K132" s="20">
        <f t="shared" ca="1" si="12"/>
        <v>5</v>
      </c>
      <c r="L132" s="44">
        <f t="shared" ca="1" si="17"/>
        <v>4.5</v>
      </c>
    </row>
    <row r="133" spans="1:12" x14ac:dyDescent="0.25">
      <c r="A133" s="20">
        <v>125</v>
      </c>
      <c r="B133" s="21">
        <f t="shared" ca="1" si="13"/>
        <v>0.15788681344996505</v>
      </c>
      <c r="C133" s="21">
        <f t="shared" ca="1" si="18"/>
        <v>398.40616944967252</v>
      </c>
      <c r="D133" s="21">
        <f t="shared" ca="1" si="14"/>
        <v>1.4232166157420256</v>
      </c>
      <c r="E133" s="21">
        <f t="shared" ca="1" si="21"/>
        <v>11.826524737270915</v>
      </c>
      <c r="F133" s="20" t="str">
        <f t="shared" ca="1" si="19"/>
        <v>No</v>
      </c>
      <c r="G133" s="21">
        <f t="shared" ca="1" si="15"/>
        <v>0</v>
      </c>
      <c r="H133" s="21">
        <f t="shared" ca="1" si="16"/>
        <v>410.23269418694343</v>
      </c>
      <c r="I133" s="21">
        <f t="shared" ca="1" si="11"/>
        <v>411.65591080268547</v>
      </c>
      <c r="J133" s="20">
        <f t="shared" ca="1" si="20"/>
        <v>6</v>
      </c>
      <c r="K133" s="20">
        <f t="shared" ca="1" si="12"/>
        <v>5</v>
      </c>
      <c r="L133" s="44">
        <f t="shared" ca="1" si="17"/>
        <v>5.5</v>
      </c>
    </row>
    <row r="134" spans="1:12" x14ac:dyDescent="0.25">
      <c r="A134" s="20">
        <v>126</v>
      </c>
      <c r="B134" s="21">
        <f t="shared" ca="1" si="13"/>
        <v>2.169892938949662</v>
      </c>
      <c r="C134" s="21">
        <f t="shared" ca="1" si="18"/>
        <v>400.57606238862218</v>
      </c>
      <c r="D134" s="21">
        <f t="shared" ca="1" si="14"/>
        <v>9.2310862609047977</v>
      </c>
      <c r="E134" s="21">
        <f t="shared" ca="1" si="21"/>
        <v>11.079848414063292</v>
      </c>
      <c r="F134" s="20" t="str">
        <f t="shared" ca="1" si="19"/>
        <v>No</v>
      </c>
      <c r="G134" s="21">
        <f t="shared" ca="1" si="15"/>
        <v>0</v>
      </c>
      <c r="H134" s="21">
        <f t="shared" ca="1" si="16"/>
        <v>411.65591080268547</v>
      </c>
      <c r="I134" s="21">
        <f t="shared" ca="1" si="11"/>
        <v>420.88699706359029</v>
      </c>
      <c r="J134" s="20">
        <f t="shared" ca="1" si="20"/>
        <v>6</v>
      </c>
      <c r="K134" s="20">
        <f t="shared" ca="1" si="12"/>
        <v>5</v>
      </c>
      <c r="L134" s="44">
        <f t="shared" ca="1" si="17"/>
        <v>5.5</v>
      </c>
    </row>
    <row r="135" spans="1:12" x14ac:dyDescent="0.25">
      <c r="A135" s="20">
        <v>127</v>
      </c>
      <c r="B135" s="21">
        <f t="shared" ca="1" si="13"/>
        <v>4.4155026634697201</v>
      </c>
      <c r="C135" s="21">
        <f t="shared" ca="1" si="18"/>
        <v>404.99156505209191</v>
      </c>
      <c r="D135" s="21">
        <f t="shared" ca="1" si="14"/>
        <v>2.2501802247299643</v>
      </c>
      <c r="E135" s="21">
        <f t="shared" ca="1" si="21"/>
        <v>15.895432011498372</v>
      </c>
      <c r="F135" s="20" t="str">
        <f t="shared" ca="1" si="19"/>
        <v>No</v>
      </c>
      <c r="G135" s="21">
        <f t="shared" ca="1" si="15"/>
        <v>0</v>
      </c>
      <c r="H135" s="21">
        <f t="shared" ca="1" si="16"/>
        <v>420.88699706359029</v>
      </c>
      <c r="I135" s="21">
        <f t="shared" ca="1" si="11"/>
        <v>423.13717728832023</v>
      </c>
      <c r="J135" s="20">
        <f t="shared" ca="1" si="20"/>
        <v>6</v>
      </c>
      <c r="K135" s="20">
        <f t="shared" ca="1" si="12"/>
        <v>5</v>
      </c>
      <c r="L135" s="44">
        <f t="shared" ca="1" si="17"/>
        <v>5.5</v>
      </c>
    </row>
    <row r="136" spans="1:12" x14ac:dyDescent="0.25">
      <c r="A136" s="20">
        <v>128</v>
      </c>
      <c r="B136" s="21">
        <f t="shared" ca="1" si="13"/>
        <v>3.1921027242068782</v>
      </c>
      <c r="C136" s="21">
        <f t="shared" ca="1" si="18"/>
        <v>408.18366777629882</v>
      </c>
      <c r="D136" s="21">
        <f t="shared" ca="1" si="14"/>
        <v>5.8903913519132383</v>
      </c>
      <c r="E136" s="21">
        <f t="shared" ca="1" si="21"/>
        <v>14.953509512021412</v>
      </c>
      <c r="F136" s="20" t="str">
        <f t="shared" ca="1" si="19"/>
        <v>No</v>
      </c>
      <c r="G136" s="21">
        <f t="shared" ca="1" si="15"/>
        <v>0</v>
      </c>
      <c r="H136" s="21">
        <f t="shared" ca="1" si="16"/>
        <v>423.13717728832023</v>
      </c>
      <c r="I136" s="21">
        <f t="shared" ca="1" si="11"/>
        <v>429.02756864023348</v>
      </c>
      <c r="J136" s="20">
        <f t="shared" ca="1" si="20"/>
        <v>6</v>
      </c>
      <c r="K136" s="20">
        <f t="shared" ca="1" si="12"/>
        <v>5</v>
      </c>
      <c r="L136" s="44">
        <f t="shared" ca="1" si="17"/>
        <v>5.5</v>
      </c>
    </row>
    <row r="137" spans="1:12" x14ac:dyDescent="0.25">
      <c r="A137" s="20">
        <v>129</v>
      </c>
      <c r="B137" s="21">
        <f t="shared" ca="1" si="13"/>
        <v>0.59987363790879689</v>
      </c>
      <c r="C137" s="21">
        <f t="shared" ca="1" si="18"/>
        <v>408.7835414142076</v>
      </c>
      <c r="D137" s="21">
        <f t="shared" ca="1" si="14"/>
        <v>6.0359715637912066</v>
      </c>
      <c r="E137" s="21">
        <f t="shared" ca="1" si="21"/>
        <v>20.244027226025878</v>
      </c>
      <c r="F137" s="20" t="str">
        <f t="shared" ca="1" si="19"/>
        <v>No</v>
      </c>
      <c r="G137" s="21">
        <f t="shared" ca="1" si="15"/>
        <v>0</v>
      </c>
      <c r="H137" s="21">
        <f t="shared" ca="1" si="16"/>
        <v>429.02756864023348</v>
      </c>
      <c r="I137" s="21">
        <f t="shared" ref="I137:I200" ca="1" si="22">$H137+$D137</f>
        <v>435.06354020402466</v>
      </c>
      <c r="J137" s="20">
        <f t="shared" ca="1" si="20"/>
        <v>6</v>
      </c>
      <c r="K137" s="20">
        <f t="shared" ref="K137:K200" ca="1" si="23">IF($I137&lt;=$C138,0,IF($I137&lt;=$C139,1,IF($I137&lt;=$C140,2,IF($I137&lt;=$C141,3,IF($I137&lt;=$C142,4,5)))))</f>
        <v>5</v>
      </c>
      <c r="L137" s="44">
        <f t="shared" ca="1" si="17"/>
        <v>5.5</v>
      </c>
    </row>
    <row r="138" spans="1:12" x14ac:dyDescent="0.25">
      <c r="A138" s="20">
        <v>130</v>
      </c>
      <c r="B138" s="21">
        <f t="shared" ref="B138:B201" ca="1" si="24">-LN(RAND())/$D$4</f>
        <v>2.0736957506576279</v>
      </c>
      <c r="C138" s="21">
        <f t="shared" ca="1" si="18"/>
        <v>410.85723716486524</v>
      </c>
      <c r="D138" s="21">
        <f t="shared" ref="D138:D201" ca="1" si="25">-LN(RAND())/$D$6</f>
        <v>6.0077371557423582</v>
      </c>
      <c r="E138" s="21">
        <f t="shared" ca="1" si="21"/>
        <v>24.206303039159422</v>
      </c>
      <c r="F138" s="20" t="str">
        <f t="shared" ca="1" si="19"/>
        <v>No</v>
      </c>
      <c r="G138" s="21">
        <f t="shared" ref="G138:G201" ca="1" si="26">IF($I137&lt;=$C138,$C138-$I137,0)</f>
        <v>0</v>
      </c>
      <c r="H138" s="21">
        <f t="shared" ref="H138:H201" ca="1" si="27">IF($I137&lt;=$C138,$C138,$I137)</f>
        <v>435.06354020402466</v>
      </c>
      <c r="I138" s="21">
        <f t="shared" ca="1" si="22"/>
        <v>441.07127735976701</v>
      </c>
      <c r="J138" s="20">
        <f t="shared" ca="1" si="20"/>
        <v>6</v>
      </c>
      <c r="K138" s="20">
        <f t="shared" ca="1" si="23"/>
        <v>5</v>
      </c>
      <c r="L138" s="44">
        <f t="shared" ref="L138:L201" ca="1" si="28">(J138+K138)/2</f>
        <v>5.5</v>
      </c>
    </row>
    <row r="139" spans="1:12" x14ac:dyDescent="0.25">
      <c r="A139" s="20">
        <v>131</v>
      </c>
      <c r="B139" s="21">
        <f t="shared" ca="1" si="24"/>
        <v>5.7004573307721067</v>
      </c>
      <c r="C139" s="21">
        <f t="shared" ref="C139:C202" ca="1" si="29">$C138+$B139</f>
        <v>416.55769449563735</v>
      </c>
      <c r="D139" s="21">
        <f t="shared" ca="1" si="25"/>
        <v>0.20779467500332022</v>
      </c>
      <c r="E139" s="21">
        <f t="shared" ca="1" si="21"/>
        <v>24.51358286412966</v>
      </c>
      <c r="F139" s="20" t="str">
        <f t="shared" ref="F139:F202" ca="1" si="30">IF(E139=0,"Yes","No")</f>
        <v>No</v>
      </c>
      <c r="G139" s="21">
        <f t="shared" ca="1" si="26"/>
        <v>0</v>
      </c>
      <c r="H139" s="21">
        <f t="shared" ca="1" si="27"/>
        <v>441.07127735976701</v>
      </c>
      <c r="I139" s="21">
        <f t="shared" ca="1" si="22"/>
        <v>441.27907203477031</v>
      </c>
      <c r="J139" s="20">
        <f t="shared" ref="J139:J202" ca="1" si="31">IF($I138&lt;=$C139,0,$K138+1)</f>
        <v>6</v>
      </c>
      <c r="K139" s="20">
        <f t="shared" ca="1" si="23"/>
        <v>5</v>
      </c>
      <c r="L139" s="44">
        <f t="shared" ca="1" si="28"/>
        <v>5.5</v>
      </c>
    </row>
    <row r="140" spans="1:12" x14ac:dyDescent="0.25">
      <c r="A140" s="20">
        <v>132</v>
      </c>
      <c r="B140" s="21">
        <f t="shared" ca="1" si="24"/>
        <v>3.4867819426758597</v>
      </c>
      <c r="C140" s="21">
        <f t="shared" ca="1" si="29"/>
        <v>420.04447643831321</v>
      </c>
      <c r="D140" s="21">
        <f t="shared" ca="1" si="25"/>
        <v>3.7219037221357075E-2</v>
      </c>
      <c r="E140" s="21">
        <f t="shared" ref="E140:E203" ca="1" si="32">IF($I139&lt;=$C140,0,$I139-$C140)</f>
        <v>21.234595596457098</v>
      </c>
      <c r="F140" s="20" t="str">
        <f t="shared" ca="1" si="30"/>
        <v>No</v>
      </c>
      <c r="G140" s="21">
        <f t="shared" ca="1" si="26"/>
        <v>0</v>
      </c>
      <c r="H140" s="21">
        <f t="shared" ca="1" si="27"/>
        <v>441.27907203477031</v>
      </c>
      <c r="I140" s="21">
        <f t="shared" ca="1" si="22"/>
        <v>441.31629107199166</v>
      </c>
      <c r="J140" s="20">
        <f t="shared" ca="1" si="31"/>
        <v>6</v>
      </c>
      <c r="K140" s="20">
        <f t="shared" ca="1" si="23"/>
        <v>4</v>
      </c>
      <c r="L140" s="44">
        <f t="shared" ca="1" si="28"/>
        <v>5</v>
      </c>
    </row>
    <row r="141" spans="1:12" x14ac:dyDescent="0.25">
      <c r="A141" s="20">
        <v>133</v>
      </c>
      <c r="B141" s="21">
        <f t="shared" ca="1" si="24"/>
        <v>4.4207988349404825</v>
      </c>
      <c r="C141" s="21">
        <f t="shared" ca="1" si="29"/>
        <v>424.46527527325367</v>
      </c>
      <c r="D141" s="21">
        <f t="shared" ca="1" si="25"/>
        <v>4.6621564026832045</v>
      </c>
      <c r="E141" s="21">
        <f t="shared" ca="1" si="32"/>
        <v>16.85101579873799</v>
      </c>
      <c r="F141" s="20" t="str">
        <f t="shared" ca="1" si="30"/>
        <v>No</v>
      </c>
      <c r="G141" s="21">
        <f t="shared" ca="1" si="26"/>
        <v>0</v>
      </c>
      <c r="H141" s="21">
        <f t="shared" ca="1" si="27"/>
        <v>441.31629107199166</v>
      </c>
      <c r="I141" s="21">
        <f t="shared" ca="1" si="22"/>
        <v>445.97844747467485</v>
      </c>
      <c r="J141" s="20">
        <f t="shared" ca="1" si="31"/>
        <v>5</v>
      </c>
      <c r="K141" s="20">
        <f t="shared" ca="1" si="23"/>
        <v>4</v>
      </c>
      <c r="L141" s="44">
        <f t="shared" ca="1" si="28"/>
        <v>4.5</v>
      </c>
    </row>
    <row r="142" spans="1:12" x14ac:dyDescent="0.25">
      <c r="A142" s="20">
        <v>134</v>
      </c>
      <c r="B142" s="21">
        <f t="shared" ca="1" si="24"/>
        <v>0.99371680331901557</v>
      </c>
      <c r="C142" s="21">
        <f t="shared" ca="1" si="29"/>
        <v>425.45899207657266</v>
      </c>
      <c r="D142" s="21">
        <f t="shared" ca="1" si="25"/>
        <v>9.7888916478248753E-2</v>
      </c>
      <c r="E142" s="21">
        <f t="shared" ca="1" si="32"/>
        <v>20.519455398102195</v>
      </c>
      <c r="F142" s="20" t="str">
        <f t="shared" ca="1" si="30"/>
        <v>No</v>
      </c>
      <c r="G142" s="21">
        <f t="shared" ca="1" si="26"/>
        <v>0</v>
      </c>
      <c r="H142" s="21">
        <f t="shared" ca="1" si="27"/>
        <v>445.97844747467485</v>
      </c>
      <c r="I142" s="21">
        <f t="shared" ca="1" si="22"/>
        <v>446.07633639115312</v>
      </c>
      <c r="J142" s="20">
        <f t="shared" ca="1" si="31"/>
        <v>5</v>
      </c>
      <c r="K142" s="20">
        <f t="shared" ca="1" si="23"/>
        <v>3</v>
      </c>
      <c r="L142" s="44">
        <f t="shared" ca="1" si="28"/>
        <v>4</v>
      </c>
    </row>
    <row r="143" spans="1:12" x14ac:dyDescent="0.25">
      <c r="A143" s="20">
        <v>135</v>
      </c>
      <c r="B143" s="21">
        <f t="shared" ca="1" si="24"/>
        <v>2.5003653010601092</v>
      </c>
      <c r="C143" s="21">
        <f t="shared" ca="1" si="29"/>
        <v>427.95935737763278</v>
      </c>
      <c r="D143" s="21">
        <f t="shared" ca="1" si="25"/>
        <v>8.9433727286861817</v>
      </c>
      <c r="E143" s="21">
        <f t="shared" ca="1" si="32"/>
        <v>18.116979013520336</v>
      </c>
      <c r="F143" s="20" t="str">
        <f t="shared" ca="1" si="30"/>
        <v>No</v>
      </c>
      <c r="G143" s="21">
        <f t="shared" ca="1" si="26"/>
        <v>0</v>
      </c>
      <c r="H143" s="21">
        <f t="shared" ca="1" si="27"/>
        <v>446.07633639115312</v>
      </c>
      <c r="I143" s="21">
        <f t="shared" ca="1" si="22"/>
        <v>455.01970911983932</v>
      </c>
      <c r="J143" s="20">
        <f t="shared" ca="1" si="31"/>
        <v>4</v>
      </c>
      <c r="K143" s="20">
        <f t="shared" ca="1" si="23"/>
        <v>5</v>
      </c>
      <c r="L143" s="44">
        <f t="shared" ca="1" si="28"/>
        <v>4.5</v>
      </c>
    </row>
    <row r="144" spans="1:12" x14ac:dyDescent="0.25">
      <c r="A144" s="20">
        <v>136</v>
      </c>
      <c r="B144" s="21">
        <f t="shared" ca="1" si="24"/>
        <v>11.484779138400285</v>
      </c>
      <c r="C144" s="21">
        <f t="shared" ca="1" si="29"/>
        <v>439.44413651603304</v>
      </c>
      <c r="D144" s="21">
        <f t="shared" ca="1" si="25"/>
        <v>1.3857582507254274</v>
      </c>
      <c r="E144" s="21">
        <f t="shared" ca="1" si="32"/>
        <v>15.575572603806279</v>
      </c>
      <c r="F144" s="20" t="str">
        <f t="shared" ca="1" si="30"/>
        <v>No</v>
      </c>
      <c r="G144" s="21">
        <f t="shared" ca="1" si="26"/>
        <v>0</v>
      </c>
      <c r="H144" s="21">
        <f t="shared" ca="1" si="27"/>
        <v>455.01970911983932</v>
      </c>
      <c r="I144" s="21">
        <f t="shared" ca="1" si="22"/>
        <v>456.40546737056474</v>
      </c>
      <c r="J144" s="20">
        <f t="shared" ca="1" si="31"/>
        <v>6</v>
      </c>
      <c r="K144" s="20">
        <f t="shared" ca="1" si="23"/>
        <v>5</v>
      </c>
      <c r="L144" s="44">
        <f t="shared" ca="1" si="28"/>
        <v>5.5</v>
      </c>
    </row>
    <row r="145" spans="1:12" x14ac:dyDescent="0.25">
      <c r="A145" s="20">
        <v>137</v>
      </c>
      <c r="B145" s="21">
        <f t="shared" ca="1" si="24"/>
        <v>2.3805037101614235</v>
      </c>
      <c r="C145" s="21">
        <f t="shared" ca="1" si="29"/>
        <v>441.82464022619445</v>
      </c>
      <c r="D145" s="21">
        <f t="shared" ca="1" si="25"/>
        <v>3.1983900179370561</v>
      </c>
      <c r="E145" s="21">
        <f t="shared" ca="1" si="32"/>
        <v>14.580827144370289</v>
      </c>
      <c r="F145" s="20" t="str">
        <f t="shared" ca="1" si="30"/>
        <v>No</v>
      </c>
      <c r="G145" s="21">
        <f t="shared" ca="1" si="26"/>
        <v>0</v>
      </c>
      <c r="H145" s="21">
        <f t="shared" ca="1" si="27"/>
        <v>456.40546737056474</v>
      </c>
      <c r="I145" s="21">
        <f t="shared" ca="1" si="22"/>
        <v>459.60385738850181</v>
      </c>
      <c r="J145" s="20">
        <f t="shared" ca="1" si="31"/>
        <v>6</v>
      </c>
      <c r="K145" s="20">
        <f t="shared" ca="1" si="23"/>
        <v>5</v>
      </c>
      <c r="L145" s="44">
        <f t="shared" ca="1" si="28"/>
        <v>5.5</v>
      </c>
    </row>
    <row r="146" spans="1:12" x14ac:dyDescent="0.25">
      <c r="A146" s="20">
        <v>138</v>
      </c>
      <c r="B146" s="21">
        <f t="shared" ca="1" si="24"/>
        <v>6.1069691790028262</v>
      </c>
      <c r="C146" s="21">
        <f t="shared" ca="1" si="29"/>
        <v>447.93160940519726</v>
      </c>
      <c r="D146" s="21">
        <f t="shared" ca="1" si="25"/>
        <v>3.7506690226532613</v>
      </c>
      <c r="E146" s="21">
        <f t="shared" ca="1" si="32"/>
        <v>11.672247983304544</v>
      </c>
      <c r="F146" s="20" t="str">
        <f t="shared" ca="1" si="30"/>
        <v>No</v>
      </c>
      <c r="G146" s="21">
        <f t="shared" ca="1" si="26"/>
        <v>0</v>
      </c>
      <c r="H146" s="21">
        <f t="shared" ca="1" si="27"/>
        <v>459.60385738850181</v>
      </c>
      <c r="I146" s="21">
        <f t="shared" ca="1" si="22"/>
        <v>463.35452641115506</v>
      </c>
      <c r="J146" s="20">
        <f t="shared" ca="1" si="31"/>
        <v>6</v>
      </c>
      <c r="K146" s="20">
        <f t="shared" ca="1" si="23"/>
        <v>5</v>
      </c>
      <c r="L146" s="44">
        <f t="shared" ca="1" si="28"/>
        <v>5.5</v>
      </c>
    </row>
    <row r="147" spans="1:12" x14ac:dyDescent="0.25">
      <c r="A147" s="20">
        <v>139</v>
      </c>
      <c r="B147" s="21">
        <f t="shared" ca="1" si="24"/>
        <v>1.6260726201236699</v>
      </c>
      <c r="C147" s="21">
        <f t="shared" ca="1" si="29"/>
        <v>449.55768202532096</v>
      </c>
      <c r="D147" s="21">
        <f t="shared" ca="1" si="25"/>
        <v>4.0195007010137438</v>
      </c>
      <c r="E147" s="21">
        <f t="shared" ca="1" si="32"/>
        <v>13.796844385834106</v>
      </c>
      <c r="F147" s="20" t="str">
        <f t="shared" ca="1" si="30"/>
        <v>No</v>
      </c>
      <c r="G147" s="21">
        <f t="shared" ca="1" si="26"/>
        <v>0</v>
      </c>
      <c r="H147" s="21">
        <f t="shared" ca="1" si="27"/>
        <v>463.35452641115506</v>
      </c>
      <c r="I147" s="21">
        <f t="shared" ca="1" si="22"/>
        <v>467.37402711216879</v>
      </c>
      <c r="J147" s="20">
        <f t="shared" ca="1" si="31"/>
        <v>6</v>
      </c>
      <c r="K147" s="20">
        <f t="shared" ca="1" si="23"/>
        <v>5</v>
      </c>
      <c r="L147" s="44">
        <f t="shared" ca="1" si="28"/>
        <v>5.5</v>
      </c>
    </row>
    <row r="148" spans="1:12" x14ac:dyDescent="0.25">
      <c r="A148" s="20">
        <v>140</v>
      </c>
      <c r="B148" s="21">
        <f t="shared" ca="1" si="24"/>
        <v>1.4922620883006856</v>
      </c>
      <c r="C148" s="21">
        <f t="shared" ca="1" si="29"/>
        <v>451.04994411362162</v>
      </c>
      <c r="D148" s="21">
        <f t="shared" ca="1" si="25"/>
        <v>0.3847247405824239</v>
      </c>
      <c r="E148" s="21">
        <f t="shared" ca="1" si="32"/>
        <v>16.324082998547169</v>
      </c>
      <c r="F148" s="20" t="str">
        <f t="shared" ca="1" si="30"/>
        <v>No</v>
      </c>
      <c r="G148" s="21">
        <f t="shared" ca="1" si="26"/>
        <v>0</v>
      </c>
      <c r="H148" s="21">
        <f t="shared" ca="1" si="27"/>
        <v>467.37402711216879</v>
      </c>
      <c r="I148" s="21">
        <f t="shared" ca="1" si="22"/>
        <v>467.75875185275123</v>
      </c>
      <c r="J148" s="20">
        <f t="shared" ca="1" si="31"/>
        <v>6</v>
      </c>
      <c r="K148" s="20">
        <f t="shared" ca="1" si="23"/>
        <v>5</v>
      </c>
      <c r="L148" s="44">
        <f t="shared" ca="1" si="28"/>
        <v>5.5</v>
      </c>
    </row>
    <row r="149" spans="1:12" x14ac:dyDescent="0.25">
      <c r="A149" s="20">
        <v>141</v>
      </c>
      <c r="B149" s="21">
        <f t="shared" ca="1" si="24"/>
        <v>0.21554190311064139</v>
      </c>
      <c r="C149" s="21">
        <f t="shared" ca="1" si="29"/>
        <v>451.26548601673227</v>
      </c>
      <c r="D149" s="21">
        <f t="shared" ca="1" si="25"/>
        <v>5.1784945026934057</v>
      </c>
      <c r="E149" s="21">
        <f t="shared" ca="1" si="32"/>
        <v>16.493265836018963</v>
      </c>
      <c r="F149" s="20" t="str">
        <f t="shared" ca="1" si="30"/>
        <v>No</v>
      </c>
      <c r="G149" s="21">
        <f t="shared" ca="1" si="26"/>
        <v>0</v>
      </c>
      <c r="H149" s="21">
        <f t="shared" ca="1" si="27"/>
        <v>467.75875185275123</v>
      </c>
      <c r="I149" s="21">
        <f t="shared" ca="1" si="22"/>
        <v>472.93724635544464</v>
      </c>
      <c r="J149" s="20">
        <f t="shared" ca="1" si="31"/>
        <v>6</v>
      </c>
      <c r="K149" s="20">
        <f t="shared" ca="1" si="23"/>
        <v>5</v>
      </c>
      <c r="L149" s="44">
        <f t="shared" ca="1" si="28"/>
        <v>5.5</v>
      </c>
    </row>
    <row r="150" spans="1:12" x14ac:dyDescent="0.25">
      <c r="A150" s="20">
        <v>142</v>
      </c>
      <c r="B150" s="21">
        <f t="shared" ca="1" si="24"/>
        <v>0.25168834080832508</v>
      </c>
      <c r="C150" s="21">
        <f t="shared" ca="1" si="29"/>
        <v>451.51717435754057</v>
      </c>
      <c r="D150" s="21">
        <f t="shared" ca="1" si="25"/>
        <v>2.8769095081441729</v>
      </c>
      <c r="E150" s="21">
        <f t="shared" ca="1" si="32"/>
        <v>21.420071997904074</v>
      </c>
      <c r="F150" s="20" t="str">
        <f t="shared" ca="1" si="30"/>
        <v>No</v>
      </c>
      <c r="G150" s="21">
        <f t="shared" ca="1" si="26"/>
        <v>0</v>
      </c>
      <c r="H150" s="21">
        <f t="shared" ca="1" si="27"/>
        <v>472.93724635544464</v>
      </c>
      <c r="I150" s="21">
        <f t="shared" ca="1" si="22"/>
        <v>475.81415586358884</v>
      </c>
      <c r="J150" s="20">
        <f t="shared" ca="1" si="31"/>
        <v>6</v>
      </c>
      <c r="K150" s="20">
        <f t="shared" ca="1" si="23"/>
        <v>5</v>
      </c>
      <c r="L150" s="44">
        <f t="shared" ca="1" si="28"/>
        <v>5.5</v>
      </c>
    </row>
    <row r="151" spans="1:12" x14ac:dyDescent="0.25">
      <c r="A151" s="20">
        <v>143</v>
      </c>
      <c r="B151" s="21">
        <f t="shared" ca="1" si="24"/>
        <v>5.0741582235371174</v>
      </c>
      <c r="C151" s="21">
        <f t="shared" ca="1" si="29"/>
        <v>456.59133258107767</v>
      </c>
      <c r="D151" s="21">
        <f t="shared" ca="1" si="25"/>
        <v>0.67976781650192164</v>
      </c>
      <c r="E151" s="21">
        <f t="shared" ca="1" si="32"/>
        <v>19.222823282511172</v>
      </c>
      <c r="F151" s="20" t="str">
        <f t="shared" ca="1" si="30"/>
        <v>No</v>
      </c>
      <c r="G151" s="21">
        <f t="shared" ca="1" si="26"/>
        <v>0</v>
      </c>
      <c r="H151" s="21">
        <f t="shared" ca="1" si="27"/>
        <v>475.81415586358884</v>
      </c>
      <c r="I151" s="21">
        <f t="shared" ca="1" si="22"/>
        <v>476.49392368009075</v>
      </c>
      <c r="J151" s="20">
        <f t="shared" ca="1" si="31"/>
        <v>6</v>
      </c>
      <c r="K151" s="20">
        <f t="shared" ca="1" si="23"/>
        <v>5</v>
      </c>
      <c r="L151" s="44">
        <f t="shared" ca="1" si="28"/>
        <v>5.5</v>
      </c>
    </row>
    <row r="152" spans="1:12" x14ac:dyDescent="0.25">
      <c r="A152" s="20">
        <v>144</v>
      </c>
      <c r="B152" s="21">
        <f t="shared" ca="1" si="24"/>
        <v>2.7110798051062628</v>
      </c>
      <c r="C152" s="21">
        <f t="shared" ca="1" si="29"/>
        <v>459.3024123861839</v>
      </c>
      <c r="D152" s="21">
        <f t="shared" ca="1" si="25"/>
        <v>1.314075522043844</v>
      </c>
      <c r="E152" s="21">
        <f t="shared" ca="1" si="32"/>
        <v>17.191511293906842</v>
      </c>
      <c r="F152" s="20" t="str">
        <f t="shared" ca="1" si="30"/>
        <v>No</v>
      </c>
      <c r="G152" s="21">
        <f t="shared" ca="1" si="26"/>
        <v>0</v>
      </c>
      <c r="H152" s="21">
        <f t="shared" ca="1" si="27"/>
        <v>476.49392368009075</v>
      </c>
      <c r="I152" s="21">
        <f t="shared" ca="1" si="22"/>
        <v>477.80799920213457</v>
      </c>
      <c r="J152" s="20">
        <f t="shared" ca="1" si="31"/>
        <v>6</v>
      </c>
      <c r="K152" s="20">
        <f t="shared" ca="1" si="23"/>
        <v>5</v>
      </c>
      <c r="L152" s="44">
        <f t="shared" ca="1" si="28"/>
        <v>5.5</v>
      </c>
    </row>
    <row r="153" spans="1:12" x14ac:dyDescent="0.25">
      <c r="A153" s="20">
        <v>145</v>
      </c>
      <c r="B153" s="21">
        <f t="shared" ca="1" si="24"/>
        <v>2.9646003537025067</v>
      </c>
      <c r="C153" s="21">
        <f t="shared" ca="1" si="29"/>
        <v>462.26701273988641</v>
      </c>
      <c r="D153" s="21">
        <f t="shared" ca="1" si="25"/>
        <v>2.0177926742519015</v>
      </c>
      <c r="E153" s="21">
        <f t="shared" ca="1" si="32"/>
        <v>15.540986462248156</v>
      </c>
      <c r="F153" s="20" t="str">
        <f t="shared" ca="1" si="30"/>
        <v>No</v>
      </c>
      <c r="G153" s="21">
        <f t="shared" ca="1" si="26"/>
        <v>0</v>
      </c>
      <c r="H153" s="21">
        <f t="shared" ca="1" si="27"/>
        <v>477.80799920213457</v>
      </c>
      <c r="I153" s="21">
        <f t="shared" ca="1" si="22"/>
        <v>479.82579187638646</v>
      </c>
      <c r="J153" s="20">
        <f t="shared" ca="1" si="31"/>
        <v>6</v>
      </c>
      <c r="K153" s="20">
        <f t="shared" ca="1" si="23"/>
        <v>5</v>
      </c>
      <c r="L153" s="44">
        <f t="shared" ca="1" si="28"/>
        <v>5.5</v>
      </c>
    </row>
    <row r="154" spans="1:12" x14ac:dyDescent="0.25">
      <c r="A154" s="20">
        <v>146</v>
      </c>
      <c r="B154" s="21">
        <f t="shared" ca="1" si="24"/>
        <v>5.1782418407349713</v>
      </c>
      <c r="C154" s="21">
        <f t="shared" ca="1" si="29"/>
        <v>467.44525458062139</v>
      </c>
      <c r="D154" s="21">
        <f t="shared" ca="1" si="25"/>
        <v>1.9488821322257448</v>
      </c>
      <c r="E154" s="21">
        <f t="shared" ca="1" si="32"/>
        <v>12.380537295765066</v>
      </c>
      <c r="F154" s="20" t="str">
        <f t="shared" ca="1" si="30"/>
        <v>No</v>
      </c>
      <c r="G154" s="21">
        <f t="shared" ca="1" si="26"/>
        <v>0</v>
      </c>
      <c r="H154" s="21">
        <f t="shared" ca="1" si="27"/>
        <v>479.82579187638646</v>
      </c>
      <c r="I154" s="21">
        <f t="shared" ca="1" si="22"/>
        <v>481.77467400861218</v>
      </c>
      <c r="J154" s="20">
        <f t="shared" ca="1" si="31"/>
        <v>6</v>
      </c>
      <c r="K154" s="20">
        <f t="shared" ca="1" si="23"/>
        <v>5</v>
      </c>
      <c r="L154" s="44">
        <f t="shared" ca="1" si="28"/>
        <v>5.5</v>
      </c>
    </row>
    <row r="155" spans="1:12" x14ac:dyDescent="0.25">
      <c r="A155" s="20">
        <v>147</v>
      </c>
      <c r="B155" s="21">
        <f t="shared" ca="1" si="24"/>
        <v>2.2776843753373299</v>
      </c>
      <c r="C155" s="21">
        <f t="shared" ca="1" si="29"/>
        <v>469.72293895595874</v>
      </c>
      <c r="D155" s="21">
        <f t="shared" ca="1" si="25"/>
        <v>0.29003652863376528</v>
      </c>
      <c r="E155" s="21">
        <f t="shared" ca="1" si="32"/>
        <v>12.051735052653441</v>
      </c>
      <c r="F155" s="20" t="str">
        <f t="shared" ca="1" si="30"/>
        <v>No</v>
      </c>
      <c r="G155" s="21">
        <f t="shared" ca="1" si="26"/>
        <v>0</v>
      </c>
      <c r="H155" s="21">
        <f t="shared" ca="1" si="27"/>
        <v>481.77467400861218</v>
      </c>
      <c r="I155" s="21">
        <f t="shared" ca="1" si="22"/>
        <v>482.06471053724596</v>
      </c>
      <c r="J155" s="20">
        <f t="shared" ca="1" si="31"/>
        <v>6</v>
      </c>
      <c r="K155" s="20">
        <f t="shared" ca="1" si="23"/>
        <v>5</v>
      </c>
      <c r="L155" s="44">
        <f t="shared" ca="1" si="28"/>
        <v>5.5</v>
      </c>
    </row>
    <row r="156" spans="1:12" x14ac:dyDescent="0.25">
      <c r="A156" s="20">
        <v>148</v>
      </c>
      <c r="B156" s="21">
        <f t="shared" ca="1" si="24"/>
        <v>0.98793649722301613</v>
      </c>
      <c r="C156" s="21">
        <f t="shared" ca="1" si="29"/>
        <v>470.71087545318176</v>
      </c>
      <c r="D156" s="21">
        <f t="shared" ca="1" si="25"/>
        <v>1.7799386949956031</v>
      </c>
      <c r="E156" s="21">
        <f t="shared" ca="1" si="32"/>
        <v>11.353835084064201</v>
      </c>
      <c r="F156" s="20" t="str">
        <f t="shared" ca="1" si="30"/>
        <v>No</v>
      </c>
      <c r="G156" s="21">
        <f t="shared" ca="1" si="26"/>
        <v>0</v>
      </c>
      <c r="H156" s="21">
        <f t="shared" ca="1" si="27"/>
        <v>482.06471053724596</v>
      </c>
      <c r="I156" s="21">
        <f t="shared" ca="1" si="22"/>
        <v>483.84464923224158</v>
      </c>
      <c r="J156" s="20">
        <f t="shared" ca="1" si="31"/>
        <v>6</v>
      </c>
      <c r="K156" s="20">
        <f t="shared" ca="1" si="23"/>
        <v>4</v>
      </c>
      <c r="L156" s="44">
        <f t="shared" ca="1" si="28"/>
        <v>5</v>
      </c>
    </row>
    <row r="157" spans="1:12" x14ac:dyDescent="0.25">
      <c r="A157" s="20">
        <v>149</v>
      </c>
      <c r="B157" s="21">
        <f t="shared" ca="1" si="24"/>
        <v>0.57762052301418232</v>
      </c>
      <c r="C157" s="21">
        <f t="shared" ca="1" si="29"/>
        <v>471.28849597619592</v>
      </c>
      <c r="D157" s="21">
        <f t="shared" ca="1" si="25"/>
        <v>7.3233244531952624E-2</v>
      </c>
      <c r="E157" s="21">
        <f t="shared" ca="1" si="32"/>
        <v>12.556153256045661</v>
      </c>
      <c r="F157" s="20" t="str">
        <f t="shared" ca="1" si="30"/>
        <v>No</v>
      </c>
      <c r="G157" s="21">
        <f t="shared" ca="1" si="26"/>
        <v>0</v>
      </c>
      <c r="H157" s="21">
        <f t="shared" ca="1" si="27"/>
        <v>483.84464923224158</v>
      </c>
      <c r="I157" s="21">
        <f t="shared" ca="1" si="22"/>
        <v>483.91788247677351</v>
      </c>
      <c r="J157" s="20">
        <f t="shared" ca="1" si="31"/>
        <v>5</v>
      </c>
      <c r="K157" s="20">
        <f t="shared" ca="1" si="23"/>
        <v>3</v>
      </c>
      <c r="L157" s="44">
        <f t="shared" ca="1" si="28"/>
        <v>4</v>
      </c>
    </row>
    <row r="158" spans="1:12" x14ac:dyDescent="0.25">
      <c r="A158" s="20">
        <v>150</v>
      </c>
      <c r="B158" s="21">
        <f t="shared" ca="1" si="24"/>
        <v>5.8173708289779951</v>
      </c>
      <c r="C158" s="21">
        <f t="shared" ca="1" si="29"/>
        <v>477.10586680517389</v>
      </c>
      <c r="D158" s="21">
        <f t="shared" ca="1" si="25"/>
        <v>3.183858810168763</v>
      </c>
      <c r="E158" s="21">
        <f t="shared" ca="1" si="32"/>
        <v>6.8120156715996245</v>
      </c>
      <c r="F158" s="20" t="str">
        <f t="shared" ca="1" si="30"/>
        <v>No</v>
      </c>
      <c r="G158" s="21">
        <f t="shared" ca="1" si="26"/>
        <v>0</v>
      </c>
      <c r="H158" s="21">
        <f t="shared" ca="1" si="27"/>
        <v>483.91788247677351</v>
      </c>
      <c r="I158" s="21">
        <f t="shared" ca="1" si="22"/>
        <v>487.10174128694229</v>
      </c>
      <c r="J158" s="20">
        <f t="shared" ca="1" si="31"/>
        <v>4</v>
      </c>
      <c r="K158" s="20">
        <f t="shared" ca="1" si="23"/>
        <v>3</v>
      </c>
      <c r="L158" s="44">
        <f t="shared" ca="1" si="28"/>
        <v>3.5</v>
      </c>
    </row>
    <row r="159" spans="1:12" x14ac:dyDescent="0.25">
      <c r="A159" s="20">
        <v>151</v>
      </c>
      <c r="B159" s="21">
        <f t="shared" ca="1" si="24"/>
        <v>0.69644330273650312</v>
      </c>
      <c r="C159" s="21">
        <f t="shared" ca="1" si="29"/>
        <v>477.80231010791039</v>
      </c>
      <c r="D159" s="21">
        <f t="shared" ca="1" si="25"/>
        <v>7.7116260662648504</v>
      </c>
      <c r="E159" s="21">
        <f t="shared" ca="1" si="32"/>
        <v>9.2994311790318989</v>
      </c>
      <c r="F159" s="20" t="str">
        <f t="shared" ca="1" si="30"/>
        <v>No</v>
      </c>
      <c r="G159" s="21">
        <f t="shared" ca="1" si="26"/>
        <v>0</v>
      </c>
      <c r="H159" s="21">
        <f t="shared" ca="1" si="27"/>
        <v>487.10174128694229</v>
      </c>
      <c r="I159" s="21">
        <f t="shared" ca="1" si="22"/>
        <v>494.81336735320713</v>
      </c>
      <c r="J159" s="20">
        <f t="shared" ca="1" si="31"/>
        <v>4</v>
      </c>
      <c r="K159" s="20">
        <f t="shared" ca="1" si="23"/>
        <v>2</v>
      </c>
      <c r="L159" s="44">
        <f t="shared" ca="1" si="28"/>
        <v>3</v>
      </c>
    </row>
    <row r="160" spans="1:12" x14ac:dyDescent="0.25">
      <c r="A160" s="20">
        <v>152</v>
      </c>
      <c r="B160" s="21">
        <f t="shared" ca="1" si="24"/>
        <v>2.7409275991329407</v>
      </c>
      <c r="C160" s="21">
        <f t="shared" ca="1" si="29"/>
        <v>480.54323770704332</v>
      </c>
      <c r="D160" s="21">
        <f t="shared" ca="1" si="25"/>
        <v>5.2749914618708145</v>
      </c>
      <c r="E160" s="21">
        <f t="shared" ca="1" si="32"/>
        <v>14.270129646163809</v>
      </c>
      <c r="F160" s="20" t="str">
        <f t="shared" ca="1" si="30"/>
        <v>No</v>
      </c>
      <c r="G160" s="21">
        <f t="shared" ca="1" si="26"/>
        <v>0</v>
      </c>
      <c r="H160" s="21">
        <f t="shared" ca="1" si="27"/>
        <v>494.81336735320713</v>
      </c>
      <c r="I160" s="21">
        <f t="shared" ca="1" si="22"/>
        <v>500.08835881507792</v>
      </c>
      <c r="J160" s="20">
        <f t="shared" ca="1" si="31"/>
        <v>3</v>
      </c>
      <c r="K160" s="20">
        <f t="shared" ca="1" si="23"/>
        <v>2</v>
      </c>
      <c r="L160" s="44">
        <f t="shared" ca="1" si="28"/>
        <v>2.5</v>
      </c>
    </row>
    <row r="161" spans="1:12" x14ac:dyDescent="0.25">
      <c r="A161" s="20">
        <v>153</v>
      </c>
      <c r="B161" s="21">
        <f t="shared" ca="1" si="24"/>
        <v>3.5983186333990518</v>
      </c>
      <c r="C161" s="21">
        <f t="shared" ca="1" si="29"/>
        <v>484.14155634044238</v>
      </c>
      <c r="D161" s="21">
        <f t="shared" ca="1" si="25"/>
        <v>5.569960682767749</v>
      </c>
      <c r="E161" s="21">
        <f t="shared" ca="1" si="32"/>
        <v>15.946802474635547</v>
      </c>
      <c r="F161" s="20" t="str">
        <f t="shared" ca="1" si="30"/>
        <v>No</v>
      </c>
      <c r="G161" s="21">
        <f t="shared" ca="1" si="26"/>
        <v>0</v>
      </c>
      <c r="H161" s="21">
        <f t="shared" ca="1" si="27"/>
        <v>500.08835881507792</v>
      </c>
      <c r="I161" s="21">
        <f t="shared" ca="1" si="22"/>
        <v>505.6583194978457</v>
      </c>
      <c r="J161" s="20">
        <f t="shared" ca="1" si="31"/>
        <v>3</v>
      </c>
      <c r="K161" s="20">
        <f t="shared" ca="1" si="23"/>
        <v>1</v>
      </c>
      <c r="L161" s="44">
        <f t="shared" ca="1" si="28"/>
        <v>2</v>
      </c>
    </row>
    <row r="162" spans="1:12" x14ac:dyDescent="0.25">
      <c r="A162" s="20">
        <v>154</v>
      </c>
      <c r="B162" s="21">
        <f t="shared" ca="1" si="24"/>
        <v>12.765845323285781</v>
      </c>
      <c r="C162" s="21">
        <f t="shared" ca="1" si="29"/>
        <v>496.90740166372814</v>
      </c>
      <c r="D162" s="21">
        <f t="shared" ca="1" si="25"/>
        <v>0.72600148294909961</v>
      </c>
      <c r="E162" s="21">
        <f t="shared" ca="1" si="32"/>
        <v>8.7509178341175584</v>
      </c>
      <c r="F162" s="20" t="str">
        <f t="shared" ca="1" si="30"/>
        <v>No</v>
      </c>
      <c r="G162" s="21">
        <f t="shared" ca="1" si="26"/>
        <v>0</v>
      </c>
      <c r="H162" s="21">
        <f t="shared" ca="1" si="27"/>
        <v>505.6583194978457</v>
      </c>
      <c r="I162" s="21">
        <f t="shared" ca="1" si="22"/>
        <v>506.38432098079477</v>
      </c>
      <c r="J162" s="20">
        <f t="shared" ca="1" si="31"/>
        <v>2</v>
      </c>
      <c r="K162" s="20">
        <f t="shared" ca="1" si="23"/>
        <v>0</v>
      </c>
      <c r="L162" s="44">
        <f t="shared" ca="1" si="28"/>
        <v>1</v>
      </c>
    </row>
    <row r="163" spans="1:12" x14ac:dyDescent="0.25">
      <c r="A163" s="20">
        <v>155</v>
      </c>
      <c r="B163" s="21">
        <f t="shared" ca="1" si="24"/>
        <v>12.650725277828215</v>
      </c>
      <c r="C163" s="21">
        <f t="shared" ca="1" si="29"/>
        <v>509.55812694155634</v>
      </c>
      <c r="D163" s="21">
        <f t="shared" ca="1" si="25"/>
        <v>5.4159607950115749</v>
      </c>
      <c r="E163" s="21">
        <f t="shared" ca="1" si="32"/>
        <v>0</v>
      </c>
      <c r="F163" s="20" t="str">
        <f t="shared" ca="1" si="30"/>
        <v>Yes</v>
      </c>
      <c r="G163" s="21">
        <f t="shared" ca="1" si="26"/>
        <v>3.1738059607615696</v>
      </c>
      <c r="H163" s="21">
        <f t="shared" ca="1" si="27"/>
        <v>509.55812694155634</v>
      </c>
      <c r="I163" s="21">
        <f t="shared" ca="1" si="22"/>
        <v>514.97408773656787</v>
      </c>
      <c r="J163" s="20">
        <f t="shared" ca="1" si="31"/>
        <v>0</v>
      </c>
      <c r="K163" s="20">
        <f t="shared" ca="1" si="23"/>
        <v>4</v>
      </c>
      <c r="L163" s="44">
        <f t="shared" ca="1" si="28"/>
        <v>2</v>
      </c>
    </row>
    <row r="164" spans="1:12" x14ac:dyDescent="0.25">
      <c r="A164" s="20">
        <v>156</v>
      </c>
      <c r="B164" s="21">
        <f t="shared" ca="1" si="24"/>
        <v>0.56983798721691259</v>
      </c>
      <c r="C164" s="21">
        <f t="shared" ca="1" si="29"/>
        <v>510.12796492877322</v>
      </c>
      <c r="D164" s="21">
        <f t="shared" ca="1" si="25"/>
        <v>0.12967937480545463</v>
      </c>
      <c r="E164" s="21">
        <f t="shared" ca="1" si="32"/>
        <v>4.846122807794643</v>
      </c>
      <c r="F164" s="20" t="str">
        <f t="shared" ca="1" si="30"/>
        <v>No</v>
      </c>
      <c r="G164" s="21">
        <f t="shared" ca="1" si="26"/>
        <v>0</v>
      </c>
      <c r="H164" s="21">
        <f t="shared" ca="1" si="27"/>
        <v>514.97408773656787</v>
      </c>
      <c r="I164" s="21">
        <f t="shared" ca="1" si="22"/>
        <v>515.10376711137337</v>
      </c>
      <c r="J164" s="20">
        <f t="shared" ca="1" si="31"/>
        <v>5</v>
      </c>
      <c r="K164" s="20">
        <f t="shared" ca="1" si="23"/>
        <v>3</v>
      </c>
      <c r="L164" s="44">
        <f t="shared" ca="1" si="28"/>
        <v>4</v>
      </c>
    </row>
    <row r="165" spans="1:12" x14ac:dyDescent="0.25">
      <c r="A165" s="20">
        <v>157</v>
      </c>
      <c r="B165" s="21">
        <f t="shared" ca="1" si="24"/>
        <v>2.5966403766625445</v>
      </c>
      <c r="C165" s="21">
        <f t="shared" ca="1" si="29"/>
        <v>512.72460530543572</v>
      </c>
      <c r="D165" s="21">
        <f t="shared" ca="1" si="25"/>
        <v>4.6694458265535825</v>
      </c>
      <c r="E165" s="21">
        <f t="shared" ca="1" si="32"/>
        <v>2.379161805937656</v>
      </c>
      <c r="F165" s="20" t="str">
        <f t="shared" ca="1" si="30"/>
        <v>No</v>
      </c>
      <c r="G165" s="21">
        <f t="shared" ca="1" si="26"/>
        <v>0</v>
      </c>
      <c r="H165" s="21">
        <f t="shared" ca="1" si="27"/>
        <v>515.10376711137337</v>
      </c>
      <c r="I165" s="21">
        <f t="shared" ca="1" si="22"/>
        <v>519.77321293792693</v>
      </c>
      <c r="J165" s="20">
        <f t="shared" ca="1" si="31"/>
        <v>4</v>
      </c>
      <c r="K165" s="20">
        <f t="shared" ca="1" si="23"/>
        <v>5</v>
      </c>
      <c r="L165" s="44">
        <f t="shared" ca="1" si="28"/>
        <v>4.5</v>
      </c>
    </row>
    <row r="166" spans="1:12" x14ac:dyDescent="0.25">
      <c r="A166" s="20">
        <v>158</v>
      </c>
      <c r="B166" s="21">
        <f t="shared" ca="1" si="24"/>
        <v>0.64423034477095664</v>
      </c>
      <c r="C166" s="21">
        <f t="shared" ca="1" si="29"/>
        <v>513.36883565020662</v>
      </c>
      <c r="D166" s="21">
        <f t="shared" ca="1" si="25"/>
        <v>2.39352790874903</v>
      </c>
      <c r="E166" s="21">
        <f t="shared" ca="1" si="32"/>
        <v>6.4043772877203082</v>
      </c>
      <c r="F166" s="20" t="str">
        <f t="shared" ca="1" si="30"/>
        <v>No</v>
      </c>
      <c r="G166" s="21">
        <f t="shared" ca="1" si="26"/>
        <v>0</v>
      </c>
      <c r="H166" s="21">
        <f t="shared" ca="1" si="27"/>
        <v>519.77321293792693</v>
      </c>
      <c r="I166" s="21">
        <f t="shared" ca="1" si="22"/>
        <v>522.16674084667591</v>
      </c>
      <c r="J166" s="20">
        <f t="shared" ca="1" si="31"/>
        <v>6</v>
      </c>
      <c r="K166" s="20">
        <f t="shared" ca="1" si="23"/>
        <v>4</v>
      </c>
      <c r="L166" s="44">
        <f t="shared" ca="1" si="28"/>
        <v>5</v>
      </c>
    </row>
    <row r="167" spans="1:12" x14ac:dyDescent="0.25">
      <c r="A167" s="20">
        <v>159</v>
      </c>
      <c r="B167" s="21">
        <f t="shared" ca="1" si="24"/>
        <v>0.67428245785169227</v>
      </c>
      <c r="C167" s="21">
        <f t="shared" ca="1" si="29"/>
        <v>514.04311810805837</v>
      </c>
      <c r="D167" s="21">
        <f t="shared" ca="1" si="25"/>
        <v>3.7302397130067089</v>
      </c>
      <c r="E167" s="21">
        <f t="shared" ca="1" si="32"/>
        <v>8.1236227386175415</v>
      </c>
      <c r="F167" s="20" t="str">
        <f t="shared" ca="1" si="30"/>
        <v>No</v>
      </c>
      <c r="G167" s="21">
        <f t="shared" ca="1" si="26"/>
        <v>0</v>
      </c>
      <c r="H167" s="21">
        <f t="shared" ca="1" si="27"/>
        <v>522.16674084667591</v>
      </c>
      <c r="I167" s="21">
        <f t="shared" ca="1" si="22"/>
        <v>525.89698055968256</v>
      </c>
      <c r="J167" s="20">
        <f t="shared" ca="1" si="31"/>
        <v>5</v>
      </c>
      <c r="K167" s="20">
        <f t="shared" ca="1" si="23"/>
        <v>5</v>
      </c>
      <c r="L167" s="44">
        <f t="shared" ca="1" si="28"/>
        <v>5</v>
      </c>
    </row>
    <row r="168" spans="1:12" x14ac:dyDescent="0.25">
      <c r="A168" s="20">
        <v>160</v>
      </c>
      <c r="B168" s="21">
        <f t="shared" ca="1" si="24"/>
        <v>4.1091144047923152</v>
      </c>
      <c r="C168" s="21">
        <f t="shared" ca="1" si="29"/>
        <v>518.15223251285067</v>
      </c>
      <c r="D168" s="21">
        <f t="shared" ca="1" si="25"/>
        <v>3.6432893091880749</v>
      </c>
      <c r="E168" s="21">
        <f t="shared" ca="1" si="32"/>
        <v>7.7447480468318872</v>
      </c>
      <c r="F168" s="20" t="str">
        <f t="shared" ca="1" si="30"/>
        <v>No</v>
      </c>
      <c r="G168" s="21">
        <f t="shared" ca="1" si="26"/>
        <v>0</v>
      </c>
      <c r="H168" s="21">
        <f t="shared" ca="1" si="27"/>
        <v>525.89698055968256</v>
      </c>
      <c r="I168" s="21">
        <f t="shared" ca="1" si="22"/>
        <v>529.54026986887061</v>
      </c>
      <c r="J168" s="20">
        <f t="shared" ca="1" si="31"/>
        <v>6</v>
      </c>
      <c r="K168" s="20">
        <f t="shared" ca="1" si="23"/>
        <v>5</v>
      </c>
      <c r="L168" s="44">
        <f t="shared" ca="1" si="28"/>
        <v>5.5</v>
      </c>
    </row>
    <row r="169" spans="1:12" x14ac:dyDescent="0.25">
      <c r="A169" s="20">
        <v>161</v>
      </c>
      <c r="B169" s="21">
        <f t="shared" ca="1" si="24"/>
        <v>0.44608770633862421</v>
      </c>
      <c r="C169" s="21">
        <f t="shared" ca="1" si="29"/>
        <v>518.5983202191893</v>
      </c>
      <c r="D169" s="21">
        <f t="shared" ca="1" si="25"/>
        <v>1.6863268561479587</v>
      </c>
      <c r="E169" s="21">
        <f t="shared" ca="1" si="32"/>
        <v>10.941949649681305</v>
      </c>
      <c r="F169" s="20" t="str">
        <f t="shared" ca="1" si="30"/>
        <v>No</v>
      </c>
      <c r="G169" s="21">
        <f t="shared" ca="1" si="26"/>
        <v>0</v>
      </c>
      <c r="H169" s="21">
        <f t="shared" ca="1" si="27"/>
        <v>529.54026986887061</v>
      </c>
      <c r="I169" s="21">
        <f t="shared" ca="1" si="22"/>
        <v>531.22659672501857</v>
      </c>
      <c r="J169" s="20">
        <f t="shared" ca="1" si="31"/>
        <v>6</v>
      </c>
      <c r="K169" s="20">
        <f t="shared" ca="1" si="23"/>
        <v>5</v>
      </c>
      <c r="L169" s="44">
        <f t="shared" ca="1" si="28"/>
        <v>5.5</v>
      </c>
    </row>
    <row r="170" spans="1:12" x14ac:dyDescent="0.25">
      <c r="A170" s="20">
        <v>162</v>
      </c>
      <c r="B170" s="21">
        <f t="shared" ca="1" si="24"/>
        <v>0.92852321458144604</v>
      </c>
      <c r="C170" s="21">
        <f t="shared" ca="1" si="29"/>
        <v>519.52684343377075</v>
      </c>
      <c r="D170" s="21">
        <f t="shared" ca="1" si="25"/>
        <v>3.0350901106617405</v>
      </c>
      <c r="E170" s="21">
        <f t="shared" ca="1" si="32"/>
        <v>11.699753291247816</v>
      </c>
      <c r="F170" s="20" t="str">
        <f t="shared" ca="1" si="30"/>
        <v>No</v>
      </c>
      <c r="G170" s="21">
        <f t="shared" ca="1" si="26"/>
        <v>0</v>
      </c>
      <c r="H170" s="21">
        <f t="shared" ca="1" si="27"/>
        <v>531.22659672501857</v>
      </c>
      <c r="I170" s="21">
        <f t="shared" ca="1" si="22"/>
        <v>534.26168683568028</v>
      </c>
      <c r="J170" s="20">
        <f t="shared" ca="1" si="31"/>
        <v>6</v>
      </c>
      <c r="K170" s="20">
        <f t="shared" ca="1" si="23"/>
        <v>5</v>
      </c>
      <c r="L170" s="44">
        <f t="shared" ca="1" si="28"/>
        <v>5.5</v>
      </c>
    </row>
    <row r="171" spans="1:12" x14ac:dyDescent="0.25">
      <c r="A171" s="20">
        <v>163</v>
      </c>
      <c r="B171" s="21">
        <f t="shared" ca="1" si="24"/>
        <v>2.6717709471045166</v>
      </c>
      <c r="C171" s="21">
        <f t="shared" ca="1" si="29"/>
        <v>522.19861438087526</v>
      </c>
      <c r="D171" s="21">
        <f t="shared" ca="1" si="25"/>
        <v>2.8121300539270586</v>
      </c>
      <c r="E171" s="21">
        <f t="shared" ca="1" si="32"/>
        <v>12.063072454805024</v>
      </c>
      <c r="F171" s="20" t="str">
        <f t="shared" ca="1" si="30"/>
        <v>No</v>
      </c>
      <c r="G171" s="21">
        <f t="shared" ca="1" si="26"/>
        <v>0</v>
      </c>
      <c r="H171" s="21">
        <f t="shared" ca="1" si="27"/>
        <v>534.26168683568028</v>
      </c>
      <c r="I171" s="21">
        <f t="shared" ca="1" si="22"/>
        <v>537.07381688960731</v>
      </c>
      <c r="J171" s="20">
        <f t="shared" ca="1" si="31"/>
        <v>6</v>
      </c>
      <c r="K171" s="20">
        <f t="shared" ca="1" si="23"/>
        <v>5</v>
      </c>
      <c r="L171" s="44">
        <f t="shared" ca="1" si="28"/>
        <v>5.5</v>
      </c>
    </row>
    <row r="172" spans="1:12" x14ac:dyDescent="0.25">
      <c r="A172" s="20">
        <v>164</v>
      </c>
      <c r="B172" s="21">
        <f t="shared" ca="1" si="24"/>
        <v>1.6885871493904705</v>
      </c>
      <c r="C172" s="21">
        <f t="shared" ca="1" si="29"/>
        <v>523.88720153026577</v>
      </c>
      <c r="D172" s="21">
        <f t="shared" ca="1" si="25"/>
        <v>2.7886956218762013</v>
      </c>
      <c r="E172" s="21">
        <f t="shared" ca="1" si="32"/>
        <v>13.186615359341545</v>
      </c>
      <c r="F172" s="20" t="str">
        <f t="shared" ca="1" si="30"/>
        <v>No</v>
      </c>
      <c r="G172" s="21">
        <f t="shared" ca="1" si="26"/>
        <v>0</v>
      </c>
      <c r="H172" s="21">
        <f t="shared" ca="1" si="27"/>
        <v>537.07381688960731</v>
      </c>
      <c r="I172" s="21">
        <f t="shared" ca="1" si="22"/>
        <v>539.86251251148349</v>
      </c>
      <c r="J172" s="20">
        <f t="shared" ca="1" si="31"/>
        <v>6</v>
      </c>
      <c r="K172" s="20">
        <f t="shared" ca="1" si="23"/>
        <v>5</v>
      </c>
      <c r="L172" s="44">
        <f t="shared" ca="1" si="28"/>
        <v>5.5</v>
      </c>
    </row>
    <row r="173" spans="1:12" x14ac:dyDescent="0.25">
      <c r="A173" s="20">
        <v>165</v>
      </c>
      <c r="B173" s="21">
        <f t="shared" ca="1" si="24"/>
        <v>0.39297108146418469</v>
      </c>
      <c r="C173" s="21">
        <f t="shared" ca="1" si="29"/>
        <v>524.28017261172999</v>
      </c>
      <c r="D173" s="21">
        <f t="shared" ca="1" si="25"/>
        <v>5.0460166640828561</v>
      </c>
      <c r="E173" s="21">
        <f t="shared" ca="1" si="32"/>
        <v>15.582339899753492</v>
      </c>
      <c r="F173" s="20" t="str">
        <f t="shared" ca="1" si="30"/>
        <v>No</v>
      </c>
      <c r="G173" s="21">
        <f t="shared" ca="1" si="26"/>
        <v>0</v>
      </c>
      <c r="H173" s="21">
        <f t="shared" ca="1" si="27"/>
        <v>539.86251251148349</v>
      </c>
      <c r="I173" s="21">
        <f t="shared" ca="1" si="22"/>
        <v>544.9085291755664</v>
      </c>
      <c r="J173" s="20">
        <f t="shared" ca="1" si="31"/>
        <v>6</v>
      </c>
      <c r="K173" s="20">
        <f t="shared" ca="1" si="23"/>
        <v>5</v>
      </c>
      <c r="L173" s="44">
        <f t="shared" ca="1" si="28"/>
        <v>5.5</v>
      </c>
    </row>
    <row r="174" spans="1:12" x14ac:dyDescent="0.25">
      <c r="A174" s="20">
        <v>166</v>
      </c>
      <c r="B174" s="21">
        <f t="shared" ca="1" si="24"/>
        <v>6.2621357814190866</v>
      </c>
      <c r="C174" s="21">
        <f t="shared" ca="1" si="29"/>
        <v>530.54230839314903</v>
      </c>
      <c r="D174" s="21">
        <f t="shared" ca="1" si="25"/>
        <v>0.88986795760446435</v>
      </c>
      <c r="E174" s="21">
        <f t="shared" ca="1" si="32"/>
        <v>14.366220782417372</v>
      </c>
      <c r="F174" s="20" t="str">
        <f t="shared" ca="1" si="30"/>
        <v>No</v>
      </c>
      <c r="G174" s="21">
        <f t="shared" ca="1" si="26"/>
        <v>0</v>
      </c>
      <c r="H174" s="21">
        <f t="shared" ca="1" si="27"/>
        <v>544.9085291755664</v>
      </c>
      <c r="I174" s="21">
        <f t="shared" ca="1" si="22"/>
        <v>545.79839713317085</v>
      </c>
      <c r="J174" s="20">
        <f t="shared" ca="1" si="31"/>
        <v>6</v>
      </c>
      <c r="K174" s="20">
        <f t="shared" ca="1" si="23"/>
        <v>5</v>
      </c>
      <c r="L174" s="44">
        <f t="shared" ca="1" si="28"/>
        <v>5.5</v>
      </c>
    </row>
    <row r="175" spans="1:12" x14ac:dyDescent="0.25">
      <c r="A175" s="20">
        <v>167</v>
      </c>
      <c r="B175" s="21">
        <f t="shared" ca="1" si="24"/>
        <v>1.6417140043639793</v>
      </c>
      <c r="C175" s="21">
        <f t="shared" ca="1" si="29"/>
        <v>532.18402239751299</v>
      </c>
      <c r="D175" s="21">
        <f t="shared" ca="1" si="25"/>
        <v>2.5849918493183157</v>
      </c>
      <c r="E175" s="21">
        <f t="shared" ca="1" si="32"/>
        <v>13.614374735657861</v>
      </c>
      <c r="F175" s="20" t="str">
        <f t="shared" ca="1" si="30"/>
        <v>No</v>
      </c>
      <c r="G175" s="21">
        <f t="shared" ca="1" si="26"/>
        <v>0</v>
      </c>
      <c r="H175" s="21">
        <f t="shared" ca="1" si="27"/>
        <v>545.79839713317085</v>
      </c>
      <c r="I175" s="21">
        <f t="shared" ca="1" si="22"/>
        <v>548.38338898248912</v>
      </c>
      <c r="J175" s="20">
        <f t="shared" ca="1" si="31"/>
        <v>6</v>
      </c>
      <c r="K175" s="20">
        <f t="shared" ca="1" si="23"/>
        <v>5</v>
      </c>
      <c r="L175" s="44">
        <f t="shared" ca="1" si="28"/>
        <v>5.5</v>
      </c>
    </row>
    <row r="176" spans="1:12" x14ac:dyDescent="0.25">
      <c r="A176" s="20">
        <v>168</v>
      </c>
      <c r="B176" s="21">
        <f t="shared" ca="1" si="24"/>
        <v>1.6885845136623381</v>
      </c>
      <c r="C176" s="21">
        <f t="shared" ca="1" si="29"/>
        <v>533.87260691117535</v>
      </c>
      <c r="D176" s="21">
        <f t="shared" ca="1" si="25"/>
        <v>5.207412940936945</v>
      </c>
      <c r="E176" s="21">
        <f t="shared" ca="1" si="32"/>
        <v>14.51078207131377</v>
      </c>
      <c r="F176" s="20" t="str">
        <f t="shared" ca="1" si="30"/>
        <v>No</v>
      </c>
      <c r="G176" s="21">
        <f t="shared" ca="1" si="26"/>
        <v>0</v>
      </c>
      <c r="H176" s="21">
        <f t="shared" ca="1" si="27"/>
        <v>548.38338898248912</v>
      </c>
      <c r="I176" s="21">
        <f t="shared" ca="1" si="22"/>
        <v>553.59080192342606</v>
      </c>
      <c r="J176" s="20">
        <f t="shared" ca="1" si="31"/>
        <v>6</v>
      </c>
      <c r="K176" s="20">
        <f t="shared" ca="1" si="23"/>
        <v>5</v>
      </c>
      <c r="L176" s="44">
        <f t="shared" ca="1" si="28"/>
        <v>5.5</v>
      </c>
    </row>
    <row r="177" spans="1:12" x14ac:dyDescent="0.25">
      <c r="A177" s="20">
        <v>169</v>
      </c>
      <c r="B177" s="21">
        <f t="shared" ca="1" si="24"/>
        <v>2.3443718429759</v>
      </c>
      <c r="C177" s="21">
        <f t="shared" ca="1" si="29"/>
        <v>536.21697875415123</v>
      </c>
      <c r="D177" s="21">
        <f t="shared" ca="1" si="25"/>
        <v>0.83829904520319487</v>
      </c>
      <c r="E177" s="21">
        <f t="shared" ca="1" si="32"/>
        <v>17.373823169274829</v>
      </c>
      <c r="F177" s="20" t="str">
        <f t="shared" ca="1" si="30"/>
        <v>No</v>
      </c>
      <c r="G177" s="21">
        <f t="shared" ca="1" si="26"/>
        <v>0</v>
      </c>
      <c r="H177" s="21">
        <f t="shared" ca="1" si="27"/>
        <v>553.59080192342606</v>
      </c>
      <c r="I177" s="21">
        <f t="shared" ca="1" si="22"/>
        <v>554.4291009686292</v>
      </c>
      <c r="J177" s="20">
        <f t="shared" ca="1" si="31"/>
        <v>6</v>
      </c>
      <c r="K177" s="20">
        <f t="shared" ca="1" si="23"/>
        <v>5</v>
      </c>
      <c r="L177" s="44">
        <f t="shared" ca="1" si="28"/>
        <v>5.5</v>
      </c>
    </row>
    <row r="178" spans="1:12" x14ac:dyDescent="0.25">
      <c r="A178" s="20">
        <v>170</v>
      </c>
      <c r="B178" s="21">
        <f t="shared" ca="1" si="24"/>
        <v>2.4034357543230351</v>
      </c>
      <c r="C178" s="21">
        <f t="shared" ca="1" si="29"/>
        <v>538.62041450847425</v>
      </c>
      <c r="D178" s="21">
        <f t="shared" ca="1" si="25"/>
        <v>1.6303233344800601</v>
      </c>
      <c r="E178" s="21">
        <f t="shared" ca="1" si="32"/>
        <v>15.808686460154945</v>
      </c>
      <c r="F178" s="20" t="str">
        <f t="shared" ca="1" si="30"/>
        <v>No</v>
      </c>
      <c r="G178" s="21">
        <f t="shared" ca="1" si="26"/>
        <v>0</v>
      </c>
      <c r="H178" s="21">
        <f t="shared" ca="1" si="27"/>
        <v>554.4291009686292</v>
      </c>
      <c r="I178" s="21">
        <f t="shared" ca="1" si="22"/>
        <v>556.05942430310927</v>
      </c>
      <c r="J178" s="20">
        <f t="shared" ca="1" si="31"/>
        <v>6</v>
      </c>
      <c r="K178" s="20">
        <f t="shared" ca="1" si="23"/>
        <v>5</v>
      </c>
      <c r="L178" s="44">
        <f t="shared" ca="1" si="28"/>
        <v>5.5</v>
      </c>
    </row>
    <row r="179" spans="1:12" x14ac:dyDescent="0.25">
      <c r="A179" s="20">
        <v>171</v>
      </c>
      <c r="B179" s="21">
        <f t="shared" ca="1" si="24"/>
        <v>5.645825913116699</v>
      </c>
      <c r="C179" s="21">
        <f t="shared" ca="1" si="29"/>
        <v>544.26624042159096</v>
      </c>
      <c r="D179" s="21">
        <f t="shared" ca="1" si="25"/>
        <v>3.4901309399771621</v>
      </c>
      <c r="E179" s="21">
        <f t="shared" ca="1" si="32"/>
        <v>11.793183881518303</v>
      </c>
      <c r="F179" s="20" t="str">
        <f t="shared" ca="1" si="30"/>
        <v>No</v>
      </c>
      <c r="G179" s="21">
        <f t="shared" ca="1" si="26"/>
        <v>0</v>
      </c>
      <c r="H179" s="21">
        <f t="shared" ca="1" si="27"/>
        <v>556.05942430310927</v>
      </c>
      <c r="I179" s="21">
        <f t="shared" ca="1" si="22"/>
        <v>559.54955524308639</v>
      </c>
      <c r="J179" s="20">
        <f t="shared" ca="1" si="31"/>
        <v>6</v>
      </c>
      <c r="K179" s="20">
        <f t="shared" ca="1" si="23"/>
        <v>4</v>
      </c>
      <c r="L179" s="44">
        <f t="shared" ca="1" si="28"/>
        <v>5</v>
      </c>
    </row>
    <row r="180" spans="1:12" x14ac:dyDescent="0.25">
      <c r="A180" s="20">
        <v>172</v>
      </c>
      <c r="B180" s="21">
        <f t="shared" ca="1" si="24"/>
        <v>1.0392033529120743</v>
      </c>
      <c r="C180" s="21">
        <f t="shared" ca="1" si="29"/>
        <v>545.30544377450303</v>
      </c>
      <c r="D180" s="21">
        <f t="shared" ca="1" si="25"/>
        <v>0.77800067950844176</v>
      </c>
      <c r="E180" s="21">
        <f t="shared" ca="1" si="32"/>
        <v>14.244111468583355</v>
      </c>
      <c r="F180" s="20" t="str">
        <f t="shared" ca="1" si="30"/>
        <v>No</v>
      </c>
      <c r="G180" s="21">
        <f t="shared" ca="1" si="26"/>
        <v>0</v>
      </c>
      <c r="H180" s="21">
        <f t="shared" ca="1" si="27"/>
        <v>559.54955524308639</v>
      </c>
      <c r="I180" s="21">
        <f t="shared" ca="1" si="22"/>
        <v>560.3275559225948</v>
      </c>
      <c r="J180" s="20">
        <f t="shared" ca="1" si="31"/>
        <v>5</v>
      </c>
      <c r="K180" s="20">
        <f t="shared" ca="1" si="23"/>
        <v>3</v>
      </c>
      <c r="L180" s="44">
        <f t="shared" ca="1" si="28"/>
        <v>4</v>
      </c>
    </row>
    <row r="181" spans="1:12" x14ac:dyDescent="0.25">
      <c r="A181" s="20">
        <v>173</v>
      </c>
      <c r="B181" s="21">
        <f t="shared" ca="1" si="24"/>
        <v>0.74193857058561485</v>
      </c>
      <c r="C181" s="21">
        <f t="shared" ca="1" si="29"/>
        <v>546.04738234508864</v>
      </c>
      <c r="D181" s="21">
        <f t="shared" ca="1" si="25"/>
        <v>10.698123982074069</v>
      </c>
      <c r="E181" s="21">
        <f t="shared" ca="1" si="32"/>
        <v>14.280173577506162</v>
      </c>
      <c r="F181" s="20" t="str">
        <f t="shared" ca="1" si="30"/>
        <v>No</v>
      </c>
      <c r="G181" s="21">
        <f t="shared" ca="1" si="26"/>
        <v>0</v>
      </c>
      <c r="H181" s="21">
        <f t="shared" ca="1" si="27"/>
        <v>560.3275559225948</v>
      </c>
      <c r="I181" s="21">
        <f t="shared" ca="1" si="22"/>
        <v>571.02567990466889</v>
      </c>
      <c r="J181" s="20">
        <f t="shared" ca="1" si="31"/>
        <v>4</v>
      </c>
      <c r="K181" s="20">
        <f t="shared" ca="1" si="23"/>
        <v>5</v>
      </c>
      <c r="L181" s="44">
        <f t="shared" ca="1" si="28"/>
        <v>4.5</v>
      </c>
    </row>
    <row r="182" spans="1:12" x14ac:dyDescent="0.25">
      <c r="A182" s="20">
        <v>174</v>
      </c>
      <c r="B182" s="21">
        <f t="shared" ca="1" si="24"/>
        <v>7.5029543841414359</v>
      </c>
      <c r="C182" s="21">
        <f t="shared" ca="1" si="29"/>
        <v>553.55033672923003</v>
      </c>
      <c r="D182" s="21">
        <f t="shared" ca="1" si="25"/>
        <v>17.660846403859072</v>
      </c>
      <c r="E182" s="21">
        <f t="shared" ca="1" si="32"/>
        <v>17.475343175438866</v>
      </c>
      <c r="F182" s="20" t="str">
        <f t="shared" ca="1" si="30"/>
        <v>No</v>
      </c>
      <c r="G182" s="21">
        <f t="shared" ca="1" si="26"/>
        <v>0</v>
      </c>
      <c r="H182" s="21">
        <f t="shared" ca="1" si="27"/>
        <v>571.02567990466889</v>
      </c>
      <c r="I182" s="21">
        <f t="shared" ca="1" si="22"/>
        <v>588.68652630852796</v>
      </c>
      <c r="J182" s="20">
        <f t="shared" ca="1" si="31"/>
        <v>6</v>
      </c>
      <c r="K182" s="20">
        <f t="shared" ca="1" si="23"/>
        <v>5</v>
      </c>
      <c r="L182" s="44">
        <f t="shared" ca="1" si="28"/>
        <v>5.5</v>
      </c>
    </row>
    <row r="183" spans="1:12" x14ac:dyDescent="0.25">
      <c r="A183" s="20">
        <v>175</v>
      </c>
      <c r="B183" s="21">
        <f t="shared" ca="1" si="24"/>
        <v>1.7947155085815871</v>
      </c>
      <c r="C183" s="21">
        <f t="shared" ca="1" si="29"/>
        <v>555.34505223781161</v>
      </c>
      <c r="D183" s="21">
        <f t="shared" ca="1" si="25"/>
        <v>4.9709306917428586</v>
      </c>
      <c r="E183" s="21">
        <f t="shared" ca="1" si="32"/>
        <v>33.341474070716345</v>
      </c>
      <c r="F183" s="20" t="str">
        <f t="shared" ca="1" si="30"/>
        <v>No</v>
      </c>
      <c r="G183" s="21">
        <f t="shared" ca="1" si="26"/>
        <v>0</v>
      </c>
      <c r="H183" s="21">
        <f t="shared" ca="1" si="27"/>
        <v>588.68652630852796</v>
      </c>
      <c r="I183" s="21">
        <f t="shared" ca="1" si="22"/>
        <v>593.65745700027082</v>
      </c>
      <c r="J183" s="20">
        <f t="shared" ca="1" si="31"/>
        <v>6</v>
      </c>
      <c r="K183" s="20">
        <f t="shared" ca="1" si="23"/>
        <v>5</v>
      </c>
      <c r="L183" s="44">
        <f t="shared" ca="1" si="28"/>
        <v>5.5</v>
      </c>
    </row>
    <row r="184" spans="1:12" x14ac:dyDescent="0.25">
      <c r="A184" s="20">
        <v>176</v>
      </c>
      <c r="B184" s="21">
        <f t="shared" ca="1" si="24"/>
        <v>7.3235681436240867</v>
      </c>
      <c r="C184" s="21">
        <f t="shared" ca="1" si="29"/>
        <v>562.66862038143574</v>
      </c>
      <c r="D184" s="21">
        <f t="shared" ca="1" si="25"/>
        <v>2.1001019455857244</v>
      </c>
      <c r="E184" s="21">
        <f t="shared" ca="1" si="32"/>
        <v>30.98883661883508</v>
      </c>
      <c r="F184" s="20" t="str">
        <f t="shared" ca="1" si="30"/>
        <v>No</v>
      </c>
      <c r="G184" s="21">
        <f t="shared" ca="1" si="26"/>
        <v>0</v>
      </c>
      <c r="H184" s="21">
        <f t="shared" ca="1" si="27"/>
        <v>593.65745700027082</v>
      </c>
      <c r="I184" s="21">
        <f t="shared" ca="1" si="22"/>
        <v>595.75755894585654</v>
      </c>
      <c r="J184" s="20">
        <f t="shared" ca="1" si="31"/>
        <v>6</v>
      </c>
      <c r="K184" s="20">
        <f t="shared" ca="1" si="23"/>
        <v>5</v>
      </c>
      <c r="L184" s="44">
        <f t="shared" ca="1" si="28"/>
        <v>5.5</v>
      </c>
    </row>
    <row r="185" spans="1:12" x14ac:dyDescent="0.25">
      <c r="A185" s="20">
        <v>177</v>
      </c>
      <c r="B185" s="21">
        <f t="shared" ca="1" si="24"/>
        <v>3.3324155348020135</v>
      </c>
      <c r="C185" s="21">
        <f t="shared" ca="1" si="29"/>
        <v>566.00103591623781</v>
      </c>
      <c r="D185" s="21">
        <f t="shared" ca="1" si="25"/>
        <v>3.0884884312196528</v>
      </c>
      <c r="E185" s="21">
        <f t="shared" ca="1" si="32"/>
        <v>29.756523029618734</v>
      </c>
      <c r="F185" s="20" t="str">
        <f t="shared" ca="1" si="30"/>
        <v>No</v>
      </c>
      <c r="G185" s="21">
        <f t="shared" ca="1" si="26"/>
        <v>0</v>
      </c>
      <c r="H185" s="21">
        <f t="shared" ca="1" si="27"/>
        <v>595.75755894585654</v>
      </c>
      <c r="I185" s="21">
        <f t="shared" ca="1" si="22"/>
        <v>598.84604737707616</v>
      </c>
      <c r="J185" s="20">
        <f t="shared" ca="1" si="31"/>
        <v>6</v>
      </c>
      <c r="K185" s="20">
        <f t="shared" ca="1" si="23"/>
        <v>5</v>
      </c>
      <c r="L185" s="44">
        <f t="shared" ca="1" si="28"/>
        <v>5.5</v>
      </c>
    </row>
    <row r="186" spans="1:12" x14ac:dyDescent="0.25">
      <c r="A186" s="20">
        <v>178</v>
      </c>
      <c r="B186" s="21">
        <f t="shared" ca="1" si="24"/>
        <v>0.17373826025279299</v>
      </c>
      <c r="C186" s="21">
        <f t="shared" ca="1" si="29"/>
        <v>566.17477417649059</v>
      </c>
      <c r="D186" s="21">
        <f t="shared" ca="1" si="25"/>
        <v>0.9312397109617272</v>
      </c>
      <c r="E186" s="21">
        <f t="shared" ca="1" si="32"/>
        <v>32.671273200585574</v>
      </c>
      <c r="F186" s="20" t="str">
        <f t="shared" ca="1" si="30"/>
        <v>No</v>
      </c>
      <c r="G186" s="21">
        <f t="shared" ca="1" si="26"/>
        <v>0</v>
      </c>
      <c r="H186" s="21">
        <f t="shared" ca="1" si="27"/>
        <v>598.84604737707616</v>
      </c>
      <c r="I186" s="21">
        <f t="shared" ca="1" si="22"/>
        <v>599.77728708803784</v>
      </c>
      <c r="J186" s="20">
        <f t="shared" ca="1" si="31"/>
        <v>6</v>
      </c>
      <c r="K186" s="20">
        <f t="shared" ca="1" si="23"/>
        <v>5</v>
      </c>
      <c r="L186" s="44">
        <f t="shared" ca="1" si="28"/>
        <v>5.5</v>
      </c>
    </row>
    <row r="187" spans="1:12" x14ac:dyDescent="0.25">
      <c r="A187" s="20">
        <v>179</v>
      </c>
      <c r="B187" s="21">
        <f t="shared" ca="1" si="24"/>
        <v>1.7980904845522032</v>
      </c>
      <c r="C187" s="21">
        <f t="shared" ca="1" si="29"/>
        <v>567.97286466104276</v>
      </c>
      <c r="D187" s="21">
        <f t="shared" ca="1" si="25"/>
        <v>10.475555149012617</v>
      </c>
      <c r="E187" s="21">
        <f t="shared" ca="1" si="32"/>
        <v>31.804422426995075</v>
      </c>
      <c r="F187" s="20" t="str">
        <f t="shared" ca="1" si="30"/>
        <v>No</v>
      </c>
      <c r="G187" s="21">
        <f t="shared" ca="1" si="26"/>
        <v>0</v>
      </c>
      <c r="H187" s="21">
        <f t="shared" ca="1" si="27"/>
        <v>599.77728708803784</v>
      </c>
      <c r="I187" s="21">
        <f t="shared" ca="1" si="22"/>
        <v>610.25284223705046</v>
      </c>
      <c r="J187" s="20">
        <f t="shared" ca="1" si="31"/>
        <v>6</v>
      </c>
      <c r="K187" s="20">
        <f t="shared" ca="1" si="23"/>
        <v>5</v>
      </c>
      <c r="L187" s="44">
        <f t="shared" ca="1" si="28"/>
        <v>5.5</v>
      </c>
    </row>
    <row r="188" spans="1:12" x14ac:dyDescent="0.25">
      <c r="A188" s="20">
        <v>180</v>
      </c>
      <c r="B188" s="21">
        <f t="shared" ca="1" si="24"/>
        <v>1.355252727433877</v>
      </c>
      <c r="C188" s="21">
        <f t="shared" ca="1" si="29"/>
        <v>569.32811738847658</v>
      </c>
      <c r="D188" s="21">
        <f t="shared" ca="1" si="25"/>
        <v>1.0041740045088881</v>
      </c>
      <c r="E188" s="21">
        <f t="shared" ca="1" si="32"/>
        <v>40.924724848573874</v>
      </c>
      <c r="F188" s="20" t="str">
        <f t="shared" ca="1" si="30"/>
        <v>No</v>
      </c>
      <c r="G188" s="21">
        <f t="shared" ca="1" si="26"/>
        <v>0</v>
      </c>
      <c r="H188" s="21">
        <f t="shared" ca="1" si="27"/>
        <v>610.25284223705046</v>
      </c>
      <c r="I188" s="21">
        <f t="shared" ca="1" si="22"/>
        <v>611.25701624155931</v>
      </c>
      <c r="J188" s="20">
        <f t="shared" ca="1" si="31"/>
        <v>6</v>
      </c>
      <c r="K188" s="20">
        <f t="shared" ca="1" si="23"/>
        <v>5</v>
      </c>
      <c r="L188" s="44">
        <f t="shared" ca="1" si="28"/>
        <v>5.5</v>
      </c>
    </row>
    <row r="189" spans="1:12" x14ac:dyDescent="0.25">
      <c r="A189" s="20">
        <v>181</v>
      </c>
      <c r="B189" s="21">
        <f t="shared" ca="1" si="24"/>
        <v>1.4603349929048535</v>
      </c>
      <c r="C189" s="21">
        <f t="shared" ca="1" si="29"/>
        <v>570.78845238138149</v>
      </c>
      <c r="D189" s="21">
        <f t="shared" ca="1" si="25"/>
        <v>0.84016588231213363</v>
      </c>
      <c r="E189" s="21">
        <f t="shared" ca="1" si="32"/>
        <v>40.468563860177824</v>
      </c>
      <c r="F189" s="20" t="str">
        <f t="shared" ca="1" si="30"/>
        <v>No</v>
      </c>
      <c r="G189" s="21">
        <f t="shared" ca="1" si="26"/>
        <v>0</v>
      </c>
      <c r="H189" s="21">
        <f t="shared" ca="1" si="27"/>
        <v>611.25701624155931</v>
      </c>
      <c r="I189" s="21">
        <f t="shared" ca="1" si="22"/>
        <v>612.09718212387145</v>
      </c>
      <c r="J189" s="20">
        <f t="shared" ca="1" si="31"/>
        <v>6</v>
      </c>
      <c r="K189" s="20">
        <f t="shared" ca="1" si="23"/>
        <v>5</v>
      </c>
      <c r="L189" s="44">
        <f t="shared" ca="1" si="28"/>
        <v>5.5</v>
      </c>
    </row>
    <row r="190" spans="1:12" x14ac:dyDescent="0.25">
      <c r="A190" s="20">
        <v>182</v>
      </c>
      <c r="B190" s="21">
        <f t="shared" ca="1" si="24"/>
        <v>9.777474004822448</v>
      </c>
      <c r="C190" s="21">
        <f t="shared" ca="1" si="29"/>
        <v>580.56592638620396</v>
      </c>
      <c r="D190" s="21">
        <f t="shared" ca="1" si="25"/>
        <v>1.0931337664833962</v>
      </c>
      <c r="E190" s="21">
        <f t="shared" ca="1" si="32"/>
        <v>31.531255737667493</v>
      </c>
      <c r="F190" s="20" t="str">
        <f t="shared" ca="1" si="30"/>
        <v>No</v>
      </c>
      <c r="G190" s="21">
        <f t="shared" ca="1" si="26"/>
        <v>0</v>
      </c>
      <c r="H190" s="21">
        <f t="shared" ca="1" si="27"/>
        <v>612.09718212387145</v>
      </c>
      <c r="I190" s="21">
        <f t="shared" ca="1" si="22"/>
        <v>613.1903158903549</v>
      </c>
      <c r="J190" s="20">
        <f t="shared" ca="1" si="31"/>
        <v>6</v>
      </c>
      <c r="K190" s="20">
        <f t="shared" ca="1" si="23"/>
        <v>5</v>
      </c>
      <c r="L190" s="44">
        <f t="shared" ca="1" si="28"/>
        <v>5.5</v>
      </c>
    </row>
    <row r="191" spans="1:12" x14ac:dyDescent="0.25">
      <c r="A191" s="20">
        <v>183</v>
      </c>
      <c r="B191" s="21">
        <f t="shared" ca="1" si="24"/>
        <v>5.8423323760127142</v>
      </c>
      <c r="C191" s="21">
        <f t="shared" ca="1" si="29"/>
        <v>586.40825876221663</v>
      </c>
      <c r="D191" s="21">
        <f t="shared" ca="1" si="25"/>
        <v>1.0338410518562668</v>
      </c>
      <c r="E191" s="21">
        <f t="shared" ca="1" si="32"/>
        <v>26.782057128138263</v>
      </c>
      <c r="F191" s="20" t="str">
        <f t="shared" ca="1" si="30"/>
        <v>No</v>
      </c>
      <c r="G191" s="21">
        <f t="shared" ca="1" si="26"/>
        <v>0</v>
      </c>
      <c r="H191" s="21">
        <f t="shared" ca="1" si="27"/>
        <v>613.1903158903549</v>
      </c>
      <c r="I191" s="21">
        <f t="shared" ca="1" si="22"/>
        <v>614.22415694221115</v>
      </c>
      <c r="J191" s="20">
        <f t="shared" ca="1" si="31"/>
        <v>6</v>
      </c>
      <c r="K191" s="20">
        <f t="shared" ca="1" si="23"/>
        <v>5</v>
      </c>
      <c r="L191" s="44">
        <f t="shared" ca="1" si="28"/>
        <v>5.5</v>
      </c>
    </row>
    <row r="192" spans="1:12" x14ac:dyDescent="0.25">
      <c r="A192" s="20">
        <v>184</v>
      </c>
      <c r="B192" s="21">
        <f t="shared" ca="1" si="24"/>
        <v>1.5287301755829585</v>
      </c>
      <c r="C192" s="21">
        <f t="shared" ca="1" si="29"/>
        <v>587.93698893779958</v>
      </c>
      <c r="D192" s="21">
        <f t="shared" ca="1" si="25"/>
        <v>2.0383786999066746</v>
      </c>
      <c r="E192" s="21">
        <f t="shared" ca="1" si="32"/>
        <v>26.287168004411569</v>
      </c>
      <c r="F192" s="20" t="str">
        <f t="shared" ca="1" si="30"/>
        <v>No</v>
      </c>
      <c r="G192" s="21">
        <f t="shared" ca="1" si="26"/>
        <v>0</v>
      </c>
      <c r="H192" s="21">
        <f t="shared" ca="1" si="27"/>
        <v>614.22415694221115</v>
      </c>
      <c r="I192" s="21">
        <f t="shared" ca="1" si="22"/>
        <v>616.26253564211788</v>
      </c>
      <c r="J192" s="20">
        <f t="shared" ca="1" si="31"/>
        <v>6</v>
      </c>
      <c r="K192" s="20">
        <f t="shared" ca="1" si="23"/>
        <v>5</v>
      </c>
      <c r="L192" s="44">
        <f t="shared" ca="1" si="28"/>
        <v>5.5</v>
      </c>
    </row>
    <row r="193" spans="1:12" x14ac:dyDescent="0.25">
      <c r="A193" s="20">
        <v>185</v>
      </c>
      <c r="B193" s="21">
        <f t="shared" ca="1" si="24"/>
        <v>4.9290725969085489</v>
      </c>
      <c r="C193" s="21">
        <f t="shared" ca="1" si="29"/>
        <v>592.86606153470814</v>
      </c>
      <c r="D193" s="21">
        <f t="shared" ca="1" si="25"/>
        <v>0.15059889774764282</v>
      </c>
      <c r="E193" s="21">
        <f t="shared" ca="1" si="32"/>
        <v>23.396474107409745</v>
      </c>
      <c r="F193" s="20" t="str">
        <f t="shared" ca="1" si="30"/>
        <v>No</v>
      </c>
      <c r="G193" s="21">
        <f t="shared" ca="1" si="26"/>
        <v>0</v>
      </c>
      <c r="H193" s="21">
        <f t="shared" ca="1" si="27"/>
        <v>616.26253564211788</v>
      </c>
      <c r="I193" s="21">
        <f t="shared" ca="1" si="22"/>
        <v>616.4131345398655</v>
      </c>
      <c r="J193" s="20">
        <f t="shared" ca="1" si="31"/>
        <v>6</v>
      </c>
      <c r="K193" s="20">
        <f t="shared" ca="1" si="23"/>
        <v>5</v>
      </c>
      <c r="L193" s="44">
        <f t="shared" ca="1" si="28"/>
        <v>5.5</v>
      </c>
    </row>
    <row r="194" spans="1:12" x14ac:dyDescent="0.25">
      <c r="A194" s="20">
        <v>186</v>
      </c>
      <c r="B194" s="21">
        <f t="shared" ca="1" si="24"/>
        <v>0.3234098800940674</v>
      </c>
      <c r="C194" s="21">
        <f t="shared" ca="1" si="29"/>
        <v>593.18947141480226</v>
      </c>
      <c r="D194" s="21">
        <f t="shared" ca="1" si="25"/>
        <v>2.8764983562572444</v>
      </c>
      <c r="E194" s="21">
        <f t="shared" ca="1" si="32"/>
        <v>23.22366312506324</v>
      </c>
      <c r="F194" s="20" t="str">
        <f t="shared" ca="1" si="30"/>
        <v>No</v>
      </c>
      <c r="G194" s="21">
        <f t="shared" ca="1" si="26"/>
        <v>0</v>
      </c>
      <c r="H194" s="21">
        <f t="shared" ca="1" si="27"/>
        <v>616.4131345398655</v>
      </c>
      <c r="I194" s="21">
        <f t="shared" ca="1" si="22"/>
        <v>619.28963289612273</v>
      </c>
      <c r="J194" s="20">
        <f t="shared" ca="1" si="31"/>
        <v>6</v>
      </c>
      <c r="K194" s="20">
        <f t="shared" ca="1" si="23"/>
        <v>5</v>
      </c>
      <c r="L194" s="44">
        <f t="shared" ca="1" si="28"/>
        <v>5.5</v>
      </c>
    </row>
    <row r="195" spans="1:12" x14ac:dyDescent="0.25">
      <c r="A195" s="20">
        <v>187</v>
      </c>
      <c r="B195" s="21">
        <f t="shared" ca="1" si="24"/>
        <v>0.97824853694950731</v>
      </c>
      <c r="C195" s="21">
        <f t="shared" ca="1" si="29"/>
        <v>594.16771995175179</v>
      </c>
      <c r="D195" s="21">
        <f t="shared" ca="1" si="25"/>
        <v>1.1575652914208361</v>
      </c>
      <c r="E195" s="21">
        <f t="shared" ca="1" si="32"/>
        <v>25.121912944370933</v>
      </c>
      <c r="F195" s="20" t="str">
        <f t="shared" ca="1" si="30"/>
        <v>No</v>
      </c>
      <c r="G195" s="21">
        <f t="shared" ca="1" si="26"/>
        <v>0</v>
      </c>
      <c r="H195" s="21">
        <f t="shared" ca="1" si="27"/>
        <v>619.28963289612273</v>
      </c>
      <c r="I195" s="21">
        <f t="shared" ca="1" si="22"/>
        <v>620.44719818754356</v>
      </c>
      <c r="J195" s="20">
        <f t="shared" ca="1" si="31"/>
        <v>6</v>
      </c>
      <c r="K195" s="20">
        <f t="shared" ca="1" si="23"/>
        <v>5</v>
      </c>
      <c r="L195" s="44">
        <f t="shared" ca="1" si="28"/>
        <v>5.5</v>
      </c>
    </row>
    <row r="196" spans="1:12" x14ac:dyDescent="0.25">
      <c r="A196" s="20">
        <v>188</v>
      </c>
      <c r="B196" s="21">
        <f t="shared" ca="1" si="24"/>
        <v>0.23631663811470241</v>
      </c>
      <c r="C196" s="21">
        <f t="shared" ca="1" si="29"/>
        <v>594.40403658986645</v>
      </c>
      <c r="D196" s="21">
        <f t="shared" ca="1" si="25"/>
        <v>0.22099242552814111</v>
      </c>
      <c r="E196" s="21">
        <f t="shared" ca="1" si="32"/>
        <v>26.043161597677113</v>
      </c>
      <c r="F196" s="20" t="str">
        <f t="shared" ca="1" si="30"/>
        <v>No</v>
      </c>
      <c r="G196" s="21">
        <f t="shared" ca="1" si="26"/>
        <v>0</v>
      </c>
      <c r="H196" s="21">
        <f t="shared" ca="1" si="27"/>
        <v>620.44719818754356</v>
      </c>
      <c r="I196" s="21">
        <f t="shared" ca="1" si="22"/>
        <v>620.66819061307172</v>
      </c>
      <c r="J196" s="20">
        <f t="shared" ca="1" si="31"/>
        <v>6</v>
      </c>
      <c r="K196" s="20">
        <f t="shared" ca="1" si="23"/>
        <v>5</v>
      </c>
      <c r="L196" s="44">
        <f t="shared" ca="1" si="28"/>
        <v>5.5</v>
      </c>
    </row>
    <row r="197" spans="1:12" x14ac:dyDescent="0.25">
      <c r="A197" s="20">
        <v>189</v>
      </c>
      <c r="B197" s="21">
        <f t="shared" ca="1" si="24"/>
        <v>1.1369042560039744</v>
      </c>
      <c r="C197" s="21">
        <f t="shared" ca="1" si="29"/>
        <v>595.54094084587041</v>
      </c>
      <c r="D197" s="21">
        <f t="shared" ca="1" si="25"/>
        <v>0.10593229159509797</v>
      </c>
      <c r="E197" s="21">
        <f t="shared" ca="1" si="32"/>
        <v>25.127249767201306</v>
      </c>
      <c r="F197" s="20" t="str">
        <f t="shared" ca="1" si="30"/>
        <v>No</v>
      </c>
      <c r="G197" s="21">
        <f t="shared" ca="1" si="26"/>
        <v>0</v>
      </c>
      <c r="H197" s="21">
        <f t="shared" ca="1" si="27"/>
        <v>620.66819061307172</v>
      </c>
      <c r="I197" s="21">
        <f t="shared" ca="1" si="22"/>
        <v>620.7741229046668</v>
      </c>
      <c r="J197" s="20">
        <f t="shared" ca="1" si="31"/>
        <v>6</v>
      </c>
      <c r="K197" s="20">
        <f t="shared" ca="1" si="23"/>
        <v>5</v>
      </c>
      <c r="L197" s="44">
        <f t="shared" ca="1" si="28"/>
        <v>5.5</v>
      </c>
    </row>
    <row r="198" spans="1:12" x14ac:dyDescent="0.25">
      <c r="A198" s="20">
        <v>190</v>
      </c>
      <c r="B198" s="21">
        <f t="shared" ca="1" si="24"/>
        <v>2.0083863726983315</v>
      </c>
      <c r="C198" s="21">
        <f t="shared" ca="1" si="29"/>
        <v>597.54932721856869</v>
      </c>
      <c r="D198" s="21">
        <f t="shared" ca="1" si="25"/>
        <v>1.7293902856549142</v>
      </c>
      <c r="E198" s="21">
        <f t="shared" ca="1" si="32"/>
        <v>23.224795686098105</v>
      </c>
      <c r="F198" s="20" t="str">
        <f t="shared" ca="1" si="30"/>
        <v>No</v>
      </c>
      <c r="G198" s="21">
        <f t="shared" ca="1" si="26"/>
        <v>0</v>
      </c>
      <c r="H198" s="21">
        <f t="shared" ca="1" si="27"/>
        <v>620.7741229046668</v>
      </c>
      <c r="I198" s="21">
        <f t="shared" ca="1" si="22"/>
        <v>622.50351319032166</v>
      </c>
      <c r="J198" s="20">
        <f t="shared" ca="1" si="31"/>
        <v>6</v>
      </c>
      <c r="K198" s="20">
        <f t="shared" ca="1" si="23"/>
        <v>5</v>
      </c>
      <c r="L198" s="44">
        <f t="shared" ca="1" si="28"/>
        <v>5.5</v>
      </c>
    </row>
    <row r="199" spans="1:12" x14ac:dyDescent="0.25">
      <c r="A199" s="20">
        <v>191</v>
      </c>
      <c r="B199" s="21">
        <f t="shared" ca="1" si="24"/>
        <v>2.6544732083177034</v>
      </c>
      <c r="C199" s="21">
        <f t="shared" ca="1" si="29"/>
        <v>600.20380042688635</v>
      </c>
      <c r="D199" s="21">
        <f t="shared" ca="1" si="25"/>
        <v>3.4487331075272025</v>
      </c>
      <c r="E199" s="21">
        <f t="shared" ca="1" si="32"/>
        <v>22.299712763435309</v>
      </c>
      <c r="F199" s="20" t="str">
        <f t="shared" ca="1" si="30"/>
        <v>No</v>
      </c>
      <c r="G199" s="21">
        <f t="shared" ca="1" si="26"/>
        <v>0</v>
      </c>
      <c r="H199" s="21">
        <f t="shared" ca="1" si="27"/>
        <v>622.50351319032166</v>
      </c>
      <c r="I199" s="21">
        <f t="shared" ca="1" si="22"/>
        <v>625.95224629784889</v>
      </c>
      <c r="J199" s="20">
        <f t="shared" ca="1" si="31"/>
        <v>6</v>
      </c>
      <c r="K199" s="20">
        <f t="shared" ca="1" si="23"/>
        <v>5</v>
      </c>
      <c r="L199" s="44">
        <f t="shared" ca="1" si="28"/>
        <v>5.5</v>
      </c>
    </row>
    <row r="200" spans="1:12" x14ac:dyDescent="0.25">
      <c r="A200" s="20">
        <v>192</v>
      </c>
      <c r="B200" s="21">
        <f t="shared" ca="1" si="24"/>
        <v>0.59042980889889651</v>
      </c>
      <c r="C200" s="21">
        <f t="shared" ca="1" si="29"/>
        <v>600.79423023578522</v>
      </c>
      <c r="D200" s="21">
        <f t="shared" ca="1" si="25"/>
        <v>0.90870940941712453</v>
      </c>
      <c r="E200" s="21">
        <f t="shared" ca="1" si="32"/>
        <v>25.158016062063666</v>
      </c>
      <c r="F200" s="20" t="str">
        <f t="shared" ca="1" si="30"/>
        <v>No</v>
      </c>
      <c r="G200" s="21">
        <f t="shared" ca="1" si="26"/>
        <v>0</v>
      </c>
      <c r="H200" s="21">
        <f t="shared" ca="1" si="27"/>
        <v>625.95224629784889</v>
      </c>
      <c r="I200" s="21">
        <f t="shared" ca="1" si="22"/>
        <v>626.86095570726604</v>
      </c>
      <c r="J200" s="20">
        <f t="shared" ca="1" si="31"/>
        <v>6</v>
      </c>
      <c r="K200" s="20">
        <f t="shared" ca="1" si="23"/>
        <v>5</v>
      </c>
      <c r="L200" s="44">
        <f t="shared" ca="1" si="28"/>
        <v>5.5</v>
      </c>
    </row>
    <row r="201" spans="1:12" x14ac:dyDescent="0.25">
      <c r="A201" s="20">
        <v>193</v>
      </c>
      <c r="B201" s="21">
        <f t="shared" ca="1" si="24"/>
        <v>2.3930034225504984</v>
      </c>
      <c r="C201" s="21">
        <f t="shared" ca="1" si="29"/>
        <v>603.18723365833569</v>
      </c>
      <c r="D201" s="21">
        <f t="shared" ca="1" si="25"/>
        <v>5.6011953462719273</v>
      </c>
      <c r="E201" s="21">
        <f t="shared" ca="1" si="32"/>
        <v>23.673722048930358</v>
      </c>
      <c r="F201" s="20" t="str">
        <f t="shared" ca="1" si="30"/>
        <v>No</v>
      </c>
      <c r="G201" s="21">
        <f t="shared" ca="1" si="26"/>
        <v>0</v>
      </c>
      <c r="H201" s="21">
        <f t="shared" ca="1" si="27"/>
        <v>626.86095570726604</v>
      </c>
      <c r="I201" s="21">
        <f t="shared" ref="I201:I264" ca="1" si="33">$H201+$D201</f>
        <v>632.46215105353792</v>
      </c>
      <c r="J201" s="20">
        <f t="shared" ca="1" si="31"/>
        <v>6</v>
      </c>
      <c r="K201" s="20">
        <f t="shared" ref="K201:K264" ca="1" si="34">IF($I201&lt;=$C202,0,IF($I201&lt;=$C203,1,IF($I201&lt;=$C204,2,IF($I201&lt;=$C205,3,IF($I201&lt;=$C206,4,5)))))</f>
        <v>5</v>
      </c>
      <c r="L201" s="44">
        <f t="shared" ca="1" si="28"/>
        <v>5.5</v>
      </c>
    </row>
    <row r="202" spans="1:12" x14ac:dyDescent="0.25">
      <c r="A202" s="20">
        <v>194</v>
      </c>
      <c r="B202" s="21">
        <f t="shared" ref="B202:B265" ca="1" si="35">-LN(RAND())/$D$4</f>
        <v>6.9737662112084786</v>
      </c>
      <c r="C202" s="21">
        <f t="shared" ca="1" si="29"/>
        <v>610.16099986954418</v>
      </c>
      <c r="D202" s="21">
        <f t="shared" ref="D202:D265" ca="1" si="36">-LN(RAND())/$D$6</f>
        <v>1.974341314779624</v>
      </c>
      <c r="E202" s="21">
        <f t="shared" ca="1" si="32"/>
        <v>22.301151183993738</v>
      </c>
      <c r="F202" s="20" t="str">
        <f t="shared" ca="1" si="30"/>
        <v>No</v>
      </c>
      <c r="G202" s="21">
        <f t="shared" ref="G202:G265" ca="1" si="37">IF($I201&lt;=$C202,$C202-$I201,0)</f>
        <v>0</v>
      </c>
      <c r="H202" s="21">
        <f t="shared" ref="H202:H265" ca="1" si="38">IF($I201&lt;=$C202,$C202,$I201)</f>
        <v>632.46215105353792</v>
      </c>
      <c r="I202" s="21">
        <f t="shared" ca="1" si="33"/>
        <v>634.43649236831754</v>
      </c>
      <c r="J202" s="20">
        <f t="shared" ca="1" si="31"/>
        <v>6</v>
      </c>
      <c r="K202" s="20">
        <f t="shared" ca="1" si="34"/>
        <v>5</v>
      </c>
      <c r="L202" s="44">
        <f t="shared" ref="L202:L265" ca="1" si="39">(J202+K202)/2</f>
        <v>5.5</v>
      </c>
    </row>
    <row r="203" spans="1:12" x14ac:dyDescent="0.25">
      <c r="A203" s="20">
        <v>195</v>
      </c>
      <c r="B203" s="21">
        <f t="shared" ca="1" si="35"/>
        <v>4.1493350438034824</v>
      </c>
      <c r="C203" s="21">
        <f t="shared" ref="C203:C266" ca="1" si="40">$C202+$B203</f>
        <v>614.31033491334767</v>
      </c>
      <c r="D203" s="21">
        <f t="shared" ca="1" si="36"/>
        <v>4.6978041311346423</v>
      </c>
      <c r="E203" s="21">
        <f t="shared" ca="1" si="32"/>
        <v>20.126157454969871</v>
      </c>
      <c r="F203" s="20" t="str">
        <f t="shared" ref="F203:F266" ca="1" si="41">IF(E203=0,"Yes","No")</f>
        <v>No</v>
      </c>
      <c r="G203" s="21">
        <f t="shared" ca="1" si="37"/>
        <v>0</v>
      </c>
      <c r="H203" s="21">
        <f t="shared" ca="1" si="38"/>
        <v>634.43649236831754</v>
      </c>
      <c r="I203" s="21">
        <f t="shared" ca="1" si="33"/>
        <v>639.13429649945215</v>
      </c>
      <c r="J203" s="20">
        <f t="shared" ref="J203:J266" ca="1" si="42">IF($I202&lt;=$C203,0,$K202+1)</f>
        <v>6</v>
      </c>
      <c r="K203" s="20">
        <f t="shared" ca="1" si="34"/>
        <v>5</v>
      </c>
      <c r="L203" s="44">
        <f t="shared" ca="1" si="39"/>
        <v>5.5</v>
      </c>
    </row>
    <row r="204" spans="1:12" x14ac:dyDescent="0.25">
      <c r="A204" s="20">
        <v>196</v>
      </c>
      <c r="B204" s="21">
        <f t="shared" ca="1" si="35"/>
        <v>0.14235492454496321</v>
      </c>
      <c r="C204" s="21">
        <f t="shared" ca="1" si="40"/>
        <v>614.45268983789265</v>
      </c>
      <c r="D204" s="21">
        <f t="shared" ca="1" si="36"/>
        <v>2.4108722227059269</v>
      </c>
      <c r="E204" s="21">
        <f t="shared" ref="E204:E267" ca="1" si="43">IF($I203&lt;=$C204,0,$I203-$C204)</f>
        <v>24.681606661559499</v>
      </c>
      <c r="F204" s="20" t="str">
        <f t="shared" ca="1" si="41"/>
        <v>No</v>
      </c>
      <c r="G204" s="21">
        <f t="shared" ca="1" si="37"/>
        <v>0</v>
      </c>
      <c r="H204" s="21">
        <f t="shared" ca="1" si="38"/>
        <v>639.13429649945215</v>
      </c>
      <c r="I204" s="21">
        <f t="shared" ca="1" si="33"/>
        <v>641.54516872215811</v>
      </c>
      <c r="J204" s="20">
        <f t="shared" ca="1" si="42"/>
        <v>6</v>
      </c>
      <c r="K204" s="20">
        <f t="shared" ca="1" si="34"/>
        <v>5</v>
      </c>
      <c r="L204" s="44">
        <f t="shared" ca="1" si="39"/>
        <v>5.5</v>
      </c>
    </row>
    <row r="205" spans="1:12" x14ac:dyDescent="0.25">
      <c r="A205" s="20">
        <v>197</v>
      </c>
      <c r="B205" s="21">
        <f t="shared" ca="1" si="35"/>
        <v>0.48875904117927466</v>
      </c>
      <c r="C205" s="21">
        <f t="shared" ca="1" si="40"/>
        <v>614.94144887907191</v>
      </c>
      <c r="D205" s="21">
        <f t="shared" ca="1" si="36"/>
        <v>9.091773130962487</v>
      </c>
      <c r="E205" s="21">
        <f t="shared" ca="1" si="43"/>
        <v>26.603719843086196</v>
      </c>
      <c r="F205" s="20" t="str">
        <f t="shared" ca="1" si="41"/>
        <v>No</v>
      </c>
      <c r="G205" s="21">
        <f t="shared" ca="1" si="37"/>
        <v>0</v>
      </c>
      <c r="H205" s="21">
        <f t="shared" ca="1" si="38"/>
        <v>641.54516872215811</v>
      </c>
      <c r="I205" s="21">
        <f t="shared" ca="1" si="33"/>
        <v>650.63694185312056</v>
      </c>
      <c r="J205" s="20">
        <f t="shared" ca="1" si="42"/>
        <v>6</v>
      </c>
      <c r="K205" s="20">
        <f t="shared" ca="1" si="34"/>
        <v>5</v>
      </c>
      <c r="L205" s="44">
        <f t="shared" ca="1" si="39"/>
        <v>5.5</v>
      </c>
    </row>
    <row r="206" spans="1:12" x14ac:dyDescent="0.25">
      <c r="A206" s="20">
        <v>198</v>
      </c>
      <c r="B206" s="21">
        <f t="shared" ca="1" si="35"/>
        <v>2.1768338605528448</v>
      </c>
      <c r="C206" s="21">
        <f t="shared" ca="1" si="40"/>
        <v>617.11828273962476</v>
      </c>
      <c r="D206" s="21">
        <f t="shared" ca="1" si="36"/>
        <v>2.8196586435846402</v>
      </c>
      <c r="E206" s="21">
        <f t="shared" ca="1" si="43"/>
        <v>33.518659113495801</v>
      </c>
      <c r="F206" s="20" t="str">
        <f t="shared" ca="1" si="41"/>
        <v>No</v>
      </c>
      <c r="G206" s="21">
        <f t="shared" ca="1" si="37"/>
        <v>0</v>
      </c>
      <c r="H206" s="21">
        <f t="shared" ca="1" si="38"/>
        <v>650.63694185312056</v>
      </c>
      <c r="I206" s="21">
        <f t="shared" ca="1" si="33"/>
        <v>653.45660049670516</v>
      </c>
      <c r="J206" s="20">
        <f t="shared" ca="1" si="42"/>
        <v>6</v>
      </c>
      <c r="K206" s="20">
        <f t="shared" ca="1" si="34"/>
        <v>5</v>
      </c>
      <c r="L206" s="44">
        <f t="shared" ca="1" si="39"/>
        <v>5.5</v>
      </c>
    </row>
    <row r="207" spans="1:12" x14ac:dyDescent="0.25">
      <c r="A207" s="20">
        <v>199</v>
      </c>
      <c r="B207" s="21">
        <f t="shared" ca="1" si="35"/>
        <v>3.027492032953536</v>
      </c>
      <c r="C207" s="21">
        <f t="shared" ca="1" si="40"/>
        <v>620.14577477257831</v>
      </c>
      <c r="D207" s="21">
        <f t="shared" ca="1" si="36"/>
        <v>0.40786226691491662</v>
      </c>
      <c r="E207" s="21">
        <f t="shared" ca="1" si="43"/>
        <v>33.310825724126857</v>
      </c>
      <c r="F207" s="20" t="str">
        <f t="shared" ca="1" si="41"/>
        <v>No</v>
      </c>
      <c r="G207" s="21">
        <f t="shared" ca="1" si="37"/>
        <v>0</v>
      </c>
      <c r="H207" s="21">
        <f t="shared" ca="1" si="38"/>
        <v>653.45660049670516</v>
      </c>
      <c r="I207" s="21">
        <f t="shared" ca="1" si="33"/>
        <v>653.86446276362005</v>
      </c>
      <c r="J207" s="20">
        <f t="shared" ca="1" si="42"/>
        <v>6</v>
      </c>
      <c r="K207" s="20">
        <f t="shared" ca="1" si="34"/>
        <v>5</v>
      </c>
      <c r="L207" s="44">
        <f t="shared" ca="1" si="39"/>
        <v>5.5</v>
      </c>
    </row>
    <row r="208" spans="1:12" x14ac:dyDescent="0.25">
      <c r="A208" s="20">
        <v>200</v>
      </c>
      <c r="B208" s="21">
        <f t="shared" ca="1" si="35"/>
        <v>3.2632074403580047</v>
      </c>
      <c r="C208" s="21">
        <f t="shared" ca="1" si="40"/>
        <v>623.40898221293628</v>
      </c>
      <c r="D208" s="21">
        <f t="shared" ca="1" si="36"/>
        <v>0.27170014537856196</v>
      </c>
      <c r="E208" s="21">
        <f t="shared" ca="1" si="43"/>
        <v>30.455480550683774</v>
      </c>
      <c r="F208" s="20" t="str">
        <f t="shared" ca="1" si="41"/>
        <v>No</v>
      </c>
      <c r="G208" s="21">
        <f t="shared" ca="1" si="37"/>
        <v>0</v>
      </c>
      <c r="H208" s="21">
        <f t="shared" ca="1" si="38"/>
        <v>653.86446276362005</v>
      </c>
      <c r="I208" s="21">
        <f t="shared" ca="1" si="33"/>
        <v>654.13616290899859</v>
      </c>
      <c r="J208" s="20">
        <f t="shared" ca="1" si="42"/>
        <v>6</v>
      </c>
      <c r="K208" s="20">
        <f t="shared" ca="1" si="34"/>
        <v>5</v>
      </c>
      <c r="L208" s="44">
        <f t="shared" ca="1" si="39"/>
        <v>5.5</v>
      </c>
    </row>
    <row r="209" spans="1:12" x14ac:dyDescent="0.25">
      <c r="A209" s="20">
        <v>201</v>
      </c>
      <c r="B209" s="21">
        <f t="shared" ca="1" si="35"/>
        <v>0.31286427703958408</v>
      </c>
      <c r="C209" s="21">
        <f t="shared" ca="1" si="40"/>
        <v>623.72184648997586</v>
      </c>
      <c r="D209" s="21">
        <f t="shared" ca="1" si="36"/>
        <v>2.4007631210253164</v>
      </c>
      <c r="E209" s="21">
        <f t="shared" ca="1" si="43"/>
        <v>30.414316419022725</v>
      </c>
      <c r="F209" s="20" t="str">
        <f t="shared" ca="1" si="41"/>
        <v>No</v>
      </c>
      <c r="G209" s="21">
        <f t="shared" ca="1" si="37"/>
        <v>0</v>
      </c>
      <c r="H209" s="21">
        <f t="shared" ca="1" si="38"/>
        <v>654.13616290899859</v>
      </c>
      <c r="I209" s="21">
        <f t="shared" ca="1" si="33"/>
        <v>656.53692603002389</v>
      </c>
      <c r="J209" s="20">
        <f t="shared" ca="1" si="42"/>
        <v>6</v>
      </c>
      <c r="K209" s="20">
        <f t="shared" ca="1" si="34"/>
        <v>5</v>
      </c>
      <c r="L209" s="44">
        <f t="shared" ca="1" si="39"/>
        <v>5.5</v>
      </c>
    </row>
    <row r="210" spans="1:12" x14ac:dyDescent="0.25">
      <c r="A210" s="20">
        <v>202</v>
      </c>
      <c r="B210" s="21">
        <f t="shared" ca="1" si="35"/>
        <v>1.1485606370525738</v>
      </c>
      <c r="C210" s="21">
        <f t="shared" ca="1" si="40"/>
        <v>624.87040712702844</v>
      </c>
      <c r="D210" s="21">
        <f t="shared" ca="1" si="36"/>
        <v>0.79567894324103527</v>
      </c>
      <c r="E210" s="21">
        <f t="shared" ca="1" si="43"/>
        <v>31.666518902995449</v>
      </c>
      <c r="F210" s="20" t="str">
        <f t="shared" ca="1" si="41"/>
        <v>No</v>
      </c>
      <c r="G210" s="21">
        <f t="shared" ca="1" si="37"/>
        <v>0</v>
      </c>
      <c r="H210" s="21">
        <f t="shared" ca="1" si="38"/>
        <v>656.53692603002389</v>
      </c>
      <c r="I210" s="21">
        <f t="shared" ca="1" si="33"/>
        <v>657.33260497326489</v>
      </c>
      <c r="J210" s="20">
        <f t="shared" ca="1" si="42"/>
        <v>6</v>
      </c>
      <c r="K210" s="20">
        <f t="shared" ca="1" si="34"/>
        <v>5</v>
      </c>
      <c r="L210" s="44">
        <f t="shared" ca="1" si="39"/>
        <v>5.5</v>
      </c>
    </row>
    <row r="211" spans="1:12" x14ac:dyDescent="0.25">
      <c r="A211" s="20">
        <v>203</v>
      </c>
      <c r="B211" s="21">
        <f t="shared" ca="1" si="35"/>
        <v>2.8167742530162112</v>
      </c>
      <c r="C211" s="21">
        <f t="shared" ca="1" si="40"/>
        <v>627.68718138004465</v>
      </c>
      <c r="D211" s="21">
        <f t="shared" ca="1" si="36"/>
        <v>2.0077871628713351</v>
      </c>
      <c r="E211" s="21">
        <f t="shared" ca="1" si="43"/>
        <v>29.645423593220244</v>
      </c>
      <c r="F211" s="20" t="str">
        <f t="shared" ca="1" si="41"/>
        <v>No</v>
      </c>
      <c r="G211" s="21">
        <f t="shared" ca="1" si="37"/>
        <v>0</v>
      </c>
      <c r="H211" s="21">
        <f t="shared" ca="1" si="38"/>
        <v>657.33260497326489</v>
      </c>
      <c r="I211" s="21">
        <f t="shared" ca="1" si="33"/>
        <v>659.34039213613619</v>
      </c>
      <c r="J211" s="20">
        <f t="shared" ca="1" si="42"/>
        <v>6</v>
      </c>
      <c r="K211" s="20">
        <f t="shared" ca="1" si="34"/>
        <v>5</v>
      </c>
      <c r="L211" s="44">
        <f t="shared" ca="1" si="39"/>
        <v>5.5</v>
      </c>
    </row>
    <row r="212" spans="1:12" x14ac:dyDescent="0.25">
      <c r="A212" s="20">
        <v>204</v>
      </c>
      <c r="B212" s="21">
        <f t="shared" ca="1" si="35"/>
        <v>0.28370672293992111</v>
      </c>
      <c r="C212" s="21">
        <f t="shared" ca="1" si="40"/>
        <v>627.97088810298453</v>
      </c>
      <c r="D212" s="21">
        <f t="shared" ca="1" si="36"/>
        <v>3.4893041761009358</v>
      </c>
      <c r="E212" s="21">
        <f t="shared" ca="1" si="43"/>
        <v>31.369504033151657</v>
      </c>
      <c r="F212" s="20" t="str">
        <f t="shared" ca="1" si="41"/>
        <v>No</v>
      </c>
      <c r="G212" s="21">
        <f t="shared" ca="1" si="37"/>
        <v>0</v>
      </c>
      <c r="H212" s="21">
        <f t="shared" ca="1" si="38"/>
        <v>659.34039213613619</v>
      </c>
      <c r="I212" s="21">
        <f t="shared" ca="1" si="33"/>
        <v>662.82969631223716</v>
      </c>
      <c r="J212" s="20">
        <f t="shared" ca="1" si="42"/>
        <v>6</v>
      </c>
      <c r="K212" s="20">
        <f t="shared" ca="1" si="34"/>
        <v>5</v>
      </c>
      <c r="L212" s="44">
        <f t="shared" ca="1" si="39"/>
        <v>5.5</v>
      </c>
    </row>
    <row r="213" spans="1:12" x14ac:dyDescent="0.25">
      <c r="A213" s="20">
        <v>205</v>
      </c>
      <c r="B213" s="21">
        <f t="shared" ca="1" si="35"/>
        <v>5.0285669011915424</v>
      </c>
      <c r="C213" s="21">
        <f t="shared" ca="1" si="40"/>
        <v>632.99945500417607</v>
      </c>
      <c r="D213" s="21">
        <f t="shared" ca="1" si="36"/>
        <v>2.9130549134798591</v>
      </c>
      <c r="E213" s="21">
        <f t="shared" ca="1" si="43"/>
        <v>29.83024130806109</v>
      </c>
      <c r="F213" s="20" t="str">
        <f t="shared" ca="1" si="41"/>
        <v>No</v>
      </c>
      <c r="G213" s="21">
        <f t="shared" ca="1" si="37"/>
        <v>0</v>
      </c>
      <c r="H213" s="21">
        <f t="shared" ca="1" si="38"/>
        <v>662.82969631223716</v>
      </c>
      <c r="I213" s="21">
        <f t="shared" ca="1" si="33"/>
        <v>665.74275122571703</v>
      </c>
      <c r="J213" s="20">
        <f t="shared" ca="1" si="42"/>
        <v>6</v>
      </c>
      <c r="K213" s="20">
        <f t="shared" ca="1" si="34"/>
        <v>5</v>
      </c>
      <c r="L213" s="44">
        <f t="shared" ca="1" si="39"/>
        <v>5.5</v>
      </c>
    </row>
    <row r="214" spans="1:12" x14ac:dyDescent="0.25">
      <c r="A214" s="20">
        <v>206</v>
      </c>
      <c r="B214" s="21">
        <f t="shared" ca="1" si="35"/>
        <v>1.8747206865890995</v>
      </c>
      <c r="C214" s="21">
        <f t="shared" ca="1" si="40"/>
        <v>634.87417569076513</v>
      </c>
      <c r="D214" s="21">
        <f t="shared" ca="1" si="36"/>
        <v>2.6383135095026478</v>
      </c>
      <c r="E214" s="21">
        <f t="shared" ca="1" si="43"/>
        <v>30.868575534951901</v>
      </c>
      <c r="F214" s="20" t="str">
        <f t="shared" ca="1" si="41"/>
        <v>No</v>
      </c>
      <c r="G214" s="21">
        <f t="shared" ca="1" si="37"/>
        <v>0</v>
      </c>
      <c r="H214" s="21">
        <f t="shared" ca="1" si="38"/>
        <v>665.74275122571703</v>
      </c>
      <c r="I214" s="21">
        <f t="shared" ca="1" si="33"/>
        <v>668.38106473521964</v>
      </c>
      <c r="J214" s="20">
        <f t="shared" ca="1" si="42"/>
        <v>6</v>
      </c>
      <c r="K214" s="20">
        <f t="shared" ca="1" si="34"/>
        <v>5</v>
      </c>
      <c r="L214" s="44">
        <f t="shared" ca="1" si="39"/>
        <v>5.5</v>
      </c>
    </row>
    <row r="215" spans="1:12" x14ac:dyDescent="0.25">
      <c r="A215" s="20">
        <v>207</v>
      </c>
      <c r="B215" s="21">
        <f t="shared" ca="1" si="35"/>
        <v>1.7317759424677568</v>
      </c>
      <c r="C215" s="21">
        <f t="shared" ca="1" si="40"/>
        <v>636.60595163323285</v>
      </c>
      <c r="D215" s="21">
        <f t="shared" ca="1" si="36"/>
        <v>0.57383144797029328</v>
      </c>
      <c r="E215" s="21">
        <f t="shared" ca="1" si="43"/>
        <v>31.77511310198679</v>
      </c>
      <c r="F215" s="20" t="str">
        <f t="shared" ca="1" si="41"/>
        <v>No</v>
      </c>
      <c r="G215" s="21">
        <f t="shared" ca="1" si="37"/>
        <v>0</v>
      </c>
      <c r="H215" s="21">
        <f t="shared" ca="1" si="38"/>
        <v>668.38106473521964</v>
      </c>
      <c r="I215" s="21">
        <f t="shared" ca="1" si="33"/>
        <v>668.95489618318993</v>
      </c>
      <c r="J215" s="20">
        <f t="shared" ca="1" si="42"/>
        <v>6</v>
      </c>
      <c r="K215" s="20">
        <f t="shared" ca="1" si="34"/>
        <v>5</v>
      </c>
      <c r="L215" s="44">
        <f t="shared" ca="1" si="39"/>
        <v>5.5</v>
      </c>
    </row>
    <row r="216" spans="1:12" x14ac:dyDescent="0.25">
      <c r="A216" s="20">
        <v>208</v>
      </c>
      <c r="B216" s="21">
        <f t="shared" ca="1" si="35"/>
        <v>6.6643595420500104</v>
      </c>
      <c r="C216" s="21">
        <f t="shared" ca="1" si="40"/>
        <v>643.27031117528281</v>
      </c>
      <c r="D216" s="21">
        <f t="shared" ca="1" si="36"/>
        <v>0.50772557504748639</v>
      </c>
      <c r="E216" s="21">
        <f t="shared" ca="1" si="43"/>
        <v>25.684585007907117</v>
      </c>
      <c r="F216" s="20" t="str">
        <f t="shared" ca="1" si="41"/>
        <v>No</v>
      </c>
      <c r="G216" s="21">
        <f t="shared" ca="1" si="37"/>
        <v>0</v>
      </c>
      <c r="H216" s="21">
        <f t="shared" ca="1" si="38"/>
        <v>668.95489618318993</v>
      </c>
      <c r="I216" s="21">
        <f t="shared" ca="1" si="33"/>
        <v>669.46262175823745</v>
      </c>
      <c r="J216" s="20">
        <f t="shared" ca="1" si="42"/>
        <v>6</v>
      </c>
      <c r="K216" s="20">
        <f t="shared" ca="1" si="34"/>
        <v>5</v>
      </c>
      <c r="L216" s="44">
        <f t="shared" ca="1" si="39"/>
        <v>5.5</v>
      </c>
    </row>
    <row r="217" spans="1:12" x14ac:dyDescent="0.25">
      <c r="A217" s="20">
        <v>209</v>
      </c>
      <c r="B217" s="21">
        <f t="shared" ca="1" si="35"/>
        <v>0.10672603002386306</v>
      </c>
      <c r="C217" s="21">
        <f t="shared" ca="1" si="40"/>
        <v>643.37703720530669</v>
      </c>
      <c r="D217" s="21">
        <f t="shared" ca="1" si="36"/>
        <v>1.6698095476394286</v>
      </c>
      <c r="E217" s="21">
        <f t="shared" ca="1" si="43"/>
        <v>26.085584552930754</v>
      </c>
      <c r="F217" s="20" t="str">
        <f t="shared" ca="1" si="41"/>
        <v>No</v>
      </c>
      <c r="G217" s="21">
        <f t="shared" ca="1" si="37"/>
        <v>0</v>
      </c>
      <c r="H217" s="21">
        <f t="shared" ca="1" si="38"/>
        <v>669.46262175823745</v>
      </c>
      <c r="I217" s="21">
        <f t="shared" ca="1" si="33"/>
        <v>671.13243130587682</v>
      </c>
      <c r="J217" s="20">
        <f t="shared" ca="1" si="42"/>
        <v>6</v>
      </c>
      <c r="K217" s="20">
        <f t="shared" ca="1" si="34"/>
        <v>5</v>
      </c>
      <c r="L217" s="44">
        <f t="shared" ca="1" si="39"/>
        <v>5.5</v>
      </c>
    </row>
    <row r="218" spans="1:12" x14ac:dyDescent="0.25">
      <c r="A218" s="20">
        <v>210</v>
      </c>
      <c r="B218" s="21">
        <f t="shared" ca="1" si="35"/>
        <v>0.93470994795656948</v>
      </c>
      <c r="C218" s="21">
        <f t="shared" ca="1" si="40"/>
        <v>644.31174715326324</v>
      </c>
      <c r="D218" s="21">
        <f t="shared" ca="1" si="36"/>
        <v>8.8229325257621039</v>
      </c>
      <c r="E218" s="21">
        <f t="shared" ca="1" si="43"/>
        <v>26.82068415261358</v>
      </c>
      <c r="F218" s="20" t="str">
        <f t="shared" ca="1" si="41"/>
        <v>No</v>
      </c>
      <c r="G218" s="21">
        <f t="shared" ca="1" si="37"/>
        <v>0</v>
      </c>
      <c r="H218" s="21">
        <f t="shared" ca="1" si="38"/>
        <v>671.13243130587682</v>
      </c>
      <c r="I218" s="21">
        <f t="shared" ca="1" si="33"/>
        <v>679.95536383163892</v>
      </c>
      <c r="J218" s="20">
        <f t="shared" ca="1" si="42"/>
        <v>6</v>
      </c>
      <c r="K218" s="20">
        <f t="shared" ca="1" si="34"/>
        <v>5</v>
      </c>
      <c r="L218" s="44">
        <f t="shared" ca="1" si="39"/>
        <v>5.5</v>
      </c>
    </row>
    <row r="219" spans="1:12" x14ac:dyDescent="0.25">
      <c r="A219" s="20">
        <v>211</v>
      </c>
      <c r="B219" s="21">
        <f t="shared" ca="1" si="35"/>
        <v>0.14828021527739693</v>
      </c>
      <c r="C219" s="21">
        <f t="shared" ca="1" si="40"/>
        <v>644.46002736854064</v>
      </c>
      <c r="D219" s="21">
        <f t="shared" ca="1" si="36"/>
        <v>0.34446826547917758</v>
      </c>
      <c r="E219" s="21">
        <f t="shared" ca="1" si="43"/>
        <v>35.495336463098283</v>
      </c>
      <c r="F219" s="20" t="str">
        <f t="shared" ca="1" si="41"/>
        <v>No</v>
      </c>
      <c r="G219" s="21">
        <f t="shared" ca="1" si="37"/>
        <v>0</v>
      </c>
      <c r="H219" s="21">
        <f t="shared" ca="1" si="38"/>
        <v>679.95536383163892</v>
      </c>
      <c r="I219" s="21">
        <f t="shared" ca="1" si="33"/>
        <v>680.29983209711804</v>
      </c>
      <c r="J219" s="20">
        <f t="shared" ca="1" si="42"/>
        <v>6</v>
      </c>
      <c r="K219" s="20">
        <f t="shared" ca="1" si="34"/>
        <v>5</v>
      </c>
      <c r="L219" s="44">
        <f t="shared" ca="1" si="39"/>
        <v>5.5</v>
      </c>
    </row>
    <row r="220" spans="1:12" x14ac:dyDescent="0.25">
      <c r="A220" s="20">
        <v>212</v>
      </c>
      <c r="B220" s="21">
        <f t="shared" ca="1" si="35"/>
        <v>0.66622574811223612</v>
      </c>
      <c r="C220" s="21">
        <f t="shared" ca="1" si="40"/>
        <v>645.12625311665283</v>
      </c>
      <c r="D220" s="21">
        <f t="shared" ca="1" si="36"/>
        <v>1.8751383638750252</v>
      </c>
      <c r="E220" s="21">
        <f t="shared" ca="1" si="43"/>
        <v>35.173578980465209</v>
      </c>
      <c r="F220" s="20" t="str">
        <f t="shared" ca="1" si="41"/>
        <v>No</v>
      </c>
      <c r="G220" s="21">
        <f t="shared" ca="1" si="37"/>
        <v>0</v>
      </c>
      <c r="H220" s="21">
        <f t="shared" ca="1" si="38"/>
        <v>680.29983209711804</v>
      </c>
      <c r="I220" s="21">
        <f t="shared" ca="1" si="33"/>
        <v>682.17497046099311</v>
      </c>
      <c r="J220" s="20">
        <f t="shared" ca="1" si="42"/>
        <v>6</v>
      </c>
      <c r="K220" s="20">
        <f t="shared" ca="1" si="34"/>
        <v>5</v>
      </c>
      <c r="L220" s="44">
        <f t="shared" ca="1" si="39"/>
        <v>5.5</v>
      </c>
    </row>
    <row r="221" spans="1:12" x14ac:dyDescent="0.25">
      <c r="A221" s="20">
        <v>213</v>
      </c>
      <c r="B221" s="21">
        <f t="shared" ca="1" si="35"/>
        <v>0.58349040410962216</v>
      </c>
      <c r="C221" s="21">
        <f t="shared" ca="1" si="40"/>
        <v>645.70974352076246</v>
      </c>
      <c r="D221" s="21">
        <f t="shared" ca="1" si="36"/>
        <v>0.39053695043343606</v>
      </c>
      <c r="E221" s="21">
        <f t="shared" ca="1" si="43"/>
        <v>36.46522694023065</v>
      </c>
      <c r="F221" s="20" t="str">
        <f t="shared" ca="1" si="41"/>
        <v>No</v>
      </c>
      <c r="G221" s="21">
        <f t="shared" ca="1" si="37"/>
        <v>0</v>
      </c>
      <c r="H221" s="21">
        <f t="shared" ca="1" si="38"/>
        <v>682.17497046099311</v>
      </c>
      <c r="I221" s="21">
        <f t="shared" ca="1" si="33"/>
        <v>682.56550741142655</v>
      </c>
      <c r="J221" s="20">
        <f t="shared" ca="1" si="42"/>
        <v>6</v>
      </c>
      <c r="K221" s="20">
        <f t="shared" ca="1" si="34"/>
        <v>5</v>
      </c>
      <c r="L221" s="44">
        <f t="shared" ca="1" si="39"/>
        <v>5.5</v>
      </c>
    </row>
    <row r="222" spans="1:12" x14ac:dyDescent="0.25">
      <c r="A222" s="20">
        <v>214</v>
      </c>
      <c r="B222" s="21">
        <f t="shared" ca="1" si="35"/>
        <v>0.18548038902575079</v>
      </c>
      <c r="C222" s="21">
        <f t="shared" ca="1" si="40"/>
        <v>645.89522390978823</v>
      </c>
      <c r="D222" s="21">
        <f t="shared" ca="1" si="36"/>
        <v>1.5364241126954883</v>
      </c>
      <c r="E222" s="21">
        <f t="shared" ca="1" si="43"/>
        <v>36.670283501638323</v>
      </c>
      <c r="F222" s="20" t="str">
        <f t="shared" ca="1" si="41"/>
        <v>No</v>
      </c>
      <c r="G222" s="21">
        <f t="shared" ca="1" si="37"/>
        <v>0</v>
      </c>
      <c r="H222" s="21">
        <f t="shared" ca="1" si="38"/>
        <v>682.56550741142655</v>
      </c>
      <c r="I222" s="21">
        <f t="shared" ca="1" si="33"/>
        <v>684.10193152412205</v>
      </c>
      <c r="J222" s="20">
        <f t="shared" ca="1" si="42"/>
        <v>6</v>
      </c>
      <c r="K222" s="20">
        <f t="shared" ca="1" si="34"/>
        <v>5</v>
      </c>
      <c r="L222" s="44">
        <f t="shared" ca="1" si="39"/>
        <v>5.5</v>
      </c>
    </row>
    <row r="223" spans="1:12" x14ac:dyDescent="0.25">
      <c r="A223" s="20">
        <v>215</v>
      </c>
      <c r="B223" s="21">
        <f t="shared" ca="1" si="35"/>
        <v>1.4710618477439528</v>
      </c>
      <c r="C223" s="21">
        <f t="shared" ca="1" si="40"/>
        <v>647.36628575753218</v>
      </c>
      <c r="D223" s="21">
        <f t="shared" ca="1" si="36"/>
        <v>3.0075721975616934E-2</v>
      </c>
      <c r="E223" s="21">
        <f t="shared" ca="1" si="43"/>
        <v>36.735645766589869</v>
      </c>
      <c r="F223" s="20" t="str">
        <f t="shared" ca="1" si="41"/>
        <v>No</v>
      </c>
      <c r="G223" s="21">
        <f t="shared" ca="1" si="37"/>
        <v>0</v>
      </c>
      <c r="H223" s="21">
        <f t="shared" ca="1" si="38"/>
        <v>684.10193152412205</v>
      </c>
      <c r="I223" s="21">
        <f t="shared" ca="1" si="33"/>
        <v>684.13200724609771</v>
      </c>
      <c r="J223" s="20">
        <f t="shared" ca="1" si="42"/>
        <v>6</v>
      </c>
      <c r="K223" s="20">
        <f t="shared" ca="1" si="34"/>
        <v>5</v>
      </c>
      <c r="L223" s="44">
        <f t="shared" ca="1" si="39"/>
        <v>5.5</v>
      </c>
    </row>
    <row r="224" spans="1:12" x14ac:dyDescent="0.25">
      <c r="A224" s="20">
        <v>216</v>
      </c>
      <c r="B224" s="21">
        <f t="shared" ca="1" si="35"/>
        <v>1.5894817193553394</v>
      </c>
      <c r="C224" s="21">
        <f t="shared" ca="1" si="40"/>
        <v>648.95576747688756</v>
      </c>
      <c r="D224" s="21">
        <f t="shared" ca="1" si="36"/>
        <v>0.34094761674847712</v>
      </c>
      <c r="E224" s="21">
        <f t="shared" ca="1" si="43"/>
        <v>35.176239769210156</v>
      </c>
      <c r="F224" s="20" t="str">
        <f t="shared" ca="1" si="41"/>
        <v>No</v>
      </c>
      <c r="G224" s="21">
        <f t="shared" ca="1" si="37"/>
        <v>0</v>
      </c>
      <c r="H224" s="21">
        <f t="shared" ca="1" si="38"/>
        <v>684.13200724609771</v>
      </c>
      <c r="I224" s="21">
        <f t="shared" ca="1" si="33"/>
        <v>684.47295486284622</v>
      </c>
      <c r="J224" s="20">
        <f t="shared" ca="1" si="42"/>
        <v>6</v>
      </c>
      <c r="K224" s="20">
        <f t="shared" ca="1" si="34"/>
        <v>5</v>
      </c>
      <c r="L224" s="44">
        <f t="shared" ca="1" si="39"/>
        <v>5.5</v>
      </c>
    </row>
    <row r="225" spans="1:12" x14ac:dyDescent="0.25">
      <c r="A225" s="20">
        <v>217</v>
      </c>
      <c r="B225" s="21">
        <f t="shared" ca="1" si="35"/>
        <v>0.24264731909825341</v>
      </c>
      <c r="C225" s="21">
        <f t="shared" ca="1" si="40"/>
        <v>649.19841479598585</v>
      </c>
      <c r="D225" s="21">
        <f t="shared" ca="1" si="36"/>
        <v>1.0097687633285066</v>
      </c>
      <c r="E225" s="21">
        <f t="shared" ca="1" si="43"/>
        <v>35.274540066860368</v>
      </c>
      <c r="F225" s="20" t="str">
        <f t="shared" ca="1" si="41"/>
        <v>No</v>
      </c>
      <c r="G225" s="21">
        <f t="shared" ca="1" si="37"/>
        <v>0</v>
      </c>
      <c r="H225" s="21">
        <f t="shared" ca="1" si="38"/>
        <v>684.47295486284622</v>
      </c>
      <c r="I225" s="21">
        <f t="shared" ca="1" si="33"/>
        <v>685.48272362617467</v>
      </c>
      <c r="J225" s="20">
        <f t="shared" ca="1" si="42"/>
        <v>6</v>
      </c>
      <c r="K225" s="20">
        <f t="shared" ca="1" si="34"/>
        <v>5</v>
      </c>
      <c r="L225" s="44">
        <f t="shared" ca="1" si="39"/>
        <v>5.5</v>
      </c>
    </row>
    <row r="226" spans="1:12" x14ac:dyDescent="0.25">
      <c r="A226" s="20">
        <v>218</v>
      </c>
      <c r="B226" s="21">
        <f t="shared" ca="1" si="35"/>
        <v>1.7092698405911873</v>
      </c>
      <c r="C226" s="21">
        <f t="shared" ca="1" si="40"/>
        <v>650.90768463657707</v>
      </c>
      <c r="D226" s="21">
        <f t="shared" ca="1" si="36"/>
        <v>0.59402368157692775</v>
      </c>
      <c r="E226" s="21">
        <f t="shared" ca="1" si="43"/>
        <v>34.575038989597601</v>
      </c>
      <c r="F226" s="20" t="str">
        <f t="shared" ca="1" si="41"/>
        <v>No</v>
      </c>
      <c r="G226" s="21">
        <f t="shared" ca="1" si="37"/>
        <v>0</v>
      </c>
      <c r="H226" s="21">
        <f t="shared" ca="1" si="38"/>
        <v>685.48272362617467</v>
      </c>
      <c r="I226" s="21">
        <f t="shared" ca="1" si="33"/>
        <v>686.07674730775159</v>
      </c>
      <c r="J226" s="20">
        <f t="shared" ca="1" si="42"/>
        <v>6</v>
      </c>
      <c r="K226" s="20">
        <f t="shared" ca="1" si="34"/>
        <v>5</v>
      </c>
      <c r="L226" s="44">
        <f t="shared" ca="1" si="39"/>
        <v>5.5</v>
      </c>
    </row>
    <row r="227" spans="1:12" x14ac:dyDescent="0.25">
      <c r="A227" s="20">
        <v>219</v>
      </c>
      <c r="B227" s="21">
        <f t="shared" ca="1" si="35"/>
        <v>1.5401741545658814</v>
      </c>
      <c r="C227" s="21">
        <f t="shared" ca="1" si="40"/>
        <v>652.44785879114295</v>
      </c>
      <c r="D227" s="21">
        <f t="shared" ca="1" si="36"/>
        <v>0.62908944404134393</v>
      </c>
      <c r="E227" s="21">
        <f t="shared" ca="1" si="43"/>
        <v>33.62888851660864</v>
      </c>
      <c r="F227" s="20" t="str">
        <f t="shared" ca="1" si="41"/>
        <v>No</v>
      </c>
      <c r="G227" s="21">
        <f t="shared" ca="1" si="37"/>
        <v>0</v>
      </c>
      <c r="H227" s="21">
        <f t="shared" ca="1" si="38"/>
        <v>686.07674730775159</v>
      </c>
      <c r="I227" s="21">
        <f t="shared" ca="1" si="33"/>
        <v>686.70583675179296</v>
      </c>
      <c r="J227" s="20">
        <f t="shared" ca="1" si="42"/>
        <v>6</v>
      </c>
      <c r="K227" s="20">
        <f t="shared" ca="1" si="34"/>
        <v>5</v>
      </c>
      <c r="L227" s="44">
        <f t="shared" ca="1" si="39"/>
        <v>5.5</v>
      </c>
    </row>
    <row r="228" spans="1:12" x14ac:dyDescent="0.25">
      <c r="A228" s="20">
        <v>220</v>
      </c>
      <c r="B228" s="21">
        <f t="shared" ca="1" si="35"/>
        <v>8.362897288987579</v>
      </c>
      <c r="C228" s="21">
        <f t="shared" ca="1" si="40"/>
        <v>660.81075608013055</v>
      </c>
      <c r="D228" s="21">
        <f t="shared" ca="1" si="36"/>
        <v>1.7585856713339303</v>
      </c>
      <c r="E228" s="21">
        <f t="shared" ca="1" si="43"/>
        <v>25.895080671662413</v>
      </c>
      <c r="F228" s="20" t="str">
        <f t="shared" ca="1" si="41"/>
        <v>No</v>
      </c>
      <c r="G228" s="21">
        <f t="shared" ca="1" si="37"/>
        <v>0</v>
      </c>
      <c r="H228" s="21">
        <f t="shared" ca="1" si="38"/>
        <v>686.70583675179296</v>
      </c>
      <c r="I228" s="21">
        <f t="shared" ca="1" si="33"/>
        <v>688.46442242312685</v>
      </c>
      <c r="J228" s="20">
        <f t="shared" ca="1" si="42"/>
        <v>6</v>
      </c>
      <c r="K228" s="20">
        <f t="shared" ca="1" si="34"/>
        <v>5</v>
      </c>
      <c r="L228" s="44">
        <f t="shared" ca="1" si="39"/>
        <v>5.5</v>
      </c>
    </row>
    <row r="229" spans="1:12" x14ac:dyDescent="0.25">
      <c r="A229" s="20">
        <v>221</v>
      </c>
      <c r="B229" s="21">
        <f t="shared" ca="1" si="35"/>
        <v>1.0729518431257483</v>
      </c>
      <c r="C229" s="21">
        <f t="shared" ca="1" si="40"/>
        <v>661.88370792325634</v>
      </c>
      <c r="D229" s="21">
        <f t="shared" ca="1" si="36"/>
        <v>2.6689858345330699</v>
      </c>
      <c r="E229" s="21">
        <f t="shared" ca="1" si="43"/>
        <v>26.58071449987051</v>
      </c>
      <c r="F229" s="20" t="str">
        <f t="shared" ca="1" si="41"/>
        <v>No</v>
      </c>
      <c r="G229" s="21">
        <f t="shared" ca="1" si="37"/>
        <v>0</v>
      </c>
      <c r="H229" s="21">
        <f t="shared" ca="1" si="38"/>
        <v>688.46442242312685</v>
      </c>
      <c r="I229" s="21">
        <f t="shared" ca="1" si="33"/>
        <v>691.13340825765988</v>
      </c>
      <c r="J229" s="20">
        <f t="shared" ca="1" si="42"/>
        <v>6</v>
      </c>
      <c r="K229" s="20">
        <f t="shared" ca="1" si="34"/>
        <v>5</v>
      </c>
      <c r="L229" s="44">
        <f t="shared" ca="1" si="39"/>
        <v>5.5</v>
      </c>
    </row>
    <row r="230" spans="1:12" x14ac:dyDescent="0.25">
      <c r="A230" s="20">
        <v>222</v>
      </c>
      <c r="B230" s="21">
        <f t="shared" ca="1" si="35"/>
        <v>0.36757209194212531</v>
      </c>
      <c r="C230" s="21">
        <f t="shared" ca="1" si="40"/>
        <v>662.25128001519852</v>
      </c>
      <c r="D230" s="21">
        <f t="shared" ca="1" si="36"/>
        <v>10.194465240014706</v>
      </c>
      <c r="E230" s="21">
        <f t="shared" ca="1" si="43"/>
        <v>28.882128242461363</v>
      </c>
      <c r="F230" s="20" t="str">
        <f t="shared" ca="1" si="41"/>
        <v>No</v>
      </c>
      <c r="G230" s="21">
        <f t="shared" ca="1" si="37"/>
        <v>0</v>
      </c>
      <c r="H230" s="21">
        <f t="shared" ca="1" si="38"/>
        <v>691.13340825765988</v>
      </c>
      <c r="I230" s="21">
        <f t="shared" ca="1" si="33"/>
        <v>701.32787349767455</v>
      </c>
      <c r="J230" s="20">
        <f t="shared" ca="1" si="42"/>
        <v>6</v>
      </c>
      <c r="K230" s="20">
        <f t="shared" ca="1" si="34"/>
        <v>5</v>
      </c>
      <c r="L230" s="44">
        <f t="shared" ca="1" si="39"/>
        <v>5.5</v>
      </c>
    </row>
    <row r="231" spans="1:12" x14ac:dyDescent="0.25">
      <c r="A231" s="20">
        <v>223</v>
      </c>
      <c r="B231" s="21">
        <f t="shared" ca="1" si="35"/>
        <v>5.4917988433968441</v>
      </c>
      <c r="C231" s="21">
        <f t="shared" ca="1" si="40"/>
        <v>667.74307885859537</v>
      </c>
      <c r="D231" s="21">
        <f t="shared" ca="1" si="36"/>
        <v>3.8131309402421252</v>
      </c>
      <c r="E231" s="21">
        <f t="shared" ca="1" si="43"/>
        <v>33.584794639079178</v>
      </c>
      <c r="F231" s="20" t="str">
        <f t="shared" ca="1" si="41"/>
        <v>No</v>
      </c>
      <c r="G231" s="21">
        <f t="shared" ca="1" si="37"/>
        <v>0</v>
      </c>
      <c r="H231" s="21">
        <f t="shared" ca="1" si="38"/>
        <v>701.32787349767455</v>
      </c>
      <c r="I231" s="21">
        <f t="shared" ca="1" si="33"/>
        <v>705.14100443791665</v>
      </c>
      <c r="J231" s="20">
        <f t="shared" ca="1" si="42"/>
        <v>6</v>
      </c>
      <c r="K231" s="20">
        <f t="shared" ca="1" si="34"/>
        <v>5</v>
      </c>
      <c r="L231" s="44">
        <f t="shared" ca="1" si="39"/>
        <v>5.5</v>
      </c>
    </row>
    <row r="232" spans="1:12" x14ac:dyDescent="0.25">
      <c r="A232" s="20">
        <v>224</v>
      </c>
      <c r="B232" s="21">
        <f t="shared" ca="1" si="35"/>
        <v>4.4543917711679839</v>
      </c>
      <c r="C232" s="21">
        <f t="shared" ca="1" si="40"/>
        <v>672.1974706297633</v>
      </c>
      <c r="D232" s="21">
        <f t="shared" ca="1" si="36"/>
        <v>3.0530303819783988</v>
      </c>
      <c r="E232" s="21">
        <f t="shared" ca="1" si="43"/>
        <v>32.943533808153347</v>
      </c>
      <c r="F232" s="20" t="str">
        <f t="shared" ca="1" si="41"/>
        <v>No</v>
      </c>
      <c r="G232" s="21">
        <f t="shared" ca="1" si="37"/>
        <v>0</v>
      </c>
      <c r="H232" s="21">
        <f t="shared" ca="1" si="38"/>
        <v>705.14100443791665</v>
      </c>
      <c r="I232" s="21">
        <f t="shared" ca="1" si="33"/>
        <v>708.19403481989502</v>
      </c>
      <c r="J232" s="20">
        <f t="shared" ca="1" si="42"/>
        <v>6</v>
      </c>
      <c r="K232" s="20">
        <f t="shared" ca="1" si="34"/>
        <v>5</v>
      </c>
      <c r="L232" s="44">
        <f t="shared" ca="1" si="39"/>
        <v>5.5</v>
      </c>
    </row>
    <row r="233" spans="1:12" x14ac:dyDescent="0.25">
      <c r="A233" s="20">
        <v>225</v>
      </c>
      <c r="B233" s="21">
        <f t="shared" ca="1" si="35"/>
        <v>3.4664445760739415</v>
      </c>
      <c r="C233" s="21">
        <f t="shared" ca="1" si="40"/>
        <v>675.66391520583727</v>
      </c>
      <c r="D233" s="21">
        <f t="shared" ca="1" si="36"/>
        <v>3.9978882622326295</v>
      </c>
      <c r="E233" s="21">
        <f t="shared" ca="1" si="43"/>
        <v>32.530119614057753</v>
      </c>
      <c r="F233" s="20" t="str">
        <f t="shared" ca="1" si="41"/>
        <v>No</v>
      </c>
      <c r="G233" s="21">
        <f t="shared" ca="1" si="37"/>
        <v>0</v>
      </c>
      <c r="H233" s="21">
        <f t="shared" ca="1" si="38"/>
        <v>708.19403481989502</v>
      </c>
      <c r="I233" s="21">
        <f t="shared" ca="1" si="33"/>
        <v>712.19192308212769</v>
      </c>
      <c r="J233" s="20">
        <f t="shared" ca="1" si="42"/>
        <v>6</v>
      </c>
      <c r="K233" s="20">
        <f t="shared" ca="1" si="34"/>
        <v>5</v>
      </c>
      <c r="L233" s="44">
        <f t="shared" ca="1" si="39"/>
        <v>5.5</v>
      </c>
    </row>
    <row r="234" spans="1:12" x14ac:dyDescent="0.25">
      <c r="A234" s="20">
        <v>226</v>
      </c>
      <c r="B234" s="21">
        <f t="shared" ca="1" si="35"/>
        <v>1.3550725344747898</v>
      </c>
      <c r="C234" s="21">
        <f t="shared" ca="1" si="40"/>
        <v>677.01898774031201</v>
      </c>
      <c r="D234" s="21">
        <f t="shared" ca="1" si="36"/>
        <v>1.2676531573835088</v>
      </c>
      <c r="E234" s="21">
        <f t="shared" ca="1" si="43"/>
        <v>35.172935341815673</v>
      </c>
      <c r="F234" s="20" t="str">
        <f t="shared" ca="1" si="41"/>
        <v>No</v>
      </c>
      <c r="G234" s="21">
        <f t="shared" ca="1" si="37"/>
        <v>0</v>
      </c>
      <c r="H234" s="21">
        <f t="shared" ca="1" si="38"/>
        <v>712.19192308212769</v>
      </c>
      <c r="I234" s="21">
        <f t="shared" ca="1" si="33"/>
        <v>713.45957623951119</v>
      </c>
      <c r="J234" s="20">
        <f t="shared" ca="1" si="42"/>
        <v>6</v>
      </c>
      <c r="K234" s="20">
        <f t="shared" ca="1" si="34"/>
        <v>5</v>
      </c>
      <c r="L234" s="44">
        <f t="shared" ca="1" si="39"/>
        <v>5.5</v>
      </c>
    </row>
    <row r="235" spans="1:12" x14ac:dyDescent="0.25">
      <c r="A235" s="20">
        <v>227</v>
      </c>
      <c r="B235" s="21">
        <f t="shared" ca="1" si="35"/>
        <v>4.7748790403258026</v>
      </c>
      <c r="C235" s="21">
        <f t="shared" ca="1" si="40"/>
        <v>681.79386678063781</v>
      </c>
      <c r="D235" s="21">
        <f t="shared" ca="1" si="36"/>
        <v>5.0489659692016806</v>
      </c>
      <c r="E235" s="21">
        <f t="shared" ca="1" si="43"/>
        <v>31.66570945887338</v>
      </c>
      <c r="F235" s="20" t="str">
        <f t="shared" ca="1" si="41"/>
        <v>No</v>
      </c>
      <c r="G235" s="21">
        <f t="shared" ca="1" si="37"/>
        <v>0</v>
      </c>
      <c r="H235" s="21">
        <f t="shared" ca="1" si="38"/>
        <v>713.45957623951119</v>
      </c>
      <c r="I235" s="21">
        <f t="shared" ca="1" si="33"/>
        <v>718.50854220871292</v>
      </c>
      <c r="J235" s="20">
        <f t="shared" ca="1" si="42"/>
        <v>6</v>
      </c>
      <c r="K235" s="20">
        <f t="shared" ca="1" si="34"/>
        <v>5</v>
      </c>
      <c r="L235" s="44">
        <f t="shared" ca="1" si="39"/>
        <v>5.5</v>
      </c>
    </row>
    <row r="236" spans="1:12" x14ac:dyDescent="0.25">
      <c r="A236" s="20">
        <v>228</v>
      </c>
      <c r="B236" s="21">
        <f t="shared" ca="1" si="35"/>
        <v>0.86304571585613055</v>
      </c>
      <c r="C236" s="21">
        <f t="shared" ca="1" si="40"/>
        <v>682.65691249649399</v>
      </c>
      <c r="D236" s="21">
        <f t="shared" ca="1" si="36"/>
        <v>0.35525586367342182</v>
      </c>
      <c r="E236" s="21">
        <f t="shared" ca="1" si="43"/>
        <v>35.851629712218937</v>
      </c>
      <c r="F236" s="20" t="str">
        <f t="shared" ca="1" si="41"/>
        <v>No</v>
      </c>
      <c r="G236" s="21">
        <f t="shared" ca="1" si="37"/>
        <v>0</v>
      </c>
      <c r="H236" s="21">
        <f t="shared" ca="1" si="38"/>
        <v>718.50854220871292</v>
      </c>
      <c r="I236" s="21">
        <f t="shared" ca="1" si="33"/>
        <v>718.86379807238632</v>
      </c>
      <c r="J236" s="20">
        <f t="shared" ca="1" si="42"/>
        <v>6</v>
      </c>
      <c r="K236" s="20">
        <f t="shared" ca="1" si="34"/>
        <v>5</v>
      </c>
      <c r="L236" s="44">
        <f t="shared" ca="1" si="39"/>
        <v>5.5</v>
      </c>
    </row>
    <row r="237" spans="1:12" x14ac:dyDescent="0.25">
      <c r="A237" s="20">
        <v>229</v>
      </c>
      <c r="B237" s="21">
        <f t="shared" ca="1" si="35"/>
        <v>0.28737918372986626</v>
      </c>
      <c r="C237" s="21">
        <f t="shared" ca="1" si="40"/>
        <v>682.94429168022384</v>
      </c>
      <c r="D237" s="21">
        <f t="shared" ca="1" si="36"/>
        <v>1.2285437726538051</v>
      </c>
      <c r="E237" s="21">
        <f t="shared" ca="1" si="43"/>
        <v>35.919506392162475</v>
      </c>
      <c r="F237" s="20" t="str">
        <f t="shared" ca="1" si="41"/>
        <v>No</v>
      </c>
      <c r="G237" s="21">
        <f t="shared" ca="1" si="37"/>
        <v>0</v>
      </c>
      <c r="H237" s="21">
        <f t="shared" ca="1" si="38"/>
        <v>718.86379807238632</v>
      </c>
      <c r="I237" s="21">
        <f t="shared" ca="1" si="33"/>
        <v>720.0923418450401</v>
      </c>
      <c r="J237" s="20">
        <f t="shared" ca="1" si="42"/>
        <v>6</v>
      </c>
      <c r="K237" s="20">
        <f t="shared" ca="1" si="34"/>
        <v>5</v>
      </c>
      <c r="L237" s="44">
        <f t="shared" ca="1" si="39"/>
        <v>5.5</v>
      </c>
    </row>
    <row r="238" spans="1:12" x14ac:dyDescent="0.25">
      <c r="A238" s="20">
        <v>230</v>
      </c>
      <c r="B238" s="21">
        <f t="shared" ca="1" si="35"/>
        <v>1.1983599939361895</v>
      </c>
      <c r="C238" s="21">
        <f t="shared" ca="1" si="40"/>
        <v>684.14265167415999</v>
      </c>
      <c r="D238" s="21">
        <f t="shared" ca="1" si="36"/>
        <v>1.2715621833369546</v>
      </c>
      <c r="E238" s="21">
        <f t="shared" ca="1" si="43"/>
        <v>35.949690170880103</v>
      </c>
      <c r="F238" s="20" t="str">
        <f t="shared" ca="1" si="41"/>
        <v>No</v>
      </c>
      <c r="G238" s="21">
        <f t="shared" ca="1" si="37"/>
        <v>0</v>
      </c>
      <c r="H238" s="21">
        <f t="shared" ca="1" si="38"/>
        <v>720.0923418450401</v>
      </c>
      <c r="I238" s="21">
        <f t="shared" ca="1" si="33"/>
        <v>721.36390402837708</v>
      </c>
      <c r="J238" s="20">
        <f t="shared" ca="1" si="42"/>
        <v>6</v>
      </c>
      <c r="K238" s="20">
        <f t="shared" ca="1" si="34"/>
        <v>5</v>
      </c>
      <c r="L238" s="44">
        <f t="shared" ca="1" si="39"/>
        <v>5.5</v>
      </c>
    </row>
    <row r="239" spans="1:12" x14ac:dyDescent="0.25">
      <c r="A239" s="20">
        <v>231</v>
      </c>
      <c r="B239" s="21">
        <f t="shared" ca="1" si="35"/>
        <v>0.87965198305614833</v>
      </c>
      <c r="C239" s="21">
        <f t="shared" ca="1" si="40"/>
        <v>685.02230365721618</v>
      </c>
      <c r="D239" s="21">
        <f t="shared" ca="1" si="36"/>
        <v>1.3523950172393828</v>
      </c>
      <c r="E239" s="21">
        <f t="shared" ca="1" si="43"/>
        <v>36.341600371160894</v>
      </c>
      <c r="F239" s="20" t="str">
        <f t="shared" ca="1" si="41"/>
        <v>No</v>
      </c>
      <c r="G239" s="21">
        <f t="shared" ca="1" si="37"/>
        <v>0</v>
      </c>
      <c r="H239" s="21">
        <f t="shared" ca="1" si="38"/>
        <v>721.36390402837708</v>
      </c>
      <c r="I239" s="21">
        <f t="shared" ca="1" si="33"/>
        <v>722.71629904561644</v>
      </c>
      <c r="J239" s="20">
        <f t="shared" ca="1" si="42"/>
        <v>6</v>
      </c>
      <c r="K239" s="20">
        <f t="shared" ca="1" si="34"/>
        <v>5</v>
      </c>
      <c r="L239" s="44">
        <f t="shared" ca="1" si="39"/>
        <v>5.5</v>
      </c>
    </row>
    <row r="240" spans="1:12" x14ac:dyDescent="0.25">
      <c r="A240" s="20">
        <v>232</v>
      </c>
      <c r="B240" s="21">
        <f t="shared" ca="1" si="35"/>
        <v>1.4039925538140341</v>
      </c>
      <c r="C240" s="21">
        <f t="shared" ca="1" si="40"/>
        <v>686.42629621103026</v>
      </c>
      <c r="D240" s="21">
        <f t="shared" ca="1" si="36"/>
        <v>7.3087736047329361</v>
      </c>
      <c r="E240" s="21">
        <f t="shared" ca="1" si="43"/>
        <v>36.290002834586176</v>
      </c>
      <c r="F240" s="20" t="str">
        <f t="shared" ca="1" si="41"/>
        <v>No</v>
      </c>
      <c r="G240" s="21">
        <f t="shared" ca="1" si="37"/>
        <v>0</v>
      </c>
      <c r="H240" s="21">
        <f t="shared" ca="1" si="38"/>
        <v>722.71629904561644</v>
      </c>
      <c r="I240" s="21">
        <f t="shared" ca="1" si="33"/>
        <v>730.02507265034933</v>
      </c>
      <c r="J240" s="20">
        <f t="shared" ca="1" si="42"/>
        <v>6</v>
      </c>
      <c r="K240" s="20">
        <f t="shared" ca="1" si="34"/>
        <v>5</v>
      </c>
      <c r="L240" s="44">
        <f t="shared" ca="1" si="39"/>
        <v>5.5</v>
      </c>
    </row>
    <row r="241" spans="1:12" x14ac:dyDescent="0.25">
      <c r="A241" s="20">
        <v>233</v>
      </c>
      <c r="B241" s="21">
        <f t="shared" ca="1" si="35"/>
        <v>9.9261188013927111</v>
      </c>
      <c r="C241" s="21">
        <f t="shared" ca="1" si="40"/>
        <v>696.35241501242297</v>
      </c>
      <c r="D241" s="21">
        <f t="shared" ca="1" si="36"/>
        <v>0.65567594878025048</v>
      </c>
      <c r="E241" s="21">
        <f t="shared" ca="1" si="43"/>
        <v>33.672657637926363</v>
      </c>
      <c r="F241" s="20" t="str">
        <f t="shared" ca="1" si="41"/>
        <v>No</v>
      </c>
      <c r="G241" s="21">
        <f t="shared" ca="1" si="37"/>
        <v>0</v>
      </c>
      <c r="H241" s="21">
        <f t="shared" ca="1" si="38"/>
        <v>730.02507265034933</v>
      </c>
      <c r="I241" s="21">
        <f t="shared" ca="1" si="33"/>
        <v>730.68074859912963</v>
      </c>
      <c r="J241" s="20">
        <f t="shared" ca="1" si="42"/>
        <v>6</v>
      </c>
      <c r="K241" s="20">
        <f t="shared" ca="1" si="34"/>
        <v>5</v>
      </c>
      <c r="L241" s="44">
        <f t="shared" ca="1" si="39"/>
        <v>5.5</v>
      </c>
    </row>
    <row r="242" spans="1:12" x14ac:dyDescent="0.25">
      <c r="A242" s="20">
        <v>234</v>
      </c>
      <c r="B242" s="21">
        <f t="shared" ca="1" si="35"/>
        <v>2.857482933552741</v>
      </c>
      <c r="C242" s="21">
        <f t="shared" ca="1" si="40"/>
        <v>699.20989794597574</v>
      </c>
      <c r="D242" s="21">
        <f t="shared" ca="1" si="36"/>
        <v>0.80251410340643214</v>
      </c>
      <c r="E242" s="21">
        <f t="shared" ca="1" si="43"/>
        <v>31.470850653153889</v>
      </c>
      <c r="F242" s="20" t="str">
        <f t="shared" ca="1" si="41"/>
        <v>No</v>
      </c>
      <c r="G242" s="21">
        <f t="shared" ca="1" si="37"/>
        <v>0</v>
      </c>
      <c r="H242" s="21">
        <f t="shared" ca="1" si="38"/>
        <v>730.68074859912963</v>
      </c>
      <c r="I242" s="21">
        <f t="shared" ca="1" si="33"/>
        <v>731.48326270253608</v>
      </c>
      <c r="J242" s="20">
        <f t="shared" ca="1" si="42"/>
        <v>6</v>
      </c>
      <c r="K242" s="20">
        <f t="shared" ca="1" si="34"/>
        <v>5</v>
      </c>
      <c r="L242" s="44">
        <f t="shared" ca="1" si="39"/>
        <v>5.5</v>
      </c>
    </row>
    <row r="243" spans="1:12" x14ac:dyDescent="0.25">
      <c r="A243" s="20">
        <v>235</v>
      </c>
      <c r="B243" s="21">
        <f t="shared" ca="1" si="35"/>
        <v>3.8514606655777031</v>
      </c>
      <c r="C243" s="21">
        <f t="shared" ca="1" si="40"/>
        <v>703.06135861155349</v>
      </c>
      <c r="D243" s="21">
        <f t="shared" ca="1" si="36"/>
        <v>8.8196434814704574</v>
      </c>
      <c r="E243" s="21">
        <f t="shared" ca="1" si="43"/>
        <v>28.421904090982594</v>
      </c>
      <c r="F243" s="20" t="str">
        <f t="shared" ca="1" si="41"/>
        <v>No</v>
      </c>
      <c r="G243" s="21">
        <f t="shared" ca="1" si="37"/>
        <v>0</v>
      </c>
      <c r="H243" s="21">
        <f t="shared" ca="1" si="38"/>
        <v>731.48326270253608</v>
      </c>
      <c r="I243" s="21">
        <f t="shared" ca="1" si="33"/>
        <v>740.30290618400659</v>
      </c>
      <c r="J243" s="20">
        <f t="shared" ca="1" si="42"/>
        <v>6</v>
      </c>
      <c r="K243" s="20">
        <f t="shared" ca="1" si="34"/>
        <v>5</v>
      </c>
      <c r="L243" s="44">
        <f t="shared" ca="1" si="39"/>
        <v>5.5</v>
      </c>
    </row>
    <row r="244" spans="1:12" x14ac:dyDescent="0.25">
      <c r="A244" s="20">
        <v>236</v>
      </c>
      <c r="B244" s="21">
        <f t="shared" ca="1" si="35"/>
        <v>0.34888350749141289</v>
      </c>
      <c r="C244" s="21">
        <f t="shared" ca="1" si="40"/>
        <v>703.41024211904494</v>
      </c>
      <c r="D244" s="21">
        <f t="shared" ca="1" si="36"/>
        <v>0.15340329542569989</v>
      </c>
      <c r="E244" s="21">
        <f t="shared" ca="1" si="43"/>
        <v>36.89266406496165</v>
      </c>
      <c r="F244" s="20" t="str">
        <f t="shared" ca="1" si="41"/>
        <v>No</v>
      </c>
      <c r="G244" s="21">
        <f t="shared" ca="1" si="37"/>
        <v>0</v>
      </c>
      <c r="H244" s="21">
        <f t="shared" ca="1" si="38"/>
        <v>740.30290618400659</v>
      </c>
      <c r="I244" s="21">
        <f t="shared" ca="1" si="33"/>
        <v>740.45630947943232</v>
      </c>
      <c r="J244" s="20">
        <f t="shared" ca="1" si="42"/>
        <v>6</v>
      </c>
      <c r="K244" s="20">
        <f t="shared" ca="1" si="34"/>
        <v>5</v>
      </c>
      <c r="L244" s="44">
        <f t="shared" ca="1" si="39"/>
        <v>5.5</v>
      </c>
    </row>
    <row r="245" spans="1:12" x14ac:dyDescent="0.25">
      <c r="A245" s="20">
        <v>237</v>
      </c>
      <c r="B245" s="21">
        <f t="shared" ca="1" si="35"/>
        <v>0.16661355127523567</v>
      </c>
      <c r="C245" s="21">
        <f t="shared" ca="1" si="40"/>
        <v>703.57685567032013</v>
      </c>
      <c r="D245" s="21">
        <f t="shared" ca="1" si="36"/>
        <v>6.4986150183846867</v>
      </c>
      <c r="E245" s="21">
        <f t="shared" ca="1" si="43"/>
        <v>36.879453809112192</v>
      </c>
      <c r="F245" s="20" t="str">
        <f t="shared" ca="1" si="41"/>
        <v>No</v>
      </c>
      <c r="G245" s="21">
        <f t="shared" ca="1" si="37"/>
        <v>0</v>
      </c>
      <c r="H245" s="21">
        <f t="shared" ca="1" si="38"/>
        <v>740.45630947943232</v>
      </c>
      <c r="I245" s="21">
        <f t="shared" ca="1" si="33"/>
        <v>746.95492449781705</v>
      </c>
      <c r="J245" s="20">
        <f t="shared" ca="1" si="42"/>
        <v>6</v>
      </c>
      <c r="K245" s="20">
        <f t="shared" ca="1" si="34"/>
        <v>5</v>
      </c>
      <c r="L245" s="44">
        <f t="shared" ca="1" si="39"/>
        <v>5.5</v>
      </c>
    </row>
    <row r="246" spans="1:12" x14ac:dyDescent="0.25">
      <c r="A246" s="20">
        <v>238</v>
      </c>
      <c r="B246" s="21">
        <f t="shared" ca="1" si="35"/>
        <v>1.1305214820568432E-2</v>
      </c>
      <c r="C246" s="21">
        <f t="shared" ca="1" si="40"/>
        <v>703.58816088514072</v>
      </c>
      <c r="D246" s="21">
        <f t="shared" ca="1" si="36"/>
        <v>2.1328128268238884</v>
      </c>
      <c r="E246" s="21">
        <f t="shared" ca="1" si="43"/>
        <v>43.366763612676323</v>
      </c>
      <c r="F246" s="20" t="str">
        <f t="shared" ca="1" si="41"/>
        <v>No</v>
      </c>
      <c r="G246" s="21">
        <f t="shared" ca="1" si="37"/>
        <v>0</v>
      </c>
      <c r="H246" s="21">
        <f t="shared" ca="1" si="38"/>
        <v>746.95492449781705</v>
      </c>
      <c r="I246" s="21">
        <f t="shared" ca="1" si="33"/>
        <v>749.0877373246409</v>
      </c>
      <c r="J246" s="20">
        <f t="shared" ca="1" si="42"/>
        <v>6</v>
      </c>
      <c r="K246" s="20">
        <f t="shared" ca="1" si="34"/>
        <v>5</v>
      </c>
      <c r="L246" s="44">
        <f t="shared" ca="1" si="39"/>
        <v>5.5</v>
      </c>
    </row>
    <row r="247" spans="1:12" x14ac:dyDescent="0.25">
      <c r="A247" s="20">
        <v>239</v>
      </c>
      <c r="B247" s="21">
        <f t="shared" ca="1" si="35"/>
        <v>5.9448363976966316</v>
      </c>
      <c r="C247" s="21">
        <f t="shared" ca="1" si="40"/>
        <v>709.5329972828373</v>
      </c>
      <c r="D247" s="21">
        <f t="shared" ca="1" si="36"/>
        <v>0.40051125369537005</v>
      </c>
      <c r="E247" s="21">
        <f t="shared" ca="1" si="43"/>
        <v>39.554740041803598</v>
      </c>
      <c r="F247" s="20" t="str">
        <f t="shared" ca="1" si="41"/>
        <v>No</v>
      </c>
      <c r="G247" s="21">
        <f t="shared" ca="1" si="37"/>
        <v>0</v>
      </c>
      <c r="H247" s="21">
        <f t="shared" ca="1" si="38"/>
        <v>749.0877373246409</v>
      </c>
      <c r="I247" s="21">
        <f t="shared" ca="1" si="33"/>
        <v>749.48824857833631</v>
      </c>
      <c r="J247" s="20">
        <f t="shared" ca="1" si="42"/>
        <v>6</v>
      </c>
      <c r="K247" s="20">
        <f t="shared" ca="1" si="34"/>
        <v>5</v>
      </c>
      <c r="L247" s="44">
        <f t="shared" ca="1" si="39"/>
        <v>5.5</v>
      </c>
    </row>
    <row r="248" spans="1:12" x14ac:dyDescent="0.25">
      <c r="A248" s="20">
        <v>240</v>
      </c>
      <c r="B248" s="21">
        <f t="shared" ca="1" si="35"/>
        <v>0.19469296369861142</v>
      </c>
      <c r="C248" s="21">
        <f t="shared" ca="1" si="40"/>
        <v>709.72769024653587</v>
      </c>
      <c r="D248" s="21">
        <f t="shared" ca="1" si="36"/>
        <v>2.3172022514768509</v>
      </c>
      <c r="E248" s="21">
        <f t="shared" ca="1" si="43"/>
        <v>39.760558331800439</v>
      </c>
      <c r="F248" s="20" t="str">
        <f t="shared" ca="1" si="41"/>
        <v>No</v>
      </c>
      <c r="G248" s="21">
        <f t="shared" ca="1" si="37"/>
        <v>0</v>
      </c>
      <c r="H248" s="21">
        <f t="shared" ca="1" si="38"/>
        <v>749.48824857833631</v>
      </c>
      <c r="I248" s="21">
        <f t="shared" ca="1" si="33"/>
        <v>751.80545082981314</v>
      </c>
      <c r="J248" s="20">
        <f t="shared" ca="1" si="42"/>
        <v>6</v>
      </c>
      <c r="K248" s="20">
        <f t="shared" ca="1" si="34"/>
        <v>5</v>
      </c>
      <c r="L248" s="44">
        <f t="shared" ca="1" si="39"/>
        <v>5.5</v>
      </c>
    </row>
    <row r="249" spans="1:12" x14ac:dyDescent="0.25">
      <c r="A249" s="20">
        <v>241</v>
      </c>
      <c r="B249" s="21">
        <f t="shared" ca="1" si="35"/>
        <v>0.36742450120769748</v>
      </c>
      <c r="C249" s="21">
        <f t="shared" ca="1" si="40"/>
        <v>710.09511474774354</v>
      </c>
      <c r="D249" s="21">
        <f t="shared" ca="1" si="36"/>
        <v>0.75824528467586705</v>
      </c>
      <c r="E249" s="21">
        <f t="shared" ca="1" si="43"/>
        <v>41.710336082069603</v>
      </c>
      <c r="F249" s="20" t="str">
        <f t="shared" ca="1" si="41"/>
        <v>No</v>
      </c>
      <c r="G249" s="21">
        <f t="shared" ca="1" si="37"/>
        <v>0</v>
      </c>
      <c r="H249" s="21">
        <f t="shared" ca="1" si="38"/>
        <v>751.80545082981314</v>
      </c>
      <c r="I249" s="21">
        <f t="shared" ca="1" si="33"/>
        <v>752.56369611448906</v>
      </c>
      <c r="J249" s="20">
        <f t="shared" ca="1" si="42"/>
        <v>6</v>
      </c>
      <c r="K249" s="20">
        <f t="shared" ca="1" si="34"/>
        <v>5</v>
      </c>
      <c r="L249" s="44">
        <f t="shared" ca="1" si="39"/>
        <v>5.5</v>
      </c>
    </row>
    <row r="250" spans="1:12" x14ac:dyDescent="0.25">
      <c r="A250" s="20">
        <v>242</v>
      </c>
      <c r="B250" s="21">
        <f t="shared" ca="1" si="35"/>
        <v>0.19517181095455208</v>
      </c>
      <c r="C250" s="21">
        <f t="shared" ca="1" si="40"/>
        <v>710.29028655869809</v>
      </c>
      <c r="D250" s="21">
        <f t="shared" ca="1" si="36"/>
        <v>0.95535906415403449</v>
      </c>
      <c r="E250" s="21">
        <f t="shared" ca="1" si="43"/>
        <v>42.273409555790977</v>
      </c>
      <c r="F250" s="20" t="str">
        <f t="shared" ca="1" si="41"/>
        <v>No</v>
      </c>
      <c r="G250" s="21">
        <f t="shared" ca="1" si="37"/>
        <v>0</v>
      </c>
      <c r="H250" s="21">
        <f t="shared" ca="1" si="38"/>
        <v>752.56369611448906</v>
      </c>
      <c r="I250" s="21">
        <f t="shared" ca="1" si="33"/>
        <v>753.51905517864304</v>
      </c>
      <c r="J250" s="20">
        <f t="shared" ca="1" si="42"/>
        <v>6</v>
      </c>
      <c r="K250" s="20">
        <f t="shared" ca="1" si="34"/>
        <v>5</v>
      </c>
      <c r="L250" s="44">
        <f t="shared" ca="1" si="39"/>
        <v>5.5</v>
      </c>
    </row>
    <row r="251" spans="1:12" x14ac:dyDescent="0.25">
      <c r="A251" s="20">
        <v>243</v>
      </c>
      <c r="B251" s="21">
        <f t="shared" ca="1" si="35"/>
        <v>8.0200974013431026</v>
      </c>
      <c r="C251" s="21">
        <f t="shared" ca="1" si="40"/>
        <v>718.31038396004124</v>
      </c>
      <c r="D251" s="21">
        <f t="shared" ca="1" si="36"/>
        <v>6.8700693276004472</v>
      </c>
      <c r="E251" s="21">
        <f t="shared" ca="1" si="43"/>
        <v>35.208671218601808</v>
      </c>
      <c r="F251" s="20" t="str">
        <f t="shared" ca="1" si="41"/>
        <v>No</v>
      </c>
      <c r="G251" s="21">
        <f t="shared" ca="1" si="37"/>
        <v>0</v>
      </c>
      <c r="H251" s="21">
        <f t="shared" ca="1" si="38"/>
        <v>753.51905517864304</v>
      </c>
      <c r="I251" s="21">
        <f t="shared" ca="1" si="33"/>
        <v>760.38912450624343</v>
      </c>
      <c r="J251" s="20">
        <f t="shared" ca="1" si="42"/>
        <v>6</v>
      </c>
      <c r="K251" s="20">
        <f t="shared" ca="1" si="34"/>
        <v>5</v>
      </c>
      <c r="L251" s="44">
        <f t="shared" ca="1" si="39"/>
        <v>5.5</v>
      </c>
    </row>
    <row r="252" spans="1:12" x14ac:dyDescent="0.25">
      <c r="A252" s="20">
        <v>244</v>
      </c>
      <c r="B252" s="21">
        <f t="shared" ca="1" si="35"/>
        <v>3.6727819669707689</v>
      </c>
      <c r="C252" s="21">
        <f t="shared" ca="1" si="40"/>
        <v>721.98316592701201</v>
      </c>
      <c r="D252" s="21">
        <f t="shared" ca="1" si="36"/>
        <v>3.2309484930780168</v>
      </c>
      <c r="E252" s="21">
        <f t="shared" ca="1" si="43"/>
        <v>38.405958579231424</v>
      </c>
      <c r="F252" s="20" t="str">
        <f t="shared" ca="1" si="41"/>
        <v>No</v>
      </c>
      <c r="G252" s="21">
        <f t="shared" ca="1" si="37"/>
        <v>0</v>
      </c>
      <c r="H252" s="21">
        <f t="shared" ca="1" si="38"/>
        <v>760.38912450624343</v>
      </c>
      <c r="I252" s="21">
        <f t="shared" ca="1" si="33"/>
        <v>763.62007299932145</v>
      </c>
      <c r="J252" s="20">
        <f t="shared" ca="1" si="42"/>
        <v>6</v>
      </c>
      <c r="K252" s="20">
        <f t="shared" ca="1" si="34"/>
        <v>5</v>
      </c>
      <c r="L252" s="44">
        <f t="shared" ca="1" si="39"/>
        <v>5.5</v>
      </c>
    </row>
    <row r="253" spans="1:12" x14ac:dyDescent="0.25">
      <c r="A253" s="20">
        <v>245</v>
      </c>
      <c r="B253" s="21">
        <f t="shared" ca="1" si="35"/>
        <v>0.54598360149038949</v>
      </c>
      <c r="C253" s="21">
        <f t="shared" ca="1" si="40"/>
        <v>722.52914952850244</v>
      </c>
      <c r="D253" s="21">
        <f t="shared" ca="1" si="36"/>
        <v>4.839222927042103</v>
      </c>
      <c r="E253" s="21">
        <f t="shared" ca="1" si="43"/>
        <v>41.090923470819007</v>
      </c>
      <c r="F253" s="20" t="str">
        <f t="shared" ca="1" si="41"/>
        <v>No</v>
      </c>
      <c r="G253" s="21">
        <f t="shared" ca="1" si="37"/>
        <v>0</v>
      </c>
      <c r="H253" s="21">
        <f t="shared" ca="1" si="38"/>
        <v>763.62007299932145</v>
      </c>
      <c r="I253" s="21">
        <f t="shared" ca="1" si="33"/>
        <v>768.45929592636355</v>
      </c>
      <c r="J253" s="20">
        <f t="shared" ca="1" si="42"/>
        <v>6</v>
      </c>
      <c r="K253" s="20">
        <f t="shared" ca="1" si="34"/>
        <v>5</v>
      </c>
      <c r="L253" s="44">
        <f t="shared" ca="1" si="39"/>
        <v>5.5</v>
      </c>
    </row>
    <row r="254" spans="1:12" x14ac:dyDescent="0.25">
      <c r="A254" s="20">
        <v>246</v>
      </c>
      <c r="B254" s="21">
        <f t="shared" ca="1" si="35"/>
        <v>0.75741041012299304</v>
      </c>
      <c r="C254" s="21">
        <f t="shared" ca="1" si="40"/>
        <v>723.28655993862549</v>
      </c>
      <c r="D254" s="21">
        <f t="shared" ca="1" si="36"/>
        <v>3.3245623317835897</v>
      </c>
      <c r="E254" s="21">
        <f t="shared" ca="1" si="43"/>
        <v>45.172735987738065</v>
      </c>
      <c r="F254" s="20" t="str">
        <f t="shared" ca="1" si="41"/>
        <v>No</v>
      </c>
      <c r="G254" s="21">
        <f t="shared" ca="1" si="37"/>
        <v>0</v>
      </c>
      <c r="H254" s="21">
        <f t="shared" ca="1" si="38"/>
        <v>768.45929592636355</v>
      </c>
      <c r="I254" s="21">
        <f t="shared" ca="1" si="33"/>
        <v>771.78385825814712</v>
      </c>
      <c r="J254" s="20">
        <f t="shared" ca="1" si="42"/>
        <v>6</v>
      </c>
      <c r="K254" s="20">
        <f t="shared" ca="1" si="34"/>
        <v>5</v>
      </c>
      <c r="L254" s="44">
        <f t="shared" ca="1" si="39"/>
        <v>5.5</v>
      </c>
    </row>
    <row r="255" spans="1:12" x14ac:dyDescent="0.25">
      <c r="A255" s="20">
        <v>247</v>
      </c>
      <c r="B255" s="21">
        <f t="shared" ca="1" si="35"/>
        <v>2.1738584421031657</v>
      </c>
      <c r="C255" s="21">
        <f t="shared" ca="1" si="40"/>
        <v>725.4604183807287</v>
      </c>
      <c r="D255" s="21">
        <f t="shared" ca="1" si="36"/>
        <v>4.395130963080673</v>
      </c>
      <c r="E255" s="21">
        <f t="shared" ca="1" si="43"/>
        <v>46.323439877418423</v>
      </c>
      <c r="F255" s="20" t="str">
        <f t="shared" ca="1" si="41"/>
        <v>No</v>
      </c>
      <c r="G255" s="21">
        <f t="shared" ca="1" si="37"/>
        <v>0</v>
      </c>
      <c r="H255" s="21">
        <f t="shared" ca="1" si="38"/>
        <v>771.78385825814712</v>
      </c>
      <c r="I255" s="21">
        <f t="shared" ca="1" si="33"/>
        <v>776.17898922122777</v>
      </c>
      <c r="J255" s="20">
        <f t="shared" ca="1" si="42"/>
        <v>6</v>
      </c>
      <c r="K255" s="20">
        <f t="shared" ca="1" si="34"/>
        <v>5</v>
      </c>
      <c r="L255" s="44">
        <f t="shared" ca="1" si="39"/>
        <v>5.5</v>
      </c>
    </row>
    <row r="256" spans="1:12" x14ac:dyDescent="0.25">
      <c r="A256" s="20">
        <v>248</v>
      </c>
      <c r="B256" s="21">
        <f t="shared" ca="1" si="35"/>
        <v>2.6684608579821862</v>
      </c>
      <c r="C256" s="21">
        <f t="shared" ca="1" si="40"/>
        <v>728.12887923871085</v>
      </c>
      <c r="D256" s="21">
        <f t="shared" ca="1" si="36"/>
        <v>6.4539118063018295</v>
      </c>
      <c r="E256" s="21">
        <f t="shared" ca="1" si="43"/>
        <v>48.050109982516915</v>
      </c>
      <c r="F256" s="20" t="str">
        <f t="shared" ca="1" si="41"/>
        <v>No</v>
      </c>
      <c r="G256" s="21">
        <f t="shared" ca="1" si="37"/>
        <v>0</v>
      </c>
      <c r="H256" s="21">
        <f t="shared" ca="1" si="38"/>
        <v>776.17898922122777</v>
      </c>
      <c r="I256" s="21">
        <f t="shared" ca="1" si="33"/>
        <v>782.63290102752956</v>
      </c>
      <c r="J256" s="20">
        <f t="shared" ca="1" si="42"/>
        <v>6</v>
      </c>
      <c r="K256" s="20">
        <f t="shared" ca="1" si="34"/>
        <v>5</v>
      </c>
      <c r="L256" s="44">
        <f t="shared" ca="1" si="39"/>
        <v>5.5</v>
      </c>
    </row>
    <row r="257" spans="1:12" x14ac:dyDescent="0.25">
      <c r="A257" s="20">
        <v>249</v>
      </c>
      <c r="B257" s="21">
        <f t="shared" ca="1" si="35"/>
        <v>0.29954045119093753</v>
      </c>
      <c r="C257" s="21">
        <f t="shared" ca="1" si="40"/>
        <v>728.42841968990183</v>
      </c>
      <c r="D257" s="21">
        <f t="shared" ca="1" si="36"/>
        <v>0.99056021202202948</v>
      </c>
      <c r="E257" s="21">
        <f t="shared" ca="1" si="43"/>
        <v>54.204481337627726</v>
      </c>
      <c r="F257" s="20" t="str">
        <f t="shared" ca="1" si="41"/>
        <v>No</v>
      </c>
      <c r="G257" s="21">
        <f t="shared" ca="1" si="37"/>
        <v>0</v>
      </c>
      <c r="H257" s="21">
        <f t="shared" ca="1" si="38"/>
        <v>782.63290102752956</v>
      </c>
      <c r="I257" s="21">
        <f t="shared" ca="1" si="33"/>
        <v>783.6234612395516</v>
      </c>
      <c r="J257" s="20">
        <f t="shared" ca="1" si="42"/>
        <v>6</v>
      </c>
      <c r="K257" s="20">
        <f t="shared" ca="1" si="34"/>
        <v>5</v>
      </c>
      <c r="L257" s="44">
        <f t="shared" ca="1" si="39"/>
        <v>5.5</v>
      </c>
    </row>
    <row r="258" spans="1:12" x14ac:dyDescent="0.25">
      <c r="A258" s="20">
        <v>250</v>
      </c>
      <c r="B258" s="21">
        <f t="shared" ca="1" si="35"/>
        <v>3.3451859273777806</v>
      </c>
      <c r="C258" s="21">
        <f t="shared" ca="1" si="40"/>
        <v>731.7736056172796</v>
      </c>
      <c r="D258" s="21">
        <f t="shared" ca="1" si="36"/>
        <v>1.3583621221023512</v>
      </c>
      <c r="E258" s="21">
        <f t="shared" ca="1" si="43"/>
        <v>51.849855622272003</v>
      </c>
      <c r="F258" s="20" t="str">
        <f t="shared" ca="1" si="41"/>
        <v>No</v>
      </c>
      <c r="G258" s="21">
        <f t="shared" ca="1" si="37"/>
        <v>0</v>
      </c>
      <c r="H258" s="21">
        <f t="shared" ca="1" si="38"/>
        <v>783.6234612395516</v>
      </c>
      <c r="I258" s="21">
        <f t="shared" ca="1" si="33"/>
        <v>784.98182336165394</v>
      </c>
      <c r="J258" s="20">
        <f t="shared" ca="1" si="42"/>
        <v>6</v>
      </c>
      <c r="K258" s="20">
        <f t="shared" ca="1" si="34"/>
        <v>5</v>
      </c>
      <c r="L258" s="44">
        <f t="shared" ca="1" si="39"/>
        <v>5.5</v>
      </c>
    </row>
    <row r="259" spans="1:12" x14ac:dyDescent="0.25">
      <c r="A259" s="20">
        <v>251</v>
      </c>
      <c r="B259" s="21">
        <f t="shared" ca="1" si="35"/>
        <v>5.4258708475472375</v>
      </c>
      <c r="C259" s="21">
        <f t="shared" ca="1" si="40"/>
        <v>737.19947646482683</v>
      </c>
      <c r="D259" s="21">
        <f t="shared" ca="1" si="36"/>
        <v>0.63334926735142627</v>
      </c>
      <c r="E259" s="21">
        <f t="shared" ca="1" si="43"/>
        <v>47.782346896827107</v>
      </c>
      <c r="F259" s="20" t="str">
        <f t="shared" ca="1" si="41"/>
        <v>No</v>
      </c>
      <c r="G259" s="21">
        <f t="shared" ca="1" si="37"/>
        <v>0</v>
      </c>
      <c r="H259" s="21">
        <f t="shared" ca="1" si="38"/>
        <v>784.98182336165394</v>
      </c>
      <c r="I259" s="21">
        <f t="shared" ca="1" si="33"/>
        <v>785.61517262900531</v>
      </c>
      <c r="J259" s="20">
        <f t="shared" ca="1" si="42"/>
        <v>6</v>
      </c>
      <c r="K259" s="20">
        <f t="shared" ca="1" si="34"/>
        <v>5</v>
      </c>
      <c r="L259" s="44">
        <f t="shared" ca="1" si="39"/>
        <v>5.5</v>
      </c>
    </row>
    <row r="260" spans="1:12" x14ac:dyDescent="0.25">
      <c r="A260" s="20">
        <v>252</v>
      </c>
      <c r="B260" s="21">
        <f t="shared" ca="1" si="35"/>
        <v>2.7921250625164031</v>
      </c>
      <c r="C260" s="21">
        <f t="shared" ca="1" si="40"/>
        <v>739.99160152734328</v>
      </c>
      <c r="D260" s="21">
        <f t="shared" ca="1" si="36"/>
        <v>0.51463512050361837</v>
      </c>
      <c r="E260" s="21">
        <f t="shared" ca="1" si="43"/>
        <v>45.623571101662037</v>
      </c>
      <c r="F260" s="20" t="str">
        <f t="shared" ca="1" si="41"/>
        <v>No</v>
      </c>
      <c r="G260" s="21">
        <f t="shared" ca="1" si="37"/>
        <v>0</v>
      </c>
      <c r="H260" s="21">
        <f t="shared" ca="1" si="38"/>
        <v>785.61517262900531</v>
      </c>
      <c r="I260" s="21">
        <f t="shared" ca="1" si="33"/>
        <v>786.12980774950893</v>
      </c>
      <c r="J260" s="20">
        <f t="shared" ca="1" si="42"/>
        <v>6</v>
      </c>
      <c r="K260" s="20">
        <f t="shared" ca="1" si="34"/>
        <v>5</v>
      </c>
      <c r="L260" s="44">
        <f t="shared" ca="1" si="39"/>
        <v>5.5</v>
      </c>
    </row>
    <row r="261" spans="1:12" x14ac:dyDescent="0.25">
      <c r="A261" s="20">
        <v>253</v>
      </c>
      <c r="B261" s="21">
        <f t="shared" ca="1" si="35"/>
        <v>2.3859259850715242</v>
      </c>
      <c r="C261" s="21">
        <f t="shared" ca="1" si="40"/>
        <v>742.37752751241476</v>
      </c>
      <c r="D261" s="21">
        <f t="shared" ca="1" si="36"/>
        <v>3.8655445639935397</v>
      </c>
      <c r="E261" s="21">
        <f t="shared" ca="1" si="43"/>
        <v>43.752280237094169</v>
      </c>
      <c r="F261" s="20" t="str">
        <f t="shared" ca="1" si="41"/>
        <v>No</v>
      </c>
      <c r="G261" s="21">
        <f t="shared" ca="1" si="37"/>
        <v>0</v>
      </c>
      <c r="H261" s="21">
        <f t="shared" ca="1" si="38"/>
        <v>786.12980774950893</v>
      </c>
      <c r="I261" s="21">
        <f t="shared" ca="1" si="33"/>
        <v>789.99535231350251</v>
      </c>
      <c r="J261" s="20">
        <f t="shared" ca="1" si="42"/>
        <v>6</v>
      </c>
      <c r="K261" s="20">
        <f t="shared" ca="1" si="34"/>
        <v>5</v>
      </c>
      <c r="L261" s="44">
        <f t="shared" ca="1" si="39"/>
        <v>5.5</v>
      </c>
    </row>
    <row r="262" spans="1:12" x14ac:dyDescent="0.25">
      <c r="A262" s="20">
        <v>254</v>
      </c>
      <c r="B262" s="21">
        <f t="shared" ca="1" si="35"/>
        <v>0.88424222268109387</v>
      </c>
      <c r="C262" s="21">
        <f t="shared" ca="1" si="40"/>
        <v>743.26176973509587</v>
      </c>
      <c r="D262" s="21">
        <f t="shared" ca="1" si="36"/>
        <v>1.2094856129342735</v>
      </c>
      <c r="E262" s="21">
        <f t="shared" ca="1" si="43"/>
        <v>46.73358257840664</v>
      </c>
      <c r="F262" s="20" t="str">
        <f t="shared" ca="1" si="41"/>
        <v>No</v>
      </c>
      <c r="G262" s="21">
        <f t="shared" ca="1" si="37"/>
        <v>0</v>
      </c>
      <c r="H262" s="21">
        <f t="shared" ca="1" si="38"/>
        <v>789.99535231350251</v>
      </c>
      <c r="I262" s="21">
        <f t="shared" ca="1" si="33"/>
        <v>791.20483792643677</v>
      </c>
      <c r="J262" s="20">
        <f t="shared" ca="1" si="42"/>
        <v>6</v>
      </c>
      <c r="K262" s="20">
        <f t="shared" ca="1" si="34"/>
        <v>5</v>
      </c>
      <c r="L262" s="44">
        <f t="shared" ca="1" si="39"/>
        <v>5.5</v>
      </c>
    </row>
    <row r="263" spans="1:12" x14ac:dyDescent="0.25">
      <c r="A263" s="20">
        <v>255</v>
      </c>
      <c r="B263" s="21">
        <f t="shared" ca="1" si="35"/>
        <v>1.16570636636922</v>
      </c>
      <c r="C263" s="21">
        <f t="shared" ca="1" si="40"/>
        <v>744.42747610146512</v>
      </c>
      <c r="D263" s="21">
        <f t="shared" ca="1" si="36"/>
        <v>2.4114714336990017</v>
      </c>
      <c r="E263" s="21">
        <f t="shared" ca="1" si="43"/>
        <v>46.777361824971649</v>
      </c>
      <c r="F263" s="20" t="str">
        <f t="shared" ca="1" si="41"/>
        <v>No</v>
      </c>
      <c r="G263" s="21">
        <f t="shared" ca="1" si="37"/>
        <v>0</v>
      </c>
      <c r="H263" s="21">
        <f t="shared" ca="1" si="38"/>
        <v>791.20483792643677</v>
      </c>
      <c r="I263" s="21">
        <f t="shared" ca="1" si="33"/>
        <v>793.6163093601358</v>
      </c>
      <c r="J263" s="20">
        <f t="shared" ca="1" si="42"/>
        <v>6</v>
      </c>
      <c r="K263" s="20">
        <f t="shared" ca="1" si="34"/>
        <v>5</v>
      </c>
      <c r="L263" s="44">
        <f t="shared" ca="1" si="39"/>
        <v>5.5</v>
      </c>
    </row>
    <row r="264" spans="1:12" x14ac:dyDescent="0.25">
      <c r="A264" s="20">
        <v>256</v>
      </c>
      <c r="B264" s="21">
        <f t="shared" ca="1" si="35"/>
        <v>1.0606754433455068</v>
      </c>
      <c r="C264" s="21">
        <f t="shared" ca="1" si="40"/>
        <v>745.48815154481065</v>
      </c>
      <c r="D264" s="21">
        <f t="shared" ca="1" si="36"/>
        <v>1.2964846700950152</v>
      </c>
      <c r="E264" s="21">
        <f t="shared" ca="1" si="43"/>
        <v>48.128157815325153</v>
      </c>
      <c r="F264" s="20" t="str">
        <f t="shared" ca="1" si="41"/>
        <v>No</v>
      </c>
      <c r="G264" s="21">
        <f t="shared" ca="1" si="37"/>
        <v>0</v>
      </c>
      <c r="H264" s="21">
        <f t="shared" ca="1" si="38"/>
        <v>793.6163093601358</v>
      </c>
      <c r="I264" s="21">
        <f t="shared" ca="1" si="33"/>
        <v>794.91279403023077</v>
      </c>
      <c r="J264" s="20">
        <f t="shared" ca="1" si="42"/>
        <v>6</v>
      </c>
      <c r="K264" s="20">
        <f t="shared" ca="1" si="34"/>
        <v>5</v>
      </c>
      <c r="L264" s="44">
        <f t="shared" ca="1" si="39"/>
        <v>5.5</v>
      </c>
    </row>
    <row r="265" spans="1:12" x14ac:dyDescent="0.25">
      <c r="A265" s="20">
        <v>257</v>
      </c>
      <c r="B265" s="21">
        <f t="shared" ca="1" si="35"/>
        <v>8.5354077187611903</v>
      </c>
      <c r="C265" s="21">
        <f t="shared" ca="1" si="40"/>
        <v>754.02355926357188</v>
      </c>
      <c r="D265" s="21">
        <f t="shared" ca="1" si="36"/>
        <v>1.5100125074105979</v>
      </c>
      <c r="E265" s="21">
        <f t="shared" ca="1" si="43"/>
        <v>40.889234766658888</v>
      </c>
      <c r="F265" s="20" t="str">
        <f t="shared" ca="1" si="41"/>
        <v>No</v>
      </c>
      <c r="G265" s="21">
        <f t="shared" ca="1" si="37"/>
        <v>0</v>
      </c>
      <c r="H265" s="21">
        <f t="shared" ca="1" si="38"/>
        <v>794.91279403023077</v>
      </c>
      <c r="I265" s="21">
        <f t="shared" ref="I265:I328" ca="1" si="44">$H265+$D265</f>
        <v>796.42280653764135</v>
      </c>
      <c r="J265" s="20">
        <f t="shared" ca="1" si="42"/>
        <v>6</v>
      </c>
      <c r="K265" s="20">
        <f t="shared" ref="K265:K328" ca="1" si="45">IF($I265&lt;=$C266,0,IF($I265&lt;=$C267,1,IF($I265&lt;=$C268,2,IF($I265&lt;=$C269,3,IF($I265&lt;=$C270,4,5)))))</f>
        <v>5</v>
      </c>
      <c r="L265" s="44">
        <f t="shared" ca="1" si="39"/>
        <v>5.5</v>
      </c>
    </row>
    <row r="266" spans="1:12" x14ac:dyDescent="0.25">
      <c r="A266" s="20">
        <v>258</v>
      </c>
      <c r="B266" s="21">
        <f t="shared" ref="B266:B329" ca="1" si="46">-LN(RAND())/$D$4</f>
        <v>6.9488232162409709</v>
      </c>
      <c r="C266" s="21">
        <f t="shared" ca="1" si="40"/>
        <v>760.97238247981284</v>
      </c>
      <c r="D266" s="21">
        <f t="shared" ref="D266:D329" ca="1" si="47">-LN(RAND())/$D$6</f>
        <v>2.0926898819035102</v>
      </c>
      <c r="E266" s="21">
        <f t="shared" ca="1" si="43"/>
        <v>35.450424057828513</v>
      </c>
      <c r="F266" s="20" t="str">
        <f t="shared" ca="1" si="41"/>
        <v>No</v>
      </c>
      <c r="G266" s="21">
        <f t="shared" ref="G266:G329" ca="1" si="48">IF($I265&lt;=$C266,$C266-$I265,0)</f>
        <v>0</v>
      </c>
      <c r="H266" s="21">
        <f t="shared" ref="H266:H329" ca="1" si="49">IF($I265&lt;=$C266,$C266,$I265)</f>
        <v>796.42280653764135</v>
      </c>
      <c r="I266" s="21">
        <f t="shared" ca="1" si="44"/>
        <v>798.51549641954489</v>
      </c>
      <c r="J266" s="20">
        <f t="shared" ca="1" si="42"/>
        <v>6</v>
      </c>
      <c r="K266" s="20">
        <f t="shared" ca="1" si="45"/>
        <v>5</v>
      </c>
      <c r="L266" s="44">
        <f t="shared" ref="L266:L329" ca="1" si="50">(J266+K266)/2</f>
        <v>5.5</v>
      </c>
    </row>
    <row r="267" spans="1:12" x14ac:dyDescent="0.25">
      <c r="A267" s="20">
        <v>259</v>
      </c>
      <c r="B267" s="21">
        <f t="shared" ca="1" si="46"/>
        <v>2.0276231905103299</v>
      </c>
      <c r="C267" s="21">
        <f t="shared" ref="C267:C330" ca="1" si="51">$C266+$B267</f>
        <v>763.00000567032316</v>
      </c>
      <c r="D267" s="21">
        <f t="shared" ca="1" si="47"/>
        <v>0.90985414040064827</v>
      </c>
      <c r="E267" s="21">
        <f t="shared" ca="1" si="43"/>
        <v>35.515490749221726</v>
      </c>
      <c r="F267" s="20" t="str">
        <f t="shared" ref="F267:F330" ca="1" si="52">IF(E267=0,"Yes","No")</f>
        <v>No</v>
      </c>
      <c r="G267" s="21">
        <f t="shared" ca="1" si="48"/>
        <v>0</v>
      </c>
      <c r="H267" s="21">
        <f t="shared" ca="1" si="49"/>
        <v>798.51549641954489</v>
      </c>
      <c r="I267" s="21">
        <f t="shared" ca="1" si="44"/>
        <v>799.42535055994551</v>
      </c>
      <c r="J267" s="20">
        <f t="shared" ref="J267:J330" ca="1" si="53">IF($I266&lt;=$C267,0,$K266+1)</f>
        <v>6</v>
      </c>
      <c r="K267" s="20">
        <f t="shared" ca="1" si="45"/>
        <v>5</v>
      </c>
      <c r="L267" s="44">
        <f t="shared" ca="1" si="50"/>
        <v>5.5</v>
      </c>
    </row>
    <row r="268" spans="1:12" x14ac:dyDescent="0.25">
      <c r="A268" s="20">
        <v>260</v>
      </c>
      <c r="B268" s="21">
        <f t="shared" ca="1" si="46"/>
        <v>2.0075443768358445</v>
      </c>
      <c r="C268" s="21">
        <f t="shared" ca="1" si="51"/>
        <v>765.00755004715904</v>
      </c>
      <c r="D268" s="21">
        <f t="shared" ca="1" si="47"/>
        <v>1.5327453599046985</v>
      </c>
      <c r="E268" s="21">
        <f t="shared" ref="E268:E331" ca="1" si="54">IF($I267&lt;=$C268,0,$I267-$C268)</f>
        <v>34.417800512786471</v>
      </c>
      <c r="F268" s="20" t="str">
        <f t="shared" ca="1" si="52"/>
        <v>No</v>
      </c>
      <c r="G268" s="21">
        <f t="shared" ca="1" si="48"/>
        <v>0</v>
      </c>
      <c r="H268" s="21">
        <f t="shared" ca="1" si="49"/>
        <v>799.42535055994551</v>
      </c>
      <c r="I268" s="21">
        <f t="shared" ca="1" si="44"/>
        <v>800.95809591985017</v>
      </c>
      <c r="J268" s="20">
        <f t="shared" ca="1" si="53"/>
        <v>6</v>
      </c>
      <c r="K268" s="20">
        <f t="shared" ca="1" si="45"/>
        <v>4</v>
      </c>
      <c r="L268" s="44">
        <f t="shared" ca="1" si="50"/>
        <v>5</v>
      </c>
    </row>
    <row r="269" spans="1:12" x14ac:dyDescent="0.25">
      <c r="A269" s="20">
        <v>261</v>
      </c>
      <c r="B269" s="21">
        <f t="shared" ca="1" si="46"/>
        <v>7.3814985468651786</v>
      </c>
      <c r="C269" s="21">
        <f t="shared" ca="1" si="51"/>
        <v>772.38904859402419</v>
      </c>
      <c r="D269" s="21">
        <f t="shared" ca="1" si="47"/>
        <v>3.1861420597981152</v>
      </c>
      <c r="E269" s="21">
        <f t="shared" ca="1" si="54"/>
        <v>28.569047325825977</v>
      </c>
      <c r="F269" s="20" t="str">
        <f t="shared" ca="1" si="52"/>
        <v>No</v>
      </c>
      <c r="G269" s="21">
        <f t="shared" ca="1" si="48"/>
        <v>0</v>
      </c>
      <c r="H269" s="21">
        <f t="shared" ca="1" si="49"/>
        <v>800.95809591985017</v>
      </c>
      <c r="I269" s="21">
        <f t="shared" ca="1" si="44"/>
        <v>804.14423797964832</v>
      </c>
      <c r="J269" s="20">
        <f t="shared" ca="1" si="53"/>
        <v>5</v>
      </c>
      <c r="K269" s="20">
        <f t="shared" ca="1" si="45"/>
        <v>4</v>
      </c>
      <c r="L269" s="44">
        <f t="shared" ca="1" si="50"/>
        <v>4.5</v>
      </c>
    </row>
    <row r="270" spans="1:12" x14ac:dyDescent="0.25">
      <c r="A270" s="20">
        <v>262</v>
      </c>
      <c r="B270" s="21">
        <f t="shared" ca="1" si="46"/>
        <v>6.7701337697810731</v>
      </c>
      <c r="C270" s="21">
        <f t="shared" ca="1" si="51"/>
        <v>779.15918236380526</v>
      </c>
      <c r="D270" s="21">
        <f t="shared" ca="1" si="47"/>
        <v>4.6420249103831823</v>
      </c>
      <c r="E270" s="21">
        <f t="shared" ca="1" si="54"/>
        <v>24.985055615843066</v>
      </c>
      <c r="F270" s="20" t="str">
        <f t="shared" ca="1" si="52"/>
        <v>No</v>
      </c>
      <c r="G270" s="21">
        <f t="shared" ca="1" si="48"/>
        <v>0</v>
      </c>
      <c r="H270" s="21">
        <f t="shared" ca="1" si="49"/>
        <v>804.14423797964832</v>
      </c>
      <c r="I270" s="21">
        <f t="shared" ca="1" si="44"/>
        <v>808.78626289003148</v>
      </c>
      <c r="J270" s="20">
        <f t="shared" ca="1" si="53"/>
        <v>5</v>
      </c>
      <c r="K270" s="20">
        <f t="shared" ca="1" si="45"/>
        <v>5</v>
      </c>
      <c r="L270" s="44">
        <f t="shared" ca="1" si="50"/>
        <v>5</v>
      </c>
    </row>
    <row r="271" spans="1:12" x14ac:dyDescent="0.25">
      <c r="A271" s="20">
        <v>263</v>
      </c>
      <c r="B271" s="21">
        <f t="shared" ca="1" si="46"/>
        <v>4.6864194175064586</v>
      </c>
      <c r="C271" s="21">
        <f t="shared" ca="1" si="51"/>
        <v>783.84560178131176</v>
      </c>
      <c r="D271" s="21">
        <f t="shared" ca="1" si="47"/>
        <v>5.3855870290786978</v>
      </c>
      <c r="E271" s="21">
        <f t="shared" ca="1" si="54"/>
        <v>24.940661108719723</v>
      </c>
      <c r="F271" s="20" t="str">
        <f t="shared" ca="1" si="52"/>
        <v>No</v>
      </c>
      <c r="G271" s="21">
        <f t="shared" ca="1" si="48"/>
        <v>0</v>
      </c>
      <c r="H271" s="21">
        <f t="shared" ca="1" si="49"/>
        <v>808.78626289003148</v>
      </c>
      <c r="I271" s="21">
        <f t="shared" ca="1" si="44"/>
        <v>814.17184991911017</v>
      </c>
      <c r="J271" s="20">
        <f t="shared" ca="1" si="53"/>
        <v>6</v>
      </c>
      <c r="K271" s="20">
        <f t="shared" ca="1" si="45"/>
        <v>5</v>
      </c>
      <c r="L271" s="44">
        <f t="shared" ca="1" si="50"/>
        <v>5.5</v>
      </c>
    </row>
    <row r="272" spans="1:12" x14ac:dyDescent="0.25">
      <c r="A272" s="20">
        <v>264</v>
      </c>
      <c r="B272" s="21">
        <f t="shared" ca="1" si="46"/>
        <v>8.9238191196597523</v>
      </c>
      <c r="C272" s="21">
        <f t="shared" ca="1" si="51"/>
        <v>792.76942090097145</v>
      </c>
      <c r="D272" s="21">
        <f t="shared" ca="1" si="47"/>
        <v>0.25575948034058532</v>
      </c>
      <c r="E272" s="21">
        <f t="shared" ca="1" si="54"/>
        <v>21.402429018138719</v>
      </c>
      <c r="F272" s="20" t="str">
        <f t="shared" ca="1" si="52"/>
        <v>No</v>
      </c>
      <c r="G272" s="21">
        <f t="shared" ca="1" si="48"/>
        <v>0</v>
      </c>
      <c r="H272" s="21">
        <f t="shared" ca="1" si="49"/>
        <v>814.17184991911017</v>
      </c>
      <c r="I272" s="21">
        <f t="shared" ca="1" si="44"/>
        <v>814.42760939945072</v>
      </c>
      <c r="J272" s="20">
        <f t="shared" ca="1" si="53"/>
        <v>6</v>
      </c>
      <c r="K272" s="20">
        <f t="shared" ca="1" si="45"/>
        <v>5</v>
      </c>
      <c r="L272" s="44">
        <f t="shared" ca="1" si="50"/>
        <v>5.5</v>
      </c>
    </row>
    <row r="273" spans="1:12" x14ac:dyDescent="0.25">
      <c r="A273" s="20">
        <v>265</v>
      </c>
      <c r="B273" s="21">
        <f t="shared" ca="1" si="46"/>
        <v>9.1318673690294379</v>
      </c>
      <c r="C273" s="21">
        <f t="shared" ca="1" si="51"/>
        <v>801.90128827000092</v>
      </c>
      <c r="D273" s="21">
        <f t="shared" ca="1" si="47"/>
        <v>2.6053186707256509E-2</v>
      </c>
      <c r="E273" s="21">
        <f t="shared" ca="1" si="54"/>
        <v>12.526321129449798</v>
      </c>
      <c r="F273" s="20" t="str">
        <f t="shared" ca="1" si="52"/>
        <v>No</v>
      </c>
      <c r="G273" s="21">
        <f t="shared" ca="1" si="48"/>
        <v>0</v>
      </c>
      <c r="H273" s="21">
        <f t="shared" ca="1" si="49"/>
        <v>814.42760939945072</v>
      </c>
      <c r="I273" s="21">
        <f t="shared" ca="1" si="44"/>
        <v>814.45366258615798</v>
      </c>
      <c r="J273" s="20">
        <f t="shared" ca="1" si="53"/>
        <v>6</v>
      </c>
      <c r="K273" s="20">
        <f t="shared" ca="1" si="45"/>
        <v>4</v>
      </c>
      <c r="L273" s="44">
        <f t="shared" ca="1" si="50"/>
        <v>5</v>
      </c>
    </row>
    <row r="274" spans="1:12" x14ac:dyDescent="0.25">
      <c r="A274" s="20">
        <v>266</v>
      </c>
      <c r="B274" s="21">
        <f t="shared" ca="1" si="46"/>
        <v>3.5923181177489738</v>
      </c>
      <c r="C274" s="21">
        <f t="shared" ca="1" si="51"/>
        <v>805.49360638774988</v>
      </c>
      <c r="D274" s="21">
        <f t="shared" ca="1" si="47"/>
        <v>3.831995543100859</v>
      </c>
      <c r="E274" s="21">
        <f t="shared" ca="1" si="54"/>
        <v>8.9600561984080969</v>
      </c>
      <c r="F274" s="20" t="str">
        <f t="shared" ca="1" si="52"/>
        <v>No</v>
      </c>
      <c r="G274" s="21">
        <f t="shared" ca="1" si="48"/>
        <v>0</v>
      </c>
      <c r="H274" s="21">
        <f t="shared" ca="1" si="49"/>
        <v>814.45366258615798</v>
      </c>
      <c r="I274" s="21">
        <f t="shared" ca="1" si="44"/>
        <v>818.28565812925888</v>
      </c>
      <c r="J274" s="20">
        <f t="shared" ca="1" si="53"/>
        <v>5</v>
      </c>
      <c r="K274" s="20">
        <f t="shared" ca="1" si="45"/>
        <v>4</v>
      </c>
      <c r="L274" s="44">
        <f t="shared" ca="1" si="50"/>
        <v>4.5</v>
      </c>
    </row>
    <row r="275" spans="1:12" x14ac:dyDescent="0.25">
      <c r="A275" s="20">
        <v>267</v>
      </c>
      <c r="B275" s="21">
        <f t="shared" ca="1" si="46"/>
        <v>0.10877889902267468</v>
      </c>
      <c r="C275" s="21">
        <f t="shared" ca="1" si="51"/>
        <v>805.60238528677257</v>
      </c>
      <c r="D275" s="21">
        <f t="shared" ca="1" si="47"/>
        <v>0.12872179743391934</v>
      </c>
      <c r="E275" s="21">
        <f t="shared" ca="1" si="54"/>
        <v>12.683272842486303</v>
      </c>
      <c r="F275" s="20" t="str">
        <f t="shared" ca="1" si="52"/>
        <v>No</v>
      </c>
      <c r="G275" s="21">
        <f t="shared" ca="1" si="48"/>
        <v>0</v>
      </c>
      <c r="H275" s="21">
        <f t="shared" ca="1" si="49"/>
        <v>818.28565812925888</v>
      </c>
      <c r="I275" s="21">
        <f t="shared" ca="1" si="44"/>
        <v>818.41437992669285</v>
      </c>
      <c r="J275" s="20">
        <f t="shared" ca="1" si="53"/>
        <v>5</v>
      </c>
      <c r="K275" s="20">
        <f t="shared" ca="1" si="45"/>
        <v>3</v>
      </c>
      <c r="L275" s="44">
        <f t="shared" ca="1" si="50"/>
        <v>4</v>
      </c>
    </row>
    <row r="276" spans="1:12" x14ac:dyDescent="0.25">
      <c r="A276" s="20">
        <v>268</v>
      </c>
      <c r="B276" s="21">
        <f t="shared" ca="1" si="46"/>
        <v>0.20841596078418817</v>
      </c>
      <c r="C276" s="21">
        <f t="shared" ca="1" si="51"/>
        <v>805.81080124755681</v>
      </c>
      <c r="D276" s="21">
        <f t="shared" ca="1" si="47"/>
        <v>0.81043338652225905</v>
      </c>
      <c r="E276" s="21">
        <f t="shared" ca="1" si="54"/>
        <v>12.603578679136035</v>
      </c>
      <c r="F276" s="20" t="str">
        <f t="shared" ca="1" si="52"/>
        <v>No</v>
      </c>
      <c r="G276" s="21">
        <f t="shared" ca="1" si="48"/>
        <v>0</v>
      </c>
      <c r="H276" s="21">
        <f t="shared" ca="1" si="49"/>
        <v>818.41437992669285</v>
      </c>
      <c r="I276" s="21">
        <f t="shared" ca="1" si="44"/>
        <v>819.22481331321512</v>
      </c>
      <c r="J276" s="20">
        <f t="shared" ca="1" si="53"/>
        <v>4</v>
      </c>
      <c r="K276" s="20">
        <f t="shared" ca="1" si="45"/>
        <v>2</v>
      </c>
      <c r="L276" s="44">
        <f t="shared" ca="1" si="50"/>
        <v>3</v>
      </c>
    </row>
    <row r="277" spans="1:12" x14ac:dyDescent="0.25">
      <c r="A277" s="20">
        <v>269</v>
      </c>
      <c r="B277" s="21">
        <f t="shared" ca="1" si="46"/>
        <v>0.94361375230013589</v>
      </c>
      <c r="C277" s="21">
        <f t="shared" ca="1" si="51"/>
        <v>806.75441499985698</v>
      </c>
      <c r="D277" s="21">
        <f t="shared" ca="1" si="47"/>
        <v>2.388005856721239</v>
      </c>
      <c r="E277" s="21">
        <f t="shared" ca="1" si="54"/>
        <v>12.470398313358146</v>
      </c>
      <c r="F277" s="20" t="str">
        <f t="shared" ca="1" si="52"/>
        <v>No</v>
      </c>
      <c r="G277" s="21">
        <f t="shared" ca="1" si="48"/>
        <v>0</v>
      </c>
      <c r="H277" s="21">
        <f t="shared" ca="1" si="49"/>
        <v>819.22481331321512</v>
      </c>
      <c r="I277" s="21">
        <f t="shared" ca="1" si="44"/>
        <v>821.61281916993642</v>
      </c>
      <c r="J277" s="20">
        <f t="shared" ca="1" si="53"/>
        <v>3</v>
      </c>
      <c r="K277" s="20">
        <f t="shared" ca="1" si="45"/>
        <v>3</v>
      </c>
      <c r="L277" s="44">
        <f t="shared" ca="1" si="50"/>
        <v>3</v>
      </c>
    </row>
    <row r="278" spans="1:12" x14ac:dyDescent="0.25">
      <c r="A278" s="20">
        <v>270</v>
      </c>
      <c r="B278" s="21">
        <f t="shared" ca="1" si="46"/>
        <v>9.448524971335388</v>
      </c>
      <c r="C278" s="21">
        <f t="shared" ca="1" si="51"/>
        <v>816.20293997119234</v>
      </c>
      <c r="D278" s="21">
        <f t="shared" ca="1" si="47"/>
        <v>2.5962625635923908</v>
      </c>
      <c r="E278" s="21">
        <f t="shared" ca="1" si="54"/>
        <v>5.4098791987440791</v>
      </c>
      <c r="F278" s="20" t="str">
        <f t="shared" ca="1" si="52"/>
        <v>No</v>
      </c>
      <c r="G278" s="21">
        <f t="shared" ca="1" si="48"/>
        <v>0</v>
      </c>
      <c r="H278" s="21">
        <f t="shared" ca="1" si="49"/>
        <v>821.61281916993642</v>
      </c>
      <c r="I278" s="21">
        <f t="shared" ca="1" si="44"/>
        <v>824.20908173352882</v>
      </c>
      <c r="J278" s="20">
        <f t="shared" ca="1" si="53"/>
        <v>4</v>
      </c>
      <c r="K278" s="20">
        <f t="shared" ca="1" si="45"/>
        <v>4</v>
      </c>
      <c r="L278" s="44">
        <f t="shared" ca="1" si="50"/>
        <v>4</v>
      </c>
    </row>
    <row r="279" spans="1:12" x14ac:dyDescent="0.25">
      <c r="A279" s="20">
        <v>271</v>
      </c>
      <c r="B279" s="21">
        <f t="shared" ca="1" si="46"/>
        <v>4.5552572292887064</v>
      </c>
      <c r="C279" s="21">
        <f t="shared" ca="1" si="51"/>
        <v>820.75819720048105</v>
      </c>
      <c r="D279" s="21">
        <f t="shared" ca="1" si="47"/>
        <v>0.27471403758311214</v>
      </c>
      <c r="E279" s="21">
        <f t="shared" ca="1" si="54"/>
        <v>3.4508845330477698</v>
      </c>
      <c r="F279" s="20" t="str">
        <f t="shared" ca="1" si="52"/>
        <v>No</v>
      </c>
      <c r="G279" s="21">
        <f t="shared" ca="1" si="48"/>
        <v>0</v>
      </c>
      <c r="H279" s="21">
        <f t="shared" ca="1" si="49"/>
        <v>824.20908173352882</v>
      </c>
      <c r="I279" s="21">
        <f t="shared" ca="1" si="44"/>
        <v>824.48379577111189</v>
      </c>
      <c r="J279" s="20">
        <f t="shared" ca="1" si="53"/>
        <v>5</v>
      </c>
      <c r="K279" s="20">
        <f t="shared" ca="1" si="45"/>
        <v>3</v>
      </c>
      <c r="L279" s="44">
        <f t="shared" ca="1" si="50"/>
        <v>4</v>
      </c>
    </row>
    <row r="280" spans="1:12" x14ac:dyDescent="0.25">
      <c r="A280" s="20">
        <v>272</v>
      </c>
      <c r="B280" s="21">
        <f t="shared" ca="1" si="46"/>
        <v>0.12250701099709846</v>
      </c>
      <c r="C280" s="21">
        <f t="shared" ca="1" si="51"/>
        <v>820.88070421147813</v>
      </c>
      <c r="D280" s="21">
        <f t="shared" ca="1" si="47"/>
        <v>0.49775607563256036</v>
      </c>
      <c r="E280" s="21">
        <f t="shared" ca="1" si="54"/>
        <v>3.6030915596337536</v>
      </c>
      <c r="F280" s="20" t="str">
        <f t="shared" ca="1" si="52"/>
        <v>No</v>
      </c>
      <c r="G280" s="21">
        <f t="shared" ca="1" si="48"/>
        <v>0</v>
      </c>
      <c r="H280" s="21">
        <f t="shared" ca="1" si="49"/>
        <v>824.48379577111189</v>
      </c>
      <c r="I280" s="21">
        <f t="shared" ca="1" si="44"/>
        <v>824.98155184674442</v>
      </c>
      <c r="J280" s="20">
        <f t="shared" ca="1" si="53"/>
        <v>4</v>
      </c>
      <c r="K280" s="20">
        <f t="shared" ca="1" si="45"/>
        <v>2</v>
      </c>
      <c r="L280" s="44">
        <f t="shared" ca="1" si="50"/>
        <v>3</v>
      </c>
    </row>
    <row r="281" spans="1:12" x14ac:dyDescent="0.25">
      <c r="A281" s="20">
        <v>273</v>
      </c>
      <c r="B281" s="21">
        <f t="shared" ca="1" si="46"/>
        <v>1.2366433950535451</v>
      </c>
      <c r="C281" s="21">
        <f t="shared" ca="1" si="51"/>
        <v>822.11734760653167</v>
      </c>
      <c r="D281" s="21">
        <f t="shared" ca="1" si="47"/>
        <v>1.954504489782239</v>
      </c>
      <c r="E281" s="21">
        <f t="shared" ca="1" si="54"/>
        <v>2.8642042402127572</v>
      </c>
      <c r="F281" s="20" t="str">
        <f t="shared" ca="1" si="52"/>
        <v>No</v>
      </c>
      <c r="G281" s="21">
        <f t="shared" ca="1" si="48"/>
        <v>0</v>
      </c>
      <c r="H281" s="21">
        <f t="shared" ca="1" si="49"/>
        <v>824.98155184674442</v>
      </c>
      <c r="I281" s="21">
        <f t="shared" ca="1" si="44"/>
        <v>826.93605633652669</v>
      </c>
      <c r="J281" s="20">
        <f t="shared" ca="1" si="53"/>
        <v>3</v>
      </c>
      <c r="K281" s="20">
        <f t="shared" ca="1" si="45"/>
        <v>1</v>
      </c>
      <c r="L281" s="44">
        <f t="shared" ca="1" si="50"/>
        <v>2</v>
      </c>
    </row>
    <row r="282" spans="1:12" x14ac:dyDescent="0.25">
      <c r="A282" s="20">
        <v>274</v>
      </c>
      <c r="B282" s="21">
        <f t="shared" ca="1" si="46"/>
        <v>0.82335805748690782</v>
      </c>
      <c r="C282" s="21">
        <f t="shared" ca="1" si="51"/>
        <v>822.94070566401854</v>
      </c>
      <c r="D282" s="21">
        <f t="shared" ca="1" si="47"/>
        <v>6.1291642699445275</v>
      </c>
      <c r="E282" s="21">
        <f t="shared" ca="1" si="54"/>
        <v>3.9953506725081525</v>
      </c>
      <c r="F282" s="20" t="str">
        <f t="shared" ca="1" si="52"/>
        <v>No</v>
      </c>
      <c r="G282" s="21">
        <f t="shared" ca="1" si="48"/>
        <v>0</v>
      </c>
      <c r="H282" s="21">
        <f t="shared" ca="1" si="49"/>
        <v>826.93605633652669</v>
      </c>
      <c r="I282" s="21">
        <f t="shared" ca="1" si="44"/>
        <v>833.06522060647126</v>
      </c>
      <c r="J282" s="20">
        <f t="shared" ca="1" si="53"/>
        <v>2</v>
      </c>
      <c r="K282" s="20">
        <f t="shared" ca="1" si="45"/>
        <v>3</v>
      </c>
      <c r="L282" s="44">
        <f t="shared" ca="1" si="50"/>
        <v>2.5</v>
      </c>
    </row>
    <row r="283" spans="1:12" x14ac:dyDescent="0.25">
      <c r="A283" s="20">
        <v>275</v>
      </c>
      <c r="B283" s="21">
        <f t="shared" ca="1" si="46"/>
        <v>5.6419480923968379</v>
      </c>
      <c r="C283" s="21">
        <f t="shared" ca="1" si="51"/>
        <v>828.58265375641543</v>
      </c>
      <c r="D283" s="21">
        <f t="shared" ca="1" si="47"/>
        <v>4.3378387415977375</v>
      </c>
      <c r="E283" s="21">
        <f t="shared" ca="1" si="54"/>
        <v>4.4825668500558322</v>
      </c>
      <c r="F283" s="20" t="str">
        <f t="shared" ca="1" si="52"/>
        <v>No</v>
      </c>
      <c r="G283" s="21">
        <f t="shared" ca="1" si="48"/>
        <v>0</v>
      </c>
      <c r="H283" s="21">
        <f t="shared" ca="1" si="49"/>
        <v>833.06522060647126</v>
      </c>
      <c r="I283" s="21">
        <f t="shared" ca="1" si="44"/>
        <v>837.40305934806895</v>
      </c>
      <c r="J283" s="20">
        <f t="shared" ca="1" si="53"/>
        <v>4</v>
      </c>
      <c r="K283" s="20">
        <f t="shared" ca="1" si="45"/>
        <v>4</v>
      </c>
      <c r="L283" s="44">
        <f t="shared" ca="1" si="50"/>
        <v>4</v>
      </c>
    </row>
    <row r="284" spans="1:12" x14ac:dyDescent="0.25">
      <c r="A284" s="20">
        <v>276</v>
      </c>
      <c r="B284" s="21">
        <f t="shared" ca="1" si="46"/>
        <v>1.4257950919649034</v>
      </c>
      <c r="C284" s="21">
        <f t="shared" ca="1" si="51"/>
        <v>830.00844884838034</v>
      </c>
      <c r="D284" s="21">
        <f t="shared" ca="1" si="47"/>
        <v>1.2954987615071825</v>
      </c>
      <c r="E284" s="21">
        <f t="shared" ca="1" si="54"/>
        <v>7.3946104996886106</v>
      </c>
      <c r="F284" s="20" t="str">
        <f t="shared" ca="1" si="52"/>
        <v>No</v>
      </c>
      <c r="G284" s="21">
        <f t="shared" ca="1" si="48"/>
        <v>0</v>
      </c>
      <c r="H284" s="21">
        <f t="shared" ca="1" si="49"/>
        <v>837.40305934806895</v>
      </c>
      <c r="I284" s="21">
        <f t="shared" ca="1" si="44"/>
        <v>838.69855810957608</v>
      </c>
      <c r="J284" s="20">
        <f t="shared" ca="1" si="53"/>
        <v>5</v>
      </c>
      <c r="K284" s="20">
        <f t="shared" ca="1" si="45"/>
        <v>3</v>
      </c>
      <c r="L284" s="44">
        <f t="shared" ca="1" si="50"/>
        <v>4</v>
      </c>
    </row>
    <row r="285" spans="1:12" x14ac:dyDescent="0.25">
      <c r="A285" s="20">
        <v>277</v>
      </c>
      <c r="B285" s="21">
        <f t="shared" ca="1" si="46"/>
        <v>0.55733533558461956</v>
      </c>
      <c r="C285" s="21">
        <f t="shared" ca="1" si="51"/>
        <v>830.56578418396498</v>
      </c>
      <c r="D285" s="21">
        <f t="shared" ca="1" si="47"/>
        <v>0.81534421873539009</v>
      </c>
      <c r="E285" s="21">
        <f t="shared" ca="1" si="54"/>
        <v>8.1327739256111045</v>
      </c>
      <c r="F285" s="20" t="str">
        <f t="shared" ca="1" si="52"/>
        <v>No</v>
      </c>
      <c r="G285" s="21">
        <f t="shared" ca="1" si="48"/>
        <v>0</v>
      </c>
      <c r="H285" s="21">
        <f t="shared" ca="1" si="49"/>
        <v>838.69855810957608</v>
      </c>
      <c r="I285" s="21">
        <f t="shared" ca="1" si="44"/>
        <v>839.51390232831147</v>
      </c>
      <c r="J285" s="20">
        <f t="shared" ca="1" si="53"/>
        <v>4</v>
      </c>
      <c r="K285" s="20">
        <f t="shared" ca="1" si="45"/>
        <v>4</v>
      </c>
      <c r="L285" s="44">
        <f t="shared" ca="1" si="50"/>
        <v>4</v>
      </c>
    </row>
    <row r="286" spans="1:12" x14ac:dyDescent="0.25">
      <c r="A286" s="20">
        <v>278</v>
      </c>
      <c r="B286" s="21">
        <f t="shared" ca="1" si="46"/>
        <v>2.918154831550992</v>
      </c>
      <c r="C286" s="21">
        <f t="shared" ca="1" si="51"/>
        <v>833.48393901551594</v>
      </c>
      <c r="D286" s="21">
        <f t="shared" ca="1" si="47"/>
        <v>2.0191186549437798</v>
      </c>
      <c r="E286" s="21">
        <f t="shared" ca="1" si="54"/>
        <v>6.0299633127955303</v>
      </c>
      <c r="F286" s="20" t="str">
        <f t="shared" ca="1" si="52"/>
        <v>No</v>
      </c>
      <c r="G286" s="21">
        <f t="shared" ca="1" si="48"/>
        <v>0</v>
      </c>
      <c r="H286" s="21">
        <f t="shared" ca="1" si="49"/>
        <v>839.51390232831147</v>
      </c>
      <c r="I286" s="21">
        <f t="shared" ca="1" si="44"/>
        <v>841.53302098325526</v>
      </c>
      <c r="J286" s="20">
        <f t="shared" ca="1" si="53"/>
        <v>5</v>
      </c>
      <c r="K286" s="20">
        <f t="shared" ca="1" si="45"/>
        <v>3</v>
      </c>
      <c r="L286" s="44">
        <f t="shared" ca="1" si="50"/>
        <v>4</v>
      </c>
    </row>
    <row r="287" spans="1:12" x14ac:dyDescent="0.25">
      <c r="A287" s="20">
        <v>279</v>
      </c>
      <c r="B287" s="21">
        <f t="shared" ca="1" si="46"/>
        <v>0.99921868493633559</v>
      </c>
      <c r="C287" s="21">
        <f t="shared" ca="1" si="51"/>
        <v>834.48315770045224</v>
      </c>
      <c r="D287" s="21">
        <f t="shared" ca="1" si="47"/>
        <v>1.3698966816818507</v>
      </c>
      <c r="E287" s="21">
        <f t="shared" ca="1" si="54"/>
        <v>7.0498632828030168</v>
      </c>
      <c r="F287" s="20" t="str">
        <f t="shared" ca="1" si="52"/>
        <v>No</v>
      </c>
      <c r="G287" s="21">
        <f t="shared" ca="1" si="48"/>
        <v>0</v>
      </c>
      <c r="H287" s="21">
        <f t="shared" ca="1" si="49"/>
        <v>841.53302098325526</v>
      </c>
      <c r="I287" s="21">
        <f t="shared" ca="1" si="44"/>
        <v>842.90291766493715</v>
      </c>
      <c r="J287" s="20">
        <f t="shared" ca="1" si="53"/>
        <v>4</v>
      </c>
      <c r="K287" s="20">
        <f t="shared" ca="1" si="45"/>
        <v>2</v>
      </c>
      <c r="L287" s="44">
        <f t="shared" ca="1" si="50"/>
        <v>3</v>
      </c>
    </row>
    <row r="288" spans="1:12" x14ac:dyDescent="0.25">
      <c r="A288" s="20">
        <v>280</v>
      </c>
      <c r="B288" s="21">
        <f t="shared" ca="1" si="46"/>
        <v>4.745992374726824</v>
      </c>
      <c r="C288" s="21">
        <f t="shared" ca="1" si="51"/>
        <v>839.22915007517906</v>
      </c>
      <c r="D288" s="21">
        <f t="shared" ca="1" si="47"/>
        <v>2.7741339172449413</v>
      </c>
      <c r="E288" s="21">
        <f t="shared" ca="1" si="54"/>
        <v>3.6737675897580857</v>
      </c>
      <c r="F288" s="20" t="str">
        <f t="shared" ca="1" si="52"/>
        <v>No</v>
      </c>
      <c r="G288" s="21">
        <f t="shared" ca="1" si="48"/>
        <v>0</v>
      </c>
      <c r="H288" s="21">
        <f t="shared" ca="1" si="49"/>
        <v>842.90291766493715</v>
      </c>
      <c r="I288" s="21">
        <f t="shared" ca="1" si="44"/>
        <v>845.67705158218212</v>
      </c>
      <c r="J288" s="20">
        <f t="shared" ca="1" si="53"/>
        <v>3</v>
      </c>
      <c r="K288" s="20">
        <f t="shared" ca="1" si="45"/>
        <v>1</v>
      </c>
      <c r="L288" s="44">
        <f t="shared" ca="1" si="50"/>
        <v>2</v>
      </c>
    </row>
    <row r="289" spans="1:12" x14ac:dyDescent="0.25">
      <c r="A289" s="20">
        <v>281</v>
      </c>
      <c r="B289" s="21">
        <f t="shared" ca="1" si="46"/>
        <v>5.9674255857939493E-2</v>
      </c>
      <c r="C289" s="21">
        <f t="shared" ca="1" si="51"/>
        <v>839.28882433103695</v>
      </c>
      <c r="D289" s="21">
        <f t="shared" ca="1" si="47"/>
        <v>9.8133229861806864E-2</v>
      </c>
      <c r="E289" s="21">
        <f t="shared" ca="1" si="54"/>
        <v>6.3882272511451674</v>
      </c>
      <c r="F289" s="20" t="str">
        <f t="shared" ca="1" si="52"/>
        <v>No</v>
      </c>
      <c r="G289" s="21">
        <f t="shared" ca="1" si="48"/>
        <v>0</v>
      </c>
      <c r="H289" s="21">
        <f t="shared" ca="1" si="49"/>
        <v>845.67705158218212</v>
      </c>
      <c r="I289" s="21">
        <f t="shared" ca="1" si="44"/>
        <v>845.7751848120439</v>
      </c>
      <c r="J289" s="20">
        <f t="shared" ca="1" si="53"/>
        <v>2</v>
      </c>
      <c r="K289" s="20">
        <f t="shared" ca="1" si="45"/>
        <v>0</v>
      </c>
      <c r="L289" s="44">
        <f t="shared" ca="1" si="50"/>
        <v>1</v>
      </c>
    </row>
    <row r="290" spans="1:12" x14ac:dyDescent="0.25">
      <c r="A290" s="20">
        <v>282</v>
      </c>
      <c r="B290" s="21">
        <f t="shared" ca="1" si="46"/>
        <v>7.7968259607829271</v>
      </c>
      <c r="C290" s="21">
        <f t="shared" ca="1" si="51"/>
        <v>847.08565029181989</v>
      </c>
      <c r="D290" s="21">
        <f t="shared" ca="1" si="47"/>
        <v>6.3097469227402287</v>
      </c>
      <c r="E290" s="21">
        <f t="shared" ca="1" si="54"/>
        <v>0</v>
      </c>
      <c r="F290" s="20" t="str">
        <f t="shared" ca="1" si="52"/>
        <v>Yes</v>
      </c>
      <c r="G290" s="21">
        <f t="shared" ca="1" si="48"/>
        <v>1.3104654797759849</v>
      </c>
      <c r="H290" s="21">
        <f t="shared" ca="1" si="49"/>
        <v>847.08565029181989</v>
      </c>
      <c r="I290" s="21">
        <f t="shared" ca="1" si="44"/>
        <v>853.39539721456015</v>
      </c>
      <c r="J290" s="20">
        <f t="shared" ca="1" si="53"/>
        <v>0</v>
      </c>
      <c r="K290" s="20">
        <f t="shared" ca="1" si="45"/>
        <v>1</v>
      </c>
      <c r="L290" s="44">
        <f t="shared" ca="1" si="50"/>
        <v>0.5</v>
      </c>
    </row>
    <row r="291" spans="1:12" x14ac:dyDescent="0.25">
      <c r="A291" s="20">
        <v>283</v>
      </c>
      <c r="B291" s="21">
        <f t="shared" ca="1" si="46"/>
        <v>2.7308701383227043</v>
      </c>
      <c r="C291" s="21">
        <f t="shared" ca="1" si="51"/>
        <v>849.81652043014265</v>
      </c>
      <c r="D291" s="21">
        <f t="shared" ca="1" si="47"/>
        <v>5.1033307426737826</v>
      </c>
      <c r="E291" s="21">
        <f t="shared" ca="1" si="54"/>
        <v>3.5788767844175027</v>
      </c>
      <c r="F291" s="20" t="str">
        <f t="shared" ca="1" si="52"/>
        <v>No</v>
      </c>
      <c r="G291" s="21">
        <f t="shared" ca="1" si="48"/>
        <v>0</v>
      </c>
      <c r="H291" s="21">
        <f t="shared" ca="1" si="49"/>
        <v>853.39539721456015</v>
      </c>
      <c r="I291" s="21">
        <f t="shared" ca="1" si="44"/>
        <v>858.49872795723388</v>
      </c>
      <c r="J291" s="20">
        <f t="shared" ca="1" si="53"/>
        <v>2</v>
      </c>
      <c r="K291" s="20">
        <f t="shared" ca="1" si="45"/>
        <v>2</v>
      </c>
      <c r="L291" s="44">
        <f t="shared" ca="1" si="50"/>
        <v>2</v>
      </c>
    </row>
    <row r="292" spans="1:12" x14ac:dyDescent="0.25">
      <c r="A292" s="20">
        <v>284</v>
      </c>
      <c r="B292" s="21">
        <f t="shared" ca="1" si="46"/>
        <v>4.0330309991430662</v>
      </c>
      <c r="C292" s="21">
        <f t="shared" ca="1" si="51"/>
        <v>853.84955142928573</v>
      </c>
      <c r="D292" s="21">
        <f t="shared" ca="1" si="47"/>
        <v>4.3600070801842632</v>
      </c>
      <c r="E292" s="21">
        <f t="shared" ca="1" si="54"/>
        <v>4.6491765279481569</v>
      </c>
      <c r="F292" s="20" t="str">
        <f t="shared" ca="1" si="52"/>
        <v>No</v>
      </c>
      <c r="G292" s="21">
        <f t="shared" ca="1" si="48"/>
        <v>0</v>
      </c>
      <c r="H292" s="21">
        <f t="shared" ca="1" si="49"/>
        <v>858.49872795723388</v>
      </c>
      <c r="I292" s="21">
        <f t="shared" ca="1" si="44"/>
        <v>862.85873503741811</v>
      </c>
      <c r="J292" s="20">
        <f t="shared" ca="1" si="53"/>
        <v>3</v>
      </c>
      <c r="K292" s="20">
        <f t="shared" ca="1" si="45"/>
        <v>1</v>
      </c>
      <c r="L292" s="44">
        <f t="shared" ca="1" si="50"/>
        <v>2</v>
      </c>
    </row>
    <row r="293" spans="1:12" x14ac:dyDescent="0.25">
      <c r="A293" s="20">
        <v>285</v>
      </c>
      <c r="B293" s="21">
        <f t="shared" ca="1" si="46"/>
        <v>3.4067151828249274</v>
      </c>
      <c r="C293" s="21">
        <f t="shared" ca="1" si="51"/>
        <v>857.25626661211061</v>
      </c>
      <c r="D293" s="21">
        <f t="shared" ca="1" si="47"/>
        <v>2.5845693453486178</v>
      </c>
      <c r="E293" s="21">
        <f t="shared" ca="1" si="54"/>
        <v>5.6024684253075065</v>
      </c>
      <c r="F293" s="20" t="str">
        <f t="shared" ca="1" si="52"/>
        <v>No</v>
      </c>
      <c r="G293" s="21">
        <f t="shared" ca="1" si="48"/>
        <v>0</v>
      </c>
      <c r="H293" s="21">
        <f t="shared" ca="1" si="49"/>
        <v>862.85873503741811</v>
      </c>
      <c r="I293" s="21">
        <f t="shared" ca="1" si="44"/>
        <v>865.44330438276677</v>
      </c>
      <c r="J293" s="20">
        <f t="shared" ca="1" si="53"/>
        <v>2</v>
      </c>
      <c r="K293" s="20">
        <f t="shared" ca="1" si="45"/>
        <v>1</v>
      </c>
      <c r="L293" s="44">
        <f t="shared" ca="1" si="50"/>
        <v>1.5</v>
      </c>
    </row>
    <row r="294" spans="1:12" x14ac:dyDescent="0.25">
      <c r="A294" s="20">
        <v>286</v>
      </c>
      <c r="B294" s="21">
        <f t="shared" ca="1" si="46"/>
        <v>6.2485044482172745</v>
      </c>
      <c r="C294" s="21">
        <f t="shared" ca="1" si="51"/>
        <v>863.50477106032793</v>
      </c>
      <c r="D294" s="21">
        <f t="shared" ca="1" si="47"/>
        <v>5.3298796492743783</v>
      </c>
      <c r="E294" s="21">
        <f t="shared" ca="1" si="54"/>
        <v>1.9385333224388432</v>
      </c>
      <c r="F294" s="20" t="str">
        <f t="shared" ca="1" si="52"/>
        <v>No</v>
      </c>
      <c r="G294" s="21">
        <f t="shared" ca="1" si="48"/>
        <v>0</v>
      </c>
      <c r="H294" s="21">
        <f t="shared" ca="1" si="49"/>
        <v>865.44330438276677</v>
      </c>
      <c r="I294" s="21">
        <f t="shared" ca="1" si="44"/>
        <v>870.77318403204117</v>
      </c>
      <c r="J294" s="20">
        <f t="shared" ca="1" si="53"/>
        <v>2</v>
      </c>
      <c r="K294" s="20">
        <f t="shared" ca="1" si="45"/>
        <v>1</v>
      </c>
      <c r="L294" s="44">
        <f t="shared" ca="1" si="50"/>
        <v>1.5</v>
      </c>
    </row>
    <row r="295" spans="1:12" x14ac:dyDescent="0.25">
      <c r="A295" s="20">
        <v>287</v>
      </c>
      <c r="B295" s="21">
        <f t="shared" ca="1" si="46"/>
        <v>6.4361507174949431</v>
      </c>
      <c r="C295" s="21">
        <f t="shared" ca="1" si="51"/>
        <v>869.94092177782284</v>
      </c>
      <c r="D295" s="21">
        <f t="shared" ca="1" si="47"/>
        <v>5.5345513955307124E-2</v>
      </c>
      <c r="E295" s="21">
        <f t="shared" ca="1" si="54"/>
        <v>0.83226225421833533</v>
      </c>
      <c r="F295" s="20" t="str">
        <f t="shared" ca="1" si="52"/>
        <v>No</v>
      </c>
      <c r="G295" s="21">
        <f t="shared" ca="1" si="48"/>
        <v>0</v>
      </c>
      <c r="H295" s="21">
        <f t="shared" ca="1" si="49"/>
        <v>870.77318403204117</v>
      </c>
      <c r="I295" s="21">
        <f t="shared" ca="1" si="44"/>
        <v>870.8285295459965</v>
      </c>
      <c r="J295" s="20">
        <f t="shared" ca="1" si="53"/>
        <v>2</v>
      </c>
      <c r="K295" s="20">
        <f t="shared" ca="1" si="45"/>
        <v>0</v>
      </c>
      <c r="L295" s="44">
        <f t="shared" ca="1" si="50"/>
        <v>1</v>
      </c>
    </row>
    <row r="296" spans="1:12" x14ac:dyDescent="0.25">
      <c r="A296" s="20">
        <v>288</v>
      </c>
      <c r="B296" s="21">
        <f t="shared" ca="1" si="46"/>
        <v>0.99098399990091934</v>
      </c>
      <c r="C296" s="21">
        <f t="shared" ca="1" si="51"/>
        <v>870.93190577772373</v>
      </c>
      <c r="D296" s="21">
        <f t="shared" ca="1" si="47"/>
        <v>1.3378477692318183</v>
      </c>
      <c r="E296" s="21">
        <f t="shared" ca="1" si="54"/>
        <v>0</v>
      </c>
      <c r="F296" s="20" t="str">
        <f t="shared" ca="1" si="52"/>
        <v>Yes</v>
      </c>
      <c r="G296" s="21">
        <f t="shared" ca="1" si="48"/>
        <v>0.10337623172722488</v>
      </c>
      <c r="H296" s="21">
        <f t="shared" ca="1" si="49"/>
        <v>870.93190577772373</v>
      </c>
      <c r="I296" s="21">
        <f t="shared" ca="1" si="44"/>
        <v>872.2697535469556</v>
      </c>
      <c r="J296" s="20">
        <f t="shared" ca="1" si="53"/>
        <v>0</v>
      </c>
      <c r="K296" s="20">
        <f t="shared" ca="1" si="45"/>
        <v>2</v>
      </c>
      <c r="L296" s="44">
        <f t="shared" ca="1" si="50"/>
        <v>1</v>
      </c>
    </row>
    <row r="297" spans="1:12" x14ac:dyDescent="0.25">
      <c r="A297" s="20">
        <v>289</v>
      </c>
      <c r="B297" s="21">
        <f t="shared" ca="1" si="46"/>
        <v>0.75584662408657977</v>
      </c>
      <c r="C297" s="21">
        <f t="shared" ca="1" si="51"/>
        <v>871.68775240181026</v>
      </c>
      <c r="D297" s="21">
        <f t="shared" ca="1" si="47"/>
        <v>4.589259061679039</v>
      </c>
      <c r="E297" s="21">
        <f t="shared" ca="1" si="54"/>
        <v>0.58200114514534107</v>
      </c>
      <c r="F297" s="20" t="str">
        <f t="shared" ca="1" si="52"/>
        <v>No</v>
      </c>
      <c r="G297" s="21">
        <f t="shared" ca="1" si="48"/>
        <v>0</v>
      </c>
      <c r="H297" s="21">
        <f t="shared" ca="1" si="49"/>
        <v>872.2697535469556</v>
      </c>
      <c r="I297" s="21">
        <f t="shared" ca="1" si="44"/>
        <v>876.85901260863466</v>
      </c>
      <c r="J297" s="20">
        <f t="shared" ca="1" si="53"/>
        <v>3</v>
      </c>
      <c r="K297" s="20">
        <f t="shared" ca="1" si="45"/>
        <v>2</v>
      </c>
      <c r="L297" s="44">
        <f t="shared" ca="1" si="50"/>
        <v>2.5</v>
      </c>
    </row>
    <row r="298" spans="1:12" x14ac:dyDescent="0.25">
      <c r="A298" s="20">
        <v>290</v>
      </c>
      <c r="B298" s="21">
        <f t="shared" ca="1" si="46"/>
        <v>0.2319161835065732</v>
      </c>
      <c r="C298" s="21">
        <f t="shared" ca="1" si="51"/>
        <v>871.9196685853168</v>
      </c>
      <c r="D298" s="21">
        <f t="shared" ca="1" si="47"/>
        <v>3.1238998339757411</v>
      </c>
      <c r="E298" s="21">
        <f t="shared" ca="1" si="54"/>
        <v>4.939344023317858</v>
      </c>
      <c r="F298" s="20" t="str">
        <f t="shared" ca="1" si="52"/>
        <v>No</v>
      </c>
      <c r="G298" s="21">
        <f t="shared" ca="1" si="48"/>
        <v>0</v>
      </c>
      <c r="H298" s="21">
        <f t="shared" ca="1" si="49"/>
        <v>876.85901260863466</v>
      </c>
      <c r="I298" s="21">
        <f t="shared" ca="1" si="44"/>
        <v>879.98291244261043</v>
      </c>
      <c r="J298" s="20">
        <f t="shared" ca="1" si="53"/>
        <v>3</v>
      </c>
      <c r="K298" s="20">
        <f t="shared" ca="1" si="45"/>
        <v>4</v>
      </c>
      <c r="L298" s="44">
        <f t="shared" ca="1" si="50"/>
        <v>3.5</v>
      </c>
    </row>
    <row r="299" spans="1:12" x14ac:dyDescent="0.25">
      <c r="A299" s="20">
        <v>291</v>
      </c>
      <c r="B299" s="21">
        <f t="shared" ca="1" si="46"/>
        <v>0.54626032642422717</v>
      </c>
      <c r="C299" s="21">
        <f t="shared" ca="1" si="51"/>
        <v>872.465928911741</v>
      </c>
      <c r="D299" s="21">
        <f t="shared" ca="1" si="47"/>
        <v>3.8129245165999541</v>
      </c>
      <c r="E299" s="21">
        <f t="shared" ca="1" si="54"/>
        <v>7.5169835308694246</v>
      </c>
      <c r="F299" s="20" t="str">
        <f t="shared" ca="1" si="52"/>
        <v>No</v>
      </c>
      <c r="G299" s="21">
        <f t="shared" ca="1" si="48"/>
        <v>0</v>
      </c>
      <c r="H299" s="21">
        <f t="shared" ca="1" si="49"/>
        <v>879.98291244261043</v>
      </c>
      <c r="I299" s="21">
        <f t="shared" ca="1" si="44"/>
        <v>883.79583695921042</v>
      </c>
      <c r="J299" s="20">
        <f t="shared" ca="1" si="53"/>
        <v>5</v>
      </c>
      <c r="K299" s="20">
        <f t="shared" ca="1" si="45"/>
        <v>3</v>
      </c>
      <c r="L299" s="44">
        <f t="shared" ca="1" si="50"/>
        <v>4</v>
      </c>
    </row>
    <row r="300" spans="1:12" x14ac:dyDescent="0.25">
      <c r="A300" s="20">
        <v>292</v>
      </c>
      <c r="B300" s="21">
        <f t="shared" ca="1" si="46"/>
        <v>4.9161123029620875</v>
      </c>
      <c r="C300" s="21">
        <f t="shared" ca="1" si="51"/>
        <v>877.38204121470312</v>
      </c>
      <c r="D300" s="21">
        <f t="shared" ca="1" si="47"/>
        <v>3.0737996876107876</v>
      </c>
      <c r="E300" s="21">
        <f t="shared" ca="1" si="54"/>
        <v>6.4137957445072971</v>
      </c>
      <c r="F300" s="20" t="str">
        <f t="shared" ca="1" si="52"/>
        <v>No</v>
      </c>
      <c r="G300" s="21">
        <f t="shared" ca="1" si="48"/>
        <v>0</v>
      </c>
      <c r="H300" s="21">
        <f t="shared" ca="1" si="49"/>
        <v>883.79583695921042</v>
      </c>
      <c r="I300" s="21">
        <f t="shared" ca="1" si="44"/>
        <v>886.86963664682116</v>
      </c>
      <c r="J300" s="20">
        <f t="shared" ca="1" si="53"/>
        <v>4</v>
      </c>
      <c r="K300" s="20">
        <f t="shared" ca="1" si="45"/>
        <v>4</v>
      </c>
      <c r="L300" s="44">
        <f t="shared" ca="1" si="50"/>
        <v>4</v>
      </c>
    </row>
    <row r="301" spans="1:12" x14ac:dyDescent="0.25">
      <c r="A301" s="20">
        <v>293</v>
      </c>
      <c r="B301" s="21">
        <f t="shared" ca="1" si="46"/>
        <v>1.3810495423702387</v>
      </c>
      <c r="C301" s="21">
        <f t="shared" ca="1" si="51"/>
        <v>878.76309075707331</v>
      </c>
      <c r="D301" s="21">
        <f t="shared" ca="1" si="47"/>
        <v>5.2654947223438198</v>
      </c>
      <c r="E301" s="21">
        <f t="shared" ca="1" si="54"/>
        <v>8.1065458897478493</v>
      </c>
      <c r="F301" s="20" t="str">
        <f t="shared" ca="1" si="52"/>
        <v>No</v>
      </c>
      <c r="G301" s="21">
        <f t="shared" ca="1" si="48"/>
        <v>0</v>
      </c>
      <c r="H301" s="21">
        <f t="shared" ca="1" si="49"/>
        <v>886.86963664682116</v>
      </c>
      <c r="I301" s="21">
        <f t="shared" ca="1" si="44"/>
        <v>892.13513136916504</v>
      </c>
      <c r="J301" s="20">
        <f t="shared" ca="1" si="53"/>
        <v>5</v>
      </c>
      <c r="K301" s="20">
        <f t="shared" ca="1" si="45"/>
        <v>4</v>
      </c>
      <c r="L301" s="44">
        <f t="shared" ca="1" si="50"/>
        <v>4.5</v>
      </c>
    </row>
    <row r="302" spans="1:12" x14ac:dyDescent="0.25">
      <c r="A302" s="20">
        <v>294</v>
      </c>
      <c r="B302" s="21">
        <f t="shared" ca="1" si="46"/>
        <v>0.70625171861572855</v>
      </c>
      <c r="C302" s="21">
        <f t="shared" ca="1" si="51"/>
        <v>879.46934247568902</v>
      </c>
      <c r="D302" s="21">
        <f t="shared" ca="1" si="47"/>
        <v>3.2587551911101369</v>
      </c>
      <c r="E302" s="21">
        <f t="shared" ca="1" si="54"/>
        <v>12.665788893476019</v>
      </c>
      <c r="F302" s="20" t="str">
        <f t="shared" ca="1" si="52"/>
        <v>No</v>
      </c>
      <c r="G302" s="21">
        <f t="shared" ca="1" si="48"/>
        <v>0</v>
      </c>
      <c r="H302" s="21">
        <f t="shared" ca="1" si="49"/>
        <v>892.13513136916504</v>
      </c>
      <c r="I302" s="21">
        <f t="shared" ca="1" si="44"/>
        <v>895.39388656027518</v>
      </c>
      <c r="J302" s="20">
        <f t="shared" ca="1" si="53"/>
        <v>5</v>
      </c>
      <c r="K302" s="20">
        <f t="shared" ca="1" si="45"/>
        <v>4</v>
      </c>
      <c r="L302" s="44">
        <f t="shared" ca="1" si="50"/>
        <v>4.5</v>
      </c>
    </row>
    <row r="303" spans="1:12" x14ac:dyDescent="0.25">
      <c r="A303" s="20">
        <v>295</v>
      </c>
      <c r="B303" s="21">
        <f t="shared" ca="1" si="46"/>
        <v>5.8765880424810586</v>
      </c>
      <c r="C303" s="21">
        <f t="shared" ca="1" si="51"/>
        <v>885.34593051817012</v>
      </c>
      <c r="D303" s="21">
        <f t="shared" ca="1" si="47"/>
        <v>0.48242340156686242</v>
      </c>
      <c r="E303" s="21">
        <f t="shared" ca="1" si="54"/>
        <v>10.047956042105056</v>
      </c>
      <c r="F303" s="20" t="str">
        <f t="shared" ca="1" si="52"/>
        <v>No</v>
      </c>
      <c r="G303" s="21">
        <f t="shared" ca="1" si="48"/>
        <v>0</v>
      </c>
      <c r="H303" s="21">
        <f t="shared" ca="1" si="49"/>
        <v>895.39388656027518</v>
      </c>
      <c r="I303" s="21">
        <f t="shared" ca="1" si="44"/>
        <v>895.87630996184203</v>
      </c>
      <c r="J303" s="20">
        <f t="shared" ca="1" si="53"/>
        <v>5</v>
      </c>
      <c r="K303" s="20">
        <f t="shared" ca="1" si="45"/>
        <v>3</v>
      </c>
      <c r="L303" s="44">
        <f t="shared" ca="1" si="50"/>
        <v>4</v>
      </c>
    </row>
    <row r="304" spans="1:12" x14ac:dyDescent="0.25">
      <c r="A304" s="20">
        <v>296</v>
      </c>
      <c r="B304" s="21">
        <f t="shared" ca="1" si="46"/>
        <v>1.2768283938225453</v>
      </c>
      <c r="C304" s="21">
        <f t="shared" ca="1" si="51"/>
        <v>886.62275891199272</v>
      </c>
      <c r="D304" s="21">
        <f t="shared" ca="1" si="47"/>
        <v>7.6340948581725181</v>
      </c>
      <c r="E304" s="21">
        <f t="shared" ca="1" si="54"/>
        <v>9.2535510498493068</v>
      </c>
      <c r="F304" s="20" t="str">
        <f t="shared" ca="1" si="52"/>
        <v>No</v>
      </c>
      <c r="G304" s="21">
        <f t="shared" ca="1" si="48"/>
        <v>0</v>
      </c>
      <c r="H304" s="21">
        <f t="shared" ca="1" si="49"/>
        <v>895.87630996184203</v>
      </c>
      <c r="I304" s="21">
        <f t="shared" ca="1" si="44"/>
        <v>903.51040482001451</v>
      </c>
      <c r="J304" s="20">
        <f t="shared" ca="1" si="53"/>
        <v>4</v>
      </c>
      <c r="K304" s="20">
        <f t="shared" ca="1" si="45"/>
        <v>3</v>
      </c>
      <c r="L304" s="44">
        <f t="shared" ca="1" si="50"/>
        <v>3.5</v>
      </c>
    </row>
    <row r="305" spans="1:12" x14ac:dyDescent="0.25">
      <c r="A305" s="20">
        <v>297</v>
      </c>
      <c r="B305" s="21">
        <f t="shared" ca="1" si="46"/>
        <v>5.0770453478794959</v>
      </c>
      <c r="C305" s="21">
        <f t="shared" ca="1" si="51"/>
        <v>891.69980425987217</v>
      </c>
      <c r="D305" s="21">
        <f t="shared" ca="1" si="47"/>
        <v>2.4761943923402812</v>
      </c>
      <c r="E305" s="21">
        <f t="shared" ca="1" si="54"/>
        <v>11.810600560142348</v>
      </c>
      <c r="F305" s="20" t="str">
        <f t="shared" ca="1" si="52"/>
        <v>No</v>
      </c>
      <c r="G305" s="21">
        <f t="shared" ca="1" si="48"/>
        <v>0</v>
      </c>
      <c r="H305" s="21">
        <f t="shared" ca="1" si="49"/>
        <v>903.51040482001451</v>
      </c>
      <c r="I305" s="21">
        <f t="shared" ca="1" si="44"/>
        <v>905.9865992123548</v>
      </c>
      <c r="J305" s="20">
        <f t="shared" ca="1" si="53"/>
        <v>4</v>
      </c>
      <c r="K305" s="20">
        <f t="shared" ca="1" si="45"/>
        <v>2</v>
      </c>
      <c r="L305" s="44">
        <f t="shared" ca="1" si="50"/>
        <v>3</v>
      </c>
    </row>
    <row r="306" spans="1:12" x14ac:dyDescent="0.25">
      <c r="A306" s="20">
        <v>298</v>
      </c>
      <c r="B306" s="21">
        <f t="shared" ca="1" si="46"/>
        <v>1.054522847798038</v>
      </c>
      <c r="C306" s="21">
        <f t="shared" ca="1" si="51"/>
        <v>892.75432710767018</v>
      </c>
      <c r="D306" s="21">
        <f t="shared" ca="1" si="47"/>
        <v>0.51971761225856006</v>
      </c>
      <c r="E306" s="21">
        <f t="shared" ca="1" si="54"/>
        <v>13.232272104684625</v>
      </c>
      <c r="F306" s="20" t="str">
        <f t="shared" ca="1" si="52"/>
        <v>No</v>
      </c>
      <c r="G306" s="21">
        <f t="shared" ca="1" si="48"/>
        <v>0</v>
      </c>
      <c r="H306" s="21">
        <f t="shared" ca="1" si="49"/>
        <v>905.9865992123548</v>
      </c>
      <c r="I306" s="21">
        <f t="shared" ca="1" si="44"/>
        <v>906.50631682461335</v>
      </c>
      <c r="J306" s="20">
        <f t="shared" ca="1" si="53"/>
        <v>3</v>
      </c>
      <c r="K306" s="20">
        <f t="shared" ca="1" si="45"/>
        <v>1</v>
      </c>
      <c r="L306" s="44">
        <f t="shared" ca="1" si="50"/>
        <v>2</v>
      </c>
    </row>
    <row r="307" spans="1:12" x14ac:dyDescent="0.25">
      <c r="A307" s="20">
        <v>299</v>
      </c>
      <c r="B307" s="21">
        <f t="shared" ca="1" si="46"/>
        <v>3.1400481239338061</v>
      </c>
      <c r="C307" s="21">
        <f t="shared" ca="1" si="51"/>
        <v>895.89437523160393</v>
      </c>
      <c r="D307" s="21">
        <f t="shared" ca="1" si="47"/>
        <v>2.6449367190389355</v>
      </c>
      <c r="E307" s="21">
        <f t="shared" ca="1" si="54"/>
        <v>10.611941593009419</v>
      </c>
      <c r="F307" s="20" t="str">
        <f t="shared" ca="1" si="52"/>
        <v>No</v>
      </c>
      <c r="G307" s="21">
        <f t="shared" ca="1" si="48"/>
        <v>0</v>
      </c>
      <c r="H307" s="21">
        <f t="shared" ca="1" si="49"/>
        <v>906.50631682461335</v>
      </c>
      <c r="I307" s="21">
        <f t="shared" ca="1" si="44"/>
        <v>909.15125354365227</v>
      </c>
      <c r="J307" s="20">
        <f t="shared" ca="1" si="53"/>
        <v>2</v>
      </c>
      <c r="K307" s="20">
        <f t="shared" ca="1" si="45"/>
        <v>0</v>
      </c>
      <c r="L307" s="44">
        <f t="shared" ca="1" si="50"/>
        <v>1</v>
      </c>
    </row>
    <row r="308" spans="1:12" x14ac:dyDescent="0.25">
      <c r="A308" s="20">
        <v>300</v>
      </c>
      <c r="B308" s="21">
        <f t="shared" ca="1" si="46"/>
        <v>16.047104386070231</v>
      </c>
      <c r="C308" s="21">
        <f t="shared" ca="1" si="51"/>
        <v>911.94147961767419</v>
      </c>
      <c r="D308" s="21">
        <f t="shared" ca="1" si="47"/>
        <v>0.93038498080229415</v>
      </c>
      <c r="E308" s="21">
        <f t="shared" ca="1" si="54"/>
        <v>0</v>
      </c>
      <c r="F308" s="20" t="str">
        <f t="shared" ca="1" si="52"/>
        <v>Yes</v>
      </c>
      <c r="G308" s="21">
        <f t="shared" ca="1" si="48"/>
        <v>2.7902260740219162</v>
      </c>
      <c r="H308" s="21">
        <f t="shared" ca="1" si="49"/>
        <v>911.94147961767419</v>
      </c>
      <c r="I308" s="21">
        <f t="shared" ca="1" si="44"/>
        <v>912.87186459847646</v>
      </c>
      <c r="J308" s="20">
        <f t="shared" ca="1" si="53"/>
        <v>0</v>
      </c>
      <c r="K308" s="20">
        <f t="shared" ca="1" si="45"/>
        <v>0</v>
      </c>
      <c r="L308" s="44">
        <f t="shared" ca="1" si="50"/>
        <v>0</v>
      </c>
    </row>
    <row r="309" spans="1:12" x14ac:dyDescent="0.25">
      <c r="A309" s="20">
        <v>301</v>
      </c>
      <c r="B309" s="21">
        <f t="shared" ca="1" si="46"/>
        <v>2.6939265067405898</v>
      </c>
      <c r="C309" s="21">
        <f t="shared" ca="1" si="51"/>
        <v>914.63540612441477</v>
      </c>
      <c r="D309" s="21">
        <f t="shared" ca="1" si="47"/>
        <v>7.224671854675047</v>
      </c>
      <c r="E309" s="21">
        <f t="shared" ca="1" si="54"/>
        <v>0</v>
      </c>
      <c r="F309" s="20" t="str">
        <f t="shared" ca="1" si="52"/>
        <v>Yes</v>
      </c>
      <c r="G309" s="21">
        <f t="shared" ca="1" si="48"/>
        <v>1.763541525938308</v>
      </c>
      <c r="H309" s="21">
        <f t="shared" ca="1" si="49"/>
        <v>914.63540612441477</v>
      </c>
      <c r="I309" s="21">
        <f t="shared" ca="1" si="44"/>
        <v>921.86007797908985</v>
      </c>
      <c r="J309" s="20">
        <f t="shared" ca="1" si="53"/>
        <v>0</v>
      </c>
      <c r="K309" s="20">
        <f t="shared" ca="1" si="45"/>
        <v>3</v>
      </c>
      <c r="L309" s="44">
        <f t="shared" ca="1" si="50"/>
        <v>1.5</v>
      </c>
    </row>
    <row r="310" spans="1:12" x14ac:dyDescent="0.25">
      <c r="A310" s="20">
        <v>302</v>
      </c>
      <c r="B310" s="21">
        <f t="shared" ca="1" si="46"/>
        <v>3.0400295498918593</v>
      </c>
      <c r="C310" s="21">
        <f t="shared" ca="1" si="51"/>
        <v>917.67543567430664</v>
      </c>
      <c r="D310" s="21">
        <f t="shared" ca="1" si="47"/>
        <v>1.467782093635225</v>
      </c>
      <c r="E310" s="21">
        <f t="shared" ca="1" si="54"/>
        <v>4.1846423047832104</v>
      </c>
      <c r="F310" s="20" t="str">
        <f t="shared" ca="1" si="52"/>
        <v>No</v>
      </c>
      <c r="G310" s="21">
        <f t="shared" ca="1" si="48"/>
        <v>0</v>
      </c>
      <c r="H310" s="21">
        <f t="shared" ca="1" si="49"/>
        <v>921.86007797908985</v>
      </c>
      <c r="I310" s="21">
        <f t="shared" ca="1" si="44"/>
        <v>923.32786007272512</v>
      </c>
      <c r="J310" s="20">
        <f t="shared" ca="1" si="53"/>
        <v>4</v>
      </c>
      <c r="K310" s="20">
        <f t="shared" ca="1" si="45"/>
        <v>2</v>
      </c>
      <c r="L310" s="44">
        <f t="shared" ca="1" si="50"/>
        <v>3</v>
      </c>
    </row>
    <row r="311" spans="1:12" x14ac:dyDescent="0.25">
      <c r="A311" s="20">
        <v>303</v>
      </c>
      <c r="B311" s="21">
        <f t="shared" ca="1" si="46"/>
        <v>1.5489132882732424</v>
      </c>
      <c r="C311" s="21">
        <f t="shared" ca="1" si="51"/>
        <v>919.22434896257994</v>
      </c>
      <c r="D311" s="21">
        <f t="shared" ca="1" si="47"/>
        <v>5.6526804235335097</v>
      </c>
      <c r="E311" s="21">
        <f t="shared" ca="1" si="54"/>
        <v>4.1035111101451776</v>
      </c>
      <c r="F311" s="20" t="str">
        <f t="shared" ca="1" si="52"/>
        <v>No</v>
      </c>
      <c r="G311" s="21">
        <f t="shared" ca="1" si="48"/>
        <v>0</v>
      </c>
      <c r="H311" s="21">
        <f t="shared" ca="1" si="49"/>
        <v>923.32786007272512</v>
      </c>
      <c r="I311" s="21">
        <f t="shared" ca="1" si="44"/>
        <v>928.98054049625864</v>
      </c>
      <c r="J311" s="20">
        <f t="shared" ca="1" si="53"/>
        <v>3</v>
      </c>
      <c r="K311" s="20">
        <f t="shared" ca="1" si="45"/>
        <v>2</v>
      </c>
      <c r="L311" s="44">
        <f t="shared" ca="1" si="50"/>
        <v>2.5</v>
      </c>
    </row>
    <row r="312" spans="1:12" x14ac:dyDescent="0.25">
      <c r="A312" s="20">
        <v>304</v>
      </c>
      <c r="B312" s="21">
        <f t="shared" ca="1" si="46"/>
        <v>2.5814111507030173</v>
      </c>
      <c r="C312" s="21">
        <f t="shared" ca="1" si="51"/>
        <v>921.80576011328299</v>
      </c>
      <c r="D312" s="21">
        <f t="shared" ca="1" si="47"/>
        <v>2.0208111049341517</v>
      </c>
      <c r="E312" s="21">
        <f t="shared" ca="1" si="54"/>
        <v>7.1747803829756549</v>
      </c>
      <c r="F312" s="20" t="str">
        <f t="shared" ca="1" si="52"/>
        <v>No</v>
      </c>
      <c r="G312" s="21">
        <f t="shared" ca="1" si="48"/>
        <v>0</v>
      </c>
      <c r="H312" s="21">
        <f t="shared" ca="1" si="49"/>
        <v>928.98054049625864</v>
      </c>
      <c r="I312" s="21">
        <f t="shared" ca="1" si="44"/>
        <v>931.00135160119282</v>
      </c>
      <c r="J312" s="20">
        <f t="shared" ca="1" si="53"/>
        <v>3</v>
      </c>
      <c r="K312" s="20">
        <f t="shared" ca="1" si="45"/>
        <v>4</v>
      </c>
      <c r="L312" s="44">
        <f t="shared" ca="1" si="50"/>
        <v>3.5</v>
      </c>
    </row>
    <row r="313" spans="1:12" x14ac:dyDescent="0.25">
      <c r="A313" s="20">
        <v>305</v>
      </c>
      <c r="B313" s="21">
        <f t="shared" ca="1" si="46"/>
        <v>6.3702491055263275</v>
      </c>
      <c r="C313" s="21">
        <f t="shared" ca="1" si="51"/>
        <v>928.17600921880933</v>
      </c>
      <c r="D313" s="21">
        <f t="shared" ca="1" si="47"/>
        <v>3.5068677093144753</v>
      </c>
      <c r="E313" s="21">
        <f t="shared" ca="1" si="54"/>
        <v>2.8253423823834964</v>
      </c>
      <c r="F313" s="20" t="str">
        <f t="shared" ca="1" si="52"/>
        <v>No</v>
      </c>
      <c r="G313" s="21">
        <f t="shared" ca="1" si="48"/>
        <v>0</v>
      </c>
      <c r="H313" s="21">
        <f t="shared" ca="1" si="49"/>
        <v>931.00135160119282</v>
      </c>
      <c r="I313" s="21">
        <f t="shared" ca="1" si="44"/>
        <v>934.50821931050734</v>
      </c>
      <c r="J313" s="20">
        <f t="shared" ca="1" si="53"/>
        <v>5</v>
      </c>
      <c r="K313" s="20">
        <f t="shared" ca="1" si="45"/>
        <v>3</v>
      </c>
      <c r="L313" s="44">
        <f t="shared" ca="1" si="50"/>
        <v>4</v>
      </c>
    </row>
    <row r="314" spans="1:12" x14ac:dyDescent="0.25">
      <c r="A314" s="20">
        <v>306</v>
      </c>
      <c r="B314" s="21">
        <f t="shared" ca="1" si="46"/>
        <v>1.0699431361260554</v>
      </c>
      <c r="C314" s="21">
        <f t="shared" ca="1" si="51"/>
        <v>929.24595235493541</v>
      </c>
      <c r="D314" s="21">
        <f t="shared" ca="1" si="47"/>
        <v>1.8638138572638598</v>
      </c>
      <c r="E314" s="21">
        <f t="shared" ca="1" si="54"/>
        <v>5.2622669555719312</v>
      </c>
      <c r="F314" s="20" t="str">
        <f t="shared" ca="1" si="52"/>
        <v>No</v>
      </c>
      <c r="G314" s="21">
        <f t="shared" ca="1" si="48"/>
        <v>0</v>
      </c>
      <c r="H314" s="21">
        <f t="shared" ca="1" si="49"/>
        <v>934.50821931050734</v>
      </c>
      <c r="I314" s="21">
        <f t="shared" ca="1" si="44"/>
        <v>936.37203316777118</v>
      </c>
      <c r="J314" s="20">
        <f t="shared" ca="1" si="53"/>
        <v>4</v>
      </c>
      <c r="K314" s="20">
        <f t="shared" ca="1" si="45"/>
        <v>4</v>
      </c>
      <c r="L314" s="44">
        <f t="shared" ca="1" si="50"/>
        <v>4</v>
      </c>
    </row>
    <row r="315" spans="1:12" x14ac:dyDescent="0.25">
      <c r="A315" s="20">
        <v>307</v>
      </c>
      <c r="B315" s="21">
        <f t="shared" ca="1" si="46"/>
        <v>0.9017475422629917</v>
      </c>
      <c r="C315" s="21">
        <f t="shared" ca="1" si="51"/>
        <v>930.14769989719844</v>
      </c>
      <c r="D315" s="21">
        <f t="shared" ca="1" si="47"/>
        <v>1.4372314805085686</v>
      </c>
      <c r="E315" s="21">
        <f t="shared" ca="1" si="54"/>
        <v>6.2243332705727425</v>
      </c>
      <c r="F315" s="20" t="str">
        <f t="shared" ca="1" si="52"/>
        <v>No</v>
      </c>
      <c r="G315" s="21">
        <f t="shared" ca="1" si="48"/>
        <v>0</v>
      </c>
      <c r="H315" s="21">
        <f t="shared" ca="1" si="49"/>
        <v>936.37203316777118</v>
      </c>
      <c r="I315" s="21">
        <f t="shared" ca="1" si="44"/>
        <v>937.80926464827974</v>
      </c>
      <c r="J315" s="20">
        <f t="shared" ca="1" si="53"/>
        <v>5</v>
      </c>
      <c r="K315" s="20">
        <f t="shared" ca="1" si="45"/>
        <v>3</v>
      </c>
      <c r="L315" s="44">
        <f t="shared" ca="1" si="50"/>
        <v>4</v>
      </c>
    </row>
    <row r="316" spans="1:12" x14ac:dyDescent="0.25">
      <c r="A316" s="20">
        <v>308</v>
      </c>
      <c r="B316" s="21">
        <f t="shared" ca="1" si="46"/>
        <v>0.70138916885759606</v>
      </c>
      <c r="C316" s="21">
        <f t="shared" ca="1" si="51"/>
        <v>930.84908906605608</v>
      </c>
      <c r="D316" s="21">
        <f t="shared" ca="1" si="47"/>
        <v>3.3327710775380202</v>
      </c>
      <c r="E316" s="21">
        <f t="shared" ca="1" si="54"/>
        <v>6.9601755822236555</v>
      </c>
      <c r="F316" s="20" t="str">
        <f t="shared" ca="1" si="52"/>
        <v>No</v>
      </c>
      <c r="G316" s="21">
        <f t="shared" ca="1" si="48"/>
        <v>0</v>
      </c>
      <c r="H316" s="21">
        <f t="shared" ca="1" si="49"/>
        <v>937.80926464827974</v>
      </c>
      <c r="I316" s="21">
        <f t="shared" ca="1" si="44"/>
        <v>941.14203572581778</v>
      </c>
      <c r="J316" s="20">
        <f t="shared" ca="1" si="53"/>
        <v>4</v>
      </c>
      <c r="K316" s="20">
        <f t="shared" ca="1" si="45"/>
        <v>2</v>
      </c>
      <c r="L316" s="44">
        <f t="shared" ca="1" si="50"/>
        <v>3</v>
      </c>
    </row>
    <row r="317" spans="1:12" x14ac:dyDescent="0.25">
      <c r="A317" s="20">
        <v>309</v>
      </c>
      <c r="B317" s="21">
        <f t="shared" ca="1" si="46"/>
        <v>5.2855328240331731</v>
      </c>
      <c r="C317" s="21">
        <f t="shared" ca="1" si="51"/>
        <v>936.13462189008931</v>
      </c>
      <c r="D317" s="21">
        <f t="shared" ca="1" si="47"/>
        <v>2.2582163752402531</v>
      </c>
      <c r="E317" s="21">
        <f t="shared" ca="1" si="54"/>
        <v>5.007413835728471</v>
      </c>
      <c r="F317" s="20" t="str">
        <f t="shared" ca="1" si="52"/>
        <v>No</v>
      </c>
      <c r="G317" s="21">
        <f t="shared" ca="1" si="48"/>
        <v>0</v>
      </c>
      <c r="H317" s="21">
        <f t="shared" ca="1" si="49"/>
        <v>941.14203572581778</v>
      </c>
      <c r="I317" s="21">
        <f t="shared" ca="1" si="44"/>
        <v>943.40025210105807</v>
      </c>
      <c r="J317" s="20">
        <f t="shared" ca="1" si="53"/>
        <v>3</v>
      </c>
      <c r="K317" s="20">
        <f t="shared" ca="1" si="45"/>
        <v>1</v>
      </c>
      <c r="L317" s="44">
        <f t="shared" ca="1" si="50"/>
        <v>2</v>
      </c>
    </row>
    <row r="318" spans="1:12" x14ac:dyDescent="0.25">
      <c r="A318" s="20">
        <v>310</v>
      </c>
      <c r="B318" s="21">
        <f t="shared" ca="1" si="46"/>
        <v>5.7018878502230353E-3</v>
      </c>
      <c r="C318" s="21">
        <f t="shared" ca="1" si="51"/>
        <v>936.14032377793956</v>
      </c>
      <c r="D318" s="21">
        <f t="shared" ca="1" si="47"/>
        <v>0.78011681578486003</v>
      </c>
      <c r="E318" s="21">
        <f t="shared" ca="1" si="54"/>
        <v>7.2599283231185154</v>
      </c>
      <c r="F318" s="20" t="str">
        <f t="shared" ca="1" si="52"/>
        <v>No</v>
      </c>
      <c r="G318" s="21">
        <f t="shared" ca="1" si="48"/>
        <v>0</v>
      </c>
      <c r="H318" s="21">
        <f t="shared" ca="1" si="49"/>
        <v>943.40025210105807</v>
      </c>
      <c r="I318" s="21">
        <f t="shared" ca="1" si="44"/>
        <v>944.18036891684289</v>
      </c>
      <c r="J318" s="20">
        <f t="shared" ca="1" si="53"/>
        <v>2</v>
      </c>
      <c r="K318" s="20">
        <f t="shared" ca="1" si="45"/>
        <v>0</v>
      </c>
      <c r="L318" s="44">
        <f t="shared" ca="1" si="50"/>
        <v>1</v>
      </c>
    </row>
    <row r="319" spans="1:12" x14ac:dyDescent="0.25">
      <c r="A319" s="20">
        <v>311</v>
      </c>
      <c r="B319" s="21">
        <f t="shared" ca="1" si="46"/>
        <v>8.5099914464665112</v>
      </c>
      <c r="C319" s="21">
        <f t="shared" ca="1" si="51"/>
        <v>944.65031522440609</v>
      </c>
      <c r="D319" s="21">
        <f t="shared" ca="1" si="47"/>
        <v>0.689280462429123</v>
      </c>
      <c r="E319" s="21">
        <f t="shared" ca="1" si="54"/>
        <v>0</v>
      </c>
      <c r="F319" s="20" t="str">
        <f t="shared" ca="1" si="52"/>
        <v>Yes</v>
      </c>
      <c r="G319" s="21">
        <f t="shared" ca="1" si="48"/>
        <v>0.46994630756319111</v>
      </c>
      <c r="H319" s="21">
        <f t="shared" ca="1" si="49"/>
        <v>944.65031522440609</v>
      </c>
      <c r="I319" s="21">
        <f t="shared" ca="1" si="44"/>
        <v>945.3395956868352</v>
      </c>
      <c r="J319" s="20">
        <f t="shared" ca="1" si="53"/>
        <v>0</v>
      </c>
      <c r="K319" s="20">
        <f t="shared" ca="1" si="45"/>
        <v>2</v>
      </c>
      <c r="L319" s="44">
        <f t="shared" ca="1" si="50"/>
        <v>1</v>
      </c>
    </row>
    <row r="320" spans="1:12" x14ac:dyDescent="0.25">
      <c r="A320" s="20">
        <v>312</v>
      </c>
      <c r="B320" s="21">
        <f t="shared" ca="1" si="46"/>
        <v>0.14611212042186711</v>
      </c>
      <c r="C320" s="21">
        <f t="shared" ca="1" si="51"/>
        <v>944.79642734482798</v>
      </c>
      <c r="D320" s="21">
        <f t="shared" ca="1" si="47"/>
        <v>0.79711636474195791</v>
      </c>
      <c r="E320" s="21">
        <f t="shared" ca="1" si="54"/>
        <v>0.54316834200722042</v>
      </c>
      <c r="F320" s="20" t="str">
        <f t="shared" ca="1" si="52"/>
        <v>No</v>
      </c>
      <c r="G320" s="21">
        <f t="shared" ca="1" si="48"/>
        <v>0</v>
      </c>
      <c r="H320" s="21">
        <f t="shared" ca="1" si="49"/>
        <v>945.3395956868352</v>
      </c>
      <c r="I320" s="21">
        <f t="shared" ca="1" si="44"/>
        <v>946.13671205157721</v>
      </c>
      <c r="J320" s="20">
        <f t="shared" ca="1" si="53"/>
        <v>3</v>
      </c>
      <c r="K320" s="20">
        <f t="shared" ca="1" si="45"/>
        <v>1</v>
      </c>
      <c r="L320" s="44">
        <f t="shared" ca="1" si="50"/>
        <v>2</v>
      </c>
    </row>
    <row r="321" spans="1:12" x14ac:dyDescent="0.25">
      <c r="A321" s="20">
        <v>313</v>
      </c>
      <c r="B321" s="21">
        <f t="shared" ca="1" si="46"/>
        <v>0.38960313592111229</v>
      </c>
      <c r="C321" s="21">
        <f t="shared" ca="1" si="51"/>
        <v>945.18603048074908</v>
      </c>
      <c r="D321" s="21">
        <f t="shared" ca="1" si="47"/>
        <v>2.2719261956045966</v>
      </c>
      <c r="E321" s="21">
        <f t="shared" ca="1" si="54"/>
        <v>0.95068157082812377</v>
      </c>
      <c r="F321" s="20" t="str">
        <f t="shared" ca="1" si="52"/>
        <v>No</v>
      </c>
      <c r="G321" s="21">
        <f t="shared" ca="1" si="48"/>
        <v>0</v>
      </c>
      <c r="H321" s="21">
        <f t="shared" ca="1" si="49"/>
        <v>946.13671205157721</v>
      </c>
      <c r="I321" s="21">
        <f t="shared" ca="1" si="44"/>
        <v>948.40863824718178</v>
      </c>
      <c r="J321" s="20">
        <f t="shared" ca="1" si="53"/>
        <v>2</v>
      </c>
      <c r="K321" s="20">
        <f t="shared" ca="1" si="45"/>
        <v>0</v>
      </c>
      <c r="L321" s="44">
        <f t="shared" ca="1" si="50"/>
        <v>1</v>
      </c>
    </row>
    <row r="322" spans="1:12" x14ac:dyDescent="0.25">
      <c r="A322" s="20">
        <v>314</v>
      </c>
      <c r="B322" s="21">
        <f t="shared" ca="1" si="46"/>
        <v>7.9411995128428368</v>
      </c>
      <c r="C322" s="21">
        <f t="shared" ca="1" si="51"/>
        <v>953.12722999359187</v>
      </c>
      <c r="D322" s="21">
        <f t="shared" ca="1" si="47"/>
        <v>12.22186987351917</v>
      </c>
      <c r="E322" s="21">
        <f t="shared" ca="1" si="54"/>
        <v>0</v>
      </c>
      <c r="F322" s="20" t="str">
        <f t="shared" ca="1" si="52"/>
        <v>Yes</v>
      </c>
      <c r="G322" s="21">
        <f t="shared" ca="1" si="48"/>
        <v>4.7185917464100839</v>
      </c>
      <c r="H322" s="21">
        <f t="shared" ca="1" si="49"/>
        <v>953.12722999359187</v>
      </c>
      <c r="I322" s="21">
        <f t="shared" ca="1" si="44"/>
        <v>965.34909986711102</v>
      </c>
      <c r="J322" s="20">
        <f t="shared" ca="1" si="53"/>
        <v>0</v>
      </c>
      <c r="K322" s="20">
        <f t="shared" ca="1" si="45"/>
        <v>2</v>
      </c>
      <c r="L322" s="44">
        <f t="shared" ca="1" si="50"/>
        <v>1</v>
      </c>
    </row>
    <row r="323" spans="1:12" x14ac:dyDescent="0.25">
      <c r="A323" s="20">
        <v>315</v>
      </c>
      <c r="B323" s="21">
        <f t="shared" ca="1" si="46"/>
        <v>5.6062969442788635</v>
      </c>
      <c r="C323" s="21">
        <f t="shared" ca="1" si="51"/>
        <v>958.73352693787069</v>
      </c>
      <c r="D323" s="21">
        <f t="shared" ca="1" si="47"/>
        <v>1.4001185746142464</v>
      </c>
      <c r="E323" s="21">
        <f t="shared" ca="1" si="54"/>
        <v>6.6155729292403294</v>
      </c>
      <c r="F323" s="20" t="str">
        <f t="shared" ca="1" si="52"/>
        <v>No</v>
      </c>
      <c r="G323" s="21">
        <f t="shared" ca="1" si="48"/>
        <v>0</v>
      </c>
      <c r="H323" s="21">
        <f t="shared" ca="1" si="49"/>
        <v>965.34909986711102</v>
      </c>
      <c r="I323" s="21">
        <f t="shared" ca="1" si="44"/>
        <v>966.74921844172525</v>
      </c>
      <c r="J323" s="20">
        <f t="shared" ca="1" si="53"/>
        <v>3</v>
      </c>
      <c r="K323" s="20">
        <f t="shared" ca="1" si="45"/>
        <v>1</v>
      </c>
      <c r="L323" s="44">
        <f t="shared" ca="1" si="50"/>
        <v>2</v>
      </c>
    </row>
    <row r="324" spans="1:12" x14ac:dyDescent="0.25">
      <c r="A324" s="20">
        <v>316</v>
      </c>
      <c r="B324" s="21">
        <f t="shared" ca="1" si="46"/>
        <v>3.6908797640364304</v>
      </c>
      <c r="C324" s="21">
        <f t="shared" ca="1" si="51"/>
        <v>962.42440670190717</v>
      </c>
      <c r="D324" s="21">
        <f t="shared" ca="1" si="47"/>
        <v>0.32382263779211717</v>
      </c>
      <c r="E324" s="21">
        <f t="shared" ca="1" si="54"/>
        <v>4.3248117398180739</v>
      </c>
      <c r="F324" s="20" t="str">
        <f t="shared" ca="1" si="52"/>
        <v>No</v>
      </c>
      <c r="G324" s="21">
        <f t="shared" ca="1" si="48"/>
        <v>0</v>
      </c>
      <c r="H324" s="21">
        <f t="shared" ca="1" si="49"/>
        <v>966.74921844172525</v>
      </c>
      <c r="I324" s="21">
        <f t="shared" ca="1" si="44"/>
        <v>967.07304107951734</v>
      </c>
      <c r="J324" s="20">
        <f t="shared" ca="1" si="53"/>
        <v>2</v>
      </c>
      <c r="K324" s="20">
        <f t="shared" ca="1" si="45"/>
        <v>0</v>
      </c>
      <c r="L324" s="44">
        <f t="shared" ca="1" si="50"/>
        <v>1</v>
      </c>
    </row>
    <row r="325" spans="1:12" x14ac:dyDescent="0.25">
      <c r="A325" s="20">
        <v>317</v>
      </c>
      <c r="B325" s="21">
        <f t="shared" ca="1" si="46"/>
        <v>6.5585980983899237</v>
      </c>
      <c r="C325" s="21">
        <f t="shared" ca="1" si="51"/>
        <v>968.98300480029707</v>
      </c>
      <c r="D325" s="21">
        <f t="shared" ca="1" si="47"/>
        <v>0.6847300090619699</v>
      </c>
      <c r="E325" s="21">
        <f t="shared" ca="1" si="54"/>
        <v>0</v>
      </c>
      <c r="F325" s="20" t="str">
        <f t="shared" ca="1" si="52"/>
        <v>Yes</v>
      </c>
      <c r="G325" s="21">
        <f t="shared" ca="1" si="48"/>
        <v>1.9099637207797286</v>
      </c>
      <c r="H325" s="21">
        <f t="shared" ca="1" si="49"/>
        <v>968.98300480029707</v>
      </c>
      <c r="I325" s="21">
        <f t="shared" ca="1" si="44"/>
        <v>969.66773480935899</v>
      </c>
      <c r="J325" s="20">
        <f t="shared" ca="1" si="53"/>
        <v>0</v>
      </c>
      <c r="K325" s="20">
        <f t="shared" ca="1" si="45"/>
        <v>0</v>
      </c>
      <c r="L325" s="44">
        <f t="shared" ca="1" si="50"/>
        <v>0</v>
      </c>
    </row>
    <row r="326" spans="1:12" x14ac:dyDescent="0.25">
      <c r="A326" s="20">
        <v>318</v>
      </c>
      <c r="B326" s="21">
        <f t="shared" ca="1" si="46"/>
        <v>8.9003142170365166</v>
      </c>
      <c r="C326" s="21">
        <f t="shared" ca="1" si="51"/>
        <v>977.88331901733363</v>
      </c>
      <c r="D326" s="21">
        <f t="shared" ca="1" si="47"/>
        <v>0.29489326805865634</v>
      </c>
      <c r="E326" s="21">
        <f t="shared" ca="1" si="54"/>
        <v>0</v>
      </c>
      <c r="F326" s="20" t="str">
        <f t="shared" ca="1" si="52"/>
        <v>Yes</v>
      </c>
      <c r="G326" s="21">
        <f t="shared" ca="1" si="48"/>
        <v>8.2155842079746435</v>
      </c>
      <c r="H326" s="21">
        <f t="shared" ca="1" si="49"/>
        <v>977.88331901733363</v>
      </c>
      <c r="I326" s="21">
        <f t="shared" ca="1" si="44"/>
        <v>978.17821228539231</v>
      </c>
      <c r="J326" s="20">
        <f t="shared" ca="1" si="53"/>
        <v>0</v>
      </c>
      <c r="K326" s="20">
        <f t="shared" ca="1" si="45"/>
        <v>0</v>
      </c>
      <c r="L326" s="44">
        <f t="shared" ca="1" si="50"/>
        <v>0</v>
      </c>
    </row>
    <row r="327" spans="1:12" x14ac:dyDescent="0.25">
      <c r="A327" s="20">
        <v>319</v>
      </c>
      <c r="B327" s="21">
        <f t="shared" ca="1" si="46"/>
        <v>0.50865084335221833</v>
      </c>
      <c r="C327" s="21">
        <f t="shared" ca="1" si="51"/>
        <v>978.39196986068589</v>
      </c>
      <c r="D327" s="21">
        <f t="shared" ca="1" si="47"/>
        <v>1.1111182984911845</v>
      </c>
      <c r="E327" s="21">
        <f t="shared" ca="1" si="54"/>
        <v>0</v>
      </c>
      <c r="F327" s="20" t="str">
        <f t="shared" ca="1" si="52"/>
        <v>Yes</v>
      </c>
      <c r="G327" s="21">
        <f t="shared" ca="1" si="48"/>
        <v>0.21375757529358452</v>
      </c>
      <c r="H327" s="21">
        <f t="shared" ca="1" si="49"/>
        <v>978.39196986068589</v>
      </c>
      <c r="I327" s="21">
        <f t="shared" ca="1" si="44"/>
        <v>979.50308815917708</v>
      </c>
      <c r="J327" s="20">
        <f t="shared" ca="1" si="53"/>
        <v>0</v>
      </c>
      <c r="K327" s="20">
        <f t="shared" ca="1" si="45"/>
        <v>0</v>
      </c>
      <c r="L327" s="44">
        <f t="shared" ca="1" si="50"/>
        <v>0</v>
      </c>
    </row>
    <row r="328" spans="1:12" x14ac:dyDescent="0.25">
      <c r="A328" s="20">
        <v>320</v>
      </c>
      <c r="B328" s="21">
        <f t="shared" ca="1" si="46"/>
        <v>2.1343092181479255</v>
      </c>
      <c r="C328" s="21">
        <f t="shared" ca="1" si="51"/>
        <v>980.5262790788338</v>
      </c>
      <c r="D328" s="21">
        <f t="shared" ca="1" si="47"/>
        <v>11.201888101189899</v>
      </c>
      <c r="E328" s="21">
        <f t="shared" ca="1" si="54"/>
        <v>0</v>
      </c>
      <c r="F328" s="20" t="str">
        <f t="shared" ca="1" si="52"/>
        <v>Yes</v>
      </c>
      <c r="G328" s="21">
        <f t="shared" ca="1" si="48"/>
        <v>1.023190919656713</v>
      </c>
      <c r="H328" s="21">
        <f t="shared" ca="1" si="49"/>
        <v>980.5262790788338</v>
      </c>
      <c r="I328" s="21">
        <f t="shared" ca="1" si="44"/>
        <v>991.72816718002366</v>
      </c>
      <c r="J328" s="20">
        <f t="shared" ca="1" si="53"/>
        <v>0</v>
      </c>
      <c r="K328" s="20">
        <f t="shared" ca="1" si="45"/>
        <v>4</v>
      </c>
      <c r="L328" s="44">
        <f t="shared" ca="1" si="50"/>
        <v>2</v>
      </c>
    </row>
    <row r="329" spans="1:12" x14ac:dyDescent="0.25">
      <c r="A329" s="20">
        <v>321</v>
      </c>
      <c r="B329" s="21">
        <f t="shared" ca="1" si="46"/>
        <v>1.5991892605557199</v>
      </c>
      <c r="C329" s="21">
        <f t="shared" ca="1" si="51"/>
        <v>982.1254683393895</v>
      </c>
      <c r="D329" s="21">
        <f t="shared" ca="1" si="47"/>
        <v>2.2294508451529049</v>
      </c>
      <c r="E329" s="21">
        <f t="shared" ca="1" si="54"/>
        <v>9.6026988406341616</v>
      </c>
      <c r="F329" s="20" t="str">
        <f t="shared" ca="1" si="52"/>
        <v>No</v>
      </c>
      <c r="G329" s="21">
        <f t="shared" ca="1" si="48"/>
        <v>0</v>
      </c>
      <c r="H329" s="21">
        <f t="shared" ca="1" si="49"/>
        <v>991.72816718002366</v>
      </c>
      <c r="I329" s="21">
        <f t="shared" ref="I329:I392" ca="1" si="55">$H329+$D329</f>
        <v>993.95761802517654</v>
      </c>
      <c r="J329" s="20">
        <f t="shared" ca="1" si="53"/>
        <v>5</v>
      </c>
      <c r="K329" s="20">
        <f t="shared" ref="K329:K392" ca="1" si="56">IF($I329&lt;=$C330,0,IF($I329&lt;=$C331,1,IF($I329&lt;=$C332,2,IF($I329&lt;=$C333,3,IF($I329&lt;=$C334,4,5)))))</f>
        <v>4</v>
      </c>
      <c r="L329" s="44">
        <f t="shared" ca="1" si="50"/>
        <v>4.5</v>
      </c>
    </row>
    <row r="330" spans="1:12" x14ac:dyDescent="0.25">
      <c r="A330" s="20">
        <v>322</v>
      </c>
      <c r="B330" s="21">
        <f t="shared" ref="B330:B393" ca="1" si="57">-LN(RAND())/$D$4</f>
        <v>0.79766163988685912</v>
      </c>
      <c r="C330" s="21">
        <f t="shared" ca="1" si="51"/>
        <v>982.92312997927638</v>
      </c>
      <c r="D330" s="21">
        <f t="shared" ref="D330:D393" ca="1" si="58">-LN(RAND())/$D$6</f>
        <v>0.87928874098015453</v>
      </c>
      <c r="E330" s="21">
        <f t="shared" ca="1" si="54"/>
        <v>11.034488045900162</v>
      </c>
      <c r="F330" s="20" t="str">
        <f t="shared" ca="1" si="52"/>
        <v>No</v>
      </c>
      <c r="G330" s="21">
        <f t="shared" ref="G330:G393" ca="1" si="59">IF($I329&lt;=$C330,$C330-$I329,0)</f>
        <v>0</v>
      </c>
      <c r="H330" s="21">
        <f t="shared" ref="H330:H393" ca="1" si="60">IF($I329&lt;=$C330,$C330,$I329)</f>
        <v>993.95761802517654</v>
      </c>
      <c r="I330" s="21">
        <f t="shared" ca="1" si="55"/>
        <v>994.83690676615674</v>
      </c>
      <c r="J330" s="20">
        <f t="shared" ca="1" si="53"/>
        <v>5</v>
      </c>
      <c r="K330" s="20">
        <f t="shared" ca="1" si="56"/>
        <v>3</v>
      </c>
      <c r="L330" s="44">
        <f t="shared" ref="L330:L393" ca="1" si="61">(J330+K330)/2</f>
        <v>4</v>
      </c>
    </row>
    <row r="331" spans="1:12" x14ac:dyDescent="0.25">
      <c r="A331" s="20">
        <v>323</v>
      </c>
      <c r="B331" s="21">
        <f t="shared" ca="1" si="57"/>
        <v>2.5644325299973918</v>
      </c>
      <c r="C331" s="21">
        <f t="shared" ref="C331:C394" ca="1" si="62">$C330+$B331</f>
        <v>985.48756250927374</v>
      </c>
      <c r="D331" s="21">
        <f t="shared" ca="1" si="58"/>
        <v>2.6923308453254706</v>
      </c>
      <c r="E331" s="21">
        <f t="shared" ca="1" si="54"/>
        <v>9.3493442568830005</v>
      </c>
      <c r="F331" s="20" t="str">
        <f t="shared" ref="F331:F394" ca="1" si="63">IF(E331=0,"Yes","No")</f>
        <v>No</v>
      </c>
      <c r="G331" s="21">
        <f t="shared" ca="1" si="59"/>
        <v>0</v>
      </c>
      <c r="H331" s="21">
        <f t="shared" ca="1" si="60"/>
        <v>994.83690676615674</v>
      </c>
      <c r="I331" s="21">
        <f t="shared" ca="1" si="55"/>
        <v>997.52923761148224</v>
      </c>
      <c r="J331" s="20">
        <f t="shared" ref="J331:J394" ca="1" si="64">IF($I330&lt;=$C331,0,$K330+1)</f>
        <v>4</v>
      </c>
      <c r="K331" s="20">
        <f t="shared" ca="1" si="56"/>
        <v>2</v>
      </c>
      <c r="L331" s="44">
        <f t="shared" ca="1" si="61"/>
        <v>3</v>
      </c>
    </row>
    <row r="332" spans="1:12" x14ac:dyDescent="0.25">
      <c r="A332" s="20">
        <v>324</v>
      </c>
      <c r="B332" s="21">
        <f t="shared" ca="1" si="57"/>
        <v>2.4036587111668326</v>
      </c>
      <c r="C332" s="21">
        <f t="shared" ca="1" si="62"/>
        <v>987.89122122044057</v>
      </c>
      <c r="D332" s="21">
        <f t="shared" ca="1" si="58"/>
        <v>3.8846108100069134</v>
      </c>
      <c r="E332" s="21">
        <f t="shared" ref="E332:E395" ca="1" si="65">IF($I331&lt;=$C332,0,$I331-$C332)</f>
        <v>9.6380163910416741</v>
      </c>
      <c r="F332" s="20" t="str">
        <f t="shared" ca="1" si="63"/>
        <v>No</v>
      </c>
      <c r="G332" s="21">
        <f t="shared" ca="1" si="59"/>
        <v>0</v>
      </c>
      <c r="H332" s="21">
        <f t="shared" ca="1" si="60"/>
        <v>997.52923761148224</v>
      </c>
      <c r="I332" s="21">
        <f t="shared" ca="1" si="55"/>
        <v>1001.4138484214892</v>
      </c>
      <c r="J332" s="20">
        <f t="shared" ca="1" si="64"/>
        <v>3</v>
      </c>
      <c r="K332" s="20">
        <f t="shared" ca="1" si="56"/>
        <v>2</v>
      </c>
      <c r="L332" s="44">
        <f t="shared" ca="1" si="61"/>
        <v>2.5</v>
      </c>
    </row>
    <row r="333" spans="1:12" x14ac:dyDescent="0.25">
      <c r="A333" s="20">
        <v>325</v>
      </c>
      <c r="B333" s="21">
        <f t="shared" ca="1" si="57"/>
        <v>4.9000655074034123</v>
      </c>
      <c r="C333" s="21">
        <f t="shared" ca="1" si="62"/>
        <v>992.79128672784395</v>
      </c>
      <c r="D333" s="21">
        <f t="shared" ca="1" si="58"/>
        <v>4.3167539846645446E-2</v>
      </c>
      <c r="E333" s="21">
        <f t="shared" ca="1" si="65"/>
        <v>8.6225616936452525</v>
      </c>
      <c r="F333" s="20" t="str">
        <f t="shared" ca="1" si="63"/>
        <v>No</v>
      </c>
      <c r="G333" s="21">
        <f t="shared" ca="1" si="59"/>
        <v>0</v>
      </c>
      <c r="H333" s="21">
        <f t="shared" ca="1" si="60"/>
        <v>1001.4138484214892</v>
      </c>
      <c r="I333" s="21">
        <f t="shared" ca="1" si="55"/>
        <v>1001.4570159613359</v>
      </c>
      <c r="J333" s="20">
        <f t="shared" ca="1" si="64"/>
        <v>3</v>
      </c>
      <c r="K333" s="20">
        <f t="shared" ca="1" si="56"/>
        <v>1</v>
      </c>
      <c r="L333" s="44">
        <f t="shared" ca="1" si="61"/>
        <v>2</v>
      </c>
    </row>
    <row r="334" spans="1:12" x14ac:dyDescent="0.25">
      <c r="A334" s="20">
        <v>326</v>
      </c>
      <c r="B334" s="21">
        <f t="shared" ca="1" si="57"/>
        <v>4.9895252653447368</v>
      </c>
      <c r="C334" s="21">
        <f t="shared" ca="1" si="62"/>
        <v>997.78081199318865</v>
      </c>
      <c r="D334" s="21">
        <f t="shared" ca="1" si="58"/>
        <v>0.7082987444203831</v>
      </c>
      <c r="E334" s="21">
        <f t="shared" ca="1" si="65"/>
        <v>3.6762039681472061</v>
      </c>
      <c r="F334" s="20" t="str">
        <f t="shared" ca="1" si="63"/>
        <v>No</v>
      </c>
      <c r="G334" s="21">
        <f t="shared" ca="1" si="59"/>
        <v>0</v>
      </c>
      <c r="H334" s="21">
        <f t="shared" ca="1" si="60"/>
        <v>1001.4570159613359</v>
      </c>
      <c r="I334" s="21">
        <f t="shared" ca="1" si="55"/>
        <v>1002.1653147057563</v>
      </c>
      <c r="J334" s="20">
        <f t="shared" ca="1" si="64"/>
        <v>2</v>
      </c>
      <c r="K334" s="20">
        <f t="shared" ca="1" si="56"/>
        <v>0</v>
      </c>
      <c r="L334" s="44">
        <f t="shared" ca="1" si="61"/>
        <v>1</v>
      </c>
    </row>
    <row r="335" spans="1:12" x14ac:dyDescent="0.25">
      <c r="A335" s="20">
        <v>327</v>
      </c>
      <c r="B335" s="21">
        <f t="shared" ca="1" si="57"/>
        <v>5.4266844376390502</v>
      </c>
      <c r="C335" s="21">
        <f t="shared" ca="1" si="62"/>
        <v>1003.2074964308277</v>
      </c>
      <c r="D335" s="21">
        <f t="shared" ca="1" si="58"/>
        <v>0.62743256792859547</v>
      </c>
      <c r="E335" s="21">
        <f t="shared" ca="1" si="65"/>
        <v>0</v>
      </c>
      <c r="F335" s="20" t="str">
        <f t="shared" ca="1" si="63"/>
        <v>Yes</v>
      </c>
      <c r="G335" s="21">
        <f t="shared" ca="1" si="59"/>
        <v>1.0421817250714867</v>
      </c>
      <c r="H335" s="21">
        <f t="shared" ca="1" si="60"/>
        <v>1003.2074964308277</v>
      </c>
      <c r="I335" s="21">
        <f t="shared" ca="1" si="55"/>
        <v>1003.8349289987564</v>
      </c>
      <c r="J335" s="20">
        <f t="shared" ca="1" si="64"/>
        <v>0</v>
      </c>
      <c r="K335" s="20">
        <f t="shared" ca="1" si="56"/>
        <v>0</v>
      </c>
      <c r="L335" s="44">
        <f t="shared" ca="1" si="61"/>
        <v>0</v>
      </c>
    </row>
    <row r="336" spans="1:12" x14ac:dyDescent="0.25">
      <c r="A336" s="20">
        <v>328</v>
      </c>
      <c r="B336" s="21">
        <f t="shared" ca="1" si="57"/>
        <v>2.7757102264858426</v>
      </c>
      <c r="C336" s="21">
        <f t="shared" ca="1" si="62"/>
        <v>1005.9832066573136</v>
      </c>
      <c r="D336" s="21">
        <f t="shared" ca="1" si="58"/>
        <v>2.0350589370111396</v>
      </c>
      <c r="E336" s="21">
        <f t="shared" ca="1" si="65"/>
        <v>0</v>
      </c>
      <c r="F336" s="20" t="str">
        <f t="shared" ca="1" si="63"/>
        <v>Yes</v>
      </c>
      <c r="G336" s="21">
        <f t="shared" ca="1" si="59"/>
        <v>2.1482776585572765</v>
      </c>
      <c r="H336" s="21">
        <f t="shared" ca="1" si="60"/>
        <v>1005.9832066573136</v>
      </c>
      <c r="I336" s="21">
        <f t="shared" ca="1" si="55"/>
        <v>1008.0182655943248</v>
      </c>
      <c r="J336" s="20">
        <f t="shared" ca="1" si="64"/>
        <v>0</v>
      </c>
      <c r="K336" s="20">
        <f t="shared" ca="1" si="56"/>
        <v>0</v>
      </c>
      <c r="L336" s="44">
        <f t="shared" ca="1" si="61"/>
        <v>0</v>
      </c>
    </row>
    <row r="337" spans="1:12" x14ac:dyDescent="0.25">
      <c r="A337" s="20">
        <v>329</v>
      </c>
      <c r="B337" s="21">
        <f t="shared" ca="1" si="57"/>
        <v>2.2261422287043771</v>
      </c>
      <c r="C337" s="21">
        <f t="shared" ca="1" si="62"/>
        <v>1008.209348886018</v>
      </c>
      <c r="D337" s="21">
        <f t="shared" ca="1" si="58"/>
        <v>4.6139170827285803</v>
      </c>
      <c r="E337" s="21">
        <f t="shared" ca="1" si="65"/>
        <v>0</v>
      </c>
      <c r="F337" s="20" t="str">
        <f t="shared" ca="1" si="63"/>
        <v>Yes</v>
      </c>
      <c r="G337" s="21">
        <f t="shared" ca="1" si="59"/>
        <v>0.19108329169318949</v>
      </c>
      <c r="H337" s="21">
        <f t="shared" ca="1" si="60"/>
        <v>1008.209348886018</v>
      </c>
      <c r="I337" s="21">
        <f t="shared" ca="1" si="55"/>
        <v>1012.8232659687466</v>
      </c>
      <c r="J337" s="20">
        <f t="shared" ca="1" si="64"/>
        <v>0</v>
      </c>
      <c r="K337" s="20">
        <f t="shared" ca="1" si="56"/>
        <v>4</v>
      </c>
      <c r="L337" s="44">
        <f t="shared" ca="1" si="61"/>
        <v>2</v>
      </c>
    </row>
    <row r="338" spans="1:12" x14ac:dyDescent="0.25">
      <c r="A338" s="20">
        <v>330</v>
      </c>
      <c r="B338" s="21">
        <f t="shared" ca="1" si="57"/>
        <v>1.0580764668052658</v>
      </c>
      <c r="C338" s="21">
        <f t="shared" ca="1" si="62"/>
        <v>1009.2674253528232</v>
      </c>
      <c r="D338" s="21">
        <f t="shared" ca="1" si="58"/>
        <v>2.1394556217083447</v>
      </c>
      <c r="E338" s="21">
        <f t="shared" ca="1" si="65"/>
        <v>3.55584061592333</v>
      </c>
      <c r="F338" s="20" t="str">
        <f t="shared" ca="1" si="63"/>
        <v>No</v>
      </c>
      <c r="G338" s="21">
        <f t="shared" ca="1" si="59"/>
        <v>0</v>
      </c>
      <c r="H338" s="21">
        <f t="shared" ca="1" si="60"/>
        <v>1012.8232659687466</v>
      </c>
      <c r="I338" s="21">
        <f t="shared" ca="1" si="55"/>
        <v>1014.9627215904549</v>
      </c>
      <c r="J338" s="20">
        <f t="shared" ca="1" si="64"/>
        <v>5</v>
      </c>
      <c r="K338" s="20">
        <f t="shared" ca="1" si="56"/>
        <v>3</v>
      </c>
      <c r="L338" s="44">
        <f t="shared" ca="1" si="61"/>
        <v>4</v>
      </c>
    </row>
    <row r="339" spans="1:12" x14ac:dyDescent="0.25">
      <c r="A339" s="20">
        <v>331</v>
      </c>
      <c r="B339" s="21">
        <f t="shared" ca="1" si="57"/>
        <v>0.90794561896545911</v>
      </c>
      <c r="C339" s="21">
        <f t="shared" ca="1" si="62"/>
        <v>1010.1753709717887</v>
      </c>
      <c r="D339" s="21">
        <f t="shared" ca="1" si="58"/>
        <v>8.4657655260541986</v>
      </c>
      <c r="E339" s="21">
        <f t="shared" ca="1" si="65"/>
        <v>4.7873506186662098</v>
      </c>
      <c r="F339" s="20" t="str">
        <f t="shared" ca="1" si="63"/>
        <v>No</v>
      </c>
      <c r="G339" s="21">
        <f t="shared" ca="1" si="59"/>
        <v>0</v>
      </c>
      <c r="H339" s="21">
        <f t="shared" ca="1" si="60"/>
        <v>1014.9627215904549</v>
      </c>
      <c r="I339" s="21">
        <f t="shared" ca="1" si="55"/>
        <v>1023.428487116509</v>
      </c>
      <c r="J339" s="20">
        <f t="shared" ca="1" si="64"/>
        <v>4</v>
      </c>
      <c r="K339" s="20">
        <f t="shared" ca="1" si="56"/>
        <v>4</v>
      </c>
      <c r="L339" s="44">
        <f t="shared" ca="1" si="61"/>
        <v>4</v>
      </c>
    </row>
    <row r="340" spans="1:12" x14ac:dyDescent="0.25">
      <c r="A340" s="20">
        <v>332</v>
      </c>
      <c r="B340" s="21">
        <f t="shared" ca="1" si="57"/>
        <v>0.29378739786721686</v>
      </c>
      <c r="C340" s="21">
        <f t="shared" ca="1" si="62"/>
        <v>1010.4691583696558</v>
      </c>
      <c r="D340" s="21">
        <f t="shared" ca="1" si="58"/>
        <v>0.88009719867391456</v>
      </c>
      <c r="E340" s="21">
        <f t="shared" ca="1" si="65"/>
        <v>12.959328746853203</v>
      </c>
      <c r="F340" s="20" t="str">
        <f t="shared" ca="1" si="63"/>
        <v>No</v>
      </c>
      <c r="G340" s="21">
        <f t="shared" ca="1" si="59"/>
        <v>0</v>
      </c>
      <c r="H340" s="21">
        <f t="shared" ca="1" si="60"/>
        <v>1023.428487116509</v>
      </c>
      <c r="I340" s="21">
        <f t="shared" ca="1" si="55"/>
        <v>1024.308584315183</v>
      </c>
      <c r="J340" s="20">
        <f t="shared" ca="1" si="64"/>
        <v>5</v>
      </c>
      <c r="K340" s="20">
        <f t="shared" ca="1" si="56"/>
        <v>3</v>
      </c>
      <c r="L340" s="44">
        <f t="shared" ca="1" si="61"/>
        <v>4</v>
      </c>
    </row>
    <row r="341" spans="1:12" x14ac:dyDescent="0.25">
      <c r="A341" s="20">
        <v>333</v>
      </c>
      <c r="B341" s="21">
        <f t="shared" ca="1" si="57"/>
        <v>0.57541581234683847</v>
      </c>
      <c r="C341" s="21">
        <f t="shared" ca="1" si="62"/>
        <v>1011.0445741820026</v>
      </c>
      <c r="D341" s="21">
        <f t="shared" ca="1" si="58"/>
        <v>2.1988655976623619</v>
      </c>
      <c r="E341" s="21">
        <f t="shared" ca="1" si="65"/>
        <v>13.264010133180363</v>
      </c>
      <c r="F341" s="20" t="str">
        <f t="shared" ca="1" si="63"/>
        <v>No</v>
      </c>
      <c r="G341" s="21">
        <f t="shared" ca="1" si="59"/>
        <v>0</v>
      </c>
      <c r="H341" s="21">
        <f t="shared" ca="1" si="60"/>
        <v>1024.308584315183</v>
      </c>
      <c r="I341" s="21">
        <f t="shared" ca="1" si="55"/>
        <v>1026.5074499128455</v>
      </c>
      <c r="J341" s="20">
        <f t="shared" ca="1" si="64"/>
        <v>4</v>
      </c>
      <c r="K341" s="20">
        <f t="shared" ca="1" si="56"/>
        <v>3</v>
      </c>
      <c r="L341" s="44">
        <f t="shared" ca="1" si="61"/>
        <v>3.5</v>
      </c>
    </row>
    <row r="342" spans="1:12" x14ac:dyDescent="0.25">
      <c r="A342" s="20">
        <v>334</v>
      </c>
      <c r="B342" s="21">
        <f t="shared" ca="1" si="57"/>
        <v>5.2793880480340789</v>
      </c>
      <c r="C342" s="21">
        <f t="shared" ca="1" si="62"/>
        <v>1016.3239622300367</v>
      </c>
      <c r="D342" s="21">
        <f t="shared" ca="1" si="58"/>
        <v>1.904973229945689</v>
      </c>
      <c r="E342" s="21">
        <f t="shared" ca="1" si="65"/>
        <v>10.183487682808732</v>
      </c>
      <c r="F342" s="20" t="str">
        <f t="shared" ca="1" si="63"/>
        <v>No</v>
      </c>
      <c r="G342" s="21">
        <f t="shared" ca="1" si="59"/>
        <v>0</v>
      </c>
      <c r="H342" s="21">
        <f t="shared" ca="1" si="60"/>
        <v>1026.5074499128455</v>
      </c>
      <c r="I342" s="21">
        <f t="shared" ca="1" si="55"/>
        <v>1028.4124231427911</v>
      </c>
      <c r="J342" s="20">
        <f t="shared" ca="1" si="64"/>
        <v>4</v>
      </c>
      <c r="K342" s="20">
        <f t="shared" ca="1" si="56"/>
        <v>2</v>
      </c>
      <c r="L342" s="44">
        <f t="shared" ca="1" si="61"/>
        <v>3</v>
      </c>
    </row>
    <row r="343" spans="1:12" x14ac:dyDescent="0.25">
      <c r="A343" s="20">
        <v>335</v>
      </c>
      <c r="B343" s="21">
        <f t="shared" ca="1" si="57"/>
        <v>5.9301549394750364</v>
      </c>
      <c r="C343" s="21">
        <f t="shared" ca="1" si="62"/>
        <v>1022.2541171695118</v>
      </c>
      <c r="D343" s="21">
        <f t="shared" ca="1" si="58"/>
        <v>5.0013653167387684</v>
      </c>
      <c r="E343" s="21">
        <f t="shared" ca="1" si="65"/>
        <v>6.1583059732793117</v>
      </c>
      <c r="F343" s="20" t="str">
        <f t="shared" ca="1" si="63"/>
        <v>No</v>
      </c>
      <c r="G343" s="21">
        <f t="shared" ca="1" si="59"/>
        <v>0</v>
      </c>
      <c r="H343" s="21">
        <f t="shared" ca="1" si="60"/>
        <v>1028.4124231427911</v>
      </c>
      <c r="I343" s="21">
        <f t="shared" ca="1" si="55"/>
        <v>1033.4137884595298</v>
      </c>
      <c r="J343" s="20">
        <f t="shared" ca="1" si="64"/>
        <v>3</v>
      </c>
      <c r="K343" s="20">
        <f t="shared" ca="1" si="56"/>
        <v>2</v>
      </c>
      <c r="L343" s="44">
        <f t="shared" ca="1" si="61"/>
        <v>2.5</v>
      </c>
    </row>
    <row r="344" spans="1:12" x14ac:dyDescent="0.25">
      <c r="A344" s="20">
        <v>336</v>
      </c>
      <c r="B344" s="21">
        <f t="shared" ca="1" si="57"/>
        <v>3.1446228637163935</v>
      </c>
      <c r="C344" s="21">
        <f t="shared" ca="1" si="62"/>
        <v>1025.3987400332283</v>
      </c>
      <c r="D344" s="21">
        <f t="shared" ca="1" si="58"/>
        <v>1.7285496995809919</v>
      </c>
      <c r="E344" s="21">
        <f t="shared" ca="1" si="65"/>
        <v>8.0150484263015187</v>
      </c>
      <c r="F344" s="20" t="str">
        <f t="shared" ca="1" si="63"/>
        <v>No</v>
      </c>
      <c r="G344" s="21">
        <f t="shared" ca="1" si="59"/>
        <v>0</v>
      </c>
      <c r="H344" s="21">
        <f t="shared" ca="1" si="60"/>
        <v>1033.4137884595298</v>
      </c>
      <c r="I344" s="21">
        <f t="shared" ca="1" si="55"/>
        <v>1035.1423381591107</v>
      </c>
      <c r="J344" s="20">
        <f t="shared" ca="1" si="64"/>
        <v>3</v>
      </c>
      <c r="K344" s="20">
        <f t="shared" ca="1" si="56"/>
        <v>1</v>
      </c>
      <c r="L344" s="44">
        <f t="shared" ca="1" si="61"/>
        <v>2</v>
      </c>
    </row>
    <row r="345" spans="1:12" x14ac:dyDescent="0.25">
      <c r="A345" s="20">
        <v>337</v>
      </c>
      <c r="B345" s="21">
        <f t="shared" ca="1" si="57"/>
        <v>3.1939781692684455</v>
      </c>
      <c r="C345" s="21">
        <f t="shared" ca="1" si="62"/>
        <v>1028.5927182024966</v>
      </c>
      <c r="D345" s="21">
        <f t="shared" ca="1" si="58"/>
        <v>1.6179585833992138</v>
      </c>
      <c r="E345" s="21">
        <f t="shared" ca="1" si="65"/>
        <v>6.5496199566141513</v>
      </c>
      <c r="F345" s="20" t="str">
        <f t="shared" ca="1" si="63"/>
        <v>No</v>
      </c>
      <c r="G345" s="21">
        <f t="shared" ca="1" si="59"/>
        <v>0</v>
      </c>
      <c r="H345" s="21">
        <f t="shared" ca="1" si="60"/>
        <v>1035.1423381591107</v>
      </c>
      <c r="I345" s="21">
        <f t="shared" ca="1" si="55"/>
        <v>1036.76029674251</v>
      </c>
      <c r="J345" s="20">
        <f t="shared" ca="1" si="64"/>
        <v>2</v>
      </c>
      <c r="K345" s="20">
        <f t="shared" ca="1" si="56"/>
        <v>0</v>
      </c>
      <c r="L345" s="44">
        <f t="shared" ca="1" si="61"/>
        <v>1</v>
      </c>
    </row>
    <row r="346" spans="1:12" x14ac:dyDescent="0.25">
      <c r="A346" s="20">
        <v>338</v>
      </c>
      <c r="B346" s="21">
        <f t="shared" ca="1" si="57"/>
        <v>8.66806385997298</v>
      </c>
      <c r="C346" s="21">
        <f t="shared" ca="1" si="62"/>
        <v>1037.2607820624696</v>
      </c>
      <c r="D346" s="21">
        <f t="shared" ca="1" si="58"/>
        <v>2.0387759920159376</v>
      </c>
      <c r="E346" s="21">
        <f t="shared" ca="1" si="65"/>
        <v>0</v>
      </c>
      <c r="F346" s="20" t="str">
        <f t="shared" ca="1" si="63"/>
        <v>Yes</v>
      </c>
      <c r="G346" s="21">
        <f t="shared" ca="1" si="59"/>
        <v>0.50048531995958001</v>
      </c>
      <c r="H346" s="21">
        <f t="shared" ca="1" si="60"/>
        <v>1037.2607820624696</v>
      </c>
      <c r="I346" s="21">
        <f t="shared" ca="1" si="55"/>
        <v>1039.2995580544855</v>
      </c>
      <c r="J346" s="20">
        <f t="shared" ca="1" si="64"/>
        <v>0</v>
      </c>
      <c r="K346" s="20">
        <f t="shared" ca="1" si="56"/>
        <v>0</v>
      </c>
      <c r="L346" s="44">
        <f t="shared" ca="1" si="61"/>
        <v>0</v>
      </c>
    </row>
    <row r="347" spans="1:12" x14ac:dyDescent="0.25">
      <c r="A347" s="20">
        <v>339</v>
      </c>
      <c r="B347" s="21">
        <f t="shared" ca="1" si="57"/>
        <v>2.0475623040704436</v>
      </c>
      <c r="C347" s="21">
        <f t="shared" ca="1" si="62"/>
        <v>1039.30834436654</v>
      </c>
      <c r="D347" s="21">
        <f t="shared" ca="1" si="58"/>
        <v>1.8756040465715886</v>
      </c>
      <c r="E347" s="21">
        <f t="shared" ca="1" si="65"/>
        <v>0</v>
      </c>
      <c r="F347" s="20" t="str">
        <f t="shared" ca="1" si="63"/>
        <v>Yes</v>
      </c>
      <c r="G347" s="21">
        <f t="shared" ca="1" si="59"/>
        <v>8.7863120545534912E-3</v>
      </c>
      <c r="H347" s="21">
        <f t="shared" ca="1" si="60"/>
        <v>1039.30834436654</v>
      </c>
      <c r="I347" s="21">
        <f t="shared" ca="1" si="55"/>
        <v>1041.1839484131117</v>
      </c>
      <c r="J347" s="20">
        <f t="shared" ca="1" si="64"/>
        <v>0</v>
      </c>
      <c r="K347" s="20">
        <f t="shared" ca="1" si="56"/>
        <v>0</v>
      </c>
      <c r="L347" s="44">
        <f t="shared" ca="1" si="61"/>
        <v>0</v>
      </c>
    </row>
    <row r="348" spans="1:12" x14ac:dyDescent="0.25">
      <c r="A348" s="20">
        <v>340</v>
      </c>
      <c r="B348" s="21">
        <f t="shared" ca="1" si="57"/>
        <v>3.7606184630728849</v>
      </c>
      <c r="C348" s="21">
        <f t="shared" ca="1" si="62"/>
        <v>1043.0689628296129</v>
      </c>
      <c r="D348" s="21">
        <f t="shared" ca="1" si="58"/>
        <v>0.46641508131363141</v>
      </c>
      <c r="E348" s="21">
        <f t="shared" ca="1" si="65"/>
        <v>0</v>
      </c>
      <c r="F348" s="20" t="str">
        <f t="shared" ca="1" si="63"/>
        <v>Yes</v>
      </c>
      <c r="G348" s="21">
        <f t="shared" ca="1" si="59"/>
        <v>1.8850144165012352</v>
      </c>
      <c r="H348" s="21">
        <f t="shared" ca="1" si="60"/>
        <v>1043.0689628296129</v>
      </c>
      <c r="I348" s="21">
        <f t="shared" ca="1" si="55"/>
        <v>1043.5353779109266</v>
      </c>
      <c r="J348" s="20">
        <f t="shared" ca="1" si="64"/>
        <v>0</v>
      </c>
      <c r="K348" s="20">
        <f t="shared" ca="1" si="56"/>
        <v>0</v>
      </c>
      <c r="L348" s="44">
        <f t="shared" ca="1" si="61"/>
        <v>0</v>
      </c>
    </row>
    <row r="349" spans="1:12" x14ac:dyDescent="0.25">
      <c r="A349" s="20">
        <v>341</v>
      </c>
      <c r="B349" s="21">
        <f t="shared" ca="1" si="57"/>
        <v>2.0588181742987963</v>
      </c>
      <c r="C349" s="21">
        <f t="shared" ca="1" si="62"/>
        <v>1045.1277810039117</v>
      </c>
      <c r="D349" s="21">
        <f t="shared" ca="1" si="58"/>
        <v>2.6163187438709312</v>
      </c>
      <c r="E349" s="21">
        <f t="shared" ca="1" si="65"/>
        <v>0</v>
      </c>
      <c r="F349" s="20" t="str">
        <f t="shared" ca="1" si="63"/>
        <v>Yes</v>
      </c>
      <c r="G349" s="21">
        <f t="shared" ca="1" si="59"/>
        <v>1.5924030929850232</v>
      </c>
      <c r="H349" s="21">
        <f t="shared" ca="1" si="60"/>
        <v>1045.1277810039117</v>
      </c>
      <c r="I349" s="21">
        <f t="shared" ca="1" si="55"/>
        <v>1047.7440997477827</v>
      </c>
      <c r="J349" s="20">
        <f t="shared" ca="1" si="64"/>
        <v>0</v>
      </c>
      <c r="K349" s="20">
        <f t="shared" ca="1" si="56"/>
        <v>0</v>
      </c>
      <c r="L349" s="44">
        <f t="shared" ca="1" si="61"/>
        <v>0</v>
      </c>
    </row>
    <row r="350" spans="1:12" x14ac:dyDescent="0.25">
      <c r="A350" s="20">
        <v>342</v>
      </c>
      <c r="B350" s="21">
        <f t="shared" ca="1" si="57"/>
        <v>4.8595589878885779</v>
      </c>
      <c r="C350" s="21">
        <f t="shared" ca="1" si="62"/>
        <v>1049.9873399918001</v>
      </c>
      <c r="D350" s="21">
        <f t="shared" ca="1" si="58"/>
        <v>2.6630722486250726</v>
      </c>
      <c r="E350" s="21">
        <f t="shared" ca="1" si="65"/>
        <v>0</v>
      </c>
      <c r="F350" s="20" t="str">
        <f t="shared" ca="1" si="63"/>
        <v>Yes</v>
      </c>
      <c r="G350" s="21">
        <f t="shared" ca="1" si="59"/>
        <v>2.2432402440174428</v>
      </c>
      <c r="H350" s="21">
        <f t="shared" ca="1" si="60"/>
        <v>1049.9873399918001</v>
      </c>
      <c r="I350" s="21">
        <f t="shared" ca="1" si="55"/>
        <v>1052.6504122404251</v>
      </c>
      <c r="J350" s="20">
        <f t="shared" ca="1" si="64"/>
        <v>0</v>
      </c>
      <c r="K350" s="20">
        <f t="shared" ca="1" si="56"/>
        <v>2</v>
      </c>
      <c r="L350" s="44">
        <f t="shared" ca="1" si="61"/>
        <v>1</v>
      </c>
    </row>
    <row r="351" spans="1:12" x14ac:dyDescent="0.25">
      <c r="A351" s="20">
        <v>343</v>
      </c>
      <c r="B351" s="21">
        <f t="shared" ca="1" si="57"/>
        <v>0.41133653133420728</v>
      </c>
      <c r="C351" s="21">
        <f t="shared" ca="1" si="62"/>
        <v>1050.3986765231343</v>
      </c>
      <c r="D351" s="21">
        <f t="shared" ca="1" si="58"/>
        <v>2.6559453920756342</v>
      </c>
      <c r="E351" s="21">
        <f t="shared" ca="1" si="65"/>
        <v>2.251735717290785</v>
      </c>
      <c r="F351" s="20" t="str">
        <f t="shared" ca="1" si="63"/>
        <v>No</v>
      </c>
      <c r="G351" s="21">
        <f t="shared" ca="1" si="59"/>
        <v>0</v>
      </c>
      <c r="H351" s="21">
        <f t="shared" ca="1" si="60"/>
        <v>1052.6504122404251</v>
      </c>
      <c r="I351" s="21">
        <f t="shared" ca="1" si="55"/>
        <v>1055.3063576325007</v>
      </c>
      <c r="J351" s="20">
        <f t="shared" ca="1" si="64"/>
        <v>3</v>
      </c>
      <c r="K351" s="20">
        <f t="shared" ca="1" si="56"/>
        <v>1</v>
      </c>
      <c r="L351" s="44">
        <f t="shared" ca="1" si="61"/>
        <v>2</v>
      </c>
    </row>
    <row r="352" spans="1:12" x14ac:dyDescent="0.25">
      <c r="A352" s="20">
        <v>344</v>
      </c>
      <c r="B352" s="21">
        <f t="shared" ca="1" si="57"/>
        <v>0.76934736851001451</v>
      </c>
      <c r="C352" s="21">
        <f t="shared" ca="1" si="62"/>
        <v>1051.1680238916445</v>
      </c>
      <c r="D352" s="21">
        <f t="shared" ca="1" si="58"/>
        <v>3.3866561161126327</v>
      </c>
      <c r="E352" s="21">
        <f t="shared" ca="1" si="65"/>
        <v>4.1383337408562966</v>
      </c>
      <c r="F352" s="20" t="str">
        <f t="shared" ca="1" si="63"/>
        <v>No</v>
      </c>
      <c r="G352" s="21">
        <f t="shared" ca="1" si="59"/>
        <v>0</v>
      </c>
      <c r="H352" s="21">
        <f t="shared" ca="1" si="60"/>
        <v>1055.3063576325007</v>
      </c>
      <c r="I352" s="21">
        <f t="shared" ca="1" si="55"/>
        <v>1058.6930137486133</v>
      </c>
      <c r="J352" s="20">
        <f t="shared" ca="1" si="64"/>
        <v>2</v>
      </c>
      <c r="K352" s="20">
        <f t="shared" ca="1" si="56"/>
        <v>0</v>
      </c>
      <c r="L352" s="44">
        <f t="shared" ca="1" si="61"/>
        <v>1</v>
      </c>
    </row>
    <row r="353" spans="1:12" x14ac:dyDescent="0.25">
      <c r="A353" s="20">
        <v>345</v>
      </c>
      <c r="B353" s="21">
        <f t="shared" ca="1" si="57"/>
        <v>9.8482780789408491</v>
      </c>
      <c r="C353" s="21">
        <f t="shared" ca="1" si="62"/>
        <v>1061.0163019705853</v>
      </c>
      <c r="D353" s="21">
        <f t="shared" ca="1" si="58"/>
        <v>5.0865485077720667</v>
      </c>
      <c r="E353" s="21">
        <f t="shared" ca="1" si="65"/>
        <v>0</v>
      </c>
      <c r="F353" s="20" t="str">
        <f t="shared" ca="1" si="63"/>
        <v>Yes</v>
      </c>
      <c r="G353" s="21">
        <f t="shared" ca="1" si="59"/>
        <v>2.3232882219720068</v>
      </c>
      <c r="H353" s="21">
        <f t="shared" ca="1" si="60"/>
        <v>1061.0163019705853</v>
      </c>
      <c r="I353" s="21">
        <f t="shared" ca="1" si="55"/>
        <v>1066.1028504783574</v>
      </c>
      <c r="J353" s="20">
        <f t="shared" ca="1" si="64"/>
        <v>0</v>
      </c>
      <c r="K353" s="20">
        <f t="shared" ca="1" si="56"/>
        <v>1</v>
      </c>
      <c r="L353" s="44">
        <f t="shared" ca="1" si="61"/>
        <v>0.5</v>
      </c>
    </row>
    <row r="354" spans="1:12" x14ac:dyDescent="0.25">
      <c r="A354" s="20">
        <v>346</v>
      </c>
      <c r="B354" s="21">
        <f t="shared" ca="1" si="57"/>
        <v>1.4690442547258293</v>
      </c>
      <c r="C354" s="21">
        <f t="shared" ca="1" si="62"/>
        <v>1062.4853462253111</v>
      </c>
      <c r="D354" s="21">
        <f t="shared" ca="1" si="58"/>
        <v>0.49520133911914416</v>
      </c>
      <c r="E354" s="21">
        <f t="shared" ca="1" si="65"/>
        <v>3.6175042530462633</v>
      </c>
      <c r="F354" s="20" t="str">
        <f t="shared" ca="1" si="63"/>
        <v>No</v>
      </c>
      <c r="G354" s="21">
        <f t="shared" ca="1" si="59"/>
        <v>0</v>
      </c>
      <c r="H354" s="21">
        <f t="shared" ca="1" si="60"/>
        <v>1066.1028504783574</v>
      </c>
      <c r="I354" s="21">
        <f t="shared" ca="1" si="55"/>
        <v>1066.5980518174765</v>
      </c>
      <c r="J354" s="20">
        <f t="shared" ca="1" si="64"/>
        <v>2</v>
      </c>
      <c r="K354" s="20">
        <f t="shared" ca="1" si="56"/>
        <v>0</v>
      </c>
      <c r="L354" s="44">
        <f t="shared" ca="1" si="61"/>
        <v>1</v>
      </c>
    </row>
    <row r="355" spans="1:12" x14ac:dyDescent="0.25">
      <c r="A355" s="20">
        <v>347</v>
      </c>
      <c r="B355" s="21">
        <f t="shared" ca="1" si="57"/>
        <v>9.1685966916483874</v>
      </c>
      <c r="C355" s="21">
        <f t="shared" ca="1" si="62"/>
        <v>1071.6539429169595</v>
      </c>
      <c r="D355" s="21">
        <f t="shared" ca="1" si="58"/>
        <v>2.9634214515376578</v>
      </c>
      <c r="E355" s="21">
        <f t="shared" ca="1" si="65"/>
        <v>0</v>
      </c>
      <c r="F355" s="20" t="str">
        <f t="shared" ca="1" si="63"/>
        <v>Yes</v>
      </c>
      <c r="G355" s="21">
        <f t="shared" ca="1" si="59"/>
        <v>5.0558910994830057</v>
      </c>
      <c r="H355" s="21">
        <f t="shared" ca="1" si="60"/>
        <v>1071.6539429169595</v>
      </c>
      <c r="I355" s="21">
        <f t="shared" ca="1" si="55"/>
        <v>1074.6173643684972</v>
      </c>
      <c r="J355" s="20">
        <f t="shared" ca="1" si="64"/>
        <v>0</v>
      </c>
      <c r="K355" s="20">
        <f t="shared" ca="1" si="56"/>
        <v>0</v>
      </c>
      <c r="L355" s="44">
        <f t="shared" ca="1" si="61"/>
        <v>0</v>
      </c>
    </row>
    <row r="356" spans="1:12" x14ac:dyDescent="0.25">
      <c r="A356" s="20">
        <v>348</v>
      </c>
      <c r="B356" s="21">
        <f t="shared" ca="1" si="57"/>
        <v>5.1880983722809608</v>
      </c>
      <c r="C356" s="21">
        <f t="shared" ca="1" si="62"/>
        <v>1076.8420412892406</v>
      </c>
      <c r="D356" s="21">
        <f t="shared" ca="1" si="58"/>
        <v>1.1625537365106606</v>
      </c>
      <c r="E356" s="21">
        <f t="shared" ca="1" si="65"/>
        <v>0</v>
      </c>
      <c r="F356" s="20" t="str">
        <f t="shared" ca="1" si="63"/>
        <v>Yes</v>
      </c>
      <c r="G356" s="21">
        <f t="shared" ca="1" si="59"/>
        <v>2.2246769207433772</v>
      </c>
      <c r="H356" s="21">
        <f t="shared" ca="1" si="60"/>
        <v>1076.8420412892406</v>
      </c>
      <c r="I356" s="21">
        <f t="shared" ca="1" si="55"/>
        <v>1078.0045950257513</v>
      </c>
      <c r="J356" s="20">
        <f t="shared" ca="1" si="64"/>
        <v>0</v>
      </c>
      <c r="K356" s="20">
        <f t="shared" ca="1" si="56"/>
        <v>0</v>
      </c>
      <c r="L356" s="44">
        <f t="shared" ca="1" si="61"/>
        <v>0</v>
      </c>
    </row>
    <row r="357" spans="1:12" x14ac:dyDescent="0.25">
      <c r="A357" s="20">
        <v>349</v>
      </c>
      <c r="B357" s="21">
        <f t="shared" ca="1" si="57"/>
        <v>1.861737659285873</v>
      </c>
      <c r="C357" s="21">
        <f t="shared" ca="1" si="62"/>
        <v>1078.7037789485264</v>
      </c>
      <c r="D357" s="21">
        <f t="shared" ca="1" si="58"/>
        <v>1.0883646171279484</v>
      </c>
      <c r="E357" s="21">
        <f t="shared" ca="1" si="65"/>
        <v>0</v>
      </c>
      <c r="F357" s="20" t="str">
        <f t="shared" ca="1" si="63"/>
        <v>Yes</v>
      </c>
      <c r="G357" s="21">
        <f t="shared" ca="1" si="59"/>
        <v>0.69918392277509156</v>
      </c>
      <c r="H357" s="21">
        <f t="shared" ca="1" si="60"/>
        <v>1078.7037789485264</v>
      </c>
      <c r="I357" s="21">
        <f t="shared" ca="1" si="55"/>
        <v>1079.7921435656544</v>
      </c>
      <c r="J357" s="20">
        <f t="shared" ca="1" si="64"/>
        <v>0</v>
      </c>
      <c r="K357" s="20">
        <f t="shared" ca="1" si="56"/>
        <v>1</v>
      </c>
      <c r="L357" s="44">
        <f t="shared" ca="1" si="61"/>
        <v>0.5</v>
      </c>
    </row>
    <row r="358" spans="1:12" x14ac:dyDescent="0.25">
      <c r="A358" s="20">
        <v>350</v>
      </c>
      <c r="B358" s="21">
        <f t="shared" ca="1" si="57"/>
        <v>0.39856640397021476</v>
      </c>
      <c r="C358" s="21">
        <f t="shared" ca="1" si="62"/>
        <v>1079.1023453524965</v>
      </c>
      <c r="D358" s="21">
        <f t="shared" ca="1" si="58"/>
        <v>2.5268777416346269</v>
      </c>
      <c r="E358" s="21">
        <f t="shared" ca="1" si="65"/>
        <v>0.68979821315792833</v>
      </c>
      <c r="F358" s="20" t="str">
        <f t="shared" ca="1" si="63"/>
        <v>No</v>
      </c>
      <c r="G358" s="21">
        <f t="shared" ca="1" si="59"/>
        <v>0</v>
      </c>
      <c r="H358" s="21">
        <f t="shared" ca="1" si="60"/>
        <v>1079.7921435656544</v>
      </c>
      <c r="I358" s="21">
        <f t="shared" ca="1" si="55"/>
        <v>1082.3190213072892</v>
      </c>
      <c r="J358" s="20">
        <f t="shared" ca="1" si="64"/>
        <v>2</v>
      </c>
      <c r="K358" s="20">
        <f t="shared" ca="1" si="56"/>
        <v>0</v>
      </c>
      <c r="L358" s="44">
        <f t="shared" ca="1" si="61"/>
        <v>1</v>
      </c>
    </row>
    <row r="359" spans="1:12" x14ac:dyDescent="0.25">
      <c r="A359" s="20">
        <v>351</v>
      </c>
      <c r="B359" s="21">
        <f t="shared" ca="1" si="57"/>
        <v>3.3538652400847178</v>
      </c>
      <c r="C359" s="21">
        <f t="shared" ca="1" si="62"/>
        <v>1082.4562105925813</v>
      </c>
      <c r="D359" s="21">
        <f t="shared" ca="1" si="58"/>
        <v>2.0423442520102388</v>
      </c>
      <c r="E359" s="21">
        <f t="shared" ca="1" si="65"/>
        <v>0</v>
      </c>
      <c r="F359" s="20" t="str">
        <f t="shared" ca="1" si="63"/>
        <v>Yes</v>
      </c>
      <c r="G359" s="21">
        <f t="shared" ca="1" si="59"/>
        <v>0.13718928529215191</v>
      </c>
      <c r="H359" s="21">
        <f t="shared" ca="1" si="60"/>
        <v>1082.4562105925813</v>
      </c>
      <c r="I359" s="21">
        <f t="shared" ca="1" si="55"/>
        <v>1084.4985548445916</v>
      </c>
      <c r="J359" s="20">
        <f t="shared" ca="1" si="64"/>
        <v>0</v>
      </c>
      <c r="K359" s="20">
        <f t="shared" ca="1" si="56"/>
        <v>0</v>
      </c>
      <c r="L359" s="44">
        <f t="shared" ca="1" si="61"/>
        <v>0</v>
      </c>
    </row>
    <row r="360" spans="1:12" x14ac:dyDescent="0.25">
      <c r="A360" s="20">
        <v>352</v>
      </c>
      <c r="B360" s="21">
        <f t="shared" ca="1" si="57"/>
        <v>8.6567734367381011</v>
      </c>
      <c r="C360" s="21">
        <f t="shared" ca="1" si="62"/>
        <v>1091.1129840293195</v>
      </c>
      <c r="D360" s="21">
        <f t="shared" ca="1" si="58"/>
        <v>1.6330288264628352</v>
      </c>
      <c r="E360" s="21">
        <f t="shared" ca="1" si="65"/>
        <v>0</v>
      </c>
      <c r="F360" s="20" t="str">
        <f t="shared" ca="1" si="63"/>
        <v>Yes</v>
      </c>
      <c r="G360" s="21">
        <f t="shared" ca="1" si="59"/>
        <v>6.6144291847278964</v>
      </c>
      <c r="H360" s="21">
        <f t="shared" ca="1" si="60"/>
        <v>1091.1129840293195</v>
      </c>
      <c r="I360" s="21">
        <f t="shared" ca="1" si="55"/>
        <v>1092.7460128557823</v>
      </c>
      <c r="J360" s="20">
        <f t="shared" ca="1" si="64"/>
        <v>0</v>
      </c>
      <c r="K360" s="20">
        <f t="shared" ca="1" si="56"/>
        <v>0</v>
      </c>
      <c r="L360" s="44">
        <f t="shared" ca="1" si="61"/>
        <v>0</v>
      </c>
    </row>
    <row r="361" spans="1:12" x14ac:dyDescent="0.25">
      <c r="A361" s="20">
        <v>353</v>
      </c>
      <c r="B361" s="21">
        <f t="shared" ca="1" si="57"/>
        <v>2.5353434635404715</v>
      </c>
      <c r="C361" s="21">
        <f t="shared" ca="1" si="62"/>
        <v>1093.6483274928601</v>
      </c>
      <c r="D361" s="21">
        <f t="shared" ca="1" si="58"/>
        <v>0.29912796848863976</v>
      </c>
      <c r="E361" s="21">
        <f t="shared" ca="1" si="65"/>
        <v>0</v>
      </c>
      <c r="F361" s="20" t="str">
        <f t="shared" ca="1" si="63"/>
        <v>Yes</v>
      </c>
      <c r="G361" s="21">
        <f t="shared" ca="1" si="59"/>
        <v>0.90231463707777948</v>
      </c>
      <c r="H361" s="21">
        <f t="shared" ca="1" si="60"/>
        <v>1093.6483274928601</v>
      </c>
      <c r="I361" s="21">
        <f t="shared" ca="1" si="55"/>
        <v>1093.9474554613487</v>
      </c>
      <c r="J361" s="20">
        <f t="shared" ca="1" si="64"/>
        <v>0</v>
      </c>
      <c r="K361" s="20">
        <f t="shared" ca="1" si="56"/>
        <v>0</v>
      </c>
      <c r="L361" s="44">
        <f t="shared" ca="1" si="61"/>
        <v>0</v>
      </c>
    </row>
    <row r="362" spans="1:12" x14ac:dyDescent="0.25">
      <c r="A362" s="20">
        <v>354</v>
      </c>
      <c r="B362" s="21">
        <f t="shared" ca="1" si="57"/>
        <v>4.0708632831421072</v>
      </c>
      <c r="C362" s="21">
        <f t="shared" ca="1" si="62"/>
        <v>1097.7191907760023</v>
      </c>
      <c r="D362" s="21">
        <f t="shared" ca="1" si="58"/>
        <v>4.1713790477397925</v>
      </c>
      <c r="E362" s="21">
        <f t="shared" ca="1" si="65"/>
        <v>0</v>
      </c>
      <c r="F362" s="20" t="str">
        <f t="shared" ca="1" si="63"/>
        <v>Yes</v>
      </c>
      <c r="G362" s="21">
        <f t="shared" ca="1" si="59"/>
        <v>3.771735314653597</v>
      </c>
      <c r="H362" s="21">
        <f t="shared" ca="1" si="60"/>
        <v>1097.7191907760023</v>
      </c>
      <c r="I362" s="21">
        <f t="shared" ca="1" si="55"/>
        <v>1101.890569823742</v>
      </c>
      <c r="J362" s="20">
        <f t="shared" ca="1" si="64"/>
        <v>0</v>
      </c>
      <c r="K362" s="20">
        <f t="shared" ca="1" si="56"/>
        <v>2</v>
      </c>
      <c r="L362" s="44">
        <f t="shared" ca="1" si="61"/>
        <v>1</v>
      </c>
    </row>
    <row r="363" spans="1:12" x14ac:dyDescent="0.25">
      <c r="A363" s="20">
        <v>355</v>
      </c>
      <c r="B363" s="21">
        <f t="shared" ca="1" si="57"/>
        <v>1.5978513565819075</v>
      </c>
      <c r="C363" s="21">
        <f t="shared" ca="1" si="62"/>
        <v>1099.3170421325842</v>
      </c>
      <c r="D363" s="21">
        <f t="shared" ca="1" si="58"/>
        <v>2.4330937153709953</v>
      </c>
      <c r="E363" s="21">
        <f t="shared" ca="1" si="65"/>
        <v>2.5735276911577785</v>
      </c>
      <c r="F363" s="20" t="str">
        <f t="shared" ca="1" si="63"/>
        <v>No</v>
      </c>
      <c r="G363" s="21">
        <f t="shared" ca="1" si="59"/>
        <v>0</v>
      </c>
      <c r="H363" s="21">
        <f t="shared" ca="1" si="60"/>
        <v>1101.890569823742</v>
      </c>
      <c r="I363" s="21">
        <f t="shared" ca="1" si="55"/>
        <v>1104.3236635391129</v>
      </c>
      <c r="J363" s="20">
        <f t="shared" ca="1" si="64"/>
        <v>3</v>
      </c>
      <c r="K363" s="20">
        <f t="shared" ca="1" si="56"/>
        <v>3</v>
      </c>
      <c r="L363" s="44">
        <f t="shared" ca="1" si="61"/>
        <v>3</v>
      </c>
    </row>
    <row r="364" spans="1:12" x14ac:dyDescent="0.25">
      <c r="A364" s="20">
        <v>356</v>
      </c>
      <c r="B364" s="21">
        <f t="shared" ca="1" si="57"/>
        <v>0.70199747305001181</v>
      </c>
      <c r="C364" s="21">
        <f t="shared" ca="1" si="62"/>
        <v>1100.0190396056341</v>
      </c>
      <c r="D364" s="21">
        <f t="shared" ca="1" si="58"/>
        <v>2.6024456625441283</v>
      </c>
      <c r="E364" s="21">
        <f t="shared" ca="1" si="65"/>
        <v>4.3046239334787515</v>
      </c>
      <c r="F364" s="20" t="str">
        <f t="shared" ca="1" si="63"/>
        <v>No</v>
      </c>
      <c r="G364" s="21">
        <f t="shared" ca="1" si="59"/>
        <v>0</v>
      </c>
      <c r="H364" s="21">
        <f t="shared" ca="1" si="60"/>
        <v>1104.3236635391129</v>
      </c>
      <c r="I364" s="21">
        <f t="shared" ca="1" si="55"/>
        <v>1106.926109201657</v>
      </c>
      <c r="J364" s="20">
        <f t="shared" ca="1" si="64"/>
        <v>4</v>
      </c>
      <c r="K364" s="20">
        <f t="shared" ca="1" si="56"/>
        <v>2</v>
      </c>
      <c r="L364" s="44">
        <f t="shared" ca="1" si="61"/>
        <v>3</v>
      </c>
    </row>
    <row r="365" spans="1:12" x14ac:dyDescent="0.25">
      <c r="A365" s="20">
        <v>357</v>
      </c>
      <c r="B365" s="21">
        <f t="shared" ca="1" si="57"/>
        <v>2.7731782093350472</v>
      </c>
      <c r="C365" s="21">
        <f t="shared" ca="1" si="62"/>
        <v>1102.7922178149693</v>
      </c>
      <c r="D365" s="21">
        <f t="shared" ca="1" si="58"/>
        <v>2.7046021654256891</v>
      </c>
      <c r="E365" s="21">
        <f t="shared" ca="1" si="65"/>
        <v>4.1338913866877647</v>
      </c>
      <c r="F365" s="20" t="str">
        <f t="shared" ca="1" si="63"/>
        <v>No</v>
      </c>
      <c r="G365" s="21">
        <f t="shared" ca="1" si="59"/>
        <v>0</v>
      </c>
      <c r="H365" s="21">
        <f t="shared" ca="1" si="60"/>
        <v>1106.926109201657</v>
      </c>
      <c r="I365" s="21">
        <f t="shared" ca="1" si="55"/>
        <v>1109.6307113670828</v>
      </c>
      <c r="J365" s="20">
        <f t="shared" ca="1" si="64"/>
        <v>3</v>
      </c>
      <c r="K365" s="20">
        <f t="shared" ca="1" si="56"/>
        <v>2</v>
      </c>
      <c r="L365" s="44">
        <f t="shared" ca="1" si="61"/>
        <v>2.5</v>
      </c>
    </row>
    <row r="366" spans="1:12" x14ac:dyDescent="0.25">
      <c r="A366" s="20">
        <v>358</v>
      </c>
      <c r="B366" s="21">
        <f t="shared" ca="1" si="57"/>
        <v>0.32188704632623971</v>
      </c>
      <c r="C366" s="21">
        <f t="shared" ca="1" si="62"/>
        <v>1103.1141048612956</v>
      </c>
      <c r="D366" s="21">
        <f t="shared" ca="1" si="58"/>
        <v>2.6509470888331621</v>
      </c>
      <c r="E366" s="21">
        <f t="shared" ca="1" si="65"/>
        <v>6.5166065057871947</v>
      </c>
      <c r="F366" s="20" t="str">
        <f t="shared" ca="1" si="63"/>
        <v>No</v>
      </c>
      <c r="G366" s="21">
        <f t="shared" ca="1" si="59"/>
        <v>0</v>
      </c>
      <c r="H366" s="21">
        <f t="shared" ca="1" si="60"/>
        <v>1109.6307113670828</v>
      </c>
      <c r="I366" s="21">
        <f t="shared" ca="1" si="55"/>
        <v>1112.2816584559159</v>
      </c>
      <c r="J366" s="20">
        <f t="shared" ca="1" si="64"/>
        <v>3</v>
      </c>
      <c r="K366" s="20">
        <f t="shared" ca="1" si="56"/>
        <v>2</v>
      </c>
      <c r="L366" s="44">
        <f t="shared" ca="1" si="61"/>
        <v>2.5</v>
      </c>
    </row>
    <row r="367" spans="1:12" x14ac:dyDescent="0.25">
      <c r="A367" s="20">
        <v>359</v>
      </c>
      <c r="B367" s="21">
        <f t="shared" ca="1" si="57"/>
        <v>5.4756821632430404</v>
      </c>
      <c r="C367" s="21">
        <f t="shared" ca="1" si="62"/>
        <v>1108.5897870245385</v>
      </c>
      <c r="D367" s="21">
        <f t="shared" ca="1" si="58"/>
        <v>2.3256272779481524</v>
      </c>
      <c r="E367" s="21">
        <f t="shared" ca="1" si="65"/>
        <v>3.6918714313774217</v>
      </c>
      <c r="F367" s="20" t="str">
        <f t="shared" ca="1" si="63"/>
        <v>No</v>
      </c>
      <c r="G367" s="21">
        <f t="shared" ca="1" si="59"/>
        <v>0</v>
      </c>
      <c r="H367" s="21">
        <f t="shared" ca="1" si="60"/>
        <v>1112.2816584559159</v>
      </c>
      <c r="I367" s="21">
        <f t="shared" ca="1" si="55"/>
        <v>1114.607285733864</v>
      </c>
      <c r="J367" s="20">
        <f t="shared" ca="1" si="64"/>
        <v>3</v>
      </c>
      <c r="K367" s="20">
        <f t="shared" ca="1" si="56"/>
        <v>3</v>
      </c>
      <c r="L367" s="44">
        <f t="shared" ca="1" si="61"/>
        <v>3</v>
      </c>
    </row>
    <row r="368" spans="1:12" x14ac:dyDescent="0.25">
      <c r="A368" s="20">
        <v>360</v>
      </c>
      <c r="B368" s="21">
        <f t="shared" ca="1" si="57"/>
        <v>2.9846879947359626</v>
      </c>
      <c r="C368" s="21">
        <f t="shared" ca="1" si="62"/>
        <v>1111.5744750192744</v>
      </c>
      <c r="D368" s="21">
        <f t="shared" ca="1" si="58"/>
        <v>0.29602021218171137</v>
      </c>
      <c r="E368" s="21">
        <f t="shared" ca="1" si="65"/>
        <v>3.0328107145896865</v>
      </c>
      <c r="F368" s="20" t="str">
        <f t="shared" ca="1" si="63"/>
        <v>No</v>
      </c>
      <c r="G368" s="21">
        <f t="shared" ca="1" si="59"/>
        <v>0</v>
      </c>
      <c r="H368" s="21">
        <f t="shared" ca="1" si="60"/>
        <v>1114.607285733864</v>
      </c>
      <c r="I368" s="21">
        <f t="shared" ca="1" si="55"/>
        <v>1114.9033059460457</v>
      </c>
      <c r="J368" s="20">
        <f t="shared" ca="1" si="64"/>
        <v>4</v>
      </c>
      <c r="K368" s="20">
        <f t="shared" ca="1" si="56"/>
        <v>2</v>
      </c>
      <c r="L368" s="44">
        <f t="shared" ca="1" si="61"/>
        <v>3</v>
      </c>
    </row>
    <row r="369" spans="1:12" x14ac:dyDescent="0.25">
      <c r="A369" s="20">
        <v>361</v>
      </c>
      <c r="B369" s="21">
        <f t="shared" ca="1" si="57"/>
        <v>0.8813516953057432</v>
      </c>
      <c r="C369" s="21">
        <f t="shared" ca="1" si="62"/>
        <v>1112.4558267145801</v>
      </c>
      <c r="D369" s="21">
        <f t="shared" ca="1" si="58"/>
        <v>7.9734070007636149</v>
      </c>
      <c r="E369" s="21">
        <f t="shared" ca="1" si="65"/>
        <v>2.4474792314656497</v>
      </c>
      <c r="F369" s="20" t="str">
        <f t="shared" ca="1" si="63"/>
        <v>No</v>
      </c>
      <c r="G369" s="21">
        <f t="shared" ca="1" si="59"/>
        <v>0</v>
      </c>
      <c r="H369" s="21">
        <f t="shared" ca="1" si="60"/>
        <v>1114.9033059460457</v>
      </c>
      <c r="I369" s="21">
        <f t="shared" ca="1" si="55"/>
        <v>1122.8767129468094</v>
      </c>
      <c r="J369" s="20">
        <f t="shared" ca="1" si="64"/>
        <v>3</v>
      </c>
      <c r="K369" s="20">
        <f t="shared" ca="1" si="56"/>
        <v>4</v>
      </c>
      <c r="L369" s="44">
        <f t="shared" ca="1" si="61"/>
        <v>3.5</v>
      </c>
    </row>
    <row r="370" spans="1:12" x14ac:dyDescent="0.25">
      <c r="A370" s="20">
        <v>362</v>
      </c>
      <c r="B370" s="21">
        <f t="shared" ca="1" si="57"/>
        <v>1.3454119465545973</v>
      </c>
      <c r="C370" s="21">
        <f t="shared" ca="1" si="62"/>
        <v>1113.8012386611347</v>
      </c>
      <c r="D370" s="21">
        <f t="shared" ca="1" si="58"/>
        <v>0.39461971740471041</v>
      </c>
      <c r="E370" s="21">
        <f t="shared" ca="1" si="65"/>
        <v>9.0754742856747725</v>
      </c>
      <c r="F370" s="20" t="str">
        <f t="shared" ca="1" si="63"/>
        <v>No</v>
      </c>
      <c r="G370" s="21">
        <f t="shared" ca="1" si="59"/>
        <v>0</v>
      </c>
      <c r="H370" s="21">
        <f t="shared" ca="1" si="60"/>
        <v>1122.8767129468094</v>
      </c>
      <c r="I370" s="21">
        <f t="shared" ca="1" si="55"/>
        <v>1123.2713326642142</v>
      </c>
      <c r="J370" s="20">
        <f t="shared" ca="1" si="64"/>
        <v>5</v>
      </c>
      <c r="K370" s="20">
        <f t="shared" ca="1" si="56"/>
        <v>3</v>
      </c>
      <c r="L370" s="44">
        <f t="shared" ca="1" si="61"/>
        <v>4</v>
      </c>
    </row>
    <row r="371" spans="1:12" x14ac:dyDescent="0.25">
      <c r="A371" s="20">
        <v>363</v>
      </c>
      <c r="B371" s="21">
        <f t="shared" ca="1" si="57"/>
        <v>2.9689263639293593</v>
      </c>
      <c r="C371" s="21">
        <f t="shared" ca="1" si="62"/>
        <v>1116.770165025064</v>
      </c>
      <c r="D371" s="21">
        <f t="shared" ca="1" si="58"/>
        <v>6.1769508769122616</v>
      </c>
      <c r="E371" s="21">
        <f t="shared" ca="1" si="65"/>
        <v>6.5011676391502533</v>
      </c>
      <c r="F371" s="20" t="str">
        <f t="shared" ca="1" si="63"/>
        <v>No</v>
      </c>
      <c r="G371" s="21">
        <f t="shared" ca="1" si="59"/>
        <v>0</v>
      </c>
      <c r="H371" s="21">
        <f t="shared" ca="1" si="60"/>
        <v>1123.2713326642142</v>
      </c>
      <c r="I371" s="21">
        <f t="shared" ca="1" si="55"/>
        <v>1129.4482835411266</v>
      </c>
      <c r="J371" s="20">
        <f t="shared" ca="1" si="64"/>
        <v>4</v>
      </c>
      <c r="K371" s="20">
        <f t="shared" ca="1" si="56"/>
        <v>3</v>
      </c>
      <c r="L371" s="44">
        <f t="shared" ca="1" si="61"/>
        <v>3.5</v>
      </c>
    </row>
    <row r="372" spans="1:12" x14ac:dyDescent="0.25">
      <c r="A372" s="20">
        <v>364</v>
      </c>
      <c r="B372" s="21">
        <f t="shared" ca="1" si="57"/>
        <v>0.23321635173250538</v>
      </c>
      <c r="C372" s="21">
        <f t="shared" ca="1" si="62"/>
        <v>1117.0033813767966</v>
      </c>
      <c r="D372" s="21">
        <f t="shared" ca="1" si="58"/>
        <v>0.93878534250955947</v>
      </c>
      <c r="E372" s="21">
        <f t="shared" ca="1" si="65"/>
        <v>12.44490216432996</v>
      </c>
      <c r="F372" s="20" t="str">
        <f t="shared" ca="1" si="63"/>
        <v>No</v>
      </c>
      <c r="G372" s="21">
        <f t="shared" ca="1" si="59"/>
        <v>0</v>
      </c>
      <c r="H372" s="21">
        <f t="shared" ca="1" si="60"/>
        <v>1129.4482835411266</v>
      </c>
      <c r="I372" s="21">
        <f t="shared" ca="1" si="55"/>
        <v>1130.3870688836362</v>
      </c>
      <c r="J372" s="20">
        <f t="shared" ca="1" si="64"/>
        <v>4</v>
      </c>
      <c r="K372" s="20">
        <f t="shared" ca="1" si="56"/>
        <v>2</v>
      </c>
      <c r="L372" s="44">
        <f t="shared" ca="1" si="61"/>
        <v>3</v>
      </c>
    </row>
    <row r="373" spans="1:12" x14ac:dyDescent="0.25">
      <c r="A373" s="20">
        <v>365</v>
      </c>
      <c r="B373" s="21">
        <f t="shared" ca="1" si="57"/>
        <v>5.6963444576188085</v>
      </c>
      <c r="C373" s="21">
        <f t="shared" ca="1" si="62"/>
        <v>1122.6997258344154</v>
      </c>
      <c r="D373" s="21">
        <f t="shared" ca="1" si="58"/>
        <v>7.6517348083377046</v>
      </c>
      <c r="E373" s="21">
        <f t="shared" ca="1" si="65"/>
        <v>7.6873430492207717</v>
      </c>
      <c r="F373" s="20" t="str">
        <f t="shared" ca="1" si="63"/>
        <v>No</v>
      </c>
      <c r="G373" s="21">
        <f t="shared" ca="1" si="59"/>
        <v>0</v>
      </c>
      <c r="H373" s="21">
        <f t="shared" ca="1" si="60"/>
        <v>1130.3870688836362</v>
      </c>
      <c r="I373" s="21">
        <f t="shared" ca="1" si="55"/>
        <v>1138.038803691974</v>
      </c>
      <c r="J373" s="20">
        <f t="shared" ca="1" si="64"/>
        <v>3</v>
      </c>
      <c r="K373" s="20">
        <f t="shared" ca="1" si="56"/>
        <v>2</v>
      </c>
      <c r="L373" s="44">
        <f t="shared" ca="1" si="61"/>
        <v>2.5</v>
      </c>
    </row>
    <row r="374" spans="1:12" x14ac:dyDescent="0.25">
      <c r="A374" s="20">
        <v>366</v>
      </c>
      <c r="B374" s="21">
        <f t="shared" ca="1" si="57"/>
        <v>1.4617629053818437</v>
      </c>
      <c r="C374" s="21">
        <f t="shared" ca="1" si="62"/>
        <v>1124.1614887397973</v>
      </c>
      <c r="D374" s="21">
        <f t="shared" ca="1" si="58"/>
        <v>0.16841059072677883</v>
      </c>
      <c r="E374" s="21">
        <f t="shared" ca="1" si="65"/>
        <v>13.877314952176675</v>
      </c>
      <c r="F374" s="20" t="str">
        <f t="shared" ca="1" si="63"/>
        <v>No</v>
      </c>
      <c r="G374" s="21">
        <f t="shared" ca="1" si="59"/>
        <v>0</v>
      </c>
      <c r="H374" s="21">
        <f t="shared" ca="1" si="60"/>
        <v>1138.038803691974</v>
      </c>
      <c r="I374" s="21">
        <f t="shared" ca="1" si="55"/>
        <v>1138.2072142827008</v>
      </c>
      <c r="J374" s="20">
        <f t="shared" ca="1" si="64"/>
        <v>3</v>
      </c>
      <c r="K374" s="20">
        <f t="shared" ca="1" si="56"/>
        <v>1</v>
      </c>
      <c r="L374" s="44">
        <f t="shared" ca="1" si="61"/>
        <v>2</v>
      </c>
    </row>
    <row r="375" spans="1:12" x14ac:dyDescent="0.25">
      <c r="A375" s="20">
        <v>367</v>
      </c>
      <c r="B375" s="21">
        <f t="shared" ca="1" si="57"/>
        <v>13.162177319032564</v>
      </c>
      <c r="C375" s="21">
        <f t="shared" ca="1" si="62"/>
        <v>1137.3236660588298</v>
      </c>
      <c r="D375" s="21">
        <f t="shared" ca="1" si="58"/>
        <v>6.5015706099731503</v>
      </c>
      <c r="E375" s="21">
        <f t="shared" ca="1" si="65"/>
        <v>0.88354822387100285</v>
      </c>
      <c r="F375" s="20" t="str">
        <f t="shared" ca="1" si="63"/>
        <v>No</v>
      </c>
      <c r="G375" s="21">
        <f t="shared" ca="1" si="59"/>
        <v>0</v>
      </c>
      <c r="H375" s="21">
        <f t="shared" ca="1" si="60"/>
        <v>1138.2072142827008</v>
      </c>
      <c r="I375" s="21">
        <f t="shared" ca="1" si="55"/>
        <v>1144.708784892674</v>
      </c>
      <c r="J375" s="20">
        <f t="shared" ca="1" si="64"/>
        <v>2</v>
      </c>
      <c r="K375" s="20">
        <f t="shared" ca="1" si="56"/>
        <v>5</v>
      </c>
      <c r="L375" s="44">
        <f t="shared" ca="1" si="61"/>
        <v>3.5</v>
      </c>
    </row>
    <row r="376" spans="1:12" x14ac:dyDescent="0.25">
      <c r="A376" s="20">
        <v>368</v>
      </c>
      <c r="B376" s="21">
        <f t="shared" ca="1" si="57"/>
        <v>1.3794114780707405</v>
      </c>
      <c r="C376" s="21">
        <f t="shared" ca="1" si="62"/>
        <v>1138.7030775369005</v>
      </c>
      <c r="D376" s="21">
        <f t="shared" ca="1" si="58"/>
        <v>1.3244932894278711</v>
      </c>
      <c r="E376" s="21">
        <f t="shared" ca="1" si="65"/>
        <v>6.0057073557734384</v>
      </c>
      <c r="F376" s="20" t="str">
        <f t="shared" ca="1" si="63"/>
        <v>No</v>
      </c>
      <c r="G376" s="21">
        <f t="shared" ca="1" si="59"/>
        <v>0</v>
      </c>
      <c r="H376" s="21">
        <f t="shared" ca="1" si="60"/>
        <v>1144.708784892674</v>
      </c>
      <c r="I376" s="21">
        <f t="shared" ca="1" si="55"/>
        <v>1146.0332781821019</v>
      </c>
      <c r="J376" s="20">
        <f t="shared" ca="1" si="64"/>
        <v>6</v>
      </c>
      <c r="K376" s="20">
        <f t="shared" ca="1" si="56"/>
        <v>5</v>
      </c>
      <c r="L376" s="44">
        <f t="shared" ca="1" si="61"/>
        <v>5.5</v>
      </c>
    </row>
    <row r="377" spans="1:12" x14ac:dyDescent="0.25">
      <c r="A377" s="20">
        <v>369</v>
      </c>
      <c r="B377" s="21">
        <f t="shared" ca="1" si="57"/>
        <v>0.96576717141794943</v>
      </c>
      <c r="C377" s="21">
        <f t="shared" ca="1" si="62"/>
        <v>1139.6688447083184</v>
      </c>
      <c r="D377" s="21">
        <f t="shared" ca="1" si="58"/>
        <v>9.6912031513481853</v>
      </c>
      <c r="E377" s="21">
        <f t="shared" ca="1" si="65"/>
        <v>6.3644334737834924</v>
      </c>
      <c r="F377" s="20" t="str">
        <f t="shared" ca="1" si="63"/>
        <v>No</v>
      </c>
      <c r="G377" s="21">
        <f t="shared" ca="1" si="59"/>
        <v>0</v>
      </c>
      <c r="H377" s="21">
        <f t="shared" ca="1" si="60"/>
        <v>1146.0332781821019</v>
      </c>
      <c r="I377" s="21">
        <f t="shared" ca="1" si="55"/>
        <v>1155.7244813334501</v>
      </c>
      <c r="J377" s="20">
        <f t="shared" ca="1" si="64"/>
        <v>6</v>
      </c>
      <c r="K377" s="20">
        <f t="shared" ca="1" si="56"/>
        <v>5</v>
      </c>
      <c r="L377" s="44">
        <f t="shared" ca="1" si="61"/>
        <v>5.5</v>
      </c>
    </row>
    <row r="378" spans="1:12" x14ac:dyDescent="0.25">
      <c r="A378" s="20">
        <v>370</v>
      </c>
      <c r="B378" s="21">
        <f t="shared" ca="1" si="57"/>
        <v>0.76120295647071168</v>
      </c>
      <c r="C378" s="21">
        <f t="shared" ca="1" si="62"/>
        <v>1140.4300476647891</v>
      </c>
      <c r="D378" s="21">
        <f t="shared" ca="1" si="58"/>
        <v>5.6118876336192267</v>
      </c>
      <c r="E378" s="21">
        <f t="shared" ca="1" si="65"/>
        <v>15.294433668660986</v>
      </c>
      <c r="F378" s="20" t="str">
        <f t="shared" ca="1" si="63"/>
        <v>No</v>
      </c>
      <c r="G378" s="21">
        <f t="shared" ca="1" si="59"/>
        <v>0</v>
      </c>
      <c r="H378" s="21">
        <f t="shared" ca="1" si="60"/>
        <v>1155.7244813334501</v>
      </c>
      <c r="I378" s="21">
        <f t="shared" ca="1" si="55"/>
        <v>1161.3363689670693</v>
      </c>
      <c r="J378" s="20">
        <f t="shared" ca="1" si="64"/>
        <v>6</v>
      </c>
      <c r="K378" s="20">
        <f t="shared" ca="1" si="56"/>
        <v>5</v>
      </c>
      <c r="L378" s="44">
        <f t="shared" ca="1" si="61"/>
        <v>5.5</v>
      </c>
    </row>
    <row r="379" spans="1:12" x14ac:dyDescent="0.25">
      <c r="A379" s="20">
        <v>371</v>
      </c>
      <c r="B379" s="21">
        <f t="shared" ca="1" si="57"/>
        <v>0.36942225551155433</v>
      </c>
      <c r="C379" s="21">
        <f t="shared" ca="1" si="62"/>
        <v>1140.7994699203007</v>
      </c>
      <c r="D379" s="21">
        <f t="shared" ca="1" si="58"/>
        <v>0.18814331192634959</v>
      </c>
      <c r="E379" s="21">
        <f t="shared" ca="1" si="65"/>
        <v>20.536899046768667</v>
      </c>
      <c r="F379" s="20" t="str">
        <f t="shared" ca="1" si="63"/>
        <v>No</v>
      </c>
      <c r="G379" s="21">
        <f t="shared" ca="1" si="59"/>
        <v>0</v>
      </c>
      <c r="H379" s="21">
        <f t="shared" ca="1" si="60"/>
        <v>1161.3363689670693</v>
      </c>
      <c r="I379" s="21">
        <f t="shared" ca="1" si="55"/>
        <v>1161.5245122789956</v>
      </c>
      <c r="J379" s="20">
        <f t="shared" ca="1" si="64"/>
        <v>6</v>
      </c>
      <c r="K379" s="20">
        <f t="shared" ca="1" si="56"/>
        <v>5</v>
      </c>
      <c r="L379" s="44">
        <f t="shared" ca="1" si="61"/>
        <v>5.5</v>
      </c>
    </row>
    <row r="380" spans="1:12" x14ac:dyDescent="0.25">
      <c r="A380" s="20">
        <v>372</v>
      </c>
      <c r="B380" s="21">
        <f t="shared" ca="1" si="57"/>
        <v>2.7065575415182028</v>
      </c>
      <c r="C380" s="21">
        <f t="shared" ca="1" si="62"/>
        <v>1143.5060274618188</v>
      </c>
      <c r="D380" s="21">
        <f t="shared" ca="1" si="58"/>
        <v>1.1169085311271787</v>
      </c>
      <c r="E380" s="21">
        <f t="shared" ca="1" si="65"/>
        <v>18.018484817176841</v>
      </c>
      <c r="F380" s="20" t="str">
        <f t="shared" ca="1" si="63"/>
        <v>No</v>
      </c>
      <c r="G380" s="21">
        <f t="shared" ca="1" si="59"/>
        <v>0</v>
      </c>
      <c r="H380" s="21">
        <f t="shared" ca="1" si="60"/>
        <v>1161.5245122789956</v>
      </c>
      <c r="I380" s="21">
        <f t="shared" ca="1" si="55"/>
        <v>1162.6414208101228</v>
      </c>
      <c r="J380" s="20">
        <f t="shared" ca="1" si="64"/>
        <v>6</v>
      </c>
      <c r="K380" s="20">
        <f t="shared" ca="1" si="56"/>
        <v>4</v>
      </c>
      <c r="L380" s="44">
        <f t="shared" ca="1" si="61"/>
        <v>5</v>
      </c>
    </row>
    <row r="381" spans="1:12" x14ac:dyDescent="0.25">
      <c r="A381" s="20">
        <v>373</v>
      </c>
      <c r="B381" s="21">
        <f t="shared" ca="1" si="57"/>
        <v>1.0260661951461896</v>
      </c>
      <c r="C381" s="21">
        <f t="shared" ca="1" si="62"/>
        <v>1144.5320936569649</v>
      </c>
      <c r="D381" s="21">
        <f t="shared" ca="1" si="58"/>
        <v>4.4585268197294363</v>
      </c>
      <c r="E381" s="21">
        <f t="shared" ca="1" si="65"/>
        <v>18.109327153157892</v>
      </c>
      <c r="F381" s="20" t="str">
        <f t="shared" ca="1" si="63"/>
        <v>No</v>
      </c>
      <c r="G381" s="21">
        <f t="shared" ca="1" si="59"/>
        <v>0</v>
      </c>
      <c r="H381" s="21">
        <f t="shared" ca="1" si="60"/>
        <v>1162.6414208101228</v>
      </c>
      <c r="I381" s="21">
        <f t="shared" ca="1" si="55"/>
        <v>1167.0999476298523</v>
      </c>
      <c r="J381" s="20">
        <f t="shared" ca="1" si="64"/>
        <v>5</v>
      </c>
      <c r="K381" s="20">
        <f t="shared" ca="1" si="56"/>
        <v>4</v>
      </c>
      <c r="L381" s="44">
        <f t="shared" ca="1" si="61"/>
        <v>4.5</v>
      </c>
    </row>
    <row r="382" spans="1:12" x14ac:dyDescent="0.25">
      <c r="A382" s="20">
        <v>374</v>
      </c>
      <c r="B382" s="21">
        <f t="shared" ca="1" si="57"/>
        <v>9.2682533190426195</v>
      </c>
      <c r="C382" s="21">
        <f t="shared" ca="1" si="62"/>
        <v>1153.8003469760074</v>
      </c>
      <c r="D382" s="21">
        <f t="shared" ca="1" si="58"/>
        <v>1.7587719747388413</v>
      </c>
      <c r="E382" s="21">
        <f t="shared" ca="1" si="65"/>
        <v>13.299600653844891</v>
      </c>
      <c r="F382" s="20" t="str">
        <f t="shared" ca="1" si="63"/>
        <v>No</v>
      </c>
      <c r="G382" s="21">
        <f t="shared" ca="1" si="59"/>
        <v>0</v>
      </c>
      <c r="H382" s="21">
        <f t="shared" ca="1" si="60"/>
        <v>1167.0999476298523</v>
      </c>
      <c r="I382" s="21">
        <f t="shared" ca="1" si="55"/>
        <v>1168.8587196045912</v>
      </c>
      <c r="J382" s="20">
        <f t="shared" ca="1" si="64"/>
        <v>5</v>
      </c>
      <c r="K382" s="20">
        <f t="shared" ca="1" si="56"/>
        <v>3</v>
      </c>
      <c r="L382" s="44">
        <f t="shared" ca="1" si="61"/>
        <v>4</v>
      </c>
    </row>
    <row r="383" spans="1:12" x14ac:dyDescent="0.25">
      <c r="A383" s="20">
        <v>375</v>
      </c>
      <c r="B383" s="21">
        <f t="shared" ca="1" si="57"/>
        <v>1.3207140518859177</v>
      </c>
      <c r="C383" s="21">
        <f t="shared" ca="1" si="62"/>
        <v>1155.1210610278933</v>
      </c>
      <c r="D383" s="21">
        <f t="shared" ca="1" si="58"/>
        <v>0.16004507974308935</v>
      </c>
      <c r="E383" s="21">
        <f t="shared" ca="1" si="65"/>
        <v>13.737658576697868</v>
      </c>
      <c r="F383" s="20" t="str">
        <f t="shared" ca="1" si="63"/>
        <v>No</v>
      </c>
      <c r="G383" s="21">
        <f t="shared" ca="1" si="59"/>
        <v>0</v>
      </c>
      <c r="H383" s="21">
        <f t="shared" ca="1" si="60"/>
        <v>1168.8587196045912</v>
      </c>
      <c r="I383" s="21">
        <f t="shared" ca="1" si="55"/>
        <v>1169.0187646843342</v>
      </c>
      <c r="J383" s="20">
        <f t="shared" ca="1" si="64"/>
        <v>4</v>
      </c>
      <c r="K383" s="20">
        <f t="shared" ca="1" si="56"/>
        <v>2</v>
      </c>
      <c r="L383" s="44">
        <f t="shared" ca="1" si="61"/>
        <v>3</v>
      </c>
    </row>
    <row r="384" spans="1:12" x14ac:dyDescent="0.25">
      <c r="A384" s="20">
        <v>376</v>
      </c>
      <c r="B384" s="21">
        <f t="shared" ca="1" si="57"/>
        <v>3.5747587952356881</v>
      </c>
      <c r="C384" s="21">
        <f t="shared" ca="1" si="62"/>
        <v>1158.6958198231291</v>
      </c>
      <c r="D384" s="21">
        <f t="shared" ca="1" si="58"/>
        <v>4.5093530212341308</v>
      </c>
      <c r="E384" s="21">
        <f t="shared" ca="1" si="65"/>
        <v>10.322944861205087</v>
      </c>
      <c r="F384" s="20" t="str">
        <f t="shared" ca="1" si="63"/>
        <v>No</v>
      </c>
      <c r="G384" s="21">
        <f t="shared" ca="1" si="59"/>
        <v>0</v>
      </c>
      <c r="H384" s="21">
        <f t="shared" ca="1" si="60"/>
        <v>1169.0187646843342</v>
      </c>
      <c r="I384" s="21">
        <f t="shared" ca="1" si="55"/>
        <v>1173.5281177055683</v>
      </c>
      <c r="J384" s="20">
        <f t="shared" ca="1" si="64"/>
        <v>3</v>
      </c>
      <c r="K384" s="20">
        <f t="shared" ca="1" si="56"/>
        <v>2</v>
      </c>
      <c r="L384" s="44">
        <f t="shared" ca="1" si="61"/>
        <v>2.5</v>
      </c>
    </row>
    <row r="385" spans="1:12" x14ac:dyDescent="0.25">
      <c r="A385" s="20">
        <v>377</v>
      </c>
      <c r="B385" s="21">
        <f t="shared" ca="1" si="57"/>
        <v>5.6634137693679323</v>
      </c>
      <c r="C385" s="21">
        <f t="shared" ca="1" si="62"/>
        <v>1164.359233592497</v>
      </c>
      <c r="D385" s="21">
        <f t="shared" ca="1" si="58"/>
        <v>3.4608802283711615</v>
      </c>
      <c r="E385" s="21">
        <f t="shared" ca="1" si="65"/>
        <v>9.1688841130712717</v>
      </c>
      <c r="F385" s="20" t="str">
        <f t="shared" ca="1" si="63"/>
        <v>No</v>
      </c>
      <c r="G385" s="21">
        <f t="shared" ca="1" si="59"/>
        <v>0</v>
      </c>
      <c r="H385" s="21">
        <f t="shared" ca="1" si="60"/>
        <v>1173.5281177055683</v>
      </c>
      <c r="I385" s="21">
        <f t="shared" ca="1" si="55"/>
        <v>1176.9889979339396</v>
      </c>
      <c r="J385" s="20">
        <f t="shared" ca="1" si="64"/>
        <v>3</v>
      </c>
      <c r="K385" s="20">
        <f t="shared" ca="1" si="56"/>
        <v>1</v>
      </c>
      <c r="L385" s="44">
        <f t="shared" ca="1" si="61"/>
        <v>2</v>
      </c>
    </row>
    <row r="386" spans="1:12" x14ac:dyDescent="0.25">
      <c r="A386" s="20">
        <v>378</v>
      </c>
      <c r="B386" s="21">
        <f t="shared" ca="1" si="57"/>
        <v>6.5314488811119809</v>
      </c>
      <c r="C386" s="21">
        <f t="shared" ca="1" si="62"/>
        <v>1170.8906824736091</v>
      </c>
      <c r="D386" s="21">
        <f t="shared" ca="1" si="58"/>
        <v>0.74651031813419066</v>
      </c>
      <c r="E386" s="21">
        <f t="shared" ca="1" si="65"/>
        <v>6.0983154603304683</v>
      </c>
      <c r="F386" s="20" t="str">
        <f t="shared" ca="1" si="63"/>
        <v>No</v>
      </c>
      <c r="G386" s="21">
        <f t="shared" ca="1" si="59"/>
        <v>0</v>
      </c>
      <c r="H386" s="21">
        <f t="shared" ca="1" si="60"/>
        <v>1176.9889979339396</v>
      </c>
      <c r="I386" s="21">
        <f t="shared" ca="1" si="55"/>
        <v>1177.7355082520737</v>
      </c>
      <c r="J386" s="20">
        <f t="shared" ca="1" si="64"/>
        <v>2</v>
      </c>
      <c r="K386" s="20">
        <f t="shared" ca="1" si="56"/>
        <v>1</v>
      </c>
      <c r="L386" s="44">
        <f t="shared" ca="1" si="61"/>
        <v>1.5</v>
      </c>
    </row>
    <row r="387" spans="1:12" x14ac:dyDescent="0.25">
      <c r="A387" s="20">
        <v>379</v>
      </c>
      <c r="B387" s="21">
        <f t="shared" ca="1" si="57"/>
        <v>6.7377110163561218</v>
      </c>
      <c r="C387" s="21">
        <f t="shared" ca="1" si="62"/>
        <v>1177.6283934899652</v>
      </c>
      <c r="D387" s="21">
        <f t="shared" ca="1" si="58"/>
        <v>0.85775693003777531</v>
      </c>
      <c r="E387" s="21">
        <f t="shared" ca="1" si="65"/>
        <v>0.10711476210849469</v>
      </c>
      <c r="F387" s="20" t="str">
        <f t="shared" ca="1" si="63"/>
        <v>No</v>
      </c>
      <c r="G387" s="21">
        <f t="shared" ca="1" si="59"/>
        <v>0</v>
      </c>
      <c r="H387" s="21">
        <f t="shared" ca="1" si="60"/>
        <v>1177.7355082520737</v>
      </c>
      <c r="I387" s="21">
        <f t="shared" ca="1" si="55"/>
        <v>1178.5932651821115</v>
      </c>
      <c r="J387" s="20">
        <f t="shared" ca="1" si="64"/>
        <v>2</v>
      </c>
      <c r="K387" s="20">
        <f t="shared" ca="1" si="56"/>
        <v>0</v>
      </c>
      <c r="L387" s="44">
        <f t="shared" ca="1" si="61"/>
        <v>1</v>
      </c>
    </row>
    <row r="388" spans="1:12" x14ac:dyDescent="0.25">
      <c r="A388" s="20">
        <v>380</v>
      </c>
      <c r="B388" s="21">
        <f t="shared" ca="1" si="57"/>
        <v>3.8411759699485901</v>
      </c>
      <c r="C388" s="21">
        <f t="shared" ca="1" si="62"/>
        <v>1181.4695694599138</v>
      </c>
      <c r="D388" s="21">
        <f t="shared" ca="1" si="58"/>
        <v>3.5228243544378062</v>
      </c>
      <c r="E388" s="21">
        <f t="shared" ca="1" si="65"/>
        <v>0</v>
      </c>
      <c r="F388" s="20" t="str">
        <f t="shared" ca="1" si="63"/>
        <v>Yes</v>
      </c>
      <c r="G388" s="21">
        <f t="shared" ca="1" si="59"/>
        <v>2.8763042778023191</v>
      </c>
      <c r="H388" s="21">
        <f t="shared" ca="1" si="60"/>
        <v>1181.4695694599138</v>
      </c>
      <c r="I388" s="21">
        <f t="shared" ca="1" si="55"/>
        <v>1184.9923938143515</v>
      </c>
      <c r="J388" s="20">
        <f t="shared" ca="1" si="64"/>
        <v>0</v>
      </c>
      <c r="K388" s="20">
        <f t="shared" ca="1" si="56"/>
        <v>0</v>
      </c>
      <c r="L388" s="44">
        <f t="shared" ca="1" si="61"/>
        <v>0</v>
      </c>
    </row>
    <row r="389" spans="1:12" x14ac:dyDescent="0.25">
      <c r="A389" s="20">
        <v>381</v>
      </c>
      <c r="B389" s="21">
        <f t="shared" ca="1" si="57"/>
        <v>9.3318977810545238</v>
      </c>
      <c r="C389" s="21">
        <f t="shared" ca="1" si="62"/>
        <v>1190.8014672409683</v>
      </c>
      <c r="D389" s="21">
        <f t="shared" ca="1" si="58"/>
        <v>1.0436024825288592</v>
      </c>
      <c r="E389" s="21">
        <f t="shared" ca="1" si="65"/>
        <v>0</v>
      </c>
      <c r="F389" s="20" t="str">
        <f t="shared" ca="1" si="63"/>
        <v>Yes</v>
      </c>
      <c r="G389" s="21">
        <f t="shared" ca="1" si="59"/>
        <v>5.8090734266168056</v>
      </c>
      <c r="H389" s="21">
        <f t="shared" ca="1" si="60"/>
        <v>1190.8014672409683</v>
      </c>
      <c r="I389" s="21">
        <f t="shared" ca="1" si="55"/>
        <v>1191.8450697234973</v>
      </c>
      <c r="J389" s="20">
        <f t="shared" ca="1" si="64"/>
        <v>0</v>
      </c>
      <c r="K389" s="20">
        <f t="shared" ca="1" si="56"/>
        <v>0</v>
      </c>
      <c r="L389" s="44">
        <f t="shared" ca="1" si="61"/>
        <v>0</v>
      </c>
    </row>
    <row r="390" spans="1:12" x14ac:dyDescent="0.25">
      <c r="A390" s="20">
        <v>382</v>
      </c>
      <c r="B390" s="21">
        <f t="shared" ca="1" si="57"/>
        <v>3.9867378189321934</v>
      </c>
      <c r="C390" s="21">
        <f t="shared" ca="1" si="62"/>
        <v>1194.7882050599005</v>
      </c>
      <c r="D390" s="21">
        <f t="shared" ca="1" si="58"/>
        <v>3.6536472579613188</v>
      </c>
      <c r="E390" s="21">
        <f t="shared" ca="1" si="65"/>
        <v>0</v>
      </c>
      <c r="F390" s="20" t="str">
        <f t="shared" ca="1" si="63"/>
        <v>Yes</v>
      </c>
      <c r="G390" s="21">
        <f t="shared" ca="1" si="59"/>
        <v>2.943135336403202</v>
      </c>
      <c r="H390" s="21">
        <f t="shared" ca="1" si="60"/>
        <v>1194.7882050599005</v>
      </c>
      <c r="I390" s="21">
        <f t="shared" ca="1" si="55"/>
        <v>1198.4418523178617</v>
      </c>
      <c r="J390" s="20">
        <f t="shared" ca="1" si="64"/>
        <v>0</v>
      </c>
      <c r="K390" s="20">
        <f t="shared" ca="1" si="56"/>
        <v>2</v>
      </c>
      <c r="L390" s="44">
        <f t="shared" ca="1" si="61"/>
        <v>1</v>
      </c>
    </row>
    <row r="391" spans="1:12" x14ac:dyDescent="0.25">
      <c r="A391" s="20">
        <v>383</v>
      </c>
      <c r="B391" s="21">
        <f t="shared" ca="1" si="57"/>
        <v>1.316862816201485</v>
      </c>
      <c r="C391" s="21">
        <f t="shared" ca="1" si="62"/>
        <v>1196.1050678761021</v>
      </c>
      <c r="D391" s="21">
        <f t="shared" ca="1" si="58"/>
        <v>1.8498288194663643</v>
      </c>
      <c r="E391" s="21">
        <f t="shared" ca="1" si="65"/>
        <v>2.3367844417596189</v>
      </c>
      <c r="F391" s="20" t="str">
        <f t="shared" ca="1" si="63"/>
        <v>No</v>
      </c>
      <c r="G391" s="21">
        <f t="shared" ca="1" si="59"/>
        <v>0</v>
      </c>
      <c r="H391" s="21">
        <f t="shared" ca="1" si="60"/>
        <v>1198.4418523178617</v>
      </c>
      <c r="I391" s="21">
        <f t="shared" ca="1" si="55"/>
        <v>1200.2916811373282</v>
      </c>
      <c r="J391" s="20">
        <f t="shared" ca="1" si="64"/>
        <v>3</v>
      </c>
      <c r="K391" s="20">
        <f t="shared" ca="1" si="56"/>
        <v>1</v>
      </c>
      <c r="L391" s="44">
        <f t="shared" ca="1" si="61"/>
        <v>2</v>
      </c>
    </row>
    <row r="392" spans="1:12" x14ac:dyDescent="0.25">
      <c r="A392" s="20">
        <v>384</v>
      </c>
      <c r="B392" s="21">
        <f t="shared" ca="1" si="57"/>
        <v>1.3916398726717658</v>
      </c>
      <c r="C392" s="21">
        <f t="shared" ca="1" si="62"/>
        <v>1197.4967077487738</v>
      </c>
      <c r="D392" s="21">
        <f t="shared" ca="1" si="58"/>
        <v>0.73647889656530918</v>
      </c>
      <c r="E392" s="21">
        <f t="shared" ca="1" si="65"/>
        <v>2.7949733885543537</v>
      </c>
      <c r="F392" s="20" t="str">
        <f t="shared" ca="1" si="63"/>
        <v>No</v>
      </c>
      <c r="G392" s="21">
        <f t="shared" ca="1" si="59"/>
        <v>0</v>
      </c>
      <c r="H392" s="21">
        <f t="shared" ca="1" si="60"/>
        <v>1200.2916811373282</v>
      </c>
      <c r="I392" s="21">
        <f t="shared" ca="1" si="55"/>
        <v>1201.0281600338935</v>
      </c>
      <c r="J392" s="20">
        <f t="shared" ca="1" si="64"/>
        <v>2</v>
      </c>
      <c r="K392" s="20">
        <f t="shared" ca="1" si="56"/>
        <v>0</v>
      </c>
      <c r="L392" s="44">
        <f t="shared" ca="1" si="61"/>
        <v>1</v>
      </c>
    </row>
    <row r="393" spans="1:12" x14ac:dyDescent="0.25">
      <c r="A393" s="20">
        <v>385</v>
      </c>
      <c r="B393" s="21">
        <f t="shared" ca="1" si="57"/>
        <v>3.992480326617287</v>
      </c>
      <c r="C393" s="21">
        <f t="shared" ca="1" si="62"/>
        <v>1201.4891880753912</v>
      </c>
      <c r="D393" s="21">
        <f t="shared" ca="1" si="58"/>
        <v>1.6376918116828045</v>
      </c>
      <c r="E393" s="21">
        <f t="shared" ca="1" si="65"/>
        <v>0</v>
      </c>
      <c r="F393" s="20" t="str">
        <f t="shared" ca="1" si="63"/>
        <v>Yes</v>
      </c>
      <c r="G393" s="21">
        <f t="shared" ca="1" si="59"/>
        <v>0.46102804149768417</v>
      </c>
      <c r="H393" s="21">
        <f t="shared" ca="1" si="60"/>
        <v>1201.4891880753912</v>
      </c>
      <c r="I393" s="21">
        <f t="shared" ref="I393:I456" ca="1" si="66">$H393+$D393</f>
        <v>1203.126879887074</v>
      </c>
      <c r="J393" s="20">
        <f t="shared" ca="1" si="64"/>
        <v>0</v>
      </c>
      <c r="K393" s="20">
        <f t="shared" ref="K393:K456" ca="1" si="67">IF($I393&lt;=$C394,0,IF($I393&lt;=$C395,1,IF($I393&lt;=$C396,2,IF($I393&lt;=$C397,3,IF($I393&lt;=$C398,4,5)))))</f>
        <v>2</v>
      </c>
      <c r="L393" s="44">
        <f t="shared" ca="1" si="61"/>
        <v>1</v>
      </c>
    </row>
    <row r="394" spans="1:12" x14ac:dyDescent="0.25">
      <c r="A394" s="20">
        <v>386</v>
      </c>
      <c r="B394" s="21">
        <f t="shared" ref="B394:B457" ca="1" si="68">-LN(RAND())/$D$4</f>
        <v>0.80807965089191958</v>
      </c>
      <c r="C394" s="21">
        <f t="shared" ca="1" si="62"/>
        <v>1202.2972677262831</v>
      </c>
      <c r="D394" s="21">
        <f t="shared" ref="D394:D457" ca="1" si="69">-LN(RAND())/$D$6</f>
        <v>1.4250089839619735</v>
      </c>
      <c r="E394" s="21">
        <f t="shared" ca="1" si="65"/>
        <v>0.82961216079092992</v>
      </c>
      <c r="F394" s="20" t="str">
        <f t="shared" ca="1" si="63"/>
        <v>No</v>
      </c>
      <c r="G394" s="21">
        <f t="shared" ref="G394:G457" ca="1" si="70">IF($I393&lt;=$C394,$C394-$I393,0)</f>
        <v>0</v>
      </c>
      <c r="H394" s="21">
        <f t="shared" ref="H394:H457" ca="1" si="71">IF($I393&lt;=$C394,$C394,$I393)</f>
        <v>1203.126879887074</v>
      </c>
      <c r="I394" s="21">
        <f t="shared" ca="1" si="66"/>
        <v>1204.551888871036</v>
      </c>
      <c r="J394" s="20">
        <f t="shared" ca="1" si="64"/>
        <v>3</v>
      </c>
      <c r="K394" s="20">
        <f t="shared" ca="1" si="67"/>
        <v>2</v>
      </c>
      <c r="L394" s="44">
        <f t="shared" ref="L394:L457" ca="1" si="72">(J394+K394)/2</f>
        <v>2.5</v>
      </c>
    </row>
    <row r="395" spans="1:12" x14ac:dyDescent="0.25">
      <c r="A395" s="20">
        <v>387</v>
      </c>
      <c r="B395" s="21">
        <f t="shared" ca="1" si="68"/>
        <v>0.6399519105046555</v>
      </c>
      <c r="C395" s="21">
        <f t="shared" ref="C395:C458" ca="1" si="73">$C394+$B395</f>
        <v>1202.9372196367876</v>
      </c>
      <c r="D395" s="21">
        <f t="shared" ca="1" si="69"/>
        <v>0.99166008810093298</v>
      </c>
      <c r="E395" s="21">
        <f t="shared" ca="1" si="65"/>
        <v>1.6146692342483675</v>
      </c>
      <c r="F395" s="20" t="str">
        <f t="shared" ref="F395:F458" ca="1" si="74">IF(E395=0,"Yes","No")</f>
        <v>No</v>
      </c>
      <c r="G395" s="21">
        <f t="shared" ca="1" si="70"/>
        <v>0</v>
      </c>
      <c r="H395" s="21">
        <f t="shared" ca="1" si="71"/>
        <v>1204.551888871036</v>
      </c>
      <c r="I395" s="21">
        <f t="shared" ca="1" si="66"/>
        <v>1205.5435489591368</v>
      </c>
      <c r="J395" s="20">
        <f t="shared" ref="J395:J458" ca="1" si="75">IF($I394&lt;=$C395,0,$K394+1)</f>
        <v>3</v>
      </c>
      <c r="K395" s="20">
        <f t="shared" ca="1" si="67"/>
        <v>1</v>
      </c>
      <c r="L395" s="44">
        <f t="shared" ca="1" si="72"/>
        <v>2</v>
      </c>
    </row>
    <row r="396" spans="1:12" x14ac:dyDescent="0.25">
      <c r="A396" s="20">
        <v>388</v>
      </c>
      <c r="B396" s="21">
        <f t="shared" ca="1" si="68"/>
        <v>1.0146965751817707</v>
      </c>
      <c r="C396" s="21">
        <f t="shared" ca="1" si="73"/>
        <v>1203.9519162119693</v>
      </c>
      <c r="D396" s="21">
        <f t="shared" ca="1" si="69"/>
        <v>5.1764420204791062</v>
      </c>
      <c r="E396" s="21">
        <f t="shared" ref="E396:E459" ca="1" si="76">IF($I395&lt;=$C396,0,$I395-$C396)</f>
        <v>1.5916327471675231</v>
      </c>
      <c r="F396" s="20" t="str">
        <f t="shared" ca="1" si="74"/>
        <v>No</v>
      </c>
      <c r="G396" s="21">
        <f t="shared" ca="1" si="70"/>
        <v>0</v>
      </c>
      <c r="H396" s="21">
        <f t="shared" ca="1" si="71"/>
        <v>1205.5435489591368</v>
      </c>
      <c r="I396" s="21">
        <f t="shared" ca="1" si="66"/>
        <v>1210.7199909796159</v>
      </c>
      <c r="J396" s="20">
        <f t="shared" ca="1" si="75"/>
        <v>2</v>
      </c>
      <c r="K396" s="20">
        <f t="shared" ca="1" si="67"/>
        <v>4</v>
      </c>
      <c r="L396" s="44">
        <f t="shared" ca="1" si="72"/>
        <v>3</v>
      </c>
    </row>
    <row r="397" spans="1:12" x14ac:dyDescent="0.25">
      <c r="A397" s="20">
        <v>389</v>
      </c>
      <c r="B397" s="21">
        <f t="shared" ca="1" si="68"/>
        <v>1.7495121519307735</v>
      </c>
      <c r="C397" s="21">
        <f t="shared" ca="1" si="73"/>
        <v>1205.7014283639</v>
      </c>
      <c r="D397" s="21">
        <f t="shared" ca="1" si="69"/>
        <v>2.8063197491592717</v>
      </c>
      <c r="E397" s="21">
        <f t="shared" ca="1" si="76"/>
        <v>5.0185626157158367</v>
      </c>
      <c r="F397" s="20" t="str">
        <f t="shared" ca="1" si="74"/>
        <v>No</v>
      </c>
      <c r="G397" s="21">
        <f t="shared" ca="1" si="70"/>
        <v>0</v>
      </c>
      <c r="H397" s="21">
        <f t="shared" ca="1" si="71"/>
        <v>1210.7199909796159</v>
      </c>
      <c r="I397" s="21">
        <f t="shared" ca="1" si="66"/>
        <v>1213.5263107287751</v>
      </c>
      <c r="J397" s="20">
        <f t="shared" ca="1" si="75"/>
        <v>5</v>
      </c>
      <c r="K397" s="20">
        <f t="shared" ca="1" si="67"/>
        <v>3</v>
      </c>
      <c r="L397" s="44">
        <f t="shared" ca="1" si="72"/>
        <v>4</v>
      </c>
    </row>
    <row r="398" spans="1:12" x14ac:dyDescent="0.25">
      <c r="A398" s="20">
        <v>390</v>
      </c>
      <c r="B398" s="21">
        <f t="shared" ca="1" si="68"/>
        <v>1.1238064714057727</v>
      </c>
      <c r="C398" s="21">
        <f t="shared" ca="1" si="73"/>
        <v>1206.8252348353058</v>
      </c>
      <c r="D398" s="21">
        <f t="shared" ca="1" si="69"/>
        <v>3.1121696795253762</v>
      </c>
      <c r="E398" s="21">
        <f t="shared" ca="1" si="76"/>
        <v>6.7010758934693513</v>
      </c>
      <c r="F398" s="20" t="str">
        <f t="shared" ca="1" si="74"/>
        <v>No</v>
      </c>
      <c r="G398" s="21">
        <f t="shared" ca="1" si="70"/>
        <v>0</v>
      </c>
      <c r="H398" s="21">
        <f t="shared" ca="1" si="71"/>
        <v>1213.5263107287751</v>
      </c>
      <c r="I398" s="21">
        <f t="shared" ca="1" si="66"/>
        <v>1216.6384804083004</v>
      </c>
      <c r="J398" s="20">
        <f t="shared" ca="1" si="75"/>
        <v>4</v>
      </c>
      <c r="K398" s="20">
        <f t="shared" ca="1" si="67"/>
        <v>2</v>
      </c>
      <c r="L398" s="44">
        <f t="shared" ca="1" si="72"/>
        <v>3</v>
      </c>
    </row>
    <row r="399" spans="1:12" x14ac:dyDescent="0.25">
      <c r="A399" s="20">
        <v>391</v>
      </c>
      <c r="B399" s="21">
        <f t="shared" ca="1" si="68"/>
        <v>0.46198852729713252</v>
      </c>
      <c r="C399" s="21">
        <f t="shared" ca="1" si="73"/>
        <v>1207.2872233626028</v>
      </c>
      <c r="D399" s="21">
        <f t="shared" ca="1" si="69"/>
        <v>2.8853564649121766</v>
      </c>
      <c r="E399" s="21">
        <f t="shared" ca="1" si="76"/>
        <v>9.3512570456975936</v>
      </c>
      <c r="F399" s="20" t="str">
        <f t="shared" ca="1" si="74"/>
        <v>No</v>
      </c>
      <c r="G399" s="21">
        <f t="shared" ca="1" si="70"/>
        <v>0</v>
      </c>
      <c r="H399" s="21">
        <f t="shared" ca="1" si="71"/>
        <v>1216.6384804083004</v>
      </c>
      <c r="I399" s="21">
        <f t="shared" ca="1" si="66"/>
        <v>1219.5238368732125</v>
      </c>
      <c r="J399" s="20">
        <f t="shared" ca="1" si="75"/>
        <v>3</v>
      </c>
      <c r="K399" s="20">
        <f t="shared" ca="1" si="67"/>
        <v>3</v>
      </c>
      <c r="L399" s="44">
        <f t="shared" ca="1" si="72"/>
        <v>3</v>
      </c>
    </row>
    <row r="400" spans="1:12" x14ac:dyDescent="0.25">
      <c r="A400" s="20">
        <v>392</v>
      </c>
      <c r="B400" s="21">
        <f t="shared" ca="1" si="68"/>
        <v>1.6330745720619289</v>
      </c>
      <c r="C400" s="21">
        <f t="shared" ca="1" si="73"/>
        <v>1208.9202979346649</v>
      </c>
      <c r="D400" s="21">
        <f t="shared" ca="1" si="69"/>
        <v>2.6155896762719286</v>
      </c>
      <c r="E400" s="21">
        <f t="shared" ca="1" si="76"/>
        <v>10.603538938547672</v>
      </c>
      <c r="F400" s="20" t="str">
        <f t="shared" ca="1" si="74"/>
        <v>No</v>
      </c>
      <c r="G400" s="21">
        <f t="shared" ca="1" si="70"/>
        <v>0</v>
      </c>
      <c r="H400" s="21">
        <f t="shared" ca="1" si="71"/>
        <v>1219.5238368732125</v>
      </c>
      <c r="I400" s="21">
        <f t="shared" ca="1" si="66"/>
        <v>1222.1394265494844</v>
      </c>
      <c r="J400" s="20">
        <f t="shared" ca="1" si="75"/>
        <v>4</v>
      </c>
      <c r="K400" s="20">
        <f t="shared" ca="1" si="67"/>
        <v>2</v>
      </c>
      <c r="L400" s="44">
        <f t="shared" ca="1" si="72"/>
        <v>3</v>
      </c>
    </row>
    <row r="401" spans="1:12" x14ac:dyDescent="0.25">
      <c r="A401" s="20">
        <v>393</v>
      </c>
      <c r="B401" s="21">
        <f t="shared" ca="1" si="68"/>
        <v>8.0091516929890059</v>
      </c>
      <c r="C401" s="21">
        <f t="shared" ca="1" si="73"/>
        <v>1216.9294496276539</v>
      </c>
      <c r="D401" s="21">
        <f t="shared" ca="1" si="69"/>
        <v>1.5187546010191515</v>
      </c>
      <c r="E401" s="21">
        <f t="shared" ca="1" si="76"/>
        <v>5.2099769218305028</v>
      </c>
      <c r="F401" s="20" t="str">
        <f t="shared" ca="1" si="74"/>
        <v>No</v>
      </c>
      <c r="G401" s="21">
        <f t="shared" ca="1" si="70"/>
        <v>0</v>
      </c>
      <c r="H401" s="21">
        <f t="shared" ca="1" si="71"/>
        <v>1222.1394265494844</v>
      </c>
      <c r="I401" s="21">
        <f t="shared" ca="1" si="66"/>
        <v>1223.6581811505034</v>
      </c>
      <c r="J401" s="20">
        <f t="shared" ca="1" si="75"/>
        <v>3</v>
      </c>
      <c r="K401" s="20">
        <f t="shared" ca="1" si="67"/>
        <v>1</v>
      </c>
      <c r="L401" s="44">
        <f t="shared" ca="1" si="72"/>
        <v>2</v>
      </c>
    </row>
    <row r="402" spans="1:12" x14ac:dyDescent="0.25">
      <c r="A402" s="20">
        <v>394</v>
      </c>
      <c r="B402" s="21">
        <f t="shared" ca="1" si="68"/>
        <v>1.9903705897214705</v>
      </c>
      <c r="C402" s="21">
        <f t="shared" ca="1" si="73"/>
        <v>1218.9198202173754</v>
      </c>
      <c r="D402" s="21">
        <f t="shared" ca="1" si="69"/>
        <v>7.769422345625758E-2</v>
      </c>
      <c r="E402" s="21">
        <f t="shared" ca="1" si="76"/>
        <v>4.7383609331279786</v>
      </c>
      <c r="F402" s="20" t="str">
        <f t="shared" ca="1" si="74"/>
        <v>No</v>
      </c>
      <c r="G402" s="21">
        <f t="shared" ca="1" si="70"/>
        <v>0</v>
      </c>
      <c r="H402" s="21">
        <f t="shared" ca="1" si="71"/>
        <v>1223.6581811505034</v>
      </c>
      <c r="I402" s="21">
        <f t="shared" ca="1" si="66"/>
        <v>1223.7358753739597</v>
      </c>
      <c r="J402" s="20">
        <f t="shared" ca="1" si="75"/>
        <v>2</v>
      </c>
      <c r="K402" s="20">
        <f t="shared" ca="1" si="67"/>
        <v>0</v>
      </c>
      <c r="L402" s="44">
        <f t="shared" ca="1" si="72"/>
        <v>1</v>
      </c>
    </row>
    <row r="403" spans="1:12" x14ac:dyDescent="0.25">
      <c r="A403" s="20">
        <v>395</v>
      </c>
      <c r="B403" s="21">
        <f t="shared" ca="1" si="68"/>
        <v>9.3974756564044331</v>
      </c>
      <c r="C403" s="21">
        <f t="shared" ca="1" si="73"/>
        <v>1228.3172958737798</v>
      </c>
      <c r="D403" s="21">
        <f t="shared" ca="1" si="69"/>
        <v>0.99904030879407801</v>
      </c>
      <c r="E403" s="21">
        <f t="shared" ca="1" si="76"/>
        <v>0</v>
      </c>
      <c r="F403" s="20" t="str">
        <f t="shared" ca="1" si="74"/>
        <v>Yes</v>
      </c>
      <c r="G403" s="21">
        <f t="shared" ca="1" si="70"/>
        <v>4.5814204998200694</v>
      </c>
      <c r="H403" s="21">
        <f t="shared" ca="1" si="71"/>
        <v>1228.3172958737798</v>
      </c>
      <c r="I403" s="21">
        <f t="shared" ca="1" si="66"/>
        <v>1229.3163361825739</v>
      </c>
      <c r="J403" s="20">
        <f t="shared" ca="1" si="75"/>
        <v>0</v>
      </c>
      <c r="K403" s="20">
        <f t="shared" ca="1" si="67"/>
        <v>0</v>
      </c>
      <c r="L403" s="44">
        <f t="shared" ca="1" si="72"/>
        <v>0</v>
      </c>
    </row>
    <row r="404" spans="1:12" x14ac:dyDescent="0.25">
      <c r="A404" s="20">
        <v>396</v>
      </c>
      <c r="B404" s="21">
        <f t="shared" ca="1" si="68"/>
        <v>2.2268387501601765</v>
      </c>
      <c r="C404" s="21">
        <f t="shared" ca="1" si="73"/>
        <v>1230.54413462394</v>
      </c>
      <c r="D404" s="21">
        <f t="shared" ca="1" si="69"/>
        <v>2.395733578495534</v>
      </c>
      <c r="E404" s="21">
        <f t="shared" ca="1" si="76"/>
        <v>0</v>
      </c>
      <c r="F404" s="20" t="str">
        <f t="shared" ca="1" si="74"/>
        <v>Yes</v>
      </c>
      <c r="G404" s="21">
        <f t="shared" ca="1" si="70"/>
        <v>1.2277984413660761</v>
      </c>
      <c r="H404" s="21">
        <f t="shared" ca="1" si="71"/>
        <v>1230.54413462394</v>
      </c>
      <c r="I404" s="21">
        <f t="shared" ca="1" si="66"/>
        <v>1232.9398682024355</v>
      </c>
      <c r="J404" s="20">
        <f t="shared" ca="1" si="75"/>
        <v>0</v>
      </c>
      <c r="K404" s="20">
        <f t="shared" ca="1" si="67"/>
        <v>2</v>
      </c>
      <c r="L404" s="44">
        <f t="shared" ca="1" si="72"/>
        <v>1</v>
      </c>
    </row>
    <row r="405" spans="1:12" x14ac:dyDescent="0.25">
      <c r="A405" s="20">
        <v>397</v>
      </c>
      <c r="B405" s="21">
        <f t="shared" ca="1" si="68"/>
        <v>0.14863102872032216</v>
      </c>
      <c r="C405" s="21">
        <f t="shared" ca="1" si="73"/>
        <v>1230.6927656526602</v>
      </c>
      <c r="D405" s="21">
        <f t="shared" ca="1" si="69"/>
        <v>3.8012471045154994</v>
      </c>
      <c r="E405" s="21">
        <f t="shared" ca="1" si="76"/>
        <v>2.2471025497752635</v>
      </c>
      <c r="F405" s="20" t="str">
        <f t="shared" ca="1" si="74"/>
        <v>No</v>
      </c>
      <c r="G405" s="21">
        <f t="shared" ca="1" si="70"/>
        <v>0</v>
      </c>
      <c r="H405" s="21">
        <f t="shared" ca="1" si="71"/>
        <v>1232.9398682024355</v>
      </c>
      <c r="I405" s="21">
        <f t="shared" ca="1" si="66"/>
        <v>1236.7411153069511</v>
      </c>
      <c r="J405" s="20">
        <f t="shared" ca="1" si="75"/>
        <v>3</v>
      </c>
      <c r="K405" s="20">
        <f t="shared" ca="1" si="67"/>
        <v>3</v>
      </c>
      <c r="L405" s="44">
        <f t="shared" ca="1" si="72"/>
        <v>3</v>
      </c>
    </row>
    <row r="406" spans="1:12" x14ac:dyDescent="0.25">
      <c r="A406" s="20">
        <v>398</v>
      </c>
      <c r="B406" s="21">
        <f t="shared" ca="1" si="68"/>
        <v>1.711617615936067</v>
      </c>
      <c r="C406" s="21">
        <f t="shared" ca="1" si="73"/>
        <v>1232.4043832685963</v>
      </c>
      <c r="D406" s="21">
        <f t="shared" ca="1" si="69"/>
        <v>5.2230941866072182</v>
      </c>
      <c r="E406" s="21">
        <f t="shared" ca="1" si="76"/>
        <v>4.3367320383547394</v>
      </c>
      <c r="F406" s="20" t="str">
        <f t="shared" ca="1" si="74"/>
        <v>No</v>
      </c>
      <c r="G406" s="21">
        <f t="shared" ca="1" si="70"/>
        <v>0</v>
      </c>
      <c r="H406" s="21">
        <f t="shared" ca="1" si="71"/>
        <v>1236.7411153069511</v>
      </c>
      <c r="I406" s="21">
        <f t="shared" ca="1" si="66"/>
        <v>1241.9642094935582</v>
      </c>
      <c r="J406" s="20">
        <f t="shared" ca="1" si="75"/>
        <v>4</v>
      </c>
      <c r="K406" s="20">
        <f t="shared" ca="1" si="67"/>
        <v>5</v>
      </c>
      <c r="L406" s="44">
        <f t="shared" ca="1" si="72"/>
        <v>4.5</v>
      </c>
    </row>
    <row r="407" spans="1:12" x14ac:dyDescent="0.25">
      <c r="A407" s="20">
        <v>399</v>
      </c>
      <c r="B407" s="21">
        <f t="shared" ca="1" si="68"/>
        <v>1.5495219248927823</v>
      </c>
      <c r="C407" s="21">
        <f t="shared" ca="1" si="73"/>
        <v>1233.9539051934892</v>
      </c>
      <c r="D407" s="21">
        <f t="shared" ca="1" si="69"/>
        <v>1.2846948010875918</v>
      </c>
      <c r="E407" s="21">
        <f t="shared" ca="1" si="76"/>
        <v>8.0103043000690377</v>
      </c>
      <c r="F407" s="20" t="str">
        <f t="shared" ca="1" si="74"/>
        <v>No</v>
      </c>
      <c r="G407" s="21">
        <f t="shared" ca="1" si="70"/>
        <v>0</v>
      </c>
      <c r="H407" s="21">
        <f t="shared" ca="1" si="71"/>
        <v>1241.9642094935582</v>
      </c>
      <c r="I407" s="21">
        <f t="shared" ca="1" si="66"/>
        <v>1243.2489042946459</v>
      </c>
      <c r="J407" s="20">
        <f t="shared" ca="1" si="75"/>
        <v>6</v>
      </c>
      <c r="K407" s="20">
        <f t="shared" ca="1" si="67"/>
        <v>5</v>
      </c>
      <c r="L407" s="44">
        <f t="shared" ca="1" si="72"/>
        <v>5.5</v>
      </c>
    </row>
    <row r="408" spans="1:12" x14ac:dyDescent="0.25">
      <c r="A408" s="20">
        <v>400</v>
      </c>
      <c r="B408" s="21">
        <f t="shared" ca="1" si="68"/>
        <v>0.79374121042238499</v>
      </c>
      <c r="C408" s="21">
        <f t="shared" ca="1" si="73"/>
        <v>1234.7476464039116</v>
      </c>
      <c r="D408" s="21">
        <f t="shared" ca="1" si="69"/>
        <v>4.1673735665990437</v>
      </c>
      <c r="E408" s="21">
        <f t="shared" ca="1" si="76"/>
        <v>8.5012578907342231</v>
      </c>
      <c r="F408" s="20" t="str">
        <f t="shared" ca="1" si="74"/>
        <v>No</v>
      </c>
      <c r="G408" s="21">
        <f t="shared" ca="1" si="70"/>
        <v>0</v>
      </c>
      <c r="H408" s="21">
        <f t="shared" ca="1" si="71"/>
        <v>1243.2489042946459</v>
      </c>
      <c r="I408" s="21">
        <f t="shared" ca="1" si="66"/>
        <v>1247.4162778612449</v>
      </c>
      <c r="J408" s="20">
        <f t="shared" ca="1" si="75"/>
        <v>6</v>
      </c>
      <c r="K408" s="20">
        <f t="shared" ca="1" si="67"/>
        <v>5</v>
      </c>
      <c r="L408" s="44">
        <f t="shared" ca="1" si="72"/>
        <v>5.5</v>
      </c>
    </row>
    <row r="409" spans="1:12" x14ac:dyDescent="0.25">
      <c r="A409" s="20">
        <v>401</v>
      </c>
      <c r="B409" s="21">
        <f t="shared" ca="1" si="68"/>
        <v>4.079311101630883</v>
      </c>
      <c r="C409" s="21">
        <f t="shared" ca="1" si="73"/>
        <v>1238.8269575055426</v>
      </c>
      <c r="D409" s="21">
        <f t="shared" ca="1" si="69"/>
        <v>1.0805569164189739</v>
      </c>
      <c r="E409" s="21">
        <f t="shared" ca="1" si="76"/>
        <v>8.5893203557022844</v>
      </c>
      <c r="F409" s="20" t="str">
        <f t="shared" ca="1" si="74"/>
        <v>No</v>
      </c>
      <c r="G409" s="21">
        <f t="shared" ca="1" si="70"/>
        <v>0</v>
      </c>
      <c r="H409" s="21">
        <f t="shared" ca="1" si="71"/>
        <v>1247.4162778612449</v>
      </c>
      <c r="I409" s="21">
        <f t="shared" ca="1" si="66"/>
        <v>1248.4968347776639</v>
      </c>
      <c r="J409" s="20">
        <f t="shared" ca="1" si="75"/>
        <v>6</v>
      </c>
      <c r="K409" s="20">
        <f t="shared" ca="1" si="67"/>
        <v>5</v>
      </c>
      <c r="L409" s="44">
        <f t="shared" ca="1" si="72"/>
        <v>5.5</v>
      </c>
    </row>
    <row r="410" spans="1:12" x14ac:dyDescent="0.25">
      <c r="A410" s="20">
        <v>402</v>
      </c>
      <c r="B410" s="21">
        <f t="shared" ca="1" si="68"/>
        <v>2.1684747093204884</v>
      </c>
      <c r="C410" s="21">
        <f t="shared" ca="1" si="73"/>
        <v>1240.9954322148631</v>
      </c>
      <c r="D410" s="21">
        <f t="shared" ca="1" si="69"/>
        <v>1.834521722769993</v>
      </c>
      <c r="E410" s="21">
        <f t="shared" ca="1" si="76"/>
        <v>7.5014025628008767</v>
      </c>
      <c r="F410" s="20" t="str">
        <f t="shared" ca="1" si="74"/>
        <v>No</v>
      </c>
      <c r="G410" s="21">
        <f t="shared" ca="1" si="70"/>
        <v>0</v>
      </c>
      <c r="H410" s="21">
        <f t="shared" ca="1" si="71"/>
        <v>1248.4968347776639</v>
      </c>
      <c r="I410" s="21">
        <f t="shared" ca="1" si="66"/>
        <v>1250.3313565004339</v>
      </c>
      <c r="J410" s="20">
        <f t="shared" ca="1" si="75"/>
        <v>6</v>
      </c>
      <c r="K410" s="20">
        <f t="shared" ca="1" si="67"/>
        <v>5</v>
      </c>
      <c r="L410" s="44">
        <f t="shared" ca="1" si="72"/>
        <v>5.5</v>
      </c>
    </row>
    <row r="411" spans="1:12" x14ac:dyDescent="0.25">
      <c r="A411" s="20">
        <v>403</v>
      </c>
      <c r="B411" s="21">
        <f t="shared" ca="1" si="68"/>
        <v>9.2437701954634993E-2</v>
      </c>
      <c r="C411" s="21">
        <f t="shared" ca="1" si="73"/>
        <v>1241.0878699168177</v>
      </c>
      <c r="D411" s="21">
        <f t="shared" ca="1" si="69"/>
        <v>0.28235374561170296</v>
      </c>
      <c r="E411" s="21">
        <f t="shared" ca="1" si="76"/>
        <v>9.2434865836162317</v>
      </c>
      <c r="F411" s="20" t="str">
        <f t="shared" ca="1" si="74"/>
        <v>No</v>
      </c>
      <c r="G411" s="21">
        <f t="shared" ca="1" si="70"/>
        <v>0</v>
      </c>
      <c r="H411" s="21">
        <f t="shared" ca="1" si="71"/>
        <v>1250.3313565004339</v>
      </c>
      <c r="I411" s="21">
        <f t="shared" ca="1" si="66"/>
        <v>1250.6137102460457</v>
      </c>
      <c r="J411" s="20">
        <f t="shared" ca="1" si="75"/>
        <v>6</v>
      </c>
      <c r="K411" s="20">
        <f t="shared" ca="1" si="67"/>
        <v>5</v>
      </c>
      <c r="L411" s="44">
        <f t="shared" ca="1" si="72"/>
        <v>5.5</v>
      </c>
    </row>
    <row r="412" spans="1:12" x14ac:dyDescent="0.25">
      <c r="A412" s="20">
        <v>404</v>
      </c>
      <c r="B412" s="21">
        <f t="shared" ca="1" si="68"/>
        <v>2.0940510535164942</v>
      </c>
      <c r="C412" s="21">
        <f t="shared" ca="1" si="73"/>
        <v>1243.1819209703342</v>
      </c>
      <c r="D412" s="21">
        <f t="shared" ca="1" si="69"/>
        <v>1.8763676889143825</v>
      </c>
      <c r="E412" s="21">
        <f t="shared" ca="1" si="76"/>
        <v>7.4317892757114805</v>
      </c>
      <c r="F412" s="20" t="str">
        <f t="shared" ca="1" si="74"/>
        <v>No</v>
      </c>
      <c r="G412" s="21">
        <f t="shared" ca="1" si="70"/>
        <v>0</v>
      </c>
      <c r="H412" s="21">
        <f t="shared" ca="1" si="71"/>
        <v>1250.6137102460457</v>
      </c>
      <c r="I412" s="21">
        <f t="shared" ca="1" si="66"/>
        <v>1252.49007793496</v>
      </c>
      <c r="J412" s="20">
        <f t="shared" ca="1" si="75"/>
        <v>6</v>
      </c>
      <c r="K412" s="20">
        <f t="shared" ca="1" si="67"/>
        <v>4</v>
      </c>
      <c r="L412" s="44">
        <f t="shared" ca="1" si="72"/>
        <v>5</v>
      </c>
    </row>
    <row r="413" spans="1:12" x14ac:dyDescent="0.25">
      <c r="A413" s="20">
        <v>405</v>
      </c>
      <c r="B413" s="21">
        <f t="shared" ca="1" si="68"/>
        <v>3.5926156202974608</v>
      </c>
      <c r="C413" s="21">
        <f t="shared" ca="1" si="73"/>
        <v>1246.7745365906317</v>
      </c>
      <c r="D413" s="21">
        <f t="shared" ca="1" si="69"/>
        <v>5.198363125307794</v>
      </c>
      <c r="E413" s="21">
        <f t="shared" ca="1" si="76"/>
        <v>5.7155413443283578</v>
      </c>
      <c r="F413" s="20" t="str">
        <f t="shared" ca="1" si="74"/>
        <v>No</v>
      </c>
      <c r="G413" s="21">
        <f t="shared" ca="1" si="70"/>
        <v>0</v>
      </c>
      <c r="H413" s="21">
        <f t="shared" ca="1" si="71"/>
        <v>1252.49007793496</v>
      </c>
      <c r="I413" s="21">
        <f t="shared" ca="1" si="66"/>
        <v>1257.6884410602679</v>
      </c>
      <c r="J413" s="20">
        <f t="shared" ca="1" si="75"/>
        <v>5</v>
      </c>
      <c r="K413" s="20">
        <f t="shared" ca="1" si="67"/>
        <v>3</v>
      </c>
      <c r="L413" s="44">
        <f t="shared" ca="1" si="72"/>
        <v>4</v>
      </c>
    </row>
    <row r="414" spans="1:12" x14ac:dyDescent="0.25">
      <c r="A414" s="20">
        <v>406</v>
      </c>
      <c r="B414" s="21">
        <f t="shared" ca="1" si="68"/>
        <v>1.2872984939546017</v>
      </c>
      <c r="C414" s="21">
        <f t="shared" ca="1" si="73"/>
        <v>1248.0618350845862</v>
      </c>
      <c r="D414" s="21">
        <f t="shared" ca="1" si="69"/>
        <v>3.3964186215511614</v>
      </c>
      <c r="E414" s="21">
        <f t="shared" ca="1" si="76"/>
        <v>9.6266059756817413</v>
      </c>
      <c r="F414" s="20" t="str">
        <f t="shared" ca="1" si="74"/>
        <v>No</v>
      </c>
      <c r="G414" s="21">
        <f t="shared" ca="1" si="70"/>
        <v>0</v>
      </c>
      <c r="H414" s="21">
        <f t="shared" ca="1" si="71"/>
        <v>1257.6884410602679</v>
      </c>
      <c r="I414" s="21">
        <f t="shared" ca="1" si="66"/>
        <v>1261.0848596818191</v>
      </c>
      <c r="J414" s="20">
        <f t="shared" ca="1" si="75"/>
        <v>4</v>
      </c>
      <c r="K414" s="20">
        <f t="shared" ca="1" si="67"/>
        <v>3</v>
      </c>
      <c r="L414" s="44">
        <f t="shared" ca="1" si="72"/>
        <v>3.5</v>
      </c>
    </row>
    <row r="415" spans="1:12" x14ac:dyDescent="0.25">
      <c r="A415" s="20">
        <v>407</v>
      </c>
      <c r="B415" s="21">
        <f t="shared" ca="1" si="68"/>
        <v>0.15180674769257699</v>
      </c>
      <c r="C415" s="21">
        <f t="shared" ca="1" si="73"/>
        <v>1248.2136418322787</v>
      </c>
      <c r="D415" s="21">
        <f t="shared" ca="1" si="69"/>
        <v>2.9503061826562131</v>
      </c>
      <c r="E415" s="21">
        <f t="shared" ca="1" si="76"/>
        <v>12.871217849540471</v>
      </c>
      <c r="F415" s="20" t="str">
        <f t="shared" ca="1" si="74"/>
        <v>No</v>
      </c>
      <c r="G415" s="21">
        <f t="shared" ca="1" si="70"/>
        <v>0</v>
      </c>
      <c r="H415" s="21">
        <f t="shared" ca="1" si="71"/>
        <v>1261.0848596818191</v>
      </c>
      <c r="I415" s="21">
        <f t="shared" ca="1" si="66"/>
        <v>1264.0351658644754</v>
      </c>
      <c r="J415" s="20">
        <f t="shared" ca="1" si="75"/>
        <v>4</v>
      </c>
      <c r="K415" s="20">
        <f t="shared" ca="1" si="67"/>
        <v>3</v>
      </c>
      <c r="L415" s="44">
        <f t="shared" ca="1" si="72"/>
        <v>3.5</v>
      </c>
    </row>
    <row r="416" spans="1:12" x14ac:dyDescent="0.25">
      <c r="A416" s="20">
        <v>408</v>
      </c>
      <c r="B416" s="21">
        <f t="shared" ca="1" si="68"/>
        <v>1.0969105490209317</v>
      </c>
      <c r="C416" s="21">
        <f t="shared" ca="1" si="73"/>
        <v>1249.3105523812997</v>
      </c>
      <c r="D416" s="21">
        <f t="shared" ca="1" si="69"/>
        <v>2.3921344212915026</v>
      </c>
      <c r="E416" s="21">
        <f t="shared" ca="1" si="76"/>
        <v>14.724613483175744</v>
      </c>
      <c r="F416" s="20" t="str">
        <f t="shared" ca="1" si="74"/>
        <v>No</v>
      </c>
      <c r="G416" s="21">
        <f t="shared" ca="1" si="70"/>
        <v>0</v>
      </c>
      <c r="H416" s="21">
        <f t="shared" ca="1" si="71"/>
        <v>1264.0351658644754</v>
      </c>
      <c r="I416" s="21">
        <f t="shared" ca="1" si="66"/>
        <v>1266.4273002857669</v>
      </c>
      <c r="J416" s="20">
        <f t="shared" ca="1" si="75"/>
        <v>4</v>
      </c>
      <c r="K416" s="20">
        <f t="shared" ca="1" si="67"/>
        <v>4</v>
      </c>
      <c r="L416" s="44">
        <f t="shared" ca="1" si="72"/>
        <v>4</v>
      </c>
    </row>
    <row r="417" spans="1:12" x14ac:dyDescent="0.25">
      <c r="A417" s="20">
        <v>409</v>
      </c>
      <c r="B417" s="21">
        <f t="shared" ca="1" si="68"/>
        <v>9.6258126117522149</v>
      </c>
      <c r="C417" s="21">
        <f t="shared" ca="1" si="73"/>
        <v>1258.9363649930519</v>
      </c>
      <c r="D417" s="21">
        <f t="shared" ca="1" si="69"/>
        <v>1.6093518166298525E-2</v>
      </c>
      <c r="E417" s="21">
        <f t="shared" ca="1" si="76"/>
        <v>7.4909352927149939</v>
      </c>
      <c r="F417" s="20" t="str">
        <f t="shared" ca="1" si="74"/>
        <v>No</v>
      </c>
      <c r="G417" s="21">
        <f t="shared" ca="1" si="70"/>
        <v>0</v>
      </c>
      <c r="H417" s="21">
        <f t="shared" ca="1" si="71"/>
        <v>1266.4273002857669</v>
      </c>
      <c r="I417" s="21">
        <f t="shared" ca="1" si="66"/>
        <v>1266.4433938039333</v>
      </c>
      <c r="J417" s="20">
        <f t="shared" ca="1" si="75"/>
        <v>5</v>
      </c>
      <c r="K417" s="20">
        <f t="shared" ca="1" si="67"/>
        <v>3</v>
      </c>
      <c r="L417" s="44">
        <f t="shared" ca="1" si="72"/>
        <v>4</v>
      </c>
    </row>
    <row r="418" spans="1:12" x14ac:dyDescent="0.25">
      <c r="A418" s="20">
        <v>410</v>
      </c>
      <c r="B418" s="21">
        <f t="shared" ca="1" si="68"/>
        <v>3.2508027901933461</v>
      </c>
      <c r="C418" s="21">
        <f t="shared" ca="1" si="73"/>
        <v>1262.1871677832453</v>
      </c>
      <c r="D418" s="21">
        <f t="shared" ca="1" si="69"/>
        <v>1.5739762262282297</v>
      </c>
      <c r="E418" s="21">
        <f t="shared" ca="1" si="76"/>
        <v>4.2562260206880183</v>
      </c>
      <c r="F418" s="20" t="str">
        <f t="shared" ca="1" si="74"/>
        <v>No</v>
      </c>
      <c r="G418" s="21">
        <f t="shared" ca="1" si="70"/>
        <v>0</v>
      </c>
      <c r="H418" s="21">
        <f t="shared" ca="1" si="71"/>
        <v>1266.4433938039333</v>
      </c>
      <c r="I418" s="21">
        <f t="shared" ca="1" si="66"/>
        <v>1268.0173700301616</v>
      </c>
      <c r="J418" s="20">
        <f t="shared" ca="1" si="75"/>
        <v>4</v>
      </c>
      <c r="K418" s="20">
        <f t="shared" ca="1" si="67"/>
        <v>2</v>
      </c>
      <c r="L418" s="44">
        <f t="shared" ca="1" si="72"/>
        <v>3</v>
      </c>
    </row>
    <row r="419" spans="1:12" x14ac:dyDescent="0.25">
      <c r="A419" s="20">
        <v>411</v>
      </c>
      <c r="B419" s="21">
        <f t="shared" ca="1" si="68"/>
        <v>3.3030047572272481</v>
      </c>
      <c r="C419" s="21">
        <f t="shared" ca="1" si="73"/>
        <v>1265.4901725404725</v>
      </c>
      <c r="D419" s="21">
        <f t="shared" ca="1" si="69"/>
        <v>2.8249084138510754</v>
      </c>
      <c r="E419" s="21">
        <f t="shared" ca="1" si="76"/>
        <v>2.5271974896891152</v>
      </c>
      <c r="F419" s="20" t="str">
        <f t="shared" ca="1" si="74"/>
        <v>No</v>
      </c>
      <c r="G419" s="21">
        <f t="shared" ca="1" si="70"/>
        <v>0</v>
      </c>
      <c r="H419" s="21">
        <f t="shared" ca="1" si="71"/>
        <v>1268.0173700301616</v>
      </c>
      <c r="I419" s="21">
        <f t="shared" ca="1" si="66"/>
        <v>1270.8422784440127</v>
      </c>
      <c r="J419" s="20">
        <f t="shared" ca="1" si="75"/>
        <v>3</v>
      </c>
      <c r="K419" s="20">
        <f t="shared" ca="1" si="67"/>
        <v>1</v>
      </c>
      <c r="L419" s="44">
        <f t="shared" ca="1" si="72"/>
        <v>2</v>
      </c>
    </row>
    <row r="420" spans="1:12" x14ac:dyDescent="0.25">
      <c r="A420" s="20">
        <v>412</v>
      </c>
      <c r="B420" s="21">
        <f t="shared" ca="1" si="68"/>
        <v>0.52936099759958222</v>
      </c>
      <c r="C420" s="21">
        <f t="shared" ca="1" si="73"/>
        <v>1266.019533538072</v>
      </c>
      <c r="D420" s="21">
        <f t="shared" ca="1" si="69"/>
        <v>2.5632360600024726</v>
      </c>
      <c r="E420" s="21">
        <f t="shared" ca="1" si="76"/>
        <v>4.8227449059406808</v>
      </c>
      <c r="F420" s="20" t="str">
        <f t="shared" ca="1" si="74"/>
        <v>No</v>
      </c>
      <c r="G420" s="21">
        <f t="shared" ca="1" si="70"/>
        <v>0</v>
      </c>
      <c r="H420" s="21">
        <f t="shared" ca="1" si="71"/>
        <v>1270.8422784440127</v>
      </c>
      <c r="I420" s="21">
        <f t="shared" ca="1" si="66"/>
        <v>1273.4055145040152</v>
      </c>
      <c r="J420" s="20">
        <f t="shared" ca="1" si="75"/>
        <v>2</v>
      </c>
      <c r="K420" s="20">
        <f t="shared" ca="1" si="67"/>
        <v>0</v>
      </c>
      <c r="L420" s="44">
        <f t="shared" ca="1" si="72"/>
        <v>1</v>
      </c>
    </row>
    <row r="421" spans="1:12" x14ac:dyDescent="0.25">
      <c r="A421" s="20">
        <v>413</v>
      </c>
      <c r="B421" s="21">
        <f t="shared" ca="1" si="68"/>
        <v>8.6699421055996293</v>
      </c>
      <c r="C421" s="21">
        <f t="shared" ca="1" si="73"/>
        <v>1274.6894756436716</v>
      </c>
      <c r="D421" s="21">
        <f t="shared" ca="1" si="69"/>
        <v>1.4800281290547468</v>
      </c>
      <c r="E421" s="21">
        <f t="shared" ca="1" si="76"/>
        <v>0</v>
      </c>
      <c r="F421" s="20" t="str">
        <f t="shared" ca="1" si="74"/>
        <v>Yes</v>
      </c>
      <c r="G421" s="21">
        <f t="shared" ca="1" si="70"/>
        <v>1.2839611396564123</v>
      </c>
      <c r="H421" s="21">
        <f t="shared" ca="1" si="71"/>
        <v>1274.6894756436716</v>
      </c>
      <c r="I421" s="21">
        <f t="shared" ca="1" si="66"/>
        <v>1276.1695037727263</v>
      </c>
      <c r="J421" s="20">
        <f t="shared" ca="1" si="75"/>
        <v>0</v>
      </c>
      <c r="K421" s="20">
        <f t="shared" ca="1" si="67"/>
        <v>1</v>
      </c>
      <c r="L421" s="44">
        <f t="shared" ca="1" si="72"/>
        <v>0.5</v>
      </c>
    </row>
    <row r="422" spans="1:12" x14ac:dyDescent="0.25">
      <c r="A422" s="20">
        <v>414</v>
      </c>
      <c r="B422" s="21">
        <f t="shared" ca="1" si="68"/>
        <v>0.83973002220980653</v>
      </c>
      <c r="C422" s="21">
        <f t="shared" ca="1" si="73"/>
        <v>1275.5292056658814</v>
      </c>
      <c r="D422" s="21">
        <f t="shared" ca="1" si="69"/>
        <v>3.5278976353076423</v>
      </c>
      <c r="E422" s="21">
        <f t="shared" ca="1" si="76"/>
        <v>0.64029810684496624</v>
      </c>
      <c r="F422" s="20" t="str">
        <f t="shared" ca="1" si="74"/>
        <v>No</v>
      </c>
      <c r="G422" s="21">
        <f t="shared" ca="1" si="70"/>
        <v>0</v>
      </c>
      <c r="H422" s="21">
        <f t="shared" ca="1" si="71"/>
        <v>1276.1695037727263</v>
      </c>
      <c r="I422" s="21">
        <f t="shared" ca="1" si="66"/>
        <v>1279.697401408034</v>
      </c>
      <c r="J422" s="20">
        <f t="shared" ca="1" si="75"/>
        <v>2</v>
      </c>
      <c r="K422" s="20">
        <f t="shared" ca="1" si="67"/>
        <v>1</v>
      </c>
      <c r="L422" s="44">
        <f t="shared" ca="1" si="72"/>
        <v>1.5</v>
      </c>
    </row>
    <row r="423" spans="1:12" x14ac:dyDescent="0.25">
      <c r="A423" s="20">
        <v>415</v>
      </c>
      <c r="B423" s="21">
        <f t="shared" ca="1" si="68"/>
        <v>3.4404657150336058</v>
      </c>
      <c r="C423" s="21">
        <f t="shared" ca="1" si="73"/>
        <v>1278.9696713809149</v>
      </c>
      <c r="D423" s="21">
        <f t="shared" ca="1" si="69"/>
        <v>4.0261768060509855</v>
      </c>
      <c r="E423" s="21">
        <f t="shared" ca="1" si="76"/>
        <v>0.72773002711915069</v>
      </c>
      <c r="F423" s="20" t="str">
        <f t="shared" ca="1" si="74"/>
        <v>No</v>
      </c>
      <c r="G423" s="21">
        <f t="shared" ca="1" si="70"/>
        <v>0</v>
      </c>
      <c r="H423" s="21">
        <f t="shared" ca="1" si="71"/>
        <v>1279.697401408034</v>
      </c>
      <c r="I423" s="21">
        <f t="shared" ca="1" si="66"/>
        <v>1283.7235782140849</v>
      </c>
      <c r="J423" s="20">
        <f t="shared" ca="1" si="75"/>
        <v>2</v>
      </c>
      <c r="K423" s="20">
        <f t="shared" ca="1" si="67"/>
        <v>0</v>
      </c>
      <c r="L423" s="44">
        <f t="shared" ca="1" si="72"/>
        <v>1</v>
      </c>
    </row>
    <row r="424" spans="1:12" x14ac:dyDescent="0.25">
      <c r="A424" s="20">
        <v>416</v>
      </c>
      <c r="B424" s="21">
        <f t="shared" ca="1" si="68"/>
        <v>7.372821724398408</v>
      </c>
      <c r="C424" s="21">
        <f t="shared" ca="1" si="73"/>
        <v>1286.3424931053132</v>
      </c>
      <c r="D424" s="21">
        <f t="shared" ca="1" si="69"/>
        <v>10.988797777850538</v>
      </c>
      <c r="E424" s="21">
        <f t="shared" ca="1" si="76"/>
        <v>0</v>
      </c>
      <c r="F424" s="20" t="str">
        <f t="shared" ca="1" si="74"/>
        <v>Yes</v>
      </c>
      <c r="G424" s="21">
        <f t="shared" ca="1" si="70"/>
        <v>2.6189148912283144</v>
      </c>
      <c r="H424" s="21">
        <f t="shared" ca="1" si="71"/>
        <v>1286.3424931053132</v>
      </c>
      <c r="I424" s="21">
        <f t="shared" ca="1" si="66"/>
        <v>1297.3312908831638</v>
      </c>
      <c r="J424" s="20">
        <f t="shared" ca="1" si="75"/>
        <v>0</v>
      </c>
      <c r="K424" s="20">
        <f t="shared" ca="1" si="67"/>
        <v>4</v>
      </c>
      <c r="L424" s="44">
        <f t="shared" ca="1" si="72"/>
        <v>2</v>
      </c>
    </row>
    <row r="425" spans="1:12" x14ac:dyDescent="0.25">
      <c r="A425" s="20">
        <v>417</v>
      </c>
      <c r="B425" s="21">
        <f t="shared" ca="1" si="68"/>
        <v>0.6577622993084522</v>
      </c>
      <c r="C425" s="21">
        <f t="shared" ca="1" si="73"/>
        <v>1287.0002554046216</v>
      </c>
      <c r="D425" s="21">
        <f t="shared" ca="1" si="69"/>
        <v>5.3179381705131194E-2</v>
      </c>
      <c r="E425" s="21">
        <f t="shared" ca="1" si="76"/>
        <v>10.331035478542162</v>
      </c>
      <c r="F425" s="20" t="str">
        <f t="shared" ca="1" si="74"/>
        <v>No</v>
      </c>
      <c r="G425" s="21">
        <f t="shared" ca="1" si="70"/>
        <v>0</v>
      </c>
      <c r="H425" s="21">
        <f t="shared" ca="1" si="71"/>
        <v>1297.3312908831638</v>
      </c>
      <c r="I425" s="21">
        <f t="shared" ca="1" si="66"/>
        <v>1297.3844702648689</v>
      </c>
      <c r="J425" s="20">
        <f t="shared" ca="1" si="75"/>
        <v>5</v>
      </c>
      <c r="K425" s="20">
        <f t="shared" ca="1" si="67"/>
        <v>3</v>
      </c>
      <c r="L425" s="44">
        <f t="shared" ca="1" si="72"/>
        <v>4</v>
      </c>
    </row>
    <row r="426" spans="1:12" x14ac:dyDescent="0.25">
      <c r="A426" s="20">
        <v>418</v>
      </c>
      <c r="B426" s="21">
        <f t="shared" ca="1" si="68"/>
        <v>0.10250377531216726</v>
      </c>
      <c r="C426" s="21">
        <f t="shared" ca="1" si="73"/>
        <v>1287.1027591799339</v>
      </c>
      <c r="D426" s="21">
        <f t="shared" ca="1" si="69"/>
        <v>2.0884106538353708</v>
      </c>
      <c r="E426" s="21">
        <f t="shared" ca="1" si="76"/>
        <v>10.281711084935068</v>
      </c>
      <c r="F426" s="20" t="str">
        <f t="shared" ca="1" si="74"/>
        <v>No</v>
      </c>
      <c r="G426" s="21">
        <f t="shared" ca="1" si="70"/>
        <v>0</v>
      </c>
      <c r="H426" s="21">
        <f t="shared" ca="1" si="71"/>
        <v>1297.3844702648689</v>
      </c>
      <c r="I426" s="21">
        <f t="shared" ca="1" si="66"/>
        <v>1299.4728809187043</v>
      </c>
      <c r="J426" s="20">
        <f t="shared" ca="1" si="75"/>
        <v>4</v>
      </c>
      <c r="K426" s="20">
        <f t="shared" ca="1" si="67"/>
        <v>2</v>
      </c>
      <c r="L426" s="44">
        <f t="shared" ca="1" si="72"/>
        <v>3</v>
      </c>
    </row>
    <row r="427" spans="1:12" x14ac:dyDescent="0.25">
      <c r="A427" s="20">
        <v>419</v>
      </c>
      <c r="B427" s="21">
        <f t="shared" ca="1" si="68"/>
        <v>3.3387165827593659</v>
      </c>
      <c r="C427" s="21">
        <f t="shared" ca="1" si="73"/>
        <v>1290.4414757626932</v>
      </c>
      <c r="D427" s="21">
        <f t="shared" ca="1" si="69"/>
        <v>3.7481362077312297</v>
      </c>
      <c r="E427" s="21">
        <f t="shared" ca="1" si="76"/>
        <v>9.0314051560110329</v>
      </c>
      <c r="F427" s="20" t="str">
        <f t="shared" ca="1" si="74"/>
        <v>No</v>
      </c>
      <c r="G427" s="21">
        <f t="shared" ca="1" si="70"/>
        <v>0</v>
      </c>
      <c r="H427" s="21">
        <f t="shared" ca="1" si="71"/>
        <v>1299.4728809187043</v>
      </c>
      <c r="I427" s="21">
        <f t="shared" ca="1" si="66"/>
        <v>1303.2210171264355</v>
      </c>
      <c r="J427" s="20">
        <f t="shared" ca="1" si="75"/>
        <v>3</v>
      </c>
      <c r="K427" s="20">
        <f t="shared" ca="1" si="67"/>
        <v>1</v>
      </c>
      <c r="L427" s="44">
        <f t="shared" ca="1" si="72"/>
        <v>2</v>
      </c>
    </row>
    <row r="428" spans="1:12" x14ac:dyDescent="0.25">
      <c r="A428" s="20">
        <v>420</v>
      </c>
      <c r="B428" s="21">
        <f t="shared" ca="1" si="68"/>
        <v>2.5346075509872414</v>
      </c>
      <c r="C428" s="21">
        <f t="shared" ca="1" si="73"/>
        <v>1292.9760833136804</v>
      </c>
      <c r="D428" s="21">
        <f t="shared" ca="1" si="69"/>
        <v>0.67697308865238692</v>
      </c>
      <c r="E428" s="21">
        <f t="shared" ca="1" si="76"/>
        <v>10.244933812755107</v>
      </c>
      <c r="F428" s="20" t="str">
        <f t="shared" ca="1" si="74"/>
        <v>No</v>
      </c>
      <c r="G428" s="21">
        <f t="shared" ca="1" si="70"/>
        <v>0</v>
      </c>
      <c r="H428" s="21">
        <f t="shared" ca="1" si="71"/>
        <v>1303.2210171264355</v>
      </c>
      <c r="I428" s="21">
        <f t="shared" ca="1" si="66"/>
        <v>1303.8979902150879</v>
      </c>
      <c r="J428" s="20">
        <f t="shared" ca="1" si="75"/>
        <v>2</v>
      </c>
      <c r="K428" s="20">
        <f t="shared" ca="1" si="67"/>
        <v>0</v>
      </c>
      <c r="L428" s="44">
        <f t="shared" ca="1" si="72"/>
        <v>1</v>
      </c>
    </row>
    <row r="429" spans="1:12" x14ac:dyDescent="0.25">
      <c r="A429" s="20">
        <v>421</v>
      </c>
      <c r="B429" s="21">
        <f t="shared" ca="1" si="68"/>
        <v>26.205152209568656</v>
      </c>
      <c r="C429" s="21">
        <f t="shared" ca="1" si="73"/>
        <v>1319.1812355232491</v>
      </c>
      <c r="D429" s="21">
        <f t="shared" ca="1" si="69"/>
        <v>1.7479285360466734</v>
      </c>
      <c r="E429" s="21">
        <f t="shared" ca="1" si="76"/>
        <v>0</v>
      </c>
      <c r="F429" s="20" t="str">
        <f t="shared" ca="1" si="74"/>
        <v>Yes</v>
      </c>
      <c r="G429" s="21">
        <f t="shared" ca="1" si="70"/>
        <v>15.283245308161213</v>
      </c>
      <c r="H429" s="21">
        <f t="shared" ca="1" si="71"/>
        <v>1319.1812355232491</v>
      </c>
      <c r="I429" s="21">
        <f t="shared" ca="1" si="66"/>
        <v>1320.9291640592958</v>
      </c>
      <c r="J429" s="20">
        <f t="shared" ca="1" si="75"/>
        <v>0</v>
      </c>
      <c r="K429" s="20">
        <f t="shared" ca="1" si="67"/>
        <v>1</v>
      </c>
      <c r="L429" s="44">
        <f t="shared" ca="1" si="72"/>
        <v>0.5</v>
      </c>
    </row>
    <row r="430" spans="1:12" x14ac:dyDescent="0.25">
      <c r="A430" s="20">
        <v>422</v>
      </c>
      <c r="B430" s="21">
        <f t="shared" ca="1" si="68"/>
        <v>0.30231553144367884</v>
      </c>
      <c r="C430" s="21">
        <f t="shared" ca="1" si="73"/>
        <v>1319.4835510546927</v>
      </c>
      <c r="D430" s="21">
        <f t="shared" ca="1" si="69"/>
        <v>4.6498037319148455</v>
      </c>
      <c r="E430" s="21">
        <f t="shared" ca="1" si="76"/>
        <v>1.4456130046030466</v>
      </c>
      <c r="F430" s="20" t="str">
        <f t="shared" ca="1" si="74"/>
        <v>No</v>
      </c>
      <c r="G430" s="21">
        <f t="shared" ca="1" si="70"/>
        <v>0</v>
      </c>
      <c r="H430" s="21">
        <f t="shared" ca="1" si="71"/>
        <v>1320.9291640592958</v>
      </c>
      <c r="I430" s="21">
        <f t="shared" ca="1" si="66"/>
        <v>1325.5789677912105</v>
      </c>
      <c r="J430" s="20">
        <f t="shared" ca="1" si="75"/>
        <v>2</v>
      </c>
      <c r="K430" s="20">
        <f t="shared" ca="1" si="67"/>
        <v>2</v>
      </c>
      <c r="L430" s="44">
        <f t="shared" ca="1" si="72"/>
        <v>2</v>
      </c>
    </row>
    <row r="431" spans="1:12" x14ac:dyDescent="0.25">
      <c r="A431" s="20">
        <v>423</v>
      </c>
      <c r="B431" s="21">
        <f t="shared" ca="1" si="68"/>
        <v>1.9642225422322797</v>
      </c>
      <c r="C431" s="21">
        <f t="shared" ca="1" si="73"/>
        <v>1321.4477735969251</v>
      </c>
      <c r="D431" s="21">
        <f t="shared" ca="1" si="69"/>
        <v>0.69626439598825118</v>
      </c>
      <c r="E431" s="21">
        <f t="shared" ca="1" si="76"/>
        <v>4.1311941942853991</v>
      </c>
      <c r="F431" s="20" t="str">
        <f t="shared" ca="1" si="74"/>
        <v>No</v>
      </c>
      <c r="G431" s="21">
        <f t="shared" ca="1" si="70"/>
        <v>0</v>
      </c>
      <c r="H431" s="21">
        <f t="shared" ca="1" si="71"/>
        <v>1325.5789677912105</v>
      </c>
      <c r="I431" s="21">
        <f t="shared" ca="1" si="66"/>
        <v>1326.2752321871988</v>
      </c>
      <c r="J431" s="20">
        <f t="shared" ca="1" si="75"/>
        <v>3</v>
      </c>
      <c r="K431" s="20">
        <f t="shared" ca="1" si="67"/>
        <v>1</v>
      </c>
      <c r="L431" s="44">
        <f t="shared" ca="1" si="72"/>
        <v>2</v>
      </c>
    </row>
    <row r="432" spans="1:12" x14ac:dyDescent="0.25">
      <c r="A432" s="20">
        <v>424</v>
      </c>
      <c r="B432" s="21">
        <f t="shared" ca="1" si="68"/>
        <v>1.8474136185147547</v>
      </c>
      <c r="C432" s="21">
        <f t="shared" ca="1" si="73"/>
        <v>1323.2951872154399</v>
      </c>
      <c r="D432" s="21">
        <f t="shared" ca="1" si="69"/>
        <v>8.3978069058508034</v>
      </c>
      <c r="E432" s="21">
        <f t="shared" ca="1" si="76"/>
        <v>2.9800449717588435</v>
      </c>
      <c r="F432" s="20" t="str">
        <f t="shared" ca="1" si="74"/>
        <v>No</v>
      </c>
      <c r="G432" s="21">
        <f t="shared" ca="1" si="70"/>
        <v>0</v>
      </c>
      <c r="H432" s="21">
        <f t="shared" ca="1" si="71"/>
        <v>1326.2752321871988</v>
      </c>
      <c r="I432" s="21">
        <f t="shared" ca="1" si="66"/>
        <v>1334.6730390930495</v>
      </c>
      <c r="J432" s="20">
        <f t="shared" ca="1" si="75"/>
        <v>2</v>
      </c>
      <c r="K432" s="20">
        <f t="shared" ca="1" si="67"/>
        <v>2</v>
      </c>
      <c r="L432" s="44">
        <f t="shared" ca="1" si="72"/>
        <v>2</v>
      </c>
    </row>
    <row r="433" spans="1:12" x14ac:dyDescent="0.25">
      <c r="A433" s="20">
        <v>425</v>
      </c>
      <c r="B433" s="21">
        <f t="shared" ca="1" si="68"/>
        <v>5.7670236747990096</v>
      </c>
      <c r="C433" s="21">
        <f t="shared" ca="1" si="73"/>
        <v>1329.0622108902389</v>
      </c>
      <c r="D433" s="21">
        <f t="shared" ca="1" si="69"/>
        <v>3.5684212257469952</v>
      </c>
      <c r="E433" s="21">
        <f t="shared" ca="1" si="76"/>
        <v>5.6108282028105805</v>
      </c>
      <c r="F433" s="20" t="str">
        <f t="shared" ca="1" si="74"/>
        <v>No</v>
      </c>
      <c r="G433" s="21">
        <f t="shared" ca="1" si="70"/>
        <v>0</v>
      </c>
      <c r="H433" s="21">
        <f t="shared" ca="1" si="71"/>
        <v>1334.6730390930495</v>
      </c>
      <c r="I433" s="21">
        <f t="shared" ca="1" si="66"/>
        <v>1338.2414603187965</v>
      </c>
      <c r="J433" s="20">
        <f t="shared" ca="1" si="75"/>
        <v>3</v>
      </c>
      <c r="K433" s="20">
        <f t="shared" ca="1" si="67"/>
        <v>4</v>
      </c>
      <c r="L433" s="44">
        <f t="shared" ca="1" si="72"/>
        <v>3.5</v>
      </c>
    </row>
    <row r="434" spans="1:12" x14ac:dyDescent="0.25">
      <c r="A434" s="20">
        <v>426</v>
      </c>
      <c r="B434" s="21">
        <f t="shared" ca="1" si="68"/>
        <v>0.10961860060147562</v>
      </c>
      <c r="C434" s="21">
        <f t="shared" ca="1" si="73"/>
        <v>1329.1718294908403</v>
      </c>
      <c r="D434" s="21">
        <f t="shared" ca="1" si="69"/>
        <v>4.964779574443452</v>
      </c>
      <c r="E434" s="21">
        <f t="shared" ca="1" si="76"/>
        <v>9.069630827956189</v>
      </c>
      <c r="F434" s="20" t="str">
        <f t="shared" ca="1" si="74"/>
        <v>No</v>
      </c>
      <c r="G434" s="21">
        <f t="shared" ca="1" si="70"/>
        <v>0</v>
      </c>
      <c r="H434" s="21">
        <f t="shared" ca="1" si="71"/>
        <v>1338.2414603187965</v>
      </c>
      <c r="I434" s="21">
        <f t="shared" ca="1" si="66"/>
        <v>1343.2062398932399</v>
      </c>
      <c r="J434" s="20">
        <f t="shared" ca="1" si="75"/>
        <v>5</v>
      </c>
      <c r="K434" s="20">
        <f t="shared" ca="1" si="67"/>
        <v>5</v>
      </c>
      <c r="L434" s="44">
        <f t="shared" ca="1" si="72"/>
        <v>5</v>
      </c>
    </row>
    <row r="435" spans="1:12" x14ac:dyDescent="0.25">
      <c r="A435" s="20">
        <v>427</v>
      </c>
      <c r="B435" s="21">
        <f t="shared" ca="1" si="68"/>
        <v>5.7879073625875481</v>
      </c>
      <c r="C435" s="21">
        <f t="shared" ca="1" si="73"/>
        <v>1334.9597368534278</v>
      </c>
      <c r="D435" s="21">
        <f t="shared" ca="1" si="69"/>
        <v>3.9548488302971982</v>
      </c>
      <c r="E435" s="21">
        <f t="shared" ca="1" si="76"/>
        <v>8.2465030398120689</v>
      </c>
      <c r="F435" s="20" t="str">
        <f t="shared" ca="1" si="74"/>
        <v>No</v>
      </c>
      <c r="G435" s="21">
        <f t="shared" ca="1" si="70"/>
        <v>0</v>
      </c>
      <c r="H435" s="21">
        <f t="shared" ca="1" si="71"/>
        <v>1343.2062398932399</v>
      </c>
      <c r="I435" s="21">
        <f t="shared" ca="1" si="66"/>
        <v>1347.161088723537</v>
      </c>
      <c r="J435" s="20">
        <f t="shared" ca="1" si="75"/>
        <v>6</v>
      </c>
      <c r="K435" s="20">
        <f t="shared" ca="1" si="67"/>
        <v>5</v>
      </c>
      <c r="L435" s="44">
        <f t="shared" ca="1" si="72"/>
        <v>5.5</v>
      </c>
    </row>
    <row r="436" spans="1:12" x14ac:dyDescent="0.25">
      <c r="A436" s="20">
        <v>428</v>
      </c>
      <c r="B436" s="21">
        <f t="shared" ca="1" si="68"/>
        <v>0.12606016427645539</v>
      </c>
      <c r="C436" s="21">
        <f t="shared" ca="1" si="73"/>
        <v>1335.0857970177042</v>
      </c>
      <c r="D436" s="21">
        <f t="shared" ca="1" si="69"/>
        <v>12.321676878759037</v>
      </c>
      <c r="E436" s="21">
        <f t="shared" ca="1" si="76"/>
        <v>12.075291705832797</v>
      </c>
      <c r="F436" s="20" t="str">
        <f t="shared" ca="1" si="74"/>
        <v>No</v>
      </c>
      <c r="G436" s="21">
        <f t="shared" ca="1" si="70"/>
        <v>0</v>
      </c>
      <c r="H436" s="21">
        <f t="shared" ca="1" si="71"/>
        <v>1347.161088723537</v>
      </c>
      <c r="I436" s="21">
        <f t="shared" ca="1" si="66"/>
        <v>1359.482765602296</v>
      </c>
      <c r="J436" s="20">
        <f t="shared" ca="1" si="75"/>
        <v>6</v>
      </c>
      <c r="K436" s="20">
        <f t="shared" ca="1" si="67"/>
        <v>5</v>
      </c>
      <c r="L436" s="44">
        <f t="shared" ca="1" si="72"/>
        <v>5.5</v>
      </c>
    </row>
    <row r="437" spans="1:12" x14ac:dyDescent="0.25">
      <c r="A437" s="20">
        <v>429</v>
      </c>
      <c r="B437" s="21">
        <f t="shared" ca="1" si="68"/>
        <v>1.9081446664065975</v>
      </c>
      <c r="C437" s="21">
        <f t="shared" ca="1" si="73"/>
        <v>1336.9939416841107</v>
      </c>
      <c r="D437" s="21">
        <f t="shared" ca="1" si="69"/>
        <v>2.8713905819187726</v>
      </c>
      <c r="E437" s="21">
        <f t="shared" ca="1" si="76"/>
        <v>22.48882391818529</v>
      </c>
      <c r="F437" s="20" t="str">
        <f t="shared" ca="1" si="74"/>
        <v>No</v>
      </c>
      <c r="G437" s="21">
        <f t="shared" ca="1" si="70"/>
        <v>0</v>
      </c>
      <c r="H437" s="21">
        <f t="shared" ca="1" si="71"/>
        <v>1359.482765602296</v>
      </c>
      <c r="I437" s="21">
        <f t="shared" ca="1" si="66"/>
        <v>1362.3541561842148</v>
      </c>
      <c r="J437" s="20">
        <f t="shared" ca="1" si="75"/>
        <v>6</v>
      </c>
      <c r="K437" s="20">
        <f t="shared" ca="1" si="67"/>
        <v>5</v>
      </c>
      <c r="L437" s="44">
        <f t="shared" ca="1" si="72"/>
        <v>5.5</v>
      </c>
    </row>
    <row r="438" spans="1:12" x14ac:dyDescent="0.25">
      <c r="A438" s="20">
        <v>430</v>
      </c>
      <c r="B438" s="21">
        <f t="shared" ca="1" si="68"/>
        <v>2.4610177496373007</v>
      </c>
      <c r="C438" s="21">
        <f t="shared" ca="1" si="73"/>
        <v>1339.4549594337479</v>
      </c>
      <c r="D438" s="21">
        <f t="shared" ca="1" si="69"/>
        <v>0.1075834932722629</v>
      </c>
      <c r="E438" s="21">
        <f t="shared" ca="1" si="76"/>
        <v>22.899196750466899</v>
      </c>
      <c r="F438" s="20" t="str">
        <f t="shared" ca="1" si="74"/>
        <v>No</v>
      </c>
      <c r="G438" s="21">
        <f t="shared" ca="1" si="70"/>
        <v>0</v>
      </c>
      <c r="H438" s="21">
        <f t="shared" ca="1" si="71"/>
        <v>1362.3541561842148</v>
      </c>
      <c r="I438" s="21">
        <f t="shared" ca="1" si="66"/>
        <v>1362.461739677487</v>
      </c>
      <c r="J438" s="20">
        <f t="shared" ca="1" si="75"/>
        <v>6</v>
      </c>
      <c r="K438" s="20">
        <f t="shared" ca="1" si="67"/>
        <v>5</v>
      </c>
      <c r="L438" s="44">
        <f t="shared" ca="1" si="72"/>
        <v>5.5</v>
      </c>
    </row>
    <row r="439" spans="1:12" x14ac:dyDescent="0.25">
      <c r="A439" s="20">
        <v>431</v>
      </c>
      <c r="B439" s="21">
        <f t="shared" ca="1" si="68"/>
        <v>1.4589645746008117</v>
      </c>
      <c r="C439" s="21">
        <f t="shared" ca="1" si="73"/>
        <v>1340.9139240083487</v>
      </c>
      <c r="D439" s="21">
        <f t="shared" ca="1" si="69"/>
        <v>6.8860662167418534</v>
      </c>
      <c r="E439" s="21">
        <f t="shared" ca="1" si="76"/>
        <v>21.547815669138345</v>
      </c>
      <c r="F439" s="20" t="str">
        <f t="shared" ca="1" si="74"/>
        <v>No</v>
      </c>
      <c r="G439" s="21">
        <f t="shared" ca="1" si="70"/>
        <v>0</v>
      </c>
      <c r="H439" s="21">
        <f t="shared" ca="1" si="71"/>
        <v>1362.461739677487</v>
      </c>
      <c r="I439" s="21">
        <f t="shared" ca="1" si="66"/>
        <v>1369.3478058942289</v>
      </c>
      <c r="J439" s="20">
        <f t="shared" ca="1" si="75"/>
        <v>6</v>
      </c>
      <c r="K439" s="20">
        <f t="shared" ca="1" si="67"/>
        <v>5</v>
      </c>
      <c r="L439" s="44">
        <f t="shared" ca="1" si="72"/>
        <v>5.5</v>
      </c>
    </row>
    <row r="440" spans="1:12" x14ac:dyDescent="0.25">
      <c r="A440" s="20">
        <v>432</v>
      </c>
      <c r="B440" s="21">
        <f t="shared" ca="1" si="68"/>
        <v>4.3748946119723353</v>
      </c>
      <c r="C440" s="21">
        <f t="shared" ca="1" si="73"/>
        <v>1345.2888186203211</v>
      </c>
      <c r="D440" s="21">
        <f t="shared" ca="1" si="69"/>
        <v>3.1772694712985015</v>
      </c>
      <c r="E440" s="21">
        <f t="shared" ca="1" si="76"/>
        <v>24.05898727390786</v>
      </c>
      <c r="F440" s="20" t="str">
        <f t="shared" ca="1" si="74"/>
        <v>No</v>
      </c>
      <c r="G440" s="21">
        <f t="shared" ca="1" si="70"/>
        <v>0</v>
      </c>
      <c r="H440" s="21">
        <f t="shared" ca="1" si="71"/>
        <v>1369.3478058942289</v>
      </c>
      <c r="I440" s="21">
        <f t="shared" ca="1" si="66"/>
        <v>1372.5250753655275</v>
      </c>
      <c r="J440" s="20">
        <f t="shared" ca="1" si="75"/>
        <v>6</v>
      </c>
      <c r="K440" s="20">
        <f t="shared" ca="1" si="67"/>
        <v>5</v>
      </c>
      <c r="L440" s="44">
        <f t="shared" ca="1" si="72"/>
        <v>5.5</v>
      </c>
    </row>
    <row r="441" spans="1:12" x14ac:dyDescent="0.25">
      <c r="A441" s="20">
        <v>433</v>
      </c>
      <c r="B441" s="21">
        <f t="shared" ca="1" si="68"/>
        <v>1.3966218444176164</v>
      </c>
      <c r="C441" s="21">
        <f t="shared" ca="1" si="73"/>
        <v>1346.6854404647388</v>
      </c>
      <c r="D441" s="21">
        <f t="shared" ca="1" si="69"/>
        <v>2.2536494392254682</v>
      </c>
      <c r="E441" s="21">
        <f t="shared" ca="1" si="76"/>
        <v>25.839634900788724</v>
      </c>
      <c r="F441" s="20" t="str">
        <f t="shared" ca="1" si="74"/>
        <v>No</v>
      </c>
      <c r="G441" s="21">
        <f t="shared" ca="1" si="70"/>
        <v>0</v>
      </c>
      <c r="H441" s="21">
        <f t="shared" ca="1" si="71"/>
        <v>1372.5250753655275</v>
      </c>
      <c r="I441" s="21">
        <f t="shared" ca="1" si="66"/>
        <v>1374.778724804753</v>
      </c>
      <c r="J441" s="20">
        <f t="shared" ca="1" si="75"/>
        <v>6</v>
      </c>
      <c r="K441" s="20">
        <f t="shared" ca="1" si="67"/>
        <v>5</v>
      </c>
      <c r="L441" s="44">
        <f t="shared" ca="1" si="72"/>
        <v>5.5</v>
      </c>
    </row>
    <row r="442" spans="1:12" x14ac:dyDescent="0.25">
      <c r="A442" s="20">
        <v>434</v>
      </c>
      <c r="B442" s="21">
        <f t="shared" ca="1" si="68"/>
        <v>0.53303175418177529</v>
      </c>
      <c r="C442" s="21">
        <f t="shared" ca="1" si="73"/>
        <v>1347.2184722189206</v>
      </c>
      <c r="D442" s="21">
        <f t="shared" ca="1" si="69"/>
        <v>3.3634188697270337</v>
      </c>
      <c r="E442" s="21">
        <f t="shared" ca="1" si="76"/>
        <v>27.560252585832359</v>
      </c>
      <c r="F442" s="20" t="str">
        <f t="shared" ca="1" si="74"/>
        <v>No</v>
      </c>
      <c r="G442" s="21">
        <f t="shared" ca="1" si="70"/>
        <v>0</v>
      </c>
      <c r="H442" s="21">
        <f t="shared" ca="1" si="71"/>
        <v>1374.778724804753</v>
      </c>
      <c r="I442" s="21">
        <f t="shared" ca="1" si="66"/>
        <v>1378.1421436744799</v>
      </c>
      <c r="J442" s="20">
        <f t="shared" ca="1" si="75"/>
        <v>6</v>
      </c>
      <c r="K442" s="20">
        <f t="shared" ca="1" si="67"/>
        <v>5</v>
      </c>
      <c r="L442" s="44">
        <f t="shared" ca="1" si="72"/>
        <v>5.5</v>
      </c>
    </row>
    <row r="443" spans="1:12" x14ac:dyDescent="0.25">
      <c r="A443" s="20">
        <v>435</v>
      </c>
      <c r="B443" s="21">
        <f t="shared" ca="1" si="68"/>
        <v>2.3223605605440243</v>
      </c>
      <c r="C443" s="21">
        <f t="shared" ca="1" si="73"/>
        <v>1349.5408327794646</v>
      </c>
      <c r="D443" s="21">
        <f t="shared" ca="1" si="69"/>
        <v>0.42899471964921698</v>
      </c>
      <c r="E443" s="21">
        <f t="shared" ca="1" si="76"/>
        <v>28.601310895015331</v>
      </c>
      <c r="F443" s="20" t="str">
        <f t="shared" ca="1" si="74"/>
        <v>No</v>
      </c>
      <c r="G443" s="21">
        <f t="shared" ca="1" si="70"/>
        <v>0</v>
      </c>
      <c r="H443" s="21">
        <f t="shared" ca="1" si="71"/>
        <v>1378.1421436744799</v>
      </c>
      <c r="I443" s="21">
        <f t="shared" ca="1" si="66"/>
        <v>1378.5711383941291</v>
      </c>
      <c r="J443" s="20">
        <f t="shared" ca="1" si="75"/>
        <v>6</v>
      </c>
      <c r="K443" s="20">
        <f t="shared" ca="1" si="67"/>
        <v>5</v>
      </c>
      <c r="L443" s="44">
        <f t="shared" ca="1" si="72"/>
        <v>5.5</v>
      </c>
    </row>
    <row r="444" spans="1:12" x14ac:dyDescent="0.25">
      <c r="A444" s="20">
        <v>436</v>
      </c>
      <c r="B444" s="21">
        <f t="shared" ca="1" si="68"/>
        <v>3.8307319556592372</v>
      </c>
      <c r="C444" s="21">
        <f t="shared" ca="1" si="73"/>
        <v>1353.3715647351239</v>
      </c>
      <c r="D444" s="21">
        <f t="shared" ca="1" si="69"/>
        <v>1.9885191117466261</v>
      </c>
      <c r="E444" s="21">
        <f t="shared" ca="1" si="76"/>
        <v>25.199573659005182</v>
      </c>
      <c r="F444" s="20" t="str">
        <f t="shared" ca="1" si="74"/>
        <v>No</v>
      </c>
      <c r="G444" s="21">
        <f t="shared" ca="1" si="70"/>
        <v>0</v>
      </c>
      <c r="H444" s="21">
        <f t="shared" ca="1" si="71"/>
        <v>1378.5711383941291</v>
      </c>
      <c r="I444" s="21">
        <f t="shared" ca="1" si="66"/>
        <v>1380.5596575058757</v>
      </c>
      <c r="J444" s="20">
        <f t="shared" ca="1" si="75"/>
        <v>6</v>
      </c>
      <c r="K444" s="20">
        <f t="shared" ca="1" si="67"/>
        <v>5</v>
      </c>
      <c r="L444" s="44">
        <f t="shared" ca="1" si="72"/>
        <v>5.5</v>
      </c>
    </row>
    <row r="445" spans="1:12" x14ac:dyDescent="0.25">
      <c r="A445" s="20">
        <v>437</v>
      </c>
      <c r="B445" s="21">
        <f t="shared" ca="1" si="68"/>
        <v>1.0420379820255672</v>
      </c>
      <c r="C445" s="21">
        <f t="shared" ca="1" si="73"/>
        <v>1354.4136027171494</v>
      </c>
      <c r="D445" s="21">
        <f t="shared" ca="1" si="69"/>
        <v>0.49078545152381636</v>
      </c>
      <c r="E445" s="21">
        <f t="shared" ca="1" si="76"/>
        <v>26.14605478872636</v>
      </c>
      <c r="F445" s="20" t="str">
        <f t="shared" ca="1" si="74"/>
        <v>No</v>
      </c>
      <c r="G445" s="21">
        <f t="shared" ca="1" si="70"/>
        <v>0</v>
      </c>
      <c r="H445" s="21">
        <f t="shared" ca="1" si="71"/>
        <v>1380.5596575058757</v>
      </c>
      <c r="I445" s="21">
        <f t="shared" ca="1" si="66"/>
        <v>1381.0504429573996</v>
      </c>
      <c r="J445" s="20">
        <f t="shared" ca="1" si="75"/>
        <v>6</v>
      </c>
      <c r="K445" s="20">
        <f t="shared" ca="1" si="67"/>
        <v>5</v>
      </c>
      <c r="L445" s="44">
        <f t="shared" ca="1" si="72"/>
        <v>5.5</v>
      </c>
    </row>
    <row r="446" spans="1:12" x14ac:dyDescent="0.25">
      <c r="A446" s="20">
        <v>438</v>
      </c>
      <c r="B446" s="21">
        <f t="shared" ca="1" si="68"/>
        <v>3.0448532389662844E-2</v>
      </c>
      <c r="C446" s="21">
        <f t="shared" ca="1" si="73"/>
        <v>1354.4440512495391</v>
      </c>
      <c r="D446" s="21">
        <f t="shared" ca="1" si="69"/>
        <v>1.4867765150409198</v>
      </c>
      <c r="E446" s="21">
        <f t="shared" ca="1" si="76"/>
        <v>26.606391707860439</v>
      </c>
      <c r="F446" s="20" t="str">
        <f t="shared" ca="1" si="74"/>
        <v>No</v>
      </c>
      <c r="G446" s="21">
        <f t="shared" ca="1" si="70"/>
        <v>0</v>
      </c>
      <c r="H446" s="21">
        <f t="shared" ca="1" si="71"/>
        <v>1381.0504429573996</v>
      </c>
      <c r="I446" s="21">
        <f t="shared" ca="1" si="66"/>
        <v>1382.5372194724405</v>
      </c>
      <c r="J446" s="20">
        <f t="shared" ca="1" si="75"/>
        <v>6</v>
      </c>
      <c r="K446" s="20">
        <f t="shared" ca="1" si="67"/>
        <v>5</v>
      </c>
      <c r="L446" s="44">
        <f t="shared" ca="1" si="72"/>
        <v>5.5</v>
      </c>
    </row>
    <row r="447" spans="1:12" x14ac:dyDescent="0.25">
      <c r="A447" s="20">
        <v>439</v>
      </c>
      <c r="B447" s="21">
        <f t="shared" ca="1" si="68"/>
        <v>5.0270227232542748</v>
      </c>
      <c r="C447" s="21">
        <f t="shared" ca="1" si="73"/>
        <v>1359.4710739727934</v>
      </c>
      <c r="D447" s="21">
        <f t="shared" ca="1" si="69"/>
        <v>0.42995528397364041</v>
      </c>
      <c r="E447" s="21">
        <f t="shared" ca="1" si="76"/>
        <v>23.066145499647064</v>
      </c>
      <c r="F447" s="20" t="str">
        <f t="shared" ca="1" si="74"/>
        <v>No</v>
      </c>
      <c r="G447" s="21">
        <f t="shared" ca="1" si="70"/>
        <v>0</v>
      </c>
      <c r="H447" s="21">
        <f t="shared" ca="1" si="71"/>
        <v>1382.5372194724405</v>
      </c>
      <c r="I447" s="21">
        <f t="shared" ca="1" si="66"/>
        <v>1382.9671747564141</v>
      </c>
      <c r="J447" s="20">
        <f t="shared" ca="1" si="75"/>
        <v>6</v>
      </c>
      <c r="K447" s="20">
        <f t="shared" ca="1" si="67"/>
        <v>5</v>
      </c>
      <c r="L447" s="44">
        <f t="shared" ca="1" si="72"/>
        <v>5.5</v>
      </c>
    </row>
    <row r="448" spans="1:12" x14ac:dyDescent="0.25">
      <c r="A448" s="20">
        <v>440</v>
      </c>
      <c r="B448" s="21">
        <f t="shared" ca="1" si="68"/>
        <v>2.7929539248429545</v>
      </c>
      <c r="C448" s="21">
        <f t="shared" ca="1" si="73"/>
        <v>1362.2640278976364</v>
      </c>
      <c r="D448" s="21">
        <f t="shared" ca="1" si="69"/>
        <v>10.025319049559597</v>
      </c>
      <c r="E448" s="21">
        <f t="shared" ca="1" si="76"/>
        <v>20.7031468587777</v>
      </c>
      <c r="F448" s="20" t="str">
        <f t="shared" ca="1" si="74"/>
        <v>No</v>
      </c>
      <c r="G448" s="21">
        <f t="shared" ca="1" si="70"/>
        <v>0</v>
      </c>
      <c r="H448" s="21">
        <f t="shared" ca="1" si="71"/>
        <v>1382.9671747564141</v>
      </c>
      <c r="I448" s="21">
        <f t="shared" ca="1" si="66"/>
        <v>1392.9924938059737</v>
      </c>
      <c r="J448" s="20">
        <f t="shared" ca="1" si="75"/>
        <v>6</v>
      </c>
      <c r="K448" s="20">
        <f t="shared" ca="1" si="67"/>
        <v>5</v>
      </c>
      <c r="L448" s="44">
        <f t="shared" ca="1" si="72"/>
        <v>5.5</v>
      </c>
    </row>
    <row r="449" spans="1:12" x14ac:dyDescent="0.25">
      <c r="A449" s="20">
        <v>441</v>
      </c>
      <c r="B449" s="21">
        <f t="shared" ca="1" si="68"/>
        <v>0.10328433274387608</v>
      </c>
      <c r="C449" s="21">
        <f t="shared" ca="1" si="73"/>
        <v>1362.3673122303803</v>
      </c>
      <c r="D449" s="21">
        <f t="shared" ca="1" si="69"/>
        <v>0.16898956557459496</v>
      </c>
      <c r="E449" s="21">
        <f t="shared" ca="1" si="76"/>
        <v>30.625181575593388</v>
      </c>
      <c r="F449" s="20" t="str">
        <f t="shared" ca="1" si="74"/>
        <v>No</v>
      </c>
      <c r="G449" s="21">
        <f t="shared" ca="1" si="70"/>
        <v>0</v>
      </c>
      <c r="H449" s="21">
        <f t="shared" ca="1" si="71"/>
        <v>1392.9924938059737</v>
      </c>
      <c r="I449" s="21">
        <f t="shared" ca="1" si="66"/>
        <v>1393.1614833715482</v>
      </c>
      <c r="J449" s="20">
        <f t="shared" ca="1" si="75"/>
        <v>6</v>
      </c>
      <c r="K449" s="20">
        <f t="shared" ca="1" si="67"/>
        <v>5</v>
      </c>
      <c r="L449" s="44">
        <f t="shared" ca="1" si="72"/>
        <v>5.5</v>
      </c>
    </row>
    <row r="450" spans="1:12" x14ac:dyDescent="0.25">
      <c r="A450" s="20">
        <v>442</v>
      </c>
      <c r="B450" s="21">
        <f t="shared" ca="1" si="68"/>
        <v>3.0286643052222688</v>
      </c>
      <c r="C450" s="21">
        <f t="shared" ca="1" si="73"/>
        <v>1365.3959765356026</v>
      </c>
      <c r="D450" s="21">
        <f t="shared" ca="1" si="69"/>
        <v>0.136662006035667</v>
      </c>
      <c r="E450" s="21">
        <f t="shared" ca="1" si="76"/>
        <v>27.765506835945644</v>
      </c>
      <c r="F450" s="20" t="str">
        <f t="shared" ca="1" si="74"/>
        <v>No</v>
      </c>
      <c r="G450" s="21">
        <f t="shared" ca="1" si="70"/>
        <v>0</v>
      </c>
      <c r="H450" s="21">
        <f t="shared" ca="1" si="71"/>
        <v>1393.1614833715482</v>
      </c>
      <c r="I450" s="21">
        <f t="shared" ca="1" si="66"/>
        <v>1393.298145377584</v>
      </c>
      <c r="J450" s="20">
        <f t="shared" ca="1" si="75"/>
        <v>6</v>
      </c>
      <c r="K450" s="20">
        <f t="shared" ca="1" si="67"/>
        <v>5</v>
      </c>
      <c r="L450" s="44">
        <f t="shared" ca="1" si="72"/>
        <v>5.5</v>
      </c>
    </row>
    <row r="451" spans="1:12" x14ac:dyDescent="0.25">
      <c r="A451" s="20">
        <v>443</v>
      </c>
      <c r="B451" s="21">
        <f t="shared" ca="1" si="68"/>
        <v>1.9112664225080431</v>
      </c>
      <c r="C451" s="21">
        <f t="shared" ca="1" si="73"/>
        <v>1367.3072429581107</v>
      </c>
      <c r="D451" s="21">
        <f t="shared" ca="1" si="69"/>
        <v>3.0930995907175189</v>
      </c>
      <c r="E451" s="21">
        <f t="shared" ca="1" si="76"/>
        <v>25.990902419473286</v>
      </c>
      <c r="F451" s="20" t="str">
        <f t="shared" ca="1" si="74"/>
        <v>No</v>
      </c>
      <c r="G451" s="21">
        <f t="shared" ca="1" si="70"/>
        <v>0</v>
      </c>
      <c r="H451" s="21">
        <f t="shared" ca="1" si="71"/>
        <v>1393.298145377584</v>
      </c>
      <c r="I451" s="21">
        <f t="shared" ca="1" si="66"/>
        <v>1396.3912449683014</v>
      </c>
      <c r="J451" s="20">
        <f t="shared" ca="1" si="75"/>
        <v>6</v>
      </c>
      <c r="K451" s="20">
        <f t="shared" ca="1" si="67"/>
        <v>5</v>
      </c>
      <c r="L451" s="44">
        <f t="shared" ca="1" si="72"/>
        <v>5.5</v>
      </c>
    </row>
    <row r="452" spans="1:12" x14ac:dyDescent="0.25">
      <c r="A452" s="20">
        <v>444</v>
      </c>
      <c r="B452" s="21">
        <f t="shared" ca="1" si="68"/>
        <v>3.9423143635824975</v>
      </c>
      <c r="C452" s="21">
        <f t="shared" ca="1" si="73"/>
        <v>1371.2495573216931</v>
      </c>
      <c r="D452" s="21">
        <f t="shared" ca="1" si="69"/>
        <v>3.7465265344696701</v>
      </c>
      <c r="E452" s="21">
        <f t="shared" ca="1" si="76"/>
        <v>25.141687646608261</v>
      </c>
      <c r="F452" s="20" t="str">
        <f t="shared" ca="1" si="74"/>
        <v>No</v>
      </c>
      <c r="G452" s="21">
        <f t="shared" ca="1" si="70"/>
        <v>0</v>
      </c>
      <c r="H452" s="21">
        <f t="shared" ca="1" si="71"/>
        <v>1396.3912449683014</v>
      </c>
      <c r="I452" s="21">
        <f t="shared" ca="1" si="66"/>
        <v>1400.1377715027711</v>
      </c>
      <c r="J452" s="20">
        <f t="shared" ca="1" si="75"/>
        <v>6</v>
      </c>
      <c r="K452" s="20">
        <f t="shared" ca="1" si="67"/>
        <v>5</v>
      </c>
      <c r="L452" s="44">
        <f t="shared" ca="1" si="72"/>
        <v>5.5</v>
      </c>
    </row>
    <row r="453" spans="1:12" x14ac:dyDescent="0.25">
      <c r="A453" s="20">
        <v>445</v>
      </c>
      <c r="B453" s="21">
        <f t="shared" ca="1" si="68"/>
        <v>2.0530211869578885</v>
      </c>
      <c r="C453" s="21">
        <f t="shared" ca="1" si="73"/>
        <v>1373.3025785086511</v>
      </c>
      <c r="D453" s="21">
        <f t="shared" ca="1" si="69"/>
        <v>1.9601154711159976</v>
      </c>
      <c r="E453" s="21">
        <f t="shared" ca="1" si="76"/>
        <v>26.835192994120007</v>
      </c>
      <c r="F453" s="20" t="str">
        <f t="shared" ca="1" si="74"/>
        <v>No</v>
      </c>
      <c r="G453" s="21">
        <f t="shared" ca="1" si="70"/>
        <v>0</v>
      </c>
      <c r="H453" s="21">
        <f t="shared" ca="1" si="71"/>
        <v>1400.1377715027711</v>
      </c>
      <c r="I453" s="21">
        <f t="shared" ca="1" si="66"/>
        <v>1402.0978869738872</v>
      </c>
      <c r="J453" s="20">
        <f t="shared" ca="1" si="75"/>
        <v>6</v>
      </c>
      <c r="K453" s="20">
        <f t="shared" ca="1" si="67"/>
        <v>5</v>
      </c>
      <c r="L453" s="44">
        <f t="shared" ca="1" si="72"/>
        <v>5.5</v>
      </c>
    </row>
    <row r="454" spans="1:12" x14ac:dyDescent="0.25">
      <c r="A454" s="20">
        <v>446</v>
      </c>
      <c r="B454" s="21">
        <f t="shared" ca="1" si="68"/>
        <v>2.3608969359785452</v>
      </c>
      <c r="C454" s="21">
        <f t="shared" ca="1" si="73"/>
        <v>1375.6634754446297</v>
      </c>
      <c r="D454" s="21">
        <f t="shared" ca="1" si="69"/>
        <v>6.8058270442201838</v>
      </c>
      <c r="E454" s="21">
        <f t="shared" ca="1" si="76"/>
        <v>26.434411529257432</v>
      </c>
      <c r="F454" s="20" t="str">
        <f t="shared" ca="1" si="74"/>
        <v>No</v>
      </c>
      <c r="G454" s="21">
        <f t="shared" ca="1" si="70"/>
        <v>0</v>
      </c>
      <c r="H454" s="21">
        <f t="shared" ca="1" si="71"/>
        <v>1402.0978869738872</v>
      </c>
      <c r="I454" s="21">
        <f t="shared" ca="1" si="66"/>
        <v>1408.9037140181074</v>
      </c>
      <c r="J454" s="20">
        <f t="shared" ca="1" si="75"/>
        <v>6</v>
      </c>
      <c r="K454" s="20">
        <f t="shared" ca="1" si="67"/>
        <v>5</v>
      </c>
      <c r="L454" s="44">
        <f t="shared" ca="1" si="72"/>
        <v>5.5</v>
      </c>
    </row>
    <row r="455" spans="1:12" x14ac:dyDescent="0.25">
      <c r="A455" s="20">
        <v>447</v>
      </c>
      <c r="B455" s="21">
        <f t="shared" ca="1" si="68"/>
        <v>8.153873765321297E-2</v>
      </c>
      <c r="C455" s="21">
        <f t="shared" ca="1" si="73"/>
        <v>1375.7450141822831</v>
      </c>
      <c r="D455" s="21">
        <f t="shared" ca="1" si="69"/>
        <v>5.4280849645561595</v>
      </c>
      <c r="E455" s="21">
        <f t="shared" ca="1" si="76"/>
        <v>33.158699835824336</v>
      </c>
      <c r="F455" s="20" t="str">
        <f t="shared" ca="1" si="74"/>
        <v>No</v>
      </c>
      <c r="G455" s="21">
        <f t="shared" ca="1" si="70"/>
        <v>0</v>
      </c>
      <c r="H455" s="21">
        <f t="shared" ca="1" si="71"/>
        <v>1408.9037140181074</v>
      </c>
      <c r="I455" s="21">
        <f t="shared" ca="1" si="66"/>
        <v>1414.3317989826635</v>
      </c>
      <c r="J455" s="20">
        <f t="shared" ca="1" si="75"/>
        <v>6</v>
      </c>
      <c r="K455" s="20">
        <f t="shared" ca="1" si="67"/>
        <v>5</v>
      </c>
      <c r="L455" s="44">
        <f t="shared" ca="1" si="72"/>
        <v>5.5</v>
      </c>
    </row>
    <row r="456" spans="1:12" x14ac:dyDescent="0.25">
      <c r="A456" s="20">
        <v>448</v>
      </c>
      <c r="B456" s="21">
        <f t="shared" ca="1" si="68"/>
        <v>1.1471430073851656</v>
      </c>
      <c r="C456" s="21">
        <f t="shared" ca="1" si="73"/>
        <v>1376.8921571896683</v>
      </c>
      <c r="D456" s="21">
        <f t="shared" ca="1" si="69"/>
        <v>1.7794410926530484</v>
      </c>
      <c r="E456" s="21">
        <f t="shared" ca="1" si="76"/>
        <v>37.439641792995189</v>
      </c>
      <c r="F456" s="20" t="str">
        <f t="shared" ca="1" si="74"/>
        <v>No</v>
      </c>
      <c r="G456" s="21">
        <f t="shared" ca="1" si="70"/>
        <v>0</v>
      </c>
      <c r="H456" s="21">
        <f t="shared" ca="1" si="71"/>
        <v>1414.3317989826635</v>
      </c>
      <c r="I456" s="21">
        <f t="shared" ca="1" si="66"/>
        <v>1416.1112400753166</v>
      </c>
      <c r="J456" s="20">
        <f t="shared" ca="1" si="75"/>
        <v>6</v>
      </c>
      <c r="K456" s="20">
        <f t="shared" ca="1" si="67"/>
        <v>5</v>
      </c>
      <c r="L456" s="44">
        <f t="shared" ca="1" si="72"/>
        <v>5.5</v>
      </c>
    </row>
    <row r="457" spans="1:12" x14ac:dyDescent="0.25">
      <c r="A457" s="20">
        <v>449</v>
      </c>
      <c r="B457" s="21">
        <f t="shared" ca="1" si="68"/>
        <v>1.3061295532527231</v>
      </c>
      <c r="C457" s="21">
        <f t="shared" ca="1" si="73"/>
        <v>1378.198286742921</v>
      </c>
      <c r="D457" s="21">
        <f t="shared" ca="1" si="69"/>
        <v>2.4144640296372035</v>
      </c>
      <c r="E457" s="21">
        <f t="shared" ca="1" si="76"/>
        <v>37.912953332395546</v>
      </c>
      <c r="F457" s="20" t="str">
        <f t="shared" ca="1" si="74"/>
        <v>No</v>
      </c>
      <c r="G457" s="21">
        <f t="shared" ca="1" si="70"/>
        <v>0</v>
      </c>
      <c r="H457" s="21">
        <f t="shared" ca="1" si="71"/>
        <v>1416.1112400753166</v>
      </c>
      <c r="I457" s="21">
        <f t="shared" ref="I457:I520" ca="1" si="77">$H457+$D457</f>
        <v>1418.5257041049538</v>
      </c>
      <c r="J457" s="20">
        <f t="shared" ca="1" si="75"/>
        <v>6</v>
      </c>
      <c r="K457" s="20">
        <f t="shared" ref="K457:K520" ca="1" si="78">IF($I457&lt;=$C458,0,IF($I457&lt;=$C459,1,IF($I457&lt;=$C460,2,IF($I457&lt;=$C461,3,IF($I457&lt;=$C462,4,5)))))</f>
        <v>5</v>
      </c>
      <c r="L457" s="44">
        <f t="shared" ca="1" si="72"/>
        <v>5.5</v>
      </c>
    </row>
    <row r="458" spans="1:12" x14ac:dyDescent="0.25">
      <c r="A458" s="20">
        <v>450</v>
      </c>
      <c r="B458" s="21">
        <f t="shared" ref="B458:B521" ca="1" si="79">-LN(RAND())/$D$4</f>
        <v>5.9455899668720136</v>
      </c>
      <c r="C458" s="21">
        <f t="shared" ca="1" si="73"/>
        <v>1384.1438767097929</v>
      </c>
      <c r="D458" s="21">
        <f t="shared" ref="D458:D521" ca="1" si="80">-LN(RAND())/$D$6</f>
        <v>2.3292338573732838</v>
      </c>
      <c r="E458" s="21">
        <f t="shared" ca="1" si="76"/>
        <v>34.381827395160826</v>
      </c>
      <c r="F458" s="20" t="str">
        <f t="shared" ca="1" si="74"/>
        <v>No</v>
      </c>
      <c r="G458" s="21">
        <f t="shared" ref="G458:G521" ca="1" si="81">IF($I457&lt;=$C458,$C458-$I457,0)</f>
        <v>0</v>
      </c>
      <c r="H458" s="21">
        <f t="shared" ref="H458:H521" ca="1" si="82">IF($I457&lt;=$C458,$C458,$I457)</f>
        <v>1418.5257041049538</v>
      </c>
      <c r="I458" s="21">
        <f t="shared" ca="1" si="77"/>
        <v>1420.8549379623271</v>
      </c>
      <c r="J458" s="20">
        <f t="shared" ca="1" si="75"/>
        <v>6</v>
      </c>
      <c r="K458" s="20">
        <f t="shared" ca="1" si="78"/>
        <v>5</v>
      </c>
      <c r="L458" s="44">
        <f t="shared" ref="L458:L521" ca="1" si="83">(J458+K458)/2</f>
        <v>5.5</v>
      </c>
    </row>
    <row r="459" spans="1:12" x14ac:dyDescent="0.25">
      <c r="A459" s="20">
        <v>451</v>
      </c>
      <c r="B459" s="21">
        <f t="shared" ca="1" si="79"/>
        <v>3.1268915009883749</v>
      </c>
      <c r="C459" s="21">
        <f t="shared" ref="C459:C522" ca="1" si="84">$C458+$B459</f>
        <v>1387.2707682107814</v>
      </c>
      <c r="D459" s="21">
        <f t="shared" ca="1" si="80"/>
        <v>0.10635373039999502</v>
      </c>
      <c r="E459" s="21">
        <f t="shared" ca="1" si="76"/>
        <v>33.584169751545687</v>
      </c>
      <c r="F459" s="20" t="str">
        <f t="shared" ref="F459:F522" ca="1" si="85">IF(E459=0,"Yes","No")</f>
        <v>No</v>
      </c>
      <c r="G459" s="21">
        <f t="shared" ca="1" si="81"/>
        <v>0</v>
      </c>
      <c r="H459" s="21">
        <f t="shared" ca="1" si="82"/>
        <v>1420.8549379623271</v>
      </c>
      <c r="I459" s="21">
        <f t="shared" ca="1" si="77"/>
        <v>1420.9612916927272</v>
      </c>
      <c r="J459" s="20">
        <f t="shared" ref="J459:J522" ca="1" si="86">IF($I458&lt;=$C459,0,$K458+1)</f>
        <v>6</v>
      </c>
      <c r="K459" s="20">
        <f t="shared" ca="1" si="78"/>
        <v>5</v>
      </c>
      <c r="L459" s="44">
        <f t="shared" ca="1" si="83"/>
        <v>5.5</v>
      </c>
    </row>
    <row r="460" spans="1:12" x14ac:dyDescent="0.25">
      <c r="A460" s="20">
        <v>452</v>
      </c>
      <c r="B460" s="21">
        <f t="shared" ca="1" si="79"/>
        <v>2.0865127387931759</v>
      </c>
      <c r="C460" s="21">
        <f t="shared" ca="1" si="84"/>
        <v>1389.3572809495745</v>
      </c>
      <c r="D460" s="21">
        <f t="shared" ca="1" si="80"/>
        <v>4.4666916648034993</v>
      </c>
      <c r="E460" s="21">
        <f t="shared" ref="E460:E523" ca="1" si="87">IF($I459&lt;=$C460,0,$I459-$C460)</f>
        <v>31.604010743152685</v>
      </c>
      <c r="F460" s="20" t="str">
        <f t="shared" ca="1" si="85"/>
        <v>No</v>
      </c>
      <c r="G460" s="21">
        <f t="shared" ca="1" si="81"/>
        <v>0</v>
      </c>
      <c r="H460" s="21">
        <f t="shared" ca="1" si="82"/>
        <v>1420.9612916927272</v>
      </c>
      <c r="I460" s="21">
        <f t="shared" ca="1" si="77"/>
        <v>1425.4279833575306</v>
      </c>
      <c r="J460" s="20">
        <f t="shared" ca="1" si="86"/>
        <v>6</v>
      </c>
      <c r="K460" s="20">
        <f t="shared" ca="1" si="78"/>
        <v>5</v>
      </c>
      <c r="L460" s="44">
        <f t="shared" ca="1" si="83"/>
        <v>5.5</v>
      </c>
    </row>
    <row r="461" spans="1:12" x14ac:dyDescent="0.25">
      <c r="A461" s="20">
        <v>453</v>
      </c>
      <c r="B461" s="21">
        <f t="shared" ca="1" si="79"/>
        <v>5.815427202011878</v>
      </c>
      <c r="C461" s="21">
        <f t="shared" ca="1" si="84"/>
        <v>1395.1727081515864</v>
      </c>
      <c r="D461" s="21">
        <f t="shared" ca="1" si="80"/>
        <v>6.2057541799537423</v>
      </c>
      <c r="E461" s="21">
        <f t="shared" ca="1" si="87"/>
        <v>30.255275205944145</v>
      </c>
      <c r="F461" s="20" t="str">
        <f t="shared" ca="1" si="85"/>
        <v>No</v>
      </c>
      <c r="G461" s="21">
        <f t="shared" ca="1" si="81"/>
        <v>0</v>
      </c>
      <c r="H461" s="21">
        <f t="shared" ca="1" si="82"/>
        <v>1425.4279833575306</v>
      </c>
      <c r="I461" s="21">
        <f t="shared" ca="1" si="77"/>
        <v>1431.6337375374844</v>
      </c>
      <c r="J461" s="20">
        <f t="shared" ca="1" si="86"/>
        <v>6</v>
      </c>
      <c r="K461" s="20">
        <f t="shared" ca="1" si="78"/>
        <v>5</v>
      </c>
      <c r="L461" s="44">
        <f t="shared" ca="1" si="83"/>
        <v>5.5</v>
      </c>
    </row>
    <row r="462" spans="1:12" x14ac:dyDescent="0.25">
      <c r="A462" s="20">
        <v>454</v>
      </c>
      <c r="B462" s="21">
        <f t="shared" ca="1" si="79"/>
        <v>0.72508959058150013</v>
      </c>
      <c r="C462" s="21">
        <f t="shared" ca="1" si="84"/>
        <v>1395.897797742168</v>
      </c>
      <c r="D462" s="21">
        <f t="shared" ca="1" si="80"/>
        <v>1.0882277564741016</v>
      </c>
      <c r="E462" s="21">
        <f t="shared" ca="1" si="87"/>
        <v>35.735939795316426</v>
      </c>
      <c r="F462" s="20" t="str">
        <f t="shared" ca="1" si="85"/>
        <v>No</v>
      </c>
      <c r="G462" s="21">
        <f t="shared" ca="1" si="81"/>
        <v>0</v>
      </c>
      <c r="H462" s="21">
        <f t="shared" ca="1" si="82"/>
        <v>1431.6337375374844</v>
      </c>
      <c r="I462" s="21">
        <f t="shared" ca="1" si="77"/>
        <v>1432.7219652939584</v>
      </c>
      <c r="J462" s="20">
        <f t="shared" ca="1" si="86"/>
        <v>6</v>
      </c>
      <c r="K462" s="20">
        <f t="shared" ca="1" si="78"/>
        <v>5</v>
      </c>
      <c r="L462" s="44">
        <f t="shared" ca="1" si="83"/>
        <v>5.5</v>
      </c>
    </row>
    <row r="463" spans="1:12" x14ac:dyDescent="0.25">
      <c r="A463" s="20">
        <v>455</v>
      </c>
      <c r="B463" s="21">
        <f t="shared" ca="1" si="79"/>
        <v>4.2442270636437085</v>
      </c>
      <c r="C463" s="21">
        <f t="shared" ca="1" si="84"/>
        <v>1400.1420248058116</v>
      </c>
      <c r="D463" s="21">
        <f t="shared" ca="1" si="80"/>
        <v>8.5207682684595346E-2</v>
      </c>
      <c r="E463" s="21">
        <f t="shared" ca="1" si="87"/>
        <v>32.579940488146804</v>
      </c>
      <c r="F463" s="20" t="str">
        <f t="shared" ca="1" si="85"/>
        <v>No</v>
      </c>
      <c r="G463" s="21">
        <f t="shared" ca="1" si="81"/>
        <v>0</v>
      </c>
      <c r="H463" s="21">
        <f t="shared" ca="1" si="82"/>
        <v>1432.7219652939584</v>
      </c>
      <c r="I463" s="21">
        <f t="shared" ca="1" si="77"/>
        <v>1432.807172976643</v>
      </c>
      <c r="J463" s="20">
        <f t="shared" ca="1" si="86"/>
        <v>6</v>
      </c>
      <c r="K463" s="20">
        <f t="shared" ca="1" si="78"/>
        <v>5</v>
      </c>
      <c r="L463" s="44">
        <f t="shared" ca="1" si="83"/>
        <v>5.5</v>
      </c>
    </row>
    <row r="464" spans="1:12" x14ac:dyDescent="0.25">
      <c r="A464" s="20">
        <v>456</v>
      </c>
      <c r="B464" s="21">
        <f t="shared" ca="1" si="79"/>
        <v>0.20996752146256908</v>
      </c>
      <c r="C464" s="21">
        <f t="shared" ca="1" si="84"/>
        <v>1400.3519923272743</v>
      </c>
      <c r="D464" s="21">
        <f t="shared" ca="1" si="80"/>
        <v>0.55860659149036285</v>
      </c>
      <c r="E464" s="21">
        <f t="shared" ca="1" si="87"/>
        <v>32.455180649368685</v>
      </c>
      <c r="F464" s="20" t="str">
        <f t="shared" ca="1" si="85"/>
        <v>No</v>
      </c>
      <c r="G464" s="21">
        <f t="shared" ca="1" si="81"/>
        <v>0</v>
      </c>
      <c r="H464" s="21">
        <f t="shared" ca="1" si="82"/>
        <v>1432.807172976643</v>
      </c>
      <c r="I464" s="21">
        <f t="shared" ca="1" si="77"/>
        <v>1433.3657795681333</v>
      </c>
      <c r="J464" s="20">
        <f t="shared" ca="1" si="86"/>
        <v>6</v>
      </c>
      <c r="K464" s="20">
        <f t="shared" ca="1" si="78"/>
        <v>5</v>
      </c>
      <c r="L464" s="44">
        <f t="shared" ca="1" si="83"/>
        <v>5.5</v>
      </c>
    </row>
    <row r="465" spans="1:12" x14ac:dyDescent="0.25">
      <c r="A465" s="20">
        <v>457</v>
      </c>
      <c r="B465" s="21">
        <f t="shared" ca="1" si="79"/>
        <v>7.2094134101839478</v>
      </c>
      <c r="C465" s="21">
        <f t="shared" ca="1" si="84"/>
        <v>1407.5614057374582</v>
      </c>
      <c r="D465" s="21">
        <f t="shared" ca="1" si="80"/>
        <v>3.4878181510635033</v>
      </c>
      <c r="E465" s="21">
        <f t="shared" ca="1" si="87"/>
        <v>25.804373830675104</v>
      </c>
      <c r="F465" s="20" t="str">
        <f t="shared" ca="1" si="85"/>
        <v>No</v>
      </c>
      <c r="G465" s="21">
        <f t="shared" ca="1" si="81"/>
        <v>0</v>
      </c>
      <c r="H465" s="21">
        <f t="shared" ca="1" si="82"/>
        <v>1433.3657795681333</v>
      </c>
      <c r="I465" s="21">
        <f t="shared" ca="1" si="77"/>
        <v>1436.8535977191968</v>
      </c>
      <c r="J465" s="20">
        <f t="shared" ca="1" si="86"/>
        <v>6</v>
      </c>
      <c r="K465" s="20">
        <f t="shared" ca="1" si="78"/>
        <v>5</v>
      </c>
      <c r="L465" s="44">
        <f t="shared" ca="1" si="83"/>
        <v>5.5</v>
      </c>
    </row>
    <row r="466" spans="1:12" x14ac:dyDescent="0.25">
      <c r="A466" s="20">
        <v>458</v>
      </c>
      <c r="B466" s="21">
        <f t="shared" ca="1" si="79"/>
        <v>1.312946615757792</v>
      </c>
      <c r="C466" s="21">
        <f t="shared" ca="1" si="84"/>
        <v>1408.874352353216</v>
      </c>
      <c r="D466" s="21">
        <f t="shared" ca="1" si="80"/>
        <v>0.32154660559319126</v>
      </c>
      <c r="E466" s="21">
        <f t="shared" ca="1" si="87"/>
        <v>27.979245365980887</v>
      </c>
      <c r="F466" s="20" t="str">
        <f t="shared" ca="1" si="85"/>
        <v>No</v>
      </c>
      <c r="G466" s="21">
        <f t="shared" ca="1" si="81"/>
        <v>0</v>
      </c>
      <c r="H466" s="21">
        <f t="shared" ca="1" si="82"/>
        <v>1436.8535977191968</v>
      </c>
      <c r="I466" s="21">
        <f t="shared" ca="1" si="77"/>
        <v>1437.1751443247899</v>
      </c>
      <c r="J466" s="20">
        <f t="shared" ca="1" si="86"/>
        <v>6</v>
      </c>
      <c r="K466" s="20">
        <f t="shared" ca="1" si="78"/>
        <v>5</v>
      </c>
      <c r="L466" s="44">
        <f t="shared" ca="1" si="83"/>
        <v>5.5</v>
      </c>
    </row>
    <row r="467" spans="1:12" x14ac:dyDescent="0.25">
      <c r="A467" s="20">
        <v>459</v>
      </c>
      <c r="B467" s="21">
        <f t="shared" ca="1" si="79"/>
        <v>1.0840646209092335</v>
      </c>
      <c r="C467" s="21">
        <f t="shared" ca="1" si="84"/>
        <v>1409.9584169741252</v>
      </c>
      <c r="D467" s="21">
        <f t="shared" ca="1" si="80"/>
        <v>0.81700395410458881</v>
      </c>
      <c r="E467" s="21">
        <f t="shared" ca="1" si="87"/>
        <v>27.216727350664769</v>
      </c>
      <c r="F467" s="20" t="str">
        <f t="shared" ca="1" si="85"/>
        <v>No</v>
      </c>
      <c r="G467" s="21">
        <f t="shared" ca="1" si="81"/>
        <v>0</v>
      </c>
      <c r="H467" s="21">
        <f t="shared" ca="1" si="82"/>
        <v>1437.1751443247899</v>
      </c>
      <c r="I467" s="21">
        <f t="shared" ca="1" si="77"/>
        <v>1437.9921482788945</v>
      </c>
      <c r="J467" s="20">
        <f t="shared" ca="1" si="86"/>
        <v>6</v>
      </c>
      <c r="K467" s="20">
        <f t="shared" ca="1" si="78"/>
        <v>5</v>
      </c>
      <c r="L467" s="44">
        <f t="shared" ca="1" si="83"/>
        <v>5.5</v>
      </c>
    </row>
    <row r="468" spans="1:12" x14ac:dyDescent="0.25">
      <c r="A468" s="20">
        <v>460</v>
      </c>
      <c r="B468" s="21">
        <f t="shared" ca="1" si="79"/>
        <v>4.3571117849795102E-2</v>
      </c>
      <c r="C468" s="21">
        <f t="shared" ca="1" si="84"/>
        <v>1410.0019880919749</v>
      </c>
      <c r="D468" s="21">
        <f t="shared" ca="1" si="80"/>
        <v>1.1498941609413662</v>
      </c>
      <c r="E468" s="21">
        <f t="shared" ca="1" si="87"/>
        <v>27.990160186919638</v>
      </c>
      <c r="F468" s="20" t="str">
        <f t="shared" ca="1" si="85"/>
        <v>No</v>
      </c>
      <c r="G468" s="21">
        <f t="shared" ca="1" si="81"/>
        <v>0</v>
      </c>
      <c r="H468" s="21">
        <f t="shared" ca="1" si="82"/>
        <v>1437.9921482788945</v>
      </c>
      <c r="I468" s="21">
        <f t="shared" ca="1" si="77"/>
        <v>1439.1420424398359</v>
      </c>
      <c r="J468" s="20">
        <f t="shared" ca="1" si="86"/>
        <v>6</v>
      </c>
      <c r="K468" s="20">
        <f t="shared" ca="1" si="78"/>
        <v>5</v>
      </c>
      <c r="L468" s="44">
        <f t="shared" ca="1" si="83"/>
        <v>5.5</v>
      </c>
    </row>
    <row r="469" spans="1:12" x14ac:dyDescent="0.25">
      <c r="A469" s="20">
        <v>461</v>
      </c>
      <c r="B469" s="21">
        <f t="shared" ca="1" si="79"/>
        <v>9.4505750557010201E-2</v>
      </c>
      <c r="C469" s="21">
        <f t="shared" ca="1" si="84"/>
        <v>1410.096493842532</v>
      </c>
      <c r="D469" s="21">
        <f t="shared" ca="1" si="80"/>
        <v>4.3760697188164634</v>
      </c>
      <c r="E469" s="21">
        <f t="shared" ca="1" si="87"/>
        <v>29.045548597303878</v>
      </c>
      <c r="F469" s="20" t="str">
        <f t="shared" ca="1" si="85"/>
        <v>No</v>
      </c>
      <c r="G469" s="21">
        <f t="shared" ca="1" si="81"/>
        <v>0</v>
      </c>
      <c r="H469" s="21">
        <f t="shared" ca="1" si="82"/>
        <v>1439.1420424398359</v>
      </c>
      <c r="I469" s="21">
        <f t="shared" ca="1" si="77"/>
        <v>1443.5181121586525</v>
      </c>
      <c r="J469" s="20">
        <f t="shared" ca="1" si="86"/>
        <v>6</v>
      </c>
      <c r="K469" s="20">
        <f t="shared" ca="1" si="78"/>
        <v>5</v>
      </c>
      <c r="L469" s="44">
        <f t="shared" ca="1" si="83"/>
        <v>5.5</v>
      </c>
    </row>
    <row r="470" spans="1:12" x14ac:dyDescent="0.25">
      <c r="A470" s="20">
        <v>462</v>
      </c>
      <c r="B470" s="21">
        <f t="shared" ca="1" si="79"/>
        <v>1.9535508324706741</v>
      </c>
      <c r="C470" s="21">
        <f t="shared" ca="1" si="84"/>
        <v>1412.0500446750027</v>
      </c>
      <c r="D470" s="21">
        <f t="shared" ca="1" si="80"/>
        <v>1.5021845950325632</v>
      </c>
      <c r="E470" s="21">
        <f t="shared" ca="1" si="87"/>
        <v>31.468067483649747</v>
      </c>
      <c r="F470" s="20" t="str">
        <f t="shared" ca="1" si="85"/>
        <v>No</v>
      </c>
      <c r="G470" s="21">
        <f t="shared" ca="1" si="81"/>
        <v>0</v>
      </c>
      <c r="H470" s="21">
        <f t="shared" ca="1" si="82"/>
        <v>1443.5181121586525</v>
      </c>
      <c r="I470" s="21">
        <f t="shared" ca="1" si="77"/>
        <v>1445.020296753685</v>
      </c>
      <c r="J470" s="20">
        <f t="shared" ca="1" si="86"/>
        <v>6</v>
      </c>
      <c r="K470" s="20">
        <f t="shared" ca="1" si="78"/>
        <v>5</v>
      </c>
      <c r="L470" s="44">
        <f t="shared" ca="1" si="83"/>
        <v>5.5</v>
      </c>
    </row>
    <row r="471" spans="1:12" x14ac:dyDescent="0.25">
      <c r="A471" s="20">
        <v>463</v>
      </c>
      <c r="B471" s="21">
        <f t="shared" ca="1" si="79"/>
        <v>1.7404451857424859</v>
      </c>
      <c r="C471" s="21">
        <f t="shared" ca="1" si="84"/>
        <v>1413.7904898607451</v>
      </c>
      <c r="D471" s="21">
        <f t="shared" ca="1" si="80"/>
        <v>0.57858861090304159</v>
      </c>
      <c r="E471" s="21">
        <f t="shared" ca="1" si="87"/>
        <v>31.229806892939905</v>
      </c>
      <c r="F471" s="20" t="str">
        <f t="shared" ca="1" si="85"/>
        <v>No</v>
      </c>
      <c r="G471" s="21">
        <f t="shared" ca="1" si="81"/>
        <v>0</v>
      </c>
      <c r="H471" s="21">
        <f t="shared" ca="1" si="82"/>
        <v>1445.020296753685</v>
      </c>
      <c r="I471" s="21">
        <f t="shared" ca="1" si="77"/>
        <v>1445.5988853645881</v>
      </c>
      <c r="J471" s="20">
        <f t="shared" ca="1" si="86"/>
        <v>6</v>
      </c>
      <c r="K471" s="20">
        <f t="shared" ca="1" si="78"/>
        <v>5</v>
      </c>
      <c r="L471" s="44">
        <f t="shared" ca="1" si="83"/>
        <v>5.5</v>
      </c>
    </row>
    <row r="472" spans="1:12" x14ac:dyDescent="0.25">
      <c r="A472" s="20">
        <v>464</v>
      </c>
      <c r="B472" s="21">
        <f t="shared" ca="1" si="79"/>
        <v>6.5829440627655806</v>
      </c>
      <c r="C472" s="21">
        <f t="shared" ca="1" si="84"/>
        <v>1420.3734339235107</v>
      </c>
      <c r="D472" s="21">
        <f t="shared" ca="1" si="80"/>
        <v>0.51223086976651</v>
      </c>
      <c r="E472" s="21">
        <f t="shared" ca="1" si="87"/>
        <v>25.225451441077439</v>
      </c>
      <c r="F472" s="20" t="str">
        <f t="shared" ca="1" si="85"/>
        <v>No</v>
      </c>
      <c r="G472" s="21">
        <f t="shared" ca="1" si="81"/>
        <v>0</v>
      </c>
      <c r="H472" s="21">
        <f t="shared" ca="1" si="82"/>
        <v>1445.5988853645881</v>
      </c>
      <c r="I472" s="21">
        <f t="shared" ca="1" si="77"/>
        <v>1446.1111162343545</v>
      </c>
      <c r="J472" s="20">
        <f t="shared" ca="1" si="86"/>
        <v>6</v>
      </c>
      <c r="K472" s="20">
        <f t="shared" ca="1" si="78"/>
        <v>5</v>
      </c>
      <c r="L472" s="44">
        <f t="shared" ca="1" si="83"/>
        <v>5.5</v>
      </c>
    </row>
    <row r="473" spans="1:12" x14ac:dyDescent="0.25">
      <c r="A473" s="20">
        <v>465</v>
      </c>
      <c r="B473" s="21">
        <f t="shared" ca="1" si="79"/>
        <v>3.9397030520499059</v>
      </c>
      <c r="C473" s="21">
        <f t="shared" ca="1" si="84"/>
        <v>1424.3131369755606</v>
      </c>
      <c r="D473" s="21">
        <f t="shared" ca="1" si="80"/>
        <v>0.49068945951108955</v>
      </c>
      <c r="E473" s="21">
        <f t="shared" ca="1" si="87"/>
        <v>21.79797925879393</v>
      </c>
      <c r="F473" s="20" t="str">
        <f t="shared" ca="1" si="85"/>
        <v>No</v>
      </c>
      <c r="G473" s="21">
        <f t="shared" ca="1" si="81"/>
        <v>0</v>
      </c>
      <c r="H473" s="21">
        <f t="shared" ca="1" si="82"/>
        <v>1446.1111162343545</v>
      </c>
      <c r="I473" s="21">
        <f t="shared" ca="1" si="77"/>
        <v>1446.6018056938656</v>
      </c>
      <c r="J473" s="20">
        <f t="shared" ca="1" si="86"/>
        <v>6</v>
      </c>
      <c r="K473" s="20">
        <f t="shared" ca="1" si="78"/>
        <v>5</v>
      </c>
      <c r="L473" s="44">
        <f t="shared" ca="1" si="83"/>
        <v>5.5</v>
      </c>
    </row>
    <row r="474" spans="1:12" x14ac:dyDescent="0.25">
      <c r="A474" s="20">
        <v>466</v>
      </c>
      <c r="B474" s="21">
        <f t="shared" ca="1" si="79"/>
        <v>0.54820536490087635</v>
      </c>
      <c r="C474" s="21">
        <f t="shared" ca="1" si="84"/>
        <v>1424.8613423404615</v>
      </c>
      <c r="D474" s="21">
        <f t="shared" ca="1" si="80"/>
        <v>0.53021551352836416</v>
      </c>
      <c r="E474" s="21">
        <f t="shared" ca="1" si="87"/>
        <v>21.740463353404039</v>
      </c>
      <c r="F474" s="20" t="str">
        <f t="shared" ca="1" si="85"/>
        <v>No</v>
      </c>
      <c r="G474" s="21">
        <f t="shared" ca="1" si="81"/>
        <v>0</v>
      </c>
      <c r="H474" s="21">
        <f t="shared" ca="1" si="82"/>
        <v>1446.6018056938656</v>
      </c>
      <c r="I474" s="21">
        <f t="shared" ca="1" si="77"/>
        <v>1447.132021207394</v>
      </c>
      <c r="J474" s="20">
        <f t="shared" ca="1" si="86"/>
        <v>6</v>
      </c>
      <c r="K474" s="20">
        <f t="shared" ca="1" si="78"/>
        <v>4</v>
      </c>
      <c r="L474" s="44">
        <f t="shared" ca="1" si="83"/>
        <v>5</v>
      </c>
    </row>
    <row r="475" spans="1:12" x14ac:dyDescent="0.25">
      <c r="A475" s="20">
        <v>467</v>
      </c>
      <c r="B475" s="21">
        <f t="shared" ca="1" si="79"/>
        <v>6.6317928416472522</v>
      </c>
      <c r="C475" s="21">
        <f t="shared" ca="1" si="84"/>
        <v>1431.4931351821087</v>
      </c>
      <c r="D475" s="21">
        <f t="shared" ca="1" si="80"/>
        <v>0.18906517511961518</v>
      </c>
      <c r="E475" s="21">
        <f t="shared" ca="1" si="87"/>
        <v>15.638886025285274</v>
      </c>
      <c r="F475" s="20" t="str">
        <f t="shared" ca="1" si="85"/>
        <v>No</v>
      </c>
      <c r="G475" s="21">
        <f t="shared" ca="1" si="81"/>
        <v>0</v>
      </c>
      <c r="H475" s="21">
        <f t="shared" ca="1" si="82"/>
        <v>1447.132021207394</v>
      </c>
      <c r="I475" s="21">
        <f t="shared" ca="1" si="77"/>
        <v>1447.3210863825136</v>
      </c>
      <c r="J475" s="20">
        <f t="shared" ca="1" si="86"/>
        <v>5</v>
      </c>
      <c r="K475" s="20">
        <f t="shared" ca="1" si="78"/>
        <v>3</v>
      </c>
      <c r="L475" s="44">
        <f t="shared" ca="1" si="83"/>
        <v>4</v>
      </c>
    </row>
    <row r="476" spans="1:12" x14ac:dyDescent="0.25">
      <c r="A476" s="20">
        <v>468</v>
      </c>
      <c r="B476" s="21">
        <f t="shared" ca="1" si="79"/>
        <v>7.2577134345017909</v>
      </c>
      <c r="C476" s="21">
        <f t="shared" ca="1" si="84"/>
        <v>1438.7508486166105</v>
      </c>
      <c r="D476" s="21">
        <f t="shared" ca="1" si="80"/>
        <v>0.62976967451104016</v>
      </c>
      <c r="E476" s="21">
        <f t="shared" ca="1" si="87"/>
        <v>8.5702377659031299</v>
      </c>
      <c r="F476" s="20" t="str">
        <f t="shared" ca="1" si="85"/>
        <v>No</v>
      </c>
      <c r="G476" s="21">
        <f t="shared" ca="1" si="81"/>
        <v>0</v>
      </c>
      <c r="H476" s="21">
        <f t="shared" ca="1" si="82"/>
        <v>1447.3210863825136</v>
      </c>
      <c r="I476" s="21">
        <f t="shared" ca="1" si="77"/>
        <v>1447.9508560570246</v>
      </c>
      <c r="J476" s="20">
        <f t="shared" ca="1" si="86"/>
        <v>4</v>
      </c>
      <c r="K476" s="20">
        <f t="shared" ca="1" si="78"/>
        <v>2</v>
      </c>
      <c r="L476" s="44">
        <f t="shared" ca="1" si="83"/>
        <v>3</v>
      </c>
    </row>
    <row r="477" spans="1:12" x14ac:dyDescent="0.25">
      <c r="A477" s="20">
        <v>469</v>
      </c>
      <c r="B477" s="21">
        <f t="shared" ca="1" si="79"/>
        <v>1.6664740385486929</v>
      </c>
      <c r="C477" s="21">
        <f t="shared" ca="1" si="84"/>
        <v>1440.4173226551591</v>
      </c>
      <c r="D477" s="21">
        <f t="shared" ca="1" si="80"/>
        <v>3.2173219076115989</v>
      </c>
      <c r="E477" s="21">
        <f t="shared" ca="1" si="87"/>
        <v>7.5335334018654976</v>
      </c>
      <c r="F477" s="20" t="str">
        <f t="shared" ca="1" si="85"/>
        <v>No</v>
      </c>
      <c r="G477" s="21">
        <f t="shared" ca="1" si="81"/>
        <v>0</v>
      </c>
      <c r="H477" s="21">
        <f t="shared" ca="1" si="82"/>
        <v>1447.9508560570246</v>
      </c>
      <c r="I477" s="21">
        <f t="shared" ca="1" si="77"/>
        <v>1451.1681779646362</v>
      </c>
      <c r="J477" s="20">
        <f t="shared" ca="1" si="86"/>
        <v>3</v>
      </c>
      <c r="K477" s="20">
        <f t="shared" ca="1" si="78"/>
        <v>2</v>
      </c>
      <c r="L477" s="44">
        <f t="shared" ca="1" si="83"/>
        <v>2.5</v>
      </c>
    </row>
    <row r="478" spans="1:12" x14ac:dyDescent="0.25">
      <c r="A478" s="20">
        <v>470</v>
      </c>
      <c r="B478" s="21">
        <f t="shared" ca="1" si="79"/>
        <v>1.3053387698621645E-2</v>
      </c>
      <c r="C478" s="21">
        <f t="shared" ca="1" si="84"/>
        <v>1440.4303760428577</v>
      </c>
      <c r="D478" s="21">
        <f t="shared" ca="1" si="80"/>
        <v>1.9133830417554138</v>
      </c>
      <c r="E478" s="21">
        <f t="shared" ca="1" si="87"/>
        <v>10.737801921778555</v>
      </c>
      <c r="F478" s="20" t="str">
        <f t="shared" ca="1" si="85"/>
        <v>No</v>
      </c>
      <c r="G478" s="21">
        <f t="shared" ca="1" si="81"/>
        <v>0</v>
      </c>
      <c r="H478" s="21">
        <f t="shared" ca="1" si="82"/>
        <v>1451.1681779646362</v>
      </c>
      <c r="I478" s="21">
        <f t="shared" ca="1" si="77"/>
        <v>1453.0815610063917</v>
      </c>
      <c r="J478" s="20">
        <f t="shared" ca="1" si="86"/>
        <v>3</v>
      </c>
      <c r="K478" s="20">
        <f t="shared" ca="1" si="78"/>
        <v>1</v>
      </c>
      <c r="L478" s="44">
        <f t="shared" ca="1" si="83"/>
        <v>2</v>
      </c>
    </row>
    <row r="479" spans="1:12" x14ac:dyDescent="0.25">
      <c r="A479" s="20">
        <v>471</v>
      </c>
      <c r="B479" s="21">
        <f t="shared" ca="1" si="79"/>
        <v>9.5390361900396474</v>
      </c>
      <c r="C479" s="21">
        <f t="shared" ca="1" si="84"/>
        <v>1449.9694122328974</v>
      </c>
      <c r="D479" s="21">
        <f t="shared" ca="1" si="80"/>
        <v>0.59890831784549725</v>
      </c>
      <c r="E479" s="21">
        <f t="shared" ca="1" si="87"/>
        <v>3.1121487734942548</v>
      </c>
      <c r="F479" s="20" t="str">
        <f t="shared" ca="1" si="85"/>
        <v>No</v>
      </c>
      <c r="G479" s="21">
        <f t="shared" ca="1" si="81"/>
        <v>0</v>
      </c>
      <c r="H479" s="21">
        <f t="shared" ca="1" si="82"/>
        <v>1453.0815610063917</v>
      </c>
      <c r="I479" s="21">
        <f t="shared" ca="1" si="77"/>
        <v>1453.6804693242373</v>
      </c>
      <c r="J479" s="20">
        <f t="shared" ca="1" si="86"/>
        <v>2</v>
      </c>
      <c r="K479" s="20">
        <f t="shared" ca="1" si="78"/>
        <v>0</v>
      </c>
      <c r="L479" s="44">
        <f t="shared" ca="1" si="83"/>
        <v>1</v>
      </c>
    </row>
    <row r="480" spans="1:12" x14ac:dyDescent="0.25">
      <c r="A480" s="20">
        <v>472</v>
      </c>
      <c r="B480" s="21">
        <f t="shared" ca="1" si="79"/>
        <v>6.7159753923799927</v>
      </c>
      <c r="C480" s="21">
        <f t="shared" ca="1" si="84"/>
        <v>1456.6853876252774</v>
      </c>
      <c r="D480" s="21">
        <f t="shared" ca="1" si="80"/>
        <v>9.3242372247994247E-3</v>
      </c>
      <c r="E480" s="21">
        <f t="shared" ca="1" si="87"/>
        <v>0</v>
      </c>
      <c r="F480" s="20" t="str">
        <f t="shared" ca="1" si="85"/>
        <v>Yes</v>
      </c>
      <c r="G480" s="21">
        <f t="shared" ca="1" si="81"/>
        <v>3.0049183010401066</v>
      </c>
      <c r="H480" s="21">
        <f t="shared" ca="1" si="82"/>
        <v>1456.6853876252774</v>
      </c>
      <c r="I480" s="21">
        <f t="shared" ca="1" si="77"/>
        <v>1456.6947118625021</v>
      </c>
      <c r="J480" s="20">
        <f t="shared" ca="1" si="86"/>
        <v>0</v>
      </c>
      <c r="K480" s="20">
        <f t="shared" ca="1" si="78"/>
        <v>0</v>
      </c>
      <c r="L480" s="44">
        <f t="shared" ca="1" si="83"/>
        <v>0</v>
      </c>
    </row>
    <row r="481" spans="1:12" x14ac:dyDescent="0.25">
      <c r="A481" s="20">
        <v>473</v>
      </c>
      <c r="B481" s="21">
        <f t="shared" ca="1" si="79"/>
        <v>2.4327639302591955</v>
      </c>
      <c r="C481" s="21">
        <f t="shared" ca="1" si="84"/>
        <v>1459.1181515555365</v>
      </c>
      <c r="D481" s="21">
        <f t="shared" ca="1" si="80"/>
        <v>2.7652427322207398</v>
      </c>
      <c r="E481" s="21">
        <f t="shared" ca="1" si="87"/>
        <v>0</v>
      </c>
      <c r="F481" s="20" t="str">
        <f t="shared" ca="1" si="85"/>
        <v>Yes</v>
      </c>
      <c r="G481" s="21">
        <f t="shared" ca="1" si="81"/>
        <v>2.4234396930344246</v>
      </c>
      <c r="H481" s="21">
        <f t="shared" ca="1" si="82"/>
        <v>1459.1181515555365</v>
      </c>
      <c r="I481" s="21">
        <f t="shared" ca="1" si="77"/>
        <v>1461.8833942877573</v>
      </c>
      <c r="J481" s="20">
        <f t="shared" ca="1" si="86"/>
        <v>0</v>
      </c>
      <c r="K481" s="20">
        <f t="shared" ca="1" si="78"/>
        <v>1</v>
      </c>
      <c r="L481" s="44">
        <f t="shared" ca="1" si="83"/>
        <v>0.5</v>
      </c>
    </row>
    <row r="482" spans="1:12" x14ac:dyDescent="0.25">
      <c r="A482" s="20">
        <v>474</v>
      </c>
      <c r="B482" s="21">
        <f t="shared" ca="1" si="79"/>
        <v>0.14265955632125718</v>
      </c>
      <c r="C482" s="21">
        <f t="shared" ca="1" si="84"/>
        <v>1459.2608111118577</v>
      </c>
      <c r="D482" s="21">
        <f t="shared" ca="1" si="80"/>
        <v>0.19085747405433051</v>
      </c>
      <c r="E482" s="21">
        <f t="shared" ca="1" si="87"/>
        <v>2.6225831758995355</v>
      </c>
      <c r="F482" s="20" t="str">
        <f t="shared" ca="1" si="85"/>
        <v>No</v>
      </c>
      <c r="G482" s="21">
        <f t="shared" ca="1" si="81"/>
        <v>0</v>
      </c>
      <c r="H482" s="21">
        <f t="shared" ca="1" si="82"/>
        <v>1461.8833942877573</v>
      </c>
      <c r="I482" s="21">
        <f t="shared" ca="1" si="77"/>
        <v>1462.0742517618116</v>
      </c>
      <c r="J482" s="20">
        <f t="shared" ca="1" si="86"/>
        <v>2</v>
      </c>
      <c r="K482" s="20">
        <f t="shared" ca="1" si="78"/>
        <v>0</v>
      </c>
      <c r="L482" s="44">
        <f t="shared" ca="1" si="83"/>
        <v>1</v>
      </c>
    </row>
    <row r="483" spans="1:12" x14ac:dyDescent="0.25">
      <c r="A483" s="20">
        <v>475</v>
      </c>
      <c r="B483" s="21">
        <f t="shared" ca="1" si="79"/>
        <v>8.3236452810713608</v>
      </c>
      <c r="C483" s="21">
        <f t="shared" ca="1" si="84"/>
        <v>1467.584456392929</v>
      </c>
      <c r="D483" s="21">
        <f t="shared" ca="1" si="80"/>
        <v>0.88841109748632541</v>
      </c>
      <c r="E483" s="21">
        <f t="shared" ca="1" si="87"/>
        <v>0</v>
      </c>
      <c r="F483" s="20" t="str">
        <f t="shared" ca="1" si="85"/>
        <v>Yes</v>
      </c>
      <c r="G483" s="21">
        <f t="shared" ca="1" si="81"/>
        <v>5.5102046311174036</v>
      </c>
      <c r="H483" s="21">
        <f t="shared" ca="1" si="82"/>
        <v>1467.584456392929</v>
      </c>
      <c r="I483" s="21">
        <f t="shared" ca="1" si="77"/>
        <v>1468.4728674904154</v>
      </c>
      <c r="J483" s="20">
        <f t="shared" ca="1" si="86"/>
        <v>0</v>
      </c>
      <c r="K483" s="20">
        <f t="shared" ca="1" si="78"/>
        <v>0</v>
      </c>
      <c r="L483" s="44">
        <f t="shared" ca="1" si="83"/>
        <v>0</v>
      </c>
    </row>
    <row r="484" spans="1:12" x14ac:dyDescent="0.25">
      <c r="A484" s="20">
        <v>476</v>
      </c>
      <c r="B484" s="21">
        <f t="shared" ca="1" si="79"/>
        <v>6.3316869734951897</v>
      </c>
      <c r="C484" s="21">
        <f t="shared" ca="1" si="84"/>
        <v>1473.9161433664242</v>
      </c>
      <c r="D484" s="21">
        <f t="shared" ca="1" si="80"/>
        <v>1.3151925242459421</v>
      </c>
      <c r="E484" s="21">
        <f t="shared" ca="1" si="87"/>
        <v>0</v>
      </c>
      <c r="F484" s="20" t="str">
        <f t="shared" ca="1" si="85"/>
        <v>Yes</v>
      </c>
      <c r="G484" s="21">
        <f t="shared" ca="1" si="81"/>
        <v>5.4432758760087836</v>
      </c>
      <c r="H484" s="21">
        <f t="shared" ca="1" si="82"/>
        <v>1473.9161433664242</v>
      </c>
      <c r="I484" s="21">
        <f t="shared" ca="1" si="77"/>
        <v>1475.2313358906702</v>
      </c>
      <c r="J484" s="20">
        <f t="shared" ca="1" si="86"/>
        <v>0</v>
      </c>
      <c r="K484" s="20">
        <f t="shared" ca="1" si="78"/>
        <v>2</v>
      </c>
      <c r="L484" s="44">
        <f t="shared" ca="1" si="83"/>
        <v>1</v>
      </c>
    </row>
    <row r="485" spans="1:12" x14ac:dyDescent="0.25">
      <c r="A485" s="20">
        <v>477</v>
      </c>
      <c r="B485" s="21">
        <f t="shared" ca="1" si="79"/>
        <v>0.34976646551788104</v>
      </c>
      <c r="C485" s="21">
        <f t="shared" ca="1" si="84"/>
        <v>1474.2659098319421</v>
      </c>
      <c r="D485" s="21">
        <f t="shared" ca="1" si="80"/>
        <v>0.39268292684146505</v>
      </c>
      <c r="E485" s="21">
        <f t="shared" ca="1" si="87"/>
        <v>0.96542605872809872</v>
      </c>
      <c r="F485" s="20" t="str">
        <f t="shared" ca="1" si="85"/>
        <v>No</v>
      </c>
      <c r="G485" s="21">
        <f t="shared" ca="1" si="81"/>
        <v>0</v>
      </c>
      <c r="H485" s="21">
        <f t="shared" ca="1" si="82"/>
        <v>1475.2313358906702</v>
      </c>
      <c r="I485" s="21">
        <f t="shared" ca="1" si="77"/>
        <v>1475.6240188175116</v>
      </c>
      <c r="J485" s="20">
        <f t="shared" ca="1" si="86"/>
        <v>3</v>
      </c>
      <c r="K485" s="20">
        <f t="shared" ca="1" si="78"/>
        <v>1</v>
      </c>
      <c r="L485" s="44">
        <f t="shared" ca="1" si="83"/>
        <v>2</v>
      </c>
    </row>
    <row r="486" spans="1:12" x14ac:dyDescent="0.25">
      <c r="A486" s="20">
        <v>478</v>
      </c>
      <c r="B486" s="21">
        <f t="shared" ca="1" si="79"/>
        <v>0.15014649096943045</v>
      </c>
      <c r="C486" s="21">
        <f t="shared" ca="1" si="84"/>
        <v>1474.4160563229116</v>
      </c>
      <c r="D486" s="21">
        <f t="shared" ca="1" si="80"/>
        <v>0.61391543548662786</v>
      </c>
      <c r="E486" s="21">
        <f t="shared" ca="1" si="87"/>
        <v>1.2079624945999967</v>
      </c>
      <c r="F486" s="20" t="str">
        <f t="shared" ca="1" si="85"/>
        <v>No</v>
      </c>
      <c r="G486" s="21">
        <f t="shared" ca="1" si="81"/>
        <v>0</v>
      </c>
      <c r="H486" s="21">
        <f t="shared" ca="1" si="82"/>
        <v>1475.6240188175116</v>
      </c>
      <c r="I486" s="21">
        <f t="shared" ca="1" si="77"/>
        <v>1476.2379342529982</v>
      </c>
      <c r="J486" s="20">
        <f t="shared" ca="1" si="86"/>
        <v>2</v>
      </c>
      <c r="K486" s="20">
        <f t="shared" ca="1" si="78"/>
        <v>0</v>
      </c>
      <c r="L486" s="44">
        <f t="shared" ca="1" si="83"/>
        <v>1</v>
      </c>
    </row>
    <row r="487" spans="1:12" x14ac:dyDescent="0.25">
      <c r="A487" s="20">
        <v>479</v>
      </c>
      <c r="B487" s="21">
        <f t="shared" ca="1" si="79"/>
        <v>4.2583402738663425</v>
      </c>
      <c r="C487" s="21">
        <f t="shared" ca="1" si="84"/>
        <v>1478.674396596778</v>
      </c>
      <c r="D487" s="21">
        <f t="shared" ca="1" si="80"/>
        <v>3.390208686451269</v>
      </c>
      <c r="E487" s="21">
        <f t="shared" ca="1" si="87"/>
        <v>0</v>
      </c>
      <c r="F487" s="20" t="str">
        <f t="shared" ca="1" si="85"/>
        <v>Yes</v>
      </c>
      <c r="G487" s="21">
        <f t="shared" ca="1" si="81"/>
        <v>2.4364623437797945</v>
      </c>
      <c r="H487" s="21">
        <f t="shared" ca="1" si="82"/>
        <v>1478.674396596778</v>
      </c>
      <c r="I487" s="21">
        <f t="shared" ca="1" si="77"/>
        <v>1482.0646052832292</v>
      </c>
      <c r="J487" s="20">
        <f t="shared" ca="1" si="86"/>
        <v>0</v>
      </c>
      <c r="K487" s="20">
        <f t="shared" ca="1" si="78"/>
        <v>2</v>
      </c>
      <c r="L487" s="44">
        <f t="shared" ca="1" si="83"/>
        <v>1</v>
      </c>
    </row>
    <row r="488" spans="1:12" x14ac:dyDescent="0.25">
      <c r="A488" s="20">
        <v>480</v>
      </c>
      <c r="B488" s="21">
        <f t="shared" ca="1" si="79"/>
        <v>0.74090343033636896</v>
      </c>
      <c r="C488" s="21">
        <f t="shared" ca="1" si="84"/>
        <v>1479.4153000271144</v>
      </c>
      <c r="D488" s="21">
        <f t="shared" ca="1" si="80"/>
        <v>8.3970013688853538</v>
      </c>
      <c r="E488" s="21">
        <f t="shared" ca="1" si="87"/>
        <v>2.6493052561147579</v>
      </c>
      <c r="F488" s="20" t="str">
        <f t="shared" ca="1" si="85"/>
        <v>No</v>
      </c>
      <c r="G488" s="21">
        <f t="shared" ca="1" si="81"/>
        <v>0</v>
      </c>
      <c r="H488" s="21">
        <f t="shared" ca="1" si="82"/>
        <v>1482.0646052832292</v>
      </c>
      <c r="I488" s="21">
        <f t="shared" ca="1" si="77"/>
        <v>1490.4616066521146</v>
      </c>
      <c r="J488" s="20">
        <f t="shared" ca="1" si="86"/>
        <v>3</v>
      </c>
      <c r="K488" s="20">
        <f t="shared" ca="1" si="78"/>
        <v>2</v>
      </c>
      <c r="L488" s="44">
        <f t="shared" ca="1" si="83"/>
        <v>2.5</v>
      </c>
    </row>
    <row r="489" spans="1:12" x14ac:dyDescent="0.25">
      <c r="A489" s="20">
        <v>481</v>
      </c>
      <c r="B489" s="21">
        <f t="shared" ca="1" si="79"/>
        <v>2.4024871325783077</v>
      </c>
      <c r="C489" s="21">
        <f t="shared" ca="1" si="84"/>
        <v>1481.8177871596927</v>
      </c>
      <c r="D489" s="21">
        <f t="shared" ca="1" si="80"/>
        <v>0.94194459283788068</v>
      </c>
      <c r="E489" s="21">
        <f t="shared" ca="1" si="87"/>
        <v>8.643819492421926</v>
      </c>
      <c r="F489" s="20" t="str">
        <f t="shared" ca="1" si="85"/>
        <v>No</v>
      </c>
      <c r="G489" s="21">
        <f t="shared" ca="1" si="81"/>
        <v>0</v>
      </c>
      <c r="H489" s="21">
        <f t="shared" ca="1" si="82"/>
        <v>1490.4616066521146</v>
      </c>
      <c r="I489" s="21">
        <f t="shared" ca="1" si="77"/>
        <v>1491.4035512449525</v>
      </c>
      <c r="J489" s="20">
        <f t="shared" ca="1" si="86"/>
        <v>3</v>
      </c>
      <c r="K489" s="20">
        <f t="shared" ca="1" si="78"/>
        <v>2</v>
      </c>
      <c r="L489" s="44">
        <f t="shared" ca="1" si="83"/>
        <v>2.5</v>
      </c>
    </row>
    <row r="490" spans="1:12" x14ac:dyDescent="0.25">
      <c r="A490" s="20">
        <v>482</v>
      </c>
      <c r="B490" s="21">
        <f t="shared" ca="1" si="79"/>
        <v>0.49325537455823326</v>
      </c>
      <c r="C490" s="21">
        <f t="shared" ca="1" si="84"/>
        <v>1482.3110425342509</v>
      </c>
      <c r="D490" s="21">
        <f t="shared" ca="1" si="80"/>
        <v>3.5891102691759107</v>
      </c>
      <c r="E490" s="21">
        <f t="shared" ca="1" si="87"/>
        <v>9.0925087107016225</v>
      </c>
      <c r="F490" s="20" t="str">
        <f t="shared" ca="1" si="85"/>
        <v>No</v>
      </c>
      <c r="G490" s="21">
        <f t="shared" ca="1" si="81"/>
        <v>0</v>
      </c>
      <c r="H490" s="21">
        <f t="shared" ca="1" si="82"/>
        <v>1491.4035512449525</v>
      </c>
      <c r="I490" s="21">
        <f t="shared" ca="1" si="77"/>
        <v>1494.9926615141285</v>
      </c>
      <c r="J490" s="20">
        <f t="shared" ca="1" si="86"/>
        <v>3</v>
      </c>
      <c r="K490" s="20">
        <f t="shared" ca="1" si="78"/>
        <v>4</v>
      </c>
      <c r="L490" s="44">
        <f t="shared" ca="1" si="83"/>
        <v>3.5</v>
      </c>
    </row>
    <row r="491" spans="1:12" x14ac:dyDescent="0.25">
      <c r="A491" s="20">
        <v>483</v>
      </c>
      <c r="B491" s="21">
        <f t="shared" ca="1" si="79"/>
        <v>8.654457612200801</v>
      </c>
      <c r="C491" s="21">
        <f t="shared" ca="1" si="84"/>
        <v>1490.9655001464516</v>
      </c>
      <c r="D491" s="21">
        <f t="shared" ca="1" si="80"/>
        <v>1.5205707218670388</v>
      </c>
      <c r="E491" s="21">
        <f t="shared" ca="1" si="87"/>
        <v>4.0271613676768538</v>
      </c>
      <c r="F491" s="20" t="str">
        <f t="shared" ca="1" si="85"/>
        <v>No</v>
      </c>
      <c r="G491" s="21">
        <f t="shared" ca="1" si="81"/>
        <v>0</v>
      </c>
      <c r="H491" s="21">
        <f t="shared" ca="1" si="82"/>
        <v>1494.9926615141285</v>
      </c>
      <c r="I491" s="21">
        <f t="shared" ca="1" si="77"/>
        <v>1496.5132322359955</v>
      </c>
      <c r="J491" s="20">
        <f t="shared" ca="1" si="86"/>
        <v>5</v>
      </c>
      <c r="K491" s="20">
        <f t="shared" ca="1" si="78"/>
        <v>4</v>
      </c>
      <c r="L491" s="44">
        <f t="shared" ca="1" si="83"/>
        <v>4.5</v>
      </c>
    </row>
    <row r="492" spans="1:12" x14ac:dyDescent="0.25">
      <c r="A492" s="20">
        <v>484</v>
      </c>
      <c r="B492" s="21">
        <f t="shared" ca="1" si="79"/>
        <v>3.0003410525985386</v>
      </c>
      <c r="C492" s="21">
        <f t="shared" ca="1" si="84"/>
        <v>1493.9658411990501</v>
      </c>
      <c r="D492" s="21">
        <f t="shared" ca="1" si="80"/>
        <v>0.16094072981457405</v>
      </c>
      <c r="E492" s="21">
        <f t="shared" ca="1" si="87"/>
        <v>2.5473910369453279</v>
      </c>
      <c r="F492" s="20" t="str">
        <f t="shared" ca="1" si="85"/>
        <v>No</v>
      </c>
      <c r="G492" s="21">
        <f t="shared" ca="1" si="81"/>
        <v>0</v>
      </c>
      <c r="H492" s="21">
        <f t="shared" ca="1" si="82"/>
        <v>1496.5132322359955</v>
      </c>
      <c r="I492" s="21">
        <f t="shared" ca="1" si="77"/>
        <v>1496.6741729658102</v>
      </c>
      <c r="J492" s="20">
        <f t="shared" ca="1" si="86"/>
        <v>5</v>
      </c>
      <c r="K492" s="20">
        <f t="shared" ca="1" si="78"/>
        <v>4</v>
      </c>
      <c r="L492" s="44">
        <f t="shared" ca="1" si="83"/>
        <v>4.5</v>
      </c>
    </row>
    <row r="493" spans="1:12" x14ac:dyDescent="0.25">
      <c r="A493" s="20">
        <v>485</v>
      </c>
      <c r="B493" s="21">
        <f t="shared" ca="1" si="79"/>
        <v>0.30263480700567863</v>
      </c>
      <c r="C493" s="21">
        <f t="shared" ca="1" si="84"/>
        <v>1494.2684760060558</v>
      </c>
      <c r="D493" s="21">
        <f t="shared" ca="1" si="80"/>
        <v>2.0809414837175386</v>
      </c>
      <c r="E493" s="21">
        <f t="shared" ca="1" si="87"/>
        <v>2.405696959754323</v>
      </c>
      <c r="F493" s="20" t="str">
        <f t="shared" ca="1" si="85"/>
        <v>No</v>
      </c>
      <c r="G493" s="21">
        <f t="shared" ca="1" si="81"/>
        <v>0</v>
      </c>
      <c r="H493" s="21">
        <f t="shared" ca="1" si="82"/>
        <v>1496.6741729658102</v>
      </c>
      <c r="I493" s="21">
        <f t="shared" ca="1" si="77"/>
        <v>1498.7551144495278</v>
      </c>
      <c r="J493" s="20">
        <f t="shared" ca="1" si="86"/>
        <v>5</v>
      </c>
      <c r="K493" s="20">
        <f t="shared" ca="1" si="78"/>
        <v>5</v>
      </c>
      <c r="L493" s="44">
        <f t="shared" ca="1" si="83"/>
        <v>5</v>
      </c>
    </row>
    <row r="494" spans="1:12" x14ac:dyDescent="0.25">
      <c r="A494" s="20">
        <v>486</v>
      </c>
      <c r="B494" s="21">
        <f t="shared" ca="1" si="79"/>
        <v>0.64488105166875831</v>
      </c>
      <c r="C494" s="21">
        <f t="shared" ca="1" si="84"/>
        <v>1494.9133570577246</v>
      </c>
      <c r="D494" s="21">
        <f t="shared" ca="1" si="80"/>
        <v>2.6113135047611222</v>
      </c>
      <c r="E494" s="21">
        <f t="shared" ca="1" si="87"/>
        <v>3.8417573918031849</v>
      </c>
      <c r="F494" s="20" t="str">
        <f t="shared" ca="1" si="85"/>
        <v>No</v>
      </c>
      <c r="G494" s="21">
        <f t="shared" ca="1" si="81"/>
        <v>0</v>
      </c>
      <c r="H494" s="21">
        <f t="shared" ca="1" si="82"/>
        <v>1498.7551144495278</v>
      </c>
      <c r="I494" s="21">
        <f t="shared" ca="1" si="77"/>
        <v>1501.3664279542888</v>
      </c>
      <c r="J494" s="20">
        <f t="shared" ca="1" si="86"/>
        <v>6</v>
      </c>
      <c r="K494" s="20">
        <f t="shared" ca="1" si="78"/>
        <v>5</v>
      </c>
      <c r="L494" s="44">
        <f t="shared" ca="1" si="83"/>
        <v>5.5</v>
      </c>
    </row>
    <row r="495" spans="1:12" x14ac:dyDescent="0.25">
      <c r="A495" s="20">
        <v>487</v>
      </c>
      <c r="B495" s="21">
        <f t="shared" ca="1" si="79"/>
        <v>1.5064601166593206</v>
      </c>
      <c r="C495" s="21">
        <f t="shared" ca="1" si="84"/>
        <v>1496.419817174384</v>
      </c>
      <c r="D495" s="21">
        <f t="shared" ca="1" si="80"/>
        <v>1.9519916687375523</v>
      </c>
      <c r="E495" s="21">
        <f t="shared" ca="1" si="87"/>
        <v>4.9466107799048586</v>
      </c>
      <c r="F495" s="20" t="str">
        <f t="shared" ca="1" si="85"/>
        <v>No</v>
      </c>
      <c r="G495" s="21">
        <f t="shared" ca="1" si="81"/>
        <v>0</v>
      </c>
      <c r="H495" s="21">
        <f t="shared" ca="1" si="82"/>
        <v>1501.3664279542888</v>
      </c>
      <c r="I495" s="21">
        <f t="shared" ca="1" si="77"/>
        <v>1503.3184196230263</v>
      </c>
      <c r="J495" s="20">
        <f t="shared" ca="1" si="86"/>
        <v>6</v>
      </c>
      <c r="K495" s="20">
        <f t="shared" ca="1" si="78"/>
        <v>4</v>
      </c>
      <c r="L495" s="44">
        <f t="shared" ca="1" si="83"/>
        <v>5</v>
      </c>
    </row>
    <row r="496" spans="1:12" x14ac:dyDescent="0.25">
      <c r="A496" s="20">
        <v>488</v>
      </c>
      <c r="B496" s="21">
        <f t="shared" ca="1" si="79"/>
        <v>0.15532318157954167</v>
      </c>
      <c r="C496" s="21">
        <f t="shared" ca="1" si="84"/>
        <v>1496.5751403559634</v>
      </c>
      <c r="D496" s="21">
        <f t="shared" ca="1" si="80"/>
        <v>2.6383796816612182</v>
      </c>
      <c r="E496" s="21">
        <f t="shared" ca="1" si="87"/>
        <v>6.7432792670629169</v>
      </c>
      <c r="F496" s="20" t="str">
        <f t="shared" ca="1" si="85"/>
        <v>No</v>
      </c>
      <c r="G496" s="21">
        <f t="shared" ca="1" si="81"/>
        <v>0</v>
      </c>
      <c r="H496" s="21">
        <f t="shared" ca="1" si="82"/>
        <v>1503.3184196230263</v>
      </c>
      <c r="I496" s="21">
        <f t="shared" ca="1" si="77"/>
        <v>1505.9567993046876</v>
      </c>
      <c r="J496" s="20">
        <f t="shared" ca="1" si="86"/>
        <v>5</v>
      </c>
      <c r="K496" s="20">
        <f t="shared" ca="1" si="78"/>
        <v>4</v>
      </c>
      <c r="L496" s="44">
        <f t="shared" ca="1" si="83"/>
        <v>4.5</v>
      </c>
    </row>
    <row r="497" spans="1:12" x14ac:dyDescent="0.25">
      <c r="A497" s="20">
        <v>489</v>
      </c>
      <c r="B497" s="21">
        <f t="shared" ca="1" si="79"/>
        <v>0.56784563973574975</v>
      </c>
      <c r="C497" s="21">
        <f t="shared" ca="1" si="84"/>
        <v>1497.1429859956991</v>
      </c>
      <c r="D497" s="21">
        <f t="shared" ca="1" si="80"/>
        <v>0.24819322685064807</v>
      </c>
      <c r="E497" s="21">
        <f t="shared" ca="1" si="87"/>
        <v>8.8138133089885287</v>
      </c>
      <c r="F497" s="20" t="str">
        <f t="shared" ca="1" si="85"/>
        <v>No</v>
      </c>
      <c r="G497" s="21">
        <f t="shared" ca="1" si="81"/>
        <v>0</v>
      </c>
      <c r="H497" s="21">
        <f t="shared" ca="1" si="82"/>
        <v>1505.9567993046876</v>
      </c>
      <c r="I497" s="21">
        <f t="shared" ca="1" si="77"/>
        <v>1506.2049925315382</v>
      </c>
      <c r="J497" s="20">
        <f t="shared" ca="1" si="86"/>
        <v>5</v>
      </c>
      <c r="K497" s="20">
        <f t="shared" ca="1" si="78"/>
        <v>3</v>
      </c>
      <c r="L497" s="44">
        <f t="shared" ca="1" si="83"/>
        <v>4</v>
      </c>
    </row>
    <row r="498" spans="1:12" x14ac:dyDescent="0.25">
      <c r="A498" s="20">
        <v>490</v>
      </c>
      <c r="B498" s="21">
        <f t="shared" ca="1" si="79"/>
        <v>0.70259075650485792</v>
      </c>
      <c r="C498" s="21">
        <f t="shared" ca="1" si="84"/>
        <v>1497.8455767522039</v>
      </c>
      <c r="D498" s="21">
        <f t="shared" ca="1" si="80"/>
        <v>4.2742117065944623</v>
      </c>
      <c r="E498" s="21">
        <f t="shared" ca="1" si="87"/>
        <v>8.3594157793343129</v>
      </c>
      <c r="F498" s="20" t="str">
        <f t="shared" ca="1" si="85"/>
        <v>No</v>
      </c>
      <c r="G498" s="21">
        <f t="shared" ca="1" si="81"/>
        <v>0</v>
      </c>
      <c r="H498" s="21">
        <f t="shared" ca="1" si="82"/>
        <v>1506.2049925315382</v>
      </c>
      <c r="I498" s="21">
        <f t="shared" ca="1" si="77"/>
        <v>1510.4792042381328</v>
      </c>
      <c r="J498" s="20">
        <f t="shared" ca="1" si="86"/>
        <v>4</v>
      </c>
      <c r="K498" s="20">
        <f t="shared" ca="1" si="78"/>
        <v>2</v>
      </c>
      <c r="L498" s="44">
        <f t="shared" ca="1" si="83"/>
        <v>3</v>
      </c>
    </row>
    <row r="499" spans="1:12" x14ac:dyDescent="0.25">
      <c r="A499" s="20">
        <v>491</v>
      </c>
      <c r="B499" s="21">
        <f t="shared" ca="1" si="79"/>
        <v>1.9706433601716733</v>
      </c>
      <c r="C499" s="21">
        <f t="shared" ca="1" si="84"/>
        <v>1499.8162201123755</v>
      </c>
      <c r="D499" s="21">
        <f t="shared" ca="1" si="80"/>
        <v>12.63511002218268</v>
      </c>
      <c r="E499" s="21">
        <f t="shared" ca="1" si="87"/>
        <v>10.662984125757248</v>
      </c>
      <c r="F499" s="20" t="str">
        <f t="shared" ca="1" si="85"/>
        <v>No</v>
      </c>
      <c r="G499" s="21">
        <f t="shared" ca="1" si="81"/>
        <v>0</v>
      </c>
      <c r="H499" s="21">
        <f t="shared" ca="1" si="82"/>
        <v>1510.4792042381328</v>
      </c>
      <c r="I499" s="21">
        <f t="shared" ca="1" si="77"/>
        <v>1523.1143142603155</v>
      </c>
      <c r="J499" s="20">
        <f t="shared" ca="1" si="86"/>
        <v>3</v>
      </c>
      <c r="K499" s="20">
        <f t="shared" ca="1" si="78"/>
        <v>4</v>
      </c>
      <c r="L499" s="44">
        <f t="shared" ca="1" si="83"/>
        <v>3.5</v>
      </c>
    </row>
    <row r="500" spans="1:12" x14ac:dyDescent="0.25">
      <c r="A500" s="20">
        <v>492</v>
      </c>
      <c r="B500" s="21">
        <f t="shared" ca="1" si="79"/>
        <v>5.0104604217078075</v>
      </c>
      <c r="C500" s="21">
        <f t="shared" ca="1" si="84"/>
        <v>1504.8266805340834</v>
      </c>
      <c r="D500" s="21">
        <f t="shared" ca="1" si="80"/>
        <v>0.29265285429342924</v>
      </c>
      <c r="E500" s="21">
        <f t="shared" ca="1" si="87"/>
        <v>18.287633726232116</v>
      </c>
      <c r="F500" s="20" t="str">
        <f t="shared" ca="1" si="85"/>
        <v>No</v>
      </c>
      <c r="G500" s="21">
        <f t="shared" ca="1" si="81"/>
        <v>0</v>
      </c>
      <c r="H500" s="21">
        <f t="shared" ca="1" si="82"/>
        <v>1523.1143142603155</v>
      </c>
      <c r="I500" s="21">
        <f t="shared" ca="1" si="77"/>
        <v>1523.406967114609</v>
      </c>
      <c r="J500" s="20">
        <f t="shared" ca="1" si="86"/>
        <v>5</v>
      </c>
      <c r="K500" s="20">
        <f t="shared" ca="1" si="78"/>
        <v>3</v>
      </c>
      <c r="L500" s="44">
        <f t="shared" ca="1" si="83"/>
        <v>4</v>
      </c>
    </row>
    <row r="501" spans="1:12" x14ac:dyDescent="0.25">
      <c r="A501" s="20">
        <v>493</v>
      </c>
      <c r="B501" s="21">
        <f t="shared" ca="1" si="79"/>
        <v>11.029444761104118</v>
      </c>
      <c r="C501" s="21">
        <f t="shared" ca="1" si="84"/>
        <v>1515.8561252951874</v>
      </c>
      <c r="D501" s="21">
        <f t="shared" ca="1" si="80"/>
        <v>5.056002181817961</v>
      </c>
      <c r="E501" s="21">
        <f t="shared" ca="1" si="87"/>
        <v>7.550841819421521</v>
      </c>
      <c r="F501" s="20" t="str">
        <f t="shared" ca="1" si="85"/>
        <v>No</v>
      </c>
      <c r="G501" s="21">
        <f t="shared" ca="1" si="81"/>
        <v>0</v>
      </c>
      <c r="H501" s="21">
        <f t="shared" ca="1" si="82"/>
        <v>1523.406967114609</v>
      </c>
      <c r="I501" s="21">
        <f t="shared" ca="1" si="77"/>
        <v>1528.462969296427</v>
      </c>
      <c r="J501" s="20">
        <f t="shared" ca="1" si="86"/>
        <v>4</v>
      </c>
      <c r="K501" s="20">
        <f t="shared" ca="1" si="78"/>
        <v>3</v>
      </c>
      <c r="L501" s="44">
        <f t="shared" ca="1" si="83"/>
        <v>3.5</v>
      </c>
    </row>
    <row r="502" spans="1:12" x14ac:dyDescent="0.25">
      <c r="A502" s="20">
        <v>494</v>
      </c>
      <c r="B502" s="21">
        <f t="shared" ca="1" si="79"/>
        <v>0.34885481441900201</v>
      </c>
      <c r="C502" s="21">
        <f t="shared" ca="1" si="84"/>
        <v>1516.2049801096064</v>
      </c>
      <c r="D502" s="21">
        <f t="shared" ca="1" si="80"/>
        <v>1.1254416855596521</v>
      </c>
      <c r="E502" s="21">
        <f t="shared" ca="1" si="87"/>
        <v>12.257989186820623</v>
      </c>
      <c r="F502" s="20" t="str">
        <f t="shared" ca="1" si="85"/>
        <v>No</v>
      </c>
      <c r="G502" s="21">
        <f t="shared" ca="1" si="81"/>
        <v>0</v>
      </c>
      <c r="H502" s="21">
        <f t="shared" ca="1" si="82"/>
        <v>1528.462969296427</v>
      </c>
      <c r="I502" s="21">
        <f t="shared" ca="1" si="77"/>
        <v>1529.5884109819867</v>
      </c>
      <c r="J502" s="20">
        <f t="shared" ca="1" si="86"/>
        <v>4</v>
      </c>
      <c r="K502" s="20">
        <f t="shared" ca="1" si="78"/>
        <v>3</v>
      </c>
      <c r="L502" s="44">
        <f t="shared" ca="1" si="83"/>
        <v>3.5</v>
      </c>
    </row>
    <row r="503" spans="1:12" x14ac:dyDescent="0.25">
      <c r="A503" s="20">
        <v>495</v>
      </c>
      <c r="B503" s="21">
        <f t="shared" ca="1" si="79"/>
        <v>5.3359289770161435</v>
      </c>
      <c r="C503" s="21">
        <f t="shared" ca="1" si="84"/>
        <v>1521.5409090866226</v>
      </c>
      <c r="D503" s="21">
        <f t="shared" ca="1" si="80"/>
        <v>0.42650461863242606</v>
      </c>
      <c r="E503" s="21">
        <f t="shared" ca="1" si="87"/>
        <v>8.0475018953641211</v>
      </c>
      <c r="F503" s="20" t="str">
        <f t="shared" ca="1" si="85"/>
        <v>No</v>
      </c>
      <c r="G503" s="21">
        <f t="shared" ca="1" si="81"/>
        <v>0</v>
      </c>
      <c r="H503" s="21">
        <f t="shared" ca="1" si="82"/>
        <v>1529.5884109819867</v>
      </c>
      <c r="I503" s="21">
        <f t="shared" ca="1" si="77"/>
        <v>1530.0149156006191</v>
      </c>
      <c r="J503" s="20">
        <f t="shared" ca="1" si="86"/>
        <v>4</v>
      </c>
      <c r="K503" s="20">
        <f t="shared" ca="1" si="78"/>
        <v>2</v>
      </c>
      <c r="L503" s="44">
        <f t="shared" ca="1" si="83"/>
        <v>3</v>
      </c>
    </row>
    <row r="504" spans="1:12" x14ac:dyDescent="0.25">
      <c r="A504" s="20">
        <v>496</v>
      </c>
      <c r="B504" s="21">
        <f t="shared" ca="1" si="79"/>
        <v>5.7559610006918831</v>
      </c>
      <c r="C504" s="21">
        <f t="shared" ca="1" si="84"/>
        <v>1527.2968700873146</v>
      </c>
      <c r="D504" s="21">
        <f t="shared" ca="1" si="80"/>
        <v>7.0074571732333233</v>
      </c>
      <c r="E504" s="21">
        <f t="shared" ca="1" si="87"/>
        <v>2.7180455133045598</v>
      </c>
      <c r="F504" s="20" t="str">
        <f t="shared" ca="1" si="85"/>
        <v>No</v>
      </c>
      <c r="G504" s="21">
        <f t="shared" ca="1" si="81"/>
        <v>0</v>
      </c>
      <c r="H504" s="21">
        <f t="shared" ca="1" si="82"/>
        <v>1530.0149156006191</v>
      </c>
      <c r="I504" s="21">
        <f t="shared" ca="1" si="77"/>
        <v>1537.0223727738526</v>
      </c>
      <c r="J504" s="20">
        <f t="shared" ca="1" si="86"/>
        <v>3</v>
      </c>
      <c r="K504" s="20">
        <f t="shared" ca="1" si="78"/>
        <v>2</v>
      </c>
      <c r="L504" s="44">
        <f t="shared" ca="1" si="83"/>
        <v>2.5</v>
      </c>
    </row>
    <row r="505" spans="1:12" x14ac:dyDescent="0.25">
      <c r="A505" s="20">
        <v>497</v>
      </c>
      <c r="B505" s="21">
        <f t="shared" ca="1" si="79"/>
        <v>1.4939758364015245</v>
      </c>
      <c r="C505" s="21">
        <f t="shared" ca="1" si="84"/>
        <v>1528.790845923716</v>
      </c>
      <c r="D505" s="21">
        <f t="shared" ca="1" si="80"/>
        <v>1.6405441018085909</v>
      </c>
      <c r="E505" s="21">
        <f t="shared" ca="1" si="87"/>
        <v>8.2315268501365608</v>
      </c>
      <c r="F505" s="20" t="str">
        <f t="shared" ca="1" si="85"/>
        <v>No</v>
      </c>
      <c r="G505" s="21">
        <f t="shared" ca="1" si="81"/>
        <v>0</v>
      </c>
      <c r="H505" s="21">
        <f t="shared" ca="1" si="82"/>
        <v>1537.0223727738526</v>
      </c>
      <c r="I505" s="21">
        <f t="shared" ca="1" si="77"/>
        <v>1538.6629168756613</v>
      </c>
      <c r="J505" s="20">
        <f t="shared" ca="1" si="86"/>
        <v>3</v>
      </c>
      <c r="K505" s="20">
        <f t="shared" ca="1" si="78"/>
        <v>1</v>
      </c>
      <c r="L505" s="44">
        <f t="shared" ca="1" si="83"/>
        <v>2</v>
      </c>
    </row>
    <row r="506" spans="1:12" x14ac:dyDescent="0.25">
      <c r="A506" s="20">
        <v>498</v>
      </c>
      <c r="B506" s="21">
        <f t="shared" ca="1" si="79"/>
        <v>4.7478789084770998</v>
      </c>
      <c r="C506" s="21">
        <f t="shared" ca="1" si="84"/>
        <v>1533.5387248321931</v>
      </c>
      <c r="D506" s="21">
        <f t="shared" ca="1" si="80"/>
        <v>1.5828101067603741</v>
      </c>
      <c r="E506" s="21">
        <f t="shared" ca="1" si="87"/>
        <v>5.124192043468156</v>
      </c>
      <c r="F506" s="20" t="str">
        <f t="shared" ca="1" si="85"/>
        <v>No</v>
      </c>
      <c r="G506" s="21">
        <f t="shared" ca="1" si="81"/>
        <v>0</v>
      </c>
      <c r="H506" s="21">
        <f t="shared" ca="1" si="82"/>
        <v>1538.6629168756613</v>
      </c>
      <c r="I506" s="21">
        <f t="shared" ca="1" si="77"/>
        <v>1540.2457269824217</v>
      </c>
      <c r="J506" s="20">
        <f t="shared" ca="1" si="86"/>
        <v>2</v>
      </c>
      <c r="K506" s="20">
        <f t="shared" ca="1" si="78"/>
        <v>1</v>
      </c>
      <c r="L506" s="44">
        <f t="shared" ca="1" si="83"/>
        <v>1.5</v>
      </c>
    </row>
    <row r="507" spans="1:12" x14ac:dyDescent="0.25">
      <c r="A507" s="20">
        <v>499</v>
      </c>
      <c r="B507" s="21">
        <f t="shared" ca="1" si="79"/>
        <v>6.151560046179541</v>
      </c>
      <c r="C507" s="21">
        <f t="shared" ca="1" si="84"/>
        <v>1539.6902848783727</v>
      </c>
      <c r="D507" s="21">
        <f t="shared" ca="1" si="80"/>
        <v>3.2990082177229421</v>
      </c>
      <c r="E507" s="21">
        <f t="shared" ca="1" si="87"/>
        <v>0.55544210404900696</v>
      </c>
      <c r="F507" s="20" t="str">
        <f t="shared" ca="1" si="85"/>
        <v>No</v>
      </c>
      <c r="G507" s="21">
        <f t="shared" ca="1" si="81"/>
        <v>0</v>
      </c>
      <c r="H507" s="21">
        <f t="shared" ca="1" si="82"/>
        <v>1540.2457269824217</v>
      </c>
      <c r="I507" s="21">
        <f t="shared" ca="1" si="77"/>
        <v>1543.5447352001447</v>
      </c>
      <c r="J507" s="20">
        <f t="shared" ca="1" si="86"/>
        <v>2</v>
      </c>
      <c r="K507" s="20">
        <f t="shared" ca="1" si="78"/>
        <v>0</v>
      </c>
      <c r="L507" s="44">
        <f t="shared" ca="1" si="83"/>
        <v>1</v>
      </c>
    </row>
    <row r="508" spans="1:12" x14ac:dyDescent="0.25">
      <c r="A508" s="20">
        <v>500</v>
      </c>
      <c r="B508" s="21">
        <f t="shared" ca="1" si="79"/>
        <v>5.3760660367518396</v>
      </c>
      <c r="C508" s="21">
        <f t="shared" ca="1" si="84"/>
        <v>1545.0663509151245</v>
      </c>
      <c r="D508" s="21">
        <f t="shared" ca="1" si="80"/>
        <v>1.2431183269726866</v>
      </c>
      <c r="E508" s="21">
        <f t="shared" ca="1" si="87"/>
        <v>0</v>
      </c>
      <c r="F508" s="20" t="str">
        <f t="shared" ca="1" si="85"/>
        <v>Yes</v>
      </c>
      <c r="G508" s="21">
        <f t="shared" ca="1" si="81"/>
        <v>1.5216157149798164</v>
      </c>
      <c r="H508" s="21">
        <f t="shared" ca="1" si="82"/>
        <v>1545.0663509151245</v>
      </c>
      <c r="I508" s="21">
        <f t="shared" ca="1" si="77"/>
        <v>1546.3094692420973</v>
      </c>
      <c r="J508" s="20">
        <f t="shared" ca="1" si="86"/>
        <v>0</v>
      </c>
      <c r="K508" s="20">
        <f t="shared" ca="1" si="78"/>
        <v>2</v>
      </c>
      <c r="L508" s="44">
        <f t="shared" ca="1" si="83"/>
        <v>1</v>
      </c>
    </row>
    <row r="509" spans="1:12" x14ac:dyDescent="0.25">
      <c r="A509" s="20">
        <v>501</v>
      </c>
      <c r="B509" s="21">
        <f t="shared" ca="1" si="79"/>
        <v>0.23495368395525984</v>
      </c>
      <c r="C509" s="21">
        <f t="shared" ca="1" si="84"/>
        <v>1545.3013045990797</v>
      </c>
      <c r="D509" s="21">
        <f t="shared" ca="1" si="80"/>
        <v>6.7529717049934144</v>
      </c>
      <c r="E509" s="21">
        <f t="shared" ca="1" si="87"/>
        <v>1.0081646430176079</v>
      </c>
      <c r="F509" s="20" t="str">
        <f t="shared" ca="1" si="85"/>
        <v>No</v>
      </c>
      <c r="G509" s="21">
        <f t="shared" ca="1" si="81"/>
        <v>0</v>
      </c>
      <c r="H509" s="21">
        <f t="shared" ca="1" si="82"/>
        <v>1546.3094692420973</v>
      </c>
      <c r="I509" s="21">
        <f t="shared" ca="1" si="77"/>
        <v>1553.0624409470906</v>
      </c>
      <c r="J509" s="20">
        <f t="shared" ca="1" si="86"/>
        <v>3</v>
      </c>
      <c r="K509" s="20">
        <f t="shared" ca="1" si="78"/>
        <v>5</v>
      </c>
      <c r="L509" s="44">
        <f t="shared" ca="1" si="83"/>
        <v>4</v>
      </c>
    </row>
    <row r="510" spans="1:12" x14ac:dyDescent="0.25">
      <c r="A510" s="20">
        <v>502</v>
      </c>
      <c r="B510" s="21">
        <f t="shared" ca="1" si="79"/>
        <v>0.91597622898279241</v>
      </c>
      <c r="C510" s="21">
        <f t="shared" ca="1" si="84"/>
        <v>1546.2172808280625</v>
      </c>
      <c r="D510" s="21">
        <f t="shared" ca="1" si="80"/>
        <v>1.2128944391688141</v>
      </c>
      <c r="E510" s="21">
        <f t="shared" ca="1" si="87"/>
        <v>6.8451601190281508</v>
      </c>
      <c r="F510" s="20" t="str">
        <f t="shared" ca="1" si="85"/>
        <v>No</v>
      </c>
      <c r="G510" s="21">
        <f t="shared" ca="1" si="81"/>
        <v>0</v>
      </c>
      <c r="H510" s="21">
        <f t="shared" ca="1" si="82"/>
        <v>1553.0624409470906</v>
      </c>
      <c r="I510" s="21">
        <f t="shared" ca="1" si="77"/>
        <v>1554.2753353862595</v>
      </c>
      <c r="J510" s="20">
        <f t="shared" ca="1" si="86"/>
        <v>6</v>
      </c>
      <c r="K510" s="20">
        <f t="shared" ca="1" si="78"/>
        <v>4</v>
      </c>
      <c r="L510" s="44">
        <f t="shared" ca="1" si="83"/>
        <v>5</v>
      </c>
    </row>
    <row r="511" spans="1:12" x14ac:dyDescent="0.25">
      <c r="A511" s="20">
        <v>503</v>
      </c>
      <c r="B511" s="21">
        <f t="shared" ca="1" si="79"/>
        <v>0.41176104408694286</v>
      </c>
      <c r="C511" s="21">
        <f t="shared" ca="1" si="84"/>
        <v>1546.6290418721494</v>
      </c>
      <c r="D511" s="21">
        <f t="shared" ca="1" si="80"/>
        <v>8.6208940175377791</v>
      </c>
      <c r="E511" s="21">
        <f t="shared" ca="1" si="87"/>
        <v>7.6462935141100843</v>
      </c>
      <c r="F511" s="20" t="str">
        <f t="shared" ca="1" si="85"/>
        <v>No</v>
      </c>
      <c r="G511" s="21">
        <f t="shared" ca="1" si="81"/>
        <v>0</v>
      </c>
      <c r="H511" s="21">
        <f t="shared" ca="1" si="82"/>
        <v>1554.2753353862595</v>
      </c>
      <c r="I511" s="21">
        <f t="shared" ca="1" si="77"/>
        <v>1562.8962294037972</v>
      </c>
      <c r="J511" s="20">
        <f t="shared" ca="1" si="86"/>
        <v>5</v>
      </c>
      <c r="K511" s="20">
        <f t="shared" ca="1" si="78"/>
        <v>5</v>
      </c>
      <c r="L511" s="44">
        <f t="shared" ca="1" si="83"/>
        <v>5</v>
      </c>
    </row>
    <row r="512" spans="1:12" x14ac:dyDescent="0.25">
      <c r="A512" s="20">
        <v>504</v>
      </c>
      <c r="B512" s="21">
        <f t="shared" ca="1" si="79"/>
        <v>1.6766440743780471</v>
      </c>
      <c r="C512" s="21">
        <f t="shared" ca="1" si="84"/>
        <v>1548.3056859465275</v>
      </c>
      <c r="D512" s="21">
        <f t="shared" ca="1" si="80"/>
        <v>0.436068658263426</v>
      </c>
      <c r="E512" s="21">
        <f t="shared" ca="1" si="87"/>
        <v>14.590543457269632</v>
      </c>
      <c r="F512" s="20" t="str">
        <f t="shared" ca="1" si="85"/>
        <v>No</v>
      </c>
      <c r="G512" s="21">
        <f t="shared" ca="1" si="81"/>
        <v>0</v>
      </c>
      <c r="H512" s="21">
        <f t="shared" ca="1" si="82"/>
        <v>1562.8962294037972</v>
      </c>
      <c r="I512" s="21">
        <f t="shared" ca="1" si="77"/>
        <v>1563.3322980620605</v>
      </c>
      <c r="J512" s="20">
        <f t="shared" ca="1" si="86"/>
        <v>6</v>
      </c>
      <c r="K512" s="20">
        <f t="shared" ca="1" si="78"/>
        <v>5</v>
      </c>
      <c r="L512" s="44">
        <f t="shared" ca="1" si="83"/>
        <v>5.5</v>
      </c>
    </row>
    <row r="513" spans="1:12" x14ac:dyDescent="0.25">
      <c r="A513" s="20">
        <v>505</v>
      </c>
      <c r="B513" s="21">
        <f t="shared" ca="1" si="79"/>
        <v>2.3687372075875053</v>
      </c>
      <c r="C513" s="21">
        <f t="shared" ca="1" si="84"/>
        <v>1550.6744231541149</v>
      </c>
      <c r="D513" s="21">
        <f t="shared" ca="1" si="80"/>
        <v>0.32700702298326517</v>
      </c>
      <c r="E513" s="21">
        <f t="shared" ca="1" si="87"/>
        <v>12.657874907945597</v>
      </c>
      <c r="F513" s="20" t="str">
        <f t="shared" ca="1" si="85"/>
        <v>No</v>
      </c>
      <c r="G513" s="21">
        <f t="shared" ca="1" si="81"/>
        <v>0</v>
      </c>
      <c r="H513" s="21">
        <f t="shared" ca="1" si="82"/>
        <v>1563.3322980620605</v>
      </c>
      <c r="I513" s="21">
        <f t="shared" ca="1" si="77"/>
        <v>1563.6593050850438</v>
      </c>
      <c r="J513" s="20">
        <f t="shared" ca="1" si="86"/>
        <v>6</v>
      </c>
      <c r="K513" s="20">
        <f t="shared" ca="1" si="78"/>
        <v>5</v>
      </c>
      <c r="L513" s="44">
        <f t="shared" ca="1" si="83"/>
        <v>5.5</v>
      </c>
    </row>
    <row r="514" spans="1:12" x14ac:dyDescent="0.25">
      <c r="A514" s="20">
        <v>506</v>
      </c>
      <c r="B514" s="21">
        <f t="shared" ca="1" si="79"/>
        <v>1.6778948129005549</v>
      </c>
      <c r="C514" s="21">
        <f t="shared" ca="1" si="84"/>
        <v>1552.3523179670156</v>
      </c>
      <c r="D514" s="21">
        <f t="shared" ca="1" si="80"/>
        <v>4.066204333794297</v>
      </c>
      <c r="E514" s="21">
        <f t="shared" ca="1" si="87"/>
        <v>11.306987118028246</v>
      </c>
      <c r="F514" s="20" t="str">
        <f t="shared" ca="1" si="85"/>
        <v>No</v>
      </c>
      <c r="G514" s="21">
        <f t="shared" ca="1" si="81"/>
        <v>0</v>
      </c>
      <c r="H514" s="21">
        <f t="shared" ca="1" si="82"/>
        <v>1563.6593050850438</v>
      </c>
      <c r="I514" s="21">
        <f t="shared" ca="1" si="77"/>
        <v>1567.7255094188381</v>
      </c>
      <c r="J514" s="20">
        <f t="shared" ca="1" si="86"/>
        <v>6</v>
      </c>
      <c r="K514" s="20">
        <f t="shared" ca="1" si="78"/>
        <v>4</v>
      </c>
      <c r="L514" s="44">
        <f t="shared" ca="1" si="83"/>
        <v>5</v>
      </c>
    </row>
    <row r="515" spans="1:12" x14ac:dyDescent="0.25">
      <c r="A515" s="20">
        <v>507</v>
      </c>
      <c r="B515" s="21">
        <f t="shared" ca="1" si="79"/>
        <v>5.3368866251626317</v>
      </c>
      <c r="C515" s="21">
        <f t="shared" ca="1" si="84"/>
        <v>1557.6892045921782</v>
      </c>
      <c r="D515" s="21">
        <f t="shared" ca="1" si="80"/>
        <v>5.1585099104305962E-2</v>
      </c>
      <c r="E515" s="21">
        <f t="shared" ca="1" si="87"/>
        <v>10.036304826659944</v>
      </c>
      <c r="F515" s="20" t="str">
        <f t="shared" ca="1" si="85"/>
        <v>No</v>
      </c>
      <c r="G515" s="21">
        <f t="shared" ca="1" si="81"/>
        <v>0</v>
      </c>
      <c r="H515" s="21">
        <f t="shared" ca="1" si="82"/>
        <v>1567.7255094188381</v>
      </c>
      <c r="I515" s="21">
        <f t="shared" ca="1" si="77"/>
        <v>1567.7770945179425</v>
      </c>
      <c r="J515" s="20">
        <f t="shared" ca="1" si="86"/>
        <v>5</v>
      </c>
      <c r="K515" s="20">
        <f t="shared" ca="1" si="78"/>
        <v>3</v>
      </c>
      <c r="L515" s="44">
        <f t="shared" ca="1" si="83"/>
        <v>4</v>
      </c>
    </row>
    <row r="516" spans="1:12" x14ac:dyDescent="0.25">
      <c r="A516" s="20">
        <v>508</v>
      </c>
      <c r="B516" s="21">
        <f t="shared" ca="1" si="79"/>
        <v>1.6463828725238576</v>
      </c>
      <c r="C516" s="21">
        <f t="shared" ca="1" si="84"/>
        <v>1559.335587464702</v>
      </c>
      <c r="D516" s="21">
        <f t="shared" ca="1" si="80"/>
        <v>9.2062004852289689</v>
      </c>
      <c r="E516" s="21">
        <f t="shared" ca="1" si="87"/>
        <v>8.441507053240457</v>
      </c>
      <c r="F516" s="20" t="str">
        <f t="shared" ca="1" si="85"/>
        <v>No</v>
      </c>
      <c r="G516" s="21">
        <f t="shared" ca="1" si="81"/>
        <v>0</v>
      </c>
      <c r="H516" s="21">
        <f t="shared" ca="1" si="82"/>
        <v>1567.7770945179425</v>
      </c>
      <c r="I516" s="21">
        <f t="shared" ca="1" si="77"/>
        <v>1576.9832950031714</v>
      </c>
      <c r="J516" s="20">
        <f t="shared" ca="1" si="86"/>
        <v>4</v>
      </c>
      <c r="K516" s="20">
        <f t="shared" ca="1" si="78"/>
        <v>5</v>
      </c>
      <c r="L516" s="44">
        <f t="shared" ca="1" si="83"/>
        <v>4.5</v>
      </c>
    </row>
    <row r="517" spans="1:12" x14ac:dyDescent="0.25">
      <c r="A517" s="20">
        <v>509</v>
      </c>
      <c r="B517" s="21">
        <f t="shared" ca="1" si="79"/>
        <v>0.62053787155090856</v>
      </c>
      <c r="C517" s="21">
        <f t="shared" ca="1" si="84"/>
        <v>1559.9561253362529</v>
      </c>
      <c r="D517" s="21">
        <f t="shared" ca="1" si="80"/>
        <v>0.2461108451184911</v>
      </c>
      <c r="E517" s="21">
        <f t="shared" ca="1" si="87"/>
        <v>17.027169666918553</v>
      </c>
      <c r="F517" s="20" t="str">
        <f t="shared" ca="1" si="85"/>
        <v>No</v>
      </c>
      <c r="G517" s="21">
        <f t="shared" ca="1" si="81"/>
        <v>0</v>
      </c>
      <c r="H517" s="21">
        <f t="shared" ca="1" si="82"/>
        <v>1576.9832950031714</v>
      </c>
      <c r="I517" s="21">
        <f t="shared" ca="1" si="77"/>
        <v>1577.2294058482898</v>
      </c>
      <c r="J517" s="20">
        <f t="shared" ca="1" si="86"/>
        <v>6</v>
      </c>
      <c r="K517" s="20">
        <f t="shared" ca="1" si="78"/>
        <v>4</v>
      </c>
      <c r="L517" s="44">
        <f t="shared" ca="1" si="83"/>
        <v>5</v>
      </c>
    </row>
    <row r="518" spans="1:12" x14ac:dyDescent="0.25">
      <c r="A518" s="20">
        <v>510</v>
      </c>
      <c r="B518" s="21">
        <f t="shared" ca="1" si="79"/>
        <v>1.6155349256258906</v>
      </c>
      <c r="C518" s="21">
        <f t="shared" ca="1" si="84"/>
        <v>1561.5716602618788</v>
      </c>
      <c r="D518" s="21">
        <f t="shared" ca="1" si="80"/>
        <v>1.5286604020357997</v>
      </c>
      <c r="E518" s="21">
        <f t="shared" ca="1" si="87"/>
        <v>15.657745586411011</v>
      </c>
      <c r="F518" s="20" t="str">
        <f t="shared" ca="1" si="85"/>
        <v>No</v>
      </c>
      <c r="G518" s="21">
        <f t="shared" ca="1" si="81"/>
        <v>0</v>
      </c>
      <c r="H518" s="21">
        <f t="shared" ca="1" si="82"/>
        <v>1577.2294058482898</v>
      </c>
      <c r="I518" s="21">
        <f t="shared" ca="1" si="77"/>
        <v>1578.7580662503256</v>
      </c>
      <c r="J518" s="20">
        <f t="shared" ca="1" si="86"/>
        <v>5</v>
      </c>
      <c r="K518" s="20">
        <f t="shared" ca="1" si="78"/>
        <v>3</v>
      </c>
      <c r="L518" s="44">
        <f t="shared" ca="1" si="83"/>
        <v>4</v>
      </c>
    </row>
    <row r="519" spans="1:12" x14ac:dyDescent="0.25">
      <c r="A519" s="20">
        <v>511</v>
      </c>
      <c r="B519" s="21">
        <f t="shared" ca="1" si="79"/>
        <v>10.642573336859128</v>
      </c>
      <c r="C519" s="21">
        <f t="shared" ca="1" si="84"/>
        <v>1572.214233598738</v>
      </c>
      <c r="D519" s="21">
        <f t="shared" ca="1" si="80"/>
        <v>2.0742065351111026E-2</v>
      </c>
      <c r="E519" s="21">
        <f t="shared" ca="1" si="87"/>
        <v>6.543832651587536</v>
      </c>
      <c r="F519" s="20" t="str">
        <f t="shared" ca="1" si="85"/>
        <v>No</v>
      </c>
      <c r="G519" s="21">
        <f t="shared" ca="1" si="81"/>
        <v>0</v>
      </c>
      <c r="H519" s="21">
        <f t="shared" ca="1" si="82"/>
        <v>1578.7580662503256</v>
      </c>
      <c r="I519" s="21">
        <f t="shared" ca="1" si="77"/>
        <v>1578.7788083156768</v>
      </c>
      <c r="J519" s="20">
        <f t="shared" ca="1" si="86"/>
        <v>4</v>
      </c>
      <c r="K519" s="20">
        <f t="shared" ca="1" si="78"/>
        <v>2</v>
      </c>
      <c r="L519" s="44">
        <f t="shared" ca="1" si="83"/>
        <v>3</v>
      </c>
    </row>
    <row r="520" spans="1:12" x14ac:dyDescent="0.25">
      <c r="A520" s="20">
        <v>512</v>
      </c>
      <c r="B520" s="21">
        <f t="shared" ca="1" si="79"/>
        <v>0.18974895641665199</v>
      </c>
      <c r="C520" s="21">
        <f t="shared" ca="1" si="84"/>
        <v>1572.4039825551547</v>
      </c>
      <c r="D520" s="21">
        <f t="shared" ca="1" si="80"/>
        <v>12.743597443976329</v>
      </c>
      <c r="E520" s="21">
        <f t="shared" ca="1" si="87"/>
        <v>6.3748257605220715</v>
      </c>
      <c r="F520" s="20" t="str">
        <f t="shared" ca="1" si="85"/>
        <v>No</v>
      </c>
      <c r="G520" s="21">
        <f t="shared" ca="1" si="81"/>
        <v>0</v>
      </c>
      <c r="H520" s="21">
        <f t="shared" ca="1" si="82"/>
        <v>1578.7788083156768</v>
      </c>
      <c r="I520" s="21">
        <f t="shared" ca="1" si="77"/>
        <v>1591.5224057596531</v>
      </c>
      <c r="J520" s="20">
        <f t="shared" ca="1" si="86"/>
        <v>3</v>
      </c>
      <c r="K520" s="20">
        <f t="shared" ca="1" si="78"/>
        <v>4</v>
      </c>
      <c r="L520" s="44">
        <f t="shared" ca="1" si="83"/>
        <v>3.5</v>
      </c>
    </row>
    <row r="521" spans="1:12" x14ac:dyDescent="0.25">
      <c r="A521" s="20">
        <v>513</v>
      </c>
      <c r="B521" s="21">
        <f t="shared" ca="1" si="79"/>
        <v>1.708287199096804</v>
      </c>
      <c r="C521" s="21">
        <f t="shared" ca="1" si="84"/>
        <v>1574.1122697542514</v>
      </c>
      <c r="D521" s="21">
        <f t="shared" ca="1" si="80"/>
        <v>3.2567651136755642</v>
      </c>
      <c r="E521" s="21">
        <f t="shared" ca="1" si="87"/>
        <v>17.410136005401682</v>
      </c>
      <c r="F521" s="20" t="str">
        <f t="shared" ca="1" si="85"/>
        <v>No</v>
      </c>
      <c r="G521" s="21">
        <f t="shared" ca="1" si="81"/>
        <v>0</v>
      </c>
      <c r="H521" s="21">
        <f t="shared" ca="1" si="82"/>
        <v>1591.5224057596531</v>
      </c>
      <c r="I521" s="21">
        <f t="shared" ref="I521:I584" ca="1" si="88">$H521+$D521</f>
        <v>1594.7791708733287</v>
      </c>
      <c r="J521" s="20">
        <f t="shared" ca="1" si="86"/>
        <v>5</v>
      </c>
      <c r="K521" s="20">
        <f t="shared" ref="K521:K584" ca="1" si="89">IF($I521&lt;=$C522,0,IF($I521&lt;=$C523,1,IF($I521&lt;=$C524,2,IF($I521&lt;=$C525,3,IF($I521&lt;=$C526,4,5)))))</f>
        <v>4</v>
      </c>
      <c r="L521" s="44">
        <f t="shared" ca="1" si="83"/>
        <v>4.5</v>
      </c>
    </row>
    <row r="522" spans="1:12" x14ac:dyDescent="0.25">
      <c r="A522" s="20">
        <v>514</v>
      </c>
      <c r="B522" s="21">
        <f t="shared" ref="B522:B585" ca="1" si="90">-LN(RAND())/$D$4</f>
        <v>4.9338576647009411</v>
      </c>
      <c r="C522" s="21">
        <f t="shared" ca="1" si="84"/>
        <v>1579.0461274189524</v>
      </c>
      <c r="D522" s="21">
        <f t="shared" ref="D522:D585" ca="1" si="91">-LN(RAND())/$D$6</f>
        <v>1.7417142091526885</v>
      </c>
      <c r="E522" s="21">
        <f t="shared" ca="1" si="87"/>
        <v>15.733043454376229</v>
      </c>
      <c r="F522" s="20" t="str">
        <f t="shared" ca="1" si="85"/>
        <v>No</v>
      </c>
      <c r="G522" s="21">
        <f t="shared" ref="G522:G585" ca="1" si="92">IF($I521&lt;=$C522,$C522-$I521,0)</f>
        <v>0</v>
      </c>
      <c r="H522" s="21">
        <f t="shared" ref="H522:H585" ca="1" si="93">IF($I521&lt;=$C522,$C522,$I521)</f>
        <v>1594.7791708733287</v>
      </c>
      <c r="I522" s="21">
        <f t="shared" ca="1" si="88"/>
        <v>1596.5208850824813</v>
      </c>
      <c r="J522" s="20">
        <f t="shared" ca="1" si="86"/>
        <v>5</v>
      </c>
      <c r="K522" s="20">
        <f t="shared" ca="1" si="89"/>
        <v>3</v>
      </c>
      <c r="L522" s="44">
        <f t="shared" ref="L522:L585" ca="1" si="94">(J522+K522)/2</f>
        <v>4</v>
      </c>
    </row>
    <row r="523" spans="1:12" x14ac:dyDescent="0.25">
      <c r="A523" s="20">
        <v>515</v>
      </c>
      <c r="B523" s="21">
        <f t="shared" ca="1" si="90"/>
        <v>0.22327253555647969</v>
      </c>
      <c r="C523" s="21">
        <f t="shared" ref="C523:C586" ca="1" si="95">$C522+$B523</f>
        <v>1579.269399954509</v>
      </c>
      <c r="D523" s="21">
        <f t="shared" ca="1" si="91"/>
        <v>1.291390189574281</v>
      </c>
      <c r="E523" s="21">
        <f t="shared" ca="1" si="87"/>
        <v>17.251485127972273</v>
      </c>
      <c r="F523" s="20" t="str">
        <f t="shared" ref="F523:F586" ca="1" si="96">IF(E523=0,"Yes","No")</f>
        <v>No</v>
      </c>
      <c r="G523" s="21">
        <f t="shared" ca="1" si="92"/>
        <v>0</v>
      </c>
      <c r="H523" s="21">
        <f t="shared" ca="1" si="93"/>
        <v>1596.5208850824813</v>
      </c>
      <c r="I523" s="21">
        <f t="shared" ca="1" si="88"/>
        <v>1597.8122752720556</v>
      </c>
      <c r="J523" s="20">
        <f t="shared" ref="J523:J586" ca="1" si="97">IF($I522&lt;=$C523,0,$K522+1)</f>
        <v>4</v>
      </c>
      <c r="K523" s="20">
        <f t="shared" ca="1" si="89"/>
        <v>3</v>
      </c>
      <c r="L523" s="44">
        <f t="shared" ca="1" si="94"/>
        <v>3.5</v>
      </c>
    </row>
    <row r="524" spans="1:12" x14ac:dyDescent="0.25">
      <c r="A524" s="20">
        <v>516</v>
      </c>
      <c r="B524" s="21">
        <f t="shared" ca="1" si="90"/>
        <v>11.991937131910642</v>
      </c>
      <c r="C524" s="21">
        <f t="shared" ca="1" si="95"/>
        <v>1591.2613370864196</v>
      </c>
      <c r="D524" s="21">
        <f t="shared" ca="1" si="91"/>
        <v>1.1949502576683706</v>
      </c>
      <c r="E524" s="21">
        <f t="shared" ref="E524:E587" ca="1" si="98">IF($I523&lt;=$C524,0,$I523-$C524)</f>
        <v>6.5509381856359141</v>
      </c>
      <c r="F524" s="20" t="str">
        <f t="shared" ca="1" si="96"/>
        <v>No</v>
      </c>
      <c r="G524" s="21">
        <f t="shared" ca="1" si="92"/>
        <v>0</v>
      </c>
      <c r="H524" s="21">
        <f t="shared" ca="1" si="93"/>
        <v>1597.8122752720556</v>
      </c>
      <c r="I524" s="21">
        <f t="shared" ca="1" si="88"/>
        <v>1599.0072255297239</v>
      </c>
      <c r="J524" s="20">
        <f t="shared" ca="1" si="97"/>
        <v>4</v>
      </c>
      <c r="K524" s="20">
        <f t="shared" ca="1" si="89"/>
        <v>2</v>
      </c>
      <c r="L524" s="44">
        <f t="shared" ca="1" si="94"/>
        <v>3</v>
      </c>
    </row>
    <row r="525" spans="1:12" x14ac:dyDescent="0.25">
      <c r="A525" s="20">
        <v>517</v>
      </c>
      <c r="B525" s="21">
        <f t="shared" ca="1" si="90"/>
        <v>2.7933162245515537</v>
      </c>
      <c r="C525" s="21">
        <f t="shared" ca="1" si="95"/>
        <v>1594.0546533109712</v>
      </c>
      <c r="D525" s="21">
        <f t="shared" ca="1" si="91"/>
        <v>0.41441807867924507</v>
      </c>
      <c r="E525" s="21">
        <f t="shared" ca="1" si="98"/>
        <v>4.9525722187527208</v>
      </c>
      <c r="F525" s="20" t="str">
        <f t="shared" ca="1" si="96"/>
        <v>No</v>
      </c>
      <c r="G525" s="21">
        <f t="shared" ca="1" si="92"/>
        <v>0</v>
      </c>
      <c r="H525" s="21">
        <f t="shared" ca="1" si="93"/>
        <v>1599.0072255297239</v>
      </c>
      <c r="I525" s="21">
        <f t="shared" ca="1" si="88"/>
        <v>1599.4216436084032</v>
      </c>
      <c r="J525" s="20">
        <f t="shared" ca="1" si="97"/>
        <v>3</v>
      </c>
      <c r="K525" s="20">
        <f t="shared" ca="1" si="89"/>
        <v>1</v>
      </c>
      <c r="L525" s="44">
        <f t="shared" ca="1" si="94"/>
        <v>2</v>
      </c>
    </row>
    <row r="526" spans="1:12" x14ac:dyDescent="0.25">
      <c r="A526" s="20">
        <v>518</v>
      </c>
      <c r="B526" s="21">
        <f t="shared" ca="1" si="90"/>
        <v>2.5067838779335823</v>
      </c>
      <c r="C526" s="21">
        <f t="shared" ca="1" si="95"/>
        <v>1596.5614371889048</v>
      </c>
      <c r="D526" s="21">
        <f t="shared" ca="1" si="91"/>
        <v>4.5097068502608222</v>
      </c>
      <c r="E526" s="21">
        <f t="shared" ca="1" si="98"/>
        <v>2.8602064194983541</v>
      </c>
      <c r="F526" s="20" t="str">
        <f t="shared" ca="1" si="96"/>
        <v>No</v>
      </c>
      <c r="G526" s="21">
        <f t="shared" ca="1" si="92"/>
        <v>0</v>
      </c>
      <c r="H526" s="21">
        <f t="shared" ca="1" si="93"/>
        <v>1599.4216436084032</v>
      </c>
      <c r="I526" s="21">
        <f t="shared" ca="1" si="88"/>
        <v>1603.9313504586639</v>
      </c>
      <c r="J526" s="20">
        <f t="shared" ca="1" si="97"/>
        <v>2</v>
      </c>
      <c r="K526" s="20">
        <f t="shared" ca="1" si="89"/>
        <v>1</v>
      </c>
      <c r="L526" s="44">
        <f t="shared" ca="1" si="94"/>
        <v>1.5</v>
      </c>
    </row>
    <row r="527" spans="1:12" x14ac:dyDescent="0.25">
      <c r="A527" s="20">
        <v>519</v>
      </c>
      <c r="B527" s="21">
        <f t="shared" ca="1" si="90"/>
        <v>3.8980834920971144</v>
      </c>
      <c r="C527" s="21">
        <f t="shared" ca="1" si="95"/>
        <v>1600.459520681002</v>
      </c>
      <c r="D527" s="21">
        <f t="shared" ca="1" si="91"/>
        <v>2.7128128803831455</v>
      </c>
      <c r="E527" s="21">
        <f t="shared" ca="1" si="98"/>
        <v>3.4718297776619238</v>
      </c>
      <c r="F527" s="20" t="str">
        <f t="shared" ca="1" si="96"/>
        <v>No</v>
      </c>
      <c r="G527" s="21">
        <f t="shared" ca="1" si="92"/>
        <v>0</v>
      </c>
      <c r="H527" s="21">
        <f t="shared" ca="1" si="93"/>
        <v>1603.9313504586639</v>
      </c>
      <c r="I527" s="21">
        <f t="shared" ca="1" si="88"/>
        <v>1606.6441633390471</v>
      </c>
      <c r="J527" s="20">
        <f t="shared" ca="1" si="97"/>
        <v>2</v>
      </c>
      <c r="K527" s="20">
        <f t="shared" ca="1" si="89"/>
        <v>0</v>
      </c>
      <c r="L527" s="44">
        <f t="shared" ca="1" si="94"/>
        <v>1</v>
      </c>
    </row>
    <row r="528" spans="1:12" x14ac:dyDescent="0.25">
      <c r="A528" s="20">
        <v>520</v>
      </c>
      <c r="B528" s="21">
        <f t="shared" ca="1" si="90"/>
        <v>7.9443545823910737</v>
      </c>
      <c r="C528" s="21">
        <f t="shared" ca="1" si="95"/>
        <v>1608.403875263393</v>
      </c>
      <c r="D528" s="21">
        <f t="shared" ca="1" si="91"/>
        <v>2.2681080259710873</v>
      </c>
      <c r="E528" s="21">
        <f t="shared" ca="1" si="98"/>
        <v>0</v>
      </c>
      <c r="F528" s="20" t="str">
        <f t="shared" ca="1" si="96"/>
        <v>Yes</v>
      </c>
      <c r="G528" s="21">
        <f t="shared" ca="1" si="92"/>
        <v>1.7597119243459929</v>
      </c>
      <c r="H528" s="21">
        <f t="shared" ca="1" si="93"/>
        <v>1608.403875263393</v>
      </c>
      <c r="I528" s="21">
        <f t="shared" ca="1" si="88"/>
        <v>1610.6719832893641</v>
      </c>
      <c r="J528" s="20">
        <f t="shared" ca="1" si="97"/>
        <v>0</v>
      </c>
      <c r="K528" s="20">
        <f t="shared" ca="1" si="89"/>
        <v>0</v>
      </c>
      <c r="L528" s="44">
        <f t="shared" ca="1" si="94"/>
        <v>0</v>
      </c>
    </row>
    <row r="529" spans="1:12" x14ac:dyDescent="0.25">
      <c r="A529" s="20">
        <v>521</v>
      </c>
      <c r="B529" s="21">
        <f t="shared" ca="1" si="90"/>
        <v>3.7133785454633008</v>
      </c>
      <c r="C529" s="21">
        <f t="shared" ca="1" si="95"/>
        <v>1612.1172538088563</v>
      </c>
      <c r="D529" s="21">
        <f t="shared" ca="1" si="91"/>
        <v>3.0047723537130238</v>
      </c>
      <c r="E529" s="21">
        <f t="shared" ca="1" si="98"/>
        <v>0</v>
      </c>
      <c r="F529" s="20" t="str">
        <f t="shared" ca="1" si="96"/>
        <v>Yes</v>
      </c>
      <c r="G529" s="21">
        <f t="shared" ca="1" si="92"/>
        <v>1.4452705194921691</v>
      </c>
      <c r="H529" s="21">
        <f t="shared" ca="1" si="93"/>
        <v>1612.1172538088563</v>
      </c>
      <c r="I529" s="21">
        <f t="shared" ca="1" si="88"/>
        <v>1615.1220261625692</v>
      </c>
      <c r="J529" s="20">
        <f t="shared" ca="1" si="97"/>
        <v>0</v>
      </c>
      <c r="K529" s="20">
        <f t="shared" ca="1" si="89"/>
        <v>1</v>
      </c>
      <c r="L529" s="44">
        <f t="shared" ca="1" si="94"/>
        <v>0.5</v>
      </c>
    </row>
    <row r="530" spans="1:12" x14ac:dyDescent="0.25">
      <c r="A530" s="20">
        <v>522</v>
      </c>
      <c r="B530" s="21">
        <f t="shared" ca="1" si="90"/>
        <v>2.558146001441953</v>
      </c>
      <c r="C530" s="21">
        <f t="shared" ca="1" si="95"/>
        <v>1614.6753998102981</v>
      </c>
      <c r="D530" s="21">
        <f t="shared" ca="1" si="91"/>
        <v>3.3280480228695821</v>
      </c>
      <c r="E530" s="21">
        <f t="shared" ca="1" si="98"/>
        <v>0.44662635227109604</v>
      </c>
      <c r="F530" s="20" t="str">
        <f t="shared" ca="1" si="96"/>
        <v>No</v>
      </c>
      <c r="G530" s="21">
        <f t="shared" ca="1" si="92"/>
        <v>0</v>
      </c>
      <c r="H530" s="21">
        <f t="shared" ca="1" si="93"/>
        <v>1615.1220261625692</v>
      </c>
      <c r="I530" s="21">
        <f t="shared" ca="1" si="88"/>
        <v>1618.4500741854388</v>
      </c>
      <c r="J530" s="20">
        <f t="shared" ca="1" si="97"/>
        <v>2</v>
      </c>
      <c r="K530" s="20">
        <f t="shared" ca="1" si="89"/>
        <v>3</v>
      </c>
      <c r="L530" s="44">
        <f t="shared" ca="1" si="94"/>
        <v>2.5</v>
      </c>
    </row>
    <row r="531" spans="1:12" x14ac:dyDescent="0.25">
      <c r="A531" s="20">
        <v>523</v>
      </c>
      <c r="B531" s="21">
        <f t="shared" ca="1" si="90"/>
        <v>1.2020423410901644</v>
      </c>
      <c r="C531" s="21">
        <f t="shared" ca="1" si="95"/>
        <v>1615.8774421513883</v>
      </c>
      <c r="D531" s="21">
        <f t="shared" ca="1" si="91"/>
        <v>1.0665681697463965</v>
      </c>
      <c r="E531" s="21">
        <f t="shared" ca="1" si="98"/>
        <v>2.5726320340504572</v>
      </c>
      <c r="F531" s="20" t="str">
        <f t="shared" ca="1" si="96"/>
        <v>No</v>
      </c>
      <c r="G531" s="21">
        <f t="shared" ca="1" si="92"/>
        <v>0</v>
      </c>
      <c r="H531" s="21">
        <f t="shared" ca="1" si="93"/>
        <v>1618.4500741854388</v>
      </c>
      <c r="I531" s="21">
        <f t="shared" ca="1" si="88"/>
        <v>1619.5166423551852</v>
      </c>
      <c r="J531" s="20">
        <f t="shared" ca="1" si="97"/>
        <v>4</v>
      </c>
      <c r="K531" s="20">
        <f t="shared" ca="1" si="89"/>
        <v>2</v>
      </c>
      <c r="L531" s="44">
        <f t="shared" ca="1" si="94"/>
        <v>3</v>
      </c>
    </row>
    <row r="532" spans="1:12" x14ac:dyDescent="0.25">
      <c r="A532" s="20">
        <v>524</v>
      </c>
      <c r="B532" s="21">
        <f t="shared" ca="1" si="90"/>
        <v>2.2505824405944153</v>
      </c>
      <c r="C532" s="21">
        <f t="shared" ca="1" si="95"/>
        <v>1618.1280245919827</v>
      </c>
      <c r="D532" s="21">
        <f t="shared" ca="1" si="91"/>
        <v>8.5688418408776421</v>
      </c>
      <c r="E532" s="21">
        <f t="shared" ca="1" si="98"/>
        <v>1.3886177632025465</v>
      </c>
      <c r="F532" s="20" t="str">
        <f t="shared" ca="1" si="96"/>
        <v>No</v>
      </c>
      <c r="G532" s="21">
        <f t="shared" ca="1" si="92"/>
        <v>0</v>
      </c>
      <c r="H532" s="21">
        <f t="shared" ca="1" si="93"/>
        <v>1619.5166423551852</v>
      </c>
      <c r="I532" s="21">
        <f t="shared" ca="1" si="88"/>
        <v>1628.0854841960629</v>
      </c>
      <c r="J532" s="20">
        <f t="shared" ca="1" si="97"/>
        <v>3</v>
      </c>
      <c r="K532" s="20">
        <f t="shared" ca="1" si="89"/>
        <v>3</v>
      </c>
      <c r="L532" s="44">
        <f t="shared" ca="1" si="94"/>
        <v>3</v>
      </c>
    </row>
    <row r="533" spans="1:12" x14ac:dyDescent="0.25">
      <c r="A533" s="20">
        <v>525</v>
      </c>
      <c r="B533" s="21">
        <f t="shared" ca="1" si="90"/>
        <v>0.13922811263551169</v>
      </c>
      <c r="C533" s="21">
        <f t="shared" ca="1" si="95"/>
        <v>1618.2672527046182</v>
      </c>
      <c r="D533" s="21">
        <f t="shared" ca="1" si="91"/>
        <v>3.4438056444450173E-2</v>
      </c>
      <c r="E533" s="21">
        <f t="shared" ca="1" si="98"/>
        <v>9.8182314914447488</v>
      </c>
      <c r="F533" s="20" t="str">
        <f t="shared" ca="1" si="96"/>
        <v>No</v>
      </c>
      <c r="G533" s="21">
        <f t="shared" ca="1" si="92"/>
        <v>0</v>
      </c>
      <c r="H533" s="21">
        <f t="shared" ca="1" si="93"/>
        <v>1628.0854841960629</v>
      </c>
      <c r="I533" s="21">
        <f t="shared" ca="1" si="88"/>
        <v>1628.1199222525074</v>
      </c>
      <c r="J533" s="20">
        <f t="shared" ca="1" si="97"/>
        <v>4</v>
      </c>
      <c r="K533" s="20">
        <f t="shared" ca="1" si="89"/>
        <v>2</v>
      </c>
      <c r="L533" s="44">
        <f t="shared" ca="1" si="94"/>
        <v>3</v>
      </c>
    </row>
    <row r="534" spans="1:12" x14ac:dyDescent="0.25">
      <c r="A534" s="20">
        <v>526</v>
      </c>
      <c r="B534" s="21">
        <f t="shared" ca="1" si="90"/>
        <v>3.3902706701259655</v>
      </c>
      <c r="C534" s="21">
        <f t="shared" ca="1" si="95"/>
        <v>1621.6575233747442</v>
      </c>
      <c r="D534" s="21">
        <f t="shared" ca="1" si="91"/>
        <v>5.780689585765022</v>
      </c>
      <c r="E534" s="21">
        <f t="shared" ca="1" si="98"/>
        <v>6.4623988777632349</v>
      </c>
      <c r="F534" s="20" t="str">
        <f t="shared" ca="1" si="96"/>
        <v>No</v>
      </c>
      <c r="G534" s="21">
        <f t="shared" ca="1" si="92"/>
        <v>0</v>
      </c>
      <c r="H534" s="21">
        <f t="shared" ca="1" si="93"/>
        <v>1628.1199222525074</v>
      </c>
      <c r="I534" s="21">
        <f t="shared" ca="1" si="88"/>
        <v>1633.9006118382724</v>
      </c>
      <c r="J534" s="20">
        <f t="shared" ca="1" si="97"/>
        <v>3</v>
      </c>
      <c r="K534" s="20">
        <f t="shared" ca="1" si="89"/>
        <v>1</v>
      </c>
      <c r="L534" s="44">
        <f t="shared" ca="1" si="94"/>
        <v>2</v>
      </c>
    </row>
    <row r="535" spans="1:12" x14ac:dyDescent="0.25">
      <c r="A535" s="20">
        <v>527</v>
      </c>
      <c r="B535" s="21">
        <f t="shared" ca="1" si="90"/>
        <v>6.0048363426409246</v>
      </c>
      <c r="C535" s="21">
        <f t="shared" ca="1" si="95"/>
        <v>1627.662359717385</v>
      </c>
      <c r="D535" s="21">
        <f t="shared" ca="1" si="91"/>
        <v>0.98114785540187333</v>
      </c>
      <c r="E535" s="21">
        <f t="shared" ca="1" si="98"/>
        <v>6.2382521208874095</v>
      </c>
      <c r="F535" s="20" t="str">
        <f t="shared" ca="1" si="96"/>
        <v>No</v>
      </c>
      <c r="G535" s="21">
        <f t="shared" ca="1" si="92"/>
        <v>0</v>
      </c>
      <c r="H535" s="21">
        <f t="shared" ca="1" si="93"/>
        <v>1633.9006118382724</v>
      </c>
      <c r="I535" s="21">
        <f t="shared" ca="1" si="88"/>
        <v>1634.8817596936742</v>
      </c>
      <c r="J535" s="20">
        <f t="shared" ca="1" si="97"/>
        <v>2</v>
      </c>
      <c r="K535" s="20">
        <f t="shared" ca="1" si="89"/>
        <v>0</v>
      </c>
      <c r="L535" s="44">
        <f t="shared" ca="1" si="94"/>
        <v>1</v>
      </c>
    </row>
    <row r="536" spans="1:12" x14ac:dyDescent="0.25">
      <c r="A536" s="20">
        <v>528</v>
      </c>
      <c r="B536" s="21">
        <f t="shared" ca="1" si="90"/>
        <v>10.182333975770819</v>
      </c>
      <c r="C536" s="21">
        <f t="shared" ca="1" si="95"/>
        <v>1637.8446936931559</v>
      </c>
      <c r="D536" s="21">
        <f t="shared" ca="1" si="91"/>
        <v>0.11054581690465065</v>
      </c>
      <c r="E536" s="21">
        <f t="shared" ca="1" si="98"/>
        <v>0</v>
      </c>
      <c r="F536" s="20" t="str">
        <f t="shared" ca="1" si="96"/>
        <v>Yes</v>
      </c>
      <c r="G536" s="21">
        <f t="shared" ca="1" si="92"/>
        <v>2.9629339994817201</v>
      </c>
      <c r="H536" s="21">
        <f t="shared" ca="1" si="93"/>
        <v>1637.8446936931559</v>
      </c>
      <c r="I536" s="21">
        <f t="shared" ca="1" si="88"/>
        <v>1637.9552395100607</v>
      </c>
      <c r="J536" s="20">
        <f t="shared" ca="1" si="97"/>
        <v>0</v>
      </c>
      <c r="K536" s="20">
        <f t="shared" ca="1" si="89"/>
        <v>0</v>
      </c>
      <c r="L536" s="44">
        <f t="shared" ca="1" si="94"/>
        <v>0</v>
      </c>
    </row>
    <row r="537" spans="1:12" x14ac:dyDescent="0.25">
      <c r="A537" s="20">
        <v>529</v>
      </c>
      <c r="B537" s="21">
        <f t="shared" ca="1" si="90"/>
        <v>0.37329149331996558</v>
      </c>
      <c r="C537" s="21">
        <f t="shared" ca="1" si="95"/>
        <v>1638.217985186476</v>
      </c>
      <c r="D537" s="21">
        <f t="shared" ca="1" si="91"/>
        <v>9.0691601778555437</v>
      </c>
      <c r="E537" s="21">
        <f t="shared" ca="1" si="98"/>
        <v>0</v>
      </c>
      <c r="F537" s="20" t="str">
        <f t="shared" ca="1" si="96"/>
        <v>Yes</v>
      </c>
      <c r="G537" s="21">
        <f t="shared" ca="1" si="92"/>
        <v>0.26274567641530666</v>
      </c>
      <c r="H537" s="21">
        <f t="shared" ca="1" si="93"/>
        <v>1638.217985186476</v>
      </c>
      <c r="I537" s="21">
        <f t="shared" ca="1" si="88"/>
        <v>1647.2871453643315</v>
      </c>
      <c r="J537" s="20">
        <f t="shared" ca="1" si="97"/>
        <v>0</v>
      </c>
      <c r="K537" s="20">
        <f t="shared" ca="1" si="89"/>
        <v>0</v>
      </c>
      <c r="L537" s="44">
        <f t="shared" ca="1" si="94"/>
        <v>0</v>
      </c>
    </row>
    <row r="538" spans="1:12" x14ac:dyDescent="0.25">
      <c r="A538" s="20">
        <v>530</v>
      </c>
      <c r="B538" s="21">
        <f t="shared" ca="1" si="90"/>
        <v>9.3974217674420117</v>
      </c>
      <c r="C538" s="21">
        <f t="shared" ca="1" si="95"/>
        <v>1647.615406953918</v>
      </c>
      <c r="D538" s="21">
        <f t="shared" ca="1" si="91"/>
        <v>1.717102134678137</v>
      </c>
      <c r="E538" s="21">
        <f t="shared" ca="1" si="98"/>
        <v>0</v>
      </c>
      <c r="F538" s="20" t="str">
        <f t="shared" ca="1" si="96"/>
        <v>Yes</v>
      </c>
      <c r="G538" s="21">
        <f t="shared" ca="1" si="92"/>
        <v>0.32826158958641827</v>
      </c>
      <c r="H538" s="21">
        <f t="shared" ca="1" si="93"/>
        <v>1647.615406953918</v>
      </c>
      <c r="I538" s="21">
        <f t="shared" ca="1" si="88"/>
        <v>1649.332509088596</v>
      </c>
      <c r="J538" s="20">
        <f t="shared" ca="1" si="97"/>
        <v>0</v>
      </c>
      <c r="K538" s="20">
        <f t="shared" ca="1" si="89"/>
        <v>1</v>
      </c>
      <c r="L538" s="44">
        <f t="shared" ca="1" si="94"/>
        <v>0.5</v>
      </c>
    </row>
    <row r="539" spans="1:12" x14ac:dyDescent="0.25">
      <c r="A539" s="20">
        <v>531</v>
      </c>
      <c r="B539" s="21">
        <f t="shared" ca="1" si="90"/>
        <v>0.47093630838080403</v>
      </c>
      <c r="C539" s="21">
        <f t="shared" ca="1" si="95"/>
        <v>1648.0863432622987</v>
      </c>
      <c r="D539" s="21">
        <f t="shared" ca="1" si="91"/>
        <v>1.1373424978888051</v>
      </c>
      <c r="E539" s="21">
        <f t="shared" ca="1" si="98"/>
        <v>1.2461658262973287</v>
      </c>
      <c r="F539" s="20" t="str">
        <f t="shared" ca="1" si="96"/>
        <v>No</v>
      </c>
      <c r="G539" s="21">
        <f t="shared" ca="1" si="92"/>
        <v>0</v>
      </c>
      <c r="H539" s="21">
        <f t="shared" ca="1" si="93"/>
        <v>1649.332509088596</v>
      </c>
      <c r="I539" s="21">
        <f t="shared" ca="1" si="88"/>
        <v>1650.4698515864848</v>
      </c>
      <c r="J539" s="20">
        <f t="shared" ca="1" si="97"/>
        <v>2</v>
      </c>
      <c r="K539" s="20">
        <f t="shared" ca="1" si="89"/>
        <v>0</v>
      </c>
      <c r="L539" s="44">
        <f t="shared" ca="1" si="94"/>
        <v>1</v>
      </c>
    </row>
    <row r="540" spans="1:12" x14ac:dyDescent="0.25">
      <c r="A540" s="20">
        <v>532</v>
      </c>
      <c r="B540" s="21">
        <f t="shared" ca="1" si="90"/>
        <v>2.9467404014723471</v>
      </c>
      <c r="C540" s="21">
        <f t="shared" ca="1" si="95"/>
        <v>1651.0330836637711</v>
      </c>
      <c r="D540" s="21">
        <f t="shared" ca="1" si="91"/>
        <v>1.7015774587703452</v>
      </c>
      <c r="E540" s="21">
        <f t="shared" ca="1" si="98"/>
        <v>0</v>
      </c>
      <c r="F540" s="20" t="str">
        <f t="shared" ca="1" si="96"/>
        <v>Yes</v>
      </c>
      <c r="G540" s="21">
        <f t="shared" ca="1" si="92"/>
        <v>0.56323207728632951</v>
      </c>
      <c r="H540" s="21">
        <f t="shared" ca="1" si="93"/>
        <v>1651.0330836637711</v>
      </c>
      <c r="I540" s="21">
        <f t="shared" ca="1" si="88"/>
        <v>1652.7346611225414</v>
      </c>
      <c r="J540" s="20">
        <f t="shared" ca="1" si="97"/>
        <v>0</v>
      </c>
      <c r="K540" s="20">
        <f t="shared" ca="1" si="89"/>
        <v>1</v>
      </c>
      <c r="L540" s="44">
        <f t="shared" ca="1" si="94"/>
        <v>0.5</v>
      </c>
    </row>
    <row r="541" spans="1:12" x14ac:dyDescent="0.25">
      <c r="A541" s="20">
        <v>533</v>
      </c>
      <c r="B541" s="21">
        <f t="shared" ca="1" si="90"/>
        <v>1.6252341356175666</v>
      </c>
      <c r="C541" s="21">
        <f t="shared" ca="1" si="95"/>
        <v>1652.6583177993887</v>
      </c>
      <c r="D541" s="21">
        <f t="shared" ca="1" si="91"/>
        <v>0.20524834717547</v>
      </c>
      <c r="E541" s="21">
        <f t="shared" ca="1" si="98"/>
        <v>7.6343323152741505E-2</v>
      </c>
      <c r="F541" s="20" t="str">
        <f t="shared" ca="1" si="96"/>
        <v>No</v>
      </c>
      <c r="G541" s="21">
        <f t="shared" ca="1" si="92"/>
        <v>0</v>
      </c>
      <c r="H541" s="21">
        <f t="shared" ca="1" si="93"/>
        <v>1652.7346611225414</v>
      </c>
      <c r="I541" s="21">
        <f t="shared" ca="1" si="88"/>
        <v>1652.9399094697169</v>
      </c>
      <c r="J541" s="20">
        <f t="shared" ca="1" si="97"/>
        <v>2</v>
      </c>
      <c r="K541" s="20">
        <f t="shared" ca="1" si="89"/>
        <v>0</v>
      </c>
      <c r="L541" s="44">
        <f t="shared" ca="1" si="94"/>
        <v>1</v>
      </c>
    </row>
    <row r="542" spans="1:12" x14ac:dyDescent="0.25">
      <c r="A542" s="20">
        <v>534</v>
      </c>
      <c r="B542" s="21">
        <f t="shared" ca="1" si="90"/>
        <v>0.54329489722573976</v>
      </c>
      <c r="C542" s="21">
        <f t="shared" ca="1" si="95"/>
        <v>1653.2016126966143</v>
      </c>
      <c r="D542" s="21">
        <f t="shared" ca="1" si="91"/>
        <v>2.1262263601343721</v>
      </c>
      <c r="E542" s="21">
        <f t="shared" ca="1" si="98"/>
        <v>0</v>
      </c>
      <c r="F542" s="20" t="str">
        <f t="shared" ca="1" si="96"/>
        <v>Yes</v>
      </c>
      <c r="G542" s="21">
        <f t="shared" ca="1" si="92"/>
        <v>0.26170322689745262</v>
      </c>
      <c r="H542" s="21">
        <f t="shared" ca="1" si="93"/>
        <v>1653.2016126966143</v>
      </c>
      <c r="I542" s="21">
        <f t="shared" ca="1" si="88"/>
        <v>1655.3278390567486</v>
      </c>
      <c r="J542" s="20">
        <f t="shared" ca="1" si="97"/>
        <v>0</v>
      </c>
      <c r="K542" s="20">
        <f t="shared" ca="1" si="89"/>
        <v>0</v>
      </c>
      <c r="L542" s="44">
        <f t="shared" ca="1" si="94"/>
        <v>0</v>
      </c>
    </row>
    <row r="543" spans="1:12" x14ac:dyDescent="0.25">
      <c r="A543" s="20">
        <v>535</v>
      </c>
      <c r="B543" s="21">
        <f t="shared" ca="1" si="90"/>
        <v>5.7533833743576954</v>
      </c>
      <c r="C543" s="21">
        <f t="shared" ca="1" si="95"/>
        <v>1658.9549960709721</v>
      </c>
      <c r="D543" s="21">
        <f t="shared" ca="1" si="91"/>
        <v>11.712796578016997</v>
      </c>
      <c r="E543" s="21">
        <f t="shared" ca="1" si="98"/>
        <v>0</v>
      </c>
      <c r="F543" s="20" t="str">
        <f t="shared" ca="1" si="96"/>
        <v>Yes</v>
      </c>
      <c r="G543" s="21">
        <f t="shared" ca="1" si="92"/>
        <v>3.627157014223485</v>
      </c>
      <c r="H543" s="21">
        <f t="shared" ca="1" si="93"/>
        <v>1658.9549960709721</v>
      </c>
      <c r="I543" s="21">
        <f t="shared" ca="1" si="88"/>
        <v>1670.6677926489892</v>
      </c>
      <c r="J543" s="20">
        <f t="shared" ca="1" si="97"/>
        <v>0</v>
      </c>
      <c r="K543" s="20">
        <f t="shared" ca="1" si="89"/>
        <v>4</v>
      </c>
      <c r="L543" s="44">
        <f t="shared" ca="1" si="94"/>
        <v>2</v>
      </c>
    </row>
    <row r="544" spans="1:12" x14ac:dyDescent="0.25">
      <c r="A544" s="20">
        <v>536</v>
      </c>
      <c r="B544" s="21">
        <f t="shared" ca="1" si="90"/>
        <v>2.3990506391226871</v>
      </c>
      <c r="C544" s="21">
        <f t="shared" ca="1" si="95"/>
        <v>1661.3540467100947</v>
      </c>
      <c r="D544" s="21">
        <f t="shared" ca="1" si="91"/>
        <v>1.656041968615924</v>
      </c>
      <c r="E544" s="21">
        <f t="shared" ca="1" si="98"/>
        <v>9.313745938894499</v>
      </c>
      <c r="F544" s="20" t="str">
        <f t="shared" ca="1" si="96"/>
        <v>No</v>
      </c>
      <c r="G544" s="21">
        <f t="shared" ca="1" si="92"/>
        <v>0</v>
      </c>
      <c r="H544" s="21">
        <f t="shared" ca="1" si="93"/>
        <v>1670.6677926489892</v>
      </c>
      <c r="I544" s="21">
        <f t="shared" ca="1" si="88"/>
        <v>1672.3238346176051</v>
      </c>
      <c r="J544" s="20">
        <f t="shared" ca="1" si="97"/>
        <v>5</v>
      </c>
      <c r="K544" s="20">
        <f t="shared" ca="1" si="89"/>
        <v>3</v>
      </c>
      <c r="L544" s="44">
        <f t="shared" ca="1" si="94"/>
        <v>4</v>
      </c>
    </row>
    <row r="545" spans="1:12" x14ac:dyDescent="0.25">
      <c r="A545" s="20">
        <v>537</v>
      </c>
      <c r="B545" s="21">
        <f t="shared" ca="1" si="90"/>
        <v>2.7692726692786214</v>
      </c>
      <c r="C545" s="21">
        <f t="shared" ca="1" si="95"/>
        <v>1664.1233193793735</v>
      </c>
      <c r="D545" s="21">
        <f t="shared" ca="1" si="91"/>
        <v>2.2890667455268918</v>
      </c>
      <c r="E545" s="21">
        <f t="shared" ca="1" si="98"/>
        <v>8.2005152382316737</v>
      </c>
      <c r="F545" s="20" t="str">
        <f t="shared" ca="1" si="96"/>
        <v>No</v>
      </c>
      <c r="G545" s="21">
        <f t="shared" ca="1" si="92"/>
        <v>0</v>
      </c>
      <c r="H545" s="21">
        <f t="shared" ca="1" si="93"/>
        <v>1672.3238346176051</v>
      </c>
      <c r="I545" s="21">
        <f t="shared" ca="1" si="88"/>
        <v>1674.6129013631321</v>
      </c>
      <c r="J545" s="20">
        <f t="shared" ca="1" si="97"/>
        <v>4</v>
      </c>
      <c r="K545" s="20">
        <f t="shared" ca="1" si="89"/>
        <v>2</v>
      </c>
      <c r="L545" s="44">
        <f t="shared" ca="1" si="94"/>
        <v>3</v>
      </c>
    </row>
    <row r="546" spans="1:12" x14ac:dyDescent="0.25">
      <c r="A546" s="20">
        <v>538</v>
      </c>
      <c r="B546" s="21">
        <f t="shared" ca="1" si="90"/>
        <v>3.1537139015307498</v>
      </c>
      <c r="C546" s="21">
        <f t="shared" ca="1" si="95"/>
        <v>1667.2770332809041</v>
      </c>
      <c r="D546" s="21">
        <f t="shared" ca="1" si="91"/>
        <v>1.0681581683709478</v>
      </c>
      <c r="E546" s="21">
        <f t="shared" ca="1" si="98"/>
        <v>7.3358680822279894</v>
      </c>
      <c r="F546" s="20" t="str">
        <f t="shared" ca="1" si="96"/>
        <v>No</v>
      </c>
      <c r="G546" s="21">
        <f t="shared" ca="1" si="92"/>
        <v>0</v>
      </c>
      <c r="H546" s="21">
        <f t="shared" ca="1" si="93"/>
        <v>1674.6129013631321</v>
      </c>
      <c r="I546" s="21">
        <f t="shared" ca="1" si="88"/>
        <v>1675.681059531503</v>
      </c>
      <c r="J546" s="20">
        <f t="shared" ca="1" si="97"/>
        <v>3</v>
      </c>
      <c r="K546" s="20">
        <f t="shared" ca="1" si="89"/>
        <v>2</v>
      </c>
      <c r="L546" s="44">
        <f t="shared" ca="1" si="94"/>
        <v>2.5</v>
      </c>
    </row>
    <row r="547" spans="1:12" x14ac:dyDescent="0.25">
      <c r="A547" s="20">
        <v>539</v>
      </c>
      <c r="B547" s="21">
        <f t="shared" ca="1" si="90"/>
        <v>0.82447363307498944</v>
      </c>
      <c r="C547" s="21">
        <f t="shared" ca="1" si="95"/>
        <v>1668.1015069139792</v>
      </c>
      <c r="D547" s="21">
        <f t="shared" ca="1" si="91"/>
        <v>6.2400994629901767</v>
      </c>
      <c r="E547" s="21">
        <f t="shared" ca="1" si="98"/>
        <v>7.5795526175238592</v>
      </c>
      <c r="F547" s="20" t="str">
        <f t="shared" ca="1" si="96"/>
        <v>No</v>
      </c>
      <c r="G547" s="21">
        <f t="shared" ca="1" si="92"/>
        <v>0</v>
      </c>
      <c r="H547" s="21">
        <f t="shared" ca="1" si="93"/>
        <v>1675.681059531503</v>
      </c>
      <c r="I547" s="21">
        <f t="shared" ca="1" si="88"/>
        <v>1681.9211589944932</v>
      </c>
      <c r="J547" s="20">
        <f t="shared" ca="1" si="97"/>
        <v>3</v>
      </c>
      <c r="K547" s="20">
        <f t="shared" ca="1" si="89"/>
        <v>5</v>
      </c>
      <c r="L547" s="44">
        <f t="shared" ca="1" si="94"/>
        <v>4</v>
      </c>
    </row>
    <row r="548" spans="1:12" x14ac:dyDescent="0.25">
      <c r="A548" s="20">
        <v>540</v>
      </c>
      <c r="B548" s="21">
        <f t="shared" ca="1" si="90"/>
        <v>7.4862749835271902</v>
      </c>
      <c r="C548" s="21">
        <f t="shared" ca="1" si="95"/>
        <v>1675.5877818975064</v>
      </c>
      <c r="D548" s="21">
        <f t="shared" ca="1" si="91"/>
        <v>10.167632013020773</v>
      </c>
      <c r="E548" s="21">
        <f t="shared" ca="1" si="98"/>
        <v>6.333377096986851</v>
      </c>
      <c r="F548" s="20" t="str">
        <f t="shared" ca="1" si="96"/>
        <v>No</v>
      </c>
      <c r="G548" s="21">
        <f t="shared" ca="1" si="92"/>
        <v>0</v>
      </c>
      <c r="H548" s="21">
        <f t="shared" ca="1" si="93"/>
        <v>1681.9211589944932</v>
      </c>
      <c r="I548" s="21">
        <f t="shared" ca="1" si="88"/>
        <v>1692.0887910075139</v>
      </c>
      <c r="J548" s="20">
        <f t="shared" ca="1" si="97"/>
        <v>6</v>
      </c>
      <c r="K548" s="20">
        <f t="shared" ca="1" si="89"/>
        <v>5</v>
      </c>
      <c r="L548" s="44">
        <f t="shared" ca="1" si="94"/>
        <v>5.5</v>
      </c>
    </row>
    <row r="549" spans="1:12" x14ac:dyDescent="0.25">
      <c r="A549" s="20">
        <v>541</v>
      </c>
      <c r="B549" s="21">
        <f t="shared" ca="1" si="90"/>
        <v>0.36865840955072232</v>
      </c>
      <c r="C549" s="21">
        <f t="shared" ca="1" si="95"/>
        <v>1675.9564403070572</v>
      </c>
      <c r="D549" s="21">
        <f t="shared" ca="1" si="91"/>
        <v>0.42343013766565712</v>
      </c>
      <c r="E549" s="21">
        <f t="shared" ca="1" si="98"/>
        <v>16.132350700456755</v>
      </c>
      <c r="F549" s="20" t="str">
        <f t="shared" ca="1" si="96"/>
        <v>No</v>
      </c>
      <c r="G549" s="21">
        <f t="shared" ca="1" si="92"/>
        <v>0</v>
      </c>
      <c r="H549" s="21">
        <f t="shared" ca="1" si="93"/>
        <v>1692.0887910075139</v>
      </c>
      <c r="I549" s="21">
        <f t="shared" ca="1" si="88"/>
        <v>1692.5122211451796</v>
      </c>
      <c r="J549" s="20">
        <f t="shared" ca="1" si="97"/>
        <v>6</v>
      </c>
      <c r="K549" s="20">
        <f t="shared" ca="1" si="89"/>
        <v>5</v>
      </c>
      <c r="L549" s="44">
        <f t="shared" ca="1" si="94"/>
        <v>5.5</v>
      </c>
    </row>
    <row r="550" spans="1:12" x14ac:dyDescent="0.25">
      <c r="A550" s="20">
        <v>542</v>
      </c>
      <c r="B550" s="21">
        <f t="shared" ca="1" si="90"/>
        <v>2.9793616808021199</v>
      </c>
      <c r="C550" s="21">
        <f t="shared" ca="1" si="95"/>
        <v>1678.9358019878593</v>
      </c>
      <c r="D550" s="21">
        <f t="shared" ca="1" si="91"/>
        <v>6.7455294160759758</v>
      </c>
      <c r="E550" s="21">
        <f t="shared" ca="1" si="98"/>
        <v>13.576419157320288</v>
      </c>
      <c r="F550" s="20" t="str">
        <f t="shared" ca="1" si="96"/>
        <v>No</v>
      </c>
      <c r="G550" s="21">
        <f t="shared" ca="1" si="92"/>
        <v>0</v>
      </c>
      <c r="H550" s="21">
        <f t="shared" ca="1" si="93"/>
        <v>1692.5122211451796</v>
      </c>
      <c r="I550" s="21">
        <f t="shared" ca="1" si="88"/>
        <v>1699.2577505612555</v>
      </c>
      <c r="J550" s="20">
        <f t="shared" ca="1" si="97"/>
        <v>6</v>
      </c>
      <c r="K550" s="20">
        <f t="shared" ca="1" si="89"/>
        <v>5</v>
      </c>
      <c r="L550" s="44">
        <f t="shared" ca="1" si="94"/>
        <v>5.5</v>
      </c>
    </row>
    <row r="551" spans="1:12" x14ac:dyDescent="0.25">
      <c r="A551" s="20">
        <v>543</v>
      </c>
      <c r="B551" s="21">
        <f t="shared" ca="1" si="90"/>
        <v>1.5845791153503683</v>
      </c>
      <c r="C551" s="21">
        <f t="shared" ca="1" si="95"/>
        <v>1680.5203811032097</v>
      </c>
      <c r="D551" s="21">
        <f t="shared" ca="1" si="91"/>
        <v>1.5893464027329451</v>
      </c>
      <c r="E551" s="21">
        <f t="shared" ca="1" si="98"/>
        <v>18.737369458045805</v>
      </c>
      <c r="F551" s="20" t="str">
        <f t="shared" ca="1" si="96"/>
        <v>No</v>
      </c>
      <c r="G551" s="21">
        <f t="shared" ca="1" si="92"/>
        <v>0</v>
      </c>
      <c r="H551" s="21">
        <f t="shared" ca="1" si="93"/>
        <v>1699.2577505612555</v>
      </c>
      <c r="I551" s="21">
        <f t="shared" ca="1" si="88"/>
        <v>1700.8470969639884</v>
      </c>
      <c r="J551" s="20">
        <f t="shared" ca="1" si="97"/>
        <v>6</v>
      </c>
      <c r="K551" s="20">
        <f t="shared" ca="1" si="89"/>
        <v>5</v>
      </c>
      <c r="L551" s="44">
        <f t="shared" ca="1" si="94"/>
        <v>5.5</v>
      </c>
    </row>
    <row r="552" spans="1:12" x14ac:dyDescent="0.25">
      <c r="A552" s="20">
        <v>544</v>
      </c>
      <c r="B552" s="21">
        <f t="shared" ca="1" si="90"/>
        <v>0.94851111947453748</v>
      </c>
      <c r="C552" s="21">
        <f t="shared" ca="1" si="95"/>
        <v>1681.4688922226842</v>
      </c>
      <c r="D552" s="21">
        <f t="shared" ca="1" si="91"/>
        <v>0.94504758170875169</v>
      </c>
      <c r="E552" s="21">
        <f t="shared" ca="1" si="98"/>
        <v>19.378204741304216</v>
      </c>
      <c r="F552" s="20" t="str">
        <f t="shared" ca="1" si="96"/>
        <v>No</v>
      </c>
      <c r="G552" s="21">
        <f t="shared" ca="1" si="92"/>
        <v>0</v>
      </c>
      <c r="H552" s="21">
        <f t="shared" ca="1" si="93"/>
        <v>1700.8470969639884</v>
      </c>
      <c r="I552" s="21">
        <f t="shared" ca="1" si="88"/>
        <v>1701.7921445456971</v>
      </c>
      <c r="J552" s="20">
        <f t="shared" ca="1" si="97"/>
        <v>6</v>
      </c>
      <c r="K552" s="20">
        <f t="shared" ca="1" si="89"/>
        <v>5</v>
      </c>
      <c r="L552" s="44">
        <f t="shared" ca="1" si="94"/>
        <v>5.5</v>
      </c>
    </row>
    <row r="553" spans="1:12" x14ac:dyDescent="0.25">
      <c r="A553" s="20">
        <v>545</v>
      </c>
      <c r="B553" s="21">
        <f t="shared" ca="1" si="90"/>
        <v>1.9996805387255163</v>
      </c>
      <c r="C553" s="21">
        <f t="shared" ca="1" si="95"/>
        <v>1683.4685727614096</v>
      </c>
      <c r="D553" s="21">
        <f t="shared" ca="1" si="91"/>
        <v>1.425621819532827</v>
      </c>
      <c r="E553" s="21">
        <f t="shared" ca="1" si="98"/>
        <v>18.323571784287424</v>
      </c>
      <c r="F553" s="20" t="str">
        <f t="shared" ca="1" si="96"/>
        <v>No</v>
      </c>
      <c r="G553" s="21">
        <f t="shared" ca="1" si="92"/>
        <v>0</v>
      </c>
      <c r="H553" s="21">
        <f t="shared" ca="1" si="93"/>
        <v>1701.7921445456971</v>
      </c>
      <c r="I553" s="21">
        <f t="shared" ca="1" si="88"/>
        <v>1703.2177663652299</v>
      </c>
      <c r="J553" s="20">
        <f t="shared" ca="1" si="97"/>
        <v>6</v>
      </c>
      <c r="K553" s="20">
        <f t="shared" ca="1" si="89"/>
        <v>5</v>
      </c>
      <c r="L553" s="44">
        <f t="shared" ca="1" si="94"/>
        <v>5.5</v>
      </c>
    </row>
    <row r="554" spans="1:12" x14ac:dyDescent="0.25">
      <c r="A554" s="20">
        <v>546</v>
      </c>
      <c r="B554" s="21">
        <f t="shared" ca="1" si="90"/>
        <v>4.8517231168898496</v>
      </c>
      <c r="C554" s="21">
        <f t="shared" ca="1" si="95"/>
        <v>1688.3202958782995</v>
      </c>
      <c r="D554" s="21">
        <f t="shared" ca="1" si="91"/>
        <v>0.75256025444147867</v>
      </c>
      <c r="E554" s="21">
        <f t="shared" ca="1" si="98"/>
        <v>14.897470486930388</v>
      </c>
      <c r="F554" s="20" t="str">
        <f t="shared" ca="1" si="96"/>
        <v>No</v>
      </c>
      <c r="G554" s="21">
        <f t="shared" ca="1" si="92"/>
        <v>0</v>
      </c>
      <c r="H554" s="21">
        <f t="shared" ca="1" si="93"/>
        <v>1703.2177663652299</v>
      </c>
      <c r="I554" s="21">
        <f t="shared" ca="1" si="88"/>
        <v>1703.9703266196714</v>
      </c>
      <c r="J554" s="20">
        <f t="shared" ca="1" si="97"/>
        <v>6</v>
      </c>
      <c r="K554" s="20">
        <f t="shared" ca="1" si="89"/>
        <v>4</v>
      </c>
      <c r="L554" s="44">
        <f t="shared" ca="1" si="94"/>
        <v>5</v>
      </c>
    </row>
    <row r="555" spans="1:12" x14ac:dyDescent="0.25">
      <c r="A555" s="20">
        <v>547</v>
      </c>
      <c r="B555" s="21">
        <f t="shared" ca="1" si="90"/>
        <v>5.7372943540846864</v>
      </c>
      <c r="C555" s="21">
        <f t="shared" ca="1" si="95"/>
        <v>1694.0575902323842</v>
      </c>
      <c r="D555" s="21">
        <f t="shared" ca="1" si="91"/>
        <v>3.9162681769801799</v>
      </c>
      <c r="E555" s="21">
        <f t="shared" ca="1" si="98"/>
        <v>9.9127363872871683</v>
      </c>
      <c r="F555" s="20" t="str">
        <f t="shared" ca="1" si="96"/>
        <v>No</v>
      </c>
      <c r="G555" s="21">
        <f t="shared" ca="1" si="92"/>
        <v>0</v>
      </c>
      <c r="H555" s="21">
        <f t="shared" ca="1" si="93"/>
        <v>1703.9703266196714</v>
      </c>
      <c r="I555" s="21">
        <f t="shared" ca="1" si="88"/>
        <v>1707.8865947966515</v>
      </c>
      <c r="J555" s="20">
        <f t="shared" ca="1" si="97"/>
        <v>5</v>
      </c>
      <c r="K555" s="20">
        <f t="shared" ca="1" si="89"/>
        <v>5</v>
      </c>
      <c r="L555" s="44">
        <f t="shared" ca="1" si="94"/>
        <v>5</v>
      </c>
    </row>
    <row r="556" spans="1:12" x14ac:dyDescent="0.25">
      <c r="A556" s="20">
        <v>548</v>
      </c>
      <c r="B556" s="21">
        <f t="shared" ca="1" si="90"/>
        <v>1.9292946268538034</v>
      </c>
      <c r="C556" s="21">
        <f t="shared" ca="1" si="95"/>
        <v>1695.986884859238</v>
      </c>
      <c r="D556" s="21">
        <f t="shared" ca="1" si="91"/>
        <v>0.12073434260553154</v>
      </c>
      <c r="E556" s="21">
        <f t="shared" ca="1" si="98"/>
        <v>11.89970993741349</v>
      </c>
      <c r="F556" s="20" t="str">
        <f t="shared" ca="1" si="96"/>
        <v>No</v>
      </c>
      <c r="G556" s="21">
        <f t="shared" ca="1" si="92"/>
        <v>0</v>
      </c>
      <c r="H556" s="21">
        <f t="shared" ca="1" si="93"/>
        <v>1707.8865947966515</v>
      </c>
      <c r="I556" s="21">
        <f t="shared" ca="1" si="88"/>
        <v>1708.0073291392571</v>
      </c>
      <c r="J556" s="20">
        <f t="shared" ca="1" si="97"/>
        <v>6</v>
      </c>
      <c r="K556" s="20">
        <f t="shared" ca="1" si="89"/>
        <v>5</v>
      </c>
      <c r="L556" s="44">
        <f t="shared" ca="1" si="94"/>
        <v>5.5</v>
      </c>
    </row>
    <row r="557" spans="1:12" x14ac:dyDescent="0.25">
      <c r="A557" s="20">
        <v>549</v>
      </c>
      <c r="B557" s="21">
        <f t="shared" ca="1" si="90"/>
        <v>1.5540033615542197</v>
      </c>
      <c r="C557" s="21">
        <f t="shared" ca="1" si="95"/>
        <v>1697.5408882207921</v>
      </c>
      <c r="D557" s="21">
        <f t="shared" ca="1" si="91"/>
        <v>4.0267903732959551</v>
      </c>
      <c r="E557" s="21">
        <f t="shared" ca="1" si="98"/>
        <v>10.466440918464968</v>
      </c>
      <c r="F557" s="20" t="str">
        <f t="shared" ca="1" si="96"/>
        <v>No</v>
      </c>
      <c r="G557" s="21">
        <f t="shared" ca="1" si="92"/>
        <v>0</v>
      </c>
      <c r="H557" s="21">
        <f t="shared" ca="1" si="93"/>
        <v>1708.0073291392571</v>
      </c>
      <c r="I557" s="21">
        <f t="shared" ca="1" si="88"/>
        <v>1712.0341195125529</v>
      </c>
      <c r="J557" s="20">
        <f t="shared" ca="1" si="97"/>
        <v>6</v>
      </c>
      <c r="K557" s="20">
        <f t="shared" ca="1" si="89"/>
        <v>4</v>
      </c>
      <c r="L557" s="44">
        <f t="shared" ca="1" si="94"/>
        <v>5</v>
      </c>
    </row>
    <row r="558" spans="1:12" x14ac:dyDescent="0.25">
      <c r="A558" s="20">
        <v>550</v>
      </c>
      <c r="B558" s="21">
        <f t="shared" ca="1" si="90"/>
        <v>3.4767016914967761</v>
      </c>
      <c r="C558" s="21">
        <f t="shared" ca="1" si="95"/>
        <v>1701.0175899122889</v>
      </c>
      <c r="D558" s="21">
        <f t="shared" ca="1" si="91"/>
        <v>0.27147634922142388</v>
      </c>
      <c r="E558" s="21">
        <f t="shared" ca="1" si="98"/>
        <v>11.016529600263993</v>
      </c>
      <c r="F558" s="20" t="str">
        <f t="shared" ca="1" si="96"/>
        <v>No</v>
      </c>
      <c r="G558" s="21">
        <f t="shared" ca="1" si="92"/>
        <v>0</v>
      </c>
      <c r="H558" s="21">
        <f t="shared" ca="1" si="93"/>
        <v>1712.0341195125529</v>
      </c>
      <c r="I558" s="21">
        <f t="shared" ca="1" si="88"/>
        <v>1712.3055958617745</v>
      </c>
      <c r="J558" s="20">
        <f t="shared" ca="1" si="97"/>
        <v>5</v>
      </c>
      <c r="K558" s="20">
        <f t="shared" ca="1" si="89"/>
        <v>3</v>
      </c>
      <c r="L558" s="44">
        <f t="shared" ca="1" si="94"/>
        <v>4</v>
      </c>
    </row>
    <row r="559" spans="1:12" x14ac:dyDescent="0.25">
      <c r="A559" s="20">
        <v>551</v>
      </c>
      <c r="B559" s="21">
        <f t="shared" ca="1" si="90"/>
        <v>3.2685127426904579</v>
      </c>
      <c r="C559" s="21">
        <f t="shared" ca="1" si="95"/>
        <v>1704.2861026549795</v>
      </c>
      <c r="D559" s="21">
        <f t="shared" ca="1" si="91"/>
        <v>2.1700240381970661</v>
      </c>
      <c r="E559" s="21">
        <f t="shared" ca="1" si="98"/>
        <v>8.0194932067950049</v>
      </c>
      <c r="F559" s="20" t="str">
        <f t="shared" ca="1" si="96"/>
        <v>No</v>
      </c>
      <c r="G559" s="21">
        <f t="shared" ca="1" si="92"/>
        <v>0</v>
      </c>
      <c r="H559" s="21">
        <f t="shared" ca="1" si="93"/>
        <v>1712.3055958617745</v>
      </c>
      <c r="I559" s="21">
        <f t="shared" ca="1" si="88"/>
        <v>1714.4756198999714</v>
      </c>
      <c r="J559" s="20">
        <f t="shared" ca="1" si="97"/>
        <v>4</v>
      </c>
      <c r="K559" s="20">
        <f t="shared" ca="1" si="89"/>
        <v>4</v>
      </c>
      <c r="L559" s="44">
        <f t="shared" ca="1" si="94"/>
        <v>4</v>
      </c>
    </row>
    <row r="560" spans="1:12" x14ac:dyDescent="0.25">
      <c r="A560" s="20">
        <v>552</v>
      </c>
      <c r="B560" s="21">
        <f t="shared" ca="1" si="90"/>
        <v>0.25802711636150577</v>
      </c>
      <c r="C560" s="21">
        <f t="shared" ca="1" si="95"/>
        <v>1704.544129771341</v>
      </c>
      <c r="D560" s="21">
        <f t="shared" ca="1" si="91"/>
        <v>3.8674117973588542</v>
      </c>
      <c r="E560" s="21">
        <f t="shared" ca="1" si="98"/>
        <v>9.9314901286304575</v>
      </c>
      <c r="F560" s="20" t="str">
        <f t="shared" ca="1" si="96"/>
        <v>No</v>
      </c>
      <c r="G560" s="21">
        <f t="shared" ca="1" si="92"/>
        <v>0</v>
      </c>
      <c r="H560" s="21">
        <f t="shared" ca="1" si="93"/>
        <v>1714.4756198999714</v>
      </c>
      <c r="I560" s="21">
        <f t="shared" ca="1" si="88"/>
        <v>1718.3430316973304</v>
      </c>
      <c r="J560" s="20">
        <f t="shared" ca="1" si="97"/>
        <v>5</v>
      </c>
      <c r="K560" s="20">
        <f t="shared" ca="1" si="89"/>
        <v>5</v>
      </c>
      <c r="L560" s="44">
        <f t="shared" ca="1" si="94"/>
        <v>5</v>
      </c>
    </row>
    <row r="561" spans="1:12" x14ac:dyDescent="0.25">
      <c r="A561" s="20">
        <v>553</v>
      </c>
      <c r="B561" s="21">
        <f t="shared" ca="1" si="90"/>
        <v>2.6509618413168017</v>
      </c>
      <c r="C561" s="21">
        <f t="shared" ca="1" si="95"/>
        <v>1707.1950916126577</v>
      </c>
      <c r="D561" s="21">
        <f t="shared" ca="1" si="91"/>
        <v>0.54145513009667201</v>
      </c>
      <c r="E561" s="21">
        <f t="shared" ca="1" si="98"/>
        <v>11.147940084672655</v>
      </c>
      <c r="F561" s="20" t="str">
        <f t="shared" ca="1" si="96"/>
        <v>No</v>
      </c>
      <c r="G561" s="21">
        <f t="shared" ca="1" si="92"/>
        <v>0</v>
      </c>
      <c r="H561" s="21">
        <f t="shared" ca="1" si="93"/>
        <v>1718.3430316973304</v>
      </c>
      <c r="I561" s="21">
        <f t="shared" ca="1" si="88"/>
        <v>1718.8844868274271</v>
      </c>
      <c r="J561" s="20">
        <f t="shared" ca="1" si="97"/>
        <v>6</v>
      </c>
      <c r="K561" s="20">
        <f t="shared" ca="1" si="89"/>
        <v>5</v>
      </c>
      <c r="L561" s="44">
        <f t="shared" ca="1" si="94"/>
        <v>5.5</v>
      </c>
    </row>
    <row r="562" spans="1:12" x14ac:dyDescent="0.25">
      <c r="A562" s="20">
        <v>554</v>
      </c>
      <c r="B562" s="21">
        <f t="shared" ca="1" si="90"/>
        <v>5.2517198048340505</v>
      </c>
      <c r="C562" s="21">
        <f t="shared" ca="1" si="95"/>
        <v>1712.4468114174917</v>
      </c>
      <c r="D562" s="21">
        <f t="shared" ca="1" si="91"/>
        <v>0.70425319164434541</v>
      </c>
      <c r="E562" s="21">
        <f t="shared" ca="1" si="98"/>
        <v>6.4376754099353093</v>
      </c>
      <c r="F562" s="20" t="str">
        <f t="shared" ca="1" si="96"/>
        <v>No</v>
      </c>
      <c r="G562" s="21">
        <f t="shared" ca="1" si="92"/>
        <v>0</v>
      </c>
      <c r="H562" s="21">
        <f t="shared" ca="1" si="93"/>
        <v>1718.8844868274271</v>
      </c>
      <c r="I562" s="21">
        <f t="shared" ca="1" si="88"/>
        <v>1719.5887400190713</v>
      </c>
      <c r="J562" s="20">
        <f t="shared" ca="1" si="97"/>
        <v>6</v>
      </c>
      <c r="K562" s="20">
        <f t="shared" ca="1" si="89"/>
        <v>4</v>
      </c>
      <c r="L562" s="44">
        <f t="shared" ca="1" si="94"/>
        <v>5</v>
      </c>
    </row>
    <row r="563" spans="1:12" x14ac:dyDescent="0.25">
      <c r="A563" s="20">
        <v>555</v>
      </c>
      <c r="B563" s="21">
        <f t="shared" ca="1" si="90"/>
        <v>0.35894428900824343</v>
      </c>
      <c r="C563" s="21">
        <f t="shared" ca="1" si="95"/>
        <v>1712.8057557064999</v>
      </c>
      <c r="D563" s="21">
        <f t="shared" ca="1" si="91"/>
        <v>7.0587614012201094E-2</v>
      </c>
      <c r="E563" s="21">
        <f t="shared" ca="1" si="98"/>
        <v>6.7829843125714433</v>
      </c>
      <c r="F563" s="20" t="str">
        <f t="shared" ca="1" si="96"/>
        <v>No</v>
      </c>
      <c r="G563" s="21">
        <f t="shared" ca="1" si="92"/>
        <v>0</v>
      </c>
      <c r="H563" s="21">
        <f t="shared" ca="1" si="93"/>
        <v>1719.5887400190713</v>
      </c>
      <c r="I563" s="21">
        <f t="shared" ca="1" si="88"/>
        <v>1719.6593276330836</v>
      </c>
      <c r="J563" s="20">
        <f t="shared" ca="1" si="97"/>
        <v>5</v>
      </c>
      <c r="K563" s="20">
        <f t="shared" ca="1" si="89"/>
        <v>3</v>
      </c>
      <c r="L563" s="44">
        <f t="shared" ca="1" si="94"/>
        <v>4</v>
      </c>
    </row>
    <row r="564" spans="1:12" x14ac:dyDescent="0.25">
      <c r="A564" s="20">
        <v>556</v>
      </c>
      <c r="B564" s="21">
        <f t="shared" ca="1" si="90"/>
        <v>2.9101664484677303</v>
      </c>
      <c r="C564" s="21">
        <f t="shared" ca="1" si="95"/>
        <v>1715.7159221549675</v>
      </c>
      <c r="D564" s="21">
        <f t="shared" ca="1" si="91"/>
        <v>0.63188361847107111</v>
      </c>
      <c r="E564" s="21">
        <f t="shared" ca="1" si="98"/>
        <v>3.9434054781161194</v>
      </c>
      <c r="F564" s="20" t="str">
        <f t="shared" ca="1" si="96"/>
        <v>No</v>
      </c>
      <c r="G564" s="21">
        <f t="shared" ca="1" si="92"/>
        <v>0</v>
      </c>
      <c r="H564" s="21">
        <f t="shared" ca="1" si="93"/>
        <v>1719.6593276330836</v>
      </c>
      <c r="I564" s="21">
        <f t="shared" ca="1" si="88"/>
        <v>1720.2912112515546</v>
      </c>
      <c r="J564" s="20">
        <f t="shared" ca="1" si="97"/>
        <v>4</v>
      </c>
      <c r="K564" s="20">
        <f t="shared" ca="1" si="89"/>
        <v>2</v>
      </c>
      <c r="L564" s="44">
        <f t="shared" ca="1" si="94"/>
        <v>3</v>
      </c>
    </row>
    <row r="565" spans="1:12" x14ac:dyDescent="0.25">
      <c r="A565" s="20">
        <v>557</v>
      </c>
      <c r="B565" s="21">
        <f t="shared" ca="1" si="90"/>
        <v>1.4535366415044602</v>
      </c>
      <c r="C565" s="21">
        <f t="shared" ca="1" si="95"/>
        <v>1717.1694587964721</v>
      </c>
      <c r="D565" s="21">
        <f t="shared" ca="1" si="91"/>
        <v>10.740440225516643</v>
      </c>
      <c r="E565" s="21">
        <f t="shared" ca="1" si="98"/>
        <v>3.1217524550825146</v>
      </c>
      <c r="F565" s="20" t="str">
        <f t="shared" ca="1" si="96"/>
        <v>No</v>
      </c>
      <c r="G565" s="21">
        <f t="shared" ca="1" si="92"/>
        <v>0</v>
      </c>
      <c r="H565" s="21">
        <f t="shared" ca="1" si="93"/>
        <v>1720.2912112515546</v>
      </c>
      <c r="I565" s="21">
        <f t="shared" ca="1" si="88"/>
        <v>1731.0316514770714</v>
      </c>
      <c r="J565" s="20">
        <f t="shared" ca="1" si="97"/>
        <v>3</v>
      </c>
      <c r="K565" s="20">
        <f t="shared" ca="1" si="89"/>
        <v>4</v>
      </c>
      <c r="L565" s="44">
        <f t="shared" ca="1" si="94"/>
        <v>3.5</v>
      </c>
    </row>
    <row r="566" spans="1:12" x14ac:dyDescent="0.25">
      <c r="A566" s="20">
        <v>558</v>
      </c>
      <c r="B566" s="21">
        <f t="shared" ca="1" si="90"/>
        <v>1.6183004655821125</v>
      </c>
      <c r="C566" s="21">
        <f t="shared" ca="1" si="95"/>
        <v>1718.7877592620541</v>
      </c>
      <c r="D566" s="21">
        <f t="shared" ca="1" si="91"/>
        <v>1.5843055334210381</v>
      </c>
      <c r="E566" s="21">
        <f t="shared" ca="1" si="98"/>
        <v>12.24389221501724</v>
      </c>
      <c r="F566" s="20" t="str">
        <f t="shared" ca="1" si="96"/>
        <v>No</v>
      </c>
      <c r="G566" s="21">
        <f t="shared" ca="1" si="92"/>
        <v>0</v>
      </c>
      <c r="H566" s="21">
        <f t="shared" ca="1" si="93"/>
        <v>1731.0316514770714</v>
      </c>
      <c r="I566" s="21">
        <f t="shared" ca="1" si="88"/>
        <v>1732.6159570104924</v>
      </c>
      <c r="J566" s="20">
        <f t="shared" ca="1" si="97"/>
        <v>5</v>
      </c>
      <c r="K566" s="20">
        <f t="shared" ca="1" si="89"/>
        <v>4</v>
      </c>
      <c r="L566" s="44">
        <f t="shared" ca="1" si="94"/>
        <v>4.5</v>
      </c>
    </row>
    <row r="567" spans="1:12" x14ac:dyDescent="0.25">
      <c r="A567" s="20">
        <v>559</v>
      </c>
      <c r="B567" s="21">
        <f t="shared" ca="1" si="90"/>
        <v>5.1136140450451917</v>
      </c>
      <c r="C567" s="21">
        <f t="shared" ca="1" si="95"/>
        <v>1723.9013733070992</v>
      </c>
      <c r="D567" s="21">
        <f t="shared" ca="1" si="91"/>
        <v>1.4531831891414217</v>
      </c>
      <c r="E567" s="21">
        <f t="shared" ca="1" si="98"/>
        <v>8.7145837033931457</v>
      </c>
      <c r="F567" s="20" t="str">
        <f t="shared" ca="1" si="96"/>
        <v>No</v>
      </c>
      <c r="G567" s="21">
        <f t="shared" ca="1" si="92"/>
        <v>0</v>
      </c>
      <c r="H567" s="21">
        <f t="shared" ca="1" si="93"/>
        <v>1732.6159570104924</v>
      </c>
      <c r="I567" s="21">
        <f t="shared" ca="1" si="88"/>
        <v>1734.0691401996337</v>
      </c>
      <c r="J567" s="20">
        <f t="shared" ca="1" si="97"/>
        <v>5</v>
      </c>
      <c r="K567" s="20">
        <f t="shared" ca="1" si="89"/>
        <v>4</v>
      </c>
      <c r="L567" s="44">
        <f t="shared" ca="1" si="94"/>
        <v>4.5</v>
      </c>
    </row>
    <row r="568" spans="1:12" x14ac:dyDescent="0.25">
      <c r="A568" s="20">
        <v>560</v>
      </c>
      <c r="B568" s="21">
        <f t="shared" ca="1" si="90"/>
        <v>4.4209018459992615</v>
      </c>
      <c r="C568" s="21">
        <f t="shared" ca="1" si="95"/>
        <v>1728.3222751530984</v>
      </c>
      <c r="D568" s="21">
        <f t="shared" ca="1" si="91"/>
        <v>1.1042290691333616</v>
      </c>
      <c r="E568" s="21">
        <f t="shared" ca="1" si="98"/>
        <v>5.7468650465352766</v>
      </c>
      <c r="F568" s="20" t="str">
        <f t="shared" ca="1" si="96"/>
        <v>No</v>
      </c>
      <c r="G568" s="21">
        <f t="shared" ca="1" si="92"/>
        <v>0</v>
      </c>
      <c r="H568" s="21">
        <f t="shared" ca="1" si="93"/>
        <v>1734.0691401996337</v>
      </c>
      <c r="I568" s="21">
        <f t="shared" ca="1" si="88"/>
        <v>1735.1733692687671</v>
      </c>
      <c r="J568" s="20">
        <f t="shared" ca="1" si="97"/>
        <v>5</v>
      </c>
      <c r="K568" s="20">
        <f t="shared" ca="1" si="89"/>
        <v>3</v>
      </c>
      <c r="L568" s="44">
        <f t="shared" ca="1" si="94"/>
        <v>4</v>
      </c>
    </row>
    <row r="569" spans="1:12" x14ac:dyDescent="0.25">
      <c r="A569" s="20">
        <v>561</v>
      </c>
      <c r="B569" s="21">
        <f t="shared" ca="1" si="90"/>
        <v>0.22746799802932466</v>
      </c>
      <c r="C569" s="21">
        <f t="shared" ca="1" si="95"/>
        <v>1728.5497431511278</v>
      </c>
      <c r="D569" s="21">
        <f t="shared" ca="1" si="91"/>
        <v>3.7797417740739725</v>
      </c>
      <c r="E569" s="21">
        <f t="shared" ca="1" si="98"/>
        <v>6.6236261176393327</v>
      </c>
      <c r="F569" s="20" t="str">
        <f t="shared" ca="1" si="96"/>
        <v>No</v>
      </c>
      <c r="G569" s="21">
        <f t="shared" ca="1" si="92"/>
        <v>0</v>
      </c>
      <c r="H569" s="21">
        <f t="shared" ca="1" si="93"/>
        <v>1735.1733692687671</v>
      </c>
      <c r="I569" s="21">
        <f t="shared" ca="1" si="88"/>
        <v>1738.9531110428411</v>
      </c>
      <c r="J569" s="20">
        <f t="shared" ca="1" si="97"/>
        <v>4</v>
      </c>
      <c r="K569" s="20">
        <f t="shared" ca="1" si="89"/>
        <v>3</v>
      </c>
      <c r="L569" s="44">
        <f t="shared" ca="1" si="94"/>
        <v>3.5</v>
      </c>
    </row>
    <row r="570" spans="1:12" x14ac:dyDescent="0.25">
      <c r="A570" s="20">
        <v>562</v>
      </c>
      <c r="B570" s="21">
        <f t="shared" ca="1" si="90"/>
        <v>2.898824520244343</v>
      </c>
      <c r="C570" s="21">
        <f t="shared" ca="1" si="95"/>
        <v>1731.4485676713721</v>
      </c>
      <c r="D570" s="21">
        <f t="shared" ca="1" si="91"/>
        <v>8.016547142481171</v>
      </c>
      <c r="E570" s="21">
        <f t="shared" ca="1" si="98"/>
        <v>7.5045433714690262</v>
      </c>
      <c r="F570" s="20" t="str">
        <f t="shared" ca="1" si="96"/>
        <v>No</v>
      </c>
      <c r="G570" s="21">
        <f t="shared" ca="1" si="92"/>
        <v>0</v>
      </c>
      <c r="H570" s="21">
        <f t="shared" ca="1" si="93"/>
        <v>1738.9531110428411</v>
      </c>
      <c r="I570" s="21">
        <f t="shared" ca="1" si="88"/>
        <v>1746.9696581853223</v>
      </c>
      <c r="J570" s="20">
        <f t="shared" ca="1" si="97"/>
        <v>4</v>
      </c>
      <c r="K570" s="20">
        <f t="shared" ca="1" si="89"/>
        <v>3</v>
      </c>
      <c r="L570" s="44">
        <f t="shared" ca="1" si="94"/>
        <v>3.5</v>
      </c>
    </row>
    <row r="571" spans="1:12" x14ac:dyDescent="0.25">
      <c r="A571" s="20">
        <v>563</v>
      </c>
      <c r="B571" s="21">
        <f t="shared" ca="1" si="90"/>
        <v>1.174349451486735</v>
      </c>
      <c r="C571" s="21">
        <f t="shared" ca="1" si="95"/>
        <v>1732.6229171228588</v>
      </c>
      <c r="D571" s="21">
        <f t="shared" ca="1" si="91"/>
        <v>3.9792577510771987</v>
      </c>
      <c r="E571" s="21">
        <f t="shared" ca="1" si="98"/>
        <v>14.346741062463479</v>
      </c>
      <c r="F571" s="20" t="str">
        <f t="shared" ca="1" si="96"/>
        <v>No</v>
      </c>
      <c r="G571" s="21">
        <f t="shared" ca="1" si="92"/>
        <v>0</v>
      </c>
      <c r="H571" s="21">
        <f t="shared" ca="1" si="93"/>
        <v>1746.9696581853223</v>
      </c>
      <c r="I571" s="21">
        <f t="shared" ca="1" si="88"/>
        <v>1750.9489159363995</v>
      </c>
      <c r="J571" s="20">
        <f t="shared" ca="1" si="97"/>
        <v>4</v>
      </c>
      <c r="K571" s="20">
        <f t="shared" ca="1" si="89"/>
        <v>3</v>
      </c>
      <c r="L571" s="44">
        <f t="shared" ca="1" si="94"/>
        <v>3.5</v>
      </c>
    </row>
    <row r="572" spans="1:12" x14ac:dyDescent="0.25">
      <c r="A572" s="20">
        <v>564</v>
      </c>
      <c r="B572" s="21">
        <f t="shared" ca="1" si="90"/>
        <v>4.9520106029076363</v>
      </c>
      <c r="C572" s="21">
        <f t="shared" ca="1" si="95"/>
        <v>1737.5749277257664</v>
      </c>
      <c r="D572" s="21">
        <f t="shared" ca="1" si="91"/>
        <v>4.9023954711298119</v>
      </c>
      <c r="E572" s="21">
        <f t="shared" ca="1" si="98"/>
        <v>13.373988210633115</v>
      </c>
      <c r="F572" s="20" t="str">
        <f t="shared" ca="1" si="96"/>
        <v>No</v>
      </c>
      <c r="G572" s="21">
        <f t="shared" ca="1" si="92"/>
        <v>0</v>
      </c>
      <c r="H572" s="21">
        <f t="shared" ca="1" si="93"/>
        <v>1750.9489159363995</v>
      </c>
      <c r="I572" s="21">
        <f t="shared" ca="1" si="88"/>
        <v>1755.8513114075295</v>
      </c>
      <c r="J572" s="20">
        <f t="shared" ca="1" si="97"/>
        <v>4</v>
      </c>
      <c r="K572" s="20">
        <f t="shared" ca="1" si="89"/>
        <v>2</v>
      </c>
      <c r="L572" s="44">
        <f t="shared" ca="1" si="94"/>
        <v>3</v>
      </c>
    </row>
    <row r="573" spans="1:12" x14ac:dyDescent="0.25">
      <c r="A573" s="20">
        <v>565</v>
      </c>
      <c r="B573" s="21">
        <f t="shared" ca="1" si="90"/>
        <v>9.3077372095297974</v>
      </c>
      <c r="C573" s="21">
        <f t="shared" ca="1" si="95"/>
        <v>1746.8826649352961</v>
      </c>
      <c r="D573" s="21">
        <f t="shared" ca="1" si="91"/>
        <v>4.1037839453649712</v>
      </c>
      <c r="E573" s="21">
        <f t="shared" ca="1" si="98"/>
        <v>8.9686464722333312</v>
      </c>
      <c r="F573" s="20" t="str">
        <f t="shared" ca="1" si="96"/>
        <v>No</v>
      </c>
      <c r="G573" s="21">
        <f t="shared" ca="1" si="92"/>
        <v>0</v>
      </c>
      <c r="H573" s="21">
        <f t="shared" ca="1" si="93"/>
        <v>1755.8513114075295</v>
      </c>
      <c r="I573" s="21">
        <f t="shared" ca="1" si="88"/>
        <v>1759.9550953528944</v>
      </c>
      <c r="J573" s="20">
        <f t="shared" ca="1" si="97"/>
        <v>3</v>
      </c>
      <c r="K573" s="20">
        <f t="shared" ca="1" si="89"/>
        <v>2</v>
      </c>
      <c r="L573" s="44">
        <f t="shared" ca="1" si="94"/>
        <v>2.5</v>
      </c>
    </row>
    <row r="574" spans="1:12" x14ac:dyDescent="0.25">
      <c r="A574" s="20">
        <v>566</v>
      </c>
      <c r="B574" s="21">
        <f t="shared" ca="1" si="90"/>
        <v>3.2006575585858044</v>
      </c>
      <c r="C574" s="21">
        <f t="shared" ca="1" si="95"/>
        <v>1750.083322493882</v>
      </c>
      <c r="D574" s="21">
        <f t="shared" ca="1" si="91"/>
        <v>1.5541953248005995</v>
      </c>
      <c r="E574" s="21">
        <f t="shared" ca="1" si="98"/>
        <v>9.8717728590124807</v>
      </c>
      <c r="F574" s="20" t="str">
        <f t="shared" ca="1" si="96"/>
        <v>No</v>
      </c>
      <c r="G574" s="21">
        <f t="shared" ca="1" si="92"/>
        <v>0</v>
      </c>
      <c r="H574" s="21">
        <f t="shared" ca="1" si="93"/>
        <v>1759.9550953528944</v>
      </c>
      <c r="I574" s="21">
        <f t="shared" ca="1" si="88"/>
        <v>1761.5092906776949</v>
      </c>
      <c r="J574" s="20">
        <f t="shared" ca="1" si="97"/>
        <v>3</v>
      </c>
      <c r="K574" s="20">
        <f t="shared" ca="1" si="89"/>
        <v>2</v>
      </c>
      <c r="L574" s="44">
        <f t="shared" ca="1" si="94"/>
        <v>2.5</v>
      </c>
    </row>
    <row r="575" spans="1:12" x14ac:dyDescent="0.25">
      <c r="A575" s="20">
        <v>567</v>
      </c>
      <c r="B575" s="21">
        <f t="shared" ca="1" si="90"/>
        <v>7.3199376776113079</v>
      </c>
      <c r="C575" s="21">
        <f t="shared" ca="1" si="95"/>
        <v>1757.4032601714932</v>
      </c>
      <c r="D575" s="21">
        <f t="shared" ca="1" si="91"/>
        <v>0.25856551579222548</v>
      </c>
      <c r="E575" s="21">
        <f t="shared" ca="1" si="98"/>
        <v>4.1060305062017051</v>
      </c>
      <c r="F575" s="20" t="str">
        <f t="shared" ca="1" si="96"/>
        <v>No</v>
      </c>
      <c r="G575" s="21">
        <f t="shared" ca="1" si="92"/>
        <v>0</v>
      </c>
      <c r="H575" s="21">
        <f t="shared" ca="1" si="93"/>
        <v>1761.5092906776949</v>
      </c>
      <c r="I575" s="21">
        <f t="shared" ca="1" si="88"/>
        <v>1761.7678561934872</v>
      </c>
      <c r="J575" s="20">
        <f t="shared" ca="1" si="97"/>
        <v>3</v>
      </c>
      <c r="K575" s="20">
        <f t="shared" ca="1" si="89"/>
        <v>1</v>
      </c>
      <c r="L575" s="44">
        <f t="shared" ca="1" si="94"/>
        <v>2</v>
      </c>
    </row>
    <row r="576" spans="1:12" x14ac:dyDescent="0.25">
      <c r="A576" s="20">
        <v>568</v>
      </c>
      <c r="B576" s="21">
        <f t="shared" ca="1" si="90"/>
        <v>3.1998576187524805</v>
      </c>
      <c r="C576" s="21">
        <f t="shared" ca="1" si="95"/>
        <v>1760.6031177902457</v>
      </c>
      <c r="D576" s="21">
        <f t="shared" ca="1" si="91"/>
        <v>1.5853825680352629</v>
      </c>
      <c r="E576" s="21">
        <f t="shared" ca="1" si="98"/>
        <v>1.164738403241472</v>
      </c>
      <c r="F576" s="20" t="str">
        <f t="shared" ca="1" si="96"/>
        <v>No</v>
      </c>
      <c r="G576" s="21">
        <f t="shared" ca="1" si="92"/>
        <v>0</v>
      </c>
      <c r="H576" s="21">
        <f t="shared" ca="1" si="93"/>
        <v>1761.7678561934872</v>
      </c>
      <c r="I576" s="21">
        <f t="shared" ca="1" si="88"/>
        <v>1763.3532387615226</v>
      </c>
      <c r="J576" s="20">
        <f t="shared" ca="1" si="97"/>
        <v>2</v>
      </c>
      <c r="K576" s="20">
        <f t="shared" ca="1" si="89"/>
        <v>1</v>
      </c>
      <c r="L576" s="44">
        <f t="shared" ca="1" si="94"/>
        <v>1.5</v>
      </c>
    </row>
    <row r="577" spans="1:12" x14ac:dyDescent="0.25">
      <c r="A577" s="20">
        <v>569</v>
      </c>
      <c r="B577" s="21">
        <f t="shared" ca="1" si="90"/>
        <v>1.5912329866804504</v>
      </c>
      <c r="C577" s="21">
        <f t="shared" ca="1" si="95"/>
        <v>1762.1943507769263</v>
      </c>
      <c r="D577" s="21">
        <f t="shared" ca="1" si="91"/>
        <v>2.7904510914187806</v>
      </c>
      <c r="E577" s="21">
        <f t="shared" ca="1" si="98"/>
        <v>1.1588879845962765</v>
      </c>
      <c r="F577" s="20" t="str">
        <f t="shared" ca="1" si="96"/>
        <v>No</v>
      </c>
      <c r="G577" s="21">
        <f t="shared" ca="1" si="92"/>
        <v>0</v>
      </c>
      <c r="H577" s="21">
        <f t="shared" ca="1" si="93"/>
        <v>1763.3532387615226</v>
      </c>
      <c r="I577" s="21">
        <f t="shared" ca="1" si="88"/>
        <v>1766.1436898529414</v>
      </c>
      <c r="J577" s="20">
        <f t="shared" ca="1" si="97"/>
        <v>2</v>
      </c>
      <c r="K577" s="20">
        <f t="shared" ca="1" si="89"/>
        <v>0</v>
      </c>
      <c r="L577" s="44">
        <f t="shared" ca="1" si="94"/>
        <v>1</v>
      </c>
    </row>
    <row r="578" spans="1:12" x14ac:dyDescent="0.25">
      <c r="A578" s="20">
        <v>570</v>
      </c>
      <c r="B578" s="21">
        <f t="shared" ca="1" si="90"/>
        <v>4.4125074353678251</v>
      </c>
      <c r="C578" s="21">
        <f t="shared" ca="1" si="95"/>
        <v>1766.6068582122941</v>
      </c>
      <c r="D578" s="21">
        <f t="shared" ca="1" si="91"/>
        <v>4.8661134820798582</v>
      </c>
      <c r="E578" s="21">
        <f t="shared" ca="1" si="98"/>
        <v>0</v>
      </c>
      <c r="F578" s="20" t="str">
        <f t="shared" ca="1" si="96"/>
        <v>Yes</v>
      </c>
      <c r="G578" s="21">
        <f t="shared" ca="1" si="92"/>
        <v>0.46316835935272138</v>
      </c>
      <c r="H578" s="21">
        <f t="shared" ca="1" si="93"/>
        <v>1766.6068582122941</v>
      </c>
      <c r="I578" s="21">
        <f t="shared" ca="1" si="88"/>
        <v>1771.4729716943739</v>
      </c>
      <c r="J578" s="20">
        <f t="shared" ca="1" si="97"/>
        <v>0</v>
      </c>
      <c r="K578" s="20">
        <f t="shared" ca="1" si="89"/>
        <v>0</v>
      </c>
      <c r="L578" s="44">
        <f t="shared" ca="1" si="94"/>
        <v>0</v>
      </c>
    </row>
    <row r="579" spans="1:12" x14ac:dyDescent="0.25">
      <c r="A579" s="20">
        <v>571</v>
      </c>
      <c r="B579" s="21">
        <f t="shared" ca="1" si="90"/>
        <v>5.2798103076928866</v>
      </c>
      <c r="C579" s="21">
        <f t="shared" ca="1" si="95"/>
        <v>1771.8866685199871</v>
      </c>
      <c r="D579" s="21">
        <f t="shared" ca="1" si="91"/>
        <v>1.0520003181083966</v>
      </c>
      <c r="E579" s="21">
        <f t="shared" ca="1" si="98"/>
        <v>0</v>
      </c>
      <c r="F579" s="20" t="str">
        <f t="shared" ca="1" si="96"/>
        <v>Yes</v>
      </c>
      <c r="G579" s="21">
        <f t="shared" ca="1" si="92"/>
        <v>0.41369682561321497</v>
      </c>
      <c r="H579" s="21">
        <f t="shared" ca="1" si="93"/>
        <v>1771.8866685199871</v>
      </c>
      <c r="I579" s="21">
        <f t="shared" ca="1" si="88"/>
        <v>1772.9386688380955</v>
      </c>
      <c r="J579" s="20">
        <f t="shared" ca="1" si="97"/>
        <v>0</v>
      </c>
      <c r="K579" s="20">
        <f t="shared" ca="1" si="89"/>
        <v>1</v>
      </c>
      <c r="L579" s="44">
        <f t="shared" ca="1" si="94"/>
        <v>0.5</v>
      </c>
    </row>
    <row r="580" spans="1:12" x14ac:dyDescent="0.25">
      <c r="A580" s="20">
        <v>572</v>
      </c>
      <c r="B580" s="21">
        <f t="shared" ca="1" si="90"/>
        <v>0.50673071880194898</v>
      </c>
      <c r="C580" s="21">
        <f t="shared" ca="1" si="95"/>
        <v>1772.393399238789</v>
      </c>
      <c r="D580" s="21">
        <f t="shared" ca="1" si="91"/>
        <v>3.6048521073648288</v>
      </c>
      <c r="E580" s="21">
        <f t="shared" ca="1" si="98"/>
        <v>0.54526959930649355</v>
      </c>
      <c r="F580" s="20" t="str">
        <f t="shared" ca="1" si="96"/>
        <v>No</v>
      </c>
      <c r="G580" s="21">
        <f t="shared" ca="1" si="92"/>
        <v>0</v>
      </c>
      <c r="H580" s="21">
        <f t="shared" ca="1" si="93"/>
        <v>1772.9386688380955</v>
      </c>
      <c r="I580" s="21">
        <f t="shared" ca="1" si="88"/>
        <v>1776.5435209454604</v>
      </c>
      <c r="J580" s="20">
        <f t="shared" ca="1" si="97"/>
        <v>2</v>
      </c>
      <c r="K580" s="20">
        <f t="shared" ca="1" si="89"/>
        <v>2</v>
      </c>
      <c r="L580" s="44">
        <f t="shared" ca="1" si="94"/>
        <v>2</v>
      </c>
    </row>
    <row r="581" spans="1:12" x14ac:dyDescent="0.25">
      <c r="A581" s="20">
        <v>573</v>
      </c>
      <c r="B581" s="21">
        <f t="shared" ca="1" si="90"/>
        <v>1.0738414471848405</v>
      </c>
      <c r="C581" s="21">
        <f t="shared" ca="1" si="95"/>
        <v>1773.4672406859738</v>
      </c>
      <c r="D581" s="21">
        <f t="shared" ca="1" si="91"/>
        <v>2.668793019285352</v>
      </c>
      <c r="E581" s="21">
        <f t="shared" ca="1" si="98"/>
        <v>3.0762802594865661</v>
      </c>
      <c r="F581" s="20" t="str">
        <f t="shared" ca="1" si="96"/>
        <v>No</v>
      </c>
      <c r="G581" s="21">
        <f t="shared" ca="1" si="92"/>
        <v>0</v>
      </c>
      <c r="H581" s="21">
        <f t="shared" ca="1" si="93"/>
        <v>1776.5435209454604</v>
      </c>
      <c r="I581" s="21">
        <f t="shared" ca="1" si="88"/>
        <v>1779.2123139647458</v>
      </c>
      <c r="J581" s="20">
        <f t="shared" ca="1" si="97"/>
        <v>3</v>
      </c>
      <c r="K581" s="20">
        <f t="shared" ca="1" si="89"/>
        <v>1</v>
      </c>
      <c r="L581" s="44">
        <f t="shared" ca="1" si="94"/>
        <v>2</v>
      </c>
    </row>
    <row r="582" spans="1:12" x14ac:dyDescent="0.25">
      <c r="A582" s="20">
        <v>574</v>
      </c>
      <c r="B582" s="21">
        <f t="shared" ca="1" si="90"/>
        <v>2.3640033505206883</v>
      </c>
      <c r="C582" s="21">
        <f t="shared" ca="1" si="95"/>
        <v>1775.8312440364946</v>
      </c>
      <c r="D582" s="21">
        <f t="shared" ca="1" si="91"/>
        <v>4.3514977240325123</v>
      </c>
      <c r="E582" s="21">
        <f t="shared" ca="1" si="98"/>
        <v>3.381069928251236</v>
      </c>
      <c r="F582" s="20" t="str">
        <f t="shared" ca="1" si="96"/>
        <v>No</v>
      </c>
      <c r="G582" s="21">
        <f t="shared" ca="1" si="92"/>
        <v>0</v>
      </c>
      <c r="H582" s="21">
        <f t="shared" ca="1" si="93"/>
        <v>1779.2123139647458</v>
      </c>
      <c r="I582" s="21">
        <f t="shared" ca="1" si="88"/>
        <v>1783.5638116887783</v>
      </c>
      <c r="J582" s="20">
        <f t="shared" ca="1" si="97"/>
        <v>2</v>
      </c>
      <c r="K582" s="20">
        <f t="shared" ca="1" si="89"/>
        <v>0</v>
      </c>
      <c r="L582" s="44">
        <f t="shared" ca="1" si="94"/>
        <v>1</v>
      </c>
    </row>
    <row r="583" spans="1:12" x14ac:dyDescent="0.25">
      <c r="A583" s="20">
        <v>575</v>
      </c>
      <c r="B583" s="21">
        <f t="shared" ca="1" si="90"/>
        <v>12.075470953923592</v>
      </c>
      <c r="C583" s="21">
        <f t="shared" ca="1" si="95"/>
        <v>1787.9067149904181</v>
      </c>
      <c r="D583" s="21">
        <f t="shared" ca="1" si="91"/>
        <v>0.93136598064278509</v>
      </c>
      <c r="E583" s="21">
        <f t="shared" ca="1" si="98"/>
        <v>0</v>
      </c>
      <c r="F583" s="20" t="str">
        <f t="shared" ca="1" si="96"/>
        <v>Yes</v>
      </c>
      <c r="G583" s="21">
        <f t="shared" ca="1" si="92"/>
        <v>4.342903301639808</v>
      </c>
      <c r="H583" s="21">
        <f t="shared" ca="1" si="93"/>
        <v>1787.9067149904181</v>
      </c>
      <c r="I583" s="21">
        <f t="shared" ca="1" si="88"/>
        <v>1788.8380809710609</v>
      </c>
      <c r="J583" s="20">
        <f t="shared" ca="1" si="97"/>
        <v>0</v>
      </c>
      <c r="K583" s="20">
        <f t="shared" ca="1" si="89"/>
        <v>0</v>
      </c>
      <c r="L583" s="44">
        <f t="shared" ca="1" si="94"/>
        <v>0</v>
      </c>
    </row>
    <row r="584" spans="1:12" x14ac:dyDescent="0.25">
      <c r="A584" s="20">
        <v>576</v>
      </c>
      <c r="B584" s="21">
        <f t="shared" ca="1" si="90"/>
        <v>1.8006047397660192</v>
      </c>
      <c r="C584" s="21">
        <f t="shared" ca="1" si="95"/>
        <v>1789.7073197301841</v>
      </c>
      <c r="D584" s="21">
        <f t="shared" ca="1" si="91"/>
        <v>5.0825675200651244</v>
      </c>
      <c r="E584" s="21">
        <f t="shared" ca="1" si="98"/>
        <v>0</v>
      </c>
      <c r="F584" s="20" t="str">
        <f t="shared" ca="1" si="96"/>
        <v>Yes</v>
      </c>
      <c r="G584" s="21">
        <f t="shared" ca="1" si="92"/>
        <v>0.86923875912316362</v>
      </c>
      <c r="H584" s="21">
        <f t="shared" ca="1" si="93"/>
        <v>1789.7073197301841</v>
      </c>
      <c r="I584" s="21">
        <f t="shared" ca="1" si="88"/>
        <v>1794.7898872502492</v>
      </c>
      <c r="J584" s="20">
        <f t="shared" ca="1" si="97"/>
        <v>0</v>
      </c>
      <c r="K584" s="20">
        <f t="shared" ca="1" si="89"/>
        <v>2</v>
      </c>
      <c r="L584" s="44">
        <f t="shared" ca="1" si="94"/>
        <v>1</v>
      </c>
    </row>
    <row r="585" spans="1:12" x14ac:dyDescent="0.25">
      <c r="A585" s="20">
        <v>577</v>
      </c>
      <c r="B585" s="21">
        <f t="shared" ca="1" si="90"/>
        <v>1.5480272288506023</v>
      </c>
      <c r="C585" s="21">
        <f t="shared" ca="1" si="95"/>
        <v>1791.2553469590346</v>
      </c>
      <c r="D585" s="21">
        <f t="shared" ca="1" si="91"/>
        <v>0.49095001073783606</v>
      </c>
      <c r="E585" s="21">
        <f t="shared" ca="1" si="98"/>
        <v>3.5345402912146255</v>
      </c>
      <c r="F585" s="20" t="str">
        <f t="shared" ca="1" si="96"/>
        <v>No</v>
      </c>
      <c r="G585" s="21">
        <f t="shared" ca="1" si="92"/>
        <v>0</v>
      </c>
      <c r="H585" s="21">
        <f t="shared" ca="1" si="93"/>
        <v>1794.7898872502492</v>
      </c>
      <c r="I585" s="21">
        <f t="shared" ref="I585:I648" ca="1" si="99">$H585+$D585</f>
        <v>1795.280837260987</v>
      </c>
      <c r="J585" s="20">
        <f t="shared" ca="1" si="97"/>
        <v>3</v>
      </c>
      <c r="K585" s="20">
        <f t="shared" ref="K585:K648" ca="1" si="100">IF($I585&lt;=$C586,0,IF($I585&lt;=$C587,1,IF($I585&lt;=$C588,2,IF($I585&lt;=$C589,3,IF($I585&lt;=$C590,4,5)))))</f>
        <v>1</v>
      </c>
      <c r="L585" s="44">
        <f t="shared" ca="1" si="94"/>
        <v>2</v>
      </c>
    </row>
    <row r="586" spans="1:12" x14ac:dyDescent="0.25">
      <c r="A586" s="20">
        <v>578</v>
      </c>
      <c r="B586" s="21">
        <f t="shared" ref="B586:B649" ca="1" si="101">-LN(RAND())/$D$4</f>
        <v>0.89500523092225126</v>
      </c>
      <c r="C586" s="21">
        <f t="shared" ca="1" si="95"/>
        <v>1792.1503521899567</v>
      </c>
      <c r="D586" s="21">
        <f t="shared" ref="D586:D649" ca="1" si="102">-LN(RAND())/$D$6</f>
        <v>1.5228956472059565</v>
      </c>
      <c r="E586" s="21">
        <f t="shared" ca="1" si="98"/>
        <v>3.1304850710303072</v>
      </c>
      <c r="F586" s="20" t="str">
        <f t="shared" ca="1" si="96"/>
        <v>No</v>
      </c>
      <c r="G586" s="21">
        <f t="shared" ref="G586:G649" ca="1" si="103">IF($I585&lt;=$C586,$C586-$I585,0)</f>
        <v>0</v>
      </c>
      <c r="H586" s="21">
        <f t="shared" ref="H586:H649" ca="1" si="104">IF($I585&lt;=$C586,$C586,$I585)</f>
        <v>1795.280837260987</v>
      </c>
      <c r="I586" s="21">
        <f t="shared" ca="1" si="99"/>
        <v>1796.8037329081931</v>
      </c>
      <c r="J586" s="20">
        <f t="shared" ca="1" si="97"/>
        <v>2</v>
      </c>
      <c r="K586" s="20">
        <f t="shared" ca="1" si="100"/>
        <v>0</v>
      </c>
      <c r="L586" s="44">
        <f t="shared" ref="L586:L649" ca="1" si="105">(J586+K586)/2</f>
        <v>1</v>
      </c>
    </row>
    <row r="587" spans="1:12" x14ac:dyDescent="0.25">
      <c r="A587" s="20">
        <v>579</v>
      </c>
      <c r="B587" s="21">
        <f t="shared" ca="1" si="101"/>
        <v>5.0318231707828716</v>
      </c>
      <c r="C587" s="21">
        <f t="shared" ref="C587:C650" ca="1" si="106">$C586+$B587</f>
        <v>1797.1821753607396</v>
      </c>
      <c r="D587" s="21">
        <f t="shared" ca="1" si="102"/>
        <v>2.8353584176379454</v>
      </c>
      <c r="E587" s="21">
        <f t="shared" ca="1" si="98"/>
        <v>0</v>
      </c>
      <c r="F587" s="20" t="str">
        <f t="shared" ref="F587:F650" ca="1" si="107">IF(E587=0,"Yes","No")</f>
        <v>Yes</v>
      </c>
      <c r="G587" s="21">
        <f t="shared" ca="1" si="103"/>
        <v>0.37844245254655107</v>
      </c>
      <c r="H587" s="21">
        <f t="shared" ca="1" si="104"/>
        <v>1797.1821753607396</v>
      </c>
      <c r="I587" s="21">
        <f t="shared" ca="1" si="99"/>
        <v>1800.0175337783776</v>
      </c>
      <c r="J587" s="20">
        <f t="shared" ref="J587:J650" ca="1" si="108">IF($I586&lt;=$C587,0,$K586+1)</f>
        <v>0</v>
      </c>
      <c r="K587" s="20">
        <f t="shared" ca="1" si="100"/>
        <v>0</v>
      </c>
      <c r="L587" s="44">
        <f t="shared" ca="1" si="105"/>
        <v>0</v>
      </c>
    </row>
    <row r="588" spans="1:12" x14ac:dyDescent="0.25">
      <c r="A588" s="20">
        <v>580</v>
      </c>
      <c r="B588" s="21">
        <f t="shared" ca="1" si="101"/>
        <v>3.3077963018319458</v>
      </c>
      <c r="C588" s="21">
        <f t="shared" ca="1" si="106"/>
        <v>1800.4899716625716</v>
      </c>
      <c r="D588" s="21">
        <f t="shared" ca="1" si="102"/>
        <v>3.1025470710322889</v>
      </c>
      <c r="E588" s="21">
        <f t="shared" ref="E588:E651" ca="1" si="109">IF($I587&lt;=$C588,0,$I587-$C588)</f>
        <v>0</v>
      </c>
      <c r="F588" s="20" t="str">
        <f t="shared" ca="1" si="107"/>
        <v>Yes</v>
      </c>
      <c r="G588" s="21">
        <f t="shared" ca="1" si="103"/>
        <v>0.47243788419405064</v>
      </c>
      <c r="H588" s="21">
        <f t="shared" ca="1" si="104"/>
        <v>1800.4899716625716</v>
      </c>
      <c r="I588" s="21">
        <f t="shared" ca="1" si="99"/>
        <v>1803.5925187336038</v>
      </c>
      <c r="J588" s="20">
        <f t="shared" ca="1" si="108"/>
        <v>0</v>
      </c>
      <c r="K588" s="20">
        <f t="shared" ca="1" si="100"/>
        <v>1</v>
      </c>
      <c r="L588" s="44">
        <f t="shared" ca="1" si="105"/>
        <v>0.5</v>
      </c>
    </row>
    <row r="589" spans="1:12" x14ac:dyDescent="0.25">
      <c r="A589" s="20">
        <v>581</v>
      </c>
      <c r="B589" s="21">
        <f t="shared" ca="1" si="101"/>
        <v>0.36047955474764942</v>
      </c>
      <c r="C589" s="21">
        <f t="shared" ca="1" si="106"/>
        <v>1800.8504512173192</v>
      </c>
      <c r="D589" s="21">
        <f t="shared" ca="1" si="102"/>
        <v>3.062698039381464</v>
      </c>
      <c r="E589" s="21">
        <f t="shared" ca="1" si="109"/>
        <v>2.7420675162845782</v>
      </c>
      <c r="F589" s="20" t="str">
        <f t="shared" ca="1" si="107"/>
        <v>No</v>
      </c>
      <c r="G589" s="21">
        <f t="shared" ca="1" si="103"/>
        <v>0</v>
      </c>
      <c r="H589" s="21">
        <f t="shared" ca="1" si="104"/>
        <v>1803.5925187336038</v>
      </c>
      <c r="I589" s="21">
        <f t="shared" ca="1" si="99"/>
        <v>1806.6552167729853</v>
      </c>
      <c r="J589" s="20">
        <f t="shared" ca="1" si="108"/>
        <v>2</v>
      </c>
      <c r="K589" s="20">
        <f t="shared" ca="1" si="100"/>
        <v>1</v>
      </c>
      <c r="L589" s="44">
        <f t="shared" ca="1" si="105"/>
        <v>1.5</v>
      </c>
    </row>
    <row r="590" spans="1:12" x14ac:dyDescent="0.25">
      <c r="A590" s="20">
        <v>582</v>
      </c>
      <c r="B590" s="21">
        <f t="shared" ca="1" si="101"/>
        <v>5.6637197835148827</v>
      </c>
      <c r="C590" s="21">
        <f t="shared" ca="1" si="106"/>
        <v>1806.514171000834</v>
      </c>
      <c r="D590" s="21">
        <f t="shared" ca="1" si="102"/>
        <v>1.8542393415149656</v>
      </c>
      <c r="E590" s="21">
        <f t="shared" ca="1" si="109"/>
        <v>0.14104577215130121</v>
      </c>
      <c r="F590" s="20" t="str">
        <f t="shared" ca="1" si="107"/>
        <v>No</v>
      </c>
      <c r="G590" s="21">
        <f t="shared" ca="1" si="103"/>
        <v>0</v>
      </c>
      <c r="H590" s="21">
        <f t="shared" ca="1" si="104"/>
        <v>1806.6552167729853</v>
      </c>
      <c r="I590" s="21">
        <f t="shared" ca="1" si="99"/>
        <v>1808.5094561145004</v>
      </c>
      <c r="J590" s="20">
        <f t="shared" ca="1" si="108"/>
        <v>2</v>
      </c>
      <c r="K590" s="20">
        <f t="shared" ca="1" si="100"/>
        <v>1</v>
      </c>
      <c r="L590" s="44">
        <f t="shared" ca="1" si="105"/>
        <v>1.5</v>
      </c>
    </row>
    <row r="591" spans="1:12" x14ac:dyDescent="0.25">
      <c r="A591" s="20">
        <v>583</v>
      </c>
      <c r="B591" s="21">
        <f t="shared" ca="1" si="101"/>
        <v>0.56140543607679216</v>
      </c>
      <c r="C591" s="21">
        <f t="shared" ca="1" si="106"/>
        <v>1807.0755764369108</v>
      </c>
      <c r="D591" s="21">
        <f t="shared" ca="1" si="102"/>
        <v>0.36105040901788454</v>
      </c>
      <c r="E591" s="21">
        <f t="shared" ca="1" si="109"/>
        <v>1.4338796775896299</v>
      </c>
      <c r="F591" s="20" t="str">
        <f t="shared" ca="1" si="107"/>
        <v>No</v>
      </c>
      <c r="G591" s="21">
        <f t="shared" ca="1" si="103"/>
        <v>0</v>
      </c>
      <c r="H591" s="21">
        <f t="shared" ca="1" si="104"/>
        <v>1808.5094561145004</v>
      </c>
      <c r="I591" s="21">
        <f t="shared" ca="1" si="99"/>
        <v>1808.8705065235183</v>
      </c>
      <c r="J591" s="20">
        <f t="shared" ca="1" si="108"/>
        <v>2</v>
      </c>
      <c r="K591" s="20">
        <f t="shared" ca="1" si="100"/>
        <v>0</v>
      </c>
      <c r="L591" s="44">
        <f t="shared" ca="1" si="105"/>
        <v>1</v>
      </c>
    </row>
    <row r="592" spans="1:12" x14ac:dyDescent="0.25">
      <c r="A592" s="20">
        <v>584</v>
      </c>
      <c r="B592" s="21">
        <f t="shared" ca="1" si="101"/>
        <v>6.064189377180834</v>
      </c>
      <c r="C592" s="21">
        <f t="shared" ca="1" si="106"/>
        <v>1813.1397658140916</v>
      </c>
      <c r="D592" s="21">
        <f t="shared" ca="1" si="102"/>
        <v>9.380394732491304</v>
      </c>
      <c r="E592" s="21">
        <f t="shared" ca="1" si="109"/>
        <v>0</v>
      </c>
      <c r="F592" s="20" t="str">
        <f t="shared" ca="1" si="107"/>
        <v>Yes</v>
      </c>
      <c r="G592" s="21">
        <f t="shared" ca="1" si="103"/>
        <v>4.2692592905732454</v>
      </c>
      <c r="H592" s="21">
        <f t="shared" ca="1" si="104"/>
        <v>1813.1397658140916</v>
      </c>
      <c r="I592" s="21">
        <f t="shared" ca="1" si="99"/>
        <v>1822.5201605465829</v>
      </c>
      <c r="J592" s="20">
        <f t="shared" ca="1" si="108"/>
        <v>0</v>
      </c>
      <c r="K592" s="20">
        <f t="shared" ca="1" si="100"/>
        <v>3</v>
      </c>
      <c r="L592" s="44">
        <f t="shared" ca="1" si="105"/>
        <v>1.5</v>
      </c>
    </row>
    <row r="593" spans="1:12" x14ac:dyDescent="0.25">
      <c r="A593" s="20">
        <v>585</v>
      </c>
      <c r="B593" s="21">
        <f t="shared" ca="1" si="101"/>
        <v>0.43989682827982579</v>
      </c>
      <c r="C593" s="21">
        <f t="shared" ca="1" si="106"/>
        <v>1813.5796626423714</v>
      </c>
      <c r="D593" s="21">
        <f t="shared" ca="1" si="102"/>
        <v>0.84747845846894665</v>
      </c>
      <c r="E593" s="21">
        <f t="shared" ca="1" si="109"/>
        <v>8.9404979042114974</v>
      </c>
      <c r="F593" s="20" t="str">
        <f t="shared" ca="1" si="107"/>
        <v>No</v>
      </c>
      <c r="G593" s="21">
        <f t="shared" ca="1" si="103"/>
        <v>0</v>
      </c>
      <c r="H593" s="21">
        <f t="shared" ca="1" si="104"/>
        <v>1822.5201605465829</v>
      </c>
      <c r="I593" s="21">
        <f t="shared" ca="1" si="99"/>
        <v>1823.3676390050518</v>
      </c>
      <c r="J593" s="20">
        <f t="shared" ca="1" si="108"/>
        <v>4</v>
      </c>
      <c r="K593" s="20">
        <f t="shared" ca="1" si="100"/>
        <v>2</v>
      </c>
      <c r="L593" s="44">
        <f t="shared" ca="1" si="105"/>
        <v>3</v>
      </c>
    </row>
    <row r="594" spans="1:12" x14ac:dyDescent="0.25">
      <c r="A594" s="20">
        <v>586</v>
      </c>
      <c r="B594" s="21">
        <f t="shared" ca="1" si="101"/>
        <v>1.1573328838884183</v>
      </c>
      <c r="C594" s="21">
        <f t="shared" ca="1" si="106"/>
        <v>1814.7369955262598</v>
      </c>
      <c r="D594" s="21">
        <f t="shared" ca="1" si="102"/>
        <v>1.2050973265141591</v>
      </c>
      <c r="E594" s="21">
        <f t="shared" ca="1" si="109"/>
        <v>8.6306434787920807</v>
      </c>
      <c r="F594" s="20" t="str">
        <f t="shared" ca="1" si="107"/>
        <v>No</v>
      </c>
      <c r="G594" s="21">
        <f t="shared" ca="1" si="103"/>
        <v>0</v>
      </c>
      <c r="H594" s="21">
        <f t="shared" ca="1" si="104"/>
        <v>1823.3676390050518</v>
      </c>
      <c r="I594" s="21">
        <f t="shared" ca="1" si="99"/>
        <v>1824.5727363315659</v>
      </c>
      <c r="J594" s="20">
        <f t="shared" ca="1" si="108"/>
        <v>3</v>
      </c>
      <c r="K594" s="20">
        <f t="shared" ca="1" si="100"/>
        <v>1</v>
      </c>
      <c r="L594" s="44">
        <f t="shared" ca="1" si="105"/>
        <v>2</v>
      </c>
    </row>
    <row r="595" spans="1:12" x14ac:dyDescent="0.25">
      <c r="A595" s="20">
        <v>587</v>
      </c>
      <c r="B595" s="21">
        <f t="shared" ca="1" si="101"/>
        <v>5.0522284681991199</v>
      </c>
      <c r="C595" s="21">
        <f t="shared" ca="1" si="106"/>
        <v>1819.7892239944588</v>
      </c>
      <c r="D595" s="21">
        <f t="shared" ca="1" si="102"/>
        <v>0.52954230465194152</v>
      </c>
      <c r="E595" s="21">
        <f t="shared" ca="1" si="109"/>
        <v>4.7835123371071404</v>
      </c>
      <c r="F595" s="20" t="str">
        <f t="shared" ca="1" si="107"/>
        <v>No</v>
      </c>
      <c r="G595" s="21">
        <f t="shared" ca="1" si="103"/>
        <v>0</v>
      </c>
      <c r="H595" s="21">
        <f t="shared" ca="1" si="104"/>
        <v>1824.5727363315659</v>
      </c>
      <c r="I595" s="21">
        <f t="shared" ca="1" si="99"/>
        <v>1825.1022786362178</v>
      </c>
      <c r="J595" s="20">
        <f t="shared" ca="1" si="108"/>
        <v>2</v>
      </c>
      <c r="K595" s="20">
        <f t="shared" ca="1" si="100"/>
        <v>0</v>
      </c>
      <c r="L595" s="44">
        <f t="shared" ca="1" si="105"/>
        <v>1</v>
      </c>
    </row>
    <row r="596" spans="1:12" x14ac:dyDescent="0.25">
      <c r="A596" s="20">
        <v>588</v>
      </c>
      <c r="B596" s="21">
        <f t="shared" ca="1" si="101"/>
        <v>5.683185692473474</v>
      </c>
      <c r="C596" s="21">
        <f t="shared" ca="1" si="106"/>
        <v>1825.4724096869322</v>
      </c>
      <c r="D596" s="21">
        <f t="shared" ca="1" si="102"/>
        <v>0.75124574746127748</v>
      </c>
      <c r="E596" s="21">
        <f t="shared" ca="1" si="109"/>
        <v>0</v>
      </c>
      <c r="F596" s="20" t="str">
        <f t="shared" ca="1" si="107"/>
        <v>Yes</v>
      </c>
      <c r="G596" s="21">
        <f t="shared" ca="1" si="103"/>
        <v>0.37013105071446262</v>
      </c>
      <c r="H596" s="21">
        <f t="shared" ca="1" si="104"/>
        <v>1825.4724096869322</v>
      </c>
      <c r="I596" s="21">
        <f t="shared" ca="1" si="99"/>
        <v>1826.2236554343935</v>
      </c>
      <c r="J596" s="20">
        <f t="shared" ca="1" si="108"/>
        <v>0</v>
      </c>
      <c r="K596" s="20">
        <f t="shared" ca="1" si="100"/>
        <v>0</v>
      </c>
      <c r="L596" s="44">
        <f t="shared" ca="1" si="105"/>
        <v>0</v>
      </c>
    </row>
    <row r="597" spans="1:12" x14ac:dyDescent="0.25">
      <c r="A597" s="20">
        <v>589</v>
      </c>
      <c r="B597" s="21">
        <f t="shared" ca="1" si="101"/>
        <v>5.2919825659318596</v>
      </c>
      <c r="C597" s="21">
        <f t="shared" ca="1" si="106"/>
        <v>1830.7643922528641</v>
      </c>
      <c r="D597" s="21">
        <f t="shared" ca="1" si="102"/>
        <v>2.9184630311448565</v>
      </c>
      <c r="E597" s="21">
        <f t="shared" ca="1" si="109"/>
        <v>0</v>
      </c>
      <c r="F597" s="20" t="str">
        <f t="shared" ca="1" si="107"/>
        <v>Yes</v>
      </c>
      <c r="G597" s="21">
        <f t="shared" ca="1" si="103"/>
        <v>4.5407368184705774</v>
      </c>
      <c r="H597" s="21">
        <f t="shared" ca="1" si="104"/>
        <v>1830.7643922528641</v>
      </c>
      <c r="I597" s="21">
        <f t="shared" ca="1" si="99"/>
        <v>1833.6828552840091</v>
      </c>
      <c r="J597" s="20">
        <f t="shared" ca="1" si="108"/>
        <v>0</v>
      </c>
      <c r="K597" s="20">
        <f t="shared" ca="1" si="100"/>
        <v>1</v>
      </c>
      <c r="L597" s="44">
        <f t="shared" ca="1" si="105"/>
        <v>0.5</v>
      </c>
    </row>
    <row r="598" spans="1:12" x14ac:dyDescent="0.25">
      <c r="A598" s="20">
        <v>590</v>
      </c>
      <c r="B598" s="21">
        <f t="shared" ca="1" si="101"/>
        <v>1.0143978015535584</v>
      </c>
      <c r="C598" s="21">
        <f t="shared" ca="1" si="106"/>
        <v>1831.7787900544176</v>
      </c>
      <c r="D598" s="21">
        <f t="shared" ca="1" si="102"/>
        <v>1.9431632667799459</v>
      </c>
      <c r="E598" s="21">
        <f t="shared" ca="1" si="109"/>
        <v>1.9040652295914242</v>
      </c>
      <c r="F598" s="20" t="str">
        <f t="shared" ca="1" si="107"/>
        <v>No</v>
      </c>
      <c r="G598" s="21">
        <f t="shared" ca="1" si="103"/>
        <v>0</v>
      </c>
      <c r="H598" s="21">
        <f t="shared" ca="1" si="104"/>
        <v>1833.6828552840091</v>
      </c>
      <c r="I598" s="21">
        <f t="shared" ca="1" si="99"/>
        <v>1835.626018550789</v>
      </c>
      <c r="J598" s="20">
        <f t="shared" ca="1" si="108"/>
        <v>2</v>
      </c>
      <c r="K598" s="20">
        <f t="shared" ca="1" si="100"/>
        <v>0</v>
      </c>
      <c r="L598" s="44">
        <f t="shared" ca="1" si="105"/>
        <v>1</v>
      </c>
    </row>
    <row r="599" spans="1:12" x14ac:dyDescent="0.25">
      <c r="A599" s="20">
        <v>591</v>
      </c>
      <c r="B599" s="21">
        <f t="shared" ca="1" si="101"/>
        <v>5.7079151038007989</v>
      </c>
      <c r="C599" s="21">
        <f t="shared" ca="1" si="106"/>
        <v>1837.4867051582185</v>
      </c>
      <c r="D599" s="21">
        <f t="shared" ca="1" si="102"/>
        <v>2.0446165742766347E-2</v>
      </c>
      <c r="E599" s="21">
        <f t="shared" ca="1" si="109"/>
        <v>0</v>
      </c>
      <c r="F599" s="20" t="str">
        <f t="shared" ca="1" si="107"/>
        <v>Yes</v>
      </c>
      <c r="G599" s="21">
        <f t="shared" ca="1" si="103"/>
        <v>1.860686607429443</v>
      </c>
      <c r="H599" s="21">
        <f t="shared" ca="1" si="104"/>
        <v>1837.4867051582185</v>
      </c>
      <c r="I599" s="21">
        <f t="shared" ca="1" si="99"/>
        <v>1837.5071513239611</v>
      </c>
      <c r="J599" s="20">
        <f t="shared" ca="1" si="108"/>
        <v>0</v>
      </c>
      <c r="K599" s="20">
        <f t="shared" ca="1" si="100"/>
        <v>0</v>
      </c>
      <c r="L599" s="44">
        <f t="shared" ca="1" si="105"/>
        <v>0</v>
      </c>
    </row>
    <row r="600" spans="1:12" x14ac:dyDescent="0.25">
      <c r="A600" s="20">
        <v>592</v>
      </c>
      <c r="B600" s="21">
        <f t="shared" ca="1" si="101"/>
        <v>1.1116337507909155</v>
      </c>
      <c r="C600" s="21">
        <f t="shared" ca="1" si="106"/>
        <v>1838.5983389090093</v>
      </c>
      <c r="D600" s="21">
        <f t="shared" ca="1" si="102"/>
        <v>0.59049603742721202</v>
      </c>
      <c r="E600" s="21">
        <f t="shared" ca="1" si="109"/>
        <v>0</v>
      </c>
      <c r="F600" s="20" t="str">
        <f t="shared" ca="1" si="107"/>
        <v>Yes</v>
      </c>
      <c r="G600" s="21">
        <f t="shared" ca="1" si="103"/>
        <v>1.0911875850481465</v>
      </c>
      <c r="H600" s="21">
        <f t="shared" ca="1" si="104"/>
        <v>1838.5983389090093</v>
      </c>
      <c r="I600" s="21">
        <f t="shared" ca="1" si="99"/>
        <v>1839.1888349464364</v>
      </c>
      <c r="J600" s="20">
        <f t="shared" ca="1" si="108"/>
        <v>0</v>
      </c>
      <c r="K600" s="20">
        <f t="shared" ca="1" si="100"/>
        <v>0</v>
      </c>
      <c r="L600" s="44">
        <f t="shared" ca="1" si="105"/>
        <v>0</v>
      </c>
    </row>
    <row r="601" spans="1:12" x14ac:dyDescent="0.25">
      <c r="A601" s="20">
        <v>593</v>
      </c>
      <c r="B601" s="21">
        <f t="shared" ca="1" si="101"/>
        <v>1.2787912714304153</v>
      </c>
      <c r="C601" s="21">
        <f t="shared" ca="1" si="106"/>
        <v>1839.8771301804397</v>
      </c>
      <c r="D601" s="21">
        <f t="shared" ca="1" si="102"/>
        <v>2.0256083867343979</v>
      </c>
      <c r="E601" s="21">
        <f t="shared" ca="1" si="109"/>
        <v>0</v>
      </c>
      <c r="F601" s="20" t="str">
        <f t="shared" ca="1" si="107"/>
        <v>Yes</v>
      </c>
      <c r="G601" s="21">
        <f t="shared" ca="1" si="103"/>
        <v>0.68829523400336257</v>
      </c>
      <c r="H601" s="21">
        <f t="shared" ca="1" si="104"/>
        <v>1839.8771301804397</v>
      </c>
      <c r="I601" s="21">
        <f t="shared" ca="1" si="99"/>
        <v>1841.9027385671741</v>
      </c>
      <c r="J601" s="20">
        <f t="shared" ca="1" si="108"/>
        <v>0</v>
      </c>
      <c r="K601" s="20">
        <f t="shared" ca="1" si="100"/>
        <v>1</v>
      </c>
      <c r="L601" s="44">
        <f t="shared" ca="1" si="105"/>
        <v>0.5</v>
      </c>
    </row>
    <row r="602" spans="1:12" x14ac:dyDescent="0.25">
      <c r="A602" s="20">
        <v>594</v>
      </c>
      <c r="B602" s="21">
        <f t="shared" ca="1" si="101"/>
        <v>9.7104369527403908E-2</v>
      </c>
      <c r="C602" s="21">
        <f t="shared" ca="1" si="106"/>
        <v>1839.9742345499672</v>
      </c>
      <c r="D602" s="21">
        <f t="shared" ca="1" si="102"/>
        <v>2.6557142337521098</v>
      </c>
      <c r="E602" s="21">
        <f t="shared" ca="1" si="109"/>
        <v>1.928504017206933</v>
      </c>
      <c r="F602" s="20" t="str">
        <f t="shared" ca="1" si="107"/>
        <v>No</v>
      </c>
      <c r="G602" s="21">
        <f t="shared" ca="1" si="103"/>
        <v>0</v>
      </c>
      <c r="H602" s="21">
        <f t="shared" ca="1" si="104"/>
        <v>1841.9027385671741</v>
      </c>
      <c r="I602" s="21">
        <f t="shared" ca="1" si="99"/>
        <v>1844.5584528009263</v>
      </c>
      <c r="J602" s="20">
        <f t="shared" ca="1" si="108"/>
        <v>2</v>
      </c>
      <c r="K602" s="20">
        <f t="shared" ca="1" si="100"/>
        <v>1</v>
      </c>
      <c r="L602" s="44">
        <f t="shared" ca="1" si="105"/>
        <v>1.5</v>
      </c>
    </row>
    <row r="603" spans="1:12" x14ac:dyDescent="0.25">
      <c r="A603" s="20">
        <v>595</v>
      </c>
      <c r="B603" s="21">
        <f t="shared" ca="1" si="101"/>
        <v>3.7836373436841488</v>
      </c>
      <c r="C603" s="21">
        <f t="shared" ca="1" si="106"/>
        <v>1843.7578718936513</v>
      </c>
      <c r="D603" s="21">
        <f t="shared" ca="1" si="102"/>
        <v>9.0972585798589467</v>
      </c>
      <c r="E603" s="21">
        <f t="shared" ca="1" si="109"/>
        <v>0.80058090727493436</v>
      </c>
      <c r="F603" s="20" t="str">
        <f t="shared" ca="1" si="107"/>
        <v>No</v>
      </c>
      <c r="G603" s="21">
        <f t="shared" ca="1" si="103"/>
        <v>0</v>
      </c>
      <c r="H603" s="21">
        <f t="shared" ca="1" si="104"/>
        <v>1844.5584528009263</v>
      </c>
      <c r="I603" s="21">
        <f t="shared" ca="1" si="99"/>
        <v>1853.6557113807853</v>
      </c>
      <c r="J603" s="20">
        <f t="shared" ca="1" si="108"/>
        <v>2</v>
      </c>
      <c r="K603" s="20">
        <f t="shared" ca="1" si="100"/>
        <v>1</v>
      </c>
      <c r="L603" s="44">
        <f t="shared" ca="1" si="105"/>
        <v>1.5</v>
      </c>
    </row>
    <row r="604" spans="1:12" x14ac:dyDescent="0.25">
      <c r="A604" s="20">
        <v>596</v>
      </c>
      <c r="B604" s="21">
        <f t="shared" ca="1" si="101"/>
        <v>1.697295188446976</v>
      </c>
      <c r="C604" s="21">
        <f t="shared" ca="1" si="106"/>
        <v>1845.4551670820983</v>
      </c>
      <c r="D604" s="21">
        <f t="shared" ca="1" si="102"/>
        <v>3.1113983436846464</v>
      </c>
      <c r="E604" s="21">
        <f t="shared" ca="1" si="109"/>
        <v>8.2005442986869639</v>
      </c>
      <c r="F604" s="20" t="str">
        <f t="shared" ca="1" si="107"/>
        <v>No</v>
      </c>
      <c r="G604" s="21">
        <f t="shared" ca="1" si="103"/>
        <v>0</v>
      </c>
      <c r="H604" s="21">
        <f t="shared" ca="1" si="104"/>
        <v>1853.6557113807853</v>
      </c>
      <c r="I604" s="21">
        <f t="shared" ca="1" si="99"/>
        <v>1856.7671097244699</v>
      </c>
      <c r="J604" s="20">
        <f t="shared" ca="1" si="108"/>
        <v>2</v>
      </c>
      <c r="K604" s="20">
        <f t="shared" ca="1" si="100"/>
        <v>0</v>
      </c>
      <c r="L604" s="44">
        <f t="shared" ca="1" si="105"/>
        <v>1</v>
      </c>
    </row>
    <row r="605" spans="1:12" x14ac:dyDescent="0.25">
      <c r="A605" s="20">
        <v>597</v>
      </c>
      <c r="B605" s="21">
        <f t="shared" ca="1" si="101"/>
        <v>11.655499796250259</v>
      </c>
      <c r="C605" s="21">
        <f t="shared" ca="1" si="106"/>
        <v>1857.1106668783486</v>
      </c>
      <c r="D605" s="21">
        <f t="shared" ca="1" si="102"/>
        <v>1.7169020731601596</v>
      </c>
      <c r="E605" s="21">
        <f t="shared" ca="1" si="109"/>
        <v>0</v>
      </c>
      <c r="F605" s="20" t="str">
        <f t="shared" ca="1" si="107"/>
        <v>Yes</v>
      </c>
      <c r="G605" s="21">
        <f t="shared" ca="1" si="103"/>
        <v>0.34355715387869168</v>
      </c>
      <c r="H605" s="21">
        <f t="shared" ca="1" si="104"/>
        <v>1857.1106668783486</v>
      </c>
      <c r="I605" s="21">
        <f t="shared" ca="1" si="99"/>
        <v>1858.8275689515087</v>
      </c>
      <c r="J605" s="20">
        <f t="shared" ca="1" si="108"/>
        <v>0</v>
      </c>
      <c r="K605" s="20">
        <f t="shared" ca="1" si="100"/>
        <v>0</v>
      </c>
      <c r="L605" s="44">
        <f t="shared" ca="1" si="105"/>
        <v>0</v>
      </c>
    </row>
    <row r="606" spans="1:12" x14ac:dyDescent="0.25">
      <c r="A606" s="20">
        <v>598</v>
      </c>
      <c r="B606" s="21">
        <f t="shared" ca="1" si="101"/>
        <v>2.6432227431106869</v>
      </c>
      <c r="C606" s="21">
        <f t="shared" ca="1" si="106"/>
        <v>1859.7538896214594</v>
      </c>
      <c r="D606" s="21">
        <f t="shared" ca="1" si="102"/>
        <v>4.9882945395908944</v>
      </c>
      <c r="E606" s="21">
        <f t="shared" ca="1" si="109"/>
        <v>0</v>
      </c>
      <c r="F606" s="20" t="str">
        <f t="shared" ca="1" si="107"/>
        <v>Yes</v>
      </c>
      <c r="G606" s="21">
        <f t="shared" ca="1" si="103"/>
        <v>0.92632066995065543</v>
      </c>
      <c r="H606" s="21">
        <f t="shared" ca="1" si="104"/>
        <v>1859.7538896214594</v>
      </c>
      <c r="I606" s="21">
        <f t="shared" ca="1" si="99"/>
        <v>1864.7421841610503</v>
      </c>
      <c r="J606" s="20">
        <f t="shared" ca="1" si="108"/>
        <v>0</v>
      </c>
      <c r="K606" s="20">
        <f t="shared" ca="1" si="100"/>
        <v>2</v>
      </c>
      <c r="L606" s="44">
        <f t="shared" ca="1" si="105"/>
        <v>1</v>
      </c>
    </row>
    <row r="607" spans="1:12" x14ac:dyDescent="0.25">
      <c r="A607" s="20">
        <v>599</v>
      </c>
      <c r="B607" s="21">
        <f t="shared" ca="1" si="101"/>
        <v>0.46138911441202646</v>
      </c>
      <c r="C607" s="21">
        <f t="shared" ca="1" si="106"/>
        <v>1860.2152787358714</v>
      </c>
      <c r="D607" s="21">
        <f t="shared" ca="1" si="102"/>
        <v>3.1625414972639478</v>
      </c>
      <c r="E607" s="21">
        <f t="shared" ca="1" si="109"/>
        <v>4.5269054251789385</v>
      </c>
      <c r="F607" s="20" t="str">
        <f t="shared" ca="1" si="107"/>
        <v>No</v>
      </c>
      <c r="G607" s="21">
        <f t="shared" ca="1" si="103"/>
        <v>0</v>
      </c>
      <c r="H607" s="21">
        <f t="shared" ca="1" si="104"/>
        <v>1864.7421841610503</v>
      </c>
      <c r="I607" s="21">
        <f t="shared" ca="1" si="99"/>
        <v>1867.9047256583142</v>
      </c>
      <c r="J607" s="20">
        <f t="shared" ca="1" si="108"/>
        <v>3</v>
      </c>
      <c r="K607" s="20">
        <f t="shared" ca="1" si="100"/>
        <v>4</v>
      </c>
      <c r="L607" s="44">
        <f t="shared" ca="1" si="105"/>
        <v>3.5</v>
      </c>
    </row>
    <row r="608" spans="1:12" x14ac:dyDescent="0.25">
      <c r="A608" s="20">
        <v>600</v>
      </c>
      <c r="B608" s="21">
        <f t="shared" ca="1" si="101"/>
        <v>1.6217662011280327</v>
      </c>
      <c r="C608" s="21">
        <f t="shared" ca="1" si="106"/>
        <v>1861.8370449369995</v>
      </c>
      <c r="D608" s="21">
        <f t="shared" ca="1" si="102"/>
        <v>1.5209402901551863</v>
      </c>
      <c r="E608" s="21">
        <f t="shared" ca="1" si="109"/>
        <v>6.0676807213146731</v>
      </c>
      <c r="F608" s="20" t="str">
        <f t="shared" ca="1" si="107"/>
        <v>No</v>
      </c>
      <c r="G608" s="21">
        <f t="shared" ca="1" si="103"/>
        <v>0</v>
      </c>
      <c r="H608" s="21">
        <f t="shared" ca="1" si="104"/>
        <v>1867.9047256583142</v>
      </c>
      <c r="I608" s="21">
        <f t="shared" ca="1" si="99"/>
        <v>1869.4256659484695</v>
      </c>
      <c r="J608" s="20">
        <f t="shared" ca="1" si="108"/>
        <v>5</v>
      </c>
      <c r="K608" s="20">
        <f t="shared" ca="1" si="100"/>
        <v>5</v>
      </c>
      <c r="L608" s="44">
        <f t="shared" ca="1" si="105"/>
        <v>5</v>
      </c>
    </row>
    <row r="609" spans="1:12" x14ac:dyDescent="0.25">
      <c r="A609" s="20">
        <v>601</v>
      </c>
      <c r="B609" s="21">
        <f t="shared" ca="1" si="101"/>
        <v>4.1091654066549443</v>
      </c>
      <c r="C609" s="21">
        <f t="shared" ca="1" si="106"/>
        <v>1865.9462103436545</v>
      </c>
      <c r="D609" s="21">
        <f t="shared" ca="1" si="102"/>
        <v>4.065877480694656</v>
      </c>
      <c r="E609" s="21">
        <f t="shared" ca="1" si="109"/>
        <v>3.4794556048150298</v>
      </c>
      <c r="F609" s="20" t="str">
        <f t="shared" ca="1" si="107"/>
        <v>No</v>
      </c>
      <c r="G609" s="21">
        <f t="shared" ca="1" si="103"/>
        <v>0</v>
      </c>
      <c r="H609" s="21">
        <f t="shared" ca="1" si="104"/>
        <v>1869.4256659484695</v>
      </c>
      <c r="I609" s="21">
        <f t="shared" ca="1" si="99"/>
        <v>1873.491543429164</v>
      </c>
      <c r="J609" s="20">
        <f t="shared" ca="1" si="108"/>
        <v>6</v>
      </c>
      <c r="K609" s="20">
        <f t="shared" ca="1" si="100"/>
        <v>4</v>
      </c>
      <c r="L609" s="44">
        <f t="shared" ca="1" si="105"/>
        <v>5</v>
      </c>
    </row>
    <row r="610" spans="1:12" x14ac:dyDescent="0.25">
      <c r="A610" s="20">
        <v>602</v>
      </c>
      <c r="B610" s="21">
        <f t="shared" ca="1" si="101"/>
        <v>0.252661891006697</v>
      </c>
      <c r="C610" s="21">
        <f t="shared" ca="1" si="106"/>
        <v>1866.1988722346612</v>
      </c>
      <c r="D610" s="21">
        <f t="shared" ca="1" si="102"/>
        <v>0.80885456983085768</v>
      </c>
      <c r="E610" s="21">
        <f t="shared" ca="1" si="109"/>
        <v>7.2926711945028728</v>
      </c>
      <c r="F610" s="20" t="str">
        <f t="shared" ca="1" si="107"/>
        <v>No</v>
      </c>
      <c r="G610" s="21">
        <f t="shared" ca="1" si="103"/>
        <v>0</v>
      </c>
      <c r="H610" s="21">
        <f t="shared" ca="1" si="104"/>
        <v>1873.491543429164</v>
      </c>
      <c r="I610" s="21">
        <f t="shared" ca="1" si="99"/>
        <v>1874.3003979989949</v>
      </c>
      <c r="J610" s="20">
        <f t="shared" ca="1" si="108"/>
        <v>5</v>
      </c>
      <c r="K610" s="20">
        <f t="shared" ca="1" si="100"/>
        <v>3</v>
      </c>
      <c r="L610" s="44">
        <f t="shared" ca="1" si="105"/>
        <v>4</v>
      </c>
    </row>
    <row r="611" spans="1:12" x14ac:dyDescent="0.25">
      <c r="A611" s="20">
        <v>603</v>
      </c>
      <c r="B611" s="21">
        <f t="shared" ca="1" si="101"/>
        <v>0.21130509472604164</v>
      </c>
      <c r="C611" s="21">
        <f t="shared" ca="1" si="106"/>
        <v>1866.4101773293871</v>
      </c>
      <c r="D611" s="21">
        <f t="shared" ca="1" si="102"/>
        <v>4.7083728978657806</v>
      </c>
      <c r="E611" s="21">
        <f t="shared" ca="1" si="109"/>
        <v>7.8902206696077428</v>
      </c>
      <c r="F611" s="20" t="str">
        <f t="shared" ca="1" si="107"/>
        <v>No</v>
      </c>
      <c r="G611" s="21">
        <f t="shared" ca="1" si="103"/>
        <v>0</v>
      </c>
      <c r="H611" s="21">
        <f t="shared" ca="1" si="104"/>
        <v>1874.3003979989949</v>
      </c>
      <c r="I611" s="21">
        <f t="shared" ca="1" si="99"/>
        <v>1879.0087708968606</v>
      </c>
      <c r="J611" s="20">
        <f t="shared" ca="1" si="108"/>
        <v>4</v>
      </c>
      <c r="K611" s="20">
        <f t="shared" ca="1" si="100"/>
        <v>5</v>
      </c>
      <c r="L611" s="44">
        <f t="shared" ca="1" si="105"/>
        <v>4.5</v>
      </c>
    </row>
    <row r="612" spans="1:12" x14ac:dyDescent="0.25">
      <c r="A612" s="20">
        <v>604</v>
      </c>
      <c r="B612" s="21">
        <f t="shared" ca="1" si="101"/>
        <v>2.0598632353882351</v>
      </c>
      <c r="C612" s="21">
        <f t="shared" ca="1" si="106"/>
        <v>1868.4700405647754</v>
      </c>
      <c r="D612" s="21">
        <f t="shared" ca="1" si="102"/>
        <v>1.3961591558165865</v>
      </c>
      <c r="E612" s="21">
        <f t="shared" ca="1" si="109"/>
        <v>10.538730332085152</v>
      </c>
      <c r="F612" s="20" t="str">
        <f t="shared" ca="1" si="107"/>
        <v>No</v>
      </c>
      <c r="G612" s="21">
        <f t="shared" ca="1" si="103"/>
        <v>0</v>
      </c>
      <c r="H612" s="21">
        <f t="shared" ca="1" si="104"/>
        <v>1879.0087708968606</v>
      </c>
      <c r="I612" s="21">
        <f t="shared" ca="1" si="99"/>
        <v>1880.4049300526772</v>
      </c>
      <c r="J612" s="20">
        <f t="shared" ca="1" si="108"/>
        <v>6</v>
      </c>
      <c r="K612" s="20">
        <f t="shared" ca="1" si="100"/>
        <v>4</v>
      </c>
      <c r="L612" s="44">
        <f t="shared" ca="1" si="105"/>
        <v>5</v>
      </c>
    </row>
    <row r="613" spans="1:12" x14ac:dyDescent="0.25">
      <c r="A613" s="20">
        <v>605</v>
      </c>
      <c r="B613" s="21">
        <f t="shared" ca="1" si="101"/>
        <v>0.58322852425758698</v>
      </c>
      <c r="C613" s="21">
        <f t="shared" ca="1" si="106"/>
        <v>1869.0532690890329</v>
      </c>
      <c r="D613" s="21">
        <f t="shared" ca="1" si="102"/>
        <v>3.1956690323669074E-2</v>
      </c>
      <c r="E613" s="21">
        <f t="shared" ca="1" si="109"/>
        <v>11.351660963644235</v>
      </c>
      <c r="F613" s="20" t="str">
        <f t="shared" ca="1" si="107"/>
        <v>No</v>
      </c>
      <c r="G613" s="21">
        <f t="shared" ca="1" si="103"/>
        <v>0</v>
      </c>
      <c r="H613" s="21">
        <f t="shared" ca="1" si="104"/>
        <v>1880.4049300526772</v>
      </c>
      <c r="I613" s="21">
        <f t="shared" ca="1" si="99"/>
        <v>1880.4368867430007</v>
      </c>
      <c r="J613" s="20">
        <f t="shared" ca="1" si="108"/>
        <v>5</v>
      </c>
      <c r="K613" s="20">
        <f t="shared" ca="1" si="100"/>
        <v>3</v>
      </c>
      <c r="L613" s="44">
        <f t="shared" ca="1" si="105"/>
        <v>4</v>
      </c>
    </row>
    <row r="614" spans="1:12" x14ac:dyDescent="0.25">
      <c r="A614" s="20">
        <v>606</v>
      </c>
      <c r="B614" s="21">
        <f t="shared" ca="1" si="101"/>
        <v>6.3623681199851019</v>
      </c>
      <c r="C614" s="21">
        <f t="shared" ca="1" si="106"/>
        <v>1875.4156372090181</v>
      </c>
      <c r="D614" s="21">
        <f t="shared" ca="1" si="102"/>
        <v>2.6982641119982325</v>
      </c>
      <c r="E614" s="21">
        <f t="shared" ca="1" si="109"/>
        <v>5.0212495339826546</v>
      </c>
      <c r="F614" s="20" t="str">
        <f t="shared" ca="1" si="107"/>
        <v>No</v>
      </c>
      <c r="G614" s="21">
        <f t="shared" ca="1" si="103"/>
        <v>0</v>
      </c>
      <c r="H614" s="21">
        <f t="shared" ca="1" si="104"/>
        <v>1880.4368867430007</v>
      </c>
      <c r="I614" s="21">
        <f t="shared" ca="1" si="99"/>
        <v>1883.135150854999</v>
      </c>
      <c r="J614" s="20">
        <f t="shared" ca="1" si="108"/>
        <v>4</v>
      </c>
      <c r="K614" s="20">
        <f t="shared" ca="1" si="100"/>
        <v>2</v>
      </c>
      <c r="L614" s="44">
        <f t="shared" ca="1" si="105"/>
        <v>3</v>
      </c>
    </row>
    <row r="615" spans="1:12" x14ac:dyDescent="0.25">
      <c r="A615" s="20">
        <v>607</v>
      </c>
      <c r="B615" s="21">
        <f t="shared" ca="1" si="101"/>
        <v>1.4976662727864249</v>
      </c>
      <c r="C615" s="21">
        <f t="shared" ca="1" si="106"/>
        <v>1876.9133034818044</v>
      </c>
      <c r="D615" s="21">
        <f t="shared" ca="1" si="102"/>
        <v>1.5605002857383923</v>
      </c>
      <c r="E615" s="21">
        <f t="shared" ca="1" si="109"/>
        <v>6.2218473731945778</v>
      </c>
      <c r="F615" s="20" t="str">
        <f t="shared" ca="1" si="107"/>
        <v>No</v>
      </c>
      <c r="G615" s="21">
        <f t="shared" ca="1" si="103"/>
        <v>0</v>
      </c>
      <c r="H615" s="21">
        <f t="shared" ca="1" si="104"/>
        <v>1883.135150854999</v>
      </c>
      <c r="I615" s="21">
        <f t="shared" ca="1" si="99"/>
        <v>1884.6956511407375</v>
      </c>
      <c r="J615" s="20">
        <f t="shared" ca="1" si="108"/>
        <v>3</v>
      </c>
      <c r="K615" s="20">
        <f t="shared" ca="1" si="100"/>
        <v>1</v>
      </c>
      <c r="L615" s="44">
        <f t="shared" ca="1" si="105"/>
        <v>2</v>
      </c>
    </row>
    <row r="616" spans="1:12" x14ac:dyDescent="0.25">
      <c r="A616" s="20">
        <v>608</v>
      </c>
      <c r="B616" s="21">
        <f t="shared" ca="1" si="101"/>
        <v>1.9851084376885011</v>
      </c>
      <c r="C616" s="21">
        <f t="shared" ca="1" si="106"/>
        <v>1878.8984119194929</v>
      </c>
      <c r="D616" s="21">
        <f t="shared" ca="1" si="102"/>
        <v>2.2729034270526602</v>
      </c>
      <c r="E616" s="21">
        <f t="shared" ca="1" si="109"/>
        <v>5.7972392212445811</v>
      </c>
      <c r="F616" s="20" t="str">
        <f t="shared" ca="1" si="107"/>
        <v>No</v>
      </c>
      <c r="G616" s="21">
        <f t="shared" ca="1" si="103"/>
        <v>0</v>
      </c>
      <c r="H616" s="21">
        <f t="shared" ca="1" si="104"/>
        <v>1884.6956511407375</v>
      </c>
      <c r="I616" s="21">
        <f t="shared" ca="1" si="99"/>
        <v>1886.9685545677901</v>
      </c>
      <c r="J616" s="20">
        <f t="shared" ca="1" si="108"/>
        <v>2</v>
      </c>
      <c r="K616" s="20">
        <f t="shared" ca="1" si="100"/>
        <v>2</v>
      </c>
      <c r="L616" s="44">
        <f t="shared" ca="1" si="105"/>
        <v>2</v>
      </c>
    </row>
    <row r="617" spans="1:12" x14ac:dyDescent="0.25">
      <c r="A617" s="20">
        <v>609</v>
      </c>
      <c r="B617" s="21">
        <f t="shared" ca="1" si="101"/>
        <v>6.1995818356377557</v>
      </c>
      <c r="C617" s="21">
        <f t="shared" ca="1" si="106"/>
        <v>1885.0979937551306</v>
      </c>
      <c r="D617" s="21">
        <f t="shared" ca="1" si="102"/>
        <v>0.71547304071750106</v>
      </c>
      <c r="E617" s="21">
        <f t="shared" ca="1" si="109"/>
        <v>1.8705608126595052</v>
      </c>
      <c r="F617" s="20" t="str">
        <f t="shared" ca="1" si="107"/>
        <v>No</v>
      </c>
      <c r="G617" s="21">
        <f t="shared" ca="1" si="103"/>
        <v>0</v>
      </c>
      <c r="H617" s="21">
        <f t="shared" ca="1" si="104"/>
        <v>1886.9685545677901</v>
      </c>
      <c r="I617" s="21">
        <f t="shared" ca="1" si="99"/>
        <v>1887.6840276085077</v>
      </c>
      <c r="J617" s="20">
        <f t="shared" ca="1" si="108"/>
        <v>3</v>
      </c>
      <c r="K617" s="20">
        <f t="shared" ca="1" si="100"/>
        <v>1</v>
      </c>
      <c r="L617" s="44">
        <f t="shared" ca="1" si="105"/>
        <v>2</v>
      </c>
    </row>
    <row r="618" spans="1:12" x14ac:dyDescent="0.25">
      <c r="A618" s="20">
        <v>610</v>
      </c>
      <c r="B618" s="21">
        <f t="shared" ca="1" si="101"/>
        <v>1.2745679046571203</v>
      </c>
      <c r="C618" s="21">
        <f t="shared" ca="1" si="106"/>
        <v>1886.3725616597876</v>
      </c>
      <c r="D618" s="21">
        <f t="shared" ca="1" si="102"/>
        <v>4.4043141635571859</v>
      </c>
      <c r="E618" s="21">
        <f t="shared" ca="1" si="109"/>
        <v>1.3114659487200697</v>
      </c>
      <c r="F618" s="20" t="str">
        <f t="shared" ca="1" si="107"/>
        <v>No</v>
      </c>
      <c r="G618" s="21">
        <f t="shared" ca="1" si="103"/>
        <v>0</v>
      </c>
      <c r="H618" s="21">
        <f t="shared" ca="1" si="104"/>
        <v>1887.6840276085077</v>
      </c>
      <c r="I618" s="21">
        <f t="shared" ca="1" si="99"/>
        <v>1892.088341772065</v>
      </c>
      <c r="J618" s="20">
        <f t="shared" ca="1" si="108"/>
        <v>2</v>
      </c>
      <c r="K618" s="20">
        <f t="shared" ca="1" si="100"/>
        <v>5</v>
      </c>
      <c r="L618" s="44">
        <f t="shared" ca="1" si="105"/>
        <v>3.5</v>
      </c>
    </row>
    <row r="619" spans="1:12" x14ac:dyDescent="0.25">
      <c r="A619" s="20">
        <v>611</v>
      </c>
      <c r="B619" s="21">
        <f t="shared" ca="1" si="101"/>
        <v>1.4069764469573254</v>
      </c>
      <c r="C619" s="21">
        <f t="shared" ca="1" si="106"/>
        <v>1887.7795381067449</v>
      </c>
      <c r="D619" s="21">
        <f t="shared" ca="1" si="102"/>
        <v>2.2913393621295817</v>
      </c>
      <c r="E619" s="21">
        <f t="shared" ca="1" si="109"/>
        <v>4.3088036653200561</v>
      </c>
      <c r="F619" s="20" t="str">
        <f t="shared" ca="1" si="107"/>
        <v>No</v>
      </c>
      <c r="G619" s="21">
        <f t="shared" ca="1" si="103"/>
        <v>0</v>
      </c>
      <c r="H619" s="21">
        <f t="shared" ca="1" si="104"/>
        <v>1892.088341772065</v>
      </c>
      <c r="I619" s="21">
        <f t="shared" ca="1" si="99"/>
        <v>1894.3796811341945</v>
      </c>
      <c r="J619" s="20">
        <f t="shared" ca="1" si="108"/>
        <v>6</v>
      </c>
      <c r="K619" s="20">
        <f t="shared" ca="1" si="100"/>
        <v>5</v>
      </c>
      <c r="L619" s="44">
        <f t="shared" ca="1" si="105"/>
        <v>5.5</v>
      </c>
    </row>
    <row r="620" spans="1:12" x14ac:dyDescent="0.25">
      <c r="A620" s="20">
        <v>612</v>
      </c>
      <c r="B620" s="21">
        <f t="shared" ca="1" si="101"/>
        <v>1.0971999583467518</v>
      </c>
      <c r="C620" s="21">
        <f t="shared" ca="1" si="106"/>
        <v>1888.8767380650916</v>
      </c>
      <c r="D620" s="21">
        <f t="shared" ca="1" si="102"/>
        <v>1.9429904526277011</v>
      </c>
      <c r="E620" s="21">
        <f t="shared" ca="1" si="109"/>
        <v>5.502943069102912</v>
      </c>
      <c r="F620" s="20" t="str">
        <f t="shared" ca="1" si="107"/>
        <v>No</v>
      </c>
      <c r="G620" s="21">
        <f t="shared" ca="1" si="103"/>
        <v>0</v>
      </c>
      <c r="H620" s="21">
        <f t="shared" ca="1" si="104"/>
        <v>1894.3796811341945</v>
      </c>
      <c r="I620" s="21">
        <f t="shared" ca="1" si="99"/>
        <v>1896.3226715868223</v>
      </c>
      <c r="J620" s="20">
        <f t="shared" ca="1" si="108"/>
        <v>6</v>
      </c>
      <c r="K620" s="20">
        <f t="shared" ca="1" si="100"/>
        <v>5</v>
      </c>
      <c r="L620" s="44">
        <f t="shared" ca="1" si="105"/>
        <v>5.5</v>
      </c>
    </row>
    <row r="621" spans="1:12" x14ac:dyDescent="0.25">
      <c r="A621" s="20">
        <v>613</v>
      </c>
      <c r="B621" s="21">
        <f t="shared" ca="1" si="101"/>
        <v>0.19341023576342925</v>
      </c>
      <c r="C621" s="21">
        <f t="shared" ca="1" si="106"/>
        <v>1889.070148300855</v>
      </c>
      <c r="D621" s="21">
        <f t="shared" ca="1" si="102"/>
        <v>2.1229423119397284</v>
      </c>
      <c r="E621" s="21">
        <f t="shared" ca="1" si="109"/>
        <v>7.2525232859672997</v>
      </c>
      <c r="F621" s="20" t="str">
        <f t="shared" ca="1" si="107"/>
        <v>No</v>
      </c>
      <c r="G621" s="21">
        <f t="shared" ca="1" si="103"/>
        <v>0</v>
      </c>
      <c r="H621" s="21">
        <f t="shared" ca="1" si="104"/>
        <v>1896.3226715868223</v>
      </c>
      <c r="I621" s="21">
        <f t="shared" ca="1" si="99"/>
        <v>1898.4456138987621</v>
      </c>
      <c r="J621" s="20">
        <f t="shared" ca="1" si="108"/>
        <v>6</v>
      </c>
      <c r="K621" s="20">
        <f t="shared" ca="1" si="100"/>
        <v>5</v>
      </c>
      <c r="L621" s="44">
        <f t="shared" ca="1" si="105"/>
        <v>5.5</v>
      </c>
    </row>
    <row r="622" spans="1:12" x14ac:dyDescent="0.25">
      <c r="A622" s="20">
        <v>614</v>
      </c>
      <c r="B622" s="21">
        <f t="shared" ca="1" si="101"/>
        <v>7.3269528489314948E-3</v>
      </c>
      <c r="C622" s="21">
        <f t="shared" ca="1" si="106"/>
        <v>1889.0774752537038</v>
      </c>
      <c r="D622" s="21">
        <f t="shared" ca="1" si="102"/>
        <v>4.0451392758354909E-2</v>
      </c>
      <c r="E622" s="21">
        <f t="shared" ca="1" si="109"/>
        <v>9.3681386450582522</v>
      </c>
      <c r="F622" s="20" t="str">
        <f t="shared" ca="1" si="107"/>
        <v>No</v>
      </c>
      <c r="G622" s="21">
        <f t="shared" ca="1" si="103"/>
        <v>0</v>
      </c>
      <c r="H622" s="21">
        <f t="shared" ca="1" si="104"/>
        <v>1898.4456138987621</v>
      </c>
      <c r="I622" s="21">
        <f t="shared" ca="1" si="99"/>
        <v>1898.4860652915204</v>
      </c>
      <c r="J622" s="20">
        <f t="shared" ca="1" si="108"/>
        <v>6</v>
      </c>
      <c r="K622" s="20">
        <f t="shared" ca="1" si="100"/>
        <v>5</v>
      </c>
      <c r="L622" s="44">
        <f t="shared" ca="1" si="105"/>
        <v>5.5</v>
      </c>
    </row>
    <row r="623" spans="1:12" x14ac:dyDescent="0.25">
      <c r="A623" s="20">
        <v>615</v>
      </c>
      <c r="B623" s="21">
        <f t="shared" ca="1" si="101"/>
        <v>2.196553721389459</v>
      </c>
      <c r="C623" s="21">
        <f t="shared" ca="1" si="106"/>
        <v>1891.2740289750932</v>
      </c>
      <c r="D623" s="21">
        <f t="shared" ca="1" si="102"/>
        <v>1.433658964689611</v>
      </c>
      <c r="E623" s="21">
        <f t="shared" ca="1" si="109"/>
        <v>7.2120363164272021</v>
      </c>
      <c r="F623" s="20" t="str">
        <f t="shared" ca="1" si="107"/>
        <v>No</v>
      </c>
      <c r="G623" s="21">
        <f t="shared" ca="1" si="103"/>
        <v>0</v>
      </c>
      <c r="H623" s="21">
        <f t="shared" ca="1" si="104"/>
        <v>1898.4860652915204</v>
      </c>
      <c r="I623" s="21">
        <f t="shared" ca="1" si="99"/>
        <v>1899.91972425621</v>
      </c>
      <c r="J623" s="20">
        <f t="shared" ca="1" si="108"/>
        <v>6</v>
      </c>
      <c r="K623" s="20">
        <f t="shared" ca="1" si="100"/>
        <v>5</v>
      </c>
      <c r="L623" s="44">
        <f t="shared" ca="1" si="105"/>
        <v>5.5</v>
      </c>
    </row>
    <row r="624" spans="1:12" x14ac:dyDescent="0.25">
      <c r="A624" s="20">
        <v>616</v>
      </c>
      <c r="B624" s="21">
        <f t="shared" ca="1" si="101"/>
        <v>0.29972266427323202</v>
      </c>
      <c r="C624" s="21">
        <f t="shared" ca="1" si="106"/>
        <v>1891.5737516393665</v>
      </c>
      <c r="D624" s="21">
        <f t="shared" ca="1" si="102"/>
        <v>2.8586382468865379</v>
      </c>
      <c r="E624" s="21">
        <f t="shared" ca="1" si="109"/>
        <v>8.3459726168434827</v>
      </c>
      <c r="F624" s="20" t="str">
        <f t="shared" ca="1" si="107"/>
        <v>No</v>
      </c>
      <c r="G624" s="21">
        <f t="shared" ca="1" si="103"/>
        <v>0</v>
      </c>
      <c r="H624" s="21">
        <f t="shared" ca="1" si="104"/>
        <v>1899.91972425621</v>
      </c>
      <c r="I624" s="21">
        <f t="shared" ca="1" si="99"/>
        <v>1902.7783625030966</v>
      </c>
      <c r="J624" s="20">
        <f t="shared" ca="1" si="108"/>
        <v>6</v>
      </c>
      <c r="K624" s="20">
        <f t="shared" ca="1" si="100"/>
        <v>5</v>
      </c>
      <c r="L624" s="44">
        <f t="shared" ca="1" si="105"/>
        <v>5.5</v>
      </c>
    </row>
    <row r="625" spans="1:12" x14ac:dyDescent="0.25">
      <c r="A625" s="20">
        <v>617</v>
      </c>
      <c r="B625" s="21">
        <f t="shared" ca="1" si="101"/>
        <v>0.70518496271070386</v>
      </c>
      <c r="C625" s="21">
        <f t="shared" ca="1" si="106"/>
        <v>1892.2789366020772</v>
      </c>
      <c r="D625" s="21">
        <f t="shared" ca="1" si="102"/>
        <v>6.2657807127040508</v>
      </c>
      <c r="E625" s="21">
        <f t="shared" ca="1" si="109"/>
        <v>10.499425901019322</v>
      </c>
      <c r="F625" s="20" t="str">
        <f t="shared" ca="1" si="107"/>
        <v>No</v>
      </c>
      <c r="G625" s="21">
        <f t="shared" ca="1" si="103"/>
        <v>0</v>
      </c>
      <c r="H625" s="21">
        <f t="shared" ca="1" si="104"/>
        <v>1902.7783625030966</v>
      </c>
      <c r="I625" s="21">
        <f t="shared" ca="1" si="99"/>
        <v>1909.0441432158007</v>
      </c>
      <c r="J625" s="20">
        <f t="shared" ca="1" si="108"/>
        <v>6</v>
      </c>
      <c r="K625" s="20">
        <f t="shared" ca="1" si="100"/>
        <v>5</v>
      </c>
      <c r="L625" s="44">
        <f t="shared" ca="1" si="105"/>
        <v>5.5</v>
      </c>
    </row>
    <row r="626" spans="1:12" x14ac:dyDescent="0.25">
      <c r="A626" s="20">
        <v>618</v>
      </c>
      <c r="B626" s="21">
        <f t="shared" ca="1" si="101"/>
        <v>9.1681670337659671E-2</v>
      </c>
      <c r="C626" s="21">
        <f t="shared" ca="1" si="106"/>
        <v>1892.370618272415</v>
      </c>
      <c r="D626" s="21">
        <f t="shared" ca="1" si="102"/>
        <v>3.3159617128090377</v>
      </c>
      <c r="E626" s="21">
        <f t="shared" ca="1" si="109"/>
        <v>16.673524943385701</v>
      </c>
      <c r="F626" s="20" t="str">
        <f t="shared" ca="1" si="107"/>
        <v>No</v>
      </c>
      <c r="G626" s="21">
        <f t="shared" ca="1" si="103"/>
        <v>0</v>
      </c>
      <c r="H626" s="21">
        <f t="shared" ca="1" si="104"/>
        <v>1909.0441432158007</v>
      </c>
      <c r="I626" s="21">
        <f t="shared" ca="1" si="99"/>
        <v>1912.3601049286096</v>
      </c>
      <c r="J626" s="20">
        <f t="shared" ca="1" si="108"/>
        <v>6</v>
      </c>
      <c r="K626" s="20">
        <f t="shared" ca="1" si="100"/>
        <v>5</v>
      </c>
      <c r="L626" s="44">
        <f t="shared" ca="1" si="105"/>
        <v>5.5</v>
      </c>
    </row>
    <row r="627" spans="1:12" x14ac:dyDescent="0.25">
      <c r="A627" s="20">
        <v>619</v>
      </c>
      <c r="B627" s="21">
        <f t="shared" ca="1" si="101"/>
        <v>0.77639193475821755</v>
      </c>
      <c r="C627" s="21">
        <f t="shared" ca="1" si="106"/>
        <v>1893.1470102071733</v>
      </c>
      <c r="D627" s="21">
        <f t="shared" ca="1" si="102"/>
        <v>3.2163336616116665</v>
      </c>
      <c r="E627" s="21">
        <f t="shared" ca="1" si="109"/>
        <v>19.213094721436391</v>
      </c>
      <c r="F627" s="20" t="str">
        <f t="shared" ca="1" si="107"/>
        <v>No</v>
      </c>
      <c r="G627" s="21">
        <f t="shared" ca="1" si="103"/>
        <v>0</v>
      </c>
      <c r="H627" s="21">
        <f t="shared" ca="1" si="104"/>
        <v>1912.3601049286096</v>
      </c>
      <c r="I627" s="21">
        <f t="shared" ca="1" si="99"/>
        <v>1915.5764385902214</v>
      </c>
      <c r="J627" s="20">
        <f t="shared" ca="1" si="108"/>
        <v>6</v>
      </c>
      <c r="K627" s="20">
        <f t="shared" ca="1" si="100"/>
        <v>5</v>
      </c>
      <c r="L627" s="44">
        <f t="shared" ca="1" si="105"/>
        <v>5.5</v>
      </c>
    </row>
    <row r="628" spans="1:12" x14ac:dyDescent="0.25">
      <c r="A628" s="20">
        <v>620</v>
      </c>
      <c r="B628" s="21">
        <f t="shared" ca="1" si="101"/>
        <v>3.2868653900845994</v>
      </c>
      <c r="C628" s="21">
        <f t="shared" ca="1" si="106"/>
        <v>1896.4338755972578</v>
      </c>
      <c r="D628" s="21">
        <f t="shared" ca="1" si="102"/>
        <v>1.8697247027886299</v>
      </c>
      <c r="E628" s="21">
        <f t="shared" ca="1" si="109"/>
        <v>19.142562992963576</v>
      </c>
      <c r="F628" s="20" t="str">
        <f t="shared" ca="1" si="107"/>
        <v>No</v>
      </c>
      <c r="G628" s="21">
        <f t="shared" ca="1" si="103"/>
        <v>0</v>
      </c>
      <c r="H628" s="21">
        <f t="shared" ca="1" si="104"/>
        <v>1915.5764385902214</v>
      </c>
      <c r="I628" s="21">
        <f t="shared" ca="1" si="99"/>
        <v>1917.4461632930099</v>
      </c>
      <c r="J628" s="20">
        <f t="shared" ca="1" si="108"/>
        <v>6</v>
      </c>
      <c r="K628" s="20">
        <f t="shared" ca="1" si="100"/>
        <v>5</v>
      </c>
      <c r="L628" s="44">
        <f t="shared" ca="1" si="105"/>
        <v>5.5</v>
      </c>
    </row>
    <row r="629" spans="1:12" x14ac:dyDescent="0.25">
      <c r="A629" s="20">
        <v>621</v>
      </c>
      <c r="B629" s="21">
        <f t="shared" ca="1" si="101"/>
        <v>1.8552188765834579</v>
      </c>
      <c r="C629" s="21">
        <f t="shared" ca="1" si="106"/>
        <v>1898.2890944738413</v>
      </c>
      <c r="D629" s="21">
        <f t="shared" ca="1" si="102"/>
        <v>5.3800388860490154</v>
      </c>
      <c r="E629" s="21">
        <f t="shared" ca="1" si="109"/>
        <v>19.157068819168671</v>
      </c>
      <c r="F629" s="20" t="str">
        <f t="shared" ca="1" si="107"/>
        <v>No</v>
      </c>
      <c r="G629" s="21">
        <f t="shared" ca="1" si="103"/>
        <v>0</v>
      </c>
      <c r="H629" s="21">
        <f t="shared" ca="1" si="104"/>
        <v>1917.4461632930099</v>
      </c>
      <c r="I629" s="21">
        <f t="shared" ca="1" si="99"/>
        <v>1922.826202179059</v>
      </c>
      <c r="J629" s="20">
        <f t="shared" ca="1" si="108"/>
        <v>6</v>
      </c>
      <c r="K629" s="20">
        <f t="shared" ca="1" si="100"/>
        <v>5</v>
      </c>
      <c r="L629" s="44">
        <f t="shared" ca="1" si="105"/>
        <v>5.5</v>
      </c>
    </row>
    <row r="630" spans="1:12" x14ac:dyDescent="0.25">
      <c r="A630" s="20">
        <v>622</v>
      </c>
      <c r="B630" s="21">
        <f t="shared" ca="1" si="101"/>
        <v>2.077830324166388</v>
      </c>
      <c r="C630" s="21">
        <f t="shared" ca="1" si="106"/>
        <v>1900.3669247980076</v>
      </c>
      <c r="D630" s="21">
        <f t="shared" ca="1" si="102"/>
        <v>3.6045062008231463</v>
      </c>
      <c r="E630" s="21">
        <f t="shared" ca="1" si="109"/>
        <v>22.459277381051379</v>
      </c>
      <c r="F630" s="20" t="str">
        <f t="shared" ca="1" si="107"/>
        <v>No</v>
      </c>
      <c r="G630" s="21">
        <f t="shared" ca="1" si="103"/>
        <v>0</v>
      </c>
      <c r="H630" s="21">
        <f t="shared" ca="1" si="104"/>
        <v>1922.826202179059</v>
      </c>
      <c r="I630" s="21">
        <f t="shared" ca="1" si="99"/>
        <v>1926.4307083798822</v>
      </c>
      <c r="J630" s="20">
        <f t="shared" ca="1" si="108"/>
        <v>6</v>
      </c>
      <c r="K630" s="20">
        <f t="shared" ca="1" si="100"/>
        <v>5</v>
      </c>
      <c r="L630" s="44">
        <f t="shared" ca="1" si="105"/>
        <v>5.5</v>
      </c>
    </row>
    <row r="631" spans="1:12" x14ac:dyDescent="0.25">
      <c r="A631" s="20">
        <v>623</v>
      </c>
      <c r="B631" s="21">
        <f t="shared" ca="1" si="101"/>
        <v>2.4580618763304805</v>
      </c>
      <c r="C631" s="21">
        <f t="shared" ca="1" si="106"/>
        <v>1902.8249866743381</v>
      </c>
      <c r="D631" s="21">
        <f t="shared" ca="1" si="102"/>
        <v>1.6283474986506823</v>
      </c>
      <c r="E631" s="21">
        <f t="shared" ca="1" si="109"/>
        <v>23.605721705544056</v>
      </c>
      <c r="F631" s="20" t="str">
        <f t="shared" ca="1" si="107"/>
        <v>No</v>
      </c>
      <c r="G631" s="21">
        <f t="shared" ca="1" si="103"/>
        <v>0</v>
      </c>
      <c r="H631" s="21">
        <f t="shared" ca="1" si="104"/>
        <v>1926.4307083798822</v>
      </c>
      <c r="I631" s="21">
        <f t="shared" ca="1" si="99"/>
        <v>1928.0590558785329</v>
      </c>
      <c r="J631" s="20">
        <f t="shared" ca="1" si="108"/>
        <v>6</v>
      </c>
      <c r="K631" s="20">
        <f t="shared" ca="1" si="100"/>
        <v>5</v>
      </c>
      <c r="L631" s="44">
        <f t="shared" ca="1" si="105"/>
        <v>5.5</v>
      </c>
    </row>
    <row r="632" spans="1:12" x14ac:dyDescent="0.25">
      <c r="A632" s="20">
        <v>624</v>
      </c>
      <c r="B632" s="21">
        <f t="shared" ca="1" si="101"/>
        <v>0.22144949959075003</v>
      </c>
      <c r="C632" s="21">
        <f t="shared" ca="1" si="106"/>
        <v>1903.0464361739289</v>
      </c>
      <c r="D632" s="21">
        <f t="shared" ca="1" si="102"/>
        <v>0.5393841782488723</v>
      </c>
      <c r="E632" s="21">
        <f t="shared" ca="1" si="109"/>
        <v>25.012619704604049</v>
      </c>
      <c r="F632" s="20" t="str">
        <f t="shared" ca="1" si="107"/>
        <v>No</v>
      </c>
      <c r="G632" s="21">
        <f t="shared" ca="1" si="103"/>
        <v>0</v>
      </c>
      <c r="H632" s="21">
        <f t="shared" ca="1" si="104"/>
        <v>1928.0590558785329</v>
      </c>
      <c r="I632" s="21">
        <f t="shared" ca="1" si="99"/>
        <v>1928.5984400567818</v>
      </c>
      <c r="J632" s="20">
        <f t="shared" ca="1" si="108"/>
        <v>6</v>
      </c>
      <c r="K632" s="20">
        <f t="shared" ca="1" si="100"/>
        <v>5</v>
      </c>
      <c r="L632" s="44">
        <f t="shared" ca="1" si="105"/>
        <v>5.5</v>
      </c>
    </row>
    <row r="633" spans="1:12" x14ac:dyDescent="0.25">
      <c r="A633" s="20">
        <v>625</v>
      </c>
      <c r="B633" s="21">
        <f t="shared" ca="1" si="101"/>
        <v>5.9045120158025668</v>
      </c>
      <c r="C633" s="21">
        <f t="shared" ca="1" si="106"/>
        <v>1908.9509481897314</v>
      </c>
      <c r="D633" s="21">
        <f t="shared" ca="1" si="102"/>
        <v>0.28188160356680469</v>
      </c>
      <c r="E633" s="21">
        <f t="shared" ca="1" si="109"/>
        <v>19.647491867050348</v>
      </c>
      <c r="F633" s="20" t="str">
        <f t="shared" ca="1" si="107"/>
        <v>No</v>
      </c>
      <c r="G633" s="21">
        <f t="shared" ca="1" si="103"/>
        <v>0</v>
      </c>
      <c r="H633" s="21">
        <f t="shared" ca="1" si="104"/>
        <v>1928.5984400567818</v>
      </c>
      <c r="I633" s="21">
        <f t="shared" ca="1" si="99"/>
        <v>1928.8803216603485</v>
      </c>
      <c r="J633" s="20">
        <f t="shared" ca="1" si="108"/>
        <v>6</v>
      </c>
      <c r="K633" s="20">
        <f t="shared" ca="1" si="100"/>
        <v>5</v>
      </c>
      <c r="L633" s="44">
        <f t="shared" ca="1" si="105"/>
        <v>5.5</v>
      </c>
    </row>
    <row r="634" spans="1:12" x14ac:dyDescent="0.25">
      <c r="A634" s="20">
        <v>626</v>
      </c>
      <c r="B634" s="21">
        <f t="shared" ca="1" si="101"/>
        <v>1.2463112452578207</v>
      </c>
      <c r="C634" s="21">
        <f t="shared" ca="1" si="106"/>
        <v>1910.1972594349893</v>
      </c>
      <c r="D634" s="21">
        <f t="shared" ca="1" si="102"/>
        <v>0.74235658930553206</v>
      </c>
      <c r="E634" s="21">
        <f t="shared" ca="1" si="109"/>
        <v>18.683062225359208</v>
      </c>
      <c r="F634" s="20" t="str">
        <f t="shared" ca="1" si="107"/>
        <v>No</v>
      </c>
      <c r="G634" s="21">
        <f t="shared" ca="1" si="103"/>
        <v>0</v>
      </c>
      <c r="H634" s="21">
        <f t="shared" ca="1" si="104"/>
        <v>1928.8803216603485</v>
      </c>
      <c r="I634" s="21">
        <f t="shared" ca="1" si="99"/>
        <v>1929.622678249654</v>
      </c>
      <c r="J634" s="20">
        <f t="shared" ca="1" si="108"/>
        <v>6</v>
      </c>
      <c r="K634" s="20">
        <f t="shared" ca="1" si="100"/>
        <v>5</v>
      </c>
      <c r="L634" s="44">
        <f t="shared" ca="1" si="105"/>
        <v>5.5</v>
      </c>
    </row>
    <row r="635" spans="1:12" x14ac:dyDescent="0.25">
      <c r="A635" s="20">
        <v>627</v>
      </c>
      <c r="B635" s="21">
        <f t="shared" ca="1" si="101"/>
        <v>6.3787655891443134</v>
      </c>
      <c r="C635" s="21">
        <f t="shared" ca="1" si="106"/>
        <v>1916.5760250241335</v>
      </c>
      <c r="D635" s="21">
        <f t="shared" ca="1" si="102"/>
        <v>4.0315697632190322</v>
      </c>
      <c r="E635" s="21">
        <f t="shared" ca="1" si="109"/>
        <v>13.046653225520458</v>
      </c>
      <c r="F635" s="20" t="str">
        <f t="shared" ca="1" si="107"/>
        <v>No</v>
      </c>
      <c r="G635" s="21">
        <f t="shared" ca="1" si="103"/>
        <v>0</v>
      </c>
      <c r="H635" s="21">
        <f t="shared" ca="1" si="104"/>
        <v>1929.622678249654</v>
      </c>
      <c r="I635" s="21">
        <f t="shared" ca="1" si="99"/>
        <v>1933.654248012873</v>
      </c>
      <c r="J635" s="20">
        <f t="shared" ca="1" si="108"/>
        <v>6</v>
      </c>
      <c r="K635" s="20">
        <f t="shared" ca="1" si="100"/>
        <v>5</v>
      </c>
      <c r="L635" s="44">
        <f t="shared" ca="1" si="105"/>
        <v>5.5</v>
      </c>
    </row>
    <row r="636" spans="1:12" x14ac:dyDescent="0.25">
      <c r="A636" s="20">
        <v>628</v>
      </c>
      <c r="B636" s="21">
        <f t="shared" ca="1" si="101"/>
        <v>1.8553545537379623</v>
      </c>
      <c r="C636" s="21">
        <f t="shared" ca="1" si="106"/>
        <v>1918.4313795778714</v>
      </c>
      <c r="D636" s="21">
        <f t="shared" ca="1" si="102"/>
        <v>0.69166821131663614</v>
      </c>
      <c r="E636" s="21">
        <f t="shared" ca="1" si="109"/>
        <v>15.222868435001601</v>
      </c>
      <c r="F636" s="20" t="str">
        <f t="shared" ca="1" si="107"/>
        <v>No</v>
      </c>
      <c r="G636" s="21">
        <f t="shared" ca="1" si="103"/>
        <v>0</v>
      </c>
      <c r="H636" s="21">
        <f t="shared" ca="1" si="104"/>
        <v>1933.654248012873</v>
      </c>
      <c r="I636" s="21">
        <f t="shared" ca="1" si="99"/>
        <v>1934.3459162241898</v>
      </c>
      <c r="J636" s="20">
        <f t="shared" ca="1" si="108"/>
        <v>6</v>
      </c>
      <c r="K636" s="20">
        <f t="shared" ca="1" si="100"/>
        <v>5</v>
      </c>
      <c r="L636" s="44">
        <f t="shared" ca="1" si="105"/>
        <v>5.5</v>
      </c>
    </row>
    <row r="637" spans="1:12" x14ac:dyDescent="0.25">
      <c r="A637" s="20">
        <v>629</v>
      </c>
      <c r="B637" s="21">
        <f t="shared" ca="1" si="101"/>
        <v>7.5340487762453456</v>
      </c>
      <c r="C637" s="21">
        <f t="shared" ca="1" si="106"/>
        <v>1925.9654283541167</v>
      </c>
      <c r="D637" s="21">
        <f t="shared" ca="1" si="102"/>
        <v>2.8526018569880938</v>
      </c>
      <c r="E637" s="21">
        <f t="shared" ca="1" si="109"/>
        <v>8.3804878700730114</v>
      </c>
      <c r="F637" s="20" t="str">
        <f t="shared" ca="1" si="107"/>
        <v>No</v>
      </c>
      <c r="G637" s="21">
        <f t="shared" ca="1" si="103"/>
        <v>0</v>
      </c>
      <c r="H637" s="21">
        <f t="shared" ca="1" si="104"/>
        <v>1934.3459162241898</v>
      </c>
      <c r="I637" s="21">
        <f t="shared" ca="1" si="99"/>
        <v>1937.1985180811778</v>
      </c>
      <c r="J637" s="20">
        <f t="shared" ca="1" si="108"/>
        <v>6</v>
      </c>
      <c r="K637" s="20">
        <f t="shared" ca="1" si="100"/>
        <v>5</v>
      </c>
      <c r="L637" s="44">
        <f t="shared" ca="1" si="105"/>
        <v>5.5</v>
      </c>
    </row>
    <row r="638" spans="1:12" x14ac:dyDescent="0.25">
      <c r="A638" s="20">
        <v>630</v>
      </c>
      <c r="B638" s="21">
        <f t="shared" ca="1" si="101"/>
        <v>0.85861218435564712</v>
      </c>
      <c r="C638" s="21">
        <f t="shared" ca="1" si="106"/>
        <v>1926.8240405384724</v>
      </c>
      <c r="D638" s="21">
        <f t="shared" ca="1" si="102"/>
        <v>1.5773770285281963</v>
      </c>
      <c r="E638" s="21">
        <f t="shared" ca="1" si="109"/>
        <v>10.374477542705336</v>
      </c>
      <c r="F638" s="20" t="str">
        <f t="shared" ca="1" si="107"/>
        <v>No</v>
      </c>
      <c r="G638" s="21">
        <f t="shared" ca="1" si="103"/>
        <v>0</v>
      </c>
      <c r="H638" s="21">
        <f t="shared" ca="1" si="104"/>
        <v>1937.1985180811778</v>
      </c>
      <c r="I638" s="21">
        <f t="shared" ca="1" si="99"/>
        <v>1938.775895109706</v>
      </c>
      <c r="J638" s="20">
        <f t="shared" ca="1" si="108"/>
        <v>6</v>
      </c>
      <c r="K638" s="20">
        <f t="shared" ca="1" si="100"/>
        <v>5</v>
      </c>
      <c r="L638" s="44">
        <f t="shared" ca="1" si="105"/>
        <v>5.5</v>
      </c>
    </row>
    <row r="639" spans="1:12" x14ac:dyDescent="0.25">
      <c r="A639" s="20">
        <v>631</v>
      </c>
      <c r="B639" s="21">
        <f t="shared" ca="1" si="101"/>
        <v>0.22694001631170382</v>
      </c>
      <c r="C639" s="21">
        <f t="shared" ca="1" si="106"/>
        <v>1927.0509805547842</v>
      </c>
      <c r="D639" s="21">
        <f t="shared" ca="1" si="102"/>
        <v>10.406458510643834</v>
      </c>
      <c r="E639" s="21">
        <f t="shared" ca="1" si="109"/>
        <v>11.724914554921725</v>
      </c>
      <c r="F639" s="20" t="str">
        <f t="shared" ca="1" si="107"/>
        <v>No</v>
      </c>
      <c r="G639" s="21">
        <f t="shared" ca="1" si="103"/>
        <v>0</v>
      </c>
      <c r="H639" s="21">
        <f t="shared" ca="1" si="104"/>
        <v>1938.775895109706</v>
      </c>
      <c r="I639" s="21">
        <f t="shared" ca="1" si="99"/>
        <v>1949.1823536203499</v>
      </c>
      <c r="J639" s="20">
        <f t="shared" ca="1" si="108"/>
        <v>6</v>
      </c>
      <c r="K639" s="20">
        <f t="shared" ca="1" si="100"/>
        <v>5</v>
      </c>
      <c r="L639" s="44">
        <f t="shared" ca="1" si="105"/>
        <v>5.5</v>
      </c>
    </row>
    <row r="640" spans="1:12" x14ac:dyDescent="0.25">
      <c r="A640" s="20">
        <v>632</v>
      </c>
      <c r="B640" s="21">
        <f t="shared" ca="1" si="101"/>
        <v>1.903443230548</v>
      </c>
      <c r="C640" s="21">
        <f t="shared" ca="1" si="106"/>
        <v>1928.9544237853322</v>
      </c>
      <c r="D640" s="21">
        <f t="shared" ca="1" si="102"/>
        <v>0.3193944089339662</v>
      </c>
      <c r="E640" s="21">
        <f t="shared" ca="1" si="109"/>
        <v>20.227929835017676</v>
      </c>
      <c r="F640" s="20" t="str">
        <f t="shared" ca="1" si="107"/>
        <v>No</v>
      </c>
      <c r="G640" s="21">
        <f t="shared" ca="1" si="103"/>
        <v>0</v>
      </c>
      <c r="H640" s="21">
        <f t="shared" ca="1" si="104"/>
        <v>1949.1823536203499</v>
      </c>
      <c r="I640" s="21">
        <f t="shared" ca="1" si="99"/>
        <v>1949.5017480292838</v>
      </c>
      <c r="J640" s="20">
        <f t="shared" ca="1" si="108"/>
        <v>6</v>
      </c>
      <c r="K640" s="20">
        <f t="shared" ca="1" si="100"/>
        <v>5</v>
      </c>
      <c r="L640" s="44">
        <f t="shared" ca="1" si="105"/>
        <v>5.5</v>
      </c>
    </row>
    <row r="641" spans="1:12" x14ac:dyDescent="0.25">
      <c r="A641" s="20">
        <v>633</v>
      </c>
      <c r="B641" s="21">
        <f t="shared" ca="1" si="101"/>
        <v>0.96151697138265291</v>
      </c>
      <c r="C641" s="21">
        <f t="shared" ca="1" si="106"/>
        <v>1929.9159407567149</v>
      </c>
      <c r="D641" s="21">
        <f t="shared" ca="1" si="102"/>
        <v>0.3504230619894243</v>
      </c>
      <c r="E641" s="21">
        <f t="shared" ca="1" si="109"/>
        <v>19.5858072725689</v>
      </c>
      <c r="F641" s="20" t="str">
        <f t="shared" ca="1" si="107"/>
        <v>No</v>
      </c>
      <c r="G641" s="21">
        <f t="shared" ca="1" si="103"/>
        <v>0</v>
      </c>
      <c r="H641" s="21">
        <f t="shared" ca="1" si="104"/>
        <v>1949.5017480292838</v>
      </c>
      <c r="I641" s="21">
        <f t="shared" ca="1" si="99"/>
        <v>1949.8521710912732</v>
      </c>
      <c r="J641" s="20">
        <f t="shared" ca="1" si="108"/>
        <v>6</v>
      </c>
      <c r="K641" s="20">
        <f t="shared" ca="1" si="100"/>
        <v>5</v>
      </c>
      <c r="L641" s="44">
        <f t="shared" ca="1" si="105"/>
        <v>5.5</v>
      </c>
    </row>
    <row r="642" spans="1:12" x14ac:dyDescent="0.25">
      <c r="A642" s="20">
        <v>634</v>
      </c>
      <c r="B642" s="21">
        <f t="shared" ca="1" si="101"/>
        <v>2.1674779369251445</v>
      </c>
      <c r="C642" s="21">
        <f t="shared" ca="1" si="106"/>
        <v>1932.0834186936402</v>
      </c>
      <c r="D642" s="21">
        <f t="shared" ca="1" si="102"/>
        <v>4.0608776161160494</v>
      </c>
      <c r="E642" s="21">
        <f t="shared" ca="1" si="109"/>
        <v>17.768752397633079</v>
      </c>
      <c r="F642" s="20" t="str">
        <f t="shared" ca="1" si="107"/>
        <v>No</v>
      </c>
      <c r="G642" s="21">
        <f t="shared" ca="1" si="103"/>
        <v>0</v>
      </c>
      <c r="H642" s="21">
        <f t="shared" ca="1" si="104"/>
        <v>1949.8521710912732</v>
      </c>
      <c r="I642" s="21">
        <f t="shared" ca="1" si="99"/>
        <v>1953.9130487073894</v>
      </c>
      <c r="J642" s="20">
        <f t="shared" ca="1" si="108"/>
        <v>6</v>
      </c>
      <c r="K642" s="20">
        <f t="shared" ca="1" si="100"/>
        <v>5</v>
      </c>
      <c r="L642" s="44">
        <f t="shared" ca="1" si="105"/>
        <v>5.5</v>
      </c>
    </row>
    <row r="643" spans="1:12" x14ac:dyDescent="0.25">
      <c r="A643" s="20">
        <v>635</v>
      </c>
      <c r="B643" s="21">
        <f t="shared" ca="1" si="101"/>
        <v>5.7384094046296115</v>
      </c>
      <c r="C643" s="21">
        <f t="shared" ca="1" si="106"/>
        <v>1937.8218280982699</v>
      </c>
      <c r="D643" s="21">
        <f t="shared" ca="1" si="102"/>
        <v>1.9124378843408869</v>
      </c>
      <c r="E643" s="21">
        <f t="shared" ca="1" si="109"/>
        <v>16.091220609119546</v>
      </c>
      <c r="F643" s="20" t="str">
        <f t="shared" ca="1" si="107"/>
        <v>No</v>
      </c>
      <c r="G643" s="21">
        <f t="shared" ca="1" si="103"/>
        <v>0</v>
      </c>
      <c r="H643" s="21">
        <f t="shared" ca="1" si="104"/>
        <v>1953.9130487073894</v>
      </c>
      <c r="I643" s="21">
        <f t="shared" ca="1" si="99"/>
        <v>1955.8254865917304</v>
      </c>
      <c r="J643" s="20">
        <f t="shared" ca="1" si="108"/>
        <v>6</v>
      </c>
      <c r="K643" s="20">
        <f t="shared" ca="1" si="100"/>
        <v>5</v>
      </c>
      <c r="L643" s="44">
        <f t="shared" ca="1" si="105"/>
        <v>5.5</v>
      </c>
    </row>
    <row r="644" spans="1:12" x14ac:dyDescent="0.25">
      <c r="A644" s="20">
        <v>636</v>
      </c>
      <c r="B644" s="21">
        <f t="shared" ca="1" si="101"/>
        <v>0.58814604287894467</v>
      </c>
      <c r="C644" s="21">
        <f t="shared" ca="1" si="106"/>
        <v>1938.4099741411487</v>
      </c>
      <c r="D644" s="21">
        <f t="shared" ca="1" si="102"/>
        <v>2.1245226501015715</v>
      </c>
      <c r="E644" s="21">
        <f t="shared" ca="1" si="109"/>
        <v>17.415512450581673</v>
      </c>
      <c r="F644" s="20" t="str">
        <f t="shared" ca="1" si="107"/>
        <v>No</v>
      </c>
      <c r="G644" s="21">
        <f t="shared" ca="1" si="103"/>
        <v>0</v>
      </c>
      <c r="H644" s="21">
        <f t="shared" ca="1" si="104"/>
        <v>1955.8254865917304</v>
      </c>
      <c r="I644" s="21">
        <f t="shared" ca="1" si="99"/>
        <v>1957.950009241832</v>
      </c>
      <c r="J644" s="20">
        <f t="shared" ca="1" si="108"/>
        <v>6</v>
      </c>
      <c r="K644" s="20">
        <f t="shared" ca="1" si="100"/>
        <v>5</v>
      </c>
      <c r="L644" s="44">
        <f t="shared" ca="1" si="105"/>
        <v>5.5</v>
      </c>
    </row>
    <row r="645" spans="1:12" x14ac:dyDescent="0.25">
      <c r="A645" s="20">
        <v>637</v>
      </c>
      <c r="B645" s="21">
        <f t="shared" ca="1" si="101"/>
        <v>0.32035411827598564</v>
      </c>
      <c r="C645" s="21">
        <f t="shared" ca="1" si="106"/>
        <v>1938.7303282594246</v>
      </c>
      <c r="D645" s="21">
        <f t="shared" ca="1" si="102"/>
        <v>1.5597457786911533</v>
      </c>
      <c r="E645" s="21">
        <f t="shared" ca="1" si="109"/>
        <v>19.219680982407453</v>
      </c>
      <c r="F645" s="20" t="str">
        <f t="shared" ca="1" si="107"/>
        <v>No</v>
      </c>
      <c r="G645" s="21">
        <f t="shared" ca="1" si="103"/>
        <v>0</v>
      </c>
      <c r="H645" s="21">
        <f t="shared" ca="1" si="104"/>
        <v>1957.950009241832</v>
      </c>
      <c r="I645" s="21">
        <f t="shared" ca="1" si="99"/>
        <v>1959.5097550205232</v>
      </c>
      <c r="J645" s="20">
        <f t="shared" ca="1" si="108"/>
        <v>6</v>
      </c>
      <c r="K645" s="20">
        <f t="shared" ca="1" si="100"/>
        <v>5</v>
      </c>
      <c r="L645" s="44">
        <f t="shared" ca="1" si="105"/>
        <v>5.5</v>
      </c>
    </row>
    <row r="646" spans="1:12" x14ac:dyDescent="0.25">
      <c r="A646" s="20">
        <v>638</v>
      </c>
      <c r="B646" s="21">
        <f t="shared" ca="1" si="101"/>
        <v>7.2003300896416544E-2</v>
      </c>
      <c r="C646" s="21">
        <f t="shared" ca="1" si="106"/>
        <v>1938.8023315603209</v>
      </c>
      <c r="D646" s="21">
        <f t="shared" ca="1" si="102"/>
        <v>6.2743178730203839E-2</v>
      </c>
      <c r="E646" s="21">
        <f t="shared" ca="1" si="109"/>
        <v>20.707423460202335</v>
      </c>
      <c r="F646" s="20" t="str">
        <f t="shared" ca="1" si="107"/>
        <v>No</v>
      </c>
      <c r="G646" s="21">
        <f t="shared" ca="1" si="103"/>
        <v>0</v>
      </c>
      <c r="H646" s="21">
        <f t="shared" ca="1" si="104"/>
        <v>1959.5097550205232</v>
      </c>
      <c r="I646" s="21">
        <f t="shared" ca="1" si="99"/>
        <v>1959.5724981992535</v>
      </c>
      <c r="J646" s="20">
        <f t="shared" ca="1" si="108"/>
        <v>6</v>
      </c>
      <c r="K646" s="20">
        <f t="shared" ca="1" si="100"/>
        <v>5</v>
      </c>
      <c r="L646" s="44">
        <f t="shared" ca="1" si="105"/>
        <v>5.5</v>
      </c>
    </row>
    <row r="647" spans="1:12" x14ac:dyDescent="0.25">
      <c r="A647" s="20">
        <v>639</v>
      </c>
      <c r="B647" s="21">
        <f t="shared" ca="1" si="101"/>
        <v>2.4019548876266827</v>
      </c>
      <c r="C647" s="21">
        <f t="shared" ca="1" si="106"/>
        <v>1941.2042864479477</v>
      </c>
      <c r="D647" s="21">
        <f t="shared" ca="1" si="102"/>
        <v>0.45511419073193826</v>
      </c>
      <c r="E647" s="21">
        <f t="shared" ca="1" si="109"/>
        <v>18.368211751305807</v>
      </c>
      <c r="F647" s="20" t="str">
        <f t="shared" ca="1" si="107"/>
        <v>No</v>
      </c>
      <c r="G647" s="21">
        <f t="shared" ca="1" si="103"/>
        <v>0</v>
      </c>
      <c r="H647" s="21">
        <f t="shared" ca="1" si="104"/>
        <v>1959.5724981992535</v>
      </c>
      <c r="I647" s="21">
        <f t="shared" ca="1" si="99"/>
        <v>1960.0276123899855</v>
      </c>
      <c r="J647" s="20">
        <f t="shared" ca="1" si="108"/>
        <v>6</v>
      </c>
      <c r="K647" s="20">
        <f t="shared" ca="1" si="100"/>
        <v>5</v>
      </c>
      <c r="L647" s="44">
        <f t="shared" ca="1" si="105"/>
        <v>5.5</v>
      </c>
    </row>
    <row r="648" spans="1:12" x14ac:dyDescent="0.25">
      <c r="A648" s="20">
        <v>640</v>
      </c>
      <c r="B648" s="21">
        <f t="shared" ca="1" si="101"/>
        <v>2.2913635775126231</v>
      </c>
      <c r="C648" s="21">
        <f t="shared" ca="1" si="106"/>
        <v>1943.4956500254602</v>
      </c>
      <c r="D648" s="21">
        <f t="shared" ca="1" si="102"/>
        <v>3.7698903603936356</v>
      </c>
      <c r="E648" s="21">
        <f t="shared" ca="1" si="109"/>
        <v>16.53196236452527</v>
      </c>
      <c r="F648" s="20" t="str">
        <f t="shared" ca="1" si="107"/>
        <v>No</v>
      </c>
      <c r="G648" s="21">
        <f t="shared" ca="1" si="103"/>
        <v>0</v>
      </c>
      <c r="H648" s="21">
        <f t="shared" ca="1" si="104"/>
        <v>1960.0276123899855</v>
      </c>
      <c r="I648" s="21">
        <f t="shared" ca="1" si="99"/>
        <v>1963.7975027503792</v>
      </c>
      <c r="J648" s="20">
        <f t="shared" ca="1" si="108"/>
        <v>6</v>
      </c>
      <c r="K648" s="20">
        <f t="shared" ca="1" si="100"/>
        <v>5</v>
      </c>
      <c r="L648" s="44">
        <f t="shared" ca="1" si="105"/>
        <v>5.5</v>
      </c>
    </row>
    <row r="649" spans="1:12" x14ac:dyDescent="0.25">
      <c r="A649" s="20">
        <v>641</v>
      </c>
      <c r="B649" s="21">
        <f t="shared" ca="1" si="101"/>
        <v>1.7954395375533605</v>
      </c>
      <c r="C649" s="21">
        <f t="shared" ca="1" si="106"/>
        <v>1945.2910895630137</v>
      </c>
      <c r="D649" s="21">
        <f t="shared" ca="1" si="102"/>
        <v>1.5424894182946185</v>
      </c>
      <c r="E649" s="21">
        <f t="shared" ca="1" si="109"/>
        <v>18.506413187365524</v>
      </c>
      <c r="F649" s="20" t="str">
        <f t="shared" ca="1" si="107"/>
        <v>No</v>
      </c>
      <c r="G649" s="21">
        <f t="shared" ca="1" si="103"/>
        <v>0</v>
      </c>
      <c r="H649" s="21">
        <f t="shared" ca="1" si="104"/>
        <v>1963.7975027503792</v>
      </c>
      <c r="I649" s="21">
        <f t="shared" ref="I649:I712" ca="1" si="110">$H649+$D649</f>
        <v>1965.3399921686737</v>
      </c>
      <c r="J649" s="20">
        <f t="shared" ca="1" si="108"/>
        <v>6</v>
      </c>
      <c r="K649" s="20">
        <f t="shared" ref="K649:K712" ca="1" si="111">IF($I649&lt;=$C650,0,IF($I649&lt;=$C651,1,IF($I649&lt;=$C652,2,IF($I649&lt;=$C653,3,IF($I649&lt;=$C654,4,5)))))</f>
        <v>5</v>
      </c>
      <c r="L649" s="44">
        <f t="shared" ca="1" si="105"/>
        <v>5.5</v>
      </c>
    </row>
    <row r="650" spans="1:12" x14ac:dyDescent="0.25">
      <c r="A650" s="20">
        <v>642</v>
      </c>
      <c r="B650" s="21">
        <f t="shared" ref="B650:B713" ca="1" si="112">-LN(RAND())/$D$4</f>
        <v>1.1966216684715942</v>
      </c>
      <c r="C650" s="21">
        <f t="shared" ca="1" si="106"/>
        <v>1946.4877112314853</v>
      </c>
      <c r="D650" s="21">
        <f t="shared" ref="D650:D713" ca="1" si="113">-LN(RAND())/$D$6</f>
        <v>1.2058946402163311</v>
      </c>
      <c r="E650" s="21">
        <f t="shared" ca="1" si="109"/>
        <v>18.852280937188425</v>
      </c>
      <c r="F650" s="20" t="str">
        <f t="shared" ca="1" si="107"/>
        <v>No</v>
      </c>
      <c r="G650" s="21">
        <f t="shared" ref="G650:G713" ca="1" si="114">IF($I649&lt;=$C650,$C650-$I649,0)</f>
        <v>0</v>
      </c>
      <c r="H650" s="21">
        <f t="shared" ref="H650:H713" ca="1" si="115">IF($I649&lt;=$C650,$C650,$I649)</f>
        <v>1965.3399921686737</v>
      </c>
      <c r="I650" s="21">
        <f t="shared" ca="1" si="110"/>
        <v>1966.5458868088899</v>
      </c>
      <c r="J650" s="20">
        <f t="shared" ca="1" si="108"/>
        <v>6</v>
      </c>
      <c r="K650" s="20">
        <f t="shared" ca="1" si="111"/>
        <v>4</v>
      </c>
      <c r="L650" s="44">
        <f t="shared" ref="L650:L713" ca="1" si="116">(J650+K650)/2</f>
        <v>5</v>
      </c>
    </row>
    <row r="651" spans="1:12" x14ac:dyDescent="0.25">
      <c r="A651" s="20">
        <v>643</v>
      </c>
      <c r="B651" s="21">
        <f t="shared" ca="1" si="112"/>
        <v>2.3658924642912726</v>
      </c>
      <c r="C651" s="21">
        <f t="shared" ref="C651:C714" ca="1" si="117">$C650+$B651</f>
        <v>1948.8536036957764</v>
      </c>
      <c r="D651" s="21">
        <f t="shared" ca="1" si="113"/>
        <v>3.2066363259371027</v>
      </c>
      <c r="E651" s="21">
        <f t="shared" ca="1" si="109"/>
        <v>17.69228311311349</v>
      </c>
      <c r="F651" s="20" t="str">
        <f t="shared" ref="F651:F714" ca="1" si="118">IF(E651=0,"Yes","No")</f>
        <v>No</v>
      </c>
      <c r="G651" s="21">
        <f t="shared" ca="1" si="114"/>
        <v>0</v>
      </c>
      <c r="H651" s="21">
        <f t="shared" ca="1" si="115"/>
        <v>1966.5458868088899</v>
      </c>
      <c r="I651" s="21">
        <f t="shared" ca="1" si="110"/>
        <v>1969.752523134827</v>
      </c>
      <c r="J651" s="20">
        <f t="shared" ref="J651:J714" ca="1" si="119">IF($I650&lt;=$C651,0,$K650+1)</f>
        <v>5</v>
      </c>
      <c r="K651" s="20">
        <f t="shared" ca="1" si="111"/>
        <v>4</v>
      </c>
      <c r="L651" s="44">
        <f t="shared" ca="1" si="116"/>
        <v>4.5</v>
      </c>
    </row>
    <row r="652" spans="1:12" x14ac:dyDescent="0.25">
      <c r="A652" s="20">
        <v>644</v>
      </c>
      <c r="B652" s="21">
        <f t="shared" ca="1" si="112"/>
        <v>3.0021814403818228</v>
      </c>
      <c r="C652" s="21">
        <f t="shared" ca="1" si="117"/>
        <v>1951.8557851361581</v>
      </c>
      <c r="D652" s="21">
        <f t="shared" ca="1" si="113"/>
        <v>2.485739473560177</v>
      </c>
      <c r="E652" s="21">
        <f t="shared" ref="E652:E715" ca="1" si="120">IF($I651&lt;=$C652,0,$I651-$C652)</f>
        <v>17.896737998668868</v>
      </c>
      <c r="F652" s="20" t="str">
        <f t="shared" ca="1" si="118"/>
        <v>No</v>
      </c>
      <c r="G652" s="21">
        <f t="shared" ca="1" si="114"/>
        <v>0</v>
      </c>
      <c r="H652" s="21">
        <f t="shared" ca="1" si="115"/>
        <v>1969.752523134827</v>
      </c>
      <c r="I652" s="21">
        <f t="shared" ca="1" si="110"/>
        <v>1972.2382626083872</v>
      </c>
      <c r="J652" s="20">
        <f t="shared" ca="1" si="119"/>
        <v>5</v>
      </c>
      <c r="K652" s="20">
        <f t="shared" ca="1" si="111"/>
        <v>5</v>
      </c>
      <c r="L652" s="44">
        <f t="shared" ca="1" si="116"/>
        <v>5</v>
      </c>
    </row>
    <row r="653" spans="1:12" x14ac:dyDescent="0.25">
      <c r="A653" s="20">
        <v>645</v>
      </c>
      <c r="B653" s="21">
        <f t="shared" ca="1" si="112"/>
        <v>3.2228125618407653</v>
      </c>
      <c r="C653" s="21">
        <f t="shared" ca="1" si="117"/>
        <v>1955.0785976979989</v>
      </c>
      <c r="D653" s="21">
        <f t="shared" ca="1" si="113"/>
        <v>3.1521890052588422</v>
      </c>
      <c r="E653" s="21">
        <f t="shared" ca="1" si="120"/>
        <v>17.159664910388301</v>
      </c>
      <c r="F653" s="20" t="str">
        <f t="shared" ca="1" si="118"/>
        <v>No</v>
      </c>
      <c r="G653" s="21">
        <f t="shared" ca="1" si="114"/>
        <v>0</v>
      </c>
      <c r="H653" s="21">
        <f t="shared" ca="1" si="115"/>
        <v>1972.2382626083872</v>
      </c>
      <c r="I653" s="21">
        <f t="shared" ca="1" si="110"/>
        <v>1975.3904516136461</v>
      </c>
      <c r="J653" s="20">
        <f t="shared" ca="1" si="119"/>
        <v>6</v>
      </c>
      <c r="K653" s="20">
        <f t="shared" ca="1" si="111"/>
        <v>5</v>
      </c>
      <c r="L653" s="44">
        <f t="shared" ca="1" si="116"/>
        <v>5.5</v>
      </c>
    </row>
    <row r="654" spans="1:12" x14ac:dyDescent="0.25">
      <c r="A654" s="20">
        <v>646</v>
      </c>
      <c r="B654" s="21">
        <f t="shared" ca="1" si="112"/>
        <v>2.4751345360132477</v>
      </c>
      <c r="C654" s="21">
        <f t="shared" ca="1" si="117"/>
        <v>1957.5537322340122</v>
      </c>
      <c r="D654" s="21">
        <f t="shared" ca="1" si="113"/>
        <v>4.7595658964354692</v>
      </c>
      <c r="E654" s="21">
        <f t="shared" ca="1" si="120"/>
        <v>17.836719379633905</v>
      </c>
      <c r="F654" s="20" t="str">
        <f t="shared" ca="1" si="118"/>
        <v>No</v>
      </c>
      <c r="G654" s="21">
        <f t="shared" ca="1" si="114"/>
        <v>0</v>
      </c>
      <c r="H654" s="21">
        <f t="shared" ca="1" si="115"/>
        <v>1975.3904516136461</v>
      </c>
      <c r="I654" s="21">
        <f t="shared" ca="1" si="110"/>
        <v>1980.1500175100816</v>
      </c>
      <c r="J654" s="20">
        <f t="shared" ca="1" si="119"/>
        <v>6</v>
      </c>
      <c r="K654" s="20">
        <f t="shared" ca="1" si="111"/>
        <v>5</v>
      </c>
      <c r="L654" s="44">
        <f t="shared" ca="1" si="116"/>
        <v>5.5</v>
      </c>
    </row>
    <row r="655" spans="1:12" x14ac:dyDescent="0.25">
      <c r="A655" s="20">
        <v>647</v>
      </c>
      <c r="B655" s="21">
        <f t="shared" ca="1" si="112"/>
        <v>11.944510042258807</v>
      </c>
      <c r="C655" s="21">
        <f t="shared" ca="1" si="117"/>
        <v>1969.498242276271</v>
      </c>
      <c r="D655" s="21">
        <f t="shared" ca="1" si="113"/>
        <v>0.26226706235557018</v>
      </c>
      <c r="E655" s="21">
        <f t="shared" ca="1" si="120"/>
        <v>10.651775233810667</v>
      </c>
      <c r="F655" s="20" t="str">
        <f t="shared" ca="1" si="118"/>
        <v>No</v>
      </c>
      <c r="G655" s="21">
        <f t="shared" ca="1" si="114"/>
        <v>0</v>
      </c>
      <c r="H655" s="21">
        <f t="shared" ca="1" si="115"/>
        <v>1980.1500175100816</v>
      </c>
      <c r="I655" s="21">
        <f t="shared" ca="1" si="110"/>
        <v>1980.4122845724371</v>
      </c>
      <c r="J655" s="20">
        <f t="shared" ca="1" si="119"/>
        <v>6</v>
      </c>
      <c r="K655" s="20">
        <f t="shared" ca="1" si="111"/>
        <v>5</v>
      </c>
      <c r="L655" s="44">
        <f t="shared" ca="1" si="116"/>
        <v>5.5</v>
      </c>
    </row>
    <row r="656" spans="1:12" x14ac:dyDescent="0.25">
      <c r="A656" s="20">
        <v>648</v>
      </c>
      <c r="B656" s="21">
        <f t="shared" ca="1" si="112"/>
        <v>0.64398049120822665</v>
      </c>
      <c r="C656" s="21">
        <f t="shared" ca="1" si="117"/>
        <v>1970.1422227674791</v>
      </c>
      <c r="D656" s="21">
        <f t="shared" ca="1" si="113"/>
        <v>4.9366303533651283</v>
      </c>
      <c r="E656" s="21">
        <f t="shared" ca="1" si="120"/>
        <v>10.270061804958004</v>
      </c>
      <c r="F656" s="20" t="str">
        <f t="shared" ca="1" si="118"/>
        <v>No</v>
      </c>
      <c r="G656" s="21">
        <f t="shared" ca="1" si="114"/>
        <v>0</v>
      </c>
      <c r="H656" s="21">
        <f t="shared" ca="1" si="115"/>
        <v>1980.4122845724371</v>
      </c>
      <c r="I656" s="21">
        <f t="shared" ca="1" si="110"/>
        <v>1985.3489149258023</v>
      </c>
      <c r="J656" s="20">
        <f t="shared" ca="1" si="119"/>
        <v>6</v>
      </c>
      <c r="K656" s="20">
        <f t="shared" ca="1" si="111"/>
        <v>5</v>
      </c>
      <c r="L656" s="44">
        <f t="shared" ca="1" si="116"/>
        <v>5.5</v>
      </c>
    </row>
    <row r="657" spans="1:12" x14ac:dyDescent="0.25">
      <c r="A657" s="20">
        <v>649</v>
      </c>
      <c r="B657" s="21">
        <f t="shared" ca="1" si="112"/>
        <v>1.3567671419495613</v>
      </c>
      <c r="C657" s="21">
        <f t="shared" ca="1" si="117"/>
        <v>1971.4989899094287</v>
      </c>
      <c r="D657" s="21">
        <f t="shared" ca="1" si="113"/>
        <v>2.7563812842263111</v>
      </c>
      <c r="E657" s="21">
        <f t="shared" ca="1" si="120"/>
        <v>13.849925016373618</v>
      </c>
      <c r="F657" s="20" t="str">
        <f t="shared" ca="1" si="118"/>
        <v>No</v>
      </c>
      <c r="G657" s="21">
        <f t="shared" ca="1" si="114"/>
        <v>0</v>
      </c>
      <c r="H657" s="21">
        <f t="shared" ca="1" si="115"/>
        <v>1985.3489149258023</v>
      </c>
      <c r="I657" s="21">
        <f t="shared" ca="1" si="110"/>
        <v>1988.1052962100287</v>
      </c>
      <c r="J657" s="20">
        <f t="shared" ca="1" si="119"/>
        <v>6</v>
      </c>
      <c r="K657" s="20">
        <f t="shared" ca="1" si="111"/>
        <v>5</v>
      </c>
      <c r="L657" s="44">
        <f t="shared" ca="1" si="116"/>
        <v>5.5</v>
      </c>
    </row>
    <row r="658" spans="1:12" x14ac:dyDescent="0.25">
      <c r="A658" s="20">
        <v>650</v>
      </c>
      <c r="B658" s="21">
        <f t="shared" ca="1" si="112"/>
        <v>3.355003667446983</v>
      </c>
      <c r="C658" s="21">
        <f t="shared" ca="1" si="117"/>
        <v>1974.8539935768756</v>
      </c>
      <c r="D658" s="21">
        <f t="shared" ca="1" si="113"/>
        <v>2.0006059486669314</v>
      </c>
      <c r="E658" s="21">
        <f t="shared" ca="1" si="120"/>
        <v>13.251302633153045</v>
      </c>
      <c r="F658" s="20" t="str">
        <f t="shared" ca="1" si="118"/>
        <v>No</v>
      </c>
      <c r="G658" s="21">
        <f t="shared" ca="1" si="114"/>
        <v>0</v>
      </c>
      <c r="H658" s="21">
        <f t="shared" ca="1" si="115"/>
        <v>1988.1052962100287</v>
      </c>
      <c r="I658" s="21">
        <f t="shared" ca="1" si="110"/>
        <v>1990.1059021586957</v>
      </c>
      <c r="J658" s="20">
        <f t="shared" ca="1" si="119"/>
        <v>6</v>
      </c>
      <c r="K658" s="20">
        <f t="shared" ca="1" si="111"/>
        <v>5</v>
      </c>
      <c r="L658" s="44">
        <f t="shared" ca="1" si="116"/>
        <v>5.5</v>
      </c>
    </row>
    <row r="659" spans="1:12" x14ac:dyDescent="0.25">
      <c r="A659" s="20">
        <v>651</v>
      </c>
      <c r="B659" s="21">
        <f t="shared" ca="1" si="112"/>
        <v>3.7016545420161209</v>
      </c>
      <c r="C659" s="21">
        <f t="shared" ca="1" si="117"/>
        <v>1978.5556481188917</v>
      </c>
      <c r="D659" s="21">
        <f t="shared" ca="1" si="113"/>
        <v>1.2668821514150885</v>
      </c>
      <c r="E659" s="21">
        <f t="shared" ca="1" si="120"/>
        <v>11.550254039804031</v>
      </c>
      <c r="F659" s="20" t="str">
        <f t="shared" ca="1" si="118"/>
        <v>No</v>
      </c>
      <c r="G659" s="21">
        <f t="shared" ca="1" si="114"/>
        <v>0</v>
      </c>
      <c r="H659" s="21">
        <f t="shared" ca="1" si="115"/>
        <v>1990.1059021586957</v>
      </c>
      <c r="I659" s="21">
        <f t="shared" ca="1" si="110"/>
        <v>1991.3727843101108</v>
      </c>
      <c r="J659" s="20">
        <f t="shared" ca="1" si="119"/>
        <v>6</v>
      </c>
      <c r="K659" s="20">
        <f t="shared" ca="1" si="111"/>
        <v>5</v>
      </c>
      <c r="L659" s="44">
        <f t="shared" ca="1" si="116"/>
        <v>5.5</v>
      </c>
    </row>
    <row r="660" spans="1:12" x14ac:dyDescent="0.25">
      <c r="A660" s="20">
        <v>652</v>
      </c>
      <c r="B660" s="21">
        <f t="shared" ca="1" si="112"/>
        <v>0.17651048427569482</v>
      </c>
      <c r="C660" s="21">
        <f t="shared" ca="1" si="117"/>
        <v>1978.7321586031674</v>
      </c>
      <c r="D660" s="21">
        <f t="shared" ca="1" si="113"/>
        <v>0.45470115190543148</v>
      </c>
      <c r="E660" s="21">
        <f t="shared" ca="1" si="120"/>
        <v>12.64062570694341</v>
      </c>
      <c r="F660" s="20" t="str">
        <f t="shared" ca="1" si="118"/>
        <v>No</v>
      </c>
      <c r="G660" s="21">
        <f t="shared" ca="1" si="114"/>
        <v>0</v>
      </c>
      <c r="H660" s="21">
        <f t="shared" ca="1" si="115"/>
        <v>1991.3727843101108</v>
      </c>
      <c r="I660" s="21">
        <f t="shared" ca="1" si="110"/>
        <v>1991.8274854620163</v>
      </c>
      <c r="J660" s="20">
        <f t="shared" ca="1" si="119"/>
        <v>6</v>
      </c>
      <c r="K660" s="20">
        <f t="shared" ca="1" si="111"/>
        <v>5</v>
      </c>
      <c r="L660" s="44">
        <f t="shared" ca="1" si="116"/>
        <v>5.5</v>
      </c>
    </row>
    <row r="661" spans="1:12" x14ac:dyDescent="0.25">
      <c r="A661" s="20">
        <v>653</v>
      </c>
      <c r="B661" s="21">
        <f t="shared" ca="1" si="112"/>
        <v>4.3203965694154025</v>
      </c>
      <c r="C661" s="21">
        <f t="shared" ca="1" si="117"/>
        <v>1983.0525551725827</v>
      </c>
      <c r="D661" s="21">
        <f t="shared" ca="1" si="113"/>
        <v>1.4014601793778907</v>
      </c>
      <c r="E661" s="21">
        <f t="shared" ca="1" si="120"/>
        <v>8.7749302894335415</v>
      </c>
      <c r="F661" s="20" t="str">
        <f t="shared" ca="1" si="118"/>
        <v>No</v>
      </c>
      <c r="G661" s="21">
        <f t="shared" ca="1" si="114"/>
        <v>0</v>
      </c>
      <c r="H661" s="21">
        <f t="shared" ca="1" si="115"/>
        <v>1991.8274854620163</v>
      </c>
      <c r="I661" s="21">
        <f t="shared" ca="1" si="110"/>
        <v>1993.2289456413941</v>
      </c>
      <c r="J661" s="20">
        <f t="shared" ca="1" si="119"/>
        <v>6</v>
      </c>
      <c r="K661" s="20">
        <f t="shared" ca="1" si="111"/>
        <v>5</v>
      </c>
      <c r="L661" s="44">
        <f t="shared" ca="1" si="116"/>
        <v>5.5</v>
      </c>
    </row>
    <row r="662" spans="1:12" x14ac:dyDescent="0.25">
      <c r="A662" s="20">
        <v>654</v>
      </c>
      <c r="B662" s="21">
        <f t="shared" ca="1" si="112"/>
        <v>3.7580315834165612</v>
      </c>
      <c r="C662" s="21">
        <f t="shared" ca="1" si="117"/>
        <v>1986.8105867559993</v>
      </c>
      <c r="D662" s="21">
        <f t="shared" ca="1" si="113"/>
        <v>2.0834860488199758</v>
      </c>
      <c r="E662" s="21">
        <f t="shared" ca="1" si="120"/>
        <v>6.4183588853948095</v>
      </c>
      <c r="F662" s="20" t="str">
        <f t="shared" ca="1" si="118"/>
        <v>No</v>
      </c>
      <c r="G662" s="21">
        <f t="shared" ca="1" si="114"/>
        <v>0</v>
      </c>
      <c r="H662" s="21">
        <f t="shared" ca="1" si="115"/>
        <v>1993.2289456413941</v>
      </c>
      <c r="I662" s="21">
        <f t="shared" ca="1" si="110"/>
        <v>1995.3124316902142</v>
      </c>
      <c r="J662" s="20">
        <f t="shared" ca="1" si="119"/>
        <v>6</v>
      </c>
      <c r="K662" s="20">
        <f t="shared" ca="1" si="111"/>
        <v>5</v>
      </c>
      <c r="L662" s="44">
        <f t="shared" ca="1" si="116"/>
        <v>5.5</v>
      </c>
    </row>
    <row r="663" spans="1:12" x14ac:dyDescent="0.25">
      <c r="A663" s="20">
        <v>655</v>
      </c>
      <c r="B663" s="21">
        <f t="shared" ca="1" si="112"/>
        <v>1.2582818094305082</v>
      </c>
      <c r="C663" s="21">
        <f t="shared" ca="1" si="117"/>
        <v>1988.0688685654297</v>
      </c>
      <c r="D663" s="21">
        <f t="shared" ca="1" si="113"/>
        <v>2.2561302479972354</v>
      </c>
      <c r="E663" s="21">
        <f t="shared" ca="1" si="120"/>
        <v>7.2435631247844867</v>
      </c>
      <c r="F663" s="20" t="str">
        <f t="shared" ca="1" si="118"/>
        <v>No</v>
      </c>
      <c r="G663" s="21">
        <f t="shared" ca="1" si="114"/>
        <v>0</v>
      </c>
      <c r="H663" s="21">
        <f t="shared" ca="1" si="115"/>
        <v>1995.3124316902142</v>
      </c>
      <c r="I663" s="21">
        <f t="shared" ca="1" si="110"/>
        <v>1997.5685619382114</v>
      </c>
      <c r="J663" s="20">
        <f t="shared" ca="1" si="119"/>
        <v>6</v>
      </c>
      <c r="K663" s="20">
        <f t="shared" ca="1" si="111"/>
        <v>5</v>
      </c>
      <c r="L663" s="44">
        <f t="shared" ca="1" si="116"/>
        <v>5.5</v>
      </c>
    </row>
    <row r="664" spans="1:12" x14ac:dyDescent="0.25">
      <c r="A664" s="20">
        <v>656</v>
      </c>
      <c r="B664" s="21">
        <f t="shared" ca="1" si="112"/>
        <v>0.91425488720697334</v>
      </c>
      <c r="C664" s="21">
        <f t="shared" ca="1" si="117"/>
        <v>1988.9831234526366</v>
      </c>
      <c r="D664" s="21">
        <f t="shared" ca="1" si="113"/>
        <v>1.4136332314072355</v>
      </c>
      <c r="E664" s="21">
        <f t="shared" ca="1" si="120"/>
        <v>8.5854384855747412</v>
      </c>
      <c r="F664" s="20" t="str">
        <f t="shared" ca="1" si="118"/>
        <v>No</v>
      </c>
      <c r="G664" s="21">
        <f t="shared" ca="1" si="114"/>
        <v>0</v>
      </c>
      <c r="H664" s="21">
        <f t="shared" ca="1" si="115"/>
        <v>1997.5685619382114</v>
      </c>
      <c r="I664" s="21">
        <f t="shared" ca="1" si="110"/>
        <v>1998.9821951696185</v>
      </c>
      <c r="J664" s="20">
        <f t="shared" ca="1" si="119"/>
        <v>6</v>
      </c>
      <c r="K664" s="20">
        <f t="shared" ca="1" si="111"/>
        <v>5</v>
      </c>
      <c r="L664" s="44">
        <f t="shared" ca="1" si="116"/>
        <v>5.5</v>
      </c>
    </row>
    <row r="665" spans="1:12" x14ac:dyDescent="0.25">
      <c r="A665" s="20">
        <v>657</v>
      </c>
      <c r="B665" s="21">
        <f t="shared" ca="1" si="112"/>
        <v>0.89016646324644155</v>
      </c>
      <c r="C665" s="21">
        <f t="shared" ca="1" si="117"/>
        <v>1989.8732899158831</v>
      </c>
      <c r="D665" s="21">
        <f t="shared" ca="1" si="113"/>
        <v>0.12171059142895423</v>
      </c>
      <c r="E665" s="21">
        <f t="shared" ca="1" si="120"/>
        <v>9.1089052537354291</v>
      </c>
      <c r="F665" s="20" t="str">
        <f t="shared" ca="1" si="118"/>
        <v>No</v>
      </c>
      <c r="G665" s="21">
        <f t="shared" ca="1" si="114"/>
        <v>0</v>
      </c>
      <c r="H665" s="21">
        <f t="shared" ca="1" si="115"/>
        <v>1998.9821951696185</v>
      </c>
      <c r="I665" s="21">
        <f t="shared" ca="1" si="110"/>
        <v>1999.1039057610476</v>
      </c>
      <c r="J665" s="20">
        <f t="shared" ca="1" si="119"/>
        <v>6</v>
      </c>
      <c r="K665" s="20">
        <f t="shared" ca="1" si="111"/>
        <v>4</v>
      </c>
      <c r="L665" s="44">
        <f t="shared" ca="1" si="116"/>
        <v>5</v>
      </c>
    </row>
    <row r="666" spans="1:12" x14ac:dyDescent="0.25">
      <c r="A666" s="20">
        <v>658</v>
      </c>
      <c r="B666" s="21">
        <f t="shared" ca="1" si="112"/>
        <v>2.1145235444631227</v>
      </c>
      <c r="C666" s="21">
        <f t="shared" ca="1" si="117"/>
        <v>1991.9878134603462</v>
      </c>
      <c r="D666" s="21">
        <f t="shared" ca="1" si="113"/>
        <v>9.0958880001138418</v>
      </c>
      <c r="E666" s="21">
        <f t="shared" ca="1" si="120"/>
        <v>7.1160923007014389</v>
      </c>
      <c r="F666" s="20" t="str">
        <f t="shared" ca="1" si="118"/>
        <v>No</v>
      </c>
      <c r="G666" s="21">
        <f t="shared" ca="1" si="114"/>
        <v>0</v>
      </c>
      <c r="H666" s="21">
        <f t="shared" ca="1" si="115"/>
        <v>1999.1039057610476</v>
      </c>
      <c r="I666" s="21">
        <f t="shared" ca="1" si="110"/>
        <v>2008.1997937611613</v>
      </c>
      <c r="J666" s="20">
        <f t="shared" ca="1" si="119"/>
        <v>5</v>
      </c>
      <c r="K666" s="20">
        <f t="shared" ca="1" si="111"/>
        <v>5</v>
      </c>
      <c r="L666" s="44">
        <f t="shared" ca="1" si="116"/>
        <v>5</v>
      </c>
    </row>
    <row r="667" spans="1:12" x14ac:dyDescent="0.25">
      <c r="A667" s="20">
        <v>659</v>
      </c>
      <c r="B667" s="21">
        <f t="shared" ca="1" si="112"/>
        <v>1.9267301217986554</v>
      </c>
      <c r="C667" s="21">
        <f t="shared" ca="1" si="117"/>
        <v>1993.9145435821449</v>
      </c>
      <c r="D667" s="21">
        <f t="shared" ca="1" si="113"/>
        <v>0.2085395008339376</v>
      </c>
      <c r="E667" s="21">
        <f t="shared" ca="1" si="120"/>
        <v>14.28525017901643</v>
      </c>
      <c r="F667" s="20" t="str">
        <f t="shared" ca="1" si="118"/>
        <v>No</v>
      </c>
      <c r="G667" s="21">
        <f t="shared" ca="1" si="114"/>
        <v>0</v>
      </c>
      <c r="H667" s="21">
        <f t="shared" ca="1" si="115"/>
        <v>2008.1997937611613</v>
      </c>
      <c r="I667" s="21">
        <f t="shared" ca="1" si="110"/>
        <v>2008.4083332619953</v>
      </c>
      <c r="J667" s="20">
        <f t="shared" ca="1" si="119"/>
        <v>6</v>
      </c>
      <c r="K667" s="20">
        <f t="shared" ca="1" si="111"/>
        <v>5</v>
      </c>
      <c r="L667" s="44">
        <f t="shared" ca="1" si="116"/>
        <v>5.5</v>
      </c>
    </row>
    <row r="668" spans="1:12" x14ac:dyDescent="0.25">
      <c r="A668" s="20">
        <v>660</v>
      </c>
      <c r="B668" s="21">
        <f t="shared" ca="1" si="112"/>
        <v>0.21024340107886821</v>
      </c>
      <c r="C668" s="21">
        <f t="shared" ca="1" si="117"/>
        <v>1994.1247869832239</v>
      </c>
      <c r="D668" s="21">
        <f t="shared" ca="1" si="113"/>
        <v>2.7501030243812306</v>
      </c>
      <c r="E668" s="21">
        <f t="shared" ca="1" si="120"/>
        <v>14.283546278771382</v>
      </c>
      <c r="F668" s="20" t="str">
        <f t="shared" ca="1" si="118"/>
        <v>No</v>
      </c>
      <c r="G668" s="21">
        <f t="shared" ca="1" si="114"/>
        <v>0</v>
      </c>
      <c r="H668" s="21">
        <f t="shared" ca="1" si="115"/>
        <v>2008.4083332619953</v>
      </c>
      <c r="I668" s="21">
        <f t="shared" ca="1" si="110"/>
        <v>2011.1584362863764</v>
      </c>
      <c r="J668" s="20">
        <f t="shared" ca="1" si="119"/>
        <v>6</v>
      </c>
      <c r="K668" s="20">
        <f t="shared" ca="1" si="111"/>
        <v>5</v>
      </c>
      <c r="L668" s="44">
        <f t="shared" ca="1" si="116"/>
        <v>5.5</v>
      </c>
    </row>
    <row r="669" spans="1:12" x14ac:dyDescent="0.25">
      <c r="A669" s="20">
        <v>661</v>
      </c>
      <c r="B669" s="21">
        <f t="shared" ca="1" si="112"/>
        <v>4.5253024331016301</v>
      </c>
      <c r="C669" s="21">
        <f t="shared" ca="1" si="117"/>
        <v>1998.6500894163255</v>
      </c>
      <c r="D669" s="21">
        <f t="shared" ca="1" si="113"/>
        <v>0.51387505049697102</v>
      </c>
      <c r="E669" s="21">
        <f t="shared" ca="1" si="120"/>
        <v>12.5083468700509</v>
      </c>
      <c r="F669" s="20" t="str">
        <f t="shared" ca="1" si="118"/>
        <v>No</v>
      </c>
      <c r="G669" s="21">
        <f t="shared" ca="1" si="114"/>
        <v>0</v>
      </c>
      <c r="H669" s="21">
        <f t="shared" ca="1" si="115"/>
        <v>2011.1584362863764</v>
      </c>
      <c r="I669" s="21">
        <f t="shared" ca="1" si="110"/>
        <v>2011.6723113368735</v>
      </c>
      <c r="J669" s="20">
        <f t="shared" ca="1" si="119"/>
        <v>6</v>
      </c>
      <c r="K669" s="20">
        <f t="shared" ca="1" si="111"/>
        <v>5</v>
      </c>
      <c r="L669" s="44">
        <f t="shared" ca="1" si="116"/>
        <v>5.5</v>
      </c>
    </row>
    <row r="670" spans="1:12" x14ac:dyDescent="0.25">
      <c r="A670" s="20">
        <v>662</v>
      </c>
      <c r="B670" s="21">
        <f t="shared" ca="1" si="112"/>
        <v>1.0726441618559159</v>
      </c>
      <c r="C670" s="21">
        <f t="shared" ca="1" si="117"/>
        <v>1999.7227335781813</v>
      </c>
      <c r="D670" s="21">
        <f t="shared" ca="1" si="113"/>
        <v>4.2201778454640122</v>
      </c>
      <c r="E670" s="21">
        <f t="shared" ca="1" si="120"/>
        <v>11.949577758692158</v>
      </c>
      <c r="F670" s="20" t="str">
        <f t="shared" ca="1" si="118"/>
        <v>No</v>
      </c>
      <c r="G670" s="21">
        <f t="shared" ca="1" si="114"/>
        <v>0</v>
      </c>
      <c r="H670" s="21">
        <f t="shared" ca="1" si="115"/>
        <v>2011.6723113368735</v>
      </c>
      <c r="I670" s="21">
        <f t="shared" ca="1" si="110"/>
        <v>2015.8924891823374</v>
      </c>
      <c r="J670" s="20">
        <f t="shared" ca="1" si="119"/>
        <v>6</v>
      </c>
      <c r="K670" s="20">
        <f t="shared" ca="1" si="111"/>
        <v>5</v>
      </c>
      <c r="L670" s="44">
        <f t="shared" ca="1" si="116"/>
        <v>5.5</v>
      </c>
    </row>
    <row r="671" spans="1:12" x14ac:dyDescent="0.25">
      <c r="A671" s="20">
        <v>663</v>
      </c>
      <c r="B671" s="21">
        <f t="shared" ca="1" si="112"/>
        <v>2.5568112760905102</v>
      </c>
      <c r="C671" s="21">
        <f t="shared" ca="1" si="117"/>
        <v>2002.2795448542718</v>
      </c>
      <c r="D671" s="21">
        <f t="shared" ca="1" si="113"/>
        <v>1.1340398480685852</v>
      </c>
      <c r="E671" s="21">
        <f t="shared" ca="1" si="120"/>
        <v>13.612944328065623</v>
      </c>
      <c r="F671" s="20" t="str">
        <f t="shared" ca="1" si="118"/>
        <v>No</v>
      </c>
      <c r="G671" s="21">
        <f t="shared" ca="1" si="114"/>
        <v>0</v>
      </c>
      <c r="H671" s="21">
        <f t="shared" ca="1" si="115"/>
        <v>2015.8924891823374</v>
      </c>
      <c r="I671" s="21">
        <f t="shared" ca="1" si="110"/>
        <v>2017.026529030406</v>
      </c>
      <c r="J671" s="20">
        <f t="shared" ca="1" si="119"/>
        <v>6</v>
      </c>
      <c r="K671" s="20">
        <f t="shared" ca="1" si="111"/>
        <v>5</v>
      </c>
      <c r="L671" s="44">
        <f t="shared" ca="1" si="116"/>
        <v>5.5</v>
      </c>
    </row>
    <row r="672" spans="1:12" x14ac:dyDescent="0.25">
      <c r="A672" s="20">
        <v>664</v>
      </c>
      <c r="B672" s="21">
        <f t="shared" ca="1" si="112"/>
        <v>0.5229453251191889</v>
      </c>
      <c r="C672" s="21">
        <f t="shared" ca="1" si="117"/>
        <v>2002.802490179391</v>
      </c>
      <c r="D672" s="21">
        <f t="shared" ca="1" si="113"/>
        <v>5.7818864308765701</v>
      </c>
      <c r="E672" s="21">
        <f t="shared" ca="1" si="120"/>
        <v>14.224038851014939</v>
      </c>
      <c r="F672" s="20" t="str">
        <f t="shared" ca="1" si="118"/>
        <v>No</v>
      </c>
      <c r="G672" s="21">
        <f t="shared" ca="1" si="114"/>
        <v>0</v>
      </c>
      <c r="H672" s="21">
        <f t="shared" ca="1" si="115"/>
        <v>2017.026529030406</v>
      </c>
      <c r="I672" s="21">
        <f t="shared" ca="1" si="110"/>
        <v>2022.8084154612825</v>
      </c>
      <c r="J672" s="20">
        <f t="shared" ca="1" si="119"/>
        <v>6</v>
      </c>
      <c r="K672" s="20">
        <f t="shared" ca="1" si="111"/>
        <v>5</v>
      </c>
      <c r="L672" s="44">
        <f t="shared" ca="1" si="116"/>
        <v>5.5</v>
      </c>
    </row>
    <row r="673" spans="1:12" x14ac:dyDescent="0.25">
      <c r="A673" s="20">
        <v>665</v>
      </c>
      <c r="B673" s="21">
        <f t="shared" ca="1" si="112"/>
        <v>1.3972305925573814</v>
      </c>
      <c r="C673" s="21">
        <f t="shared" ca="1" si="117"/>
        <v>2004.1997207719485</v>
      </c>
      <c r="D673" s="21">
        <f t="shared" ca="1" si="113"/>
        <v>2.6298758794033752</v>
      </c>
      <c r="E673" s="21">
        <f t="shared" ca="1" si="120"/>
        <v>18.608694689334015</v>
      </c>
      <c r="F673" s="20" t="str">
        <f t="shared" ca="1" si="118"/>
        <v>No</v>
      </c>
      <c r="G673" s="21">
        <f t="shared" ca="1" si="114"/>
        <v>0</v>
      </c>
      <c r="H673" s="21">
        <f t="shared" ca="1" si="115"/>
        <v>2022.8084154612825</v>
      </c>
      <c r="I673" s="21">
        <f t="shared" ca="1" si="110"/>
        <v>2025.438291340686</v>
      </c>
      <c r="J673" s="20">
        <f t="shared" ca="1" si="119"/>
        <v>6</v>
      </c>
      <c r="K673" s="20">
        <f t="shared" ca="1" si="111"/>
        <v>5</v>
      </c>
      <c r="L673" s="44">
        <f t="shared" ca="1" si="116"/>
        <v>5.5</v>
      </c>
    </row>
    <row r="674" spans="1:12" x14ac:dyDescent="0.25">
      <c r="A674" s="20">
        <v>666</v>
      </c>
      <c r="B674" s="21">
        <f t="shared" ca="1" si="112"/>
        <v>1.0375472053111892</v>
      </c>
      <c r="C674" s="21">
        <f t="shared" ca="1" si="117"/>
        <v>2005.2372679772598</v>
      </c>
      <c r="D674" s="21">
        <f t="shared" ca="1" si="113"/>
        <v>1.6581274920531479</v>
      </c>
      <c r="E674" s="21">
        <f t="shared" ca="1" si="120"/>
        <v>20.201023363426202</v>
      </c>
      <c r="F674" s="20" t="str">
        <f t="shared" ca="1" si="118"/>
        <v>No</v>
      </c>
      <c r="G674" s="21">
        <f t="shared" ca="1" si="114"/>
        <v>0</v>
      </c>
      <c r="H674" s="21">
        <f t="shared" ca="1" si="115"/>
        <v>2025.438291340686</v>
      </c>
      <c r="I674" s="21">
        <f t="shared" ca="1" si="110"/>
        <v>2027.0964188327391</v>
      </c>
      <c r="J674" s="20">
        <f t="shared" ca="1" si="119"/>
        <v>6</v>
      </c>
      <c r="K674" s="20">
        <f t="shared" ca="1" si="111"/>
        <v>5</v>
      </c>
      <c r="L674" s="44">
        <f t="shared" ca="1" si="116"/>
        <v>5.5</v>
      </c>
    </row>
    <row r="675" spans="1:12" x14ac:dyDescent="0.25">
      <c r="A675" s="20">
        <v>667</v>
      </c>
      <c r="B675" s="21">
        <f t="shared" ca="1" si="112"/>
        <v>6.6221553587115149</v>
      </c>
      <c r="C675" s="21">
        <f t="shared" ca="1" si="117"/>
        <v>2011.8594233359713</v>
      </c>
      <c r="D675" s="21">
        <f t="shared" ca="1" si="113"/>
        <v>0.27550173491015545</v>
      </c>
      <c r="E675" s="21">
        <f t="shared" ca="1" si="120"/>
        <v>15.236995496767804</v>
      </c>
      <c r="F675" s="20" t="str">
        <f t="shared" ca="1" si="118"/>
        <v>No</v>
      </c>
      <c r="G675" s="21">
        <f t="shared" ca="1" si="114"/>
        <v>0</v>
      </c>
      <c r="H675" s="21">
        <f t="shared" ca="1" si="115"/>
        <v>2027.0964188327391</v>
      </c>
      <c r="I675" s="21">
        <f t="shared" ca="1" si="110"/>
        <v>2027.3719205676493</v>
      </c>
      <c r="J675" s="20">
        <f t="shared" ca="1" si="119"/>
        <v>6</v>
      </c>
      <c r="K675" s="20">
        <f t="shared" ca="1" si="111"/>
        <v>5</v>
      </c>
      <c r="L675" s="44">
        <f t="shared" ca="1" si="116"/>
        <v>5.5</v>
      </c>
    </row>
    <row r="676" spans="1:12" x14ac:dyDescent="0.25">
      <c r="A676" s="20">
        <v>668</v>
      </c>
      <c r="B676" s="21">
        <f t="shared" ca="1" si="112"/>
        <v>4.3665328145556828</v>
      </c>
      <c r="C676" s="21">
        <f t="shared" ca="1" si="117"/>
        <v>2016.2259561505271</v>
      </c>
      <c r="D676" s="21">
        <f t="shared" ca="1" si="113"/>
        <v>4.6552962091405403</v>
      </c>
      <c r="E676" s="21">
        <f t="shared" ca="1" si="120"/>
        <v>11.145964417122286</v>
      </c>
      <c r="F676" s="20" t="str">
        <f t="shared" ca="1" si="118"/>
        <v>No</v>
      </c>
      <c r="G676" s="21">
        <f t="shared" ca="1" si="114"/>
        <v>0</v>
      </c>
      <c r="H676" s="21">
        <f t="shared" ca="1" si="115"/>
        <v>2027.3719205676493</v>
      </c>
      <c r="I676" s="21">
        <f t="shared" ca="1" si="110"/>
        <v>2032.0272167767898</v>
      </c>
      <c r="J676" s="20">
        <f t="shared" ca="1" si="119"/>
        <v>6</v>
      </c>
      <c r="K676" s="20">
        <f t="shared" ca="1" si="111"/>
        <v>5</v>
      </c>
      <c r="L676" s="44">
        <f t="shared" ca="1" si="116"/>
        <v>5.5</v>
      </c>
    </row>
    <row r="677" spans="1:12" x14ac:dyDescent="0.25">
      <c r="A677" s="20">
        <v>669</v>
      </c>
      <c r="B677" s="21">
        <f t="shared" ca="1" si="112"/>
        <v>1.2366889474638929</v>
      </c>
      <c r="C677" s="21">
        <f t="shared" ca="1" si="117"/>
        <v>2017.4626450979908</v>
      </c>
      <c r="D677" s="21">
        <f t="shared" ca="1" si="113"/>
        <v>1.6244071029496945</v>
      </c>
      <c r="E677" s="21">
        <f t="shared" ca="1" si="120"/>
        <v>14.564571678798984</v>
      </c>
      <c r="F677" s="20" t="str">
        <f t="shared" ca="1" si="118"/>
        <v>No</v>
      </c>
      <c r="G677" s="21">
        <f t="shared" ca="1" si="114"/>
        <v>0</v>
      </c>
      <c r="H677" s="21">
        <f t="shared" ca="1" si="115"/>
        <v>2032.0272167767898</v>
      </c>
      <c r="I677" s="21">
        <f t="shared" ca="1" si="110"/>
        <v>2033.6516238797394</v>
      </c>
      <c r="J677" s="20">
        <f t="shared" ca="1" si="119"/>
        <v>6</v>
      </c>
      <c r="K677" s="20">
        <f t="shared" ca="1" si="111"/>
        <v>5</v>
      </c>
      <c r="L677" s="44">
        <f t="shared" ca="1" si="116"/>
        <v>5.5</v>
      </c>
    </row>
    <row r="678" spans="1:12" x14ac:dyDescent="0.25">
      <c r="A678" s="20">
        <v>670</v>
      </c>
      <c r="B678" s="21">
        <f t="shared" ca="1" si="112"/>
        <v>2.5002905912641054</v>
      </c>
      <c r="C678" s="21">
        <f t="shared" ca="1" si="117"/>
        <v>2019.9629356892549</v>
      </c>
      <c r="D678" s="21">
        <f t="shared" ca="1" si="113"/>
        <v>2.7762833119239416</v>
      </c>
      <c r="E678" s="21">
        <f t="shared" ca="1" si="120"/>
        <v>13.688688190484527</v>
      </c>
      <c r="F678" s="20" t="str">
        <f t="shared" ca="1" si="118"/>
        <v>No</v>
      </c>
      <c r="G678" s="21">
        <f t="shared" ca="1" si="114"/>
        <v>0</v>
      </c>
      <c r="H678" s="21">
        <f t="shared" ca="1" si="115"/>
        <v>2033.6516238797394</v>
      </c>
      <c r="I678" s="21">
        <f t="shared" ca="1" si="110"/>
        <v>2036.4279071916633</v>
      </c>
      <c r="J678" s="20">
        <f t="shared" ca="1" si="119"/>
        <v>6</v>
      </c>
      <c r="K678" s="20">
        <f t="shared" ca="1" si="111"/>
        <v>5</v>
      </c>
      <c r="L678" s="44">
        <f t="shared" ca="1" si="116"/>
        <v>5.5</v>
      </c>
    </row>
    <row r="679" spans="1:12" x14ac:dyDescent="0.25">
      <c r="A679" s="20">
        <v>671</v>
      </c>
      <c r="B679" s="21">
        <f t="shared" ca="1" si="112"/>
        <v>1.2367065059072326</v>
      </c>
      <c r="C679" s="21">
        <f t="shared" ca="1" si="117"/>
        <v>2021.1996421951621</v>
      </c>
      <c r="D679" s="21">
        <f t="shared" ca="1" si="113"/>
        <v>0.47965293259372793</v>
      </c>
      <c r="E679" s="21">
        <f t="shared" ca="1" si="120"/>
        <v>15.228264996501139</v>
      </c>
      <c r="F679" s="20" t="str">
        <f t="shared" ca="1" si="118"/>
        <v>No</v>
      </c>
      <c r="G679" s="21">
        <f t="shared" ca="1" si="114"/>
        <v>0</v>
      </c>
      <c r="H679" s="21">
        <f t="shared" ca="1" si="115"/>
        <v>2036.4279071916633</v>
      </c>
      <c r="I679" s="21">
        <f t="shared" ca="1" si="110"/>
        <v>2036.9075601242571</v>
      </c>
      <c r="J679" s="20">
        <f t="shared" ca="1" si="119"/>
        <v>6</v>
      </c>
      <c r="K679" s="20">
        <f t="shared" ca="1" si="111"/>
        <v>4</v>
      </c>
      <c r="L679" s="44">
        <f t="shared" ca="1" si="116"/>
        <v>5</v>
      </c>
    </row>
    <row r="680" spans="1:12" x14ac:dyDescent="0.25">
      <c r="A680" s="20">
        <v>672</v>
      </c>
      <c r="B680" s="21">
        <f t="shared" ca="1" si="112"/>
        <v>0.75011258933598801</v>
      </c>
      <c r="C680" s="21">
        <f t="shared" ca="1" si="117"/>
        <v>2021.9497547844981</v>
      </c>
      <c r="D680" s="21">
        <f t="shared" ca="1" si="113"/>
        <v>0.60448902155521467</v>
      </c>
      <c r="E680" s="21">
        <f t="shared" ca="1" si="120"/>
        <v>14.957805339759034</v>
      </c>
      <c r="F680" s="20" t="str">
        <f t="shared" ca="1" si="118"/>
        <v>No</v>
      </c>
      <c r="G680" s="21">
        <f t="shared" ca="1" si="114"/>
        <v>0</v>
      </c>
      <c r="H680" s="21">
        <f t="shared" ca="1" si="115"/>
        <v>2036.9075601242571</v>
      </c>
      <c r="I680" s="21">
        <f t="shared" ca="1" si="110"/>
        <v>2037.5120491458124</v>
      </c>
      <c r="J680" s="20">
        <f t="shared" ca="1" si="119"/>
        <v>5</v>
      </c>
      <c r="K680" s="20">
        <f t="shared" ca="1" si="111"/>
        <v>3</v>
      </c>
      <c r="L680" s="44">
        <f t="shared" ca="1" si="116"/>
        <v>4</v>
      </c>
    </row>
    <row r="681" spans="1:12" x14ac:dyDescent="0.25">
      <c r="A681" s="20">
        <v>673</v>
      </c>
      <c r="B681" s="21">
        <f t="shared" ca="1" si="112"/>
        <v>1.4190319847811528</v>
      </c>
      <c r="C681" s="21">
        <f t="shared" ca="1" si="117"/>
        <v>2023.3687867692793</v>
      </c>
      <c r="D681" s="21">
        <f t="shared" ca="1" si="113"/>
        <v>0.37301473758847881</v>
      </c>
      <c r="E681" s="21">
        <f t="shared" ca="1" si="120"/>
        <v>14.14326237653313</v>
      </c>
      <c r="F681" s="20" t="str">
        <f t="shared" ca="1" si="118"/>
        <v>No</v>
      </c>
      <c r="G681" s="21">
        <f t="shared" ca="1" si="114"/>
        <v>0</v>
      </c>
      <c r="H681" s="21">
        <f t="shared" ca="1" si="115"/>
        <v>2037.5120491458124</v>
      </c>
      <c r="I681" s="21">
        <f t="shared" ca="1" si="110"/>
        <v>2037.8850638834008</v>
      </c>
      <c r="J681" s="20">
        <f t="shared" ca="1" si="119"/>
        <v>4</v>
      </c>
      <c r="K681" s="20">
        <f t="shared" ca="1" si="111"/>
        <v>2</v>
      </c>
      <c r="L681" s="44">
        <f t="shared" ca="1" si="116"/>
        <v>3</v>
      </c>
    </row>
    <row r="682" spans="1:12" x14ac:dyDescent="0.25">
      <c r="A682" s="20">
        <v>674</v>
      </c>
      <c r="B682" s="21">
        <f t="shared" ca="1" si="112"/>
        <v>4.9613476658530899</v>
      </c>
      <c r="C682" s="21">
        <f t="shared" ca="1" si="117"/>
        <v>2028.3301344351323</v>
      </c>
      <c r="D682" s="21">
        <f t="shared" ca="1" si="113"/>
        <v>9.4813369421987842E-3</v>
      </c>
      <c r="E682" s="21">
        <f t="shared" ca="1" si="120"/>
        <v>9.5549294482684672</v>
      </c>
      <c r="F682" s="20" t="str">
        <f t="shared" ca="1" si="118"/>
        <v>No</v>
      </c>
      <c r="G682" s="21">
        <f t="shared" ca="1" si="114"/>
        <v>0</v>
      </c>
      <c r="H682" s="21">
        <f t="shared" ca="1" si="115"/>
        <v>2037.8850638834008</v>
      </c>
      <c r="I682" s="21">
        <f t="shared" ca="1" si="110"/>
        <v>2037.8945452203429</v>
      </c>
      <c r="J682" s="20">
        <f t="shared" ca="1" si="119"/>
        <v>3</v>
      </c>
      <c r="K682" s="20">
        <f t="shared" ca="1" si="111"/>
        <v>1</v>
      </c>
      <c r="L682" s="44">
        <f t="shared" ca="1" si="116"/>
        <v>2</v>
      </c>
    </row>
    <row r="683" spans="1:12" x14ac:dyDescent="0.25">
      <c r="A683" s="20">
        <v>675</v>
      </c>
      <c r="B683" s="21">
        <f t="shared" ca="1" si="112"/>
        <v>4.5342769198528288</v>
      </c>
      <c r="C683" s="21">
        <f t="shared" ca="1" si="117"/>
        <v>2032.8644113549851</v>
      </c>
      <c r="D683" s="21">
        <f t="shared" ca="1" si="113"/>
        <v>1.0356276923956593</v>
      </c>
      <c r="E683" s="21">
        <f t="shared" ca="1" si="120"/>
        <v>5.0301338653578114</v>
      </c>
      <c r="F683" s="20" t="str">
        <f t="shared" ca="1" si="118"/>
        <v>No</v>
      </c>
      <c r="G683" s="21">
        <f t="shared" ca="1" si="114"/>
        <v>0</v>
      </c>
      <c r="H683" s="21">
        <f t="shared" ca="1" si="115"/>
        <v>2037.8945452203429</v>
      </c>
      <c r="I683" s="21">
        <f t="shared" ca="1" si="110"/>
        <v>2038.9301729127385</v>
      </c>
      <c r="J683" s="20">
        <f t="shared" ca="1" si="119"/>
        <v>2</v>
      </c>
      <c r="K683" s="20">
        <f t="shared" ca="1" si="111"/>
        <v>0</v>
      </c>
      <c r="L683" s="44">
        <f t="shared" ca="1" si="116"/>
        <v>1</v>
      </c>
    </row>
    <row r="684" spans="1:12" x14ac:dyDescent="0.25">
      <c r="A684" s="20">
        <v>676</v>
      </c>
      <c r="B684" s="21">
        <f t="shared" ca="1" si="112"/>
        <v>6.2629282399121102</v>
      </c>
      <c r="C684" s="21">
        <f t="shared" ca="1" si="117"/>
        <v>2039.1273395948972</v>
      </c>
      <c r="D684" s="21">
        <f t="shared" ca="1" si="113"/>
        <v>0.57438595197757569</v>
      </c>
      <c r="E684" s="21">
        <f t="shared" ca="1" si="120"/>
        <v>0</v>
      </c>
      <c r="F684" s="20" t="str">
        <f t="shared" ca="1" si="118"/>
        <v>Yes</v>
      </c>
      <c r="G684" s="21">
        <f t="shared" ca="1" si="114"/>
        <v>0.19716668215869504</v>
      </c>
      <c r="H684" s="21">
        <f t="shared" ca="1" si="115"/>
        <v>2039.1273395948972</v>
      </c>
      <c r="I684" s="21">
        <f t="shared" ca="1" si="110"/>
        <v>2039.7017255468747</v>
      </c>
      <c r="J684" s="20">
        <f t="shared" ca="1" si="119"/>
        <v>0</v>
      </c>
      <c r="K684" s="20">
        <f t="shared" ca="1" si="111"/>
        <v>0</v>
      </c>
      <c r="L684" s="44">
        <f t="shared" ca="1" si="116"/>
        <v>0</v>
      </c>
    </row>
    <row r="685" spans="1:12" x14ac:dyDescent="0.25">
      <c r="A685" s="20">
        <v>677</v>
      </c>
      <c r="B685" s="21">
        <f t="shared" ca="1" si="112"/>
        <v>1.6375309918851551</v>
      </c>
      <c r="C685" s="21">
        <f t="shared" ca="1" si="117"/>
        <v>2040.7648705867823</v>
      </c>
      <c r="D685" s="21">
        <f t="shared" ca="1" si="113"/>
        <v>3.307448867608719</v>
      </c>
      <c r="E685" s="21">
        <f t="shared" ca="1" si="120"/>
        <v>0</v>
      </c>
      <c r="F685" s="20" t="str">
        <f t="shared" ca="1" si="118"/>
        <v>Yes</v>
      </c>
      <c r="G685" s="21">
        <f t="shared" ca="1" si="114"/>
        <v>1.0631450399075675</v>
      </c>
      <c r="H685" s="21">
        <f t="shared" ca="1" si="115"/>
        <v>2040.7648705867823</v>
      </c>
      <c r="I685" s="21">
        <f t="shared" ca="1" si="110"/>
        <v>2044.0723194543909</v>
      </c>
      <c r="J685" s="20">
        <f t="shared" ca="1" si="119"/>
        <v>0</v>
      </c>
      <c r="K685" s="20">
        <f t="shared" ca="1" si="111"/>
        <v>1</v>
      </c>
      <c r="L685" s="44">
        <f t="shared" ca="1" si="116"/>
        <v>0.5</v>
      </c>
    </row>
    <row r="686" spans="1:12" x14ac:dyDescent="0.25">
      <c r="A686" s="20">
        <v>678</v>
      </c>
      <c r="B686" s="21">
        <f t="shared" ca="1" si="112"/>
        <v>2.6651878285781097</v>
      </c>
      <c r="C686" s="21">
        <f t="shared" ca="1" si="117"/>
        <v>2043.4300584153605</v>
      </c>
      <c r="D686" s="21">
        <f t="shared" ca="1" si="113"/>
        <v>2.2298098083273348</v>
      </c>
      <c r="E686" s="21">
        <f t="shared" ca="1" si="120"/>
        <v>0.6422610390304726</v>
      </c>
      <c r="F686" s="20" t="str">
        <f t="shared" ca="1" si="118"/>
        <v>No</v>
      </c>
      <c r="G686" s="21">
        <f t="shared" ca="1" si="114"/>
        <v>0</v>
      </c>
      <c r="H686" s="21">
        <f t="shared" ca="1" si="115"/>
        <v>2044.0723194543909</v>
      </c>
      <c r="I686" s="21">
        <f t="shared" ca="1" si="110"/>
        <v>2046.3021292627184</v>
      </c>
      <c r="J686" s="20">
        <f t="shared" ca="1" si="119"/>
        <v>2</v>
      </c>
      <c r="K686" s="20">
        <f t="shared" ca="1" si="111"/>
        <v>0</v>
      </c>
      <c r="L686" s="44">
        <f t="shared" ca="1" si="116"/>
        <v>1</v>
      </c>
    </row>
    <row r="687" spans="1:12" x14ac:dyDescent="0.25">
      <c r="A687" s="20">
        <v>679</v>
      </c>
      <c r="B687" s="21">
        <f t="shared" ca="1" si="112"/>
        <v>10.552225944036453</v>
      </c>
      <c r="C687" s="21">
        <f t="shared" ca="1" si="117"/>
        <v>2053.982284359397</v>
      </c>
      <c r="D687" s="21">
        <f t="shared" ca="1" si="113"/>
        <v>1.2383107490493146</v>
      </c>
      <c r="E687" s="21">
        <f t="shared" ca="1" si="120"/>
        <v>0</v>
      </c>
      <c r="F687" s="20" t="str">
        <f t="shared" ca="1" si="118"/>
        <v>Yes</v>
      </c>
      <c r="G687" s="21">
        <f t="shared" ca="1" si="114"/>
        <v>7.6801550966786181</v>
      </c>
      <c r="H687" s="21">
        <f t="shared" ca="1" si="115"/>
        <v>2053.982284359397</v>
      </c>
      <c r="I687" s="21">
        <f t="shared" ca="1" si="110"/>
        <v>2055.2205951084461</v>
      </c>
      <c r="J687" s="20">
        <f t="shared" ca="1" si="119"/>
        <v>0</v>
      </c>
      <c r="K687" s="20">
        <f t="shared" ca="1" si="111"/>
        <v>0</v>
      </c>
      <c r="L687" s="44">
        <f t="shared" ca="1" si="116"/>
        <v>0</v>
      </c>
    </row>
    <row r="688" spans="1:12" x14ac:dyDescent="0.25">
      <c r="A688" s="20">
        <v>680</v>
      </c>
      <c r="B688" s="21">
        <f t="shared" ca="1" si="112"/>
        <v>3.9114744297708217</v>
      </c>
      <c r="C688" s="21">
        <f t="shared" ca="1" si="117"/>
        <v>2057.8937587891678</v>
      </c>
      <c r="D688" s="21">
        <f t="shared" ca="1" si="113"/>
        <v>0.82116478903736423</v>
      </c>
      <c r="E688" s="21">
        <f t="shared" ca="1" si="120"/>
        <v>0</v>
      </c>
      <c r="F688" s="20" t="str">
        <f t="shared" ca="1" si="118"/>
        <v>Yes</v>
      </c>
      <c r="G688" s="21">
        <f t="shared" ca="1" si="114"/>
        <v>2.6731636807217001</v>
      </c>
      <c r="H688" s="21">
        <f t="shared" ca="1" si="115"/>
        <v>2057.8937587891678</v>
      </c>
      <c r="I688" s="21">
        <f t="shared" ca="1" si="110"/>
        <v>2058.7149235782053</v>
      </c>
      <c r="J688" s="20">
        <f t="shared" ca="1" si="119"/>
        <v>0</v>
      </c>
      <c r="K688" s="20">
        <f t="shared" ca="1" si="111"/>
        <v>0</v>
      </c>
      <c r="L688" s="44">
        <f t="shared" ca="1" si="116"/>
        <v>0</v>
      </c>
    </row>
    <row r="689" spans="1:12" x14ac:dyDescent="0.25">
      <c r="A689" s="20">
        <v>681</v>
      </c>
      <c r="B689" s="21">
        <f t="shared" ca="1" si="112"/>
        <v>2.010647734217347</v>
      </c>
      <c r="C689" s="21">
        <f t="shared" ca="1" si="117"/>
        <v>2059.9044065233852</v>
      </c>
      <c r="D689" s="21">
        <f t="shared" ca="1" si="113"/>
        <v>0.60252921103306134</v>
      </c>
      <c r="E689" s="21">
        <f t="shared" ca="1" si="120"/>
        <v>0</v>
      </c>
      <c r="F689" s="20" t="str">
        <f t="shared" ca="1" si="118"/>
        <v>Yes</v>
      </c>
      <c r="G689" s="21">
        <f t="shared" ca="1" si="114"/>
        <v>1.1894829451798614</v>
      </c>
      <c r="H689" s="21">
        <f t="shared" ca="1" si="115"/>
        <v>2059.9044065233852</v>
      </c>
      <c r="I689" s="21">
        <f t="shared" ca="1" si="110"/>
        <v>2060.5069357344182</v>
      </c>
      <c r="J689" s="20">
        <f t="shared" ca="1" si="119"/>
        <v>0</v>
      </c>
      <c r="K689" s="20">
        <f t="shared" ca="1" si="111"/>
        <v>0</v>
      </c>
      <c r="L689" s="44">
        <f t="shared" ca="1" si="116"/>
        <v>0</v>
      </c>
    </row>
    <row r="690" spans="1:12" x14ac:dyDescent="0.25">
      <c r="A690" s="20">
        <v>682</v>
      </c>
      <c r="B690" s="21">
        <f t="shared" ca="1" si="112"/>
        <v>1.0655839275457544</v>
      </c>
      <c r="C690" s="21">
        <f t="shared" ca="1" si="117"/>
        <v>2060.9699904509312</v>
      </c>
      <c r="D690" s="21">
        <f t="shared" ca="1" si="113"/>
        <v>0.47453396806949499</v>
      </c>
      <c r="E690" s="21">
        <f t="shared" ca="1" si="120"/>
        <v>0</v>
      </c>
      <c r="F690" s="20" t="str">
        <f t="shared" ca="1" si="118"/>
        <v>Yes</v>
      </c>
      <c r="G690" s="21">
        <f t="shared" ca="1" si="114"/>
        <v>0.46305471651294283</v>
      </c>
      <c r="H690" s="21">
        <f t="shared" ca="1" si="115"/>
        <v>2060.9699904509312</v>
      </c>
      <c r="I690" s="21">
        <f t="shared" ca="1" si="110"/>
        <v>2061.4445244190006</v>
      </c>
      <c r="J690" s="20">
        <f t="shared" ca="1" si="119"/>
        <v>0</v>
      </c>
      <c r="K690" s="20">
        <f t="shared" ca="1" si="111"/>
        <v>0</v>
      </c>
      <c r="L690" s="44">
        <f t="shared" ca="1" si="116"/>
        <v>0</v>
      </c>
    </row>
    <row r="691" spans="1:12" x14ac:dyDescent="0.25">
      <c r="A691" s="20">
        <v>683</v>
      </c>
      <c r="B691" s="21">
        <f t="shared" ca="1" si="112"/>
        <v>5.3295899633825972</v>
      </c>
      <c r="C691" s="21">
        <f t="shared" ca="1" si="117"/>
        <v>2066.2995804143138</v>
      </c>
      <c r="D691" s="21">
        <f t="shared" ca="1" si="113"/>
        <v>1.5342178318913469</v>
      </c>
      <c r="E691" s="21">
        <f t="shared" ca="1" si="120"/>
        <v>0</v>
      </c>
      <c r="F691" s="20" t="str">
        <f t="shared" ca="1" si="118"/>
        <v>Yes</v>
      </c>
      <c r="G691" s="21">
        <f t="shared" ca="1" si="114"/>
        <v>4.8550559953132506</v>
      </c>
      <c r="H691" s="21">
        <f t="shared" ca="1" si="115"/>
        <v>2066.2995804143138</v>
      </c>
      <c r="I691" s="21">
        <f t="shared" ca="1" si="110"/>
        <v>2067.8337982462053</v>
      </c>
      <c r="J691" s="20">
        <f t="shared" ca="1" si="119"/>
        <v>0</v>
      </c>
      <c r="K691" s="20">
        <f t="shared" ca="1" si="111"/>
        <v>0</v>
      </c>
      <c r="L691" s="44">
        <f t="shared" ca="1" si="116"/>
        <v>0</v>
      </c>
    </row>
    <row r="692" spans="1:12" x14ac:dyDescent="0.25">
      <c r="A692" s="20">
        <v>684</v>
      </c>
      <c r="B692" s="21">
        <f t="shared" ca="1" si="112"/>
        <v>4.1492141619543759</v>
      </c>
      <c r="C692" s="21">
        <f t="shared" ca="1" si="117"/>
        <v>2070.448794576268</v>
      </c>
      <c r="D692" s="21">
        <f t="shared" ca="1" si="113"/>
        <v>2.552820826739858</v>
      </c>
      <c r="E692" s="21">
        <f t="shared" ca="1" si="120"/>
        <v>0</v>
      </c>
      <c r="F692" s="20" t="str">
        <f t="shared" ca="1" si="118"/>
        <v>Yes</v>
      </c>
      <c r="G692" s="21">
        <f t="shared" ca="1" si="114"/>
        <v>2.6149963300626951</v>
      </c>
      <c r="H692" s="21">
        <f t="shared" ca="1" si="115"/>
        <v>2070.448794576268</v>
      </c>
      <c r="I692" s="21">
        <f t="shared" ca="1" si="110"/>
        <v>2073.0016154030077</v>
      </c>
      <c r="J692" s="20">
        <f t="shared" ca="1" si="119"/>
        <v>0</v>
      </c>
      <c r="K692" s="20">
        <f t="shared" ca="1" si="111"/>
        <v>0</v>
      </c>
      <c r="L692" s="44">
        <f t="shared" ca="1" si="116"/>
        <v>0</v>
      </c>
    </row>
    <row r="693" spans="1:12" x14ac:dyDescent="0.25">
      <c r="A693" s="20">
        <v>685</v>
      </c>
      <c r="B693" s="21">
        <f t="shared" ca="1" si="112"/>
        <v>3.218765548192609</v>
      </c>
      <c r="C693" s="21">
        <f t="shared" ca="1" si="117"/>
        <v>2073.6675601244606</v>
      </c>
      <c r="D693" s="21">
        <f t="shared" ca="1" si="113"/>
        <v>1.2721336204303426</v>
      </c>
      <c r="E693" s="21">
        <f t="shared" ca="1" si="120"/>
        <v>0</v>
      </c>
      <c r="F693" s="20" t="str">
        <f t="shared" ca="1" si="118"/>
        <v>Yes</v>
      </c>
      <c r="G693" s="21">
        <f t="shared" ca="1" si="114"/>
        <v>0.66594472145288819</v>
      </c>
      <c r="H693" s="21">
        <f t="shared" ca="1" si="115"/>
        <v>2073.6675601244606</v>
      </c>
      <c r="I693" s="21">
        <f t="shared" ca="1" si="110"/>
        <v>2074.939693744891</v>
      </c>
      <c r="J693" s="20">
        <f t="shared" ca="1" si="119"/>
        <v>0</v>
      </c>
      <c r="K693" s="20">
        <f t="shared" ca="1" si="111"/>
        <v>2</v>
      </c>
      <c r="L693" s="44">
        <f t="shared" ca="1" si="116"/>
        <v>1</v>
      </c>
    </row>
    <row r="694" spans="1:12" x14ac:dyDescent="0.25">
      <c r="A694" s="20">
        <v>686</v>
      </c>
      <c r="B694" s="21">
        <f t="shared" ca="1" si="112"/>
        <v>0.41399078226295549</v>
      </c>
      <c r="C694" s="21">
        <f t="shared" ca="1" si="117"/>
        <v>2074.0815509067234</v>
      </c>
      <c r="D694" s="21">
        <f t="shared" ca="1" si="113"/>
        <v>2.9760838109937229</v>
      </c>
      <c r="E694" s="21">
        <f t="shared" ca="1" si="120"/>
        <v>0.85814283816762327</v>
      </c>
      <c r="F694" s="20" t="str">
        <f t="shared" ca="1" si="118"/>
        <v>No</v>
      </c>
      <c r="G694" s="21">
        <f t="shared" ca="1" si="114"/>
        <v>0</v>
      </c>
      <c r="H694" s="21">
        <f t="shared" ca="1" si="115"/>
        <v>2074.939693744891</v>
      </c>
      <c r="I694" s="21">
        <f t="shared" ca="1" si="110"/>
        <v>2077.9157775558847</v>
      </c>
      <c r="J694" s="20">
        <f t="shared" ca="1" si="119"/>
        <v>3</v>
      </c>
      <c r="K694" s="20">
        <f t="shared" ca="1" si="111"/>
        <v>2</v>
      </c>
      <c r="L694" s="44">
        <f t="shared" ca="1" si="116"/>
        <v>2.5</v>
      </c>
    </row>
    <row r="695" spans="1:12" x14ac:dyDescent="0.25">
      <c r="A695" s="20">
        <v>687</v>
      </c>
      <c r="B695" s="21">
        <f t="shared" ca="1" si="112"/>
        <v>0.19248967303070932</v>
      </c>
      <c r="C695" s="21">
        <f t="shared" ca="1" si="117"/>
        <v>2074.274040579754</v>
      </c>
      <c r="D695" s="21">
        <f t="shared" ca="1" si="113"/>
        <v>1.7626613458868989</v>
      </c>
      <c r="E695" s="21">
        <f t="shared" ca="1" si="120"/>
        <v>3.6417369761306873</v>
      </c>
      <c r="F695" s="20" t="str">
        <f t="shared" ca="1" si="118"/>
        <v>No</v>
      </c>
      <c r="G695" s="21">
        <f t="shared" ca="1" si="114"/>
        <v>0</v>
      </c>
      <c r="H695" s="21">
        <f t="shared" ca="1" si="115"/>
        <v>2077.9157775558847</v>
      </c>
      <c r="I695" s="21">
        <f t="shared" ca="1" si="110"/>
        <v>2079.6784389017716</v>
      </c>
      <c r="J695" s="20">
        <f t="shared" ca="1" si="119"/>
        <v>3</v>
      </c>
      <c r="K695" s="20">
        <f t="shared" ca="1" si="111"/>
        <v>1</v>
      </c>
      <c r="L695" s="44">
        <f t="shared" ca="1" si="116"/>
        <v>2</v>
      </c>
    </row>
    <row r="696" spans="1:12" x14ac:dyDescent="0.25">
      <c r="A696" s="20">
        <v>688</v>
      </c>
      <c r="B696" s="21">
        <f t="shared" ca="1" si="112"/>
        <v>3.3716446911986484</v>
      </c>
      <c r="C696" s="21">
        <f t="shared" ca="1" si="117"/>
        <v>2077.6456852709525</v>
      </c>
      <c r="D696" s="21">
        <f t="shared" ca="1" si="113"/>
        <v>0.25687238826722775</v>
      </c>
      <c r="E696" s="21">
        <f t="shared" ca="1" si="120"/>
        <v>2.0327536308191156</v>
      </c>
      <c r="F696" s="20" t="str">
        <f t="shared" ca="1" si="118"/>
        <v>No</v>
      </c>
      <c r="G696" s="21">
        <f t="shared" ca="1" si="114"/>
        <v>0</v>
      </c>
      <c r="H696" s="21">
        <f t="shared" ca="1" si="115"/>
        <v>2079.6784389017716</v>
      </c>
      <c r="I696" s="21">
        <f t="shared" ca="1" si="110"/>
        <v>2079.935311290039</v>
      </c>
      <c r="J696" s="20">
        <f t="shared" ca="1" si="119"/>
        <v>2</v>
      </c>
      <c r="K696" s="20">
        <f t="shared" ca="1" si="111"/>
        <v>0</v>
      </c>
      <c r="L696" s="44">
        <f t="shared" ca="1" si="116"/>
        <v>1</v>
      </c>
    </row>
    <row r="697" spans="1:12" x14ac:dyDescent="0.25">
      <c r="A697" s="20">
        <v>689</v>
      </c>
      <c r="B697" s="21">
        <f t="shared" ca="1" si="112"/>
        <v>2.6174308030936908</v>
      </c>
      <c r="C697" s="21">
        <f t="shared" ca="1" si="117"/>
        <v>2080.2631160740461</v>
      </c>
      <c r="D697" s="21">
        <f t="shared" ca="1" si="113"/>
        <v>2.3581085975544926</v>
      </c>
      <c r="E697" s="21">
        <f t="shared" ca="1" si="120"/>
        <v>0</v>
      </c>
      <c r="F697" s="20" t="str">
        <f t="shared" ca="1" si="118"/>
        <v>Yes</v>
      </c>
      <c r="G697" s="21">
        <f t="shared" ca="1" si="114"/>
        <v>0.32780478400718494</v>
      </c>
      <c r="H697" s="21">
        <f t="shared" ca="1" si="115"/>
        <v>2080.2631160740461</v>
      </c>
      <c r="I697" s="21">
        <f t="shared" ca="1" si="110"/>
        <v>2082.6212246716004</v>
      </c>
      <c r="J697" s="20">
        <f t="shared" ca="1" si="119"/>
        <v>0</v>
      </c>
      <c r="K697" s="20">
        <f t="shared" ca="1" si="111"/>
        <v>1</v>
      </c>
      <c r="L697" s="44">
        <f t="shared" ca="1" si="116"/>
        <v>0.5</v>
      </c>
    </row>
    <row r="698" spans="1:12" x14ac:dyDescent="0.25">
      <c r="A698" s="20">
        <v>690</v>
      </c>
      <c r="B698" s="21">
        <f t="shared" ca="1" si="112"/>
        <v>1.8756074185881482</v>
      </c>
      <c r="C698" s="21">
        <f t="shared" ca="1" si="117"/>
        <v>2082.1387234926342</v>
      </c>
      <c r="D698" s="21">
        <f t="shared" ca="1" si="113"/>
        <v>0.29881139628428016</v>
      </c>
      <c r="E698" s="21">
        <f t="shared" ca="1" si="120"/>
        <v>0.48250117896623124</v>
      </c>
      <c r="F698" s="20" t="str">
        <f t="shared" ca="1" si="118"/>
        <v>No</v>
      </c>
      <c r="G698" s="21">
        <f t="shared" ca="1" si="114"/>
        <v>0</v>
      </c>
      <c r="H698" s="21">
        <f t="shared" ca="1" si="115"/>
        <v>2082.6212246716004</v>
      </c>
      <c r="I698" s="21">
        <f t="shared" ca="1" si="110"/>
        <v>2082.9200360678847</v>
      </c>
      <c r="J698" s="20">
        <f t="shared" ca="1" si="119"/>
        <v>2</v>
      </c>
      <c r="K698" s="20">
        <f t="shared" ca="1" si="111"/>
        <v>0</v>
      </c>
      <c r="L698" s="44">
        <f t="shared" ca="1" si="116"/>
        <v>1</v>
      </c>
    </row>
    <row r="699" spans="1:12" x14ac:dyDescent="0.25">
      <c r="A699" s="20">
        <v>691</v>
      </c>
      <c r="B699" s="21">
        <f t="shared" ca="1" si="112"/>
        <v>1.3682628876928837</v>
      </c>
      <c r="C699" s="21">
        <f t="shared" ca="1" si="117"/>
        <v>2083.5069863803269</v>
      </c>
      <c r="D699" s="21">
        <f t="shared" ca="1" si="113"/>
        <v>0.80055127715975583</v>
      </c>
      <c r="E699" s="21">
        <f t="shared" ca="1" si="120"/>
        <v>0</v>
      </c>
      <c r="F699" s="20" t="str">
        <f t="shared" ca="1" si="118"/>
        <v>Yes</v>
      </c>
      <c r="G699" s="21">
        <f t="shared" ca="1" si="114"/>
        <v>0.58695031244224083</v>
      </c>
      <c r="H699" s="21">
        <f t="shared" ca="1" si="115"/>
        <v>2083.5069863803269</v>
      </c>
      <c r="I699" s="21">
        <f t="shared" ca="1" si="110"/>
        <v>2084.3075376574866</v>
      </c>
      <c r="J699" s="20">
        <f t="shared" ca="1" si="119"/>
        <v>0</v>
      </c>
      <c r="K699" s="20">
        <f t="shared" ca="1" si="111"/>
        <v>1</v>
      </c>
      <c r="L699" s="44">
        <f t="shared" ca="1" si="116"/>
        <v>0.5</v>
      </c>
    </row>
    <row r="700" spans="1:12" x14ac:dyDescent="0.25">
      <c r="A700" s="20">
        <v>692</v>
      </c>
      <c r="B700" s="21">
        <f t="shared" ca="1" si="112"/>
        <v>0.63624722950360568</v>
      </c>
      <c r="C700" s="21">
        <f t="shared" ca="1" si="117"/>
        <v>2084.1432336098305</v>
      </c>
      <c r="D700" s="21">
        <f t="shared" ca="1" si="113"/>
        <v>3.1093352291069629</v>
      </c>
      <c r="E700" s="21">
        <f t="shared" ca="1" si="120"/>
        <v>0.16430404765605999</v>
      </c>
      <c r="F700" s="20" t="str">
        <f t="shared" ca="1" si="118"/>
        <v>No</v>
      </c>
      <c r="G700" s="21">
        <f t="shared" ca="1" si="114"/>
        <v>0</v>
      </c>
      <c r="H700" s="21">
        <f t="shared" ca="1" si="115"/>
        <v>2084.3075376574866</v>
      </c>
      <c r="I700" s="21">
        <f t="shared" ca="1" si="110"/>
        <v>2087.4168728865934</v>
      </c>
      <c r="J700" s="20">
        <f t="shared" ca="1" si="119"/>
        <v>2</v>
      </c>
      <c r="K700" s="20">
        <f t="shared" ca="1" si="111"/>
        <v>1</v>
      </c>
      <c r="L700" s="44">
        <f t="shared" ca="1" si="116"/>
        <v>1.5</v>
      </c>
    </row>
    <row r="701" spans="1:12" x14ac:dyDescent="0.25">
      <c r="A701" s="20">
        <v>693</v>
      </c>
      <c r="B701" s="21">
        <f t="shared" ca="1" si="112"/>
        <v>1.4745579769327213</v>
      </c>
      <c r="C701" s="21">
        <f t="shared" ca="1" si="117"/>
        <v>2085.6177915867634</v>
      </c>
      <c r="D701" s="21">
        <f t="shared" ca="1" si="113"/>
        <v>7.8787413016021919</v>
      </c>
      <c r="E701" s="21">
        <f t="shared" ca="1" si="120"/>
        <v>1.7990812998300498</v>
      </c>
      <c r="F701" s="20" t="str">
        <f t="shared" ca="1" si="118"/>
        <v>No</v>
      </c>
      <c r="G701" s="21">
        <f t="shared" ca="1" si="114"/>
        <v>0</v>
      </c>
      <c r="H701" s="21">
        <f t="shared" ca="1" si="115"/>
        <v>2087.4168728865934</v>
      </c>
      <c r="I701" s="21">
        <f t="shared" ca="1" si="110"/>
        <v>2095.2956141881955</v>
      </c>
      <c r="J701" s="20">
        <f t="shared" ca="1" si="119"/>
        <v>2</v>
      </c>
      <c r="K701" s="20">
        <f t="shared" ca="1" si="111"/>
        <v>3</v>
      </c>
      <c r="L701" s="44">
        <f t="shared" ca="1" si="116"/>
        <v>2.5</v>
      </c>
    </row>
    <row r="702" spans="1:12" x14ac:dyDescent="0.25">
      <c r="A702" s="20">
        <v>694</v>
      </c>
      <c r="B702" s="21">
        <f t="shared" ca="1" si="112"/>
        <v>2.3765847235290125</v>
      </c>
      <c r="C702" s="21">
        <f t="shared" ca="1" si="117"/>
        <v>2087.9943763102924</v>
      </c>
      <c r="D702" s="21">
        <f t="shared" ca="1" si="113"/>
        <v>4.7980323710969586</v>
      </c>
      <c r="E702" s="21">
        <f t="shared" ca="1" si="120"/>
        <v>7.3012378779030769</v>
      </c>
      <c r="F702" s="20" t="str">
        <f t="shared" ca="1" si="118"/>
        <v>No</v>
      </c>
      <c r="G702" s="21">
        <f t="shared" ca="1" si="114"/>
        <v>0</v>
      </c>
      <c r="H702" s="21">
        <f t="shared" ca="1" si="115"/>
        <v>2095.2956141881955</v>
      </c>
      <c r="I702" s="21">
        <f t="shared" ca="1" si="110"/>
        <v>2100.0936465592927</v>
      </c>
      <c r="J702" s="20">
        <f t="shared" ca="1" si="119"/>
        <v>4</v>
      </c>
      <c r="K702" s="20">
        <f t="shared" ca="1" si="111"/>
        <v>5</v>
      </c>
      <c r="L702" s="44">
        <f t="shared" ca="1" si="116"/>
        <v>4.5</v>
      </c>
    </row>
    <row r="703" spans="1:12" x14ac:dyDescent="0.25">
      <c r="A703" s="20">
        <v>695</v>
      </c>
      <c r="B703" s="21">
        <f t="shared" ca="1" si="112"/>
        <v>2.7351106745231384</v>
      </c>
      <c r="C703" s="21">
        <f t="shared" ca="1" si="117"/>
        <v>2090.7294869848156</v>
      </c>
      <c r="D703" s="21">
        <f t="shared" ca="1" si="113"/>
        <v>2.9261337570592048</v>
      </c>
      <c r="E703" s="21">
        <f t="shared" ca="1" si="120"/>
        <v>9.3641595744770711</v>
      </c>
      <c r="F703" s="20" t="str">
        <f t="shared" ca="1" si="118"/>
        <v>No</v>
      </c>
      <c r="G703" s="21">
        <f t="shared" ca="1" si="114"/>
        <v>0</v>
      </c>
      <c r="H703" s="21">
        <f t="shared" ca="1" si="115"/>
        <v>2100.0936465592927</v>
      </c>
      <c r="I703" s="21">
        <f t="shared" ca="1" si="110"/>
        <v>2103.0197803163519</v>
      </c>
      <c r="J703" s="20">
        <f t="shared" ca="1" si="119"/>
        <v>6</v>
      </c>
      <c r="K703" s="20">
        <f t="shared" ca="1" si="111"/>
        <v>5</v>
      </c>
      <c r="L703" s="44">
        <f t="shared" ca="1" si="116"/>
        <v>5.5</v>
      </c>
    </row>
    <row r="704" spans="1:12" x14ac:dyDescent="0.25">
      <c r="A704" s="20">
        <v>696</v>
      </c>
      <c r="B704" s="21">
        <f t="shared" ca="1" si="112"/>
        <v>3.3183193426990916</v>
      </c>
      <c r="C704" s="21">
        <f t="shared" ca="1" si="117"/>
        <v>2094.0478063275145</v>
      </c>
      <c r="D704" s="21">
        <f t="shared" ca="1" si="113"/>
        <v>4.1888663908973918</v>
      </c>
      <c r="E704" s="21">
        <f t="shared" ca="1" si="120"/>
        <v>8.9719739888373624</v>
      </c>
      <c r="F704" s="20" t="str">
        <f t="shared" ca="1" si="118"/>
        <v>No</v>
      </c>
      <c r="G704" s="21">
        <f t="shared" ca="1" si="114"/>
        <v>0</v>
      </c>
      <c r="H704" s="21">
        <f t="shared" ca="1" si="115"/>
        <v>2103.0197803163519</v>
      </c>
      <c r="I704" s="21">
        <f t="shared" ca="1" si="110"/>
        <v>2107.2086467072495</v>
      </c>
      <c r="J704" s="20">
        <f t="shared" ca="1" si="119"/>
        <v>6</v>
      </c>
      <c r="K704" s="20">
        <f t="shared" ca="1" si="111"/>
        <v>5</v>
      </c>
      <c r="L704" s="44">
        <f t="shared" ca="1" si="116"/>
        <v>5.5</v>
      </c>
    </row>
    <row r="705" spans="1:12" x14ac:dyDescent="0.25">
      <c r="A705" s="20">
        <v>697</v>
      </c>
      <c r="B705" s="21">
        <f t="shared" ca="1" si="112"/>
        <v>2.8205439987967171</v>
      </c>
      <c r="C705" s="21">
        <f t="shared" ca="1" si="117"/>
        <v>2096.8683503263114</v>
      </c>
      <c r="D705" s="21">
        <f t="shared" ca="1" si="113"/>
        <v>4.771308493481718</v>
      </c>
      <c r="E705" s="21">
        <f t="shared" ca="1" si="120"/>
        <v>10.340296380938071</v>
      </c>
      <c r="F705" s="20" t="str">
        <f t="shared" ca="1" si="118"/>
        <v>No</v>
      </c>
      <c r="G705" s="21">
        <f t="shared" ca="1" si="114"/>
        <v>0</v>
      </c>
      <c r="H705" s="21">
        <f t="shared" ca="1" si="115"/>
        <v>2107.2086467072495</v>
      </c>
      <c r="I705" s="21">
        <f t="shared" ca="1" si="110"/>
        <v>2111.9799552007312</v>
      </c>
      <c r="J705" s="20">
        <f t="shared" ca="1" si="119"/>
        <v>6</v>
      </c>
      <c r="K705" s="20">
        <f t="shared" ca="1" si="111"/>
        <v>5</v>
      </c>
      <c r="L705" s="44">
        <f t="shared" ca="1" si="116"/>
        <v>5.5</v>
      </c>
    </row>
    <row r="706" spans="1:12" x14ac:dyDescent="0.25">
      <c r="A706" s="20">
        <v>698</v>
      </c>
      <c r="B706" s="21">
        <f t="shared" ca="1" si="112"/>
        <v>0.20934026980412473</v>
      </c>
      <c r="C706" s="21">
        <f t="shared" ca="1" si="117"/>
        <v>2097.0776905961156</v>
      </c>
      <c r="D706" s="21">
        <f t="shared" ca="1" si="113"/>
        <v>5.1530658205727127</v>
      </c>
      <c r="E706" s="21">
        <f t="shared" ca="1" si="120"/>
        <v>14.902264604615539</v>
      </c>
      <c r="F706" s="20" t="str">
        <f t="shared" ca="1" si="118"/>
        <v>No</v>
      </c>
      <c r="G706" s="21">
        <f t="shared" ca="1" si="114"/>
        <v>0</v>
      </c>
      <c r="H706" s="21">
        <f t="shared" ca="1" si="115"/>
        <v>2111.9799552007312</v>
      </c>
      <c r="I706" s="21">
        <f t="shared" ca="1" si="110"/>
        <v>2117.1330210213041</v>
      </c>
      <c r="J706" s="20">
        <f t="shared" ca="1" si="119"/>
        <v>6</v>
      </c>
      <c r="K706" s="20">
        <f t="shared" ca="1" si="111"/>
        <v>5</v>
      </c>
      <c r="L706" s="44">
        <f t="shared" ca="1" si="116"/>
        <v>5.5</v>
      </c>
    </row>
    <row r="707" spans="1:12" x14ac:dyDescent="0.25">
      <c r="A707" s="20">
        <v>699</v>
      </c>
      <c r="B707" s="21">
        <f t="shared" ca="1" si="112"/>
        <v>1.794212023996115</v>
      </c>
      <c r="C707" s="21">
        <f t="shared" ca="1" si="117"/>
        <v>2098.8719026201115</v>
      </c>
      <c r="D707" s="21">
        <f t="shared" ca="1" si="113"/>
        <v>0.27011534549479277</v>
      </c>
      <c r="E707" s="21">
        <f t="shared" ca="1" si="120"/>
        <v>18.261118401192562</v>
      </c>
      <c r="F707" s="20" t="str">
        <f t="shared" ca="1" si="118"/>
        <v>No</v>
      </c>
      <c r="G707" s="21">
        <f t="shared" ca="1" si="114"/>
        <v>0</v>
      </c>
      <c r="H707" s="21">
        <f t="shared" ca="1" si="115"/>
        <v>2117.1330210213041</v>
      </c>
      <c r="I707" s="21">
        <f t="shared" ca="1" si="110"/>
        <v>2117.4031363667991</v>
      </c>
      <c r="J707" s="20">
        <f t="shared" ca="1" si="119"/>
        <v>6</v>
      </c>
      <c r="K707" s="20">
        <f t="shared" ca="1" si="111"/>
        <v>5</v>
      </c>
      <c r="L707" s="44">
        <f t="shared" ca="1" si="116"/>
        <v>5.5</v>
      </c>
    </row>
    <row r="708" spans="1:12" x14ac:dyDescent="0.25">
      <c r="A708" s="20">
        <v>700</v>
      </c>
      <c r="B708" s="21">
        <f t="shared" ca="1" si="112"/>
        <v>1.7140378925477044</v>
      </c>
      <c r="C708" s="21">
        <f t="shared" ca="1" si="117"/>
        <v>2100.5859405126594</v>
      </c>
      <c r="D708" s="21">
        <f t="shared" ca="1" si="113"/>
        <v>6.6253371178813563</v>
      </c>
      <c r="E708" s="21">
        <f t="shared" ca="1" si="120"/>
        <v>16.817195854139754</v>
      </c>
      <c r="F708" s="20" t="str">
        <f t="shared" ca="1" si="118"/>
        <v>No</v>
      </c>
      <c r="G708" s="21">
        <f t="shared" ca="1" si="114"/>
        <v>0</v>
      </c>
      <c r="H708" s="21">
        <f t="shared" ca="1" si="115"/>
        <v>2117.4031363667991</v>
      </c>
      <c r="I708" s="21">
        <f t="shared" ca="1" si="110"/>
        <v>2124.0284734846805</v>
      </c>
      <c r="J708" s="20">
        <f t="shared" ca="1" si="119"/>
        <v>6</v>
      </c>
      <c r="K708" s="20">
        <f t="shared" ca="1" si="111"/>
        <v>5</v>
      </c>
      <c r="L708" s="44">
        <f t="shared" ca="1" si="116"/>
        <v>5.5</v>
      </c>
    </row>
    <row r="709" spans="1:12" x14ac:dyDescent="0.25">
      <c r="A709" s="20">
        <v>701</v>
      </c>
      <c r="B709" s="21">
        <f t="shared" ca="1" si="112"/>
        <v>5.3207136051592521</v>
      </c>
      <c r="C709" s="21">
        <f t="shared" ca="1" si="117"/>
        <v>2105.9066541178186</v>
      </c>
      <c r="D709" s="21">
        <f t="shared" ca="1" si="113"/>
        <v>0.78973602634375384</v>
      </c>
      <c r="E709" s="21">
        <f t="shared" ca="1" si="120"/>
        <v>18.121819366861928</v>
      </c>
      <c r="F709" s="20" t="str">
        <f t="shared" ca="1" si="118"/>
        <v>No</v>
      </c>
      <c r="G709" s="21">
        <f t="shared" ca="1" si="114"/>
        <v>0</v>
      </c>
      <c r="H709" s="21">
        <f t="shared" ca="1" si="115"/>
        <v>2124.0284734846805</v>
      </c>
      <c r="I709" s="21">
        <f t="shared" ca="1" si="110"/>
        <v>2124.8182095110242</v>
      </c>
      <c r="J709" s="20">
        <f t="shared" ca="1" si="119"/>
        <v>6</v>
      </c>
      <c r="K709" s="20">
        <f t="shared" ca="1" si="111"/>
        <v>5</v>
      </c>
      <c r="L709" s="44">
        <f t="shared" ca="1" si="116"/>
        <v>5.5</v>
      </c>
    </row>
    <row r="710" spans="1:12" x14ac:dyDescent="0.25">
      <c r="A710" s="20">
        <v>702</v>
      </c>
      <c r="B710" s="21">
        <f t="shared" ca="1" si="112"/>
        <v>3.3071309626290075</v>
      </c>
      <c r="C710" s="21">
        <f t="shared" ca="1" si="117"/>
        <v>2109.2137850804475</v>
      </c>
      <c r="D710" s="21">
        <f t="shared" ca="1" si="113"/>
        <v>2.1550689555712599</v>
      </c>
      <c r="E710" s="21">
        <f t="shared" ca="1" si="120"/>
        <v>15.604424430576728</v>
      </c>
      <c r="F710" s="20" t="str">
        <f t="shared" ca="1" si="118"/>
        <v>No</v>
      </c>
      <c r="G710" s="21">
        <f t="shared" ca="1" si="114"/>
        <v>0</v>
      </c>
      <c r="H710" s="21">
        <f t="shared" ca="1" si="115"/>
        <v>2124.8182095110242</v>
      </c>
      <c r="I710" s="21">
        <f t="shared" ca="1" si="110"/>
        <v>2126.9732784665953</v>
      </c>
      <c r="J710" s="20">
        <f t="shared" ca="1" si="119"/>
        <v>6</v>
      </c>
      <c r="K710" s="20">
        <f t="shared" ca="1" si="111"/>
        <v>5</v>
      </c>
      <c r="L710" s="44">
        <f t="shared" ca="1" si="116"/>
        <v>5.5</v>
      </c>
    </row>
    <row r="711" spans="1:12" x14ac:dyDescent="0.25">
      <c r="A711" s="20">
        <v>703</v>
      </c>
      <c r="B711" s="21">
        <f t="shared" ca="1" si="112"/>
        <v>1.9482091599783475</v>
      </c>
      <c r="C711" s="21">
        <f t="shared" ca="1" si="117"/>
        <v>2111.1619942404259</v>
      </c>
      <c r="D711" s="21">
        <f t="shared" ca="1" si="113"/>
        <v>0.6899314128320555</v>
      </c>
      <c r="E711" s="21">
        <f t="shared" ca="1" si="120"/>
        <v>15.811284226169391</v>
      </c>
      <c r="F711" s="20" t="str">
        <f t="shared" ca="1" si="118"/>
        <v>No</v>
      </c>
      <c r="G711" s="21">
        <f t="shared" ca="1" si="114"/>
        <v>0</v>
      </c>
      <c r="H711" s="21">
        <f t="shared" ca="1" si="115"/>
        <v>2126.9732784665953</v>
      </c>
      <c r="I711" s="21">
        <f t="shared" ca="1" si="110"/>
        <v>2127.6632098794275</v>
      </c>
      <c r="J711" s="20">
        <f t="shared" ca="1" si="119"/>
        <v>6</v>
      </c>
      <c r="K711" s="20">
        <f t="shared" ca="1" si="111"/>
        <v>5</v>
      </c>
      <c r="L711" s="44">
        <f t="shared" ca="1" si="116"/>
        <v>5.5</v>
      </c>
    </row>
    <row r="712" spans="1:12" x14ac:dyDescent="0.25">
      <c r="A712" s="20">
        <v>704</v>
      </c>
      <c r="B712" s="21">
        <f t="shared" ca="1" si="112"/>
        <v>0.62158408352852412</v>
      </c>
      <c r="C712" s="21">
        <f t="shared" ca="1" si="117"/>
        <v>2111.7835783239543</v>
      </c>
      <c r="D712" s="21">
        <f t="shared" ca="1" si="113"/>
        <v>0.4025125443849033</v>
      </c>
      <c r="E712" s="21">
        <f t="shared" ca="1" si="120"/>
        <v>15.879631555473225</v>
      </c>
      <c r="F712" s="20" t="str">
        <f t="shared" ca="1" si="118"/>
        <v>No</v>
      </c>
      <c r="G712" s="21">
        <f t="shared" ca="1" si="114"/>
        <v>0</v>
      </c>
      <c r="H712" s="21">
        <f t="shared" ca="1" si="115"/>
        <v>2127.6632098794275</v>
      </c>
      <c r="I712" s="21">
        <f t="shared" ca="1" si="110"/>
        <v>2128.0657224238125</v>
      </c>
      <c r="J712" s="20">
        <f t="shared" ca="1" si="119"/>
        <v>6</v>
      </c>
      <c r="K712" s="20">
        <f t="shared" ca="1" si="111"/>
        <v>5</v>
      </c>
      <c r="L712" s="44">
        <f t="shared" ca="1" si="116"/>
        <v>5.5</v>
      </c>
    </row>
    <row r="713" spans="1:12" x14ac:dyDescent="0.25">
      <c r="A713" s="20">
        <v>705</v>
      </c>
      <c r="B713" s="21">
        <f t="shared" ca="1" si="112"/>
        <v>1.7583906731714027</v>
      </c>
      <c r="C713" s="21">
        <f t="shared" ca="1" si="117"/>
        <v>2113.5419689971259</v>
      </c>
      <c r="D713" s="21">
        <f t="shared" ca="1" si="113"/>
        <v>6.005537411146582</v>
      </c>
      <c r="E713" s="21">
        <f t="shared" ca="1" si="120"/>
        <v>14.523753426686653</v>
      </c>
      <c r="F713" s="20" t="str">
        <f t="shared" ca="1" si="118"/>
        <v>No</v>
      </c>
      <c r="G713" s="21">
        <f t="shared" ca="1" si="114"/>
        <v>0</v>
      </c>
      <c r="H713" s="21">
        <f t="shared" ca="1" si="115"/>
        <v>2128.0657224238125</v>
      </c>
      <c r="I713" s="21">
        <f t="shared" ref="I713:I776" ca="1" si="121">$H713+$D713</f>
        <v>2134.0712598349592</v>
      </c>
      <c r="J713" s="20">
        <f t="shared" ca="1" si="119"/>
        <v>6</v>
      </c>
      <c r="K713" s="20">
        <f t="shared" ref="K713:K776" ca="1" si="122">IF($I713&lt;=$C714,0,IF($I713&lt;=$C715,1,IF($I713&lt;=$C716,2,IF($I713&lt;=$C717,3,IF($I713&lt;=$C718,4,5)))))</f>
        <v>5</v>
      </c>
      <c r="L713" s="44">
        <f t="shared" ca="1" si="116"/>
        <v>5.5</v>
      </c>
    </row>
    <row r="714" spans="1:12" x14ac:dyDescent="0.25">
      <c r="A714" s="20">
        <v>706</v>
      </c>
      <c r="B714" s="21">
        <f t="shared" ref="B714:B777" ca="1" si="123">-LN(RAND())/$D$4</f>
        <v>4.2050758956223966</v>
      </c>
      <c r="C714" s="21">
        <f t="shared" ca="1" si="117"/>
        <v>2117.7470448927484</v>
      </c>
      <c r="D714" s="21">
        <f t="shared" ref="D714:D777" ca="1" si="124">-LN(RAND())/$D$6</f>
        <v>0.32428366911306034</v>
      </c>
      <c r="E714" s="21">
        <f t="shared" ca="1" si="120"/>
        <v>16.324214942210801</v>
      </c>
      <c r="F714" s="20" t="str">
        <f t="shared" ca="1" si="118"/>
        <v>No</v>
      </c>
      <c r="G714" s="21">
        <f t="shared" ref="G714:G777" ca="1" si="125">IF($I713&lt;=$C714,$C714-$I713,0)</f>
        <v>0</v>
      </c>
      <c r="H714" s="21">
        <f t="shared" ref="H714:H777" ca="1" si="126">IF($I713&lt;=$C714,$C714,$I713)</f>
        <v>2134.0712598349592</v>
      </c>
      <c r="I714" s="21">
        <f t="shared" ca="1" si="121"/>
        <v>2134.3955435040721</v>
      </c>
      <c r="J714" s="20">
        <f t="shared" ca="1" si="119"/>
        <v>6</v>
      </c>
      <c r="K714" s="20">
        <f t="shared" ca="1" si="122"/>
        <v>5</v>
      </c>
      <c r="L714" s="44">
        <f t="shared" ref="L714:L777" ca="1" si="127">(J714+K714)/2</f>
        <v>5.5</v>
      </c>
    </row>
    <row r="715" spans="1:12" x14ac:dyDescent="0.25">
      <c r="A715" s="20">
        <v>707</v>
      </c>
      <c r="B715" s="21">
        <f t="shared" ca="1" si="123"/>
        <v>3.176390124144663</v>
      </c>
      <c r="C715" s="21">
        <f t="shared" ref="C715:C778" ca="1" si="128">$C714+$B715</f>
        <v>2120.9234350168931</v>
      </c>
      <c r="D715" s="21">
        <f t="shared" ca="1" si="124"/>
        <v>0.20398218706326224</v>
      </c>
      <c r="E715" s="21">
        <f t="shared" ca="1" si="120"/>
        <v>13.472108487178957</v>
      </c>
      <c r="F715" s="20" t="str">
        <f t="shared" ref="F715:F778" ca="1" si="129">IF(E715=0,"Yes","No")</f>
        <v>No</v>
      </c>
      <c r="G715" s="21">
        <f t="shared" ca="1" si="125"/>
        <v>0</v>
      </c>
      <c r="H715" s="21">
        <f t="shared" ca="1" si="126"/>
        <v>2134.3955435040721</v>
      </c>
      <c r="I715" s="21">
        <f t="shared" ca="1" si="121"/>
        <v>2134.5995256911351</v>
      </c>
      <c r="J715" s="20">
        <f t="shared" ref="J715:J778" ca="1" si="130">IF($I714&lt;=$C715,0,$K714+1)</f>
        <v>6</v>
      </c>
      <c r="K715" s="20">
        <f t="shared" ca="1" si="122"/>
        <v>5</v>
      </c>
      <c r="L715" s="44">
        <f t="shared" ca="1" si="127"/>
        <v>5.5</v>
      </c>
    </row>
    <row r="716" spans="1:12" x14ac:dyDescent="0.25">
      <c r="A716" s="20">
        <v>708</v>
      </c>
      <c r="B716" s="21">
        <f t="shared" ca="1" si="123"/>
        <v>2.0117733131691882</v>
      </c>
      <c r="C716" s="21">
        <f t="shared" ca="1" si="128"/>
        <v>2122.9352083300623</v>
      </c>
      <c r="D716" s="21">
        <f t="shared" ca="1" si="124"/>
        <v>2.3461614264637136</v>
      </c>
      <c r="E716" s="21">
        <f t="shared" ref="E716:E779" ca="1" si="131">IF($I715&lt;=$C716,0,$I715-$C716)</f>
        <v>11.66431736107279</v>
      </c>
      <c r="F716" s="20" t="str">
        <f t="shared" ca="1" si="129"/>
        <v>No</v>
      </c>
      <c r="G716" s="21">
        <f t="shared" ca="1" si="125"/>
        <v>0</v>
      </c>
      <c r="H716" s="21">
        <f t="shared" ca="1" si="126"/>
        <v>2134.5995256911351</v>
      </c>
      <c r="I716" s="21">
        <f t="shared" ca="1" si="121"/>
        <v>2136.9456871175989</v>
      </c>
      <c r="J716" s="20">
        <f t="shared" ca="1" si="130"/>
        <v>6</v>
      </c>
      <c r="K716" s="20">
        <f t="shared" ca="1" si="122"/>
        <v>4</v>
      </c>
      <c r="L716" s="44">
        <f t="shared" ca="1" si="127"/>
        <v>5</v>
      </c>
    </row>
    <row r="717" spans="1:12" x14ac:dyDescent="0.25">
      <c r="A717" s="20">
        <v>709</v>
      </c>
      <c r="B717" s="21">
        <f t="shared" ca="1" si="123"/>
        <v>4.241243367888738</v>
      </c>
      <c r="C717" s="21">
        <f t="shared" ca="1" si="128"/>
        <v>2127.1764516979511</v>
      </c>
      <c r="D717" s="21">
        <f t="shared" ca="1" si="124"/>
        <v>1.3377812238481652</v>
      </c>
      <c r="E717" s="21">
        <f t="shared" ca="1" si="131"/>
        <v>9.7692354196478846</v>
      </c>
      <c r="F717" s="20" t="str">
        <f t="shared" ca="1" si="129"/>
        <v>No</v>
      </c>
      <c r="G717" s="21">
        <f t="shared" ca="1" si="125"/>
        <v>0</v>
      </c>
      <c r="H717" s="21">
        <f t="shared" ca="1" si="126"/>
        <v>2136.9456871175989</v>
      </c>
      <c r="I717" s="21">
        <f t="shared" ca="1" si="121"/>
        <v>2138.2834683414471</v>
      </c>
      <c r="J717" s="20">
        <f t="shared" ca="1" si="130"/>
        <v>5</v>
      </c>
      <c r="K717" s="20">
        <f t="shared" ca="1" si="122"/>
        <v>3</v>
      </c>
      <c r="L717" s="44">
        <f t="shared" ca="1" si="127"/>
        <v>4</v>
      </c>
    </row>
    <row r="718" spans="1:12" x14ac:dyDescent="0.25">
      <c r="A718" s="20">
        <v>710</v>
      </c>
      <c r="B718" s="21">
        <f t="shared" ca="1" si="123"/>
        <v>7.2559428258508127E-3</v>
      </c>
      <c r="C718" s="21">
        <f t="shared" ca="1" si="128"/>
        <v>2127.1837076407769</v>
      </c>
      <c r="D718" s="21">
        <f t="shared" ca="1" si="124"/>
        <v>1.2106993811273519</v>
      </c>
      <c r="E718" s="21">
        <f t="shared" ca="1" si="131"/>
        <v>11.099760700670231</v>
      </c>
      <c r="F718" s="20" t="str">
        <f t="shared" ca="1" si="129"/>
        <v>No</v>
      </c>
      <c r="G718" s="21">
        <f t="shared" ca="1" si="125"/>
        <v>0</v>
      </c>
      <c r="H718" s="21">
        <f t="shared" ca="1" si="126"/>
        <v>2138.2834683414471</v>
      </c>
      <c r="I718" s="21">
        <f t="shared" ca="1" si="121"/>
        <v>2139.4941677225743</v>
      </c>
      <c r="J718" s="20">
        <f t="shared" ca="1" si="130"/>
        <v>4</v>
      </c>
      <c r="K718" s="20">
        <f t="shared" ca="1" si="122"/>
        <v>2</v>
      </c>
      <c r="L718" s="44">
        <f t="shared" ca="1" si="127"/>
        <v>3</v>
      </c>
    </row>
    <row r="719" spans="1:12" x14ac:dyDescent="0.25">
      <c r="A719" s="20">
        <v>711</v>
      </c>
      <c r="B719" s="21">
        <f t="shared" ca="1" si="123"/>
        <v>2.2733823397387698</v>
      </c>
      <c r="C719" s="21">
        <f t="shared" ca="1" si="128"/>
        <v>2129.4570899805158</v>
      </c>
      <c r="D719" s="21">
        <f t="shared" ca="1" si="124"/>
        <v>5.2722592188793369</v>
      </c>
      <c r="E719" s="21">
        <f t="shared" ca="1" si="131"/>
        <v>10.0370777420585</v>
      </c>
      <c r="F719" s="20" t="str">
        <f t="shared" ca="1" si="129"/>
        <v>No</v>
      </c>
      <c r="G719" s="21">
        <f t="shared" ca="1" si="125"/>
        <v>0</v>
      </c>
      <c r="H719" s="21">
        <f t="shared" ca="1" si="126"/>
        <v>2139.4941677225743</v>
      </c>
      <c r="I719" s="21">
        <f t="shared" ca="1" si="121"/>
        <v>2144.7664269414536</v>
      </c>
      <c r="J719" s="20">
        <f t="shared" ca="1" si="130"/>
        <v>3</v>
      </c>
      <c r="K719" s="20">
        <f t="shared" ca="1" si="122"/>
        <v>1</v>
      </c>
      <c r="L719" s="44">
        <f t="shared" ca="1" si="127"/>
        <v>2</v>
      </c>
    </row>
    <row r="720" spans="1:12" x14ac:dyDescent="0.25">
      <c r="A720" s="20">
        <v>712</v>
      </c>
      <c r="B720" s="21">
        <f t="shared" ca="1" si="123"/>
        <v>2.405450919076769</v>
      </c>
      <c r="C720" s="21">
        <f t="shared" ca="1" si="128"/>
        <v>2131.8625408995927</v>
      </c>
      <c r="D720" s="21">
        <f t="shared" ca="1" si="124"/>
        <v>0.78359364154679012</v>
      </c>
      <c r="E720" s="21">
        <f t="shared" ca="1" si="131"/>
        <v>12.903886041860915</v>
      </c>
      <c r="F720" s="20" t="str">
        <f t="shared" ca="1" si="129"/>
        <v>No</v>
      </c>
      <c r="G720" s="21">
        <f t="shared" ca="1" si="125"/>
        <v>0</v>
      </c>
      <c r="H720" s="21">
        <f t="shared" ca="1" si="126"/>
        <v>2144.7664269414536</v>
      </c>
      <c r="I720" s="21">
        <f t="shared" ca="1" si="121"/>
        <v>2145.5500205830003</v>
      </c>
      <c r="J720" s="20">
        <f t="shared" ca="1" si="130"/>
        <v>2</v>
      </c>
      <c r="K720" s="20">
        <f t="shared" ca="1" si="122"/>
        <v>0</v>
      </c>
      <c r="L720" s="44">
        <f t="shared" ca="1" si="127"/>
        <v>1</v>
      </c>
    </row>
    <row r="721" spans="1:12" x14ac:dyDescent="0.25">
      <c r="A721" s="20">
        <v>713</v>
      </c>
      <c r="B721" s="21">
        <f t="shared" ca="1" si="123"/>
        <v>16.873992761916391</v>
      </c>
      <c r="C721" s="21">
        <f t="shared" ca="1" si="128"/>
        <v>2148.7365336615089</v>
      </c>
      <c r="D721" s="21">
        <f t="shared" ca="1" si="124"/>
        <v>4.4734432001030582</v>
      </c>
      <c r="E721" s="21">
        <f t="shared" ca="1" si="131"/>
        <v>0</v>
      </c>
      <c r="F721" s="20" t="str">
        <f t="shared" ca="1" si="129"/>
        <v>Yes</v>
      </c>
      <c r="G721" s="21">
        <f t="shared" ca="1" si="125"/>
        <v>3.1865130785085967</v>
      </c>
      <c r="H721" s="21">
        <f t="shared" ca="1" si="126"/>
        <v>2148.7365336615089</v>
      </c>
      <c r="I721" s="21">
        <f t="shared" ca="1" si="121"/>
        <v>2153.2099768616122</v>
      </c>
      <c r="J721" s="20">
        <f t="shared" ca="1" si="130"/>
        <v>0</v>
      </c>
      <c r="K721" s="20">
        <f t="shared" ca="1" si="122"/>
        <v>0</v>
      </c>
      <c r="L721" s="44">
        <f t="shared" ca="1" si="127"/>
        <v>0</v>
      </c>
    </row>
    <row r="722" spans="1:12" x14ac:dyDescent="0.25">
      <c r="A722" s="20">
        <v>714</v>
      </c>
      <c r="B722" s="21">
        <f t="shared" ca="1" si="123"/>
        <v>7.5392037179529696</v>
      </c>
      <c r="C722" s="21">
        <f t="shared" ca="1" si="128"/>
        <v>2156.275737379462</v>
      </c>
      <c r="D722" s="21">
        <f t="shared" ca="1" si="124"/>
        <v>2.7531289103635861</v>
      </c>
      <c r="E722" s="21">
        <f t="shared" ca="1" si="131"/>
        <v>0</v>
      </c>
      <c r="F722" s="20" t="str">
        <f t="shared" ca="1" si="129"/>
        <v>Yes</v>
      </c>
      <c r="G722" s="21">
        <f t="shared" ca="1" si="125"/>
        <v>3.065760517849867</v>
      </c>
      <c r="H722" s="21">
        <f t="shared" ca="1" si="126"/>
        <v>2156.275737379462</v>
      </c>
      <c r="I722" s="21">
        <f t="shared" ca="1" si="121"/>
        <v>2159.0288662898256</v>
      </c>
      <c r="J722" s="20">
        <f t="shared" ca="1" si="130"/>
        <v>0</v>
      </c>
      <c r="K722" s="20">
        <f t="shared" ca="1" si="122"/>
        <v>1</v>
      </c>
      <c r="L722" s="44">
        <f t="shared" ca="1" si="127"/>
        <v>0.5</v>
      </c>
    </row>
    <row r="723" spans="1:12" x14ac:dyDescent="0.25">
      <c r="A723" s="20">
        <v>715</v>
      </c>
      <c r="B723" s="21">
        <f t="shared" ca="1" si="123"/>
        <v>0.67378508020955175</v>
      </c>
      <c r="C723" s="21">
        <f t="shared" ca="1" si="128"/>
        <v>2156.9495224596717</v>
      </c>
      <c r="D723" s="21">
        <f t="shared" ca="1" si="124"/>
        <v>0.20247927700485935</v>
      </c>
      <c r="E723" s="21">
        <f t="shared" ca="1" si="131"/>
        <v>2.0793438301539027</v>
      </c>
      <c r="F723" s="20" t="str">
        <f t="shared" ca="1" si="129"/>
        <v>No</v>
      </c>
      <c r="G723" s="21">
        <f t="shared" ca="1" si="125"/>
        <v>0</v>
      </c>
      <c r="H723" s="21">
        <f t="shared" ca="1" si="126"/>
        <v>2159.0288662898256</v>
      </c>
      <c r="I723" s="21">
        <f t="shared" ca="1" si="121"/>
        <v>2159.2313455668304</v>
      </c>
      <c r="J723" s="20">
        <f t="shared" ca="1" si="130"/>
        <v>2</v>
      </c>
      <c r="K723" s="20">
        <f t="shared" ca="1" si="122"/>
        <v>1</v>
      </c>
      <c r="L723" s="44">
        <f t="shared" ca="1" si="127"/>
        <v>1.5</v>
      </c>
    </row>
    <row r="724" spans="1:12" x14ac:dyDescent="0.25">
      <c r="A724" s="20">
        <v>716</v>
      </c>
      <c r="B724" s="21">
        <f t="shared" ca="1" si="123"/>
        <v>2.2054576529249266</v>
      </c>
      <c r="C724" s="21">
        <f t="shared" ca="1" si="128"/>
        <v>2159.1549801125966</v>
      </c>
      <c r="D724" s="21">
        <f t="shared" ca="1" si="124"/>
        <v>1.1500147012864388</v>
      </c>
      <c r="E724" s="21">
        <f t="shared" ca="1" si="131"/>
        <v>7.6365454233837227E-2</v>
      </c>
      <c r="F724" s="20" t="str">
        <f t="shared" ca="1" si="129"/>
        <v>No</v>
      </c>
      <c r="G724" s="21">
        <f t="shared" ca="1" si="125"/>
        <v>0</v>
      </c>
      <c r="H724" s="21">
        <f t="shared" ca="1" si="126"/>
        <v>2159.2313455668304</v>
      </c>
      <c r="I724" s="21">
        <f t="shared" ca="1" si="121"/>
        <v>2160.3813602681171</v>
      </c>
      <c r="J724" s="20">
        <f t="shared" ca="1" si="130"/>
        <v>2</v>
      </c>
      <c r="K724" s="20">
        <f t="shared" ca="1" si="122"/>
        <v>0</v>
      </c>
      <c r="L724" s="44">
        <f t="shared" ca="1" si="127"/>
        <v>1</v>
      </c>
    </row>
    <row r="725" spans="1:12" x14ac:dyDescent="0.25">
      <c r="A725" s="20">
        <v>717</v>
      </c>
      <c r="B725" s="21">
        <f t="shared" ca="1" si="123"/>
        <v>7.3075867977271463</v>
      </c>
      <c r="C725" s="21">
        <f t="shared" ca="1" si="128"/>
        <v>2166.4625669103239</v>
      </c>
      <c r="D725" s="21">
        <f t="shared" ca="1" si="124"/>
        <v>0.35924888820863149</v>
      </c>
      <c r="E725" s="21">
        <f t="shared" ca="1" si="131"/>
        <v>0</v>
      </c>
      <c r="F725" s="20" t="str">
        <f t="shared" ca="1" si="129"/>
        <v>Yes</v>
      </c>
      <c r="G725" s="21">
        <f t="shared" ca="1" si="125"/>
        <v>6.0812066422067801</v>
      </c>
      <c r="H725" s="21">
        <f t="shared" ca="1" si="126"/>
        <v>2166.4625669103239</v>
      </c>
      <c r="I725" s="21">
        <f t="shared" ca="1" si="121"/>
        <v>2166.8218157985325</v>
      </c>
      <c r="J725" s="20">
        <f t="shared" ca="1" si="130"/>
        <v>0</v>
      </c>
      <c r="K725" s="20">
        <f t="shared" ca="1" si="122"/>
        <v>0</v>
      </c>
      <c r="L725" s="44">
        <f t="shared" ca="1" si="127"/>
        <v>0</v>
      </c>
    </row>
    <row r="726" spans="1:12" x14ac:dyDescent="0.25">
      <c r="A726" s="20">
        <v>718</v>
      </c>
      <c r="B726" s="21">
        <f t="shared" ca="1" si="123"/>
        <v>5.2943722601612011</v>
      </c>
      <c r="C726" s="21">
        <f t="shared" ca="1" si="128"/>
        <v>2171.7569391704851</v>
      </c>
      <c r="D726" s="21">
        <f t="shared" ca="1" si="124"/>
        <v>2.6511159028143991</v>
      </c>
      <c r="E726" s="21">
        <f t="shared" ca="1" si="131"/>
        <v>0</v>
      </c>
      <c r="F726" s="20" t="str">
        <f t="shared" ca="1" si="129"/>
        <v>Yes</v>
      </c>
      <c r="G726" s="21">
        <f t="shared" ca="1" si="125"/>
        <v>4.9351233719526135</v>
      </c>
      <c r="H726" s="21">
        <f t="shared" ca="1" si="126"/>
        <v>2171.7569391704851</v>
      </c>
      <c r="I726" s="21">
        <f t="shared" ca="1" si="121"/>
        <v>2174.4080550732997</v>
      </c>
      <c r="J726" s="20">
        <f t="shared" ca="1" si="130"/>
        <v>0</v>
      </c>
      <c r="K726" s="20">
        <f t="shared" ca="1" si="122"/>
        <v>1</v>
      </c>
      <c r="L726" s="44">
        <f t="shared" ca="1" si="127"/>
        <v>0.5</v>
      </c>
    </row>
    <row r="727" spans="1:12" x14ac:dyDescent="0.25">
      <c r="A727" s="20">
        <v>719</v>
      </c>
      <c r="B727" s="21">
        <f t="shared" ca="1" si="123"/>
        <v>1.1089506046476405</v>
      </c>
      <c r="C727" s="21">
        <f t="shared" ca="1" si="128"/>
        <v>2172.8658897751329</v>
      </c>
      <c r="D727" s="21">
        <f t="shared" ca="1" si="124"/>
        <v>2.1256928181081296</v>
      </c>
      <c r="E727" s="21">
        <f t="shared" ca="1" si="131"/>
        <v>1.5421652981667648</v>
      </c>
      <c r="F727" s="20" t="str">
        <f t="shared" ca="1" si="129"/>
        <v>No</v>
      </c>
      <c r="G727" s="21">
        <f t="shared" ca="1" si="125"/>
        <v>0</v>
      </c>
      <c r="H727" s="21">
        <f t="shared" ca="1" si="126"/>
        <v>2174.4080550732997</v>
      </c>
      <c r="I727" s="21">
        <f t="shared" ca="1" si="121"/>
        <v>2176.533747891408</v>
      </c>
      <c r="J727" s="20">
        <f t="shared" ca="1" si="130"/>
        <v>2</v>
      </c>
      <c r="K727" s="20">
        <f t="shared" ca="1" si="122"/>
        <v>0</v>
      </c>
      <c r="L727" s="44">
        <f t="shared" ca="1" si="127"/>
        <v>1</v>
      </c>
    </row>
    <row r="728" spans="1:12" x14ac:dyDescent="0.25">
      <c r="A728" s="20">
        <v>720</v>
      </c>
      <c r="B728" s="21">
        <f t="shared" ca="1" si="123"/>
        <v>7.7727282797254666</v>
      </c>
      <c r="C728" s="21">
        <f t="shared" ca="1" si="128"/>
        <v>2180.6386180548584</v>
      </c>
      <c r="D728" s="21">
        <f t="shared" ca="1" si="124"/>
        <v>3.5755557698027132</v>
      </c>
      <c r="E728" s="21">
        <f t="shared" ca="1" si="131"/>
        <v>0</v>
      </c>
      <c r="F728" s="20" t="str">
        <f t="shared" ca="1" si="129"/>
        <v>Yes</v>
      </c>
      <c r="G728" s="21">
        <f t="shared" ca="1" si="125"/>
        <v>4.1048701634504141</v>
      </c>
      <c r="H728" s="21">
        <f t="shared" ca="1" si="126"/>
        <v>2180.6386180548584</v>
      </c>
      <c r="I728" s="21">
        <f t="shared" ca="1" si="121"/>
        <v>2184.214173824661</v>
      </c>
      <c r="J728" s="20">
        <f t="shared" ca="1" si="130"/>
        <v>0</v>
      </c>
      <c r="K728" s="20">
        <f t="shared" ca="1" si="122"/>
        <v>1</v>
      </c>
      <c r="L728" s="44">
        <f t="shared" ca="1" si="127"/>
        <v>0.5</v>
      </c>
    </row>
    <row r="729" spans="1:12" x14ac:dyDescent="0.25">
      <c r="A729" s="20">
        <v>721</v>
      </c>
      <c r="B729" s="21">
        <f t="shared" ca="1" si="123"/>
        <v>0.69801060334722453</v>
      </c>
      <c r="C729" s="21">
        <f t="shared" ca="1" si="128"/>
        <v>2181.3366286582054</v>
      </c>
      <c r="D729" s="21">
        <f t="shared" ca="1" si="124"/>
        <v>0.15565205814989322</v>
      </c>
      <c r="E729" s="21">
        <f t="shared" ca="1" si="131"/>
        <v>2.8775451664555476</v>
      </c>
      <c r="F729" s="20" t="str">
        <f t="shared" ca="1" si="129"/>
        <v>No</v>
      </c>
      <c r="G729" s="21">
        <f t="shared" ca="1" si="125"/>
        <v>0</v>
      </c>
      <c r="H729" s="21">
        <f t="shared" ca="1" si="126"/>
        <v>2184.214173824661</v>
      </c>
      <c r="I729" s="21">
        <f t="shared" ca="1" si="121"/>
        <v>2184.3698258828108</v>
      </c>
      <c r="J729" s="20">
        <f t="shared" ca="1" si="130"/>
        <v>2</v>
      </c>
      <c r="K729" s="20">
        <f t="shared" ca="1" si="122"/>
        <v>0</v>
      </c>
      <c r="L729" s="44">
        <f t="shared" ca="1" si="127"/>
        <v>1</v>
      </c>
    </row>
    <row r="730" spans="1:12" x14ac:dyDescent="0.25">
      <c r="A730" s="20">
        <v>722</v>
      </c>
      <c r="B730" s="21">
        <f t="shared" ca="1" si="123"/>
        <v>16.045786577324673</v>
      </c>
      <c r="C730" s="21">
        <f t="shared" ca="1" si="128"/>
        <v>2197.3824152355301</v>
      </c>
      <c r="D730" s="21">
        <f t="shared" ca="1" si="124"/>
        <v>1.2062727194028315</v>
      </c>
      <c r="E730" s="21">
        <f t="shared" ca="1" si="131"/>
        <v>0</v>
      </c>
      <c r="F730" s="20" t="str">
        <f t="shared" ca="1" si="129"/>
        <v>Yes</v>
      </c>
      <c r="G730" s="21">
        <f t="shared" ca="1" si="125"/>
        <v>13.01258935271926</v>
      </c>
      <c r="H730" s="21">
        <f t="shared" ca="1" si="126"/>
        <v>2197.3824152355301</v>
      </c>
      <c r="I730" s="21">
        <f t="shared" ca="1" si="121"/>
        <v>2198.588687954933</v>
      </c>
      <c r="J730" s="20">
        <f t="shared" ca="1" si="130"/>
        <v>0</v>
      </c>
      <c r="K730" s="20">
        <f t="shared" ca="1" si="122"/>
        <v>0</v>
      </c>
      <c r="L730" s="44">
        <f t="shared" ca="1" si="127"/>
        <v>0</v>
      </c>
    </row>
    <row r="731" spans="1:12" x14ac:dyDescent="0.25">
      <c r="A731" s="20">
        <v>723</v>
      </c>
      <c r="B731" s="21">
        <f t="shared" ca="1" si="123"/>
        <v>2.7116021553379799</v>
      </c>
      <c r="C731" s="21">
        <f t="shared" ca="1" si="128"/>
        <v>2200.094017390868</v>
      </c>
      <c r="D731" s="21">
        <f t="shared" ca="1" si="124"/>
        <v>7.8266106620366456</v>
      </c>
      <c r="E731" s="21">
        <f t="shared" ca="1" si="131"/>
        <v>0</v>
      </c>
      <c r="F731" s="20" t="str">
        <f t="shared" ca="1" si="129"/>
        <v>Yes</v>
      </c>
      <c r="G731" s="21">
        <f t="shared" ca="1" si="125"/>
        <v>1.505329435934982</v>
      </c>
      <c r="H731" s="21">
        <f t="shared" ca="1" si="126"/>
        <v>2200.094017390868</v>
      </c>
      <c r="I731" s="21">
        <f t="shared" ca="1" si="121"/>
        <v>2207.9206280529047</v>
      </c>
      <c r="J731" s="20">
        <f t="shared" ca="1" si="130"/>
        <v>0</v>
      </c>
      <c r="K731" s="20">
        <f t="shared" ca="1" si="122"/>
        <v>2</v>
      </c>
      <c r="L731" s="44">
        <f t="shared" ca="1" si="127"/>
        <v>1</v>
      </c>
    </row>
    <row r="732" spans="1:12" x14ac:dyDescent="0.25">
      <c r="A732" s="20">
        <v>724</v>
      </c>
      <c r="B732" s="21">
        <f t="shared" ca="1" si="123"/>
        <v>6.439708806603214</v>
      </c>
      <c r="C732" s="21">
        <f t="shared" ca="1" si="128"/>
        <v>2206.533726197471</v>
      </c>
      <c r="D732" s="21">
        <f t="shared" ca="1" si="124"/>
        <v>2.1172283563403114</v>
      </c>
      <c r="E732" s="21">
        <f t="shared" ca="1" si="131"/>
        <v>1.3869018554337345</v>
      </c>
      <c r="F732" s="20" t="str">
        <f t="shared" ca="1" si="129"/>
        <v>No</v>
      </c>
      <c r="G732" s="21">
        <f t="shared" ca="1" si="125"/>
        <v>0</v>
      </c>
      <c r="H732" s="21">
        <f t="shared" ca="1" si="126"/>
        <v>2207.9206280529047</v>
      </c>
      <c r="I732" s="21">
        <f t="shared" ca="1" si="121"/>
        <v>2210.0378564092448</v>
      </c>
      <c r="J732" s="20">
        <f t="shared" ca="1" si="130"/>
        <v>3</v>
      </c>
      <c r="K732" s="20">
        <f t="shared" ca="1" si="122"/>
        <v>1</v>
      </c>
      <c r="L732" s="44">
        <f t="shared" ca="1" si="127"/>
        <v>2</v>
      </c>
    </row>
    <row r="733" spans="1:12" x14ac:dyDescent="0.25">
      <c r="A733" s="20">
        <v>725</v>
      </c>
      <c r="B733" s="21">
        <f t="shared" ca="1" si="123"/>
        <v>1.339972583304148</v>
      </c>
      <c r="C733" s="21">
        <f t="shared" ca="1" si="128"/>
        <v>2207.8736987807752</v>
      </c>
      <c r="D733" s="21">
        <f t="shared" ca="1" si="124"/>
        <v>1.4131793048125256</v>
      </c>
      <c r="E733" s="21">
        <f t="shared" ca="1" si="131"/>
        <v>2.1641576284696384</v>
      </c>
      <c r="F733" s="20" t="str">
        <f t="shared" ca="1" si="129"/>
        <v>No</v>
      </c>
      <c r="G733" s="21">
        <f t="shared" ca="1" si="125"/>
        <v>0</v>
      </c>
      <c r="H733" s="21">
        <f t="shared" ca="1" si="126"/>
        <v>2210.0378564092448</v>
      </c>
      <c r="I733" s="21">
        <f t="shared" ca="1" si="121"/>
        <v>2211.4510357140575</v>
      </c>
      <c r="J733" s="20">
        <f t="shared" ca="1" si="130"/>
        <v>2</v>
      </c>
      <c r="K733" s="20">
        <f t="shared" ca="1" si="122"/>
        <v>0</v>
      </c>
      <c r="L733" s="44">
        <f t="shared" ca="1" si="127"/>
        <v>1</v>
      </c>
    </row>
    <row r="734" spans="1:12" x14ac:dyDescent="0.25">
      <c r="A734" s="20">
        <v>726</v>
      </c>
      <c r="B734" s="21">
        <f t="shared" ca="1" si="123"/>
        <v>5.4483588588568272</v>
      </c>
      <c r="C734" s="21">
        <f t="shared" ca="1" si="128"/>
        <v>2213.322057639632</v>
      </c>
      <c r="D734" s="21">
        <f t="shared" ca="1" si="124"/>
        <v>1.7258583178816285</v>
      </c>
      <c r="E734" s="21">
        <f t="shared" ca="1" si="131"/>
        <v>0</v>
      </c>
      <c r="F734" s="20" t="str">
        <f t="shared" ca="1" si="129"/>
        <v>Yes</v>
      </c>
      <c r="G734" s="21">
        <f t="shared" ca="1" si="125"/>
        <v>1.871021925574496</v>
      </c>
      <c r="H734" s="21">
        <f t="shared" ca="1" si="126"/>
        <v>2213.322057639632</v>
      </c>
      <c r="I734" s="21">
        <f t="shared" ca="1" si="121"/>
        <v>2215.0479159575139</v>
      </c>
      <c r="J734" s="20">
        <f t="shared" ca="1" si="130"/>
        <v>0</v>
      </c>
      <c r="K734" s="20">
        <f t="shared" ca="1" si="122"/>
        <v>0</v>
      </c>
      <c r="L734" s="44">
        <f t="shared" ca="1" si="127"/>
        <v>0</v>
      </c>
    </row>
    <row r="735" spans="1:12" x14ac:dyDescent="0.25">
      <c r="A735" s="20">
        <v>727</v>
      </c>
      <c r="B735" s="21">
        <f t="shared" ca="1" si="123"/>
        <v>5.6350296206501795</v>
      </c>
      <c r="C735" s="21">
        <f t="shared" ca="1" si="128"/>
        <v>2218.9570872602822</v>
      </c>
      <c r="D735" s="21">
        <f t="shared" ca="1" si="124"/>
        <v>0.68932752644713391</v>
      </c>
      <c r="E735" s="21">
        <f t="shared" ca="1" si="131"/>
        <v>0</v>
      </c>
      <c r="F735" s="20" t="str">
        <f t="shared" ca="1" si="129"/>
        <v>Yes</v>
      </c>
      <c r="G735" s="21">
        <f t="shared" ca="1" si="125"/>
        <v>3.9091713027682999</v>
      </c>
      <c r="H735" s="21">
        <f t="shared" ca="1" si="126"/>
        <v>2218.9570872602822</v>
      </c>
      <c r="I735" s="21">
        <f t="shared" ca="1" si="121"/>
        <v>2219.6464147867291</v>
      </c>
      <c r="J735" s="20">
        <f t="shared" ca="1" si="130"/>
        <v>0</v>
      </c>
      <c r="K735" s="20">
        <f t="shared" ca="1" si="122"/>
        <v>1</v>
      </c>
      <c r="L735" s="44">
        <f t="shared" ca="1" si="127"/>
        <v>0.5</v>
      </c>
    </row>
    <row r="736" spans="1:12" x14ac:dyDescent="0.25">
      <c r="A736" s="20">
        <v>728</v>
      </c>
      <c r="B736" s="21">
        <f t="shared" ca="1" si="123"/>
        <v>0.56784797842358747</v>
      </c>
      <c r="C736" s="21">
        <f t="shared" ca="1" si="128"/>
        <v>2219.5249352387059</v>
      </c>
      <c r="D736" s="21">
        <f t="shared" ca="1" si="124"/>
        <v>2.6359052952266926</v>
      </c>
      <c r="E736" s="21">
        <f t="shared" ca="1" si="131"/>
        <v>0.12147954802321692</v>
      </c>
      <c r="F736" s="20" t="str">
        <f t="shared" ca="1" si="129"/>
        <v>No</v>
      </c>
      <c r="G736" s="21">
        <f t="shared" ca="1" si="125"/>
        <v>0</v>
      </c>
      <c r="H736" s="21">
        <f t="shared" ca="1" si="126"/>
        <v>2219.6464147867291</v>
      </c>
      <c r="I736" s="21">
        <f t="shared" ca="1" si="121"/>
        <v>2222.2823200819557</v>
      </c>
      <c r="J736" s="20">
        <f t="shared" ca="1" si="130"/>
        <v>2</v>
      </c>
      <c r="K736" s="20">
        <f t="shared" ca="1" si="122"/>
        <v>1</v>
      </c>
      <c r="L736" s="44">
        <f t="shared" ca="1" si="127"/>
        <v>1.5</v>
      </c>
    </row>
    <row r="737" spans="1:12" x14ac:dyDescent="0.25">
      <c r="A737" s="20">
        <v>729</v>
      </c>
      <c r="B737" s="21">
        <f t="shared" ca="1" si="123"/>
        <v>1.6429262049024642</v>
      </c>
      <c r="C737" s="21">
        <f t="shared" ca="1" si="128"/>
        <v>2221.1678614436082</v>
      </c>
      <c r="D737" s="21">
        <f t="shared" ca="1" si="124"/>
        <v>6.481749905024472</v>
      </c>
      <c r="E737" s="21">
        <f t="shared" ca="1" si="131"/>
        <v>1.1144586383475144</v>
      </c>
      <c r="F737" s="20" t="str">
        <f t="shared" ca="1" si="129"/>
        <v>No</v>
      </c>
      <c r="G737" s="21">
        <f t="shared" ca="1" si="125"/>
        <v>0</v>
      </c>
      <c r="H737" s="21">
        <f t="shared" ca="1" si="126"/>
        <v>2222.2823200819557</v>
      </c>
      <c r="I737" s="21">
        <f t="shared" ca="1" si="121"/>
        <v>2228.7640699869803</v>
      </c>
      <c r="J737" s="20">
        <f t="shared" ca="1" si="130"/>
        <v>2</v>
      </c>
      <c r="K737" s="20">
        <f t="shared" ca="1" si="122"/>
        <v>1</v>
      </c>
      <c r="L737" s="44">
        <f t="shared" ca="1" si="127"/>
        <v>1.5</v>
      </c>
    </row>
    <row r="738" spans="1:12" x14ac:dyDescent="0.25">
      <c r="A738" s="20">
        <v>730</v>
      </c>
      <c r="B738" s="21">
        <f t="shared" ca="1" si="123"/>
        <v>2.4975389895683131</v>
      </c>
      <c r="C738" s="21">
        <f t="shared" ca="1" si="128"/>
        <v>2223.6654004331767</v>
      </c>
      <c r="D738" s="21">
        <f t="shared" ca="1" si="124"/>
        <v>2.2409005605066201</v>
      </c>
      <c r="E738" s="21">
        <f t="shared" ca="1" si="131"/>
        <v>5.0986695538035747</v>
      </c>
      <c r="F738" s="20" t="str">
        <f t="shared" ca="1" si="129"/>
        <v>No</v>
      </c>
      <c r="G738" s="21">
        <f t="shared" ca="1" si="125"/>
        <v>0</v>
      </c>
      <c r="H738" s="21">
        <f t="shared" ca="1" si="126"/>
        <v>2228.7640699869803</v>
      </c>
      <c r="I738" s="21">
        <f t="shared" ca="1" si="121"/>
        <v>2231.0049705474871</v>
      </c>
      <c r="J738" s="20">
        <f t="shared" ca="1" si="130"/>
        <v>2</v>
      </c>
      <c r="K738" s="20">
        <f t="shared" ca="1" si="122"/>
        <v>1</v>
      </c>
      <c r="L738" s="44">
        <f t="shared" ca="1" si="127"/>
        <v>1.5</v>
      </c>
    </row>
    <row r="739" spans="1:12" x14ac:dyDescent="0.25">
      <c r="A739" s="20">
        <v>731</v>
      </c>
      <c r="B739" s="21">
        <f t="shared" ca="1" si="123"/>
        <v>6.5899383930331661</v>
      </c>
      <c r="C739" s="21">
        <f t="shared" ca="1" si="128"/>
        <v>2230.2553388262099</v>
      </c>
      <c r="D739" s="21">
        <f t="shared" ca="1" si="124"/>
        <v>1.8831382200555524</v>
      </c>
      <c r="E739" s="21">
        <f t="shared" ca="1" si="131"/>
        <v>0.74963172127718281</v>
      </c>
      <c r="F739" s="20" t="str">
        <f t="shared" ca="1" si="129"/>
        <v>No</v>
      </c>
      <c r="G739" s="21">
        <f t="shared" ca="1" si="125"/>
        <v>0</v>
      </c>
      <c r="H739" s="21">
        <f t="shared" ca="1" si="126"/>
        <v>2231.0049705474871</v>
      </c>
      <c r="I739" s="21">
        <f t="shared" ca="1" si="121"/>
        <v>2232.8881087675427</v>
      </c>
      <c r="J739" s="20">
        <f t="shared" ca="1" si="130"/>
        <v>2</v>
      </c>
      <c r="K739" s="20">
        <f t="shared" ca="1" si="122"/>
        <v>0</v>
      </c>
      <c r="L739" s="44">
        <f t="shared" ca="1" si="127"/>
        <v>1</v>
      </c>
    </row>
    <row r="740" spans="1:12" x14ac:dyDescent="0.25">
      <c r="A740" s="20">
        <v>732</v>
      </c>
      <c r="B740" s="21">
        <f t="shared" ca="1" si="123"/>
        <v>2.8870144564513214</v>
      </c>
      <c r="C740" s="21">
        <f t="shared" ca="1" si="128"/>
        <v>2233.1423532826611</v>
      </c>
      <c r="D740" s="21">
        <f t="shared" ca="1" si="124"/>
        <v>8.4381400043782584</v>
      </c>
      <c r="E740" s="21">
        <f t="shared" ca="1" si="131"/>
        <v>0</v>
      </c>
      <c r="F740" s="20" t="str">
        <f t="shared" ca="1" si="129"/>
        <v>Yes</v>
      </c>
      <c r="G740" s="21">
        <f t="shared" ca="1" si="125"/>
        <v>0.25424451511844381</v>
      </c>
      <c r="H740" s="21">
        <f t="shared" ca="1" si="126"/>
        <v>2233.1423532826611</v>
      </c>
      <c r="I740" s="21">
        <f t="shared" ca="1" si="121"/>
        <v>2241.5804932870392</v>
      </c>
      <c r="J740" s="20">
        <f t="shared" ca="1" si="130"/>
        <v>0</v>
      </c>
      <c r="K740" s="20">
        <f t="shared" ca="1" si="122"/>
        <v>2</v>
      </c>
      <c r="L740" s="44">
        <f t="shared" ca="1" si="127"/>
        <v>1</v>
      </c>
    </row>
    <row r="741" spans="1:12" x14ac:dyDescent="0.25">
      <c r="A741" s="20">
        <v>733</v>
      </c>
      <c r="B741" s="21">
        <f t="shared" ca="1" si="123"/>
        <v>0.70386539619241628</v>
      </c>
      <c r="C741" s="21">
        <f t="shared" ca="1" si="128"/>
        <v>2233.8462186788533</v>
      </c>
      <c r="D741" s="21">
        <f t="shared" ca="1" si="124"/>
        <v>1.5848651992282048</v>
      </c>
      <c r="E741" s="21">
        <f t="shared" ca="1" si="131"/>
        <v>7.7342746081858422</v>
      </c>
      <c r="F741" s="20" t="str">
        <f t="shared" ca="1" si="129"/>
        <v>No</v>
      </c>
      <c r="G741" s="21">
        <f t="shared" ca="1" si="125"/>
        <v>0</v>
      </c>
      <c r="H741" s="21">
        <f t="shared" ca="1" si="126"/>
        <v>2241.5804932870392</v>
      </c>
      <c r="I741" s="21">
        <f t="shared" ca="1" si="121"/>
        <v>2243.1653584862675</v>
      </c>
      <c r="J741" s="20">
        <f t="shared" ca="1" si="130"/>
        <v>3</v>
      </c>
      <c r="K741" s="20">
        <f t="shared" ca="1" si="122"/>
        <v>2</v>
      </c>
      <c r="L741" s="44">
        <f t="shared" ca="1" si="127"/>
        <v>2.5</v>
      </c>
    </row>
    <row r="742" spans="1:12" x14ac:dyDescent="0.25">
      <c r="A742" s="20">
        <v>734</v>
      </c>
      <c r="B742" s="21">
        <f t="shared" ca="1" si="123"/>
        <v>1.6280568403416338</v>
      </c>
      <c r="C742" s="21">
        <f t="shared" ca="1" si="128"/>
        <v>2235.4742755191951</v>
      </c>
      <c r="D742" s="21">
        <f t="shared" ca="1" si="124"/>
        <v>1.6245221126941922</v>
      </c>
      <c r="E742" s="21">
        <f t="shared" ca="1" si="131"/>
        <v>7.6910829670723615</v>
      </c>
      <c r="F742" s="20" t="str">
        <f t="shared" ca="1" si="129"/>
        <v>No</v>
      </c>
      <c r="G742" s="21">
        <f t="shared" ca="1" si="125"/>
        <v>0</v>
      </c>
      <c r="H742" s="21">
        <f t="shared" ca="1" si="126"/>
        <v>2243.1653584862675</v>
      </c>
      <c r="I742" s="21">
        <f t="shared" ca="1" si="121"/>
        <v>2244.7898805989616</v>
      </c>
      <c r="J742" s="20">
        <f t="shared" ca="1" si="130"/>
        <v>3</v>
      </c>
      <c r="K742" s="20">
        <f t="shared" ca="1" si="122"/>
        <v>1</v>
      </c>
      <c r="L742" s="44">
        <f t="shared" ca="1" si="127"/>
        <v>2</v>
      </c>
    </row>
    <row r="743" spans="1:12" x14ac:dyDescent="0.25">
      <c r="A743" s="20">
        <v>735</v>
      </c>
      <c r="B743" s="21">
        <f t="shared" ca="1" si="123"/>
        <v>6.5135939830342355</v>
      </c>
      <c r="C743" s="21">
        <f t="shared" ca="1" si="128"/>
        <v>2241.9878695022294</v>
      </c>
      <c r="D743" s="21">
        <f t="shared" ca="1" si="124"/>
        <v>1.3672877954614864</v>
      </c>
      <c r="E743" s="21">
        <f t="shared" ca="1" si="131"/>
        <v>2.802011096732258</v>
      </c>
      <c r="F743" s="20" t="str">
        <f t="shared" ca="1" si="129"/>
        <v>No</v>
      </c>
      <c r="G743" s="21">
        <f t="shared" ca="1" si="125"/>
        <v>0</v>
      </c>
      <c r="H743" s="21">
        <f t="shared" ca="1" si="126"/>
        <v>2244.7898805989616</v>
      </c>
      <c r="I743" s="21">
        <f t="shared" ca="1" si="121"/>
        <v>2246.157168394423</v>
      </c>
      <c r="J743" s="20">
        <f t="shared" ca="1" si="130"/>
        <v>2</v>
      </c>
      <c r="K743" s="20">
        <f t="shared" ca="1" si="122"/>
        <v>0</v>
      </c>
      <c r="L743" s="44">
        <f t="shared" ca="1" si="127"/>
        <v>1</v>
      </c>
    </row>
    <row r="744" spans="1:12" x14ac:dyDescent="0.25">
      <c r="A744" s="20">
        <v>736</v>
      </c>
      <c r="B744" s="21">
        <f t="shared" ca="1" si="123"/>
        <v>7.3656870801010079</v>
      </c>
      <c r="C744" s="21">
        <f t="shared" ca="1" si="128"/>
        <v>2249.3535565823304</v>
      </c>
      <c r="D744" s="21">
        <f t="shared" ca="1" si="124"/>
        <v>0.32057550390564682</v>
      </c>
      <c r="E744" s="21">
        <f t="shared" ca="1" si="131"/>
        <v>0</v>
      </c>
      <c r="F744" s="20" t="str">
        <f t="shared" ca="1" si="129"/>
        <v>Yes</v>
      </c>
      <c r="G744" s="21">
        <f t="shared" ca="1" si="125"/>
        <v>3.1963881879073597</v>
      </c>
      <c r="H744" s="21">
        <f t="shared" ca="1" si="126"/>
        <v>2249.3535565823304</v>
      </c>
      <c r="I744" s="21">
        <f t="shared" ca="1" si="121"/>
        <v>2249.6741320862361</v>
      </c>
      <c r="J744" s="20">
        <f t="shared" ca="1" si="130"/>
        <v>0</v>
      </c>
      <c r="K744" s="20">
        <f t="shared" ca="1" si="122"/>
        <v>0</v>
      </c>
      <c r="L744" s="44">
        <f t="shared" ca="1" si="127"/>
        <v>0</v>
      </c>
    </row>
    <row r="745" spans="1:12" x14ac:dyDescent="0.25">
      <c r="A745" s="20">
        <v>737</v>
      </c>
      <c r="B745" s="21">
        <f t="shared" ca="1" si="123"/>
        <v>16.174814138524251</v>
      </c>
      <c r="C745" s="21">
        <f t="shared" ca="1" si="128"/>
        <v>2265.5283707208546</v>
      </c>
      <c r="D745" s="21">
        <f t="shared" ca="1" si="124"/>
        <v>5.1056948631011911</v>
      </c>
      <c r="E745" s="21">
        <f t="shared" ca="1" si="131"/>
        <v>0</v>
      </c>
      <c r="F745" s="20" t="str">
        <f t="shared" ca="1" si="129"/>
        <v>Yes</v>
      </c>
      <c r="G745" s="21">
        <f t="shared" ca="1" si="125"/>
        <v>15.854238634618468</v>
      </c>
      <c r="H745" s="21">
        <f t="shared" ca="1" si="126"/>
        <v>2265.5283707208546</v>
      </c>
      <c r="I745" s="21">
        <f t="shared" ca="1" si="121"/>
        <v>2270.6340655839558</v>
      </c>
      <c r="J745" s="20">
        <f t="shared" ca="1" si="130"/>
        <v>0</v>
      </c>
      <c r="K745" s="20">
        <f t="shared" ca="1" si="122"/>
        <v>2</v>
      </c>
      <c r="L745" s="44">
        <f t="shared" ca="1" si="127"/>
        <v>1</v>
      </c>
    </row>
    <row r="746" spans="1:12" x14ac:dyDescent="0.25">
      <c r="A746" s="20">
        <v>738</v>
      </c>
      <c r="B746" s="21">
        <f t="shared" ca="1" si="123"/>
        <v>3.1933253886840891</v>
      </c>
      <c r="C746" s="21">
        <f t="shared" ca="1" si="128"/>
        <v>2268.7216961095387</v>
      </c>
      <c r="D746" s="21">
        <f t="shared" ca="1" si="124"/>
        <v>2.7964598106523595</v>
      </c>
      <c r="E746" s="21">
        <f t="shared" ca="1" si="131"/>
        <v>1.9123694744171189</v>
      </c>
      <c r="F746" s="20" t="str">
        <f t="shared" ca="1" si="129"/>
        <v>No</v>
      </c>
      <c r="G746" s="21">
        <f t="shared" ca="1" si="125"/>
        <v>0</v>
      </c>
      <c r="H746" s="21">
        <f t="shared" ca="1" si="126"/>
        <v>2270.6340655839558</v>
      </c>
      <c r="I746" s="21">
        <f t="shared" ca="1" si="121"/>
        <v>2273.4305253946081</v>
      </c>
      <c r="J746" s="20">
        <f t="shared" ca="1" si="130"/>
        <v>3</v>
      </c>
      <c r="K746" s="20">
        <f t="shared" ca="1" si="122"/>
        <v>3</v>
      </c>
      <c r="L746" s="44">
        <f t="shared" ca="1" si="127"/>
        <v>3</v>
      </c>
    </row>
    <row r="747" spans="1:12" x14ac:dyDescent="0.25">
      <c r="A747" s="20">
        <v>739</v>
      </c>
      <c r="B747" s="21">
        <f t="shared" ca="1" si="123"/>
        <v>1.0612893584319103</v>
      </c>
      <c r="C747" s="21">
        <f t="shared" ca="1" si="128"/>
        <v>2269.7829854679708</v>
      </c>
      <c r="D747" s="21">
        <f t="shared" ca="1" si="124"/>
        <v>3.7093962812691204</v>
      </c>
      <c r="E747" s="21">
        <f t="shared" ca="1" si="131"/>
        <v>3.6475399266373643</v>
      </c>
      <c r="F747" s="20" t="str">
        <f t="shared" ca="1" si="129"/>
        <v>No</v>
      </c>
      <c r="G747" s="21">
        <f t="shared" ca="1" si="125"/>
        <v>0</v>
      </c>
      <c r="H747" s="21">
        <f t="shared" ca="1" si="126"/>
        <v>2273.4305253946081</v>
      </c>
      <c r="I747" s="21">
        <f t="shared" ca="1" si="121"/>
        <v>2277.1399216758773</v>
      </c>
      <c r="J747" s="20">
        <f t="shared" ca="1" si="130"/>
        <v>4</v>
      </c>
      <c r="K747" s="20">
        <f t="shared" ca="1" si="122"/>
        <v>3</v>
      </c>
      <c r="L747" s="44">
        <f t="shared" ca="1" si="127"/>
        <v>3.5</v>
      </c>
    </row>
    <row r="748" spans="1:12" x14ac:dyDescent="0.25">
      <c r="A748" s="20">
        <v>740</v>
      </c>
      <c r="B748" s="21">
        <f t="shared" ca="1" si="123"/>
        <v>3.0101101769518634</v>
      </c>
      <c r="C748" s="21">
        <f t="shared" ca="1" si="128"/>
        <v>2272.7930956449227</v>
      </c>
      <c r="D748" s="21">
        <f t="shared" ca="1" si="124"/>
        <v>1.5201553851574363</v>
      </c>
      <c r="E748" s="21">
        <f t="shared" ca="1" si="131"/>
        <v>4.3468260309546167</v>
      </c>
      <c r="F748" s="20" t="str">
        <f t="shared" ca="1" si="129"/>
        <v>No</v>
      </c>
      <c r="G748" s="21">
        <f t="shared" ca="1" si="125"/>
        <v>0</v>
      </c>
      <c r="H748" s="21">
        <f t="shared" ca="1" si="126"/>
        <v>2277.1399216758773</v>
      </c>
      <c r="I748" s="21">
        <f t="shared" ca="1" si="121"/>
        <v>2278.6600770610348</v>
      </c>
      <c r="J748" s="20">
        <f t="shared" ca="1" si="130"/>
        <v>4</v>
      </c>
      <c r="K748" s="20">
        <f t="shared" ca="1" si="122"/>
        <v>2</v>
      </c>
      <c r="L748" s="44">
        <f t="shared" ca="1" si="127"/>
        <v>3</v>
      </c>
    </row>
    <row r="749" spans="1:12" x14ac:dyDescent="0.25">
      <c r="A749" s="20">
        <v>741</v>
      </c>
      <c r="B749" s="21">
        <f t="shared" ca="1" si="123"/>
        <v>0.52927092169418277</v>
      </c>
      <c r="C749" s="21">
        <f t="shared" ca="1" si="128"/>
        <v>2273.3223665666169</v>
      </c>
      <c r="D749" s="21">
        <f t="shared" ca="1" si="124"/>
        <v>1.0714372932484821</v>
      </c>
      <c r="E749" s="21">
        <f t="shared" ca="1" si="131"/>
        <v>5.3377104944179337</v>
      </c>
      <c r="F749" s="20" t="str">
        <f t="shared" ca="1" si="129"/>
        <v>No</v>
      </c>
      <c r="G749" s="21">
        <f t="shared" ca="1" si="125"/>
        <v>0</v>
      </c>
      <c r="H749" s="21">
        <f t="shared" ca="1" si="126"/>
        <v>2278.6600770610348</v>
      </c>
      <c r="I749" s="21">
        <f t="shared" ca="1" si="121"/>
        <v>2279.7315143542833</v>
      </c>
      <c r="J749" s="20">
        <f t="shared" ca="1" si="130"/>
        <v>3</v>
      </c>
      <c r="K749" s="20">
        <f t="shared" ca="1" si="122"/>
        <v>1</v>
      </c>
      <c r="L749" s="44">
        <f t="shared" ca="1" si="127"/>
        <v>2</v>
      </c>
    </row>
    <row r="750" spans="1:12" x14ac:dyDescent="0.25">
      <c r="A750" s="20">
        <v>742</v>
      </c>
      <c r="B750" s="21">
        <f t="shared" ca="1" si="123"/>
        <v>2.82403849371223</v>
      </c>
      <c r="C750" s="21">
        <f t="shared" ca="1" si="128"/>
        <v>2276.146405060329</v>
      </c>
      <c r="D750" s="21">
        <f t="shared" ca="1" si="124"/>
        <v>3.3638696300362425</v>
      </c>
      <c r="E750" s="21">
        <f t="shared" ca="1" si="131"/>
        <v>3.5851092939542468</v>
      </c>
      <c r="F750" s="20" t="str">
        <f t="shared" ca="1" si="129"/>
        <v>No</v>
      </c>
      <c r="G750" s="21">
        <f t="shared" ca="1" si="125"/>
        <v>0</v>
      </c>
      <c r="H750" s="21">
        <f t="shared" ca="1" si="126"/>
        <v>2279.7315143542833</v>
      </c>
      <c r="I750" s="21">
        <f t="shared" ca="1" si="121"/>
        <v>2283.0953839843196</v>
      </c>
      <c r="J750" s="20">
        <f t="shared" ca="1" si="130"/>
        <v>2</v>
      </c>
      <c r="K750" s="20">
        <f t="shared" ca="1" si="122"/>
        <v>3</v>
      </c>
      <c r="L750" s="44">
        <f t="shared" ca="1" si="127"/>
        <v>2.5</v>
      </c>
    </row>
    <row r="751" spans="1:12" x14ac:dyDescent="0.25">
      <c r="A751" s="20">
        <v>743</v>
      </c>
      <c r="B751" s="21">
        <f t="shared" ca="1" si="123"/>
        <v>4.3738118681496658</v>
      </c>
      <c r="C751" s="21">
        <f t="shared" ca="1" si="128"/>
        <v>2280.5202169284785</v>
      </c>
      <c r="D751" s="21">
        <f t="shared" ca="1" si="124"/>
        <v>1.3096595261503041</v>
      </c>
      <c r="E751" s="21">
        <f t="shared" ca="1" si="131"/>
        <v>2.5751670558411206</v>
      </c>
      <c r="F751" s="20" t="str">
        <f t="shared" ca="1" si="129"/>
        <v>No</v>
      </c>
      <c r="G751" s="21">
        <f t="shared" ca="1" si="125"/>
        <v>0</v>
      </c>
      <c r="H751" s="21">
        <f t="shared" ca="1" si="126"/>
        <v>2283.0953839843196</v>
      </c>
      <c r="I751" s="21">
        <f t="shared" ca="1" si="121"/>
        <v>2284.40504351047</v>
      </c>
      <c r="J751" s="20">
        <f t="shared" ca="1" si="130"/>
        <v>4</v>
      </c>
      <c r="K751" s="20">
        <f t="shared" ca="1" si="122"/>
        <v>2</v>
      </c>
      <c r="L751" s="44">
        <f t="shared" ca="1" si="127"/>
        <v>3</v>
      </c>
    </row>
    <row r="752" spans="1:12" x14ac:dyDescent="0.25">
      <c r="A752" s="20">
        <v>744</v>
      </c>
      <c r="B752" s="21">
        <f t="shared" ca="1" si="123"/>
        <v>0.55399935570611225</v>
      </c>
      <c r="C752" s="21">
        <f t="shared" ca="1" si="128"/>
        <v>2281.0742162841848</v>
      </c>
      <c r="D752" s="21">
        <f t="shared" ca="1" si="124"/>
        <v>0.72937566261649611</v>
      </c>
      <c r="E752" s="21">
        <f t="shared" ca="1" si="131"/>
        <v>3.330827226285237</v>
      </c>
      <c r="F752" s="20" t="str">
        <f t="shared" ca="1" si="129"/>
        <v>No</v>
      </c>
      <c r="G752" s="21">
        <f t="shared" ca="1" si="125"/>
        <v>0</v>
      </c>
      <c r="H752" s="21">
        <f t="shared" ca="1" si="126"/>
        <v>2284.40504351047</v>
      </c>
      <c r="I752" s="21">
        <f t="shared" ca="1" si="121"/>
        <v>2285.1344191730864</v>
      </c>
      <c r="J752" s="20">
        <f t="shared" ca="1" si="130"/>
        <v>3</v>
      </c>
      <c r="K752" s="20">
        <f t="shared" ca="1" si="122"/>
        <v>1</v>
      </c>
      <c r="L752" s="44">
        <f t="shared" ca="1" si="127"/>
        <v>2</v>
      </c>
    </row>
    <row r="753" spans="1:12" x14ac:dyDescent="0.25">
      <c r="A753" s="20">
        <v>745</v>
      </c>
      <c r="B753" s="21">
        <f t="shared" ca="1" si="123"/>
        <v>1.9468463792271882</v>
      </c>
      <c r="C753" s="21">
        <f t="shared" ca="1" si="128"/>
        <v>2283.0210626634121</v>
      </c>
      <c r="D753" s="21">
        <f t="shared" ca="1" si="124"/>
        <v>4.2410874676270538</v>
      </c>
      <c r="E753" s="21">
        <f t="shared" ca="1" si="131"/>
        <v>2.1133565096743041</v>
      </c>
      <c r="F753" s="20" t="str">
        <f t="shared" ca="1" si="129"/>
        <v>No</v>
      </c>
      <c r="G753" s="21">
        <f t="shared" ca="1" si="125"/>
        <v>0</v>
      </c>
      <c r="H753" s="21">
        <f t="shared" ca="1" si="126"/>
        <v>2285.1344191730864</v>
      </c>
      <c r="I753" s="21">
        <f t="shared" ca="1" si="121"/>
        <v>2289.3755066407134</v>
      </c>
      <c r="J753" s="20">
        <f t="shared" ca="1" si="130"/>
        <v>2</v>
      </c>
      <c r="K753" s="20">
        <f t="shared" ca="1" si="122"/>
        <v>1</v>
      </c>
      <c r="L753" s="44">
        <f t="shared" ca="1" si="127"/>
        <v>1.5</v>
      </c>
    </row>
    <row r="754" spans="1:12" x14ac:dyDescent="0.25">
      <c r="A754" s="20">
        <v>746</v>
      </c>
      <c r="B754" s="21">
        <f t="shared" ca="1" si="123"/>
        <v>4.8858761433309432</v>
      </c>
      <c r="C754" s="21">
        <f t="shared" ca="1" si="128"/>
        <v>2287.9069388067428</v>
      </c>
      <c r="D754" s="21">
        <f t="shared" ca="1" si="124"/>
        <v>1.2431067542602836</v>
      </c>
      <c r="E754" s="21">
        <f t="shared" ca="1" si="131"/>
        <v>1.4685678339706101</v>
      </c>
      <c r="F754" s="20" t="str">
        <f t="shared" ca="1" si="129"/>
        <v>No</v>
      </c>
      <c r="G754" s="21">
        <f t="shared" ca="1" si="125"/>
        <v>0</v>
      </c>
      <c r="H754" s="21">
        <f t="shared" ca="1" si="126"/>
        <v>2289.3755066407134</v>
      </c>
      <c r="I754" s="21">
        <f t="shared" ca="1" si="121"/>
        <v>2290.6186133949736</v>
      </c>
      <c r="J754" s="20">
        <f t="shared" ca="1" si="130"/>
        <v>2</v>
      </c>
      <c r="K754" s="20">
        <f t="shared" ca="1" si="122"/>
        <v>2</v>
      </c>
      <c r="L754" s="44">
        <f t="shared" ca="1" si="127"/>
        <v>2</v>
      </c>
    </row>
    <row r="755" spans="1:12" x14ac:dyDescent="0.25">
      <c r="A755" s="20">
        <v>747</v>
      </c>
      <c r="B755" s="21">
        <f t="shared" ca="1" si="123"/>
        <v>2.1659848317066452</v>
      </c>
      <c r="C755" s="21">
        <f t="shared" ca="1" si="128"/>
        <v>2290.0729236384495</v>
      </c>
      <c r="D755" s="21">
        <f t="shared" ca="1" si="124"/>
        <v>3.123485318229954</v>
      </c>
      <c r="E755" s="21">
        <f t="shared" ca="1" si="131"/>
        <v>0.5456897565240979</v>
      </c>
      <c r="F755" s="20" t="str">
        <f t="shared" ca="1" si="129"/>
        <v>No</v>
      </c>
      <c r="G755" s="21">
        <f t="shared" ca="1" si="125"/>
        <v>0</v>
      </c>
      <c r="H755" s="21">
        <f t="shared" ca="1" si="126"/>
        <v>2290.6186133949736</v>
      </c>
      <c r="I755" s="21">
        <f t="shared" ca="1" si="121"/>
        <v>2293.7420987132036</v>
      </c>
      <c r="J755" s="20">
        <f t="shared" ca="1" si="130"/>
        <v>3</v>
      </c>
      <c r="K755" s="20">
        <f t="shared" ca="1" si="122"/>
        <v>3</v>
      </c>
      <c r="L755" s="44">
        <f t="shared" ca="1" si="127"/>
        <v>3</v>
      </c>
    </row>
    <row r="756" spans="1:12" x14ac:dyDescent="0.25">
      <c r="A756" s="20">
        <v>748</v>
      </c>
      <c r="B756" s="21">
        <f t="shared" ca="1" si="123"/>
        <v>5.1184800805985226E-2</v>
      </c>
      <c r="C756" s="21">
        <f t="shared" ca="1" si="128"/>
        <v>2290.1241084392555</v>
      </c>
      <c r="D756" s="21">
        <f t="shared" ca="1" si="124"/>
        <v>0.56486783080906355</v>
      </c>
      <c r="E756" s="21">
        <f t="shared" ca="1" si="131"/>
        <v>3.6179902739481804</v>
      </c>
      <c r="F756" s="20" t="str">
        <f t="shared" ca="1" si="129"/>
        <v>No</v>
      </c>
      <c r="G756" s="21">
        <f t="shared" ca="1" si="125"/>
        <v>0</v>
      </c>
      <c r="H756" s="21">
        <f t="shared" ca="1" si="126"/>
        <v>2293.7420987132036</v>
      </c>
      <c r="I756" s="21">
        <f t="shared" ca="1" si="121"/>
        <v>2294.3069665440125</v>
      </c>
      <c r="J756" s="20">
        <f t="shared" ca="1" si="130"/>
        <v>4</v>
      </c>
      <c r="K756" s="20">
        <f t="shared" ca="1" si="122"/>
        <v>3</v>
      </c>
      <c r="L756" s="44">
        <f t="shared" ca="1" si="127"/>
        <v>3.5</v>
      </c>
    </row>
    <row r="757" spans="1:12" x14ac:dyDescent="0.25">
      <c r="A757" s="20">
        <v>749</v>
      </c>
      <c r="B757" s="21">
        <f t="shared" ca="1" si="123"/>
        <v>2.0246361501759607</v>
      </c>
      <c r="C757" s="21">
        <f t="shared" ca="1" si="128"/>
        <v>2292.1487445894313</v>
      </c>
      <c r="D757" s="21">
        <f t="shared" ca="1" si="124"/>
        <v>0.73586412279010205</v>
      </c>
      <c r="E757" s="21">
        <f t="shared" ca="1" si="131"/>
        <v>2.1582219545812222</v>
      </c>
      <c r="F757" s="20" t="str">
        <f t="shared" ca="1" si="129"/>
        <v>No</v>
      </c>
      <c r="G757" s="21">
        <f t="shared" ca="1" si="125"/>
        <v>0</v>
      </c>
      <c r="H757" s="21">
        <f t="shared" ca="1" si="126"/>
        <v>2294.3069665440125</v>
      </c>
      <c r="I757" s="21">
        <f t="shared" ca="1" si="121"/>
        <v>2295.0428306668027</v>
      </c>
      <c r="J757" s="20">
        <f t="shared" ca="1" si="130"/>
        <v>4</v>
      </c>
      <c r="K757" s="20">
        <f t="shared" ca="1" si="122"/>
        <v>2</v>
      </c>
      <c r="L757" s="44">
        <f t="shared" ca="1" si="127"/>
        <v>3</v>
      </c>
    </row>
    <row r="758" spans="1:12" x14ac:dyDescent="0.25">
      <c r="A758" s="20">
        <v>750</v>
      </c>
      <c r="B758" s="21">
        <f t="shared" ca="1" si="123"/>
        <v>0.20486773624674001</v>
      </c>
      <c r="C758" s="21">
        <f t="shared" ca="1" si="128"/>
        <v>2292.3536123256781</v>
      </c>
      <c r="D758" s="21">
        <f t="shared" ca="1" si="124"/>
        <v>1.466523348779013</v>
      </c>
      <c r="E758" s="21">
        <f t="shared" ca="1" si="131"/>
        <v>2.6892183411246151</v>
      </c>
      <c r="F758" s="20" t="str">
        <f t="shared" ca="1" si="129"/>
        <v>No</v>
      </c>
      <c r="G758" s="21">
        <f t="shared" ca="1" si="125"/>
        <v>0</v>
      </c>
      <c r="H758" s="21">
        <f t="shared" ca="1" si="126"/>
        <v>2295.0428306668027</v>
      </c>
      <c r="I758" s="21">
        <f t="shared" ca="1" si="121"/>
        <v>2296.5093540155817</v>
      </c>
      <c r="J758" s="20">
        <f t="shared" ca="1" si="130"/>
        <v>3</v>
      </c>
      <c r="K758" s="20">
        <f t="shared" ca="1" si="122"/>
        <v>3</v>
      </c>
      <c r="L758" s="44">
        <f t="shared" ca="1" si="127"/>
        <v>3</v>
      </c>
    </row>
    <row r="759" spans="1:12" x14ac:dyDescent="0.25">
      <c r="A759" s="20">
        <v>751</v>
      </c>
      <c r="B759" s="21">
        <f t="shared" ca="1" si="123"/>
        <v>1.6741743170869576</v>
      </c>
      <c r="C759" s="21">
        <f t="shared" ca="1" si="128"/>
        <v>2294.027786642765</v>
      </c>
      <c r="D759" s="21">
        <f t="shared" ca="1" si="124"/>
        <v>0.291083394014923</v>
      </c>
      <c r="E759" s="21">
        <f t="shared" ca="1" si="131"/>
        <v>2.4815673728166985</v>
      </c>
      <c r="F759" s="20" t="str">
        <f t="shared" ca="1" si="129"/>
        <v>No</v>
      </c>
      <c r="G759" s="21">
        <f t="shared" ca="1" si="125"/>
        <v>0</v>
      </c>
      <c r="H759" s="21">
        <f t="shared" ca="1" si="126"/>
        <v>2296.5093540155817</v>
      </c>
      <c r="I759" s="21">
        <f t="shared" ca="1" si="121"/>
        <v>2296.8004374095967</v>
      </c>
      <c r="J759" s="20">
        <f t="shared" ca="1" si="130"/>
        <v>4</v>
      </c>
      <c r="K759" s="20">
        <f t="shared" ca="1" si="122"/>
        <v>2</v>
      </c>
      <c r="L759" s="44">
        <f t="shared" ca="1" si="127"/>
        <v>3</v>
      </c>
    </row>
    <row r="760" spans="1:12" x14ac:dyDescent="0.25">
      <c r="A760" s="20">
        <v>752</v>
      </c>
      <c r="B760" s="21">
        <f t="shared" ca="1" si="123"/>
        <v>1.853984414520548</v>
      </c>
      <c r="C760" s="21">
        <f t="shared" ca="1" si="128"/>
        <v>2295.8817710572857</v>
      </c>
      <c r="D760" s="21">
        <f t="shared" ca="1" si="124"/>
        <v>2.12886165347722</v>
      </c>
      <c r="E760" s="21">
        <f t="shared" ca="1" si="131"/>
        <v>0.91866635231099281</v>
      </c>
      <c r="F760" s="20" t="str">
        <f t="shared" ca="1" si="129"/>
        <v>No</v>
      </c>
      <c r="G760" s="21">
        <f t="shared" ca="1" si="125"/>
        <v>0</v>
      </c>
      <c r="H760" s="21">
        <f t="shared" ca="1" si="126"/>
        <v>2296.8004374095967</v>
      </c>
      <c r="I760" s="21">
        <f t="shared" ca="1" si="121"/>
        <v>2298.9292990630738</v>
      </c>
      <c r="J760" s="20">
        <f t="shared" ca="1" si="130"/>
        <v>3</v>
      </c>
      <c r="K760" s="20">
        <f t="shared" ca="1" si="122"/>
        <v>1</v>
      </c>
      <c r="L760" s="44">
        <f t="shared" ca="1" si="127"/>
        <v>2</v>
      </c>
    </row>
    <row r="761" spans="1:12" x14ac:dyDescent="0.25">
      <c r="A761" s="20">
        <v>753</v>
      </c>
      <c r="B761" s="21">
        <f t="shared" ca="1" si="123"/>
        <v>0.18406982610983796</v>
      </c>
      <c r="C761" s="21">
        <f t="shared" ca="1" si="128"/>
        <v>2296.0658408833956</v>
      </c>
      <c r="D761" s="21">
        <f t="shared" ca="1" si="124"/>
        <v>0.19365465765021633</v>
      </c>
      <c r="E761" s="21">
        <f t="shared" ca="1" si="131"/>
        <v>2.8634581796782186</v>
      </c>
      <c r="F761" s="20" t="str">
        <f t="shared" ca="1" si="129"/>
        <v>No</v>
      </c>
      <c r="G761" s="21">
        <f t="shared" ca="1" si="125"/>
        <v>0</v>
      </c>
      <c r="H761" s="21">
        <f t="shared" ca="1" si="126"/>
        <v>2298.9292990630738</v>
      </c>
      <c r="I761" s="21">
        <f t="shared" ca="1" si="121"/>
        <v>2299.1229537207241</v>
      </c>
      <c r="J761" s="20">
        <f t="shared" ca="1" si="130"/>
        <v>2</v>
      </c>
      <c r="K761" s="20">
        <f t="shared" ca="1" si="122"/>
        <v>0</v>
      </c>
      <c r="L761" s="44">
        <f t="shared" ca="1" si="127"/>
        <v>1</v>
      </c>
    </row>
    <row r="762" spans="1:12" x14ac:dyDescent="0.25">
      <c r="A762" s="20">
        <v>754</v>
      </c>
      <c r="B762" s="21">
        <f t="shared" ca="1" si="123"/>
        <v>4.439575839737401</v>
      </c>
      <c r="C762" s="21">
        <f t="shared" ca="1" si="128"/>
        <v>2300.5054167231328</v>
      </c>
      <c r="D762" s="21">
        <f t="shared" ca="1" si="124"/>
        <v>3.5872316072603008</v>
      </c>
      <c r="E762" s="21">
        <f t="shared" ca="1" si="131"/>
        <v>0</v>
      </c>
      <c r="F762" s="20" t="str">
        <f t="shared" ca="1" si="129"/>
        <v>Yes</v>
      </c>
      <c r="G762" s="21">
        <f t="shared" ca="1" si="125"/>
        <v>1.3824630024087128</v>
      </c>
      <c r="H762" s="21">
        <f t="shared" ca="1" si="126"/>
        <v>2300.5054167231328</v>
      </c>
      <c r="I762" s="21">
        <f t="shared" ca="1" si="121"/>
        <v>2304.0926483303933</v>
      </c>
      <c r="J762" s="20">
        <f t="shared" ca="1" si="130"/>
        <v>0</v>
      </c>
      <c r="K762" s="20">
        <f t="shared" ca="1" si="122"/>
        <v>2</v>
      </c>
      <c r="L762" s="44">
        <f t="shared" ca="1" si="127"/>
        <v>1</v>
      </c>
    </row>
    <row r="763" spans="1:12" x14ac:dyDescent="0.25">
      <c r="A763" s="20">
        <v>755</v>
      </c>
      <c r="B763" s="21">
        <f t="shared" ca="1" si="123"/>
        <v>1.7309187378647644</v>
      </c>
      <c r="C763" s="21">
        <f t="shared" ca="1" si="128"/>
        <v>2302.2363354609975</v>
      </c>
      <c r="D763" s="21">
        <f t="shared" ca="1" si="124"/>
        <v>2.8374189240100347</v>
      </c>
      <c r="E763" s="21">
        <f t="shared" ca="1" si="131"/>
        <v>1.8563128693958788</v>
      </c>
      <c r="F763" s="20" t="str">
        <f t="shared" ca="1" si="129"/>
        <v>No</v>
      </c>
      <c r="G763" s="21">
        <f t="shared" ca="1" si="125"/>
        <v>0</v>
      </c>
      <c r="H763" s="21">
        <f t="shared" ca="1" si="126"/>
        <v>2304.0926483303933</v>
      </c>
      <c r="I763" s="21">
        <f t="shared" ca="1" si="121"/>
        <v>2306.9300672544032</v>
      </c>
      <c r="J763" s="20">
        <f t="shared" ca="1" si="130"/>
        <v>3</v>
      </c>
      <c r="K763" s="20">
        <f t="shared" ca="1" si="122"/>
        <v>1</v>
      </c>
      <c r="L763" s="44">
        <f t="shared" ca="1" si="127"/>
        <v>2</v>
      </c>
    </row>
    <row r="764" spans="1:12" x14ac:dyDescent="0.25">
      <c r="A764" s="20">
        <v>756</v>
      </c>
      <c r="B764" s="21">
        <f t="shared" ca="1" si="123"/>
        <v>1.3207297612768569</v>
      </c>
      <c r="C764" s="21">
        <f t="shared" ca="1" si="128"/>
        <v>2303.5570652222741</v>
      </c>
      <c r="D764" s="21">
        <f t="shared" ca="1" si="124"/>
        <v>1.1183009467430873</v>
      </c>
      <c r="E764" s="21">
        <f t="shared" ca="1" si="131"/>
        <v>3.3730020321290795</v>
      </c>
      <c r="F764" s="20" t="str">
        <f t="shared" ca="1" si="129"/>
        <v>No</v>
      </c>
      <c r="G764" s="21">
        <f t="shared" ca="1" si="125"/>
        <v>0</v>
      </c>
      <c r="H764" s="21">
        <f t="shared" ca="1" si="126"/>
        <v>2306.9300672544032</v>
      </c>
      <c r="I764" s="21">
        <f t="shared" ca="1" si="121"/>
        <v>2308.0483682011463</v>
      </c>
      <c r="J764" s="20">
        <f t="shared" ca="1" si="130"/>
        <v>2</v>
      </c>
      <c r="K764" s="20">
        <f t="shared" ca="1" si="122"/>
        <v>0</v>
      </c>
      <c r="L764" s="44">
        <f t="shared" ca="1" si="127"/>
        <v>1</v>
      </c>
    </row>
    <row r="765" spans="1:12" x14ac:dyDescent="0.25">
      <c r="A765" s="20">
        <v>757</v>
      </c>
      <c r="B765" s="21">
        <f t="shared" ca="1" si="123"/>
        <v>6.4803142533980269</v>
      </c>
      <c r="C765" s="21">
        <f t="shared" ca="1" si="128"/>
        <v>2310.037379475672</v>
      </c>
      <c r="D765" s="21">
        <f t="shared" ca="1" si="124"/>
        <v>7.3966697341636554</v>
      </c>
      <c r="E765" s="21">
        <f t="shared" ca="1" si="131"/>
        <v>0</v>
      </c>
      <c r="F765" s="20" t="str">
        <f t="shared" ca="1" si="129"/>
        <v>Yes</v>
      </c>
      <c r="G765" s="21">
        <f t="shared" ca="1" si="125"/>
        <v>1.9890112745256374</v>
      </c>
      <c r="H765" s="21">
        <f t="shared" ca="1" si="126"/>
        <v>2310.037379475672</v>
      </c>
      <c r="I765" s="21">
        <f t="shared" ca="1" si="121"/>
        <v>2317.4340492098358</v>
      </c>
      <c r="J765" s="20">
        <f t="shared" ca="1" si="130"/>
        <v>0</v>
      </c>
      <c r="K765" s="20">
        <f t="shared" ca="1" si="122"/>
        <v>4</v>
      </c>
      <c r="L765" s="44">
        <f t="shared" ca="1" si="127"/>
        <v>2</v>
      </c>
    </row>
    <row r="766" spans="1:12" x14ac:dyDescent="0.25">
      <c r="A766" s="20">
        <v>758</v>
      </c>
      <c r="B766" s="21">
        <f t="shared" ca="1" si="123"/>
        <v>1.543951618558701</v>
      </c>
      <c r="C766" s="21">
        <f t="shared" ca="1" si="128"/>
        <v>2311.5813310942308</v>
      </c>
      <c r="D766" s="21">
        <f t="shared" ca="1" si="124"/>
        <v>1.6936069803357008</v>
      </c>
      <c r="E766" s="21">
        <f t="shared" ca="1" si="131"/>
        <v>5.8527181156050574</v>
      </c>
      <c r="F766" s="20" t="str">
        <f t="shared" ca="1" si="129"/>
        <v>No</v>
      </c>
      <c r="G766" s="21">
        <f t="shared" ca="1" si="125"/>
        <v>0</v>
      </c>
      <c r="H766" s="21">
        <f t="shared" ca="1" si="126"/>
        <v>2317.4340492098358</v>
      </c>
      <c r="I766" s="21">
        <f t="shared" ca="1" si="121"/>
        <v>2319.1276561901714</v>
      </c>
      <c r="J766" s="20">
        <f t="shared" ca="1" si="130"/>
        <v>5</v>
      </c>
      <c r="K766" s="20">
        <f t="shared" ca="1" si="122"/>
        <v>3</v>
      </c>
      <c r="L766" s="44">
        <f t="shared" ca="1" si="127"/>
        <v>4</v>
      </c>
    </row>
    <row r="767" spans="1:12" x14ac:dyDescent="0.25">
      <c r="A767" s="20">
        <v>759</v>
      </c>
      <c r="B767" s="21">
        <f t="shared" ca="1" si="123"/>
        <v>1.3727823680739148</v>
      </c>
      <c r="C767" s="21">
        <f t="shared" ca="1" si="128"/>
        <v>2312.9541134623046</v>
      </c>
      <c r="D767" s="21">
        <f t="shared" ca="1" si="124"/>
        <v>1.4845148879802579</v>
      </c>
      <c r="E767" s="21">
        <f t="shared" ca="1" si="131"/>
        <v>6.1735427278667885</v>
      </c>
      <c r="F767" s="20" t="str">
        <f t="shared" ca="1" si="129"/>
        <v>No</v>
      </c>
      <c r="G767" s="21">
        <f t="shared" ca="1" si="125"/>
        <v>0</v>
      </c>
      <c r="H767" s="21">
        <f t="shared" ca="1" si="126"/>
        <v>2319.1276561901714</v>
      </c>
      <c r="I767" s="21">
        <f t="shared" ca="1" si="121"/>
        <v>2320.6121710781517</v>
      </c>
      <c r="J767" s="20">
        <f t="shared" ca="1" si="130"/>
        <v>4</v>
      </c>
      <c r="K767" s="20">
        <f t="shared" ca="1" si="122"/>
        <v>2</v>
      </c>
      <c r="L767" s="44">
        <f t="shared" ca="1" si="127"/>
        <v>3</v>
      </c>
    </row>
    <row r="768" spans="1:12" x14ac:dyDescent="0.25">
      <c r="A768" s="20">
        <v>760</v>
      </c>
      <c r="B768" s="21">
        <f t="shared" ca="1" si="123"/>
        <v>2.3768069452576617</v>
      </c>
      <c r="C768" s="21">
        <f t="shared" ca="1" si="128"/>
        <v>2315.3309204075622</v>
      </c>
      <c r="D768" s="21">
        <f t="shared" ca="1" si="124"/>
        <v>3.937082117430966</v>
      </c>
      <c r="E768" s="21">
        <f t="shared" ca="1" si="131"/>
        <v>5.281250670589543</v>
      </c>
      <c r="F768" s="20" t="str">
        <f t="shared" ca="1" si="129"/>
        <v>No</v>
      </c>
      <c r="G768" s="21">
        <f t="shared" ca="1" si="125"/>
        <v>0</v>
      </c>
      <c r="H768" s="21">
        <f t="shared" ca="1" si="126"/>
        <v>2320.6121710781517</v>
      </c>
      <c r="I768" s="21">
        <f t="shared" ca="1" si="121"/>
        <v>2324.5492531955829</v>
      </c>
      <c r="J768" s="20">
        <f t="shared" ca="1" si="130"/>
        <v>3</v>
      </c>
      <c r="K768" s="20">
        <f t="shared" ca="1" si="122"/>
        <v>1</v>
      </c>
      <c r="L768" s="44">
        <f t="shared" ca="1" si="127"/>
        <v>2</v>
      </c>
    </row>
    <row r="769" spans="1:12" x14ac:dyDescent="0.25">
      <c r="A769" s="20">
        <v>761</v>
      </c>
      <c r="B769" s="21">
        <f t="shared" ca="1" si="123"/>
        <v>0.68261028486165176</v>
      </c>
      <c r="C769" s="21">
        <f t="shared" ca="1" si="128"/>
        <v>2316.013530692424</v>
      </c>
      <c r="D769" s="21">
        <f t="shared" ca="1" si="124"/>
        <v>7.8344935176881281</v>
      </c>
      <c r="E769" s="21">
        <f t="shared" ca="1" si="131"/>
        <v>8.5357225031589223</v>
      </c>
      <c r="F769" s="20" t="str">
        <f t="shared" ca="1" si="129"/>
        <v>No</v>
      </c>
      <c r="G769" s="21">
        <f t="shared" ca="1" si="125"/>
        <v>0</v>
      </c>
      <c r="H769" s="21">
        <f t="shared" ca="1" si="126"/>
        <v>2324.5492531955829</v>
      </c>
      <c r="I769" s="21">
        <f t="shared" ca="1" si="121"/>
        <v>2332.3837467132712</v>
      </c>
      <c r="J769" s="20">
        <f t="shared" ca="1" si="130"/>
        <v>2</v>
      </c>
      <c r="K769" s="20">
        <f t="shared" ca="1" si="122"/>
        <v>3</v>
      </c>
      <c r="L769" s="44">
        <f t="shared" ca="1" si="127"/>
        <v>2.5</v>
      </c>
    </row>
    <row r="770" spans="1:12" x14ac:dyDescent="0.25">
      <c r="A770" s="20">
        <v>762</v>
      </c>
      <c r="B770" s="21">
        <f t="shared" ca="1" si="123"/>
        <v>9.1198103044291798</v>
      </c>
      <c r="C770" s="21">
        <f t="shared" ca="1" si="128"/>
        <v>2325.1333409968533</v>
      </c>
      <c r="D770" s="21">
        <f t="shared" ca="1" si="124"/>
        <v>1.4312424891900883</v>
      </c>
      <c r="E770" s="21">
        <f t="shared" ca="1" si="131"/>
        <v>7.2504057164178448</v>
      </c>
      <c r="F770" s="20" t="str">
        <f t="shared" ca="1" si="129"/>
        <v>No</v>
      </c>
      <c r="G770" s="21">
        <f t="shared" ca="1" si="125"/>
        <v>0</v>
      </c>
      <c r="H770" s="21">
        <f t="shared" ca="1" si="126"/>
        <v>2332.3837467132712</v>
      </c>
      <c r="I770" s="21">
        <f t="shared" ca="1" si="121"/>
        <v>2333.8149892024612</v>
      </c>
      <c r="J770" s="20">
        <f t="shared" ca="1" si="130"/>
        <v>4</v>
      </c>
      <c r="K770" s="20">
        <f t="shared" ca="1" si="122"/>
        <v>3</v>
      </c>
      <c r="L770" s="44">
        <f t="shared" ca="1" si="127"/>
        <v>3.5</v>
      </c>
    </row>
    <row r="771" spans="1:12" x14ac:dyDescent="0.25">
      <c r="A771" s="20">
        <v>763</v>
      </c>
      <c r="B771" s="21">
        <f t="shared" ca="1" si="123"/>
        <v>1.743192089075263</v>
      </c>
      <c r="C771" s="21">
        <f t="shared" ca="1" si="128"/>
        <v>2326.8765330859287</v>
      </c>
      <c r="D771" s="21">
        <f t="shared" ca="1" si="124"/>
        <v>14.514476675526771</v>
      </c>
      <c r="E771" s="21">
        <f t="shared" ca="1" si="131"/>
        <v>6.9384561165325067</v>
      </c>
      <c r="F771" s="20" t="str">
        <f t="shared" ca="1" si="129"/>
        <v>No</v>
      </c>
      <c r="G771" s="21">
        <f t="shared" ca="1" si="125"/>
        <v>0</v>
      </c>
      <c r="H771" s="21">
        <f t="shared" ca="1" si="126"/>
        <v>2333.8149892024612</v>
      </c>
      <c r="I771" s="21">
        <f t="shared" ca="1" si="121"/>
        <v>2348.3294658779878</v>
      </c>
      <c r="J771" s="20">
        <f t="shared" ca="1" si="130"/>
        <v>4</v>
      </c>
      <c r="K771" s="20">
        <f t="shared" ca="1" si="122"/>
        <v>5</v>
      </c>
      <c r="L771" s="44">
        <f t="shared" ca="1" si="127"/>
        <v>4.5</v>
      </c>
    </row>
    <row r="772" spans="1:12" x14ac:dyDescent="0.25">
      <c r="A772" s="20">
        <v>764</v>
      </c>
      <c r="B772" s="21">
        <f t="shared" ca="1" si="123"/>
        <v>5.1522062066121936</v>
      </c>
      <c r="C772" s="21">
        <f t="shared" ca="1" si="128"/>
        <v>2332.0287392925411</v>
      </c>
      <c r="D772" s="21">
        <f t="shared" ca="1" si="124"/>
        <v>9.1329402782781468</v>
      </c>
      <c r="E772" s="21">
        <f t="shared" ca="1" si="131"/>
        <v>16.300726585446682</v>
      </c>
      <c r="F772" s="20" t="str">
        <f t="shared" ca="1" si="129"/>
        <v>No</v>
      </c>
      <c r="G772" s="21">
        <f t="shared" ca="1" si="125"/>
        <v>0</v>
      </c>
      <c r="H772" s="21">
        <f t="shared" ca="1" si="126"/>
        <v>2348.3294658779878</v>
      </c>
      <c r="I772" s="21">
        <f t="shared" ca="1" si="121"/>
        <v>2357.4624061562658</v>
      </c>
      <c r="J772" s="20">
        <f t="shared" ca="1" si="130"/>
        <v>6</v>
      </c>
      <c r="K772" s="20">
        <f t="shared" ca="1" si="122"/>
        <v>5</v>
      </c>
      <c r="L772" s="44">
        <f t="shared" ca="1" si="127"/>
        <v>5.5</v>
      </c>
    </row>
    <row r="773" spans="1:12" x14ac:dyDescent="0.25">
      <c r="A773" s="20">
        <v>765</v>
      </c>
      <c r="B773" s="21">
        <f t="shared" ca="1" si="123"/>
        <v>0.41614204264554044</v>
      </c>
      <c r="C773" s="21">
        <f t="shared" ca="1" si="128"/>
        <v>2332.4448813351864</v>
      </c>
      <c r="D773" s="21">
        <f t="shared" ca="1" si="124"/>
        <v>1.1732535697712099E-2</v>
      </c>
      <c r="E773" s="21">
        <f t="shared" ca="1" si="131"/>
        <v>25.017524821079405</v>
      </c>
      <c r="F773" s="20" t="str">
        <f t="shared" ca="1" si="129"/>
        <v>No</v>
      </c>
      <c r="G773" s="21">
        <f t="shared" ca="1" si="125"/>
        <v>0</v>
      </c>
      <c r="H773" s="21">
        <f t="shared" ca="1" si="126"/>
        <v>2357.4624061562658</v>
      </c>
      <c r="I773" s="21">
        <f t="shared" ca="1" si="121"/>
        <v>2357.4741386919636</v>
      </c>
      <c r="J773" s="20">
        <f t="shared" ca="1" si="130"/>
        <v>6</v>
      </c>
      <c r="K773" s="20">
        <f t="shared" ca="1" si="122"/>
        <v>5</v>
      </c>
      <c r="L773" s="44">
        <f t="shared" ca="1" si="127"/>
        <v>5.5</v>
      </c>
    </row>
    <row r="774" spans="1:12" x14ac:dyDescent="0.25">
      <c r="A774" s="20">
        <v>766</v>
      </c>
      <c r="B774" s="21">
        <f t="shared" ca="1" si="123"/>
        <v>9.8401512760620928</v>
      </c>
      <c r="C774" s="21">
        <f t="shared" ca="1" si="128"/>
        <v>2342.2850326112484</v>
      </c>
      <c r="D774" s="21">
        <f t="shared" ca="1" si="124"/>
        <v>5.3470799047414985</v>
      </c>
      <c r="E774" s="21">
        <f t="shared" ca="1" si="131"/>
        <v>15.189106080715192</v>
      </c>
      <c r="F774" s="20" t="str">
        <f t="shared" ca="1" si="129"/>
        <v>No</v>
      </c>
      <c r="G774" s="21">
        <f t="shared" ca="1" si="125"/>
        <v>0</v>
      </c>
      <c r="H774" s="21">
        <f t="shared" ca="1" si="126"/>
        <v>2357.4741386919636</v>
      </c>
      <c r="I774" s="21">
        <f t="shared" ca="1" si="121"/>
        <v>2362.821218596705</v>
      </c>
      <c r="J774" s="20">
        <f t="shared" ca="1" si="130"/>
        <v>6</v>
      </c>
      <c r="K774" s="20">
        <f t="shared" ca="1" si="122"/>
        <v>5</v>
      </c>
      <c r="L774" s="44">
        <f t="shared" ca="1" si="127"/>
        <v>5.5</v>
      </c>
    </row>
    <row r="775" spans="1:12" x14ac:dyDescent="0.25">
      <c r="A775" s="20">
        <v>767</v>
      </c>
      <c r="B775" s="21">
        <f t="shared" ca="1" si="123"/>
        <v>8.2519255331605909E-2</v>
      </c>
      <c r="C775" s="21">
        <f t="shared" ca="1" si="128"/>
        <v>2342.36755186658</v>
      </c>
      <c r="D775" s="21">
        <f t="shared" ca="1" si="124"/>
        <v>13.695125464079476</v>
      </c>
      <c r="E775" s="21">
        <f t="shared" ca="1" si="131"/>
        <v>20.453666730124951</v>
      </c>
      <c r="F775" s="20" t="str">
        <f t="shared" ca="1" si="129"/>
        <v>No</v>
      </c>
      <c r="G775" s="21">
        <f t="shared" ca="1" si="125"/>
        <v>0</v>
      </c>
      <c r="H775" s="21">
        <f t="shared" ca="1" si="126"/>
        <v>2362.821218596705</v>
      </c>
      <c r="I775" s="21">
        <f t="shared" ca="1" si="121"/>
        <v>2376.5163440607844</v>
      </c>
      <c r="J775" s="20">
        <f t="shared" ca="1" si="130"/>
        <v>6</v>
      </c>
      <c r="K775" s="20">
        <f t="shared" ca="1" si="122"/>
        <v>5</v>
      </c>
      <c r="L775" s="44">
        <f t="shared" ca="1" si="127"/>
        <v>5.5</v>
      </c>
    </row>
    <row r="776" spans="1:12" x14ac:dyDescent="0.25">
      <c r="A776" s="20">
        <v>768</v>
      </c>
      <c r="B776" s="21">
        <f t="shared" ca="1" si="123"/>
        <v>2.9729147673715053</v>
      </c>
      <c r="C776" s="21">
        <f t="shared" ca="1" si="128"/>
        <v>2345.3404666339516</v>
      </c>
      <c r="D776" s="21">
        <f t="shared" ca="1" si="124"/>
        <v>7.8392591353852303</v>
      </c>
      <c r="E776" s="21">
        <f t="shared" ca="1" si="131"/>
        <v>31.175877426832812</v>
      </c>
      <c r="F776" s="20" t="str">
        <f t="shared" ca="1" si="129"/>
        <v>No</v>
      </c>
      <c r="G776" s="21">
        <f t="shared" ca="1" si="125"/>
        <v>0</v>
      </c>
      <c r="H776" s="21">
        <f t="shared" ca="1" si="126"/>
        <v>2376.5163440607844</v>
      </c>
      <c r="I776" s="21">
        <f t="shared" ca="1" si="121"/>
        <v>2384.3556031961698</v>
      </c>
      <c r="J776" s="20">
        <f t="shared" ca="1" si="130"/>
        <v>6</v>
      </c>
      <c r="K776" s="20">
        <f t="shared" ca="1" si="122"/>
        <v>5</v>
      </c>
      <c r="L776" s="44">
        <f t="shared" ca="1" si="127"/>
        <v>5.5</v>
      </c>
    </row>
    <row r="777" spans="1:12" x14ac:dyDescent="0.25">
      <c r="A777" s="20">
        <v>769</v>
      </c>
      <c r="B777" s="21">
        <f t="shared" ca="1" si="123"/>
        <v>2.5244405412753266</v>
      </c>
      <c r="C777" s="21">
        <f t="shared" ca="1" si="128"/>
        <v>2347.864907175227</v>
      </c>
      <c r="D777" s="21">
        <f t="shared" ca="1" si="124"/>
        <v>0.22829755728893697</v>
      </c>
      <c r="E777" s="21">
        <f t="shared" ca="1" si="131"/>
        <v>36.490696020942778</v>
      </c>
      <c r="F777" s="20" t="str">
        <f t="shared" ca="1" si="129"/>
        <v>No</v>
      </c>
      <c r="G777" s="21">
        <f t="shared" ca="1" si="125"/>
        <v>0</v>
      </c>
      <c r="H777" s="21">
        <f t="shared" ca="1" si="126"/>
        <v>2384.3556031961698</v>
      </c>
      <c r="I777" s="21">
        <f t="shared" ref="I777:I840" ca="1" si="132">$H777+$D777</f>
        <v>2384.5839007534587</v>
      </c>
      <c r="J777" s="20">
        <f t="shared" ca="1" si="130"/>
        <v>6</v>
      </c>
      <c r="K777" s="20">
        <f t="shared" ref="K777:K840" ca="1" si="133">IF($I777&lt;=$C778,0,IF($I777&lt;=$C779,1,IF($I777&lt;=$C780,2,IF($I777&lt;=$C781,3,IF($I777&lt;=$C782,4,5)))))</f>
        <v>5</v>
      </c>
      <c r="L777" s="44">
        <f t="shared" ca="1" si="127"/>
        <v>5.5</v>
      </c>
    </row>
    <row r="778" spans="1:12" x14ac:dyDescent="0.25">
      <c r="A778" s="20">
        <v>770</v>
      </c>
      <c r="B778" s="21">
        <f t="shared" ref="B778:B841" ca="1" si="134">-LN(RAND())/$D$4</f>
        <v>2.7054150328428985</v>
      </c>
      <c r="C778" s="21">
        <f t="shared" ca="1" si="128"/>
        <v>2350.5703222080701</v>
      </c>
      <c r="D778" s="21">
        <f t="shared" ref="D778:D841" ca="1" si="135">-LN(RAND())/$D$6</f>
        <v>4.3505182008801402</v>
      </c>
      <c r="E778" s="21">
        <f t="shared" ca="1" si="131"/>
        <v>34.013578545388555</v>
      </c>
      <c r="F778" s="20" t="str">
        <f t="shared" ca="1" si="129"/>
        <v>No</v>
      </c>
      <c r="G778" s="21">
        <f t="shared" ref="G778:G841" ca="1" si="136">IF($I777&lt;=$C778,$C778-$I777,0)</f>
        <v>0</v>
      </c>
      <c r="H778" s="21">
        <f t="shared" ref="H778:H841" ca="1" si="137">IF($I777&lt;=$C778,$C778,$I777)</f>
        <v>2384.5839007534587</v>
      </c>
      <c r="I778" s="21">
        <f t="shared" ca="1" si="132"/>
        <v>2388.934418954339</v>
      </c>
      <c r="J778" s="20">
        <f t="shared" ca="1" si="130"/>
        <v>6</v>
      </c>
      <c r="K778" s="20">
        <f t="shared" ca="1" si="133"/>
        <v>5</v>
      </c>
      <c r="L778" s="44">
        <f t="shared" ref="L778:L841" ca="1" si="138">(J778+K778)/2</f>
        <v>5.5</v>
      </c>
    </row>
    <row r="779" spans="1:12" x14ac:dyDescent="0.25">
      <c r="A779" s="20">
        <v>771</v>
      </c>
      <c r="B779" s="21">
        <f t="shared" ca="1" si="134"/>
        <v>2.3653713953958362</v>
      </c>
      <c r="C779" s="21">
        <f t="shared" ref="C779:C842" ca="1" si="139">$C778+$B779</f>
        <v>2352.935693603466</v>
      </c>
      <c r="D779" s="21">
        <f t="shared" ca="1" si="135"/>
        <v>1.8560400016173944</v>
      </c>
      <c r="E779" s="21">
        <f t="shared" ca="1" si="131"/>
        <v>35.998725350872974</v>
      </c>
      <c r="F779" s="20" t="str">
        <f t="shared" ref="F779:F842" ca="1" si="140">IF(E779=0,"Yes","No")</f>
        <v>No</v>
      </c>
      <c r="G779" s="21">
        <f t="shared" ca="1" si="136"/>
        <v>0</v>
      </c>
      <c r="H779" s="21">
        <f t="shared" ca="1" si="137"/>
        <v>2388.934418954339</v>
      </c>
      <c r="I779" s="21">
        <f t="shared" ca="1" si="132"/>
        <v>2390.7904589559562</v>
      </c>
      <c r="J779" s="20">
        <f t="shared" ref="J779:J842" ca="1" si="141">IF($I778&lt;=$C779,0,$K778+1)</f>
        <v>6</v>
      </c>
      <c r="K779" s="20">
        <f t="shared" ca="1" si="133"/>
        <v>5</v>
      </c>
      <c r="L779" s="44">
        <f t="shared" ca="1" si="138"/>
        <v>5.5</v>
      </c>
    </row>
    <row r="780" spans="1:12" x14ac:dyDescent="0.25">
      <c r="A780" s="20">
        <v>772</v>
      </c>
      <c r="B780" s="21">
        <f t="shared" ca="1" si="134"/>
        <v>1.8435094403384984</v>
      </c>
      <c r="C780" s="21">
        <f t="shared" ca="1" si="139"/>
        <v>2354.7792030438045</v>
      </c>
      <c r="D780" s="21">
        <f t="shared" ca="1" si="135"/>
        <v>0.17799184272169538</v>
      </c>
      <c r="E780" s="21">
        <f t="shared" ref="E780:E843" ca="1" si="142">IF($I779&lt;=$C780,0,$I779-$C780)</f>
        <v>36.011255912151682</v>
      </c>
      <c r="F780" s="20" t="str">
        <f t="shared" ca="1" si="140"/>
        <v>No</v>
      </c>
      <c r="G780" s="21">
        <f t="shared" ca="1" si="136"/>
        <v>0</v>
      </c>
      <c r="H780" s="21">
        <f t="shared" ca="1" si="137"/>
        <v>2390.7904589559562</v>
      </c>
      <c r="I780" s="21">
        <f t="shared" ca="1" si="132"/>
        <v>2390.9684507986781</v>
      </c>
      <c r="J780" s="20">
        <f t="shared" ca="1" si="141"/>
        <v>6</v>
      </c>
      <c r="K780" s="20">
        <f t="shared" ca="1" si="133"/>
        <v>5</v>
      </c>
      <c r="L780" s="44">
        <f t="shared" ca="1" si="138"/>
        <v>5.5</v>
      </c>
    </row>
    <row r="781" spans="1:12" x14ac:dyDescent="0.25">
      <c r="A781" s="20">
        <v>773</v>
      </c>
      <c r="B781" s="21">
        <f t="shared" ca="1" si="134"/>
        <v>0.30145946464504864</v>
      </c>
      <c r="C781" s="21">
        <f t="shared" ca="1" si="139"/>
        <v>2355.0806625084497</v>
      </c>
      <c r="D781" s="21">
        <f t="shared" ca="1" si="135"/>
        <v>2.4638310777723569</v>
      </c>
      <c r="E781" s="21">
        <f t="shared" ca="1" si="142"/>
        <v>35.8877882902284</v>
      </c>
      <c r="F781" s="20" t="str">
        <f t="shared" ca="1" si="140"/>
        <v>No</v>
      </c>
      <c r="G781" s="21">
        <f t="shared" ca="1" si="136"/>
        <v>0</v>
      </c>
      <c r="H781" s="21">
        <f t="shared" ca="1" si="137"/>
        <v>2390.9684507986781</v>
      </c>
      <c r="I781" s="21">
        <f t="shared" ca="1" si="132"/>
        <v>2393.4322818764504</v>
      </c>
      <c r="J781" s="20">
        <f t="shared" ca="1" si="141"/>
        <v>6</v>
      </c>
      <c r="K781" s="20">
        <f t="shared" ca="1" si="133"/>
        <v>5</v>
      </c>
      <c r="L781" s="44">
        <f t="shared" ca="1" si="138"/>
        <v>5.5</v>
      </c>
    </row>
    <row r="782" spans="1:12" x14ac:dyDescent="0.25">
      <c r="A782" s="20">
        <v>774</v>
      </c>
      <c r="B782" s="21">
        <f t="shared" ca="1" si="134"/>
        <v>2.8793006183389176</v>
      </c>
      <c r="C782" s="21">
        <f t="shared" ca="1" si="139"/>
        <v>2357.9599631267888</v>
      </c>
      <c r="D782" s="21">
        <f t="shared" ca="1" si="135"/>
        <v>0.35938044898241706</v>
      </c>
      <c r="E782" s="21">
        <f t="shared" ca="1" si="142"/>
        <v>35.472318749661554</v>
      </c>
      <c r="F782" s="20" t="str">
        <f t="shared" ca="1" si="140"/>
        <v>No</v>
      </c>
      <c r="G782" s="21">
        <f t="shared" ca="1" si="136"/>
        <v>0</v>
      </c>
      <c r="H782" s="21">
        <f t="shared" ca="1" si="137"/>
        <v>2393.4322818764504</v>
      </c>
      <c r="I782" s="21">
        <f t="shared" ca="1" si="132"/>
        <v>2393.7916623254328</v>
      </c>
      <c r="J782" s="20">
        <f t="shared" ca="1" si="141"/>
        <v>6</v>
      </c>
      <c r="K782" s="20">
        <f t="shared" ca="1" si="133"/>
        <v>5</v>
      </c>
      <c r="L782" s="44">
        <f t="shared" ca="1" si="138"/>
        <v>5.5</v>
      </c>
    </row>
    <row r="783" spans="1:12" x14ac:dyDescent="0.25">
      <c r="A783" s="20">
        <v>775</v>
      </c>
      <c r="B783" s="21">
        <f t="shared" ca="1" si="134"/>
        <v>1.2057148506180544</v>
      </c>
      <c r="C783" s="21">
        <f t="shared" ca="1" si="139"/>
        <v>2359.1656779774071</v>
      </c>
      <c r="D783" s="21">
        <f t="shared" ca="1" si="135"/>
        <v>2.1512023358429913</v>
      </c>
      <c r="E783" s="21">
        <f t="shared" ca="1" si="142"/>
        <v>34.625984348025668</v>
      </c>
      <c r="F783" s="20" t="str">
        <f t="shared" ca="1" si="140"/>
        <v>No</v>
      </c>
      <c r="G783" s="21">
        <f t="shared" ca="1" si="136"/>
        <v>0</v>
      </c>
      <c r="H783" s="21">
        <f t="shared" ca="1" si="137"/>
        <v>2393.7916623254328</v>
      </c>
      <c r="I783" s="21">
        <f t="shared" ca="1" si="132"/>
        <v>2395.942864661276</v>
      </c>
      <c r="J783" s="20">
        <f t="shared" ca="1" si="141"/>
        <v>6</v>
      </c>
      <c r="K783" s="20">
        <f t="shared" ca="1" si="133"/>
        <v>5</v>
      </c>
      <c r="L783" s="44">
        <f t="shared" ca="1" si="138"/>
        <v>5.5</v>
      </c>
    </row>
    <row r="784" spans="1:12" x14ac:dyDescent="0.25">
      <c r="A784" s="20">
        <v>776</v>
      </c>
      <c r="B784" s="21">
        <f t="shared" ca="1" si="134"/>
        <v>2.4205280005079159</v>
      </c>
      <c r="C784" s="21">
        <f t="shared" ca="1" si="139"/>
        <v>2361.5862059779151</v>
      </c>
      <c r="D784" s="21">
        <f t="shared" ca="1" si="135"/>
        <v>2.4622457283522423</v>
      </c>
      <c r="E784" s="21">
        <f t="shared" ca="1" si="142"/>
        <v>34.35665868336082</v>
      </c>
      <c r="F784" s="20" t="str">
        <f t="shared" ca="1" si="140"/>
        <v>No</v>
      </c>
      <c r="G784" s="21">
        <f t="shared" ca="1" si="136"/>
        <v>0</v>
      </c>
      <c r="H784" s="21">
        <f t="shared" ca="1" si="137"/>
        <v>2395.942864661276</v>
      </c>
      <c r="I784" s="21">
        <f t="shared" ca="1" si="132"/>
        <v>2398.4051103896281</v>
      </c>
      <c r="J784" s="20">
        <f t="shared" ca="1" si="141"/>
        <v>6</v>
      </c>
      <c r="K784" s="20">
        <f t="shared" ca="1" si="133"/>
        <v>5</v>
      </c>
      <c r="L784" s="44">
        <f t="shared" ca="1" si="138"/>
        <v>5.5</v>
      </c>
    </row>
    <row r="785" spans="1:12" x14ac:dyDescent="0.25">
      <c r="A785" s="20">
        <v>777</v>
      </c>
      <c r="B785" s="21">
        <f t="shared" ca="1" si="134"/>
        <v>0.93108491363106061</v>
      </c>
      <c r="C785" s="21">
        <f t="shared" ca="1" si="139"/>
        <v>2362.5172908915461</v>
      </c>
      <c r="D785" s="21">
        <f t="shared" ca="1" si="135"/>
        <v>1.9031233789433066</v>
      </c>
      <c r="E785" s="21">
        <f t="shared" ca="1" si="142"/>
        <v>35.887819498082081</v>
      </c>
      <c r="F785" s="20" t="str">
        <f t="shared" ca="1" si="140"/>
        <v>No</v>
      </c>
      <c r="G785" s="21">
        <f t="shared" ca="1" si="136"/>
        <v>0</v>
      </c>
      <c r="H785" s="21">
        <f t="shared" ca="1" si="137"/>
        <v>2398.4051103896281</v>
      </c>
      <c r="I785" s="21">
        <f t="shared" ca="1" si="132"/>
        <v>2400.3082337685714</v>
      </c>
      <c r="J785" s="20">
        <f t="shared" ca="1" si="141"/>
        <v>6</v>
      </c>
      <c r="K785" s="20">
        <f t="shared" ca="1" si="133"/>
        <v>5</v>
      </c>
      <c r="L785" s="44">
        <f t="shared" ca="1" si="138"/>
        <v>5.5</v>
      </c>
    </row>
    <row r="786" spans="1:12" x14ac:dyDescent="0.25">
      <c r="A786" s="20">
        <v>778</v>
      </c>
      <c r="B786" s="21">
        <f t="shared" ca="1" si="134"/>
        <v>1.809119669556378</v>
      </c>
      <c r="C786" s="21">
        <f t="shared" ca="1" si="139"/>
        <v>2364.3264105611024</v>
      </c>
      <c r="D786" s="21">
        <f t="shared" ca="1" si="135"/>
        <v>0.26075334487477775</v>
      </c>
      <c r="E786" s="21">
        <f t="shared" ca="1" si="142"/>
        <v>35.981823207469006</v>
      </c>
      <c r="F786" s="20" t="str">
        <f t="shared" ca="1" si="140"/>
        <v>No</v>
      </c>
      <c r="G786" s="21">
        <f t="shared" ca="1" si="136"/>
        <v>0</v>
      </c>
      <c r="H786" s="21">
        <f t="shared" ca="1" si="137"/>
        <v>2400.3082337685714</v>
      </c>
      <c r="I786" s="21">
        <f t="shared" ca="1" si="132"/>
        <v>2400.5689871134464</v>
      </c>
      <c r="J786" s="20">
        <f t="shared" ca="1" si="141"/>
        <v>6</v>
      </c>
      <c r="K786" s="20">
        <f t="shared" ca="1" si="133"/>
        <v>5</v>
      </c>
      <c r="L786" s="44">
        <f t="shared" ca="1" si="138"/>
        <v>5.5</v>
      </c>
    </row>
    <row r="787" spans="1:12" x14ac:dyDescent="0.25">
      <c r="A787" s="20">
        <v>779</v>
      </c>
      <c r="B787" s="21">
        <f t="shared" ca="1" si="134"/>
        <v>1.3555348220825474</v>
      </c>
      <c r="C787" s="21">
        <f t="shared" ca="1" si="139"/>
        <v>2365.6819453831849</v>
      </c>
      <c r="D787" s="21">
        <f t="shared" ca="1" si="135"/>
        <v>5.6135057923511056</v>
      </c>
      <c r="E787" s="21">
        <f t="shared" ca="1" si="142"/>
        <v>34.887041730261444</v>
      </c>
      <c r="F787" s="20" t="str">
        <f t="shared" ca="1" si="140"/>
        <v>No</v>
      </c>
      <c r="G787" s="21">
        <f t="shared" ca="1" si="136"/>
        <v>0</v>
      </c>
      <c r="H787" s="21">
        <f t="shared" ca="1" si="137"/>
        <v>2400.5689871134464</v>
      </c>
      <c r="I787" s="21">
        <f t="shared" ca="1" si="132"/>
        <v>2406.1824929057975</v>
      </c>
      <c r="J787" s="20">
        <f t="shared" ca="1" si="141"/>
        <v>6</v>
      </c>
      <c r="K787" s="20">
        <f t="shared" ca="1" si="133"/>
        <v>5</v>
      </c>
      <c r="L787" s="44">
        <f t="shared" ca="1" si="138"/>
        <v>5.5</v>
      </c>
    </row>
    <row r="788" spans="1:12" x14ac:dyDescent="0.25">
      <c r="A788" s="20">
        <v>780</v>
      </c>
      <c r="B788" s="21">
        <f t="shared" ca="1" si="134"/>
        <v>4.3405253189699575</v>
      </c>
      <c r="C788" s="21">
        <f t="shared" ca="1" si="139"/>
        <v>2370.0224707021548</v>
      </c>
      <c r="D788" s="21">
        <f t="shared" ca="1" si="135"/>
        <v>1.8927182417985755</v>
      </c>
      <c r="E788" s="21">
        <f t="shared" ca="1" si="142"/>
        <v>36.160022203642711</v>
      </c>
      <c r="F788" s="20" t="str">
        <f t="shared" ca="1" si="140"/>
        <v>No</v>
      </c>
      <c r="G788" s="21">
        <f t="shared" ca="1" si="136"/>
        <v>0</v>
      </c>
      <c r="H788" s="21">
        <f t="shared" ca="1" si="137"/>
        <v>2406.1824929057975</v>
      </c>
      <c r="I788" s="21">
        <f t="shared" ca="1" si="132"/>
        <v>2408.0752111475963</v>
      </c>
      <c r="J788" s="20">
        <f t="shared" ca="1" si="141"/>
        <v>6</v>
      </c>
      <c r="K788" s="20">
        <f t="shared" ca="1" si="133"/>
        <v>5</v>
      </c>
      <c r="L788" s="44">
        <f t="shared" ca="1" si="138"/>
        <v>5.5</v>
      </c>
    </row>
    <row r="789" spans="1:12" x14ac:dyDescent="0.25">
      <c r="A789" s="20">
        <v>781</v>
      </c>
      <c r="B789" s="21">
        <f t="shared" ca="1" si="134"/>
        <v>1.6758533681959318</v>
      </c>
      <c r="C789" s="21">
        <f t="shared" ca="1" si="139"/>
        <v>2371.6983240703507</v>
      </c>
      <c r="D789" s="21">
        <f t="shared" ca="1" si="135"/>
        <v>0.60192774649658964</v>
      </c>
      <c r="E789" s="21">
        <f t="shared" ca="1" si="142"/>
        <v>36.376887077245556</v>
      </c>
      <c r="F789" s="20" t="str">
        <f t="shared" ca="1" si="140"/>
        <v>No</v>
      </c>
      <c r="G789" s="21">
        <f t="shared" ca="1" si="136"/>
        <v>0</v>
      </c>
      <c r="H789" s="21">
        <f t="shared" ca="1" si="137"/>
        <v>2408.0752111475963</v>
      </c>
      <c r="I789" s="21">
        <f t="shared" ca="1" si="132"/>
        <v>2408.6771388940929</v>
      </c>
      <c r="J789" s="20">
        <f t="shared" ca="1" si="141"/>
        <v>6</v>
      </c>
      <c r="K789" s="20">
        <f t="shared" ca="1" si="133"/>
        <v>5</v>
      </c>
      <c r="L789" s="44">
        <f t="shared" ca="1" si="138"/>
        <v>5.5</v>
      </c>
    </row>
    <row r="790" spans="1:12" x14ac:dyDescent="0.25">
      <c r="A790" s="20">
        <v>782</v>
      </c>
      <c r="B790" s="21">
        <f t="shared" ca="1" si="134"/>
        <v>4.9732701126900354</v>
      </c>
      <c r="C790" s="21">
        <f t="shared" ca="1" si="139"/>
        <v>2376.6715941830407</v>
      </c>
      <c r="D790" s="21">
        <f t="shared" ca="1" si="135"/>
        <v>2.3353866545950352</v>
      </c>
      <c r="E790" s="21">
        <f t="shared" ca="1" si="142"/>
        <v>32.005544711052153</v>
      </c>
      <c r="F790" s="20" t="str">
        <f t="shared" ca="1" si="140"/>
        <v>No</v>
      </c>
      <c r="G790" s="21">
        <f t="shared" ca="1" si="136"/>
        <v>0</v>
      </c>
      <c r="H790" s="21">
        <f t="shared" ca="1" si="137"/>
        <v>2408.6771388940929</v>
      </c>
      <c r="I790" s="21">
        <f t="shared" ca="1" si="132"/>
        <v>2411.0125255486878</v>
      </c>
      <c r="J790" s="20">
        <f t="shared" ca="1" si="141"/>
        <v>6</v>
      </c>
      <c r="K790" s="20">
        <f t="shared" ca="1" si="133"/>
        <v>5</v>
      </c>
      <c r="L790" s="44">
        <f t="shared" ca="1" si="138"/>
        <v>5.5</v>
      </c>
    </row>
    <row r="791" spans="1:12" x14ac:dyDescent="0.25">
      <c r="A791" s="20">
        <v>783</v>
      </c>
      <c r="B791" s="21">
        <f t="shared" ca="1" si="134"/>
        <v>0.5530307399939054</v>
      </c>
      <c r="C791" s="21">
        <f t="shared" ca="1" si="139"/>
        <v>2377.2246249230348</v>
      </c>
      <c r="D791" s="21">
        <f t="shared" ca="1" si="135"/>
        <v>3.8810071762915137</v>
      </c>
      <c r="E791" s="21">
        <f t="shared" ca="1" si="142"/>
        <v>33.787900625653037</v>
      </c>
      <c r="F791" s="20" t="str">
        <f t="shared" ca="1" si="140"/>
        <v>No</v>
      </c>
      <c r="G791" s="21">
        <f t="shared" ca="1" si="136"/>
        <v>0</v>
      </c>
      <c r="H791" s="21">
        <f t="shared" ca="1" si="137"/>
        <v>2411.0125255486878</v>
      </c>
      <c r="I791" s="21">
        <f t="shared" ca="1" si="132"/>
        <v>2414.8935327249792</v>
      </c>
      <c r="J791" s="20">
        <f t="shared" ca="1" si="141"/>
        <v>6</v>
      </c>
      <c r="K791" s="20">
        <f t="shared" ca="1" si="133"/>
        <v>5</v>
      </c>
      <c r="L791" s="44">
        <f t="shared" ca="1" si="138"/>
        <v>5.5</v>
      </c>
    </row>
    <row r="792" spans="1:12" x14ac:dyDescent="0.25">
      <c r="A792" s="20">
        <v>784</v>
      </c>
      <c r="B792" s="21">
        <f t="shared" ca="1" si="134"/>
        <v>8.9143793552808965</v>
      </c>
      <c r="C792" s="21">
        <f t="shared" ca="1" si="139"/>
        <v>2386.1390042783155</v>
      </c>
      <c r="D792" s="21">
        <f t="shared" ca="1" si="135"/>
        <v>2.1794981207065796</v>
      </c>
      <c r="E792" s="21">
        <f t="shared" ca="1" si="142"/>
        <v>28.754528446663699</v>
      </c>
      <c r="F792" s="20" t="str">
        <f t="shared" ca="1" si="140"/>
        <v>No</v>
      </c>
      <c r="G792" s="21">
        <f t="shared" ca="1" si="136"/>
        <v>0</v>
      </c>
      <c r="H792" s="21">
        <f t="shared" ca="1" si="137"/>
        <v>2414.8935327249792</v>
      </c>
      <c r="I792" s="21">
        <f t="shared" ca="1" si="132"/>
        <v>2417.0730308456859</v>
      </c>
      <c r="J792" s="20">
        <f t="shared" ca="1" si="141"/>
        <v>6</v>
      </c>
      <c r="K792" s="20">
        <f t="shared" ca="1" si="133"/>
        <v>5</v>
      </c>
      <c r="L792" s="44">
        <f t="shared" ca="1" si="138"/>
        <v>5.5</v>
      </c>
    </row>
    <row r="793" spans="1:12" x14ac:dyDescent="0.25">
      <c r="A793" s="20">
        <v>785</v>
      </c>
      <c r="B793" s="21">
        <f t="shared" ca="1" si="134"/>
        <v>0.74178534714450894</v>
      </c>
      <c r="C793" s="21">
        <f t="shared" ca="1" si="139"/>
        <v>2386.8807896254598</v>
      </c>
      <c r="D793" s="21">
        <f t="shared" ca="1" si="135"/>
        <v>2.4763953970182131</v>
      </c>
      <c r="E793" s="21">
        <f t="shared" ca="1" si="142"/>
        <v>30.192241220226151</v>
      </c>
      <c r="F793" s="20" t="str">
        <f t="shared" ca="1" si="140"/>
        <v>No</v>
      </c>
      <c r="G793" s="21">
        <f t="shared" ca="1" si="136"/>
        <v>0</v>
      </c>
      <c r="H793" s="21">
        <f t="shared" ca="1" si="137"/>
        <v>2417.0730308456859</v>
      </c>
      <c r="I793" s="21">
        <f t="shared" ca="1" si="132"/>
        <v>2419.5494262427042</v>
      </c>
      <c r="J793" s="20">
        <f t="shared" ca="1" si="141"/>
        <v>6</v>
      </c>
      <c r="K793" s="20">
        <f t="shared" ca="1" si="133"/>
        <v>5</v>
      </c>
      <c r="L793" s="44">
        <f t="shared" ca="1" si="138"/>
        <v>5.5</v>
      </c>
    </row>
    <row r="794" spans="1:12" x14ac:dyDescent="0.25">
      <c r="A794" s="20">
        <v>786</v>
      </c>
      <c r="B794" s="21">
        <f t="shared" ca="1" si="134"/>
        <v>1.8898225861493003</v>
      </c>
      <c r="C794" s="21">
        <f t="shared" ca="1" si="139"/>
        <v>2388.7706122116092</v>
      </c>
      <c r="D794" s="21">
        <f t="shared" ca="1" si="135"/>
        <v>3.6412239318582671</v>
      </c>
      <c r="E794" s="21">
        <f t="shared" ca="1" si="142"/>
        <v>30.778814031094953</v>
      </c>
      <c r="F794" s="20" t="str">
        <f t="shared" ca="1" si="140"/>
        <v>No</v>
      </c>
      <c r="G794" s="21">
        <f t="shared" ca="1" si="136"/>
        <v>0</v>
      </c>
      <c r="H794" s="21">
        <f t="shared" ca="1" si="137"/>
        <v>2419.5494262427042</v>
      </c>
      <c r="I794" s="21">
        <f t="shared" ca="1" si="132"/>
        <v>2423.1906501745625</v>
      </c>
      <c r="J794" s="20">
        <f t="shared" ca="1" si="141"/>
        <v>6</v>
      </c>
      <c r="K794" s="20">
        <f t="shared" ca="1" si="133"/>
        <v>5</v>
      </c>
      <c r="L794" s="44">
        <f t="shared" ca="1" si="138"/>
        <v>5.5</v>
      </c>
    </row>
    <row r="795" spans="1:12" x14ac:dyDescent="0.25">
      <c r="A795" s="20">
        <v>787</v>
      </c>
      <c r="B795" s="21">
        <f t="shared" ca="1" si="134"/>
        <v>4.3745579841375886</v>
      </c>
      <c r="C795" s="21">
        <f t="shared" ca="1" si="139"/>
        <v>2393.1451701957467</v>
      </c>
      <c r="D795" s="21">
        <f t="shared" ca="1" si="135"/>
        <v>1.1174682740608677</v>
      </c>
      <c r="E795" s="21">
        <f t="shared" ca="1" si="142"/>
        <v>30.04547997881582</v>
      </c>
      <c r="F795" s="20" t="str">
        <f t="shared" ca="1" si="140"/>
        <v>No</v>
      </c>
      <c r="G795" s="21">
        <f t="shared" ca="1" si="136"/>
        <v>0</v>
      </c>
      <c r="H795" s="21">
        <f t="shared" ca="1" si="137"/>
        <v>2423.1906501745625</v>
      </c>
      <c r="I795" s="21">
        <f t="shared" ca="1" si="132"/>
        <v>2424.3081184486232</v>
      </c>
      <c r="J795" s="20">
        <f t="shared" ca="1" si="141"/>
        <v>6</v>
      </c>
      <c r="K795" s="20">
        <f t="shared" ca="1" si="133"/>
        <v>5</v>
      </c>
      <c r="L795" s="44">
        <f t="shared" ca="1" si="138"/>
        <v>5.5</v>
      </c>
    </row>
    <row r="796" spans="1:12" x14ac:dyDescent="0.25">
      <c r="A796" s="20">
        <v>788</v>
      </c>
      <c r="B796" s="21">
        <f t="shared" ca="1" si="134"/>
        <v>0.34439554614299561</v>
      </c>
      <c r="C796" s="21">
        <f t="shared" ca="1" si="139"/>
        <v>2393.4895657418897</v>
      </c>
      <c r="D796" s="21">
        <f t="shared" ca="1" si="135"/>
        <v>5.2758094260660187</v>
      </c>
      <c r="E796" s="21">
        <f t="shared" ca="1" si="142"/>
        <v>30.818552706733499</v>
      </c>
      <c r="F796" s="20" t="str">
        <f t="shared" ca="1" si="140"/>
        <v>No</v>
      </c>
      <c r="G796" s="21">
        <f t="shared" ca="1" si="136"/>
        <v>0</v>
      </c>
      <c r="H796" s="21">
        <f t="shared" ca="1" si="137"/>
        <v>2424.3081184486232</v>
      </c>
      <c r="I796" s="21">
        <f t="shared" ca="1" si="132"/>
        <v>2429.5839278746894</v>
      </c>
      <c r="J796" s="20">
        <f t="shared" ca="1" si="141"/>
        <v>6</v>
      </c>
      <c r="K796" s="20">
        <f t="shared" ca="1" si="133"/>
        <v>5</v>
      </c>
      <c r="L796" s="44">
        <f t="shared" ca="1" si="138"/>
        <v>5.5</v>
      </c>
    </row>
    <row r="797" spans="1:12" x14ac:dyDescent="0.25">
      <c r="A797" s="20">
        <v>789</v>
      </c>
      <c r="B797" s="21">
        <f t="shared" ca="1" si="134"/>
        <v>1.7289362075832608</v>
      </c>
      <c r="C797" s="21">
        <f t="shared" ca="1" si="139"/>
        <v>2395.2185019494727</v>
      </c>
      <c r="D797" s="21">
        <f t="shared" ca="1" si="135"/>
        <v>1.8641254478561726</v>
      </c>
      <c r="E797" s="21">
        <f t="shared" ca="1" si="142"/>
        <v>34.365425925216641</v>
      </c>
      <c r="F797" s="20" t="str">
        <f t="shared" ca="1" si="140"/>
        <v>No</v>
      </c>
      <c r="G797" s="21">
        <f t="shared" ca="1" si="136"/>
        <v>0</v>
      </c>
      <c r="H797" s="21">
        <f t="shared" ca="1" si="137"/>
        <v>2429.5839278746894</v>
      </c>
      <c r="I797" s="21">
        <f t="shared" ca="1" si="132"/>
        <v>2431.4480533225455</v>
      </c>
      <c r="J797" s="20">
        <f t="shared" ca="1" si="141"/>
        <v>6</v>
      </c>
      <c r="K797" s="20">
        <f t="shared" ca="1" si="133"/>
        <v>5</v>
      </c>
      <c r="L797" s="44">
        <f t="shared" ca="1" si="138"/>
        <v>5.5</v>
      </c>
    </row>
    <row r="798" spans="1:12" x14ac:dyDescent="0.25">
      <c r="A798" s="20">
        <v>790</v>
      </c>
      <c r="B798" s="21">
        <f t="shared" ca="1" si="134"/>
        <v>2.8778036324687646</v>
      </c>
      <c r="C798" s="21">
        <f t="shared" ca="1" si="139"/>
        <v>2398.0963055819416</v>
      </c>
      <c r="D798" s="21">
        <f t="shared" ca="1" si="135"/>
        <v>1.0914081716350175</v>
      </c>
      <c r="E798" s="21">
        <f t="shared" ca="1" si="142"/>
        <v>33.351747740603969</v>
      </c>
      <c r="F798" s="20" t="str">
        <f t="shared" ca="1" si="140"/>
        <v>No</v>
      </c>
      <c r="G798" s="21">
        <f t="shared" ca="1" si="136"/>
        <v>0</v>
      </c>
      <c r="H798" s="21">
        <f t="shared" ca="1" si="137"/>
        <v>2431.4480533225455</v>
      </c>
      <c r="I798" s="21">
        <f t="shared" ca="1" si="132"/>
        <v>2432.5394614941806</v>
      </c>
      <c r="J798" s="20">
        <f t="shared" ca="1" si="141"/>
        <v>6</v>
      </c>
      <c r="K798" s="20">
        <f t="shared" ca="1" si="133"/>
        <v>4</v>
      </c>
      <c r="L798" s="44">
        <f t="shared" ca="1" si="138"/>
        <v>5</v>
      </c>
    </row>
    <row r="799" spans="1:12" x14ac:dyDescent="0.25">
      <c r="A799" s="20">
        <v>791</v>
      </c>
      <c r="B799" s="21">
        <f t="shared" ca="1" si="134"/>
        <v>8.7642100157534557</v>
      </c>
      <c r="C799" s="21">
        <f t="shared" ca="1" si="139"/>
        <v>2406.8605155976952</v>
      </c>
      <c r="D799" s="21">
        <f t="shared" ca="1" si="135"/>
        <v>9.106627052124916E-2</v>
      </c>
      <c r="E799" s="21">
        <f t="shared" ca="1" si="142"/>
        <v>25.678945896485402</v>
      </c>
      <c r="F799" s="20" t="str">
        <f t="shared" ca="1" si="140"/>
        <v>No</v>
      </c>
      <c r="G799" s="21">
        <f t="shared" ca="1" si="136"/>
        <v>0</v>
      </c>
      <c r="H799" s="21">
        <f t="shared" ca="1" si="137"/>
        <v>2432.5394614941806</v>
      </c>
      <c r="I799" s="21">
        <f t="shared" ca="1" si="132"/>
        <v>2432.630527764702</v>
      </c>
      <c r="J799" s="20">
        <f t="shared" ca="1" si="141"/>
        <v>5</v>
      </c>
      <c r="K799" s="20">
        <f t="shared" ca="1" si="133"/>
        <v>3</v>
      </c>
      <c r="L799" s="44">
        <f t="shared" ca="1" si="138"/>
        <v>4</v>
      </c>
    </row>
    <row r="800" spans="1:12" x14ac:dyDescent="0.25">
      <c r="A800" s="20">
        <v>792</v>
      </c>
      <c r="B800" s="21">
        <f t="shared" ca="1" si="134"/>
        <v>4.3292618522748079</v>
      </c>
      <c r="C800" s="21">
        <f t="shared" ca="1" si="139"/>
        <v>2411.1897774499698</v>
      </c>
      <c r="D800" s="21">
        <f t="shared" ca="1" si="135"/>
        <v>0.8532390539067628</v>
      </c>
      <c r="E800" s="21">
        <f t="shared" ca="1" si="142"/>
        <v>21.440750314732213</v>
      </c>
      <c r="F800" s="20" t="str">
        <f t="shared" ca="1" si="140"/>
        <v>No</v>
      </c>
      <c r="G800" s="21">
        <f t="shared" ca="1" si="136"/>
        <v>0</v>
      </c>
      <c r="H800" s="21">
        <f t="shared" ca="1" si="137"/>
        <v>2432.630527764702</v>
      </c>
      <c r="I800" s="21">
        <f t="shared" ca="1" si="132"/>
        <v>2433.4837668186087</v>
      </c>
      <c r="J800" s="20">
        <f t="shared" ca="1" si="141"/>
        <v>4</v>
      </c>
      <c r="K800" s="20">
        <f t="shared" ca="1" si="133"/>
        <v>2</v>
      </c>
      <c r="L800" s="44">
        <f t="shared" ca="1" si="138"/>
        <v>3</v>
      </c>
    </row>
    <row r="801" spans="1:12" x14ac:dyDescent="0.25">
      <c r="A801" s="20">
        <v>793</v>
      </c>
      <c r="B801" s="21">
        <f t="shared" ca="1" si="134"/>
        <v>1.3740884902655037</v>
      </c>
      <c r="C801" s="21">
        <f t="shared" ca="1" si="139"/>
        <v>2412.5638659402352</v>
      </c>
      <c r="D801" s="21">
        <f t="shared" ca="1" si="135"/>
        <v>1.4647517722918615</v>
      </c>
      <c r="E801" s="21">
        <f t="shared" ca="1" si="142"/>
        <v>20.919900878373483</v>
      </c>
      <c r="F801" s="20" t="str">
        <f t="shared" ca="1" si="140"/>
        <v>No</v>
      </c>
      <c r="G801" s="21">
        <f t="shared" ca="1" si="136"/>
        <v>0</v>
      </c>
      <c r="H801" s="21">
        <f t="shared" ca="1" si="137"/>
        <v>2433.4837668186087</v>
      </c>
      <c r="I801" s="21">
        <f t="shared" ca="1" si="132"/>
        <v>2434.9485185909007</v>
      </c>
      <c r="J801" s="20">
        <f t="shared" ca="1" si="141"/>
        <v>3</v>
      </c>
      <c r="K801" s="20">
        <f t="shared" ca="1" si="133"/>
        <v>2</v>
      </c>
      <c r="L801" s="44">
        <f t="shared" ca="1" si="138"/>
        <v>2.5</v>
      </c>
    </row>
    <row r="802" spans="1:12" x14ac:dyDescent="0.25">
      <c r="A802" s="20">
        <v>794</v>
      </c>
      <c r="B802" s="21">
        <f t="shared" ca="1" si="134"/>
        <v>7.4031474311073282</v>
      </c>
      <c r="C802" s="21">
        <f t="shared" ca="1" si="139"/>
        <v>2419.9670133713425</v>
      </c>
      <c r="D802" s="21">
        <f t="shared" ca="1" si="135"/>
        <v>7.3403039130292118</v>
      </c>
      <c r="E802" s="21">
        <f t="shared" ca="1" si="142"/>
        <v>14.98150521955813</v>
      </c>
      <c r="F802" s="20" t="str">
        <f t="shared" ca="1" si="140"/>
        <v>No</v>
      </c>
      <c r="G802" s="21">
        <f t="shared" ca="1" si="136"/>
        <v>0</v>
      </c>
      <c r="H802" s="21">
        <f t="shared" ca="1" si="137"/>
        <v>2434.9485185909007</v>
      </c>
      <c r="I802" s="21">
        <f t="shared" ca="1" si="132"/>
        <v>2442.2888225039301</v>
      </c>
      <c r="J802" s="20">
        <f t="shared" ca="1" si="141"/>
        <v>3</v>
      </c>
      <c r="K802" s="20">
        <f t="shared" ca="1" si="133"/>
        <v>4</v>
      </c>
      <c r="L802" s="44">
        <f t="shared" ca="1" si="138"/>
        <v>3.5</v>
      </c>
    </row>
    <row r="803" spans="1:12" x14ac:dyDescent="0.25">
      <c r="A803" s="20">
        <v>795</v>
      </c>
      <c r="B803" s="21">
        <f t="shared" ca="1" si="134"/>
        <v>14.883673330334849</v>
      </c>
      <c r="C803" s="21">
        <f t="shared" ca="1" si="139"/>
        <v>2434.8506867016772</v>
      </c>
      <c r="D803" s="21">
        <f t="shared" ca="1" si="135"/>
        <v>0.97784634935627168</v>
      </c>
      <c r="E803" s="21">
        <f t="shared" ca="1" si="142"/>
        <v>7.438135802252873</v>
      </c>
      <c r="F803" s="20" t="str">
        <f t="shared" ca="1" si="140"/>
        <v>No</v>
      </c>
      <c r="G803" s="21">
        <f t="shared" ca="1" si="136"/>
        <v>0</v>
      </c>
      <c r="H803" s="21">
        <f t="shared" ca="1" si="137"/>
        <v>2442.2888225039301</v>
      </c>
      <c r="I803" s="21">
        <f t="shared" ca="1" si="132"/>
        <v>2443.2666688532863</v>
      </c>
      <c r="J803" s="20">
        <f t="shared" ca="1" si="141"/>
        <v>5</v>
      </c>
      <c r="K803" s="20">
        <f t="shared" ca="1" si="133"/>
        <v>3</v>
      </c>
      <c r="L803" s="44">
        <f t="shared" ca="1" si="138"/>
        <v>4</v>
      </c>
    </row>
    <row r="804" spans="1:12" x14ac:dyDescent="0.25">
      <c r="A804" s="20">
        <v>796</v>
      </c>
      <c r="B804" s="21">
        <f t="shared" ca="1" si="134"/>
        <v>2.8832129748920861</v>
      </c>
      <c r="C804" s="21">
        <f t="shared" ca="1" si="139"/>
        <v>2437.7338996765693</v>
      </c>
      <c r="D804" s="21">
        <f t="shared" ca="1" si="135"/>
        <v>3.4482614498456221</v>
      </c>
      <c r="E804" s="21">
        <f t="shared" ca="1" si="142"/>
        <v>5.5327691767170109</v>
      </c>
      <c r="F804" s="20" t="str">
        <f t="shared" ca="1" si="140"/>
        <v>No</v>
      </c>
      <c r="G804" s="21">
        <f t="shared" ca="1" si="136"/>
        <v>0</v>
      </c>
      <c r="H804" s="21">
        <f t="shared" ca="1" si="137"/>
        <v>2443.2666688532863</v>
      </c>
      <c r="I804" s="21">
        <f t="shared" ca="1" si="132"/>
        <v>2446.714930303132</v>
      </c>
      <c r="J804" s="20">
        <f t="shared" ca="1" si="141"/>
        <v>4</v>
      </c>
      <c r="K804" s="20">
        <f t="shared" ca="1" si="133"/>
        <v>4</v>
      </c>
      <c r="L804" s="44">
        <f t="shared" ca="1" si="138"/>
        <v>4</v>
      </c>
    </row>
    <row r="805" spans="1:12" x14ac:dyDescent="0.25">
      <c r="A805" s="20">
        <v>797</v>
      </c>
      <c r="B805" s="21">
        <f t="shared" ca="1" si="134"/>
        <v>1.2026433009259154</v>
      </c>
      <c r="C805" s="21">
        <f t="shared" ca="1" si="139"/>
        <v>2438.9365429774953</v>
      </c>
      <c r="D805" s="21">
        <f t="shared" ca="1" si="135"/>
        <v>1.7675320069041003E-2</v>
      </c>
      <c r="E805" s="21">
        <f t="shared" ca="1" si="142"/>
        <v>7.778387325636686</v>
      </c>
      <c r="F805" s="20" t="str">
        <f t="shared" ca="1" si="140"/>
        <v>No</v>
      </c>
      <c r="G805" s="21">
        <f t="shared" ca="1" si="136"/>
        <v>0</v>
      </c>
      <c r="H805" s="21">
        <f t="shared" ca="1" si="137"/>
        <v>2446.714930303132</v>
      </c>
      <c r="I805" s="21">
        <f t="shared" ca="1" si="132"/>
        <v>2446.7326056232009</v>
      </c>
      <c r="J805" s="20">
        <f t="shared" ca="1" si="141"/>
        <v>5</v>
      </c>
      <c r="K805" s="20">
        <f t="shared" ca="1" si="133"/>
        <v>3</v>
      </c>
      <c r="L805" s="44">
        <f t="shared" ca="1" si="138"/>
        <v>4</v>
      </c>
    </row>
    <row r="806" spans="1:12" x14ac:dyDescent="0.25">
      <c r="A806" s="20">
        <v>798</v>
      </c>
      <c r="B806" s="21">
        <f t="shared" ca="1" si="134"/>
        <v>1.4640280398142129</v>
      </c>
      <c r="C806" s="21">
        <f t="shared" ca="1" si="139"/>
        <v>2440.4005710173096</v>
      </c>
      <c r="D806" s="21">
        <f t="shared" ca="1" si="135"/>
        <v>5.321851304707252</v>
      </c>
      <c r="E806" s="21">
        <f t="shared" ca="1" si="142"/>
        <v>6.3320346058912946</v>
      </c>
      <c r="F806" s="20" t="str">
        <f t="shared" ca="1" si="140"/>
        <v>No</v>
      </c>
      <c r="G806" s="21">
        <f t="shared" ca="1" si="136"/>
        <v>0</v>
      </c>
      <c r="H806" s="21">
        <f t="shared" ca="1" si="137"/>
        <v>2446.7326056232009</v>
      </c>
      <c r="I806" s="21">
        <f t="shared" ca="1" si="132"/>
        <v>2452.0544569279082</v>
      </c>
      <c r="J806" s="20">
        <f t="shared" ca="1" si="141"/>
        <v>4</v>
      </c>
      <c r="K806" s="20">
        <f t="shared" ca="1" si="133"/>
        <v>5</v>
      </c>
      <c r="L806" s="44">
        <f t="shared" ca="1" si="138"/>
        <v>4.5</v>
      </c>
    </row>
    <row r="807" spans="1:12" x14ac:dyDescent="0.25">
      <c r="A807" s="20">
        <v>799</v>
      </c>
      <c r="B807" s="21">
        <f t="shared" ca="1" si="134"/>
        <v>4.2989532891477999</v>
      </c>
      <c r="C807" s="21">
        <f t="shared" ca="1" si="139"/>
        <v>2444.6995243064575</v>
      </c>
      <c r="D807" s="21">
        <f t="shared" ca="1" si="135"/>
        <v>7.2488859774356706</v>
      </c>
      <c r="E807" s="21">
        <f t="shared" ca="1" si="142"/>
        <v>7.3549326214506436</v>
      </c>
      <c r="F807" s="20" t="str">
        <f t="shared" ca="1" si="140"/>
        <v>No</v>
      </c>
      <c r="G807" s="21">
        <f t="shared" ca="1" si="136"/>
        <v>0</v>
      </c>
      <c r="H807" s="21">
        <f t="shared" ca="1" si="137"/>
        <v>2452.0544569279082</v>
      </c>
      <c r="I807" s="21">
        <f t="shared" ca="1" si="132"/>
        <v>2459.3033429053439</v>
      </c>
      <c r="J807" s="20">
        <f t="shared" ca="1" si="141"/>
        <v>6</v>
      </c>
      <c r="K807" s="20">
        <f t="shared" ca="1" si="133"/>
        <v>5</v>
      </c>
      <c r="L807" s="44">
        <f t="shared" ca="1" si="138"/>
        <v>5.5</v>
      </c>
    </row>
    <row r="808" spans="1:12" x14ac:dyDescent="0.25">
      <c r="A808" s="20">
        <v>800</v>
      </c>
      <c r="B808" s="21">
        <f t="shared" ca="1" si="134"/>
        <v>0.7143073455388308</v>
      </c>
      <c r="C808" s="21">
        <f t="shared" ca="1" si="139"/>
        <v>2445.4138316519966</v>
      </c>
      <c r="D808" s="21">
        <f t="shared" ca="1" si="135"/>
        <v>3.7098099887957616</v>
      </c>
      <c r="E808" s="21">
        <f t="shared" ca="1" si="142"/>
        <v>13.889511253347337</v>
      </c>
      <c r="F808" s="20" t="str">
        <f t="shared" ca="1" si="140"/>
        <v>No</v>
      </c>
      <c r="G808" s="21">
        <f t="shared" ca="1" si="136"/>
        <v>0</v>
      </c>
      <c r="H808" s="21">
        <f t="shared" ca="1" si="137"/>
        <v>2459.3033429053439</v>
      </c>
      <c r="I808" s="21">
        <f t="shared" ca="1" si="132"/>
        <v>2463.0131528941397</v>
      </c>
      <c r="J808" s="20">
        <f t="shared" ca="1" si="141"/>
        <v>6</v>
      </c>
      <c r="K808" s="20">
        <f t="shared" ca="1" si="133"/>
        <v>5</v>
      </c>
      <c r="L808" s="44">
        <f t="shared" ca="1" si="138"/>
        <v>5.5</v>
      </c>
    </row>
    <row r="809" spans="1:12" x14ac:dyDescent="0.25">
      <c r="A809" s="20">
        <v>801</v>
      </c>
      <c r="B809" s="21">
        <f t="shared" ca="1" si="134"/>
        <v>1.7044937130769093</v>
      </c>
      <c r="C809" s="21">
        <f t="shared" ca="1" si="139"/>
        <v>2447.1183253650734</v>
      </c>
      <c r="D809" s="21">
        <f t="shared" ca="1" si="135"/>
        <v>4.7725480898940003</v>
      </c>
      <c r="E809" s="21">
        <f t="shared" ca="1" si="142"/>
        <v>15.894827529066333</v>
      </c>
      <c r="F809" s="20" t="str">
        <f t="shared" ca="1" si="140"/>
        <v>No</v>
      </c>
      <c r="G809" s="21">
        <f t="shared" ca="1" si="136"/>
        <v>0</v>
      </c>
      <c r="H809" s="21">
        <f t="shared" ca="1" si="137"/>
        <v>2463.0131528941397</v>
      </c>
      <c r="I809" s="21">
        <f t="shared" ca="1" si="132"/>
        <v>2467.7857009840336</v>
      </c>
      <c r="J809" s="20">
        <f t="shared" ca="1" si="141"/>
        <v>6</v>
      </c>
      <c r="K809" s="20">
        <f t="shared" ca="1" si="133"/>
        <v>4</v>
      </c>
      <c r="L809" s="44">
        <f t="shared" ca="1" si="138"/>
        <v>5</v>
      </c>
    </row>
    <row r="810" spans="1:12" x14ac:dyDescent="0.25">
      <c r="A810" s="20">
        <v>802</v>
      </c>
      <c r="B810" s="21">
        <f t="shared" ca="1" si="134"/>
        <v>0.23945389158207042</v>
      </c>
      <c r="C810" s="21">
        <f t="shared" ca="1" si="139"/>
        <v>2447.3577792566552</v>
      </c>
      <c r="D810" s="21">
        <f t="shared" ca="1" si="135"/>
        <v>4.1880499614433564</v>
      </c>
      <c r="E810" s="21">
        <f t="shared" ca="1" si="142"/>
        <v>20.427921727378362</v>
      </c>
      <c r="F810" s="20" t="str">
        <f t="shared" ca="1" si="140"/>
        <v>No</v>
      </c>
      <c r="G810" s="21">
        <f t="shared" ca="1" si="136"/>
        <v>0</v>
      </c>
      <c r="H810" s="21">
        <f t="shared" ca="1" si="137"/>
        <v>2467.7857009840336</v>
      </c>
      <c r="I810" s="21">
        <f t="shared" ca="1" si="132"/>
        <v>2471.9737509454771</v>
      </c>
      <c r="J810" s="20">
        <f t="shared" ca="1" si="141"/>
        <v>5</v>
      </c>
      <c r="K810" s="20">
        <f t="shared" ca="1" si="133"/>
        <v>5</v>
      </c>
      <c r="L810" s="44">
        <f t="shared" ca="1" si="138"/>
        <v>5</v>
      </c>
    </row>
    <row r="811" spans="1:12" x14ac:dyDescent="0.25">
      <c r="A811" s="20">
        <v>803</v>
      </c>
      <c r="B811" s="21">
        <f t="shared" ca="1" si="134"/>
        <v>3.1504083952837165</v>
      </c>
      <c r="C811" s="21">
        <f t="shared" ca="1" si="139"/>
        <v>2450.5081876519389</v>
      </c>
      <c r="D811" s="21">
        <f t="shared" ca="1" si="135"/>
        <v>1.4592279310168288</v>
      </c>
      <c r="E811" s="21">
        <f t="shared" ca="1" si="142"/>
        <v>21.465563293538253</v>
      </c>
      <c r="F811" s="20" t="str">
        <f t="shared" ca="1" si="140"/>
        <v>No</v>
      </c>
      <c r="G811" s="21">
        <f t="shared" ca="1" si="136"/>
        <v>0</v>
      </c>
      <c r="H811" s="21">
        <f t="shared" ca="1" si="137"/>
        <v>2471.9737509454771</v>
      </c>
      <c r="I811" s="21">
        <f t="shared" ca="1" si="132"/>
        <v>2473.432978876494</v>
      </c>
      <c r="J811" s="20">
        <f t="shared" ca="1" si="141"/>
        <v>6</v>
      </c>
      <c r="K811" s="20">
        <f t="shared" ca="1" si="133"/>
        <v>5</v>
      </c>
      <c r="L811" s="44">
        <f t="shared" ca="1" si="138"/>
        <v>5.5</v>
      </c>
    </row>
    <row r="812" spans="1:12" x14ac:dyDescent="0.25">
      <c r="A812" s="20">
        <v>804</v>
      </c>
      <c r="B812" s="21">
        <f t="shared" ca="1" si="134"/>
        <v>5.2239380344170927</v>
      </c>
      <c r="C812" s="21">
        <f t="shared" ca="1" si="139"/>
        <v>2455.7321256863561</v>
      </c>
      <c r="D812" s="21">
        <f t="shared" ca="1" si="135"/>
        <v>0.58206708634417736</v>
      </c>
      <c r="E812" s="21">
        <f t="shared" ca="1" si="142"/>
        <v>17.700853190137877</v>
      </c>
      <c r="F812" s="20" t="str">
        <f t="shared" ca="1" si="140"/>
        <v>No</v>
      </c>
      <c r="G812" s="21">
        <f t="shared" ca="1" si="136"/>
        <v>0</v>
      </c>
      <c r="H812" s="21">
        <f t="shared" ca="1" si="137"/>
        <v>2473.432978876494</v>
      </c>
      <c r="I812" s="21">
        <f t="shared" ca="1" si="132"/>
        <v>2474.015045962838</v>
      </c>
      <c r="J812" s="20">
        <f t="shared" ca="1" si="141"/>
        <v>6</v>
      </c>
      <c r="K812" s="20">
        <f t="shared" ca="1" si="133"/>
        <v>5</v>
      </c>
      <c r="L812" s="44">
        <f t="shared" ca="1" si="138"/>
        <v>5.5</v>
      </c>
    </row>
    <row r="813" spans="1:12" x14ac:dyDescent="0.25">
      <c r="A813" s="20">
        <v>805</v>
      </c>
      <c r="B813" s="21">
        <f t="shared" ca="1" si="134"/>
        <v>1.0185417258631297</v>
      </c>
      <c r="C813" s="21">
        <f t="shared" ca="1" si="139"/>
        <v>2456.7506674122192</v>
      </c>
      <c r="D813" s="21">
        <f t="shared" ca="1" si="135"/>
        <v>0.39329273688314709</v>
      </c>
      <c r="E813" s="21">
        <f t="shared" ca="1" si="142"/>
        <v>17.264378550618858</v>
      </c>
      <c r="F813" s="20" t="str">
        <f t="shared" ca="1" si="140"/>
        <v>No</v>
      </c>
      <c r="G813" s="21">
        <f t="shared" ca="1" si="136"/>
        <v>0</v>
      </c>
      <c r="H813" s="21">
        <f t="shared" ca="1" si="137"/>
        <v>2474.015045962838</v>
      </c>
      <c r="I813" s="21">
        <f t="shared" ca="1" si="132"/>
        <v>2474.4083386997213</v>
      </c>
      <c r="J813" s="20">
        <f t="shared" ca="1" si="141"/>
        <v>6</v>
      </c>
      <c r="K813" s="20">
        <f t="shared" ca="1" si="133"/>
        <v>5</v>
      </c>
      <c r="L813" s="44">
        <f t="shared" ca="1" si="138"/>
        <v>5.5</v>
      </c>
    </row>
    <row r="814" spans="1:12" x14ac:dyDescent="0.25">
      <c r="A814" s="20">
        <v>806</v>
      </c>
      <c r="B814" s="21">
        <f t="shared" ca="1" si="134"/>
        <v>11.701349708553817</v>
      </c>
      <c r="C814" s="21">
        <f t="shared" ca="1" si="139"/>
        <v>2468.4520171207728</v>
      </c>
      <c r="D814" s="21">
        <f t="shared" ca="1" si="135"/>
        <v>0.40894878956047215</v>
      </c>
      <c r="E814" s="21">
        <f t="shared" ca="1" si="142"/>
        <v>5.9563215789485184</v>
      </c>
      <c r="F814" s="20" t="str">
        <f t="shared" ca="1" si="140"/>
        <v>No</v>
      </c>
      <c r="G814" s="21">
        <f t="shared" ca="1" si="136"/>
        <v>0</v>
      </c>
      <c r="H814" s="21">
        <f t="shared" ca="1" si="137"/>
        <v>2474.4083386997213</v>
      </c>
      <c r="I814" s="21">
        <f t="shared" ca="1" si="132"/>
        <v>2474.8172874892816</v>
      </c>
      <c r="J814" s="20">
        <f t="shared" ca="1" si="141"/>
        <v>6</v>
      </c>
      <c r="K814" s="20">
        <f t="shared" ca="1" si="133"/>
        <v>5</v>
      </c>
      <c r="L814" s="44">
        <f t="shared" ca="1" si="138"/>
        <v>5.5</v>
      </c>
    </row>
    <row r="815" spans="1:12" x14ac:dyDescent="0.25">
      <c r="A815" s="20">
        <v>807</v>
      </c>
      <c r="B815" s="21">
        <f t="shared" ca="1" si="134"/>
        <v>0.55153032680631286</v>
      </c>
      <c r="C815" s="21">
        <f t="shared" ca="1" si="139"/>
        <v>2469.003547447579</v>
      </c>
      <c r="D815" s="21">
        <f t="shared" ca="1" si="135"/>
        <v>1.7271854126563302</v>
      </c>
      <c r="E815" s="21">
        <f t="shared" ca="1" si="142"/>
        <v>5.8137400417026583</v>
      </c>
      <c r="F815" s="20" t="str">
        <f t="shared" ca="1" si="140"/>
        <v>No</v>
      </c>
      <c r="G815" s="21">
        <f t="shared" ca="1" si="136"/>
        <v>0</v>
      </c>
      <c r="H815" s="21">
        <f t="shared" ca="1" si="137"/>
        <v>2474.8172874892816</v>
      </c>
      <c r="I815" s="21">
        <f t="shared" ca="1" si="132"/>
        <v>2476.5444729019378</v>
      </c>
      <c r="J815" s="20">
        <f t="shared" ca="1" si="141"/>
        <v>6</v>
      </c>
      <c r="K815" s="20">
        <f t="shared" ca="1" si="133"/>
        <v>5</v>
      </c>
      <c r="L815" s="44">
        <f t="shared" ca="1" si="138"/>
        <v>5.5</v>
      </c>
    </row>
    <row r="816" spans="1:12" x14ac:dyDescent="0.25">
      <c r="A816" s="20">
        <v>808</v>
      </c>
      <c r="B816" s="21">
        <f t="shared" ca="1" si="134"/>
        <v>0.6791691777846498</v>
      </c>
      <c r="C816" s="21">
        <f t="shared" ca="1" si="139"/>
        <v>2469.6827166253638</v>
      </c>
      <c r="D816" s="21">
        <f t="shared" ca="1" si="135"/>
        <v>3.8390576934659437</v>
      </c>
      <c r="E816" s="21">
        <f t="shared" ca="1" si="142"/>
        <v>6.8617562765739422</v>
      </c>
      <c r="F816" s="20" t="str">
        <f t="shared" ca="1" si="140"/>
        <v>No</v>
      </c>
      <c r="G816" s="21">
        <f t="shared" ca="1" si="136"/>
        <v>0</v>
      </c>
      <c r="H816" s="21">
        <f t="shared" ca="1" si="137"/>
        <v>2476.5444729019378</v>
      </c>
      <c r="I816" s="21">
        <f t="shared" ca="1" si="132"/>
        <v>2480.3835305954035</v>
      </c>
      <c r="J816" s="20">
        <f t="shared" ca="1" si="141"/>
        <v>6</v>
      </c>
      <c r="K816" s="20">
        <f t="shared" ca="1" si="133"/>
        <v>5</v>
      </c>
      <c r="L816" s="44">
        <f t="shared" ca="1" si="138"/>
        <v>5.5</v>
      </c>
    </row>
    <row r="817" spans="1:12" x14ac:dyDescent="0.25">
      <c r="A817" s="20">
        <v>809</v>
      </c>
      <c r="B817" s="21">
        <f t="shared" ca="1" si="134"/>
        <v>0.12600259499062591</v>
      </c>
      <c r="C817" s="21">
        <f t="shared" ca="1" si="139"/>
        <v>2469.8087192203543</v>
      </c>
      <c r="D817" s="21">
        <f t="shared" ca="1" si="135"/>
        <v>4.3310681883190867</v>
      </c>
      <c r="E817" s="21">
        <f t="shared" ca="1" si="142"/>
        <v>10.574811375049194</v>
      </c>
      <c r="F817" s="20" t="str">
        <f t="shared" ca="1" si="140"/>
        <v>No</v>
      </c>
      <c r="G817" s="21">
        <f t="shared" ca="1" si="136"/>
        <v>0</v>
      </c>
      <c r="H817" s="21">
        <f t="shared" ca="1" si="137"/>
        <v>2480.3835305954035</v>
      </c>
      <c r="I817" s="21">
        <f t="shared" ca="1" si="132"/>
        <v>2484.7145987837225</v>
      </c>
      <c r="J817" s="20">
        <f t="shared" ca="1" si="141"/>
        <v>6</v>
      </c>
      <c r="K817" s="20">
        <f t="shared" ca="1" si="133"/>
        <v>4</v>
      </c>
      <c r="L817" s="44">
        <f t="shared" ca="1" si="138"/>
        <v>5</v>
      </c>
    </row>
    <row r="818" spans="1:12" x14ac:dyDescent="0.25">
      <c r="A818" s="20">
        <v>810</v>
      </c>
      <c r="B818" s="21">
        <f t="shared" ca="1" si="134"/>
        <v>1.1036653038550761</v>
      </c>
      <c r="C818" s="21">
        <f t="shared" ca="1" si="139"/>
        <v>2470.9123845242093</v>
      </c>
      <c r="D818" s="21">
        <f t="shared" ca="1" si="135"/>
        <v>0.42203840705049944</v>
      </c>
      <c r="E818" s="21">
        <f t="shared" ca="1" si="142"/>
        <v>13.802214259513221</v>
      </c>
      <c r="F818" s="20" t="str">
        <f t="shared" ca="1" si="140"/>
        <v>No</v>
      </c>
      <c r="G818" s="21">
        <f t="shared" ca="1" si="136"/>
        <v>0</v>
      </c>
      <c r="H818" s="21">
        <f t="shared" ca="1" si="137"/>
        <v>2484.7145987837225</v>
      </c>
      <c r="I818" s="21">
        <f t="shared" ca="1" si="132"/>
        <v>2485.1366371907729</v>
      </c>
      <c r="J818" s="20">
        <f t="shared" ca="1" si="141"/>
        <v>5</v>
      </c>
      <c r="K818" s="20">
        <f t="shared" ca="1" si="133"/>
        <v>3</v>
      </c>
      <c r="L818" s="44">
        <f t="shared" ca="1" si="138"/>
        <v>4</v>
      </c>
    </row>
    <row r="819" spans="1:12" x14ac:dyDescent="0.25">
      <c r="A819" s="20">
        <v>811</v>
      </c>
      <c r="B819" s="21">
        <f t="shared" ca="1" si="134"/>
        <v>1.169419216007646</v>
      </c>
      <c r="C819" s="21">
        <f t="shared" ca="1" si="139"/>
        <v>2472.0818037402169</v>
      </c>
      <c r="D819" s="21">
        <f t="shared" ca="1" si="135"/>
        <v>2.6841839076273502</v>
      </c>
      <c r="E819" s="21">
        <f t="shared" ca="1" si="142"/>
        <v>13.054833450556089</v>
      </c>
      <c r="F819" s="20" t="str">
        <f t="shared" ca="1" si="140"/>
        <v>No</v>
      </c>
      <c r="G819" s="21">
        <f t="shared" ca="1" si="136"/>
        <v>0</v>
      </c>
      <c r="H819" s="21">
        <f t="shared" ca="1" si="137"/>
        <v>2485.1366371907729</v>
      </c>
      <c r="I819" s="21">
        <f t="shared" ca="1" si="132"/>
        <v>2487.8208210984003</v>
      </c>
      <c r="J819" s="20">
        <f t="shared" ca="1" si="141"/>
        <v>4</v>
      </c>
      <c r="K819" s="20">
        <f t="shared" ca="1" si="133"/>
        <v>2</v>
      </c>
      <c r="L819" s="44">
        <f t="shared" ca="1" si="138"/>
        <v>3</v>
      </c>
    </row>
    <row r="820" spans="1:12" x14ac:dyDescent="0.25">
      <c r="A820" s="20">
        <v>812</v>
      </c>
      <c r="B820" s="21">
        <f t="shared" ca="1" si="134"/>
        <v>1.0473499726220543</v>
      </c>
      <c r="C820" s="21">
        <f t="shared" ca="1" si="139"/>
        <v>2473.1291537128391</v>
      </c>
      <c r="D820" s="21">
        <f t="shared" ca="1" si="135"/>
        <v>2.2674418215561376</v>
      </c>
      <c r="E820" s="21">
        <f t="shared" ca="1" si="142"/>
        <v>14.691667385561232</v>
      </c>
      <c r="F820" s="20" t="str">
        <f t="shared" ca="1" si="140"/>
        <v>No</v>
      </c>
      <c r="G820" s="21">
        <f t="shared" ca="1" si="136"/>
        <v>0</v>
      </c>
      <c r="H820" s="21">
        <f t="shared" ca="1" si="137"/>
        <v>2487.8208210984003</v>
      </c>
      <c r="I820" s="21">
        <f t="shared" ca="1" si="132"/>
        <v>2490.0882629199564</v>
      </c>
      <c r="J820" s="20">
        <f t="shared" ca="1" si="141"/>
        <v>3</v>
      </c>
      <c r="K820" s="20">
        <f t="shared" ca="1" si="133"/>
        <v>1</v>
      </c>
      <c r="L820" s="44">
        <f t="shared" ca="1" si="138"/>
        <v>2</v>
      </c>
    </row>
    <row r="821" spans="1:12" x14ac:dyDescent="0.25">
      <c r="A821" s="20">
        <v>813</v>
      </c>
      <c r="B821" s="21">
        <f t="shared" ca="1" si="134"/>
        <v>0.69881657036217604</v>
      </c>
      <c r="C821" s="21">
        <f t="shared" ca="1" si="139"/>
        <v>2473.8279702832015</v>
      </c>
      <c r="D821" s="21">
        <f t="shared" ca="1" si="135"/>
        <v>4.0522064503172412</v>
      </c>
      <c r="E821" s="21">
        <f t="shared" ca="1" si="142"/>
        <v>16.260292636754912</v>
      </c>
      <c r="F821" s="20" t="str">
        <f t="shared" ca="1" si="140"/>
        <v>No</v>
      </c>
      <c r="G821" s="21">
        <f t="shared" ca="1" si="136"/>
        <v>0</v>
      </c>
      <c r="H821" s="21">
        <f t="shared" ca="1" si="137"/>
        <v>2490.0882629199564</v>
      </c>
      <c r="I821" s="21">
        <f t="shared" ca="1" si="132"/>
        <v>2494.1404693702734</v>
      </c>
      <c r="J821" s="20">
        <f t="shared" ca="1" si="141"/>
        <v>2</v>
      </c>
      <c r="K821" s="20">
        <f t="shared" ca="1" si="133"/>
        <v>2</v>
      </c>
      <c r="L821" s="44">
        <f t="shared" ca="1" si="138"/>
        <v>2</v>
      </c>
    </row>
    <row r="822" spans="1:12" x14ac:dyDescent="0.25">
      <c r="A822" s="20">
        <v>814</v>
      </c>
      <c r="B822" s="21">
        <f t="shared" ca="1" si="134"/>
        <v>17.844418259758829</v>
      </c>
      <c r="C822" s="21">
        <f t="shared" ca="1" si="139"/>
        <v>2491.6723885429601</v>
      </c>
      <c r="D822" s="21">
        <f t="shared" ca="1" si="135"/>
        <v>0.12974231091502053</v>
      </c>
      <c r="E822" s="21">
        <f t="shared" ca="1" si="142"/>
        <v>2.4680808273133152</v>
      </c>
      <c r="F822" s="20" t="str">
        <f t="shared" ca="1" si="140"/>
        <v>No</v>
      </c>
      <c r="G822" s="21">
        <f t="shared" ca="1" si="136"/>
        <v>0</v>
      </c>
      <c r="H822" s="21">
        <f t="shared" ca="1" si="137"/>
        <v>2494.1404693702734</v>
      </c>
      <c r="I822" s="21">
        <f t="shared" ca="1" si="132"/>
        <v>2494.2702116811884</v>
      </c>
      <c r="J822" s="20">
        <f t="shared" ca="1" si="141"/>
        <v>3</v>
      </c>
      <c r="K822" s="20">
        <f t="shared" ca="1" si="133"/>
        <v>1</v>
      </c>
      <c r="L822" s="44">
        <f t="shared" ca="1" si="138"/>
        <v>2</v>
      </c>
    </row>
    <row r="823" spans="1:12" x14ac:dyDescent="0.25">
      <c r="A823" s="20">
        <v>815</v>
      </c>
      <c r="B823" s="21">
        <f t="shared" ca="1" si="134"/>
        <v>2.3113941435173491</v>
      </c>
      <c r="C823" s="21">
        <f t="shared" ca="1" si="139"/>
        <v>2493.9837826864773</v>
      </c>
      <c r="D823" s="21">
        <f t="shared" ca="1" si="135"/>
        <v>1.8725806874124036</v>
      </c>
      <c r="E823" s="21">
        <f t="shared" ca="1" si="142"/>
        <v>0.2864289947110592</v>
      </c>
      <c r="F823" s="20" t="str">
        <f t="shared" ca="1" si="140"/>
        <v>No</v>
      </c>
      <c r="G823" s="21">
        <f t="shared" ca="1" si="136"/>
        <v>0</v>
      </c>
      <c r="H823" s="21">
        <f t="shared" ca="1" si="137"/>
        <v>2494.2702116811884</v>
      </c>
      <c r="I823" s="21">
        <f t="shared" ca="1" si="132"/>
        <v>2496.1427923686006</v>
      </c>
      <c r="J823" s="20">
        <f t="shared" ca="1" si="141"/>
        <v>2</v>
      </c>
      <c r="K823" s="20">
        <f t="shared" ca="1" si="133"/>
        <v>2</v>
      </c>
      <c r="L823" s="44">
        <f t="shared" ca="1" si="138"/>
        <v>2</v>
      </c>
    </row>
    <row r="824" spans="1:12" x14ac:dyDescent="0.25">
      <c r="A824" s="20">
        <v>816</v>
      </c>
      <c r="B824" s="21">
        <f t="shared" ca="1" si="134"/>
        <v>0.29639903405811135</v>
      </c>
      <c r="C824" s="21">
        <f t="shared" ca="1" si="139"/>
        <v>2494.2801817205354</v>
      </c>
      <c r="D824" s="21">
        <f t="shared" ca="1" si="135"/>
        <v>3.4340207434024386</v>
      </c>
      <c r="E824" s="21">
        <f t="shared" ca="1" si="142"/>
        <v>1.8626106480651288</v>
      </c>
      <c r="F824" s="20" t="str">
        <f t="shared" ca="1" si="140"/>
        <v>No</v>
      </c>
      <c r="G824" s="21">
        <f t="shared" ca="1" si="136"/>
        <v>0</v>
      </c>
      <c r="H824" s="21">
        <f t="shared" ca="1" si="137"/>
        <v>2496.1427923686006</v>
      </c>
      <c r="I824" s="21">
        <f t="shared" ca="1" si="132"/>
        <v>2499.576813112003</v>
      </c>
      <c r="J824" s="20">
        <f t="shared" ca="1" si="141"/>
        <v>3</v>
      </c>
      <c r="K824" s="20">
        <f t="shared" ca="1" si="133"/>
        <v>3</v>
      </c>
      <c r="L824" s="44">
        <f t="shared" ca="1" si="138"/>
        <v>3</v>
      </c>
    </row>
    <row r="825" spans="1:12" x14ac:dyDescent="0.25">
      <c r="A825" s="20">
        <v>817</v>
      </c>
      <c r="B825" s="21">
        <f t="shared" ca="1" si="134"/>
        <v>1.3919722443768219</v>
      </c>
      <c r="C825" s="21">
        <f t="shared" ca="1" si="139"/>
        <v>2495.6721539649125</v>
      </c>
      <c r="D825" s="21">
        <f t="shared" ca="1" si="135"/>
        <v>1.6415309057281462</v>
      </c>
      <c r="E825" s="21">
        <f t="shared" ca="1" si="142"/>
        <v>3.9046591470905696</v>
      </c>
      <c r="F825" s="20" t="str">
        <f t="shared" ca="1" si="140"/>
        <v>No</v>
      </c>
      <c r="G825" s="21">
        <f t="shared" ca="1" si="136"/>
        <v>0</v>
      </c>
      <c r="H825" s="21">
        <f t="shared" ca="1" si="137"/>
        <v>2499.576813112003</v>
      </c>
      <c r="I825" s="21">
        <f t="shared" ca="1" si="132"/>
        <v>2501.2183440177314</v>
      </c>
      <c r="J825" s="20">
        <f t="shared" ca="1" si="141"/>
        <v>4</v>
      </c>
      <c r="K825" s="20">
        <f t="shared" ca="1" si="133"/>
        <v>2</v>
      </c>
      <c r="L825" s="44">
        <f t="shared" ca="1" si="138"/>
        <v>3</v>
      </c>
    </row>
    <row r="826" spans="1:12" x14ac:dyDescent="0.25">
      <c r="A826" s="20">
        <v>818</v>
      </c>
      <c r="B826" s="21">
        <f t="shared" ca="1" si="134"/>
        <v>0.88847838227328002</v>
      </c>
      <c r="C826" s="21">
        <f t="shared" ca="1" si="139"/>
        <v>2496.5606323471857</v>
      </c>
      <c r="D826" s="21">
        <f t="shared" ca="1" si="135"/>
        <v>1.1553960016278637</v>
      </c>
      <c r="E826" s="21">
        <f t="shared" ca="1" si="142"/>
        <v>4.6577116705457229</v>
      </c>
      <c r="F826" s="20" t="str">
        <f t="shared" ca="1" si="140"/>
        <v>No</v>
      </c>
      <c r="G826" s="21">
        <f t="shared" ca="1" si="136"/>
        <v>0</v>
      </c>
      <c r="H826" s="21">
        <f t="shared" ca="1" si="137"/>
        <v>2501.2183440177314</v>
      </c>
      <c r="I826" s="21">
        <f t="shared" ca="1" si="132"/>
        <v>2502.373740019359</v>
      </c>
      <c r="J826" s="20">
        <f t="shared" ca="1" si="141"/>
        <v>3</v>
      </c>
      <c r="K826" s="20">
        <f t="shared" ca="1" si="133"/>
        <v>1</v>
      </c>
      <c r="L826" s="44">
        <f t="shared" ca="1" si="138"/>
        <v>2</v>
      </c>
    </row>
    <row r="827" spans="1:12" x14ac:dyDescent="0.25">
      <c r="A827" s="20">
        <v>819</v>
      </c>
      <c r="B827" s="21">
        <f t="shared" ca="1" si="134"/>
        <v>1.2367118061771862</v>
      </c>
      <c r="C827" s="21">
        <f t="shared" ca="1" si="139"/>
        <v>2497.7973441533627</v>
      </c>
      <c r="D827" s="21">
        <f t="shared" ca="1" si="135"/>
        <v>3.9969236860694126</v>
      </c>
      <c r="E827" s="21">
        <f t="shared" ca="1" si="142"/>
        <v>4.5763958659963464</v>
      </c>
      <c r="F827" s="20" t="str">
        <f t="shared" ca="1" si="140"/>
        <v>No</v>
      </c>
      <c r="G827" s="21">
        <f t="shared" ca="1" si="136"/>
        <v>0</v>
      </c>
      <c r="H827" s="21">
        <f t="shared" ca="1" si="137"/>
        <v>2502.373740019359</v>
      </c>
      <c r="I827" s="21">
        <f t="shared" ca="1" si="132"/>
        <v>2506.3706637054283</v>
      </c>
      <c r="J827" s="20">
        <f t="shared" ca="1" si="141"/>
        <v>2</v>
      </c>
      <c r="K827" s="20">
        <f t="shared" ca="1" si="133"/>
        <v>0</v>
      </c>
      <c r="L827" s="44">
        <f t="shared" ca="1" si="138"/>
        <v>1</v>
      </c>
    </row>
    <row r="828" spans="1:12" x14ac:dyDescent="0.25">
      <c r="A828" s="20">
        <v>820</v>
      </c>
      <c r="B828" s="21">
        <f t="shared" ca="1" si="134"/>
        <v>18.399076064704172</v>
      </c>
      <c r="C828" s="21">
        <f t="shared" ca="1" si="139"/>
        <v>2516.196420218067</v>
      </c>
      <c r="D828" s="21">
        <f t="shared" ca="1" si="135"/>
        <v>4.3488594285475655</v>
      </c>
      <c r="E828" s="21">
        <f t="shared" ca="1" si="142"/>
        <v>0</v>
      </c>
      <c r="F828" s="20" t="str">
        <f t="shared" ca="1" si="140"/>
        <v>Yes</v>
      </c>
      <c r="G828" s="21">
        <f t="shared" ca="1" si="136"/>
        <v>9.8257565126386908</v>
      </c>
      <c r="H828" s="21">
        <f t="shared" ca="1" si="137"/>
        <v>2516.196420218067</v>
      </c>
      <c r="I828" s="21">
        <f t="shared" ca="1" si="132"/>
        <v>2520.5452796466147</v>
      </c>
      <c r="J828" s="20">
        <f t="shared" ca="1" si="141"/>
        <v>0</v>
      </c>
      <c r="K828" s="20">
        <f t="shared" ca="1" si="133"/>
        <v>2</v>
      </c>
      <c r="L828" s="44">
        <f t="shared" ca="1" si="138"/>
        <v>1</v>
      </c>
    </row>
    <row r="829" spans="1:12" x14ac:dyDescent="0.25">
      <c r="A829" s="20">
        <v>821</v>
      </c>
      <c r="B829" s="21">
        <f t="shared" ca="1" si="134"/>
        <v>2.5631484938746296</v>
      </c>
      <c r="C829" s="21">
        <f t="shared" ca="1" si="139"/>
        <v>2518.7595687119415</v>
      </c>
      <c r="D829" s="21">
        <f t="shared" ca="1" si="135"/>
        <v>3.0402494666051583</v>
      </c>
      <c r="E829" s="21">
        <f t="shared" ca="1" si="142"/>
        <v>1.7857109346732614</v>
      </c>
      <c r="F829" s="20" t="str">
        <f t="shared" ca="1" si="140"/>
        <v>No</v>
      </c>
      <c r="G829" s="21">
        <f t="shared" ca="1" si="136"/>
        <v>0</v>
      </c>
      <c r="H829" s="21">
        <f t="shared" ca="1" si="137"/>
        <v>2520.5452796466147</v>
      </c>
      <c r="I829" s="21">
        <f t="shared" ca="1" si="132"/>
        <v>2523.5855291132198</v>
      </c>
      <c r="J829" s="20">
        <f t="shared" ca="1" si="141"/>
        <v>3</v>
      </c>
      <c r="K829" s="20">
        <f t="shared" ca="1" si="133"/>
        <v>2</v>
      </c>
      <c r="L829" s="44">
        <f t="shared" ca="1" si="138"/>
        <v>2.5</v>
      </c>
    </row>
    <row r="830" spans="1:12" x14ac:dyDescent="0.25">
      <c r="A830" s="20">
        <v>822</v>
      </c>
      <c r="B830" s="21">
        <f t="shared" ca="1" si="134"/>
        <v>1.0693869152000699</v>
      </c>
      <c r="C830" s="21">
        <f t="shared" ca="1" si="139"/>
        <v>2519.8289556271416</v>
      </c>
      <c r="D830" s="21">
        <f t="shared" ca="1" si="135"/>
        <v>0.16314775683794958</v>
      </c>
      <c r="E830" s="21">
        <f t="shared" ca="1" si="142"/>
        <v>3.7565734860781959</v>
      </c>
      <c r="F830" s="20" t="str">
        <f t="shared" ca="1" si="140"/>
        <v>No</v>
      </c>
      <c r="G830" s="21">
        <f t="shared" ca="1" si="136"/>
        <v>0</v>
      </c>
      <c r="H830" s="21">
        <f t="shared" ca="1" si="137"/>
        <v>2523.5855291132198</v>
      </c>
      <c r="I830" s="21">
        <f t="shared" ca="1" si="132"/>
        <v>2523.7486768700578</v>
      </c>
      <c r="J830" s="20">
        <f t="shared" ca="1" si="141"/>
        <v>3</v>
      </c>
      <c r="K830" s="20">
        <f t="shared" ca="1" si="133"/>
        <v>1</v>
      </c>
      <c r="L830" s="44">
        <f t="shared" ca="1" si="138"/>
        <v>2</v>
      </c>
    </row>
    <row r="831" spans="1:12" x14ac:dyDescent="0.25">
      <c r="A831" s="20">
        <v>823</v>
      </c>
      <c r="B831" s="21">
        <f t="shared" ca="1" si="134"/>
        <v>3.4478600596156164</v>
      </c>
      <c r="C831" s="21">
        <f t="shared" ca="1" si="139"/>
        <v>2523.2768156867573</v>
      </c>
      <c r="D831" s="21">
        <f t="shared" ca="1" si="135"/>
        <v>2.4501737967295587</v>
      </c>
      <c r="E831" s="21">
        <f t="shared" ca="1" si="142"/>
        <v>0.47186118330046156</v>
      </c>
      <c r="F831" s="20" t="str">
        <f t="shared" ca="1" si="140"/>
        <v>No</v>
      </c>
      <c r="G831" s="21">
        <f t="shared" ca="1" si="136"/>
        <v>0</v>
      </c>
      <c r="H831" s="21">
        <f t="shared" ca="1" si="137"/>
        <v>2523.7486768700578</v>
      </c>
      <c r="I831" s="21">
        <f t="shared" ca="1" si="132"/>
        <v>2526.1988506667872</v>
      </c>
      <c r="J831" s="20">
        <f t="shared" ca="1" si="141"/>
        <v>2</v>
      </c>
      <c r="K831" s="20">
        <f t="shared" ca="1" si="133"/>
        <v>2</v>
      </c>
      <c r="L831" s="44">
        <f t="shared" ca="1" si="138"/>
        <v>2</v>
      </c>
    </row>
    <row r="832" spans="1:12" x14ac:dyDescent="0.25">
      <c r="A832" s="20">
        <v>824</v>
      </c>
      <c r="B832" s="21">
        <f t="shared" ca="1" si="134"/>
        <v>0.86367573979779388</v>
      </c>
      <c r="C832" s="21">
        <f t="shared" ca="1" si="139"/>
        <v>2524.1404914265549</v>
      </c>
      <c r="D832" s="21">
        <f t="shared" ca="1" si="135"/>
        <v>1.7661378423076401</v>
      </c>
      <c r="E832" s="21">
        <f t="shared" ca="1" si="142"/>
        <v>2.0583592402322211</v>
      </c>
      <c r="F832" s="20" t="str">
        <f t="shared" ca="1" si="140"/>
        <v>No</v>
      </c>
      <c r="G832" s="21">
        <f t="shared" ca="1" si="136"/>
        <v>0</v>
      </c>
      <c r="H832" s="21">
        <f t="shared" ca="1" si="137"/>
        <v>2526.1988506667872</v>
      </c>
      <c r="I832" s="21">
        <f t="shared" ca="1" si="132"/>
        <v>2527.9649885090948</v>
      </c>
      <c r="J832" s="20">
        <f t="shared" ca="1" si="141"/>
        <v>3</v>
      </c>
      <c r="K832" s="20">
        <f t="shared" ca="1" si="133"/>
        <v>1</v>
      </c>
      <c r="L832" s="44">
        <f t="shared" ca="1" si="138"/>
        <v>2</v>
      </c>
    </row>
    <row r="833" spans="1:12" x14ac:dyDescent="0.25">
      <c r="A833" s="20">
        <v>825</v>
      </c>
      <c r="B833" s="21">
        <f t="shared" ca="1" si="134"/>
        <v>0.51942771496544238</v>
      </c>
      <c r="C833" s="21">
        <f t="shared" ca="1" si="139"/>
        <v>2524.6599191415203</v>
      </c>
      <c r="D833" s="21">
        <f t="shared" ca="1" si="135"/>
        <v>2.6587160996006736</v>
      </c>
      <c r="E833" s="21">
        <f t="shared" ca="1" si="142"/>
        <v>3.3050693675745606</v>
      </c>
      <c r="F833" s="20" t="str">
        <f t="shared" ca="1" si="140"/>
        <v>No</v>
      </c>
      <c r="G833" s="21">
        <f t="shared" ca="1" si="136"/>
        <v>0</v>
      </c>
      <c r="H833" s="21">
        <f t="shared" ca="1" si="137"/>
        <v>2527.9649885090948</v>
      </c>
      <c r="I833" s="21">
        <f t="shared" ca="1" si="132"/>
        <v>2530.6237046086953</v>
      </c>
      <c r="J833" s="20">
        <f t="shared" ca="1" si="141"/>
        <v>2</v>
      </c>
      <c r="K833" s="20">
        <f t="shared" ca="1" si="133"/>
        <v>0</v>
      </c>
      <c r="L833" s="44">
        <f t="shared" ca="1" si="138"/>
        <v>1</v>
      </c>
    </row>
    <row r="834" spans="1:12" x14ac:dyDescent="0.25">
      <c r="A834" s="20">
        <v>826</v>
      </c>
      <c r="B834" s="21">
        <f t="shared" ca="1" si="134"/>
        <v>12.738830955551265</v>
      </c>
      <c r="C834" s="21">
        <f t="shared" ca="1" si="139"/>
        <v>2537.3987500970716</v>
      </c>
      <c r="D834" s="21">
        <f t="shared" ca="1" si="135"/>
        <v>2.7136697816560207</v>
      </c>
      <c r="E834" s="21">
        <f t="shared" ca="1" si="142"/>
        <v>0</v>
      </c>
      <c r="F834" s="20" t="str">
        <f t="shared" ca="1" si="140"/>
        <v>Yes</v>
      </c>
      <c r="G834" s="21">
        <f t="shared" ca="1" si="136"/>
        <v>6.7750454883762359</v>
      </c>
      <c r="H834" s="21">
        <f t="shared" ca="1" si="137"/>
        <v>2537.3987500970716</v>
      </c>
      <c r="I834" s="21">
        <f t="shared" ca="1" si="132"/>
        <v>2540.1124198787275</v>
      </c>
      <c r="J834" s="20">
        <f t="shared" ca="1" si="141"/>
        <v>0</v>
      </c>
      <c r="K834" s="20">
        <f t="shared" ca="1" si="133"/>
        <v>2</v>
      </c>
      <c r="L834" s="44">
        <f t="shared" ca="1" si="138"/>
        <v>1</v>
      </c>
    </row>
    <row r="835" spans="1:12" x14ac:dyDescent="0.25">
      <c r="A835" s="20">
        <v>827</v>
      </c>
      <c r="B835" s="21">
        <f t="shared" ca="1" si="134"/>
        <v>1.5258491562524075</v>
      </c>
      <c r="C835" s="21">
        <f t="shared" ca="1" si="139"/>
        <v>2538.9245992533238</v>
      </c>
      <c r="D835" s="21">
        <f t="shared" ca="1" si="135"/>
        <v>3.8040220104905464</v>
      </c>
      <c r="E835" s="21">
        <f t="shared" ca="1" si="142"/>
        <v>1.1878206254036741</v>
      </c>
      <c r="F835" s="20" t="str">
        <f t="shared" ca="1" si="140"/>
        <v>No</v>
      </c>
      <c r="G835" s="21">
        <f t="shared" ca="1" si="136"/>
        <v>0</v>
      </c>
      <c r="H835" s="21">
        <f t="shared" ca="1" si="137"/>
        <v>2540.1124198787275</v>
      </c>
      <c r="I835" s="21">
        <f t="shared" ca="1" si="132"/>
        <v>2543.9164418892178</v>
      </c>
      <c r="J835" s="20">
        <f t="shared" ca="1" si="141"/>
        <v>3</v>
      </c>
      <c r="K835" s="20">
        <f t="shared" ca="1" si="133"/>
        <v>2</v>
      </c>
      <c r="L835" s="44">
        <f t="shared" ca="1" si="138"/>
        <v>2.5</v>
      </c>
    </row>
    <row r="836" spans="1:12" x14ac:dyDescent="0.25">
      <c r="A836" s="20">
        <v>828</v>
      </c>
      <c r="B836" s="21">
        <f t="shared" ca="1" si="134"/>
        <v>0.91445272553818724</v>
      </c>
      <c r="C836" s="21">
        <f t="shared" ca="1" si="139"/>
        <v>2539.8390519788618</v>
      </c>
      <c r="D836" s="21">
        <f t="shared" ca="1" si="135"/>
        <v>1.9954037001565941</v>
      </c>
      <c r="E836" s="21">
        <f t="shared" ca="1" si="142"/>
        <v>4.0773899103560325</v>
      </c>
      <c r="F836" s="20" t="str">
        <f t="shared" ca="1" si="140"/>
        <v>No</v>
      </c>
      <c r="G836" s="21">
        <f t="shared" ca="1" si="136"/>
        <v>0</v>
      </c>
      <c r="H836" s="21">
        <f t="shared" ca="1" si="137"/>
        <v>2543.9164418892178</v>
      </c>
      <c r="I836" s="21">
        <f t="shared" ca="1" si="132"/>
        <v>2545.9118455893745</v>
      </c>
      <c r="J836" s="20">
        <f t="shared" ca="1" si="141"/>
        <v>3</v>
      </c>
      <c r="K836" s="20">
        <f t="shared" ca="1" si="133"/>
        <v>3</v>
      </c>
      <c r="L836" s="44">
        <f t="shared" ca="1" si="138"/>
        <v>3</v>
      </c>
    </row>
    <row r="837" spans="1:12" x14ac:dyDescent="0.25">
      <c r="A837" s="20">
        <v>829</v>
      </c>
      <c r="B837" s="21">
        <f t="shared" ca="1" si="134"/>
        <v>2.8121382264999077</v>
      </c>
      <c r="C837" s="21">
        <f t="shared" ca="1" si="139"/>
        <v>2542.6511902053617</v>
      </c>
      <c r="D837" s="21">
        <f t="shared" ca="1" si="135"/>
        <v>1.5186511438977759</v>
      </c>
      <c r="E837" s="21">
        <f t="shared" ca="1" si="142"/>
        <v>3.2606553840128072</v>
      </c>
      <c r="F837" s="20" t="str">
        <f t="shared" ca="1" si="140"/>
        <v>No</v>
      </c>
      <c r="G837" s="21">
        <f t="shared" ca="1" si="136"/>
        <v>0</v>
      </c>
      <c r="H837" s="21">
        <f t="shared" ca="1" si="137"/>
        <v>2545.9118455893745</v>
      </c>
      <c r="I837" s="21">
        <f t="shared" ca="1" si="132"/>
        <v>2547.4304967332723</v>
      </c>
      <c r="J837" s="20">
        <f t="shared" ca="1" si="141"/>
        <v>4</v>
      </c>
      <c r="K837" s="20">
        <f t="shared" ca="1" si="133"/>
        <v>2</v>
      </c>
      <c r="L837" s="44">
        <f t="shared" ca="1" si="138"/>
        <v>3</v>
      </c>
    </row>
    <row r="838" spans="1:12" x14ac:dyDescent="0.25">
      <c r="A838" s="20">
        <v>830</v>
      </c>
      <c r="B838" s="21">
        <f t="shared" ca="1" si="134"/>
        <v>1.8643495128871519</v>
      </c>
      <c r="C838" s="21">
        <f t="shared" ca="1" si="139"/>
        <v>2544.5155397182489</v>
      </c>
      <c r="D838" s="21">
        <f t="shared" ca="1" si="135"/>
        <v>1.4858560304254711</v>
      </c>
      <c r="E838" s="21">
        <f t="shared" ca="1" si="142"/>
        <v>2.9149570150234467</v>
      </c>
      <c r="F838" s="20" t="str">
        <f t="shared" ca="1" si="140"/>
        <v>No</v>
      </c>
      <c r="G838" s="21">
        <f t="shared" ca="1" si="136"/>
        <v>0</v>
      </c>
      <c r="H838" s="21">
        <f t="shared" ca="1" si="137"/>
        <v>2547.4304967332723</v>
      </c>
      <c r="I838" s="21">
        <f t="shared" ca="1" si="132"/>
        <v>2548.9163527636979</v>
      </c>
      <c r="J838" s="20">
        <f t="shared" ca="1" si="141"/>
        <v>3</v>
      </c>
      <c r="K838" s="20">
        <f t="shared" ca="1" si="133"/>
        <v>2</v>
      </c>
      <c r="L838" s="44">
        <f t="shared" ca="1" si="138"/>
        <v>2.5</v>
      </c>
    </row>
    <row r="839" spans="1:12" x14ac:dyDescent="0.25">
      <c r="A839" s="20">
        <v>831</v>
      </c>
      <c r="B839" s="21">
        <f t="shared" ca="1" si="134"/>
        <v>1.1020985784868143</v>
      </c>
      <c r="C839" s="21">
        <f t="shared" ca="1" si="139"/>
        <v>2545.6176382967355</v>
      </c>
      <c r="D839" s="21">
        <f t="shared" ca="1" si="135"/>
        <v>2.7213831442395109</v>
      </c>
      <c r="E839" s="21">
        <f t="shared" ca="1" si="142"/>
        <v>3.2987144669623376</v>
      </c>
      <c r="F839" s="20" t="str">
        <f t="shared" ca="1" si="140"/>
        <v>No</v>
      </c>
      <c r="G839" s="21">
        <f t="shared" ca="1" si="136"/>
        <v>0</v>
      </c>
      <c r="H839" s="21">
        <f t="shared" ca="1" si="137"/>
        <v>2548.9163527636979</v>
      </c>
      <c r="I839" s="21">
        <f t="shared" ca="1" si="132"/>
        <v>2551.6377359079374</v>
      </c>
      <c r="J839" s="20">
        <f t="shared" ca="1" si="141"/>
        <v>3</v>
      </c>
      <c r="K839" s="20">
        <f t="shared" ca="1" si="133"/>
        <v>4</v>
      </c>
      <c r="L839" s="44">
        <f t="shared" ca="1" si="138"/>
        <v>3.5</v>
      </c>
    </row>
    <row r="840" spans="1:12" x14ac:dyDescent="0.25">
      <c r="A840" s="20">
        <v>832</v>
      </c>
      <c r="B840" s="21">
        <f t="shared" ca="1" si="134"/>
        <v>2.3966852814485056</v>
      </c>
      <c r="C840" s="21">
        <f t="shared" ca="1" si="139"/>
        <v>2548.0143235781838</v>
      </c>
      <c r="D840" s="21">
        <f t="shared" ca="1" si="135"/>
        <v>0.91420708016612873</v>
      </c>
      <c r="E840" s="21">
        <f t="shared" ca="1" si="142"/>
        <v>3.6234123297535916</v>
      </c>
      <c r="F840" s="20" t="str">
        <f t="shared" ca="1" si="140"/>
        <v>No</v>
      </c>
      <c r="G840" s="21">
        <f t="shared" ca="1" si="136"/>
        <v>0</v>
      </c>
      <c r="H840" s="21">
        <f t="shared" ca="1" si="137"/>
        <v>2551.6377359079374</v>
      </c>
      <c r="I840" s="21">
        <f t="shared" ca="1" si="132"/>
        <v>2552.5519429881037</v>
      </c>
      <c r="J840" s="20">
        <f t="shared" ca="1" si="141"/>
        <v>5</v>
      </c>
      <c r="K840" s="20">
        <f t="shared" ca="1" si="133"/>
        <v>3</v>
      </c>
      <c r="L840" s="44">
        <f t="shared" ca="1" si="138"/>
        <v>4</v>
      </c>
    </row>
    <row r="841" spans="1:12" x14ac:dyDescent="0.25">
      <c r="A841" s="20">
        <v>833</v>
      </c>
      <c r="B841" s="21">
        <f t="shared" ca="1" si="134"/>
        <v>1.4309679786882781</v>
      </c>
      <c r="C841" s="21">
        <f t="shared" ca="1" si="139"/>
        <v>2549.4452915568722</v>
      </c>
      <c r="D841" s="21">
        <f t="shared" ca="1" si="135"/>
        <v>0.4274450910596535</v>
      </c>
      <c r="E841" s="21">
        <f t="shared" ca="1" si="142"/>
        <v>3.1066514312315121</v>
      </c>
      <c r="F841" s="20" t="str">
        <f t="shared" ca="1" si="140"/>
        <v>No</v>
      </c>
      <c r="G841" s="21">
        <f t="shared" ca="1" si="136"/>
        <v>0</v>
      </c>
      <c r="H841" s="21">
        <f t="shared" ca="1" si="137"/>
        <v>2552.5519429881037</v>
      </c>
      <c r="I841" s="21">
        <f t="shared" ref="I841:I904" ca="1" si="143">$H841+$D841</f>
        <v>2552.9793880791635</v>
      </c>
      <c r="J841" s="20">
        <f t="shared" ca="1" si="141"/>
        <v>4</v>
      </c>
      <c r="K841" s="20">
        <f t="shared" ref="K841:K904" ca="1" si="144">IF($I841&lt;=$C842,0,IF($I841&lt;=$C843,1,IF($I841&lt;=$C844,2,IF($I841&lt;=$C845,3,IF($I841&lt;=$C846,4,5)))))</f>
        <v>2</v>
      </c>
      <c r="L841" s="44">
        <f t="shared" ca="1" si="138"/>
        <v>3</v>
      </c>
    </row>
    <row r="842" spans="1:12" x14ac:dyDescent="0.25">
      <c r="A842" s="20">
        <v>834</v>
      </c>
      <c r="B842" s="21">
        <f t="shared" ref="B842:B905" ca="1" si="145">-LN(RAND())/$D$4</f>
        <v>0.89658480910434135</v>
      </c>
      <c r="C842" s="21">
        <f t="shared" ca="1" si="139"/>
        <v>2550.3418763659765</v>
      </c>
      <c r="D842" s="21">
        <f t="shared" ref="D842:D905" ca="1" si="146">-LN(RAND())/$D$6</f>
        <v>9.095258674416181</v>
      </c>
      <c r="E842" s="21">
        <f t="shared" ca="1" si="142"/>
        <v>2.6375117131869956</v>
      </c>
      <c r="F842" s="20" t="str">
        <f t="shared" ca="1" si="140"/>
        <v>No</v>
      </c>
      <c r="G842" s="21">
        <f t="shared" ref="G842:G905" ca="1" si="147">IF($I841&lt;=$C842,$C842-$I841,0)</f>
        <v>0</v>
      </c>
      <c r="H842" s="21">
        <f t="shared" ref="H842:H905" ca="1" si="148">IF($I841&lt;=$C842,$C842,$I841)</f>
        <v>2552.9793880791635</v>
      </c>
      <c r="I842" s="21">
        <f t="shared" ca="1" si="143"/>
        <v>2562.0746467535796</v>
      </c>
      <c r="J842" s="20">
        <f t="shared" ca="1" si="141"/>
        <v>3</v>
      </c>
      <c r="K842" s="20">
        <f t="shared" ca="1" si="144"/>
        <v>3</v>
      </c>
      <c r="L842" s="44">
        <f t="shared" ref="L842:L905" ca="1" si="149">(J842+K842)/2</f>
        <v>3</v>
      </c>
    </row>
    <row r="843" spans="1:12" x14ac:dyDescent="0.25">
      <c r="A843" s="20">
        <v>835</v>
      </c>
      <c r="B843" s="21">
        <f t="shared" ca="1" si="145"/>
        <v>0.73790460774800948</v>
      </c>
      <c r="C843" s="21">
        <f t="shared" ref="C843:C906" ca="1" si="150">$C842+$B843</f>
        <v>2551.0797809737246</v>
      </c>
      <c r="D843" s="21">
        <f t="shared" ca="1" si="146"/>
        <v>0.63584468071611833</v>
      </c>
      <c r="E843" s="21">
        <f t="shared" ca="1" si="142"/>
        <v>10.99486577985499</v>
      </c>
      <c r="F843" s="20" t="str">
        <f t="shared" ref="F843:F906" ca="1" si="151">IF(E843=0,"Yes","No")</f>
        <v>No</v>
      </c>
      <c r="G843" s="21">
        <f t="shared" ca="1" si="147"/>
        <v>0</v>
      </c>
      <c r="H843" s="21">
        <f t="shared" ca="1" si="148"/>
        <v>2562.0746467535796</v>
      </c>
      <c r="I843" s="21">
        <f t="shared" ca="1" si="143"/>
        <v>2562.7104914342958</v>
      </c>
      <c r="J843" s="20">
        <f t="shared" ref="J843:J906" ca="1" si="152">IF($I842&lt;=$C843,0,$K842+1)</f>
        <v>4</v>
      </c>
      <c r="K843" s="20">
        <f t="shared" ca="1" si="144"/>
        <v>2</v>
      </c>
      <c r="L843" s="44">
        <f t="shared" ca="1" si="149"/>
        <v>3</v>
      </c>
    </row>
    <row r="844" spans="1:12" x14ac:dyDescent="0.25">
      <c r="A844" s="20">
        <v>836</v>
      </c>
      <c r="B844" s="21">
        <f t="shared" ca="1" si="145"/>
        <v>5.639879276545658</v>
      </c>
      <c r="C844" s="21">
        <f t="shared" ca="1" si="150"/>
        <v>2556.7196602502704</v>
      </c>
      <c r="D844" s="21">
        <f t="shared" ca="1" si="146"/>
        <v>1.7776302875707144</v>
      </c>
      <c r="E844" s="21">
        <f t="shared" ref="E844:E907" ca="1" si="153">IF($I843&lt;=$C844,0,$I843-$C844)</f>
        <v>5.99083118402541</v>
      </c>
      <c r="F844" s="20" t="str">
        <f t="shared" ca="1" si="151"/>
        <v>No</v>
      </c>
      <c r="G844" s="21">
        <f t="shared" ca="1" si="147"/>
        <v>0</v>
      </c>
      <c r="H844" s="21">
        <f t="shared" ca="1" si="148"/>
        <v>2562.7104914342958</v>
      </c>
      <c r="I844" s="21">
        <f t="shared" ca="1" si="143"/>
        <v>2564.4881217218667</v>
      </c>
      <c r="J844" s="20">
        <f t="shared" ca="1" si="152"/>
        <v>3</v>
      </c>
      <c r="K844" s="20">
        <f t="shared" ca="1" si="144"/>
        <v>1</v>
      </c>
      <c r="L844" s="44">
        <f t="shared" ca="1" si="149"/>
        <v>2</v>
      </c>
    </row>
    <row r="845" spans="1:12" x14ac:dyDescent="0.25">
      <c r="A845" s="20">
        <v>837</v>
      </c>
      <c r="B845" s="21">
        <f t="shared" ca="1" si="145"/>
        <v>2.1281034174760549</v>
      </c>
      <c r="C845" s="21">
        <f t="shared" ca="1" si="150"/>
        <v>2558.8477636677467</v>
      </c>
      <c r="D845" s="21">
        <f t="shared" ca="1" si="146"/>
        <v>4.7152435456254107</v>
      </c>
      <c r="E845" s="21">
        <f t="shared" ca="1" si="153"/>
        <v>5.6403580541200427</v>
      </c>
      <c r="F845" s="20" t="str">
        <f t="shared" ca="1" si="151"/>
        <v>No</v>
      </c>
      <c r="G845" s="21">
        <f t="shared" ca="1" si="147"/>
        <v>0</v>
      </c>
      <c r="H845" s="21">
        <f t="shared" ca="1" si="148"/>
        <v>2564.4881217218667</v>
      </c>
      <c r="I845" s="21">
        <f t="shared" ca="1" si="143"/>
        <v>2569.2033652674922</v>
      </c>
      <c r="J845" s="20">
        <f t="shared" ca="1" si="152"/>
        <v>2</v>
      </c>
      <c r="K845" s="20">
        <f t="shared" ca="1" si="144"/>
        <v>3</v>
      </c>
      <c r="L845" s="44">
        <f t="shared" ca="1" si="149"/>
        <v>2.5</v>
      </c>
    </row>
    <row r="846" spans="1:12" x14ac:dyDescent="0.25">
      <c r="A846" s="20">
        <v>838</v>
      </c>
      <c r="B846" s="21">
        <f t="shared" ca="1" si="145"/>
        <v>8.1428938764303709</v>
      </c>
      <c r="C846" s="21">
        <f t="shared" ca="1" si="150"/>
        <v>2566.9906575441769</v>
      </c>
      <c r="D846" s="21">
        <f t="shared" ca="1" si="146"/>
        <v>4.0573193670375645</v>
      </c>
      <c r="E846" s="21">
        <f t="shared" ca="1" si="153"/>
        <v>2.2127077233153614</v>
      </c>
      <c r="F846" s="20" t="str">
        <f t="shared" ca="1" si="151"/>
        <v>No</v>
      </c>
      <c r="G846" s="21">
        <f t="shared" ca="1" si="147"/>
        <v>0</v>
      </c>
      <c r="H846" s="21">
        <f t="shared" ca="1" si="148"/>
        <v>2569.2033652674922</v>
      </c>
      <c r="I846" s="21">
        <f t="shared" ca="1" si="143"/>
        <v>2573.2606846345298</v>
      </c>
      <c r="J846" s="20">
        <f t="shared" ca="1" si="152"/>
        <v>4</v>
      </c>
      <c r="K846" s="20">
        <f t="shared" ca="1" si="144"/>
        <v>2</v>
      </c>
      <c r="L846" s="44">
        <f t="shared" ca="1" si="149"/>
        <v>3</v>
      </c>
    </row>
    <row r="847" spans="1:12" x14ac:dyDescent="0.25">
      <c r="A847" s="20">
        <v>839</v>
      </c>
      <c r="B847" s="21">
        <f t="shared" ca="1" si="145"/>
        <v>0.3439887502142368</v>
      </c>
      <c r="C847" s="21">
        <f t="shared" ca="1" si="150"/>
        <v>2567.334646294391</v>
      </c>
      <c r="D847" s="21">
        <f t="shared" ca="1" si="146"/>
        <v>7.3789010628248404</v>
      </c>
      <c r="E847" s="21">
        <f t="shared" ca="1" si="153"/>
        <v>5.9260383401388026</v>
      </c>
      <c r="F847" s="20" t="str">
        <f t="shared" ca="1" si="151"/>
        <v>No</v>
      </c>
      <c r="G847" s="21">
        <f t="shared" ca="1" si="147"/>
        <v>0</v>
      </c>
      <c r="H847" s="21">
        <f t="shared" ca="1" si="148"/>
        <v>2573.2606846345298</v>
      </c>
      <c r="I847" s="21">
        <f t="shared" ca="1" si="143"/>
        <v>2580.6395856973545</v>
      </c>
      <c r="J847" s="20">
        <f t="shared" ca="1" si="152"/>
        <v>3</v>
      </c>
      <c r="K847" s="20">
        <f t="shared" ca="1" si="144"/>
        <v>1</v>
      </c>
      <c r="L847" s="44">
        <f t="shared" ca="1" si="149"/>
        <v>2</v>
      </c>
    </row>
    <row r="848" spans="1:12" x14ac:dyDescent="0.25">
      <c r="A848" s="20">
        <v>840</v>
      </c>
      <c r="B848" s="21">
        <f t="shared" ca="1" si="145"/>
        <v>1.2137507190034014</v>
      </c>
      <c r="C848" s="21">
        <f t="shared" ca="1" si="150"/>
        <v>2568.5483970133942</v>
      </c>
      <c r="D848" s="21">
        <f t="shared" ca="1" si="146"/>
        <v>5.6158918819724027E-2</v>
      </c>
      <c r="E848" s="21">
        <f t="shared" ca="1" si="153"/>
        <v>12.091188683960354</v>
      </c>
      <c r="F848" s="20" t="str">
        <f t="shared" ca="1" si="151"/>
        <v>No</v>
      </c>
      <c r="G848" s="21">
        <f t="shared" ca="1" si="147"/>
        <v>0</v>
      </c>
      <c r="H848" s="21">
        <f t="shared" ca="1" si="148"/>
        <v>2580.6395856973545</v>
      </c>
      <c r="I848" s="21">
        <f t="shared" ca="1" si="143"/>
        <v>2580.6957446161741</v>
      </c>
      <c r="J848" s="20">
        <f t="shared" ca="1" si="152"/>
        <v>2</v>
      </c>
      <c r="K848" s="20">
        <f t="shared" ca="1" si="144"/>
        <v>0</v>
      </c>
      <c r="L848" s="44">
        <f t="shared" ca="1" si="149"/>
        <v>1</v>
      </c>
    </row>
    <row r="849" spans="1:12" x14ac:dyDescent="0.25">
      <c r="A849" s="20">
        <v>841</v>
      </c>
      <c r="B849" s="21">
        <f t="shared" ca="1" si="145"/>
        <v>15.410122928610276</v>
      </c>
      <c r="C849" s="21">
        <f t="shared" ca="1" si="150"/>
        <v>2583.9585199420044</v>
      </c>
      <c r="D849" s="21">
        <f t="shared" ca="1" si="146"/>
        <v>3.9513325193067494</v>
      </c>
      <c r="E849" s="21">
        <f t="shared" ca="1" si="153"/>
        <v>0</v>
      </c>
      <c r="F849" s="20" t="str">
        <f t="shared" ca="1" si="151"/>
        <v>Yes</v>
      </c>
      <c r="G849" s="21">
        <f t="shared" ca="1" si="147"/>
        <v>3.2627753258302619</v>
      </c>
      <c r="H849" s="21">
        <f t="shared" ca="1" si="148"/>
        <v>2583.9585199420044</v>
      </c>
      <c r="I849" s="21">
        <f t="shared" ca="1" si="143"/>
        <v>2587.9098524613109</v>
      </c>
      <c r="J849" s="20">
        <f t="shared" ca="1" si="152"/>
        <v>0</v>
      </c>
      <c r="K849" s="20">
        <f t="shared" ca="1" si="144"/>
        <v>0</v>
      </c>
      <c r="L849" s="44">
        <f t="shared" ca="1" si="149"/>
        <v>0</v>
      </c>
    </row>
    <row r="850" spans="1:12" x14ac:dyDescent="0.25">
      <c r="A850" s="20">
        <v>842</v>
      </c>
      <c r="B850" s="21">
        <f t="shared" ca="1" si="145"/>
        <v>5.1764610128054054</v>
      </c>
      <c r="C850" s="21">
        <f t="shared" ca="1" si="150"/>
        <v>2589.1349809548096</v>
      </c>
      <c r="D850" s="21">
        <f t="shared" ca="1" si="146"/>
        <v>2.7510221290238688</v>
      </c>
      <c r="E850" s="21">
        <f t="shared" ca="1" si="153"/>
        <v>0</v>
      </c>
      <c r="F850" s="20" t="str">
        <f t="shared" ca="1" si="151"/>
        <v>Yes</v>
      </c>
      <c r="G850" s="21">
        <f t="shared" ca="1" si="147"/>
        <v>1.225128493498687</v>
      </c>
      <c r="H850" s="21">
        <f t="shared" ca="1" si="148"/>
        <v>2589.1349809548096</v>
      </c>
      <c r="I850" s="21">
        <f t="shared" ca="1" si="143"/>
        <v>2591.8860030838337</v>
      </c>
      <c r="J850" s="20">
        <f t="shared" ca="1" si="152"/>
        <v>0</v>
      </c>
      <c r="K850" s="20">
        <f t="shared" ca="1" si="144"/>
        <v>0</v>
      </c>
      <c r="L850" s="44">
        <f t="shared" ca="1" si="149"/>
        <v>0</v>
      </c>
    </row>
    <row r="851" spans="1:12" x14ac:dyDescent="0.25">
      <c r="A851" s="20">
        <v>843</v>
      </c>
      <c r="B851" s="21">
        <f t="shared" ca="1" si="145"/>
        <v>3.5537086842327419</v>
      </c>
      <c r="C851" s="21">
        <f t="shared" ca="1" si="150"/>
        <v>2592.6886896390424</v>
      </c>
      <c r="D851" s="21">
        <f t="shared" ca="1" si="146"/>
        <v>2.6299361839413535</v>
      </c>
      <c r="E851" s="21">
        <f t="shared" ca="1" si="153"/>
        <v>0</v>
      </c>
      <c r="F851" s="20" t="str">
        <f t="shared" ca="1" si="151"/>
        <v>Yes</v>
      </c>
      <c r="G851" s="21">
        <f t="shared" ca="1" si="147"/>
        <v>0.80268655520876564</v>
      </c>
      <c r="H851" s="21">
        <f t="shared" ca="1" si="148"/>
        <v>2592.6886896390424</v>
      </c>
      <c r="I851" s="21">
        <f t="shared" ca="1" si="143"/>
        <v>2595.3186258229839</v>
      </c>
      <c r="J851" s="20">
        <f t="shared" ca="1" si="152"/>
        <v>0</v>
      </c>
      <c r="K851" s="20">
        <f t="shared" ca="1" si="144"/>
        <v>0</v>
      </c>
      <c r="L851" s="44">
        <f t="shared" ca="1" si="149"/>
        <v>0</v>
      </c>
    </row>
    <row r="852" spans="1:12" x14ac:dyDescent="0.25">
      <c r="A852" s="20">
        <v>844</v>
      </c>
      <c r="B852" s="21">
        <f t="shared" ca="1" si="145"/>
        <v>4.8415081654581202</v>
      </c>
      <c r="C852" s="21">
        <f t="shared" ca="1" si="150"/>
        <v>2597.5301978045004</v>
      </c>
      <c r="D852" s="21">
        <f t="shared" ca="1" si="146"/>
        <v>3.6671189082493441</v>
      </c>
      <c r="E852" s="21">
        <f t="shared" ca="1" si="153"/>
        <v>0</v>
      </c>
      <c r="F852" s="20" t="str">
        <f t="shared" ca="1" si="151"/>
        <v>Yes</v>
      </c>
      <c r="G852" s="21">
        <f t="shared" ca="1" si="147"/>
        <v>2.2115719815164994</v>
      </c>
      <c r="H852" s="21">
        <f t="shared" ca="1" si="148"/>
        <v>2597.5301978045004</v>
      </c>
      <c r="I852" s="21">
        <f t="shared" ca="1" si="143"/>
        <v>2601.1973167127499</v>
      </c>
      <c r="J852" s="20">
        <f t="shared" ca="1" si="152"/>
        <v>0</v>
      </c>
      <c r="K852" s="20">
        <f t="shared" ca="1" si="144"/>
        <v>1</v>
      </c>
      <c r="L852" s="44">
        <f t="shared" ca="1" si="149"/>
        <v>0.5</v>
      </c>
    </row>
    <row r="853" spans="1:12" x14ac:dyDescent="0.25">
      <c r="A853" s="20">
        <v>845</v>
      </c>
      <c r="B853" s="21">
        <f t="shared" ca="1" si="145"/>
        <v>3.224663040892215</v>
      </c>
      <c r="C853" s="21">
        <f t="shared" ca="1" si="150"/>
        <v>2600.7548608453926</v>
      </c>
      <c r="D853" s="21">
        <f t="shared" ca="1" si="146"/>
        <v>0.13149656371059817</v>
      </c>
      <c r="E853" s="21">
        <f t="shared" ca="1" si="153"/>
        <v>0.44245586735723919</v>
      </c>
      <c r="F853" s="20" t="str">
        <f t="shared" ca="1" si="151"/>
        <v>No</v>
      </c>
      <c r="G853" s="21">
        <f t="shared" ca="1" si="147"/>
        <v>0</v>
      </c>
      <c r="H853" s="21">
        <f t="shared" ca="1" si="148"/>
        <v>2601.1973167127499</v>
      </c>
      <c r="I853" s="21">
        <f t="shared" ca="1" si="143"/>
        <v>2601.3288132764606</v>
      </c>
      <c r="J853" s="20">
        <f t="shared" ca="1" si="152"/>
        <v>2</v>
      </c>
      <c r="K853" s="20">
        <f t="shared" ca="1" si="144"/>
        <v>0</v>
      </c>
      <c r="L853" s="44">
        <f t="shared" ca="1" si="149"/>
        <v>1</v>
      </c>
    </row>
    <row r="854" spans="1:12" x14ac:dyDescent="0.25">
      <c r="A854" s="20">
        <v>846</v>
      </c>
      <c r="B854" s="21">
        <f t="shared" ca="1" si="145"/>
        <v>4.6811822941528183</v>
      </c>
      <c r="C854" s="21">
        <f t="shared" ca="1" si="150"/>
        <v>2605.4360431395453</v>
      </c>
      <c r="D854" s="21">
        <f t="shared" ca="1" si="146"/>
        <v>1.4835874601321013</v>
      </c>
      <c r="E854" s="21">
        <f t="shared" ca="1" si="153"/>
        <v>0</v>
      </c>
      <c r="F854" s="20" t="str">
        <f t="shared" ca="1" si="151"/>
        <v>Yes</v>
      </c>
      <c r="G854" s="21">
        <f t="shared" ca="1" si="147"/>
        <v>4.1072298630847399</v>
      </c>
      <c r="H854" s="21">
        <f t="shared" ca="1" si="148"/>
        <v>2605.4360431395453</v>
      </c>
      <c r="I854" s="21">
        <f t="shared" ca="1" si="143"/>
        <v>2606.9196305996775</v>
      </c>
      <c r="J854" s="20">
        <f t="shared" ca="1" si="152"/>
        <v>0</v>
      </c>
      <c r="K854" s="20">
        <f t="shared" ca="1" si="144"/>
        <v>0</v>
      </c>
      <c r="L854" s="44">
        <f t="shared" ca="1" si="149"/>
        <v>0</v>
      </c>
    </row>
    <row r="855" spans="1:12" x14ac:dyDescent="0.25">
      <c r="A855" s="20">
        <v>847</v>
      </c>
      <c r="B855" s="21">
        <f t="shared" ca="1" si="145"/>
        <v>1.7318118624762235</v>
      </c>
      <c r="C855" s="21">
        <f t="shared" ca="1" si="150"/>
        <v>2607.1678550020215</v>
      </c>
      <c r="D855" s="21">
        <f t="shared" ca="1" si="146"/>
        <v>0.71263540247222601</v>
      </c>
      <c r="E855" s="21">
        <f t="shared" ca="1" si="153"/>
        <v>0</v>
      </c>
      <c r="F855" s="20" t="str">
        <f t="shared" ca="1" si="151"/>
        <v>Yes</v>
      </c>
      <c r="G855" s="21">
        <f t="shared" ca="1" si="147"/>
        <v>0.24822440234402166</v>
      </c>
      <c r="H855" s="21">
        <f t="shared" ca="1" si="148"/>
        <v>2607.1678550020215</v>
      </c>
      <c r="I855" s="21">
        <f t="shared" ca="1" si="143"/>
        <v>2607.8804904044937</v>
      </c>
      <c r="J855" s="20">
        <f t="shared" ca="1" si="152"/>
        <v>0</v>
      </c>
      <c r="K855" s="20">
        <f t="shared" ca="1" si="144"/>
        <v>0</v>
      </c>
      <c r="L855" s="44">
        <f t="shared" ca="1" si="149"/>
        <v>0</v>
      </c>
    </row>
    <row r="856" spans="1:12" x14ac:dyDescent="0.25">
      <c r="A856" s="20">
        <v>848</v>
      </c>
      <c r="B856" s="21">
        <f t="shared" ca="1" si="145"/>
        <v>2.7889758560273092</v>
      </c>
      <c r="C856" s="21">
        <f t="shared" ca="1" si="150"/>
        <v>2609.9568308580488</v>
      </c>
      <c r="D856" s="21">
        <f t="shared" ca="1" si="146"/>
        <v>0.93797260444850206</v>
      </c>
      <c r="E856" s="21">
        <f t="shared" ca="1" si="153"/>
        <v>0</v>
      </c>
      <c r="F856" s="20" t="str">
        <f t="shared" ca="1" si="151"/>
        <v>Yes</v>
      </c>
      <c r="G856" s="21">
        <f t="shared" ca="1" si="147"/>
        <v>2.0763404535550762</v>
      </c>
      <c r="H856" s="21">
        <f t="shared" ca="1" si="148"/>
        <v>2609.9568308580488</v>
      </c>
      <c r="I856" s="21">
        <f t="shared" ca="1" si="143"/>
        <v>2610.8948034624973</v>
      </c>
      <c r="J856" s="20">
        <f t="shared" ca="1" si="152"/>
        <v>0</v>
      </c>
      <c r="K856" s="20">
        <f t="shared" ca="1" si="144"/>
        <v>0</v>
      </c>
      <c r="L856" s="44">
        <f t="shared" ca="1" si="149"/>
        <v>0</v>
      </c>
    </row>
    <row r="857" spans="1:12" x14ac:dyDescent="0.25">
      <c r="A857" s="20">
        <v>849</v>
      </c>
      <c r="B857" s="21">
        <f t="shared" ca="1" si="145"/>
        <v>8.2830633298939471</v>
      </c>
      <c r="C857" s="21">
        <f t="shared" ca="1" si="150"/>
        <v>2618.2398941879428</v>
      </c>
      <c r="D857" s="21">
        <f t="shared" ca="1" si="146"/>
        <v>0.28193110949209704</v>
      </c>
      <c r="E857" s="21">
        <f t="shared" ca="1" si="153"/>
        <v>0</v>
      </c>
      <c r="F857" s="20" t="str">
        <f t="shared" ca="1" si="151"/>
        <v>Yes</v>
      </c>
      <c r="G857" s="21">
        <f t="shared" ca="1" si="147"/>
        <v>7.345090725445516</v>
      </c>
      <c r="H857" s="21">
        <f t="shared" ca="1" si="148"/>
        <v>2618.2398941879428</v>
      </c>
      <c r="I857" s="21">
        <f t="shared" ca="1" si="143"/>
        <v>2618.521825297435</v>
      </c>
      <c r="J857" s="20">
        <f t="shared" ca="1" si="152"/>
        <v>0</v>
      </c>
      <c r="K857" s="20">
        <f t="shared" ca="1" si="144"/>
        <v>0</v>
      </c>
      <c r="L857" s="44">
        <f t="shared" ca="1" si="149"/>
        <v>0</v>
      </c>
    </row>
    <row r="858" spans="1:12" x14ac:dyDescent="0.25">
      <c r="A858" s="20">
        <v>850</v>
      </c>
      <c r="B858" s="21">
        <f t="shared" ca="1" si="145"/>
        <v>6.9181486226382729</v>
      </c>
      <c r="C858" s="21">
        <f t="shared" ca="1" si="150"/>
        <v>2625.1580428105813</v>
      </c>
      <c r="D858" s="21">
        <f t="shared" ca="1" si="146"/>
        <v>0.27577274999870849</v>
      </c>
      <c r="E858" s="21">
        <f t="shared" ca="1" si="153"/>
        <v>0</v>
      </c>
      <c r="F858" s="20" t="str">
        <f t="shared" ca="1" si="151"/>
        <v>Yes</v>
      </c>
      <c r="G858" s="21">
        <f t="shared" ca="1" si="147"/>
        <v>6.6362175131462209</v>
      </c>
      <c r="H858" s="21">
        <f t="shared" ca="1" si="148"/>
        <v>2625.1580428105813</v>
      </c>
      <c r="I858" s="21">
        <f t="shared" ca="1" si="143"/>
        <v>2625.4338155605801</v>
      </c>
      <c r="J858" s="20">
        <f t="shared" ca="1" si="152"/>
        <v>0</v>
      </c>
      <c r="K858" s="20">
        <f t="shared" ca="1" si="144"/>
        <v>0</v>
      </c>
      <c r="L858" s="44">
        <f t="shared" ca="1" si="149"/>
        <v>0</v>
      </c>
    </row>
    <row r="859" spans="1:12" x14ac:dyDescent="0.25">
      <c r="A859" s="20">
        <v>851</v>
      </c>
      <c r="B859" s="21">
        <f t="shared" ca="1" si="145"/>
        <v>2.7128737567181433</v>
      </c>
      <c r="C859" s="21">
        <f t="shared" ca="1" si="150"/>
        <v>2627.8709165672994</v>
      </c>
      <c r="D859" s="21">
        <f t="shared" ca="1" si="146"/>
        <v>1.1164286166845767</v>
      </c>
      <c r="E859" s="21">
        <f t="shared" ca="1" si="153"/>
        <v>0</v>
      </c>
      <c r="F859" s="20" t="str">
        <f t="shared" ca="1" si="151"/>
        <v>Yes</v>
      </c>
      <c r="G859" s="21">
        <f t="shared" ca="1" si="147"/>
        <v>2.4371010067193311</v>
      </c>
      <c r="H859" s="21">
        <f t="shared" ca="1" si="148"/>
        <v>2627.8709165672994</v>
      </c>
      <c r="I859" s="21">
        <f t="shared" ca="1" si="143"/>
        <v>2628.987345183984</v>
      </c>
      <c r="J859" s="20">
        <f t="shared" ca="1" si="152"/>
        <v>0</v>
      </c>
      <c r="K859" s="20">
        <f t="shared" ca="1" si="144"/>
        <v>0</v>
      </c>
      <c r="L859" s="44">
        <f t="shared" ca="1" si="149"/>
        <v>0</v>
      </c>
    </row>
    <row r="860" spans="1:12" x14ac:dyDescent="0.25">
      <c r="A860" s="20">
        <v>852</v>
      </c>
      <c r="B860" s="21">
        <f t="shared" ca="1" si="145"/>
        <v>1.2202980460646653</v>
      </c>
      <c r="C860" s="21">
        <f t="shared" ca="1" si="150"/>
        <v>2629.0912146133642</v>
      </c>
      <c r="D860" s="21">
        <f t="shared" ca="1" si="146"/>
        <v>4.0934559893492466</v>
      </c>
      <c r="E860" s="21">
        <f t="shared" ca="1" si="153"/>
        <v>0</v>
      </c>
      <c r="F860" s="20" t="str">
        <f t="shared" ca="1" si="151"/>
        <v>Yes</v>
      </c>
      <c r="G860" s="21">
        <f t="shared" ca="1" si="147"/>
        <v>0.10386942938021093</v>
      </c>
      <c r="H860" s="21">
        <f t="shared" ca="1" si="148"/>
        <v>2629.0912146133642</v>
      </c>
      <c r="I860" s="21">
        <f t="shared" ca="1" si="143"/>
        <v>2633.1846706027136</v>
      </c>
      <c r="J860" s="20">
        <f t="shared" ca="1" si="152"/>
        <v>0</v>
      </c>
      <c r="K860" s="20">
        <f t="shared" ca="1" si="144"/>
        <v>1</v>
      </c>
      <c r="L860" s="44">
        <f t="shared" ca="1" si="149"/>
        <v>0.5</v>
      </c>
    </row>
    <row r="861" spans="1:12" x14ac:dyDescent="0.25">
      <c r="A861" s="20">
        <v>853</v>
      </c>
      <c r="B861" s="21">
        <f t="shared" ca="1" si="145"/>
        <v>2.3888685690835225</v>
      </c>
      <c r="C861" s="21">
        <f t="shared" ca="1" si="150"/>
        <v>2631.4800831824477</v>
      </c>
      <c r="D861" s="21">
        <f t="shared" ca="1" si="146"/>
        <v>0.84318001928749864</v>
      </c>
      <c r="E861" s="21">
        <f t="shared" ca="1" si="153"/>
        <v>1.7045874202658524</v>
      </c>
      <c r="F861" s="20" t="str">
        <f t="shared" ca="1" si="151"/>
        <v>No</v>
      </c>
      <c r="G861" s="21">
        <f t="shared" ca="1" si="147"/>
        <v>0</v>
      </c>
      <c r="H861" s="21">
        <f t="shared" ca="1" si="148"/>
        <v>2633.1846706027136</v>
      </c>
      <c r="I861" s="21">
        <f t="shared" ca="1" si="143"/>
        <v>2634.0278506220011</v>
      </c>
      <c r="J861" s="20">
        <f t="shared" ca="1" si="152"/>
        <v>2</v>
      </c>
      <c r="K861" s="20">
        <f t="shared" ca="1" si="144"/>
        <v>0</v>
      </c>
      <c r="L861" s="44">
        <f t="shared" ca="1" si="149"/>
        <v>1</v>
      </c>
    </row>
    <row r="862" spans="1:12" x14ac:dyDescent="0.25">
      <c r="A862" s="20">
        <v>854</v>
      </c>
      <c r="B862" s="21">
        <f t="shared" ca="1" si="145"/>
        <v>3.2393269844064099</v>
      </c>
      <c r="C862" s="21">
        <f t="shared" ca="1" si="150"/>
        <v>2634.7194101668542</v>
      </c>
      <c r="D862" s="21">
        <f t="shared" ca="1" si="146"/>
        <v>0.91399958519899216</v>
      </c>
      <c r="E862" s="21">
        <f t="shared" ca="1" si="153"/>
        <v>0</v>
      </c>
      <c r="F862" s="20" t="str">
        <f t="shared" ca="1" si="151"/>
        <v>Yes</v>
      </c>
      <c r="G862" s="21">
        <f t="shared" ca="1" si="147"/>
        <v>0.69155954485313487</v>
      </c>
      <c r="H862" s="21">
        <f t="shared" ca="1" si="148"/>
        <v>2634.7194101668542</v>
      </c>
      <c r="I862" s="21">
        <f t="shared" ca="1" si="143"/>
        <v>2635.633409752053</v>
      </c>
      <c r="J862" s="20">
        <f t="shared" ca="1" si="152"/>
        <v>0</v>
      </c>
      <c r="K862" s="20">
        <f t="shared" ca="1" si="144"/>
        <v>0</v>
      </c>
      <c r="L862" s="44">
        <f t="shared" ca="1" si="149"/>
        <v>0</v>
      </c>
    </row>
    <row r="863" spans="1:12" x14ac:dyDescent="0.25">
      <c r="A863" s="20">
        <v>855</v>
      </c>
      <c r="B863" s="21">
        <f t="shared" ca="1" si="145"/>
        <v>3.3864096680914018</v>
      </c>
      <c r="C863" s="21">
        <f t="shared" ca="1" si="150"/>
        <v>2638.1058198349456</v>
      </c>
      <c r="D863" s="21">
        <f t="shared" ca="1" si="146"/>
        <v>0.58152807218089153</v>
      </c>
      <c r="E863" s="21">
        <f t="shared" ca="1" si="153"/>
        <v>0</v>
      </c>
      <c r="F863" s="20" t="str">
        <f t="shared" ca="1" si="151"/>
        <v>Yes</v>
      </c>
      <c r="G863" s="21">
        <f t="shared" ca="1" si="147"/>
        <v>2.4724100828925657</v>
      </c>
      <c r="H863" s="21">
        <f t="shared" ca="1" si="148"/>
        <v>2638.1058198349456</v>
      </c>
      <c r="I863" s="21">
        <f t="shared" ca="1" si="143"/>
        <v>2638.6873479071264</v>
      </c>
      <c r="J863" s="20">
        <f t="shared" ca="1" si="152"/>
        <v>0</v>
      </c>
      <c r="K863" s="20">
        <f t="shared" ca="1" si="144"/>
        <v>0</v>
      </c>
      <c r="L863" s="44">
        <f t="shared" ca="1" si="149"/>
        <v>0</v>
      </c>
    </row>
    <row r="864" spans="1:12" x14ac:dyDescent="0.25">
      <c r="A864" s="20">
        <v>856</v>
      </c>
      <c r="B864" s="21">
        <f t="shared" ca="1" si="145"/>
        <v>1.0384359547893944</v>
      </c>
      <c r="C864" s="21">
        <f t="shared" ca="1" si="150"/>
        <v>2639.1442557897349</v>
      </c>
      <c r="D864" s="21">
        <f t="shared" ca="1" si="146"/>
        <v>0.5385188340885082</v>
      </c>
      <c r="E864" s="21">
        <f t="shared" ca="1" si="153"/>
        <v>0</v>
      </c>
      <c r="F864" s="20" t="str">
        <f t="shared" ca="1" si="151"/>
        <v>Yes</v>
      </c>
      <c r="G864" s="21">
        <f t="shared" ca="1" si="147"/>
        <v>0.45690788260844784</v>
      </c>
      <c r="H864" s="21">
        <f t="shared" ca="1" si="148"/>
        <v>2639.1442557897349</v>
      </c>
      <c r="I864" s="21">
        <f t="shared" ca="1" si="143"/>
        <v>2639.6827746238232</v>
      </c>
      <c r="J864" s="20">
        <f t="shared" ca="1" si="152"/>
        <v>0</v>
      </c>
      <c r="K864" s="20">
        <f t="shared" ca="1" si="144"/>
        <v>0</v>
      </c>
      <c r="L864" s="44">
        <f t="shared" ca="1" si="149"/>
        <v>0</v>
      </c>
    </row>
    <row r="865" spans="1:12" x14ac:dyDescent="0.25">
      <c r="A865" s="20">
        <v>857</v>
      </c>
      <c r="B865" s="21">
        <f t="shared" ca="1" si="145"/>
        <v>0.92169250641468281</v>
      </c>
      <c r="C865" s="21">
        <f t="shared" ca="1" si="150"/>
        <v>2640.0659482961496</v>
      </c>
      <c r="D865" s="21">
        <f t="shared" ca="1" si="146"/>
        <v>2.1002526141335678</v>
      </c>
      <c r="E865" s="21">
        <f t="shared" ca="1" si="153"/>
        <v>0</v>
      </c>
      <c r="F865" s="20" t="str">
        <f t="shared" ca="1" si="151"/>
        <v>Yes</v>
      </c>
      <c r="G865" s="21">
        <f t="shared" ca="1" si="147"/>
        <v>0.38317367232639299</v>
      </c>
      <c r="H865" s="21">
        <f t="shared" ca="1" si="148"/>
        <v>2640.0659482961496</v>
      </c>
      <c r="I865" s="21">
        <f t="shared" ca="1" si="143"/>
        <v>2642.1662009102834</v>
      </c>
      <c r="J865" s="20">
        <f t="shared" ca="1" si="152"/>
        <v>0</v>
      </c>
      <c r="K865" s="20">
        <f t="shared" ca="1" si="144"/>
        <v>2</v>
      </c>
      <c r="L865" s="44">
        <f t="shared" ca="1" si="149"/>
        <v>1</v>
      </c>
    </row>
    <row r="866" spans="1:12" x14ac:dyDescent="0.25">
      <c r="A866" s="20">
        <v>858</v>
      </c>
      <c r="B866" s="21">
        <f t="shared" ca="1" si="145"/>
        <v>5.2957683642283926E-2</v>
      </c>
      <c r="C866" s="21">
        <f t="shared" ca="1" si="150"/>
        <v>2640.1189059797921</v>
      </c>
      <c r="D866" s="21">
        <f t="shared" ca="1" si="146"/>
        <v>0.94275610279777911</v>
      </c>
      <c r="E866" s="21">
        <f t="shared" ca="1" si="153"/>
        <v>2.0472949304912618</v>
      </c>
      <c r="F866" s="20" t="str">
        <f t="shared" ca="1" si="151"/>
        <v>No</v>
      </c>
      <c r="G866" s="21">
        <f t="shared" ca="1" si="147"/>
        <v>0</v>
      </c>
      <c r="H866" s="21">
        <f t="shared" ca="1" si="148"/>
        <v>2642.1662009102834</v>
      </c>
      <c r="I866" s="21">
        <f t="shared" ca="1" si="143"/>
        <v>2643.1089570130812</v>
      </c>
      <c r="J866" s="20">
        <f t="shared" ca="1" si="152"/>
        <v>3</v>
      </c>
      <c r="K866" s="20">
        <f t="shared" ca="1" si="144"/>
        <v>2</v>
      </c>
      <c r="L866" s="44">
        <f t="shared" ca="1" si="149"/>
        <v>2.5</v>
      </c>
    </row>
    <row r="867" spans="1:12" x14ac:dyDescent="0.25">
      <c r="A867" s="20">
        <v>859</v>
      </c>
      <c r="B867" s="21">
        <f t="shared" ca="1" si="145"/>
        <v>1.1490924107891725</v>
      </c>
      <c r="C867" s="21">
        <f t="shared" ca="1" si="150"/>
        <v>2641.2679983905814</v>
      </c>
      <c r="D867" s="21">
        <f t="shared" ca="1" si="146"/>
        <v>0.92536441189534335</v>
      </c>
      <c r="E867" s="21">
        <f t="shared" ca="1" si="153"/>
        <v>1.8409586224997838</v>
      </c>
      <c r="F867" s="20" t="str">
        <f t="shared" ca="1" si="151"/>
        <v>No</v>
      </c>
      <c r="G867" s="21">
        <f t="shared" ca="1" si="147"/>
        <v>0</v>
      </c>
      <c r="H867" s="21">
        <f t="shared" ca="1" si="148"/>
        <v>2643.1089570130812</v>
      </c>
      <c r="I867" s="21">
        <f t="shared" ca="1" si="143"/>
        <v>2644.0343214249765</v>
      </c>
      <c r="J867" s="20">
        <f t="shared" ca="1" si="152"/>
        <v>3</v>
      </c>
      <c r="K867" s="20">
        <f t="shared" ca="1" si="144"/>
        <v>2</v>
      </c>
      <c r="L867" s="44">
        <f t="shared" ca="1" si="149"/>
        <v>2.5</v>
      </c>
    </row>
    <row r="868" spans="1:12" x14ac:dyDescent="0.25">
      <c r="A868" s="20">
        <v>860</v>
      </c>
      <c r="B868" s="21">
        <f t="shared" ca="1" si="145"/>
        <v>1.5395717551762937</v>
      </c>
      <c r="C868" s="21">
        <f t="shared" ca="1" si="150"/>
        <v>2642.8075701457578</v>
      </c>
      <c r="D868" s="21">
        <f t="shared" ca="1" si="146"/>
        <v>0.80077054655439361</v>
      </c>
      <c r="E868" s="21">
        <f t="shared" ca="1" si="153"/>
        <v>1.2267512792186608</v>
      </c>
      <c r="F868" s="20" t="str">
        <f t="shared" ca="1" si="151"/>
        <v>No</v>
      </c>
      <c r="G868" s="21">
        <f t="shared" ca="1" si="147"/>
        <v>0</v>
      </c>
      <c r="H868" s="21">
        <f t="shared" ca="1" si="148"/>
        <v>2644.0343214249765</v>
      </c>
      <c r="I868" s="21">
        <f t="shared" ca="1" si="143"/>
        <v>2644.8350919715308</v>
      </c>
      <c r="J868" s="20">
        <f t="shared" ca="1" si="152"/>
        <v>3</v>
      </c>
      <c r="K868" s="20">
        <f t="shared" ca="1" si="144"/>
        <v>1</v>
      </c>
      <c r="L868" s="44">
        <f t="shared" ca="1" si="149"/>
        <v>2</v>
      </c>
    </row>
    <row r="869" spans="1:12" x14ac:dyDescent="0.25">
      <c r="A869" s="20">
        <v>861</v>
      </c>
      <c r="B869" s="21">
        <f t="shared" ca="1" si="145"/>
        <v>0.30523808042393363</v>
      </c>
      <c r="C869" s="21">
        <f t="shared" ca="1" si="150"/>
        <v>2643.1128082261816</v>
      </c>
      <c r="D869" s="21">
        <f t="shared" ca="1" si="146"/>
        <v>3.1881286119800709</v>
      </c>
      <c r="E869" s="21">
        <f t="shared" ca="1" si="153"/>
        <v>1.7222837453491593</v>
      </c>
      <c r="F869" s="20" t="str">
        <f t="shared" ca="1" si="151"/>
        <v>No</v>
      </c>
      <c r="G869" s="21">
        <f t="shared" ca="1" si="147"/>
        <v>0</v>
      </c>
      <c r="H869" s="21">
        <f t="shared" ca="1" si="148"/>
        <v>2644.8350919715308</v>
      </c>
      <c r="I869" s="21">
        <f t="shared" ca="1" si="143"/>
        <v>2648.0232205835109</v>
      </c>
      <c r="J869" s="20">
        <f t="shared" ca="1" si="152"/>
        <v>2</v>
      </c>
      <c r="K869" s="20">
        <f t="shared" ca="1" si="144"/>
        <v>1</v>
      </c>
      <c r="L869" s="44">
        <f t="shared" ca="1" si="149"/>
        <v>1.5</v>
      </c>
    </row>
    <row r="870" spans="1:12" x14ac:dyDescent="0.25">
      <c r="A870" s="20">
        <v>862</v>
      </c>
      <c r="B870" s="21">
        <f t="shared" ca="1" si="145"/>
        <v>2.7383722970404123</v>
      </c>
      <c r="C870" s="21">
        <f t="shared" ca="1" si="150"/>
        <v>2645.851180523222</v>
      </c>
      <c r="D870" s="21">
        <f t="shared" ca="1" si="146"/>
        <v>3.1448015408325616</v>
      </c>
      <c r="E870" s="21">
        <f t="shared" ca="1" si="153"/>
        <v>2.172040060288964</v>
      </c>
      <c r="F870" s="20" t="str">
        <f t="shared" ca="1" si="151"/>
        <v>No</v>
      </c>
      <c r="G870" s="21">
        <f t="shared" ca="1" si="147"/>
        <v>0</v>
      </c>
      <c r="H870" s="21">
        <f t="shared" ca="1" si="148"/>
        <v>2648.0232205835109</v>
      </c>
      <c r="I870" s="21">
        <f t="shared" ca="1" si="143"/>
        <v>2651.1680221243437</v>
      </c>
      <c r="J870" s="20">
        <f t="shared" ca="1" si="152"/>
        <v>2</v>
      </c>
      <c r="K870" s="20">
        <f t="shared" ca="1" si="144"/>
        <v>4</v>
      </c>
      <c r="L870" s="44">
        <f t="shared" ca="1" si="149"/>
        <v>3</v>
      </c>
    </row>
    <row r="871" spans="1:12" x14ac:dyDescent="0.25">
      <c r="A871" s="20">
        <v>863</v>
      </c>
      <c r="B871" s="21">
        <f t="shared" ca="1" si="145"/>
        <v>2.381010191993878</v>
      </c>
      <c r="C871" s="21">
        <f t="shared" ca="1" si="150"/>
        <v>2648.2321907152159</v>
      </c>
      <c r="D871" s="21">
        <f t="shared" ca="1" si="146"/>
        <v>0.77724823461213677</v>
      </c>
      <c r="E871" s="21">
        <f t="shared" ca="1" si="153"/>
        <v>2.9358314091277862</v>
      </c>
      <c r="F871" s="20" t="str">
        <f t="shared" ca="1" si="151"/>
        <v>No</v>
      </c>
      <c r="G871" s="21">
        <f t="shared" ca="1" si="147"/>
        <v>0</v>
      </c>
      <c r="H871" s="21">
        <f t="shared" ca="1" si="148"/>
        <v>2651.1680221243437</v>
      </c>
      <c r="I871" s="21">
        <f t="shared" ca="1" si="143"/>
        <v>2651.9452703589559</v>
      </c>
      <c r="J871" s="20">
        <f t="shared" ca="1" si="152"/>
        <v>5</v>
      </c>
      <c r="K871" s="20">
        <f t="shared" ca="1" si="144"/>
        <v>3</v>
      </c>
      <c r="L871" s="44">
        <f t="shared" ca="1" si="149"/>
        <v>4</v>
      </c>
    </row>
    <row r="872" spans="1:12" x14ac:dyDescent="0.25">
      <c r="A872" s="20">
        <v>864</v>
      </c>
      <c r="B872" s="21">
        <f t="shared" ca="1" si="145"/>
        <v>1.1672796622604933</v>
      </c>
      <c r="C872" s="21">
        <f t="shared" ca="1" si="150"/>
        <v>2649.3994703774765</v>
      </c>
      <c r="D872" s="21">
        <f t="shared" ca="1" si="146"/>
        <v>0.91979198047235478</v>
      </c>
      <c r="E872" s="21">
        <f t="shared" ca="1" si="153"/>
        <v>2.5457999814793766</v>
      </c>
      <c r="F872" s="20" t="str">
        <f t="shared" ca="1" si="151"/>
        <v>No</v>
      </c>
      <c r="G872" s="21">
        <f t="shared" ca="1" si="147"/>
        <v>0</v>
      </c>
      <c r="H872" s="21">
        <f t="shared" ca="1" si="148"/>
        <v>2651.9452703589559</v>
      </c>
      <c r="I872" s="21">
        <f t="shared" ca="1" si="143"/>
        <v>2652.8650623394283</v>
      </c>
      <c r="J872" s="20">
        <f t="shared" ca="1" si="152"/>
        <v>4</v>
      </c>
      <c r="K872" s="20">
        <f t="shared" ca="1" si="144"/>
        <v>2</v>
      </c>
      <c r="L872" s="44">
        <f t="shared" ca="1" si="149"/>
        <v>3</v>
      </c>
    </row>
    <row r="873" spans="1:12" x14ac:dyDescent="0.25">
      <c r="A873" s="20">
        <v>865</v>
      </c>
      <c r="B873" s="21">
        <f t="shared" ca="1" si="145"/>
        <v>0.22339557683701292</v>
      </c>
      <c r="C873" s="21">
        <f t="shared" ca="1" si="150"/>
        <v>2649.6228659543135</v>
      </c>
      <c r="D873" s="21">
        <f t="shared" ca="1" si="146"/>
        <v>9.1040105516580011E-2</v>
      </c>
      <c r="E873" s="21">
        <f t="shared" ca="1" si="153"/>
        <v>3.2421963851147666</v>
      </c>
      <c r="F873" s="20" t="str">
        <f t="shared" ca="1" si="151"/>
        <v>No</v>
      </c>
      <c r="G873" s="21">
        <f t="shared" ca="1" si="147"/>
        <v>0</v>
      </c>
      <c r="H873" s="21">
        <f t="shared" ca="1" si="148"/>
        <v>2652.8650623394283</v>
      </c>
      <c r="I873" s="21">
        <f t="shared" ca="1" si="143"/>
        <v>2652.9561024449449</v>
      </c>
      <c r="J873" s="20">
        <f t="shared" ca="1" si="152"/>
        <v>3</v>
      </c>
      <c r="K873" s="20">
        <f t="shared" ca="1" si="144"/>
        <v>1</v>
      </c>
      <c r="L873" s="44">
        <f t="shared" ca="1" si="149"/>
        <v>2</v>
      </c>
    </row>
    <row r="874" spans="1:12" x14ac:dyDescent="0.25">
      <c r="A874" s="20">
        <v>866</v>
      </c>
      <c r="B874" s="21">
        <f t="shared" ca="1" si="145"/>
        <v>1.3417902258376873</v>
      </c>
      <c r="C874" s="21">
        <f t="shared" ca="1" si="150"/>
        <v>2650.964656180151</v>
      </c>
      <c r="D874" s="21">
        <f t="shared" ca="1" si="146"/>
        <v>0.46931923499625028</v>
      </c>
      <c r="E874" s="21">
        <f t="shared" ca="1" si="153"/>
        <v>1.9914462647939217</v>
      </c>
      <c r="F874" s="20" t="str">
        <f t="shared" ca="1" si="151"/>
        <v>No</v>
      </c>
      <c r="G874" s="21">
        <f t="shared" ca="1" si="147"/>
        <v>0</v>
      </c>
      <c r="H874" s="21">
        <f t="shared" ca="1" si="148"/>
        <v>2652.9561024449449</v>
      </c>
      <c r="I874" s="21">
        <f t="shared" ca="1" si="143"/>
        <v>2653.4254216799413</v>
      </c>
      <c r="J874" s="20">
        <f t="shared" ca="1" si="152"/>
        <v>2</v>
      </c>
      <c r="K874" s="20">
        <f t="shared" ca="1" si="144"/>
        <v>0</v>
      </c>
      <c r="L874" s="44">
        <f t="shared" ca="1" si="149"/>
        <v>1</v>
      </c>
    </row>
    <row r="875" spans="1:12" x14ac:dyDescent="0.25">
      <c r="A875" s="20">
        <v>867</v>
      </c>
      <c r="B875" s="21">
        <f t="shared" ca="1" si="145"/>
        <v>2.5283714070558028</v>
      </c>
      <c r="C875" s="21">
        <f t="shared" ca="1" si="150"/>
        <v>2653.4930275872066</v>
      </c>
      <c r="D875" s="21">
        <f t="shared" ca="1" si="146"/>
        <v>3.1611421811967677</v>
      </c>
      <c r="E875" s="21">
        <f t="shared" ca="1" si="153"/>
        <v>0</v>
      </c>
      <c r="F875" s="20" t="str">
        <f t="shared" ca="1" si="151"/>
        <v>Yes</v>
      </c>
      <c r="G875" s="21">
        <f t="shared" ca="1" si="147"/>
        <v>6.7605907265260612E-2</v>
      </c>
      <c r="H875" s="21">
        <f t="shared" ca="1" si="148"/>
        <v>2653.4930275872066</v>
      </c>
      <c r="I875" s="21">
        <f t="shared" ca="1" si="143"/>
        <v>2656.6541697684033</v>
      </c>
      <c r="J875" s="20">
        <f t="shared" ca="1" si="152"/>
        <v>0</v>
      </c>
      <c r="K875" s="20">
        <f t="shared" ca="1" si="144"/>
        <v>1</v>
      </c>
      <c r="L875" s="44">
        <f t="shared" ca="1" si="149"/>
        <v>0.5</v>
      </c>
    </row>
    <row r="876" spans="1:12" x14ac:dyDescent="0.25">
      <c r="A876" s="20">
        <v>868</v>
      </c>
      <c r="B876" s="21">
        <f t="shared" ca="1" si="145"/>
        <v>2.3217901608034408</v>
      </c>
      <c r="C876" s="21">
        <f t="shared" ca="1" si="150"/>
        <v>2655.8148177480102</v>
      </c>
      <c r="D876" s="21">
        <f t="shared" ca="1" si="146"/>
        <v>5.3665939696621079</v>
      </c>
      <c r="E876" s="21">
        <f t="shared" ca="1" si="153"/>
        <v>0.83935202039310752</v>
      </c>
      <c r="F876" s="20" t="str">
        <f t="shared" ca="1" si="151"/>
        <v>No</v>
      </c>
      <c r="G876" s="21">
        <f t="shared" ca="1" si="147"/>
        <v>0</v>
      </c>
      <c r="H876" s="21">
        <f t="shared" ca="1" si="148"/>
        <v>2656.6541697684033</v>
      </c>
      <c r="I876" s="21">
        <f t="shared" ca="1" si="143"/>
        <v>2662.0207637380654</v>
      </c>
      <c r="J876" s="20">
        <f t="shared" ca="1" si="152"/>
        <v>2</v>
      </c>
      <c r="K876" s="20">
        <f t="shared" ca="1" si="144"/>
        <v>2</v>
      </c>
      <c r="L876" s="44">
        <f t="shared" ca="1" si="149"/>
        <v>2</v>
      </c>
    </row>
    <row r="877" spans="1:12" x14ac:dyDescent="0.25">
      <c r="A877" s="20">
        <v>869</v>
      </c>
      <c r="B877" s="21">
        <f t="shared" ca="1" si="145"/>
        <v>5.6950437550181476</v>
      </c>
      <c r="C877" s="21">
        <f t="shared" ca="1" si="150"/>
        <v>2661.5098615030283</v>
      </c>
      <c r="D877" s="21">
        <f t="shared" ca="1" si="146"/>
        <v>1.0331160611090624</v>
      </c>
      <c r="E877" s="21">
        <f t="shared" ca="1" si="153"/>
        <v>0.51090223503706511</v>
      </c>
      <c r="F877" s="20" t="str">
        <f t="shared" ca="1" si="151"/>
        <v>No</v>
      </c>
      <c r="G877" s="21">
        <f t="shared" ca="1" si="147"/>
        <v>0</v>
      </c>
      <c r="H877" s="21">
        <f t="shared" ca="1" si="148"/>
        <v>2662.0207637380654</v>
      </c>
      <c r="I877" s="21">
        <f t="shared" ca="1" si="143"/>
        <v>2663.0538797991744</v>
      </c>
      <c r="J877" s="20">
        <f t="shared" ca="1" si="152"/>
        <v>3</v>
      </c>
      <c r="K877" s="20">
        <f t="shared" ca="1" si="144"/>
        <v>2</v>
      </c>
      <c r="L877" s="44">
        <f t="shared" ca="1" si="149"/>
        <v>2.5</v>
      </c>
    </row>
    <row r="878" spans="1:12" x14ac:dyDescent="0.25">
      <c r="A878" s="20">
        <v>870</v>
      </c>
      <c r="B878" s="21">
        <f t="shared" ca="1" si="145"/>
        <v>0.42813267692389251</v>
      </c>
      <c r="C878" s="21">
        <f t="shared" ca="1" si="150"/>
        <v>2661.9379941799521</v>
      </c>
      <c r="D878" s="21">
        <f t="shared" ca="1" si="146"/>
        <v>1.5675419319191399</v>
      </c>
      <c r="E878" s="21">
        <f t="shared" ca="1" si="153"/>
        <v>1.1158856192223539</v>
      </c>
      <c r="F878" s="20" t="str">
        <f t="shared" ca="1" si="151"/>
        <v>No</v>
      </c>
      <c r="G878" s="21">
        <f t="shared" ca="1" si="147"/>
        <v>0</v>
      </c>
      <c r="H878" s="21">
        <f t="shared" ca="1" si="148"/>
        <v>2663.0538797991744</v>
      </c>
      <c r="I878" s="21">
        <f t="shared" ca="1" si="143"/>
        <v>2664.6214217310935</v>
      </c>
      <c r="J878" s="20">
        <f t="shared" ca="1" si="152"/>
        <v>3</v>
      </c>
      <c r="K878" s="20">
        <f t="shared" ca="1" si="144"/>
        <v>1</v>
      </c>
      <c r="L878" s="44">
        <f t="shared" ca="1" si="149"/>
        <v>2</v>
      </c>
    </row>
    <row r="879" spans="1:12" x14ac:dyDescent="0.25">
      <c r="A879" s="20">
        <v>871</v>
      </c>
      <c r="B879" s="21">
        <f t="shared" ca="1" si="145"/>
        <v>0.66900131773697502</v>
      </c>
      <c r="C879" s="21">
        <f t="shared" ca="1" si="150"/>
        <v>2662.6069954976892</v>
      </c>
      <c r="D879" s="21">
        <f t="shared" ca="1" si="146"/>
        <v>0.69464629502580255</v>
      </c>
      <c r="E879" s="21">
        <f t="shared" ca="1" si="153"/>
        <v>2.0144262334042651</v>
      </c>
      <c r="F879" s="20" t="str">
        <f t="shared" ca="1" si="151"/>
        <v>No</v>
      </c>
      <c r="G879" s="21">
        <f t="shared" ca="1" si="147"/>
        <v>0</v>
      </c>
      <c r="H879" s="21">
        <f t="shared" ca="1" si="148"/>
        <v>2664.6214217310935</v>
      </c>
      <c r="I879" s="21">
        <f t="shared" ca="1" si="143"/>
        <v>2665.3160680261194</v>
      </c>
      <c r="J879" s="20">
        <f t="shared" ca="1" si="152"/>
        <v>2</v>
      </c>
      <c r="K879" s="20">
        <f t="shared" ca="1" si="144"/>
        <v>0</v>
      </c>
      <c r="L879" s="44">
        <f t="shared" ca="1" si="149"/>
        <v>1</v>
      </c>
    </row>
    <row r="880" spans="1:12" x14ac:dyDescent="0.25">
      <c r="A880" s="20">
        <v>872</v>
      </c>
      <c r="B880" s="21">
        <f t="shared" ca="1" si="145"/>
        <v>9.2219161251725801</v>
      </c>
      <c r="C880" s="21">
        <f t="shared" ca="1" si="150"/>
        <v>2671.8289116228616</v>
      </c>
      <c r="D880" s="21">
        <f t="shared" ca="1" si="146"/>
        <v>3.893817389767201</v>
      </c>
      <c r="E880" s="21">
        <f t="shared" ca="1" si="153"/>
        <v>0</v>
      </c>
      <c r="F880" s="20" t="str">
        <f t="shared" ca="1" si="151"/>
        <v>Yes</v>
      </c>
      <c r="G880" s="21">
        <f t="shared" ca="1" si="147"/>
        <v>6.5128435967421865</v>
      </c>
      <c r="H880" s="21">
        <f t="shared" ca="1" si="148"/>
        <v>2671.8289116228616</v>
      </c>
      <c r="I880" s="21">
        <f t="shared" ca="1" si="143"/>
        <v>2675.7227290126289</v>
      </c>
      <c r="J880" s="20">
        <f t="shared" ca="1" si="152"/>
        <v>0</v>
      </c>
      <c r="K880" s="20">
        <f t="shared" ca="1" si="144"/>
        <v>0</v>
      </c>
      <c r="L880" s="44">
        <f t="shared" ca="1" si="149"/>
        <v>0</v>
      </c>
    </row>
    <row r="881" spans="1:12" x14ac:dyDescent="0.25">
      <c r="A881" s="20">
        <v>873</v>
      </c>
      <c r="B881" s="21">
        <f t="shared" ca="1" si="145"/>
        <v>8.3433028186724965</v>
      </c>
      <c r="C881" s="21">
        <f t="shared" ca="1" si="150"/>
        <v>2680.1722144415339</v>
      </c>
      <c r="D881" s="21">
        <f t="shared" ca="1" si="146"/>
        <v>3.1184502267736205</v>
      </c>
      <c r="E881" s="21">
        <f t="shared" ca="1" si="153"/>
        <v>0</v>
      </c>
      <c r="F881" s="20" t="str">
        <f t="shared" ca="1" si="151"/>
        <v>Yes</v>
      </c>
      <c r="G881" s="21">
        <f t="shared" ca="1" si="147"/>
        <v>4.4494854289050636</v>
      </c>
      <c r="H881" s="21">
        <f t="shared" ca="1" si="148"/>
        <v>2680.1722144415339</v>
      </c>
      <c r="I881" s="21">
        <f t="shared" ca="1" si="143"/>
        <v>2683.2906646683077</v>
      </c>
      <c r="J881" s="20">
        <f t="shared" ca="1" si="152"/>
        <v>0</v>
      </c>
      <c r="K881" s="20">
        <f t="shared" ca="1" si="144"/>
        <v>2</v>
      </c>
      <c r="L881" s="44">
        <f t="shared" ca="1" si="149"/>
        <v>1</v>
      </c>
    </row>
    <row r="882" spans="1:12" x14ac:dyDescent="0.25">
      <c r="A882" s="20">
        <v>874</v>
      </c>
      <c r="B882" s="21">
        <f t="shared" ca="1" si="145"/>
        <v>0.36445603597223686</v>
      </c>
      <c r="C882" s="21">
        <f t="shared" ca="1" si="150"/>
        <v>2680.536670477506</v>
      </c>
      <c r="D882" s="21">
        <f t="shared" ca="1" si="146"/>
        <v>1.480702616148859</v>
      </c>
      <c r="E882" s="21">
        <f t="shared" ca="1" si="153"/>
        <v>2.7539941908016772</v>
      </c>
      <c r="F882" s="20" t="str">
        <f t="shared" ca="1" si="151"/>
        <v>No</v>
      </c>
      <c r="G882" s="21">
        <f t="shared" ca="1" si="147"/>
        <v>0</v>
      </c>
      <c r="H882" s="21">
        <f t="shared" ca="1" si="148"/>
        <v>2683.2906646683077</v>
      </c>
      <c r="I882" s="21">
        <f t="shared" ca="1" si="143"/>
        <v>2684.7713672844566</v>
      </c>
      <c r="J882" s="20">
        <f t="shared" ca="1" si="152"/>
        <v>3</v>
      </c>
      <c r="K882" s="20">
        <f t="shared" ca="1" si="144"/>
        <v>1</v>
      </c>
      <c r="L882" s="44">
        <f t="shared" ca="1" si="149"/>
        <v>2</v>
      </c>
    </row>
    <row r="883" spans="1:12" x14ac:dyDescent="0.25">
      <c r="A883" s="20">
        <v>875</v>
      </c>
      <c r="B883" s="21">
        <f t="shared" ca="1" si="145"/>
        <v>1.3317536297456256</v>
      </c>
      <c r="C883" s="21">
        <f t="shared" ca="1" si="150"/>
        <v>2681.8684241072515</v>
      </c>
      <c r="D883" s="21">
        <f t="shared" ca="1" si="146"/>
        <v>2.5164318986513194</v>
      </c>
      <c r="E883" s="21">
        <f t="shared" ca="1" si="153"/>
        <v>2.9029431772050884</v>
      </c>
      <c r="F883" s="20" t="str">
        <f t="shared" ca="1" si="151"/>
        <v>No</v>
      </c>
      <c r="G883" s="21">
        <f t="shared" ca="1" si="147"/>
        <v>0</v>
      </c>
      <c r="H883" s="21">
        <f t="shared" ca="1" si="148"/>
        <v>2684.7713672844566</v>
      </c>
      <c r="I883" s="21">
        <f t="shared" ca="1" si="143"/>
        <v>2687.2877991831078</v>
      </c>
      <c r="J883" s="20">
        <f t="shared" ca="1" si="152"/>
        <v>2</v>
      </c>
      <c r="K883" s="20">
        <f t="shared" ca="1" si="144"/>
        <v>1</v>
      </c>
      <c r="L883" s="44">
        <f t="shared" ca="1" si="149"/>
        <v>1.5</v>
      </c>
    </row>
    <row r="884" spans="1:12" x14ac:dyDescent="0.25">
      <c r="A884" s="20">
        <v>876</v>
      </c>
      <c r="B884" s="21">
        <f t="shared" ca="1" si="145"/>
        <v>4.894949220578245</v>
      </c>
      <c r="C884" s="21">
        <f t="shared" ca="1" si="150"/>
        <v>2686.7633733278299</v>
      </c>
      <c r="D884" s="21">
        <f t="shared" ca="1" si="146"/>
        <v>9.4940464894041821</v>
      </c>
      <c r="E884" s="21">
        <f t="shared" ca="1" si="153"/>
        <v>0.52442585527796837</v>
      </c>
      <c r="F884" s="20" t="str">
        <f t="shared" ca="1" si="151"/>
        <v>No</v>
      </c>
      <c r="G884" s="21">
        <f t="shared" ca="1" si="147"/>
        <v>0</v>
      </c>
      <c r="H884" s="21">
        <f t="shared" ca="1" si="148"/>
        <v>2687.2877991831078</v>
      </c>
      <c r="I884" s="21">
        <f t="shared" ca="1" si="143"/>
        <v>2696.7818456725122</v>
      </c>
      <c r="J884" s="20">
        <f t="shared" ca="1" si="152"/>
        <v>2</v>
      </c>
      <c r="K884" s="20">
        <f t="shared" ca="1" si="144"/>
        <v>3</v>
      </c>
      <c r="L884" s="44">
        <f t="shared" ca="1" si="149"/>
        <v>2.5</v>
      </c>
    </row>
    <row r="885" spans="1:12" x14ac:dyDescent="0.25">
      <c r="A885" s="20">
        <v>877</v>
      </c>
      <c r="B885" s="21">
        <f t="shared" ca="1" si="145"/>
        <v>3.5503553495554105</v>
      </c>
      <c r="C885" s="21">
        <f t="shared" ca="1" si="150"/>
        <v>2690.3137286773854</v>
      </c>
      <c r="D885" s="21">
        <f t="shared" ca="1" si="146"/>
        <v>4.3120121978010477</v>
      </c>
      <c r="E885" s="21">
        <f t="shared" ca="1" si="153"/>
        <v>6.4681169951268203</v>
      </c>
      <c r="F885" s="20" t="str">
        <f t="shared" ca="1" si="151"/>
        <v>No</v>
      </c>
      <c r="G885" s="21">
        <f t="shared" ca="1" si="147"/>
        <v>0</v>
      </c>
      <c r="H885" s="21">
        <f t="shared" ca="1" si="148"/>
        <v>2696.7818456725122</v>
      </c>
      <c r="I885" s="21">
        <f t="shared" ca="1" si="143"/>
        <v>2701.0938578703131</v>
      </c>
      <c r="J885" s="20">
        <f t="shared" ca="1" si="152"/>
        <v>4</v>
      </c>
      <c r="K885" s="20">
        <f t="shared" ca="1" si="144"/>
        <v>3</v>
      </c>
      <c r="L885" s="44">
        <f t="shared" ca="1" si="149"/>
        <v>3.5</v>
      </c>
    </row>
    <row r="886" spans="1:12" x14ac:dyDescent="0.25">
      <c r="A886" s="20">
        <v>878</v>
      </c>
      <c r="B886" s="21">
        <f t="shared" ca="1" si="145"/>
        <v>2.5975154962769835</v>
      </c>
      <c r="C886" s="21">
        <f t="shared" ca="1" si="150"/>
        <v>2692.9112441736625</v>
      </c>
      <c r="D886" s="21">
        <f t="shared" ca="1" si="146"/>
        <v>3.7525736603581366</v>
      </c>
      <c r="E886" s="21">
        <f t="shared" ca="1" si="153"/>
        <v>8.1826136966506056</v>
      </c>
      <c r="F886" s="20" t="str">
        <f t="shared" ca="1" si="151"/>
        <v>No</v>
      </c>
      <c r="G886" s="21">
        <f t="shared" ca="1" si="147"/>
        <v>0</v>
      </c>
      <c r="H886" s="21">
        <f t="shared" ca="1" si="148"/>
        <v>2701.0938578703131</v>
      </c>
      <c r="I886" s="21">
        <f t="shared" ca="1" si="143"/>
        <v>2704.846431530671</v>
      </c>
      <c r="J886" s="20">
        <f t="shared" ca="1" si="152"/>
        <v>4</v>
      </c>
      <c r="K886" s="20">
        <f t="shared" ca="1" si="144"/>
        <v>4</v>
      </c>
      <c r="L886" s="44">
        <f t="shared" ca="1" si="149"/>
        <v>4</v>
      </c>
    </row>
    <row r="887" spans="1:12" x14ac:dyDescent="0.25">
      <c r="A887" s="20">
        <v>879</v>
      </c>
      <c r="B887" s="21">
        <f t="shared" ca="1" si="145"/>
        <v>2.8275861460447653</v>
      </c>
      <c r="C887" s="21">
        <f t="shared" ca="1" si="150"/>
        <v>2695.7388303197072</v>
      </c>
      <c r="D887" s="21">
        <f t="shared" ca="1" si="146"/>
        <v>0.58655233701386922</v>
      </c>
      <c r="E887" s="21">
        <f t="shared" ca="1" si="153"/>
        <v>9.1076012109638214</v>
      </c>
      <c r="F887" s="20" t="str">
        <f t="shared" ca="1" si="151"/>
        <v>No</v>
      </c>
      <c r="G887" s="21">
        <f t="shared" ca="1" si="147"/>
        <v>0</v>
      </c>
      <c r="H887" s="21">
        <f t="shared" ca="1" si="148"/>
        <v>2704.846431530671</v>
      </c>
      <c r="I887" s="21">
        <f t="shared" ca="1" si="143"/>
        <v>2705.4329838676849</v>
      </c>
      <c r="J887" s="20">
        <f t="shared" ca="1" si="152"/>
        <v>5</v>
      </c>
      <c r="K887" s="20">
        <f t="shared" ca="1" si="144"/>
        <v>3</v>
      </c>
      <c r="L887" s="44">
        <f t="shared" ca="1" si="149"/>
        <v>4</v>
      </c>
    </row>
    <row r="888" spans="1:12" x14ac:dyDescent="0.25">
      <c r="A888" s="20">
        <v>880</v>
      </c>
      <c r="B888" s="21">
        <f t="shared" ca="1" si="145"/>
        <v>2.1128664190729034</v>
      </c>
      <c r="C888" s="21">
        <f t="shared" ca="1" si="150"/>
        <v>2697.85169673878</v>
      </c>
      <c r="D888" s="21">
        <f t="shared" ca="1" si="146"/>
        <v>2.0856850849654216</v>
      </c>
      <c r="E888" s="21">
        <f t="shared" ca="1" si="153"/>
        <v>7.5812871289049326</v>
      </c>
      <c r="F888" s="20" t="str">
        <f t="shared" ca="1" si="151"/>
        <v>No</v>
      </c>
      <c r="G888" s="21">
        <f t="shared" ca="1" si="147"/>
        <v>0</v>
      </c>
      <c r="H888" s="21">
        <f t="shared" ca="1" si="148"/>
        <v>2705.4329838676849</v>
      </c>
      <c r="I888" s="21">
        <f t="shared" ca="1" si="143"/>
        <v>2707.5186689526504</v>
      </c>
      <c r="J888" s="20">
        <f t="shared" ca="1" si="152"/>
        <v>4</v>
      </c>
      <c r="K888" s="20">
        <f t="shared" ca="1" si="144"/>
        <v>3</v>
      </c>
      <c r="L888" s="44">
        <f t="shared" ca="1" si="149"/>
        <v>3.5</v>
      </c>
    </row>
    <row r="889" spans="1:12" x14ac:dyDescent="0.25">
      <c r="A889" s="20">
        <v>881</v>
      </c>
      <c r="B889" s="21">
        <f t="shared" ca="1" si="145"/>
        <v>3.5994603392991973</v>
      </c>
      <c r="C889" s="21">
        <f t="shared" ca="1" si="150"/>
        <v>2701.4511570780792</v>
      </c>
      <c r="D889" s="21">
        <f t="shared" ca="1" si="146"/>
        <v>2.7605371148592814</v>
      </c>
      <c r="E889" s="21">
        <f t="shared" ca="1" si="153"/>
        <v>6.0675118745712098</v>
      </c>
      <c r="F889" s="20" t="str">
        <f t="shared" ca="1" si="151"/>
        <v>No</v>
      </c>
      <c r="G889" s="21">
        <f t="shared" ca="1" si="147"/>
        <v>0</v>
      </c>
      <c r="H889" s="21">
        <f t="shared" ca="1" si="148"/>
        <v>2707.5186689526504</v>
      </c>
      <c r="I889" s="21">
        <f t="shared" ca="1" si="143"/>
        <v>2710.2792060675097</v>
      </c>
      <c r="J889" s="20">
        <f t="shared" ca="1" si="152"/>
        <v>4</v>
      </c>
      <c r="K889" s="20">
        <f t="shared" ca="1" si="144"/>
        <v>3</v>
      </c>
      <c r="L889" s="44">
        <f t="shared" ca="1" si="149"/>
        <v>3.5</v>
      </c>
    </row>
    <row r="890" spans="1:12" x14ac:dyDescent="0.25">
      <c r="A890" s="20">
        <v>882</v>
      </c>
      <c r="B890" s="21">
        <f t="shared" ca="1" si="145"/>
        <v>3.1714565752557222</v>
      </c>
      <c r="C890" s="21">
        <f t="shared" ca="1" si="150"/>
        <v>2704.6226136533351</v>
      </c>
      <c r="D890" s="21">
        <f t="shared" ca="1" si="146"/>
        <v>0.24367330556817768</v>
      </c>
      <c r="E890" s="21">
        <f t="shared" ca="1" si="153"/>
        <v>5.6565924141746109</v>
      </c>
      <c r="F890" s="20" t="str">
        <f t="shared" ca="1" si="151"/>
        <v>No</v>
      </c>
      <c r="G890" s="21">
        <f t="shared" ca="1" si="147"/>
        <v>0</v>
      </c>
      <c r="H890" s="21">
        <f t="shared" ca="1" si="148"/>
        <v>2710.2792060675097</v>
      </c>
      <c r="I890" s="21">
        <f t="shared" ca="1" si="143"/>
        <v>2710.522879373078</v>
      </c>
      <c r="J890" s="20">
        <f t="shared" ca="1" si="152"/>
        <v>4</v>
      </c>
      <c r="K890" s="20">
        <f t="shared" ca="1" si="144"/>
        <v>2</v>
      </c>
      <c r="L890" s="44">
        <f t="shared" ca="1" si="149"/>
        <v>3</v>
      </c>
    </row>
    <row r="891" spans="1:12" x14ac:dyDescent="0.25">
      <c r="A891" s="20">
        <v>883</v>
      </c>
      <c r="B891" s="21">
        <f t="shared" ca="1" si="145"/>
        <v>0.97044610451973035</v>
      </c>
      <c r="C891" s="21">
        <f t="shared" ca="1" si="150"/>
        <v>2705.5930597578549</v>
      </c>
      <c r="D891" s="21">
        <f t="shared" ca="1" si="146"/>
        <v>3.4482979952146273</v>
      </c>
      <c r="E891" s="21">
        <f t="shared" ca="1" si="153"/>
        <v>4.9298196152230958</v>
      </c>
      <c r="F891" s="20" t="str">
        <f t="shared" ca="1" si="151"/>
        <v>No</v>
      </c>
      <c r="G891" s="21">
        <f t="shared" ca="1" si="147"/>
        <v>0</v>
      </c>
      <c r="H891" s="21">
        <f t="shared" ca="1" si="148"/>
        <v>2710.522879373078</v>
      </c>
      <c r="I891" s="21">
        <f t="shared" ca="1" si="143"/>
        <v>2713.9711773682925</v>
      </c>
      <c r="J891" s="20">
        <f t="shared" ca="1" si="152"/>
        <v>3</v>
      </c>
      <c r="K891" s="20">
        <f t="shared" ca="1" si="144"/>
        <v>1</v>
      </c>
      <c r="L891" s="44">
        <f t="shared" ca="1" si="149"/>
        <v>2</v>
      </c>
    </row>
    <row r="892" spans="1:12" x14ac:dyDescent="0.25">
      <c r="A892" s="20">
        <v>884</v>
      </c>
      <c r="B892" s="21">
        <f t="shared" ca="1" si="145"/>
        <v>3.0074758113782196</v>
      </c>
      <c r="C892" s="21">
        <f t="shared" ca="1" si="150"/>
        <v>2708.6005355692332</v>
      </c>
      <c r="D892" s="21">
        <f t="shared" ca="1" si="146"/>
        <v>2.7709300968187538</v>
      </c>
      <c r="E892" s="21">
        <f t="shared" ca="1" si="153"/>
        <v>5.3706417990592854</v>
      </c>
      <c r="F892" s="20" t="str">
        <f t="shared" ca="1" si="151"/>
        <v>No</v>
      </c>
      <c r="G892" s="21">
        <f t="shared" ca="1" si="147"/>
        <v>0</v>
      </c>
      <c r="H892" s="21">
        <f t="shared" ca="1" si="148"/>
        <v>2713.9711773682925</v>
      </c>
      <c r="I892" s="21">
        <f t="shared" ca="1" si="143"/>
        <v>2716.7421074651111</v>
      </c>
      <c r="J892" s="20">
        <f t="shared" ca="1" si="152"/>
        <v>2</v>
      </c>
      <c r="K892" s="20">
        <f t="shared" ca="1" si="144"/>
        <v>1</v>
      </c>
      <c r="L892" s="44">
        <f t="shared" ca="1" si="149"/>
        <v>1.5</v>
      </c>
    </row>
    <row r="893" spans="1:12" x14ac:dyDescent="0.25">
      <c r="A893" s="20">
        <v>885</v>
      </c>
      <c r="B893" s="21">
        <f t="shared" ca="1" si="145"/>
        <v>5.5229746563057978</v>
      </c>
      <c r="C893" s="21">
        <f t="shared" ca="1" si="150"/>
        <v>2714.1235102255391</v>
      </c>
      <c r="D893" s="21">
        <f t="shared" ca="1" si="146"/>
        <v>2.691697862682624</v>
      </c>
      <c r="E893" s="21">
        <f t="shared" ca="1" si="153"/>
        <v>2.6185972395719546</v>
      </c>
      <c r="F893" s="20" t="str">
        <f t="shared" ca="1" si="151"/>
        <v>No</v>
      </c>
      <c r="G893" s="21">
        <f t="shared" ca="1" si="147"/>
        <v>0</v>
      </c>
      <c r="H893" s="21">
        <f t="shared" ca="1" si="148"/>
        <v>2716.7421074651111</v>
      </c>
      <c r="I893" s="21">
        <f t="shared" ca="1" si="143"/>
        <v>2719.4338053277938</v>
      </c>
      <c r="J893" s="20">
        <f t="shared" ca="1" si="152"/>
        <v>2</v>
      </c>
      <c r="K893" s="20">
        <f t="shared" ca="1" si="144"/>
        <v>2</v>
      </c>
      <c r="L893" s="44">
        <f t="shared" ca="1" si="149"/>
        <v>2</v>
      </c>
    </row>
    <row r="894" spans="1:12" x14ac:dyDescent="0.25">
      <c r="A894" s="20">
        <v>886</v>
      </c>
      <c r="B894" s="21">
        <f t="shared" ca="1" si="145"/>
        <v>3.3559273191901728</v>
      </c>
      <c r="C894" s="21">
        <f t="shared" ca="1" si="150"/>
        <v>2717.4794375447291</v>
      </c>
      <c r="D894" s="21">
        <f t="shared" ca="1" si="146"/>
        <v>8.8878346955713639</v>
      </c>
      <c r="E894" s="21">
        <f t="shared" ca="1" si="153"/>
        <v>1.9543677830647539</v>
      </c>
      <c r="F894" s="20" t="str">
        <f t="shared" ca="1" si="151"/>
        <v>No</v>
      </c>
      <c r="G894" s="21">
        <f t="shared" ca="1" si="147"/>
        <v>0</v>
      </c>
      <c r="H894" s="21">
        <f t="shared" ca="1" si="148"/>
        <v>2719.4338053277938</v>
      </c>
      <c r="I894" s="21">
        <f t="shared" ca="1" si="143"/>
        <v>2728.321640023365</v>
      </c>
      <c r="J894" s="20">
        <f t="shared" ca="1" si="152"/>
        <v>3</v>
      </c>
      <c r="K894" s="20">
        <f t="shared" ca="1" si="144"/>
        <v>4</v>
      </c>
      <c r="L894" s="44">
        <f t="shared" ca="1" si="149"/>
        <v>3.5</v>
      </c>
    </row>
    <row r="895" spans="1:12" x14ac:dyDescent="0.25">
      <c r="A895" s="20">
        <v>887</v>
      </c>
      <c r="B895" s="21">
        <f t="shared" ca="1" si="145"/>
        <v>0.19382998396703885</v>
      </c>
      <c r="C895" s="21">
        <f t="shared" ca="1" si="150"/>
        <v>2717.6732675286962</v>
      </c>
      <c r="D895" s="21">
        <f t="shared" ca="1" si="146"/>
        <v>0.76225058507496335</v>
      </c>
      <c r="E895" s="21">
        <f t="shared" ca="1" si="153"/>
        <v>10.64837249466882</v>
      </c>
      <c r="F895" s="20" t="str">
        <f t="shared" ca="1" si="151"/>
        <v>No</v>
      </c>
      <c r="G895" s="21">
        <f t="shared" ca="1" si="147"/>
        <v>0</v>
      </c>
      <c r="H895" s="21">
        <f t="shared" ca="1" si="148"/>
        <v>2728.321640023365</v>
      </c>
      <c r="I895" s="21">
        <f t="shared" ca="1" si="143"/>
        <v>2729.08389060844</v>
      </c>
      <c r="J895" s="20">
        <f t="shared" ca="1" si="152"/>
        <v>5</v>
      </c>
      <c r="K895" s="20">
        <f t="shared" ca="1" si="144"/>
        <v>3</v>
      </c>
      <c r="L895" s="44">
        <f t="shared" ca="1" si="149"/>
        <v>4</v>
      </c>
    </row>
    <row r="896" spans="1:12" x14ac:dyDescent="0.25">
      <c r="A896" s="20">
        <v>888</v>
      </c>
      <c r="B896" s="21">
        <f t="shared" ca="1" si="145"/>
        <v>2.1723016224992242</v>
      </c>
      <c r="C896" s="21">
        <f t="shared" ca="1" si="150"/>
        <v>2719.8455691511954</v>
      </c>
      <c r="D896" s="21">
        <f t="shared" ca="1" si="146"/>
        <v>0.6632630321107652</v>
      </c>
      <c r="E896" s="21">
        <f t="shared" ca="1" si="153"/>
        <v>9.2383214572446377</v>
      </c>
      <c r="F896" s="20" t="str">
        <f t="shared" ca="1" si="151"/>
        <v>No</v>
      </c>
      <c r="G896" s="21">
        <f t="shared" ca="1" si="147"/>
        <v>0</v>
      </c>
      <c r="H896" s="21">
        <f t="shared" ca="1" si="148"/>
        <v>2729.08389060844</v>
      </c>
      <c r="I896" s="21">
        <f t="shared" ca="1" si="143"/>
        <v>2729.747153640551</v>
      </c>
      <c r="J896" s="20">
        <f t="shared" ca="1" si="152"/>
        <v>4</v>
      </c>
      <c r="K896" s="20">
        <f t="shared" ca="1" si="144"/>
        <v>5</v>
      </c>
      <c r="L896" s="44">
        <f t="shared" ca="1" si="149"/>
        <v>4.5</v>
      </c>
    </row>
    <row r="897" spans="1:12" x14ac:dyDescent="0.25">
      <c r="A897" s="20">
        <v>889</v>
      </c>
      <c r="B897" s="21">
        <f t="shared" ca="1" si="145"/>
        <v>1.6649611606680346</v>
      </c>
      <c r="C897" s="21">
        <f t="shared" ca="1" si="150"/>
        <v>2721.5105303118635</v>
      </c>
      <c r="D897" s="21">
        <f t="shared" ca="1" si="146"/>
        <v>5.2253336234217178</v>
      </c>
      <c r="E897" s="21">
        <f t="shared" ca="1" si="153"/>
        <v>8.2366233286875286</v>
      </c>
      <c r="F897" s="20" t="str">
        <f t="shared" ca="1" si="151"/>
        <v>No</v>
      </c>
      <c r="G897" s="21">
        <f t="shared" ca="1" si="147"/>
        <v>0</v>
      </c>
      <c r="H897" s="21">
        <f t="shared" ca="1" si="148"/>
        <v>2729.747153640551</v>
      </c>
      <c r="I897" s="21">
        <f t="shared" ca="1" si="143"/>
        <v>2734.9724872639727</v>
      </c>
      <c r="J897" s="20">
        <f t="shared" ca="1" si="152"/>
        <v>6</v>
      </c>
      <c r="K897" s="20">
        <f t="shared" ca="1" si="144"/>
        <v>5</v>
      </c>
      <c r="L897" s="44">
        <f t="shared" ca="1" si="149"/>
        <v>5.5</v>
      </c>
    </row>
    <row r="898" spans="1:12" x14ac:dyDescent="0.25">
      <c r="A898" s="20">
        <v>890</v>
      </c>
      <c r="B898" s="21">
        <f t="shared" ca="1" si="145"/>
        <v>2.2345046615065844</v>
      </c>
      <c r="C898" s="21">
        <f t="shared" ca="1" si="150"/>
        <v>2723.7450349733699</v>
      </c>
      <c r="D898" s="21">
        <f t="shared" ca="1" si="146"/>
        <v>0.41754920661901457</v>
      </c>
      <c r="E898" s="21">
        <f t="shared" ca="1" si="153"/>
        <v>11.227452290602741</v>
      </c>
      <c r="F898" s="20" t="str">
        <f t="shared" ca="1" si="151"/>
        <v>No</v>
      </c>
      <c r="G898" s="21">
        <f t="shared" ca="1" si="147"/>
        <v>0</v>
      </c>
      <c r="H898" s="21">
        <f t="shared" ca="1" si="148"/>
        <v>2734.9724872639727</v>
      </c>
      <c r="I898" s="21">
        <f t="shared" ca="1" si="143"/>
        <v>2735.3900364705914</v>
      </c>
      <c r="J898" s="20">
        <f t="shared" ca="1" si="152"/>
        <v>6</v>
      </c>
      <c r="K898" s="20">
        <f t="shared" ca="1" si="144"/>
        <v>5</v>
      </c>
      <c r="L898" s="44">
        <f t="shared" ca="1" si="149"/>
        <v>5.5</v>
      </c>
    </row>
    <row r="899" spans="1:12" x14ac:dyDescent="0.25">
      <c r="A899" s="20">
        <v>891</v>
      </c>
      <c r="B899" s="21">
        <f t="shared" ca="1" si="145"/>
        <v>5.3707716339648313</v>
      </c>
      <c r="C899" s="21">
        <f t="shared" ca="1" si="150"/>
        <v>2729.1158066073349</v>
      </c>
      <c r="D899" s="21">
        <f t="shared" ca="1" si="146"/>
        <v>3.6148133831042544</v>
      </c>
      <c r="E899" s="21">
        <f t="shared" ca="1" si="153"/>
        <v>6.2742298632565507</v>
      </c>
      <c r="F899" s="20" t="str">
        <f t="shared" ca="1" si="151"/>
        <v>No</v>
      </c>
      <c r="G899" s="21">
        <f t="shared" ca="1" si="147"/>
        <v>0</v>
      </c>
      <c r="H899" s="21">
        <f t="shared" ca="1" si="148"/>
        <v>2735.3900364705914</v>
      </c>
      <c r="I899" s="21">
        <f t="shared" ca="1" si="143"/>
        <v>2739.0048498536958</v>
      </c>
      <c r="J899" s="20">
        <f t="shared" ca="1" si="152"/>
        <v>6</v>
      </c>
      <c r="K899" s="20">
        <f t="shared" ca="1" si="144"/>
        <v>5</v>
      </c>
      <c r="L899" s="44">
        <f t="shared" ca="1" si="149"/>
        <v>5.5</v>
      </c>
    </row>
    <row r="900" spans="1:12" x14ac:dyDescent="0.25">
      <c r="A900" s="20">
        <v>892</v>
      </c>
      <c r="B900" s="21">
        <f t="shared" ca="1" si="145"/>
        <v>7.6166157092162848E-3</v>
      </c>
      <c r="C900" s="21">
        <f t="shared" ca="1" si="150"/>
        <v>2729.123423223044</v>
      </c>
      <c r="D900" s="21">
        <f t="shared" ca="1" si="146"/>
        <v>0.60004679245420256</v>
      </c>
      <c r="E900" s="21">
        <f t="shared" ca="1" si="153"/>
        <v>9.8814266306517311</v>
      </c>
      <c r="F900" s="20" t="str">
        <f t="shared" ca="1" si="151"/>
        <v>No</v>
      </c>
      <c r="G900" s="21">
        <f t="shared" ca="1" si="147"/>
        <v>0</v>
      </c>
      <c r="H900" s="21">
        <f t="shared" ca="1" si="148"/>
        <v>2739.0048498536958</v>
      </c>
      <c r="I900" s="21">
        <f t="shared" ca="1" si="143"/>
        <v>2739.6048966461499</v>
      </c>
      <c r="J900" s="20">
        <f t="shared" ca="1" si="152"/>
        <v>6</v>
      </c>
      <c r="K900" s="20">
        <f t="shared" ca="1" si="144"/>
        <v>5</v>
      </c>
      <c r="L900" s="44">
        <f t="shared" ca="1" si="149"/>
        <v>5.5</v>
      </c>
    </row>
    <row r="901" spans="1:12" x14ac:dyDescent="0.25">
      <c r="A901" s="20">
        <v>893</v>
      </c>
      <c r="B901" s="21">
        <f t="shared" ca="1" si="145"/>
        <v>0.56904892411130903</v>
      </c>
      <c r="C901" s="21">
        <f t="shared" ca="1" si="150"/>
        <v>2729.6924721471555</v>
      </c>
      <c r="D901" s="21">
        <f t="shared" ca="1" si="146"/>
        <v>1.0788662351569698</v>
      </c>
      <c r="E901" s="21">
        <f t="shared" ca="1" si="153"/>
        <v>9.9124244989943691</v>
      </c>
      <c r="F901" s="20" t="str">
        <f t="shared" ca="1" si="151"/>
        <v>No</v>
      </c>
      <c r="G901" s="21">
        <f t="shared" ca="1" si="147"/>
        <v>0</v>
      </c>
      <c r="H901" s="21">
        <f t="shared" ca="1" si="148"/>
        <v>2739.6048966461499</v>
      </c>
      <c r="I901" s="21">
        <f t="shared" ca="1" si="143"/>
        <v>2740.6837628813068</v>
      </c>
      <c r="J901" s="20">
        <f t="shared" ca="1" si="152"/>
        <v>6</v>
      </c>
      <c r="K901" s="20">
        <f t="shared" ca="1" si="144"/>
        <v>5</v>
      </c>
      <c r="L901" s="44">
        <f t="shared" ca="1" si="149"/>
        <v>5.5</v>
      </c>
    </row>
    <row r="902" spans="1:12" x14ac:dyDescent="0.25">
      <c r="A902" s="20">
        <v>894</v>
      </c>
      <c r="B902" s="21">
        <f t="shared" ca="1" si="145"/>
        <v>1.7867067183483532</v>
      </c>
      <c r="C902" s="21">
        <f t="shared" ca="1" si="150"/>
        <v>2731.4791788655039</v>
      </c>
      <c r="D902" s="21">
        <f t="shared" ca="1" si="146"/>
        <v>3.2313919495918864</v>
      </c>
      <c r="E902" s="21">
        <f t="shared" ca="1" si="153"/>
        <v>9.2045840158029932</v>
      </c>
      <c r="F902" s="20" t="str">
        <f t="shared" ca="1" si="151"/>
        <v>No</v>
      </c>
      <c r="G902" s="21">
        <f t="shared" ca="1" si="147"/>
        <v>0</v>
      </c>
      <c r="H902" s="21">
        <f t="shared" ca="1" si="148"/>
        <v>2740.6837628813068</v>
      </c>
      <c r="I902" s="21">
        <f t="shared" ca="1" si="143"/>
        <v>2743.9151548308987</v>
      </c>
      <c r="J902" s="20">
        <f t="shared" ca="1" si="152"/>
        <v>6</v>
      </c>
      <c r="K902" s="20">
        <f t="shared" ca="1" si="144"/>
        <v>5</v>
      </c>
      <c r="L902" s="44">
        <f t="shared" ca="1" si="149"/>
        <v>5.5</v>
      </c>
    </row>
    <row r="903" spans="1:12" x14ac:dyDescent="0.25">
      <c r="A903" s="20">
        <v>895</v>
      </c>
      <c r="B903" s="21">
        <f t="shared" ca="1" si="145"/>
        <v>0.43782337721367626</v>
      </c>
      <c r="C903" s="21">
        <f t="shared" ca="1" si="150"/>
        <v>2731.9170022427174</v>
      </c>
      <c r="D903" s="21">
        <f t="shared" ca="1" si="146"/>
        <v>0.19077556577707622</v>
      </c>
      <c r="E903" s="21">
        <f t="shared" ca="1" si="153"/>
        <v>11.998152588181256</v>
      </c>
      <c r="F903" s="20" t="str">
        <f t="shared" ca="1" si="151"/>
        <v>No</v>
      </c>
      <c r="G903" s="21">
        <f t="shared" ca="1" si="147"/>
        <v>0</v>
      </c>
      <c r="H903" s="21">
        <f t="shared" ca="1" si="148"/>
        <v>2743.9151548308987</v>
      </c>
      <c r="I903" s="21">
        <f t="shared" ca="1" si="143"/>
        <v>2744.1059303966758</v>
      </c>
      <c r="J903" s="20">
        <f t="shared" ca="1" si="152"/>
        <v>6</v>
      </c>
      <c r="K903" s="20">
        <f t="shared" ca="1" si="144"/>
        <v>4</v>
      </c>
      <c r="L903" s="44">
        <f t="shared" ca="1" si="149"/>
        <v>5</v>
      </c>
    </row>
    <row r="904" spans="1:12" x14ac:dyDescent="0.25">
      <c r="A904" s="20">
        <v>896</v>
      </c>
      <c r="B904" s="21">
        <f t="shared" ca="1" si="145"/>
        <v>2.3638347096722252</v>
      </c>
      <c r="C904" s="21">
        <f t="shared" ca="1" si="150"/>
        <v>2734.2808369523896</v>
      </c>
      <c r="D904" s="21">
        <f t="shared" ca="1" si="146"/>
        <v>2.7123843455556793</v>
      </c>
      <c r="E904" s="21">
        <f t="shared" ca="1" si="153"/>
        <v>9.8250934442862672</v>
      </c>
      <c r="F904" s="20" t="str">
        <f t="shared" ca="1" si="151"/>
        <v>No</v>
      </c>
      <c r="G904" s="21">
        <f t="shared" ca="1" si="147"/>
        <v>0</v>
      </c>
      <c r="H904" s="21">
        <f t="shared" ca="1" si="148"/>
        <v>2744.1059303966758</v>
      </c>
      <c r="I904" s="21">
        <f t="shared" ca="1" si="143"/>
        <v>2746.8183147422315</v>
      </c>
      <c r="J904" s="20">
        <f t="shared" ca="1" si="152"/>
        <v>5</v>
      </c>
      <c r="K904" s="20">
        <f t="shared" ca="1" si="144"/>
        <v>4</v>
      </c>
      <c r="L904" s="44">
        <f t="shared" ca="1" si="149"/>
        <v>4.5</v>
      </c>
    </row>
    <row r="905" spans="1:12" x14ac:dyDescent="0.25">
      <c r="A905" s="20">
        <v>897</v>
      </c>
      <c r="B905" s="21">
        <f t="shared" ca="1" si="145"/>
        <v>2.0266563473600296E-3</v>
      </c>
      <c r="C905" s="21">
        <f t="shared" ca="1" si="150"/>
        <v>2734.282863608737</v>
      </c>
      <c r="D905" s="21">
        <f t="shared" ca="1" si="146"/>
        <v>0.69944176213834142</v>
      </c>
      <c r="E905" s="21">
        <f t="shared" ca="1" si="153"/>
        <v>12.535451133494462</v>
      </c>
      <c r="F905" s="20" t="str">
        <f t="shared" ca="1" si="151"/>
        <v>No</v>
      </c>
      <c r="G905" s="21">
        <f t="shared" ca="1" si="147"/>
        <v>0</v>
      </c>
      <c r="H905" s="21">
        <f t="shared" ca="1" si="148"/>
        <v>2746.8183147422315</v>
      </c>
      <c r="I905" s="21">
        <f t="shared" ref="I905:I968" ca="1" si="154">$H905+$D905</f>
        <v>2747.5177565043696</v>
      </c>
      <c r="J905" s="20">
        <f t="shared" ca="1" si="152"/>
        <v>5</v>
      </c>
      <c r="K905" s="20">
        <f t="shared" ref="K905:K968" ca="1" si="155">IF($I905&lt;=$C906,0,IF($I905&lt;=$C907,1,IF($I905&lt;=$C908,2,IF($I905&lt;=$C909,3,IF($I905&lt;=$C910,4,5)))))</f>
        <v>3</v>
      </c>
      <c r="L905" s="44">
        <f t="shared" ca="1" si="149"/>
        <v>4</v>
      </c>
    </row>
    <row r="906" spans="1:12" x14ac:dyDescent="0.25">
      <c r="A906" s="20">
        <v>898</v>
      </c>
      <c r="B906" s="21">
        <f t="shared" ref="B906:B969" ca="1" si="156">-LN(RAND())/$D$4</f>
        <v>0.25890857623205399</v>
      </c>
      <c r="C906" s="21">
        <f t="shared" ca="1" si="150"/>
        <v>2734.541772184969</v>
      </c>
      <c r="D906" s="21">
        <f t="shared" ref="D906:D969" ca="1" si="157">-LN(RAND())/$D$6</f>
        <v>2.2977051008641061</v>
      </c>
      <c r="E906" s="21">
        <f t="shared" ca="1" si="153"/>
        <v>12.975984319400595</v>
      </c>
      <c r="F906" s="20" t="str">
        <f t="shared" ca="1" si="151"/>
        <v>No</v>
      </c>
      <c r="G906" s="21">
        <f t="shared" ref="G906:G969" ca="1" si="158">IF($I905&lt;=$C906,$C906-$I905,0)</f>
        <v>0</v>
      </c>
      <c r="H906" s="21">
        <f t="shared" ref="H906:H969" ca="1" si="159">IF($I905&lt;=$C906,$C906,$I905)</f>
        <v>2747.5177565043696</v>
      </c>
      <c r="I906" s="21">
        <f t="shared" ca="1" si="154"/>
        <v>2749.8154616052338</v>
      </c>
      <c r="J906" s="20">
        <f t="shared" ca="1" si="152"/>
        <v>4</v>
      </c>
      <c r="K906" s="20">
        <f t="shared" ca="1" si="155"/>
        <v>3</v>
      </c>
      <c r="L906" s="44">
        <f t="shared" ref="L906:L969" ca="1" si="160">(J906+K906)/2</f>
        <v>3.5</v>
      </c>
    </row>
    <row r="907" spans="1:12" x14ac:dyDescent="0.25">
      <c r="A907" s="20">
        <v>899</v>
      </c>
      <c r="B907" s="21">
        <f t="shared" ca="1" si="156"/>
        <v>6.8775329425389939</v>
      </c>
      <c r="C907" s="21">
        <f t="shared" ref="C907:C970" ca="1" si="161">$C906+$B907</f>
        <v>2741.4193051275079</v>
      </c>
      <c r="D907" s="21">
        <f t="shared" ca="1" si="157"/>
        <v>2.7450361060894934</v>
      </c>
      <c r="E907" s="21">
        <f t="shared" ca="1" si="153"/>
        <v>8.3961564777259809</v>
      </c>
      <c r="F907" s="20" t="str">
        <f t="shared" ref="F907:F970" ca="1" si="162">IF(E907=0,"Yes","No")</f>
        <v>No</v>
      </c>
      <c r="G907" s="21">
        <f t="shared" ca="1" si="158"/>
        <v>0</v>
      </c>
      <c r="H907" s="21">
        <f t="shared" ca="1" si="159"/>
        <v>2749.8154616052338</v>
      </c>
      <c r="I907" s="21">
        <f t="shared" ca="1" si="154"/>
        <v>2752.5604977113235</v>
      </c>
      <c r="J907" s="20">
        <f t="shared" ref="J907:J970" ca="1" si="163">IF($I906&lt;=$C907,0,$K906+1)</f>
        <v>4</v>
      </c>
      <c r="K907" s="20">
        <f t="shared" ca="1" si="155"/>
        <v>2</v>
      </c>
      <c r="L907" s="44">
        <f t="shared" ca="1" si="160"/>
        <v>3</v>
      </c>
    </row>
    <row r="908" spans="1:12" x14ac:dyDescent="0.25">
      <c r="A908" s="20">
        <v>900</v>
      </c>
      <c r="B908" s="21">
        <f t="shared" ca="1" si="156"/>
        <v>5.3628466739694209</v>
      </c>
      <c r="C908" s="21">
        <f t="shared" ca="1" si="161"/>
        <v>2746.7821518014771</v>
      </c>
      <c r="D908" s="21">
        <f t="shared" ca="1" si="157"/>
        <v>0.8209605836667595</v>
      </c>
      <c r="E908" s="21">
        <f t="shared" ref="E908:E971" ca="1" si="164">IF($I907&lt;=$C908,0,$I907-$C908)</f>
        <v>5.7783459098463936</v>
      </c>
      <c r="F908" s="20" t="str">
        <f t="shared" ca="1" si="162"/>
        <v>No</v>
      </c>
      <c r="G908" s="21">
        <f t="shared" ca="1" si="158"/>
        <v>0</v>
      </c>
      <c r="H908" s="21">
        <f t="shared" ca="1" si="159"/>
        <v>2752.5604977113235</v>
      </c>
      <c r="I908" s="21">
        <f t="shared" ca="1" si="154"/>
        <v>2753.3814582949904</v>
      </c>
      <c r="J908" s="20">
        <f t="shared" ca="1" si="163"/>
        <v>3</v>
      </c>
      <c r="K908" s="20">
        <f t="shared" ca="1" si="155"/>
        <v>2</v>
      </c>
      <c r="L908" s="44">
        <f t="shared" ca="1" si="160"/>
        <v>2.5</v>
      </c>
    </row>
    <row r="909" spans="1:12" x14ac:dyDescent="0.25">
      <c r="A909" s="20">
        <v>901</v>
      </c>
      <c r="B909" s="21">
        <f t="shared" ca="1" si="156"/>
        <v>2.3894462838463828</v>
      </c>
      <c r="C909" s="21">
        <f t="shared" ca="1" si="161"/>
        <v>2749.1715980853237</v>
      </c>
      <c r="D909" s="21">
        <f t="shared" ca="1" si="157"/>
        <v>4.3347006785228075</v>
      </c>
      <c r="E909" s="21">
        <f t="shared" ca="1" si="164"/>
        <v>4.2098602096666582</v>
      </c>
      <c r="F909" s="20" t="str">
        <f t="shared" ca="1" si="162"/>
        <v>No</v>
      </c>
      <c r="G909" s="21">
        <f t="shared" ca="1" si="158"/>
        <v>0</v>
      </c>
      <c r="H909" s="21">
        <f t="shared" ca="1" si="159"/>
        <v>2753.3814582949904</v>
      </c>
      <c r="I909" s="21">
        <f t="shared" ca="1" si="154"/>
        <v>2757.7161589735133</v>
      </c>
      <c r="J909" s="20">
        <f t="shared" ca="1" si="163"/>
        <v>3</v>
      </c>
      <c r="K909" s="20">
        <f t="shared" ca="1" si="155"/>
        <v>2</v>
      </c>
      <c r="L909" s="44">
        <f t="shared" ca="1" si="160"/>
        <v>2.5</v>
      </c>
    </row>
    <row r="910" spans="1:12" x14ac:dyDescent="0.25">
      <c r="A910" s="20">
        <v>902</v>
      </c>
      <c r="B910" s="21">
        <f t="shared" ca="1" si="156"/>
        <v>3.7344724567261389</v>
      </c>
      <c r="C910" s="21">
        <f t="shared" ca="1" si="161"/>
        <v>2752.9060705420497</v>
      </c>
      <c r="D910" s="21">
        <f t="shared" ca="1" si="157"/>
        <v>2.4882242343408572</v>
      </c>
      <c r="E910" s="21">
        <f t="shared" ca="1" si="164"/>
        <v>4.810088431463555</v>
      </c>
      <c r="F910" s="20" t="str">
        <f t="shared" ca="1" si="162"/>
        <v>No</v>
      </c>
      <c r="G910" s="21">
        <f t="shared" ca="1" si="158"/>
        <v>0</v>
      </c>
      <c r="H910" s="21">
        <f t="shared" ca="1" si="159"/>
        <v>2757.7161589735133</v>
      </c>
      <c r="I910" s="21">
        <f t="shared" ca="1" si="154"/>
        <v>2760.2043832078543</v>
      </c>
      <c r="J910" s="20">
        <f t="shared" ca="1" si="163"/>
        <v>3</v>
      </c>
      <c r="K910" s="20">
        <f t="shared" ca="1" si="155"/>
        <v>2</v>
      </c>
      <c r="L910" s="44">
        <f t="shared" ca="1" si="160"/>
        <v>2.5</v>
      </c>
    </row>
    <row r="911" spans="1:12" x14ac:dyDescent="0.25">
      <c r="A911" s="20">
        <v>903</v>
      </c>
      <c r="B911" s="21">
        <f t="shared" ca="1" si="156"/>
        <v>1.2941896284917054</v>
      </c>
      <c r="C911" s="21">
        <f t="shared" ca="1" si="161"/>
        <v>2754.2002601705412</v>
      </c>
      <c r="D911" s="21">
        <f t="shared" ca="1" si="157"/>
        <v>3.5448679869133115</v>
      </c>
      <c r="E911" s="21">
        <f t="shared" ca="1" si="164"/>
        <v>6.0041230373130929</v>
      </c>
      <c r="F911" s="20" t="str">
        <f t="shared" ca="1" si="162"/>
        <v>No</v>
      </c>
      <c r="G911" s="21">
        <f t="shared" ca="1" si="158"/>
        <v>0</v>
      </c>
      <c r="H911" s="21">
        <f t="shared" ca="1" si="159"/>
        <v>2760.2043832078543</v>
      </c>
      <c r="I911" s="21">
        <f t="shared" ca="1" si="154"/>
        <v>2763.7492511947676</v>
      </c>
      <c r="J911" s="20">
        <f t="shared" ca="1" si="163"/>
        <v>3</v>
      </c>
      <c r="K911" s="20">
        <f t="shared" ca="1" si="155"/>
        <v>1</v>
      </c>
      <c r="L911" s="44">
        <f t="shared" ca="1" si="160"/>
        <v>2</v>
      </c>
    </row>
    <row r="912" spans="1:12" x14ac:dyDescent="0.25">
      <c r="A912" s="20">
        <v>904</v>
      </c>
      <c r="B912" s="21">
        <f t="shared" ca="1" si="156"/>
        <v>4.4859839416670448</v>
      </c>
      <c r="C912" s="21">
        <f t="shared" ca="1" si="161"/>
        <v>2758.6862441122084</v>
      </c>
      <c r="D912" s="21">
        <f t="shared" ca="1" si="157"/>
        <v>0.25493555677527358</v>
      </c>
      <c r="E912" s="21">
        <f t="shared" ca="1" si="164"/>
        <v>5.0630070825591247</v>
      </c>
      <c r="F912" s="20" t="str">
        <f t="shared" ca="1" si="162"/>
        <v>No</v>
      </c>
      <c r="G912" s="21">
        <f t="shared" ca="1" si="158"/>
        <v>0</v>
      </c>
      <c r="H912" s="21">
        <f t="shared" ca="1" si="159"/>
        <v>2763.7492511947676</v>
      </c>
      <c r="I912" s="21">
        <f t="shared" ca="1" si="154"/>
        <v>2764.0041867515429</v>
      </c>
      <c r="J912" s="20">
        <f t="shared" ca="1" si="163"/>
        <v>2</v>
      </c>
      <c r="K912" s="20">
        <f t="shared" ca="1" si="155"/>
        <v>0</v>
      </c>
      <c r="L912" s="44">
        <f t="shared" ca="1" si="160"/>
        <v>1</v>
      </c>
    </row>
    <row r="913" spans="1:12" x14ac:dyDescent="0.25">
      <c r="A913" s="20">
        <v>905</v>
      </c>
      <c r="B913" s="21">
        <f t="shared" ca="1" si="156"/>
        <v>6.858766479120038</v>
      </c>
      <c r="C913" s="21">
        <f t="shared" ca="1" si="161"/>
        <v>2765.5450105913283</v>
      </c>
      <c r="D913" s="21">
        <f t="shared" ca="1" si="157"/>
        <v>0.2748056027042271</v>
      </c>
      <c r="E913" s="21">
        <f t="shared" ca="1" si="164"/>
        <v>0</v>
      </c>
      <c r="F913" s="20" t="str">
        <f t="shared" ca="1" si="162"/>
        <v>Yes</v>
      </c>
      <c r="G913" s="21">
        <f t="shared" ca="1" si="158"/>
        <v>1.5408238397853893</v>
      </c>
      <c r="H913" s="21">
        <f t="shared" ca="1" si="159"/>
        <v>2765.5450105913283</v>
      </c>
      <c r="I913" s="21">
        <f t="shared" ca="1" si="154"/>
        <v>2765.8198161940327</v>
      </c>
      <c r="J913" s="20">
        <f t="shared" ca="1" si="163"/>
        <v>0</v>
      </c>
      <c r="K913" s="20">
        <f t="shared" ca="1" si="155"/>
        <v>0</v>
      </c>
      <c r="L913" s="44">
        <f t="shared" ca="1" si="160"/>
        <v>0</v>
      </c>
    </row>
    <row r="914" spans="1:12" x14ac:dyDescent="0.25">
      <c r="A914" s="20">
        <v>906</v>
      </c>
      <c r="B914" s="21">
        <f t="shared" ca="1" si="156"/>
        <v>0.88297111108355997</v>
      </c>
      <c r="C914" s="21">
        <f t="shared" ca="1" si="161"/>
        <v>2766.4279817024117</v>
      </c>
      <c r="D914" s="21">
        <f t="shared" ca="1" si="157"/>
        <v>0.55870817614451473</v>
      </c>
      <c r="E914" s="21">
        <f t="shared" ca="1" si="164"/>
        <v>0</v>
      </c>
      <c r="F914" s="20" t="str">
        <f t="shared" ca="1" si="162"/>
        <v>Yes</v>
      </c>
      <c r="G914" s="21">
        <f t="shared" ca="1" si="158"/>
        <v>0.60816550837898831</v>
      </c>
      <c r="H914" s="21">
        <f t="shared" ca="1" si="159"/>
        <v>2766.4279817024117</v>
      </c>
      <c r="I914" s="21">
        <f t="shared" ca="1" si="154"/>
        <v>2766.9866898785563</v>
      </c>
      <c r="J914" s="20">
        <f t="shared" ca="1" si="163"/>
        <v>0</v>
      </c>
      <c r="K914" s="20">
        <f t="shared" ca="1" si="155"/>
        <v>0</v>
      </c>
      <c r="L914" s="44">
        <f t="shared" ca="1" si="160"/>
        <v>0</v>
      </c>
    </row>
    <row r="915" spans="1:12" x14ac:dyDescent="0.25">
      <c r="A915" s="20">
        <v>907</v>
      </c>
      <c r="B915" s="21">
        <f t="shared" ca="1" si="156"/>
        <v>3.1704914510892501</v>
      </c>
      <c r="C915" s="21">
        <f t="shared" ca="1" si="161"/>
        <v>2769.5984731535009</v>
      </c>
      <c r="D915" s="21">
        <f t="shared" ca="1" si="157"/>
        <v>9.3201422269729264</v>
      </c>
      <c r="E915" s="21">
        <f t="shared" ca="1" si="164"/>
        <v>0</v>
      </c>
      <c r="F915" s="20" t="str">
        <f t="shared" ca="1" si="162"/>
        <v>Yes</v>
      </c>
      <c r="G915" s="21">
        <f t="shared" ca="1" si="158"/>
        <v>2.6117832749446279</v>
      </c>
      <c r="H915" s="21">
        <f t="shared" ca="1" si="159"/>
        <v>2769.5984731535009</v>
      </c>
      <c r="I915" s="21">
        <f t="shared" ca="1" si="154"/>
        <v>2778.918615380474</v>
      </c>
      <c r="J915" s="20">
        <f t="shared" ca="1" si="163"/>
        <v>0</v>
      </c>
      <c r="K915" s="20">
        <f t="shared" ca="1" si="155"/>
        <v>2</v>
      </c>
      <c r="L915" s="44">
        <f t="shared" ca="1" si="160"/>
        <v>1</v>
      </c>
    </row>
    <row r="916" spans="1:12" x14ac:dyDescent="0.25">
      <c r="A916" s="20">
        <v>908</v>
      </c>
      <c r="B916" s="21">
        <f t="shared" ca="1" si="156"/>
        <v>4.3531834108426697</v>
      </c>
      <c r="C916" s="21">
        <f t="shared" ca="1" si="161"/>
        <v>2773.9516565643435</v>
      </c>
      <c r="D916" s="21">
        <f t="shared" ca="1" si="157"/>
        <v>1.7397203071982905</v>
      </c>
      <c r="E916" s="21">
        <f t="shared" ca="1" si="164"/>
        <v>4.9669588161305001</v>
      </c>
      <c r="F916" s="20" t="str">
        <f t="shared" ca="1" si="162"/>
        <v>No</v>
      </c>
      <c r="G916" s="21">
        <f t="shared" ca="1" si="158"/>
        <v>0</v>
      </c>
      <c r="H916" s="21">
        <f t="shared" ca="1" si="159"/>
        <v>2778.918615380474</v>
      </c>
      <c r="I916" s="21">
        <f t="shared" ca="1" si="154"/>
        <v>2780.6583356876722</v>
      </c>
      <c r="J916" s="20">
        <f t="shared" ca="1" si="163"/>
        <v>3</v>
      </c>
      <c r="K916" s="20">
        <f t="shared" ca="1" si="155"/>
        <v>1</v>
      </c>
      <c r="L916" s="44">
        <f t="shared" ca="1" si="160"/>
        <v>2</v>
      </c>
    </row>
    <row r="917" spans="1:12" x14ac:dyDescent="0.25">
      <c r="A917" s="20">
        <v>909</v>
      </c>
      <c r="B917" s="21">
        <f t="shared" ca="1" si="156"/>
        <v>0.47256159026238276</v>
      </c>
      <c r="C917" s="21">
        <f t="shared" ca="1" si="161"/>
        <v>2774.424218154606</v>
      </c>
      <c r="D917" s="21">
        <f t="shared" ca="1" si="157"/>
        <v>4.9756288113007558</v>
      </c>
      <c r="E917" s="21">
        <f t="shared" ca="1" si="164"/>
        <v>6.2341175330661827</v>
      </c>
      <c r="F917" s="20" t="str">
        <f t="shared" ca="1" si="162"/>
        <v>No</v>
      </c>
      <c r="G917" s="21">
        <f t="shared" ca="1" si="158"/>
        <v>0</v>
      </c>
      <c r="H917" s="21">
        <f t="shared" ca="1" si="159"/>
        <v>2780.6583356876722</v>
      </c>
      <c r="I917" s="21">
        <f t="shared" ca="1" si="154"/>
        <v>2785.633964498973</v>
      </c>
      <c r="J917" s="20">
        <f t="shared" ca="1" si="163"/>
        <v>2</v>
      </c>
      <c r="K917" s="20">
        <f t="shared" ca="1" si="155"/>
        <v>2</v>
      </c>
      <c r="L917" s="44">
        <f t="shared" ca="1" si="160"/>
        <v>2</v>
      </c>
    </row>
    <row r="918" spans="1:12" x14ac:dyDescent="0.25">
      <c r="A918" s="20">
        <v>910</v>
      </c>
      <c r="B918" s="21">
        <f t="shared" ca="1" si="156"/>
        <v>6.4747481017426027</v>
      </c>
      <c r="C918" s="21">
        <f t="shared" ca="1" si="161"/>
        <v>2780.8989662563486</v>
      </c>
      <c r="D918" s="21">
        <f t="shared" ca="1" si="157"/>
        <v>4.3569181128620906</v>
      </c>
      <c r="E918" s="21">
        <f t="shared" ca="1" si="164"/>
        <v>4.7349982426244424</v>
      </c>
      <c r="F918" s="20" t="str">
        <f t="shared" ca="1" si="162"/>
        <v>No</v>
      </c>
      <c r="G918" s="21">
        <f t="shared" ca="1" si="158"/>
        <v>0</v>
      </c>
      <c r="H918" s="21">
        <f t="shared" ca="1" si="159"/>
        <v>2785.633964498973</v>
      </c>
      <c r="I918" s="21">
        <f t="shared" ca="1" si="154"/>
        <v>2789.9908826118349</v>
      </c>
      <c r="J918" s="20">
        <f t="shared" ca="1" si="163"/>
        <v>3</v>
      </c>
      <c r="K918" s="20">
        <f t="shared" ca="1" si="155"/>
        <v>1</v>
      </c>
      <c r="L918" s="44">
        <f t="shared" ca="1" si="160"/>
        <v>2</v>
      </c>
    </row>
    <row r="919" spans="1:12" x14ac:dyDescent="0.25">
      <c r="A919" s="20">
        <v>911</v>
      </c>
      <c r="B919" s="21">
        <f t="shared" ca="1" si="156"/>
        <v>4.6798737722285706</v>
      </c>
      <c r="C919" s="21">
        <f t="shared" ca="1" si="161"/>
        <v>2785.5788400285769</v>
      </c>
      <c r="D919" s="21">
        <f t="shared" ca="1" si="157"/>
        <v>2.2525705592770846</v>
      </c>
      <c r="E919" s="21">
        <f t="shared" ca="1" si="164"/>
        <v>4.4120425832579713</v>
      </c>
      <c r="F919" s="20" t="str">
        <f t="shared" ca="1" si="162"/>
        <v>No</v>
      </c>
      <c r="G919" s="21">
        <f t="shared" ca="1" si="158"/>
        <v>0</v>
      </c>
      <c r="H919" s="21">
        <f t="shared" ca="1" si="159"/>
        <v>2789.9908826118349</v>
      </c>
      <c r="I919" s="21">
        <f t="shared" ca="1" si="154"/>
        <v>2792.2434531711119</v>
      </c>
      <c r="J919" s="20">
        <f t="shared" ca="1" si="163"/>
        <v>2</v>
      </c>
      <c r="K919" s="20">
        <f t="shared" ca="1" si="155"/>
        <v>0</v>
      </c>
      <c r="L919" s="44">
        <f t="shared" ca="1" si="160"/>
        <v>1</v>
      </c>
    </row>
    <row r="920" spans="1:12" x14ac:dyDescent="0.25">
      <c r="A920" s="20">
        <v>912</v>
      </c>
      <c r="B920" s="21">
        <f t="shared" ca="1" si="156"/>
        <v>7.493210126489056</v>
      </c>
      <c r="C920" s="21">
        <f t="shared" ca="1" si="161"/>
        <v>2793.0720501550659</v>
      </c>
      <c r="D920" s="21">
        <f t="shared" ca="1" si="157"/>
        <v>0.65212549333904335</v>
      </c>
      <c r="E920" s="21">
        <f t="shared" ca="1" si="164"/>
        <v>0</v>
      </c>
      <c r="F920" s="20" t="str">
        <f t="shared" ca="1" si="162"/>
        <v>Yes</v>
      </c>
      <c r="G920" s="21">
        <f t="shared" ca="1" si="158"/>
        <v>0.82859698395395753</v>
      </c>
      <c r="H920" s="21">
        <f t="shared" ca="1" si="159"/>
        <v>2793.0720501550659</v>
      </c>
      <c r="I920" s="21">
        <f t="shared" ca="1" si="154"/>
        <v>2793.724175648405</v>
      </c>
      <c r="J920" s="20">
        <f t="shared" ca="1" si="163"/>
        <v>0</v>
      </c>
      <c r="K920" s="20">
        <f t="shared" ca="1" si="155"/>
        <v>0</v>
      </c>
      <c r="L920" s="44">
        <f t="shared" ca="1" si="160"/>
        <v>0</v>
      </c>
    </row>
    <row r="921" spans="1:12" x14ac:dyDescent="0.25">
      <c r="A921" s="20">
        <v>913</v>
      </c>
      <c r="B921" s="21">
        <f t="shared" ca="1" si="156"/>
        <v>2.0151460781842667</v>
      </c>
      <c r="C921" s="21">
        <f t="shared" ca="1" si="161"/>
        <v>2795.0871962332503</v>
      </c>
      <c r="D921" s="21">
        <f t="shared" ca="1" si="157"/>
        <v>0.76076756997258477</v>
      </c>
      <c r="E921" s="21">
        <f t="shared" ca="1" si="164"/>
        <v>0</v>
      </c>
      <c r="F921" s="20" t="str">
        <f t="shared" ca="1" si="162"/>
        <v>Yes</v>
      </c>
      <c r="G921" s="21">
        <f t="shared" ca="1" si="158"/>
        <v>1.3630205848453443</v>
      </c>
      <c r="H921" s="21">
        <f t="shared" ca="1" si="159"/>
        <v>2795.0871962332503</v>
      </c>
      <c r="I921" s="21">
        <f t="shared" ca="1" si="154"/>
        <v>2795.8479638032227</v>
      </c>
      <c r="J921" s="20">
        <f t="shared" ca="1" si="163"/>
        <v>0</v>
      </c>
      <c r="K921" s="20">
        <f t="shared" ca="1" si="155"/>
        <v>0</v>
      </c>
      <c r="L921" s="44">
        <f t="shared" ca="1" si="160"/>
        <v>0</v>
      </c>
    </row>
    <row r="922" spans="1:12" x14ac:dyDescent="0.25">
      <c r="A922" s="20">
        <v>914</v>
      </c>
      <c r="B922" s="21">
        <f t="shared" ca="1" si="156"/>
        <v>2.9814188359427414</v>
      </c>
      <c r="C922" s="21">
        <f t="shared" ca="1" si="161"/>
        <v>2798.0686150691931</v>
      </c>
      <c r="D922" s="21">
        <f t="shared" ca="1" si="157"/>
        <v>10.999228076894802</v>
      </c>
      <c r="E922" s="21">
        <f t="shared" ca="1" si="164"/>
        <v>0</v>
      </c>
      <c r="F922" s="20" t="str">
        <f t="shared" ca="1" si="162"/>
        <v>Yes</v>
      </c>
      <c r="G922" s="21">
        <f t="shared" ca="1" si="158"/>
        <v>2.2206512659704458</v>
      </c>
      <c r="H922" s="21">
        <f t="shared" ca="1" si="159"/>
        <v>2798.0686150691931</v>
      </c>
      <c r="I922" s="21">
        <f t="shared" ca="1" si="154"/>
        <v>2809.0678431460879</v>
      </c>
      <c r="J922" s="20">
        <f t="shared" ca="1" si="163"/>
        <v>0</v>
      </c>
      <c r="K922" s="20">
        <f t="shared" ca="1" si="155"/>
        <v>3</v>
      </c>
      <c r="L922" s="44">
        <f t="shared" ca="1" si="160"/>
        <v>1.5</v>
      </c>
    </row>
    <row r="923" spans="1:12" x14ac:dyDescent="0.25">
      <c r="A923" s="20">
        <v>915</v>
      </c>
      <c r="B923" s="21">
        <f t="shared" ca="1" si="156"/>
        <v>2.0090939238774186</v>
      </c>
      <c r="C923" s="21">
        <f t="shared" ca="1" si="161"/>
        <v>2800.0777089930707</v>
      </c>
      <c r="D923" s="21">
        <f t="shared" ca="1" si="157"/>
        <v>1.9384454479323805</v>
      </c>
      <c r="E923" s="21">
        <f t="shared" ca="1" si="164"/>
        <v>8.9901341530171521</v>
      </c>
      <c r="F923" s="20" t="str">
        <f t="shared" ca="1" si="162"/>
        <v>No</v>
      </c>
      <c r="G923" s="21">
        <f t="shared" ca="1" si="158"/>
        <v>0</v>
      </c>
      <c r="H923" s="21">
        <f t="shared" ca="1" si="159"/>
        <v>2809.0678431460879</v>
      </c>
      <c r="I923" s="21">
        <f t="shared" ca="1" si="154"/>
        <v>2811.0062885940201</v>
      </c>
      <c r="J923" s="20">
        <f t="shared" ca="1" si="163"/>
        <v>4</v>
      </c>
      <c r="K923" s="20">
        <f t="shared" ca="1" si="155"/>
        <v>2</v>
      </c>
      <c r="L923" s="44">
        <f t="shared" ca="1" si="160"/>
        <v>3</v>
      </c>
    </row>
    <row r="924" spans="1:12" x14ac:dyDescent="0.25">
      <c r="A924" s="20">
        <v>916</v>
      </c>
      <c r="B924" s="21">
        <f t="shared" ca="1" si="156"/>
        <v>1.1841344436808607</v>
      </c>
      <c r="C924" s="21">
        <f t="shared" ca="1" si="161"/>
        <v>2801.2618434367514</v>
      </c>
      <c r="D924" s="21">
        <f t="shared" ca="1" si="157"/>
        <v>2.3574219402914864</v>
      </c>
      <c r="E924" s="21">
        <f t="shared" ca="1" si="164"/>
        <v>9.7444451572687285</v>
      </c>
      <c r="F924" s="20" t="str">
        <f t="shared" ca="1" si="162"/>
        <v>No</v>
      </c>
      <c r="G924" s="21">
        <f t="shared" ca="1" si="158"/>
        <v>0</v>
      </c>
      <c r="H924" s="21">
        <f t="shared" ca="1" si="159"/>
        <v>2811.0062885940201</v>
      </c>
      <c r="I924" s="21">
        <f t="shared" ca="1" si="154"/>
        <v>2813.3637105343114</v>
      </c>
      <c r="J924" s="20">
        <f t="shared" ca="1" si="163"/>
        <v>3</v>
      </c>
      <c r="K924" s="20">
        <f t="shared" ca="1" si="155"/>
        <v>1</v>
      </c>
      <c r="L924" s="44">
        <f t="shared" ca="1" si="160"/>
        <v>2</v>
      </c>
    </row>
    <row r="925" spans="1:12" x14ac:dyDescent="0.25">
      <c r="A925" s="20">
        <v>917</v>
      </c>
      <c r="B925" s="21">
        <f t="shared" ca="1" si="156"/>
        <v>1.0176631693868896</v>
      </c>
      <c r="C925" s="21">
        <f t="shared" ca="1" si="161"/>
        <v>2802.2795066061385</v>
      </c>
      <c r="D925" s="21">
        <f t="shared" ca="1" si="157"/>
        <v>0.61357076839489477</v>
      </c>
      <c r="E925" s="21">
        <f t="shared" ca="1" si="164"/>
        <v>11.084203928172883</v>
      </c>
      <c r="F925" s="20" t="str">
        <f t="shared" ca="1" si="162"/>
        <v>No</v>
      </c>
      <c r="G925" s="21">
        <f t="shared" ca="1" si="158"/>
        <v>0</v>
      </c>
      <c r="H925" s="21">
        <f t="shared" ca="1" si="159"/>
        <v>2813.3637105343114</v>
      </c>
      <c r="I925" s="21">
        <f t="shared" ca="1" si="154"/>
        <v>2813.9772813027062</v>
      </c>
      <c r="J925" s="20">
        <f t="shared" ca="1" si="163"/>
        <v>2</v>
      </c>
      <c r="K925" s="20">
        <f t="shared" ca="1" si="155"/>
        <v>0</v>
      </c>
      <c r="L925" s="44">
        <f t="shared" ca="1" si="160"/>
        <v>1</v>
      </c>
    </row>
    <row r="926" spans="1:12" x14ac:dyDescent="0.25">
      <c r="A926" s="20">
        <v>918</v>
      </c>
      <c r="B926" s="21">
        <f t="shared" ca="1" si="156"/>
        <v>19.160195367244135</v>
      </c>
      <c r="C926" s="21">
        <f t="shared" ca="1" si="161"/>
        <v>2821.4397019733829</v>
      </c>
      <c r="D926" s="21">
        <f t="shared" ca="1" si="157"/>
        <v>7.3630340856263299</v>
      </c>
      <c r="E926" s="21">
        <f t="shared" ca="1" si="164"/>
        <v>0</v>
      </c>
      <c r="F926" s="20" t="str">
        <f t="shared" ca="1" si="162"/>
        <v>Yes</v>
      </c>
      <c r="G926" s="21">
        <f t="shared" ca="1" si="158"/>
        <v>7.4624206706766927</v>
      </c>
      <c r="H926" s="21">
        <f t="shared" ca="1" si="159"/>
        <v>2821.4397019733829</v>
      </c>
      <c r="I926" s="21">
        <f t="shared" ca="1" si="154"/>
        <v>2828.802736059009</v>
      </c>
      <c r="J926" s="20">
        <f t="shared" ca="1" si="163"/>
        <v>0</v>
      </c>
      <c r="K926" s="20">
        <f t="shared" ca="1" si="155"/>
        <v>1</v>
      </c>
      <c r="L926" s="44">
        <f t="shared" ca="1" si="160"/>
        <v>0.5</v>
      </c>
    </row>
    <row r="927" spans="1:12" x14ac:dyDescent="0.25">
      <c r="A927" s="20">
        <v>919</v>
      </c>
      <c r="B927" s="21">
        <f t="shared" ca="1" si="156"/>
        <v>6.2500045513634612</v>
      </c>
      <c r="C927" s="21">
        <f t="shared" ca="1" si="161"/>
        <v>2827.6897065247463</v>
      </c>
      <c r="D927" s="21">
        <f t="shared" ca="1" si="157"/>
        <v>0.94724357042033436</v>
      </c>
      <c r="E927" s="21">
        <f t="shared" ca="1" si="164"/>
        <v>1.1130295342627505</v>
      </c>
      <c r="F927" s="20" t="str">
        <f t="shared" ca="1" si="162"/>
        <v>No</v>
      </c>
      <c r="G927" s="21">
        <f t="shared" ca="1" si="158"/>
        <v>0</v>
      </c>
      <c r="H927" s="21">
        <f t="shared" ca="1" si="159"/>
        <v>2828.802736059009</v>
      </c>
      <c r="I927" s="21">
        <f t="shared" ca="1" si="154"/>
        <v>2829.7499796294292</v>
      </c>
      <c r="J927" s="20">
        <f t="shared" ca="1" si="163"/>
        <v>2</v>
      </c>
      <c r="K927" s="20">
        <f t="shared" ca="1" si="155"/>
        <v>1</v>
      </c>
      <c r="L927" s="44">
        <f t="shared" ca="1" si="160"/>
        <v>1.5</v>
      </c>
    </row>
    <row r="928" spans="1:12" x14ac:dyDescent="0.25">
      <c r="A928" s="20">
        <v>920</v>
      </c>
      <c r="B928" s="21">
        <f t="shared" ca="1" si="156"/>
        <v>1.2345065057867342</v>
      </c>
      <c r="C928" s="21">
        <f t="shared" ca="1" si="161"/>
        <v>2828.9242130305329</v>
      </c>
      <c r="D928" s="21">
        <f t="shared" ca="1" si="157"/>
        <v>7.4825509996978257</v>
      </c>
      <c r="E928" s="21">
        <f t="shared" ca="1" si="164"/>
        <v>0.8257665988962799</v>
      </c>
      <c r="F928" s="20" t="str">
        <f t="shared" ca="1" si="162"/>
        <v>No</v>
      </c>
      <c r="G928" s="21">
        <f t="shared" ca="1" si="158"/>
        <v>0</v>
      </c>
      <c r="H928" s="21">
        <f t="shared" ca="1" si="159"/>
        <v>2829.7499796294292</v>
      </c>
      <c r="I928" s="21">
        <f t="shared" ca="1" si="154"/>
        <v>2837.2325306291268</v>
      </c>
      <c r="J928" s="20">
        <f t="shared" ca="1" si="163"/>
        <v>2</v>
      </c>
      <c r="K928" s="20">
        <f t="shared" ca="1" si="155"/>
        <v>2</v>
      </c>
      <c r="L928" s="44">
        <f t="shared" ca="1" si="160"/>
        <v>2</v>
      </c>
    </row>
    <row r="929" spans="1:12" x14ac:dyDescent="0.25">
      <c r="A929" s="20">
        <v>921</v>
      </c>
      <c r="B929" s="21">
        <f t="shared" ca="1" si="156"/>
        <v>2.5808632114830967</v>
      </c>
      <c r="C929" s="21">
        <f t="shared" ca="1" si="161"/>
        <v>2831.505076242016</v>
      </c>
      <c r="D929" s="21">
        <f t="shared" ca="1" si="157"/>
        <v>4.2609909325884567</v>
      </c>
      <c r="E929" s="21">
        <f t="shared" ca="1" si="164"/>
        <v>5.7274543871108108</v>
      </c>
      <c r="F929" s="20" t="str">
        <f t="shared" ca="1" si="162"/>
        <v>No</v>
      </c>
      <c r="G929" s="21">
        <f t="shared" ca="1" si="158"/>
        <v>0</v>
      </c>
      <c r="H929" s="21">
        <f t="shared" ca="1" si="159"/>
        <v>2837.2325306291268</v>
      </c>
      <c r="I929" s="21">
        <f t="shared" ca="1" si="154"/>
        <v>2841.4935215617152</v>
      </c>
      <c r="J929" s="20">
        <f t="shared" ca="1" si="163"/>
        <v>3</v>
      </c>
      <c r="K929" s="20">
        <f t="shared" ca="1" si="155"/>
        <v>2</v>
      </c>
      <c r="L929" s="44">
        <f t="shared" ca="1" si="160"/>
        <v>2.5</v>
      </c>
    </row>
    <row r="930" spans="1:12" x14ac:dyDescent="0.25">
      <c r="A930" s="20">
        <v>922</v>
      </c>
      <c r="B930" s="21">
        <f t="shared" ca="1" si="156"/>
        <v>1.2207927117877551</v>
      </c>
      <c r="C930" s="21">
        <f t="shared" ca="1" si="161"/>
        <v>2832.7258689538039</v>
      </c>
      <c r="D930" s="21">
        <f t="shared" ca="1" si="157"/>
        <v>1.0872345135784263</v>
      </c>
      <c r="E930" s="21">
        <f t="shared" ca="1" si="164"/>
        <v>8.7676526079112591</v>
      </c>
      <c r="F930" s="20" t="str">
        <f t="shared" ca="1" si="162"/>
        <v>No</v>
      </c>
      <c r="G930" s="21">
        <f t="shared" ca="1" si="158"/>
        <v>0</v>
      </c>
      <c r="H930" s="21">
        <f t="shared" ca="1" si="159"/>
        <v>2841.4935215617152</v>
      </c>
      <c r="I930" s="21">
        <f t="shared" ca="1" si="154"/>
        <v>2842.5807560752937</v>
      </c>
      <c r="J930" s="20">
        <f t="shared" ca="1" si="163"/>
        <v>3</v>
      </c>
      <c r="K930" s="20">
        <f t="shared" ca="1" si="155"/>
        <v>1</v>
      </c>
      <c r="L930" s="44">
        <f t="shared" ca="1" si="160"/>
        <v>2</v>
      </c>
    </row>
    <row r="931" spans="1:12" x14ac:dyDescent="0.25">
      <c r="A931" s="20">
        <v>923</v>
      </c>
      <c r="B931" s="21">
        <f t="shared" ca="1" si="156"/>
        <v>6.7172780803560261</v>
      </c>
      <c r="C931" s="21">
        <f t="shared" ca="1" si="161"/>
        <v>2839.4431470341601</v>
      </c>
      <c r="D931" s="21">
        <f t="shared" ca="1" si="157"/>
        <v>2.2699522063353261</v>
      </c>
      <c r="E931" s="21">
        <f t="shared" ca="1" si="164"/>
        <v>3.1376090411336008</v>
      </c>
      <c r="F931" s="20" t="str">
        <f t="shared" ca="1" si="162"/>
        <v>No</v>
      </c>
      <c r="G931" s="21">
        <f t="shared" ca="1" si="158"/>
        <v>0</v>
      </c>
      <c r="H931" s="21">
        <f t="shared" ca="1" si="159"/>
        <v>2842.5807560752937</v>
      </c>
      <c r="I931" s="21">
        <f t="shared" ca="1" si="154"/>
        <v>2844.8507082816291</v>
      </c>
      <c r="J931" s="20">
        <f t="shared" ca="1" si="163"/>
        <v>2</v>
      </c>
      <c r="K931" s="20">
        <f t="shared" ca="1" si="155"/>
        <v>0</v>
      </c>
      <c r="L931" s="44">
        <f t="shared" ca="1" si="160"/>
        <v>1</v>
      </c>
    </row>
    <row r="932" spans="1:12" x14ac:dyDescent="0.25">
      <c r="A932" s="20">
        <v>924</v>
      </c>
      <c r="B932" s="21">
        <f t="shared" ca="1" si="156"/>
        <v>7.302802539409357</v>
      </c>
      <c r="C932" s="21">
        <f t="shared" ca="1" si="161"/>
        <v>2846.7459495735693</v>
      </c>
      <c r="D932" s="21">
        <f t="shared" ca="1" si="157"/>
        <v>1.4411361737566877</v>
      </c>
      <c r="E932" s="21">
        <f t="shared" ca="1" si="164"/>
        <v>0</v>
      </c>
      <c r="F932" s="20" t="str">
        <f t="shared" ca="1" si="162"/>
        <v>Yes</v>
      </c>
      <c r="G932" s="21">
        <f t="shared" ca="1" si="158"/>
        <v>1.8952412919402377</v>
      </c>
      <c r="H932" s="21">
        <f t="shared" ca="1" si="159"/>
        <v>2846.7459495735693</v>
      </c>
      <c r="I932" s="21">
        <f t="shared" ca="1" si="154"/>
        <v>2848.1870857473259</v>
      </c>
      <c r="J932" s="20">
        <f t="shared" ca="1" si="163"/>
        <v>0</v>
      </c>
      <c r="K932" s="20">
        <f t="shared" ca="1" si="155"/>
        <v>0</v>
      </c>
      <c r="L932" s="44">
        <f t="shared" ca="1" si="160"/>
        <v>0</v>
      </c>
    </row>
    <row r="933" spans="1:12" x14ac:dyDescent="0.25">
      <c r="A933" s="20">
        <v>925</v>
      </c>
      <c r="B933" s="21">
        <f t="shared" ca="1" si="156"/>
        <v>2.4689305809278372</v>
      </c>
      <c r="C933" s="21">
        <f t="shared" ca="1" si="161"/>
        <v>2849.2148801544972</v>
      </c>
      <c r="D933" s="21">
        <f t="shared" ca="1" si="157"/>
        <v>3.4546445609422718</v>
      </c>
      <c r="E933" s="21">
        <f t="shared" ca="1" si="164"/>
        <v>0</v>
      </c>
      <c r="F933" s="20" t="str">
        <f t="shared" ca="1" si="162"/>
        <v>Yes</v>
      </c>
      <c r="G933" s="21">
        <f t="shared" ca="1" si="158"/>
        <v>1.0277944071713137</v>
      </c>
      <c r="H933" s="21">
        <f t="shared" ca="1" si="159"/>
        <v>2849.2148801544972</v>
      </c>
      <c r="I933" s="21">
        <f t="shared" ca="1" si="154"/>
        <v>2852.6695247154394</v>
      </c>
      <c r="J933" s="20">
        <f t="shared" ca="1" si="163"/>
        <v>0</v>
      </c>
      <c r="K933" s="20">
        <f t="shared" ca="1" si="155"/>
        <v>1</v>
      </c>
      <c r="L933" s="44">
        <f t="shared" ca="1" si="160"/>
        <v>0.5</v>
      </c>
    </row>
    <row r="934" spans="1:12" x14ac:dyDescent="0.25">
      <c r="A934" s="20">
        <v>926</v>
      </c>
      <c r="B934" s="21">
        <f t="shared" ca="1" si="156"/>
        <v>0.19259636208576117</v>
      </c>
      <c r="C934" s="21">
        <f t="shared" ca="1" si="161"/>
        <v>2849.4074765165828</v>
      </c>
      <c r="D934" s="21">
        <f t="shared" ca="1" si="157"/>
        <v>3.7100000663765913</v>
      </c>
      <c r="E934" s="21">
        <f t="shared" ca="1" si="164"/>
        <v>3.2620481988565189</v>
      </c>
      <c r="F934" s="20" t="str">
        <f t="shared" ca="1" si="162"/>
        <v>No</v>
      </c>
      <c r="G934" s="21">
        <f t="shared" ca="1" si="158"/>
        <v>0</v>
      </c>
      <c r="H934" s="21">
        <f t="shared" ca="1" si="159"/>
        <v>2852.6695247154394</v>
      </c>
      <c r="I934" s="21">
        <f t="shared" ca="1" si="154"/>
        <v>2856.3795247818161</v>
      </c>
      <c r="J934" s="20">
        <f t="shared" ca="1" si="163"/>
        <v>2</v>
      </c>
      <c r="K934" s="20">
        <f t="shared" ca="1" si="155"/>
        <v>3</v>
      </c>
      <c r="L934" s="44">
        <f t="shared" ca="1" si="160"/>
        <v>2.5</v>
      </c>
    </row>
    <row r="935" spans="1:12" x14ac:dyDescent="0.25">
      <c r="A935" s="20">
        <v>927</v>
      </c>
      <c r="B935" s="21">
        <f t="shared" ca="1" si="156"/>
        <v>4.0710149026570743</v>
      </c>
      <c r="C935" s="21">
        <f t="shared" ca="1" si="161"/>
        <v>2853.4784914192401</v>
      </c>
      <c r="D935" s="21">
        <f t="shared" ca="1" si="157"/>
        <v>7.6275631569965467</v>
      </c>
      <c r="E935" s="21">
        <f t="shared" ca="1" si="164"/>
        <v>2.9010333625760722</v>
      </c>
      <c r="F935" s="20" t="str">
        <f t="shared" ca="1" si="162"/>
        <v>No</v>
      </c>
      <c r="G935" s="21">
        <f t="shared" ca="1" si="158"/>
        <v>0</v>
      </c>
      <c r="H935" s="21">
        <f t="shared" ca="1" si="159"/>
        <v>2856.3795247818161</v>
      </c>
      <c r="I935" s="21">
        <f t="shared" ca="1" si="154"/>
        <v>2864.0070879388127</v>
      </c>
      <c r="J935" s="20">
        <f t="shared" ca="1" si="163"/>
        <v>4</v>
      </c>
      <c r="K935" s="20">
        <f t="shared" ca="1" si="155"/>
        <v>4</v>
      </c>
      <c r="L935" s="44">
        <f t="shared" ca="1" si="160"/>
        <v>4</v>
      </c>
    </row>
    <row r="936" spans="1:12" x14ac:dyDescent="0.25">
      <c r="A936" s="20">
        <v>928</v>
      </c>
      <c r="B936" s="21">
        <f t="shared" ca="1" si="156"/>
        <v>5.9873476851806905E-2</v>
      </c>
      <c r="C936" s="21">
        <f t="shared" ca="1" si="161"/>
        <v>2853.5383648960919</v>
      </c>
      <c r="D936" s="21">
        <f t="shared" ca="1" si="157"/>
        <v>5.6953597943142196</v>
      </c>
      <c r="E936" s="21">
        <f t="shared" ca="1" si="164"/>
        <v>10.46872304272074</v>
      </c>
      <c r="F936" s="20" t="str">
        <f t="shared" ca="1" si="162"/>
        <v>No</v>
      </c>
      <c r="G936" s="21">
        <f t="shared" ca="1" si="158"/>
        <v>0</v>
      </c>
      <c r="H936" s="21">
        <f t="shared" ca="1" si="159"/>
        <v>2864.0070879388127</v>
      </c>
      <c r="I936" s="21">
        <f t="shared" ca="1" si="154"/>
        <v>2869.702447733127</v>
      </c>
      <c r="J936" s="20">
        <f t="shared" ca="1" si="163"/>
        <v>5</v>
      </c>
      <c r="K936" s="20">
        <f t="shared" ca="1" si="155"/>
        <v>4</v>
      </c>
      <c r="L936" s="44">
        <f t="shared" ca="1" si="160"/>
        <v>4.5</v>
      </c>
    </row>
    <row r="937" spans="1:12" x14ac:dyDescent="0.25">
      <c r="A937" s="20">
        <v>929</v>
      </c>
      <c r="B937" s="21">
        <f t="shared" ca="1" si="156"/>
        <v>1.6367393835033841</v>
      </c>
      <c r="C937" s="21">
        <f t="shared" ca="1" si="161"/>
        <v>2855.1751042795954</v>
      </c>
      <c r="D937" s="21">
        <f t="shared" ca="1" si="157"/>
        <v>4.783494469185487</v>
      </c>
      <c r="E937" s="21">
        <f t="shared" ca="1" si="164"/>
        <v>14.527343453531557</v>
      </c>
      <c r="F937" s="20" t="str">
        <f t="shared" ca="1" si="162"/>
        <v>No</v>
      </c>
      <c r="G937" s="21">
        <f t="shared" ca="1" si="158"/>
        <v>0</v>
      </c>
      <c r="H937" s="21">
        <f t="shared" ca="1" si="159"/>
        <v>2869.702447733127</v>
      </c>
      <c r="I937" s="21">
        <f t="shared" ca="1" si="154"/>
        <v>2874.4859422023123</v>
      </c>
      <c r="J937" s="20">
        <f t="shared" ca="1" si="163"/>
        <v>5</v>
      </c>
      <c r="K937" s="20">
        <f t="shared" ca="1" si="155"/>
        <v>5</v>
      </c>
      <c r="L937" s="44">
        <f t="shared" ca="1" si="160"/>
        <v>5</v>
      </c>
    </row>
    <row r="938" spans="1:12" x14ac:dyDescent="0.25">
      <c r="A938" s="20">
        <v>930</v>
      </c>
      <c r="B938" s="21">
        <f t="shared" ca="1" si="156"/>
        <v>4.7214605974187611</v>
      </c>
      <c r="C938" s="21">
        <f t="shared" ca="1" si="161"/>
        <v>2859.896564877014</v>
      </c>
      <c r="D938" s="21">
        <f t="shared" ca="1" si="157"/>
        <v>1.1363496756272558</v>
      </c>
      <c r="E938" s="21">
        <f t="shared" ca="1" si="164"/>
        <v>14.589377325298301</v>
      </c>
      <c r="F938" s="20" t="str">
        <f t="shared" ca="1" si="162"/>
        <v>No</v>
      </c>
      <c r="G938" s="21">
        <f t="shared" ca="1" si="158"/>
        <v>0</v>
      </c>
      <c r="H938" s="21">
        <f t="shared" ca="1" si="159"/>
        <v>2874.4859422023123</v>
      </c>
      <c r="I938" s="21">
        <f t="shared" ca="1" si="154"/>
        <v>2875.6222918779395</v>
      </c>
      <c r="J938" s="20">
        <f t="shared" ca="1" si="163"/>
        <v>6</v>
      </c>
      <c r="K938" s="20">
        <f t="shared" ca="1" si="155"/>
        <v>5</v>
      </c>
      <c r="L938" s="44">
        <f t="shared" ca="1" si="160"/>
        <v>5.5</v>
      </c>
    </row>
    <row r="939" spans="1:12" x14ac:dyDescent="0.25">
      <c r="A939" s="20">
        <v>931</v>
      </c>
      <c r="B939" s="21">
        <f t="shared" ca="1" si="156"/>
        <v>2.9991161547438931</v>
      </c>
      <c r="C939" s="21">
        <f t="shared" ca="1" si="161"/>
        <v>2862.8956810317582</v>
      </c>
      <c r="D939" s="21">
        <f t="shared" ca="1" si="157"/>
        <v>2.6695356264862169</v>
      </c>
      <c r="E939" s="21">
        <f t="shared" ca="1" si="164"/>
        <v>12.726610846181302</v>
      </c>
      <c r="F939" s="20" t="str">
        <f t="shared" ca="1" si="162"/>
        <v>No</v>
      </c>
      <c r="G939" s="21">
        <f t="shared" ca="1" si="158"/>
        <v>0</v>
      </c>
      <c r="H939" s="21">
        <f t="shared" ca="1" si="159"/>
        <v>2875.6222918779395</v>
      </c>
      <c r="I939" s="21">
        <f t="shared" ca="1" si="154"/>
        <v>2878.2918275044258</v>
      </c>
      <c r="J939" s="20">
        <f t="shared" ca="1" si="163"/>
        <v>6</v>
      </c>
      <c r="K939" s="20">
        <f t="shared" ca="1" si="155"/>
        <v>5</v>
      </c>
      <c r="L939" s="44">
        <f t="shared" ca="1" si="160"/>
        <v>5.5</v>
      </c>
    </row>
    <row r="940" spans="1:12" x14ac:dyDescent="0.25">
      <c r="A940" s="20">
        <v>932</v>
      </c>
      <c r="B940" s="21">
        <f t="shared" ca="1" si="156"/>
        <v>5.9976952359703981</v>
      </c>
      <c r="C940" s="21">
        <f t="shared" ca="1" si="161"/>
        <v>2868.8933762677284</v>
      </c>
      <c r="D940" s="21">
        <f t="shared" ca="1" si="157"/>
        <v>1.8731695386379359</v>
      </c>
      <c r="E940" s="21">
        <f t="shared" ca="1" si="164"/>
        <v>9.3984512366973831</v>
      </c>
      <c r="F940" s="20" t="str">
        <f t="shared" ca="1" si="162"/>
        <v>No</v>
      </c>
      <c r="G940" s="21">
        <f t="shared" ca="1" si="158"/>
        <v>0</v>
      </c>
      <c r="H940" s="21">
        <f t="shared" ca="1" si="159"/>
        <v>2878.2918275044258</v>
      </c>
      <c r="I940" s="21">
        <f t="shared" ca="1" si="154"/>
        <v>2880.1649970430635</v>
      </c>
      <c r="J940" s="20">
        <f t="shared" ca="1" si="163"/>
        <v>6</v>
      </c>
      <c r="K940" s="20">
        <f t="shared" ca="1" si="155"/>
        <v>4</v>
      </c>
      <c r="L940" s="44">
        <f t="shared" ca="1" si="160"/>
        <v>5</v>
      </c>
    </row>
    <row r="941" spans="1:12" x14ac:dyDescent="0.25">
      <c r="A941" s="20">
        <v>933</v>
      </c>
      <c r="B941" s="21">
        <f t="shared" ca="1" si="156"/>
        <v>1.5404418679811822</v>
      </c>
      <c r="C941" s="21">
        <f t="shared" ca="1" si="161"/>
        <v>2870.4338181357098</v>
      </c>
      <c r="D941" s="21">
        <f t="shared" ca="1" si="157"/>
        <v>0.89938221595774748</v>
      </c>
      <c r="E941" s="21">
        <f t="shared" ca="1" si="164"/>
        <v>9.7311789073537511</v>
      </c>
      <c r="F941" s="20" t="str">
        <f t="shared" ca="1" si="162"/>
        <v>No</v>
      </c>
      <c r="G941" s="21">
        <f t="shared" ca="1" si="158"/>
        <v>0</v>
      </c>
      <c r="H941" s="21">
        <f t="shared" ca="1" si="159"/>
        <v>2880.1649970430635</v>
      </c>
      <c r="I941" s="21">
        <f t="shared" ca="1" si="154"/>
        <v>2881.0643792590213</v>
      </c>
      <c r="J941" s="20">
        <f t="shared" ca="1" si="163"/>
        <v>5</v>
      </c>
      <c r="K941" s="20">
        <f t="shared" ca="1" si="155"/>
        <v>3</v>
      </c>
      <c r="L941" s="44">
        <f t="shared" ca="1" si="160"/>
        <v>4</v>
      </c>
    </row>
    <row r="942" spans="1:12" x14ac:dyDescent="0.25">
      <c r="A942" s="20">
        <v>934</v>
      </c>
      <c r="B942" s="21">
        <f t="shared" ca="1" si="156"/>
        <v>1.5537559163658028</v>
      </c>
      <c r="C942" s="21">
        <f t="shared" ca="1" si="161"/>
        <v>2871.9875740520756</v>
      </c>
      <c r="D942" s="21">
        <f t="shared" ca="1" si="157"/>
        <v>6.2026246120119044</v>
      </c>
      <c r="E942" s="21">
        <f t="shared" ca="1" si="164"/>
        <v>9.0768052069456644</v>
      </c>
      <c r="F942" s="20" t="str">
        <f t="shared" ca="1" si="162"/>
        <v>No</v>
      </c>
      <c r="G942" s="21">
        <f t="shared" ca="1" si="158"/>
        <v>0</v>
      </c>
      <c r="H942" s="21">
        <f t="shared" ca="1" si="159"/>
        <v>2881.0643792590213</v>
      </c>
      <c r="I942" s="21">
        <f t="shared" ca="1" si="154"/>
        <v>2887.267003871033</v>
      </c>
      <c r="J942" s="20">
        <f t="shared" ca="1" si="163"/>
        <v>4</v>
      </c>
      <c r="K942" s="20">
        <f t="shared" ca="1" si="155"/>
        <v>4</v>
      </c>
      <c r="L942" s="44">
        <f t="shared" ca="1" si="160"/>
        <v>4</v>
      </c>
    </row>
    <row r="943" spans="1:12" x14ac:dyDescent="0.25">
      <c r="A943" s="20">
        <v>935</v>
      </c>
      <c r="B943" s="21">
        <f t="shared" ca="1" si="156"/>
        <v>0.58375302347380476</v>
      </c>
      <c r="C943" s="21">
        <f t="shared" ca="1" si="161"/>
        <v>2872.5713270755496</v>
      </c>
      <c r="D943" s="21">
        <f t="shared" ca="1" si="157"/>
        <v>0.20987586993130053</v>
      </c>
      <c r="E943" s="21">
        <f t="shared" ca="1" si="164"/>
        <v>14.69567679548345</v>
      </c>
      <c r="F943" s="20" t="str">
        <f t="shared" ca="1" si="162"/>
        <v>No</v>
      </c>
      <c r="G943" s="21">
        <f t="shared" ca="1" si="158"/>
        <v>0</v>
      </c>
      <c r="H943" s="21">
        <f t="shared" ca="1" si="159"/>
        <v>2887.267003871033</v>
      </c>
      <c r="I943" s="21">
        <f t="shared" ca="1" si="154"/>
        <v>2887.4768797409643</v>
      </c>
      <c r="J943" s="20">
        <f t="shared" ca="1" si="163"/>
        <v>5</v>
      </c>
      <c r="K943" s="20">
        <f t="shared" ca="1" si="155"/>
        <v>3</v>
      </c>
      <c r="L943" s="44">
        <f t="shared" ca="1" si="160"/>
        <v>4</v>
      </c>
    </row>
    <row r="944" spans="1:12" x14ac:dyDescent="0.25">
      <c r="A944" s="20">
        <v>936</v>
      </c>
      <c r="B944" s="21">
        <f t="shared" ca="1" si="156"/>
        <v>5.19158015080985</v>
      </c>
      <c r="C944" s="21">
        <f t="shared" ca="1" si="161"/>
        <v>2877.7629072263594</v>
      </c>
      <c r="D944" s="21">
        <f t="shared" ca="1" si="157"/>
        <v>0.61779946812493414</v>
      </c>
      <c r="E944" s="21">
        <f t="shared" ca="1" si="164"/>
        <v>9.7139725146048477</v>
      </c>
      <c r="F944" s="20" t="str">
        <f t="shared" ca="1" si="162"/>
        <v>No</v>
      </c>
      <c r="G944" s="21">
        <f t="shared" ca="1" si="158"/>
        <v>0</v>
      </c>
      <c r="H944" s="21">
        <f t="shared" ca="1" si="159"/>
        <v>2887.4768797409643</v>
      </c>
      <c r="I944" s="21">
        <f t="shared" ca="1" si="154"/>
        <v>2888.094679209089</v>
      </c>
      <c r="J944" s="20">
        <f t="shared" ca="1" si="163"/>
        <v>4</v>
      </c>
      <c r="K944" s="20">
        <f t="shared" ca="1" si="155"/>
        <v>2</v>
      </c>
      <c r="L944" s="44">
        <f t="shared" ca="1" si="160"/>
        <v>3</v>
      </c>
    </row>
    <row r="945" spans="1:12" x14ac:dyDescent="0.25">
      <c r="A945" s="20">
        <v>937</v>
      </c>
      <c r="B945" s="21">
        <f t="shared" ca="1" si="156"/>
        <v>3.5978691796100555</v>
      </c>
      <c r="C945" s="21">
        <f t="shared" ca="1" si="161"/>
        <v>2881.3607764059693</v>
      </c>
      <c r="D945" s="21">
        <f t="shared" ca="1" si="157"/>
        <v>3.5757495627687939</v>
      </c>
      <c r="E945" s="21">
        <f t="shared" ca="1" si="164"/>
        <v>6.7339028031196904</v>
      </c>
      <c r="F945" s="20" t="str">
        <f t="shared" ca="1" si="162"/>
        <v>No</v>
      </c>
      <c r="G945" s="21">
        <f t="shared" ca="1" si="158"/>
        <v>0</v>
      </c>
      <c r="H945" s="21">
        <f t="shared" ca="1" si="159"/>
        <v>2888.094679209089</v>
      </c>
      <c r="I945" s="21">
        <f t="shared" ca="1" si="154"/>
        <v>2891.6704287718576</v>
      </c>
      <c r="J945" s="20">
        <f t="shared" ca="1" si="163"/>
        <v>3</v>
      </c>
      <c r="K945" s="20">
        <f t="shared" ca="1" si="155"/>
        <v>3</v>
      </c>
      <c r="L945" s="44">
        <f t="shared" ca="1" si="160"/>
        <v>3</v>
      </c>
    </row>
    <row r="946" spans="1:12" x14ac:dyDescent="0.25">
      <c r="A946" s="20">
        <v>938</v>
      </c>
      <c r="B946" s="21">
        <f t="shared" ca="1" si="156"/>
        <v>3.0645781410310735</v>
      </c>
      <c r="C946" s="21">
        <f t="shared" ca="1" si="161"/>
        <v>2884.4253545470006</v>
      </c>
      <c r="D946" s="21">
        <f t="shared" ca="1" si="157"/>
        <v>1.58757680881969</v>
      </c>
      <c r="E946" s="21">
        <f t="shared" ca="1" si="164"/>
        <v>7.245074224857035</v>
      </c>
      <c r="F946" s="20" t="str">
        <f t="shared" ca="1" si="162"/>
        <v>No</v>
      </c>
      <c r="G946" s="21">
        <f t="shared" ca="1" si="158"/>
        <v>0</v>
      </c>
      <c r="H946" s="21">
        <f t="shared" ca="1" si="159"/>
        <v>2891.6704287718576</v>
      </c>
      <c r="I946" s="21">
        <f t="shared" ca="1" si="154"/>
        <v>2893.2580055806775</v>
      </c>
      <c r="J946" s="20">
        <f t="shared" ca="1" si="163"/>
        <v>4</v>
      </c>
      <c r="K946" s="20">
        <f t="shared" ca="1" si="155"/>
        <v>2</v>
      </c>
      <c r="L946" s="44">
        <f t="shared" ca="1" si="160"/>
        <v>3</v>
      </c>
    </row>
    <row r="947" spans="1:12" x14ac:dyDescent="0.25">
      <c r="A947" s="20">
        <v>939</v>
      </c>
      <c r="B947" s="21">
        <f t="shared" ca="1" si="156"/>
        <v>4.1272090965524209</v>
      </c>
      <c r="C947" s="21">
        <f t="shared" ca="1" si="161"/>
        <v>2888.5525636435532</v>
      </c>
      <c r="D947" s="21">
        <f t="shared" ca="1" si="157"/>
        <v>5.1494642730836588</v>
      </c>
      <c r="E947" s="21">
        <f t="shared" ca="1" si="164"/>
        <v>4.7054419371243057</v>
      </c>
      <c r="F947" s="20" t="str">
        <f t="shared" ca="1" si="162"/>
        <v>No</v>
      </c>
      <c r="G947" s="21">
        <f t="shared" ca="1" si="158"/>
        <v>0</v>
      </c>
      <c r="H947" s="21">
        <f t="shared" ca="1" si="159"/>
        <v>2893.2580055806775</v>
      </c>
      <c r="I947" s="21">
        <f t="shared" ca="1" si="154"/>
        <v>2898.4074698537611</v>
      </c>
      <c r="J947" s="20">
        <f t="shared" ca="1" si="163"/>
        <v>3</v>
      </c>
      <c r="K947" s="20">
        <f t="shared" ca="1" si="155"/>
        <v>3</v>
      </c>
      <c r="L947" s="44">
        <f t="shared" ca="1" si="160"/>
        <v>3</v>
      </c>
    </row>
    <row r="948" spans="1:12" x14ac:dyDescent="0.25">
      <c r="A948" s="20">
        <v>940</v>
      </c>
      <c r="B948" s="21">
        <f t="shared" ca="1" si="156"/>
        <v>0.12348050091003557</v>
      </c>
      <c r="C948" s="21">
        <f t="shared" ca="1" si="161"/>
        <v>2888.676044144463</v>
      </c>
      <c r="D948" s="21">
        <f t="shared" ca="1" si="157"/>
        <v>6.9708417634289264</v>
      </c>
      <c r="E948" s="21">
        <f t="shared" ca="1" si="164"/>
        <v>9.731425709298037</v>
      </c>
      <c r="F948" s="20" t="str">
        <f t="shared" ca="1" si="162"/>
        <v>No</v>
      </c>
      <c r="G948" s="21">
        <f t="shared" ca="1" si="158"/>
        <v>0</v>
      </c>
      <c r="H948" s="21">
        <f t="shared" ca="1" si="159"/>
        <v>2898.4074698537611</v>
      </c>
      <c r="I948" s="21">
        <f t="shared" ca="1" si="154"/>
        <v>2905.3783116171899</v>
      </c>
      <c r="J948" s="20">
        <f t="shared" ca="1" si="163"/>
        <v>4</v>
      </c>
      <c r="K948" s="20">
        <f t="shared" ca="1" si="155"/>
        <v>5</v>
      </c>
      <c r="L948" s="44">
        <f t="shared" ca="1" si="160"/>
        <v>4.5</v>
      </c>
    </row>
    <row r="949" spans="1:12" x14ac:dyDescent="0.25">
      <c r="A949" s="20">
        <v>941</v>
      </c>
      <c r="B949" s="21">
        <f t="shared" ca="1" si="156"/>
        <v>8.373036208756206</v>
      </c>
      <c r="C949" s="21">
        <f t="shared" ca="1" si="161"/>
        <v>2897.0490803532193</v>
      </c>
      <c r="D949" s="21">
        <f t="shared" ca="1" si="157"/>
        <v>0.93573614717777165</v>
      </c>
      <c r="E949" s="21">
        <f t="shared" ca="1" si="164"/>
        <v>8.3292312639705415</v>
      </c>
      <c r="F949" s="20" t="str">
        <f t="shared" ca="1" si="162"/>
        <v>No</v>
      </c>
      <c r="G949" s="21">
        <f t="shared" ca="1" si="158"/>
        <v>0</v>
      </c>
      <c r="H949" s="21">
        <f t="shared" ca="1" si="159"/>
        <v>2905.3783116171899</v>
      </c>
      <c r="I949" s="21">
        <f t="shared" ca="1" si="154"/>
        <v>2906.3140477643678</v>
      </c>
      <c r="J949" s="20">
        <f t="shared" ca="1" si="163"/>
        <v>6</v>
      </c>
      <c r="K949" s="20">
        <f t="shared" ca="1" si="155"/>
        <v>5</v>
      </c>
      <c r="L949" s="44">
        <f t="shared" ca="1" si="160"/>
        <v>5.5</v>
      </c>
    </row>
    <row r="950" spans="1:12" x14ac:dyDescent="0.25">
      <c r="A950" s="20">
        <v>942</v>
      </c>
      <c r="B950" s="21">
        <f t="shared" ca="1" si="156"/>
        <v>0.69756042691446396</v>
      </c>
      <c r="C950" s="21">
        <f t="shared" ca="1" si="161"/>
        <v>2897.7466407801339</v>
      </c>
      <c r="D950" s="21">
        <f t="shared" ca="1" si="157"/>
        <v>2.4358256181616236</v>
      </c>
      <c r="E950" s="21">
        <f t="shared" ca="1" si="164"/>
        <v>8.5674069842339122</v>
      </c>
      <c r="F950" s="20" t="str">
        <f t="shared" ca="1" si="162"/>
        <v>No</v>
      </c>
      <c r="G950" s="21">
        <f t="shared" ca="1" si="158"/>
        <v>0</v>
      </c>
      <c r="H950" s="21">
        <f t="shared" ca="1" si="159"/>
        <v>2906.3140477643678</v>
      </c>
      <c r="I950" s="21">
        <f t="shared" ca="1" si="154"/>
        <v>2908.7498733825296</v>
      </c>
      <c r="J950" s="20">
        <f t="shared" ca="1" si="163"/>
        <v>6</v>
      </c>
      <c r="K950" s="20">
        <f t="shared" ca="1" si="155"/>
        <v>5</v>
      </c>
      <c r="L950" s="44">
        <f t="shared" ca="1" si="160"/>
        <v>5.5</v>
      </c>
    </row>
    <row r="951" spans="1:12" x14ac:dyDescent="0.25">
      <c r="A951" s="20">
        <v>943</v>
      </c>
      <c r="B951" s="21">
        <f t="shared" ca="1" si="156"/>
        <v>0.80407364197021192</v>
      </c>
      <c r="C951" s="21">
        <f t="shared" ca="1" si="161"/>
        <v>2898.5507144221042</v>
      </c>
      <c r="D951" s="21">
        <f t="shared" ca="1" si="157"/>
        <v>0.62663187948831434</v>
      </c>
      <c r="E951" s="21">
        <f t="shared" ca="1" si="164"/>
        <v>10.199158960425393</v>
      </c>
      <c r="F951" s="20" t="str">
        <f t="shared" ca="1" si="162"/>
        <v>No</v>
      </c>
      <c r="G951" s="21">
        <f t="shared" ca="1" si="158"/>
        <v>0</v>
      </c>
      <c r="H951" s="21">
        <f t="shared" ca="1" si="159"/>
        <v>2908.7498733825296</v>
      </c>
      <c r="I951" s="21">
        <f t="shared" ca="1" si="154"/>
        <v>2909.3765052620179</v>
      </c>
      <c r="J951" s="20">
        <f t="shared" ca="1" si="163"/>
        <v>6</v>
      </c>
      <c r="K951" s="20">
        <f t="shared" ca="1" si="155"/>
        <v>5</v>
      </c>
      <c r="L951" s="44">
        <f t="shared" ca="1" si="160"/>
        <v>5.5</v>
      </c>
    </row>
    <row r="952" spans="1:12" x14ac:dyDescent="0.25">
      <c r="A952" s="20">
        <v>944</v>
      </c>
      <c r="B952" s="21">
        <f t="shared" ca="1" si="156"/>
        <v>1.3985766357635647</v>
      </c>
      <c r="C952" s="21">
        <f t="shared" ca="1" si="161"/>
        <v>2899.9492910578679</v>
      </c>
      <c r="D952" s="21">
        <f t="shared" ca="1" si="157"/>
        <v>1.344384141558282</v>
      </c>
      <c r="E952" s="21">
        <f t="shared" ca="1" si="164"/>
        <v>9.4272142041500047</v>
      </c>
      <c r="F952" s="20" t="str">
        <f t="shared" ca="1" si="162"/>
        <v>No</v>
      </c>
      <c r="G952" s="21">
        <f t="shared" ca="1" si="158"/>
        <v>0</v>
      </c>
      <c r="H952" s="21">
        <f t="shared" ca="1" si="159"/>
        <v>2909.3765052620179</v>
      </c>
      <c r="I952" s="21">
        <f t="shared" ca="1" si="154"/>
        <v>2910.7208894035762</v>
      </c>
      <c r="J952" s="20">
        <f t="shared" ca="1" si="163"/>
        <v>6</v>
      </c>
      <c r="K952" s="20">
        <f t="shared" ca="1" si="155"/>
        <v>4</v>
      </c>
      <c r="L952" s="44">
        <f t="shared" ca="1" si="160"/>
        <v>5</v>
      </c>
    </row>
    <row r="953" spans="1:12" x14ac:dyDescent="0.25">
      <c r="A953" s="20">
        <v>945</v>
      </c>
      <c r="B953" s="21">
        <f t="shared" ca="1" si="156"/>
        <v>4.9679123905149041</v>
      </c>
      <c r="C953" s="21">
        <f t="shared" ca="1" si="161"/>
        <v>2904.9172034483827</v>
      </c>
      <c r="D953" s="21">
        <f t="shared" ca="1" si="157"/>
        <v>3.1581605318991657</v>
      </c>
      <c r="E953" s="21">
        <f t="shared" ca="1" si="164"/>
        <v>5.8036859551934867</v>
      </c>
      <c r="F953" s="20" t="str">
        <f t="shared" ca="1" si="162"/>
        <v>No</v>
      </c>
      <c r="G953" s="21">
        <f t="shared" ca="1" si="158"/>
        <v>0</v>
      </c>
      <c r="H953" s="21">
        <f t="shared" ca="1" si="159"/>
        <v>2910.7208894035762</v>
      </c>
      <c r="I953" s="21">
        <f t="shared" ca="1" si="154"/>
        <v>2913.8790499354755</v>
      </c>
      <c r="J953" s="20">
        <f t="shared" ca="1" si="163"/>
        <v>5</v>
      </c>
      <c r="K953" s="20">
        <f t="shared" ca="1" si="155"/>
        <v>5</v>
      </c>
      <c r="L953" s="44">
        <f t="shared" ca="1" si="160"/>
        <v>5</v>
      </c>
    </row>
    <row r="954" spans="1:12" x14ac:dyDescent="0.25">
      <c r="A954" s="20">
        <v>946</v>
      </c>
      <c r="B954" s="21">
        <f t="shared" ca="1" si="156"/>
        <v>0.88168561578978089</v>
      </c>
      <c r="C954" s="21">
        <f t="shared" ca="1" si="161"/>
        <v>2905.7988890641723</v>
      </c>
      <c r="D954" s="21">
        <f t="shared" ca="1" si="157"/>
        <v>2.1342600527556232</v>
      </c>
      <c r="E954" s="21">
        <f t="shared" ca="1" si="164"/>
        <v>8.0801608713031783</v>
      </c>
      <c r="F954" s="20" t="str">
        <f t="shared" ca="1" si="162"/>
        <v>No</v>
      </c>
      <c r="G954" s="21">
        <f t="shared" ca="1" si="158"/>
        <v>0</v>
      </c>
      <c r="H954" s="21">
        <f t="shared" ca="1" si="159"/>
        <v>2913.8790499354755</v>
      </c>
      <c r="I954" s="21">
        <f t="shared" ca="1" si="154"/>
        <v>2916.013309988231</v>
      </c>
      <c r="J954" s="20">
        <f t="shared" ca="1" si="163"/>
        <v>6</v>
      </c>
      <c r="K954" s="20">
        <f t="shared" ca="1" si="155"/>
        <v>4</v>
      </c>
      <c r="L954" s="44">
        <f t="shared" ca="1" si="160"/>
        <v>5</v>
      </c>
    </row>
    <row r="955" spans="1:12" x14ac:dyDescent="0.25">
      <c r="A955" s="20">
        <v>947</v>
      </c>
      <c r="B955" s="21">
        <f t="shared" ca="1" si="156"/>
        <v>0.91712208223940717</v>
      </c>
      <c r="C955" s="21">
        <f t="shared" ca="1" si="161"/>
        <v>2906.7160111464118</v>
      </c>
      <c r="D955" s="21">
        <f t="shared" ca="1" si="157"/>
        <v>1.5350168214288029</v>
      </c>
      <c r="E955" s="21">
        <f t="shared" ca="1" si="164"/>
        <v>9.2972988418191562</v>
      </c>
      <c r="F955" s="20" t="str">
        <f t="shared" ca="1" si="162"/>
        <v>No</v>
      </c>
      <c r="G955" s="21">
        <f t="shared" ca="1" si="158"/>
        <v>0</v>
      </c>
      <c r="H955" s="21">
        <f t="shared" ca="1" si="159"/>
        <v>2916.013309988231</v>
      </c>
      <c r="I955" s="21">
        <f t="shared" ca="1" si="154"/>
        <v>2917.5483268096596</v>
      </c>
      <c r="J955" s="20">
        <f t="shared" ca="1" si="163"/>
        <v>5</v>
      </c>
      <c r="K955" s="20">
        <f t="shared" ca="1" si="155"/>
        <v>3</v>
      </c>
      <c r="L955" s="44">
        <f t="shared" ca="1" si="160"/>
        <v>4</v>
      </c>
    </row>
    <row r="956" spans="1:12" x14ac:dyDescent="0.25">
      <c r="A956" s="20">
        <v>948</v>
      </c>
      <c r="B956" s="21">
        <f t="shared" ca="1" si="156"/>
        <v>2.3411134793369803</v>
      </c>
      <c r="C956" s="21">
        <f t="shared" ca="1" si="161"/>
        <v>2909.0571246257487</v>
      </c>
      <c r="D956" s="21">
        <f t="shared" ca="1" si="157"/>
        <v>2.1274541619499447</v>
      </c>
      <c r="E956" s="21">
        <f t="shared" ca="1" si="164"/>
        <v>8.4912021839109002</v>
      </c>
      <c r="F956" s="20" t="str">
        <f t="shared" ca="1" si="162"/>
        <v>No</v>
      </c>
      <c r="G956" s="21">
        <f t="shared" ca="1" si="158"/>
        <v>0</v>
      </c>
      <c r="H956" s="21">
        <f t="shared" ca="1" si="159"/>
        <v>2917.5483268096596</v>
      </c>
      <c r="I956" s="21">
        <f t="shared" ca="1" si="154"/>
        <v>2919.6757809716096</v>
      </c>
      <c r="J956" s="20">
        <f t="shared" ca="1" si="163"/>
        <v>4</v>
      </c>
      <c r="K956" s="20">
        <f t="shared" ca="1" si="155"/>
        <v>3</v>
      </c>
      <c r="L956" s="44">
        <f t="shared" ca="1" si="160"/>
        <v>3.5</v>
      </c>
    </row>
    <row r="957" spans="1:12" x14ac:dyDescent="0.25">
      <c r="A957" s="20">
        <v>949</v>
      </c>
      <c r="B957" s="21">
        <f t="shared" ca="1" si="156"/>
        <v>3.1672881453945898</v>
      </c>
      <c r="C957" s="21">
        <f t="shared" ca="1" si="161"/>
        <v>2912.2244127711433</v>
      </c>
      <c r="D957" s="21">
        <f t="shared" ca="1" si="157"/>
        <v>1.622631394214431</v>
      </c>
      <c r="E957" s="21">
        <f t="shared" ca="1" si="164"/>
        <v>7.4513682004662769</v>
      </c>
      <c r="F957" s="20" t="str">
        <f t="shared" ca="1" si="162"/>
        <v>No</v>
      </c>
      <c r="G957" s="21">
        <f t="shared" ca="1" si="158"/>
        <v>0</v>
      </c>
      <c r="H957" s="21">
        <f t="shared" ca="1" si="159"/>
        <v>2919.6757809716096</v>
      </c>
      <c r="I957" s="21">
        <f t="shared" ca="1" si="154"/>
        <v>2921.2984123658239</v>
      </c>
      <c r="J957" s="20">
        <f t="shared" ca="1" si="163"/>
        <v>4</v>
      </c>
      <c r="K957" s="20">
        <f t="shared" ca="1" si="155"/>
        <v>2</v>
      </c>
      <c r="L957" s="44">
        <f t="shared" ca="1" si="160"/>
        <v>3</v>
      </c>
    </row>
    <row r="958" spans="1:12" x14ac:dyDescent="0.25">
      <c r="A958" s="20">
        <v>950</v>
      </c>
      <c r="B958" s="21">
        <f t="shared" ca="1" si="156"/>
        <v>0.78445799632412638</v>
      </c>
      <c r="C958" s="21">
        <f t="shared" ca="1" si="161"/>
        <v>2913.0088707674672</v>
      </c>
      <c r="D958" s="21">
        <f t="shared" ca="1" si="157"/>
        <v>5.4611889624284693</v>
      </c>
      <c r="E958" s="21">
        <f t="shared" ca="1" si="164"/>
        <v>8.2895415983566636</v>
      </c>
      <c r="F958" s="20" t="str">
        <f t="shared" ca="1" si="162"/>
        <v>No</v>
      </c>
      <c r="G958" s="21">
        <f t="shared" ca="1" si="158"/>
        <v>0</v>
      </c>
      <c r="H958" s="21">
        <f t="shared" ca="1" si="159"/>
        <v>2921.2984123658239</v>
      </c>
      <c r="I958" s="21">
        <f t="shared" ca="1" si="154"/>
        <v>2926.7596013282523</v>
      </c>
      <c r="J958" s="20">
        <f t="shared" ca="1" si="163"/>
        <v>3</v>
      </c>
      <c r="K958" s="20">
        <f t="shared" ca="1" si="155"/>
        <v>4</v>
      </c>
      <c r="L958" s="44">
        <f t="shared" ca="1" si="160"/>
        <v>3.5</v>
      </c>
    </row>
    <row r="959" spans="1:12" x14ac:dyDescent="0.25">
      <c r="A959" s="20">
        <v>951</v>
      </c>
      <c r="B959" s="21">
        <f t="shared" ca="1" si="156"/>
        <v>5.8522331805239229</v>
      </c>
      <c r="C959" s="21">
        <f t="shared" ca="1" si="161"/>
        <v>2918.8611039479911</v>
      </c>
      <c r="D959" s="21">
        <f t="shared" ca="1" si="157"/>
        <v>1.3262258438829813</v>
      </c>
      <c r="E959" s="21">
        <f t="shared" ca="1" si="164"/>
        <v>7.898497380261233</v>
      </c>
      <c r="F959" s="20" t="str">
        <f t="shared" ca="1" si="162"/>
        <v>No</v>
      </c>
      <c r="G959" s="21">
        <f t="shared" ca="1" si="158"/>
        <v>0</v>
      </c>
      <c r="H959" s="21">
        <f t="shared" ca="1" si="159"/>
        <v>2926.7596013282523</v>
      </c>
      <c r="I959" s="21">
        <f t="shared" ca="1" si="154"/>
        <v>2928.0858271721354</v>
      </c>
      <c r="J959" s="20">
        <f t="shared" ca="1" si="163"/>
        <v>5</v>
      </c>
      <c r="K959" s="20">
        <f t="shared" ca="1" si="155"/>
        <v>4</v>
      </c>
      <c r="L959" s="44">
        <f t="shared" ca="1" si="160"/>
        <v>4.5</v>
      </c>
    </row>
    <row r="960" spans="1:12" x14ac:dyDescent="0.25">
      <c r="A960" s="20">
        <v>952</v>
      </c>
      <c r="B960" s="21">
        <f t="shared" ca="1" si="156"/>
        <v>3.4340760478148571</v>
      </c>
      <c r="C960" s="21">
        <f t="shared" ca="1" si="161"/>
        <v>2922.2951799958059</v>
      </c>
      <c r="D960" s="21">
        <f t="shared" ca="1" si="157"/>
        <v>5.2721865876751677</v>
      </c>
      <c r="E960" s="21">
        <f t="shared" ca="1" si="164"/>
        <v>5.7906471763294576</v>
      </c>
      <c r="F960" s="20" t="str">
        <f t="shared" ca="1" si="162"/>
        <v>No</v>
      </c>
      <c r="G960" s="21">
        <f t="shared" ca="1" si="158"/>
        <v>0</v>
      </c>
      <c r="H960" s="21">
        <f t="shared" ca="1" si="159"/>
        <v>2928.0858271721354</v>
      </c>
      <c r="I960" s="21">
        <f t="shared" ca="1" si="154"/>
        <v>2933.3580137598105</v>
      </c>
      <c r="J960" s="20">
        <f t="shared" ca="1" si="163"/>
        <v>5</v>
      </c>
      <c r="K960" s="20">
        <f t="shared" ca="1" si="155"/>
        <v>3</v>
      </c>
      <c r="L960" s="44">
        <f t="shared" ca="1" si="160"/>
        <v>4</v>
      </c>
    </row>
    <row r="961" spans="1:12" x14ac:dyDescent="0.25">
      <c r="A961" s="20">
        <v>953</v>
      </c>
      <c r="B961" s="21">
        <f t="shared" ca="1" si="156"/>
        <v>0.8650284993662023</v>
      </c>
      <c r="C961" s="21">
        <f t="shared" ca="1" si="161"/>
        <v>2923.1602084951724</v>
      </c>
      <c r="D961" s="21">
        <f t="shared" ca="1" si="157"/>
        <v>1.807000120933502</v>
      </c>
      <c r="E961" s="21">
        <f t="shared" ca="1" si="164"/>
        <v>10.197805264638191</v>
      </c>
      <c r="F961" s="20" t="str">
        <f t="shared" ca="1" si="162"/>
        <v>No</v>
      </c>
      <c r="G961" s="21">
        <f t="shared" ca="1" si="158"/>
        <v>0</v>
      </c>
      <c r="H961" s="21">
        <f t="shared" ca="1" si="159"/>
        <v>2933.3580137598105</v>
      </c>
      <c r="I961" s="21">
        <f t="shared" ca="1" si="154"/>
        <v>2935.165013880744</v>
      </c>
      <c r="J961" s="20">
        <f t="shared" ca="1" si="163"/>
        <v>4</v>
      </c>
      <c r="K961" s="20">
        <f t="shared" ca="1" si="155"/>
        <v>2</v>
      </c>
      <c r="L961" s="44">
        <f t="shared" ca="1" si="160"/>
        <v>3</v>
      </c>
    </row>
    <row r="962" spans="1:12" x14ac:dyDescent="0.25">
      <c r="A962" s="20">
        <v>954</v>
      </c>
      <c r="B962" s="21">
        <f t="shared" ca="1" si="156"/>
        <v>2.5443249579376257</v>
      </c>
      <c r="C962" s="21">
        <f t="shared" ca="1" si="161"/>
        <v>2925.7045334531099</v>
      </c>
      <c r="D962" s="21">
        <f t="shared" ca="1" si="157"/>
        <v>4.7805687438041362</v>
      </c>
      <c r="E962" s="21">
        <f t="shared" ca="1" si="164"/>
        <v>9.4604804276341383</v>
      </c>
      <c r="F962" s="20" t="str">
        <f t="shared" ca="1" si="162"/>
        <v>No</v>
      </c>
      <c r="G962" s="21">
        <f t="shared" ca="1" si="158"/>
        <v>0</v>
      </c>
      <c r="H962" s="21">
        <f t="shared" ca="1" si="159"/>
        <v>2935.165013880744</v>
      </c>
      <c r="I962" s="21">
        <f t="shared" ca="1" si="154"/>
        <v>2939.945582624548</v>
      </c>
      <c r="J962" s="20">
        <f t="shared" ca="1" si="163"/>
        <v>3</v>
      </c>
      <c r="K962" s="20">
        <f t="shared" ca="1" si="155"/>
        <v>3</v>
      </c>
      <c r="L962" s="44">
        <f t="shared" ca="1" si="160"/>
        <v>3</v>
      </c>
    </row>
    <row r="963" spans="1:12" x14ac:dyDescent="0.25">
      <c r="A963" s="20">
        <v>955</v>
      </c>
      <c r="B963" s="21">
        <f t="shared" ca="1" si="156"/>
        <v>1.8047374570570756</v>
      </c>
      <c r="C963" s="21">
        <f t="shared" ca="1" si="161"/>
        <v>2927.5092709101668</v>
      </c>
      <c r="D963" s="21">
        <f t="shared" ca="1" si="157"/>
        <v>0.96970505063691015</v>
      </c>
      <c r="E963" s="21">
        <f t="shared" ca="1" si="164"/>
        <v>12.436311714381191</v>
      </c>
      <c r="F963" s="20" t="str">
        <f t="shared" ca="1" si="162"/>
        <v>No</v>
      </c>
      <c r="G963" s="21">
        <f t="shared" ca="1" si="158"/>
        <v>0</v>
      </c>
      <c r="H963" s="21">
        <f t="shared" ca="1" si="159"/>
        <v>2939.945582624548</v>
      </c>
      <c r="I963" s="21">
        <f t="shared" ca="1" si="154"/>
        <v>2940.915287675185</v>
      </c>
      <c r="J963" s="20">
        <f t="shared" ca="1" si="163"/>
        <v>4</v>
      </c>
      <c r="K963" s="20">
        <f t="shared" ca="1" si="155"/>
        <v>2</v>
      </c>
      <c r="L963" s="44">
        <f t="shared" ca="1" si="160"/>
        <v>3</v>
      </c>
    </row>
    <row r="964" spans="1:12" x14ac:dyDescent="0.25">
      <c r="A964" s="20">
        <v>956</v>
      </c>
      <c r="B964" s="21">
        <f t="shared" ca="1" si="156"/>
        <v>9.0281109085715183</v>
      </c>
      <c r="C964" s="21">
        <f t="shared" ca="1" si="161"/>
        <v>2936.5373818187381</v>
      </c>
      <c r="D964" s="21">
        <f t="shared" ca="1" si="157"/>
        <v>2.3666092818764906</v>
      </c>
      <c r="E964" s="21">
        <f t="shared" ca="1" si="164"/>
        <v>4.3779058564468869</v>
      </c>
      <c r="F964" s="20" t="str">
        <f t="shared" ca="1" si="162"/>
        <v>No</v>
      </c>
      <c r="G964" s="21">
        <f t="shared" ca="1" si="158"/>
        <v>0</v>
      </c>
      <c r="H964" s="21">
        <f t="shared" ca="1" si="159"/>
        <v>2940.915287675185</v>
      </c>
      <c r="I964" s="21">
        <f t="shared" ca="1" si="154"/>
        <v>2943.2818969570617</v>
      </c>
      <c r="J964" s="20">
        <f t="shared" ca="1" si="163"/>
        <v>3</v>
      </c>
      <c r="K964" s="20">
        <f t="shared" ca="1" si="155"/>
        <v>1</v>
      </c>
      <c r="L964" s="44">
        <f t="shared" ca="1" si="160"/>
        <v>2</v>
      </c>
    </row>
    <row r="965" spans="1:12" x14ac:dyDescent="0.25">
      <c r="A965" s="20">
        <v>957</v>
      </c>
      <c r="B965" s="21">
        <f t="shared" ca="1" si="156"/>
        <v>2.481947651796252</v>
      </c>
      <c r="C965" s="21">
        <f t="shared" ca="1" si="161"/>
        <v>2939.0193294705346</v>
      </c>
      <c r="D965" s="21">
        <f t="shared" ca="1" si="157"/>
        <v>3.0857271063266101</v>
      </c>
      <c r="E965" s="21">
        <f t="shared" ca="1" si="164"/>
        <v>4.2625674865271321</v>
      </c>
      <c r="F965" s="20" t="str">
        <f t="shared" ca="1" si="162"/>
        <v>No</v>
      </c>
      <c r="G965" s="21">
        <f t="shared" ca="1" si="158"/>
        <v>0</v>
      </c>
      <c r="H965" s="21">
        <f t="shared" ca="1" si="159"/>
        <v>2943.2818969570617</v>
      </c>
      <c r="I965" s="21">
        <f t="shared" ca="1" si="154"/>
        <v>2946.3676240633881</v>
      </c>
      <c r="J965" s="20">
        <f t="shared" ca="1" si="163"/>
        <v>2</v>
      </c>
      <c r="K965" s="20">
        <f t="shared" ca="1" si="155"/>
        <v>0</v>
      </c>
      <c r="L965" s="44">
        <f t="shared" ca="1" si="160"/>
        <v>1</v>
      </c>
    </row>
    <row r="966" spans="1:12" x14ac:dyDescent="0.25">
      <c r="A966" s="20">
        <v>958</v>
      </c>
      <c r="B966" s="21">
        <f t="shared" ca="1" si="156"/>
        <v>13.835854304847917</v>
      </c>
      <c r="C966" s="21">
        <f t="shared" ca="1" si="161"/>
        <v>2952.8551837753826</v>
      </c>
      <c r="D966" s="21">
        <f t="shared" ca="1" si="157"/>
        <v>3.0004768017674079</v>
      </c>
      <c r="E966" s="21">
        <f t="shared" ca="1" si="164"/>
        <v>0</v>
      </c>
      <c r="F966" s="20" t="str">
        <f t="shared" ca="1" si="162"/>
        <v>Yes</v>
      </c>
      <c r="G966" s="21">
        <f t="shared" ca="1" si="158"/>
        <v>6.4875597119944359</v>
      </c>
      <c r="H966" s="21">
        <f t="shared" ca="1" si="159"/>
        <v>2952.8551837753826</v>
      </c>
      <c r="I966" s="21">
        <f t="shared" ca="1" si="154"/>
        <v>2955.85566057715</v>
      </c>
      <c r="J966" s="20">
        <f t="shared" ca="1" si="163"/>
        <v>0</v>
      </c>
      <c r="K966" s="20">
        <f t="shared" ca="1" si="155"/>
        <v>1</v>
      </c>
      <c r="L966" s="44">
        <f t="shared" ca="1" si="160"/>
        <v>0.5</v>
      </c>
    </row>
    <row r="967" spans="1:12" x14ac:dyDescent="0.25">
      <c r="A967" s="20">
        <v>959</v>
      </c>
      <c r="B967" s="21">
        <f t="shared" ca="1" si="156"/>
        <v>2.8189903992960393E-2</v>
      </c>
      <c r="C967" s="21">
        <f t="shared" ca="1" si="161"/>
        <v>2952.8833736793754</v>
      </c>
      <c r="D967" s="21">
        <f t="shared" ca="1" si="157"/>
        <v>2.6043151956477248</v>
      </c>
      <c r="E967" s="21">
        <f t="shared" ca="1" si="164"/>
        <v>2.9722868977746657</v>
      </c>
      <c r="F967" s="20" t="str">
        <f t="shared" ca="1" si="162"/>
        <v>No</v>
      </c>
      <c r="G967" s="21">
        <f t="shared" ca="1" si="158"/>
        <v>0</v>
      </c>
      <c r="H967" s="21">
        <f t="shared" ca="1" si="159"/>
        <v>2955.85566057715</v>
      </c>
      <c r="I967" s="21">
        <f t="shared" ca="1" si="154"/>
        <v>2958.4599757727979</v>
      </c>
      <c r="J967" s="20">
        <f t="shared" ca="1" si="163"/>
        <v>2</v>
      </c>
      <c r="K967" s="20">
        <f t="shared" ca="1" si="155"/>
        <v>0</v>
      </c>
      <c r="L967" s="44">
        <f t="shared" ca="1" si="160"/>
        <v>1</v>
      </c>
    </row>
    <row r="968" spans="1:12" x14ac:dyDescent="0.25">
      <c r="A968" s="20">
        <v>960</v>
      </c>
      <c r="B968" s="21">
        <f t="shared" ca="1" si="156"/>
        <v>5.7922867322182681</v>
      </c>
      <c r="C968" s="21">
        <f t="shared" ca="1" si="161"/>
        <v>2958.6756604115935</v>
      </c>
      <c r="D968" s="21">
        <f t="shared" ca="1" si="157"/>
        <v>1.8847019792256918</v>
      </c>
      <c r="E968" s="21">
        <f t="shared" ca="1" si="164"/>
        <v>0</v>
      </c>
      <c r="F968" s="20" t="str">
        <f t="shared" ca="1" si="162"/>
        <v>Yes</v>
      </c>
      <c r="G968" s="21">
        <f t="shared" ca="1" si="158"/>
        <v>0.2156846387956648</v>
      </c>
      <c r="H968" s="21">
        <f t="shared" ca="1" si="159"/>
        <v>2958.6756604115935</v>
      </c>
      <c r="I968" s="21">
        <f t="shared" ca="1" si="154"/>
        <v>2960.5603623908191</v>
      </c>
      <c r="J968" s="20">
        <f t="shared" ca="1" si="163"/>
        <v>0</v>
      </c>
      <c r="K968" s="20">
        <f t="shared" ca="1" si="155"/>
        <v>1</v>
      </c>
      <c r="L968" s="44">
        <f t="shared" ca="1" si="160"/>
        <v>0.5</v>
      </c>
    </row>
    <row r="969" spans="1:12" x14ac:dyDescent="0.25">
      <c r="A969" s="20">
        <v>961</v>
      </c>
      <c r="B969" s="21">
        <f t="shared" ca="1" si="156"/>
        <v>0.63490319471729273</v>
      </c>
      <c r="C969" s="21">
        <f t="shared" ca="1" si="161"/>
        <v>2959.310563606311</v>
      </c>
      <c r="D969" s="21">
        <f t="shared" ca="1" si="157"/>
        <v>1.413015192633797</v>
      </c>
      <c r="E969" s="21">
        <f t="shared" ca="1" si="164"/>
        <v>1.2497987845081298</v>
      </c>
      <c r="F969" s="20" t="str">
        <f t="shared" ca="1" si="162"/>
        <v>No</v>
      </c>
      <c r="G969" s="21">
        <f t="shared" ca="1" si="158"/>
        <v>0</v>
      </c>
      <c r="H969" s="21">
        <f t="shared" ca="1" si="159"/>
        <v>2960.5603623908191</v>
      </c>
      <c r="I969" s="21">
        <f t="shared" ref="I969:I1032" ca="1" si="165">$H969+$D969</f>
        <v>2961.9733775834529</v>
      </c>
      <c r="J969" s="20">
        <f t="shared" ca="1" si="163"/>
        <v>2</v>
      </c>
      <c r="K969" s="20">
        <f t="shared" ref="K969:K1032" ca="1" si="166">IF($I969&lt;=$C970,0,IF($I969&lt;=$C971,1,IF($I969&lt;=$C972,2,IF($I969&lt;=$C973,3,IF($I969&lt;=$C974,4,5)))))</f>
        <v>0</v>
      </c>
      <c r="L969" s="44">
        <f t="shared" ca="1" si="160"/>
        <v>1</v>
      </c>
    </row>
    <row r="970" spans="1:12" x14ac:dyDescent="0.25">
      <c r="A970" s="20">
        <v>962</v>
      </c>
      <c r="B970" s="21">
        <f t="shared" ref="B970:B1033" ca="1" si="167">-LN(RAND())/$D$4</f>
        <v>6.4756167967895282</v>
      </c>
      <c r="C970" s="21">
        <f t="shared" ca="1" si="161"/>
        <v>2965.7861804031004</v>
      </c>
      <c r="D970" s="21">
        <f t="shared" ref="D970:D1033" ca="1" si="168">-LN(RAND())/$D$6</f>
        <v>8.8859232226910692</v>
      </c>
      <c r="E970" s="21">
        <f t="shared" ca="1" si="164"/>
        <v>0</v>
      </c>
      <c r="F970" s="20" t="str">
        <f t="shared" ca="1" si="162"/>
        <v>Yes</v>
      </c>
      <c r="G970" s="21">
        <f t="shared" ref="G970:G1033" ca="1" si="169">IF($I969&lt;=$C970,$C970-$I969,0)</f>
        <v>3.8128028196474588</v>
      </c>
      <c r="H970" s="21">
        <f t="shared" ref="H970:H1033" ca="1" si="170">IF($I969&lt;=$C970,$C970,$I969)</f>
        <v>2965.7861804031004</v>
      </c>
      <c r="I970" s="21">
        <f t="shared" ca="1" si="165"/>
        <v>2974.6721036257914</v>
      </c>
      <c r="J970" s="20">
        <f t="shared" ca="1" si="163"/>
        <v>0</v>
      </c>
      <c r="K970" s="20">
        <f t="shared" ca="1" si="166"/>
        <v>3</v>
      </c>
      <c r="L970" s="44">
        <f t="shared" ref="L970:L1033" ca="1" si="171">(J970+K970)/2</f>
        <v>1.5</v>
      </c>
    </row>
    <row r="971" spans="1:12" x14ac:dyDescent="0.25">
      <c r="A971" s="20">
        <v>963</v>
      </c>
      <c r="B971" s="21">
        <f t="shared" ca="1" si="167"/>
        <v>3.6671338791212955</v>
      </c>
      <c r="C971" s="21">
        <f t="shared" ref="C971:C1034" ca="1" si="172">$C970+$B971</f>
        <v>2969.4533142822215</v>
      </c>
      <c r="D971" s="21">
        <f t="shared" ca="1" si="168"/>
        <v>1.1384558894221499</v>
      </c>
      <c r="E971" s="21">
        <f t="shared" ca="1" si="164"/>
        <v>5.2187893435698243</v>
      </c>
      <c r="F971" s="20" t="str">
        <f t="shared" ref="F971:F1034" ca="1" si="173">IF(E971=0,"Yes","No")</f>
        <v>No</v>
      </c>
      <c r="G971" s="21">
        <f t="shared" ca="1" si="169"/>
        <v>0</v>
      </c>
      <c r="H971" s="21">
        <f t="shared" ca="1" si="170"/>
        <v>2974.6721036257914</v>
      </c>
      <c r="I971" s="21">
        <f t="shared" ca="1" si="165"/>
        <v>2975.8105595152133</v>
      </c>
      <c r="J971" s="20">
        <f t="shared" ref="J971:J1034" ca="1" si="174">IF($I970&lt;=$C971,0,$K970+1)</f>
        <v>4</v>
      </c>
      <c r="K971" s="20">
        <f t="shared" ca="1" si="166"/>
        <v>2</v>
      </c>
      <c r="L971" s="44">
        <f t="shared" ca="1" si="171"/>
        <v>3</v>
      </c>
    </row>
    <row r="972" spans="1:12" x14ac:dyDescent="0.25">
      <c r="A972" s="20">
        <v>964</v>
      </c>
      <c r="B972" s="21">
        <f t="shared" ca="1" si="167"/>
        <v>0.70602415271473262</v>
      </c>
      <c r="C972" s="21">
        <f t="shared" ca="1" si="172"/>
        <v>2970.1593384349362</v>
      </c>
      <c r="D972" s="21">
        <f t="shared" ca="1" si="168"/>
        <v>1.3366595362594571</v>
      </c>
      <c r="E972" s="21">
        <f t="shared" ref="E972:E1035" ca="1" si="175">IF($I971&lt;=$C972,0,$I971-$C972)</f>
        <v>5.6512210802770824</v>
      </c>
      <c r="F972" s="20" t="str">
        <f t="shared" ca="1" si="173"/>
        <v>No</v>
      </c>
      <c r="G972" s="21">
        <f t="shared" ca="1" si="169"/>
        <v>0</v>
      </c>
      <c r="H972" s="21">
        <f t="shared" ca="1" si="170"/>
        <v>2975.8105595152133</v>
      </c>
      <c r="I972" s="21">
        <f t="shared" ca="1" si="165"/>
        <v>2977.1472190514728</v>
      </c>
      <c r="J972" s="20">
        <f t="shared" ca="1" si="174"/>
        <v>3</v>
      </c>
      <c r="K972" s="20">
        <f t="shared" ca="1" si="166"/>
        <v>1</v>
      </c>
      <c r="L972" s="44">
        <f t="shared" ca="1" si="171"/>
        <v>2</v>
      </c>
    </row>
    <row r="973" spans="1:12" x14ac:dyDescent="0.25">
      <c r="A973" s="20">
        <v>965</v>
      </c>
      <c r="B973" s="21">
        <f t="shared" ca="1" si="167"/>
        <v>0.4962895761998834</v>
      </c>
      <c r="C973" s="21">
        <f t="shared" ca="1" si="172"/>
        <v>2970.6556280111363</v>
      </c>
      <c r="D973" s="21">
        <f t="shared" ca="1" si="168"/>
        <v>0.75938930027578644</v>
      </c>
      <c r="E973" s="21">
        <f t="shared" ca="1" si="175"/>
        <v>6.491591040336516</v>
      </c>
      <c r="F973" s="20" t="str">
        <f t="shared" ca="1" si="173"/>
        <v>No</v>
      </c>
      <c r="G973" s="21">
        <f t="shared" ca="1" si="169"/>
        <v>0</v>
      </c>
      <c r="H973" s="21">
        <f t="shared" ca="1" si="170"/>
        <v>2977.1472190514728</v>
      </c>
      <c r="I973" s="21">
        <f t="shared" ca="1" si="165"/>
        <v>2977.9066083517487</v>
      </c>
      <c r="J973" s="20">
        <f t="shared" ca="1" si="174"/>
        <v>2</v>
      </c>
      <c r="K973" s="20">
        <f t="shared" ca="1" si="166"/>
        <v>0</v>
      </c>
      <c r="L973" s="44">
        <f t="shared" ca="1" si="171"/>
        <v>1</v>
      </c>
    </row>
    <row r="974" spans="1:12" x14ac:dyDescent="0.25">
      <c r="A974" s="20">
        <v>966</v>
      </c>
      <c r="B974" s="21">
        <f t="shared" ca="1" si="167"/>
        <v>8.264445090225303</v>
      </c>
      <c r="C974" s="21">
        <f t="shared" ca="1" si="172"/>
        <v>2978.9200731013616</v>
      </c>
      <c r="D974" s="21">
        <f t="shared" ca="1" si="168"/>
        <v>3.5258891086328568</v>
      </c>
      <c r="E974" s="21">
        <f t="shared" ca="1" si="175"/>
        <v>0</v>
      </c>
      <c r="F974" s="20" t="str">
        <f t="shared" ca="1" si="173"/>
        <v>Yes</v>
      </c>
      <c r="G974" s="21">
        <f t="shared" ca="1" si="169"/>
        <v>1.0134647496129219</v>
      </c>
      <c r="H974" s="21">
        <f t="shared" ca="1" si="170"/>
        <v>2978.9200731013616</v>
      </c>
      <c r="I974" s="21">
        <f t="shared" ca="1" si="165"/>
        <v>2982.4459622099944</v>
      </c>
      <c r="J974" s="20">
        <f t="shared" ca="1" si="174"/>
        <v>0</v>
      </c>
      <c r="K974" s="20">
        <f t="shared" ca="1" si="166"/>
        <v>1</v>
      </c>
      <c r="L974" s="44">
        <f t="shared" ca="1" si="171"/>
        <v>0.5</v>
      </c>
    </row>
    <row r="975" spans="1:12" x14ac:dyDescent="0.25">
      <c r="A975" s="20">
        <v>967</v>
      </c>
      <c r="B975" s="21">
        <f t="shared" ca="1" si="167"/>
        <v>2.5086809051758426E-2</v>
      </c>
      <c r="C975" s="21">
        <f t="shared" ca="1" si="172"/>
        <v>2978.9451599104132</v>
      </c>
      <c r="D975" s="21">
        <f t="shared" ca="1" si="168"/>
        <v>1.9748766212784743</v>
      </c>
      <c r="E975" s="21">
        <f t="shared" ca="1" si="175"/>
        <v>3.5008022995812098</v>
      </c>
      <c r="F975" s="20" t="str">
        <f t="shared" ca="1" si="173"/>
        <v>No</v>
      </c>
      <c r="G975" s="21">
        <f t="shared" ca="1" si="169"/>
        <v>0</v>
      </c>
      <c r="H975" s="21">
        <f t="shared" ca="1" si="170"/>
        <v>2982.4459622099944</v>
      </c>
      <c r="I975" s="21">
        <f t="shared" ca="1" si="165"/>
        <v>2984.4208388312727</v>
      </c>
      <c r="J975" s="20">
        <f t="shared" ca="1" si="174"/>
        <v>2</v>
      </c>
      <c r="K975" s="20">
        <f t="shared" ca="1" si="166"/>
        <v>0</v>
      </c>
      <c r="L975" s="44">
        <f t="shared" ca="1" si="171"/>
        <v>1</v>
      </c>
    </row>
    <row r="976" spans="1:12" x14ac:dyDescent="0.25">
      <c r="A976" s="20">
        <v>968</v>
      </c>
      <c r="B976" s="21">
        <f t="shared" ca="1" si="167"/>
        <v>9.8431432716646512</v>
      </c>
      <c r="C976" s="21">
        <f t="shared" ca="1" si="172"/>
        <v>2988.7883031820779</v>
      </c>
      <c r="D976" s="21">
        <f t="shared" ca="1" si="168"/>
        <v>0.89855391087446057</v>
      </c>
      <c r="E976" s="21">
        <f t="shared" ca="1" si="175"/>
        <v>0</v>
      </c>
      <c r="F976" s="20" t="str">
        <f t="shared" ca="1" si="173"/>
        <v>Yes</v>
      </c>
      <c r="G976" s="21">
        <f t="shared" ca="1" si="169"/>
        <v>4.3674643508052213</v>
      </c>
      <c r="H976" s="21">
        <f t="shared" ca="1" si="170"/>
        <v>2988.7883031820779</v>
      </c>
      <c r="I976" s="21">
        <f t="shared" ca="1" si="165"/>
        <v>2989.6868570929523</v>
      </c>
      <c r="J976" s="20">
        <f t="shared" ca="1" si="174"/>
        <v>0</v>
      </c>
      <c r="K976" s="20">
        <f t="shared" ca="1" si="166"/>
        <v>0</v>
      </c>
      <c r="L976" s="44">
        <f t="shared" ca="1" si="171"/>
        <v>0</v>
      </c>
    </row>
    <row r="977" spans="1:12" x14ac:dyDescent="0.25">
      <c r="A977" s="20">
        <v>969</v>
      </c>
      <c r="B977" s="21">
        <f t="shared" ca="1" si="167"/>
        <v>8.323911472057862</v>
      </c>
      <c r="C977" s="21">
        <f t="shared" ca="1" si="172"/>
        <v>2997.1122146541356</v>
      </c>
      <c r="D977" s="21">
        <f t="shared" ca="1" si="168"/>
        <v>4.857004128193541</v>
      </c>
      <c r="E977" s="21">
        <f t="shared" ca="1" si="175"/>
        <v>0</v>
      </c>
      <c r="F977" s="20" t="str">
        <f t="shared" ca="1" si="173"/>
        <v>Yes</v>
      </c>
      <c r="G977" s="21">
        <f t="shared" ca="1" si="169"/>
        <v>7.4253575611833185</v>
      </c>
      <c r="H977" s="21">
        <f t="shared" ca="1" si="170"/>
        <v>2997.1122146541356</v>
      </c>
      <c r="I977" s="21">
        <f t="shared" ca="1" si="165"/>
        <v>3001.9692187823293</v>
      </c>
      <c r="J977" s="20">
        <f t="shared" ca="1" si="174"/>
        <v>0</v>
      </c>
      <c r="K977" s="20">
        <f t="shared" ca="1" si="166"/>
        <v>1</v>
      </c>
      <c r="L977" s="44">
        <f t="shared" ca="1" si="171"/>
        <v>0.5</v>
      </c>
    </row>
    <row r="978" spans="1:12" x14ac:dyDescent="0.25">
      <c r="A978" s="20">
        <v>970</v>
      </c>
      <c r="B978" s="21">
        <f t="shared" ca="1" si="167"/>
        <v>2.6114634943645898</v>
      </c>
      <c r="C978" s="21">
        <f t="shared" ca="1" si="172"/>
        <v>2999.7236781485003</v>
      </c>
      <c r="D978" s="21">
        <f t="shared" ca="1" si="168"/>
        <v>5.0665610368628426</v>
      </c>
      <c r="E978" s="21">
        <f t="shared" ca="1" si="175"/>
        <v>2.2455406338290231</v>
      </c>
      <c r="F978" s="20" t="str">
        <f t="shared" ca="1" si="173"/>
        <v>No</v>
      </c>
      <c r="G978" s="21">
        <f t="shared" ca="1" si="169"/>
        <v>0</v>
      </c>
      <c r="H978" s="21">
        <f t="shared" ca="1" si="170"/>
        <v>3001.9692187823293</v>
      </c>
      <c r="I978" s="21">
        <f t="shared" ca="1" si="165"/>
        <v>3007.0357798191922</v>
      </c>
      <c r="J978" s="20">
        <f t="shared" ca="1" si="174"/>
        <v>2</v>
      </c>
      <c r="K978" s="20">
        <f t="shared" ca="1" si="166"/>
        <v>2</v>
      </c>
      <c r="L978" s="44">
        <f t="shared" ca="1" si="171"/>
        <v>2</v>
      </c>
    </row>
    <row r="979" spans="1:12" x14ac:dyDescent="0.25">
      <c r="A979" s="20">
        <v>971</v>
      </c>
      <c r="B979" s="21">
        <f t="shared" ca="1" si="167"/>
        <v>5.2602688259817931</v>
      </c>
      <c r="C979" s="21">
        <f t="shared" ca="1" si="172"/>
        <v>3004.983946974482</v>
      </c>
      <c r="D979" s="21">
        <f t="shared" ca="1" si="168"/>
        <v>0.58629073655677</v>
      </c>
      <c r="E979" s="21">
        <f t="shared" ca="1" si="175"/>
        <v>2.0518328447101339</v>
      </c>
      <c r="F979" s="20" t="str">
        <f t="shared" ca="1" si="173"/>
        <v>No</v>
      </c>
      <c r="G979" s="21">
        <f t="shared" ca="1" si="169"/>
        <v>0</v>
      </c>
      <c r="H979" s="21">
        <f t="shared" ca="1" si="170"/>
        <v>3007.0357798191922</v>
      </c>
      <c r="I979" s="21">
        <f t="shared" ca="1" si="165"/>
        <v>3007.6220705557489</v>
      </c>
      <c r="J979" s="20">
        <f t="shared" ca="1" si="174"/>
        <v>3</v>
      </c>
      <c r="K979" s="20">
        <f t="shared" ca="1" si="166"/>
        <v>1</v>
      </c>
      <c r="L979" s="44">
        <f t="shared" ca="1" si="171"/>
        <v>2</v>
      </c>
    </row>
    <row r="980" spans="1:12" x14ac:dyDescent="0.25">
      <c r="A980" s="20">
        <v>972</v>
      </c>
      <c r="B980" s="21">
        <f t="shared" ca="1" si="167"/>
        <v>0.70783233467552265</v>
      </c>
      <c r="C980" s="21">
        <f t="shared" ca="1" si="172"/>
        <v>3005.6917793091575</v>
      </c>
      <c r="D980" s="21">
        <f t="shared" ca="1" si="168"/>
        <v>4.8679436673710192</v>
      </c>
      <c r="E980" s="21">
        <f t="shared" ca="1" si="175"/>
        <v>1.9302912465914233</v>
      </c>
      <c r="F980" s="20" t="str">
        <f t="shared" ca="1" si="173"/>
        <v>No</v>
      </c>
      <c r="G980" s="21">
        <f t="shared" ca="1" si="169"/>
        <v>0</v>
      </c>
      <c r="H980" s="21">
        <f t="shared" ca="1" si="170"/>
        <v>3007.6220705557489</v>
      </c>
      <c r="I980" s="21">
        <f t="shared" ca="1" si="165"/>
        <v>3012.4900142231199</v>
      </c>
      <c r="J980" s="20">
        <f t="shared" ca="1" si="174"/>
        <v>2</v>
      </c>
      <c r="K980" s="20">
        <f t="shared" ca="1" si="166"/>
        <v>2</v>
      </c>
      <c r="L980" s="44">
        <f t="shared" ca="1" si="171"/>
        <v>2</v>
      </c>
    </row>
    <row r="981" spans="1:12" x14ac:dyDescent="0.25">
      <c r="A981" s="20">
        <v>973</v>
      </c>
      <c r="B981" s="21">
        <f t="shared" ca="1" si="167"/>
        <v>2.3050126172366703</v>
      </c>
      <c r="C981" s="21">
        <f t="shared" ca="1" si="172"/>
        <v>3007.9967919263941</v>
      </c>
      <c r="D981" s="21">
        <f t="shared" ca="1" si="168"/>
        <v>13.379336345067211</v>
      </c>
      <c r="E981" s="21">
        <f t="shared" ca="1" si="175"/>
        <v>4.4932222967258895</v>
      </c>
      <c r="F981" s="20" t="str">
        <f t="shared" ca="1" si="173"/>
        <v>No</v>
      </c>
      <c r="G981" s="21">
        <f t="shared" ca="1" si="169"/>
        <v>0</v>
      </c>
      <c r="H981" s="21">
        <f t="shared" ca="1" si="170"/>
        <v>3012.4900142231199</v>
      </c>
      <c r="I981" s="21">
        <f t="shared" ca="1" si="165"/>
        <v>3025.8693505681872</v>
      </c>
      <c r="J981" s="20">
        <f t="shared" ca="1" si="174"/>
        <v>3</v>
      </c>
      <c r="K981" s="20">
        <f t="shared" ca="1" si="166"/>
        <v>5</v>
      </c>
      <c r="L981" s="44">
        <f t="shared" ca="1" si="171"/>
        <v>4</v>
      </c>
    </row>
    <row r="982" spans="1:12" x14ac:dyDescent="0.25">
      <c r="A982" s="20">
        <v>974</v>
      </c>
      <c r="B982" s="21">
        <f t="shared" ca="1" si="167"/>
        <v>2.2771913936986001</v>
      </c>
      <c r="C982" s="21">
        <f t="shared" ca="1" si="172"/>
        <v>3010.2739833200926</v>
      </c>
      <c r="D982" s="21">
        <f t="shared" ca="1" si="168"/>
        <v>0.65254967560895438</v>
      </c>
      <c r="E982" s="21">
        <f t="shared" ca="1" si="175"/>
        <v>15.59536724809459</v>
      </c>
      <c r="F982" s="20" t="str">
        <f t="shared" ca="1" si="173"/>
        <v>No</v>
      </c>
      <c r="G982" s="21">
        <f t="shared" ca="1" si="169"/>
        <v>0</v>
      </c>
      <c r="H982" s="21">
        <f t="shared" ca="1" si="170"/>
        <v>3025.8693505681872</v>
      </c>
      <c r="I982" s="21">
        <f t="shared" ca="1" si="165"/>
        <v>3026.5219002437962</v>
      </c>
      <c r="J982" s="20">
        <f t="shared" ca="1" si="174"/>
        <v>6</v>
      </c>
      <c r="K982" s="20">
        <f t="shared" ca="1" si="166"/>
        <v>5</v>
      </c>
      <c r="L982" s="44">
        <f t="shared" ca="1" si="171"/>
        <v>5.5</v>
      </c>
    </row>
    <row r="983" spans="1:12" x14ac:dyDescent="0.25">
      <c r="A983" s="20">
        <v>975</v>
      </c>
      <c r="B983" s="21">
        <f t="shared" ca="1" si="167"/>
        <v>6.5823833590541225</v>
      </c>
      <c r="C983" s="21">
        <f t="shared" ca="1" si="172"/>
        <v>3016.856366679147</v>
      </c>
      <c r="D983" s="21">
        <f t="shared" ca="1" si="168"/>
        <v>4.4641785763595072</v>
      </c>
      <c r="E983" s="21">
        <f t="shared" ca="1" si="175"/>
        <v>9.6655335646491949</v>
      </c>
      <c r="F983" s="20" t="str">
        <f t="shared" ca="1" si="173"/>
        <v>No</v>
      </c>
      <c r="G983" s="21">
        <f t="shared" ca="1" si="169"/>
        <v>0</v>
      </c>
      <c r="H983" s="21">
        <f t="shared" ca="1" si="170"/>
        <v>3026.5219002437962</v>
      </c>
      <c r="I983" s="21">
        <f t="shared" ca="1" si="165"/>
        <v>3030.9860788201559</v>
      </c>
      <c r="J983" s="20">
        <f t="shared" ca="1" si="174"/>
        <v>6</v>
      </c>
      <c r="K983" s="20">
        <f t="shared" ca="1" si="166"/>
        <v>5</v>
      </c>
      <c r="L983" s="44">
        <f t="shared" ca="1" si="171"/>
        <v>5.5</v>
      </c>
    </row>
    <row r="984" spans="1:12" x14ac:dyDescent="0.25">
      <c r="A984" s="20">
        <v>976</v>
      </c>
      <c r="B984" s="21">
        <f t="shared" ca="1" si="167"/>
        <v>1.9409807791764886</v>
      </c>
      <c r="C984" s="21">
        <f t="shared" ca="1" si="172"/>
        <v>3018.7973474583237</v>
      </c>
      <c r="D984" s="21">
        <f t="shared" ca="1" si="168"/>
        <v>0.24746936695881719</v>
      </c>
      <c r="E984" s="21">
        <f t="shared" ca="1" si="175"/>
        <v>12.188731361832197</v>
      </c>
      <c r="F984" s="20" t="str">
        <f t="shared" ca="1" si="173"/>
        <v>No</v>
      </c>
      <c r="G984" s="21">
        <f t="shared" ca="1" si="169"/>
        <v>0</v>
      </c>
      <c r="H984" s="21">
        <f t="shared" ca="1" si="170"/>
        <v>3030.9860788201559</v>
      </c>
      <c r="I984" s="21">
        <f t="shared" ca="1" si="165"/>
        <v>3031.2335481871146</v>
      </c>
      <c r="J984" s="20">
        <f t="shared" ca="1" si="174"/>
        <v>6</v>
      </c>
      <c r="K984" s="20">
        <f t="shared" ca="1" si="166"/>
        <v>5</v>
      </c>
      <c r="L984" s="44">
        <f t="shared" ca="1" si="171"/>
        <v>5.5</v>
      </c>
    </row>
    <row r="985" spans="1:12" x14ac:dyDescent="0.25">
      <c r="A985" s="20">
        <v>977</v>
      </c>
      <c r="B985" s="21">
        <f t="shared" ca="1" si="167"/>
        <v>2.9454259718696831</v>
      </c>
      <c r="C985" s="21">
        <f t="shared" ca="1" si="172"/>
        <v>3021.7427734301932</v>
      </c>
      <c r="D985" s="21">
        <f t="shared" ca="1" si="168"/>
        <v>2.0553556644670805</v>
      </c>
      <c r="E985" s="21">
        <f t="shared" ca="1" si="175"/>
        <v>9.4907747569213825</v>
      </c>
      <c r="F985" s="20" t="str">
        <f t="shared" ca="1" si="173"/>
        <v>No</v>
      </c>
      <c r="G985" s="21">
        <f t="shared" ca="1" si="169"/>
        <v>0</v>
      </c>
      <c r="H985" s="21">
        <f t="shared" ca="1" si="170"/>
        <v>3031.2335481871146</v>
      </c>
      <c r="I985" s="21">
        <f t="shared" ca="1" si="165"/>
        <v>3033.2889038515818</v>
      </c>
      <c r="J985" s="20">
        <f t="shared" ca="1" si="174"/>
        <v>6</v>
      </c>
      <c r="K985" s="20">
        <f t="shared" ca="1" si="166"/>
        <v>5</v>
      </c>
      <c r="L985" s="44">
        <f t="shared" ca="1" si="171"/>
        <v>5.5</v>
      </c>
    </row>
    <row r="986" spans="1:12" x14ac:dyDescent="0.25">
      <c r="A986" s="20">
        <v>978</v>
      </c>
      <c r="B986" s="21">
        <f t="shared" ca="1" si="167"/>
        <v>0.77066074681620156</v>
      </c>
      <c r="C986" s="21">
        <f t="shared" ca="1" si="172"/>
        <v>3022.5134341770095</v>
      </c>
      <c r="D986" s="21">
        <f t="shared" ca="1" si="168"/>
        <v>4.7365293733973663</v>
      </c>
      <c r="E986" s="21">
        <f t="shared" ca="1" si="175"/>
        <v>10.775469674572378</v>
      </c>
      <c r="F986" s="20" t="str">
        <f t="shared" ca="1" si="173"/>
        <v>No</v>
      </c>
      <c r="G986" s="21">
        <f t="shared" ca="1" si="169"/>
        <v>0</v>
      </c>
      <c r="H986" s="21">
        <f t="shared" ca="1" si="170"/>
        <v>3033.2889038515818</v>
      </c>
      <c r="I986" s="21">
        <f t="shared" ca="1" si="165"/>
        <v>3038.0254332249792</v>
      </c>
      <c r="J986" s="20">
        <f t="shared" ca="1" si="174"/>
        <v>6</v>
      </c>
      <c r="K986" s="20">
        <f t="shared" ca="1" si="166"/>
        <v>5</v>
      </c>
      <c r="L986" s="44">
        <f t="shared" ca="1" si="171"/>
        <v>5.5</v>
      </c>
    </row>
    <row r="987" spans="1:12" x14ac:dyDescent="0.25">
      <c r="A987" s="20">
        <v>979</v>
      </c>
      <c r="B987" s="21">
        <f t="shared" ca="1" si="167"/>
        <v>1.6883513071789127</v>
      </c>
      <c r="C987" s="21">
        <f t="shared" ca="1" si="172"/>
        <v>3024.2017854841883</v>
      </c>
      <c r="D987" s="21">
        <f t="shared" ca="1" si="168"/>
        <v>0.54563453505830695</v>
      </c>
      <c r="E987" s="21">
        <f t="shared" ca="1" si="175"/>
        <v>13.823647740790875</v>
      </c>
      <c r="F987" s="20" t="str">
        <f t="shared" ca="1" si="173"/>
        <v>No</v>
      </c>
      <c r="G987" s="21">
        <f t="shared" ca="1" si="169"/>
        <v>0</v>
      </c>
      <c r="H987" s="21">
        <f t="shared" ca="1" si="170"/>
        <v>3038.0254332249792</v>
      </c>
      <c r="I987" s="21">
        <f t="shared" ca="1" si="165"/>
        <v>3038.5710677600377</v>
      </c>
      <c r="J987" s="20">
        <f t="shared" ca="1" si="174"/>
        <v>6</v>
      </c>
      <c r="K987" s="20">
        <f t="shared" ca="1" si="166"/>
        <v>5</v>
      </c>
      <c r="L987" s="44">
        <f t="shared" ca="1" si="171"/>
        <v>5.5</v>
      </c>
    </row>
    <row r="988" spans="1:12" x14ac:dyDescent="0.25">
      <c r="A988" s="20">
        <v>980</v>
      </c>
      <c r="B988" s="21">
        <f t="shared" ca="1" si="167"/>
        <v>1.3414935907288914</v>
      </c>
      <c r="C988" s="21">
        <f t="shared" ca="1" si="172"/>
        <v>3025.5432790749173</v>
      </c>
      <c r="D988" s="21">
        <f t="shared" ca="1" si="168"/>
        <v>1.208340866297626</v>
      </c>
      <c r="E988" s="21">
        <f t="shared" ca="1" si="175"/>
        <v>13.027788685120413</v>
      </c>
      <c r="F988" s="20" t="str">
        <f t="shared" ca="1" si="173"/>
        <v>No</v>
      </c>
      <c r="G988" s="21">
        <f t="shared" ca="1" si="169"/>
        <v>0</v>
      </c>
      <c r="H988" s="21">
        <f t="shared" ca="1" si="170"/>
        <v>3038.5710677600377</v>
      </c>
      <c r="I988" s="21">
        <f t="shared" ca="1" si="165"/>
        <v>3039.7794086263352</v>
      </c>
      <c r="J988" s="20">
        <f t="shared" ca="1" si="174"/>
        <v>6</v>
      </c>
      <c r="K988" s="20">
        <f t="shared" ca="1" si="166"/>
        <v>5</v>
      </c>
      <c r="L988" s="44">
        <f t="shared" ca="1" si="171"/>
        <v>5.5</v>
      </c>
    </row>
    <row r="989" spans="1:12" x14ac:dyDescent="0.25">
      <c r="A989" s="20">
        <v>981</v>
      </c>
      <c r="B989" s="21">
        <f t="shared" ca="1" si="167"/>
        <v>0.20093707861130525</v>
      </c>
      <c r="C989" s="21">
        <f t="shared" ca="1" si="172"/>
        <v>3025.7442161535287</v>
      </c>
      <c r="D989" s="21">
        <f t="shared" ca="1" si="168"/>
        <v>2.4314623008101206</v>
      </c>
      <c r="E989" s="21">
        <f t="shared" ca="1" si="175"/>
        <v>14.035192472806557</v>
      </c>
      <c r="F989" s="20" t="str">
        <f t="shared" ca="1" si="173"/>
        <v>No</v>
      </c>
      <c r="G989" s="21">
        <f t="shared" ca="1" si="169"/>
        <v>0</v>
      </c>
      <c r="H989" s="21">
        <f t="shared" ca="1" si="170"/>
        <v>3039.7794086263352</v>
      </c>
      <c r="I989" s="21">
        <f t="shared" ca="1" si="165"/>
        <v>3042.2108709271452</v>
      </c>
      <c r="J989" s="20">
        <f t="shared" ca="1" si="174"/>
        <v>6</v>
      </c>
      <c r="K989" s="20">
        <f t="shared" ca="1" si="166"/>
        <v>5</v>
      </c>
      <c r="L989" s="44">
        <f t="shared" ca="1" si="171"/>
        <v>5.5</v>
      </c>
    </row>
    <row r="990" spans="1:12" x14ac:dyDescent="0.25">
      <c r="A990" s="20">
        <v>982</v>
      </c>
      <c r="B990" s="21">
        <f t="shared" ca="1" si="167"/>
        <v>0.96709878920447045</v>
      </c>
      <c r="C990" s="21">
        <f t="shared" ca="1" si="172"/>
        <v>3026.7113149427332</v>
      </c>
      <c r="D990" s="21">
        <f t="shared" ca="1" si="168"/>
        <v>5.0531141113991929</v>
      </c>
      <c r="E990" s="21">
        <f t="shared" ca="1" si="175"/>
        <v>15.499555984411927</v>
      </c>
      <c r="F990" s="20" t="str">
        <f t="shared" ca="1" si="173"/>
        <v>No</v>
      </c>
      <c r="G990" s="21">
        <f t="shared" ca="1" si="169"/>
        <v>0</v>
      </c>
      <c r="H990" s="21">
        <f t="shared" ca="1" si="170"/>
        <v>3042.2108709271452</v>
      </c>
      <c r="I990" s="21">
        <f t="shared" ca="1" si="165"/>
        <v>3047.2639850385444</v>
      </c>
      <c r="J990" s="20">
        <f t="shared" ca="1" si="174"/>
        <v>6</v>
      </c>
      <c r="K990" s="20">
        <f t="shared" ca="1" si="166"/>
        <v>5</v>
      </c>
      <c r="L990" s="44">
        <f t="shared" ca="1" si="171"/>
        <v>5.5</v>
      </c>
    </row>
    <row r="991" spans="1:12" x14ac:dyDescent="0.25">
      <c r="A991" s="20">
        <v>983</v>
      </c>
      <c r="B991" s="21">
        <f t="shared" ca="1" si="167"/>
        <v>1.5125717475676987</v>
      </c>
      <c r="C991" s="21">
        <f t="shared" ca="1" si="172"/>
        <v>3028.2238866903008</v>
      </c>
      <c r="D991" s="21">
        <f t="shared" ca="1" si="168"/>
        <v>0.90225369661714416</v>
      </c>
      <c r="E991" s="21">
        <f t="shared" ca="1" si="175"/>
        <v>19.040098348243646</v>
      </c>
      <c r="F991" s="20" t="str">
        <f t="shared" ca="1" si="173"/>
        <v>No</v>
      </c>
      <c r="G991" s="21">
        <f t="shared" ca="1" si="169"/>
        <v>0</v>
      </c>
      <c r="H991" s="21">
        <f t="shared" ca="1" si="170"/>
        <v>3047.2639850385444</v>
      </c>
      <c r="I991" s="21">
        <f t="shared" ca="1" si="165"/>
        <v>3048.1662387351616</v>
      </c>
      <c r="J991" s="20">
        <f t="shared" ca="1" si="174"/>
        <v>6</v>
      </c>
      <c r="K991" s="20">
        <f t="shared" ca="1" si="166"/>
        <v>5</v>
      </c>
      <c r="L991" s="44">
        <f t="shared" ca="1" si="171"/>
        <v>5.5</v>
      </c>
    </row>
    <row r="992" spans="1:12" x14ac:dyDescent="0.25">
      <c r="A992" s="20">
        <v>984</v>
      </c>
      <c r="B992" s="21">
        <f t="shared" ca="1" si="167"/>
        <v>0.19518389089408694</v>
      </c>
      <c r="C992" s="21">
        <f t="shared" ca="1" si="172"/>
        <v>3028.4190705811948</v>
      </c>
      <c r="D992" s="21">
        <f t="shared" ca="1" si="168"/>
        <v>0.25683687270713967</v>
      </c>
      <c r="E992" s="21">
        <f t="shared" ca="1" si="175"/>
        <v>19.747168153966868</v>
      </c>
      <c r="F992" s="20" t="str">
        <f t="shared" ca="1" si="173"/>
        <v>No</v>
      </c>
      <c r="G992" s="21">
        <f t="shared" ca="1" si="169"/>
        <v>0</v>
      </c>
      <c r="H992" s="21">
        <f t="shared" ca="1" si="170"/>
        <v>3048.1662387351616</v>
      </c>
      <c r="I992" s="21">
        <f t="shared" ca="1" si="165"/>
        <v>3048.4230756078687</v>
      </c>
      <c r="J992" s="20">
        <f t="shared" ca="1" si="174"/>
        <v>6</v>
      </c>
      <c r="K992" s="20">
        <f t="shared" ca="1" si="166"/>
        <v>5</v>
      </c>
      <c r="L992" s="44">
        <f t="shared" ca="1" si="171"/>
        <v>5.5</v>
      </c>
    </row>
    <row r="993" spans="1:12" x14ac:dyDescent="0.25">
      <c r="A993" s="20">
        <v>985</v>
      </c>
      <c r="B993" s="21">
        <f t="shared" ca="1" si="167"/>
        <v>5.0628307077866452</v>
      </c>
      <c r="C993" s="21">
        <f t="shared" ca="1" si="172"/>
        <v>3033.4819012889816</v>
      </c>
      <c r="D993" s="21">
        <f t="shared" ca="1" si="168"/>
        <v>0.42156001366309626</v>
      </c>
      <c r="E993" s="21">
        <f t="shared" ca="1" si="175"/>
        <v>14.941174318887079</v>
      </c>
      <c r="F993" s="20" t="str">
        <f t="shared" ca="1" si="173"/>
        <v>No</v>
      </c>
      <c r="G993" s="21">
        <f t="shared" ca="1" si="169"/>
        <v>0</v>
      </c>
      <c r="H993" s="21">
        <f t="shared" ca="1" si="170"/>
        <v>3048.4230756078687</v>
      </c>
      <c r="I993" s="21">
        <f t="shared" ca="1" si="165"/>
        <v>3048.8446356215318</v>
      </c>
      <c r="J993" s="20">
        <f t="shared" ca="1" si="174"/>
        <v>6</v>
      </c>
      <c r="K993" s="20">
        <f t="shared" ca="1" si="166"/>
        <v>5</v>
      </c>
      <c r="L993" s="44">
        <f t="shared" ca="1" si="171"/>
        <v>5.5</v>
      </c>
    </row>
    <row r="994" spans="1:12" x14ac:dyDescent="0.25">
      <c r="A994" s="20">
        <v>986</v>
      </c>
      <c r="B994" s="21">
        <f t="shared" ca="1" si="167"/>
        <v>1.1972006186035213</v>
      </c>
      <c r="C994" s="21">
        <f t="shared" ca="1" si="172"/>
        <v>3034.6791019075849</v>
      </c>
      <c r="D994" s="21">
        <f t="shared" ca="1" si="168"/>
        <v>0.16942368469521207</v>
      </c>
      <c r="E994" s="21">
        <f t="shared" ca="1" si="175"/>
        <v>14.165533713946843</v>
      </c>
      <c r="F994" s="20" t="str">
        <f t="shared" ca="1" si="173"/>
        <v>No</v>
      </c>
      <c r="G994" s="21">
        <f t="shared" ca="1" si="169"/>
        <v>0</v>
      </c>
      <c r="H994" s="21">
        <f t="shared" ca="1" si="170"/>
        <v>3048.8446356215318</v>
      </c>
      <c r="I994" s="21">
        <f t="shared" ca="1" si="165"/>
        <v>3049.014059306227</v>
      </c>
      <c r="J994" s="20">
        <f t="shared" ca="1" si="174"/>
        <v>6</v>
      </c>
      <c r="K994" s="20">
        <f t="shared" ca="1" si="166"/>
        <v>5</v>
      </c>
      <c r="L994" s="44">
        <f t="shared" ca="1" si="171"/>
        <v>5.5</v>
      </c>
    </row>
    <row r="995" spans="1:12" x14ac:dyDescent="0.25">
      <c r="A995" s="20">
        <v>987</v>
      </c>
      <c r="B995" s="21">
        <f t="shared" ca="1" si="167"/>
        <v>1.6700378319647473</v>
      </c>
      <c r="C995" s="21">
        <f t="shared" ca="1" si="172"/>
        <v>3036.3491397395496</v>
      </c>
      <c r="D995" s="21">
        <f t="shared" ca="1" si="168"/>
        <v>2.0711089141683736</v>
      </c>
      <c r="E995" s="21">
        <f t="shared" ca="1" si="175"/>
        <v>12.664919566677327</v>
      </c>
      <c r="F995" s="20" t="str">
        <f t="shared" ca="1" si="173"/>
        <v>No</v>
      </c>
      <c r="G995" s="21">
        <f t="shared" ca="1" si="169"/>
        <v>0</v>
      </c>
      <c r="H995" s="21">
        <f t="shared" ca="1" si="170"/>
        <v>3049.014059306227</v>
      </c>
      <c r="I995" s="21">
        <f t="shared" ca="1" si="165"/>
        <v>3051.0851682203952</v>
      </c>
      <c r="J995" s="20">
        <f t="shared" ca="1" si="174"/>
        <v>6</v>
      </c>
      <c r="K995" s="20">
        <f t="shared" ca="1" si="166"/>
        <v>5</v>
      </c>
      <c r="L995" s="44">
        <f t="shared" ca="1" si="171"/>
        <v>5.5</v>
      </c>
    </row>
    <row r="996" spans="1:12" x14ac:dyDescent="0.25">
      <c r="A996" s="20">
        <v>988</v>
      </c>
      <c r="B996" s="21">
        <f t="shared" ca="1" si="167"/>
        <v>2.4260597179858405</v>
      </c>
      <c r="C996" s="21">
        <f t="shared" ca="1" si="172"/>
        <v>3038.7751994575356</v>
      </c>
      <c r="D996" s="21">
        <f t="shared" ca="1" si="168"/>
        <v>0.44794165437463634</v>
      </c>
      <c r="E996" s="21">
        <f t="shared" ca="1" si="175"/>
        <v>12.309968762859626</v>
      </c>
      <c r="F996" s="20" t="str">
        <f t="shared" ca="1" si="173"/>
        <v>No</v>
      </c>
      <c r="G996" s="21">
        <f t="shared" ca="1" si="169"/>
        <v>0</v>
      </c>
      <c r="H996" s="21">
        <f t="shared" ca="1" si="170"/>
        <v>3051.0851682203952</v>
      </c>
      <c r="I996" s="21">
        <f t="shared" ca="1" si="165"/>
        <v>3051.5331098747697</v>
      </c>
      <c r="J996" s="20">
        <f t="shared" ca="1" si="174"/>
        <v>6</v>
      </c>
      <c r="K996" s="20">
        <f t="shared" ca="1" si="166"/>
        <v>5</v>
      </c>
      <c r="L996" s="44">
        <f t="shared" ca="1" si="171"/>
        <v>5.5</v>
      </c>
    </row>
    <row r="997" spans="1:12" x14ac:dyDescent="0.25">
      <c r="A997" s="20">
        <v>989</v>
      </c>
      <c r="B997" s="21">
        <f t="shared" ca="1" si="167"/>
        <v>3.8124624828926339</v>
      </c>
      <c r="C997" s="21">
        <f t="shared" ca="1" si="172"/>
        <v>3042.587661940428</v>
      </c>
      <c r="D997" s="21">
        <f t="shared" ca="1" si="168"/>
        <v>7.1032218159206124</v>
      </c>
      <c r="E997" s="21">
        <f t="shared" ca="1" si="175"/>
        <v>8.9454479343417006</v>
      </c>
      <c r="F997" s="20" t="str">
        <f t="shared" ca="1" si="173"/>
        <v>No</v>
      </c>
      <c r="G997" s="21">
        <f t="shared" ca="1" si="169"/>
        <v>0</v>
      </c>
      <c r="H997" s="21">
        <f t="shared" ca="1" si="170"/>
        <v>3051.5331098747697</v>
      </c>
      <c r="I997" s="21">
        <f t="shared" ca="1" si="165"/>
        <v>3058.6363316906904</v>
      </c>
      <c r="J997" s="20">
        <f t="shared" ca="1" si="174"/>
        <v>6</v>
      </c>
      <c r="K997" s="20">
        <f t="shared" ca="1" si="166"/>
        <v>5</v>
      </c>
      <c r="L997" s="44">
        <f t="shared" ca="1" si="171"/>
        <v>5.5</v>
      </c>
    </row>
    <row r="998" spans="1:12" x14ac:dyDescent="0.25">
      <c r="A998" s="20">
        <v>990</v>
      </c>
      <c r="B998" s="21">
        <f t="shared" ca="1" si="167"/>
        <v>0.39270231919310222</v>
      </c>
      <c r="C998" s="21">
        <f t="shared" ca="1" si="172"/>
        <v>3042.9803642596212</v>
      </c>
      <c r="D998" s="21">
        <f t="shared" ca="1" si="168"/>
        <v>0.96798329359634694</v>
      </c>
      <c r="E998" s="21">
        <f t="shared" ca="1" si="175"/>
        <v>15.655967431069257</v>
      </c>
      <c r="F998" s="20" t="str">
        <f t="shared" ca="1" si="173"/>
        <v>No</v>
      </c>
      <c r="G998" s="21">
        <f t="shared" ca="1" si="169"/>
        <v>0</v>
      </c>
      <c r="H998" s="21">
        <f t="shared" ca="1" si="170"/>
        <v>3058.6363316906904</v>
      </c>
      <c r="I998" s="21">
        <f t="shared" ca="1" si="165"/>
        <v>3059.6043149842867</v>
      </c>
      <c r="J998" s="20">
        <f t="shared" ca="1" si="174"/>
        <v>6</v>
      </c>
      <c r="K998" s="20">
        <f t="shared" ca="1" si="166"/>
        <v>5</v>
      </c>
      <c r="L998" s="44">
        <f t="shared" ca="1" si="171"/>
        <v>5.5</v>
      </c>
    </row>
    <row r="999" spans="1:12" x14ac:dyDescent="0.25">
      <c r="A999" s="20">
        <v>991</v>
      </c>
      <c r="B999" s="21">
        <f t="shared" ca="1" si="167"/>
        <v>3.0773004780670048</v>
      </c>
      <c r="C999" s="21">
        <f t="shared" ca="1" si="172"/>
        <v>3046.0576647376884</v>
      </c>
      <c r="D999" s="21">
        <f t="shared" ca="1" si="168"/>
        <v>2.5648376545540299</v>
      </c>
      <c r="E999" s="21">
        <f t="shared" ca="1" si="175"/>
        <v>13.546650246598347</v>
      </c>
      <c r="F999" s="20" t="str">
        <f t="shared" ca="1" si="173"/>
        <v>No</v>
      </c>
      <c r="G999" s="21">
        <f t="shared" ca="1" si="169"/>
        <v>0</v>
      </c>
      <c r="H999" s="21">
        <f t="shared" ca="1" si="170"/>
        <v>3059.6043149842867</v>
      </c>
      <c r="I999" s="21">
        <f t="shared" ca="1" si="165"/>
        <v>3062.1691526388408</v>
      </c>
      <c r="J999" s="20">
        <f t="shared" ca="1" si="174"/>
        <v>6</v>
      </c>
      <c r="K999" s="20">
        <f t="shared" ca="1" si="166"/>
        <v>5</v>
      </c>
      <c r="L999" s="44">
        <f t="shared" ca="1" si="171"/>
        <v>5.5</v>
      </c>
    </row>
    <row r="1000" spans="1:12" x14ac:dyDescent="0.25">
      <c r="A1000" s="20">
        <v>992</v>
      </c>
      <c r="B1000" s="21">
        <f t="shared" ca="1" si="167"/>
        <v>2.0677182713250106</v>
      </c>
      <c r="C1000" s="21">
        <f t="shared" ca="1" si="172"/>
        <v>3048.1253830090131</v>
      </c>
      <c r="D1000" s="21">
        <f t="shared" ca="1" si="168"/>
        <v>4.0703979381579242E-2</v>
      </c>
      <c r="E1000" s="21">
        <f t="shared" ca="1" si="175"/>
        <v>14.043769629827693</v>
      </c>
      <c r="F1000" s="20" t="str">
        <f t="shared" ca="1" si="173"/>
        <v>No</v>
      </c>
      <c r="G1000" s="21">
        <f t="shared" ca="1" si="169"/>
        <v>0</v>
      </c>
      <c r="H1000" s="21">
        <f t="shared" ca="1" si="170"/>
        <v>3062.1691526388408</v>
      </c>
      <c r="I1000" s="21">
        <f t="shared" ca="1" si="165"/>
        <v>3062.2098566182226</v>
      </c>
      <c r="J1000" s="20">
        <f t="shared" ca="1" si="174"/>
        <v>6</v>
      </c>
      <c r="K1000" s="20">
        <f t="shared" ca="1" si="166"/>
        <v>4</v>
      </c>
      <c r="L1000" s="44">
        <f t="shared" ca="1" si="171"/>
        <v>5</v>
      </c>
    </row>
    <row r="1001" spans="1:12" x14ac:dyDescent="0.25">
      <c r="A1001" s="20">
        <v>993</v>
      </c>
      <c r="B1001" s="21">
        <f t="shared" ca="1" si="167"/>
        <v>0.20817864411695325</v>
      </c>
      <c r="C1001" s="21">
        <f t="shared" ca="1" si="172"/>
        <v>3048.3335616531299</v>
      </c>
      <c r="D1001" s="21">
        <f t="shared" ca="1" si="168"/>
        <v>0.16980194802679474</v>
      </c>
      <c r="E1001" s="21">
        <f t="shared" ca="1" si="175"/>
        <v>13.876294965092711</v>
      </c>
      <c r="F1001" s="20" t="str">
        <f t="shared" ca="1" si="173"/>
        <v>No</v>
      </c>
      <c r="G1001" s="21">
        <f t="shared" ca="1" si="169"/>
        <v>0</v>
      </c>
      <c r="H1001" s="21">
        <f t="shared" ca="1" si="170"/>
        <v>3062.2098566182226</v>
      </c>
      <c r="I1001" s="21">
        <f t="shared" ca="1" si="165"/>
        <v>3062.3796585662494</v>
      </c>
      <c r="J1001" s="20">
        <f t="shared" ca="1" si="174"/>
        <v>5</v>
      </c>
      <c r="K1001" s="20">
        <f t="shared" ca="1" si="166"/>
        <v>3</v>
      </c>
      <c r="L1001" s="44">
        <f t="shared" ca="1" si="171"/>
        <v>4</v>
      </c>
    </row>
    <row r="1002" spans="1:12" x14ac:dyDescent="0.25">
      <c r="A1002" s="20">
        <v>994</v>
      </c>
      <c r="B1002" s="21">
        <f t="shared" ca="1" si="167"/>
        <v>1.8681943438165762</v>
      </c>
      <c r="C1002" s="21">
        <f t="shared" ca="1" si="172"/>
        <v>3050.2017559969463</v>
      </c>
      <c r="D1002" s="21">
        <f t="shared" ca="1" si="168"/>
        <v>4.2567385552184618</v>
      </c>
      <c r="E1002" s="21">
        <f t="shared" ca="1" si="175"/>
        <v>12.177902569303114</v>
      </c>
      <c r="F1002" s="20" t="str">
        <f t="shared" ca="1" si="173"/>
        <v>No</v>
      </c>
      <c r="G1002" s="21">
        <f t="shared" ca="1" si="169"/>
        <v>0</v>
      </c>
      <c r="H1002" s="21">
        <f t="shared" ca="1" si="170"/>
        <v>3062.3796585662494</v>
      </c>
      <c r="I1002" s="21">
        <f t="shared" ca="1" si="165"/>
        <v>3066.6363971214678</v>
      </c>
      <c r="J1002" s="20">
        <f t="shared" ca="1" si="174"/>
        <v>4</v>
      </c>
      <c r="K1002" s="20">
        <f t="shared" ca="1" si="166"/>
        <v>2</v>
      </c>
      <c r="L1002" s="44">
        <f t="shared" ca="1" si="171"/>
        <v>3</v>
      </c>
    </row>
    <row r="1003" spans="1:12" x14ac:dyDescent="0.25">
      <c r="A1003" s="20">
        <v>995</v>
      </c>
      <c r="B1003" s="21">
        <f t="shared" ca="1" si="167"/>
        <v>1.1759792826431203</v>
      </c>
      <c r="C1003" s="21">
        <f t="shared" ca="1" si="172"/>
        <v>3051.3777352795896</v>
      </c>
      <c r="D1003" s="21">
        <f t="shared" ca="1" si="168"/>
        <v>2.4198974258464281</v>
      </c>
      <c r="E1003" s="21">
        <f t="shared" ca="1" si="175"/>
        <v>15.258661841878165</v>
      </c>
      <c r="F1003" s="20" t="str">
        <f t="shared" ca="1" si="173"/>
        <v>No</v>
      </c>
      <c r="G1003" s="21">
        <f t="shared" ca="1" si="169"/>
        <v>0</v>
      </c>
      <c r="H1003" s="21">
        <f t="shared" ca="1" si="170"/>
        <v>3066.6363971214678</v>
      </c>
      <c r="I1003" s="21">
        <f t="shared" ca="1" si="165"/>
        <v>3069.0562945473143</v>
      </c>
      <c r="J1003" s="20">
        <f t="shared" ca="1" si="174"/>
        <v>3</v>
      </c>
      <c r="K1003" s="20">
        <f t="shared" ca="1" si="166"/>
        <v>1</v>
      </c>
      <c r="L1003" s="44">
        <f t="shared" ca="1" si="171"/>
        <v>2</v>
      </c>
    </row>
    <row r="1004" spans="1:12" x14ac:dyDescent="0.25">
      <c r="A1004" s="20">
        <v>996</v>
      </c>
      <c r="B1004" s="21">
        <f t="shared" ca="1" si="167"/>
        <v>10.0108243199209</v>
      </c>
      <c r="C1004" s="21">
        <f t="shared" ca="1" si="172"/>
        <v>3061.3885595995107</v>
      </c>
      <c r="D1004" s="21">
        <f t="shared" ca="1" si="168"/>
        <v>2.4781571879501936</v>
      </c>
      <c r="E1004" s="21">
        <f t="shared" ca="1" si="175"/>
        <v>7.6677349478036376</v>
      </c>
      <c r="F1004" s="20" t="str">
        <f t="shared" ca="1" si="173"/>
        <v>No</v>
      </c>
      <c r="G1004" s="21">
        <f t="shared" ca="1" si="169"/>
        <v>0</v>
      </c>
      <c r="H1004" s="21">
        <f t="shared" ca="1" si="170"/>
        <v>3069.0562945473143</v>
      </c>
      <c r="I1004" s="21">
        <f t="shared" ca="1" si="165"/>
        <v>3071.5344517352646</v>
      </c>
      <c r="J1004" s="20">
        <f t="shared" ca="1" si="174"/>
        <v>2</v>
      </c>
      <c r="K1004" s="20">
        <f t="shared" ca="1" si="166"/>
        <v>1</v>
      </c>
      <c r="L1004" s="44">
        <f t="shared" ca="1" si="171"/>
        <v>1.5</v>
      </c>
    </row>
    <row r="1005" spans="1:12" x14ac:dyDescent="0.25">
      <c r="A1005" s="20">
        <v>997</v>
      </c>
      <c r="B1005" s="21">
        <f t="shared" ca="1" si="167"/>
        <v>8.8017338463477159</v>
      </c>
      <c r="C1005" s="21">
        <f t="shared" ca="1" si="172"/>
        <v>3070.1902934458585</v>
      </c>
      <c r="D1005" s="21">
        <f t="shared" ca="1" si="168"/>
        <v>2.5846725767643699</v>
      </c>
      <c r="E1005" s="21">
        <f t="shared" ca="1" si="175"/>
        <v>1.3441582894060957</v>
      </c>
      <c r="F1005" s="20" t="str">
        <f t="shared" ca="1" si="173"/>
        <v>No</v>
      </c>
      <c r="G1005" s="21">
        <f t="shared" ca="1" si="169"/>
        <v>0</v>
      </c>
      <c r="H1005" s="21">
        <f t="shared" ca="1" si="170"/>
        <v>3071.5344517352646</v>
      </c>
      <c r="I1005" s="21">
        <f t="shared" ca="1" si="165"/>
        <v>3074.1191243120288</v>
      </c>
      <c r="J1005" s="20">
        <f t="shared" ca="1" si="174"/>
        <v>2</v>
      </c>
      <c r="K1005" s="20">
        <f t="shared" ca="1" si="166"/>
        <v>1</v>
      </c>
      <c r="L1005" s="44">
        <f t="shared" ca="1" si="171"/>
        <v>1.5</v>
      </c>
    </row>
    <row r="1006" spans="1:12" x14ac:dyDescent="0.25">
      <c r="A1006" s="20">
        <v>998</v>
      </c>
      <c r="B1006" s="21">
        <f t="shared" ca="1" si="167"/>
        <v>3.6139064087610571</v>
      </c>
      <c r="C1006" s="21">
        <f t="shared" ca="1" si="172"/>
        <v>3073.8041998546196</v>
      </c>
      <c r="D1006" s="21">
        <f t="shared" ca="1" si="168"/>
        <v>3.8078719457469976</v>
      </c>
      <c r="E1006" s="21">
        <f t="shared" ca="1" si="175"/>
        <v>0.31492445740923358</v>
      </c>
      <c r="F1006" s="20" t="str">
        <f t="shared" ca="1" si="173"/>
        <v>No</v>
      </c>
      <c r="G1006" s="21">
        <f t="shared" ca="1" si="169"/>
        <v>0</v>
      </c>
      <c r="H1006" s="21">
        <f t="shared" ca="1" si="170"/>
        <v>3074.1191243120288</v>
      </c>
      <c r="I1006" s="21">
        <f t="shared" ca="1" si="165"/>
        <v>3077.926996257776</v>
      </c>
      <c r="J1006" s="20">
        <f t="shared" ca="1" si="174"/>
        <v>2</v>
      </c>
      <c r="K1006" s="20">
        <f t="shared" ca="1" si="166"/>
        <v>0</v>
      </c>
      <c r="L1006" s="44">
        <f t="shared" ca="1" si="171"/>
        <v>1</v>
      </c>
    </row>
    <row r="1007" spans="1:12" x14ac:dyDescent="0.25">
      <c r="A1007" s="20">
        <v>999</v>
      </c>
      <c r="B1007" s="21">
        <f t="shared" ca="1" si="167"/>
        <v>14.128547129597589</v>
      </c>
      <c r="C1007" s="21">
        <f t="shared" ca="1" si="172"/>
        <v>3087.9327469842174</v>
      </c>
      <c r="D1007" s="21">
        <f t="shared" ca="1" si="168"/>
        <v>1.1433178052410324</v>
      </c>
      <c r="E1007" s="21">
        <f t="shared" ca="1" si="175"/>
        <v>0</v>
      </c>
      <c r="F1007" s="20" t="str">
        <f t="shared" ca="1" si="173"/>
        <v>Yes</v>
      </c>
      <c r="G1007" s="21">
        <f t="shared" ca="1" si="169"/>
        <v>10.00575072644142</v>
      </c>
      <c r="H1007" s="21">
        <f t="shared" ca="1" si="170"/>
        <v>3087.9327469842174</v>
      </c>
      <c r="I1007" s="21">
        <f t="shared" ca="1" si="165"/>
        <v>3089.0760647894585</v>
      </c>
      <c r="J1007" s="20">
        <f t="shared" ca="1" si="174"/>
        <v>0</v>
      </c>
      <c r="K1007" s="20">
        <f t="shared" ca="1" si="166"/>
        <v>1</v>
      </c>
      <c r="L1007" s="44">
        <f t="shared" ca="1" si="171"/>
        <v>0.5</v>
      </c>
    </row>
    <row r="1008" spans="1:12" x14ac:dyDescent="0.25">
      <c r="A1008" s="20">
        <v>1000</v>
      </c>
      <c r="B1008" s="21">
        <f t="shared" ca="1" si="167"/>
        <v>1.0352603217404319</v>
      </c>
      <c r="C1008" s="21">
        <f t="shared" ca="1" si="172"/>
        <v>3088.9680073059576</v>
      </c>
      <c r="D1008" s="21">
        <f t="shared" ca="1" si="168"/>
        <v>0.70091725449225328</v>
      </c>
      <c r="E1008" s="21">
        <f t="shared" ca="1" si="175"/>
        <v>0.10805748350094291</v>
      </c>
      <c r="F1008" s="20" t="str">
        <f t="shared" ca="1" si="173"/>
        <v>No</v>
      </c>
      <c r="G1008" s="21">
        <f t="shared" ca="1" si="169"/>
        <v>0</v>
      </c>
      <c r="H1008" s="21">
        <f t="shared" ca="1" si="170"/>
        <v>3089.0760647894585</v>
      </c>
      <c r="I1008" s="21">
        <f t="shared" ca="1" si="165"/>
        <v>3089.7769820439507</v>
      </c>
      <c r="J1008" s="20">
        <f t="shared" ca="1" si="174"/>
        <v>2</v>
      </c>
      <c r="K1008" s="20">
        <f t="shared" ca="1" si="166"/>
        <v>0</v>
      </c>
      <c r="L1008" s="44">
        <f t="shared" ca="1" si="171"/>
        <v>1</v>
      </c>
    </row>
    <row r="1009" spans="1:12" x14ac:dyDescent="0.25">
      <c r="A1009" s="20">
        <v>1001</v>
      </c>
      <c r="B1009" s="21">
        <f t="shared" ca="1" si="167"/>
        <v>5.9088551772385189</v>
      </c>
      <c r="C1009" s="21">
        <f t="shared" ca="1" si="172"/>
        <v>3094.876862483196</v>
      </c>
      <c r="D1009" s="21">
        <f t="shared" ca="1" si="168"/>
        <v>0.59595154542948114</v>
      </c>
      <c r="E1009" s="21">
        <f t="shared" ca="1" si="175"/>
        <v>0</v>
      </c>
      <c r="F1009" s="20" t="str">
        <f t="shared" ca="1" si="173"/>
        <v>Yes</v>
      </c>
      <c r="G1009" s="21">
        <f t="shared" ca="1" si="169"/>
        <v>5.0998804392452257</v>
      </c>
      <c r="H1009" s="21">
        <f t="shared" ca="1" si="170"/>
        <v>3094.876862483196</v>
      </c>
      <c r="I1009" s="21">
        <f t="shared" ca="1" si="165"/>
        <v>3095.4728140286256</v>
      </c>
      <c r="J1009" s="20">
        <f t="shared" ca="1" si="174"/>
        <v>0</v>
      </c>
      <c r="K1009" s="20">
        <f t="shared" ca="1" si="166"/>
        <v>0</v>
      </c>
      <c r="L1009" s="44">
        <f t="shared" ca="1" si="171"/>
        <v>0</v>
      </c>
    </row>
    <row r="1010" spans="1:12" x14ac:dyDescent="0.25">
      <c r="A1010" s="20">
        <v>1002</v>
      </c>
      <c r="B1010" s="21">
        <f t="shared" ca="1" si="167"/>
        <v>1.514900775097308</v>
      </c>
      <c r="C1010" s="21">
        <f t="shared" ca="1" si="172"/>
        <v>3096.3917632582934</v>
      </c>
      <c r="D1010" s="21">
        <f t="shared" ca="1" si="168"/>
        <v>1.1202452966558785</v>
      </c>
      <c r="E1010" s="21">
        <f t="shared" ca="1" si="175"/>
        <v>0</v>
      </c>
      <c r="F1010" s="20" t="str">
        <f t="shared" ca="1" si="173"/>
        <v>Yes</v>
      </c>
      <c r="G1010" s="21">
        <f t="shared" ca="1" si="169"/>
        <v>0.91894922966775994</v>
      </c>
      <c r="H1010" s="21">
        <f t="shared" ca="1" si="170"/>
        <v>3096.3917632582934</v>
      </c>
      <c r="I1010" s="21">
        <f t="shared" ca="1" si="165"/>
        <v>3097.5120085549493</v>
      </c>
      <c r="J1010" s="20">
        <f t="shared" ca="1" si="174"/>
        <v>0</v>
      </c>
      <c r="K1010" s="20">
        <f t="shared" ca="1" si="166"/>
        <v>0</v>
      </c>
      <c r="L1010" s="44">
        <f t="shared" ca="1" si="171"/>
        <v>0</v>
      </c>
    </row>
    <row r="1011" spans="1:12" x14ac:dyDescent="0.25">
      <c r="A1011" s="20">
        <v>1003</v>
      </c>
      <c r="B1011" s="21">
        <f t="shared" ca="1" si="167"/>
        <v>3.7410590973317119</v>
      </c>
      <c r="C1011" s="21">
        <f t="shared" ca="1" si="172"/>
        <v>3100.1328223556252</v>
      </c>
      <c r="D1011" s="21">
        <f t="shared" ca="1" si="168"/>
        <v>0.93327348481393324</v>
      </c>
      <c r="E1011" s="21">
        <f t="shared" ca="1" si="175"/>
        <v>0</v>
      </c>
      <c r="F1011" s="20" t="str">
        <f t="shared" ca="1" si="173"/>
        <v>Yes</v>
      </c>
      <c r="G1011" s="21">
        <f t="shared" ca="1" si="169"/>
        <v>2.6208138006759327</v>
      </c>
      <c r="H1011" s="21">
        <f t="shared" ca="1" si="170"/>
        <v>3100.1328223556252</v>
      </c>
      <c r="I1011" s="21">
        <f t="shared" ca="1" si="165"/>
        <v>3101.0660958404392</v>
      </c>
      <c r="J1011" s="20">
        <f t="shared" ca="1" si="174"/>
        <v>0</v>
      </c>
      <c r="K1011" s="20">
        <f t="shared" ca="1" si="166"/>
        <v>0</v>
      </c>
      <c r="L1011" s="44">
        <f t="shared" ca="1" si="171"/>
        <v>0</v>
      </c>
    </row>
    <row r="1012" spans="1:12" x14ac:dyDescent="0.25">
      <c r="A1012" s="20">
        <v>1004</v>
      </c>
      <c r="B1012" s="21">
        <f t="shared" ca="1" si="167"/>
        <v>1.560024502501024</v>
      </c>
      <c r="C1012" s="21">
        <f t="shared" ca="1" si="172"/>
        <v>3101.6928468581264</v>
      </c>
      <c r="D1012" s="21">
        <f t="shared" ca="1" si="168"/>
        <v>0.21992098725736517</v>
      </c>
      <c r="E1012" s="21">
        <f t="shared" ca="1" si="175"/>
        <v>0</v>
      </c>
      <c r="F1012" s="20" t="str">
        <f t="shared" ca="1" si="173"/>
        <v>Yes</v>
      </c>
      <c r="G1012" s="21">
        <f t="shared" ca="1" si="169"/>
        <v>0.62675101768718378</v>
      </c>
      <c r="H1012" s="21">
        <f t="shared" ca="1" si="170"/>
        <v>3101.6928468581264</v>
      </c>
      <c r="I1012" s="21">
        <f t="shared" ca="1" si="165"/>
        <v>3101.9127678453838</v>
      </c>
      <c r="J1012" s="20">
        <f t="shared" ca="1" si="174"/>
        <v>0</v>
      </c>
      <c r="K1012" s="20">
        <f t="shared" ca="1" si="166"/>
        <v>0</v>
      </c>
      <c r="L1012" s="44">
        <f t="shared" ca="1" si="171"/>
        <v>0</v>
      </c>
    </row>
    <row r="1013" spans="1:12" x14ac:dyDescent="0.25">
      <c r="A1013" s="20">
        <v>1005</v>
      </c>
      <c r="B1013" s="21">
        <f t="shared" ca="1" si="167"/>
        <v>2.6328205409690022</v>
      </c>
      <c r="C1013" s="21">
        <f t="shared" ca="1" si="172"/>
        <v>3104.3256673990954</v>
      </c>
      <c r="D1013" s="21">
        <f t="shared" ca="1" si="168"/>
        <v>2.9290017542736666</v>
      </c>
      <c r="E1013" s="21">
        <f t="shared" ca="1" si="175"/>
        <v>0</v>
      </c>
      <c r="F1013" s="20" t="str">
        <f t="shared" ca="1" si="173"/>
        <v>Yes</v>
      </c>
      <c r="G1013" s="21">
        <f t="shared" ca="1" si="169"/>
        <v>2.412899553711668</v>
      </c>
      <c r="H1013" s="21">
        <f t="shared" ca="1" si="170"/>
        <v>3104.3256673990954</v>
      </c>
      <c r="I1013" s="21">
        <f t="shared" ca="1" si="165"/>
        <v>3107.2546691533689</v>
      </c>
      <c r="J1013" s="20">
        <f t="shared" ca="1" si="174"/>
        <v>0</v>
      </c>
      <c r="K1013" s="20">
        <f t="shared" ca="1" si="166"/>
        <v>0</v>
      </c>
      <c r="L1013" s="44">
        <f t="shared" ca="1" si="171"/>
        <v>0</v>
      </c>
    </row>
    <row r="1014" spans="1:12" x14ac:dyDescent="0.25">
      <c r="A1014" s="20">
        <v>1006</v>
      </c>
      <c r="B1014" s="21">
        <f t="shared" ca="1" si="167"/>
        <v>8.2351876085996683</v>
      </c>
      <c r="C1014" s="21">
        <f t="shared" ca="1" si="172"/>
        <v>3112.560855007695</v>
      </c>
      <c r="D1014" s="21">
        <f t="shared" ca="1" si="168"/>
        <v>0.23455553753373529</v>
      </c>
      <c r="E1014" s="21">
        <f t="shared" ca="1" si="175"/>
        <v>0</v>
      </c>
      <c r="F1014" s="20" t="str">
        <f t="shared" ca="1" si="173"/>
        <v>Yes</v>
      </c>
      <c r="G1014" s="21">
        <f t="shared" ca="1" si="169"/>
        <v>5.3061858543260314</v>
      </c>
      <c r="H1014" s="21">
        <f t="shared" ca="1" si="170"/>
        <v>3112.560855007695</v>
      </c>
      <c r="I1014" s="21">
        <f t="shared" ca="1" si="165"/>
        <v>3112.7954105452286</v>
      </c>
      <c r="J1014" s="20">
        <f t="shared" ca="1" si="174"/>
        <v>0</v>
      </c>
      <c r="K1014" s="20">
        <f t="shared" ca="1" si="166"/>
        <v>0</v>
      </c>
      <c r="L1014" s="44">
        <f t="shared" ca="1" si="171"/>
        <v>0</v>
      </c>
    </row>
    <row r="1015" spans="1:12" x14ac:dyDescent="0.25">
      <c r="A1015" s="20">
        <v>1007</v>
      </c>
      <c r="B1015" s="21">
        <f t="shared" ca="1" si="167"/>
        <v>4.1489951667540446</v>
      </c>
      <c r="C1015" s="21">
        <f t="shared" ca="1" si="172"/>
        <v>3116.709850174449</v>
      </c>
      <c r="D1015" s="21">
        <f t="shared" ca="1" si="168"/>
        <v>5.674046957588301E-2</v>
      </c>
      <c r="E1015" s="21">
        <f t="shared" ca="1" si="175"/>
        <v>0</v>
      </c>
      <c r="F1015" s="20" t="str">
        <f t="shared" ca="1" si="173"/>
        <v>Yes</v>
      </c>
      <c r="G1015" s="21">
        <f t="shared" ca="1" si="169"/>
        <v>3.9144396292203965</v>
      </c>
      <c r="H1015" s="21">
        <f t="shared" ca="1" si="170"/>
        <v>3116.709850174449</v>
      </c>
      <c r="I1015" s="21">
        <f t="shared" ca="1" si="165"/>
        <v>3116.7665906440247</v>
      </c>
      <c r="J1015" s="20">
        <f t="shared" ca="1" si="174"/>
        <v>0</v>
      </c>
      <c r="K1015" s="20">
        <f t="shared" ca="1" si="166"/>
        <v>0</v>
      </c>
      <c r="L1015" s="44">
        <f t="shared" ca="1" si="171"/>
        <v>0</v>
      </c>
    </row>
    <row r="1016" spans="1:12" x14ac:dyDescent="0.25">
      <c r="A1016" s="20">
        <v>1008</v>
      </c>
      <c r="B1016" s="21">
        <f t="shared" ca="1" si="167"/>
        <v>9.4464648425703217</v>
      </c>
      <c r="C1016" s="21">
        <f t="shared" ca="1" si="172"/>
        <v>3126.1563150170196</v>
      </c>
      <c r="D1016" s="21">
        <f t="shared" ca="1" si="168"/>
        <v>4.4112794421308461</v>
      </c>
      <c r="E1016" s="21">
        <f t="shared" ca="1" si="175"/>
        <v>0</v>
      </c>
      <c r="F1016" s="20" t="str">
        <f t="shared" ca="1" si="173"/>
        <v>Yes</v>
      </c>
      <c r="G1016" s="21">
        <f t="shared" ca="1" si="169"/>
        <v>9.3897243729948059</v>
      </c>
      <c r="H1016" s="21">
        <f t="shared" ca="1" si="170"/>
        <v>3126.1563150170196</v>
      </c>
      <c r="I1016" s="21">
        <f t="shared" ca="1" si="165"/>
        <v>3130.5675944591503</v>
      </c>
      <c r="J1016" s="20">
        <f t="shared" ca="1" si="174"/>
        <v>0</v>
      </c>
      <c r="K1016" s="20">
        <f t="shared" ca="1" si="166"/>
        <v>0</v>
      </c>
      <c r="L1016" s="44">
        <f t="shared" ca="1" si="171"/>
        <v>0</v>
      </c>
    </row>
    <row r="1017" spans="1:12" x14ac:dyDescent="0.25">
      <c r="A1017" s="20">
        <v>1009</v>
      </c>
      <c r="B1017" s="21">
        <f t="shared" ca="1" si="167"/>
        <v>4.7743775605593681</v>
      </c>
      <c r="C1017" s="21">
        <f t="shared" ca="1" si="172"/>
        <v>3130.9306925775791</v>
      </c>
      <c r="D1017" s="21">
        <f t="shared" ca="1" si="168"/>
        <v>2.8199005247439195</v>
      </c>
      <c r="E1017" s="21">
        <f t="shared" ca="1" si="175"/>
        <v>0</v>
      </c>
      <c r="F1017" s="20" t="str">
        <f t="shared" ca="1" si="173"/>
        <v>Yes</v>
      </c>
      <c r="G1017" s="21">
        <f t="shared" ca="1" si="169"/>
        <v>0.36309811842875206</v>
      </c>
      <c r="H1017" s="21">
        <f t="shared" ca="1" si="170"/>
        <v>3130.9306925775791</v>
      </c>
      <c r="I1017" s="21">
        <f t="shared" ca="1" si="165"/>
        <v>3133.7505931023229</v>
      </c>
      <c r="J1017" s="20">
        <f t="shared" ca="1" si="174"/>
        <v>0</v>
      </c>
      <c r="K1017" s="20">
        <f t="shared" ca="1" si="166"/>
        <v>0</v>
      </c>
      <c r="L1017" s="44">
        <f t="shared" ca="1" si="171"/>
        <v>0</v>
      </c>
    </row>
    <row r="1018" spans="1:12" x14ac:dyDescent="0.25">
      <c r="A1018" s="20">
        <v>1010</v>
      </c>
      <c r="B1018" s="21">
        <f t="shared" ca="1" si="167"/>
        <v>3.5541623856003755</v>
      </c>
      <c r="C1018" s="21">
        <f t="shared" ca="1" si="172"/>
        <v>3134.4848549631793</v>
      </c>
      <c r="D1018" s="21">
        <f t="shared" ca="1" si="168"/>
        <v>2.8853824743253043</v>
      </c>
      <c r="E1018" s="21">
        <f t="shared" ca="1" si="175"/>
        <v>0</v>
      </c>
      <c r="F1018" s="20" t="str">
        <f t="shared" ca="1" si="173"/>
        <v>Yes</v>
      </c>
      <c r="G1018" s="21">
        <f t="shared" ca="1" si="169"/>
        <v>0.73426186085634981</v>
      </c>
      <c r="H1018" s="21">
        <f t="shared" ca="1" si="170"/>
        <v>3134.4848549631793</v>
      </c>
      <c r="I1018" s="21">
        <f t="shared" ca="1" si="165"/>
        <v>3137.3702374375048</v>
      </c>
      <c r="J1018" s="20">
        <f t="shared" ca="1" si="174"/>
        <v>0</v>
      </c>
      <c r="K1018" s="20">
        <f t="shared" ca="1" si="166"/>
        <v>0</v>
      </c>
      <c r="L1018" s="44">
        <f t="shared" ca="1" si="171"/>
        <v>0</v>
      </c>
    </row>
    <row r="1019" spans="1:12" x14ac:dyDescent="0.25">
      <c r="A1019" s="20">
        <v>1011</v>
      </c>
      <c r="B1019" s="21">
        <f t="shared" ca="1" si="167"/>
        <v>6.2847169154565661</v>
      </c>
      <c r="C1019" s="21">
        <f t="shared" ca="1" si="172"/>
        <v>3140.7695718786358</v>
      </c>
      <c r="D1019" s="21">
        <f t="shared" ca="1" si="168"/>
        <v>1.4154359714547922</v>
      </c>
      <c r="E1019" s="21">
        <f t="shared" ca="1" si="175"/>
        <v>0</v>
      </c>
      <c r="F1019" s="20" t="str">
        <f t="shared" ca="1" si="173"/>
        <v>Yes</v>
      </c>
      <c r="G1019" s="21">
        <f t="shared" ca="1" si="169"/>
        <v>3.3993344411310318</v>
      </c>
      <c r="H1019" s="21">
        <f t="shared" ca="1" si="170"/>
        <v>3140.7695718786358</v>
      </c>
      <c r="I1019" s="21">
        <f t="shared" ca="1" si="165"/>
        <v>3142.1850078500906</v>
      </c>
      <c r="J1019" s="20">
        <f t="shared" ca="1" si="174"/>
        <v>0</v>
      </c>
      <c r="K1019" s="20">
        <f t="shared" ca="1" si="166"/>
        <v>0</v>
      </c>
      <c r="L1019" s="44">
        <f t="shared" ca="1" si="171"/>
        <v>0</v>
      </c>
    </row>
    <row r="1020" spans="1:12" x14ac:dyDescent="0.25">
      <c r="A1020" s="20">
        <v>1012</v>
      </c>
      <c r="B1020" s="21">
        <f t="shared" ca="1" si="167"/>
        <v>3.354009873996576</v>
      </c>
      <c r="C1020" s="21">
        <f t="shared" ca="1" si="172"/>
        <v>3144.1235817526326</v>
      </c>
      <c r="D1020" s="21">
        <f t="shared" ca="1" si="168"/>
        <v>0.12023987147494614</v>
      </c>
      <c r="E1020" s="21">
        <f t="shared" ca="1" si="175"/>
        <v>0</v>
      </c>
      <c r="F1020" s="20" t="str">
        <f t="shared" ca="1" si="173"/>
        <v>Yes</v>
      </c>
      <c r="G1020" s="21">
        <f t="shared" ca="1" si="169"/>
        <v>1.9385739025419753</v>
      </c>
      <c r="H1020" s="21">
        <f t="shared" ca="1" si="170"/>
        <v>3144.1235817526326</v>
      </c>
      <c r="I1020" s="21">
        <f t="shared" ca="1" si="165"/>
        <v>3144.2438216241076</v>
      </c>
      <c r="J1020" s="20">
        <f t="shared" ca="1" si="174"/>
        <v>0</v>
      </c>
      <c r="K1020" s="20">
        <f t="shared" ca="1" si="166"/>
        <v>0</v>
      </c>
      <c r="L1020" s="44">
        <f t="shared" ca="1" si="171"/>
        <v>0</v>
      </c>
    </row>
    <row r="1021" spans="1:12" x14ac:dyDescent="0.25">
      <c r="A1021" s="20">
        <v>1013</v>
      </c>
      <c r="B1021" s="21">
        <f t="shared" ca="1" si="167"/>
        <v>2.0452171319841255</v>
      </c>
      <c r="C1021" s="21">
        <f t="shared" ca="1" si="172"/>
        <v>3146.1687988846165</v>
      </c>
      <c r="D1021" s="21">
        <f t="shared" ca="1" si="168"/>
        <v>2.8035343998149687</v>
      </c>
      <c r="E1021" s="21">
        <f t="shared" ca="1" si="175"/>
        <v>0</v>
      </c>
      <c r="F1021" s="20" t="str">
        <f t="shared" ca="1" si="173"/>
        <v>Yes</v>
      </c>
      <c r="G1021" s="21">
        <f t="shared" ca="1" si="169"/>
        <v>1.9249772605089674</v>
      </c>
      <c r="H1021" s="21">
        <f t="shared" ca="1" si="170"/>
        <v>3146.1687988846165</v>
      </c>
      <c r="I1021" s="21">
        <f t="shared" ca="1" si="165"/>
        <v>3148.9723332844314</v>
      </c>
      <c r="J1021" s="20">
        <f t="shared" ca="1" si="174"/>
        <v>0</v>
      </c>
      <c r="K1021" s="20">
        <f t="shared" ca="1" si="166"/>
        <v>2</v>
      </c>
      <c r="L1021" s="44">
        <f t="shared" ca="1" si="171"/>
        <v>1</v>
      </c>
    </row>
    <row r="1022" spans="1:12" x14ac:dyDescent="0.25">
      <c r="A1022" s="20">
        <v>1014</v>
      </c>
      <c r="B1022" s="21">
        <f t="shared" ca="1" si="167"/>
        <v>1.6396689947284477</v>
      </c>
      <c r="C1022" s="21">
        <f t="shared" ca="1" si="172"/>
        <v>3147.8084678793448</v>
      </c>
      <c r="D1022" s="21">
        <f t="shared" ca="1" si="168"/>
        <v>4.3777267264600779</v>
      </c>
      <c r="E1022" s="21">
        <f t="shared" ca="1" si="175"/>
        <v>1.1638654050866535</v>
      </c>
      <c r="F1022" s="20" t="str">
        <f t="shared" ca="1" si="173"/>
        <v>No</v>
      </c>
      <c r="G1022" s="21">
        <f t="shared" ca="1" si="169"/>
        <v>0</v>
      </c>
      <c r="H1022" s="21">
        <f t="shared" ca="1" si="170"/>
        <v>3148.9723332844314</v>
      </c>
      <c r="I1022" s="21">
        <f t="shared" ca="1" si="165"/>
        <v>3153.3500600108914</v>
      </c>
      <c r="J1022" s="20">
        <f t="shared" ca="1" si="174"/>
        <v>3</v>
      </c>
      <c r="K1022" s="20">
        <f t="shared" ca="1" si="166"/>
        <v>3</v>
      </c>
      <c r="L1022" s="44">
        <f t="shared" ca="1" si="171"/>
        <v>3</v>
      </c>
    </row>
    <row r="1023" spans="1:12" x14ac:dyDescent="0.25">
      <c r="A1023" s="20">
        <v>1015</v>
      </c>
      <c r="B1023" s="21">
        <f t="shared" ca="1" si="167"/>
        <v>0.83630749324396747</v>
      </c>
      <c r="C1023" s="21">
        <f t="shared" ca="1" si="172"/>
        <v>3148.6447753725888</v>
      </c>
      <c r="D1023" s="21">
        <f t="shared" ca="1" si="168"/>
        <v>2.9498216542415272</v>
      </c>
      <c r="E1023" s="21">
        <f t="shared" ca="1" si="175"/>
        <v>4.7052846383026008</v>
      </c>
      <c r="F1023" s="20" t="str">
        <f t="shared" ca="1" si="173"/>
        <v>No</v>
      </c>
      <c r="G1023" s="21">
        <f t="shared" ca="1" si="169"/>
        <v>0</v>
      </c>
      <c r="H1023" s="21">
        <f t="shared" ca="1" si="170"/>
        <v>3153.3500600108914</v>
      </c>
      <c r="I1023" s="21">
        <f t="shared" ca="1" si="165"/>
        <v>3156.2998816651329</v>
      </c>
      <c r="J1023" s="20">
        <f t="shared" ca="1" si="174"/>
        <v>4</v>
      </c>
      <c r="K1023" s="20">
        <f t="shared" ca="1" si="166"/>
        <v>2</v>
      </c>
      <c r="L1023" s="44">
        <f t="shared" ca="1" si="171"/>
        <v>3</v>
      </c>
    </row>
    <row r="1024" spans="1:12" x14ac:dyDescent="0.25">
      <c r="A1024" s="20">
        <v>1016</v>
      </c>
      <c r="B1024" s="21">
        <f t="shared" ca="1" si="167"/>
        <v>1.0836312323605031</v>
      </c>
      <c r="C1024" s="21">
        <f t="shared" ca="1" si="172"/>
        <v>3149.7284066049492</v>
      </c>
      <c r="D1024" s="21">
        <f t="shared" ca="1" si="168"/>
        <v>0.8516018643819282</v>
      </c>
      <c r="E1024" s="21">
        <f t="shared" ca="1" si="175"/>
        <v>6.5714750601837295</v>
      </c>
      <c r="F1024" s="20" t="str">
        <f t="shared" ca="1" si="173"/>
        <v>No</v>
      </c>
      <c r="G1024" s="21">
        <f t="shared" ca="1" si="169"/>
        <v>0</v>
      </c>
      <c r="H1024" s="21">
        <f t="shared" ca="1" si="170"/>
        <v>3156.2998816651329</v>
      </c>
      <c r="I1024" s="21">
        <f t="shared" ca="1" si="165"/>
        <v>3157.1514835295147</v>
      </c>
      <c r="J1024" s="20">
        <f t="shared" ca="1" si="174"/>
        <v>3</v>
      </c>
      <c r="K1024" s="20">
        <f t="shared" ca="1" si="166"/>
        <v>2</v>
      </c>
      <c r="L1024" s="44">
        <f t="shared" ca="1" si="171"/>
        <v>2.5</v>
      </c>
    </row>
    <row r="1025" spans="1:12" x14ac:dyDescent="0.25">
      <c r="A1025" s="20">
        <v>1017</v>
      </c>
      <c r="B1025" s="21">
        <f t="shared" ca="1" si="167"/>
        <v>0.76568296373099431</v>
      </c>
      <c r="C1025" s="21">
        <f t="shared" ca="1" si="172"/>
        <v>3150.49408956868</v>
      </c>
      <c r="D1025" s="21">
        <f t="shared" ca="1" si="168"/>
        <v>2.1869608471374717</v>
      </c>
      <c r="E1025" s="21">
        <f t="shared" ca="1" si="175"/>
        <v>6.6573939608347246</v>
      </c>
      <c r="F1025" s="20" t="str">
        <f t="shared" ca="1" si="173"/>
        <v>No</v>
      </c>
      <c r="G1025" s="21">
        <f t="shared" ca="1" si="169"/>
        <v>0</v>
      </c>
      <c r="H1025" s="21">
        <f t="shared" ca="1" si="170"/>
        <v>3157.1514835295147</v>
      </c>
      <c r="I1025" s="21">
        <f t="shared" ca="1" si="165"/>
        <v>3159.3384443766522</v>
      </c>
      <c r="J1025" s="20">
        <f t="shared" ca="1" si="174"/>
        <v>3</v>
      </c>
      <c r="K1025" s="20">
        <f t="shared" ca="1" si="166"/>
        <v>2</v>
      </c>
      <c r="L1025" s="44">
        <f t="shared" ca="1" si="171"/>
        <v>2.5</v>
      </c>
    </row>
    <row r="1026" spans="1:12" x14ac:dyDescent="0.25">
      <c r="A1026" s="20">
        <v>1018</v>
      </c>
      <c r="B1026" s="21">
        <f t="shared" ca="1" si="167"/>
        <v>6.3034937995632569</v>
      </c>
      <c r="C1026" s="21">
        <f t="shared" ca="1" si="172"/>
        <v>3156.7975833682431</v>
      </c>
      <c r="D1026" s="21">
        <f t="shared" ca="1" si="168"/>
        <v>3.2942451819480714</v>
      </c>
      <c r="E1026" s="21">
        <f t="shared" ca="1" si="175"/>
        <v>2.5408610084091379</v>
      </c>
      <c r="F1026" s="20" t="str">
        <f t="shared" ca="1" si="173"/>
        <v>No</v>
      </c>
      <c r="G1026" s="21">
        <f t="shared" ca="1" si="169"/>
        <v>0</v>
      </c>
      <c r="H1026" s="21">
        <f t="shared" ca="1" si="170"/>
        <v>3159.3384443766522</v>
      </c>
      <c r="I1026" s="21">
        <f t="shared" ca="1" si="165"/>
        <v>3162.6326895586003</v>
      </c>
      <c r="J1026" s="20">
        <f t="shared" ca="1" si="174"/>
        <v>3</v>
      </c>
      <c r="K1026" s="20">
        <f t="shared" ca="1" si="166"/>
        <v>3</v>
      </c>
      <c r="L1026" s="44">
        <f t="shared" ca="1" si="171"/>
        <v>3</v>
      </c>
    </row>
    <row r="1027" spans="1:12" x14ac:dyDescent="0.25">
      <c r="A1027" s="20">
        <v>1019</v>
      </c>
      <c r="B1027" s="21">
        <f t="shared" ca="1" si="167"/>
        <v>0.90625718942083477</v>
      </c>
      <c r="C1027" s="21">
        <f t="shared" ca="1" si="172"/>
        <v>3157.7038405576641</v>
      </c>
      <c r="D1027" s="21">
        <f t="shared" ca="1" si="168"/>
        <v>2.4307938332439938</v>
      </c>
      <c r="E1027" s="21">
        <f t="shared" ca="1" si="175"/>
        <v>4.9288490009362249</v>
      </c>
      <c r="F1027" s="20" t="str">
        <f t="shared" ca="1" si="173"/>
        <v>No</v>
      </c>
      <c r="G1027" s="21">
        <f t="shared" ca="1" si="169"/>
        <v>0</v>
      </c>
      <c r="H1027" s="21">
        <f t="shared" ca="1" si="170"/>
        <v>3162.6326895586003</v>
      </c>
      <c r="I1027" s="21">
        <f t="shared" ca="1" si="165"/>
        <v>3165.0634833918443</v>
      </c>
      <c r="J1027" s="20">
        <f t="shared" ca="1" si="174"/>
        <v>4</v>
      </c>
      <c r="K1027" s="20">
        <f t="shared" ca="1" si="166"/>
        <v>4</v>
      </c>
      <c r="L1027" s="44">
        <f t="shared" ca="1" si="171"/>
        <v>4</v>
      </c>
    </row>
    <row r="1028" spans="1:12" x14ac:dyDescent="0.25">
      <c r="A1028" s="20">
        <v>1020</v>
      </c>
      <c r="B1028" s="21">
        <f t="shared" ca="1" si="167"/>
        <v>2.8608419062554109</v>
      </c>
      <c r="C1028" s="21">
        <f t="shared" ca="1" si="172"/>
        <v>3160.5646824639193</v>
      </c>
      <c r="D1028" s="21">
        <f t="shared" ca="1" si="168"/>
        <v>3.9319829651147131</v>
      </c>
      <c r="E1028" s="21">
        <f t="shared" ca="1" si="175"/>
        <v>4.4988009279250036</v>
      </c>
      <c r="F1028" s="20" t="str">
        <f t="shared" ca="1" si="173"/>
        <v>No</v>
      </c>
      <c r="G1028" s="21">
        <f t="shared" ca="1" si="169"/>
        <v>0</v>
      </c>
      <c r="H1028" s="21">
        <f t="shared" ca="1" si="170"/>
        <v>3165.0634833918443</v>
      </c>
      <c r="I1028" s="21">
        <f t="shared" ca="1" si="165"/>
        <v>3168.9954663569592</v>
      </c>
      <c r="J1028" s="20">
        <f t="shared" ca="1" si="174"/>
        <v>5</v>
      </c>
      <c r="K1028" s="20">
        <f t="shared" ca="1" si="166"/>
        <v>5</v>
      </c>
      <c r="L1028" s="44">
        <f t="shared" ca="1" si="171"/>
        <v>5</v>
      </c>
    </row>
    <row r="1029" spans="1:12" x14ac:dyDescent="0.25">
      <c r="A1029" s="20">
        <v>1021</v>
      </c>
      <c r="B1029" s="21">
        <f t="shared" ca="1" si="167"/>
        <v>0.32479669037487618</v>
      </c>
      <c r="C1029" s="21">
        <f t="shared" ca="1" si="172"/>
        <v>3160.8894791542943</v>
      </c>
      <c r="D1029" s="21">
        <f t="shared" ca="1" si="168"/>
        <v>1.360082186037429</v>
      </c>
      <c r="E1029" s="21">
        <f t="shared" ca="1" si="175"/>
        <v>8.1059872026648918</v>
      </c>
      <c r="F1029" s="20" t="str">
        <f t="shared" ca="1" si="173"/>
        <v>No</v>
      </c>
      <c r="G1029" s="21">
        <f t="shared" ca="1" si="169"/>
        <v>0</v>
      </c>
      <c r="H1029" s="21">
        <f t="shared" ca="1" si="170"/>
        <v>3168.9954663569592</v>
      </c>
      <c r="I1029" s="21">
        <f t="shared" ca="1" si="165"/>
        <v>3170.3555485429965</v>
      </c>
      <c r="J1029" s="20">
        <f t="shared" ca="1" si="174"/>
        <v>6</v>
      </c>
      <c r="K1029" s="20">
        <f t="shared" ca="1" si="166"/>
        <v>5</v>
      </c>
      <c r="L1029" s="44">
        <f t="shared" ca="1" si="171"/>
        <v>5.5</v>
      </c>
    </row>
    <row r="1030" spans="1:12" x14ac:dyDescent="0.25">
      <c r="A1030" s="20">
        <v>1022</v>
      </c>
      <c r="B1030" s="21">
        <f t="shared" ca="1" si="167"/>
        <v>2.3029743455212239</v>
      </c>
      <c r="C1030" s="21">
        <f t="shared" ca="1" si="172"/>
        <v>3163.1924534998157</v>
      </c>
      <c r="D1030" s="21">
        <f t="shared" ca="1" si="168"/>
        <v>0.31671546062631073</v>
      </c>
      <c r="E1030" s="21">
        <f t="shared" ca="1" si="175"/>
        <v>7.1630950431808742</v>
      </c>
      <c r="F1030" s="20" t="str">
        <f t="shared" ca="1" si="173"/>
        <v>No</v>
      </c>
      <c r="G1030" s="21">
        <f t="shared" ca="1" si="169"/>
        <v>0</v>
      </c>
      <c r="H1030" s="21">
        <f t="shared" ca="1" si="170"/>
        <v>3170.3555485429965</v>
      </c>
      <c r="I1030" s="21">
        <f t="shared" ca="1" si="165"/>
        <v>3170.6722640036228</v>
      </c>
      <c r="J1030" s="20">
        <f t="shared" ca="1" si="174"/>
        <v>6</v>
      </c>
      <c r="K1030" s="20">
        <f t="shared" ca="1" si="166"/>
        <v>4</v>
      </c>
      <c r="L1030" s="44">
        <f t="shared" ca="1" si="171"/>
        <v>5</v>
      </c>
    </row>
    <row r="1031" spans="1:12" x14ac:dyDescent="0.25">
      <c r="A1031" s="20">
        <v>1023</v>
      </c>
      <c r="B1031" s="21">
        <f t="shared" ca="1" si="167"/>
        <v>1.7714850946345573</v>
      </c>
      <c r="C1031" s="21">
        <f t="shared" ca="1" si="172"/>
        <v>3164.9639385944502</v>
      </c>
      <c r="D1031" s="21">
        <f t="shared" ca="1" si="168"/>
        <v>1.3714456340407157</v>
      </c>
      <c r="E1031" s="21">
        <f t="shared" ca="1" si="175"/>
        <v>5.7083254091726303</v>
      </c>
      <c r="F1031" s="20" t="str">
        <f t="shared" ca="1" si="173"/>
        <v>No</v>
      </c>
      <c r="G1031" s="21">
        <f t="shared" ca="1" si="169"/>
        <v>0</v>
      </c>
      <c r="H1031" s="21">
        <f t="shared" ca="1" si="170"/>
        <v>3170.6722640036228</v>
      </c>
      <c r="I1031" s="21">
        <f t="shared" ca="1" si="165"/>
        <v>3172.0437096376636</v>
      </c>
      <c r="J1031" s="20">
        <f t="shared" ca="1" si="174"/>
        <v>5</v>
      </c>
      <c r="K1031" s="20">
        <f t="shared" ca="1" si="166"/>
        <v>3</v>
      </c>
      <c r="L1031" s="44">
        <f t="shared" ca="1" si="171"/>
        <v>4</v>
      </c>
    </row>
    <row r="1032" spans="1:12" x14ac:dyDescent="0.25">
      <c r="A1032" s="20">
        <v>1024</v>
      </c>
      <c r="B1032" s="21">
        <f t="shared" ca="1" si="167"/>
        <v>1.3138098615526528</v>
      </c>
      <c r="C1032" s="21">
        <f t="shared" ca="1" si="172"/>
        <v>3166.2777484560029</v>
      </c>
      <c r="D1032" s="21">
        <f t="shared" ca="1" si="168"/>
        <v>1.1451134423878662</v>
      </c>
      <c r="E1032" s="21">
        <f t="shared" ca="1" si="175"/>
        <v>5.7659611816607139</v>
      </c>
      <c r="F1032" s="20" t="str">
        <f t="shared" ca="1" si="173"/>
        <v>No</v>
      </c>
      <c r="G1032" s="21">
        <f t="shared" ca="1" si="169"/>
        <v>0</v>
      </c>
      <c r="H1032" s="21">
        <f t="shared" ca="1" si="170"/>
        <v>3172.0437096376636</v>
      </c>
      <c r="I1032" s="21">
        <f t="shared" ca="1" si="165"/>
        <v>3173.1888230800514</v>
      </c>
      <c r="J1032" s="20">
        <f t="shared" ca="1" si="174"/>
        <v>4</v>
      </c>
      <c r="K1032" s="20">
        <f t="shared" ca="1" si="166"/>
        <v>3</v>
      </c>
      <c r="L1032" s="44">
        <f t="shared" ca="1" si="171"/>
        <v>3.5</v>
      </c>
    </row>
    <row r="1033" spans="1:12" x14ac:dyDescent="0.25">
      <c r="A1033" s="20">
        <v>1025</v>
      </c>
      <c r="B1033" s="21">
        <f t="shared" ca="1" si="167"/>
        <v>0.98408106255887817</v>
      </c>
      <c r="C1033" s="21">
        <f t="shared" ca="1" si="172"/>
        <v>3167.2618295185616</v>
      </c>
      <c r="D1033" s="21">
        <f t="shared" ca="1" si="168"/>
        <v>0.15985220408231915</v>
      </c>
      <c r="E1033" s="21">
        <f t="shared" ca="1" si="175"/>
        <v>5.9269935614897804</v>
      </c>
      <c r="F1033" s="20" t="str">
        <f t="shared" ca="1" si="173"/>
        <v>No</v>
      </c>
      <c r="G1033" s="21">
        <f t="shared" ca="1" si="169"/>
        <v>0</v>
      </c>
      <c r="H1033" s="21">
        <f t="shared" ca="1" si="170"/>
        <v>3173.1888230800514</v>
      </c>
      <c r="I1033" s="21">
        <f t="shared" ref="I1033:I1096" ca="1" si="176">$H1033+$D1033</f>
        <v>3173.3486752841336</v>
      </c>
      <c r="J1033" s="20">
        <f t="shared" ca="1" si="174"/>
        <v>4</v>
      </c>
      <c r="K1033" s="20">
        <f t="shared" ref="K1033:K1096" ca="1" si="177">IF($I1033&lt;=$C1034,0,IF($I1033&lt;=$C1035,1,IF($I1033&lt;=$C1036,2,IF($I1033&lt;=$C1037,3,IF($I1033&lt;=$C1038,4,5)))))</f>
        <v>2</v>
      </c>
      <c r="L1033" s="44">
        <f t="shared" ca="1" si="171"/>
        <v>3</v>
      </c>
    </row>
    <row r="1034" spans="1:12" x14ac:dyDescent="0.25">
      <c r="A1034" s="20">
        <v>1026</v>
      </c>
      <c r="B1034" s="21">
        <f t="shared" ref="B1034:B1097" ca="1" si="178">-LN(RAND())/$D$4</f>
        <v>2.6059629781656817</v>
      </c>
      <c r="C1034" s="21">
        <f t="shared" ca="1" si="172"/>
        <v>3169.8677924967274</v>
      </c>
      <c r="D1034" s="21">
        <f t="shared" ref="D1034:D1097" ca="1" si="179">-LN(RAND())/$D$6</f>
        <v>0.53070415554684169</v>
      </c>
      <c r="E1034" s="21">
        <f t="shared" ca="1" si="175"/>
        <v>3.4808827874062445</v>
      </c>
      <c r="F1034" s="20" t="str">
        <f t="shared" ca="1" si="173"/>
        <v>No</v>
      </c>
      <c r="G1034" s="21">
        <f t="shared" ref="G1034:G1097" ca="1" si="180">IF($I1033&lt;=$C1034,$C1034-$I1033,0)</f>
        <v>0</v>
      </c>
      <c r="H1034" s="21">
        <f t="shared" ref="H1034:H1097" ca="1" si="181">IF($I1033&lt;=$C1034,$C1034,$I1033)</f>
        <v>3173.3486752841336</v>
      </c>
      <c r="I1034" s="21">
        <f t="shared" ca="1" si="176"/>
        <v>3173.8793794396806</v>
      </c>
      <c r="J1034" s="20">
        <f t="shared" ca="1" si="174"/>
        <v>3</v>
      </c>
      <c r="K1034" s="20">
        <f t="shared" ca="1" si="177"/>
        <v>1</v>
      </c>
      <c r="L1034" s="44">
        <f t="shared" ref="L1034:L1097" ca="1" si="182">(J1034+K1034)/2</f>
        <v>2</v>
      </c>
    </row>
    <row r="1035" spans="1:12" x14ac:dyDescent="0.25">
      <c r="A1035" s="20">
        <v>1027</v>
      </c>
      <c r="B1035" s="21">
        <f t="shared" ca="1" si="178"/>
        <v>2.3194211647153611</v>
      </c>
      <c r="C1035" s="21">
        <f t="shared" ref="C1035:C1098" ca="1" si="183">$C1034+$B1035</f>
        <v>3172.1872136614429</v>
      </c>
      <c r="D1035" s="21">
        <f t="shared" ca="1" si="179"/>
        <v>1.7531586153158485</v>
      </c>
      <c r="E1035" s="21">
        <f t="shared" ca="1" si="175"/>
        <v>1.6921657782377224</v>
      </c>
      <c r="F1035" s="20" t="str">
        <f t="shared" ref="F1035:F1098" ca="1" si="184">IF(E1035=0,"Yes","No")</f>
        <v>No</v>
      </c>
      <c r="G1035" s="21">
        <f t="shared" ca="1" si="180"/>
        <v>0</v>
      </c>
      <c r="H1035" s="21">
        <f t="shared" ca="1" si="181"/>
        <v>3173.8793794396806</v>
      </c>
      <c r="I1035" s="21">
        <f t="shared" ca="1" si="176"/>
        <v>3175.6325380549965</v>
      </c>
      <c r="J1035" s="20">
        <f t="shared" ref="J1035:J1098" ca="1" si="185">IF($I1034&lt;=$C1035,0,$K1034+1)</f>
        <v>2</v>
      </c>
      <c r="K1035" s="20">
        <f t="shared" ca="1" si="177"/>
        <v>0</v>
      </c>
      <c r="L1035" s="44">
        <f t="shared" ca="1" si="182"/>
        <v>1</v>
      </c>
    </row>
    <row r="1036" spans="1:12" x14ac:dyDescent="0.25">
      <c r="A1036" s="20">
        <v>1028</v>
      </c>
      <c r="B1036" s="21">
        <f t="shared" ca="1" si="178"/>
        <v>5.7122741412454774</v>
      </c>
      <c r="C1036" s="21">
        <f t="shared" ca="1" si="183"/>
        <v>3177.8994878026883</v>
      </c>
      <c r="D1036" s="21">
        <f t="shared" ca="1" si="179"/>
        <v>9.3517096511644002</v>
      </c>
      <c r="E1036" s="21">
        <f t="shared" ref="E1036:E1099" ca="1" si="186">IF($I1035&lt;=$C1036,0,$I1035-$C1036)</f>
        <v>0</v>
      </c>
      <c r="F1036" s="20" t="str">
        <f t="shared" ca="1" si="184"/>
        <v>Yes</v>
      </c>
      <c r="G1036" s="21">
        <f t="shared" ca="1" si="180"/>
        <v>2.2669497476917968</v>
      </c>
      <c r="H1036" s="21">
        <f t="shared" ca="1" si="181"/>
        <v>3177.8994878026883</v>
      </c>
      <c r="I1036" s="21">
        <f t="shared" ca="1" si="176"/>
        <v>3187.2511974538529</v>
      </c>
      <c r="J1036" s="20">
        <f t="shared" ca="1" si="185"/>
        <v>0</v>
      </c>
      <c r="K1036" s="20">
        <f t="shared" ca="1" si="177"/>
        <v>5</v>
      </c>
      <c r="L1036" s="44">
        <f t="shared" ca="1" si="182"/>
        <v>2.5</v>
      </c>
    </row>
    <row r="1037" spans="1:12" x14ac:dyDescent="0.25">
      <c r="A1037" s="20">
        <v>1029</v>
      </c>
      <c r="B1037" s="21">
        <f t="shared" ca="1" si="178"/>
        <v>0.70311547202467439</v>
      </c>
      <c r="C1037" s="21">
        <f t="shared" ca="1" si="183"/>
        <v>3178.6026032747131</v>
      </c>
      <c r="D1037" s="21">
        <f t="shared" ca="1" si="179"/>
        <v>1.0169682413468004</v>
      </c>
      <c r="E1037" s="21">
        <f t="shared" ca="1" si="186"/>
        <v>8.6485941791397636</v>
      </c>
      <c r="F1037" s="20" t="str">
        <f t="shared" ca="1" si="184"/>
        <v>No</v>
      </c>
      <c r="G1037" s="21">
        <f t="shared" ca="1" si="180"/>
        <v>0</v>
      </c>
      <c r="H1037" s="21">
        <f t="shared" ca="1" si="181"/>
        <v>3187.2511974538529</v>
      </c>
      <c r="I1037" s="21">
        <f t="shared" ca="1" si="176"/>
        <v>3188.2681656951995</v>
      </c>
      <c r="J1037" s="20">
        <f t="shared" ca="1" si="185"/>
        <v>6</v>
      </c>
      <c r="K1037" s="20">
        <f t="shared" ca="1" si="177"/>
        <v>4</v>
      </c>
      <c r="L1037" s="44">
        <f t="shared" ca="1" si="182"/>
        <v>5</v>
      </c>
    </row>
    <row r="1038" spans="1:12" x14ac:dyDescent="0.25">
      <c r="A1038" s="20">
        <v>1030</v>
      </c>
      <c r="B1038" s="21">
        <f t="shared" ca="1" si="178"/>
        <v>2.8698299509400704</v>
      </c>
      <c r="C1038" s="21">
        <f t="shared" ca="1" si="183"/>
        <v>3181.4724332256533</v>
      </c>
      <c r="D1038" s="21">
        <f t="shared" ca="1" si="179"/>
        <v>6.3773864251371863</v>
      </c>
      <c r="E1038" s="21">
        <f t="shared" ca="1" si="186"/>
        <v>6.7957324695462376</v>
      </c>
      <c r="F1038" s="20" t="str">
        <f t="shared" ca="1" si="184"/>
        <v>No</v>
      </c>
      <c r="G1038" s="21">
        <f t="shared" ca="1" si="180"/>
        <v>0</v>
      </c>
      <c r="H1038" s="21">
        <f t="shared" ca="1" si="181"/>
        <v>3188.2681656951995</v>
      </c>
      <c r="I1038" s="21">
        <f t="shared" ca="1" si="176"/>
        <v>3194.6455521203366</v>
      </c>
      <c r="J1038" s="20">
        <f t="shared" ca="1" si="185"/>
        <v>5</v>
      </c>
      <c r="K1038" s="20">
        <f t="shared" ca="1" si="177"/>
        <v>5</v>
      </c>
      <c r="L1038" s="44">
        <f t="shared" ca="1" si="182"/>
        <v>5</v>
      </c>
    </row>
    <row r="1039" spans="1:12" x14ac:dyDescent="0.25">
      <c r="A1039" s="20">
        <v>1031</v>
      </c>
      <c r="B1039" s="21">
        <f t="shared" ca="1" si="178"/>
        <v>1.4481918254663273</v>
      </c>
      <c r="C1039" s="21">
        <f t="shared" ca="1" si="183"/>
        <v>3182.9206250511197</v>
      </c>
      <c r="D1039" s="21">
        <f t="shared" ca="1" si="179"/>
        <v>1.8184027855878728</v>
      </c>
      <c r="E1039" s="21">
        <f t="shared" ca="1" si="186"/>
        <v>11.724927069216847</v>
      </c>
      <c r="F1039" s="20" t="str">
        <f t="shared" ca="1" si="184"/>
        <v>No</v>
      </c>
      <c r="G1039" s="21">
        <f t="shared" ca="1" si="180"/>
        <v>0</v>
      </c>
      <c r="H1039" s="21">
        <f t="shared" ca="1" si="181"/>
        <v>3194.6455521203366</v>
      </c>
      <c r="I1039" s="21">
        <f t="shared" ca="1" si="176"/>
        <v>3196.4639549059243</v>
      </c>
      <c r="J1039" s="20">
        <f t="shared" ca="1" si="185"/>
        <v>6</v>
      </c>
      <c r="K1039" s="20">
        <f t="shared" ca="1" si="177"/>
        <v>4</v>
      </c>
      <c r="L1039" s="44">
        <f t="shared" ca="1" si="182"/>
        <v>5</v>
      </c>
    </row>
    <row r="1040" spans="1:12" x14ac:dyDescent="0.25">
      <c r="A1040" s="20">
        <v>1032</v>
      </c>
      <c r="B1040" s="21">
        <f t="shared" ca="1" si="178"/>
        <v>2.6566895384470572</v>
      </c>
      <c r="C1040" s="21">
        <f t="shared" ca="1" si="183"/>
        <v>3185.5773145895669</v>
      </c>
      <c r="D1040" s="21">
        <f t="shared" ca="1" si="179"/>
        <v>2.384589577481401</v>
      </c>
      <c r="E1040" s="21">
        <f t="shared" ca="1" si="186"/>
        <v>10.886640316357443</v>
      </c>
      <c r="F1040" s="20" t="str">
        <f t="shared" ca="1" si="184"/>
        <v>No</v>
      </c>
      <c r="G1040" s="21">
        <f t="shared" ca="1" si="180"/>
        <v>0</v>
      </c>
      <c r="H1040" s="21">
        <f t="shared" ca="1" si="181"/>
        <v>3196.4639549059243</v>
      </c>
      <c r="I1040" s="21">
        <f t="shared" ca="1" si="176"/>
        <v>3198.8485444834059</v>
      </c>
      <c r="J1040" s="20">
        <f t="shared" ca="1" si="185"/>
        <v>5</v>
      </c>
      <c r="K1040" s="20">
        <f t="shared" ca="1" si="177"/>
        <v>3</v>
      </c>
      <c r="L1040" s="44">
        <f t="shared" ca="1" si="182"/>
        <v>4</v>
      </c>
    </row>
    <row r="1041" spans="1:12" x14ac:dyDescent="0.25">
      <c r="A1041" s="20">
        <v>1033</v>
      </c>
      <c r="B1041" s="21">
        <f t="shared" ca="1" si="178"/>
        <v>0.59535011211956734</v>
      </c>
      <c r="C1041" s="21">
        <f t="shared" ca="1" si="183"/>
        <v>3186.1726647016862</v>
      </c>
      <c r="D1041" s="21">
        <f t="shared" ca="1" si="179"/>
        <v>0.37502258623457019</v>
      </c>
      <c r="E1041" s="21">
        <f t="shared" ca="1" si="186"/>
        <v>12.675879781719686</v>
      </c>
      <c r="F1041" s="20" t="str">
        <f t="shared" ca="1" si="184"/>
        <v>No</v>
      </c>
      <c r="G1041" s="21">
        <f t="shared" ca="1" si="180"/>
        <v>0</v>
      </c>
      <c r="H1041" s="21">
        <f t="shared" ca="1" si="181"/>
        <v>3198.8485444834059</v>
      </c>
      <c r="I1041" s="21">
        <f t="shared" ca="1" si="176"/>
        <v>3199.2235670696405</v>
      </c>
      <c r="J1041" s="20">
        <f t="shared" ca="1" si="185"/>
        <v>4</v>
      </c>
      <c r="K1041" s="20">
        <f t="shared" ca="1" si="177"/>
        <v>2</v>
      </c>
      <c r="L1041" s="44">
        <f t="shared" ca="1" si="182"/>
        <v>3</v>
      </c>
    </row>
    <row r="1042" spans="1:12" x14ac:dyDescent="0.25">
      <c r="A1042" s="20">
        <v>1034</v>
      </c>
      <c r="B1042" s="21">
        <f t="shared" ca="1" si="178"/>
        <v>4.4236078403144496</v>
      </c>
      <c r="C1042" s="21">
        <f t="shared" ca="1" si="183"/>
        <v>3190.5962725420009</v>
      </c>
      <c r="D1042" s="21">
        <f t="shared" ca="1" si="179"/>
        <v>0.18049548928647938</v>
      </c>
      <c r="E1042" s="21">
        <f t="shared" ca="1" si="186"/>
        <v>8.6272945276396058</v>
      </c>
      <c r="F1042" s="20" t="str">
        <f t="shared" ca="1" si="184"/>
        <v>No</v>
      </c>
      <c r="G1042" s="21">
        <f t="shared" ca="1" si="180"/>
        <v>0</v>
      </c>
      <c r="H1042" s="21">
        <f t="shared" ca="1" si="181"/>
        <v>3199.2235670696405</v>
      </c>
      <c r="I1042" s="21">
        <f t="shared" ca="1" si="176"/>
        <v>3199.4040625589269</v>
      </c>
      <c r="J1042" s="20">
        <f t="shared" ca="1" si="185"/>
        <v>3</v>
      </c>
      <c r="K1042" s="20">
        <f t="shared" ca="1" si="177"/>
        <v>2</v>
      </c>
      <c r="L1042" s="44">
        <f t="shared" ca="1" si="182"/>
        <v>2.5</v>
      </c>
    </row>
    <row r="1043" spans="1:12" x14ac:dyDescent="0.25">
      <c r="A1043" s="20">
        <v>1035</v>
      </c>
      <c r="B1043" s="21">
        <f t="shared" ca="1" si="178"/>
        <v>3.9955648335737819</v>
      </c>
      <c r="C1043" s="21">
        <f t="shared" ca="1" si="183"/>
        <v>3194.5918373755749</v>
      </c>
      <c r="D1043" s="21">
        <f t="shared" ca="1" si="179"/>
        <v>1.5719172620444359</v>
      </c>
      <c r="E1043" s="21">
        <f t="shared" ca="1" si="186"/>
        <v>4.812225183351984</v>
      </c>
      <c r="F1043" s="20" t="str">
        <f t="shared" ca="1" si="184"/>
        <v>No</v>
      </c>
      <c r="G1043" s="21">
        <f t="shared" ca="1" si="180"/>
        <v>0</v>
      </c>
      <c r="H1043" s="21">
        <f t="shared" ca="1" si="181"/>
        <v>3199.4040625589269</v>
      </c>
      <c r="I1043" s="21">
        <f t="shared" ca="1" si="176"/>
        <v>3200.9759798209711</v>
      </c>
      <c r="J1043" s="20">
        <f t="shared" ca="1" si="185"/>
        <v>3</v>
      </c>
      <c r="K1043" s="20">
        <f t="shared" ca="1" si="177"/>
        <v>2</v>
      </c>
      <c r="L1043" s="44">
        <f t="shared" ca="1" si="182"/>
        <v>2.5</v>
      </c>
    </row>
    <row r="1044" spans="1:12" x14ac:dyDescent="0.25">
      <c r="A1044" s="20">
        <v>1036</v>
      </c>
      <c r="B1044" s="21">
        <f t="shared" ca="1" si="178"/>
        <v>4.7419365402452085</v>
      </c>
      <c r="C1044" s="21">
        <f t="shared" ca="1" si="183"/>
        <v>3199.3337739158201</v>
      </c>
      <c r="D1044" s="21">
        <f t="shared" ca="1" si="179"/>
        <v>2.222484379219773</v>
      </c>
      <c r="E1044" s="21">
        <f t="shared" ca="1" si="186"/>
        <v>1.6422059051510587</v>
      </c>
      <c r="F1044" s="20" t="str">
        <f t="shared" ca="1" si="184"/>
        <v>No</v>
      </c>
      <c r="G1044" s="21">
        <f t="shared" ca="1" si="180"/>
        <v>0</v>
      </c>
      <c r="H1044" s="21">
        <f t="shared" ca="1" si="181"/>
        <v>3200.9759798209711</v>
      </c>
      <c r="I1044" s="21">
        <f t="shared" ca="1" si="176"/>
        <v>3203.1984642001908</v>
      </c>
      <c r="J1044" s="20">
        <f t="shared" ca="1" si="185"/>
        <v>3</v>
      </c>
      <c r="K1044" s="20">
        <f t="shared" ca="1" si="177"/>
        <v>2</v>
      </c>
      <c r="L1044" s="44">
        <f t="shared" ca="1" si="182"/>
        <v>2.5</v>
      </c>
    </row>
    <row r="1045" spans="1:12" x14ac:dyDescent="0.25">
      <c r="A1045" s="20">
        <v>1037</v>
      </c>
      <c r="B1045" s="21">
        <f t="shared" ca="1" si="178"/>
        <v>1.3416423925625383</v>
      </c>
      <c r="C1045" s="21">
        <f t="shared" ca="1" si="183"/>
        <v>3200.6754163083824</v>
      </c>
      <c r="D1045" s="21">
        <f t="shared" ca="1" si="179"/>
        <v>3.6520983470127364</v>
      </c>
      <c r="E1045" s="21">
        <f t="shared" ca="1" si="186"/>
        <v>2.5230478918083463</v>
      </c>
      <c r="F1045" s="20" t="str">
        <f t="shared" ca="1" si="184"/>
        <v>No</v>
      </c>
      <c r="G1045" s="21">
        <f t="shared" ca="1" si="180"/>
        <v>0</v>
      </c>
      <c r="H1045" s="21">
        <f t="shared" ca="1" si="181"/>
        <v>3203.1984642001908</v>
      </c>
      <c r="I1045" s="21">
        <f t="shared" ca="1" si="176"/>
        <v>3206.8505625472035</v>
      </c>
      <c r="J1045" s="20">
        <f t="shared" ca="1" si="185"/>
        <v>3</v>
      </c>
      <c r="K1045" s="20">
        <f t="shared" ca="1" si="177"/>
        <v>1</v>
      </c>
      <c r="L1045" s="44">
        <f t="shared" ca="1" si="182"/>
        <v>2</v>
      </c>
    </row>
    <row r="1046" spans="1:12" x14ac:dyDescent="0.25">
      <c r="A1046" s="20">
        <v>1038</v>
      </c>
      <c r="B1046" s="21">
        <f t="shared" ca="1" si="178"/>
        <v>0.51341199698388629</v>
      </c>
      <c r="C1046" s="21">
        <f t="shared" ca="1" si="183"/>
        <v>3201.1888283053663</v>
      </c>
      <c r="D1046" s="21">
        <f t="shared" ca="1" si="179"/>
        <v>3.0175672186430766</v>
      </c>
      <c r="E1046" s="21">
        <f t="shared" ca="1" si="186"/>
        <v>5.6617342418371663</v>
      </c>
      <c r="F1046" s="20" t="str">
        <f t="shared" ca="1" si="184"/>
        <v>No</v>
      </c>
      <c r="G1046" s="21">
        <f t="shared" ca="1" si="180"/>
        <v>0</v>
      </c>
      <c r="H1046" s="21">
        <f t="shared" ca="1" si="181"/>
        <v>3206.8505625472035</v>
      </c>
      <c r="I1046" s="21">
        <f t="shared" ca="1" si="176"/>
        <v>3209.8681297658463</v>
      </c>
      <c r="J1046" s="20">
        <f t="shared" ca="1" si="185"/>
        <v>2</v>
      </c>
      <c r="K1046" s="20">
        <f t="shared" ca="1" si="177"/>
        <v>1</v>
      </c>
      <c r="L1046" s="44">
        <f t="shared" ca="1" si="182"/>
        <v>1.5</v>
      </c>
    </row>
    <row r="1047" spans="1:12" x14ac:dyDescent="0.25">
      <c r="A1047" s="20">
        <v>1039</v>
      </c>
      <c r="B1047" s="21">
        <f t="shared" ca="1" si="178"/>
        <v>8.2776064655028136</v>
      </c>
      <c r="C1047" s="21">
        <f t="shared" ca="1" si="183"/>
        <v>3209.466434770869</v>
      </c>
      <c r="D1047" s="21">
        <f t="shared" ca="1" si="179"/>
        <v>1.0800596630902304</v>
      </c>
      <c r="E1047" s="21">
        <f t="shared" ca="1" si="186"/>
        <v>0.40169499497733341</v>
      </c>
      <c r="F1047" s="20" t="str">
        <f t="shared" ca="1" si="184"/>
        <v>No</v>
      </c>
      <c r="G1047" s="21">
        <f t="shared" ca="1" si="180"/>
        <v>0</v>
      </c>
      <c r="H1047" s="21">
        <f t="shared" ca="1" si="181"/>
        <v>3209.8681297658463</v>
      </c>
      <c r="I1047" s="21">
        <f t="shared" ca="1" si="176"/>
        <v>3210.9481894289365</v>
      </c>
      <c r="J1047" s="20">
        <f t="shared" ca="1" si="185"/>
        <v>2</v>
      </c>
      <c r="K1047" s="20">
        <f t="shared" ca="1" si="177"/>
        <v>1</v>
      </c>
      <c r="L1047" s="44">
        <f t="shared" ca="1" si="182"/>
        <v>1.5</v>
      </c>
    </row>
    <row r="1048" spans="1:12" x14ac:dyDescent="0.25">
      <c r="A1048" s="20">
        <v>1040</v>
      </c>
      <c r="B1048" s="21">
        <f t="shared" ca="1" si="178"/>
        <v>1.1667304524069042</v>
      </c>
      <c r="C1048" s="21">
        <f t="shared" ca="1" si="183"/>
        <v>3210.6331652232757</v>
      </c>
      <c r="D1048" s="21">
        <f t="shared" ca="1" si="179"/>
        <v>1.8689867750537685</v>
      </c>
      <c r="E1048" s="21">
        <f t="shared" ca="1" si="186"/>
        <v>0.31502420566084766</v>
      </c>
      <c r="F1048" s="20" t="str">
        <f t="shared" ca="1" si="184"/>
        <v>No</v>
      </c>
      <c r="G1048" s="21">
        <f t="shared" ca="1" si="180"/>
        <v>0</v>
      </c>
      <c r="H1048" s="21">
        <f t="shared" ca="1" si="181"/>
        <v>3210.9481894289365</v>
      </c>
      <c r="I1048" s="21">
        <f t="shared" ca="1" si="176"/>
        <v>3212.8171762039901</v>
      </c>
      <c r="J1048" s="20">
        <f t="shared" ca="1" si="185"/>
        <v>2</v>
      </c>
      <c r="K1048" s="20">
        <f t="shared" ca="1" si="177"/>
        <v>1</v>
      </c>
      <c r="L1048" s="44">
        <f t="shared" ca="1" si="182"/>
        <v>1.5</v>
      </c>
    </row>
    <row r="1049" spans="1:12" x14ac:dyDescent="0.25">
      <c r="A1049" s="20">
        <v>1041</v>
      </c>
      <c r="B1049" s="21">
        <f t="shared" ca="1" si="178"/>
        <v>0.47689402289564692</v>
      </c>
      <c r="C1049" s="21">
        <f t="shared" ca="1" si="183"/>
        <v>3211.1100592461712</v>
      </c>
      <c r="D1049" s="21">
        <f t="shared" ca="1" si="179"/>
        <v>6.5358326109033937</v>
      </c>
      <c r="E1049" s="21">
        <f t="shared" ca="1" si="186"/>
        <v>1.7071169578189256</v>
      </c>
      <c r="F1049" s="20" t="str">
        <f t="shared" ca="1" si="184"/>
        <v>No</v>
      </c>
      <c r="G1049" s="21">
        <f t="shared" ca="1" si="180"/>
        <v>0</v>
      </c>
      <c r="H1049" s="21">
        <f t="shared" ca="1" si="181"/>
        <v>3212.8171762039901</v>
      </c>
      <c r="I1049" s="21">
        <f t="shared" ca="1" si="176"/>
        <v>3219.3530088148937</v>
      </c>
      <c r="J1049" s="20">
        <f t="shared" ca="1" si="185"/>
        <v>2</v>
      </c>
      <c r="K1049" s="20">
        <f t="shared" ca="1" si="177"/>
        <v>1</v>
      </c>
      <c r="L1049" s="44">
        <f t="shared" ca="1" si="182"/>
        <v>1.5</v>
      </c>
    </row>
    <row r="1050" spans="1:12" x14ac:dyDescent="0.25">
      <c r="A1050" s="20">
        <v>1042</v>
      </c>
      <c r="B1050" s="21">
        <f t="shared" ca="1" si="178"/>
        <v>3.748934902051575</v>
      </c>
      <c r="C1050" s="21">
        <f t="shared" ca="1" si="183"/>
        <v>3214.8589941482228</v>
      </c>
      <c r="D1050" s="21">
        <f t="shared" ca="1" si="179"/>
        <v>1.2326910352809761</v>
      </c>
      <c r="E1050" s="21">
        <f t="shared" ca="1" si="186"/>
        <v>4.4940146666708642</v>
      </c>
      <c r="F1050" s="20" t="str">
        <f t="shared" ca="1" si="184"/>
        <v>No</v>
      </c>
      <c r="G1050" s="21">
        <f t="shared" ca="1" si="180"/>
        <v>0</v>
      </c>
      <c r="H1050" s="21">
        <f t="shared" ca="1" si="181"/>
        <v>3219.3530088148937</v>
      </c>
      <c r="I1050" s="21">
        <f t="shared" ca="1" si="176"/>
        <v>3220.5856998501745</v>
      </c>
      <c r="J1050" s="20">
        <f t="shared" ca="1" si="185"/>
        <v>2</v>
      </c>
      <c r="K1050" s="20">
        <f t="shared" ca="1" si="177"/>
        <v>1</v>
      </c>
      <c r="L1050" s="44">
        <f t="shared" ca="1" si="182"/>
        <v>1.5</v>
      </c>
    </row>
    <row r="1051" spans="1:12" x14ac:dyDescent="0.25">
      <c r="A1051" s="20">
        <v>1043</v>
      </c>
      <c r="B1051" s="21">
        <f t="shared" ca="1" si="178"/>
        <v>5.0172066281340593</v>
      </c>
      <c r="C1051" s="21">
        <f t="shared" ca="1" si="183"/>
        <v>3219.8762007763567</v>
      </c>
      <c r="D1051" s="21">
        <f t="shared" ca="1" si="179"/>
        <v>0.16735886018036497</v>
      </c>
      <c r="E1051" s="21">
        <f t="shared" ca="1" si="186"/>
        <v>0.70949907381782396</v>
      </c>
      <c r="F1051" s="20" t="str">
        <f t="shared" ca="1" si="184"/>
        <v>No</v>
      </c>
      <c r="G1051" s="21">
        <f t="shared" ca="1" si="180"/>
        <v>0</v>
      </c>
      <c r="H1051" s="21">
        <f t="shared" ca="1" si="181"/>
        <v>3220.5856998501745</v>
      </c>
      <c r="I1051" s="21">
        <f t="shared" ca="1" si="176"/>
        <v>3220.7530587103547</v>
      </c>
      <c r="J1051" s="20">
        <f t="shared" ca="1" si="185"/>
        <v>2</v>
      </c>
      <c r="K1051" s="20">
        <f t="shared" ca="1" si="177"/>
        <v>0</v>
      </c>
      <c r="L1051" s="44">
        <f t="shared" ca="1" si="182"/>
        <v>1</v>
      </c>
    </row>
    <row r="1052" spans="1:12" x14ac:dyDescent="0.25">
      <c r="A1052" s="20">
        <v>1044</v>
      </c>
      <c r="B1052" s="21">
        <f t="shared" ca="1" si="178"/>
        <v>0.92891182437287312</v>
      </c>
      <c r="C1052" s="21">
        <f t="shared" ca="1" si="183"/>
        <v>3220.8051126007294</v>
      </c>
      <c r="D1052" s="21">
        <f t="shared" ca="1" si="179"/>
        <v>0.75677862486682312</v>
      </c>
      <c r="E1052" s="21">
        <f t="shared" ca="1" si="186"/>
        <v>0</v>
      </c>
      <c r="F1052" s="20" t="str">
        <f t="shared" ca="1" si="184"/>
        <v>Yes</v>
      </c>
      <c r="G1052" s="21">
        <f t="shared" ca="1" si="180"/>
        <v>5.2053890374736511E-2</v>
      </c>
      <c r="H1052" s="21">
        <f t="shared" ca="1" si="181"/>
        <v>3220.8051126007294</v>
      </c>
      <c r="I1052" s="21">
        <f t="shared" ca="1" si="176"/>
        <v>3221.5618912255964</v>
      </c>
      <c r="J1052" s="20">
        <f t="shared" ca="1" si="185"/>
        <v>0</v>
      </c>
      <c r="K1052" s="20">
        <f t="shared" ca="1" si="177"/>
        <v>1</v>
      </c>
      <c r="L1052" s="44">
        <f t="shared" ca="1" si="182"/>
        <v>0.5</v>
      </c>
    </row>
    <row r="1053" spans="1:12" x14ac:dyDescent="0.25">
      <c r="A1053" s="20">
        <v>1045</v>
      </c>
      <c r="B1053" s="21">
        <f t="shared" ca="1" si="178"/>
        <v>1.6279114800746231E-2</v>
      </c>
      <c r="C1053" s="21">
        <f t="shared" ca="1" si="183"/>
        <v>3220.8213917155304</v>
      </c>
      <c r="D1053" s="21">
        <f t="shared" ca="1" si="179"/>
        <v>0.90515938514495708</v>
      </c>
      <c r="E1053" s="21">
        <f t="shared" ca="1" si="186"/>
        <v>0.74049951006600168</v>
      </c>
      <c r="F1053" s="20" t="str">
        <f t="shared" ca="1" si="184"/>
        <v>No</v>
      </c>
      <c r="G1053" s="21">
        <f t="shared" ca="1" si="180"/>
        <v>0</v>
      </c>
      <c r="H1053" s="21">
        <f t="shared" ca="1" si="181"/>
        <v>3221.5618912255964</v>
      </c>
      <c r="I1053" s="21">
        <f t="shared" ca="1" si="176"/>
        <v>3222.4670506107414</v>
      </c>
      <c r="J1053" s="20">
        <f t="shared" ca="1" si="185"/>
        <v>2</v>
      </c>
      <c r="K1053" s="20">
        <f t="shared" ca="1" si="177"/>
        <v>0</v>
      </c>
      <c r="L1053" s="44">
        <f t="shared" ca="1" si="182"/>
        <v>1</v>
      </c>
    </row>
    <row r="1054" spans="1:12" x14ac:dyDescent="0.25">
      <c r="A1054" s="20">
        <v>1046</v>
      </c>
      <c r="B1054" s="21">
        <f t="shared" ca="1" si="178"/>
        <v>3.6458113370805454</v>
      </c>
      <c r="C1054" s="21">
        <f t="shared" ca="1" si="183"/>
        <v>3224.4672030526108</v>
      </c>
      <c r="D1054" s="21">
        <f t="shared" ca="1" si="179"/>
        <v>2.5653961230413036</v>
      </c>
      <c r="E1054" s="21">
        <f t="shared" ca="1" si="186"/>
        <v>0</v>
      </c>
      <c r="F1054" s="20" t="str">
        <f t="shared" ca="1" si="184"/>
        <v>Yes</v>
      </c>
      <c r="G1054" s="21">
        <f t="shared" ca="1" si="180"/>
        <v>2.0001524418694316</v>
      </c>
      <c r="H1054" s="21">
        <f t="shared" ca="1" si="181"/>
        <v>3224.4672030526108</v>
      </c>
      <c r="I1054" s="21">
        <f t="shared" ca="1" si="176"/>
        <v>3227.0325991756522</v>
      </c>
      <c r="J1054" s="20">
        <f t="shared" ca="1" si="185"/>
        <v>0</v>
      </c>
      <c r="K1054" s="20">
        <f t="shared" ca="1" si="177"/>
        <v>0</v>
      </c>
      <c r="L1054" s="44">
        <f t="shared" ca="1" si="182"/>
        <v>0</v>
      </c>
    </row>
    <row r="1055" spans="1:12" x14ac:dyDescent="0.25">
      <c r="A1055" s="20">
        <v>1047</v>
      </c>
      <c r="B1055" s="21">
        <f t="shared" ca="1" si="178"/>
        <v>6.2795104803244142</v>
      </c>
      <c r="C1055" s="21">
        <f t="shared" ca="1" si="183"/>
        <v>3230.7467135329352</v>
      </c>
      <c r="D1055" s="21">
        <f t="shared" ca="1" si="179"/>
        <v>3.0875852047818153</v>
      </c>
      <c r="E1055" s="21">
        <f t="shared" ca="1" si="186"/>
        <v>0</v>
      </c>
      <c r="F1055" s="20" t="str">
        <f t="shared" ca="1" si="184"/>
        <v>Yes</v>
      </c>
      <c r="G1055" s="21">
        <f t="shared" ca="1" si="180"/>
        <v>3.7141143572830515</v>
      </c>
      <c r="H1055" s="21">
        <f t="shared" ca="1" si="181"/>
        <v>3230.7467135329352</v>
      </c>
      <c r="I1055" s="21">
        <f t="shared" ca="1" si="176"/>
        <v>3233.8342987377168</v>
      </c>
      <c r="J1055" s="20">
        <f t="shared" ca="1" si="185"/>
        <v>0</v>
      </c>
      <c r="K1055" s="20">
        <f t="shared" ca="1" si="177"/>
        <v>2</v>
      </c>
      <c r="L1055" s="44">
        <f t="shared" ca="1" si="182"/>
        <v>1</v>
      </c>
    </row>
    <row r="1056" spans="1:12" x14ac:dyDescent="0.25">
      <c r="A1056" s="20">
        <v>1048</v>
      </c>
      <c r="B1056" s="21">
        <f t="shared" ca="1" si="178"/>
        <v>0.70441920017229842</v>
      </c>
      <c r="C1056" s="21">
        <f t="shared" ca="1" si="183"/>
        <v>3231.4511327331074</v>
      </c>
      <c r="D1056" s="21">
        <f t="shared" ca="1" si="179"/>
        <v>0.54957805571163976</v>
      </c>
      <c r="E1056" s="21">
        <f t="shared" ca="1" si="186"/>
        <v>2.383166004609393</v>
      </c>
      <c r="F1056" s="20" t="str">
        <f t="shared" ca="1" si="184"/>
        <v>No</v>
      </c>
      <c r="G1056" s="21">
        <f t="shared" ca="1" si="180"/>
        <v>0</v>
      </c>
      <c r="H1056" s="21">
        <f t="shared" ca="1" si="181"/>
        <v>3233.8342987377168</v>
      </c>
      <c r="I1056" s="21">
        <f t="shared" ca="1" si="176"/>
        <v>3234.3838767934285</v>
      </c>
      <c r="J1056" s="20">
        <f t="shared" ca="1" si="185"/>
        <v>3</v>
      </c>
      <c r="K1056" s="20">
        <f t="shared" ca="1" si="177"/>
        <v>1</v>
      </c>
      <c r="L1056" s="44">
        <f t="shared" ca="1" si="182"/>
        <v>2</v>
      </c>
    </row>
    <row r="1057" spans="1:12" x14ac:dyDescent="0.25">
      <c r="A1057" s="20">
        <v>1049</v>
      </c>
      <c r="B1057" s="21">
        <f t="shared" ca="1" si="178"/>
        <v>2.2481818211245379</v>
      </c>
      <c r="C1057" s="21">
        <f t="shared" ca="1" si="183"/>
        <v>3233.6993145542319</v>
      </c>
      <c r="D1057" s="21">
        <f t="shared" ca="1" si="179"/>
        <v>2.9521005899893353</v>
      </c>
      <c r="E1057" s="21">
        <f t="shared" ca="1" si="186"/>
        <v>0.68456223919656622</v>
      </c>
      <c r="F1057" s="20" t="str">
        <f t="shared" ca="1" si="184"/>
        <v>No</v>
      </c>
      <c r="G1057" s="21">
        <f t="shared" ca="1" si="180"/>
        <v>0</v>
      </c>
      <c r="H1057" s="21">
        <f t="shared" ca="1" si="181"/>
        <v>3234.3838767934285</v>
      </c>
      <c r="I1057" s="21">
        <f t="shared" ca="1" si="176"/>
        <v>3237.3359773834177</v>
      </c>
      <c r="J1057" s="20">
        <f t="shared" ca="1" si="185"/>
        <v>2</v>
      </c>
      <c r="K1057" s="20">
        <f t="shared" ca="1" si="177"/>
        <v>0</v>
      </c>
      <c r="L1057" s="44">
        <f t="shared" ca="1" si="182"/>
        <v>1</v>
      </c>
    </row>
    <row r="1058" spans="1:12" x14ac:dyDescent="0.25">
      <c r="A1058" s="20">
        <v>1050</v>
      </c>
      <c r="B1058" s="21">
        <f t="shared" ca="1" si="178"/>
        <v>5.9738273708363536</v>
      </c>
      <c r="C1058" s="21">
        <f t="shared" ca="1" si="183"/>
        <v>3239.6731419250682</v>
      </c>
      <c r="D1058" s="21">
        <f t="shared" ca="1" si="179"/>
        <v>1.6936362627420865</v>
      </c>
      <c r="E1058" s="21">
        <f t="shared" ca="1" si="186"/>
        <v>0</v>
      </c>
      <c r="F1058" s="20" t="str">
        <f t="shared" ca="1" si="184"/>
        <v>Yes</v>
      </c>
      <c r="G1058" s="21">
        <f t="shared" ca="1" si="180"/>
        <v>2.3371645416505089</v>
      </c>
      <c r="H1058" s="21">
        <f t="shared" ca="1" si="181"/>
        <v>3239.6731419250682</v>
      </c>
      <c r="I1058" s="21">
        <f t="shared" ca="1" si="176"/>
        <v>3241.3667781878103</v>
      </c>
      <c r="J1058" s="20">
        <f t="shared" ca="1" si="185"/>
        <v>0</v>
      </c>
      <c r="K1058" s="20">
        <f t="shared" ca="1" si="177"/>
        <v>0</v>
      </c>
      <c r="L1058" s="44">
        <f t="shared" ca="1" si="182"/>
        <v>0</v>
      </c>
    </row>
    <row r="1059" spans="1:12" x14ac:dyDescent="0.25">
      <c r="A1059" s="20">
        <v>1051</v>
      </c>
      <c r="B1059" s="21">
        <f t="shared" ca="1" si="178"/>
        <v>2.5228756556567533</v>
      </c>
      <c r="C1059" s="21">
        <f t="shared" ca="1" si="183"/>
        <v>3242.1960175807249</v>
      </c>
      <c r="D1059" s="21">
        <f t="shared" ca="1" si="179"/>
        <v>4.6765556057453468</v>
      </c>
      <c r="E1059" s="21">
        <f t="shared" ca="1" si="186"/>
        <v>0</v>
      </c>
      <c r="F1059" s="20" t="str">
        <f t="shared" ca="1" si="184"/>
        <v>Yes</v>
      </c>
      <c r="G1059" s="21">
        <f t="shared" ca="1" si="180"/>
        <v>0.82923939291458737</v>
      </c>
      <c r="H1059" s="21">
        <f t="shared" ca="1" si="181"/>
        <v>3242.1960175807249</v>
      </c>
      <c r="I1059" s="21">
        <f t="shared" ca="1" si="176"/>
        <v>3246.8725731864702</v>
      </c>
      <c r="J1059" s="20">
        <f t="shared" ca="1" si="185"/>
        <v>0</v>
      </c>
      <c r="K1059" s="20">
        <f t="shared" ca="1" si="177"/>
        <v>0</v>
      </c>
      <c r="L1059" s="44">
        <f t="shared" ca="1" si="182"/>
        <v>0</v>
      </c>
    </row>
    <row r="1060" spans="1:12" x14ac:dyDescent="0.25">
      <c r="A1060" s="20">
        <v>1052</v>
      </c>
      <c r="B1060" s="21">
        <f t="shared" ca="1" si="178"/>
        <v>11.407745222548991</v>
      </c>
      <c r="C1060" s="21">
        <f t="shared" ca="1" si="183"/>
        <v>3253.6037628032736</v>
      </c>
      <c r="D1060" s="21">
        <f t="shared" ca="1" si="179"/>
        <v>3.0592944938663251</v>
      </c>
      <c r="E1060" s="21">
        <f t="shared" ca="1" si="186"/>
        <v>0</v>
      </c>
      <c r="F1060" s="20" t="str">
        <f t="shared" ca="1" si="184"/>
        <v>Yes</v>
      </c>
      <c r="G1060" s="21">
        <f t="shared" ca="1" si="180"/>
        <v>6.7311896168034764</v>
      </c>
      <c r="H1060" s="21">
        <f t="shared" ca="1" si="181"/>
        <v>3253.6037628032736</v>
      </c>
      <c r="I1060" s="21">
        <f t="shared" ca="1" si="176"/>
        <v>3256.6630572971399</v>
      </c>
      <c r="J1060" s="20">
        <f t="shared" ca="1" si="185"/>
        <v>0</v>
      </c>
      <c r="K1060" s="20">
        <f t="shared" ca="1" si="177"/>
        <v>0</v>
      </c>
      <c r="L1060" s="44">
        <f t="shared" ca="1" si="182"/>
        <v>0</v>
      </c>
    </row>
    <row r="1061" spans="1:12" x14ac:dyDescent="0.25">
      <c r="A1061" s="20">
        <v>1053</v>
      </c>
      <c r="B1061" s="21">
        <f t="shared" ca="1" si="178"/>
        <v>4.8426675567216657</v>
      </c>
      <c r="C1061" s="21">
        <f t="shared" ca="1" si="183"/>
        <v>3258.4464303599952</v>
      </c>
      <c r="D1061" s="21">
        <f t="shared" ca="1" si="179"/>
        <v>1.2969134141948317</v>
      </c>
      <c r="E1061" s="21">
        <f t="shared" ca="1" si="186"/>
        <v>0</v>
      </c>
      <c r="F1061" s="20" t="str">
        <f t="shared" ca="1" si="184"/>
        <v>Yes</v>
      </c>
      <c r="G1061" s="21">
        <f t="shared" ca="1" si="180"/>
        <v>1.7833730628553894</v>
      </c>
      <c r="H1061" s="21">
        <f t="shared" ca="1" si="181"/>
        <v>3258.4464303599952</v>
      </c>
      <c r="I1061" s="21">
        <f t="shared" ca="1" si="176"/>
        <v>3259.7433437741902</v>
      </c>
      <c r="J1061" s="20">
        <f t="shared" ca="1" si="185"/>
        <v>0</v>
      </c>
      <c r="K1061" s="20">
        <f t="shared" ca="1" si="177"/>
        <v>0</v>
      </c>
      <c r="L1061" s="44">
        <f t="shared" ca="1" si="182"/>
        <v>0</v>
      </c>
    </row>
    <row r="1062" spans="1:12" x14ac:dyDescent="0.25">
      <c r="A1062" s="20">
        <v>1054</v>
      </c>
      <c r="B1062" s="21">
        <f t="shared" ca="1" si="178"/>
        <v>7.9274140639899793</v>
      </c>
      <c r="C1062" s="21">
        <f t="shared" ca="1" si="183"/>
        <v>3266.3738444239852</v>
      </c>
      <c r="D1062" s="21">
        <f t="shared" ca="1" si="179"/>
        <v>4.7489496424747708</v>
      </c>
      <c r="E1062" s="21">
        <f t="shared" ca="1" si="186"/>
        <v>0</v>
      </c>
      <c r="F1062" s="20" t="str">
        <f t="shared" ca="1" si="184"/>
        <v>Yes</v>
      </c>
      <c r="G1062" s="21">
        <f t="shared" ca="1" si="180"/>
        <v>6.6305006497950671</v>
      </c>
      <c r="H1062" s="21">
        <f t="shared" ca="1" si="181"/>
        <v>3266.3738444239852</v>
      </c>
      <c r="I1062" s="21">
        <f t="shared" ca="1" si="176"/>
        <v>3271.1227940664598</v>
      </c>
      <c r="J1062" s="20">
        <f t="shared" ca="1" si="185"/>
        <v>0</v>
      </c>
      <c r="K1062" s="20">
        <f t="shared" ca="1" si="177"/>
        <v>0</v>
      </c>
      <c r="L1062" s="44">
        <f t="shared" ca="1" si="182"/>
        <v>0</v>
      </c>
    </row>
    <row r="1063" spans="1:12" x14ac:dyDescent="0.25">
      <c r="A1063" s="20">
        <v>1055</v>
      </c>
      <c r="B1063" s="21">
        <f t="shared" ca="1" si="178"/>
        <v>5.4773956860299959</v>
      </c>
      <c r="C1063" s="21">
        <f t="shared" ca="1" si="183"/>
        <v>3271.8512401100152</v>
      </c>
      <c r="D1063" s="21">
        <f t="shared" ca="1" si="179"/>
        <v>2.8509811037798674</v>
      </c>
      <c r="E1063" s="21">
        <f t="shared" ca="1" si="186"/>
        <v>0</v>
      </c>
      <c r="F1063" s="20" t="str">
        <f t="shared" ca="1" si="184"/>
        <v>Yes</v>
      </c>
      <c r="G1063" s="21">
        <f t="shared" ca="1" si="180"/>
        <v>0.72844604355532283</v>
      </c>
      <c r="H1063" s="21">
        <f t="shared" ca="1" si="181"/>
        <v>3271.8512401100152</v>
      </c>
      <c r="I1063" s="21">
        <f t="shared" ca="1" si="176"/>
        <v>3274.7022212137949</v>
      </c>
      <c r="J1063" s="20">
        <f t="shared" ca="1" si="185"/>
        <v>0</v>
      </c>
      <c r="K1063" s="20">
        <f t="shared" ca="1" si="177"/>
        <v>0</v>
      </c>
      <c r="L1063" s="44">
        <f t="shared" ca="1" si="182"/>
        <v>0</v>
      </c>
    </row>
    <row r="1064" spans="1:12" x14ac:dyDescent="0.25">
      <c r="A1064" s="20">
        <v>1056</v>
      </c>
      <c r="B1064" s="21">
        <f t="shared" ca="1" si="178"/>
        <v>5.9614109011602157</v>
      </c>
      <c r="C1064" s="21">
        <f t="shared" ca="1" si="183"/>
        <v>3277.8126510111756</v>
      </c>
      <c r="D1064" s="21">
        <f t="shared" ca="1" si="179"/>
        <v>2.874305610069479</v>
      </c>
      <c r="E1064" s="21">
        <f t="shared" ca="1" si="186"/>
        <v>0</v>
      </c>
      <c r="F1064" s="20" t="str">
        <f t="shared" ca="1" si="184"/>
        <v>Yes</v>
      </c>
      <c r="G1064" s="21">
        <f t="shared" ca="1" si="180"/>
        <v>3.1104297973806752</v>
      </c>
      <c r="H1064" s="21">
        <f t="shared" ca="1" si="181"/>
        <v>3277.8126510111756</v>
      </c>
      <c r="I1064" s="21">
        <f t="shared" ca="1" si="176"/>
        <v>3280.6869566212449</v>
      </c>
      <c r="J1064" s="20">
        <f t="shared" ca="1" si="185"/>
        <v>0</v>
      </c>
      <c r="K1064" s="20">
        <f t="shared" ca="1" si="177"/>
        <v>2</v>
      </c>
      <c r="L1064" s="44">
        <f t="shared" ca="1" si="182"/>
        <v>1</v>
      </c>
    </row>
    <row r="1065" spans="1:12" x14ac:dyDescent="0.25">
      <c r="A1065" s="20">
        <v>1057</v>
      </c>
      <c r="B1065" s="21">
        <f t="shared" ca="1" si="178"/>
        <v>0.45406522189526938</v>
      </c>
      <c r="C1065" s="21">
        <f t="shared" ca="1" si="183"/>
        <v>3278.2667162330708</v>
      </c>
      <c r="D1065" s="21">
        <f t="shared" ca="1" si="179"/>
        <v>8.9532958849426691</v>
      </c>
      <c r="E1065" s="21">
        <f t="shared" ca="1" si="186"/>
        <v>2.4202403881740793</v>
      </c>
      <c r="F1065" s="20" t="str">
        <f t="shared" ca="1" si="184"/>
        <v>No</v>
      </c>
      <c r="G1065" s="21">
        <f t="shared" ca="1" si="180"/>
        <v>0</v>
      </c>
      <c r="H1065" s="21">
        <f t="shared" ca="1" si="181"/>
        <v>3280.6869566212449</v>
      </c>
      <c r="I1065" s="21">
        <f t="shared" ca="1" si="176"/>
        <v>3289.6402525061876</v>
      </c>
      <c r="J1065" s="20">
        <f t="shared" ca="1" si="185"/>
        <v>3</v>
      </c>
      <c r="K1065" s="20">
        <f t="shared" ca="1" si="177"/>
        <v>5</v>
      </c>
      <c r="L1065" s="44">
        <f t="shared" ca="1" si="182"/>
        <v>4</v>
      </c>
    </row>
    <row r="1066" spans="1:12" x14ac:dyDescent="0.25">
      <c r="A1066" s="20">
        <v>1058</v>
      </c>
      <c r="B1066" s="21">
        <f t="shared" ca="1" si="178"/>
        <v>1.8367314078971277</v>
      </c>
      <c r="C1066" s="21">
        <f t="shared" ca="1" si="183"/>
        <v>3280.1034476409682</v>
      </c>
      <c r="D1066" s="21">
        <f t="shared" ca="1" si="179"/>
        <v>2.9571073111650215</v>
      </c>
      <c r="E1066" s="21">
        <f t="shared" ca="1" si="186"/>
        <v>9.5368048652194375</v>
      </c>
      <c r="F1066" s="20" t="str">
        <f t="shared" ca="1" si="184"/>
        <v>No</v>
      </c>
      <c r="G1066" s="21">
        <f t="shared" ca="1" si="180"/>
        <v>0</v>
      </c>
      <c r="H1066" s="21">
        <f t="shared" ca="1" si="181"/>
        <v>3289.6402525061876</v>
      </c>
      <c r="I1066" s="21">
        <f t="shared" ca="1" si="176"/>
        <v>3292.5973598173528</v>
      </c>
      <c r="J1066" s="20">
        <f t="shared" ca="1" si="185"/>
        <v>6</v>
      </c>
      <c r="K1066" s="20">
        <f t="shared" ca="1" si="177"/>
        <v>5</v>
      </c>
      <c r="L1066" s="44">
        <f t="shared" ca="1" si="182"/>
        <v>5.5</v>
      </c>
    </row>
    <row r="1067" spans="1:12" x14ac:dyDescent="0.25">
      <c r="A1067" s="20">
        <v>1059</v>
      </c>
      <c r="B1067" s="21">
        <f t="shared" ca="1" si="178"/>
        <v>1.6719733861107684</v>
      </c>
      <c r="C1067" s="21">
        <f t="shared" ca="1" si="183"/>
        <v>3281.7754210270791</v>
      </c>
      <c r="D1067" s="21">
        <f t="shared" ca="1" si="179"/>
        <v>4.4611920770716429</v>
      </c>
      <c r="E1067" s="21">
        <f t="shared" ca="1" si="186"/>
        <v>10.821938790273634</v>
      </c>
      <c r="F1067" s="20" t="str">
        <f t="shared" ca="1" si="184"/>
        <v>No</v>
      </c>
      <c r="G1067" s="21">
        <f t="shared" ca="1" si="180"/>
        <v>0</v>
      </c>
      <c r="H1067" s="21">
        <f t="shared" ca="1" si="181"/>
        <v>3292.5973598173528</v>
      </c>
      <c r="I1067" s="21">
        <f t="shared" ca="1" si="176"/>
        <v>3297.0585518944245</v>
      </c>
      <c r="J1067" s="20">
        <f t="shared" ca="1" si="185"/>
        <v>6</v>
      </c>
      <c r="K1067" s="20">
        <f t="shared" ca="1" si="177"/>
        <v>5</v>
      </c>
      <c r="L1067" s="44">
        <f t="shared" ca="1" si="182"/>
        <v>5.5</v>
      </c>
    </row>
    <row r="1068" spans="1:12" x14ac:dyDescent="0.25">
      <c r="A1068" s="20">
        <v>1060</v>
      </c>
      <c r="B1068" s="21">
        <f t="shared" ca="1" si="178"/>
        <v>2.7335473426208994E-2</v>
      </c>
      <c r="C1068" s="21">
        <f t="shared" ca="1" si="183"/>
        <v>3281.8027565005054</v>
      </c>
      <c r="D1068" s="21">
        <f t="shared" ca="1" si="179"/>
        <v>1.795786065331479</v>
      </c>
      <c r="E1068" s="21">
        <f t="shared" ca="1" si="186"/>
        <v>15.255795393919016</v>
      </c>
      <c r="F1068" s="20" t="str">
        <f t="shared" ca="1" si="184"/>
        <v>No</v>
      </c>
      <c r="G1068" s="21">
        <f t="shared" ca="1" si="180"/>
        <v>0</v>
      </c>
      <c r="H1068" s="21">
        <f t="shared" ca="1" si="181"/>
        <v>3297.0585518944245</v>
      </c>
      <c r="I1068" s="21">
        <f t="shared" ca="1" si="176"/>
        <v>3298.8543379597559</v>
      </c>
      <c r="J1068" s="20">
        <f t="shared" ca="1" si="185"/>
        <v>6</v>
      </c>
      <c r="K1068" s="20">
        <f t="shared" ca="1" si="177"/>
        <v>5</v>
      </c>
      <c r="L1068" s="44">
        <f t="shared" ca="1" si="182"/>
        <v>5.5</v>
      </c>
    </row>
    <row r="1069" spans="1:12" x14ac:dyDescent="0.25">
      <c r="A1069" s="20">
        <v>1061</v>
      </c>
      <c r="B1069" s="21">
        <f t="shared" ca="1" si="178"/>
        <v>0.73718845773535524</v>
      </c>
      <c r="C1069" s="21">
        <f t="shared" ca="1" si="183"/>
        <v>3282.539944958241</v>
      </c>
      <c r="D1069" s="21">
        <f t="shared" ca="1" si="179"/>
        <v>2.4997055388514702</v>
      </c>
      <c r="E1069" s="21">
        <f t="shared" ca="1" si="186"/>
        <v>16.314393001514873</v>
      </c>
      <c r="F1069" s="20" t="str">
        <f t="shared" ca="1" si="184"/>
        <v>No</v>
      </c>
      <c r="G1069" s="21">
        <f t="shared" ca="1" si="180"/>
        <v>0</v>
      </c>
      <c r="H1069" s="21">
        <f t="shared" ca="1" si="181"/>
        <v>3298.8543379597559</v>
      </c>
      <c r="I1069" s="21">
        <f t="shared" ca="1" si="176"/>
        <v>3301.3540434986076</v>
      </c>
      <c r="J1069" s="20">
        <f t="shared" ca="1" si="185"/>
        <v>6</v>
      </c>
      <c r="K1069" s="20">
        <f t="shared" ca="1" si="177"/>
        <v>5</v>
      </c>
      <c r="L1069" s="44">
        <f t="shared" ca="1" si="182"/>
        <v>5.5</v>
      </c>
    </row>
    <row r="1070" spans="1:12" x14ac:dyDescent="0.25">
      <c r="A1070" s="20">
        <v>1062</v>
      </c>
      <c r="B1070" s="21">
        <f t="shared" ca="1" si="178"/>
        <v>2.7684138079344014</v>
      </c>
      <c r="C1070" s="21">
        <f t="shared" ca="1" si="183"/>
        <v>3285.3083587661754</v>
      </c>
      <c r="D1070" s="21">
        <f t="shared" ca="1" si="179"/>
        <v>0.82127388035655702</v>
      </c>
      <c r="E1070" s="21">
        <f t="shared" ca="1" si="186"/>
        <v>16.045684732432164</v>
      </c>
      <c r="F1070" s="20" t="str">
        <f t="shared" ca="1" si="184"/>
        <v>No</v>
      </c>
      <c r="G1070" s="21">
        <f t="shared" ca="1" si="180"/>
        <v>0</v>
      </c>
      <c r="H1070" s="21">
        <f t="shared" ca="1" si="181"/>
        <v>3301.3540434986076</v>
      </c>
      <c r="I1070" s="21">
        <f t="shared" ca="1" si="176"/>
        <v>3302.1753173789639</v>
      </c>
      <c r="J1070" s="20">
        <f t="shared" ca="1" si="185"/>
        <v>6</v>
      </c>
      <c r="K1070" s="20">
        <f t="shared" ca="1" si="177"/>
        <v>5</v>
      </c>
      <c r="L1070" s="44">
        <f t="shared" ca="1" si="182"/>
        <v>5.5</v>
      </c>
    </row>
    <row r="1071" spans="1:12" x14ac:dyDescent="0.25">
      <c r="A1071" s="20">
        <v>1063</v>
      </c>
      <c r="B1071" s="21">
        <f t="shared" ca="1" si="178"/>
        <v>4.2144284439350201</v>
      </c>
      <c r="C1071" s="21">
        <f t="shared" ca="1" si="183"/>
        <v>3289.5227872101104</v>
      </c>
      <c r="D1071" s="21">
        <f t="shared" ca="1" si="179"/>
        <v>2.8474625345506075</v>
      </c>
      <c r="E1071" s="21">
        <f t="shared" ca="1" si="186"/>
        <v>12.652530168853446</v>
      </c>
      <c r="F1071" s="20" t="str">
        <f t="shared" ca="1" si="184"/>
        <v>No</v>
      </c>
      <c r="G1071" s="21">
        <f t="shared" ca="1" si="180"/>
        <v>0</v>
      </c>
      <c r="H1071" s="21">
        <f t="shared" ca="1" si="181"/>
        <v>3302.1753173789639</v>
      </c>
      <c r="I1071" s="21">
        <f t="shared" ca="1" si="176"/>
        <v>3305.0227799135146</v>
      </c>
      <c r="J1071" s="20">
        <f t="shared" ca="1" si="185"/>
        <v>6</v>
      </c>
      <c r="K1071" s="20">
        <f t="shared" ca="1" si="177"/>
        <v>4</v>
      </c>
      <c r="L1071" s="44">
        <f t="shared" ca="1" si="182"/>
        <v>5</v>
      </c>
    </row>
    <row r="1072" spans="1:12" x14ac:dyDescent="0.25">
      <c r="A1072" s="20">
        <v>1064</v>
      </c>
      <c r="B1072" s="21">
        <f t="shared" ca="1" si="178"/>
        <v>4.5867160665076625</v>
      </c>
      <c r="C1072" s="21">
        <f t="shared" ca="1" si="183"/>
        <v>3294.1095032766179</v>
      </c>
      <c r="D1072" s="21">
        <f t="shared" ca="1" si="179"/>
        <v>0.33722796397218574</v>
      </c>
      <c r="E1072" s="21">
        <f t="shared" ca="1" si="186"/>
        <v>10.913276636896626</v>
      </c>
      <c r="F1072" s="20" t="str">
        <f t="shared" ca="1" si="184"/>
        <v>No</v>
      </c>
      <c r="G1072" s="21">
        <f t="shared" ca="1" si="180"/>
        <v>0</v>
      </c>
      <c r="H1072" s="21">
        <f t="shared" ca="1" si="181"/>
        <v>3305.0227799135146</v>
      </c>
      <c r="I1072" s="21">
        <f t="shared" ca="1" si="176"/>
        <v>3305.3600078774866</v>
      </c>
      <c r="J1072" s="20">
        <f t="shared" ca="1" si="185"/>
        <v>5</v>
      </c>
      <c r="K1072" s="20">
        <f t="shared" ca="1" si="177"/>
        <v>3</v>
      </c>
      <c r="L1072" s="44">
        <f t="shared" ca="1" si="182"/>
        <v>4</v>
      </c>
    </row>
    <row r="1073" spans="1:12" x14ac:dyDescent="0.25">
      <c r="A1073" s="20">
        <v>1065</v>
      </c>
      <c r="B1073" s="21">
        <f t="shared" ca="1" si="178"/>
        <v>2.1552377745231186</v>
      </c>
      <c r="C1073" s="21">
        <f t="shared" ca="1" si="183"/>
        <v>3296.2647410511408</v>
      </c>
      <c r="D1073" s="21">
        <f t="shared" ca="1" si="179"/>
        <v>2.4256193819067975</v>
      </c>
      <c r="E1073" s="21">
        <f t="shared" ca="1" si="186"/>
        <v>9.0952668263457781</v>
      </c>
      <c r="F1073" s="20" t="str">
        <f t="shared" ca="1" si="184"/>
        <v>No</v>
      </c>
      <c r="G1073" s="21">
        <f t="shared" ca="1" si="180"/>
        <v>0</v>
      </c>
      <c r="H1073" s="21">
        <f t="shared" ca="1" si="181"/>
        <v>3305.3600078774866</v>
      </c>
      <c r="I1073" s="21">
        <f t="shared" ca="1" si="176"/>
        <v>3307.7856272593936</v>
      </c>
      <c r="J1073" s="20">
        <f t="shared" ca="1" si="185"/>
        <v>4</v>
      </c>
      <c r="K1073" s="20">
        <f t="shared" ca="1" si="177"/>
        <v>4</v>
      </c>
      <c r="L1073" s="44">
        <f t="shared" ca="1" si="182"/>
        <v>4</v>
      </c>
    </row>
    <row r="1074" spans="1:12" x14ac:dyDescent="0.25">
      <c r="A1074" s="20">
        <v>1066</v>
      </c>
      <c r="B1074" s="21">
        <f t="shared" ca="1" si="178"/>
        <v>3.4960502169893188</v>
      </c>
      <c r="C1074" s="21">
        <f t="shared" ca="1" si="183"/>
        <v>3299.7607912681301</v>
      </c>
      <c r="D1074" s="21">
        <f t="shared" ca="1" si="179"/>
        <v>2.1980825680617069</v>
      </c>
      <c r="E1074" s="21">
        <f t="shared" ca="1" si="186"/>
        <v>8.0248359912634442</v>
      </c>
      <c r="F1074" s="20" t="str">
        <f t="shared" ca="1" si="184"/>
        <v>No</v>
      </c>
      <c r="G1074" s="21">
        <f t="shared" ca="1" si="180"/>
        <v>0</v>
      </c>
      <c r="H1074" s="21">
        <f t="shared" ca="1" si="181"/>
        <v>3307.7856272593936</v>
      </c>
      <c r="I1074" s="21">
        <f t="shared" ca="1" si="176"/>
        <v>3309.9837098274552</v>
      </c>
      <c r="J1074" s="20">
        <f t="shared" ca="1" si="185"/>
        <v>5</v>
      </c>
      <c r="K1074" s="20">
        <f t="shared" ca="1" si="177"/>
        <v>3</v>
      </c>
      <c r="L1074" s="44">
        <f t="shared" ca="1" si="182"/>
        <v>4</v>
      </c>
    </row>
    <row r="1075" spans="1:12" x14ac:dyDescent="0.25">
      <c r="A1075" s="20">
        <v>1067</v>
      </c>
      <c r="B1075" s="21">
        <f t="shared" ca="1" si="178"/>
        <v>0.86037175400313626</v>
      </c>
      <c r="C1075" s="21">
        <f t="shared" ca="1" si="183"/>
        <v>3300.6211630221333</v>
      </c>
      <c r="D1075" s="21">
        <f t="shared" ca="1" si="179"/>
        <v>1.8056923550297002</v>
      </c>
      <c r="E1075" s="21">
        <f t="shared" ca="1" si="186"/>
        <v>9.3625468053219265</v>
      </c>
      <c r="F1075" s="20" t="str">
        <f t="shared" ca="1" si="184"/>
        <v>No</v>
      </c>
      <c r="G1075" s="21">
        <f t="shared" ca="1" si="180"/>
        <v>0</v>
      </c>
      <c r="H1075" s="21">
        <f t="shared" ca="1" si="181"/>
        <v>3309.9837098274552</v>
      </c>
      <c r="I1075" s="21">
        <f t="shared" ca="1" si="176"/>
        <v>3311.789402182485</v>
      </c>
      <c r="J1075" s="20">
        <f t="shared" ca="1" si="185"/>
        <v>4</v>
      </c>
      <c r="K1075" s="20">
        <f t="shared" ca="1" si="177"/>
        <v>2</v>
      </c>
      <c r="L1075" s="44">
        <f t="shared" ca="1" si="182"/>
        <v>3</v>
      </c>
    </row>
    <row r="1076" spans="1:12" x14ac:dyDescent="0.25">
      <c r="A1076" s="20">
        <v>1068</v>
      </c>
      <c r="B1076" s="21">
        <f t="shared" ca="1" si="178"/>
        <v>4.836126738048609</v>
      </c>
      <c r="C1076" s="21">
        <f t="shared" ca="1" si="183"/>
        <v>3305.457289760182</v>
      </c>
      <c r="D1076" s="21">
        <f t="shared" ca="1" si="179"/>
        <v>6.0062091123382864</v>
      </c>
      <c r="E1076" s="21">
        <f t="shared" ca="1" si="186"/>
        <v>6.3321124223029983</v>
      </c>
      <c r="F1076" s="20" t="str">
        <f t="shared" ca="1" si="184"/>
        <v>No</v>
      </c>
      <c r="G1076" s="21">
        <f t="shared" ca="1" si="180"/>
        <v>0</v>
      </c>
      <c r="H1076" s="21">
        <f t="shared" ca="1" si="181"/>
        <v>3311.789402182485</v>
      </c>
      <c r="I1076" s="21">
        <f t="shared" ca="1" si="176"/>
        <v>3317.7956112948232</v>
      </c>
      <c r="J1076" s="20">
        <f t="shared" ca="1" si="185"/>
        <v>3</v>
      </c>
      <c r="K1076" s="20">
        <f t="shared" ca="1" si="177"/>
        <v>2</v>
      </c>
      <c r="L1076" s="44">
        <f t="shared" ca="1" si="182"/>
        <v>2.5</v>
      </c>
    </row>
    <row r="1077" spans="1:12" x14ac:dyDescent="0.25">
      <c r="A1077" s="20">
        <v>1069</v>
      </c>
      <c r="B1077" s="21">
        <f t="shared" ca="1" si="178"/>
        <v>0.89552568003004029</v>
      </c>
      <c r="C1077" s="21">
        <f t="shared" ca="1" si="183"/>
        <v>3306.352815440212</v>
      </c>
      <c r="D1077" s="21">
        <f t="shared" ca="1" si="179"/>
        <v>2.1270693775946015</v>
      </c>
      <c r="E1077" s="21">
        <f t="shared" ca="1" si="186"/>
        <v>11.442795854611177</v>
      </c>
      <c r="F1077" s="20" t="str">
        <f t="shared" ca="1" si="184"/>
        <v>No</v>
      </c>
      <c r="G1077" s="21">
        <f t="shared" ca="1" si="180"/>
        <v>0</v>
      </c>
      <c r="H1077" s="21">
        <f t="shared" ca="1" si="181"/>
        <v>3317.7956112948232</v>
      </c>
      <c r="I1077" s="21">
        <f t="shared" ca="1" si="176"/>
        <v>3319.9226806724178</v>
      </c>
      <c r="J1077" s="20">
        <f t="shared" ca="1" si="185"/>
        <v>3</v>
      </c>
      <c r="K1077" s="20">
        <f t="shared" ca="1" si="177"/>
        <v>2</v>
      </c>
      <c r="L1077" s="44">
        <f t="shared" ca="1" si="182"/>
        <v>2.5</v>
      </c>
    </row>
    <row r="1078" spans="1:12" x14ac:dyDescent="0.25">
      <c r="A1078" s="20">
        <v>1070</v>
      </c>
      <c r="B1078" s="21">
        <f t="shared" ca="1" si="178"/>
        <v>11.314523279266204</v>
      </c>
      <c r="C1078" s="21">
        <f t="shared" ca="1" si="183"/>
        <v>3317.6673387194783</v>
      </c>
      <c r="D1078" s="21">
        <f t="shared" ca="1" si="179"/>
        <v>1.4321201365835838</v>
      </c>
      <c r="E1078" s="21">
        <f t="shared" ca="1" si="186"/>
        <v>2.2553419529394887</v>
      </c>
      <c r="F1078" s="20" t="str">
        <f t="shared" ca="1" si="184"/>
        <v>No</v>
      </c>
      <c r="G1078" s="21">
        <f t="shared" ca="1" si="180"/>
        <v>0</v>
      </c>
      <c r="H1078" s="21">
        <f t="shared" ca="1" si="181"/>
        <v>3319.9226806724178</v>
      </c>
      <c r="I1078" s="21">
        <f t="shared" ca="1" si="176"/>
        <v>3321.3548008090015</v>
      </c>
      <c r="J1078" s="20">
        <f t="shared" ca="1" si="185"/>
        <v>3</v>
      </c>
      <c r="K1078" s="20">
        <f t="shared" ca="1" si="177"/>
        <v>1</v>
      </c>
      <c r="L1078" s="44">
        <f t="shared" ca="1" si="182"/>
        <v>2</v>
      </c>
    </row>
    <row r="1079" spans="1:12" x14ac:dyDescent="0.25">
      <c r="A1079" s="20">
        <v>1071</v>
      </c>
      <c r="B1079" s="21">
        <f t="shared" ca="1" si="178"/>
        <v>0.26323466461119893</v>
      </c>
      <c r="C1079" s="21">
        <f t="shared" ca="1" si="183"/>
        <v>3317.9305733840893</v>
      </c>
      <c r="D1079" s="21">
        <f t="shared" ca="1" si="179"/>
        <v>8.000041346198597E-2</v>
      </c>
      <c r="E1079" s="21">
        <f t="shared" ca="1" si="186"/>
        <v>3.4242274249122602</v>
      </c>
      <c r="F1079" s="20" t="str">
        <f t="shared" ca="1" si="184"/>
        <v>No</v>
      </c>
      <c r="G1079" s="21">
        <f t="shared" ca="1" si="180"/>
        <v>0</v>
      </c>
      <c r="H1079" s="21">
        <f t="shared" ca="1" si="181"/>
        <v>3321.3548008090015</v>
      </c>
      <c r="I1079" s="21">
        <f t="shared" ca="1" si="176"/>
        <v>3321.4348012224636</v>
      </c>
      <c r="J1079" s="20">
        <f t="shared" ca="1" si="185"/>
        <v>2</v>
      </c>
      <c r="K1079" s="20">
        <f t="shared" ca="1" si="177"/>
        <v>1</v>
      </c>
      <c r="L1079" s="44">
        <f t="shared" ca="1" si="182"/>
        <v>1.5</v>
      </c>
    </row>
    <row r="1080" spans="1:12" x14ac:dyDescent="0.25">
      <c r="A1080" s="20">
        <v>1072</v>
      </c>
      <c r="B1080" s="21">
        <f t="shared" ca="1" si="178"/>
        <v>3.4322833548063905</v>
      </c>
      <c r="C1080" s="21">
        <f t="shared" ca="1" si="183"/>
        <v>3321.3628567388955</v>
      </c>
      <c r="D1080" s="21">
        <f t="shared" ca="1" si="179"/>
        <v>3.6976999024870718</v>
      </c>
      <c r="E1080" s="21">
        <f t="shared" ca="1" si="186"/>
        <v>7.1944483568131545E-2</v>
      </c>
      <c r="F1080" s="20" t="str">
        <f t="shared" ca="1" si="184"/>
        <v>No</v>
      </c>
      <c r="G1080" s="21">
        <f t="shared" ca="1" si="180"/>
        <v>0</v>
      </c>
      <c r="H1080" s="21">
        <f t="shared" ca="1" si="181"/>
        <v>3321.4348012224636</v>
      </c>
      <c r="I1080" s="21">
        <f t="shared" ca="1" si="176"/>
        <v>3325.1325011249505</v>
      </c>
      <c r="J1080" s="20">
        <f t="shared" ca="1" si="185"/>
        <v>2</v>
      </c>
      <c r="K1080" s="20">
        <f t="shared" ca="1" si="177"/>
        <v>1</v>
      </c>
      <c r="L1080" s="44">
        <f t="shared" ca="1" si="182"/>
        <v>1.5</v>
      </c>
    </row>
    <row r="1081" spans="1:12" x14ac:dyDescent="0.25">
      <c r="A1081" s="20">
        <v>1073</v>
      </c>
      <c r="B1081" s="21">
        <f t="shared" ca="1" si="178"/>
        <v>0.53165195836723722</v>
      </c>
      <c r="C1081" s="21">
        <f t="shared" ca="1" si="183"/>
        <v>3321.8945086972626</v>
      </c>
      <c r="D1081" s="21">
        <f t="shared" ca="1" si="179"/>
        <v>3.0502073805866119</v>
      </c>
      <c r="E1081" s="21">
        <f t="shared" ca="1" si="186"/>
        <v>3.2379924276879137</v>
      </c>
      <c r="F1081" s="20" t="str">
        <f t="shared" ca="1" si="184"/>
        <v>No</v>
      </c>
      <c r="G1081" s="21">
        <f t="shared" ca="1" si="180"/>
        <v>0</v>
      </c>
      <c r="H1081" s="21">
        <f t="shared" ca="1" si="181"/>
        <v>3325.1325011249505</v>
      </c>
      <c r="I1081" s="21">
        <f t="shared" ca="1" si="176"/>
        <v>3328.182708505537</v>
      </c>
      <c r="J1081" s="20">
        <f t="shared" ca="1" si="185"/>
        <v>2</v>
      </c>
      <c r="K1081" s="20">
        <f t="shared" ca="1" si="177"/>
        <v>0</v>
      </c>
      <c r="L1081" s="44">
        <f t="shared" ca="1" si="182"/>
        <v>1</v>
      </c>
    </row>
    <row r="1082" spans="1:12" x14ac:dyDescent="0.25">
      <c r="A1082" s="20">
        <v>1074</v>
      </c>
      <c r="B1082" s="21">
        <f t="shared" ca="1" si="178"/>
        <v>11.297978168892072</v>
      </c>
      <c r="C1082" s="21">
        <f t="shared" ca="1" si="183"/>
        <v>3333.1924868661545</v>
      </c>
      <c r="D1082" s="21">
        <f t="shared" ca="1" si="179"/>
        <v>2.500196848578474</v>
      </c>
      <c r="E1082" s="21">
        <f t="shared" ca="1" si="186"/>
        <v>0</v>
      </c>
      <c r="F1082" s="20" t="str">
        <f t="shared" ca="1" si="184"/>
        <v>Yes</v>
      </c>
      <c r="G1082" s="21">
        <f t="shared" ca="1" si="180"/>
        <v>5.0097783606174744</v>
      </c>
      <c r="H1082" s="21">
        <f t="shared" ca="1" si="181"/>
        <v>3333.1924868661545</v>
      </c>
      <c r="I1082" s="21">
        <f t="shared" ca="1" si="176"/>
        <v>3335.692683714733</v>
      </c>
      <c r="J1082" s="20">
        <f t="shared" ca="1" si="185"/>
        <v>0</v>
      </c>
      <c r="K1082" s="20">
        <f t="shared" ca="1" si="177"/>
        <v>2</v>
      </c>
      <c r="L1082" s="44">
        <f t="shared" ca="1" si="182"/>
        <v>1</v>
      </c>
    </row>
    <row r="1083" spans="1:12" x14ac:dyDescent="0.25">
      <c r="A1083" s="20">
        <v>1075</v>
      </c>
      <c r="B1083" s="21">
        <f t="shared" ca="1" si="178"/>
        <v>0.71131744598741675</v>
      </c>
      <c r="C1083" s="21">
        <f t="shared" ca="1" si="183"/>
        <v>3333.9038043121418</v>
      </c>
      <c r="D1083" s="21">
        <f t="shared" ca="1" si="179"/>
        <v>8.5842596710758112</v>
      </c>
      <c r="E1083" s="21">
        <f t="shared" ca="1" si="186"/>
        <v>1.788879402591192</v>
      </c>
      <c r="F1083" s="20" t="str">
        <f t="shared" ca="1" si="184"/>
        <v>No</v>
      </c>
      <c r="G1083" s="21">
        <f t="shared" ca="1" si="180"/>
        <v>0</v>
      </c>
      <c r="H1083" s="21">
        <f t="shared" ca="1" si="181"/>
        <v>3335.692683714733</v>
      </c>
      <c r="I1083" s="21">
        <f t="shared" ca="1" si="176"/>
        <v>3344.2769433858089</v>
      </c>
      <c r="J1083" s="20">
        <f t="shared" ca="1" si="185"/>
        <v>3</v>
      </c>
      <c r="K1083" s="20">
        <f t="shared" ca="1" si="177"/>
        <v>3</v>
      </c>
      <c r="L1083" s="44">
        <f t="shared" ca="1" si="182"/>
        <v>3</v>
      </c>
    </row>
    <row r="1084" spans="1:12" x14ac:dyDescent="0.25">
      <c r="A1084" s="20">
        <v>1076</v>
      </c>
      <c r="B1084" s="21">
        <f t="shared" ca="1" si="178"/>
        <v>0.58823960569963263</v>
      </c>
      <c r="C1084" s="21">
        <f t="shared" ca="1" si="183"/>
        <v>3334.4920439178413</v>
      </c>
      <c r="D1084" s="21">
        <f t="shared" ca="1" si="179"/>
        <v>0.66187362537801719</v>
      </c>
      <c r="E1084" s="21">
        <f t="shared" ca="1" si="186"/>
        <v>9.7848994679675343</v>
      </c>
      <c r="F1084" s="20" t="str">
        <f t="shared" ca="1" si="184"/>
        <v>No</v>
      </c>
      <c r="G1084" s="21">
        <f t="shared" ca="1" si="180"/>
        <v>0</v>
      </c>
      <c r="H1084" s="21">
        <f t="shared" ca="1" si="181"/>
        <v>3344.2769433858089</v>
      </c>
      <c r="I1084" s="21">
        <f t="shared" ca="1" si="176"/>
        <v>3344.938817011187</v>
      </c>
      <c r="J1084" s="20">
        <f t="shared" ca="1" si="185"/>
        <v>4</v>
      </c>
      <c r="K1084" s="20">
        <f t="shared" ca="1" si="177"/>
        <v>2</v>
      </c>
      <c r="L1084" s="44">
        <f t="shared" ca="1" si="182"/>
        <v>3</v>
      </c>
    </row>
    <row r="1085" spans="1:12" x14ac:dyDescent="0.25">
      <c r="A1085" s="20">
        <v>1077</v>
      </c>
      <c r="B1085" s="21">
        <f t="shared" ca="1" si="178"/>
        <v>3.8908238667369628</v>
      </c>
      <c r="C1085" s="21">
        <f t="shared" ca="1" si="183"/>
        <v>3338.3828677845781</v>
      </c>
      <c r="D1085" s="21">
        <f t="shared" ca="1" si="179"/>
        <v>0.2179000863774575</v>
      </c>
      <c r="E1085" s="21">
        <f t="shared" ca="1" si="186"/>
        <v>6.5559492266088455</v>
      </c>
      <c r="F1085" s="20" t="str">
        <f t="shared" ca="1" si="184"/>
        <v>No</v>
      </c>
      <c r="G1085" s="21">
        <f t="shared" ca="1" si="180"/>
        <v>0</v>
      </c>
      <c r="H1085" s="21">
        <f t="shared" ca="1" si="181"/>
        <v>3344.938817011187</v>
      </c>
      <c r="I1085" s="21">
        <f t="shared" ca="1" si="176"/>
        <v>3345.1567170975645</v>
      </c>
      <c r="J1085" s="20">
        <f t="shared" ca="1" si="185"/>
        <v>3</v>
      </c>
      <c r="K1085" s="20">
        <f t="shared" ca="1" si="177"/>
        <v>1</v>
      </c>
      <c r="L1085" s="44">
        <f t="shared" ca="1" si="182"/>
        <v>2</v>
      </c>
    </row>
    <row r="1086" spans="1:12" x14ac:dyDescent="0.25">
      <c r="A1086" s="20">
        <v>1078</v>
      </c>
      <c r="B1086" s="21">
        <f t="shared" ca="1" si="178"/>
        <v>3.6354900553302336</v>
      </c>
      <c r="C1086" s="21">
        <f t="shared" ca="1" si="183"/>
        <v>3342.0183578399083</v>
      </c>
      <c r="D1086" s="21">
        <f t="shared" ca="1" si="179"/>
        <v>0.77029345693001749</v>
      </c>
      <c r="E1086" s="21">
        <f t="shared" ca="1" si="186"/>
        <v>3.1383592576562478</v>
      </c>
      <c r="F1086" s="20" t="str">
        <f t="shared" ca="1" si="184"/>
        <v>No</v>
      </c>
      <c r="G1086" s="21">
        <f t="shared" ca="1" si="180"/>
        <v>0</v>
      </c>
      <c r="H1086" s="21">
        <f t="shared" ca="1" si="181"/>
        <v>3345.1567170975645</v>
      </c>
      <c r="I1086" s="21">
        <f t="shared" ca="1" si="176"/>
        <v>3345.9270105544947</v>
      </c>
      <c r="J1086" s="20">
        <f t="shared" ca="1" si="185"/>
        <v>2</v>
      </c>
      <c r="K1086" s="20">
        <f t="shared" ca="1" si="177"/>
        <v>0</v>
      </c>
      <c r="L1086" s="44">
        <f t="shared" ca="1" si="182"/>
        <v>1</v>
      </c>
    </row>
    <row r="1087" spans="1:12" x14ac:dyDescent="0.25">
      <c r="A1087" s="20">
        <v>1079</v>
      </c>
      <c r="B1087" s="21">
        <f t="shared" ca="1" si="178"/>
        <v>6.2383038229554</v>
      </c>
      <c r="C1087" s="21">
        <f t="shared" ca="1" si="183"/>
        <v>3348.2566616628637</v>
      </c>
      <c r="D1087" s="21">
        <f t="shared" ca="1" si="179"/>
        <v>0.51172456393610333</v>
      </c>
      <c r="E1087" s="21">
        <f t="shared" ca="1" si="186"/>
        <v>0</v>
      </c>
      <c r="F1087" s="20" t="str">
        <f t="shared" ca="1" si="184"/>
        <v>Yes</v>
      </c>
      <c r="G1087" s="21">
        <f t="shared" ca="1" si="180"/>
        <v>2.3296511083690348</v>
      </c>
      <c r="H1087" s="21">
        <f t="shared" ca="1" si="181"/>
        <v>3348.2566616628637</v>
      </c>
      <c r="I1087" s="21">
        <f t="shared" ca="1" si="176"/>
        <v>3348.7683862268</v>
      </c>
      <c r="J1087" s="20">
        <f t="shared" ca="1" si="185"/>
        <v>0</v>
      </c>
      <c r="K1087" s="20">
        <f t="shared" ca="1" si="177"/>
        <v>0</v>
      </c>
      <c r="L1087" s="44">
        <f t="shared" ca="1" si="182"/>
        <v>0</v>
      </c>
    </row>
    <row r="1088" spans="1:12" x14ac:dyDescent="0.25">
      <c r="A1088" s="20">
        <v>1080</v>
      </c>
      <c r="B1088" s="21">
        <f t="shared" ca="1" si="178"/>
        <v>2.6315727944510279</v>
      </c>
      <c r="C1088" s="21">
        <f t="shared" ca="1" si="183"/>
        <v>3350.8882344573149</v>
      </c>
      <c r="D1088" s="21">
        <f t="shared" ca="1" si="179"/>
        <v>2.1781754784970864</v>
      </c>
      <c r="E1088" s="21">
        <f t="shared" ca="1" si="186"/>
        <v>0</v>
      </c>
      <c r="F1088" s="20" t="str">
        <f t="shared" ca="1" si="184"/>
        <v>Yes</v>
      </c>
      <c r="G1088" s="21">
        <f t="shared" ca="1" si="180"/>
        <v>2.11984823051489</v>
      </c>
      <c r="H1088" s="21">
        <f t="shared" ca="1" si="181"/>
        <v>3350.8882344573149</v>
      </c>
      <c r="I1088" s="21">
        <f t="shared" ca="1" si="176"/>
        <v>3353.0664099358119</v>
      </c>
      <c r="J1088" s="20">
        <f t="shared" ca="1" si="185"/>
        <v>0</v>
      </c>
      <c r="K1088" s="20">
        <f t="shared" ca="1" si="177"/>
        <v>1</v>
      </c>
      <c r="L1088" s="44">
        <f t="shared" ca="1" si="182"/>
        <v>0.5</v>
      </c>
    </row>
    <row r="1089" spans="1:12" x14ac:dyDescent="0.25">
      <c r="A1089" s="20">
        <v>1081</v>
      </c>
      <c r="B1089" s="21">
        <f t="shared" ca="1" si="178"/>
        <v>1.3244117752836495</v>
      </c>
      <c r="C1089" s="21">
        <f t="shared" ca="1" si="183"/>
        <v>3352.2126462325987</v>
      </c>
      <c r="D1089" s="21">
        <f t="shared" ca="1" si="179"/>
        <v>0.89715266984333131</v>
      </c>
      <c r="E1089" s="21">
        <f t="shared" ca="1" si="186"/>
        <v>0.85376370321318973</v>
      </c>
      <c r="F1089" s="20" t="str">
        <f t="shared" ca="1" si="184"/>
        <v>No</v>
      </c>
      <c r="G1089" s="21">
        <f t="shared" ca="1" si="180"/>
        <v>0</v>
      </c>
      <c r="H1089" s="21">
        <f t="shared" ca="1" si="181"/>
        <v>3353.0664099358119</v>
      </c>
      <c r="I1089" s="21">
        <f t="shared" ca="1" si="176"/>
        <v>3353.9635626056552</v>
      </c>
      <c r="J1089" s="20">
        <f t="shared" ca="1" si="185"/>
        <v>2</v>
      </c>
      <c r="K1089" s="20">
        <f t="shared" ca="1" si="177"/>
        <v>1</v>
      </c>
      <c r="L1089" s="44">
        <f t="shared" ca="1" si="182"/>
        <v>1.5</v>
      </c>
    </row>
    <row r="1090" spans="1:12" x14ac:dyDescent="0.25">
      <c r="A1090" s="20">
        <v>1082</v>
      </c>
      <c r="B1090" s="21">
        <f t="shared" ca="1" si="178"/>
        <v>1.5968023305423245</v>
      </c>
      <c r="C1090" s="21">
        <f t="shared" ca="1" si="183"/>
        <v>3353.8094485631409</v>
      </c>
      <c r="D1090" s="21">
        <f t="shared" ca="1" si="179"/>
        <v>4.9662902892399341</v>
      </c>
      <c r="E1090" s="21">
        <f t="shared" ca="1" si="186"/>
        <v>0.15411404251426575</v>
      </c>
      <c r="F1090" s="20" t="str">
        <f t="shared" ca="1" si="184"/>
        <v>No</v>
      </c>
      <c r="G1090" s="21">
        <f t="shared" ca="1" si="180"/>
        <v>0</v>
      </c>
      <c r="H1090" s="21">
        <f t="shared" ca="1" si="181"/>
        <v>3353.9635626056552</v>
      </c>
      <c r="I1090" s="21">
        <f t="shared" ca="1" si="176"/>
        <v>3358.9298528948952</v>
      </c>
      <c r="J1090" s="20">
        <f t="shared" ca="1" si="185"/>
        <v>2</v>
      </c>
      <c r="K1090" s="20">
        <f t="shared" ca="1" si="177"/>
        <v>1</v>
      </c>
      <c r="L1090" s="44">
        <f t="shared" ca="1" si="182"/>
        <v>1.5</v>
      </c>
    </row>
    <row r="1091" spans="1:12" x14ac:dyDescent="0.25">
      <c r="A1091" s="20">
        <v>1083</v>
      </c>
      <c r="B1091" s="21">
        <f t="shared" ca="1" si="178"/>
        <v>2.1128940381598817</v>
      </c>
      <c r="C1091" s="21">
        <f t="shared" ca="1" si="183"/>
        <v>3355.9223426013009</v>
      </c>
      <c r="D1091" s="21">
        <f t="shared" ca="1" si="179"/>
        <v>8.1847413119686294</v>
      </c>
      <c r="E1091" s="21">
        <f t="shared" ca="1" si="186"/>
        <v>3.0075102935943505</v>
      </c>
      <c r="F1091" s="20" t="str">
        <f t="shared" ca="1" si="184"/>
        <v>No</v>
      </c>
      <c r="G1091" s="21">
        <f t="shared" ca="1" si="180"/>
        <v>0</v>
      </c>
      <c r="H1091" s="21">
        <f t="shared" ca="1" si="181"/>
        <v>3358.9298528948952</v>
      </c>
      <c r="I1091" s="21">
        <f t="shared" ca="1" si="176"/>
        <v>3367.1145942068638</v>
      </c>
      <c r="J1091" s="20">
        <f t="shared" ca="1" si="185"/>
        <v>2</v>
      </c>
      <c r="K1091" s="20">
        <f t="shared" ca="1" si="177"/>
        <v>1</v>
      </c>
      <c r="L1091" s="44">
        <f t="shared" ca="1" si="182"/>
        <v>1.5</v>
      </c>
    </row>
    <row r="1092" spans="1:12" x14ac:dyDescent="0.25">
      <c r="A1092" s="20">
        <v>1084</v>
      </c>
      <c r="B1092" s="21">
        <f t="shared" ca="1" si="178"/>
        <v>8.8820126320596255</v>
      </c>
      <c r="C1092" s="21">
        <f t="shared" ca="1" si="183"/>
        <v>3364.8043552333606</v>
      </c>
      <c r="D1092" s="21">
        <f t="shared" ca="1" si="179"/>
        <v>0.99632005599758189</v>
      </c>
      <c r="E1092" s="21">
        <f t="shared" ca="1" si="186"/>
        <v>2.3102389735031466</v>
      </c>
      <c r="F1092" s="20" t="str">
        <f t="shared" ca="1" si="184"/>
        <v>No</v>
      </c>
      <c r="G1092" s="21">
        <f t="shared" ca="1" si="180"/>
        <v>0</v>
      </c>
      <c r="H1092" s="21">
        <f t="shared" ca="1" si="181"/>
        <v>3367.1145942068638</v>
      </c>
      <c r="I1092" s="21">
        <f t="shared" ca="1" si="176"/>
        <v>3368.1109142628616</v>
      </c>
      <c r="J1092" s="20">
        <f t="shared" ca="1" si="185"/>
        <v>2</v>
      </c>
      <c r="K1092" s="20">
        <f t="shared" ca="1" si="177"/>
        <v>0</v>
      </c>
      <c r="L1092" s="44">
        <f t="shared" ca="1" si="182"/>
        <v>1</v>
      </c>
    </row>
    <row r="1093" spans="1:12" x14ac:dyDescent="0.25">
      <c r="A1093" s="20">
        <v>1085</v>
      </c>
      <c r="B1093" s="21">
        <f t="shared" ca="1" si="178"/>
        <v>3.3695518522867518</v>
      </c>
      <c r="C1093" s="21">
        <f t="shared" ca="1" si="183"/>
        <v>3368.1739070856474</v>
      </c>
      <c r="D1093" s="21">
        <f t="shared" ca="1" si="179"/>
        <v>5.7373429942858545</v>
      </c>
      <c r="E1093" s="21">
        <f t="shared" ca="1" si="186"/>
        <v>0</v>
      </c>
      <c r="F1093" s="20" t="str">
        <f t="shared" ca="1" si="184"/>
        <v>Yes</v>
      </c>
      <c r="G1093" s="21">
        <f t="shared" ca="1" si="180"/>
        <v>6.2992822785872704E-2</v>
      </c>
      <c r="H1093" s="21">
        <f t="shared" ca="1" si="181"/>
        <v>3368.1739070856474</v>
      </c>
      <c r="I1093" s="21">
        <f t="shared" ca="1" si="176"/>
        <v>3373.9112500799333</v>
      </c>
      <c r="J1093" s="20">
        <f t="shared" ca="1" si="185"/>
        <v>0</v>
      </c>
      <c r="K1093" s="20">
        <f t="shared" ca="1" si="177"/>
        <v>1</v>
      </c>
      <c r="L1093" s="44">
        <f t="shared" ca="1" si="182"/>
        <v>0.5</v>
      </c>
    </row>
    <row r="1094" spans="1:12" x14ac:dyDescent="0.25">
      <c r="A1094" s="20">
        <v>1086</v>
      </c>
      <c r="B1094" s="21">
        <f t="shared" ca="1" si="178"/>
        <v>3.5798036546599463</v>
      </c>
      <c r="C1094" s="21">
        <f t="shared" ca="1" si="183"/>
        <v>3371.7537107403073</v>
      </c>
      <c r="D1094" s="21">
        <f t="shared" ca="1" si="179"/>
        <v>2.0138686454558798</v>
      </c>
      <c r="E1094" s="21">
        <f t="shared" ca="1" si="186"/>
        <v>2.1575393396260552</v>
      </c>
      <c r="F1094" s="20" t="str">
        <f t="shared" ca="1" si="184"/>
        <v>No</v>
      </c>
      <c r="G1094" s="21">
        <f t="shared" ca="1" si="180"/>
        <v>0</v>
      </c>
      <c r="H1094" s="21">
        <f t="shared" ca="1" si="181"/>
        <v>3373.9112500799333</v>
      </c>
      <c r="I1094" s="21">
        <f t="shared" ca="1" si="176"/>
        <v>3375.925118725389</v>
      </c>
      <c r="J1094" s="20">
        <f t="shared" ca="1" si="185"/>
        <v>2</v>
      </c>
      <c r="K1094" s="20">
        <f t="shared" ca="1" si="177"/>
        <v>0</v>
      </c>
      <c r="L1094" s="44">
        <f t="shared" ca="1" si="182"/>
        <v>1</v>
      </c>
    </row>
    <row r="1095" spans="1:12" x14ac:dyDescent="0.25">
      <c r="A1095" s="20">
        <v>1087</v>
      </c>
      <c r="B1095" s="21">
        <f t="shared" ca="1" si="178"/>
        <v>4.3488096629552713</v>
      </c>
      <c r="C1095" s="21">
        <f t="shared" ca="1" si="183"/>
        <v>3376.1025204032626</v>
      </c>
      <c r="D1095" s="21">
        <f t="shared" ca="1" si="179"/>
        <v>0.31162756356943394</v>
      </c>
      <c r="E1095" s="21">
        <f t="shared" ca="1" si="186"/>
        <v>0</v>
      </c>
      <c r="F1095" s="20" t="str">
        <f t="shared" ca="1" si="184"/>
        <v>Yes</v>
      </c>
      <c r="G1095" s="21">
        <f t="shared" ca="1" si="180"/>
        <v>0.17740167787360406</v>
      </c>
      <c r="H1095" s="21">
        <f t="shared" ca="1" si="181"/>
        <v>3376.1025204032626</v>
      </c>
      <c r="I1095" s="21">
        <f t="shared" ca="1" si="176"/>
        <v>3376.4141479668319</v>
      </c>
      <c r="J1095" s="20">
        <f t="shared" ca="1" si="185"/>
        <v>0</v>
      </c>
      <c r="K1095" s="20">
        <f t="shared" ca="1" si="177"/>
        <v>1</v>
      </c>
      <c r="L1095" s="44">
        <f t="shared" ca="1" si="182"/>
        <v>0.5</v>
      </c>
    </row>
    <row r="1096" spans="1:12" x14ac:dyDescent="0.25">
      <c r="A1096" s="20">
        <v>1088</v>
      </c>
      <c r="B1096" s="21">
        <f t="shared" ca="1" si="178"/>
        <v>0.27324200348468486</v>
      </c>
      <c r="C1096" s="21">
        <f t="shared" ca="1" si="183"/>
        <v>3376.3757624067471</v>
      </c>
      <c r="D1096" s="21">
        <f t="shared" ca="1" si="179"/>
        <v>3.6202174142965373</v>
      </c>
      <c r="E1096" s="21">
        <f t="shared" ca="1" si="186"/>
        <v>3.8385560084861936E-2</v>
      </c>
      <c r="F1096" s="20" t="str">
        <f t="shared" ca="1" si="184"/>
        <v>No</v>
      </c>
      <c r="G1096" s="21">
        <f t="shared" ca="1" si="180"/>
        <v>0</v>
      </c>
      <c r="H1096" s="21">
        <f t="shared" ca="1" si="181"/>
        <v>3376.4141479668319</v>
      </c>
      <c r="I1096" s="21">
        <f t="shared" ca="1" si="176"/>
        <v>3380.0343653811283</v>
      </c>
      <c r="J1096" s="20">
        <f t="shared" ca="1" si="185"/>
        <v>2</v>
      </c>
      <c r="K1096" s="20">
        <f t="shared" ca="1" si="177"/>
        <v>1</v>
      </c>
      <c r="L1096" s="44">
        <f t="shared" ca="1" si="182"/>
        <v>1.5</v>
      </c>
    </row>
    <row r="1097" spans="1:12" x14ac:dyDescent="0.25">
      <c r="A1097" s="20">
        <v>1089</v>
      </c>
      <c r="B1097" s="21">
        <f t="shared" ca="1" si="178"/>
        <v>3.0194579901640974</v>
      </c>
      <c r="C1097" s="21">
        <f t="shared" ca="1" si="183"/>
        <v>3379.3952203969111</v>
      </c>
      <c r="D1097" s="21">
        <f t="shared" ca="1" si="179"/>
        <v>0.47451989702712349</v>
      </c>
      <c r="E1097" s="21">
        <f t="shared" ca="1" si="186"/>
        <v>0.63914498421718235</v>
      </c>
      <c r="F1097" s="20" t="str">
        <f t="shared" ca="1" si="184"/>
        <v>No</v>
      </c>
      <c r="G1097" s="21">
        <f t="shared" ca="1" si="180"/>
        <v>0</v>
      </c>
      <c r="H1097" s="21">
        <f t="shared" ca="1" si="181"/>
        <v>3380.0343653811283</v>
      </c>
      <c r="I1097" s="21">
        <f t="shared" ref="I1097:I1160" ca="1" si="187">$H1097+$D1097</f>
        <v>3380.5088852781555</v>
      </c>
      <c r="J1097" s="20">
        <f t="shared" ca="1" si="185"/>
        <v>2</v>
      </c>
      <c r="K1097" s="20">
        <f t="shared" ref="K1097:K1160" ca="1" si="188">IF($I1097&lt;=$C1098,0,IF($I1097&lt;=$C1099,1,IF($I1097&lt;=$C1100,2,IF($I1097&lt;=$C1101,3,IF($I1097&lt;=$C1102,4,5)))))</f>
        <v>1</v>
      </c>
      <c r="L1097" s="44">
        <f t="shared" ca="1" si="182"/>
        <v>1.5</v>
      </c>
    </row>
    <row r="1098" spans="1:12" x14ac:dyDescent="0.25">
      <c r="A1098" s="20">
        <v>1090</v>
      </c>
      <c r="B1098" s="21">
        <f t="shared" ref="B1098:B1161" ca="1" si="189">-LN(RAND())/$D$4</f>
        <v>0.66103338740934658</v>
      </c>
      <c r="C1098" s="21">
        <f t="shared" ca="1" si="183"/>
        <v>3380.0562537843202</v>
      </c>
      <c r="D1098" s="21">
        <f t="shared" ref="D1098:D1161" ca="1" si="190">-LN(RAND())/$D$6</f>
        <v>1.8015033920928487</v>
      </c>
      <c r="E1098" s="21">
        <f t="shared" ca="1" si="186"/>
        <v>0.45263149383526979</v>
      </c>
      <c r="F1098" s="20" t="str">
        <f t="shared" ca="1" si="184"/>
        <v>No</v>
      </c>
      <c r="G1098" s="21">
        <f t="shared" ref="G1098:G1161" ca="1" si="191">IF($I1097&lt;=$C1098,$C1098-$I1097,0)</f>
        <v>0</v>
      </c>
      <c r="H1098" s="21">
        <f t="shared" ref="H1098:H1161" ca="1" si="192">IF($I1097&lt;=$C1098,$C1098,$I1097)</f>
        <v>3380.5088852781555</v>
      </c>
      <c r="I1098" s="21">
        <f t="shared" ca="1" si="187"/>
        <v>3382.3103886702484</v>
      </c>
      <c r="J1098" s="20">
        <f t="shared" ca="1" si="185"/>
        <v>2</v>
      </c>
      <c r="K1098" s="20">
        <f t="shared" ca="1" si="188"/>
        <v>0</v>
      </c>
      <c r="L1098" s="44">
        <f t="shared" ref="L1098:L1161" ca="1" si="193">(J1098+K1098)/2</f>
        <v>1</v>
      </c>
    </row>
    <row r="1099" spans="1:12" x14ac:dyDescent="0.25">
      <c r="A1099" s="20">
        <v>1091</v>
      </c>
      <c r="B1099" s="21">
        <f t="shared" ca="1" si="189"/>
        <v>4.6475922827853813</v>
      </c>
      <c r="C1099" s="21">
        <f t="shared" ref="C1099:C1162" ca="1" si="194">$C1098+$B1099</f>
        <v>3384.7038460671056</v>
      </c>
      <c r="D1099" s="21">
        <f t="shared" ca="1" si="190"/>
        <v>1.0191649618044836</v>
      </c>
      <c r="E1099" s="21">
        <f t="shared" ca="1" si="186"/>
        <v>0</v>
      </c>
      <c r="F1099" s="20" t="str">
        <f t="shared" ref="F1099:F1162" ca="1" si="195">IF(E1099=0,"Yes","No")</f>
        <v>Yes</v>
      </c>
      <c r="G1099" s="21">
        <f t="shared" ca="1" si="191"/>
        <v>2.3934573968572295</v>
      </c>
      <c r="H1099" s="21">
        <f t="shared" ca="1" si="192"/>
        <v>3384.7038460671056</v>
      </c>
      <c r="I1099" s="21">
        <f t="shared" ca="1" si="187"/>
        <v>3385.7230110289102</v>
      </c>
      <c r="J1099" s="20">
        <f t="shared" ref="J1099:J1162" ca="1" si="196">IF($I1098&lt;=$C1099,0,$K1098+1)</f>
        <v>0</v>
      </c>
      <c r="K1099" s="20">
        <f t="shared" ca="1" si="188"/>
        <v>0</v>
      </c>
      <c r="L1099" s="44">
        <f t="shared" ca="1" si="193"/>
        <v>0</v>
      </c>
    </row>
    <row r="1100" spans="1:12" x14ac:dyDescent="0.25">
      <c r="A1100" s="20">
        <v>1092</v>
      </c>
      <c r="B1100" s="21">
        <f t="shared" ca="1" si="189"/>
        <v>1.4399317671519742</v>
      </c>
      <c r="C1100" s="21">
        <f t="shared" ca="1" si="194"/>
        <v>3386.1437778342574</v>
      </c>
      <c r="D1100" s="21">
        <f t="shared" ca="1" si="190"/>
        <v>0.97722692191986515</v>
      </c>
      <c r="E1100" s="21">
        <f t="shared" ref="E1100:E1163" ca="1" si="197">IF($I1099&lt;=$C1100,0,$I1099-$C1100)</f>
        <v>0</v>
      </c>
      <c r="F1100" s="20" t="str">
        <f t="shared" ca="1" si="195"/>
        <v>Yes</v>
      </c>
      <c r="G1100" s="21">
        <f t="shared" ca="1" si="191"/>
        <v>0.42076680534728439</v>
      </c>
      <c r="H1100" s="21">
        <f t="shared" ca="1" si="192"/>
        <v>3386.1437778342574</v>
      </c>
      <c r="I1100" s="21">
        <f t="shared" ca="1" si="187"/>
        <v>3387.1210047561772</v>
      </c>
      <c r="J1100" s="20">
        <f t="shared" ca="1" si="196"/>
        <v>0</v>
      </c>
      <c r="K1100" s="20">
        <f t="shared" ca="1" si="188"/>
        <v>0</v>
      </c>
      <c r="L1100" s="44">
        <f t="shared" ca="1" si="193"/>
        <v>0</v>
      </c>
    </row>
    <row r="1101" spans="1:12" x14ac:dyDescent="0.25">
      <c r="A1101" s="20">
        <v>1093</v>
      </c>
      <c r="B1101" s="21">
        <f t="shared" ca="1" si="189"/>
        <v>1.4514929325842461</v>
      </c>
      <c r="C1101" s="21">
        <f t="shared" ca="1" si="194"/>
        <v>3387.5952707668416</v>
      </c>
      <c r="D1101" s="21">
        <f t="shared" ca="1" si="190"/>
        <v>0.58990914811296669</v>
      </c>
      <c r="E1101" s="21">
        <f t="shared" ca="1" si="197"/>
        <v>0</v>
      </c>
      <c r="F1101" s="20" t="str">
        <f t="shared" ca="1" si="195"/>
        <v>Yes</v>
      </c>
      <c r="G1101" s="21">
        <f t="shared" ca="1" si="191"/>
        <v>0.47426601066445073</v>
      </c>
      <c r="H1101" s="21">
        <f t="shared" ca="1" si="192"/>
        <v>3387.5952707668416</v>
      </c>
      <c r="I1101" s="21">
        <f t="shared" ca="1" si="187"/>
        <v>3388.1851799149545</v>
      </c>
      <c r="J1101" s="20">
        <f t="shared" ca="1" si="196"/>
        <v>0</v>
      </c>
      <c r="K1101" s="20">
        <f t="shared" ca="1" si="188"/>
        <v>0</v>
      </c>
      <c r="L1101" s="44">
        <f t="shared" ca="1" si="193"/>
        <v>0</v>
      </c>
    </row>
    <row r="1102" spans="1:12" x14ac:dyDescent="0.25">
      <c r="A1102" s="20">
        <v>1094</v>
      </c>
      <c r="B1102" s="21">
        <f t="shared" ca="1" si="189"/>
        <v>0.84045818127837413</v>
      </c>
      <c r="C1102" s="21">
        <f t="shared" ca="1" si="194"/>
        <v>3388.43572894812</v>
      </c>
      <c r="D1102" s="21">
        <f t="shared" ca="1" si="190"/>
        <v>9.4777884512830965</v>
      </c>
      <c r="E1102" s="21">
        <f t="shared" ca="1" si="197"/>
        <v>0</v>
      </c>
      <c r="F1102" s="20" t="str">
        <f t="shared" ca="1" si="195"/>
        <v>Yes</v>
      </c>
      <c r="G1102" s="21">
        <f t="shared" ca="1" si="191"/>
        <v>0.25054903316549826</v>
      </c>
      <c r="H1102" s="21">
        <f t="shared" ca="1" si="192"/>
        <v>3388.43572894812</v>
      </c>
      <c r="I1102" s="21">
        <f t="shared" ca="1" si="187"/>
        <v>3397.9135173994032</v>
      </c>
      <c r="J1102" s="20">
        <f t="shared" ca="1" si="196"/>
        <v>0</v>
      </c>
      <c r="K1102" s="20">
        <f t="shared" ca="1" si="188"/>
        <v>1</v>
      </c>
      <c r="L1102" s="44">
        <f t="shared" ca="1" si="193"/>
        <v>0.5</v>
      </c>
    </row>
    <row r="1103" spans="1:12" x14ac:dyDescent="0.25">
      <c r="A1103" s="20">
        <v>1095</v>
      </c>
      <c r="B1103" s="21">
        <f t="shared" ca="1" si="189"/>
        <v>6.6765566670437266</v>
      </c>
      <c r="C1103" s="21">
        <f t="shared" ca="1" si="194"/>
        <v>3395.1122856151637</v>
      </c>
      <c r="D1103" s="21">
        <f t="shared" ca="1" si="190"/>
        <v>0.21771024330549552</v>
      </c>
      <c r="E1103" s="21">
        <f t="shared" ca="1" si="197"/>
        <v>2.8012317842394623</v>
      </c>
      <c r="F1103" s="20" t="str">
        <f t="shared" ca="1" si="195"/>
        <v>No</v>
      </c>
      <c r="G1103" s="21">
        <f t="shared" ca="1" si="191"/>
        <v>0</v>
      </c>
      <c r="H1103" s="21">
        <f t="shared" ca="1" si="192"/>
        <v>3397.9135173994032</v>
      </c>
      <c r="I1103" s="21">
        <f t="shared" ca="1" si="187"/>
        <v>3398.1312276427088</v>
      </c>
      <c r="J1103" s="20">
        <f t="shared" ca="1" si="196"/>
        <v>2</v>
      </c>
      <c r="K1103" s="20">
        <f t="shared" ca="1" si="188"/>
        <v>0</v>
      </c>
      <c r="L1103" s="44">
        <f t="shared" ca="1" si="193"/>
        <v>1</v>
      </c>
    </row>
    <row r="1104" spans="1:12" x14ac:dyDescent="0.25">
      <c r="A1104" s="20">
        <v>1096</v>
      </c>
      <c r="B1104" s="21">
        <f t="shared" ca="1" si="189"/>
        <v>4.5320531558629549</v>
      </c>
      <c r="C1104" s="21">
        <f t="shared" ca="1" si="194"/>
        <v>3399.6443387710265</v>
      </c>
      <c r="D1104" s="21">
        <f t="shared" ca="1" si="190"/>
        <v>1.9200308505294867</v>
      </c>
      <c r="E1104" s="21">
        <f t="shared" ca="1" si="197"/>
        <v>0</v>
      </c>
      <c r="F1104" s="20" t="str">
        <f t="shared" ca="1" si="195"/>
        <v>Yes</v>
      </c>
      <c r="G1104" s="21">
        <f t="shared" ca="1" si="191"/>
        <v>1.5131111283176324</v>
      </c>
      <c r="H1104" s="21">
        <f t="shared" ca="1" si="192"/>
        <v>3399.6443387710265</v>
      </c>
      <c r="I1104" s="21">
        <f t="shared" ca="1" si="187"/>
        <v>3401.5643696215561</v>
      </c>
      <c r="J1104" s="20">
        <f t="shared" ca="1" si="196"/>
        <v>0</v>
      </c>
      <c r="K1104" s="20">
        <f t="shared" ca="1" si="188"/>
        <v>2</v>
      </c>
      <c r="L1104" s="44">
        <f t="shared" ca="1" si="193"/>
        <v>1</v>
      </c>
    </row>
    <row r="1105" spans="1:12" x14ac:dyDescent="0.25">
      <c r="A1105" s="20">
        <v>1097</v>
      </c>
      <c r="B1105" s="21">
        <f t="shared" ca="1" si="189"/>
        <v>0.51831383724670432</v>
      </c>
      <c r="C1105" s="21">
        <f t="shared" ca="1" si="194"/>
        <v>3400.1626526082732</v>
      </c>
      <c r="D1105" s="21">
        <f t="shared" ca="1" si="190"/>
        <v>0.44184850499017536</v>
      </c>
      <c r="E1105" s="21">
        <f t="shared" ca="1" si="197"/>
        <v>1.4017170132829051</v>
      </c>
      <c r="F1105" s="20" t="str">
        <f t="shared" ca="1" si="195"/>
        <v>No</v>
      </c>
      <c r="G1105" s="21">
        <f t="shared" ca="1" si="191"/>
        <v>0</v>
      </c>
      <c r="H1105" s="21">
        <f t="shared" ca="1" si="192"/>
        <v>3401.5643696215561</v>
      </c>
      <c r="I1105" s="21">
        <f t="shared" ca="1" si="187"/>
        <v>3402.0062181265462</v>
      </c>
      <c r="J1105" s="20">
        <f t="shared" ca="1" si="196"/>
        <v>3</v>
      </c>
      <c r="K1105" s="20">
        <f t="shared" ca="1" si="188"/>
        <v>1</v>
      </c>
      <c r="L1105" s="44">
        <f t="shared" ca="1" si="193"/>
        <v>2</v>
      </c>
    </row>
    <row r="1106" spans="1:12" x14ac:dyDescent="0.25">
      <c r="A1106" s="20">
        <v>1098</v>
      </c>
      <c r="B1106" s="21">
        <f t="shared" ca="1" si="189"/>
        <v>0.1007895212957915</v>
      </c>
      <c r="C1106" s="21">
        <f t="shared" ca="1" si="194"/>
        <v>3400.2634421295688</v>
      </c>
      <c r="D1106" s="21">
        <f t="shared" ca="1" si="190"/>
        <v>6.2173248590045764</v>
      </c>
      <c r="E1106" s="21">
        <f t="shared" ca="1" si="197"/>
        <v>1.7427759969773433</v>
      </c>
      <c r="F1106" s="20" t="str">
        <f t="shared" ca="1" si="195"/>
        <v>No</v>
      </c>
      <c r="G1106" s="21">
        <f t="shared" ca="1" si="191"/>
        <v>0</v>
      </c>
      <c r="H1106" s="21">
        <f t="shared" ca="1" si="192"/>
        <v>3402.0062181265462</v>
      </c>
      <c r="I1106" s="21">
        <f t="shared" ca="1" si="187"/>
        <v>3408.2235429855509</v>
      </c>
      <c r="J1106" s="20">
        <f t="shared" ca="1" si="196"/>
        <v>2</v>
      </c>
      <c r="K1106" s="20">
        <f t="shared" ca="1" si="188"/>
        <v>1</v>
      </c>
      <c r="L1106" s="44">
        <f t="shared" ca="1" si="193"/>
        <v>1.5</v>
      </c>
    </row>
    <row r="1107" spans="1:12" x14ac:dyDescent="0.25">
      <c r="A1107" s="20">
        <v>1099</v>
      </c>
      <c r="B1107" s="21">
        <f t="shared" ca="1" si="189"/>
        <v>5.3156074461242477</v>
      </c>
      <c r="C1107" s="21">
        <f t="shared" ca="1" si="194"/>
        <v>3405.5790495756933</v>
      </c>
      <c r="D1107" s="21">
        <f t="shared" ca="1" si="190"/>
        <v>0.56599701775385169</v>
      </c>
      <c r="E1107" s="21">
        <f t="shared" ca="1" si="197"/>
        <v>2.6444934098576596</v>
      </c>
      <c r="F1107" s="20" t="str">
        <f t="shared" ca="1" si="195"/>
        <v>No</v>
      </c>
      <c r="G1107" s="21">
        <f t="shared" ca="1" si="191"/>
        <v>0</v>
      </c>
      <c r="H1107" s="21">
        <f t="shared" ca="1" si="192"/>
        <v>3408.2235429855509</v>
      </c>
      <c r="I1107" s="21">
        <f t="shared" ca="1" si="187"/>
        <v>3408.7895400033049</v>
      </c>
      <c r="J1107" s="20">
        <f t="shared" ca="1" si="196"/>
        <v>2</v>
      </c>
      <c r="K1107" s="20">
        <f t="shared" ca="1" si="188"/>
        <v>1</v>
      </c>
      <c r="L1107" s="44">
        <f t="shared" ca="1" si="193"/>
        <v>1.5</v>
      </c>
    </row>
    <row r="1108" spans="1:12" x14ac:dyDescent="0.25">
      <c r="A1108" s="20">
        <v>1100</v>
      </c>
      <c r="B1108" s="21">
        <f t="shared" ca="1" si="189"/>
        <v>3.039567330081586</v>
      </c>
      <c r="C1108" s="21">
        <f t="shared" ca="1" si="194"/>
        <v>3408.6186169057751</v>
      </c>
      <c r="D1108" s="21">
        <f t="shared" ca="1" si="190"/>
        <v>8.6872972019360297</v>
      </c>
      <c r="E1108" s="21">
        <f t="shared" ca="1" si="197"/>
        <v>0.17092309752979418</v>
      </c>
      <c r="F1108" s="20" t="str">
        <f t="shared" ca="1" si="195"/>
        <v>No</v>
      </c>
      <c r="G1108" s="21">
        <f t="shared" ca="1" si="191"/>
        <v>0</v>
      </c>
      <c r="H1108" s="21">
        <f t="shared" ca="1" si="192"/>
        <v>3408.7895400033049</v>
      </c>
      <c r="I1108" s="21">
        <f t="shared" ca="1" si="187"/>
        <v>3417.4768372052408</v>
      </c>
      <c r="J1108" s="20">
        <f t="shared" ca="1" si="196"/>
        <v>2</v>
      </c>
      <c r="K1108" s="20">
        <f t="shared" ca="1" si="188"/>
        <v>4</v>
      </c>
      <c r="L1108" s="44">
        <f t="shared" ca="1" si="193"/>
        <v>3</v>
      </c>
    </row>
    <row r="1109" spans="1:12" x14ac:dyDescent="0.25">
      <c r="A1109" s="20">
        <v>1101</v>
      </c>
      <c r="B1109" s="21">
        <f t="shared" ca="1" si="189"/>
        <v>1.7611434978699119</v>
      </c>
      <c r="C1109" s="21">
        <f t="shared" ca="1" si="194"/>
        <v>3410.3797604036449</v>
      </c>
      <c r="D1109" s="21">
        <f t="shared" ca="1" si="190"/>
        <v>3.6546167009756823</v>
      </c>
      <c r="E1109" s="21">
        <f t="shared" ca="1" si="197"/>
        <v>7.0970768015959038</v>
      </c>
      <c r="F1109" s="20" t="str">
        <f t="shared" ca="1" si="195"/>
        <v>No</v>
      </c>
      <c r="G1109" s="21">
        <f t="shared" ca="1" si="191"/>
        <v>0</v>
      </c>
      <c r="H1109" s="21">
        <f t="shared" ca="1" si="192"/>
        <v>3417.4768372052408</v>
      </c>
      <c r="I1109" s="21">
        <f t="shared" ca="1" si="187"/>
        <v>3421.1314539062164</v>
      </c>
      <c r="J1109" s="20">
        <f t="shared" ca="1" si="196"/>
        <v>5</v>
      </c>
      <c r="K1109" s="20">
        <f t="shared" ca="1" si="188"/>
        <v>3</v>
      </c>
      <c r="L1109" s="44">
        <f t="shared" ca="1" si="193"/>
        <v>4</v>
      </c>
    </row>
    <row r="1110" spans="1:12" x14ac:dyDescent="0.25">
      <c r="A1110" s="20">
        <v>1102</v>
      </c>
      <c r="B1110" s="21">
        <f t="shared" ca="1" si="189"/>
        <v>3.4423537250735827</v>
      </c>
      <c r="C1110" s="21">
        <f t="shared" ca="1" si="194"/>
        <v>3413.8221141287186</v>
      </c>
      <c r="D1110" s="21">
        <f t="shared" ca="1" si="190"/>
        <v>1.2651857609965715</v>
      </c>
      <c r="E1110" s="21">
        <f t="shared" ca="1" si="197"/>
        <v>7.3093397774978257</v>
      </c>
      <c r="F1110" s="20" t="str">
        <f t="shared" ca="1" si="195"/>
        <v>No</v>
      </c>
      <c r="G1110" s="21">
        <f t="shared" ca="1" si="191"/>
        <v>0</v>
      </c>
      <c r="H1110" s="21">
        <f t="shared" ca="1" si="192"/>
        <v>3421.1314539062164</v>
      </c>
      <c r="I1110" s="21">
        <f t="shared" ca="1" si="187"/>
        <v>3422.3966396672131</v>
      </c>
      <c r="J1110" s="20">
        <f t="shared" ca="1" si="196"/>
        <v>4</v>
      </c>
      <c r="K1110" s="20">
        <f t="shared" ca="1" si="188"/>
        <v>3</v>
      </c>
      <c r="L1110" s="44">
        <f t="shared" ca="1" si="193"/>
        <v>3.5</v>
      </c>
    </row>
    <row r="1111" spans="1:12" x14ac:dyDescent="0.25">
      <c r="A1111" s="20">
        <v>1103</v>
      </c>
      <c r="B1111" s="21">
        <f t="shared" ca="1" si="189"/>
        <v>0.21900493523353129</v>
      </c>
      <c r="C1111" s="21">
        <f t="shared" ca="1" si="194"/>
        <v>3414.041119063952</v>
      </c>
      <c r="D1111" s="21">
        <f t="shared" ca="1" si="190"/>
        <v>8.0605448513255171E-2</v>
      </c>
      <c r="E1111" s="21">
        <f t="shared" ca="1" si="197"/>
        <v>8.355520603261084</v>
      </c>
      <c r="F1111" s="20" t="str">
        <f t="shared" ca="1" si="195"/>
        <v>No</v>
      </c>
      <c r="G1111" s="21">
        <f t="shared" ca="1" si="191"/>
        <v>0</v>
      </c>
      <c r="H1111" s="21">
        <f t="shared" ca="1" si="192"/>
        <v>3422.3966396672131</v>
      </c>
      <c r="I1111" s="21">
        <f t="shared" ca="1" si="187"/>
        <v>3422.4772451157264</v>
      </c>
      <c r="J1111" s="20">
        <f t="shared" ca="1" si="196"/>
        <v>4</v>
      </c>
      <c r="K1111" s="20">
        <f t="shared" ca="1" si="188"/>
        <v>2</v>
      </c>
      <c r="L1111" s="44">
        <f t="shared" ca="1" si="193"/>
        <v>3</v>
      </c>
    </row>
    <row r="1112" spans="1:12" x14ac:dyDescent="0.25">
      <c r="A1112" s="20">
        <v>1104</v>
      </c>
      <c r="B1112" s="21">
        <f t="shared" ca="1" si="189"/>
        <v>0.36478170211154654</v>
      </c>
      <c r="C1112" s="21">
        <f t="shared" ca="1" si="194"/>
        <v>3414.4059007660635</v>
      </c>
      <c r="D1112" s="21">
        <f t="shared" ca="1" si="190"/>
        <v>0.77369393708873935</v>
      </c>
      <c r="E1112" s="21">
        <f t="shared" ca="1" si="197"/>
        <v>8.0713443496629225</v>
      </c>
      <c r="F1112" s="20" t="str">
        <f t="shared" ca="1" si="195"/>
        <v>No</v>
      </c>
      <c r="G1112" s="21">
        <f t="shared" ca="1" si="191"/>
        <v>0</v>
      </c>
      <c r="H1112" s="21">
        <f t="shared" ca="1" si="192"/>
        <v>3422.4772451157264</v>
      </c>
      <c r="I1112" s="21">
        <f t="shared" ca="1" si="187"/>
        <v>3423.2509390528153</v>
      </c>
      <c r="J1112" s="20">
        <f t="shared" ca="1" si="196"/>
        <v>3</v>
      </c>
      <c r="K1112" s="20">
        <f t="shared" ca="1" si="188"/>
        <v>2</v>
      </c>
      <c r="L1112" s="44">
        <f t="shared" ca="1" si="193"/>
        <v>2.5</v>
      </c>
    </row>
    <row r="1113" spans="1:12" x14ac:dyDescent="0.25">
      <c r="A1113" s="20">
        <v>1105</v>
      </c>
      <c r="B1113" s="21">
        <f t="shared" ca="1" si="189"/>
        <v>7.064080302735956</v>
      </c>
      <c r="C1113" s="21">
        <f t="shared" ca="1" si="194"/>
        <v>3421.4699810687994</v>
      </c>
      <c r="D1113" s="21">
        <f t="shared" ca="1" si="190"/>
        <v>0.40965769189487539</v>
      </c>
      <c r="E1113" s="21">
        <f t="shared" ca="1" si="197"/>
        <v>1.7809579840159131</v>
      </c>
      <c r="F1113" s="20" t="str">
        <f t="shared" ca="1" si="195"/>
        <v>No</v>
      </c>
      <c r="G1113" s="21">
        <f t="shared" ca="1" si="191"/>
        <v>0</v>
      </c>
      <c r="H1113" s="21">
        <f t="shared" ca="1" si="192"/>
        <v>3423.2509390528153</v>
      </c>
      <c r="I1113" s="21">
        <f t="shared" ca="1" si="187"/>
        <v>3423.6605967447103</v>
      </c>
      <c r="J1113" s="20">
        <f t="shared" ca="1" si="196"/>
        <v>3</v>
      </c>
      <c r="K1113" s="20">
        <f t="shared" ca="1" si="188"/>
        <v>1</v>
      </c>
      <c r="L1113" s="44">
        <f t="shared" ca="1" si="193"/>
        <v>2</v>
      </c>
    </row>
    <row r="1114" spans="1:12" x14ac:dyDescent="0.25">
      <c r="A1114" s="20">
        <v>1106</v>
      </c>
      <c r="B1114" s="21">
        <f t="shared" ca="1" si="189"/>
        <v>1.7359300514942044</v>
      </c>
      <c r="C1114" s="21">
        <f t="shared" ca="1" si="194"/>
        <v>3423.2059111202934</v>
      </c>
      <c r="D1114" s="21">
        <f t="shared" ca="1" si="190"/>
        <v>4.3829978539970478</v>
      </c>
      <c r="E1114" s="21">
        <f t="shared" ca="1" si="197"/>
        <v>0.45468562441692484</v>
      </c>
      <c r="F1114" s="20" t="str">
        <f t="shared" ca="1" si="195"/>
        <v>No</v>
      </c>
      <c r="G1114" s="21">
        <f t="shared" ca="1" si="191"/>
        <v>0</v>
      </c>
      <c r="H1114" s="21">
        <f t="shared" ca="1" si="192"/>
        <v>3423.6605967447103</v>
      </c>
      <c r="I1114" s="21">
        <f t="shared" ca="1" si="187"/>
        <v>3428.0435945987074</v>
      </c>
      <c r="J1114" s="20">
        <f t="shared" ca="1" si="196"/>
        <v>2</v>
      </c>
      <c r="K1114" s="20">
        <f t="shared" ca="1" si="188"/>
        <v>1</v>
      </c>
      <c r="L1114" s="44">
        <f t="shared" ca="1" si="193"/>
        <v>1.5</v>
      </c>
    </row>
    <row r="1115" spans="1:12" x14ac:dyDescent="0.25">
      <c r="A1115" s="20">
        <v>1107</v>
      </c>
      <c r="B1115" s="21">
        <f t="shared" ca="1" si="189"/>
        <v>3.3291724661462894</v>
      </c>
      <c r="C1115" s="21">
        <f t="shared" ca="1" si="194"/>
        <v>3426.5350835864397</v>
      </c>
      <c r="D1115" s="21">
        <f t="shared" ca="1" si="190"/>
        <v>0.34889500892753428</v>
      </c>
      <c r="E1115" s="21">
        <f t="shared" ca="1" si="197"/>
        <v>1.5085110122677179</v>
      </c>
      <c r="F1115" s="20" t="str">
        <f t="shared" ca="1" si="195"/>
        <v>No</v>
      </c>
      <c r="G1115" s="21">
        <f t="shared" ca="1" si="191"/>
        <v>0</v>
      </c>
      <c r="H1115" s="21">
        <f t="shared" ca="1" si="192"/>
        <v>3428.0435945987074</v>
      </c>
      <c r="I1115" s="21">
        <f t="shared" ca="1" si="187"/>
        <v>3428.3924896076351</v>
      </c>
      <c r="J1115" s="20">
        <f t="shared" ca="1" si="196"/>
        <v>2</v>
      </c>
      <c r="K1115" s="20">
        <f t="shared" ca="1" si="188"/>
        <v>0</v>
      </c>
      <c r="L1115" s="44">
        <f t="shared" ca="1" si="193"/>
        <v>1</v>
      </c>
    </row>
    <row r="1116" spans="1:12" x14ac:dyDescent="0.25">
      <c r="A1116" s="20">
        <v>1108</v>
      </c>
      <c r="B1116" s="21">
        <f t="shared" ca="1" si="189"/>
        <v>4.4093937812051189</v>
      </c>
      <c r="C1116" s="21">
        <f t="shared" ca="1" si="194"/>
        <v>3430.9444773676446</v>
      </c>
      <c r="D1116" s="21">
        <f t="shared" ca="1" si="190"/>
        <v>1.3627333610310988</v>
      </c>
      <c r="E1116" s="21">
        <f t="shared" ca="1" si="197"/>
        <v>0</v>
      </c>
      <c r="F1116" s="20" t="str">
        <f t="shared" ca="1" si="195"/>
        <v>Yes</v>
      </c>
      <c r="G1116" s="21">
        <f t="shared" ca="1" si="191"/>
        <v>2.5519877600095242</v>
      </c>
      <c r="H1116" s="21">
        <f t="shared" ca="1" si="192"/>
        <v>3430.9444773676446</v>
      </c>
      <c r="I1116" s="21">
        <f t="shared" ca="1" si="187"/>
        <v>3432.3072107286757</v>
      </c>
      <c r="J1116" s="20">
        <f t="shared" ca="1" si="196"/>
        <v>0</v>
      </c>
      <c r="K1116" s="20">
        <f t="shared" ca="1" si="188"/>
        <v>0</v>
      </c>
      <c r="L1116" s="44">
        <f t="shared" ca="1" si="193"/>
        <v>0</v>
      </c>
    </row>
    <row r="1117" spans="1:12" x14ac:dyDescent="0.25">
      <c r="A1117" s="20">
        <v>1109</v>
      </c>
      <c r="B1117" s="21">
        <f t="shared" ca="1" si="189"/>
        <v>1.3955289183439998</v>
      </c>
      <c r="C1117" s="21">
        <f t="shared" ca="1" si="194"/>
        <v>3432.3400062859887</v>
      </c>
      <c r="D1117" s="21">
        <f t="shared" ca="1" si="190"/>
        <v>1.0684109314507102</v>
      </c>
      <c r="E1117" s="21">
        <f t="shared" ca="1" si="197"/>
        <v>0</v>
      </c>
      <c r="F1117" s="20" t="str">
        <f t="shared" ca="1" si="195"/>
        <v>Yes</v>
      </c>
      <c r="G1117" s="21">
        <f t="shared" ca="1" si="191"/>
        <v>3.2795557312965684E-2</v>
      </c>
      <c r="H1117" s="21">
        <f t="shared" ca="1" si="192"/>
        <v>3432.3400062859887</v>
      </c>
      <c r="I1117" s="21">
        <f t="shared" ca="1" si="187"/>
        <v>3433.4084172174394</v>
      </c>
      <c r="J1117" s="20">
        <f t="shared" ca="1" si="196"/>
        <v>0</v>
      </c>
      <c r="K1117" s="20">
        <f t="shared" ca="1" si="188"/>
        <v>0</v>
      </c>
      <c r="L1117" s="44">
        <f t="shared" ca="1" si="193"/>
        <v>0</v>
      </c>
    </row>
    <row r="1118" spans="1:12" x14ac:dyDescent="0.25">
      <c r="A1118" s="20">
        <v>1110</v>
      </c>
      <c r="B1118" s="21">
        <f t="shared" ca="1" si="189"/>
        <v>1.8417540908968044</v>
      </c>
      <c r="C1118" s="21">
        <f t="shared" ca="1" si="194"/>
        <v>3434.1817603768854</v>
      </c>
      <c r="D1118" s="21">
        <f t="shared" ca="1" si="190"/>
        <v>3.8583789442352114</v>
      </c>
      <c r="E1118" s="21">
        <f t="shared" ca="1" si="197"/>
        <v>0</v>
      </c>
      <c r="F1118" s="20" t="str">
        <f t="shared" ca="1" si="195"/>
        <v>Yes</v>
      </c>
      <c r="G1118" s="21">
        <f t="shared" ca="1" si="191"/>
        <v>0.77334315944608534</v>
      </c>
      <c r="H1118" s="21">
        <f t="shared" ca="1" si="192"/>
        <v>3434.1817603768854</v>
      </c>
      <c r="I1118" s="21">
        <f t="shared" ca="1" si="187"/>
        <v>3438.0401393211205</v>
      </c>
      <c r="J1118" s="20">
        <f t="shared" ca="1" si="196"/>
        <v>0</v>
      </c>
      <c r="K1118" s="20">
        <f t="shared" ca="1" si="188"/>
        <v>0</v>
      </c>
      <c r="L1118" s="44">
        <f t="shared" ca="1" si="193"/>
        <v>0</v>
      </c>
    </row>
    <row r="1119" spans="1:12" x14ac:dyDescent="0.25">
      <c r="A1119" s="20">
        <v>1111</v>
      </c>
      <c r="B1119" s="21">
        <f t="shared" ca="1" si="189"/>
        <v>11.477981976859736</v>
      </c>
      <c r="C1119" s="21">
        <f t="shared" ca="1" si="194"/>
        <v>3445.6597423537451</v>
      </c>
      <c r="D1119" s="21">
        <f t="shared" ca="1" si="190"/>
        <v>0.25237561493783051</v>
      </c>
      <c r="E1119" s="21">
        <f t="shared" ca="1" si="197"/>
        <v>0</v>
      </c>
      <c r="F1119" s="20" t="str">
        <f t="shared" ca="1" si="195"/>
        <v>Yes</v>
      </c>
      <c r="G1119" s="21">
        <f t="shared" ca="1" si="191"/>
        <v>7.6196030326245818</v>
      </c>
      <c r="H1119" s="21">
        <f t="shared" ca="1" si="192"/>
        <v>3445.6597423537451</v>
      </c>
      <c r="I1119" s="21">
        <f t="shared" ca="1" si="187"/>
        <v>3445.9121179686831</v>
      </c>
      <c r="J1119" s="20">
        <f t="shared" ca="1" si="196"/>
        <v>0</v>
      </c>
      <c r="K1119" s="20">
        <f t="shared" ca="1" si="188"/>
        <v>0</v>
      </c>
      <c r="L1119" s="44">
        <f t="shared" ca="1" si="193"/>
        <v>0</v>
      </c>
    </row>
    <row r="1120" spans="1:12" x14ac:dyDescent="0.25">
      <c r="A1120" s="20">
        <v>1112</v>
      </c>
      <c r="B1120" s="21">
        <f t="shared" ca="1" si="189"/>
        <v>1.261281755994623</v>
      </c>
      <c r="C1120" s="21">
        <f t="shared" ca="1" si="194"/>
        <v>3446.9210241097398</v>
      </c>
      <c r="D1120" s="21">
        <f t="shared" ca="1" si="190"/>
        <v>2.0743697988241192</v>
      </c>
      <c r="E1120" s="21">
        <f t="shared" ca="1" si="197"/>
        <v>0</v>
      </c>
      <c r="F1120" s="20" t="str">
        <f t="shared" ca="1" si="195"/>
        <v>Yes</v>
      </c>
      <c r="G1120" s="21">
        <f t="shared" ca="1" si="191"/>
        <v>1.008906141056741</v>
      </c>
      <c r="H1120" s="21">
        <f t="shared" ca="1" si="192"/>
        <v>3446.9210241097398</v>
      </c>
      <c r="I1120" s="21">
        <f t="shared" ca="1" si="187"/>
        <v>3448.995393908564</v>
      </c>
      <c r="J1120" s="20">
        <f t="shared" ca="1" si="196"/>
        <v>0</v>
      </c>
      <c r="K1120" s="20">
        <f t="shared" ca="1" si="188"/>
        <v>1</v>
      </c>
      <c r="L1120" s="44">
        <f t="shared" ca="1" si="193"/>
        <v>0.5</v>
      </c>
    </row>
    <row r="1121" spans="1:12" x14ac:dyDescent="0.25">
      <c r="A1121" s="20">
        <v>1113</v>
      </c>
      <c r="B1121" s="21">
        <f t="shared" ca="1" si="189"/>
        <v>0.6246940391325857</v>
      </c>
      <c r="C1121" s="21">
        <f t="shared" ca="1" si="194"/>
        <v>3447.5457181488723</v>
      </c>
      <c r="D1121" s="21">
        <f t="shared" ca="1" si="190"/>
        <v>0.88773354768245716</v>
      </c>
      <c r="E1121" s="21">
        <f t="shared" ca="1" si="197"/>
        <v>1.4496757596916723</v>
      </c>
      <c r="F1121" s="20" t="str">
        <f t="shared" ca="1" si="195"/>
        <v>No</v>
      </c>
      <c r="G1121" s="21">
        <f t="shared" ca="1" si="191"/>
        <v>0</v>
      </c>
      <c r="H1121" s="21">
        <f t="shared" ca="1" si="192"/>
        <v>3448.995393908564</v>
      </c>
      <c r="I1121" s="21">
        <f t="shared" ca="1" si="187"/>
        <v>3449.8831274562463</v>
      </c>
      <c r="J1121" s="20">
        <f t="shared" ca="1" si="196"/>
        <v>2</v>
      </c>
      <c r="K1121" s="20">
        <f t="shared" ca="1" si="188"/>
        <v>1</v>
      </c>
      <c r="L1121" s="44">
        <f t="shared" ca="1" si="193"/>
        <v>1.5</v>
      </c>
    </row>
    <row r="1122" spans="1:12" x14ac:dyDescent="0.25">
      <c r="A1122" s="20">
        <v>1114</v>
      </c>
      <c r="B1122" s="21">
        <f t="shared" ca="1" si="189"/>
        <v>2.3000044450169592</v>
      </c>
      <c r="C1122" s="21">
        <f t="shared" ca="1" si="194"/>
        <v>3449.8457225938891</v>
      </c>
      <c r="D1122" s="21">
        <f t="shared" ca="1" si="190"/>
        <v>3.2522434663547435E-2</v>
      </c>
      <c r="E1122" s="21">
        <f t="shared" ca="1" si="197"/>
        <v>3.7404862357107049E-2</v>
      </c>
      <c r="F1122" s="20" t="str">
        <f t="shared" ca="1" si="195"/>
        <v>No</v>
      </c>
      <c r="G1122" s="21">
        <f t="shared" ca="1" si="191"/>
        <v>0</v>
      </c>
      <c r="H1122" s="21">
        <f t="shared" ca="1" si="192"/>
        <v>3449.8831274562463</v>
      </c>
      <c r="I1122" s="21">
        <f t="shared" ca="1" si="187"/>
        <v>3449.9156498909097</v>
      </c>
      <c r="J1122" s="20">
        <f t="shared" ca="1" si="196"/>
        <v>2</v>
      </c>
      <c r="K1122" s="20">
        <f t="shared" ca="1" si="188"/>
        <v>0</v>
      </c>
      <c r="L1122" s="44">
        <f t="shared" ca="1" si="193"/>
        <v>1</v>
      </c>
    </row>
    <row r="1123" spans="1:12" x14ac:dyDescent="0.25">
      <c r="A1123" s="20">
        <v>1115</v>
      </c>
      <c r="B1123" s="21">
        <f t="shared" ca="1" si="189"/>
        <v>2.9212043375292445</v>
      </c>
      <c r="C1123" s="21">
        <f t="shared" ca="1" si="194"/>
        <v>3452.7669269314183</v>
      </c>
      <c r="D1123" s="21">
        <f t="shared" ca="1" si="190"/>
        <v>0.86782850380024978</v>
      </c>
      <c r="E1123" s="21">
        <f t="shared" ca="1" si="197"/>
        <v>0</v>
      </c>
      <c r="F1123" s="20" t="str">
        <f t="shared" ca="1" si="195"/>
        <v>Yes</v>
      </c>
      <c r="G1123" s="21">
        <f t="shared" ca="1" si="191"/>
        <v>2.8512770405086485</v>
      </c>
      <c r="H1123" s="21">
        <f t="shared" ca="1" si="192"/>
        <v>3452.7669269314183</v>
      </c>
      <c r="I1123" s="21">
        <f t="shared" ca="1" si="187"/>
        <v>3453.6347554352187</v>
      </c>
      <c r="J1123" s="20">
        <f t="shared" ca="1" si="196"/>
        <v>0</v>
      </c>
      <c r="K1123" s="20">
        <f t="shared" ca="1" si="188"/>
        <v>0</v>
      </c>
      <c r="L1123" s="44">
        <f t="shared" ca="1" si="193"/>
        <v>0</v>
      </c>
    </row>
    <row r="1124" spans="1:12" x14ac:dyDescent="0.25">
      <c r="A1124" s="20">
        <v>1116</v>
      </c>
      <c r="B1124" s="21">
        <f t="shared" ca="1" si="189"/>
        <v>5.6674952188691607</v>
      </c>
      <c r="C1124" s="21">
        <f t="shared" ca="1" si="194"/>
        <v>3458.4344221502874</v>
      </c>
      <c r="D1124" s="21">
        <f t="shared" ca="1" si="190"/>
        <v>2.2545499568284288</v>
      </c>
      <c r="E1124" s="21">
        <f t="shared" ca="1" si="197"/>
        <v>0</v>
      </c>
      <c r="F1124" s="20" t="str">
        <f t="shared" ca="1" si="195"/>
        <v>Yes</v>
      </c>
      <c r="G1124" s="21">
        <f t="shared" ca="1" si="191"/>
        <v>4.7996667150687244</v>
      </c>
      <c r="H1124" s="21">
        <f t="shared" ca="1" si="192"/>
        <v>3458.4344221502874</v>
      </c>
      <c r="I1124" s="21">
        <f t="shared" ca="1" si="187"/>
        <v>3460.6889721071157</v>
      </c>
      <c r="J1124" s="20">
        <f t="shared" ca="1" si="196"/>
        <v>0</v>
      </c>
      <c r="K1124" s="20">
        <f t="shared" ca="1" si="188"/>
        <v>0</v>
      </c>
      <c r="L1124" s="44">
        <f t="shared" ca="1" si="193"/>
        <v>0</v>
      </c>
    </row>
    <row r="1125" spans="1:12" x14ac:dyDescent="0.25">
      <c r="A1125" s="20">
        <v>1117</v>
      </c>
      <c r="B1125" s="21">
        <f t="shared" ca="1" si="189"/>
        <v>2.2556920991381881</v>
      </c>
      <c r="C1125" s="21">
        <f t="shared" ca="1" si="194"/>
        <v>3460.6901142494257</v>
      </c>
      <c r="D1125" s="21">
        <f t="shared" ca="1" si="190"/>
        <v>0.54852306620347047</v>
      </c>
      <c r="E1125" s="21">
        <f t="shared" ca="1" si="197"/>
        <v>0</v>
      </c>
      <c r="F1125" s="20" t="str">
        <f t="shared" ca="1" si="195"/>
        <v>Yes</v>
      </c>
      <c r="G1125" s="21">
        <f t="shared" ca="1" si="191"/>
        <v>1.1421423100728134E-3</v>
      </c>
      <c r="H1125" s="21">
        <f t="shared" ca="1" si="192"/>
        <v>3460.6901142494257</v>
      </c>
      <c r="I1125" s="21">
        <f t="shared" ca="1" si="187"/>
        <v>3461.2386373156291</v>
      </c>
      <c r="J1125" s="20">
        <f t="shared" ca="1" si="196"/>
        <v>0</v>
      </c>
      <c r="K1125" s="20">
        <f t="shared" ca="1" si="188"/>
        <v>0</v>
      </c>
      <c r="L1125" s="44">
        <f t="shared" ca="1" si="193"/>
        <v>0</v>
      </c>
    </row>
    <row r="1126" spans="1:12" x14ac:dyDescent="0.25">
      <c r="A1126" s="20">
        <v>1118</v>
      </c>
      <c r="B1126" s="21">
        <f t="shared" ca="1" si="189"/>
        <v>1.6394531894266569</v>
      </c>
      <c r="C1126" s="21">
        <f t="shared" ca="1" si="194"/>
        <v>3462.3295674388523</v>
      </c>
      <c r="D1126" s="21">
        <f t="shared" ca="1" si="190"/>
        <v>4.9943538808737342</v>
      </c>
      <c r="E1126" s="21">
        <f t="shared" ca="1" si="197"/>
        <v>0</v>
      </c>
      <c r="F1126" s="20" t="str">
        <f t="shared" ca="1" si="195"/>
        <v>Yes</v>
      </c>
      <c r="G1126" s="21">
        <f t="shared" ca="1" si="191"/>
        <v>1.0909301232231883</v>
      </c>
      <c r="H1126" s="21">
        <f t="shared" ca="1" si="192"/>
        <v>3462.3295674388523</v>
      </c>
      <c r="I1126" s="21">
        <f t="shared" ca="1" si="187"/>
        <v>3467.3239213197262</v>
      </c>
      <c r="J1126" s="20">
        <f t="shared" ca="1" si="196"/>
        <v>0</v>
      </c>
      <c r="K1126" s="20">
        <f t="shared" ca="1" si="188"/>
        <v>1</v>
      </c>
      <c r="L1126" s="44">
        <f t="shared" ca="1" si="193"/>
        <v>0.5</v>
      </c>
    </row>
    <row r="1127" spans="1:12" x14ac:dyDescent="0.25">
      <c r="A1127" s="20">
        <v>1119</v>
      </c>
      <c r="B1127" s="21">
        <f t="shared" ca="1" si="189"/>
        <v>3.1340622772896847</v>
      </c>
      <c r="C1127" s="21">
        <f t="shared" ca="1" si="194"/>
        <v>3465.4636297161419</v>
      </c>
      <c r="D1127" s="21">
        <f t="shared" ca="1" si="190"/>
        <v>2.6457296852571424</v>
      </c>
      <c r="E1127" s="21">
        <f t="shared" ca="1" si="197"/>
        <v>1.8602916035843009</v>
      </c>
      <c r="F1127" s="20" t="str">
        <f t="shared" ca="1" si="195"/>
        <v>No</v>
      </c>
      <c r="G1127" s="21">
        <f t="shared" ca="1" si="191"/>
        <v>0</v>
      </c>
      <c r="H1127" s="21">
        <f t="shared" ca="1" si="192"/>
        <v>3467.3239213197262</v>
      </c>
      <c r="I1127" s="21">
        <f t="shared" ca="1" si="187"/>
        <v>3469.9696510049835</v>
      </c>
      <c r="J1127" s="20">
        <f t="shared" ca="1" si="196"/>
        <v>2</v>
      </c>
      <c r="K1127" s="20">
        <f t="shared" ca="1" si="188"/>
        <v>2</v>
      </c>
      <c r="L1127" s="44">
        <f t="shared" ca="1" si="193"/>
        <v>2</v>
      </c>
    </row>
    <row r="1128" spans="1:12" x14ac:dyDescent="0.25">
      <c r="A1128" s="20">
        <v>1120</v>
      </c>
      <c r="B1128" s="21">
        <f t="shared" ca="1" si="189"/>
        <v>2.7520360050724513</v>
      </c>
      <c r="C1128" s="21">
        <f t="shared" ca="1" si="194"/>
        <v>3468.2156657212145</v>
      </c>
      <c r="D1128" s="21">
        <f t="shared" ca="1" si="190"/>
        <v>1.7759681873614765</v>
      </c>
      <c r="E1128" s="21">
        <f t="shared" ca="1" si="197"/>
        <v>1.7539852837689978</v>
      </c>
      <c r="F1128" s="20" t="str">
        <f t="shared" ca="1" si="195"/>
        <v>No</v>
      </c>
      <c r="G1128" s="21">
        <f t="shared" ca="1" si="191"/>
        <v>0</v>
      </c>
      <c r="H1128" s="21">
        <f t="shared" ca="1" si="192"/>
        <v>3469.9696510049835</v>
      </c>
      <c r="I1128" s="21">
        <f t="shared" ca="1" si="187"/>
        <v>3471.7456191923447</v>
      </c>
      <c r="J1128" s="20">
        <f t="shared" ca="1" si="196"/>
        <v>3</v>
      </c>
      <c r="K1128" s="20">
        <f t="shared" ca="1" si="188"/>
        <v>1</v>
      </c>
      <c r="L1128" s="44">
        <f t="shared" ca="1" si="193"/>
        <v>2</v>
      </c>
    </row>
    <row r="1129" spans="1:12" x14ac:dyDescent="0.25">
      <c r="A1129" s="20">
        <v>1121</v>
      </c>
      <c r="B1129" s="21">
        <f t="shared" ca="1" si="189"/>
        <v>1.5976974890201932</v>
      </c>
      <c r="C1129" s="21">
        <f t="shared" ca="1" si="194"/>
        <v>3469.8133632102345</v>
      </c>
      <c r="D1129" s="21">
        <f t="shared" ca="1" si="190"/>
        <v>0.34162849271322487</v>
      </c>
      <c r="E1129" s="21">
        <f t="shared" ca="1" si="197"/>
        <v>1.9322559821102914</v>
      </c>
      <c r="F1129" s="20" t="str">
        <f t="shared" ca="1" si="195"/>
        <v>No</v>
      </c>
      <c r="G1129" s="21">
        <f t="shared" ca="1" si="191"/>
        <v>0</v>
      </c>
      <c r="H1129" s="21">
        <f t="shared" ca="1" si="192"/>
        <v>3471.7456191923447</v>
      </c>
      <c r="I1129" s="21">
        <f t="shared" ca="1" si="187"/>
        <v>3472.0872476850582</v>
      </c>
      <c r="J1129" s="20">
        <f t="shared" ca="1" si="196"/>
        <v>2</v>
      </c>
      <c r="K1129" s="20">
        <f t="shared" ca="1" si="188"/>
        <v>0</v>
      </c>
      <c r="L1129" s="44">
        <f t="shared" ca="1" si="193"/>
        <v>1</v>
      </c>
    </row>
    <row r="1130" spans="1:12" x14ac:dyDescent="0.25">
      <c r="A1130" s="20">
        <v>1122</v>
      </c>
      <c r="B1130" s="21">
        <f t="shared" ca="1" si="189"/>
        <v>7.3109084670992424</v>
      </c>
      <c r="C1130" s="21">
        <f t="shared" ca="1" si="194"/>
        <v>3477.1242716773336</v>
      </c>
      <c r="D1130" s="21">
        <f t="shared" ca="1" si="190"/>
        <v>0.14899417305308171</v>
      </c>
      <c r="E1130" s="21">
        <f t="shared" ca="1" si="197"/>
        <v>0</v>
      </c>
      <c r="F1130" s="20" t="str">
        <f t="shared" ca="1" si="195"/>
        <v>Yes</v>
      </c>
      <c r="G1130" s="21">
        <f t="shared" ca="1" si="191"/>
        <v>5.0370239922754081</v>
      </c>
      <c r="H1130" s="21">
        <f t="shared" ca="1" si="192"/>
        <v>3477.1242716773336</v>
      </c>
      <c r="I1130" s="21">
        <f t="shared" ca="1" si="187"/>
        <v>3477.2732658503865</v>
      </c>
      <c r="J1130" s="20">
        <f t="shared" ca="1" si="196"/>
        <v>0</v>
      </c>
      <c r="K1130" s="20">
        <f t="shared" ca="1" si="188"/>
        <v>0</v>
      </c>
      <c r="L1130" s="44">
        <f t="shared" ca="1" si="193"/>
        <v>0</v>
      </c>
    </row>
    <row r="1131" spans="1:12" x14ac:dyDescent="0.25">
      <c r="A1131" s="20">
        <v>1123</v>
      </c>
      <c r="B1131" s="21">
        <f t="shared" ca="1" si="189"/>
        <v>4.4117341980195546</v>
      </c>
      <c r="C1131" s="21">
        <f t="shared" ca="1" si="194"/>
        <v>3481.5360058753531</v>
      </c>
      <c r="D1131" s="21">
        <f t="shared" ca="1" si="190"/>
        <v>1.1078175012268878</v>
      </c>
      <c r="E1131" s="21">
        <f t="shared" ca="1" si="197"/>
        <v>0</v>
      </c>
      <c r="F1131" s="20" t="str">
        <f t="shared" ca="1" si="195"/>
        <v>Yes</v>
      </c>
      <c r="G1131" s="21">
        <f t="shared" ca="1" si="191"/>
        <v>4.2627400249666607</v>
      </c>
      <c r="H1131" s="21">
        <f t="shared" ca="1" si="192"/>
        <v>3481.5360058753531</v>
      </c>
      <c r="I1131" s="21">
        <f t="shared" ca="1" si="187"/>
        <v>3482.6438233765798</v>
      </c>
      <c r="J1131" s="20">
        <f t="shared" ca="1" si="196"/>
        <v>0</v>
      </c>
      <c r="K1131" s="20">
        <f t="shared" ca="1" si="188"/>
        <v>2</v>
      </c>
      <c r="L1131" s="44">
        <f t="shared" ca="1" si="193"/>
        <v>1</v>
      </c>
    </row>
    <row r="1132" spans="1:12" x14ac:dyDescent="0.25">
      <c r="A1132" s="20">
        <v>1124</v>
      </c>
      <c r="B1132" s="21">
        <f t="shared" ca="1" si="189"/>
        <v>0.5187742865163314</v>
      </c>
      <c r="C1132" s="21">
        <f t="shared" ca="1" si="194"/>
        <v>3482.0547801618695</v>
      </c>
      <c r="D1132" s="21">
        <f t="shared" ca="1" si="190"/>
        <v>0.63470875113494218</v>
      </c>
      <c r="E1132" s="21">
        <f t="shared" ca="1" si="197"/>
        <v>0.58904321471027288</v>
      </c>
      <c r="F1132" s="20" t="str">
        <f t="shared" ca="1" si="195"/>
        <v>No</v>
      </c>
      <c r="G1132" s="21">
        <f t="shared" ca="1" si="191"/>
        <v>0</v>
      </c>
      <c r="H1132" s="21">
        <f t="shared" ca="1" si="192"/>
        <v>3482.6438233765798</v>
      </c>
      <c r="I1132" s="21">
        <f t="shared" ca="1" si="187"/>
        <v>3483.2785321277147</v>
      </c>
      <c r="J1132" s="20">
        <f t="shared" ca="1" si="196"/>
        <v>3</v>
      </c>
      <c r="K1132" s="20">
        <f t="shared" ca="1" si="188"/>
        <v>1</v>
      </c>
      <c r="L1132" s="44">
        <f t="shared" ca="1" si="193"/>
        <v>2</v>
      </c>
    </row>
    <row r="1133" spans="1:12" x14ac:dyDescent="0.25">
      <c r="A1133" s="20">
        <v>1125</v>
      </c>
      <c r="B1133" s="21">
        <f t="shared" ca="1" si="189"/>
        <v>0.15587908842273207</v>
      </c>
      <c r="C1133" s="21">
        <f t="shared" ca="1" si="194"/>
        <v>3482.2106592502923</v>
      </c>
      <c r="D1133" s="21">
        <f t="shared" ca="1" si="190"/>
        <v>3.9493610950843232</v>
      </c>
      <c r="E1133" s="21">
        <f t="shared" ca="1" si="197"/>
        <v>1.06787287742236</v>
      </c>
      <c r="F1133" s="20" t="str">
        <f t="shared" ca="1" si="195"/>
        <v>No</v>
      </c>
      <c r="G1133" s="21">
        <f t="shared" ca="1" si="191"/>
        <v>0</v>
      </c>
      <c r="H1133" s="21">
        <f t="shared" ca="1" si="192"/>
        <v>3483.2785321277147</v>
      </c>
      <c r="I1133" s="21">
        <f t="shared" ca="1" si="187"/>
        <v>3487.2278932227991</v>
      </c>
      <c r="J1133" s="20">
        <f t="shared" ca="1" si="196"/>
        <v>2</v>
      </c>
      <c r="K1133" s="20">
        <f t="shared" ca="1" si="188"/>
        <v>0</v>
      </c>
      <c r="L1133" s="44">
        <f t="shared" ca="1" si="193"/>
        <v>1</v>
      </c>
    </row>
    <row r="1134" spans="1:12" x14ac:dyDescent="0.25">
      <c r="A1134" s="20">
        <v>1126</v>
      </c>
      <c r="B1134" s="21">
        <f t="shared" ca="1" si="189"/>
        <v>6.0300317710668931</v>
      </c>
      <c r="C1134" s="21">
        <f t="shared" ca="1" si="194"/>
        <v>3488.2406910213595</v>
      </c>
      <c r="D1134" s="21">
        <f t="shared" ca="1" si="190"/>
        <v>1.1353392733353189</v>
      </c>
      <c r="E1134" s="21">
        <f t="shared" ca="1" si="197"/>
        <v>0</v>
      </c>
      <c r="F1134" s="20" t="str">
        <f t="shared" ca="1" si="195"/>
        <v>Yes</v>
      </c>
      <c r="G1134" s="21">
        <f t="shared" ca="1" si="191"/>
        <v>1.0127977985603138</v>
      </c>
      <c r="H1134" s="21">
        <f t="shared" ca="1" si="192"/>
        <v>3488.2406910213595</v>
      </c>
      <c r="I1134" s="21">
        <f t="shared" ca="1" si="187"/>
        <v>3489.3760302946948</v>
      </c>
      <c r="J1134" s="20">
        <f t="shared" ca="1" si="196"/>
        <v>0</v>
      </c>
      <c r="K1134" s="20">
        <f t="shared" ca="1" si="188"/>
        <v>1</v>
      </c>
      <c r="L1134" s="44">
        <f t="shared" ca="1" si="193"/>
        <v>0.5</v>
      </c>
    </row>
    <row r="1135" spans="1:12" x14ac:dyDescent="0.25">
      <c r="A1135" s="20">
        <v>1127</v>
      </c>
      <c r="B1135" s="21">
        <f t="shared" ca="1" si="189"/>
        <v>0.28622497272015657</v>
      </c>
      <c r="C1135" s="21">
        <f t="shared" ca="1" si="194"/>
        <v>3488.5269159940794</v>
      </c>
      <c r="D1135" s="21">
        <f t="shared" ca="1" si="190"/>
        <v>0.74067754633594363</v>
      </c>
      <c r="E1135" s="21">
        <f t="shared" ca="1" si="197"/>
        <v>0.8491143006153834</v>
      </c>
      <c r="F1135" s="20" t="str">
        <f t="shared" ca="1" si="195"/>
        <v>No</v>
      </c>
      <c r="G1135" s="21">
        <f t="shared" ca="1" si="191"/>
        <v>0</v>
      </c>
      <c r="H1135" s="21">
        <f t="shared" ca="1" si="192"/>
        <v>3489.3760302946948</v>
      </c>
      <c r="I1135" s="21">
        <f t="shared" ca="1" si="187"/>
        <v>3490.1167078410308</v>
      </c>
      <c r="J1135" s="20">
        <f t="shared" ca="1" si="196"/>
        <v>2</v>
      </c>
      <c r="K1135" s="20">
        <f t="shared" ca="1" si="188"/>
        <v>0</v>
      </c>
      <c r="L1135" s="44">
        <f t="shared" ca="1" si="193"/>
        <v>1</v>
      </c>
    </row>
    <row r="1136" spans="1:12" x14ac:dyDescent="0.25">
      <c r="A1136" s="20">
        <v>1128</v>
      </c>
      <c r="B1136" s="21">
        <f t="shared" ca="1" si="189"/>
        <v>10.303517175309329</v>
      </c>
      <c r="C1136" s="21">
        <f t="shared" ca="1" si="194"/>
        <v>3498.8304331693889</v>
      </c>
      <c r="D1136" s="21">
        <f t="shared" ca="1" si="190"/>
        <v>1.729072223395969</v>
      </c>
      <c r="E1136" s="21">
        <f t="shared" ca="1" si="197"/>
        <v>0</v>
      </c>
      <c r="F1136" s="20" t="str">
        <f t="shared" ca="1" si="195"/>
        <v>Yes</v>
      </c>
      <c r="G1136" s="21">
        <f t="shared" ca="1" si="191"/>
        <v>8.7137253283581231</v>
      </c>
      <c r="H1136" s="21">
        <f t="shared" ca="1" si="192"/>
        <v>3498.8304331693889</v>
      </c>
      <c r="I1136" s="21">
        <f t="shared" ca="1" si="187"/>
        <v>3500.559505392785</v>
      </c>
      <c r="J1136" s="20">
        <f t="shared" ca="1" si="196"/>
        <v>0</v>
      </c>
      <c r="K1136" s="20">
        <f t="shared" ca="1" si="188"/>
        <v>2</v>
      </c>
      <c r="L1136" s="44">
        <f t="shared" ca="1" si="193"/>
        <v>1</v>
      </c>
    </row>
    <row r="1137" spans="1:12" x14ac:dyDescent="0.25">
      <c r="A1137" s="20">
        <v>1129</v>
      </c>
      <c r="B1137" s="21">
        <f t="shared" ca="1" si="189"/>
        <v>5.0495947395687843E-2</v>
      </c>
      <c r="C1137" s="21">
        <f t="shared" ca="1" si="194"/>
        <v>3498.8809291167845</v>
      </c>
      <c r="D1137" s="21">
        <f t="shared" ca="1" si="190"/>
        <v>2.4018530402895935</v>
      </c>
      <c r="E1137" s="21">
        <f t="shared" ca="1" si="197"/>
        <v>1.6785762760005127</v>
      </c>
      <c r="F1137" s="20" t="str">
        <f t="shared" ca="1" si="195"/>
        <v>No</v>
      </c>
      <c r="G1137" s="21">
        <f t="shared" ca="1" si="191"/>
        <v>0</v>
      </c>
      <c r="H1137" s="21">
        <f t="shared" ca="1" si="192"/>
        <v>3500.559505392785</v>
      </c>
      <c r="I1137" s="21">
        <f t="shared" ca="1" si="187"/>
        <v>3502.9613584330746</v>
      </c>
      <c r="J1137" s="20">
        <f t="shared" ca="1" si="196"/>
        <v>3</v>
      </c>
      <c r="K1137" s="20">
        <f t="shared" ca="1" si="188"/>
        <v>1</v>
      </c>
      <c r="L1137" s="44">
        <f t="shared" ca="1" si="193"/>
        <v>2</v>
      </c>
    </row>
    <row r="1138" spans="1:12" x14ac:dyDescent="0.25">
      <c r="A1138" s="20">
        <v>1130</v>
      </c>
      <c r="B1138" s="21">
        <f t="shared" ca="1" si="189"/>
        <v>1.0795857550446302</v>
      </c>
      <c r="C1138" s="21">
        <f t="shared" ca="1" si="194"/>
        <v>3499.9605148718292</v>
      </c>
      <c r="D1138" s="21">
        <f t="shared" ca="1" si="190"/>
        <v>1.67034469567319</v>
      </c>
      <c r="E1138" s="21">
        <f t="shared" ca="1" si="197"/>
        <v>3.0008435612453468</v>
      </c>
      <c r="F1138" s="20" t="str">
        <f t="shared" ca="1" si="195"/>
        <v>No</v>
      </c>
      <c r="G1138" s="21">
        <f t="shared" ca="1" si="191"/>
        <v>0</v>
      </c>
      <c r="H1138" s="21">
        <f t="shared" ca="1" si="192"/>
        <v>3502.9613584330746</v>
      </c>
      <c r="I1138" s="21">
        <f t="shared" ca="1" si="187"/>
        <v>3504.6317031287476</v>
      </c>
      <c r="J1138" s="20">
        <f t="shared" ca="1" si="196"/>
        <v>2</v>
      </c>
      <c r="K1138" s="20">
        <f t="shared" ca="1" si="188"/>
        <v>1</v>
      </c>
      <c r="L1138" s="44">
        <f t="shared" ca="1" si="193"/>
        <v>1.5</v>
      </c>
    </row>
    <row r="1139" spans="1:12" x14ac:dyDescent="0.25">
      <c r="A1139" s="20">
        <v>1131</v>
      </c>
      <c r="B1139" s="21">
        <f t="shared" ca="1" si="189"/>
        <v>3.9216917169724885</v>
      </c>
      <c r="C1139" s="21">
        <f t="shared" ca="1" si="194"/>
        <v>3503.8822065888016</v>
      </c>
      <c r="D1139" s="21">
        <f t="shared" ca="1" si="190"/>
        <v>0.20290397170639615</v>
      </c>
      <c r="E1139" s="21">
        <f t="shared" ca="1" si="197"/>
        <v>0.7494965399459943</v>
      </c>
      <c r="F1139" s="20" t="str">
        <f t="shared" ca="1" si="195"/>
        <v>No</v>
      </c>
      <c r="G1139" s="21">
        <f t="shared" ca="1" si="191"/>
        <v>0</v>
      </c>
      <c r="H1139" s="21">
        <f t="shared" ca="1" si="192"/>
        <v>3504.6317031287476</v>
      </c>
      <c r="I1139" s="21">
        <f t="shared" ca="1" si="187"/>
        <v>3504.8346071004539</v>
      </c>
      <c r="J1139" s="20">
        <f t="shared" ca="1" si="196"/>
        <v>2</v>
      </c>
      <c r="K1139" s="20">
        <f t="shared" ca="1" si="188"/>
        <v>0</v>
      </c>
      <c r="L1139" s="44">
        <f t="shared" ca="1" si="193"/>
        <v>1</v>
      </c>
    </row>
    <row r="1140" spans="1:12" x14ac:dyDescent="0.25">
      <c r="A1140" s="20">
        <v>1132</v>
      </c>
      <c r="B1140" s="21">
        <f t="shared" ca="1" si="189"/>
        <v>3.5368713137104639</v>
      </c>
      <c r="C1140" s="21">
        <f t="shared" ca="1" si="194"/>
        <v>3507.4190779025121</v>
      </c>
      <c r="D1140" s="21">
        <f t="shared" ca="1" si="190"/>
        <v>3.8688414282640209</v>
      </c>
      <c r="E1140" s="21">
        <f t="shared" ca="1" si="197"/>
        <v>0</v>
      </c>
      <c r="F1140" s="20" t="str">
        <f t="shared" ca="1" si="195"/>
        <v>Yes</v>
      </c>
      <c r="G1140" s="21">
        <f t="shared" ca="1" si="191"/>
        <v>2.5844708020581493</v>
      </c>
      <c r="H1140" s="21">
        <f t="shared" ca="1" si="192"/>
        <v>3507.4190779025121</v>
      </c>
      <c r="I1140" s="21">
        <f t="shared" ca="1" si="187"/>
        <v>3511.2879193307763</v>
      </c>
      <c r="J1140" s="20">
        <f t="shared" ca="1" si="196"/>
        <v>0</v>
      </c>
      <c r="K1140" s="20">
        <f t="shared" ca="1" si="188"/>
        <v>4</v>
      </c>
      <c r="L1140" s="44">
        <f t="shared" ca="1" si="193"/>
        <v>2</v>
      </c>
    </row>
    <row r="1141" spans="1:12" x14ac:dyDescent="0.25">
      <c r="A1141" s="20">
        <v>1133</v>
      </c>
      <c r="B1141" s="21">
        <f t="shared" ca="1" si="189"/>
        <v>4.0210700246970994E-2</v>
      </c>
      <c r="C1141" s="21">
        <f t="shared" ca="1" si="194"/>
        <v>3507.459288602759</v>
      </c>
      <c r="D1141" s="21">
        <f t="shared" ca="1" si="190"/>
        <v>1.9729039059924169</v>
      </c>
      <c r="E1141" s="21">
        <f t="shared" ca="1" si="197"/>
        <v>3.8286307280172878</v>
      </c>
      <c r="F1141" s="20" t="str">
        <f t="shared" ca="1" si="195"/>
        <v>No</v>
      </c>
      <c r="G1141" s="21">
        <f t="shared" ca="1" si="191"/>
        <v>0</v>
      </c>
      <c r="H1141" s="21">
        <f t="shared" ca="1" si="192"/>
        <v>3511.2879193307763</v>
      </c>
      <c r="I1141" s="21">
        <f t="shared" ca="1" si="187"/>
        <v>3513.2608232367688</v>
      </c>
      <c r="J1141" s="20">
        <f t="shared" ca="1" si="196"/>
        <v>5</v>
      </c>
      <c r="K1141" s="20">
        <f t="shared" ca="1" si="188"/>
        <v>3</v>
      </c>
      <c r="L1141" s="44">
        <f t="shared" ca="1" si="193"/>
        <v>4</v>
      </c>
    </row>
    <row r="1142" spans="1:12" x14ac:dyDescent="0.25">
      <c r="A1142" s="20">
        <v>1134</v>
      </c>
      <c r="B1142" s="21">
        <f t="shared" ca="1" si="189"/>
        <v>1.771529771882683</v>
      </c>
      <c r="C1142" s="21">
        <f t="shared" ca="1" si="194"/>
        <v>3509.2308183746418</v>
      </c>
      <c r="D1142" s="21">
        <f t="shared" ca="1" si="190"/>
        <v>0.73593411927800889</v>
      </c>
      <c r="E1142" s="21">
        <f t="shared" ca="1" si="197"/>
        <v>4.0300048621270435</v>
      </c>
      <c r="F1142" s="20" t="str">
        <f t="shared" ca="1" si="195"/>
        <v>No</v>
      </c>
      <c r="G1142" s="21">
        <f t="shared" ca="1" si="191"/>
        <v>0</v>
      </c>
      <c r="H1142" s="21">
        <f t="shared" ca="1" si="192"/>
        <v>3513.2608232367688</v>
      </c>
      <c r="I1142" s="21">
        <f t="shared" ca="1" si="187"/>
        <v>3513.9967573560471</v>
      </c>
      <c r="J1142" s="20">
        <f t="shared" ca="1" si="196"/>
        <v>4</v>
      </c>
      <c r="K1142" s="20">
        <f t="shared" ca="1" si="188"/>
        <v>2</v>
      </c>
      <c r="L1142" s="44">
        <f t="shared" ca="1" si="193"/>
        <v>3</v>
      </c>
    </row>
    <row r="1143" spans="1:12" x14ac:dyDescent="0.25">
      <c r="A1143" s="20">
        <v>1135</v>
      </c>
      <c r="B1143" s="21">
        <f t="shared" ca="1" si="189"/>
        <v>0.47424234253979447</v>
      </c>
      <c r="C1143" s="21">
        <f t="shared" ca="1" si="194"/>
        <v>3509.7050607171814</v>
      </c>
      <c r="D1143" s="21">
        <f t="shared" ca="1" si="190"/>
        <v>2.5577464673410311</v>
      </c>
      <c r="E1143" s="21">
        <f t="shared" ca="1" si="197"/>
        <v>4.2916966388656874</v>
      </c>
      <c r="F1143" s="20" t="str">
        <f t="shared" ca="1" si="195"/>
        <v>No</v>
      </c>
      <c r="G1143" s="21">
        <f t="shared" ca="1" si="191"/>
        <v>0</v>
      </c>
      <c r="H1143" s="21">
        <f t="shared" ca="1" si="192"/>
        <v>3513.9967573560471</v>
      </c>
      <c r="I1143" s="21">
        <f t="shared" ca="1" si="187"/>
        <v>3516.5545038233881</v>
      </c>
      <c r="J1143" s="20">
        <f t="shared" ca="1" si="196"/>
        <v>3</v>
      </c>
      <c r="K1143" s="20">
        <f t="shared" ca="1" si="188"/>
        <v>2</v>
      </c>
      <c r="L1143" s="44">
        <f t="shared" ca="1" si="193"/>
        <v>2.5</v>
      </c>
    </row>
    <row r="1144" spans="1:12" x14ac:dyDescent="0.25">
      <c r="A1144" s="20">
        <v>1136</v>
      </c>
      <c r="B1144" s="21">
        <f t="shared" ca="1" si="189"/>
        <v>0.87810762281502763</v>
      </c>
      <c r="C1144" s="21">
        <f t="shared" ca="1" si="194"/>
        <v>3510.5831683399965</v>
      </c>
      <c r="D1144" s="21">
        <f t="shared" ca="1" si="190"/>
        <v>0.49800250846518856</v>
      </c>
      <c r="E1144" s="21">
        <f t="shared" ca="1" si="197"/>
        <v>5.9713354833916128</v>
      </c>
      <c r="F1144" s="20" t="str">
        <f t="shared" ca="1" si="195"/>
        <v>No</v>
      </c>
      <c r="G1144" s="21">
        <f t="shared" ca="1" si="191"/>
        <v>0</v>
      </c>
      <c r="H1144" s="21">
        <f t="shared" ca="1" si="192"/>
        <v>3516.5545038233881</v>
      </c>
      <c r="I1144" s="21">
        <f t="shared" ca="1" si="187"/>
        <v>3517.0525063318532</v>
      </c>
      <c r="J1144" s="20">
        <f t="shared" ca="1" si="196"/>
        <v>3</v>
      </c>
      <c r="K1144" s="20">
        <f t="shared" ca="1" si="188"/>
        <v>1</v>
      </c>
      <c r="L1144" s="44">
        <f t="shared" ca="1" si="193"/>
        <v>2</v>
      </c>
    </row>
    <row r="1145" spans="1:12" x14ac:dyDescent="0.25">
      <c r="A1145" s="20">
        <v>1137</v>
      </c>
      <c r="B1145" s="21">
        <f t="shared" ca="1" si="189"/>
        <v>4.9574424869601481</v>
      </c>
      <c r="C1145" s="21">
        <f t="shared" ca="1" si="194"/>
        <v>3515.5406108269567</v>
      </c>
      <c r="D1145" s="21">
        <f t="shared" ca="1" si="190"/>
        <v>0.74367946806818641</v>
      </c>
      <c r="E1145" s="21">
        <f t="shared" ca="1" si="197"/>
        <v>1.511895504896529</v>
      </c>
      <c r="F1145" s="20" t="str">
        <f t="shared" ca="1" si="195"/>
        <v>No</v>
      </c>
      <c r="G1145" s="21">
        <f t="shared" ca="1" si="191"/>
        <v>0</v>
      </c>
      <c r="H1145" s="21">
        <f t="shared" ca="1" si="192"/>
        <v>3517.0525063318532</v>
      </c>
      <c r="I1145" s="21">
        <f t="shared" ca="1" si="187"/>
        <v>3517.7961857999212</v>
      </c>
      <c r="J1145" s="20">
        <f t="shared" ca="1" si="196"/>
        <v>2</v>
      </c>
      <c r="K1145" s="20">
        <f t="shared" ca="1" si="188"/>
        <v>0</v>
      </c>
      <c r="L1145" s="44">
        <f t="shared" ca="1" si="193"/>
        <v>1</v>
      </c>
    </row>
    <row r="1146" spans="1:12" x14ac:dyDescent="0.25">
      <c r="A1146" s="20">
        <v>1138</v>
      </c>
      <c r="B1146" s="21">
        <f t="shared" ca="1" si="189"/>
        <v>2.5036551457209049</v>
      </c>
      <c r="C1146" s="21">
        <f t="shared" ca="1" si="194"/>
        <v>3518.0442659726777</v>
      </c>
      <c r="D1146" s="21">
        <f t="shared" ca="1" si="190"/>
        <v>8.4138135545117798</v>
      </c>
      <c r="E1146" s="21">
        <f t="shared" ca="1" si="197"/>
        <v>0</v>
      </c>
      <c r="F1146" s="20" t="str">
        <f t="shared" ca="1" si="195"/>
        <v>Yes</v>
      </c>
      <c r="G1146" s="21">
        <f t="shared" ca="1" si="191"/>
        <v>0.24808017275654493</v>
      </c>
      <c r="H1146" s="21">
        <f t="shared" ca="1" si="192"/>
        <v>3518.0442659726777</v>
      </c>
      <c r="I1146" s="21">
        <f t="shared" ca="1" si="187"/>
        <v>3526.4580795271895</v>
      </c>
      <c r="J1146" s="20">
        <f t="shared" ca="1" si="196"/>
        <v>0</v>
      </c>
      <c r="K1146" s="20">
        <f t="shared" ca="1" si="188"/>
        <v>1</v>
      </c>
      <c r="L1146" s="44">
        <f t="shared" ca="1" si="193"/>
        <v>0.5</v>
      </c>
    </row>
    <row r="1147" spans="1:12" x14ac:dyDescent="0.25">
      <c r="A1147" s="20">
        <v>1139</v>
      </c>
      <c r="B1147" s="21">
        <f t="shared" ca="1" si="189"/>
        <v>1.0534477045991226</v>
      </c>
      <c r="C1147" s="21">
        <f t="shared" ca="1" si="194"/>
        <v>3519.0977136772767</v>
      </c>
      <c r="D1147" s="21">
        <f t="shared" ca="1" si="190"/>
        <v>0.53642587954834409</v>
      </c>
      <c r="E1147" s="21">
        <f t="shared" ca="1" si="197"/>
        <v>7.360365849912796</v>
      </c>
      <c r="F1147" s="20" t="str">
        <f t="shared" ca="1" si="195"/>
        <v>No</v>
      </c>
      <c r="G1147" s="21">
        <f t="shared" ca="1" si="191"/>
        <v>0</v>
      </c>
      <c r="H1147" s="21">
        <f t="shared" ca="1" si="192"/>
        <v>3526.4580795271895</v>
      </c>
      <c r="I1147" s="21">
        <f t="shared" ca="1" si="187"/>
        <v>3526.994505406738</v>
      </c>
      <c r="J1147" s="20">
        <f t="shared" ca="1" si="196"/>
        <v>2</v>
      </c>
      <c r="K1147" s="20">
        <f t="shared" ca="1" si="188"/>
        <v>0</v>
      </c>
      <c r="L1147" s="44">
        <f t="shared" ca="1" si="193"/>
        <v>1</v>
      </c>
    </row>
    <row r="1148" spans="1:12" x14ac:dyDescent="0.25">
      <c r="A1148" s="20">
        <v>1140</v>
      </c>
      <c r="B1148" s="21">
        <f t="shared" ca="1" si="189"/>
        <v>8.8696903197698109</v>
      </c>
      <c r="C1148" s="21">
        <f t="shared" ca="1" si="194"/>
        <v>3527.9674039970464</v>
      </c>
      <c r="D1148" s="21">
        <f t="shared" ca="1" si="190"/>
        <v>6.353997986836422</v>
      </c>
      <c r="E1148" s="21">
        <f t="shared" ca="1" si="197"/>
        <v>0</v>
      </c>
      <c r="F1148" s="20" t="str">
        <f t="shared" ca="1" si="195"/>
        <v>Yes</v>
      </c>
      <c r="G1148" s="21">
        <f t="shared" ca="1" si="191"/>
        <v>0.97289859030843218</v>
      </c>
      <c r="H1148" s="21">
        <f t="shared" ca="1" si="192"/>
        <v>3527.9674039970464</v>
      </c>
      <c r="I1148" s="21">
        <f t="shared" ca="1" si="187"/>
        <v>3534.3214019838829</v>
      </c>
      <c r="J1148" s="20">
        <f t="shared" ca="1" si="196"/>
        <v>0</v>
      </c>
      <c r="K1148" s="20">
        <f t="shared" ca="1" si="188"/>
        <v>5</v>
      </c>
      <c r="L1148" s="44">
        <f t="shared" ca="1" si="193"/>
        <v>2.5</v>
      </c>
    </row>
    <row r="1149" spans="1:12" x14ac:dyDescent="0.25">
      <c r="A1149" s="20">
        <v>1141</v>
      </c>
      <c r="B1149" s="21">
        <f t="shared" ca="1" si="189"/>
        <v>0.94316193329273801</v>
      </c>
      <c r="C1149" s="21">
        <f t="shared" ca="1" si="194"/>
        <v>3528.9105659303391</v>
      </c>
      <c r="D1149" s="21">
        <f t="shared" ca="1" si="190"/>
        <v>1.3928235786883241</v>
      </c>
      <c r="E1149" s="21">
        <f t="shared" ca="1" si="197"/>
        <v>5.4108360535437896</v>
      </c>
      <c r="F1149" s="20" t="str">
        <f t="shared" ca="1" si="195"/>
        <v>No</v>
      </c>
      <c r="G1149" s="21">
        <f t="shared" ca="1" si="191"/>
        <v>0</v>
      </c>
      <c r="H1149" s="21">
        <f t="shared" ca="1" si="192"/>
        <v>3534.3214019838829</v>
      </c>
      <c r="I1149" s="21">
        <f t="shared" ca="1" si="187"/>
        <v>3535.7142255625713</v>
      </c>
      <c r="J1149" s="20">
        <f t="shared" ca="1" si="196"/>
        <v>6</v>
      </c>
      <c r="K1149" s="20">
        <f t="shared" ca="1" si="188"/>
        <v>5</v>
      </c>
      <c r="L1149" s="44">
        <f t="shared" ca="1" si="193"/>
        <v>5.5</v>
      </c>
    </row>
    <row r="1150" spans="1:12" x14ac:dyDescent="0.25">
      <c r="A1150" s="20">
        <v>1142</v>
      </c>
      <c r="B1150" s="21">
        <f t="shared" ca="1" si="189"/>
        <v>0.22418384428038277</v>
      </c>
      <c r="C1150" s="21">
        <f t="shared" ca="1" si="194"/>
        <v>3529.1347497746196</v>
      </c>
      <c r="D1150" s="21">
        <f t="shared" ca="1" si="190"/>
        <v>1.1855703763581271</v>
      </c>
      <c r="E1150" s="21">
        <f t="shared" ca="1" si="197"/>
        <v>6.579475787951651</v>
      </c>
      <c r="F1150" s="20" t="str">
        <f t="shared" ca="1" si="195"/>
        <v>No</v>
      </c>
      <c r="G1150" s="21">
        <f t="shared" ca="1" si="191"/>
        <v>0</v>
      </c>
      <c r="H1150" s="21">
        <f t="shared" ca="1" si="192"/>
        <v>3535.7142255625713</v>
      </c>
      <c r="I1150" s="21">
        <f t="shared" ca="1" si="187"/>
        <v>3536.8997959389294</v>
      </c>
      <c r="J1150" s="20">
        <f t="shared" ca="1" si="196"/>
        <v>6</v>
      </c>
      <c r="K1150" s="20">
        <f t="shared" ca="1" si="188"/>
        <v>5</v>
      </c>
      <c r="L1150" s="44">
        <f t="shared" ca="1" si="193"/>
        <v>5.5</v>
      </c>
    </row>
    <row r="1151" spans="1:12" x14ac:dyDescent="0.25">
      <c r="A1151" s="20">
        <v>1143</v>
      </c>
      <c r="B1151" s="21">
        <f t="shared" ca="1" si="189"/>
        <v>2.838529412831921</v>
      </c>
      <c r="C1151" s="21">
        <f t="shared" ca="1" si="194"/>
        <v>3531.9732791874517</v>
      </c>
      <c r="D1151" s="21">
        <f t="shared" ca="1" si="190"/>
        <v>2.2805146859983116</v>
      </c>
      <c r="E1151" s="21">
        <f t="shared" ca="1" si="197"/>
        <v>4.9265167514777204</v>
      </c>
      <c r="F1151" s="20" t="str">
        <f t="shared" ca="1" si="195"/>
        <v>No</v>
      </c>
      <c r="G1151" s="21">
        <f t="shared" ca="1" si="191"/>
        <v>0</v>
      </c>
      <c r="H1151" s="21">
        <f t="shared" ca="1" si="192"/>
        <v>3536.8997959389294</v>
      </c>
      <c r="I1151" s="21">
        <f t="shared" ca="1" si="187"/>
        <v>3539.1803106249276</v>
      </c>
      <c r="J1151" s="20">
        <f t="shared" ca="1" si="196"/>
        <v>6</v>
      </c>
      <c r="K1151" s="20">
        <f t="shared" ca="1" si="188"/>
        <v>5</v>
      </c>
      <c r="L1151" s="44">
        <f t="shared" ca="1" si="193"/>
        <v>5.5</v>
      </c>
    </row>
    <row r="1152" spans="1:12" x14ac:dyDescent="0.25">
      <c r="A1152" s="20">
        <v>1144</v>
      </c>
      <c r="B1152" s="21">
        <f t="shared" ca="1" si="189"/>
        <v>0.8898223545770193</v>
      </c>
      <c r="C1152" s="21">
        <f t="shared" ca="1" si="194"/>
        <v>3532.8631015420287</v>
      </c>
      <c r="D1152" s="21">
        <f t="shared" ca="1" si="190"/>
        <v>3.8913646872330765</v>
      </c>
      <c r="E1152" s="21">
        <f t="shared" ca="1" si="197"/>
        <v>6.3172090828988985</v>
      </c>
      <c r="F1152" s="20" t="str">
        <f t="shared" ca="1" si="195"/>
        <v>No</v>
      </c>
      <c r="G1152" s="21">
        <f t="shared" ca="1" si="191"/>
        <v>0</v>
      </c>
      <c r="H1152" s="21">
        <f t="shared" ca="1" si="192"/>
        <v>3539.1803106249276</v>
      </c>
      <c r="I1152" s="21">
        <f t="shared" ca="1" si="187"/>
        <v>3543.0716753121606</v>
      </c>
      <c r="J1152" s="20">
        <f t="shared" ca="1" si="196"/>
        <v>6</v>
      </c>
      <c r="K1152" s="20">
        <f t="shared" ca="1" si="188"/>
        <v>5</v>
      </c>
      <c r="L1152" s="44">
        <f t="shared" ca="1" si="193"/>
        <v>5.5</v>
      </c>
    </row>
    <row r="1153" spans="1:12" x14ac:dyDescent="0.25">
      <c r="A1153" s="20">
        <v>1145</v>
      </c>
      <c r="B1153" s="21">
        <f t="shared" ca="1" si="189"/>
        <v>1.1280768670947618</v>
      </c>
      <c r="C1153" s="21">
        <f t="shared" ca="1" si="194"/>
        <v>3533.9911784091237</v>
      </c>
      <c r="D1153" s="21">
        <f t="shared" ca="1" si="190"/>
        <v>0.51942616891473026</v>
      </c>
      <c r="E1153" s="21">
        <f t="shared" ca="1" si="197"/>
        <v>9.0804969030368738</v>
      </c>
      <c r="F1153" s="20" t="str">
        <f t="shared" ca="1" si="195"/>
        <v>No</v>
      </c>
      <c r="G1153" s="21">
        <f t="shared" ca="1" si="191"/>
        <v>0</v>
      </c>
      <c r="H1153" s="21">
        <f t="shared" ca="1" si="192"/>
        <v>3543.0716753121606</v>
      </c>
      <c r="I1153" s="21">
        <f t="shared" ca="1" si="187"/>
        <v>3543.5911014810754</v>
      </c>
      <c r="J1153" s="20">
        <f t="shared" ca="1" si="196"/>
        <v>6</v>
      </c>
      <c r="K1153" s="20">
        <f t="shared" ca="1" si="188"/>
        <v>5</v>
      </c>
      <c r="L1153" s="44">
        <f t="shared" ca="1" si="193"/>
        <v>5.5</v>
      </c>
    </row>
    <row r="1154" spans="1:12" x14ac:dyDescent="0.25">
      <c r="A1154" s="20">
        <v>1146</v>
      </c>
      <c r="B1154" s="21">
        <f t="shared" ca="1" si="189"/>
        <v>0.98778818609001784</v>
      </c>
      <c r="C1154" s="21">
        <f t="shared" ca="1" si="194"/>
        <v>3534.9789665952135</v>
      </c>
      <c r="D1154" s="21">
        <f t="shared" ca="1" si="190"/>
        <v>0.97330433256161997</v>
      </c>
      <c r="E1154" s="21">
        <f t="shared" ca="1" si="197"/>
        <v>8.6121348858619058</v>
      </c>
      <c r="F1154" s="20" t="str">
        <f t="shared" ca="1" si="195"/>
        <v>No</v>
      </c>
      <c r="G1154" s="21">
        <f t="shared" ca="1" si="191"/>
        <v>0</v>
      </c>
      <c r="H1154" s="21">
        <f t="shared" ca="1" si="192"/>
        <v>3543.5911014810754</v>
      </c>
      <c r="I1154" s="21">
        <f t="shared" ca="1" si="187"/>
        <v>3544.5644058136372</v>
      </c>
      <c r="J1154" s="20">
        <f t="shared" ca="1" si="196"/>
        <v>6</v>
      </c>
      <c r="K1154" s="20">
        <f t="shared" ca="1" si="188"/>
        <v>5</v>
      </c>
      <c r="L1154" s="44">
        <f t="shared" ca="1" si="193"/>
        <v>5.5</v>
      </c>
    </row>
    <row r="1155" spans="1:12" x14ac:dyDescent="0.25">
      <c r="A1155" s="20">
        <v>1147</v>
      </c>
      <c r="B1155" s="21">
        <f t="shared" ca="1" si="189"/>
        <v>0.65100310296821096</v>
      </c>
      <c r="C1155" s="21">
        <f t="shared" ca="1" si="194"/>
        <v>3535.6299696981819</v>
      </c>
      <c r="D1155" s="21">
        <f t="shared" ca="1" si="190"/>
        <v>2.1590015025771656</v>
      </c>
      <c r="E1155" s="21">
        <f t="shared" ca="1" si="197"/>
        <v>8.9344361154553553</v>
      </c>
      <c r="F1155" s="20" t="str">
        <f t="shared" ca="1" si="195"/>
        <v>No</v>
      </c>
      <c r="G1155" s="21">
        <f t="shared" ca="1" si="191"/>
        <v>0</v>
      </c>
      <c r="H1155" s="21">
        <f t="shared" ca="1" si="192"/>
        <v>3544.5644058136372</v>
      </c>
      <c r="I1155" s="21">
        <f t="shared" ca="1" si="187"/>
        <v>3546.7234073162144</v>
      </c>
      <c r="J1155" s="20">
        <f t="shared" ca="1" si="196"/>
        <v>6</v>
      </c>
      <c r="K1155" s="20">
        <f t="shared" ca="1" si="188"/>
        <v>5</v>
      </c>
      <c r="L1155" s="44">
        <f t="shared" ca="1" si="193"/>
        <v>5.5</v>
      </c>
    </row>
    <row r="1156" spans="1:12" x14ac:dyDescent="0.25">
      <c r="A1156" s="20">
        <v>1148</v>
      </c>
      <c r="B1156" s="21">
        <f t="shared" ca="1" si="189"/>
        <v>0.6844037676497351</v>
      </c>
      <c r="C1156" s="21">
        <f t="shared" ca="1" si="194"/>
        <v>3536.3143734658315</v>
      </c>
      <c r="D1156" s="21">
        <f t="shared" ca="1" si="190"/>
        <v>2.0005451986073362</v>
      </c>
      <c r="E1156" s="21">
        <f t="shared" ca="1" si="197"/>
        <v>10.409033850382912</v>
      </c>
      <c r="F1156" s="20" t="str">
        <f t="shared" ca="1" si="195"/>
        <v>No</v>
      </c>
      <c r="G1156" s="21">
        <f t="shared" ca="1" si="191"/>
        <v>0</v>
      </c>
      <c r="H1156" s="21">
        <f t="shared" ca="1" si="192"/>
        <v>3546.7234073162144</v>
      </c>
      <c r="I1156" s="21">
        <f t="shared" ca="1" si="187"/>
        <v>3548.7239525148216</v>
      </c>
      <c r="J1156" s="20">
        <f t="shared" ca="1" si="196"/>
        <v>6</v>
      </c>
      <c r="K1156" s="20">
        <f t="shared" ca="1" si="188"/>
        <v>5</v>
      </c>
      <c r="L1156" s="44">
        <f t="shared" ca="1" si="193"/>
        <v>5.5</v>
      </c>
    </row>
    <row r="1157" spans="1:12" x14ac:dyDescent="0.25">
      <c r="A1157" s="20">
        <v>1149</v>
      </c>
      <c r="B1157" s="21">
        <f t="shared" ca="1" si="189"/>
        <v>2.5059217927572726</v>
      </c>
      <c r="C1157" s="21">
        <f t="shared" ca="1" si="194"/>
        <v>3538.8202952585889</v>
      </c>
      <c r="D1157" s="21">
        <f t="shared" ca="1" si="190"/>
        <v>0.74987666342917736</v>
      </c>
      <c r="E1157" s="21">
        <f t="shared" ca="1" si="197"/>
        <v>9.903657256232691</v>
      </c>
      <c r="F1157" s="20" t="str">
        <f t="shared" ca="1" si="195"/>
        <v>No</v>
      </c>
      <c r="G1157" s="21">
        <f t="shared" ca="1" si="191"/>
        <v>0</v>
      </c>
      <c r="H1157" s="21">
        <f t="shared" ca="1" si="192"/>
        <v>3548.7239525148216</v>
      </c>
      <c r="I1157" s="21">
        <f t="shared" ca="1" si="187"/>
        <v>3549.473829178251</v>
      </c>
      <c r="J1157" s="20">
        <f t="shared" ca="1" si="196"/>
        <v>6</v>
      </c>
      <c r="K1157" s="20">
        <f t="shared" ca="1" si="188"/>
        <v>5</v>
      </c>
      <c r="L1157" s="44">
        <f t="shared" ca="1" si="193"/>
        <v>5.5</v>
      </c>
    </row>
    <row r="1158" spans="1:12" x14ac:dyDescent="0.25">
      <c r="A1158" s="20">
        <v>1150</v>
      </c>
      <c r="B1158" s="21">
        <f t="shared" ca="1" si="189"/>
        <v>3.3703610193170004</v>
      </c>
      <c r="C1158" s="21">
        <f t="shared" ca="1" si="194"/>
        <v>3542.1906562779059</v>
      </c>
      <c r="D1158" s="21">
        <f t="shared" ca="1" si="190"/>
        <v>1.0352290800260435</v>
      </c>
      <c r="E1158" s="21">
        <f t="shared" ca="1" si="197"/>
        <v>7.2831729003451073</v>
      </c>
      <c r="F1158" s="20" t="str">
        <f t="shared" ca="1" si="195"/>
        <v>No</v>
      </c>
      <c r="G1158" s="21">
        <f t="shared" ca="1" si="191"/>
        <v>0</v>
      </c>
      <c r="H1158" s="21">
        <f t="shared" ca="1" si="192"/>
        <v>3549.473829178251</v>
      </c>
      <c r="I1158" s="21">
        <f t="shared" ca="1" si="187"/>
        <v>3550.509058258277</v>
      </c>
      <c r="J1158" s="20">
        <f t="shared" ca="1" si="196"/>
        <v>6</v>
      </c>
      <c r="K1158" s="20">
        <f t="shared" ca="1" si="188"/>
        <v>4</v>
      </c>
      <c r="L1158" s="44">
        <f t="shared" ca="1" si="193"/>
        <v>5</v>
      </c>
    </row>
    <row r="1159" spans="1:12" x14ac:dyDescent="0.25">
      <c r="A1159" s="20">
        <v>1151</v>
      </c>
      <c r="B1159" s="21">
        <f t="shared" ca="1" si="189"/>
        <v>1.4260054982825148</v>
      </c>
      <c r="C1159" s="21">
        <f t="shared" ca="1" si="194"/>
        <v>3543.6166617761883</v>
      </c>
      <c r="D1159" s="21">
        <f t="shared" ca="1" si="190"/>
        <v>2.7075824439214444</v>
      </c>
      <c r="E1159" s="21">
        <f t="shared" ca="1" si="197"/>
        <v>6.8923964820887704</v>
      </c>
      <c r="F1159" s="20" t="str">
        <f t="shared" ca="1" si="195"/>
        <v>No</v>
      </c>
      <c r="G1159" s="21">
        <f t="shared" ca="1" si="191"/>
        <v>0</v>
      </c>
      <c r="H1159" s="21">
        <f t="shared" ca="1" si="192"/>
        <v>3550.509058258277</v>
      </c>
      <c r="I1159" s="21">
        <f t="shared" ca="1" si="187"/>
        <v>3553.2166407021987</v>
      </c>
      <c r="J1159" s="20">
        <f t="shared" ca="1" si="196"/>
        <v>5</v>
      </c>
      <c r="K1159" s="20">
        <f t="shared" ca="1" si="188"/>
        <v>5</v>
      </c>
      <c r="L1159" s="44">
        <f t="shared" ca="1" si="193"/>
        <v>5</v>
      </c>
    </row>
    <row r="1160" spans="1:12" x14ac:dyDescent="0.25">
      <c r="A1160" s="20">
        <v>1152</v>
      </c>
      <c r="B1160" s="21">
        <f t="shared" ca="1" si="189"/>
        <v>0.59458238847404299</v>
      </c>
      <c r="C1160" s="21">
        <f t="shared" ca="1" si="194"/>
        <v>3544.2112441646623</v>
      </c>
      <c r="D1160" s="21">
        <f t="shared" ca="1" si="190"/>
        <v>0.56965228134479329</v>
      </c>
      <c r="E1160" s="21">
        <f t="shared" ca="1" si="197"/>
        <v>9.0053965375363987</v>
      </c>
      <c r="F1160" s="20" t="str">
        <f t="shared" ca="1" si="195"/>
        <v>No</v>
      </c>
      <c r="G1160" s="21">
        <f t="shared" ca="1" si="191"/>
        <v>0</v>
      </c>
      <c r="H1160" s="21">
        <f t="shared" ca="1" si="192"/>
        <v>3553.2166407021987</v>
      </c>
      <c r="I1160" s="21">
        <f t="shared" ca="1" si="187"/>
        <v>3553.7862929835433</v>
      </c>
      <c r="J1160" s="20">
        <f t="shared" ca="1" si="196"/>
        <v>6</v>
      </c>
      <c r="K1160" s="20">
        <f t="shared" ca="1" si="188"/>
        <v>4</v>
      </c>
      <c r="L1160" s="44">
        <f t="shared" ca="1" si="193"/>
        <v>5</v>
      </c>
    </row>
    <row r="1161" spans="1:12" x14ac:dyDescent="0.25">
      <c r="A1161" s="20">
        <v>1153</v>
      </c>
      <c r="B1161" s="21">
        <f t="shared" ca="1" si="189"/>
        <v>1.8030341933604543</v>
      </c>
      <c r="C1161" s="21">
        <f t="shared" ca="1" si="194"/>
        <v>3546.0142783580227</v>
      </c>
      <c r="D1161" s="21">
        <f t="shared" ca="1" si="190"/>
        <v>3.1006598942440102</v>
      </c>
      <c r="E1161" s="21">
        <f t="shared" ca="1" si="197"/>
        <v>7.7720146255205691</v>
      </c>
      <c r="F1161" s="20" t="str">
        <f t="shared" ca="1" si="195"/>
        <v>No</v>
      </c>
      <c r="G1161" s="21">
        <f t="shared" ca="1" si="191"/>
        <v>0</v>
      </c>
      <c r="H1161" s="21">
        <f t="shared" ca="1" si="192"/>
        <v>3553.7862929835433</v>
      </c>
      <c r="I1161" s="21">
        <f t="shared" ref="I1161:I1224" ca="1" si="198">$H1161+$D1161</f>
        <v>3556.8869528777873</v>
      </c>
      <c r="J1161" s="20">
        <f t="shared" ca="1" si="196"/>
        <v>5</v>
      </c>
      <c r="K1161" s="20">
        <f t="shared" ref="K1161:K1224" ca="1" si="199">IF($I1161&lt;=$C1162,0,IF($I1161&lt;=$C1163,1,IF($I1161&lt;=$C1164,2,IF($I1161&lt;=$C1165,3,IF($I1161&lt;=$C1166,4,5)))))</f>
        <v>4</v>
      </c>
      <c r="L1161" s="44">
        <f t="shared" ca="1" si="193"/>
        <v>4.5</v>
      </c>
    </row>
    <row r="1162" spans="1:12" x14ac:dyDescent="0.25">
      <c r="A1162" s="20">
        <v>1154</v>
      </c>
      <c r="B1162" s="21">
        <f t="shared" ref="B1162:B1225" ca="1" si="200">-LN(RAND())/$D$4</f>
        <v>2.7321013957152629</v>
      </c>
      <c r="C1162" s="21">
        <f t="shared" ca="1" si="194"/>
        <v>3548.746379753738</v>
      </c>
      <c r="D1162" s="21">
        <f t="shared" ref="D1162:D1225" ca="1" si="201">-LN(RAND())/$D$6</f>
        <v>1.1829968832228299</v>
      </c>
      <c r="E1162" s="21">
        <f t="shared" ca="1" si="197"/>
        <v>8.1405731240492969</v>
      </c>
      <c r="F1162" s="20" t="str">
        <f t="shared" ca="1" si="195"/>
        <v>No</v>
      </c>
      <c r="G1162" s="21">
        <f t="shared" ref="G1162:G1225" ca="1" si="202">IF($I1161&lt;=$C1162,$C1162-$I1161,0)</f>
        <v>0</v>
      </c>
      <c r="H1162" s="21">
        <f t="shared" ref="H1162:H1225" ca="1" si="203">IF($I1161&lt;=$C1162,$C1162,$I1161)</f>
        <v>3556.8869528777873</v>
      </c>
      <c r="I1162" s="21">
        <f t="shared" ca="1" si="198"/>
        <v>3558.0699497610103</v>
      </c>
      <c r="J1162" s="20">
        <f t="shared" ca="1" si="196"/>
        <v>5</v>
      </c>
      <c r="K1162" s="20">
        <f t="shared" ca="1" si="199"/>
        <v>3</v>
      </c>
      <c r="L1162" s="44">
        <f t="shared" ref="L1162:L1225" ca="1" si="204">(J1162+K1162)/2</f>
        <v>4</v>
      </c>
    </row>
    <row r="1163" spans="1:12" x14ac:dyDescent="0.25">
      <c r="A1163" s="20">
        <v>1155</v>
      </c>
      <c r="B1163" s="21">
        <f t="shared" ca="1" si="200"/>
        <v>2.0810470594179913</v>
      </c>
      <c r="C1163" s="21">
        <f t="shared" ref="C1163:C1226" ca="1" si="205">$C1162+$B1163</f>
        <v>3550.8274268131559</v>
      </c>
      <c r="D1163" s="21">
        <f t="shared" ca="1" si="201"/>
        <v>5.8378526110159568</v>
      </c>
      <c r="E1163" s="21">
        <f t="shared" ca="1" si="197"/>
        <v>7.2425229478544679</v>
      </c>
      <c r="F1163" s="20" t="str">
        <f t="shared" ref="F1163:F1226" ca="1" si="206">IF(E1163=0,"Yes","No")</f>
        <v>No</v>
      </c>
      <c r="G1163" s="21">
        <f t="shared" ca="1" si="202"/>
        <v>0</v>
      </c>
      <c r="H1163" s="21">
        <f t="shared" ca="1" si="203"/>
        <v>3558.0699497610103</v>
      </c>
      <c r="I1163" s="21">
        <f t="shared" ca="1" si="198"/>
        <v>3563.9078023720263</v>
      </c>
      <c r="J1163" s="20">
        <f t="shared" ref="J1163:J1226" ca="1" si="207">IF($I1162&lt;=$C1163,0,$K1162+1)</f>
        <v>4</v>
      </c>
      <c r="K1163" s="20">
        <f t="shared" ca="1" si="199"/>
        <v>4</v>
      </c>
      <c r="L1163" s="44">
        <f t="shared" ca="1" si="204"/>
        <v>4</v>
      </c>
    </row>
    <row r="1164" spans="1:12" x14ac:dyDescent="0.25">
      <c r="A1164" s="20">
        <v>1156</v>
      </c>
      <c r="B1164" s="21">
        <f t="shared" ca="1" si="200"/>
        <v>0.30625740009151597</v>
      </c>
      <c r="C1164" s="21">
        <f t="shared" ca="1" si="205"/>
        <v>3551.1336842132473</v>
      </c>
      <c r="D1164" s="21">
        <f t="shared" ca="1" si="201"/>
        <v>0.79462131557313942</v>
      </c>
      <c r="E1164" s="21">
        <f t="shared" ref="E1164:E1227" ca="1" si="208">IF($I1163&lt;=$C1164,0,$I1163-$C1164)</f>
        <v>12.774118158778947</v>
      </c>
      <c r="F1164" s="20" t="str">
        <f t="shared" ca="1" si="206"/>
        <v>No</v>
      </c>
      <c r="G1164" s="21">
        <f t="shared" ca="1" si="202"/>
        <v>0</v>
      </c>
      <c r="H1164" s="21">
        <f t="shared" ca="1" si="203"/>
        <v>3563.9078023720263</v>
      </c>
      <c r="I1164" s="21">
        <f t="shared" ca="1" si="198"/>
        <v>3564.7024236875995</v>
      </c>
      <c r="J1164" s="20">
        <f t="shared" ca="1" si="207"/>
        <v>5</v>
      </c>
      <c r="K1164" s="20">
        <f t="shared" ca="1" si="199"/>
        <v>3</v>
      </c>
      <c r="L1164" s="44">
        <f t="shared" ca="1" si="204"/>
        <v>4</v>
      </c>
    </row>
    <row r="1165" spans="1:12" x14ac:dyDescent="0.25">
      <c r="A1165" s="20">
        <v>1157</v>
      </c>
      <c r="B1165" s="21">
        <f t="shared" ca="1" si="200"/>
        <v>5.1250480374737259</v>
      </c>
      <c r="C1165" s="21">
        <f t="shared" ca="1" si="205"/>
        <v>3556.2587322507211</v>
      </c>
      <c r="D1165" s="21">
        <f t="shared" ca="1" si="201"/>
        <v>0.19758273103227317</v>
      </c>
      <c r="E1165" s="21">
        <f t="shared" ca="1" si="208"/>
        <v>8.4436914368784528</v>
      </c>
      <c r="F1165" s="20" t="str">
        <f t="shared" ca="1" si="206"/>
        <v>No</v>
      </c>
      <c r="G1165" s="21">
        <f t="shared" ca="1" si="202"/>
        <v>0</v>
      </c>
      <c r="H1165" s="21">
        <f t="shared" ca="1" si="203"/>
        <v>3564.7024236875995</v>
      </c>
      <c r="I1165" s="21">
        <f t="shared" ca="1" si="198"/>
        <v>3564.9000064186316</v>
      </c>
      <c r="J1165" s="20">
        <f t="shared" ca="1" si="207"/>
        <v>4</v>
      </c>
      <c r="K1165" s="20">
        <f t="shared" ca="1" si="199"/>
        <v>2</v>
      </c>
      <c r="L1165" s="44">
        <f t="shared" ca="1" si="204"/>
        <v>3</v>
      </c>
    </row>
    <row r="1166" spans="1:12" x14ac:dyDescent="0.25">
      <c r="A1166" s="20">
        <v>1158</v>
      </c>
      <c r="B1166" s="21">
        <f t="shared" ca="1" si="200"/>
        <v>5.275281217780293</v>
      </c>
      <c r="C1166" s="21">
        <f t="shared" ca="1" si="205"/>
        <v>3561.5340134685016</v>
      </c>
      <c r="D1166" s="21">
        <f t="shared" ca="1" si="201"/>
        <v>1.7070085899609806</v>
      </c>
      <c r="E1166" s="21">
        <f t="shared" ca="1" si="208"/>
        <v>3.3659929501300212</v>
      </c>
      <c r="F1166" s="20" t="str">
        <f t="shared" ca="1" si="206"/>
        <v>No</v>
      </c>
      <c r="G1166" s="21">
        <f t="shared" ca="1" si="202"/>
        <v>0</v>
      </c>
      <c r="H1166" s="21">
        <f t="shared" ca="1" si="203"/>
        <v>3564.9000064186316</v>
      </c>
      <c r="I1166" s="21">
        <f t="shared" ca="1" si="198"/>
        <v>3566.6070150085925</v>
      </c>
      <c r="J1166" s="20">
        <f t="shared" ca="1" si="207"/>
        <v>3</v>
      </c>
      <c r="K1166" s="20">
        <f t="shared" ca="1" si="199"/>
        <v>2</v>
      </c>
      <c r="L1166" s="44">
        <f t="shared" ca="1" si="204"/>
        <v>2.5</v>
      </c>
    </row>
    <row r="1167" spans="1:12" x14ac:dyDescent="0.25">
      <c r="A1167" s="20">
        <v>1159</v>
      </c>
      <c r="B1167" s="21">
        <f t="shared" ca="1" si="200"/>
        <v>1.4436606726187133</v>
      </c>
      <c r="C1167" s="21">
        <f t="shared" ca="1" si="205"/>
        <v>3562.9776741411201</v>
      </c>
      <c r="D1167" s="21">
        <f t="shared" ca="1" si="201"/>
        <v>0.57730658996796425</v>
      </c>
      <c r="E1167" s="21">
        <f t="shared" ca="1" si="208"/>
        <v>3.6293408674723651</v>
      </c>
      <c r="F1167" s="20" t="str">
        <f t="shared" ca="1" si="206"/>
        <v>No</v>
      </c>
      <c r="G1167" s="21">
        <f t="shared" ca="1" si="202"/>
        <v>0</v>
      </c>
      <c r="H1167" s="21">
        <f t="shared" ca="1" si="203"/>
        <v>3566.6070150085925</v>
      </c>
      <c r="I1167" s="21">
        <f t="shared" ca="1" si="198"/>
        <v>3567.1843215985605</v>
      </c>
      <c r="J1167" s="20">
        <f t="shared" ca="1" si="207"/>
        <v>3</v>
      </c>
      <c r="K1167" s="20">
        <f t="shared" ca="1" si="199"/>
        <v>1</v>
      </c>
      <c r="L1167" s="44">
        <f t="shared" ca="1" si="204"/>
        <v>2</v>
      </c>
    </row>
    <row r="1168" spans="1:12" x14ac:dyDescent="0.25">
      <c r="A1168" s="20">
        <v>1160</v>
      </c>
      <c r="B1168" s="21">
        <f t="shared" ca="1" si="200"/>
        <v>2.5271023267804282</v>
      </c>
      <c r="C1168" s="21">
        <f t="shared" ca="1" si="205"/>
        <v>3565.5047764679007</v>
      </c>
      <c r="D1168" s="21">
        <f t="shared" ca="1" si="201"/>
        <v>0.38579735944723448</v>
      </c>
      <c r="E1168" s="21">
        <f t="shared" ca="1" si="208"/>
        <v>1.6795451306597897</v>
      </c>
      <c r="F1168" s="20" t="str">
        <f t="shared" ca="1" si="206"/>
        <v>No</v>
      </c>
      <c r="G1168" s="21">
        <f t="shared" ca="1" si="202"/>
        <v>0</v>
      </c>
      <c r="H1168" s="21">
        <f t="shared" ca="1" si="203"/>
        <v>3567.1843215985605</v>
      </c>
      <c r="I1168" s="21">
        <f t="shared" ca="1" si="198"/>
        <v>3567.5701189580077</v>
      </c>
      <c r="J1168" s="20">
        <f t="shared" ca="1" si="207"/>
        <v>2</v>
      </c>
      <c r="K1168" s="20">
        <f t="shared" ca="1" si="199"/>
        <v>0</v>
      </c>
      <c r="L1168" s="44">
        <f t="shared" ca="1" si="204"/>
        <v>1</v>
      </c>
    </row>
    <row r="1169" spans="1:12" x14ac:dyDescent="0.25">
      <c r="A1169" s="20">
        <v>1161</v>
      </c>
      <c r="B1169" s="21">
        <f t="shared" ca="1" si="200"/>
        <v>3.9322476164830338</v>
      </c>
      <c r="C1169" s="21">
        <f t="shared" ca="1" si="205"/>
        <v>3569.4370240843837</v>
      </c>
      <c r="D1169" s="21">
        <f t="shared" ca="1" si="201"/>
        <v>3.7450418620032879</v>
      </c>
      <c r="E1169" s="21">
        <f t="shared" ca="1" si="208"/>
        <v>0</v>
      </c>
      <c r="F1169" s="20" t="str">
        <f t="shared" ca="1" si="206"/>
        <v>Yes</v>
      </c>
      <c r="G1169" s="21">
        <f t="shared" ca="1" si="202"/>
        <v>1.8669051263759684</v>
      </c>
      <c r="H1169" s="21">
        <f t="shared" ca="1" si="203"/>
        <v>3569.4370240843837</v>
      </c>
      <c r="I1169" s="21">
        <f t="shared" ca="1" si="198"/>
        <v>3573.182065946387</v>
      </c>
      <c r="J1169" s="20">
        <f t="shared" ca="1" si="207"/>
        <v>0</v>
      </c>
      <c r="K1169" s="20">
        <f t="shared" ca="1" si="199"/>
        <v>0</v>
      </c>
      <c r="L1169" s="44">
        <f t="shared" ca="1" si="204"/>
        <v>0</v>
      </c>
    </row>
    <row r="1170" spans="1:12" x14ac:dyDescent="0.25">
      <c r="A1170" s="20">
        <v>1162</v>
      </c>
      <c r="B1170" s="21">
        <f t="shared" ca="1" si="200"/>
        <v>5.8587071323688624</v>
      </c>
      <c r="C1170" s="21">
        <f t="shared" ca="1" si="205"/>
        <v>3575.2957312167523</v>
      </c>
      <c r="D1170" s="21">
        <f t="shared" ca="1" si="201"/>
        <v>0.31018109573443475</v>
      </c>
      <c r="E1170" s="21">
        <f t="shared" ca="1" si="208"/>
        <v>0</v>
      </c>
      <c r="F1170" s="20" t="str">
        <f t="shared" ca="1" si="206"/>
        <v>Yes</v>
      </c>
      <c r="G1170" s="21">
        <f t="shared" ca="1" si="202"/>
        <v>2.1136652703653454</v>
      </c>
      <c r="H1170" s="21">
        <f t="shared" ca="1" si="203"/>
        <v>3575.2957312167523</v>
      </c>
      <c r="I1170" s="21">
        <f t="shared" ca="1" si="198"/>
        <v>3575.6059123124869</v>
      </c>
      <c r="J1170" s="20">
        <f t="shared" ca="1" si="207"/>
        <v>0</v>
      </c>
      <c r="K1170" s="20">
        <f t="shared" ca="1" si="199"/>
        <v>0</v>
      </c>
      <c r="L1170" s="44">
        <f t="shared" ca="1" si="204"/>
        <v>0</v>
      </c>
    </row>
    <row r="1171" spans="1:12" x14ac:dyDescent="0.25">
      <c r="A1171" s="20">
        <v>1163</v>
      </c>
      <c r="B1171" s="21">
        <f t="shared" ca="1" si="200"/>
        <v>1.2993767450325386</v>
      </c>
      <c r="C1171" s="21">
        <f t="shared" ca="1" si="205"/>
        <v>3576.5951079617848</v>
      </c>
      <c r="D1171" s="21">
        <f t="shared" ca="1" si="201"/>
        <v>1.5287293184710076</v>
      </c>
      <c r="E1171" s="21">
        <f t="shared" ca="1" si="208"/>
        <v>0</v>
      </c>
      <c r="F1171" s="20" t="str">
        <f t="shared" ca="1" si="206"/>
        <v>Yes</v>
      </c>
      <c r="G1171" s="21">
        <f t="shared" ca="1" si="202"/>
        <v>0.98919564929792614</v>
      </c>
      <c r="H1171" s="21">
        <f t="shared" ca="1" si="203"/>
        <v>3576.5951079617848</v>
      </c>
      <c r="I1171" s="21">
        <f t="shared" ca="1" si="198"/>
        <v>3578.1238372802559</v>
      </c>
      <c r="J1171" s="20">
        <f t="shared" ca="1" si="207"/>
        <v>0</v>
      </c>
      <c r="K1171" s="20">
        <f t="shared" ca="1" si="199"/>
        <v>0</v>
      </c>
      <c r="L1171" s="44">
        <f t="shared" ca="1" si="204"/>
        <v>0</v>
      </c>
    </row>
    <row r="1172" spans="1:12" x14ac:dyDescent="0.25">
      <c r="A1172" s="20">
        <v>1164</v>
      </c>
      <c r="B1172" s="21">
        <f t="shared" ca="1" si="200"/>
        <v>1.5663751858954287</v>
      </c>
      <c r="C1172" s="21">
        <f t="shared" ca="1" si="205"/>
        <v>3578.1614831476804</v>
      </c>
      <c r="D1172" s="21">
        <f t="shared" ca="1" si="201"/>
        <v>5.4162339733430009</v>
      </c>
      <c r="E1172" s="21">
        <f t="shared" ca="1" si="208"/>
        <v>0</v>
      </c>
      <c r="F1172" s="20" t="str">
        <f t="shared" ca="1" si="206"/>
        <v>Yes</v>
      </c>
      <c r="G1172" s="21">
        <f t="shared" ca="1" si="202"/>
        <v>3.7645867424544122E-2</v>
      </c>
      <c r="H1172" s="21">
        <f t="shared" ca="1" si="203"/>
        <v>3578.1614831476804</v>
      </c>
      <c r="I1172" s="21">
        <f t="shared" ca="1" si="198"/>
        <v>3583.5777171210234</v>
      </c>
      <c r="J1172" s="20">
        <f t="shared" ca="1" si="207"/>
        <v>0</v>
      </c>
      <c r="K1172" s="20">
        <f t="shared" ca="1" si="199"/>
        <v>2</v>
      </c>
      <c r="L1172" s="44">
        <f t="shared" ca="1" si="204"/>
        <v>1</v>
      </c>
    </row>
    <row r="1173" spans="1:12" x14ac:dyDescent="0.25">
      <c r="A1173" s="20">
        <v>1165</v>
      </c>
      <c r="B1173" s="21">
        <f t="shared" ca="1" si="200"/>
        <v>0.30911099984882129</v>
      </c>
      <c r="C1173" s="21">
        <f t="shared" ca="1" si="205"/>
        <v>3578.470594147529</v>
      </c>
      <c r="D1173" s="21">
        <f t="shared" ca="1" si="201"/>
        <v>0.90094254969078658</v>
      </c>
      <c r="E1173" s="21">
        <f t="shared" ca="1" si="208"/>
        <v>5.1071229734943699</v>
      </c>
      <c r="F1173" s="20" t="str">
        <f t="shared" ca="1" si="206"/>
        <v>No</v>
      </c>
      <c r="G1173" s="21">
        <f t="shared" ca="1" si="202"/>
        <v>0</v>
      </c>
      <c r="H1173" s="21">
        <f t="shared" ca="1" si="203"/>
        <v>3583.5777171210234</v>
      </c>
      <c r="I1173" s="21">
        <f t="shared" ca="1" si="198"/>
        <v>3584.478659670714</v>
      </c>
      <c r="J1173" s="20">
        <f t="shared" ca="1" si="207"/>
        <v>3</v>
      </c>
      <c r="K1173" s="20">
        <f t="shared" ca="1" si="199"/>
        <v>1</v>
      </c>
      <c r="L1173" s="44">
        <f t="shared" ca="1" si="204"/>
        <v>2</v>
      </c>
    </row>
    <row r="1174" spans="1:12" x14ac:dyDescent="0.25">
      <c r="A1174" s="20">
        <v>1166</v>
      </c>
      <c r="B1174" s="21">
        <f t="shared" ca="1" si="200"/>
        <v>2.4268881912825675</v>
      </c>
      <c r="C1174" s="21">
        <f t="shared" ca="1" si="205"/>
        <v>3580.8974823388116</v>
      </c>
      <c r="D1174" s="21">
        <f t="shared" ca="1" si="201"/>
        <v>4.4773163613081266</v>
      </c>
      <c r="E1174" s="21">
        <f t="shared" ca="1" si="208"/>
        <v>3.5811773319023814</v>
      </c>
      <c r="F1174" s="20" t="str">
        <f t="shared" ca="1" si="206"/>
        <v>No</v>
      </c>
      <c r="G1174" s="21">
        <f t="shared" ca="1" si="202"/>
        <v>0</v>
      </c>
      <c r="H1174" s="21">
        <f t="shared" ca="1" si="203"/>
        <v>3584.478659670714</v>
      </c>
      <c r="I1174" s="21">
        <f t="shared" ca="1" si="198"/>
        <v>3588.9559760320221</v>
      </c>
      <c r="J1174" s="20">
        <f t="shared" ca="1" si="207"/>
        <v>2</v>
      </c>
      <c r="K1174" s="20">
        <f t="shared" ca="1" si="199"/>
        <v>2</v>
      </c>
      <c r="L1174" s="44">
        <f t="shared" ca="1" si="204"/>
        <v>2</v>
      </c>
    </row>
    <row r="1175" spans="1:12" x14ac:dyDescent="0.25">
      <c r="A1175" s="20">
        <v>1167</v>
      </c>
      <c r="B1175" s="21">
        <f t="shared" ca="1" si="200"/>
        <v>5.6167271286905454</v>
      </c>
      <c r="C1175" s="21">
        <f t="shared" ca="1" si="205"/>
        <v>3586.514209467502</v>
      </c>
      <c r="D1175" s="21">
        <f t="shared" ca="1" si="201"/>
        <v>4.2522777481025225</v>
      </c>
      <c r="E1175" s="21">
        <f t="shared" ca="1" si="208"/>
        <v>2.4417665645200941</v>
      </c>
      <c r="F1175" s="20" t="str">
        <f t="shared" ca="1" si="206"/>
        <v>No</v>
      </c>
      <c r="G1175" s="21">
        <f t="shared" ca="1" si="202"/>
        <v>0</v>
      </c>
      <c r="H1175" s="21">
        <f t="shared" ca="1" si="203"/>
        <v>3588.9559760320221</v>
      </c>
      <c r="I1175" s="21">
        <f t="shared" ca="1" si="198"/>
        <v>3593.2082537801248</v>
      </c>
      <c r="J1175" s="20">
        <f t="shared" ca="1" si="207"/>
        <v>3</v>
      </c>
      <c r="K1175" s="20">
        <f t="shared" ca="1" si="199"/>
        <v>1</v>
      </c>
      <c r="L1175" s="44">
        <f t="shared" ca="1" si="204"/>
        <v>2</v>
      </c>
    </row>
    <row r="1176" spans="1:12" x14ac:dyDescent="0.25">
      <c r="A1176" s="20">
        <v>1168</v>
      </c>
      <c r="B1176" s="21">
        <f t="shared" ca="1" si="200"/>
        <v>2.4165480957192851</v>
      </c>
      <c r="C1176" s="21">
        <f t="shared" ca="1" si="205"/>
        <v>3588.9307575632215</v>
      </c>
      <c r="D1176" s="21">
        <f t="shared" ca="1" si="201"/>
        <v>5.1840043857043021</v>
      </c>
      <c r="E1176" s="21">
        <f t="shared" ca="1" si="208"/>
        <v>4.2774962169032733</v>
      </c>
      <c r="F1176" s="20" t="str">
        <f t="shared" ca="1" si="206"/>
        <v>No</v>
      </c>
      <c r="G1176" s="21">
        <f t="shared" ca="1" si="202"/>
        <v>0</v>
      </c>
      <c r="H1176" s="21">
        <f t="shared" ca="1" si="203"/>
        <v>3593.2082537801248</v>
      </c>
      <c r="I1176" s="21">
        <f t="shared" ca="1" si="198"/>
        <v>3598.3922581658289</v>
      </c>
      <c r="J1176" s="20">
        <f t="shared" ca="1" si="207"/>
        <v>2</v>
      </c>
      <c r="K1176" s="20">
        <f t="shared" ca="1" si="199"/>
        <v>1</v>
      </c>
      <c r="L1176" s="44">
        <f t="shared" ca="1" si="204"/>
        <v>1.5</v>
      </c>
    </row>
    <row r="1177" spans="1:12" x14ac:dyDescent="0.25">
      <c r="A1177" s="20">
        <v>1169</v>
      </c>
      <c r="B1177" s="21">
        <f t="shared" ca="1" si="200"/>
        <v>5.7365039156164874</v>
      </c>
      <c r="C1177" s="21">
        <f t="shared" ca="1" si="205"/>
        <v>3594.6672614788381</v>
      </c>
      <c r="D1177" s="21">
        <f t="shared" ca="1" si="201"/>
        <v>1.824807850367018</v>
      </c>
      <c r="E1177" s="21">
        <f t="shared" ca="1" si="208"/>
        <v>3.7249966869908349</v>
      </c>
      <c r="F1177" s="20" t="str">
        <f t="shared" ca="1" si="206"/>
        <v>No</v>
      </c>
      <c r="G1177" s="21">
        <f t="shared" ca="1" si="202"/>
        <v>0</v>
      </c>
      <c r="H1177" s="21">
        <f t="shared" ca="1" si="203"/>
        <v>3598.3922581658289</v>
      </c>
      <c r="I1177" s="21">
        <f t="shared" ca="1" si="198"/>
        <v>3600.217066016196</v>
      </c>
      <c r="J1177" s="20">
        <f t="shared" ca="1" si="207"/>
        <v>2</v>
      </c>
      <c r="K1177" s="20">
        <f t="shared" ca="1" si="199"/>
        <v>1</v>
      </c>
      <c r="L1177" s="44">
        <f t="shared" ca="1" si="204"/>
        <v>1.5</v>
      </c>
    </row>
    <row r="1178" spans="1:12" x14ac:dyDescent="0.25">
      <c r="A1178" s="20">
        <v>1170</v>
      </c>
      <c r="B1178" s="21">
        <f t="shared" ca="1" si="200"/>
        <v>3.8170119078964491</v>
      </c>
      <c r="C1178" s="21">
        <f t="shared" ca="1" si="205"/>
        <v>3598.4842733867345</v>
      </c>
      <c r="D1178" s="21">
        <f t="shared" ca="1" si="201"/>
        <v>2.1329316937068534</v>
      </c>
      <c r="E1178" s="21">
        <f t="shared" ca="1" si="208"/>
        <v>1.7327926294615281</v>
      </c>
      <c r="F1178" s="20" t="str">
        <f t="shared" ca="1" si="206"/>
        <v>No</v>
      </c>
      <c r="G1178" s="21">
        <f t="shared" ca="1" si="202"/>
        <v>0</v>
      </c>
      <c r="H1178" s="21">
        <f t="shared" ca="1" si="203"/>
        <v>3600.217066016196</v>
      </c>
      <c r="I1178" s="21">
        <f t="shared" ca="1" si="198"/>
        <v>3602.3499977099027</v>
      </c>
      <c r="J1178" s="20">
        <f t="shared" ca="1" si="207"/>
        <v>2</v>
      </c>
      <c r="K1178" s="20">
        <f t="shared" ca="1" si="199"/>
        <v>0</v>
      </c>
      <c r="L1178" s="44">
        <f t="shared" ca="1" si="204"/>
        <v>1</v>
      </c>
    </row>
    <row r="1179" spans="1:12" x14ac:dyDescent="0.25">
      <c r="A1179" s="20">
        <v>1171</v>
      </c>
      <c r="B1179" s="21">
        <f t="shared" ca="1" si="200"/>
        <v>7.9982076194849014</v>
      </c>
      <c r="C1179" s="21">
        <f t="shared" ca="1" si="205"/>
        <v>3606.4824810062191</v>
      </c>
      <c r="D1179" s="21">
        <f t="shared" ca="1" si="201"/>
        <v>0.61889239947257602</v>
      </c>
      <c r="E1179" s="21">
        <f t="shared" ca="1" si="208"/>
        <v>0</v>
      </c>
      <c r="F1179" s="20" t="str">
        <f t="shared" ca="1" si="206"/>
        <v>Yes</v>
      </c>
      <c r="G1179" s="21">
        <f t="shared" ca="1" si="202"/>
        <v>4.1324832963164226</v>
      </c>
      <c r="H1179" s="21">
        <f t="shared" ca="1" si="203"/>
        <v>3606.4824810062191</v>
      </c>
      <c r="I1179" s="21">
        <f t="shared" ca="1" si="198"/>
        <v>3607.1013734056919</v>
      </c>
      <c r="J1179" s="20">
        <f t="shared" ca="1" si="207"/>
        <v>0</v>
      </c>
      <c r="K1179" s="20">
        <f t="shared" ca="1" si="199"/>
        <v>0</v>
      </c>
      <c r="L1179" s="44">
        <f t="shared" ca="1" si="204"/>
        <v>0</v>
      </c>
    </row>
    <row r="1180" spans="1:12" x14ac:dyDescent="0.25">
      <c r="A1180" s="20">
        <v>1172</v>
      </c>
      <c r="B1180" s="21">
        <f t="shared" ca="1" si="200"/>
        <v>3.1713915109306443</v>
      </c>
      <c r="C1180" s="21">
        <f t="shared" ca="1" si="205"/>
        <v>3609.6538725171499</v>
      </c>
      <c r="D1180" s="21">
        <f t="shared" ca="1" si="201"/>
        <v>1.0255924330402872</v>
      </c>
      <c r="E1180" s="21">
        <f t="shared" ca="1" si="208"/>
        <v>0</v>
      </c>
      <c r="F1180" s="20" t="str">
        <f t="shared" ca="1" si="206"/>
        <v>Yes</v>
      </c>
      <c r="G1180" s="21">
        <f t="shared" ca="1" si="202"/>
        <v>2.5524991114580189</v>
      </c>
      <c r="H1180" s="21">
        <f t="shared" ca="1" si="203"/>
        <v>3609.6538725171499</v>
      </c>
      <c r="I1180" s="21">
        <f t="shared" ca="1" si="198"/>
        <v>3610.6794649501903</v>
      </c>
      <c r="J1180" s="20">
        <f t="shared" ca="1" si="207"/>
        <v>0</v>
      </c>
      <c r="K1180" s="20">
        <f t="shared" ca="1" si="199"/>
        <v>0</v>
      </c>
      <c r="L1180" s="44">
        <f t="shared" ca="1" si="204"/>
        <v>0</v>
      </c>
    </row>
    <row r="1181" spans="1:12" x14ac:dyDescent="0.25">
      <c r="A1181" s="20">
        <v>1173</v>
      </c>
      <c r="B1181" s="21">
        <f t="shared" ca="1" si="200"/>
        <v>19.842655756166831</v>
      </c>
      <c r="C1181" s="21">
        <f t="shared" ca="1" si="205"/>
        <v>3629.4965282733169</v>
      </c>
      <c r="D1181" s="21">
        <f t="shared" ca="1" si="201"/>
        <v>1.8826220046833591</v>
      </c>
      <c r="E1181" s="21">
        <f t="shared" ca="1" si="208"/>
        <v>0</v>
      </c>
      <c r="F1181" s="20" t="str">
        <f t="shared" ca="1" si="206"/>
        <v>Yes</v>
      </c>
      <c r="G1181" s="21">
        <f t="shared" ca="1" si="202"/>
        <v>18.817063323126604</v>
      </c>
      <c r="H1181" s="21">
        <f t="shared" ca="1" si="203"/>
        <v>3629.4965282733169</v>
      </c>
      <c r="I1181" s="21">
        <f t="shared" ca="1" si="198"/>
        <v>3631.3791502780005</v>
      </c>
      <c r="J1181" s="20">
        <f t="shared" ca="1" si="207"/>
        <v>0</v>
      </c>
      <c r="K1181" s="20">
        <f t="shared" ca="1" si="199"/>
        <v>0</v>
      </c>
      <c r="L1181" s="44">
        <f t="shared" ca="1" si="204"/>
        <v>0</v>
      </c>
    </row>
    <row r="1182" spans="1:12" x14ac:dyDescent="0.25">
      <c r="A1182" s="20">
        <v>1174</v>
      </c>
      <c r="B1182" s="21">
        <f t="shared" ca="1" si="200"/>
        <v>7.8993717342855474</v>
      </c>
      <c r="C1182" s="21">
        <f t="shared" ca="1" si="205"/>
        <v>3637.3959000076024</v>
      </c>
      <c r="D1182" s="21">
        <f t="shared" ca="1" si="201"/>
        <v>2.2789216288623759</v>
      </c>
      <c r="E1182" s="21">
        <f t="shared" ca="1" si="208"/>
        <v>0</v>
      </c>
      <c r="F1182" s="20" t="str">
        <f t="shared" ca="1" si="206"/>
        <v>Yes</v>
      </c>
      <c r="G1182" s="21">
        <f t="shared" ca="1" si="202"/>
        <v>6.0167497296019974</v>
      </c>
      <c r="H1182" s="21">
        <f t="shared" ca="1" si="203"/>
        <v>3637.3959000076024</v>
      </c>
      <c r="I1182" s="21">
        <f t="shared" ca="1" si="198"/>
        <v>3639.6748216364649</v>
      </c>
      <c r="J1182" s="20">
        <f t="shared" ca="1" si="207"/>
        <v>0</v>
      </c>
      <c r="K1182" s="20">
        <f t="shared" ca="1" si="199"/>
        <v>1</v>
      </c>
      <c r="L1182" s="44">
        <f t="shared" ca="1" si="204"/>
        <v>0.5</v>
      </c>
    </row>
    <row r="1183" spans="1:12" x14ac:dyDescent="0.25">
      <c r="A1183" s="20">
        <v>1175</v>
      </c>
      <c r="B1183" s="21">
        <f t="shared" ca="1" si="200"/>
        <v>0.92044706176811764</v>
      </c>
      <c r="C1183" s="21">
        <f t="shared" ca="1" si="205"/>
        <v>3638.3163470693707</v>
      </c>
      <c r="D1183" s="21">
        <f t="shared" ca="1" si="201"/>
        <v>3.6056553686935224</v>
      </c>
      <c r="E1183" s="21">
        <f t="shared" ca="1" si="208"/>
        <v>1.3584745670941629</v>
      </c>
      <c r="F1183" s="20" t="str">
        <f t="shared" ca="1" si="206"/>
        <v>No</v>
      </c>
      <c r="G1183" s="21">
        <f t="shared" ca="1" si="202"/>
        <v>0</v>
      </c>
      <c r="H1183" s="21">
        <f t="shared" ca="1" si="203"/>
        <v>3639.6748216364649</v>
      </c>
      <c r="I1183" s="21">
        <f t="shared" ca="1" si="198"/>
        <v>3643.2804770051584</v>
      </c>
      <c r="J1183" s="20">
        <f t="shared" ca="1" si="207"/>
        <v>2</v>
      </c>
      <c r="K1183" s="20">
        <f t="shared" ca="1" si="199"/>
        <v>1</v>
      </c>
      <c r="L1183" s="44">
        <f t="shared" ca="1" si="204"/>
        <v>1.5</v>
      </c>
    </row>
    <row r="1184" spans="1:12" x14ac:dyDescent="0.25">
      <c r="A1184" s="20">
        <v>1176</v>
      </c>
      <c r="B1184" s="21">
        <f t="shared" ca="1" si="200"/>
        <v>2.6713033885887305</v>
      </c>
      <c r="C1184" s="21">
        <f t="shared" ca="1" si="205"/>
        <v>3640.9876504579593</v>
      </c>
      <c r="D1184" s="21">
        <f t="shared" ca="1" si="201"/>
        <v>0.35668094738658052</v>
      </c>
      <c r="E1184" s="21">
        <f t="shared" ca="1" si="208"/>
        <v>2.2928265471991836</v>
      </c>
      <c r="F1184" s="20" t="str">
        <f t="shared" ca="1" si="206"/>
        <v>No</v>
      </c>
      <c r="G1184" s="21">
        <f t="shared" ca="1" si="202"/>
        <v>0</v>
      </c>
      <c r="H1184" s="21">
        <f t="shared" ca="1" si="203"/>
        <v>3643.2804770051584</v>
      </c>
      <c r="I1184" s="21">
        <f t="shared" ca="1" si="198"/>
        <v>3643.6371579525448</v>
      </c>
      <c r="J1184" s="20">
        <f t="shared" ca="1" si="207"/>
        <v>2</v>
      </c>
      <c r="K1184" s="20">
        <f t="shared" ca="1" si="199"/>
        <v>0</v>
      </c>
      <c r="L1184" s="44">
        <f t="shared" ca="1" si="204"/>
        <v>1</v>
      </c>
    </row>
    <row r="1185" spans="1:12" x14ac:dyDescent="0.25">
      <c r="A1185" s="20">
        <v>1177</v>
      </c>
      <c r="B1185" s="21">
        <f t="shared" ca="1" si="200"/>
        <v>4.9908105599496739</v>
      </c>
      <c r="C1185" s="21">
        <f t="shared" ca="1" si="205"/>
        <v>3645.978461017909</v>
      </c>
      <c r="D1185" s="21">
        <f t="shared" ca="1" si="201"/>
        <v>0.45454818028927846</v>
      </c>
      <c r="E1185" s="21">
        <f t="shared" ca="1" si="208"/>
        <v>0</v>
      </c>
      <c r="F1185" s="20" t="str">
        <f t="shared" ca="1" si="206"/>
        <v>Yes</v>
      </c>
      <c r="G1185" s="21">
        <f t="shared" ca="1" si="202"/>
        <v>2.3413030653641727</v>
      </c>
      <c r="H1185" s="21">
        <f t="shared" ca="1" si="203"/>
        <v>3645.978461017909</v>
      </c>
      <c r="I1185" s="21">
        <f t="shared" ca="1" si="198"/>
        <v>3646.4330091981983</v>
      </c>
      <c r="J1185" s="20">
        <f t="shared" ca="1" si="207"/>
        <v>0</v>
      </c>
      <c r="K1185" s="20">
        <f t="shared" ca="1" si="199"/>
        <v>0</v>
      </c>
      <c r="L1185" s="44">
        <f t="shared" ca="1" si="204"/>
        <v>0</v>
      </c>
    </row>
    <row r="1186" spans="1:12" x14ac:dyDescent="0.25">
      <c r="A1186" s="20">
        <v>1178</v>
      </c>
      <c r="B1186" s="21">
        <f t="shared" ca="1" si="200"/>
        <v>6.3324364640565776</v>
      </c>
      <c r="C1186" s="21">
        <f t="shared" ca="1" si="205"/>
        <v>3652.3108974819656</v>
      </c>
      <c r="D1186" s="21">
        <f t="shared" ca="1" si="201"/>
        <v>5.905947675434061E-2</v>
      </c>
      <c r="E1186" s="21">
        <f t="shared" ca="1" si="208"/>
        <v>0</v>
      </c>
      <c r="F1186" s="20" t="str">
        <f t="shared" ca="1" si="206"/>
        <v>Yes</v>
      </c>
      <c r="G1186" s="21">
        <f t="shared" ca="1" si="202"/>
        <v>5.8778882837673336</v>
      </c>
      <c r="H1186" s="21">
        <f t="shared" ca="1" si="203"/>
        <v>3652.3108974819656</v>
      </c>
      <c r="I1186" s="21">
        <f t="shared" ca="1" si="198"/>
        <v>3652.3699569587202</v>
      </c>
      <c r="J1186" s="20">
        <f t="shared" ca="1" si="207"/>
        <v>0</v>
      </c>
      <c r="K1186" s="20">
        <f t="shared" ca="1" si="199"/>
        <v>0</v>
      </c>
      <c r="L1186" s="44">
        <f t="shared" ca="1" si="204"/>
        <v>0</v>
      </c>
    </row>
    <row r="1187" spans="1:12" x14ac:dyDescent="0.25">
      <c r="A1187" s="20">
        <v>1179</v>
      </c>
      <c r="B1187" s="21">
        <f t="shared" ca="1" si="200"/>
        <v>2.031832329531202</v>
      </c>
      <c r="C1187" s="21">
        <f t="shared" ca="1" si="205"/>
        <v>3654.3427298114971</v>
      </c>
      <c r="D1187" s="21">
        <f t="shared" ca="1" si="201"/>
        <v>1.3179272779597377</v>
      </c>
      <c r="E1187" s="21">
        <f t="shared" ca="1" si="208"/>
        <v>0</v>
      </c>
      <c r="F1187" s="20" t="str">
        <f t="shared" ca="1" si="206"/>
        <v>Yes</v>
      </c>
      <c r="G1187" s="21">
        <f t="shared" ca="1" si="202"/>
        <v>1.9727728527768704</v>
      </c>
      <c r="H1187" s="21">
        <f t="shared" ca="1" si="203"/>
        <v>3654.3427298114971</v>
      </c>
      <c r="I1187" s="21">
        <f t="shared" ca="1" si="198"/>
        <v>3655.6606570894569</v>
      </c>
      <c r="J1187" s="20">
        <f t="shared" ca="1" si="207"/>
        <v>0</v>
      </c>
      <c r="K1187" s="20">
        <f t="shared" ca="1" si="199"/>
        <v>0</v>
      </c>
      <c r="L1187" s="44">
        <f t="shared" ca="1" si="204"/>
        <v>0</v>
      </c>
    </row>
    <row r="1188" spans="1:12" x14ac:dyDescent="0.25">
      <c r="A1188" s="20">
        <v>1180</v>
      </c>
      <c r="B1188" s="21">
        <f t="shared" ca="1" si="200"/>
        <v>2.5689591565752044</v>
      </c>
      <c r="C1188" s="21">
        <f t="shared" ca="1" si="205"/>
        <v>3656.9116889680722</v>
      </c>
      <c r="D1188" s="21">
        <f t="shared" ca="1" si="201"/>
        <v>1.9570668889918756</v>
      </c>
      <c r="E1188" s="21">
        <f t="shared" ca="1" si="208"/>
        <v>0</v>
      </c>
      <c r="F1188" s="20" t="str">
        <f t="shared" ca="1" si="206"/>
        <v>Yes</v>
      </c>
      <c r="G1188" s="21">
        <f t="shared" ca="1" si="202"/>
        <v>1.2510318786153221</v>
      </c>
      <c r="H1188" s="21">
        <f t="shared" ca="1" si="203"/>
        <v>3656.9116889680722</v>
      </c>
      <c r="I1188" s="21">
        <f t="shared" ca="1" si="198"/>
        <v>3658.8687558570641</v>
      </c>
      <c r="J1188" s="20">
        <f t="shared" ca="1" si="207"/>
        <v>0</v>
      </c>
      <c r="K1188" s="20">
        <f t="shared" ca="1" si="199"/>
        <v>0</v>
      </c>
      <c r="L1188" s="44">
        <f t="shared" ca="1" si="204"/>
        <v>0</v>
      </c>
    </row>
    <row r="1189" spans="1:12" x14ac:dyDescent="0.25">
      <c r="A1189" s="20">
        <v>1181</v>
      </c>
      <c r="B1189" s="21">
        <f t="shared" ca="1" si="200"/>
        <v>3.3284942574662608</v>
      </c>
      <c r="C1189" s="21">
        <f t="shared" ca="1" si="205"/>
        <v>3660.2401832255387</v>
      </c>
      <c r="D1189" s="21">
        <f t="shared" ca="1" si="201"/>
        <v>7.8965770404011044</v>
      </c>
      <c r="E1189" s="21">
        <f t="shared" ca="1" si="208"/>
        <v>0</v>
      </c>
      <c r="F1189" s="20" t="str">
        <f t="shared" ca="1" si="206"/>
        <v>Yes</v>
      </c>
      <c r="G1189" s="21">
        <f t="shared" ca="1" si="202"/>
        <v>1.3714273684745422</v>
      </c>
      <c r="H1189" s="21">
        <f t="shared" ca="1" si="203"/>
        <v>3660.2401832255387</v>
      </c>
      <c r="I1189" s="21">
        <f t="shared" ca="1" si="198"/>
        <v>3668.1367602659398</v>
      </c>
      <c r="J1189" s="20">
        <f t="shared" ca="1" si="207"/>
        <v>0</v>
      </c>
      <c r="K1189" s="20">
        <f t="shared" ca="1" si="199"/>
        <v>3</v>
      </c>
      <c r="L1189" s="44">
        <f t="shared" ca="1" si="204"/>
        <v>1.5</v>
      </c>
    </row>
    <row r="1190" spans="1:12" x14ac:dyDescent="0.25">
      <c r="A1190" s="20">
        <v>1182</v>
      </c>
      <c r="B1190" s="21">
        <f t="shared" ca="1" si="200"/>
        <v>2.0315362046640697</v>
      </c>
      <c r="C1190" s="21">
        <f t="shared" ca="1" si="205"/>
        <v>3662.2717194302027</v>
      </c>
      <c r="D1190" s="21">
        <f t="shared" ca="1" si="201"/>
        <v>2.2694078531483068</v>
      </c>
      <c r="E1190" s="21">
        <f t="shared" ca="1" si="208"/>
        <v>5.8650408357370907</v>
      </c>
      <c r="F1190" s="20" t="str">
        <f t="shared" ca="1" si="206"/>
        <v>No</v>
      </c>
      <c r="G1190" s="21">
        <f t="shared" ca="1" si="202"/>
        <v>0</v>
      </c>
      <c r="H1190" s="21">
        <f t="shared" ca="1" si="203"/>
        <v>3668.1367602659398</v>
      </c>
      <c r="I1190" s="21">
        <f t="shared" ca="1" si="198"/>
        <v>3670.4061681190879</v>
      </c>
      <c r="J1190" s="20">
        <f t="shared" ca="1" si="207"/>
        <v>4</v>
      </c>
      <c r="K1190" s="20">
        <f t="shared" ca="1" si="199"/>
        <v>4</v>
      </c>
      <c r="L1190" s="44">
        <f t="shared" ca="1" si="204"/>
        <v>4</v>
      </c>
    </row>
    <row r="1191" spans="1:12" x14ac:dyDescent="0.25">
      <c r="A1191" s="20">
        <v>1183</v>
      </c>
      <c r="B1191" s="21">
        <f t="shared" ca="1" si="200"/>
        <v>3.891189904279718</v>
      </c>
      <c r="C1191" s="21">
        <f t="shared" ca="1" si="205"/>
        <v>3666.1629093344823</v>
      </c>
      <c r="D1191" s="21">
        <f t="shared" ca="1" si="201"/>
        <v>2.5142970158568221</v>
      </c>
      <c r="E1191" s="21">
        <f t="shared" ca="1" si="208"/>
        <v>4.2432587846055867</v>
      </c>
      <c r="F1191" s="20" t="str">
        <f t="shared" ca="1" si="206"/>
        <v>No</v>
      </c>
      <c r="G1191" s="21">
        <f t="shared" ca="1" si="202"/>
        <v>0</v>
      </c>
      <c r="H1191" s="21">
        <f t="shared" ca="1" si="203"/>
        <v>3670.4061681190879</v>
      </c>
      <c r="I1191" s="21">
        <f t="shared" ca="1" si="198"/>
        <v>3672.9204651349446</v>
      </c>
      <c r="J1191" s="20">
        <f t="shared" ca="1" si="207"/>
        <v>5</v>
      </c>
      <c r="K1191" s="20">
        <f t="shared" ca="1" si="199"/>
        <v>5</v>
      </c>
      <c r="L1191" s="44">
        <f t="shared" ca="1" si="204"/>
        <v>5</v>
      </c>
    </row>
    <row r="1192" spans="1:12" x14ac:dyDescent="0.25">
      <c r="A1192" s="20">
        <v>1184</v>
      </c>
      <c r="B1192" s="21">
        <f t="shared" ca="1" si="200"/>
        <v>0.94753065372471301</v>
      </c>
      <c r="C1192" s="21">
        <f t="shared" ca="1" si="205"/>
        <v>3667.110439988207</v>
      </c>
      <c r="D1192" s="21">
        <f t="shared" ca="1" si="201"/>
        <v>13.865246566498914</v>
      </c>
      <c r="E1192" s="21">
        <f t="shared" ca="1" si="208"/>
        <v>5.8100251467376438</v>
      </c>
      <c r="F1192" s="20" t="str">
        <f t="shared" ca="1" si="206"/>
        <v>No</v>
      </c>
      <c r="G1192" s="21">
        <f t="shared" ca="1" si="202"/>
        <v>0</v>
      </c>
      <c r="H1192" s="21">
        <f t="shared" ca="1" si="203"/>
        <v>3672.9204651349446</v>
      </c>
      <c r="I1192" s="21">
        <f t="shared" ca="1" si="198"/>
        <v>3686.7857117014437</v>
      </c>
      <c r="J1192" s="20">
        <f t="shared" ca="1" si="207"/>
        <v>6</v>
      </c>
      <c r="K1192" s="20">
        <f t="shared" ca="1" si="199"/>
        <v>5</v>
      </c>
      <c r="L1192" s="44">
        <f t="shared" ca="1" si="204"/>
        <v>5.5</v>
      </c>
    </row>
    <row r="1193" spans="1:12" x14ac:dyDescent="0.25">
      <c r="A1193" s="20">
        <v>1185</v>
      </c>
      <c r="B1193" s="21">
        <f t="shared" ca="1" si="200"/>
        <v>2.5363387435070228</v>
      </c>
      <c r="C1193" s="21">
        <f t="shared" ca="1" si="205"/>
        <v>3669.6467787317138</v>
      </c>
      <c r="D1193" s="21">
        <f t="shared" ca="1" si="201"/>
        <v>1.8377092725719564</v>
      </c>
      <c r="E1193" s="21">
        <f t="shared" ca="1" si="208"/>
        <v>17.138932969729922</v>
      </c>
      <c r="F1193" s="20" t="str">
        <f t="shared" ca="1" si="206"/>
        <v>No</v>
      </c>
      <c r="G1193" s="21">
        <f t="shared" ca="1" si="202"/>
        <v>0</v>
      </c>
      <c r="H1193" s="21">
        <f t="shared" ca="1" si="203"/>
        <v>3686.7857117014437</v>
      </c>
      <c r="I1193" s="21">
        <f t="shared" ca="1" si="198"/>
        <v>3688.6234209740155</v>
      </c>
      <c r="J1193" s="20">
        <f t="shared" ca="1" si="207"/>
        <v>6</v>
      </c>
      <c r="K1193" s="20">
        <f t="shared" ca="1" si="199"/>
        <v>5</v>
      </c>
      <c r="L1193" s="44">
        <f t="shared" ca="1" si="204"/>
        <v>5.5</v>
      </c>
    </row>
    <row r="1194" spans="1:12" x14ac:dyDescent="0.25">
      <c r="A1194" s="20">
        <v>1186</v>
      </c>
      <c r="B1194" s="21">
        <f t="shared" ca="1" si="200"/>
        <v>9.2200480633702467E-2</v>
      </c>
      <c r="C1194" s="21">
        <f t="shared" ca="1" si="205"/>
        <v>3669.7389792123477</v>
      </c>
      <c r="D1194" s="21">
        <f t="shared" ca="1" si="201"/>
        <v>1.8776813588723453</v>
      </c>
      <c r="E1194" s="21">
        <f t="shared" ca="1" si="208"/>
        <v>18.884441761667858</v>
      </c>
      <c r="F1194" s="20" t="str">
        <f t="shared" ca="1" si="206"/>
        <v>No</v>
      </c>
      <c r="G1194" s="21">
        <f t="shared" ca="1" si="202"/>
        <v>0</v>
      </c>
      <c r="H1194" s="21">
        <f t="shared" ca="1" si="203"/>
        <v>3688.6234209740155</v>
      </c>
      <c r="I1194" s="21">
        <f t="shared" ca="1" si="198"/>
        <v>3690.501102332888</v>
      </c>
      <c r="J1194" s="20">
        <f t="shared" ca="1" si="207"/>
        <v>6</v>
      </c>
      <c r="K1194" s="20">
        <f t="shared" ca="1" si="199"/>
        <v>5</v>
      </c>
      <c r="L1194" s="44">
        <f t="shared" ca="1" si="204"/>
        <v>5.5</v>
      </c>
    </row>
    <row r="1195" spans="1:12" x14ac:dyDescent="0.25">
      <c r="A1195" s="20">
        <v>1187</v>
      </c>
      <c r="B1195" s="21">
        <f t="shared" ca="1" si="200"/>
        <v>1.3386189912265469</v>
      </c>
      <c r="C1195" s="21">
        <f t="shared" ca="1" si="205"/>
        <v>3671.0775982035743</v>
      </c>
      <c r="D1195" s="21">
        <f t="shared" ca="1" si="201"/>
        <v>2.0388704472385126</v>
      </c>
      <c r="E1195" s="21">
        <f t="shared" ca="1" si="208"/>
        <v>19.423504129313642</v>
      </c>
      <c r="F1195" s="20" t="str">
        <f t="shared" ca="1" si="206"/>
        <v>No</v>
      </c>
      <c r="G1195" s="21">
        <f t="shared" ca="1" si="202"/>
        <v>0</v>
      </c>
      <c r="H1195" s="21">
        <f t="shared" ca="1" si="203"/>
        <v>3690.501102332888</v>
      </c>
      <c r="I1195" s="21">
        <f t="shared" ca="1" si="198"/>
        <v>3692.5399727801264</v>
      </c>
      <c r="J1195" s="20">
        <f t="shared" ca="1" si="207"/>
        <v>6</v>
      </c>
      <c r="K1195" s="20">
        <f t="shared" ca="1" si="199"/>
        <v>4</v>
      </c>
      <c r="L1195" s="44">
        <f t="shared" ca="1" si="204"/>
        <v>5</v>
      </c>
    </row>
    <row r="1196" spans="1:12" x14ac:dyDescent="0.25">
      <c r="A1196" s="20">
        <v>1188</v>
      </c>
      <c r="B1196" s="21">
        <f t="shared" ca="1" si="200"/>
        <v>1.8286945952556368</v>
      </c>
      <c r="C1196" s="21">
        <f t="shared" ca="1" si="205"/>
        <v>3672.9062927988298</v>
      </c>
      <c r="D1196" s="21">
        <f t="shared" ca="1" si="201"/>
        <v>5.2713421122014426</v>
      </c>
      <c r="E1196" s="21">
        <f t="shared" ca="1" si="208"/>
        <v>19.633679981296609</v>
      </c>
      <c r="F1196" s="20" t="str">
        <f t="shared" ca="1" si="206"/>
        <v>No</v>
      </c>
      <c r="G1196" s="21">
        <f t="shared" ca="1" si="202"/>
        <v>0</v>
      </c>
      <c r="H1196" s="21">
        <f t="shared" ca="1" si="203"/>
        <v>3692.5399727801264</v>
      </c>
      <c r="I1196" s="21">
        <f t="shared" ca="1" si="198"/>
        <v>3697.811314892328</v>
      </c>
      <c r="J1196" s="20">
        <f t="shared" ca="1" si="207"/>
        <v>5</v>
      </c>
      <c r="K1196" s="20">
        <f t="shared" ca="1" si="199"/>
        <v>5</v>
      </c>
      <c r="L1196" s="44">
        <f t="shared" ca="1" si="204"/>
        <v>5</v>
      </c>
    </row>
    <row r="1197" spans="1:12" x14ac:dyDescent="0.25">
      <c r="A1197" s="20">
        <v>1189</v>
      </c>
      <c r="B1197" s="21">
        <f t="shared" ca="1" si="200"/>
        <v>5.7196881480815769</v>
      </c>
      <c r="C1197" s="21">
        <f t="shared" ca="1" si="205"/>
        <v>3678.6259809469116</v>
      </c>
      <c r="D1197" s="21">
        <f t="shared" ca="1" si="201"/>
        <v>0.98210138856730278</v>
      </c>
      <c r="E1197" s="21">
        <f t="shared" ca="1" si="208"/>
        <v>19.18533394541646</v>
      </c>
      <c r="F1197" s="20" t="str">
        <f t="shared" ca="1" si="206"/>
        <v>No</v>
      </c>
      <c r="G1197" s="21">
        <f t="shared" ca="1" si="202"/>
        <v>0</v>
      </c>
      <c r="H1197" s="21">
        <f t="shared" ca="1" si="203"/>
        <v>3697.811314892328</v>
      </c>
      <c r="I1197" s="21">
        <f t="shared" ca="1" si="198"/>
        <v>3698.7934162808951</v>
      </c>
      <c r="J1197" s="20">
        <f t="shared" ca="1" si="207"/>
        <v>6</v>
      </c>
      <c r="K1197" s="20">
        <f t="shared" ca="1" si="199"/>
        <v>4</v>
      </c>
      <c r="L1197" s="44">
        <f t="shared" ca="1" si="204"/>
        <v>5</v>
      </c>
    </row>
    <row r="1198" spans="1:12" x14ac:dyDescent="0.25">
      <c r="A1198" s="20">
        <v>1190</v>
      </c>
      <c r="B1198" s="21">
        <f t="shared" ca="1" si="200"/>
        <v>2.6639105876510278</v>
      </c>
      <c r="C1198" s="21">
        <f t="shared" ca="1" si="205"/>
        <v>3681.2898915345627</v>
      </c>
      <c r="D1198" s="21">
        <f t="shared" ca="1" si="201"/>
        <v>1.7747179063651324</v>
      </c>
      <c r="E1198" s="21">
        <f t="shared" ca="1" si="208"/>
        <v>17.503524746332459</v>
      </c>
      <c r="F1198" s="20" t="str">
        <f t="shared" ca="1" si="206"/>
        <v>No</v>
      </c>
      <c r="G1198" s="21">
        <f t="shared" ca="1" si="202"/>
        <v>0</v>
      </c>
      <c r="H1198" s="21">
        <f t="shared" ca="1" si="203"/>
        <v>3698.7934162808951</v>
      </c>
      <c r="I1198" s="21">
        <f t="shared" ca="1" si="198"/>
        <v>3700.5681341872601</v>
      </c>
      <c r="J1198" s="20">
        <f t="shared" ca="1" si="207"/>
        <v>5</v>
      </c>
      <c r="K1198" s="20">
        <f t="shared" ca="1" si="199"/>
        <v>5</v>
      </c>
      <c r="L1198" s="44">
        <f t="shared" ca="1" si="204"/>
        <v>5</v>
      </c>
    </row>
    <row r="1199" spans="1:12" x14ac:dyDescent="0.25">
      <c r="A1199" s="20">
        <v>1191</v>
      </c>
      <c r="B1199" s="21">
        <f t="shared" ca="1" si="200"/>
        <v>3.2944266668961895</v>
      </c>
      <c r="C1199" s="21">
        <f t="shared" ca="1" si="205"/>
        <v>3684.5843182014587</v>
      </c>
      <c r="D1199" s="21">
        <f t="shared" ca="1" si="201"/>
        <v>4.053174709096492</v>
      </c>
      <c r="E1199" s="21">
        <f t="shared" ca="1" si="208"/>
        <v>15.983815985801357</v>
      </c>
      <c r="F1199" s="20" t="str">
        <f t="shared" ca="1" si="206"/>
        <v>No</v>
      </c>
      <c r="G1199" s="21">
        <f t="shared" ca="1" si="202"/>
        <v>0</v>
      </c>
      <c r="H1199" s="21">
        <f t="shared" ca="1" si="203"/>
        <v>3700.5681341872601</v>
      </c>
      <c r="I1199" s="21">
        <f t="shared" ca="1" si="198"/>
        <v>3704.6213088963564</v>
      </c>
      <c r="J1199" s="20">
        <f t="shared" ca="1" si="207"/>
        <v>6</v>
      </c>
      <c r="K1199" s="20">
        <f t="shared" ca="1" si="199"/>
        <v>5</v>
      </c>
      <c r="L1199" s="44">
        <f t="shared" ca="1" si="204"/>
        <v>5.5</v>
      </c>
    </row>
    <row r="1200" spans="1:12" x14ac:dyDescent="0.25">
      <c r="A1200" s="20">
        <v>1192</v>
      </c>
      <c r="B1200" s="21">
        <f t="shared" ca="1" si="200"/>
        <v>11.604879578279506</v>
      </c>
      <c r="C1200" s="21">
        <f t="shared" ca="1" si="205"/>
        <v>3696.1891977797382</v>
      </c>
      <c r="D1200" s="21">
        <f t="shared" ca="1" si="201"/>
        <v>1.7737683259130004</v>
      </c>
      <c r="E1200" s="21">
        <f t="shared" ca="1" si="208"/>
        <v>8.4321111166182163</v>
      </c>
      <c r="F1200" s="20" t="str">
        <f t="shared" ca="1" si="206"/>
        <v>No</v>
      </c>
      <c r="G1200" s="21">
        <f t="shared" ca="1" si="202"/>
        <v>0</v>
      </c>
      <c r="H1200" s="21">
        <f t="shared" ca="1" si="203"/>
        <v>3704.6213088963564</v>
      </c>
      <c r="I1200" s="21">
        <f t="shared" ca="1" si="198"/>
        <v>3706.3950772222693</v>
      </c>
      <c r="J1200" s="20">
        <f t="shared" ca="1" si="207"/>
        <v>6</v>
      </c>
      <c r="K1200" s="20">
        <f t="shared" ca="1" si="199"/>
        <v>5</v>
      </c>
      <c r="L1200" s="44">
        <f t="shared" ca="1" si="204"/>
        <v>5.5</v>
      </c>
    </row>
    <row r="1201" spans="1:12" x14ac:dyDescent="0.25">
      <c r="A1201" s="20">
        <v>1193</v>
      </c>
      <c r="B1201" s="21">
        <f t="shared" ca="1" si="200"/>
        <v>0.36942964223184888</v>
      </c>
      <c r="C1201" s="21">
        <f t="shared" ca="1" si="205"/>
        <v>3696.55862742197</v>
      </c>
      <c r="D1201" s="21">
        <f t="shared" ca="1" si="201"/>
        <v>3.7142898620044926</v>
      </c>
      <c r="E1201" s="21">
        <f t="shared" ca="1" si="208"/>
        <v>9.8364498002993059</v>
      </c>
      <c r="F1201" s="20" t="str">
        <f t="shared" ca="1" si="206"/>
        <v>No</v>
      </c>
      <c r="G1201" s="21">
        <f t="shared" ca="1" si="202"/>
        <v>0</v>
      </c>
      <c r="H1201" s="21">
        <f t="shared" ca="1" si="203"/>
        <v>3706.3950772222693</v>
      </c>
      <c r="I1201" s="21">
        <f t="shared" ca="1" si="198"/>
        <v>3710.1093670842738</v>
      </c>
      <c r="J1201" s="20">
        <f t="shared" ca="1" si="207"/>
        <v>6</v>
      </c>
      <c r="K1201" s="20">
        <f t="shared" ca="1" si="199"/>
        <v>5</v>
      </c>
      <c r="L1201" s="44">
        <f t="shared" ca="1" si="204"/>
        <v>5.5</v>
      </c>
    </row>
    <row r="1202" spans="1:12" x14ac:dyDescent="0.25">
      <c r="A1202" s="20">
        <v>1194</v>
      </c>
      <c r="B1202" s="21">
        <f t="shared" ca="1" si="200"/>
        <v>2.5705108627950861</v>
      </c>
      <c r="C1202" s="21">
        <f t="shared" ca="1" si="205"/>
        <v>3699.1291382847648</v>
      </c>
      <c r="D1202" s="21">
        <f t="shared" ca="1" si="201"/>
        <v>0.13260040504459744</v>
      </c>
      <c r="E1202" s="21">
        <f t="shared" ca="1" si="208"/>
        <v>10.98022879950895</v>
      </c>
      <c r="F1202" s="20" t="str">
        <f t="shared" ca="1" si="206"/>
        <v>No</v>
      </c>
      <c r="G1202" s="21">
        <f t="shared" ca="1" si="202"/>
        <v>0</v>
      </c>
      <c r="H1202" s="21">
        <f t="shared" ca="1" si="203"/>
        <v>3710.1093670842738</v>
      </c>
      <c r="I1202" s="21">
        <f t="shared" ca="1" si="198"/>
        <v>3710.2419674893185</v>
      </c>
      <c r="J1202" s="20">
        <f t="shared" ca="1" si="207"/>
        <v>6</v>
      </c>
      <c r="K1202" s="20">
        <f t="shared" ca="1" si="199"/>
        <v>5</v>
      </c>
      <c r="L1202" s="44">
        <f t="shared" ca="1" si="204"/>
        <v>5.5</v>
      </c>
    </row>
    <row r="1203" spans="1:12" x14ac:dyDescent="0.25">
      <c r="A1203" s="20">
        <v>1195</v>
      </c>
      <c r="B1203" s="21">
        <f t="shared" ca="1" si="200"/>
        <v>1.1257844656188869</v>
      </c>
      <c r="C1203" s="21">
        <f t="shared" ca="1" si="205"/>
        <v>3700.2549227503837</v>
      </c>
      <c r="D1203" s="21">
        <f t="shared" ca="1" si="201"/>
        <v>2.050724852628385</v>
      </c>
      <c r="E1203" s="21">
        <f t="shared" ca="1" si="208"/>
        <v>9.9870447389348556</v>
      </c>
      <c r="F1203" s="20" t="str">
        <f t="shared" ca="1" si="206"/>
        <v>No</v>
      </c>
      <c r="G1203" s="21">
        <f t="shared" ca="1" si="202"/>
        <v>0</v>
      </c>
      <c r="H1203" s="21">
        <f t="shared" ca="1" si="203"/>
        <v>3710.2419674893185</v>
      </c>
      <c r="I1203" s="21">
        <f t="shared" ca="1" si="198"/>
        <v>3712.2926923419468</v>
      </c>
      <c r="J1203" s="20">
        <f t="shared" ca="1" si="207"/>
        <v>6</v>
      </c>
      <c r="K1203" s="20">
        <f t="shared" ca="1" si="199"/>
        <v>4</v>
      </c>
      <c r="L1203" s="44">
        <f t="shared" ca="1" si="204"/>
        <v>5</v>
      </c>
    </row>
    <row r="1204" spans="1:12" x14ac:dyDescent="0.25">
      <c r="A1204" s="20">
        <v>1196</v>
      </c>
      <c r="B1204" s="21">
        <f t="shared" ca="1" si="200"/>
        <v>1.0986470538190807</v>
      </c>
      <c r="C1204" s="21">
        <f t="shared" ca="1" si="205"/>
        <v>3701.3535698042028</v>
      </c>
      <c r="D1204" s="21">
        <f t="shared" ca="1" si="201"/>
        <v>3.9638986912279259</v>
      </c>
      <c r="E1204" s="21">
        <f t="shared" ca="1" si="208"/>
        <v>10.93912253774397</v>
      </c>
      <c r="F1204" s="20" t="str">
        <f t="shared" ca="1" si="206"/>
        <v>No</v>
      </c>
      <c r="G1204" s="21">
        <f t="shared" ca="1" si="202"/>
        <v>0</v>
      </c>
      <c r="H1204" s="21">
        <f t="shared" ca="1" si="203"/>
        <v>3712.2926923419468</v>
      </c>
      <c r="I1204" s="21">
        <f t="shared" ca="1" si="198"/>
        <v>3716.2565910331746</v>
      </c>
      <c r="J1204" s="20">
        <f t="shared" ca="1" si="207"/>
        <v>5</v>
      </c>
      <c r="K1204" s="20">
        <f t="shared" ca="1" si="199"/>
        <v>5</v>
      </c>
      <c r="L1204" s="44">
        <f t="shared" ca="1" si="204"/>
        <v>5</v>
      </c>
    </row>
    <row r="1205" spans="1:12" x14ac:dyDescent="0.25">
      <c r="A1205" s="20">
        <v>1197</v>
      </c>
      <c r="B1205" s="21">
        <f t="shared" ca="1" si="200"/>
        <v>1.4617827807298338</v>
      </c>
      <c r="C1205" s="21">
        <f t="shared" ca="1" si="205"/>
        <v>3702.8153525849325</v>
      </c>
      <c r="D1205" s="21">
        <f t="shared" ca="1" si="201"/>
        <v>8.3786568392544218</v>
      </c>
      <c r="E1205" s="21">
        <f t="shared" ca="1" si="208"/>
        <v>13.441238448242075</v>
      </c>
      <c r="F1205" s="20" t="str">
        <f t="shared" ca="1" si="206"/>
        <v>No</v>
      </c>
      <c r="G1205" s="21">
        <f t="shared" ca="1" si="202"/>
        <v>0</v>
      </c>
      <c r="H1205" s="21">
        <f t="shared" ca="1" si="203"/>
        <v>3716.2565910331746</v>
      </c>
      <c r="I1205" s="21">
        <f t="shared" ca="1" si="198"/>
        <v>3724.6352478724289</v>
      </c>
      <c r="J1205" s="20">
        <f t="shared" ca="1" si="207"/>
        <v>6</v>
      </c>
      <c r="K1205" s="20">
        <f t="shared" ca="1" si="199"/>
        <v>5</v>
      </c>
      <c r="L1205" s="44">
        <f t="shared" ca="1" si="204"/>
        <v>5.5</v>
      </c>
    </row>
    <row r="1206" spans="1:12" x14ac:dyDescent="0.25">
      <c r="A1206" s="20">
        <v>1198</v>
      </c>
      <c r="B1206" s="21">
        <f t="shared" ca="1" si="200"/>
        <v>2.1936054537094241</v>
      </c>
      <c r="C1206" s="21">
        <f t="shared" ca="1" si="205"/>
        <v>3705.008958038642</v>
      </c>
      <c r="D1206" s="21">
        <f t="shared" ca="1" si="201"/>
        <v>1.7759786035714447</v>
      </c>
      <c r="E1206" s="21">
        <f t="shared" ca="1" si="208"/>
        <v>19.626289833786814</v>
      </c>
      <c r="F1206" s="20" t="str">
        <f t="shared" ca="1" si="206"/>
        <v>No</v>
      </c>
      <c r="G1206" s="21">
        <f t="shared" ca="1" si="202"/>
        <v>0</v>
      </c>
      <c r="H1206" s="21">
        <f t="shared" ca="1" si="203"/>
        <v>3724.6352478724289</v>
      </c>
      <c r="I1206" s="21">
        <f t="shared" ca="1" si="198"/>
        <v>3726.4112264760001</v>
      </c>
      <c r="J1206" s="20">
        <f t="shared" ca="1" si="207"/>
        <v>6</v>
      </c>
      <c r="K1206" s="20">
        <f t="shared" ca="1" si="199"/>
        <v>5</v>
      </c>
      <c r="L1206" s="44">
        <f t="shared" ca="1" si="204"/>
        <v>5.5</v>
      </c>
    </row>
    <row r="1207" spans="1:12" x14ac:dyDescent="0.25">
      <c r="A1207" s="20">
        <v>1199</v>
      </c>
      <c r="B1207" s="21">
        <f t="shared" ca="1" si="200"/>
        <v>3.7090883477306567</v>
      </c>
      <c r="C1207" s="21">
        <f t="shared" ca="1" si="205"/>
        <v>3708.7180463863729</v>
      </c>
      <c r="D1207" s="21">
        <f t="shared" ca="1" si="201"/>
        <v>3.3540187047778001</v>
      </c>
      <c r="E1207" s="21">
        <f t="shared" ca="1" si="208"/>
        <v>17.693180089627276</v>
      </c>
      <c r="F1207" s="20" t="str">
        <f t="shared" ca="1" si="206"/>
        <v>No</v>
      </c>
      <c r="G1207" s="21">
        <f t="shared" ca="1" si="202"/>
        <v>0</v>
      </c>
      <c r="H1207" s="21">
        <f t="shared" ca="1" si="203"/>
        <v>3726.4112264760001</v>
      </c>
      <c r="I1207" s="21">
        <f t="shared" ca="1" si="198"/>
        <v>3729.765245180778</v>
      </c>
      <c r="J1207" s="20">
        <f t="shared" ca="1" si="207"/>
        <v>6</v>
      </c>
      <c r="K1207" s="20">
        <f t="shared" ca="1" si="199"/>
        <v>5</v>
      </c>
      <c r="L1207" s="44">
        <f t="shared" ca="1" si="204"/>
        <v>5.5</v>
      </c>
    </row>
    <row r="1208" spans="1:12" x14ac:dyDescent="0.25">
      <c r="A1208" s="20">
        <v>1200</v>
      </c>
      <c r="B1208" s="21">
        <f t="shared" ca="1" si="200"/>
        <v>3.6599453188133522</v>
      </c>
      <c r="C1208" s="21">
        <f t="shared" ca="1" si="205"/>
        <v>3712.3779917051861</v>
      </c>
      <c r="D1208" s="21">
        <f t="shared" ca="1" si="201"/>
        <v>1.3563690875249124</v>
      </c>
      <c r="E1208" s="21">
        <f t="shared" ca="1" si="208"/>
        <v>17.387253475591933</v>
      </c>
      <c r="F1208" s="20" t="str">
        <f t="shared" ca="1" si="206"/>
        <v>No</v>
      </c>
      <c r="G1208" s="21">
        <f t="shared" ca="1" si="202"/>
        <v>0</v>
      </c>
      <c r="H1208" s="21">
        <f t="shared" ca="1" si="203"/>
        <v>3729.765245180778</v>
      </c>
      <c r="I1208" s="21">
        <f t="shared" ca="1" si="198"/>
        <v>3731.1216142683029</v>
      </c>
      <c r="J1208" s="20">
        <f t="shared" ca="1" si="207"/>
        <v>6</v>
      </c>
      <c r="K1208" s="20">
        <f t="shared" ca="1" si="199"/>
        <v>5</v>
      </c>
      <c r="L1208" s="44">
        <f t="shared" ca="1" si="204"/>
        <v>5.5</v>
      </c>
    </row>
    <row r="1209" spans="1:12" x14ac:dyDescent="0.25">
      <c r="A1209" s="20">
        <v>1201</v>
      </c>
      <c r="B1209" s="21">
        <f t="shared" ca="1" si="200"/>
        <v>0.52777643128296037</v>
      </c>
      <c r="C1209" s="21">
        <f t="shared" ca="1" si="205"/>
        <v>3712.9057681364689</v>
      </c>
      <c r="D1209" s="21">
        <f t="shared" ca="1" si="201"/>
        <v>0.20308550300792325</v>
      </c>
      <c r="E1209" s="21">
        <f t="shared" ca="1" si="208"/>
        <v>18.215846131834041</v>
      </c>
      <c r="F1209" s="20" t="str">
        <f t="shared" ca="1" si="206"/>
        <v>No</v>
      </c>
      <c r="G1209" s="21">
        <f t="shared" ca="1" si="202"/>
        <v>0</v>
      </c>
      <c r="H1209" s="21">
        <f t="shared" ca="1" si="203"/>
        <v>3731.1216142683029</v>
      </c>
      <c r="I1209" s="21">
        <f t="shared" ca="1" si="198"/>
        <v>3731.3246997713109</v>
      </c>
      <c r="J1209" s="20">
        <f t="shared" ca="1" si="207"/>
        <v>6</v>
      </c>
      <c r="K1209" s="20">
        <f t="shared" ca="1" si="199"/>
        <v>5</v>
      </c>
      <c r="L1209" s="44">
        <f t="shared" ca="1" si="204"/>
        <v>5.5</v>
      </c>
    </row>
    <row r="1210" spans="1:12" x14ac:dyDescent="0.25">
      <c r="A1210" s="20">
        <v>1202</v>
      </c>
      <c r="B1210" s="21">
        <f t="shared" ca="1" si="200"/>
        <v>1.4253777425889265</v>
      </c>
      <c r="C1210" s="21">
        <f t="shared" ca="1" si="205"/>
        <v>3714.3311458790577</v>
      </c>
      <c r="D1210" s="21">
        <f t="shared" ca="1" si="201"/>
        <v>1.5007429797952447</v>
      </c>
      <c r="E1210" s="21">
        <f t="shared" ca="1" si="208"/>
        <v>16.993553892253203</v>
      </c>
      <c r="F1210" s="20" t="str">
        <f t="shared" ca="1" si="206"/>
        <v>No</v>
      </c>
      <c r="G1210" s="21">
        <f t="shared" ca="1" si="202"/>
        <v>0</v>
      </c>
      <c r="H1210" s="21">
        <f t="shared" ca="1" si="203"/>
        <v>3731.3246997713109</v>
      </c>
      <c r="I1210" s="21">
        <f t="shared" ca="1" si="198"/>
        <v>3732.825442751106</v>
      </c>
      <c r="J1210" s="20">
        <f t="shared" ca="1" si="207"/>
        <v>6</v>
      </c>
      <c r="K1210" s="20">
        <f t="shared" ca="1" si="199"/>
        <v>5</v>
      </c>
      <c r="L1210" s="44">
        <f t="shared" ca="1" si="204"/>
        <v>5.5</v>
      </c>
    </row>
    <row r="1211" spans="1:12" x14ac:dyDescent="0.25">
      <c r="A1211" s="20">
        <v>1203</v>
      </c>
      <c r="B1211" s="21">
        <f t="shared" ca="1" si="200"/>
        <v>5.4805931969571642</v>
      </c>
      <c r="C1211" s="21">
        <f t="shared" ca="1" si="205"/>
        <v>3719.8117390760149</v>
      </c>
      <c r="D1211" s="21">
        <f t="shared" ca="1" si="201"/>
        <v>0.21567991785281168</v>
      </c>
      <c r="E1211" s="21">
        <f t="shared" ca="1" si="208"/>
        <v>13.013703675091165</v>
      </c>
      <c r="F1211" s="20" t="str">
        <f t="shared" ca="1" si="206"/>
        <v>No</v>
      </c>
      <c r="G1211" s="21">
        <f t="shared" ca="1" si="202"/>
        <v>0</v>
      </c>
      <c r="H1211" s="21">
        <f t="shared" ca="1" si="203"/>
        <v>3732.825442751106</v>
      </c>
      <c r="I1211" s="21">
        <f t="shared" ca="1" si="198"/>
        <v>3733.0411226689589</v>
      </c>
      <c r="J1211" s="20">
        <f t="shared" ca="1" si="207"/>
        <v>6</v>
      </c>
      <c r="K1211" s="20">
        <f t="shared" ca="1" si="199"/>
        <v>5</v>
      </c>
      <c r="L1211" s="44">
        <f t="shared" ca="1" si="204"/>
        <v>5.5</v>
      </c>
    </row>
    <row r="1212" spans="1:12" x14ac:dyDescent="0.25">
      <c r="A1212" s="20">
        <v>1204</v>
      </c>
      <c r="B1212" s="21">
        <f t="shared" ca="1" si="200"/>
        <v>3.3173974364262939</v>
      </c>
      <c r="C1212" s="21">
        <f t="shared" ca="1" si="205"/>
        <v>3723.1291365124412</v>
      </c>
      <c r="D1212" s="21">
        <f t="shared" ca="1" si="201"/>
        <v>2.6021129115314388</v>
      </c>
      <c r="E1212" s="21">
        <f t="shared" ca="1" si="208"/>
        <v>9.9119861565177416</v>
      </c>
      <c r="F1212" s="20" t="str">
        <f t="shared" ca="1" si="206"/>
        <v>No</v>
      </c>
      <c r="G1212" s="21">
        <f t="shared" ca="1" si="202"/>
        <v>0</v>
      </c>
      <c r="H1212" s="21">
        <f t="shared" ca="1" si="203"/>
        <v>3733.0411226689589</v>
      </c>
      <c r="I1212" s="21">
        <f t="shared" ca="1" si="198"/>
        <v>3735.6432355804905</v>
      </c>
      <c r="J1212" s="20">
        <f t="shared" ca="1" si="207"/>
        <v>6</v>
      </c>
      <c r="K1212" s="20">
        <f t="shared" ca="1" si="199"/>
        <v>5</v>
      </c>
      <c r="L1212" s="44">
        <f t="shared" ca="1" si="204"/>
        <v>5.5</v>
      </c>
    </row>
    <row r="1213" spans="1:12" x14ac:dyDescent="0.25">
      <c r="A1213" s="20">
        <v>1205</v>
      </c>
      <c r="B1213" s="21">
        <f t="shared" ca="1" si="200"/>
        <v>0.1620837281196825</v>
      </c>
      <c r="C1213" s="21">
        <f t="shared" ca="1" si="205"/>
        <v>3723.291220240561</v>
      </c>
      <c r="D1213" s="21">
        <f t="shared" ca="1" si="201"/>
        <v>0.38777296262638872</v>
      </c>
      <c r="E1213" s="21">
        <f t="shared" ca="1" si="208"/>
        <v>12.352015339929494</v>
      </c>
      <c r="F1213" s="20" t="str">
        <f t="shared" ca="1" si="206"/>
        <v>No</v>
      </c>
      <c r="G1213" s="21">
        <f t="shared" ca="1" si="202"/>
        <v>0</v>
      </c>
      <c r="H1213" s="21">
        <f t="shared" ca="1" si="203"/>
        <v>3735.6432355804905</v>
      </c>
      <c r="I1213" s="21">
        <f t="shared" ca="1" si="198"/>
        <v>3736.031008543117</v>
      </c>
      <c r="J1213" s="20">
        <f t="shared" ca="1" si="207"/>
        <v>6</v>
      </c>
      <c r="K1213" s="20">
        <f t="shared" ca="1" si="199"/>
        <v>5</v>
      </c>
      <c r="L1213" s="44">
        <f t="shared" ca="1" si="204"/>
        <v>5.5</v>
      </c>
    </row>
    <row r="1214" spans="1:12" x14ac:dyDescent="0.25">
      <c r="A1214" s="20">
        <v>1206</v>
      </c>
      <c r="B1214" s="21">
        <f t="shared" ca="1" si="200"/>
        <v>1.8064996336371382</v>
      </c>
      <c r="C1214" s="21">
        <f t="shared" ca="1" si="205"/>
        <v>3725.097719874198</v>
      </c>
      <c r="D1214" s="21">
        <f t="shared" ca="1" si="201"/>
        <v>1.5623939434181413</v>
      </c>
      <c r="E1214" s="21">
        <f t="shared" ca="1" si="208"/>
        <v>10.933288668918976</v>
      </c>
      <c r="F1214" s="20" t="str">
        <f t="shared" ca="1" si="206"/>
        <v>No</v>
      </c>
      <c r="G1214" s="21">
        <f t="shared" ca="1" si="202"/>
        <v>0</v>
      </c>
      <c r="H1214" s="21">
        <f t="shared" ca="1" si="203"/>
        <v>3736.031008543117</v>
      </c>
      <c r="I1214" s="21">
        <f t="shared" ca="1" si="198"/>
        <v>3737.5934024865351</v>
      </c>
      <c r="J1214" s="20">
        <f t="shared" ca="1" si="207"/>
        <v>6</v>
      </c>
      <c r="K1214" s="20">
        <f t="shared" ca="1" si="199"/>
        <v>5</v>
      </c>
      <c r="L1214" s="44">
        <f t="shared" ca="1" si="204"/>
        <v>5.5</v>
      </c>
    </row>
    <row r="1215" spans="1:12" x14ac:dyDescent="0.25">
      <c r="A1215" s="20">
        <v>1207</v>
      </c>
      <c r="B1215" s="21">
        <f t="shared" ca="1" si="200"/>
        <v>0.26325511611469637</v>
      </c>
      <c r="C1215" s="21">
        <f t="shared" ca="1" si="205"/>
        <v>3725.3609749903126</v>
      </c>
      <c r="D1215" s="21">
        <f t="shared" ca="1" si="201"/>
        <v>6.9038646600158469</v>
      </c>
      <c r="E1215" s="21">
        <f t="shared" ca="1" si="208"/>
        <v>12.232427496222499</v>
      </c>
      <c r="F1215" s="20" t="str">
        <f t="shared" ca="1" si="206"/>
        <v>No</v>
      </c>
      <c r="G1215" s="21">
        <f t="shared" ca="1" si="202"/>
        <v>0</v>
      </c>
      <c r="H1215" s="21">
        <f t="shared" ca="1" si="203"/>
        <v>3737.5934024865351</v>
      </c>
      <c r="I1215" s="21">
        <f t="shared" ca="1" si="198"/>
        <v>3744.4972671465507</v>
      </c>
      <c r="J1215" s="20">
        <f t="shared" ca="1" si="207"/>
        <v>6</v>
      </c>
      <c r="K1215" s="20">
        <f t="shared" ca="1" si="199"/>
        <v>5</v>
      </c>
      <c r="L1215" s="44">
        <f t="shared" ca="1" si="204"/>
        <v>5.5</v>
      </c>
    </row>
    <row r="1216" spans="1:12" x14ac:dyDescent="0.25">
      <c r="A1216" s="20">
        <v>1208</v>
      </c>
      <c r="B1216" s="21">
        <f t="shared" ca="1" si="200"/>
        <v>1.8513640680580781</v>
      </c>
      <c r="C1216" s="21">
        <f t="shared" ca="1" si="205"/>
        <v>3727.2123390583706</v>
      </c>
      <c r="D1216" s="21">
        <f t="shared" ca="1" si="201"/>
        <v>0.21290862401844649</v>
      </c>
      <c r="E1216" s="21">
        <f t="shared" ca="1" si="208"/>
        <v>17.284928088180095</v>
      </c>
      <c r="F1216" s="20" t="str">
        <f t="shared" ca="1" si="206"/>
        <v>No</v>
      </c>
      <c r="G1216" s="21">
        <f t="shared" ca="1" si="202"/>
        <v>0</v>
      </c>
      <c r="H1216" s="21">
        <f t="shared" ca="1" si="203"/>
        <v>3744.4972671465507</v>
      </c>
      <c r="I1216" s="21">
        <f t="shared" ca="1" si="198"/>
        <v>3744.7101757705691</v>
      </c>
      <c r="J1216" s="20">
        <f t="shared" ca="1" si="207"/>
        <v>6</v>
      </c>
      <c r="K1216" s="20">
        <f t="shared" ca="1" si="199"/>
        <v>5</v>
      </c>
      <c r="L1216" s="44">
        <f t="shared" ca="1" si="204"/>
        <v>5.5</v>
      </c>
    </row>
    <row r="1217" spans="1:12" x14ac:dyDescent="0.25">
      <c r="A1217" s="20">
        <v>1209</v>
      </c>
      <c r="B1217" s="21">
        <f t="shared" ca="1" si="200"/>
        <v>2.7883994096770728</v>
      </c>
      <c r="C1217" s="21">
        <f t="shared" ca="1" si="205"/>
        <v>3730.0007384680475</v>
      </c>
      <c r="D1217" s="21">
        <f t="shared" ca="1" si="201"/>
        <v>6.5605540700306841</v>
      </c>
      <c r="E1217" s="21">
        <f t="shared" ca="1" si="208"/>
        <v>14.709437302521565</v>
      </c>
      <c r="F1217" s="20" t="str">
        <f t="shared" ca="1" si="206"/>
        <v>No</v>
      </c>
      <c r="G1217" s="21">
        <f t="shared" ca="1" si="202"/>
        <v>0</v>
      </c>
      <c r="H1217" s="21">
        <f t="shared" ca="1" si="203"/>
        <v>3744.7101757705691</v>
      </c>
      <c r="I1217" s="21">
        <f t="shared" ca="1" si="198"/>
        <v>3751.2707298405999</v>
      </c>
      <c r="J1217" s="20">
        <f t="shared" ca="1" si="207"/>
        <v>6</v>
      </c>
      <c r="K1217" s="20">
        <f t="shared" ca="1" si="199"/>
        <v>5</v>
      </c>
      <c r="L1217" s="44">
        <f t="shared" ca="1" si="204"/>
        <v>5.5</v>
      </c>
    </row>
    <row r="1218" spans="1:12" x14ac:dyDescent="0.25">
      <c r="A1218" s="20">
        <v>1210</v>
      </c>
      <c r="B1218" s="21">
        <f t="shared" ca="1" si="200"/>
        <v>1.3647277597616465</v>
      </c>
      <c r="C1218" s="21">
        <f t="shared" ca="1" si="205"/>
        <v>3731.3654662278091</v>
      </c>
      <c r="D1218" s="21">
        <f t="shared" ca="1" si="201"/>
        <v>1.1453958376582365</v>
      </c>
      <c r="E1218" s="21">
        <f t="shared" ca="1" si="208"/>
        <v>19.905263612790804</v>
      </c>
      <c r="F1218" s="20" t="str">
        <f t="shared" ca="1" si="206"/>
        <v>No</v>
      </c>
      <c r="G1218" s="21">
        <f t="shared" ca="1" si="202"/>
        <v>0</v>
      </c>
      <c r="H1218" s="21">
        <f t="shared" ca="1" si="203"/>
        <v>3751.2707298405999</v>
      </c>
      <c r="I1218" s="21">
        <f t="shared" ca="1" si="198"/>
        <v>3752.4161256782581</v>
      </c>
      <c r="J1218" s="20">
        <f t="shared" ca="1" si="207"/>
        <v>6</v>
      </c>
      <c r="K1218" s="20">
        <f t="shared" ca="1" si="199"/>
        <v>4</v>
      </c>
      <c r="L1218" s="44">
        <f t="shared" ca="1" si="204"/>
        <v>5</v>
      </c>
    </row>
    <row r="1219" spans="1:12" x14ac:dyDescent="0.25">
      <c r="A1219" s="20">
        <v>1211</v>
      </c>
      <c r="B1219" s="21">
        <f t="shared" ca="1" si="200"/>
        <v>1.8139503533722745</v>
      </c>
      <c r="C1219" s="21">
        <f t="shared" ca="1" si="205"/>
        <v>3733.1794165811812</v>
      </c>
      <c r="D1219" s="21">
        <f t="shared" ca="1" si="201"/>
        <v>6.90044300656223</v>
      </c>
      <c r="E1219" s="21">
        <f t="shared" ca="1" si="208"/>
        <v>19.236709097076982</v>
      </c>
      <c r="F1219" s="20" t="str">
        <f t="shared" ca="1" si="206"/>
        <v>No</v>
      </c>
      <c r="G1219" s="21">
        <f t="shared" ca="1" si="202"/>
        <v>0</v>
      </c>
      <c r="H1219" s="21">
        <f t="shared" ca="1" si="203"/>
        <v>3752.4161256782581</v>
      </c>
      <c r="I1219" s="21">
        <f t="shared" ca="1" si="198"/>
        <v>3759.3165686848206</v>
      </c>
      <c r="J1219" s="20">
        <f t="shared" ca="1" si="207"/>
        <v>5</v>
      </c>
      <c r="K1219" s="20">
        <f t="shared" ca="1" si="199"/>
        <v>5</v>
      </c>
      <c r="L1219" s="44">
        <f t="shared" ca="1" si="204"/>
        <v>5</v>
      </c>
    </row>
    <row r="1220" spans="1:12" x14ac:dyDescent="0.25">
      <c r="A1220" s="20">
        <v>1212</v>
      </c>
      <c r="B1220" s="21">
        <f t="shared" ca="1" si="200"/>
        <v>0.14054667378082433</v>
      </c>
      <c r="C1220" s="21">
        <f t="shared" ca="1" si="205"/>
        <v>3733.3199632549622</v>
      </c>
      <c r="D1220" s="21">
        <f t="shared" ca="1" si="201"/>
        <v>1.9519308164991502</v>
      </c>
      <c r="E1220" s="21">
        <f t="shared" ca="1" si="208"/>
        <v>25.996605429858391</v>
      </c>
      <c r="F1220" s="20" t="str">
        <f t="shared" ca="1" si="206"/>
        <v>No</v>
      </c>
      <c r="G1220" s="21">
        <f t="shared" ca="1" si="202"/>
        <v>0</v>
      </c>
      <c r="H1220" s="21">
        <f t="shared" ca="1" si="203"/>
        <v>3759.3165686848206</v>
      </c>
      <c r="I1220" s="21">
        <f t="shared" ca="1" si="198"/>
        <v>3761.2684995013196</v>
      </c>
      <c r="J1220" s="20">
        <f t="shared" ca="1" si="207"/>
        <v>6</v>
      </c>
      <c r="K1220" s="20">
        <f t="shared" ca="1" si="199"/>
        <v>5</v>
      </c>
      <c r="L1220" s="44">
        <f t="shared" ca="1" si="204"/>
        <v>5.5</v>
      </c>
    </row>
    <row r="1221" spans="1:12" x14ac:dyDescent="0.25">
      <c r="A1221" s="20">
        <v>1213</v>
      </c>
      <c r="B1221" s="21">
        <f t="shared" ca="1" si="200"/>
        <v>5.8042529479094034</v>
      </c>
      <c r="C1221" s="21">
        <f t="shared" ca="1" si="205"/>
        <v>3739.1242162028716</v>
      </c>
      <c r="D1221" s="21">
        <f t="shared" ca="1" si="201"/>
        <v>3.6050958634876582</v>
      </c>
      <c r="E1221" s="21">
        <f t="shared" ca="1" si="208"/>
        <v>22.144283298448045</v>
      </c>
      <c r="F1221" s="20" t="str">
        <f t="shared" ca="1" si="206"/>
        <v>No</v>
      </c>
      <c r="G1221" s="21">
        <f t="shared" ca="1" si="202"/>
        <v>0</v>
      </c>
      <c r="H1221" s="21">
        <f t="shared" ca="1" si="203"/>
        <v>3761.2684995013196</v>
      </c>
      <c r="I1221" s="21">
        <f t="shared" ca="1" si="198"/>
        <v>3764.8735953648074</v>
      </c>
      <c r="J1221" s="20">
        <f t="shared" ca="1" si="207"/>
        <v>6</v>
      </c>
      <c r="K1221" s="20">
        <f t="shared" ca="1" si="199"/>
        <v>5</v>
      </c>
      <c r="L1221" s="44">
        <f t="shared" ca="1" si="204"/>
        <v>5.5</v>
      </c>
    </row>
    <row r="1222" spans="1:12" x14ac:dyDescent="0.25">
      <c r="A1222" s="20">
        <v>1214</v>
      </c>
      <c r="B1222" s="21">
        <f t="shared" ca="1" si="200"/>
        <v>1.0421505578939951</v>
      </c>
      <c r="C1222" s="21">
        <f t="shared" ca="1" si="205"/>
        <v>3740.1663667607654</v>
      </c>
      <c r="D1222" s="21">
        <f t="shared" ca="1" si="201"/>
        <v>6.2735349826140499E-2</v>
      </c>
      <c r="E1222" s="21">
        <f t="shared" ca="1" si="208"/>
        <v>24.707228604042029</v>
      </c>
      <c r="F1222" s="20" t="str">
        <f t="shared" ca="1" si="206"/>
        <v>No</v>
      </c>
      <c r="G1222" s="21">
        <f t="shared" ca="1" si="202"/>
        <v>0</v>
      </c>
      <c r="H1222" s="21">
        <f t="shared" ca="1" si="203"/>
        <v>3764.8735953648074</v>
      </c>
      <c r="I1222" s="21">
        <f t="shared" ca="1" si="198"/>
        <v>3764.9363307146336</v>
      </c>
      <c r="J1222" s="20">
        <f t="shared" ca="1" si="207"/>
        <v>6</v>
      </c>
      <c r="K1222" s="20">
        <f t="shared" ca="1" si="199"/>
        <v>5</v>
      </c>
      <c r="L1222" s="44">
        <f t="shared" ca="1" si="204"/>
        <v>5.5</v>
      </c>
    </row>
    <row r="1223" spans="1:12" x14ac:dyDescent="0.25">
      <c r="A1223" s="20">
        <v>1215</v>
      </c>
      <c r="B1223" s="21">
        <f t="shared" ca="1" si="200"/>
        <v>12.577458209574242</v>
      </c>
      <c r="C1223" s="21">
        <f t="shared" ca="1" si="205"/>
        <v>3752.7438249703396</v>
      </c>
      <c r="D1223" s="21">
        <f t="shared" ca="1" si="201"/>
        <v>3.073333865226461</v>
      </c>
      <c r="E1223" s="21">
        <f t="shared" ca="1" si="208"/>
        <v>12.192505744294067</v>
      </c>
      <c r="F1223" s="20" t="str">
        <f t="shared" ca="1" si="206"/>
        <v>No</v>
      </c>
      <c r="G1223" s="21">
        <f t="shared" ca="1" si="202"/>
        <v>0</v>
      </c>
      <c r="H1223" s="21">
        <f t="shared" ca="1" si="203"/>
        <v>3764.9363307146336</v>
      </c>
      <c r="I1223" s="21">
        <f t="shared" ca="1" si="198"/>
        <v>3768.0096645798603</v>
      </c>
      <c r="J1223" s="20">
        <f t="shared" ca="1" si="207"/>
        <v>6</v>
      </c>
      <c r="K1223" s="20">
        <f t="shared" ca="1" si="199"/>
        <v>5</v>
      </c>
      <c r="L1223" s="44">
        <f t="shared" ca="1" si="204"/>
        <v>5.5</v>
      </c>
    </row>
    <row r="1224" spans="1:12" x14ac:dyDescent="0.25">
      <c r="A1224" s="20">
        <v>1216</v>
      </c>
      <c r="B1224" s="21">
        <f t="shared" ca="1" si="200"/>
        <v>2.458224165533649</v>
      </c>
      <c r="C1224" s="21">
        <f t="shared" ca="1" si="205"/>
        <v>3755.202049135873</v>
      </c>
      <c r="D1224" s="21">
        <f t="shared" ca="1" si="201"/>
        <v>1.6669559374216771</v>
      </c>
      <c r="E1224" s="21">
        <f t="shared" ca="1" si="208"/>
        <v>12.807615443987288</v>
      </c>
      <c r="F1224" s="20" t="str">
        <f t="shared" ca="1" si="206"/>
        <v>No</v>
      </c>
      <c r="G1224" s="21">
        <f t="shared" ca="1" si="202"/>
        <v>0</v>
      </c>
      <c r="H1224" s="21">
        <f t="shared" ca="1" si="203"/>
        <v>3768.0096645798603</v>
      </c>
      <c r="I1224" s="21">
        <f t="shared" ca="1" si="198"/>
        <v>3769.6766205172821</v>
      </c>
      <c r="J1224" s="20">
        <f t="shared" ca="1" si="207"/>
        <v>6</v>
      </c>
      <c r="K1224" s="20">
        <f t="shared" ca="1" si="199"/>
        <v>4</v>
      </c>
      <c r="L1224" s="44">
        <f t="shared" ca="1" si="204"/>
        <v>5</v>
      </c>
    </row>
    <row r="1225" spans="1:12" x14ac:dyDescent="0.25">
      <c r="A1225" s="20">
        <v>1217</v>
      </c>
      <c r="B1225" s="21">
        <f t="shared" ca="1" si="200"/>
        <v>3.4846222035474148</v>
      </c>
      <c r="C1225" s="21">
        <f t="shared" ca="1" si="205"/>
        <v>3758.6866713394206</v>
      </c>
      <c r="D1225" s="21">
        <f t="shared" ca="1" si="201"/>
        <v>0.71994325955056404</v>
      </c>
      <c r="E1225" s="21">
        <f t="shared" ca="1" si="208"/>
        <v>10.98994917786149</v>
      </c>
      <c r="F1225" s="20" t="str">
        <f t="shared" ca="1" si="206"/>
        <v>No</v>
      </c>
      <c r="G1225" s="21">
        <f t="shared" ca="1" si="202"/>
        <v>0</v>
      </c>
      <c r="H1225" s="21">
        <f t="shared" ca="1" si="203"/>
        <v>3769.6766205172821</v>
      </c>
      <c r="I1225" s="21">
        <f t="shared" ref="I1225:I1288" ca="1" si="209">$H1225+$D1225</f>
        <v>3770.3965637768329</v>
      </c>
      <c r="J1225" s="20">
        <f t="shared" ca="1" si="207"/>
        <v>5</v>
      </c>
      <c r="K1225" s="20">
        <f t="shared" ref="K1225:K1288" ca="1" si="210">IF($I1225&lt;=$C1226,0,IF($I1225&lt;=$C1227,1,IF($I1225&lt;=$C1228,2,IF($I1225&lt;=$C1229,3,IF($I1225&lt;=$C1230,4,5)))))</f>
        <v>3</v>
      </c>
      <c r="L1225" s="44">
        <f t="shared" ca="1" si="204"/>
        <v>4</v>
      </c>
    </row>
    <row r="1226" spans="1:12" x14ac:dyDescent="0.25">
      <c r="A1226" s="20">
        <v>1218</v>
      </c>
      <c r="B1226" s="21">
        <f t="shared" ref="B1226:B1289" ca="1" si="211">-LN(RAND())/$D$4</f>
        <v>0.87224364790517805</v>
      </c>
      <c r="C1226" s="21">
        <f t="shared" ca="1" si="205"/>
        <v>3759.5589149873258</v>
      </c>
      <c r="D1226" s="21">
        <f t="shared" ref="D1226:D1289" ca="1" si="212">-LN(RAND())/$D$6</f>
        <v>1.3604020606092682</v>
      </c>
      <c r="E1226" s="21">
        <f t="shared" ca="1" si="208"/>
        <v>10.837648789507057</v>
      </c>
      <c r="F1226" s="20" t="str">
        <f t="shared" ca="1" si="206"/>
        <v>No</v>
      </c>
      <c r="G1226" s="21">
        <f t="shared" ref="G1226:G1289" ca="1" si="213">IF($I1225&lt;=$C1226,$C1226-$I1225,0)</f>
        <v>0</v>
      </c>
      <c r="H1226" s="21">
        <f t="shared" ref="H1226:H1289" ca="1" si="214">IF($I1225&lt;=$C1226,$C1226,$I1225)</f>
        <v>3770.3965637768329</v>
      </c>
      <c r="I1226" s="21">
        <f t="shared" ca="1" si="209"/>
        <v>3771.7569658374423</v>
      </c>
      <c r="J1226" s="20">
        <f t="shared" ca="1" si="207"/>
        <v>4</v>
      </c>
      <c r="K1226" s="20">
        <f t="shared" ca="1" si="210"/>
        <v>2</v>
      </c>
      <c r="L1226" s="44">
        <f t="shared" ref="L1226:L1289" ca="1" si="215">(J1226+K1226)/2</f>
        <v>3</v>
      </c>
    </row>
    <row r="1227" spans="1:12" x14ac:dyDescent="0.25">
      <c r="A1227" s="20">
        <v>1219</v>
      </c>
      <c r="B1227" s="21">
        <f t="shared" ca="1" si="211"/>
        <v>0.84477478227262459</v>
      </c>
      <c r="C1227" s="21">
        <f t="shared" ref="C1227:C1290" ca="1" si="216">$C1226+$B1227</f>
        <v>3760.4036897695983</v>
      </c>
      <c r="D1227" s="21">
        <f t="shared" ca="1" si="212"/>
        <v>4.4802822321991828E-2</v>
      </c>
      <c r="E1227" s="21">
        <f t="shared" ca="1" si="208"/>
        <v>11.353276067844035</v>
      </c>
      <c r="F1227" s="20" t="str">
        <f t="shared" ref="F1227:F1290" ca="1" si="217">IF(E1227=0,"Yes","No")</f>
        <v>No</v>
      </c>
      <c r="G1227" s="21">
        <f t="shared" ca="1" si="213"/>
        <v>0</v>
      </c>
      <c r="H1227" s="21">
        <f t="shared" ca="1" si="214"/>
        <v>3771.7569658374423</v>
      </c>
      <c r="I1227" s="21">
        <f t="shared" ca="1" si="209"/>
        <v>3771.8017686597641</v>
      </c>
      <c r="J1227" s="20">
        <f t="shared" ref="J1227:J1290" ca="1" si="218">IF($I1226&lt;=$C1227,0,$K1226+1)</f>
        <v>3</v>
      </c>
      <c r="K1227" s="20">
        <f t="shared" ca="1" si="210"/>
        <v>1</v>
      </c>
      <c r="L1227" s="44">
        <f t="shared" ca="1" si="215"/>
        <v>2</v>
      </c>
    </row>
    <row r="1228" spans="1:12" x14ac:dyDescent="0.25">
      <c r="A1228" s="20">
        <v>1220</v>
      </c>
      <c r="B1228" s="21">
        <f t="shared" ca="1" si="211"/>
        <v>2.8031796156595155</v>
      </c>
      <c r="C1228" s="21">
        <f t="shared" ca="1" si="216"/>
        <v>3763.206869385258</v>
      </c>
      <c r="D1228" s="21">
        <f t="shared" ca="1" si="212"/>
        <v>0.77825920062630594</v>
      </c>
      <c r="E1228" s="21">
        <f t="shared" ref="E1228:E1291" ca="1" si="219">IF($I1227&lt;=$C1228,0,$I1227-$C1228)</f>
        <v>8.5948992745061332</v>
      </c>
      <c r="F1228" s="20" t="str">
        <f t="shared" ca="1" si="217"/>
        <v>No</v>
      </c>
      <c r="G1228" s="21">
        <f t="shared" ca="1" si="213"/>
        <v>0</v>
      </c>
      <c r="H1228" s="21">
        <f t="shared" ca="1" si="214"/>
        <v>3771.8017686597641</v>
      </c>
      <c r="I1228" s="21">
        <f t="shared" ca="1" si="209"/>
        <v>3772.5800278603906</v>
      </c>
      <c r="J1228" s="20">
        <f t="shared" ca="1" si="218"/>
        <v>2</v>
      </c>
      <c r="K1228" s="20">
        <f t="shared" ca="1" si="210"/>
        <v>0</v>
      </c>
      <c r="L1228" s="44">
        <f t="shared" ca="1" si="215"/>
        <v>1</v>
      </c>
    </row>
    <row r="1229" spans="1:12" x14ac:dyDescent="0.25">
      <c r="A1229" s="20">
        <v>1221</v>
      </c>
      <c r="B1229" s="21">
        <f t="shared" ca="1" si="211"/>
        <v>10.286805353484466</v>
      </c>
      <c r="C1229" s="21">
        <f t="shared" ca="1" si="216"/>
        <v>3773.4936747387424</v>
      </c>
      <c r="D1229" s="21">
        <f t="shared" ca="1" si="212"/>
        <v>1.2641646218453551</v>
      </c>
      <c r="E1229" s="21">
        <f t="shared" ca="1" si="219"/>
        <v>0</v>
      </c>
      <c r="F1229" s="20" t="str">
        <f t="shared" ca="1" si="217"/>
        <v>Yes</v>
      </c>
      <c r="G1229" s="21">
        <f t="shared" ca="1" si="213"/>
        <v>0.91364687835175573</v>
      </c>
      <c r="H1229" s="21">
        <f t="shared" ca="1" si="214"/>
        <v>3773.4936747387424</v>
      </c>
      <c r="I1229" s="21">
        <f t="shared" ca="1" si="209"/>
        <v>3774.7578393605877</v>
      </c>
      <c r="J1229" s="20">
        <f t="shared" ca="1" si="218"/>
        <v>0</v>
      </c>
      <c r="K1229" s="20">
        <f t="shared" ca="1" si="210"/>
        <v>0</v>
      </c>
      <c r="L1229" s="44">
        <f t="shared" ca="1" si="215"/>
        <v>0</v>
      </c>
    </row>
    <row r="1230" spans="1:12" x14ac:dyDescent="0.25">
      <c r="A1230" s="20">
        <v>1222</v>
      </c>
      <c r="B1230" s="21">
        <f t="shared" ca="1" si="211"/>
        <v>8.9147375444103982</v>
      </c>
      <c r="C1230" s="21">
        <f t="shared" ca="1" si="216"/>
        <v>3782.4084122831528</v>
      </c>
      <c r="D1230" s="21">
        <f t="shared" ca="1" si="212"/>
        <v>6.9153359336437843</v>
      </c>
      <c r="E1230" s="21">
        <f t="shared" ca="1" si="219"/>
        <v>0</v>
      </c>
      <c r="F1230" s="20" t="str">
        <f t="shared" ca="1" si="217"/>
        <v>Yes</v>
      </c>
      <c r="G1230" s="21">
        <f t="shared" ca="1" si="213"/>
        <v>7.6505729225650612</v>
      </c>
      <c r="H1230" s="21">
        <f t="shared" ca="1" si="214"/>
        <v>3782.4084122831528</v>
      </c>
      <c r="I1230" s="21">
        <f t="shared" ca="1" si="209"/>
        <v>3789.3237482167965</v>
      </c>
      <c r="J1230" s="20">
        <f t="shared" ca="1" si="218"/>
        <v>0</v>
      </c>
      <c r="K1230" s="20">
        <f t="shared" ca="1" si="210"/>
        <v>3</v>
      </c>
      <c r="L1230" s="44">
        <f t="shared" ca="1" si="215"/>
        <v>1.5</v>
      </c>
    </row>
    <row r="1231" spans="1:12" x14ac:dyDescent="0.25">
      <c r="A1231" s="20">
        <v>1223</v>
      </c>
      <c r="B1231" s="21">
        <f t="shared" ca="1" si="211"/>
        <v>0.78751005178026723</v>
      </c>
      <c r="C1231" s="21">
        <f t="shared" ca="1" si="216"/>
        <v>3783.1959223349331</v>
      </c>
      <c r="D1231" s="21">
        <f t="shared" ca="1" si="212"/>
        <v>0.81269453513144707</v>
      </c>
      <c r="E1231" s="21">
        <f t="shared" ca="1" si="219"/>
        <v>6.1278258818633731</v>
      </c>
      <c r="F1231" s="20" t="str">
        <f t="shared" ca="1" si="217"/>
        <v>No</v>
      </c>
      <c r="G1231" s="21">
        <f t="shared" ca="1" si="213"/>
        <v>0</v>
      </c>
      <c r="H1231" s="21">
        <f t="shared" ca="1" si="214"/>
        <v>3789.3237482167965</v>
      </c>
      <c r="I1231" s="21">
        <f t="shared" ca="1" si="209"/>
        <v>3790.1364427519279</v>
      </c>
      <c r="J1231" s="20">
        <f t="shared" ca="1" si="218"/>
        <v>4</v>
      </c>
      <c r="K1231" s="20">
        <f t="shared" ca="1" si="210"/>
        <v>2</v>
      </c>
      <c r="L1231" s="44">
        <f t="shared" ca="1" si="215"/>
        <v>3</v>
      </c>
    </row>
    <row r="1232" spans="1:12" x14ac:dyDescent="0.25">
      <c r="A1232" s="20">
        <v>1224</v>
      </c>
      <c r="B1232" s="21">
        <f t="shared" ca="1" si="211"/>
        <v>2.2937165711688752</v>
      </c>
      <c r="C1232" s="21">
        <f t="shared" ca="1" si="216"/>
        <v>3785.4896389061018</v>
      </c>
      <c r="D1232" s="21">
        <f t="shared" ca="1" si="212"/>
        <v>2.1756778972708761</v>
      </c>
      <c r="E1232" s="21">
        <f t="shared" ca="1" si="219"/>
        <v>4.6468038458260708</v>
      </c>
      <c r="F1232" s="20" t="str">
        <f t="shared" ca="1" si="217"/>
        <v>No</v>
      </c>
      <c r="G1232" s="21">
        <f t="shared" ca="1" si="213"/>
        <v>0</v>
      </c>
      <c r="H1232" s="21">
        <f t="shared" ca="1" si="214"/>
        <v>3790.1364427519279</v>
      </c>
      <c r="I1232" s="21">
        <f t="shared" ca="1" si="209"/>
        <v>3792.3121206491987</v>
      </c>
      <c r="J1232" s="20">
        <f t="shared" ca="1" si="218"/>
        <v>3</v>
      </c>
      <c r="K1232" s="20">
        <f t="shared" ca="1" si="210"/>
        <v>1</v>
      </c>
      <c r="L1232" s="44">
        <f t="shared" ca="1" si="215"/>
        <v>2</v>
      </c>
    </row>
    <row r="1233" spans="1:12" x14ac:dyDescent="0.25">
      <c r="A1233" s="20">
        <v>1225</v>
      </c>
      <c r="B1233" s="21">
        <f t="shared" ca="1" si="211"/>
        <v>2.7308917088595117</v>
      </c>
      <c r="C1233" s="21">
        <f t="shared" ca="1" si="216"/>
        <v>3788.2205306149613</v>
      </c>
      <c r="D1233" s="21">
        <f t="shared" ca="1" si="212"/>
        <v>2.1027737301645155</v>
      </c>
      <c r="E1233" s="21">
        <f t="shared" ca="1" si="219"/>
        <v>4.0915900342374698</v>
      </c>
      <c r="F1233" s="20" t="str">
        <f t="shared" ca="1" si="217"/>
        <v>No</v>
      </c>
      <c r="G1233" s="21">
        <f t="shared" ca="1" si="213"/>
        <v>0</v>
      </c>
      <c r="H1233" s="21">
        <f t="shared" ca="1" si="214"/>
        <v>3792.3121206491987</v>
      </c>
      <c r="I1233" s="21">
        <f t="shared" ca="1" si="209"/>
        <v>3794.4148943793634</v>
      </c>
      <c r="J1233" s="20">
        <f t="shared" ca="1" si="218"/>
        <v>2</v>
      </c>
      <c r="K1233" s="20">
        <f t="shared" ca="1" si="210"/>
        <v>0</v>
      </c>
      <c r="L1233" s="44">
        <f t="shared" ca="1" si="215"/>
        <v>1</v>
      </c>
    </row>
    <row r="1234" spans="1:12" x14ac:dyDescent="0.25">
      <c r="A1234" s="20">
        <v>1226</v>
      </c>
      <c r="B1234" s="21">
        <f t="shared" ca="1" si="211"/>
        <v>9.3923524317123892</v>
      </c>
      <c r="C1234" s="21">
        <f t="shared" ca="1" si="216"/>
        <v>3797.6128830466737</v>
      </c>
      <c r="D1234" s="21">
        <f t="shared" ca="1" si="212"/>
        <v>0.82244216097485068</v>
      </c>
      <c r="E1234" s="21">
        <f t="shared" ca="1" si="219"/>
        <v>0</v>
      </c>
      <c r="F1234" s="20" t="str">
        <f t="shared" ca="1" si="217"/>
        <v>Yes</v>
      </c>
      <c r="G1234" s="21">
        <f t="shared" ca="1" si="213"/>
        <v>3.1979886673102556</v>
      </c>
      <c r="H1234" s="21">
        <f t="shared" ca="1" si="214"/>
        <v>3797.6128830466737</v>
      </c>
      <c r="I1234" s="21">
        <f t="shared" ca="1" si="209"/>
        <v>3798.4353252076485</v>
      </c>
      <c r="J1234" s="20">
        <f t="shared" ca="1" si="218"/>
        <v>0</v>
      </c>
      <c r="K1234" s="20">
        <f t="shared" ca="1" si="210"/>
        <v>0</v>
      </c>
      <c r="L1234" s="44">
        <f t="shared" ca="1" si="215"/>
        <v>0</v>
      </c>
    </row>
    <row r="1235" spans="1:12" x14ac:dyDescent="0.25">
      <c r="A1235" s="20">
        <v>1227</v>
      </c>
      <c r="B1235" s="21">
        <f t="shared" ca="1" si="211"/>
        <v>2.3742156091872744</v>
      </c>
      <c r="C1235" s="21">
        <f t="shared" ca="1" si="216"/>
        <v>3799.9870986558608</v>
      </c>
      <c r="D1235" s="21">
        <f t="shared" ca="1" si="212"/>
        <v>1.639425373434839</v>
      </c>
      <c r="E1235" s="21">
        <f t="shared" ca="1" si="219"/>
        <v>0</v>
      </c>
      <c r="F1235" s="20" t="str">
        <f t="shared" ca="1" si="217"/>
        <v>Yes</v>
      </c>
      <c r="G1235" s="21">
        <f t="shared" ca="1" si="213"/>
        <v>1.551773448212316</v>
      </c>
      <c r="H1235" s="21">
        <f t="shared" ca="1" si="214"/>
        <v>3799.9870986558608</v>
      </c>
      <c r="I1235" s="21">
        <f t="shared" ca="1" si="209"/>
        <v>3801.6265240292955</v>
      </c>
      <c r="J1235" s="20">
        <f t="shared" ca="1" si="218"/>
        <v>0</v>
      </c>
      <c r="K1235" s="20">
        <f t="shared" ca="1" si="210"/>
        <v>0</v>
      </c>
      <c r="L1235" s="44">
        <f t="shared" ca="1" si="215"/>
        <v>0</v>
      </c>
    </row>
    <row r="1236" spans="1:12" x14ac:dyDescent="0.25">
      <c r="A1236" s="20">
        <v>1228</v>
      </c>
      <c r="B1236" s="21">
        <f t="shared" ca="1" si="211"/>
        <v>1.7262878928945766</v>
      </c>
      <c r="C1236" s="21">
        <f t="shared" ca="1" si="216"/>
        <v>3801.7133865487554</v>
      </c>
      <c r="D1236" s="21">
        <f t="shared" ca="1" si="212"/>
        <v>2.6495111540356442</v>
      </c>
      <c r="E1236" s="21">
        <f t="shared" ca="1" si="219"/>
        <v>0</v>
      </c>
      <c r="F1236" s="20" t="str">
        <f t="shared" ca="1" si="217"/>
        <v>Yes</v>
      </c>
      <c r="G1236" s="21">
        <f t="shared" ca="1" si="213"/>
        <v>8.6862519459828036E-2</v>
      </c>
      <c r="H1236" s="21">
        <f t="shared" ca="1" si="214"/>
        <v>3801.7133865487554</v>
      </c>
      <c r="I1236" s="21">
        <f t="shared" ca="1" si="209"/>
        <v>3804.3628977027911</v>
      </c>
      <c r="J1236" s="20">
        <f t="shared" ca="1" si="218"/>
        <v>0</v>
      </c>
      <c r="K1236" s="20">
        <f t="shared" ca="1" si="210"/>
        <v>2</v>
      </c>
      <c r="L1236" s="44">
        <f t="shared" ca="1" si="215"/>
        <v>1</v>
      </c>
    </row>
    <row r="1237" spans="1:12" x14ac:dyDescent="0.25">
      <c r="A1237" s="20">
        <v>1229</v>
      </c>
      <c r="B1237" s="21">
        <f t="shared" ca="1" si="211"/>
        <v>0.32787877369074009</v>
      </c>
      <c r="C1237" s="21">
        <f t="shared" ca="1" si="216"/>
        <v>3802.0412653224462</v>
      </c>
      <c r="D1237" s="21">
        <f t="shared" ca="1" si="212"/>
        <v>9.4476690924256285E-2</v>
      </c>
      <c r="E1237" s="21">
        <f t="shared" ca="1" si="219"/>
        <v>2.3216323803449086</v>
      </c>
      <c r="F1237" s="20" t="str">
        <f t="shared" ca="1" si="217"/>
        <v>No</v>
      </c>
      <c r="G1237" s="21">
        <f t="shared" ca="1" si="213"/>
        <v>0</v>
      </c>
      <c r="H1237" s="21">
        <f t="shared" ca="1" si="214"/>
        <v>3804.3628977027911</v>
      </c>
      <c r="I1237" s="21">
        <f t="shared" ca="1" si="209"/>
        <v>3804.4573743937153</v>
      </c>
      <c r="J1237" s="20">
        <f t="shared" ca="1" si="218"/>
        <v>3</v>
      </c>
      <c r="K1237" s="20">
        <f t="shared" ca="1" si="210"/>
        <v>1</v>
      </c>
      <c r="L1237" s="44">
        <f t="shared" ca="1" si="215"/>
        <v>2</v>
      </c>
    </row>
    <row r="1238" spans="1:12" x14ac:dyDescent="0.25">
      <c r="A1238" s="20">
        <v>1230</v>
      </c>
      <c r="B1238" s="21">
        <f t="shared" ca="1" si="211"/>
        <v>0.91527708649025374</v>
      </c>
      <c r="C1238" s="21">
        <f t="shared" ca="1" si="216"/>
        <v>3802.9565424089365</v>
      </c>
      <c r="D1238" s="21">
        <f t="shared" ca="1" si="212"/>
        <v>0.56107823831370951</v>
      </c>
      <c r="E1238" s="21">
        <f t="shared" ca="1" si="219"/>
        <v>1.5008319847788698</v>
      </c>
      <c r="F1238" s="20" t="str">
        <f t="shared" ca="1" si="217"/>
        <v>No</v>
      </c>
      <c r="G1238" s="21">
        <f t="shared" ca="1" si="213"/>
        <v>0</v>
      </c>
      <c r="H1238" s="21">
        <f t="shared" ca="1" si="214"/>
        <v>3804.4573743937153</v>
      </c>
      <c r="I1238" s="21">
        <f t="shared" ca="1" si="209"/>
        <v>3805.018452632029</v>
      </c>
      <c r="J1238" s="20">
        <f t="shared" ca="1" si="218"/>
        <v>2</v>
      </c>
      <c r="K1238" s="20">
        <f t="shared" ca="1" si="210"/>
        <v>0</v>
      </c>
      <c r="L1238" s="44">
        <f t="shared" ca="1" si="215"/>
        <v>1</v>
      </c>
    </row>
    <row r="1239" spans="1:12" x14ac:dyDescent="0.25">
      <c r="A1239" s="20">
        <v>1231</v>
      </c>
      <c r="B1239" s="21">
        <f t="shared" ca="1" si="211"/>
        <v>2.3589950972647449</v>
      </c>
      <c r="C1239" s="21">
        <f t="shared" ca="1" si="216"/>
        <v>3805.3155375062011</v>
      </c>
      <c r="D1239" s="21">
        <f t="shared" ca="1" si="212"/>
        <v>5.2668737348913695</v>
      </c>
      <c r="E1239" s="21">
        <f t="shared" ca="1" si="219"/>
        <v>0</v>
      </c>
      <c r="F1239" s="20" t="str">
        <f t="shared" ca="1" si="217"/>
        <v>Yes</v>
      </c>
      <c r="G1239" s="21">
        <f t="shared" ca="1" si="213"/>
        <v>0.29708487417201468</v>
      </c>
      <c r="H1239" s="21">
        <f t="shared" ca="1" si="214"/>
        <v>3805.3155375062011</v>
      </c>
      <c r="I1239" s="21">
        <f t="shared" ca="1" si="209"/>
        <v>3810.5824112410924</v>
      </c>
      <c r="J1239" s="20">
        <f t="shared" ca="1" si="218"/>
        <v>0</v>
      </c>
      <c r="K1239" s="20">
        <f t="shared" ca="1" si="210"/>
        <v>2</v>
      </c>
      <c r="L1239" s="44">
        <f t="shared" ca="1" si="215"/>
        <v>1</v>
      </c>
    </row>
    <row r="1240" spans="1:12" x14ac:dyDescent="0.25">
      <c r="A1240" s="20">
        <v>1232</v>
      </c>
      <c r="B1240" s="21">
        <f t="shared" ca="1" si="211"/>
        <v>3.5612726736449813</v>
      </c>
      <c r="C1240" s="21">
        <f t="shared" ca="1" si="216"/>
        <v>3808.876810179846</v>
      </c>
      <c r="D1240" s="21">
        <f t="shared" ca="1" si="212"/>
        <v>0.11815971732115428</v>
      </c>
      <c r="E1240" s="21">
        <f t="shared" ca="1" si="219"/>
        <v>1.7056010612463979</v>
      </c>
      <c r="F1240" s="20" t="str">
        <f t="shared" ca="1" si="217"/>
        <v>No</v>
      </c>
      <c r="G1240" s="21">
        <f t="shared" ca="1" si="213"/>
        <v>0</v>
      </c>
      <c r="H1240" s="21">
        <f t="shared" ca="1" si="214"/>
        <v>3810.5824112410924</v>
      </c>
      <c r="I1240" s="21">
        <f t="shared" ca="1" si="209"/>
        <v>3810.7005709584137</v>
      </c>
      <c r="J1240" s="20">
        <f t="shared" ca="1" si="218"/>
        <v>3</v>
      </c>
      <c r="K1240" s="20">
        <f t="shared" ca="1" si="210"/>
        <v>1</v>
      </c>
      <c r="L1240" s="44">
        <f t="shared" ca="1" si="215"/>
        <v>2</v>
      </c>
    </row>
    <row r="1241" spans="1:12" x14ac:dyDescent="0.25">
      <c r="A1241" s="20">
        <v>1233</v>
      </c>
      <c r="B1241" s="21">
        <f t="shared" ca="1" si="211"/>
        <v>0.44353227934585315</v>
      </c>
      <c r="C1241" s="21">
        <f t="shared" ca="1" si="216"/>
        <v>3809.320342459192</v>
      </c>
      <c r="D1241" s="21">
        <f t="shared" ca="1" si="212"/>
        <v>0.36497046191934251</v>
      </c>
      <c r="E1241" s="21">
        <f t="shared" ca="1" si="219"/>
        <v>1.38022849922163</v>
      </c>
      <c r="F1241" s="20" t="str">
        <f t="shared" ca="1" si="217"/>
        <v>No</v>
      </c>
      <c r="G1241" s="21">
        <f t="shared" ca="1" si="213"/>
        <v>0</v>
      </c>
      <c r="H1241" s="21">
        <f t="shared" ca="1" si="214"/>
        <v>3810.7005709584137</v>
      </c>
      <c r="I1241" s="21">
        <f t="shared" ca="1" si="209"/>
        <v>3811.0655414203329</v>
      </c>
      <c r="J1241" s="20">
        <f t="shared" ca="1" si="218"/>
        <v>2</v>
      </c>
      <c r="K1241" s="20">
        <f t="shared" ca="1" si="210"/>
        <v>0</v>
      </c>
      <c r="L1241" s="44">
        <f t="shared" ca="1" si="215"/>
        <v>1</v>
      </c>
    </row>
    <row r="1242" spans="1:12" x14ac:dyDescent="0.25">
      <c r="A1242" s="20">
        <v>1234</v>
      </c>
      <c r="B1242" s="21">
        <f t="shared" ca="1" si="211"/>
        <v>3.9144442856972752</v>
      </c>
      <c r="C1242" s="21">
        <f t="shared" ca="1" si="216"/>
        <v>3813.2347867448893</v>
      </c>
      <c r="D1242" s="21">
        <f t="shared" ca="1" si="212"/>
        <v>2.6331801404005928</v>
      </c>
      <c r="E1242" s="21">
        <f t="shared" ca="1" si="219"/>
        <v>0</v>
      </c>
      <c r="F1242" s="20" t="str">
        <f t="shared" ca="1" si="217"/>
        <v>Yes</v>
      </c>
      <c r="G1242" s="21">
        <f t="shared" ca="1" si="213"/>
        <v>2.1692453245564138</v>
      </c>
      <c r="H1242" s="21">
        <f t="shared" ca="1" si="214"/>
        <v>3813.2347867448893</v>
      </c>
      <c r="I1242" s="21">
        <f t="shared" ca="1" si="209"/>
        <v>3815.8679668852901</v>
      </c>
      <c r="J1242" s="20">
        <f t="shared" ca="1" si="218"/>
        <v>0</v>
      </c>
      <c r="K1242" s="20">
        <f t="shared" ca="1" si="210"/>
        <v>0</v>
      </c>
      <c r="L1242" s="44">
        <f t="shared" ca="1" si="215"/>
        <v>0</v>
      </c>
    </row>
    <row r="1243" spans="1:12" x14ac:dyDescent="0.25">
      <c r="A1243" s="20">
        <v>1235</v>
      </c>
      <c r="B1243" s="21">
        <f t="shared" ca="1" si="211"/>
        <v>8.7573473698191666</v>
      </c>
      <c r="C1243" s="21">
        <f t="shared" ca="1" si="216"/>
        <v>3821.9921341147083</v>
      </c>
      <c r="D1243" s="21">
        <f t="shared" ca="1" si="212"/>
        <v>7.9966502580140847E-2</v>
      </c>
      <c r="E1243" s="21">
        <f t="shared" ca="1" si="219"/>
        <v>0</v>
      </c>
      <c r="F1243" s="20" t="str">
        <f t="shared" ca="1" si="217"/>
        <v>Yes</v>
      </c>
      <c r="G1243" s="21">
        <f t="shared" ca="1" si="213"/>
        <v>6.1241672294181626</v>
      </c>
      <c r="H1243" s="21">
        <f t="shared" ca="1" si="214"/>
        <v>3821.9921341147083</v>
      </c>
      <c r="I1243" s="21">
        <f t="shared" ca="1" si="209"/>
        <v>3822.0721006172885</v>
      </c>
      <c r="J1243" s="20">
        <f t="shared" ca="1" si="218"/>
        <v>0</v>
      </c>
      <c r="K1243" s="20">
        <f t="shared" ca="1" si="210"/>
        <v>0</v>
      </c>
      <c r="L1243" s="44">
        <f t="shared" ca="1" si="215"/>
        <v>0</v>
      </c>
    </row>
    <row r="1244" spans="1:12" x14ac:dyDescent="0.25">
      <c r="A1244" s="20">
        <v>1236</v>
      </c>
      <c r="B1244" s="21">
        <f t="shared" ca="1" si="211"/>
        <v>0.46768478398533997</v>
      </c>
      <c r="C1244" s="21">
        <f t="shared" ca="1" si="216"/>
        <v>3822.4598188986938</v>
      </c>
      <c r="D1244" s="21">
        <f t="shared" ca="1" si="212"/>
        <v>1.8859351046391837</v>
      </c>
      <c r="E1244" s="21">
        <f t="shared" ca="1" si="219"/>
        <v>0</v>
      </c>
      <c r="F1244" s="20" t="str">
        <f t="shared" ca="1" si="217"/>
        <v>Yes</v>
      </c>
      <c r="G1244" s="21">
        <f t="shared" ca="1" si="213"/>
        <v>0.38771828140534126</v>
      </c>
      <c r="H1244" s="21">
        <f t="shared" ca="1" si="214"/>
        <v>3822.4598188986938</v>
      </c>
      <c r="I1244" s="21">
        <f t="shared" ca="1" si="209"/>
        <v>3824.3457540033328</v>
      </c>
      <c r="J1244" s="20">
        <f t="shared" ca="1" si="218"/>
        <v>0</v>
      </c>
      <c r="K1244" s="20">
        <f t="shared" ca="1" si="210"/>
        <v>1</v>
      </c>
      <c r="L1244" s="44">
        <f t="shared" ca="1" si="215"/>
        <v>0.5</v>
      </c>
    </row>
    <row r="1245" spans="1:12" x14ac:dyDescent="0.25">
      <c r="A1245" s="20">
        <v>1237</v>
      </c>
      <c r="B1245" s="21">
        <f t="shared" ca="1" si="211"/>
        <v>1.505500496454576</v>
      </c>
      <c r="C1245" s="21">
        <f t="shared" ca="1" si="216"/>
        <v>3823.9653193951485</v>
      </c>
      <c r="D1245" s="21">
        <f t="shared" ca="1" si="212"/>
        <v>0.70260810821133746</v>
      </c>
      <c r="E1245" s="21">
        <f t="shared" ca="1" si="219"/>
        <v>0.38043460818425956</v>
      </c>
      <c r="F1245" s="20" t="str">
        <f t="shared" ca="1" si="217"/>
        <v>No</v>
      </c>
      <c r="G1245" s="21">
        <f t="shared" ca="1" si="213"/>
        <v>0</v>
      </c>
      <c r="H1245" s="21">
        <f t="shared" ca="1" si="214"/>
        <v>3824.3457540033328</v>
      </c>
      <c r="I1245" s="21">
        <f t="shared" ca="1" si="209"/>
        <v>3825.0483621115441</v>
      </c>
      <c r="J1245" s="20">
        <f t="shared" ca="1" si="218"/>
        <v>2</v>
      </c>
      <c r="K1245" s="20">
        <f t="shared" ca="1" si="210"/>
        <v>0</v>
      </c>
      <c r="L1245" s="44">
        <f t="shared" ca="1" si="215"/>
        <v>1</v>
      </c>
    </row>
    <row r="1246" spans="1:12" x14ac:dyDescent="0.25">
      <c r="A1246" s="20">
        <v>1238</v>
      </c>
      <c r="B1246" s="21">
        <f t="shared" ca="1" si="211"/>
        <v>9.082641516705408</v>
      </c>
      <c r="C1246" s="21">
        <f t="shared" ca="1" si="216"/>
        <v>3833.0479609118538</v>
      </c>
      <c r="D1246" s="21">
        <f t="shared" ca="1" si="212"/>
        <v>1.8600836025346805</v>
      </c>
      <c r="E1246" s="21">
        <f t="shared" ca="1" si="219"/>
        <v>0</v>
      </c>
      <c r="F1246" s="20" t="str">
        <f t="shared" ca="1" si="217"/>
        <v>Yes</v>
      </c>
      <c r="G1246" s="21">
        <f t="shared" ca="1" si="213"/>
        <v>7.9995988003097409</v>
      </c>
      <c r="H1246" s="21">
        <f t="shared" ca="1" si="214"/>
        <v>3833.0479609118538</v>
      </c>
      <c r="I1246" s="21">
        <f t="shared" ca="1" si="209"/>
        <v>3834.9080445143886</v>
      </c>
      <c r="J1246" s="20">
        <f t="shared" ca="1" si="218"/>
        <v>0</v>
      </c>
      <c r="K1246" s="20">
        <f t="shared" ca="1" si="210"/>
        <v>0</v>
      </c>
      <c r="L1246" s="44">
        <f t="shared" ca="1" si="215"/>
        <v>0</v>
      </c>
    </row>
    <row r="1247" spans="1:12" x14ac:dyDescent="0.25">
      <c r="A1247" s="20">
        <v>1239</v>
      </c>
      <c r="B1247" s="21">
        <f t="shared" ca="1" si="211"/>
        <v>2.508811438742935</v>
      </c>
      <c r="C1247" s="21">
        <f t="shared" ca="1" si="216"/>
        <v>3835.5567723505969</v>
      </c>
      <c r="D1247" s="21">
        <f t="shared" ca="1" si="212"/>
        <v>1.1507989642830707</v>
      </c>
      <c r="E1247" s="21">
        <f t="shared" ca="1" si="219"/>
        <v>0</v>
      </c>
      <c r="F1247" s="20" t="str">
        <f t="shared" ca="1" si="217"/>
        <v>Yes</v>
      </c>
      <c r="G1247" s="21">
        <f t="shared" ca="1" si="213"/>
        <v>0.64872783620830887</v>
      </c>
      <c r="H1247" s="21">
        <f t="shared" ca="1" si="214"/>
        <v>3835.5567723505969</v>
      </c>
      <c r="I1247" s="21">
        <f t="shared" ca="1" si="209"/>
        <v>3836.7075713148802</v>
      </c>
      <c r="J1247" s="20">
        <f t="shared" ca="1" si="218"/>
        <v>0</v>
      </c>
      <c r="K1247" s="20">
        <f t="shared" ca="1" si="210"/>
        <v>0</v>
      </c>
      <c r="L1247" s="44">
        <f t="shared" ca="1" si="215"/>
        <v>0</v>
      </c>
    </row>
    <row r="1248" spans="1:12" x14ac:dyDescent="0.25">
      <c r="A1248" s="20">
        <v>1240</v>
      </c>
      <c r="B1248" s="21">
        <f t="shared" ca="1" si="211"/>
        <v>2.7234118475016094</v>
      </c>
      <c r="C1248" s="21">
        <f t="shared" ca="1" si="216"/>
        <v>3838.2801841980986</v>
      </c>
      <c r="D1248" s="21">
        <f t="shared" ca="1" si="212"/>
        <v>1.9594013626033935</v>
      </c>
      <c r="E1248" s="21">
        <f t="shared" ca="1" si="219"/>
        <v>0</v>
      </c>
      <c r="F1248" s="20" t="str">
        <f t="shared" ca="1" si="217"/>
        <v>Yes</v>
      </c>
      <c r="G1248" s="21">
        <f t="shared" ca="1" si="213"/>
        <v>1.5726128832184258</v>
      </c>
      <c r="H1248" s="21">
        <f t="shared" ca="1" si="214"/>
        <v>3838.2801841980986</v>
      </c>
      <c r="I1248" s="21">
        <f t="shared" ca="1" si="209"/>
        <v>3840.2395855607019</v>
      </c>
      <c r="J1248" s="20">
        <f t="shared" ca="1" si="218"/>
        <v>0</v>
      </c>
      <c r="K1248" s="20">
        <f t="shared" ca="1" si="210"/>
        <v>0</v>
      </c>
      <c r="L1248" s="44">
        <f t="shared" ca="1" si="215"/>
        <v>0</v>
      </c>
    </row>
    <row r="1249" spans="1:12" x14ac:dyDescent="0.25">
      <c r="A1249" s="20">
        <v>1241</v>
      </c>
      <c r="B1249" s="21">
        <f t="shared" ca="1" si="211"/>
        <v>4.4489240151773677</v>
      </c>
      <c r="C1249" s="21">
        <f t="shared" ca="1" si="216"/>
        <v>3842.729108213276</v>
      </c>
      <c r="D1249" s="21">
        <f t="shared" ca="1" si="212"/>
        <v>2.0990256019651845</v>
      </c>
      <c r="E1249" s="21">
        <f t="shared" ca="1" si="219"/>
        <v>0</v>
      </c>
      <c r="F1249" s="20" t="str">
        <f t="shared" ca="1" si="217"/>
        <v>Yes</v>
      </c>
      <c r="G1249" s="21">
        <f t="shared" ca="1" si="213"/>
        <v>2.4895226525741236</v>
      </c>
      <c r="H1249" s="21">
        <f t="shared" ca="1" si="214"/>
        <v>3842.729108213276</v>
      </c>
      <c r="I1249" s="21">
        <f t="shared" ca="1" si="209"/>
        <v>3844.828133815241</v>
      </c>
      <c r="J1249" s="20">
        <f t="shared" ca="1" si="218"/>
        <v>0</v>
      </c>
      <c r="K1249" s="20">
        <f t="shared" ca="1" si="210"/>
        <v>0</v>
      </c>
      <c r="L1249" s="44">
        <f t="shared" ca="1" si="215"/>
        <v>0</v>
      </c>
    </row>
    <row r="1250" spans="1:12" x14ac:dyDescent="0.25">
      <c r="A1250" s="20">
        <v>1242</v>
      </c>
      <c r="B1250" s="21">
        <f t="shared" ca="1" si="211"/>
        <v>3.2011024373535268</v>
      </c>
      <c r="C1250" s="21">
        <f t="shared" ca="1" si="216"/>
        <v>3845.9302106506298</v>
      </c>
      <c r="D1250" s="21">
        <f t="shared" ca="1" si="212"/>
        <v>0.74606548889291691</v>
      </c>
      <c r="E1250" s="21">
        <f t="shared" ca="1" si="219"/>
        <v>0</v>
      </c>
      <c r="F1250" s="20" t="str">
        <f t="shared" ca="1" si="217"/>
        <v>Yes</v>
      </c>
      <c r="G1250" s="21">
        <f t="shared" ca="1" si="213"/>
        <v>1.1020768353887433</v>
      </c>
      <c r="H1250" s="21">
        <f t="shared" ca="1" si="214"/>
        <v>3845.9302106506298</v>
      </c>
      <c r="I1250" s="21">
        <f t="shared" ca="1" si="209"/>
        <v>3846.6762761395225</v>
      </c>
      <c r="J1250" s="20">
        <f t="shared" ca="1" si="218"/>
        <v>0</v>
      </c>
      <c r="K1250" s="20">
        <f t="shared" ca="1" si="210"/>
        <v>0</v>
      </c>
      <c r="L1250" s="44">
        <f t="shared" ca="1" si="215"/>
        <v>0</v>
      </c>
    </row>
    <row r="1251" spans="1:12" x14ac:dyDescent="0.25">
      <c r="A1251" s="20">
        <v>1243</v>
      </c>
      <c r="B1251" s="21">
        <f t="shared" ca="1" si="211"/>
        <v>2.9170383454072226</v>
      </c>
      <c r="C1251" s="21">
        <f t="shared" ca="1" si="216"/>
        <v>3848.8472489960368</v>
      </c>
      <c r="D1251" s="21">
        <f t="shared" ca="1" si="212"/>
        <v>3.8418065924424543</v>
      </c>
      <c r="E1251" s="21">
        <f t="shared" ca="1" si="219"/>
        <v>0</v>
      </c>
      <c r="F1251" s="20" t="str">
        <f t="shared" ca="1" si="217"/>
        <v>Yes</v>
      </c>
      <c r="G1251" s="21">
        <f t="shared" ca="1" si="213"/>
        <v>2.1709728565142541</v>
      </c>
      <c r="H1251" s="21">
        <f t="shared" ca="1" si="214"/>
        <v>3848.8472489960368</v>
      </c>
      <c r="I1251" s="21">
        <f t="shared" ca="1" si="209"/>
        <v>3852.6890555884793</v>
      </c>
      <c r="J1251" s="20">
        <f t="shared" ca="1" si="218"/>
        <v>0</v>
      </c>
      <c r="K1251" s="20">
        <f t="shared" ca="1" si="210"/>
        <v>1</v>
      </c>
      <c r="L1251" s="44">
        <f t="shared" ca="1" si="215"/>
        <v>0.5</v>
      </c>
    </row>
    <row r="1252" spans="1:12" x14ac:dyDescent="0.25">
      <c r="A1252" s="20">
        <v>1244</v>
      </c>
      <c r="B1252" s="21">
        <f t="shared" ca="1" si="211"/>
        <v>3.6775790601190428</v>
      </c>
      <c r="C1252" s="21">
        <f t="shared" ca="1" si="216"/>
        <v>3852.5248280561559</v>
      </c>
      <c r="D1252" s="21">
        <f t="shared" ca="1" si="212"/>
        <v>0.31619649897069046</v>
      </c>
      <c r="E1252" s="21">
        <f t="shared" ca="1" si="219"/>
        <v>0.16422753232336618</v>
      </c>
      <c r="F1252" s="20" t="str">
        <f t="shared" ca="1" si="217"/>
        <v>No</v>
      </c>
      <c r="G1252" s="21">
        <f t="shared" ca="1" si="213"/>
        <v>0</v>
      </c>
      <c r="H1252" s="21">
        <f t="shared" ca="1" si="214"/>
        <v>3852.6890555884793</v>
      </c>
      <c r="I1252" s="21">
        <f t="shared" ca="1" si="209"/>
        <v>3853.0052520874501</v>
      </c>
      <c r="J1252" s="20">
        <f t="shared" ca="1" si="218"/>
        <v>2</v>
      </c>
      <c r="K1252" s="20">
        <f t="shared" ca="1" si="210"/>
        <v>0</v>
      </c>
      <c r="L1252" s="44">
        <f t="shared" ca="1" si="215"/>
        <v>1</v>
      </c>
    </row>
    <row r="1253" spans="1:12" x14ac:dyDescent="0.25">
      <c r="A1253" s="20">
        <v>1245</v>
      </c>
      <c r="B1253" s="21">
        <f t="shared" ca="1" si="211"/>
        <v>3.0717121837878767</v>
      </c>
      <c r="C1253" s="21">
        <f t="shared" ca="1" si="216"/>
        <v>3855.5965402399438</v>
      </c>
      <c r="D1253" s="21">
        <f t="shared" ca="1" si="212"/>
        <v>2.2299428096755962</v>
      </c>
      <c r="E1253" s="21">
        <f t="shared" ca="1" si="219"/>
        <v>0</v>
      </c>
      <c r="F1253" s="20" t="str">
        <f t="shared" ca="1" si="217"/>
        <v>Yes</v>
      </c>
      <c r="G1253" s="21">
        <f t="shared" ca="1" si="213"/>
        <v>2.5912881524936893</v>
      </c>
      <c r="H1253" s="21">
        <f t="shared" ca="1" si="214"/>
        <v>3855.5965402399438</v>
      </c>
      <c r="I1253" s="21">
        <f t="shared" ca="1" si="209"/>
        <v>3857.8264830496196</v>
      </c>
      <c r="J1253" s="20">
        <f t="shared" ca="1" si="218"/>
        <v>0</v>
      </c>
      <c r="K1253" s="20">
        <f t="shared" ca="1" si="210"/>
        <v>1</v>
      </c>
      <c r="L1253" s="44">
        <f t="shared" ca="1" si="215"/>
        <v>0.5</v>
      </c>
    </row>
    <row r="1254" spans="1:12" x14ac:dyDescent="0.25">
      <c r="A1254" s="20">
        <v>1246</v>
      </c>
      <c r="B1254" s="21">
        <f t="shared" ca="1" si="211"/>
        <v>0.1094085459462214</v>
      </c>
      <c r="C1254" s="21">
        <f t="shared" ca="1" si="216"/>
        <v>3855.7059487858901</v>
      </c>
      <c r="D1254" s="21">
        <f t="shared" ca="1" si="212"/>
        <v>0.58719624627854761</v>
      </c>
      <c r="E1254" s="21">
        <f t="shared" ca="1" si="219"/>
        <v>2.1205342637294962</v>
      </c>
      <c r="F1254" s="20" t="str">
        <f t="shared" ca="1" si="217"/>
        <v>No</v>
      </c>
      <c r="G1254" s="21">
        <f t="shared" ca="1" si="213"/>
        <v>0</v>
      </c>
      <c r="H1254" s="21">
        <f t="shared" ca="1" si="214"/>
        <v>3857.8264830496196</v>
      </c>
      <c r="I1254" s="21">
        <f t="shared" ca="1" si="209"/>
        <v>3858.413679295898</v>
      </c>
      <c r="J1254" s="20">
        <f t="shared" ca="1" si="218"/>
        <v>2</v>
      </c>
      <c r="K1254" s="20">
        <f t="shared" ca="1" si="210"/>
        <v>0</v>
      </c>
      <c r="L1254" s="44">
        <f t="shared" ca="1" si="215"/>
        <v>1</v>
      </c>
    </row>
    <row r="1255" spans="1:12" x14ac:dyDescent="0.25">
      <c r="A1255" s="20">
        <v>1247</v>
      </c>
      <c r="B1255" s="21">
        <f t="shared" ca="1" si="211"/>
        <v>5.7253061781774592</v>
      </c>
      <c r="C1255" s="21">
        <f t="shared" ca="1" si="216"/>
        <v>3861.4312549640676</v>
      </c>
      <c r="D1255" s="21">
        <f t="shared" ca="1" si="212"/>
        <v>1.845880876305606</v>
      </c>
      <c r="E1255" s="21">
        <f t="shared" ca="1" si="219"/>
        <v>0</v>
      </c>
      <c r="F1255" s="20" t="str">
        <f t="shared" ca="1" si="217"/>
        <v>Yes</v>
      </c>
      <c r="G1255" s="21">
        <f t="shared" ca="1" si="213"/>
        <v>3.0175756681696839</v>
      </c>
      <c r="H1255" s="21">
        <f t="shared" ca="1" si="214"/>
        <v>3861.4312549640676</v>
      </c>
      <c r="I1255" s="21">
        <f t="shared" ca="1" si="209"/>
        <v>3863.2771358403734</v>
      </c>
      <c r="J1255" s="20">
        <f t="shared" ca="1" si="218"/>
        <v>0</v>
      </c>
      <c r="K1255" s="20">
        <f t="shared" ca="1" si="210"/>
        <v>0</v>
      </c>
      <c r="L1255" s="44">
        <f t="shared" ca="1" si="215"/>
        <v>0</v>
      </c>
    </row>
    <row r="1256" spans="1:12" x14ac:dyDescent="0.25">
      <c r="A1256" s="20">
        <v>1248</v>
      </c>
      <c r="B1256" s="21">
        <f t="shared" ca="1" si="211"/>
        <v>5.2538562038684251</v>
      </c>
      <c r="C1256" s="21">
        <f t="shared" ca="1" si="216"/>
        <v>3866.6851111679362</v>
      </c>
      <c r="D1256" s="21">
        <f t="shared" ca="1" si="212"/>
        <v>2.0207891473988879</v>
      </c>
      <c r="E1256" s="21">
        <f t="shared" ca="1" si="219"/>
        <v>0</v>
      </c>
      <c r="F1256" s="20" t="str">
        <f t="shared" ca="1" si="217"/>
        <v>Yes</v>
      </c>
      <c r="G1256" s="21">
        <f t="shared" ca="1" si="213"/>
        <v>3.4079753275627809</v>
      </c>
      <c r="H1256" s="21">
        <f t="shared" ca="1" si="214"/>
        <v>3866.6851111679362</v>
      </c>
      <c r="I1256" s="21">
        <f t="shared" ca="1" si="209"/>
        <v>3868.7059003153349</v>
      </c>
      <c r="J1256" s="20">
        <f t="shared" ca="1" si="218"/>
        <v>0</v>
      </c>
      <c r="K1256" s="20">
        <f t="shared" ca="1" si="210"/>
        <v>0</v>
      </c>
      <c r="L1256" s="44">
        <f t="shared" ca="1" si="215"/>
        <v>0</v>
      </c>
    </row>
    <row r="1257" spans="1:12" x14ac:dyDescent="0.25">
      <c r="A1257" s="20">
        <v>1249</v>
      </c>
      <c r="B1257" s="21">
        <f t="shared" ca="1" si="211"/>
        <v>5.8021879462467103</v>
      </c>
      <c r="C1257" s="21">
        <f t="shared" ca="1" si="216"/>
        <v>3872.4872991141829</v>
      </c>
      <c r="D1257" s="21">
        <f t="shared" ca="1" si="212"/>
        <v>4.8402339074154952</v>
      </c>
      <c r="E1257" s="21">
        <f t="shared" ca="1" si="219"/>
        <v>0</v>
      </c>
      <c r="F1257" s="20" t="str">
        <f t="shared" ca="1" si="217"/>
        <v>Yes</v>
      </c>
      <c r="G1257" s="21">
        <f t="shared" ca="1" si="213"/>
        <v>3.7813987988479312</v>
      </c>
      <c r="H1257" s="21">
        <f t="shared" ca="1" si="214"/>
        <v>3872.4872991141829</v>
      </c>
      <c r="I1257" s="21">
        <f t="shared" ca="1" si="209"/>
        <v>3877.3275330215984</v>
      </c>
      <c r="J1257" s="20">
        <f t="shared" ca="1" si="218"/>
        <v>0</v>
      </c>
      <c r="K1257" s="20">
        <f t="shared" ca="1" si="210"/>
        <v>3</v>
      </c>
      <c r="L1257" s="44">
        <f t="shared" ca="1" si="215"/>
        <v>1.5</v>
      </c>
    </row>
    <row r="1258" spans="1:12" x14ac:dyDescent="0.25">
      <c r="A1258" s="20">
        <v>1250</v>
      </c>
      <c r="B1258" s="21">
        <f t="shared" ca="1" si="211"/>
        <v>0.50781818391899491</v>
      </c>
      <c r="C1258" s="21">
        <f t="shared" ca="1" si="216"/>
        <v>3872.9951172981018</v>
      </c>
      <c r="D1258" s="21">
        <f t="shared" ca="1" si="212"/>
        <v>0.85883834979709639</v>
      </c>
      <c r="E1258" s="21">
        <f t="shared" ca="1" si="219"/>
        <v>4.3324157234965242</v>
      </c>
      <c r="F1258" s="20" t="str">
        <f t="shared" ca="1" si="217"/>
        <v>No</v>
      </c>
      <c r="G1258" s="21">
        <f t="shared" ca="1" si="213"/>
        <v>0</v>
      </c>
      <c r="H1258" s="21">
        <f t="shared" ca="1" si="214"/>
        <v>3877.3275330215984</v>
      </c>
      <c r="I1258" s="21">
        <f t="shared" ca="1" si="209"/>
        <v>3878.1863713713956</v>
      </c>
      <c r="J1258" s="20">
        <f t="shared" ca="1" si="218"/>
        <v>4</v>
      </c>
      <c r="K1258" s="20">
        <f t="shared" ca="1" si="210"/>
        <v>2</v>
      </c>
      <c r="L1258" s="44">
        <f t="shared" ca="1" si="215"/>
        <v>3</v>
      </c>
    </row>
    <row r="1259" spans="1:12" x14ac:dyDescent="0.25">
      <c r="A1259" s="20">
        <v>1251</v>
      </c>
      <c r="B1259" s="21">
        <f t="shared" ca="1" si="211"/>
        <v>3.9935521835151104</v>
      </c>
      <c r="C1259" s="21">
        <f t="shared" ca="1" si="216"/>
        <v>3876.9886694816169</v>
      </c>
      <c r="D1259" s="21">
        <f t="shared" ca="1" si="212"/>
        <v>5.001056123843302</v>
      </c>
      <c r="E1259" s="21">
        <f t="shared" ca="1" si="219"/>
        <v>1.1977018897787275</v>
      </c>
      <c r="F1259" s="20" t="str">
        <f t="shared" ca="1" si="217"/>
        <v>No</v>
      </c>
      <c r="G1259" s="21">
        <f t="shared" ca="1" si="213"/>
        <v>0</v>
      </c>
      <c r="H1259" s="21">
        <f t="shared" ca="1" si="214"/>
        <v>3878.1863713713956</v>
      </c>
      <c r="I1259" s="21">
        <f t="shared" ca="1" si="209"/>
        <v>3883.1874274952388</v>
      </c>
      <c r="J1259" s="20">
        <f t="shared" ca="1" si="218"/>
        <v>3</v>
      </c>
      <c r="K1259" s="20">
        <f t="shared" ca="1" si="210"/>
        <v>2</v>
      </c>
      <c r="L1259" s="44">
        <f t="shared" ca="1" si="215"/>
        <v>2.5</v>
      </c>
    </row>
    <row r="1260" spans="1:12" x14ac:dyDescent="0.25">
      <c r="A1260" s="20">
        <v>1252</v>
      </c>
      <c r="B1260" s="21">
        <f t="shared" ca="1" si="211"/>
        <v>0.22607480292802209</v>
      </c>
      <c r="C1260" s="21">
        <f t="shared" ca="1" si="216"/>
        <v>3877.2147442845448</v>
      </c>
      <c r="D1260" s="21">
        <f t="shared" ca="1" si="212"/>
        <v>0.46106025694285735</v>
      </c>
      <c r="E1260" s="21">
        <f t="shared" ca="1" si="219"/>
        <v>5.9726832106939582</v>
      </c>
      <c r="F1260" s="20" t="str">
        <f t="shared" ca="1" si="217"/>
        <v>No</v>
      </c>
      <c r="G1260" s="21">
        <f t="shared" ca="1" si="213"/>
        <v>0</v>
      </c>
      <c r="H1260" s="21">
        <f t="shared" ca="1" si="214"/>
        <v>3883.1874274952388</v>
      </c>
      <c r="I1260" s="21">
        <f t="shared" ca="1" si="209"/>
        <v>3883.6484877521816</v>
      </c>
      <c r="J1260" s="20">
        <f t="shared" ca="1" si="218"/>
        <v>3</v>
      </c>
      <c r="K1260" s="20">
        <f t="shared" ca="1" si="210"/>
        <v>1</v>
      </c>
      <c r="L1260" s="44">
        <f t="shared" ca="1" si="215"/>
        <v>2</v>
      </c>
    </row>
    <row r="1261" spans="1:12" x14ac:dyDescent="0.25">
      <c r="A1261" s="20">
        <v>1253</v>
      </c>
      <c r="B1261" s="21">
        <f t="shared" ca="1" si="211"/>
        <v>5.4222029223037254</v>
      </c>
      <c r="C1261" s="21">
        <f t="shared" ca="1" si="216"/>
        <v>3882.6369472068486</v>
      </c>
      <c r="D1261" s="21">
        <f t="shared" ca="1" si="212"/>
        <v>3.6178058406427764</v>
      </c>
      <c r="E1261" s="21">
        <f t="shared" ca="1" si="219"/>
        <v>1.0115405453329913</v>
      </c>
      <c r="F1261" s="20" t="str">
        <f t="shared" ca="1" si="217"/>
        <v>No</v>
      </c>
      <c r="G1261" s="21">
        <f t="shared" ca="1" si="213"/>
        <v>0</v>
      </c>
      <c r="H1261" s="21">
        <f t="shared" ca="1" si="214"/>
        <v>3883.6484877521816</v>
      </c>
      <c r="I1261" s="21">
        <f t="shared" ca="1" si="209"/>
        <v>3887.2662935928242</v>
      </c>
      <c r="J1261" s="20">
        <f t="shared" ca="1" si="218"/>
        <v>2</v>
      </c>
      <c r="K1261" s="20">
        <f t="shared" ca="1" si="210"/>
        <v>1</v>
      </c>
      <c r="L1261" s="44">
        <f t="shared" ca="1" si="215"/>
        <v>1.5</v>
      </c>
    </row>
    <row r="1262" spans="1:12" x14ac:dyDescent="0.25">
      <c r="A1262" s="20">
        <v>1254</v>
      </c>
      <c r="B1262" s="21">
        <f t="shared" ca="1" si="211"/>
        <v>3.2439522422858</v>
      </c>
      <c r="C1262" s="21">
        <f t="shared" ca="1" si="216"/>
        <v>3885.8808994491346</v>
      </c>
      <c r="D1262" s="21">
        <f t="shared" ca="1" si="212"/>
        <v>6.7159654819416748</v>
      </c>
      <c r="E1262" s="21">
        <f t="shared" ca="1" si="219"/>
        <v>1.3853941436896093</v>
      </c>
      <c r="F1262" s="20" t="str">
        <f t="shared" ca="1" si="217"/>
        <v>No</v>
      </c>
      <c r="G1262" s="21">
        <f t="shared" ca="1" si="213"/>
        <v>0</v>
      </c>
      <c r="H1262" s="21">
        <f t="shared" ca="1" si="214"/>
        <v>3887.2662935928242</v>
      </c>
      <c r="I1262" s="21">
        <f t="shared" ca="1" si="209"/>
        <v>3893.9822590747658</v>
      </c>
      <c r="J1262" s="20">
        <f t="shared" ca="1" si="218"/>
        <v>2</v>
      </c>
      <c r="K1262" s="20">
        <f t="shared" ca="1" si="210"/>
        <v>3</v>
      </c>
      <c r="L1262" s="44">
        <f t="shared" ca="1" si="215"/>
        <v>2.5</v>
      </c>
    </row>
    <row r="1263" spans="1:12" x14ac:dyDescent="0.25">
      <c r="A1263" s="20">
        <v>1255</v>
      </c>
      <c r="B1263" s="21">
        <f t="shared" ca="1" si="211"/>
        <v>3.2540981412239782</v>
      </c>
      <c r="C1263" s="21">
        <f t="shared" ca="1" si="216"/>
        <v>3889.1349975903586</v>
      </c>
      <c r="D1263" s="21">
        <f t="shared" ca="1" si="212"/>
        <v>6.6281776241609229</v>
      </c>
      <c r="E1263" s="21">
        <f t="shared" ca="1" si="219"/>
        <v>4.8472614844072268</v>
      </c>
      <c r="F1263" s="20" t="str">
        <f t="shared" ca="1" si="217"/>
        <v>No</v>
      </c>
      <c r="G1263" s="21">
        <f t="shared" ca="1" si="213"/>
        <v>0</v>
      </c>
      <c r="H1263" s="21">
        <f t="shared" ca="1" si="214"/>
        <v>3893.9822590747658</v>
      </c>
      <c r="I1263" s="21">
        <f t="shared" ca="1" si="209"/>
        <v>3900.6104366989266</v>
      </c>
      <c r="J1263" s="20">
        <f t="shared" ca="1" si="218"/>
        <v>4</v>
      </c>
      <c r="K1263" s="20">
        <f t="shared" ca="1" si="210"/>
        <v>5</v>
      </c>
      <c r="L1263" s="44">
        <f t="shared" ca="1" si="215"/>
        <v>4.5</v>
      </c>
    </row>
    <row r="1264" spans="1:12" x14ac:dyDescent="0.25">
      <c r="A1264" s="20">
        <v>1256</v>
      </c>
      <c r="B1264" s="21">
        <f t="shared" ca="1" si="211"/>
        <v>0.54862967386039241</v>
      </c>
      <c r="C1264" s="21">
        <f t="shared" ca="1" si="216"/>
        <v>3889.683627264219</v>
      </c>
      <c r="D1264" s="21">
        <f t="shared" ca="1" si="212"/>
        <v>0.40339005594433475</v>
      </c>
      <c r="E1264" s="21">
        <f t="shared" ca="1" si="219"/>
        <v>10.926809434707593</v>
      </c>
      <c r="F1264" s="20" t="str">
        <f t="shared" ca="1" si="217"/>
        <v>No</v>
      </c>
      <c r="G1264" s="21">
        <f t="shared" ca="1" si="213"/>
        <v>0</v>
      </c>
      <c r="H1264" s="21">
        <f t="shared" ca="1" si="214"/>
        <v>3900.6104366989266</v>
      </c>
      <c r="I1264" s="21">
        <f t="shared" ca="1" si="209"/>
        <v>3901.0138267548709</v>
      </c>
      <c r="J1264" s="20">
        <f t="shared" ca="1" si="218"/>
        <v>6</v>
      </c>
      <c r="K1264" s="20">
        <f t="shared" ca="1" si="210"/>
        <v>5</v>
      </c>
      <c r="L1264" s="44">
        <f t="shared" ca="1" si="215"/>
        <v>5.5</v>
      </c>
    </row>
    <row r="1265" spans="1:12" x14ac:dyDescent="0.25">
      <c r="A1265" s="20">
        <v>1257</v>
      </c>
      <c r="B1265" s="21">
        <f t="shared" ca="1" si="211"/>
        <v>2.6829282500721785</v>
      </c>
      <c r="C1265" s="21">
        <f t="shared" ca="1" si="216"/>
        <v>3892.3665555142911</v>
      </c>
      <c r="D1265" s="21">
        <f t="shared" ca="1" si="212"/>
        <v>1.1060035305682119</v>
      </c>
      <c r="E1265" s="21">
        <f t="shared" ca="1" si="219"/>
        <v>8.647271240579812</v>
      </c>
      <c r="F1265" s="20" t="str">
        <f t="shared" ca="1" si="217"/>
        <v>No</v>
      </c>
      <c r="G1265" s="21">
        <f t="shared" ca="1" si="213"/>
        <v>0</v>
      </c>
      <c r="H1265" s="21">
        <f t="shared" ca="1" si="214"/>
        <v>3901.0138267548709</v>
      </c>
      <c r="I1265" s="21">
        <f t="shared" ca="1" si="209"/>
        <v>3902.1198302854391</v>
      </c>
      <c r="J1265" s="20">
        <f t="shared" ca="1" si="218"/>
        <v>6</v>
      </c>
      <c r="K1265" s="20">
        <f t="shared" ca="1" si="210"/>
        <v>5</v>
      </c>
      <c r="L1265" s="44">
        <f t="shared" ca="1" si="215"/>
        <v>5.5</v>
      </c>
    </row>
    <row r="1266" spans="1:12" x14ac:dyDescent="0.25">
      <c r="A1266" s="20">
        <v>1258</v>
      </c>
      <c r="B1266" s="21">
        <f t="shared" ca="1" si="211"/>
        <v>4.4627728500313744</v>
      </c>
      <c r="C1266" s="21">
        <f t="shared" ca="1" si="216"/>
        <v>3896.8293283643225</v>
      </c>
      <c r="D1266" s="21">
        <f t="shared" ca="1" si="212"/>
        <v>1.1990051661795591</v>
      </c>
      <c r="E1266" s="21">
        <f t="shared" ca="1" si="219"/>
        <v>5.2905019211166291</v>
      </c>
      <c r="F1266" s="20" t="str">
        <f t="shared" ca="1" si="217"/>
        <v>No</v>
      </c>
      <c r="G1266" s="21">
        <f t="shared" ca="1" si="213"/>
        <v>0</v>
      </c>
      <c r="H1266" s="21">
        <f t="shared" ca="1" si="214"/>
        <v>3902.1198302854391</v>
      </c>
      <c r="I1266" s="21">
        <f t="shared" ca="1" si="209"/>
        <v>3903.3188354516187</v>
      </c>
      <c r="J1266" s="20">
        <f t="shared" ca="1" si="218"/>
        <v>6</v>
      </c>
      <c r="K1266" s="20">
        <f t="shared" ca="1" si="210"/>
        <v>5</v>
      </c>
      <c r="L1266" s="44">
        <f t="shared" ca="1" si="215"/>
        <v>5.5</v>
      </c>
    </row>
    <row r="1267" spans="1:12" x14ac:dyDescent="0.25">
      <c r="A1267" s="20">
        <v>1259</v>
      </c>
      <c r="B1267" s="21">
        <f t="shared" ca="1" si="211"/>
        <v>1.1409959620719616</v>
      </c>
      <c r="C1267" s="21">
        <f t="shared" ca="1" si="216"/>
        <v>3897.9703243263943</v>
      </c>
      <c r="D1267" s="21">
        <f t="shared" ca="1" si="212"/>
        <v>1.2655422324211398</v>
      </c>
      <c r="E1267" s="21">
        <f t="shared" ca="1" si="219"/>
        <v>5.3485111252243769</v>
      </c>
      <c r="F1267" s="20" t="str">
        <f t="shared" ca="1" si="217"/>
        <v>No</v>
      </c>
      <c r="G1267" s="21">
        <f t="shared" ca="1" si="213"/>
        <v>0</v>
      </c>
      <c r="H1267" s="21">
        <f t="shared" ca="1" si="214"/>
        <v>3903.3188354516187</v>
      </c>
      <c r="I1267" s="21">
        <f t="shared" ca="1" si="209"/>
        <v>3904.5843776840397</v>
      </c>
      <c r="J1267" s="20">
        <f t="shared" ca="1" si="218"/>
        <v>6</v>
      </c>
      <c r="K1267" s="20">
        <f t="shared" ca="1" si="210"/>
        <v>5</v>
      </c>
      <c r="L1267" s="44">
        <f t="shared" ca="1" si="215"/>
        <v>5.5</v>
      </c>
    </row>
    <row r="1268" spans="1:12" x14ac:dyDescent="0.25">
      <c r="A1268" s="20">
        <v>1260</v>
      </c>
      <c r="B1268" s="21">
        <f t="shared" ca="1" si="211"/>
        <v>0.18318613327390601</v>
      </c>
      <c r="C1268" s="21">
        <f t="shared" ca="1" si="216"/>
        <v>3898.1535104596683</v>
      </c>
      <c r="D1268" s="21">
        <f t="shared" ca="1" si="212"/>
        <v>1.4988235155001688</v>
      </c>
      <c r="E1268" s="21">
        <f t="shared" ca="1" si="219"/>
        <v>6.4308672243714682</v>
      </c>
      <c r="F1268" s="20" t="str">
        <f t="shared" ca="1" si="217"/>
        <v>No</v>
      </c>
      <c r="G1268" s="21">
        <f t="shared" ca="1" si="213"/>
        <v>0</v>
      </c>
      <c r="H1268" s="21">
        <f t="shared" ca="1" si="214"/>
        <v>3904.5843776840397</v>
      </c>
      <c r="I1268" s="21">
        <f t="shared" ca="1" si="209"/>
        <v>3906.0832011995399</v>
      </c>
      <c r="J1268" s="20">
        <f t="shared" ca="1" si="218"/>
        <v>6</v>
      </c>
      <c r="K1268" s="20">
        <f t="shared" ca="1" si="210"/>
        <v>5</v>
      </c>
      <c r="L1268" s="44">
        <f t="shared" ca="1" si="215"/>
        <v>5.5</v>
      </c>
    </row>
    <row r="1269" spans="1:12" x14ac:dyDescent="0.25">
      <c r="A1269" s="20">
        <v>1261</v>
      </c>
      <c r="B1269" s="21">
        <f t="shared" ca="1" si="211"/>
        <v>1.2056565973439095</v>
      </c>
      <c r="C1269" s="21">
        <f t="shared" ca="1" si="216"/>
        <v>3899.3591670570122</v>
      </c>
      <c r="D1269" s="21">
        <f t="shared" ca="1" si="212"/>
        <v>4.1556307360658762</v>
      </c>
      <c r="E1269" s="21">
        <f t="shared" ca="1" si="219"/>
        <v>6.7240341425276711</v>
      </c>
      <c r="F1269" s="20" t="str">
        <f t="shared" ca="1" si="217"/>
        <v>No</v>
      </c>
      <c r="G1269" s="21">
        <f t="shared" ca="1" si="213"/>
        <v>0</v>
      </c>
      <c r="H1269" s="21">
        <f t="shared" ca="1" si="214"/>
        <v>3906.0832011995399</v>
      </c>
      <c r="I1269" s="21">
        <f t="shared" ca="1" si="209"/>
        <v>3910.238831935606</v>
      </c>
      <c r="J1269" s="20">
        <f t="shared" ca="1" si="218"/>
        <v>6</v>
      </c>
      <c r="K1269" s="20">
        <f t="shared" ca="1" si="210"/>
        <v>5</v>
      </c>
      <c r="L1269" s="44">
        <f t="shared" ca="1" si="215"/>
        <v>5.5</v>
      </c>
    </row>
    <row r="1270" spans="1:12" x14ac:dyDescent="0.25">
      <c r="A1270" s="20">
        <v>1262</v>
      </c>
      <c r="B1270" s="21">
        <f t="shared" ca="1" si="211"/>
        <v>0.53680356156208031</v>
      </c>
      <c r="C1270" s="21">
        <f t="shared" ca="1" si="216"/>
        <v>3899.8959706185742</v>
      </c>
      <c r="D1270" s="21">
        <f t="shared" ca="1" si="212"/>
        <v>0.12148683946513182</v>
      </c>
      <c r="E1270" s="21">
        <f t="shared" ca="1" si="219"/>
        <v>10.342861317031748</v>
      </c>
      <c r="F1270" s="20" t="str">
        <f t="shared" ca="1" si="217"/>
        <v>No</v>
      </c>
      <c r="G1270" s="21">
        <f t="shared" ca="1" si="213"/>
        <v>0</v>
      </c>
      <c r="H1270" s="21">
        <f t="shared" ca="1" si="214"/>
        <v>3910.238831935606</v>
      </c>
      <c r="I1270" s="21">
        <f t="shared" ca="1" si="209"/>
        <v>3910.3603187750709</v>
      </c>
      <c r="J1270" s="20">
        <f t="shared" ca="1" si="218"/>
        <v>6</v>
      </c>
      <c r="K1270" s="20">
        <f t="shared" ca="1" si="210"/>
        <v>5</v>
      </c>
      <c r="L1270" s="44">
        <f t="shared" ca="1" si="215"/>
        <v>5.5</v>
      </c>
    </row>
    <row r="1271" spans="1:12" x14ac:dyDescent="0.25">
      <c r="A1271" s="20">
        <v>1263</v>
      </c>
      <c r="B1271" s="21">
        <f t="shared" ca="1" si="211"/>
        <v>9.498142326198053E-2</v>
      </c>
      <c r="C1271" s="21">
        <f t="shared" ca="1" si="216"/>
        <v>3899.9909520418364</v>
      </c>
      <c r="D1271" s="21">
        <f t="shared" ca="1" si="212"/>
        <v>2.1463609445482366</v>
      </c>
      <c r="E1271" s="21">
        <f t="shared" ca="1" si="219"/>
        <v>10.369366733234529</v>
      </c>
      <c r="F1271" s="20" t="str">
        <f t="shared" ca="1" si="217"/>
        <v>No</v>
      </c>
      <c r="G1271" s="21">
        <f t="shared" ca="1" si="213"/>
        <v>0</v>
      </c>
      <c r="H1271" s="21">
        <f t="shared" ca="1" si="214"/>
        <v>3910.3603187750709</v>
      </c>
      <c r="I1271" s="21">
        <f t="shared" ca="1" si="209"/>
        <v>3912.5066797196191</v>
      </c>
      <c r="J1271" s="20">
        <f t="shared" ca="1" si="218"/>
        <v>6</v>
      </c>
      <c r="K1271" s="20">
        <f t="shared" ca="1" si="210"/>
        <v>5</v>
      </c>
      <c r="L1271" s="44">
        <f t="shared" ca="1" si="215"/>
        <v>5.5</v>
      </c>
    </row>
    <row r="1272" spans="1:12" x14ac:dyDescent="0.25">
      <c r="A1272" s="20">
        <v>1264</v>
      </c>
      <c r="B1272" s="21">
        <f t="shared" ca="1" si="211"/>
        <v>0.51469492947723317</v>
      </c>
      <c r="C1272" s="21">
        <f t="shared" ca="1" si="216"/>
        <v>3900.5056469713136</v>
      </c>
      <c r="D1272" s="21">
        <f t="shared" ca="1" si="212"/>
        <v>3.1251072818807861</v>
      </c>
      <c r="E1272" s="21">
        <f t="shared" ca="1" si="219"/>
        <v>12.001032748305533</v>
      </c>
      <c r="F1272" s="20" t="str">
        <f t="shared" ca="1" si="217"/>
        <v>No</v>
      </c>
      <c r="G1272" s="21">
        <f t="shared" ca="1" si="213"/>
        <v>0</v>
      </c>
      <c r="H1272" s="21">
        <f t="shared" ca="1" si="214"/>
        <v>3912.5066797196191</v>
      </c>
      <c r="I1272" s="21">
        <f t="shared" ca="1" si="209"/>
        <v>3915.6317870015</v>
      </c>
      <c r="J1272" s="20">
        <f t="shared" ca="1" si="218"/>
        <v>6</v>
      </c>
      <c r="K1272" s="20">
        <f t="shared" ca="1" si="210"/>
        <v>5</v>
      </c>
      <c r="L1272" s="44">
        <f t="shared" ca="1" si="215"/>
        <v>5.5</v>
      </c>
    </row>
    <row r="1273" spans="1:12" x14ac:dyDescent="0.25">
      <c r="A1273" s="20">
        <v>1265</v>
      </c>
      <c r="B1273" s="21">
        <f t="shared" ca="1" si="211"/>
        <v>0.30334632058761807</v>
      </c>
      <c r="C1273" s="21">
        <f t="shared" ca="1" si="216"/>
        <v>3900.8089932919011</v>
      </c>
      <c r="D1273" s="21">
        <f t="shared" ca="1" si="212"/>
        <v>1.0582693733547339</v>
      </c>
      <c r="E1273" s="21">
        <f t="shared" ca="1" si="219"/>
        <v>14.822793709598955</v>
      </c>
      <c r="F1273" s="20" t="str">
        <f t="shared" ca="1" si="217"/>
        <v>No</v>
      </c>
      <c r="G1273" s="21">
        <f t="shared" ca="1" si="213"/>
        <v>0</v>
      </c>
      <c r="H1273" s="21">
        <f t="shared" ca="1" si="214"/>
        <v>3915.6317870015</v>
      </c>
      <c r="I1273" s="21">
        <f t="shared" ca="1" si="209"/>
        <v>3916.690056374855</v>
      </c>
      <c r="J1273" s="20">
        <f t="shared" ca="1" si="218"/>
        <v>6</v>
      </c>
      <c r="K1273" s="20">
        <f t="shared" ca="1" si="210"/>
        <v>5</v>
      </c>
      <c r="L1273" s="44">
        <f t="shared" ca="1" si="215"/>
        <v>5.5</v>
      </c>
    </row>
    <row r="1274" spans="1:12" x14ac:dyDescent="0.25">
      <c r="A1274" s="20">
        <v>1266</v>
      </c>
      <c r="B1274" s="21">
        <f t="shared" ca="1" si="211"/>
        <v>5.0778829091741899</v>
      </c>
      <c r="C1274" s="21">
        <f t="shared" ca="1" si="216"/>
        <v>3905.8868762010752</v>
      </c>
      <c r="D1274" s="21">
        <f t="shared" ca="1" si="212"/>
        <v>8.8312530476910034</v>
      </c>
      <c r="E1274" s="21">
        <f t="shared" ca="1" si="219"/>
        <v>10.803180173779765</v>
      </c>
      <c r="F1274" s="20" t="str">
        <f t="shared" ca="1" si="217"/>
        <v>No</v>
      </c>
      <c r="G1274" s="21">
        <f t="shared" ca="1" si="213"/>
        <v>0</v>
      </c>
      <c r="H1274" s="21">
        <f t="shared" ca="1" si="214"/>
        <v>3916.690056374855</v>
      </c>
      <c r="I1274" s="21">
        <f t="shared" ca="1" si="209"/>
        <v>3925.521309422546</v>
      </c>
      <c r="J1274" s="20">
        <f t="shared" ca="1" si="218"/>
        <v>6</v>
      </c>
      <c r="K1274" s="20">
        <f t="shared" ca="1" si="210"/>
        <v>5</v>
      </c>
      <c r="L1274" s="44">
        <f t="shared" ca="1" si="215"/>
        <v>5.5</v>
      </c>
    </row>
    <row r="1275" spans="1:12" x14ac:dyDescent="0.25">
      <c r="A1275" s="20">
        <v>1267</v>
      </c>
      <c r="B1275" s="21">
        <f t="shared" ca="1" si="211"/>
        <v>2.9686162197045238</v>
      </c>
      <c r="C1275" s="21">
        <f t="shared" ca="1" si="216"/>
        <v>3908.8554924207797</v>
      </c>
      <c r="D1275" s="21">
        <f t="shared" ca="1" si="212"/>
        <v>1.5968283301945343</v>
      </c>
      <c r="E1275" s="21">
        <f t="shared" ca="1" si="219"/>
        <v>16.6658170017663</v>
      </c>
      <c r="F1275" s="20" t="str">
        <f t="shared" ca="1" si="217"/>
        <v>No</v>
      </c>
      <c r="G1275" s="21">
        <f t="shared" ca="1" si="213"/>
        <v>0</v>
      </c>
      <c r="H1275" s="21">
        <f t="shared" ca="1" si="214"/>
        <v>3925.521309422546</v>
      </c>
      <c r="I1275" s="21">
        <f t="shared" ca="1" si="209"/>
        <v>3927.1181377527405</v>
      </c>
      <c r="J1275" s="20">
        <f t="shared" ca="1" si="218"/>
        <v>6</v>
      </c>
      <c r="K1275" s="20">
        <f t="shared" ca="1" si="210"/>
        <v>5</v>
      </c>
      <c r="L1275" s="44">
        <f t="shared" ca="1" si="215"/>
        <v>5.5</v>
      </c>
    </row>
    <row r="1276" spans="1:12" x14ac:dyDescent="0.25">
      <c r="A1276" s="20">
        <v>1268</v>
      </c>
      <c r="B1276" s="21">
        <f t="shared" ca="1" si="211"/>
        <v>0.77295311274076417</v>
      </c>
      <c r="C1276" s="21">
        <f t="shared" ca="1" si="216"/>
        <v>3909.6284455335203</v>
      </c>
      <c r="D1276" s="21">
        <f t="shared" ca="1" si="212"/>
        <v>5.6211371090947768</v>
      </c>
      <c r="E1276" s="21">
        <f t="shared" ca="1" si="219"/>
        <v>17.48969221922016</v>
      </c>
      <c r="F1276" s="20" t="str">
        <f t="shared" ca="1" si="217"/>
        <v>No</v>
      </c>
      <c r="G1276" s="21">
        <f t="shared" ca="1" si="213"/>
        <v>0</v>
      </c>
      <c r="H1276" s="21">
        <f t="shared" ca="1" si="214"/>
        <v>3927.1181377527405</v>
      </c>
      <c r="I1276" s="21">
        <f t="shared" ca="1" si="209"/>
        <v>3932.7392748618354</v>
      </c>
      <c r="J1276" s="20">
        <f t="shared" ca="1" si="218"/>
        <v>6</v>
      </c>
      <c r="K1276" s="20">
        <f t="shared" ca="1" si="210"/>
        <v>5</v>
      </c>
      <c r="L1276" s="44">
        <f t="shared" ca="1" si="215"/>
        <v>5.5</v>
      </c>
    </row>
    <row r="1277" spans="1:12" x14ac:dyDescent="0.25">
      <c r="A1277" s="20">
        <v>1269</v>
      </c>
      <c r="B1277" s="21">
        <f t="shared" ca="1" si="211"/>
        <v>1.4399121884309458</v>
      </c>
      <c r="C1277" s="21">
        <f t="shared" ca="1" si="216"/>
        <v>3911.0683577219511</v>
      </c>
      <c r="D1277" s="21">
        <f t="shared" ca="1" si="212"/>
        <v>5.9123028523931642E-2</v>
      </c>
      <c r="E1277" s="21">
        <f t="shared" ca="1" si="219"/>
        <v>21.670917139884295</v>
      </c>
      <c r="F1277" s="20" t="str">
        <f t="shared" ca="1" si="217"/>
        <v>No</v>
      </c>
      <c r="G1277" s="21">
        <f t="shared" ca="1" si="213"/>
        <v>0</v>
      </c>
      <c r="H1277" s="21">
        <f t="shared" ca="1" si="214"/>
        <v>3932.7392748618354</v>
      </c>
      <c r="I1277" s="21">
        <f t="shared" ca="1" si="209"/>
        <v>3932.7983978903594</v>
      </c>
      <c r="J1277" s="20">
        <f t="shared" ca="1" si="218"/>
        <v>6</v>
      </c>
      <c r="K1277" s="20">
        <f t="shared" ca="1" si="210"/>
        <v>4</v>
      </c>
      <c r="L1277" s="44">
        <f t="shared" ca="1" si="215"/>
        <v>5</v>
      </c>
    </row>
    <row r="1278" spans="1:12" x14ac:dyDescent="0.25">
      <c r="A1278" s="20">
        <v>1270</v>
      </c>
      <c r="B1278" s="21">
        <f t="shared" ca="1" si="211"/>
        <v>1.042171996155705</v>
      </c>
      <c r="C1278" s="21">
        <f t="shared" ca="1" si="216"/>
        <v>3912.1105297181066</v>
      </c>
      <c r="D1278" s="21">
        <f t="shared" ca="1" si="212"/>
        <v>1.8468958785942364</v>
      </c>
      <c r="E1278" s="21">
        <f t="shared" ca="1" si="219"/>
        <v>20.68786817225282</v>
      </c>
      <c r="F1278" s="20" t="str">
        <f t="shared" ca="1" si="217"/>
        <v>No</v>
      </c>
      <c r="G1278" s="21">
        <f t="shared" ca="1" si="213"/>
        <v>0</v>
      </c>
      <c r="H1278" s="21">
        <f t="shared" ca="1" si="214"/>
        <v>3932.7983978903594</v>
      </c>
      <c r="I1278" s="21">
        <f t="shared" ca="1" si="209"/>
        <v>3934.6452937689537</v>
      </c>
      <c r="J1278" s="20">
        <f t="shared" ca="1" si="218"/>
        <v>5</v>
      </c>
      <c r="K1278" s="20">
        <f t="shared" ca="1" si="210"/>
        <v>4</v>
      </c>
      <c r="L1278" s="44">
        <f t="shared" ca="1" si="215"/>
        <v>4.5</v>
      </c>
    </row>
    <row r="1279" spans="1:12" x14ac:dyDescent="0.25">
      <c r="A1279" s="20">
        <v>1271</v>
      </c>
      <c r="B1279" s="21">
        <f t="shared" ca="1" si="211"/>
        <v>3.2809886904120948</v>
      </c>
      <c r="C1279" s="21">
        <f t="shared" ca="1" si="216"/>
        <v>3915.3915184085186</v>
      </c>
      <c r="D1279" s="21">
        <f t="shared" ca="1" si="212"/>
        <v>4.9243580921860426</v>
      </c>
      <c r="E1279" s="21">
        <f t="shared" ca="1" si="219"/>
        <v>19.253775360435156</v>
      </c>
      <c r="F1279" s="20" t="str">
        <f t="shared" ca="1" si="217"/>
        <v>No</v>
      </c>
      <c r="G1279" s="21">
        <f t="shared" ca="1" si="213"/>
        <v>0</v>
      </c>
      <c r="H1279" s="21">
        <f t="shared" ca="1" si="214"/>
        <v>3934.6452937689537</v>
      </c>
      <c r="I1279" s="21">
        <f t="shared" ca="1" si="209"/>
        <v>3939.5696518611398</v>
      </c>
      <c r="J1279" s="20">
        <f t="shared" ca="1" si="218"/>
        <v>5</v>
      </c>
      <c r="K1279" s="20">
        <f t="shared" ca="1" si="210"/>
        <v>4</v>
      </c>
      <c r="L1279" s="44">
        <f t="shared" ca="1" si="215"/>
        <v>4.5</v>
      </c>
    </row>
    <row r="1280" spans="1:12" x14ac:dyDescent="0.25">
      <c r="A1280" s="20">
        <v>1272</v>
      </c>
      <c r="B1280" s="21">
        <f t="shared" ca="1" si="211"/>
        <v>6.8451870133015422</v>
      </c>
      <c r="C1280" s="21">
        <f t="shared" ca="1" si="216"/>
        <v>3922.2367054218203</v>
      </c>
      <c r="D1280" s="21">
        <f t="shared" ca="1" si="212"/>
        <v>0.70327716852041877</v>
      </c>
      <c r="E1280" s="21">
        <f t="shared" ca="1" si="219"/>
        <v>17.332946439319585</v>
      </c>
      <c r="F1280" s="20" t="str">
        <f t="shared" ca="1" si="217"/>
        <v>No</v>
      </c>
      <c r="G1280" s="21">
        <f t="shared" ca="1" si="213"/>
        <v>0</v>
      </c>
      <c r="H1280" s="21">
        <f t="shared" ca="1" si="214"/>
        <v>3939.5696518611398</v>
      </c>
      <c r="I1280" s="21">
        <f t="shared" ca="1" si="209"/>
        <v>3940.2729290296602</v>
      </c>
      <c r="J1280" s="20">
        <f t="shared" ca="1" si="218"/>
        <v>5</v>
      </c>
      <c r="K1280" s="20">
        <f t="shared" ca="1" si="210"/>
        <v>4</v>
      </c>
      <c r="L1280" s="44">
        <f t="shared" ca="1" si="215"/>
        <v>4.5</v>
      </c>
    </row>
    <row r="1281" spans="1:12" x14ac:dyDescent="0.25">
      <c r="A1281" s="20">
        <v>1273</v>
      </c>
      <c r="B1281" s="21">
        <f t="shared" ca="1" si="211"/>
        <v>1.7911515363011159</v>
      </c>
      <c r="C1281" s="21">
        <f t="shared" ca="1" si="216"/>
        <v>3924.0278569581214</v>
      </c>
      <c r="D1281" s="21">
        <f t="shared" ca="1" si="212"/>
        <v>4.3165400474921451</v>
      </c>
      <c r="E1281" s="21">
        <f t="shared" ca="1" si="219"/>
        <v>16.245072071538743</v>
      </c>
      <c r="F1281" s="20" t="str">
        <f t="shared" ca="1" si="217"/>
        <v>No</v>
      </c>
      <c r="G1281" s="21">
        <f t="shared" ca="1" si="213"/>
        <v>0</v>
      </c>
      <c r="H1281" s="21">
        <f t="shared" ca="1" si="214"/>
        <v>3940.2729290296602</v>
      </c>
      <c r="I1281" s="21">
        <f t="shared" ca="1" si="209"/>
        <v>3944.5894690771524</v>
      </c>
      <c r="J1281" s="20">
        <f t="shared" ca="1" si="218"/>
        <v>5</v>
      </c>
      <c r="K1281" s="20">
        <f t="shared" ca="1" si="210"/>
        <v>4</v>
      </c>
      <c r="L1281" s="44">
        <f t="shared" ca="1" si="215"/>
        <v>4.5</v>
      </c>
    </row>
    <row r="1282" spans="1:12" x14ac:dyDescent="0.25">
      <c r="A1282" s="20">
        <v>1274</v>
      </c>
      <c r="B1282" s="21">
        <f t="shared" ca="1" si="211"/>
        <v>10.024732994997743</v>
      </c>
      <c r="C1282" s="21">
        <f t="shared" ca="1" si="216"/>
        <v>3934.052589953119</v>
      </c>
      <c r="D1282" s="21">
        <f t="shared" ca="1" si="212"/>
        <v>0.91152669808419706</v>
      </c>
      <c r="E1282" s="21">
        <f t="shared" ca="1" si="219"/>
        <v>10.536879124033476</v>
      </c>
      <c r="F1282" s="20" t="str">
        <f t="shared" ca="1" si="217"/>
        <v>No</v>
      </c>
      <c r="G1282" s="21">
        <f t="shared" ca="1" si="213"/>
        <v>0</v>
      </c>
      <c r="H1282" s="21">
        <f t="shared" ca="1" si="214"/>
        <v>3944.5894690771524</v>
      </c>
      <c r="I1282" s="21">
        <f t="shared" ca="1" si="209"/>
        <v>3945.5009957752368</v>
      </c>
      <c r="J1282" s="20">
        <f t="shared" ca="1" si="218"/>
        <v>5</v>
      </c>
      <c r="K1282" s="20">
        <f t="shared" ca="1" si="210"/>
        <v>4</v>
      </c>
      <c r="L1282" s="44">
        <f t="shared" ca="1" si="215"/>
        <v>4.5</v>
      </c>
    </row>
    <row r="1283" spans="1:12" x14ac:dyDescent="0.25">
      <c r="A1283" s="20">
        <v>1275</v>
      </c>
      <c r="B1283" s="21">
        <f t="shared" ca="1" si="211"/>
        <v>4.6007994172663684</v>
      </c>
      <c r="C1283" s="21">
        <f t="shared" ca="1" si="216"/>
        <v>3938.6533893703854</v>
      </c>
      <c r="D1283" s="21">
        <f t="shared" ca="1" si="212"/>
        <v>4.6187076818419053</v>
      </c>
      <c r="E1283" s="21">
        <f t="shared" ca="1" si="219"/>
        <v>6.8476064048513763</v>
      </c>
      <c r="F1283" s="20" t="str">
        <f t="shared" ca="1" si="217"/>
        <v>No</v>
      </c>
      <c r="G1283" s="21">
        <f t="shared" ca="1" si="213"/>
        <v>0</v>
      </c>
      <c r="H1283" s="21">
        <f t="shared" ca="1" si="214"/>
        <v>3945.5009957752368</v>
      </c>
      <c r="I1283" s="21">
        <f t="shared" ca="1" si="209"/>
        <v>3950.1197034570787</v>
      </c>
      <c r="J1283" s="20">
        <f t="shared" ca="1" si="218"/>
        <v>5</v>
      </c>
      <c r="K1283" s="20">
        <f t="shared" ca="1" si="210"/>
        <v>5</v>
      </c>
      <c r="L1283" s="44">
        <f t="shared" ca="1" si="215"/>
        <v>5</v>
      </c>
    </row>
    <row r="1284" spans="1:12" x14ac:dyDescent="0.25">
      <c r="A1284" s="20">
        <v>1276</v>
      </c>
      <c r="B1284" s="21">
        <f t="shared" ca="1" si="211"/>
        <v>1.0096400452398839</v>
      </c>
      <c r="C1284" s="21">
        <f t="shared" ca="1" si="216"/>
        <v>3939.6630294156253</v>
      </c>
      <c r="D1284" s="21">
        <f t="shared" ca="1" si="212"/>
        <v>7.6791388141561452</v>
      </c>
      <c r="E1284" s="21">
        <f t="shared" ca="1" si="219"/>
        <v>10.456674041453425</v>
      </c>
      <c r="F1284" s="20" t="str">
        <f t="shared" ca="1" si="217"/>
        <v>No</v>
      </c>
      <c r="G1284" s="21">
        <f t="shared" ca="1" si="213"/>
        <v>0</v>
      </c>
      <c r="H1284" s="21">
        <f t="shared" ca="1" si="214"/>
        <v>3950.1197034570787</v>
      </c>
      <c r="I1284" s="21">
        <f t="shared" ca="1" si="209"/>
        <v>3957.7988422712347</v>
      </c>
      <c r="J1284" s="20">
        <f t="shared" ca="1" si="218"/>
        <v>6</v>
      </c>
      <c r="K1284" s="20">
        <f t="shared" ca="1" si="210"/>
        <v>5</v>
      </c>
      <c r="L1284" s="44">
        <f t="shared" ca="1" si="215"/>
        <v>5.5</v>
      </c>
    </row>
    <row r="1285" spans="1:12" x14ac:dyDescent="0.25">
      <c r="A1285" s="20">
        <v>1277</v>
      </c>
      <c r="B1285" s="21">
        <f t="shared" ca="1" si="211"/>
        <v>1.0212264935268485</v>
      </c>
      <c r="C1285" s="21">
        <f t="shared" ca="1" si="216"/>
        <v>3940.6842559091519</v>
      </c>
      <c r="D1285" s="21">
        <f t="shared" ca="1" si="212"/>
        <v>1.895318183976922</v>
      </c>
      <c r="E1285" s="21">
        <f t="shared" ca="1" si="219"/>
        <v>17.114586362082719</v>
      </c>
      <c r="F1285" s="20" t="str">
        <f t="shared" ca="1" si="217"/>
        <v>No</v>
      </c>
      <c r="G1285" s="21">
        <f t="shared" ca="1" si="213"/>
        <v>0</v>
      </c>
      <c r="H1285" s="21">
        <f t="shared" ca="1" si="214"/>
        <v>3957.7988422712347</v>
      </c>
      <c r="I1285" s="21">
        <f t="shared" ca="1" si="209"/>
        <v>3959.6941604552117</v>
      </c>
      <c r="J1285" s="20">
        <f t="shared" ca="1" si="218"/>
        <v>6</v>
      </c>
      <c r="K1285" s="20">
        <f t="shared" ca="1" si="210"/>
        <v>5</v>
      </c>
      <c r="L1285" s="44">
        <f t="shared" ca="1" si="215"/>
        <v>5.5</v>
      </c>
    </row>
    <row r="1286" spans="1:12" x14ac:dyDescent="0.25">
      <c r="A1286" s="20">
        <v>1278</v>
      </c>
      <c r="B1286" s="21">
        <f t="shared" ca="1" si="211"/>
        <v>4.4163121379069512</v>
      </c>
      <c r="C1286" s="21">
        <f t="shared" ca="1" si="216"/>
        <v>3945.1005680470589</v>
      </c>
      <c r="D1286" s="21">
        <f t="shared" ca="1" si="212"/>
        <v>1.3219650830895564</v>
      </c>
      <c r="E1286" s="21">
        <f t="shared" ca="1" si="219"/>
        <v>14.593592408152745</v>
      </c>
      <c r="F1286" s="20" t="str">
        <f t="shared" ca="1" si="217"/>
        <v>No</v>
      </c>
      <c r="G1286" s="21">
        <f t="shared" ca="1" si="213"/>
        <v>0</v>
      </c>
      <c r="H1286" s="21">
        <f t="shared" ca="1" si="214"/>
        <v>3959.6941604552117</v>
      </c>
      <c r="I1286" s="21">
        <f t="shared" ca="1" si="209"/>
        <v>3961.0161255383014</v>
      </c>
      <c r="J1286" s="20">
        <f t="shared" ca="1" si="218"/>
        <v>6</v>
      </c>
      <c r="K1286" s="20">
        <f t="shared" ca="1" si="210"/>
        <v>5</v>
      </c>
      <c r="L1286" s="44">
        <f t="shared" ca="1" si="215"/>
        <v>5.5</v>
      </c>
    </row>
    <row r="1287" spans="1:12" x14ac:dyDescent="0.25">
      <c r="A1287" s="20">
        <v>1279</v>
      </c>
      <c r="B1287" s="21">
        <f t="shared" ca="1" si="211"/>
        <v>1.8118969618164955</v>
      </c>
      <c r="C1287" s="21">
        <f t="shared" ca="1" si="216"/>
        <v>3946.9124650088752</v>
      </c>
      <c r="D1287" s="21">
        <f t="shared" ca="1" si="212"/>
        <v>0.160268647244632</v>
      </c>
      <c r="E1287" s="21">
        <f t="shared" ca="1" si="219"/>
        <v>14.103660529426179</v>
      </c>
      <c r="F1287" s="20" t="str">
        <f t="shared" ca="1" si="217"/>
        <v>No</v>
      </c>
      <c r="G1287" s="21">
        <f t="shared" ca="1" si="213"/>
        <v>0</v>
      </c>
      <c r="H1287" s="21">
        <f t="shared" ca="1" si="214"/>
        <v>3961.0161255383014</v>
      </c>
      <c r="I1287" s="21">
        <f t="shared" ca="1" si="209"/>
        <v>3961.1763941855461</v>
      </c>
      <c r="J1287" s="20">
        <f t="shared" ca="1" si="218"/>
        <v>6</v>
      </c>
      <c r="K1287" s="20">
        <f t="shared" ca="1" si="210"/>
        <v>5</v>
      </c>
      <c r="L1287" s="44">
        <f t="shared" ca="1" si="215"/>
        <v>5.5</v>
      </c>
    </row>
    <row r="1288" spans="1:12" x14ac:dyDescent="0.25">
      <c r="A1288" s="20">
        <v>1280</v>
      </c>
      <c r="B1288" s="21">
        <f t="shared" ca="1" si="211"/>
        <v>0.58773802445411605</v>
      </c>
      <c r="C1288" s="21">
        <f t="shared" ca="1" si="216"/>
        <v>3947.5002030333294</v>
      </c>
      <c r="D1288" s="21">
        <f t="shared" ca="1" si="212"/>
        <v>0.35276880534833005</v>
      </c>
      <c r="E1288" s="21">
        <f t="shared" ca="1" si="219"/>
        <v>13.676191152216688</v>
      </c>
      <c r="F1288" s="20" t="str">
        <f t="shared" ca="1" si="217"/>
        <v>No</v>
      </c>
      <c r="G1288" s="21">
        <f t="shared" ca="1" si="213"/>
        <v>0</v>
      </c>
      <c r="H1288" s="21">
        <f t="shared" ca="1" si="214"/>
        <v>3961.1763941855461</v>
      </c>
      <c r="I1288" s="21">
        <f t="shared" ca="1" si="209"/>
        <v>3961.5291629908943</v>
      </c>
      <c r="J1288" s="20">
        <f t="shared" ca="1" si="218"/>
        <v>6</v>
      </c>
      <c r="K1288" s="20">
        <f t="shared" ca="1" si="210"/>
        <v>5</v>
      </c>
      <c r="L1288" s="44">
        <f t="shared" ca="1" si="215"/>
        <v>5.5</v>
      </c>
    </row>
    <row r="1289" spans="1:12" x14ac:dyDescent="0.25">
      <c r="A1289" s="20">
        <v>1281</v>
      </c>
      <c r="B1289" s="21">
        <f t="shared" ca="1" si="211"/>
        <v>0.34367109490801923</v>
      </c>
      <c r="C1289" s="21">
        <f t="shared" ca="1" si="216"/>
        <v>3947.8438741282375</v>
      </c>
      <c r="D1289" s="21">
        <f t="shared" ca="1" si="212"/>
        <v>1.3510266541736988</v>
      </c>
      <c r="E1289" s="21">
        <f t="shared" ca="1" si="219"/>
        <v>13.685288862656762</v>
      </c>
      <c r="F1289" s="20" t="str">
        <f t="shared" ca="1" si="217"/>
        <v>No</v>
      </c>
      <c r="G1289" s="21">
        <f t="shared" ca="1" si="213"/>
        <v>0</v>
      </c>
      <c r="H1289" s="21">
        <f t="shared" ca="1" si="214"/>
        <v>3961.5291629908943</v>
      </c>
      <c r="I1289" s="21">
        <f t="shared" ref="I1289:I1352" ca="1" si="220">$H1289+$D1289</f>
        <v>3962.8801896450682</v>
      </c>
      <c r="J1289" s="20">
        <f t="shared" ca="1" si="218"/>
        <v>6</v>
      </c>
      <c r="K1289" s="20">
        <f t="shared" ref="K1289:K1352" ca="1" si="221">IF($I1289&lt;=$C1290,0,IF($I1289&lt;=$C1291,1,IF($I1289&lt;=$C1292,2,IF($I1289&lt;=$C1293,3,IF($I1289&lt;=$C1294,4,5)))))</f>
        <v>4</v>
      </c>
      <c r="L1289" s="44">
        <f t="shared" ca="1" si="215"/>
        <v>5</v>
      </c>
    </row>
    <row r="1290" spans="1:12" x14ac:dyDescent="0.25">
      <c r="A1290" s="20">
        <v>1282</v>
      </c>
      <c r="B1290" s="21">
        <f t="shared" ref="B1290:B1353" ca="1" si="222">-LN(RAND())/$D$4</f>
        <v>1.9951231385012469</v>
      </c>
      <c r="C1290" s="21">
        <f t="shared" ca="1" si="216"/>
        <v>3949.8389972667387</v>
      </c>
      <c r="D1290" s="21">
        <f t="shared" ref="D1290:D1353" ca="1" si="223">-LN(RAND())/$D$6</f>
        <v>0.45216903487270466</v>
      </c>
      <c r="E1290" s="21">
        <f t="shared" ca="1" si="219"/>
        <v>13.04119237832947</v>
      </c>
      <c r="F1290" s="20" t="str">
        <f t="shared" ca="1" si="217"/>
        <v>No</v>
      </c>
      <c r="G1290" s="21">
        <f t="shared" ref="G1290:G1353" ca="1" si="224">IF($I1289&lt;=$C1290,$C1290-$I1289,0)</f>
        <v>0</v>
      </c>
      <c r="H1290" s="21">
        <f t="shared" ref="H1290:H1353" ca="1" si="225">IF($I1289&lt;=$C1290,$C1290,$I1289)</f>
        <v>3962.8801896450682</v>
      </c>
      <c r="I1290" s="21">
        <f t="shared" ca="1" si="220"/>
        <v>3963.3323586799411</v>
      </c>
      <c r="J1290" s="20">
        <f t="shared" ca="1" si="218"/>
        <v>5</v>
      </c>
      <c r="K1290" s="20">
        <f t="shared" ca="1" si="221"/>
        <v>3</v>
      </c>
      <c r="L1290" s="44">
        <f t="shared" ref="L1290:L1353" ca="1" si="226">(J1290+K1290)/2</f>
        <v>4</v>
      </c>
    </row>
    <row r="1291" spans="1:12" x14ac:dyDescent="0.25">
      <c r="A1291" s="20">
        <v>1283</v>
      </c>
      <c r="B1291" s="21">
        <f t="shared" ca="1" si="222"/>
        <v>1.6185370240656309</v>
      </c>
      <c r="C1291" s="21">
        <f t="shared" ref="C1291:C1354" ca="1" si="227">$C1290+$B1291</f>
        <v>3951.4575342908042</v>
      </c>
      <c r="D1291" s="21">
        <f t="shared" ca="1" si="223"/>
        <v>0.67663029009413356</v>
      </c>
      <c r="E1291" s="21">
        <f t="shared" ca="1" si="219"/>
        <v>11.874824389136847</v>
      </c>
      <c r="F1291" s="20" t="str">
        <f t="shared" ref="F1291:F1354" ca="1" si="228">IF(E1291=0,"Yes","No")</f>
        <v>No</v>
      </c>
      <c r="G1291" s="21">
        <f t="shared" ca="1" si="224"/>
        <v>0</v>
      </c>
      <c r="H1291" s="21">
        <f t="shared" ca="1" si="225"/>
        <v>3963.3323586799411</v>
      </c>
      <c r="I1291" s="21">
        <f t="shared" ca="1" si="220"/>
        <v>3964.0089889700353</v>
      </c>
      <c r="J1291" s="20">
        <f t="shared" ref="J1291:J1354" ca="1" si="229">IF($I1290&lt;=$C1291,0,$K1290+1)</f>
        <v>4</v>
      </c>
      <c r="K1291" s="20">
        <f t="shared" ca="1" si="221"/>
        <v>2</v>
      </c>
      <c r="L1291" s="44">
        <f t="shared" ca="1" si="226"/>
        <v>3</v>
      </c>
    </row>
    <row r="1292" spans="1:12" x14ac:dyDescent="0.25">
      <c r="A1292" s="20">
        <v>1284</v>
      </c>
      <c r="B1292" s="21">
        <f t="shared" ca="1" si="222"/>
        <v>0.77472963569219955</v>
      </c>
      <c r="C1292" s="21">
        <f t="shared" ca="1" si="227"/>
        <v>3952.2322639264962</v>
      </c>
      <c r="D1292" s="21">
        <f t="shared" ca="1" si="223"/>
        <v>2.8878276227020949</v>
      </c>
      <c r="E1292" s="21">
        <f t="shared" ref="E1292:E1355" ca="1" si="230">IF($I1291&lt;=$C1292,0,$I1291-$C1292)</f>
        <v>11.776725043539045</v>
      </c>
      <c r="F1292" s="20" t="str">
        <f t="shared" ca="1" si="228"/>
        <v>No</v>
      </c>
      <c r="G1292" s="21">
        <f t="shared" ca="1" si="224"/>
        <v>0</v>
      </c>
      <c r="H1292" s="21">
        <f t="shared" ca="1" si="225"/>
        <v>3964.0089889700353</v>
      </c>
      <c r="I1292" s="21">
        <f t="shared" ca="1" si="220"/>
        <v>3966.8968165927372</v>
      </c>
      <c r="J1292" s="20">
        <f t="shared" ca="1" si="229"/>
        <v>3</v>
      </c>
      <c r="K1292" s="20">
        <f t="shared" ca="1" si="221"/>
        <v>1</v>
      </c>
      <c r="L1292" s="44">
        <f t="shared" ca="1" si="226"/>
        <v>2</v>
      </c>
    </row>
    <row r="1293" spans="1:12" x14ac:dyDescent="0.25">
      <c r="A1293" s="20">
        <v>1285</v>
      </c>
      <c r="B1293" s="21">
        <f t="shared" ca="1" si="222"/>
        <v>6.3108168137000638</v>
      </c>
      <c r="C1293" s="21">
        <f t="shared" ca="1" si="227"/>
        <v>3958.5430807401963</v>
      </c>
      <c r="D1293" s="21">
        <f t="shared" ca="1" si="223"/>
        <v>0.47678526662157916</v>
      </c>
      <c r="E1293" s="21">
        <f t="shared" ca="1" si="230"/>
        <v>8.3537358525409218</v>
      </c>
      <c r="F1293" s="20" t="str">
        <f t="shared" ca="1" si="228"/>
        <v>No</v>
      </c>
      <c r="G1293" s="21">
        <f t="shared" ca="1" si="224"/>
        <v>0</v>
      </c>
      <c r="H1293" s="21">
        <f t="shared" ca="1" si="225"/>
        <v>3966.8968165927372</v>
      </c>
      <c r="I1293" s="21">
        <f t="shared" ca="1" si="220"/>
        <v>3967.3736018593586</v>
      </c>
      <c r="J1293" s="20">
        <f t="shared" ca="1" si="229"/>
        <v>2</v>
      </c>
      <c r="K1293" s="20">
        <f t="shared" ca="1" si="221"/>
        <v>0</v>
      </c>
      <c r="L1293" s="44">
        <f t="shared" ca="1" si="226"/>
        <v>1</v>
      </c>
    </row>
    <row r="1294" spans="1:12" x14ac:dyDescent="0.25">
      <c r="A1294" s="20">
        <v>1286</v>
      </c>
      <c r="B1294" s="21">
        <f t="shared" ca="1" si="222"/>
        <v>9.388797008254091</v>
      </c>
      <c r="C1294" s="21">
        <f t="shared" ca="1" si="227"/>
        <v>3967.9318777484505</v>
      </c>
      <c r="D1294" s="21">
        <f t="shared" ca="1" si="223"/>
        <v>0.15597679933184191</v>
      </c>
      <c r="E1294" s="21">
        <f t="shared" ca="1" si="230"/>
        <v>0</v>
      </c>
      <c r="F1294" s="20" t="str">
        <f t="shared" ca="1" si="228"/>
        <v>Yes</v>
      </c>
      <c r="G1294" s="21">
        <f t="shared" ca="1" si="224"/>
        <v>0.55827588909187398</v>
      </c>
      <c r="H1294" s="21">
        <f t="shared" ca="1" si="225"/>
        <v>3967.9318777484505</v>
      </c>
      <c r="I1294" s="21">
        <f t="shared" ca="1" si="220"/>
        <v>3968.0878545477822</v>
      </c>
      <c r="J1294" s="20">
        <f t="shared" ca="1" si="229"/>
        <v>0</v>
      </c>
      <c r="K1294" s="20">
        <f t="shared" ca="1" si="221"/>
        <v>0</v>
      </c>
      <c r="L1294" s="44">
        <f t="shared" ca="1" si="226"/>
        <v>0</v>
      </c>
    </row>
    <row r="1295" spans="1:12" x14ac:dyDescent="0.25">
      <c r="A1295" s="20">
        <v>1287</v>
      </c>
      <c r="B1295" s="21">
        <f t="shared" ca="1" si="222"/>
        <v>0.41473188630812896</v>
      </c>
      <c r="C1295" s="21">
        <f t="shared" ca="1" si="227"/>
        <v>3968.3466096347588</v>
      </c>
      <c r="D1295" s="21">
        <f t="shared" ca="1" si="223"/>
        <v>0.20145940125756301</v>
      </c>
      <c r="E1295" s="21">
        <f t="shared" ca="1" si="230"/>
        <v>0</v>
      </c>
      <c r="F1295" s="20" t="str">
        <f t="shared" ca="1" si="228"/>
        <v>Yes</v>
      </c>
      <c r="G1295" s="21">
        <f t="shared" ca="1" si="224"/>
        <v>0.25875508697663463</v>
      </c>
      <c r="H1295" s="21">
        <f t="shared" ca="1" si="225"/>
        <v>3968.3466096347588</v>
      </c>
      <c r="I1295" s="21">
        <f t="shared" ca="1" si="220"/>
        <v>3968.5480690360164</v>
      </c>
      <c r="J1295" s="20">
        <f t="shared" ca="1" si="229"/>
        <v>0</v>
      </c>
      <c r="K1295" s="20">
        <f t="shared" ca="1" si="221"/>
        <v>0</v>
      </c>
      <c r="L1295" s="44">
        <f t="shared" ca="1" si="226"/>
        <v>0</v>
      </c>
    </row>
    <row r="1296" spans="1:12" x14ac:dyDescent="0.25">
      <c r="A1296" s="20">
        <v>1288</v>
      </c>
      <c r="B1296" s="21">
        <f t="shared" ca="1" si="222"/>
        <v>9.2196828418372565</v>
      </c>
      <c r="C1296" s="21">
        <f t="shared" ca="1" si="227"/>
        <v>3977.5662924765961</v>
      </c>
      <c r="D1296" s="21">
        <f t="shared" ca="1" si="223"/>
        <v>1.6933118637322093</v>
      </c>
      <c r="E1296" s="21">
        <f t="shared" ca="1" si="230"/>
        <v>0</v>
      </c>
      <c r="F1296" s="20" t="str">
        <f t="shared" ca="1" si="228"/>
        <v>Yes</v>
      </c>
      <c r="G1296" s="21">
        <f t="shared" ca="1" si="224"/>
        <v>9.0182234405797317</v>
      </c>
      <c r="H1296" s="21">
        <f t="shared" ca="1" si="225"/>
        <v>3977.5662924765961</v>
      </c>
      <c r="I1296" s="21">
        <f t="shared" ca="1" si="220"/>
        <v>3979.2596043403282</v>
      </c>
      <c r="J1296" s="20">
        <f t="shared" ca="1" si="229"/>
        <v>0</v>
      </c>
      <c r="K1296" s="20">
        <f t="shared" ca="1" si="221"/>
        <v>0</v>
      </c>
      <c r="L1296" s="44">
        <f t="shared" ca="1" si="226"/>
        <v>0</v>
      </c>
    </row>
    <row r="1297" spans="1:12" x14ac:dyDescent="0.25">
      <c r="A1297" s="20">
        <v>1289</v>
      </c>
      <c r="B1297" s="21">
        <f t="shared" ca="1" si="222"/>
        <v>2.0350944550522185</v>
      </c>
      <c r="C1297" s="21">
        <f t="shared" ca="1" si="227"/>
        <v>3979.6013869316484</v>
      </c>
      <c r="D1297" s="21">
        <f t="shared" ca="1" si="223"/>
        <v>1.5465102701406392</v>
      </c>
      <c r="E1297" s="21">
        <f t="shared" ca="1" si="230"/>
        <v>0</v>
      </c>
      <c r="F1297" s="20" t="str">
        <f t="shared" ca="1" si="228"/>
        <v>Yes</v>
      </c>
      <c r="G1297" s="21">
        <f t="shared" ca="1" si="224"/>
        <v>0.34178259132022504</v>
      </c>
      <c r="H1297" s="21">
        <f t="shared" ca="1" si="225"/>
        <v>3979.6013869316484</v>
      </c>
      <c r="I1297" s="21">
        <f t="shared" ca="1" si="220"/>
        <v>3981.147897201789</v>
      </c>
      <c r="J1297" s="20">
        <f t="shared" ca="1" si="229"/>
        <v>0</v>
      </c>
      <c r="K1297" s="20">
        <f t="shared" ca="1" si="221"/>
        <v>0</v>
      </c>
      <c r="L1297" s="44">
        <f t="shared" ca="1" si="226"/>
        <v>0</v>
      </c>
    </row>
    <row r="1298" spans="1:12" x14ac:dyDescent="0.25">
      <c r="A1298" s="20">
        <v>1290</v>
      </c>
      <c r="B1298" s="21">
        <f t="shared" ca="1" si="222"/>
        <v>3.3427716999716068</v>
      </c>
      <c r="C1298" s="21">
        <f t="shared" ca="1" si="227"/>
        <v>3982.9441586316202</v>
      </c>
      <c r="D1298" s="21">
        <f t="shared" ca="1" si="223"/>
        <v>9.5168896326529251E-2</v>
      </c>
      <c r="E1298" s="21">
        <f t="shared" ca="1" si="230"/>
        <v>0</v>
      </c>
      <c r="F1298" s="20" t="str">
        <f t="shared" ca="1" si="228"/>
        <v>Yes</v>
      </c>
      <c r="G1298" s="21">
        <f t="shared" ca="1" si="224"/>
        <v>1.7962614298312474</v>
      </c>
      <c r="H1298" s="21">
        <f t="shared" ca="1" si="225"/>
        <v>3982.9441586316202</v>
      </c>
      <c r="I1298" s="21">
        <f t="shared" ca="1" si="220"/>
        <v>3983.0393275279466</v>
      </c>
      <c r="J1298" s="20">
        <f t="shared" ca="1" si="229"/>
        <v>0</v>
      </c>
      <c r="K1298" s="20">
        <f t="shared" ca="1" si="221"/>
        <v>0</v>
      </c>
      <c r="L1298" s="44">
        <f t="shared" ca="1" si="226"/>
        <v>0</v>
      </c>
    </row>
    <row r="1299" spans="1:12" x14ac:dyDescent="0.25">
      <c r="A1299" s="20">
        <v>1291</v>
      </c>
      <c r="B1299" s="21">
        <f t="shared" ca="1" si="222"/>
        <v>2.5243395026219271</v>
      </c>
      <c r="C1299" s="21">
        <f t="shared" ca="1" si="227"/>
        <v>3985.4684981342421</v>
      </c>
      <c r="D1299" s="21">
        <f t="shared" ca="1" si="223"/>
        <v>3.8525206228729378</v>
      </c>
      <c r="E1299" s="21">
        <f t="shared" ca="1" si="230"/>
        <v>0</v>
      </c>
      <c r="F1299" s="20" t="str">
        <f t="shared" ca="1" si="228"/>
        <v>Yes</v>
      </c>
      <c r="G1299" s="21">
        <f t="shared" ca="1" si="224"/>
        <v>2.429170606295429</v>
      </c>
      <c r="H1299" s="21">
        <f t="shared" ca="1" si="225"/>
        <v>3985.4684981342421</v>
      </c>
      <c r="I1299" s="21">
        <f t="shared" ca="1" si="220"/>
        <v>3989.3210187571149</v>
      </c>
      <c r="J1299" s="20">
        <f t="shared" ca="1" si="229"/>
        <v>0</v>
      </c>
      <c r="K1299" s="20">
        <f t="shared" ca="1" si="221"/>
        <v>1</v>
      </c>
      <c r="L1299" s="44">
        <f t="shared" ca="1" si="226"/>
        <v>0.5</v>
      </c>
    </row>
    <row r="1300" spans="1:12" x14ac:dyDescent="0.25">
      <c r="A1300" s="20">
        <v>1292</v>
      </c>
      <c r="B1300" s="21">
        <f t="shared" ca="1" si="222"/>
        <v>2.7083498891651279</v>
      </c>
      <c r="C1300" s="21">
        <f t="shared" ca="1" si="227"/>
        <v>3988.1768480234073</v>
      </c>
      <c r="D1300" s="21">
        <f t="shared" ca="1" si="223"/>
        <v>1.544108721323207</v>
      </c>
      <c r="E1300" s="21">
        <f t="shared" ca="1" si="230"/>
        <v>1.1441707337075968</v>
      </c>
      <c r="F1300" s="20" t="str">
        <f t="shared" ca="1" si="228"/>
        <v>No</v>
      </c>
      <c r="G1300" s="21">
        <f t="shared" ca="1" si="224"/>
        <v>0</v>
      </c>
      <c r="H1300" s="21">
        <f t="shared" ca="1" si="225"/>
        <v>3989.3210187571149</v>
      </c>
      <c r="I1300" s="21">
        <f t="shared" ca="1" si="220"/>
        <v>3990.8651274784379</v>
      </c>
      <c r="J1300" s="20">
        <f t="shared" ca="1" si="229"/>
        <v>2</v>
      </c>
      <c r="K1300" s="20">
        <f t="shared" ca="1" si="221"/>
        <v>0</v>
      </c>
      <c r="L1300" s="44">
        <f t="shared" ca="1" si="226"/>
        <v>1</v>
      </c>
    </row>
    <row r="1301" spans="1:12" x14ac:dyDescent="0.25">
      <c r="A1301" s="20">
        <v>1293</v>
      </c>
      <c r="B1301" s="21">
        <f t="shared" ca="1" si="222"/>
        <v>3.2691053179236333</v>
      </c>
      <c r="C1301" s="21">
        <f t="shared" ca="1" si="227"/>
        <v>3991.445953341331</v>
      </c>
      <c r="D1301" s="21">
        <f t="shared" ca="1" si="223"/>
        <v>2.4563430799960639</v>
      </c>
      <c r="E1301" s="21">
        <f t="shared" ca="1" si="230"/>
        <v>0</v>
      </c>
      <c r="F1301" s="20" t="str">
        <f t="shared" ca="1" si="228"/>
        <v>Yes</v>
      </c>
      <c r="G1301" s="21">
        <f t="shared" ca="1" si="224"/>
        <v>0.58082586289310711</v>
      </c>
      <c r="H1301" s="21">
        <f t="shared" ca="1" si="225"/>
        <v>3991.445953341331</v>
      </c>
      <c r="I1301" s="21">
        <f t="shared" ca="1" si="220"/>
        <v>3993.9022964213273</v>
      </c>
      <c r="J1301" s="20">
        <f t="shared" ca="1" si="229"/>
        <v>0</v>
      </c>
      <c r="K1301" s="20">
        <f t="shared" ca="1" si="221"/>
        <v>2</v>
      </c>
      <c r="L1301" s="44">
        <f t="shared" ca="1" si="226"/>
        <v>1</v>
      </c>
    </row>
    <row r="1302" spans="1:12" x14ac:dyDescent="0.25">
      <c r="A1302" s="20">
        <v>1294</v>
      </c>
      <c r="B1302" s="21">
        <f t="shared" ca="1" si="222"/>
        <v>0.80528694092314068</v>
      </c>
      <c r="C1302" s="21">
        <f t="shared" ca="1" si="227"/>
        <v>3992.251240282254</v>
      </c>
      <c r="D1302" s="21">
        <f t="shared" ca="1" si="223"/>
        <v>1.5230116819822463</v>
      </c>
      <c r="E1302" s="21">
        <f t="shared" ca="1" si="230"/>
        <v>1.6510561390732619</v>
      </c>
      <c r="F1302" s="20" t="str">
        <f t="shared" ca="1" si="228"/>
        <v>No</v>
      </c>
      <c r="G1302" s="21">
        <f t="shared" ca="1" si="224"/>
        <v>0</v>
      </c>
      <c r="H1302" s="21">
        <f t="shared" ca="1" si="225"/>
        <v>3993.9022964213273</v>
      </c>
      <c r="I1302" s="21">
        <f t="shared" ca="1" si="220"/>
        <v>3995.4253081033094</v>
      </c>
      <c r="J1302" s="20">
        <f t="shared" ca="1" si="229"/>
        <v>3</v>
      </c>
      <c r="K1302" s="20">
        <f t="shared" ca="1" si="221"/>
        <v>1</v>
      </c>
      <c r="L1302" s="44">
        <f t="shared" ca="1" si="226"/>
        <v>2</v>
      </c>
    </row>
    <row r="1303" spans="1:12" x14ac:dyDescent="0.25">
      <c r="A1303" s="20">
        <v>1295</v>
      </c>
      <c r="B1303" s="21">
        <f t="shared" ca="1" si="222"/>
        <v>0.73787207081883122</v>
      </c>
      <c r="C1303" s="21">
        <f t="shared" ca="1" si="227"/>
        <v>3992.9891123530729</v>
      </c>
      <c r="D1303" s="21">
        <f t="shared" ca="1" si="223"/>
        <v>2.693731136888097</v>
      </c>
      <c r="E1303" s="21">
        <f t="shared" ca="1" si="230"/>
        <v>2.436195750236493</v>
      </c>
      <c r="F1303" s="20" t="str">
        <f t="shared" ca="1" si="228"/>
        <v>No</v>
      </c>
      <c r="G1303" s="21">
        <f t="shared" ca="1" si="224"/>
        <v>0</v>
      </c>
      <c r="H1303" s="21">
        <f t="shared" ca="1" si="225"/>
        <v>3995.4253081033094</v>
      </c>
      <c r="I1303" s="21">
        <f t="shared" ca="1" si="220"/>
        <v>3998.1190392401973</v>
      </c>
      <c r="J1303" s="20">
        <f t="shared" ca="1" si="229"/>
        <v>2</v>
      </c>
      <c r="K1303" s="20">
        <f t="shared" ca="1" si="221"/>
        <v>1</v>
      </c>
      <c r="L1303" s="44">
        <f t="shared" ca="1" si="226"/>
        <v>1.5</v>
      </c>
    </row>
    <row r="1304" spans="1:12" x14ac:dyDescent="0.25">
      <c r="A1304" s="20">
        <v>1296</v>
      </c>
      <c r="B1304" s="21">
        <f t="shared" ca="1" si="222"/>
        <v>3.4072464210463207</v>
      </c>
      <c r="C1304" s="21">
        <f t="shared" ca="1" si="227"/>
        <v>3996.3963587741191</v>
      </c>
      <c r="D1304" s="21">
        <f t="shared" ca="1" si="223"/>
        <v>2.0080331480303557</v>
      </c>
      <c r="E1304" s="21">
        <f t="shared" ca="1" si="230"/>
        <v>1.7226804660781454</v>
      </c>
      <c r="F1304" s="20" t="str">
        <f t="shared" ca="1" si="228"/>
        <v>No</v>
      </c>
      <c r="G1304" s="21">
        <f t="shared" ca="1" si="224"/>
        <v>0</v>
      </c>
      <c r="H1304" s="21">
        <f t="shared" ca="1" si="225"/>
        <v>3998.1190392401973</v>
      </c>
      <c r="I1304" s="21">
        <f t="shared" ca="1" si="220"/>
        <v>4000.1270723882276</v>
      </c>
      <c r="J1304" s="20">
        <f t="shared" ca="1" si="229"/>
        <v>2</v>
      </c>
      <c r="K1304" s="20">
        <f t="shared" ca="1" si="221"/>
        <v>0</v>
      </c>
      <c r="L1304" s="44">
        <f t="shared" ca="1" si="226"/>
        <v>1</v>
      </c>
    </row>
    <row r="1305" spans="1:12" x14ac:dyDescent="0.25">
      <c r="A1305" s="20">
        <v>1297</v>
      </c>
      <c r="B1305" s="21">
        <f t="shared" ca="1" si="222"/>
        <v>5.8992674962958249</v>
      </c>
      <c r="C1305" s="21">
        <f t="shared" ca="1" si="227"/>
        <v>4002.2956262704151</v>
      </c>
      <c r="D1305" s="21">
        <f t="shared" ca="1" si="223"/>
        <v>1.755661011351265</v>
      </c>
      <c r="E1305" s="21">
        <f t="shared" ca="1" si="230"/>
        <v>0</v>
      </c>
      <c r="F1305" s="20" t="str">
        <f t="shared" ca="1" si="228"/>
        <v>Yes</v>
      </c>
      <c r="G1305" s="21">
        <f t="shared" ca="1" si="224"/>
        <v>2.1685538821875525</v>
      </c>
      <c r="H1305" s="21">
        <f t="shared" ca="1" si="225"/>
        <v>4002.2956262704151</v>
      </c>
      <c r="I1305" s="21">
        <f t="shared" ca="1" si="220"/>
        <v>4004.0512872817662</v>
      </c>
      <c r="J1305" s="20">
        <f t="shared" ca="1" si="229"/>
        <v>0</v>
      </c>
      <c r="K1305" s="20">
        <f t="shared" ca="1" si="221"/>
        <v>2</v>
      </c>
      <c r="L1305" s="44">
        <f t="shared" ca="1" si="226"/>
        <v>1</v>
      </c>
    </row>
    <row r="1306" spans="1:12" x14ac:dyDescent="0.25">
      <c r="A1306" s="20">
        <v>1298</v>
      </c>
      <c r="B1306" s="21">
        <f t="shared" ca="1" si="222"/>
        <v>0.21626447847440786</v>
      </c>
      <c r="C1306" s="21">
        <f t="shared" ca="1" si="227"/>
        <v>4002.5118907488895</v>
      </c>
      <c r="D1306" s="21">
        <f t="shared" ca="1" si="223"/>
        <v>0.35787089068401257</v>
      </c>
      <c r="E1306" s="21">
        <f t="shared" ca="1" si="230"/>
        <v>1.5393965328767081</v>
      </c>
      <c r="F1306" s="20" t="str">
        <f t="shared" ca="1" si="228"/>
        <v>No</v>
      </c>
      <c r="G1306" s="21">
        <f t="shared" ca="1" si="224"/>
        <v>0</v>
      </c>
      <c r="H1306" s="21">
        <f t="shared" ca="1" si="225"/>
        <v>4004.0512872817662</v>
      </c>
      <c r="I1306" s="21">
        <f t="shared" ca="1" si="220"/>
        <v>4004.4091581724501</v>
      </c>
      <c r="J1306" s="20">
        <f t="shared" ca="1" si="229"/>
        <v>3</v>
      </c>
      <c r="K1306" s="20">
        <f t="shared" ca="1" si="221"/>
        <v>2</v>
      </c>
      <c r="L1306" s="44">
        <f t="shared" ca="1" si="226"/>
        <v>2.5</v>
      </c>
    </row>
    <row r="1307" spans="1:12" x14ac:dyDescent="0.25">
      <c r="A1307" s="20">
        <v>1299</v>
      </c>
      <c r="B1307" s="21">
        <f t="shared" ca="1" si="222"/>
        <v>0.19612859690160694</v>
      </c>
      <c r="C1307" s="21">
        <f t="shared" ca="1" si="227"/>
        <v>4002.7080193457909</v>
      </c>
      <c r="D1307" s="21">
        <f t="shared" ca="1" si="223"/>
        <v>0.88538780814735851</v>
      </c>
      <c r="E1307" s="21">
        <f t="shared" ca="1" si="230"/>
        <v>1.7011388266591894</v>
      </c>
      <c r="F1307" s="20" t="str">
        <f t="shared" ca="1" si="228"/>
        <v>No</v>
      </c>
      <c r="G1307" s="21">
        <f t="shared" ca="1" si="224"/>
        <v>0</v>
      </c>
      <c r="H1307" s="21">
        <f t="shared" ca="1" si="225"/>
        <v>4004.4091581724501</v>
      </c>
      <c r="I1307" s="21">
        <f t="shared" ca="1" si="220"/>
        <v>4005.2945459805974</v>
      </c>
      <c r="J1307" s="20">
        <f t="shared" ca="1" si="229"/>
        <v>3</v>
      </c>
      <c r="K1307" s="20">
        <f t="shared" ca="1" si="221"/>
        <v>1</v>
      </c>
      <c r="L1307" s="44">
        <f t="shared" ca="1" si="226"/>
        <v>2</v>
      </c>
    </row>
    <row r="1308" spans="1:12" x14ac:dyDescent="0.25">
      <c r="A1308" s="20">
        <v>1300</v>
      </c>
      <c r="B1308" s="21">
        <f t="shared" ca="1" si="222"/>
        <v>1.3777451030000762</v>
      </c>
      <c r="C1308" s="21">
        <f t="shared" ca="1" si="227"/>
        <v>4004.085764448791</v>
      </c>
      <c r="D1308" s="21">
        <f t="shared" ca="1" si="223"/>
        <v>0.53326797970434658</v>
      </c>
      <c r="E1308" s="21">
        <f t="shared" ca="1" si="230"/>
        <v>1.2087815318063804</v>
      </c>
      <c r="F1308" s="20" t="str">
        <f t="shared" ca="1" si="228"/>
        <v>No</v>
      </c>
      <c r="G1308" s="21">
        <f t="shared" ca="1" si="224"/>
        <v>0</v>
      </c>
      <c r="H1308" s="21">
        <f t="shared" ca="1" si="225"/>
        <v>4005.2945459805974</v>
      </c>
      <c r="I1308" s="21">
        <f t="shared" ca="1" si="220"/>
        <v>4005.8278139603017</v>
      </c>
      <c r="J1308" s="20">
        <f t="shared" ca="1" si="229"/>
        <v>2</v>
      </c>
      <c r="K1308" s="20">
        <f t="shared" ca="1" si="221"/>
        <v>1</v>
      </c>
      <c r="L1308" s="44">
        <f t="shared" ca="1" si="226"/>
        <v>1.5</v>
      </c>
    </row>
    <row r="1309" spans="1:12" x14ac:dyDescent="0.25">
      <c r="A1309" s="20">
        <v>1301</v>
      </c>
      <c r="B1309" s="21">
        <f t="shared" ca="1" si="222"/>
        <v>1.6049545243884911</v>
      </c>
      <c r="C1309" s="21">
        <f t="shared" ca="1" si="227"/>
        <v>4005.6907189731796</v>
      </c>
      <c r="D1309" s="21">
        <f t="shared" ca="1" si="223"/>
        <v>2.2558696008225532</v>
      </c>
      <c r="E1309" s="21">
        <f t="shared" ca="1" si="230"/>
        <v>0.13709498712205459</v>
      </c>
      <c r="F1309" s="20" t="str">
        <f t="shared" ca="1" si="228"/>
        <v>No</v>
      </c>
      <c r="G1309" s="21">
        <f t="shared" ca="1" si="224"/>
        <v>0</v>
      </c>
      <c r="H1309" s="21">
        <f t="shared" ca="1" si="225"/>
        <v>4005.8278139603017</v>
      </c>
      <c r="I1309" s="21">
        <f t="shared" ca="1" si="220"/>
        <v>4008.0836835611244</v>
      </c>
      <c r="J1309" s="20">
        <f t="shared" ca="1" si="229"/>
        <v>2</v>
      </c>
      <c r="K1309" s="20">
        <f t="shared" ca="1" si="221"/>
        <v>1</v>
      </c>
      <c r="L1309" s="44">
        <f t="shared" ca="1" si="226"/>
        <v>1.5</v>
      </c>
    </row>
    <row r="1310" spans="1:12" x14ac:dyDescent="0.25">
      <c r="A1310" s="20">
        <v>1302</v>
      </c>
      <c r="B1310" s="21">
        <f t="shared" ca="1" si="222"/>
        <v>2.0753804229074357</v>
      </c>
      <c r="C1310" s="21">
        <f t="shared" ca="1" si="227"/>
        <v>4007.7660993960872</v>
      </c>
      <c r="D1310" s="21">
        <f t="shared" ca="1" si="223"/>
        <v>0.90787597216731863</v>
      </c>
      <c r="E1310" s="21">
        <f t="shared" ca="1" si="230"/>
        <v>0.31758416503726039</v>
      </c>
      <c r="F1310" s="20" t="str">
        <f t="shared" ca="1" si="228"/>
        <v>No</v>
      </c>
      <c r="G1310" s="21">
        <f t="shared" ca="1" si="224"/>
        <v>0</v>
      </c>
      <c r="H1310" s="21">
        <f t="shared" ca="1" si="225"/>
        <v>4008.0836835611244</v>
      </c>
      <c r="I1310" s="21">
        <f t="shared" ca="1" si="220"/>
        <v>4008.9915595332918</v>
      </c>
      <c r="J1310" s="20">
        <f t="shared" ca="1" si="229"/>
        <v>2</v>
      </c>
      <c r="K1310" s="20">
        <f t="shared" ca="1" si="221"/>
        <v>1</v>
      </c>
      <c r="L1310" s="44">
        <f t="shared" ca="1" si="226"/>
        <v>1.5</v>
      </c>
    </row>
    <row r="1311" spans="1:12" x14ac:dyDescent="0.25">
      <c r="A1311" s="20">
        <v>1303</v>
      </c>
      <c r="B1311" s="21">
        <f t="shared" ca="1" si="222"/>
        <v>0.45207042931884939</v>
      </c>
      <c r="C1311" s="21">
        <f t="shared" ca="1" si="227"/>
        <v>4008.2181698254062</v>
      </c>
      <c r="D1311" s="21">
        <f t="shared" ca="1" si="223"/>
        <v>1.2893368423379126</v>
      </c>
      <c r="E1311" s="21">
        <f t="shared" ca="1" si="230"/>
        <v>0.77338970788559891</v>
      </c>
      <c r="F1311" s="20" t="str">
        <f t="shared" ca="1" si="228"/>
        <v>No</v>
      </c>
      <c r="G1311" s="21">
        <f t="shared" ca="1" si="224"/>
        <v>0</v>
      </c>
      <c r="H1311" s="21">
        <f t="shared" ca="1" si="225"/>
        <v>4008.9915595332918</v>
      </c>
      <c r="I1311" s="21">
        <f t="shared" ca="1" si="220"/>
        <v>4010.2808963756297</v>
      </c>
      <c r="J1311" s="20">
        <f t="shared" ca="1" si="229"/>
        <v>2</v>
      </c>
      <c r="K1311" s="20">
        <f t="shared" ca="1" si="221"/>
        <v>0</v>
      </c>
      <c r="L1311" s="44">
        <f t="shared" ca="1" si="226"/>
        <v>1</v>
      </c>
    </row>
    <row r="1312" spans="1:12" x14ac:dyDescent="0.25">
      <c r="A1312" s="20">
        <v>1304</v>
      </c>
      <c r="B1312" s="21">
        <f t="shared" ca="1" si="222"/>
        <v>2.9035787214841116</v>
      </c>
      <c r="C1312" s="21">
        <f t="shared" ca="1" si="227"/>
        <v>4011.1217485468906</v>
      </c>
      <c r="D1312" s="21">
        <f t="shared" ca="1" si="223"/>
        <v>0.43364764728604682</v>
      </c>
      <c r="E1312" s="21">
        <f t="shared" ca="1" si="230"/>
        <v>0</v>
      </c>
      <c r="F1312" s="20" t="str">
        <f t="shared" ca="1" si="228"/>
        <v>Yes</v>
      </c>
      <c r="G1312" s="21">
        <f t="shared" ca="1" si="224"/>
        <v>0.84085217126084899</v>
      </c>
      <c r="H1312" s="21">
        <f t="shared" ca="1" si="225"/>
        <v>4011.1217485468906</v>
      </c>
      <c r="I1312" s="21">
        <f t="shared" ca="1" si="220"/>
        <v>4011.5553961941764</v>
      </c>
      <c r="J1312" s="20">
        <f t="shared" ca="1" si="229"/>
        <v>0</v>
      </c>
      <c r="K1312" s="20">
        <f t="shared" ca="1" si="221"/>
        <v>0</v>
      </c>
      <c r="L1312" s="44">
        <f t="shared" ca="1" si="226"/>
        <v>0</v>
      </c>
    </row>
    <row r="1313" spans="1:12" x14ac:dyDescent="0.25">
      <c r="A1313" s="20">
        <v>1305</v>
      </c>
      <c r="B1313" s="21">
        <f t="shared" ca="1" si="222"/>
        <v>0.45406964041030157</v>
      </c>
      <c r="C1313" s="21">
        <f t="shared" ca="1" si="227"/>
        <v>4011.5758181873007</v>
      </c>
      <c r="D1313" s="21">
        <f t="shared" ca="1" si="223"/>
        <v>1.8966554095250145</v>
      </c>
      <c r="E1313" s="21">
        <f t="shared" ca="1" si="230"/>
        <v>0</v>
      </c>
      <c r="F1313" s="20" t="str">
        <f t="shared" ca="1" si="228"/>
        <v>Yes</v>
      </c>
      <c r="G1313" s="21">
        <f t="shared" ca="1" si="224"/>
        <v>2.0421993124273286E-2</v>
      </c>
      <c r="H1313" s="21">
        <f t="shared" ca="1" si="225"/>
        <v>4011.5758181873007</v>
      </c>
      <c r="I1313" s="21">
        <f t="shared" ca="1" si="220"/>
        <v>4013.4724735968257</v>
      </c>
      <c r="J1313" s="20">
        <f t="shared" ca="1" si="229"/>
        <v>0</v>
      </c>
      <c r="K1313" s="20">
        <f t="shared" ca="1" si="221"/>
        <v>0</v>
      </c>
      <c r="L1313" s="44">
        <f t="shared" ca="1" si="226"/>
        <v>0</v>
      </c>
    </row>
    <row r="1314" spans="1:12" x14ac:dyDescent="0.25">
      <c r="A1314" s="20">
        <v>1306</v>
      </c>
      <c r="B1314" s="21">
        <f t="shared" ca="1" si="222"/>
        <v>1.9405747598193865</v>
      </c>
      <c r="C1314" s="21">
        <f t="shared" ca="1" si="227"/>
        <v>4013.51639294712</v>
      </c>
      <c r="D1314" s="21">
        <f t="shared" ca="1" si="223"/>
        <v>3.0305328647777783</v>
      </c>
      <c r="E1314" s="21">
        <f t="shared" ca="1" si="230"/>
        <v>0</v>
      </c>
      <c r="F1314" s="20" t="str">
        <f t="shared" ca="1" si="228"/>
        <v>Yes</v>
      </c>
      <c r="G1314" s="21">
        <f t="shared" ca="1" si="224"/>
        <v>4.391935029434535E-2</v>
      </c>
      <c r="H1314" s="21">
        <f t="shared" ca="1" si="225"/>
        <v>4013.51639294712</v>
      </c>
      <c r="I1314" s="21">
        <f t="shared" ca="1" si="220"/>
        <v>4016.5469258118978</v>
      </c>
      <c r="J1314" s="20">
        <f t="shared" ca="1" si="229"/>
        <v>0</v>
      </c>
      <c r="K1314" s="20">
        <f t="shared" ca="1" si="221"/>
        <v>1</v>
      </c>
      <c r="L1314" s="44">
        <f t="shared" ca="1" si="226"/>
        <v>0.5</v>
      </c>
    </row>
    <row r="1315" spans="1:12" x14ac:dyDescent="0.25">
      <c r="A1315" s="20">
        <v>1307</v>
      </c>
      <c r="B1315" s="21">
        <f t="shared" ca="1" si="222"/>
        <v>2.236571091549159</v>
      </c>
      <c r="C1315" s="21">
        <f t="shared" ca="1" si="227"/>
        <v>4015.7529640386692</v>
      </c>
      <c r="D1315" s="21">
        <f t="shared" ca="1" si="223"/>
        <v>3.3723627308439639</v>
      </c>
      <c r="E1315" s="21">
        <f t="shared" ca="1" si="230"/>
        <v>0.7939617732286024</v>
      </c>
      <c r="F1315" s="20" t="str">
        <f t="shared" ca="1" si="228"/>
        <v>No</v>
      </c>
      <c r="G1315" s="21">
        <f t="shared" ca="1" si="224"/>
        <v>0</v>
      </c>
      <c r="H1315" s="21">
        <f t="shared" ca="1" si="225"/>
        <v>4016.5469258118978</v>
      </c>
      <c r="I1315" s="21">
        <f t="shared" ca="1" si="220"/>
        <v>4019.9192885427419</v>
      </c>
      <c r="J1315" s="20">
        <f t="shared" ca="1" si="229"/>
        <v>2</v>
      </c>
      <c r="K1315" s="20">
        <f t="shared" ca="1" si="221"/>
        <v>1</v>
      </c>
      <c r="L1315" s="44">
        <f t="shared" ca="1" si="226"/>
        <v>1.5</v>
      </c>
    </row>
    <row r="1316" spans="1:12" x14ac:dyDescent="0.25">
      <c r="A1316" s="20">
        <v>1308</v>
      </c>
      <c r="B1316" s="21">
        <f t="shared" ca="1" si="222"/>
        <v>3.8763052501725381</v>
      </c>
      <c r="C1316" s="21">
        <f t="shared" ca="1" si="227"/>
        <v>4019.6292692888419</v>
      </c>
      <c r="D1316" s="21">
        <f t="shared" ca="1" si="223"/>
        <v>1.3858255899527849</v>
      </c>
      <c r="E1316" s="21">
        <f t="shared" ca="1" si="230"/>
        <v>0.29001925390002725</v>
      </c>
      <c r="F1316" s="20" t="str">
        <f t="shared" ca="1" si="228"/>
        <v>No</v>
      </c>
      <c r="G1316" s="21">
        <f t="shared" ca="1" si="224"/>
        <v>0</v>
      </c>
      <c r="H1316" s="21">
        <f t="shared" ca="1" si="225"/>
        <v>4019.9192885427419</v>
      </c>
      <c r="I1316" s="21">
        <f t="shared" ca="1" si="220"/>
        <v>4021.3051141326946</v>
      </c>
      <c r="J1316" s="20">
        <f t="shared" ca="1" si="229"/>
        <v>2</v>
      </c>
      <c r="K1316" s="20">
        <f t="shared" ca="1" si="221"/>
        <v>0</v>
      </c>
      <c r="L1316" s="44">
        <f t="shared" ca="1" si="226"/>
        <v>1</v>
      </c>
    </row>
    <row r="1317" spans="1:12" x14ac:dyDescent="0.25">
      <c r="A1317" s="20">
        <v>1309</v>
      </c>
      <c r="B1317" s="21">
        <f t="shared" ca="1" si="222"/>
        <v>9.208798016920154</v>
      </c>
      <c r="C1317" s="21">
        <f t="shared" ca="1" si="227"/>
        <v>4028.8380673057623</v>
      </c>
      <c r="D1317" s="21">
        <f t="shared" ca="1" si="223"/>
        <v>1.2580246993101545</v>
      </c>
      <c r="E1317" s="21">
        <f t="shared" ca="1" si="230"/>
        <v>0</v>
      </c>
      <c r="F1317" s="20" t="str">
        <f t="shared" ca="1" si="228"/>
        <v>Yes</v>
      </c>
      <c r="G1317" s="21">
        <f t="shared" ca="1" si="224"/>
        <v>7.5329531730676536</v>
      </c>
      <c r="H1317" s="21">
        <f t="shared" ca="1" si="225"/>
        <v>4028.8380673057623</v>
      </c>
      <c r="I1317" s="21">
        <f t="shared" ca="1" si="220"/>
        <v>4030.0960920050725</v>
      </c>
      <c r="J1317" s="20">
        <f t="shared" ca="1" si="229"/>
        <v>0</v>
      </c>
      <c r="K1317" s="20">
        <f t="shared" ca="1" si="221"/>
        <v>1</v>
      </c>
      <c r="L1317" s="44">
        <f t="shared" ca="1" si="226"/>
        <v>0.5</v>
      </c>
    </row>
    <row r="1318" spans="1:12" x14ac:dyDescent="0.25">
      <c r="A1318" s="20">
        <v>1310</v>
      </c>
      <c r="B1318" s="21">
        <f t="shared" ca="1" si="222"/>
        <v>0.52497272734895761</v>
      </c>
      <c r="C1318" s="21">
        <f t="shared" ca="1" si="227"/>
        <v>4029.3630400331112</v>
      </c>
      <c r="D1318" s="21">
        <f t="shared" ca="1" si="223"/>
        <v>0.38698242466221838</v>
      </c>
      <c r="E1318" s="21">
        <f t="shared" ca="1" si="230"/>
        <v>0.73305197196123117</v>
      </c>
      <c r="F1318" s="20" t="str">
        <f t="shared" ca="1" si="228"/>
        <v>No</v>
      </c>
      <c r="G1318" s="21">
        <f t="shared" ca="1" si="224"/>
        <v>0</v>
      </c>
      <c r="H1318" s="21">
        <f t="shared" ca="1" si="225"/>
        <v>4030.0960920050725</v>
      </c>
      <c r="I1318" s="21">
        <f t="shared" ca="1" si="220"/>
        <v>4030.4830744297346</v>
      </c>
      <c r="J1318" s="20">
        <f t="shared" ca="1" si="229"/>
        <v>2</v>
      </c>
      <c r="K1318" s="20">
        <f t="shared" ca="1" si="221"/>
        <v>0</v>
      </c>
      <c r="L1318" s="44">
        <f t="shared" ca="1" si="226"/>
        <v>1</v>
      </c>
    </row>
    <row r="1319" spans="1:12" x14ac:dyDescent="0.25">
      <c r="A1319" s="20">
        <v>1311</v>
      </c>
      <c r="B1319" s="21">
        <f t="shared" ca="1" si="222"/>
        <v>4.267117340047788</v>
      </c>
      <c r="C1319" s="21">
        <f t="shared" ca="1" si="227"/>
        <v>4033.6301573731589</v>
      </c>
      <c r="D1319" s="21">
        <f t="shared" ca="1" si="223"/>
        <v>1.391287594186768</v>
      </c>
      <c r="E1319" s="21">
        <f t="shared" ca="1" si="230"/>
        <v>0</v>
      </c>
      <c r="F1319" s="20" t="str">
        <f t="shared" ca="1" si="228"/>
        <v>Yes</v>
      </c>
      <c r="G1319" s="21">
        <f t="shared" ca="1" si="224"/>
        <v>3.147082943424266</v>
      </c>
      <c r="H1319" s="21">
        <f t="shared" ca="1" si="225"/>
        <v>4033.6301573731589</v>
      </c>
      <c r="I1319" s="21">
        <f t="shared" ca="1" si="220"/>
        <v>4035.0214449673458</v>
      </c>
      <c r="J1319" s="20">
        <f t="shared" ca="1" si="229"/>
        <v>0</v>
      </c>
      <c r="K1319" s="20">
        <f t="shared" ca="1" si="221"/>
        <v>1</v>
      </c>
      <c r="L1319" s="44">
        <f t="shared" ca="1" si="226"/>
        <v>0.5</v>
      </c>
    </row>
    <row r="1320" spans="1:12" x14ac:dyDescent="0.25">
      <c r="A1320" s="20">
        <v>1312</v>
      </c>
      <c r="B1320" s="21">
        <f t="shared" ca="1" si="222"/>
        <v>0.88346262206217929</v>
      </c>
      <c r="C1320" s="21">
        <f t="shared" ca="1" si="227"/>
        <v>4034.5136199952212</v>
      </c>
      <c r="D1320" s="21">
        <f t="shared" ca="1" si="223"/>
        <v>3.8371382118206188</v>
      </c>
      <c r="E1320" s="21">
        <f t="shared" ca="1" si="230"/>
        <v>0.50782497212458111</v>
      </c>
      <c r="F1320" s="20" t="str">
        <f t="shared" ca="1" si="228"/>
        <v>No</v>
      </c>
      <c r="G1320" s="21">
        <f t="shared" ca="1" si="224"/>
        <v>0</v>
      </c>
      <c r="H1320" s="21">
        <f t="shared" ca="1" si="225"/>
        <v>4035.0214449673458</v>
      </c>
      <c r="I1320" s="21">
        <f t="shared" ca="1" si="220"/>
        <v>4038.8585831791665</v>
      </c>
      <c r="J1320" s="20">
        <f t="shared" ca="1" si="229"/>
        <v>2</v>
      </c>
      <c r="K1320" s="20">
        <f t="shared" ca="1" si="221"/>
        <v>1</v>
      </c>
      <c r="L1320" s="44">
        <f t="shared" ca="1" si="226"/>
        <v>1.5</v>
      </c>
    </row>
    <row r="1321" spans="1:12" x14ac:dyDescent="0.25">
      <c r="A1321" s="20">
        <v>1313</v>
      </c>
      <c r="B1321" s="21">
        <f t="shared" ca="1" si="222"/>
        <v>2.1635144118332197</v>
      </c>
      <c r="C1321" s="21">
        <f t="shared" ca="1" si="227"/>
        <v>4036.6771344070544</v>
      </c>
      <c r="D1321" s="21">
        <f t="shared" ca="1" si="223"/>
        <v>0.22472947018058825</v>
      </c>
      <c r="E1321" s="21">
        <f t="shared" ca="1" si="230"/>
        <v>2.1814487721121623</v>
      </c>
      <c r="F1321" s="20" t="str">
        <f t="shared" ca="1" si="228"/>
        <v>No</v>
      </c>
      <c r="G1321" s="21">
        <f t="shared" ca="1" si="224"/>
        <v>0</v>
      </c>
      <c r="H1321" s="21">
        <f t="shared" ca="1" si="225"/>
        <v>4038.8585831791665</v>
      </c>
      <c r="I1321" s="21">
        <f t="shared" ca="1" si="220"/>
        <v>4039.0833126493471</v>
      </c>
      <c r="J1321" s="20">
        <f t="shared" ca="1" si="229"/>
        <v>2</v>
      </c>
      <c r="K1321" s="20">
        <f t="shared" ca="1" si="221"/>
        <v>0</v>
      </c>
      <c r="L1321" s="44">
        <f t="shared" ca="1" si="226"/>
        <v>1</v>
      </c>
    </row>
    <row r="1322" spans="1:12" x14ac:dyDescent="0.25">
      <c r="A1322" s="20">
        <v>1314</v>
      </c>
      <c r="B1322" s="21">
        <f t="shared" ca="1" si="222"/>
        <v>3.8876469802327178</v>
      </c>
      <c r="C1322" s="21">
        <f t="shared" ca="1" si="227"/>
        <v>4040.564781387287</v>
      </c>
      <c r="D1322" s="21">
        <f t="shared" ca="1" si="223"/>
        <v>3.4517892707679612</v>
      </c>
      <c r="E1322" s="21">
        <f t="shared" ca="1" si="230"/>
        <v>0</v>
      </c>
      <c r="F1322" s="20" t="str">
        <f t="shared" ca="1" si="228"/>
        <v>Yes</v>
      </c>
      <c r="G1322" s="21">
        <f t="shared" ca="1" si="224"/>
        <v>1.4814687379398492</v>
      </c>
      <c r="H1322" s="21">
        <f t="shared" ca="1" si="225"/>
        <v>4040.564781387287</v>
      </c>
      <c r="I1322" s="21">
        <f t="shared" ca="1" si="220"/>
        <v>4044.0165706580551</v>
      </c>
      <c r="J1322" s="20">
        <f t="shared" ca="1" si="229"/>
        <v>0</v>
      </c>
      <c r="K1322" s="20">
        <f t="shared" ca="1" si="221"/>
        <v>0</v>
      </c>
      <c r="L1322" s="44">
        <f t="shared" ca="1" si="226"/>
        <v>0</v>
      </c>
    </row>
    <row r="1323" spans="1:12" x14ac:dyDescent="0.25">
      <c r="A1323" s="20">
        <v>1315</v>
      </c>
      <c r="B1323" s="21">
        <f t="shared" ca="1" si="222"/>
        <v>4.7312995451719972</v>
      </c>
      <c r="C1323" s="21">
        <f t="shared" ca="1" si="227"/>
        <v>4045.2960809324591</v>
      </c>
      <c r="D1323" s="21">
        <f t="shared" ca="1" si="223"/>
        <v>0.53997528488886093</v>
      </c>
      <c r="E1323" s="21">
        <f t="shared" ca="1" si="230"/>
        <v>0</v>
      </c>
      <c r="F1323" s="20" t="str">
        <f t="shared" ca="1" si="228"/>
        <v>Yes</v>
      </c>
      <c r="G1323" s="21">
        <f t="shared" ca="1" si="224"/>
        <v>1.2795102744039468</v>
      </c>
      <c r="H1323" s="21">
        <f t="shared" ca="1" si="225"/>
        <v>4045.2960809324591</v>
      </c>
      <c r="I1323" s="21">
        <f t="shared" ca="1" si="220"/>
        <v>4045.836056217348</v>
      </c>
      <c r="J1323" s="20">
        <f t="shared" ca="1" si="229"/>
        <v>0</v>
      </c>
      <c r="K1323" s="20">
        <f t="shared" ca="1" si="221"/>
        <v>1</v>
      </c>
      <c r="L1323" s="44">
        <f t="shared" ca="1" si="226"/>
        <v>0.5</v>
      </c>
    </row>
    <row r="1324" spans="1:12" x14ac:dyDescent="0.25">
      <c r="A1324" s="20">
        <v>1316</v>
      </c>
      <c r="B1324" s="21">
        <f t="shared" ca="1" si="222"/>
        <v>7.4379965208299689E-2</v>
      </c>
      <c r="C1324" s="21">
        <f t="shared" ca="1" si="227"/>
        <v>4045.3704608976673</v>
      </c>
      <c r="D1324" s="21">
        <f t="shared" ca="1" si="223"/>
        <v>3.7538261947053799</v>
      </c>
      <c r="E1324" s="21">
        <f t="shared" ca="1" si="230"/>
        <v>0.46559531968068768</v>
      </c>
      <c r="F1324" s="20" t="str">
        <f t="shared" ca="1" si="228"/>
        <v>No</v>
      </c>
      <c r="G1324" s="21">
        <f t="shared" ca="1" si="224"/>
        <v>0</v>
      </c>
      <c r="H1324" s="21">
        <f t="shared" ca="1" si="225"/>
        <v>4045.836056217348</v>
      </c>
      <c r="I1324" s="21">
        <f t="shared" ca="1" si="220"/>
        <v>4049.5898824120532</v>
      </c>
      <c r="J1324" s="20">
        <f t="shared" ca="1" si="229"/>
        <v>2</v>
      </c>
      <c r="K1324" s="20">
        <f t="shared" ca="1" si="221"/>
        <v>1</v>
      </c>
      <c r="L1324" s="44">
        <f t="shared" ca="1" si="226"/>
        <v>1.5</v>
      </c>
    </row>
    <row r="1325" spans="1:12" x14ac:dyDescent="0.25">
      <c r="A1325" s="20">
        <v>1317</v>
      </c>
      <c r="B1325" s="21">
        <f t="shared" ca="1" si="222"/>
        <v>3.3451238709761957</v>
      </c>
      <c r="C1325" s="21">
        <f t="shared" ca="1" si="227"/>
        <v>4048.7155847686436</v>
      </c>
      <c r="D1325" s="21">
        <f t="shared" ca="1" si="223"/>
        <v>0.97208116707928793</v>
      </c>
      <c r="E1325" s="21">
        <f t="shared" ca="1" si="230"/>
        <v>0.87429764340959082</v>
      </c>
      <c r="F1325" s="20" t="str">
        <f t="shared" ca="1" si="228"/>
        <v>No</v>
      </c>
      <c r="G1325" s="21">
        <f t="shared" ca="1" si="224"/>
        <v>0</v>
      </c>
      <c r="H1325" s="21">
        <f t="shared" ca="1" si="225"/>
        <v>4049.5898824120532</v>
      </c>
      <c r="I1325" s="21">
        <f t="shared" ca="1" si="220"/>
        <v>4050.5619635791322</v>
      </c>
      <c r="J1325" s="20">
        <f t="shared" ca="1" si="229"/>
        <v>2</v>
      </c>
      <c r="K1325" s="20">
        <f t="shared" ca="1" si="221"/>
        <v>1</v>
      </c>
      <c r="L1325" s="44">
        <f t="shared" ca="1" si="226"/>
        <v>1.5</v>
      </c>
    </row>
    <row r="1326" spans="1:12" x14ac:dyDescent="0.25">
      <c r="A1326" s="20">
        <v>1318</v>
      </c>
      <c r="B1326" s="21">
        <f t="shared" ca="1" si="222"/>
        <v>1.3842388926584928</v>
      </c>
      <c r="C1326" s="21">
        <f t="shared" ca="1" si="227"/>
        <v>4050.0998236613023</v>
      </c>
      <c r="D1326" s="21">
        <f t="shared" ca="1" si="223"/>
        <v>1.610586135136949</v>
      </c>
      <c r="E1326" s="21">
        <f t="shared" ca="1" si="230"/>
        <v>0.46213991782997255</v>
      </c>
      <c r="F1326" s="20" t="str">
        <f t="shared" ca="1" si="228"/>
        <v>No</v>
      </c>
      <c r="G1326" s="21">
        <f t="shared" ca="1" si="224"/>
        <v>0</v>
      </c>
      <c r="H1326" s="21">
        <f t="shared" ca="1" si="225"/>
        <v>4050.5619635791322</v>
      </c>
      <c r="I1326" s="21">
        <f t="shared" ca="1" si="220"/>
        <v>4052.1725497142693</v>
      </c>
      <c r="J1326" s="20">
        <f t="shared" ca="1" si="229"/>
        <v>2</v>
      </c>
      <c r="K1326" s="20">
        <f t="shared" ca="1" si="221"/>
        <v>0</v>
      </c>
      <c r="L1326" s="44">
        <f t="shared" ca="1" si="226"/>
        <v>1</v>
      </c>
    </row>
    <row r="1327" spans="1:12" x14ac:dyDescent="0.25">
      <c r="A1327" s="20">
        <v>1319</v>
      </c>
      <c r="B1327" s="21">
        <f t="shared" ca="1" si="222"/>
        <v>2.5341485281283402</v>
      </c>
      <c r="C1327" s="21">
        <f t="shared" ca="1" si="227"/>
        <v>4052.6339721894306</v>
      </c>
      <c r="D1327" s="21">
        <f t="shared" ca="1" si="223"/>
        <v>2.35985032178163</v>
      </c>
      <c r="E1327" s="21">
        <f t="shared" ca="1" si="230"/>
        <v>0</v>
      </c>
      <c r="F1327" s="20" t="str">
        <f t="shared" ca="1" si="228"/>
        <v>Yes</v>
      </c>
      <c r="G1327" s="21">
        <f t="shared" ca="1" si="224"/>
        <v>0.461422475161271</v>
      </c>
      <c r="H1327" s="21">
        <f t="shared" ca="1" si="225"/>
        <v>4052.6339721894306</v>
      </c>
      <c r="I1327" s="21">
        <f t="shared" ca="1" si="220"/>
        <v>4054.9938225112123</v>
      </c>
      <c r="J1327" s="20">
        <f t="shared" ca="1" si="229"/>
        <v>0</v>
      </c>
      <c r="K1327" s="20">
        <f t="shared" ca="1" si="221"/>
        <v>0</v>
      </c>
      <c r="L1327" s="44">
        <f t="shared" ca="1" si="226"/>
        <v>0</v>
      </c>
    </row>
    <row r="1328" spans="1:12" x14ac:dyDescent="0.25">
      <c r="A1328" s="20">
        <v>1320</v>
      </c>
      <c r="B1328" s="21">
        <f t="shared" ca="1" si="222"/>
        <v>5.74131453394806</v>
      </c>
      <c r="C1328" s="21">
        <f t="shared" ca="1" si="227"/>
        <v>4058.3752867233784</v>
      </c>
      <c r="D1328" s="21">
        <f t="shared" ca="1" si="223"/>
        <v>5.6983410496606948E-2</v>
      </c>
      <c r="E1328" s="21">
        <f t="shared" ca="1" si="230"/>
        <v>0</v>
      </c>
      <c r="F1328" s="20" t="str">
        <f t="shared" ca="1" si="228"/>
        <v>Yes</v>
      </c>
      <c r="G1328" s="21">
        <f t="shared" ca="1" si="224"/>
        <v>3.3814642121660654</v>
      </c>
      <c r="H1328" s="21">
        <f t="shared" ca="1" si="225"/>
        <v>4058.3752867233784</v>
      </c>
      <c r="I1328" s="21">
        <f t="shared" ca="1" si="220"/>
        <v>4058.4322701338751</v>
      </c>
      <c r="J1328" s="20">
        <f t="shared" ca="1" si="229"/>
        <v>0</v>
      </c>
      <c r="K1328" s="20">
        <f t="shared" ca="1" si="221"/>
        <v>0</v>
      </c>
      <c r="L1328" s="44">
        <f t="shared" ca="1" si="226"/>
        <v>0</v>
      </c>
    </row>
    <row r="1329" spans="1:12" x14ac:dyDescent="0.25">
      <c r="A1329" s="20">
        <v>1321</v>
      </c>
      <c r="B1329" s="21">
        <f t="shared" ca="1" si="222"/>
        <v>2.6329118079729867</v>
      </c>
      <c r="C1329" s="21">
        <f t="shared" ca="1" si="227"/>
        <v>4061.0081985313514</v>
      </c>
      <c r="D1329" s="21">
        <f t="shared" ca="1" si="223"/>
        <v>1.6701555936392105</v>
      </c>
      <c r="E1329" s="21">
        <f t="shared" ca="1" si="230"/>
        <v>0</v>
      </c>
      <c r="F1329" s="20" t="str">
        <f t="shared" ca="1" si="228"/>
        <v>Yes</v>
      </c>
      <c r="G1329" s="21">
        <f t="shared" ca="1" si="224"/>
        <v>2.5759283974762184</v>
      </c>
      <c r="H1329" s="21">
        <f t="shared" ca="1" si="225"/>
        <v>4061.0081985313514</v>
      </c>
      <c r="I1329" s="21">
        <f t="shared" ca="1" si="220"/>
        <v>4062.6783541249906</v>
      </c>
      <c r="J1329" s="20">
        <f t="shared" ca="1" si="229"/>
        <v>0</v>
      </c>
      <c r="K1329" s="20">
        <f t="shared" ca="1" si="221"/>
        <v>1</v>
      </c>
      <c r="L1329" s="44">
        <f t="shared" ca="1" si="226"/>
        <v>0.5</v>
      </c>
    </row>
    <row r="1330" spans="1:12" x14ac:dyDescent="0.25">
      <c r="A1330" s="20">
        <v>1322</v>
      </c>
      <c r="B1330" s="21">
        <f t="shared" ca="1" si="222"/>
        <v>1.5355214257731611</v>
      </c>
      <c r="C1330" s="21">
        <f t="shared" ca="1" si="227"/>
        <v>4062.5437199571247</v>
      </c>
      <c r="D1330" s="21">
        <f t="shared" ca="1" si="223"/>
        <v>7.4457970909071358E-2</v>
      </c>
      <c r="E1330" s="21">
        <f t="shared" ca="1" si="230"/>
        <v>0.13463416786589733</v>
      </c>
      <c r="F1330" s="20" t="str">
        <f t="shared" ca="1" si="228"/>
        <v>No</v>
      </c>
      <c r="G1330" s="21">
        <f t="shared" ca="1" si="224"/>
        <v>0</v>
      </c>
      <c r="H1330" s="21">
        <f t="shared" ca="1" si="225"/>
        <v>4062.6783541249906</v>
      </c>
      <c r="I1330" s="21">
        <f t="shared" ca="1" si="220"/>
        <v>4062.7528120958996</v>
      </c>
      <c r="J1330" s="20">
        <f t="shared" ca="1" si="229"/>
        <v>2</v>
      </c>
      <c r="K1330" s="20">
        <f t="shared" ca="1" si="221"/>
        <v>0</v>
      </c>
      <c r="L1330" s="44">
        <f t="shared" ca="1" si="226"/>
        <v>1</v>
      </c>
    </row>
    <row r="1331" spans="1:12" x14ac:dyDescent="0.25">
      <c r="A1331" s="20">
        <v>1323</v>
      </c>
      <c r="B1331" s="21">
        <f t="shared" ca="1" si="222"/>
        <v>0.2879821710266251</v>
      </c>
      <c r="C1331" s="21">
        <f t="shared" ca="1" si="227"/>
        <v>4062.8317021281514</v>
      </c>
      <c r="D1331" s="21">
        <f t="shared" ca="1" si="223"/>
        <v>1.1104260792821086</v>
      </c>
      <c r="E1331" s="21">
        <f t="shared" ca="1" si="230"/>
        <v>0</v>
      </c>
      <c r="F1331" s="20" t="str">
        <f t="shared" ca="1" si="228"/>
        <v>Yes</v>
      </c>
      <c r="G1331" s="21">
        <f t="shared" ca="1" si="224"/>
        <v>7.889003225182023E-2</v>
      </c>
      <c r="H1331" s="21">
        <f t="shared" ca="1" si="225"/>
        <v>4062.8317021281514</v>
      </c>
      <c r="I1331" s="21">
        <f t="shared" ca="1" si="220"/>
        <v>4063.9421282074336</v>
      </c>
      <c r="J1331" s="20">
        <f t="shared" ca="1" si="229"/>
        <v>0</v>
      </c>
      <c r="K1331" s="20">
        <f t="shared" ca="1" si="221"/>
        <v>1</v>
      </c>
      <c r="L1331" s="44">
        <f t="shared" ca="1" si="226"/>
        <v>0.5</v>
      </c>
    </row>
    <row r="1332" spans="1:12" x14ac:dyDescent="0.25">
      <c r="A1332" s="20">
        <v>1324</v>
      </c>
      <c r="B1332" s="21">
        <f t="shared" ca="1" si="222"/>
        <v>0.76168213571642585</v>
      </c>
      <c r="C1332" s="21">
        <f t="shared" ca="1" si="227"/>
        <v>4063.5933842638678</v>
      </c>
      <c r="D1332" s="21">
        <f t="shared" ca="1" si="223"/>
        <v>5.6847335197337943</v>
      </c>
      <c r="E1332" s="21">
        <f t="shared" ca="1" si="230"/>
        <v>0.34874394356575067</v>
      </c>
      <c r="F1332" s="20" t="str">
        <f t="shared" ca="1" si="228"/>
        <v>No</v>
      </c>
      <c r="G1332" s="21">
        <f t="shared" ca="1" si="224"/>
        <v>0</v>
      </c>
      <c r="H1332" s="21">
        <f t="shared" ca="1" si="225"/>
        <v>4063.9421282074336</v>
      </c>
      <c r="I1332" s="21">
        <f t="shared" ca="1" si="220"/>
        <v>4069.6268617271676</v>
      </c>
      <c r="J1332" s="20">
        <f t="shared" ca="1" si="229"/>
        <v>2</v>
      </c>
      <c r="K1332" s="20">
        <f t="shared" ca="1" si="221"/>
        <v>3</v>
      </c>
      <c r="L1332" s="44">
        <f t="shared" ca="1" si="226"/>
        <v>2.5</v>
      </c>
    </row>
    <row r="1333" spans="1:12" x14ac:dyDescent="0.25">
      <c r="A1333" s="20">
        <v>1325</v>
      </c>
      <c r="B1333" s="21">
        <f t="shared" ca="1" si="222"/>
        <v>1.2675210160054036</v>
      </c>
      <c r="C1333" s="21">
        <f t="shared" ca="1" si="227"/>
        <v>4064.8609052798734</v>
      </c>
      <c r="D1333" s="21">
        <f t="shared" ca="1" si="223"/>
        <v>0.78414741144402533</v>
      </c>
      <c r="E1333" s="21">
        <f t="shared" ca="1" si="230"/>
        <v>4.7659564472942293</v>
      </c>
      <c r="F1333" s="20" t="str">
        <f t="shared" ca="1" si="228"/>
        <v>No</v>
      </c>
      <c r="G1333" s="21">
        <f t="shared" ca="1" si="224"/>
        <v>0</v>
      </c>
      <c r="H1333" s="21">
        <f t="shared" ca="1" si="225"/>
        <v>4069.6268617271676</v>
      </c>
      <c r="I1333" s="21">
        <f t="shared" ca="1" si="220"/>
        <v>4070.4110091386115</v>
      </c>
      <c r="J1333" s="20">
        <f t="shared" ca="1" si="229"/>
        <v>4</v>
      </c>
      <c r="K1333" s="20">
        <f t="shared" ca="1" si="221"/>
        <v>2</v>
      </c>
      <c r="L1333" s="44">
        <f t="shared" ca="1" si="226"/>
        <v>3</v>
      </c>
    </row>
    <row r="1334" spans="1:12" x14ac:dyDescent="0.25">
      <c r="A1334" s="20">
        <v>1326</v>
      </c>
      <c r="B1334" s="21">
        <f t="shared" ca="1" si="222"/>
        <v>0.38421355654542649</v>
      </c>
      <c r="C1334" s="21">
        <f t="shared" ca="1" si="227"/>
        <v>4065.2451188364189</v>
      </c>
      <c r="D1334" s="21">
        <f t="shared" ca="1" si="223"/>
        <v>1.0903904677354994</v>
      </c>
      <c r="E1334" s="21">
        <f t="shared" ca="1" si="230"/>
        <v>5.1658903021925653</v>
      </c>
      <c r="F1334" s="20" t="str">
        <f t="shared" ca="1" si="228"/>
        <v>No</v>
      </c>
      <c r="G1334" s="21">
        <f t="shared" ca="1" si="224"/>
        <v>0</v>
      </c>
      <c r="H1334" s="21">
        <f t="shared" ca="1" si="225"/>
        <v>4070.4110091386115</v>
      </c>
      <c r="I1334" s="21">
        <f t="shared" ca="1" si="220"/>
        <v>4071.5013996063471</v>
      </c>
      <c r="J1334" s="20">
        <f t="shared" ca="1" si="229"/>
        <v>3</v>
      </c>
      <c r="K1334" s="20">
        <f t="shared" ca="1" si="221"/>
        <v>3</v>
      </c>
      <c r="L1334" s="44">
        <f t="shared" ca="1" si="226"/>
        <v>3</v>
      </c>
    </row>
    <row r="1335" spans="1:12" x14ac:dyDescent="0.25">
      <c r="A1335" s="20">
        <v>1327</v>
      </c>
      <c r="B1335" s="21">
        <f t="shared" ca="1" si="222"/>
        <v>3.3140795440156525</v>
      </c>
      <c r="C1335" s="21">
        <f t="shared" ca="1" si="227"/>
        <v>4068.5591983804347</v>
      </c>
      <c r="D1335" s="21">
        <f t="shared" ca="1" si="223"/>
        <v>3.9590277158688458</v>
      </c>
      <c r="E1335" s="21">
        <f t="shared" ca="1" si="230"/>
        <v>2.9422012259124131</v>
      </c>
      <c r="F1335" s="20" t="str">
        <f t="shared" ca="1" si="228"/>
        <v>No</v>
      </c>
      <c r="G1335" s="21">
        <f t="shared" ca="1" si="224"/>
        <v>0</v>
      </c>
      <c r="H1335" s="21">
        <f t="shared" ca="1" si="225"/>
        <v>4071.5013996063471</v>
      </c>
      <c r="I1335" s="21">
        <f t="shared" ca="1" si="220"/>
        <v>4075.4604273222162</v>
      </c>
      <c r="J1335" s="20">
        <f t="shared" ca="1" si="229"/>
        <v>4</v>
      </c>
      <c r="K1335" s="20">
        <f t="shared" ca="1" si="221"/>
        <v>2</v>
      </c>
      <c r="L1335" s="44">
        <f t="shared" ca="1" si="226"/>
        <v>3</v>
      </c>
    </row>
    <row r="1336" spans="1:12" x14ac:dyDescent="0.25">
      <c r="A1336" s="20">
        <v>1328</v>
      </c>
      <c r="B1336" s="21">
        <f t="shared" ca="1" si="222"/>
        <v>2.3470439200818416</v>
      </c>
      <c r="C1336" s="21">
        <f t="shared" ca="1" si="227"/>
        <v>4070.9062423005166</v>
      </c>
      <c r="D1336" s="21">
        <f t="shared" ca="1" si="223"/>
        <v>0.99990817183409408</v>
      </c>
      <c r="E1336" s="21">
        <f t="shared" ca="1" si="230"/>
        <v>4.5541850216995954</v>
      </c>
      <c r="F1336" s="20" t="str">
        <f t="shared" ca="1" si="228"/>
        <v>No</v>
      </c>
      <c r="G1336" s="21">
        <f t="shared" ca="1" si="224"/>
        <v>0</v>
      </c>
      <c r="H1336" s="21">
        <f t="shared" ca="1" si="225"/>
        <v>4075.4604273222162</v>
      </c>
      <c r="I1336" s="21">
        <f t="shared" ca="1" si="220"/>
        <v>4076.4603354940505</v>
      </c>
      <c r="J1336" s="20">
        <f t="shared" ca="1" si="229"/>
        <v>3</v>
      </c>
      <c r="K1336" s="20">
        <f t="shared" ca="1" si="221"/>
        <v>3</v>
      </c>
      <c r="L1336" s="44">
        <f t="shared" ca="1" si="226"/>
        <v>3</v>
      </c>
    </row>
    <row r="1337" spans="1:12" x14ac:dyDescent="0.25">
      <c r="A1337" s="20">
        <v>1329</v>
      </c>
      <c r="B1337" s="21">
        <f t="shared" ca="1" si="222"/>
        <v>0.5715371469030498</v>
      </c>
      <c r="C1337" s="21">
        <f t="shared" ca="1" si="227"/>
        <v>4071.4777794474198</v>
      </c>
      <c r="D1337" s="21">
        <f t="shared" ca="1" si="223"/>
        <v>1.1167759182938477</v>
      </c>
      <c r="E1337" s="21">
        <f t="shared" ca="1" si="230"/>
        <v>4.9825560466306342</v>
      </c>
      <c r="F1337" s="20" t="str">
        <f t="shared" ca="1" si="228"/>
        <v>No</v>
      </c>
      <c r="G1337" s="21">
        <f t="shared" ca="1" si="224"/>
        <v>0</v>
      </c>
      <c r="H1337" s="21">
        <f t="shared" ca="1" si="225"/>
        <v>4076.4603354940505</v>
      </c>
      <c r="I1337" s="21">
        <f t="shared" ca="1" si="220"/>
        <v>4077.5771114123445</v>
      </c>
      <c r="J1337" s="20">
        <f t="shared" ca="1" si="229"/>
        <v>4</v>
      </c>
      <c r="K1337" s="20">
        <f t="shared" ca="1" si="221"/>
        <v>2</v>
      </c>
      <c r="L1337" s="44">
        <f t="shared" ca="1" si="226"/>
        <v>3</v>
      </c>
    </row>
    <row r="1338" spans="1:12" x14ac:dyDescent="0.25">
      <c r="A1338" s="20">
        <v>1330</v>
      </c>
      <c r="B1338" s="21">
        <f t="shared" ca="1" si="222"/>
        <v>4.1930635807272525</v>
      </c>
      <c r="C1338" s="21">
        <f t="shared" ca="1" si="227"/>
        <v>4075.6708430281469</v>
      </c>
      <c r="D1338" s="21">
        <f t="shared" ca="1" si="223"/>
        <v>0.80877569298685925</v>
      </c>
      <c r="E1338" s="21">
        <f t="shared" ca="1" si="230"/>
        <v>1.9062683841975741</v>
      </c>
      <c r="F1338" s="20" t="str">
        <f t="shared" ca="1" si="228"/>
        <v>No</v>
      </c>
      <c r="G1338" s="21">
        <f t="shared" ca="1" si="224"/>
        <v>0</v>
      </c>
      <c r="H1338" s="21">
        <f t="shared" ca="1" si="225"/>
        <v>4077.5771114123445</v>
      </c>
      <c r="I1338" s="21">
        <f t="shared" ca="1" si="220"/>
        <v>4078.3858871053312</v>
      </c>
      <c r="J1338" s="20">
        <f t="shared" ca="1" si="229"/>
        <v>3</v>
      </c>
      <c r="K1338" s="20">
        <f t="shared" ca="1" si="221"/>
        <v>2</v>
      </c>
      <c r="L1338" s="44">
        <f t="shared" ca="1" si="226"/>
        <v>2.5</v>
      </c>
    </row>
    <row r="1339" spans="1:12" x14ac:dyDescent="0.25">
      <c r="A1339" s="20">
        <v>1331</v>
      </c>
      <c r="B1339" s="21">
        <f t="shared" ca="1" si="222"/>
        <v>0.17175544177915636</v>
      </c>
      <c r="C1339" s="21">
        <f t="shared" ca="1" si="227"/>
        <v>4075.8425984699261</v>
      </c>
      <c r="D1339" s="21">
        <f t="shared" ca="1" si="223"/>
        <v>7.590464336143091</v>
      </c>
      <c r="E1339" s="21">
        <f t="shared" ca="1" si="230"/>
        <v>2.5432886354051334</v>
      </c>
      <c r="F1339" s="20" t="str">
        <f t="shared" ca="1" si="228"/>
        <v>No</v>
      </c>
      <c r="G1339" s="21">
        <f t="shared" ca="1" si="224"/>
        <v>0</v>
      </c>
      <c r="H1339" s="21">
        <f t="shared" ca="1" si="225"/>
        <v>4078.3858871053312</v>
      </c>
      <c r="I1339" s="21">
        <f t="shared" ca="1" si="220"/>
        <v>4085.9763514414744</v>
      </c>
      <c r="J1339" s="20">
        <f t="shared" ca="1" si="229"/>
        <v>3</v>
      </c>
      <c r="K1339" s="20">
        <f t="shared" ca="1" si="221"/>
        <v>3</v>
      </c>
      <c r="L1339" s="44">
        <f t="shared" ca="1" si="226"/>
        <v>3</v>
      </c>
    </row>
    <row r="1340" spans="1:12" x14ac:dyDescent="0.25">
      <c r="A1340" s="20">
        <v>1332</v>
      </c>
      <c r="B1340" s="21">
        <f t="shared" ca="1" si="222"/>
        <v>1.8188129778701558</v>
      </c>
      <c r="C1340" s="21">
        <f t="shared" ca="1" si="227"/>
        <v>4077.6614114477961</v>
      </c>
      <c r="D1340" s="21">
        <f t="shared" ca="1" si="223"/>
        <v>12.296812654110518</v>
      </c>
      <c r="E1340" s="21">
        <f t="shared" ca="1" si="230"/>
        <v>8.3149399936783084</v>
      </c>
      <c r="F1340" s="20" t="str">
        <f t="shared" ca="1" si="228"/>
        <v>No</v>
      </c>
      <c r="G1340" s="21">
        <f t="shared" ca="1" si="224"/>
        <v>0</v>
      </c>
      <c r="H1340" s="21">
        <f t="shared" ca="1" si="225"/>
        <v>4085.9763514414744</v>
      </c>
      <c r="I1340" s="21">
        <f t="shared" ca="1" si="220"/>
        <v>4098.2731640955853</v>
      </c>
      <c r="J1340" s="20">
        <f t="shared" ca="1" si="229"/>
        <v>4</v>
      </c>
      <c r="K1340" s="20">
        <f t="shared" ca="1" si="221"/>
        <v>5</v>
      </c>
      <c r="L1340" s="44">
        <f t="shared" ca="1" si="226"/>
        <v>4.5</v>
      </c>
    </row>
    <row r="1341" spans="1:12" x14ac:dyDescent="0.25">
      <c r="A1341" s="20">
        <v>1333</v>
      </c>
      <c r="B1341" s="21">
        <f t="shared" ca="1" si="222"/>
        <v>4.3536163544140969</v>
      </c>
      <c r="C1341" s="21">
        <f t="shared" ca="1" si="227"/>
        <v>4082.0150278022102</v>
      </c>
      <c r="D1341" s="21">
        <f t="shared" ca="1" si="223"/>
        <v>0.54385169532273869</v>
      </c>
      <c r="E1341" s="21">
        <f t="shared" ca="1" si="230"/>
        <v>16.258136293375173</v>
      </c>
      <c r="F1341" s="20" t="str">
        <f t="shared" ca="1" si="228"/>
        <v>No</v>
      </c>
      <c r="G1341" s="21">
        <f t="shared" ca="1" si="224"/>
        <v>0</v>
      </c>
      <c r="H1341" s="21">
        <f t="shared" ca="1" si="225"/>
        <v>4098.2731640955853</v>
      </c>
      <c r="I1341" s="21">
        <f t="shared" ca="1" si="220"/>
        <v>4098.817015790908</v>
      </c>
      <c r="J1341" s="20">
        <f t="shared" ca="1" si="229"/>
        <v>6</v>
      </c>
      <c r="K1341" s="20">
        <f t="shared" ca="1" si="221"/>
        <v>5</v>
      </c>
      <c r="L1341" s="44">
        <f t="shared" ca="1" si="226"/>
        <v>5.5</v>
      </c>
    </row>
    <row r="1342" spans="1:12" x14ac:dyDescent="0.25">
      <c r="A1342" s="20">
        <v>1334</v>
      </c>
      <c r="B1342" s="21">
        <f t="shared" ca="1" si="222"/>
        <v>3.0525208280599871</v>
      </c>
      <c r="C1342" s="21">
        <f t="shared" ca="1" si="227"/>
        <v>4085.0675486302703</v>
      </c>
      <c r="D1342" s="21">
        <f t="shared" ca="1" si="223"/>
        <v>5.9737611942357143</v>
      </c>
      <c r="E1342" s="21">
        <f t="shared" ca="1" si="230"/>
        <v>13.749467160637778</v>
      </c>
      <c r="F1342" s="20" t="str">
        <f t="shared" ca="1" si="228"/>
        <v>No</v>
      </c>
      <c r="G1342" s="21">
        <f t="shared" ca="1" si="224"/>
        <v>0</v>
      </c>
      <c r="H1342" s="21">
        <f t="shared" ca="1" si="225"/>
        <v>4098.817015790908</v>
      </c>
      <c r="I1342" s="21">
        <f t="shared" ca="1" si="220"/>
        <v>4104.7907769851436</v>
      </c>
      <c r="J1342" s="20">
        <f t="shared" ca="1" si="229"/>
        <v>6</v>
      </c>
      <c r="K1342" s="20">
        <f t="shared" ca="1" si="221"/>
        <v>5</v>
      </c>
      <c r="L1342" s="44">
        <f t="shared" ca="1" si="226"/>
        <v>5.5</v>
      </c>
    </row>
    <row r="1343" spans="1:12" x14ac:dyDescent="0.25">
      <c r="A1343" s="20">
        <v>1335</v>
      </c>
      <c r="B1343" s="21">
        <f t="shared" ca="1" si="222"/>
        <v>4.9955751158315822</v>
      </c>
      <c r="C1343" s="21">
        <f t="shared" ca="1" si="227"/>
        <v>4090.0631237461021</v>
      </c>
      <c r="D1343" s="21">
        <f t="shared" ca="1" si="223"/>
        <v>1.9443123818708266</v>
      </c>
      <c r="E1343" s="21">
        <f t="shared" ca="1" si="230"/>
        <v>14.727653239041501</v>
      </c>
      <c r="F1343" s="20" t="str">
        <f t="shared" ca="1" si="228"/>
        <v>No</v>
      </c>
      <c r="G1343" s="21">
        <f t="shared" ca="1" si="224"/>
        <v>0</v>
      </c>
      <c r="H1343" s="21">
        <f t="shared" ca="1" si="225"/>
        <v>4104.7907769851436</v>
      </c>
      <c r="I1343" s="21">
        <f t="shared" ca="1" si="220"/>
        <v>4106.7350893670146</v>
      </c>
      <c r="J1343" s="20">
        <f t="shared" ca="1" si="229"/>
        <v>6</v>
      </c>
      <c r="K1343" s="20">
        <f t="shared" ca="1" si="221"/>
        <v>5</v>
      </c>
      <c r="L1343" s="44">
        <f t="shared" ca="1" si="226"/>
        <v>5.5</v>
      </c>
    </row>
    <row r="1344" spans="1:12" x14ac:dyDescent="0.25">
      <c r="A1344" s="20">
        <v>1336</v>
      </c>
      <c r="B1344" s="21">
        <f t="shared" ca="1" si="222"/>
        <v>5.1838849192017082E-2</v>
      </c>
      <c r="C1344" s="21">
        <f t="shared" ca="1" si="227"/>
        <v>4090.1149625952939</v>
      </c>
      <c r="D1344" s="21">
        <f t="shared" ca="1" si="223"/>
        <v>4.7580824138970845</v>
      </c>
      <c r="E1344" s="21">
        <f t="shared" ca="1" si="230"/>
        <v>16.620126771720606</v>
      </c>
      <c r="F1344" s="20" t="str">
        <f t="shared" ca="1" si="228"/>
        <v>No</v>
      </c>
      <c r="G1344" s="21">
        <f t="shared" ca="1" si="224"/>
        <v>0</v>
      </c>
      <c r="H1344" s="21">
        <f t="shared" ca="1" si="225"/>
        <v>4106.7350893670146</v>
      </c>
      <c r="I1344" s="21">
        <f t="shared" ca="1" si="220"/>
        <v>4111.4931717809113</v>
      </c>
      <c r="J1344" s="20">
        <f t="shared" ca="1" si="229"/>
        <v>6</v>
      </c>
      <c r="K1344" s="20">
        <f t="shared" ca="1" si="221"/>
        <v>5</v>
      </c>
      <c r="L1344" s="44">
        <f t="shared" ca="1" si="226"/>
        <v>5.5</v>
      </c>
    </row>
    <row r="1345" spans="1:12" x14ac:dyDescent="0.25">
      <c r="A1345" s="20">
        <v>1337</v>
      </c>
      <c r="B1345" s="21">
        <f t="shared" ca="1" si="222"/>
        <v>1.3665682112482802</v>
      </c>
      <c r="C1345" s="21">
        <f t="shared" ca="1" si="227"/>
        <v>4091.4815308065422</v>
      </c>
      <c r="D1345" s="21">
        <f t="shared" ca="1" si="223"/>
        <v>4.7291657652033088</v>
      </c>
      <c r="E1345" s="21">
        <f t="shared" ca="1" si="230"/>
        <v>20.011640974369129</v>
      </c>
      <c r="F1345" s="20" t="str">
        <f t="shared" ca="1" si="228"/>
        <v>No</v>
      </c>
      <c r="G1345" s="21">
        <f t="shared" ca="1" si="224"/>
        <v>0</v>
      </c>
      <c r="H1345" s="21">
        <f t="shared" ca="1" si="225"/>
        <v>4111.4931717809113</v>
      </c>
      <c r="I1345" s="21">
        <f t="shared" ca="1" si="220"/>
        <v>4116.2223375461144</v>
      </c>
      <c r="J1345" s="20">
        <f t="shared" ca="1" si="229"/>
        <v>6</v>
      </c>
      <c r="K1345" s="20">
        <f t="shared" ca="1" si="221"/>
        <v>5</v>
      </c>
      <c r="L1345" s="44">
        <f t="shared" ca="1" si="226"/>
        <v>5.5</v>
      </c>
    </row>
    <row r="1346" spans="1:12" x14ac:dyDescent="0.25">
      <c r="A1346" s="20">
        <v>1338</v>
      </c>
      <c r="B1346" s="21">
        <f t="shared" ca="1" si="222"/>
        <v>1.3077311323702716</v>
      </c>
      <c r="C1346" s="21">
        <f t="shared" ca="1" si="227"/>
        <v>4092.7892619389127</v>
      </c>
      <c r="D1346" s="21">
        <f t="shared" ca="1" si="223"/>
        <v>0.14332385623879923</v>
      </c>
      <c r="E1346" s="21">
        <f t="shared" ca="1" si="230"/>
        <v>23.433075607201772</v>
      </c>
      <c r="F1346" s="20" t="str">
        <f t="shared" ca="1" si="228"/>
        <v>No</v>
      </c>
      <c r="G1346" s="21">
        <f t="shared" ca="1" si="224"/>
        <v>0</v>
      </c>
      <c r="H1346" s="21">
        <f t="shared" ca="1" si="225"/>
        <v>4116.2223375461144</v>
      </c>
      <c r="I1346" s="21">
        <f t="shared" ca="1" si="220"/>
        <v>4116.365661402353</v>
      </c>
      <c r="J1346" s="20">
        <f t="shared" ca="1" si="229"/>
        <v>6</v>
      </c>
      <c r="K1346" s="20">
        <f t="shared" ca="1" si="221"/>
        <v>5</v>
      </c>
      <c r="L1346" s="44">
        <f t="shared" ca="1" si="226"/>
        <v>5.5</v>
      </c>
    </row>
    <row r="1347" spans="1:12" x14ac:dyDescent="0.25">
      <c r="A1347" s="20">
        <v>1339</v>
      </c>
      <c r="B1347" s="21">
        <f t="shared" ca="1" si="222"/>
        <v>3.0357694623248603</v>
      </c>
      <c r="C1347" s="21">
        <f t="shared" ca="1" si="227"/>
        <v>4095.8250314012375</v>
      </c>
      <c r="D1347" s="21">
        <f t="shared" ca="1" si="223"/>
        <v>0.89290116139957199</v>
      </c>
      <c r="E1347" s="21">
        <f t="shared" ca="1" si="230"/>
        <v>20.54063000111546</v>
      </c>
      <c r="F1347" s="20" t="str">
        <f t="shared" ca="1" si="228"/>
        <v>No</v>
      </c>
      <c r="G1347" s="21">
        <f t="shared" ca="1" si="224"/>
        <v>0</v>
      </c>
      <c r="H1347" s="21">
        <f t="shared" ca="1" si="225"/>
        <v>4116.365661402353</v>
      </c>
      <c r="I1347" s="21">
        <f t="shared" ca="1" si="220"/>
        <v>4117.258562563753</v>
      </c>
      <c r="J1347" s="20">
        <f t="shared" ca="1" si="229"/>
        <v>6</v>
      </c>
      <c r="K1347" s="20">
        <f t="shared" ca="1" si="221"/>
        <v>5</v>
      </c>
      <c r="L1347" s="44">
        <f t="shared" ca="1" si="226"/>
        <v>5.5</v>
      </c>
    </row>
    <row r="1348" spans="1:12" x14ac:dyDescent="0.25">
      <c r="A1348" s="20">
        <v>1340</v>
      </c>
      <c r="B1348" s="21">
        <f t="shared" ca="1" si="222"/>
        <v>0.27658780377256559</v>
      </c>
      <c r="C1348" s="21">
        <f t="shared" ca="1" si="227"/>
        <v>4096.1016192050101</v>
      </c>
      <c r="D1348" s="21">
        <f t="shared" ca="1" si="223"/>
        <v>0.66811653367350199</v>
      </c>
      <c r="E1348" s="21">
        <f t="shared" ca="1" si="230"/>
        <v>21.156943358742865</v>
      </c>
      <c r="F1348" s="20" t="str">
        <f t="shared" ca="1" si="228"/>
        <v>No</v>
      </c>
      <c r="G1348" s="21">
        <f t="shared" ca="1" si="224"/>
        <v>0</v>
      </c>
      <c r="H1348" s="21">
        <f t="shared" ca="1" si="225"/>
        <v>4117.258562563753</v>
      </c>
      <c r="I1348" s="21">
        <f t="shared" ca="1" si="220"/>
        <v>4117.9266790974261</v>
      </c>
      <c r="J1348" s="20">
        <f t="shared" ca="1" si="229"/>
        <v>6</v>
      </c>
      <c r="K1348" s="20">
        <f t="shared" ca="1" si="221"/>
        <v>5</v>
      </c>
      <c r="L1348" s="44">
        <f t="shared" ca="1" si="226"/>
        <v>5.5</v>
      </c>
    </row>
    <row r="1349" spans="1:12" x14ac:dyDescent="0.25">
      <c r="A1349" s="20">
        <v>1341</v>
      </c>
      <c r="B1349" s="21">
        <f t="shared" ca="1" si="222"/>
        <v>2.6050190237260402</v>
      </c>
      <c r="C1349" s="21">
        <f t="shared" ca="1" si="227"/>
        <v>4098.7066382287358</v>
      </c>
      <c r="D1349" s="21">
        <f t="shared" ca="1" si="223"/>
        <v>0.21153946375799873</v>
      </c>
      <c r="E1349" s="21">
        <f t="shared" ca="1" si="230"/>
        <v>19.220040868690376</v>
      </c>
      <c r="F1349" s="20" t="str">
        <f t="shared" ca="1" si="228"/>
        <v>No</v>
      </c>
      <c r="G1349" s="21">
        <f t="shared" ca="1" si="224"/>
        <v>0</v>
      </c>
      <c r="H1349" s="21">
        <f t="shared" ca="1" si="225"/>
        <v>4117.9266790974261</v>
      </c>
      <c r="I1349" s="21">
        <f t="shared" ca="1" si="220"/>
        <v>4118.1382185611837</v>
      </c>
      <c r="J1349" s="20">
        <f t="shared" ca="1" si="229"/>
        <v>6</v>
      </c>
      <c r="K1349" s="20">
        <f t="shared" ca="1" si="221"/>
        <v>5</v>
      </c>
      <c r="L1349" s="44">
        <f t="shared" ca="1" si="226"/>
        <v>5.5</v>
      </c>
    </row>
    <row r="1350" spans="1:12" x14ac:dyDescent="0.25">
      <c r="A1350" s="20">
        <v>1342</v>
      </c>
      <c r="B1350" s="21">
        <f t="shared" ca="1" si="222"/>
        <v>2.9832120227519359</v>
      </c>
      <c r="C1350" s="21">
        <f t="shared" ca="1" si="227"/>
        <v>4101.6898502514878</v>
      </c>
      <c r="D1350" s="21">
        <f t="shared" ca="1" si="223"/>
        <v>6.8522812848470611</v>
      </c>
      <c r="E1350" s="21">
        <f t="shared" ca="1" si="230"/>
        <v>16.448368309695979</v>
      </c>
      <c r="F1350" s="20" t="str">
        <f t="shared" ca="1" si="228"/>
        <v>No</v>
      </c>
      <c r="G1350" s="21">
        <f t="shared" ca="1" si="224"/>
        <v>0</v>
      </c>
      <c r="H1350" s="21">
        <f t="shared" ca="1" si="225"/>
        <v>4118.1382185611837</v>
      </c>
      <c r="I1350" s="21">
        <f t="shared" ca="1" si="220"/>
        <v>4124.9904998460306</v>
      </c>
      <c r="J1350" s="20">
        <f t="shared" ca="1" si="229"/>
        <v>6</v>
      </c>
      <c r="K1350" s="20">
        <f t="shared" ca="1" si="221"/>
        <v>5</v>
      </c>
      <c r="L1350" s="44">
        <f t="shared" ca="1" si="226"/>
        <v>5.5</v>
      </c>
    </row>
    <row r="1351" spans="1:12" x14ac:dyDescent="0.25">
      <c r="A1351" s="20">
        <v>1343</v>
      </c>
      <c r="B1351" s="21">
        <f t="shared" ca="1" si="222"/>
        <v>0.25507841124841135</v>
      </c>
      <c r="C1351" s="21">
        <f t="shared" ca="1" si="227"/>
        <v>4101.9449286627359</v>
      </c>
      <c r="D1351" s="21">
        <f t="shared" ca="1" si="223"/>
        <v>1.9873254420109969</v>
      </c>
      <c r="E1351" s="21">
        <f t="shared" ca="1" si="230"/>
        <v>23.045571183294669</v>
      </c>
      <c r="F1351" s="20" t="str">
        <f t="shared" ca="1" si="228"/>
        <v>No</v>
      </c>
      <c r="G1351" s="21">
        <f t="shared" ca="1" si="224"/>
        <v>0</v>
      </c>
      <c r="H1351" s="21">
        <f t="shared" ca="1" si="225"/>
        <v>4124.9904998460306</v>
      </c>
      <c r="I1351" s="21">
        <f t="shared" ca="1" si="220"/>
        <v>4126.9778252880415</v>
      </c>
      <c r="J1351" s="20">
        <f t="shared" ca="1" si="229"/>
        <v>6</v>
      </c>
      <c r="K1351" s="20">
        <f t="shared" ca="1" si="221"/>
        <v>5</v>
      </c>
      <c r="L1351" s="44">
        <f t="shared" ca="1" si="226"/>
        <v>5.5</v>
      </c>
    </row>
    <row r="1352" spans="1:12" x14ac:dyDescent="0.25">
      <c r="A1352" s="20">
        <v>1344</v>
      </c>
      <c r="B1352" s="21">
        <f t="shared" ca="1" si="222"/>
        <v>0.83557202969964528</v>
      </c>
      <c r="C1352" s="21">
        <f t="shared" ca="1" si="227"/>
        <v>4102.7805006924355</v>
      </c>
      <c r="D1352" s="21">
        <f t="shared" ca="1" si="223"/>
        <v>5.5785850346795867</v>
      </c>
      <c r="E1352" s="21">
        <f t="shared" ca="1" si="230"/>
        <v>24.197324595606005</v>
      </c>
      <c r="F1352" s="20" t="str">
        <f t="shared" ca="1" si="228"/>
        <v>No</v>
      </c>
      <c r="G1352" s="21">
        <f t="shared" ca="1" si="224"/>
        <v>0</v>
      </c>
      <c r="H1352" s="21">
        <f t="shared" ca="1" si="225"/>
        <v>4126.9778252880415</v>
      </c>
      <c r="I1352" s="21">
        <f t="shared" ca="1" si="220"/>
        <v>4132.5564103227207</v>
      </c>
      <c r="J1352" s="20">
        <f t="shared" ca="1" si="229"/>
        <v>6</v>
      </c>
      <c r="K1352" s="20">
        <f t="shared" ca="1" si="221"/>
        <v>5</v>
      </c>
      <c r="L1352" s="44">
        <f t="shared" ca="1" si="226"/>
        <v>5.5</v>
      </c>
    </row>
    <row r="1353" spans="1:12" x14ac:dyDescent="0.25">
      <c r="A1353" s="20">
        <v>1345</v>
      </c>
      <c r="B1353" s="21">
        <f t="shared" ca="1" si="222"/>
        <v>2.9963932859845714</v>
      </c>
      <c r="C1353" s="21">
        <f t="shared" ca="1" si="227"/>
        <v>4105.77689397842</v>
      </c>
      <c r="D1353" s="21">
        <f t="shared" ca="1" si="223"/>
        <v>8.6481711091137434</v>
      </c>
      <c r="E1353" s="21">
        <f t="shared" ca="1" si="230"/>
        <v>26.779516344300646</v>
      </c>
      <c r="F1353" s="20" t="str">
        <f t="shared" ca="1" si="228"/>
        <v>No</v>
      </c>
      <c r="G1353" s="21">
        <f t="shared" ca="1" si="224"/>
        <v>0</v>
      </c>
      <c r="H1353" s="21">
        <f t="shared" ca="1" si="225"/>
        <v>4132.5564103227207</v>
      </c>
      <c r="I1353" s="21">
        <f t="shared" ref="I1353:I1416" ca="1" si="231">$H1353+$D1353</f>
        <v>4141.2045814318344</v>
      </c>
      <c r="J1353" s="20">
        <f t="shared" ca="1" si="229"/>
        <v>6</v>
      </c>
      <c r="K1353" s="20">
        <f t="shared" ref="K1353:K1416" ca="1" si="232">IF($I1353&lt;=$C1354,0,IF($I1353&lt;=$C1355,1,IF($I1353&lt;=$C1356,2,IF($I1353&lt;=$C1357,3,IF($I1353&lt;=$C1358,4,5)))))</f>
        <v>5</v>
      </c>
      <c r="L1353" s="44">
        <f t="shared" ca="1" si="226"/>
        <v>5.5</v>
      </c>
    </row>
    <row r="1354" spans="1:12" x14ac:dyDescent="0.25">
      <c r="A1354" s="20">
        <v>1346</v>
      </c>
      <c r="B1354" s="21">
        <f t="shared" ref="B1354:B1417" ca="1" si="233">-LN(RAND())/$D$4</f>
        <v>1.9791189396374615</v>
      </c>
      <c r="C1354" s="21">
        <f t="shared" ca="1" si="227"/>
        <v>4107.7560129180574</v>
      </c>
      <c r="D1354" s="21">
        <f t="shared" ref="D1354:D1417" ca="1" si="234">-LN(RAND())/$D$6</f>
        <v>8.6416584069829163</v>
      </c>
      <c r="E1354" s="21">
        <f t="shared" ca="1" si="230"/>
        <v>33.448568513776991</v>
      </c>
      <c r="F1354" s="20" t="str">
        <f t="shared" ca="1" si="228"/>
        <v>No</v>
      </c>
      <c r="G1354" s="21">
        <f t="shared" ref="G1354:G1417" ca="1" si="235">IF($I1353&lt;=$C1354,$C1354-$I1353,0)</f>
        <v>0</v>
      </c>
      <c r="H1354" s="21">
        <f t="shared" ref="H1354:H1417" ca="1" si="236">IF($I1353&lt;=$C1354,$C1354,$I1353)</f>
        <v>4141.2045814318344</v>
      </c>
      <c r="I1354" s="21">
        <f t="shared" ca="1" si="231"/>
        <v>4149.8462398388174</v>
      </c>
      <c r="J1354" s="20">
        <f t="shared" ca="1" si="229"/>
        <v>6</v>
      </c>
      <c r="K1354" s="20">
        <f t="shared" ca="1" si="232"/>
        <v>5</v>
      </c>
      <c r="L1354" s="44">
        <f t="shared" ref="L1354:L1417" ca="1" si="237">(J1354+K1354)/2</f>
        <v>5.5</v>
      </c>
    </row>
    <row r="1355" spans="1:12" x14ac:dyDescent="0.25">
      <c r="A1355" s="20">
        <v>1347</v>
      </c>
      <c r="B1355" s="21">
        <f t="shared" ca="1" si="233"/>
        <v>1.1393331255145738</v>
      </c>
      <c r="C1355" s="21">
        <f t="shared" ref="C1355:C1418" ca="1" si="238">$C1354+$B1355</f>
        <v>4108.8953460435723</v>
      </c>
      <c r="D1355" s="21">
        <f t="shared" ca="1" si="234"/>
        <v>0.9551213006535515</v>
      </c>
      <c r="E1355" s="21">
        <f t="shared" ca="1" si="230"/>
        <v>40.950893795245065</v>
      </c>
      <c r="F1355" s="20" t="str">
        <f t="shared" ref="F1355:F1418" ca="1" si="239">IF(E1355=0,"Yes","No")</f>
        <v>No</v>
      </c>
      <c r="G1355" s="21">
        <f t="shared" ca="1" si="235"/>
        <v>0</v>
      </c>
      <c r="H1355" s="21">
        <f t="shared" ca="1" si="236"/>
        <v>4149.8462398388174</v>
      </c>
      <c r="I1355" s="21">
        <f t="shared" ca="1" si="231"/>
        <v>4150.8013611394708</v>
      </c>
      <c r="J1355" s="20">
        <f t="shared" ref="J1355:J1418" ca="1" si="240">IF($I1354&lt;=$C1355,0,$K1354+1)</f>
        <v>6</v>
      </c>
      <c r="K1355" s="20">
        <f t="shared" ca="1" si="232"/>
        <v>5</v>
      </c>
      <c r="L1355" s="44">
        <f t="shared" ca="1" si="237"/>
        <v>5.5</v>
      </c>
    </row>
    <row r="1356" spans="1:12" x14ac:dyDescent="0.25">
      <c r="A1356" s="20">
        <v>1348</v>
      </c>
      <c r="B1356" s="21">
        <f t="shared" ca="1" si="233"/>
        <v>0.68829657361612839</v>
      </c>
      <c r="C1356" s="21">
        <f t="shared" ca="1" si="238"/>
        <v>4109.5836426171882</v>
      </c>
      <c r="D1356" s="21">
        <f t="shared" ca="1" si="234"/>
        <v>10.287149653547791</v>
      </c>
      <c r="E1356" s="21">
        <f t="shared" ref="E1356:E1419" ca="1" si="241">IF($I1355&lt;=$C1356,0,$I1355-$C1356)</f>
        <v>41.217718522282667</v>
      </c>
      <c r="F1356" s="20" t="str">
        <f t="shared" ca="1" si="239"/>
        <v>No</v>
      </c>
      <c r="G1356" s="21">
        <f t="shared" ca="1" si="235"/>
        <v>0</v>
      </c>
      <c r="H1356" s="21">
        <f t="shared" ca="1" si="236"/>
        <v>4150.8013611394708</v>
      </c>
      <c r="I1356" s="21">
        <f t="shared" ca="1" si="231"/>
        <v>4161.0885107930189</v>
      </c>
      <c r="J1356" s="20">
        <f t="shared" ca="1" si="240"/>
        <v>6</v>
      </c>
      <c r="K1356" s="20">
        <f t="shared" ca="1" si="232"/>
        <v>5</v>
      </c>
      <c r="L1356" s="44">
        <f t="shared" ca="1" si="237"/>
        <v>5.5</v>
      </c>
    </row>
    <row r="1357" spans="1:12" x14ac:dyDescent="0.25">
      <c r="A1357" s="20">
        <v>1349</v>
      </c>
      <c r="B1357" s="21">
        <f t="shared" ca="1" si="233"/>
        <v>6.2803356564445654</v>
      </c>
      <c r="C1357" s="21">
        <f t="shared" ca="1" si="238"/>
        <v>4115.8639782736327</v>
      </c>
      <c r="D1357" s="21">
        <f t="shared" ca="1" si="234"/>
        <v>0.22015097495664193</v>
      </c>
      <c r="E1357" s="21">
        <f t="shared" ca="1" si="241"/>
        <v>45.22453251938623</v>
      </c>
      <c r="F1357" s="20" t="str">
        <f t="shared" ca="1" si="239"/>
        <v>No</v>
      </c>
      <c r="G1357" s="21">
        <f t="shared" ca="1" si="235"/>
        <v>0</v>
      </c>
      <c r="H1357" s="21">
        <f t="shared" ca="1" si="236"/>
        <v>4161.0885107930189</v>
      </c>
      <c r="I1357" s="21">
        <f t="shared" ca="1" si="231"/>
        <v>4161.3086617679755</v>
      </c>
      <c r="J1357" s="20">
        <f t="shared" ca="1" si="240"/>
        <v>6</v>
      </c>
      <c r="K1357" s="20">
        <f t="shared" ca="1" si="232"/>
        <v>5</v>
      </c>
      <c r="L1357" s="44">
        <f t="shared" ca="1" si="237"/>
        <v>5.5</v>
      </c>
    </row>
    <row r="1358" spans="1:12" x14ac:dyDescent="0.25">
      <c r="A1358" s="20">
        <v>1350</v>
      </c>
      <c r="B1358" s="21">
        <f t="shared" ca="1" si="233"/>
        <v>0.70200712024216683</v>
      </c>
      <c r="C1358" s="21">
        <f t="shared" ca="1" si="238"/>
        <v>4116.5659853938751</v>
      </c>
      <c r="D1358" s="21">
        <f t="shared" ca="1" si="234"/>
        <v>0.91803295956620801</v>
      </c>
      <c r="E1358" s="21">
        <f t="shared" ca="1" si="241"/>
        <v>44.742676374100483</v>
      </c>
      <c r="F1358" s="20" t="str">
        <f t="shared" ca="1" si="239"/>
        <v>No</v>
      </c>
      <c r="G1358" s="21">
        <f t="shared" ca="1" si="235"/>
        <v>0</v>
      </c>
      <c r="H1358" s="21">
        <f t="shared" ca="1" si="236"/>
        <v>4161.3086617679755</v>
      </c>
      <c r="I1358" s="21">
        <f t="shared" ca="1" si="231"/>
        <v>4162.2266947275421</v>
      </c>
      <c r="J1358" s="20">
        <f t="shared" ca="1" si="240"/>
        <v>6</v>
      </c>
      <c r="K1358" s="20">
        <f t="shared" ca="1" si="232"/>
        <v>5</v>
      </c>
      <c r="L1358" s="44">
        <f t="shared" ca="1" si="237"/>
        <v>5.5</v>
      </c>
    </row>
    <row r="1359" spans="1:12" x14ac:dyDescent="0.25">
      <c r="A1359" s="20">
        <v>1351</v>
      </c>
      <c r="B1359" s="21">
        <f t="shared" ca="1" si="233"/>
        <v>0.17759009060278394</v>
      </c>
      <c r="C1359" s="21">
        <f t="shared" ca="1" si="238"/>
        <v>4116.7435754844782</v>
      </c>
      <c r="D1359" s="21">
        <f t="shared" ca="1" si="234"/>
        <v>4.6211191362249959</v>
      </c>
      <c r="E1359" s="21">
        <f t="shared" ca="1" si="241"/>
        <v>45.483119243063811</v>
      </c>
      <c r="F1359" s="20" t="str">
        <f t="shared" ca="1" si="239"/>
        <v>No</v>
      </c>
      <c r="G1359" s="21">
        <f t="shared" ca="1" si="235"/>
        <v>0</v>
      </c>
      <c r="H1359" s="21">
        <f t="shared" ca="1" si="236"/>
        <v>4162.2266947275421</v>
      </c>
      <c r="I1359" s="21">
        <f t="shared" ca="1" si="231"/>
        <v>4166.8478138637674</v>
      </c>
      <c r="J1359" s="20">
        <f t="shared" ca="1" si="240"/>
        <v>6</v>
      </c>
      <c r="K1359" s="20">
        <f t="shared" ca="1" si="232"/>
        <v>5</v>
      </c>
      <c r="L1359" s="44">
        <f t="shared" ca="1" si="237"/>
        <v>5.5</v>
      </c>
    </row>
    <row r="1360" spans="1:12" x14ac:dyDescent="0.25">
      <c r="A1360" s="20">
        <v>1352</v>
      </c>
      <c r="B1360" s="21">
        <f t="shared" ca="1" si="233"/>
        <v>5.9193357675533402</v>
      </c>
      <c r="C1360" s="21">
        <f t="shared" ca="1" si="238"/>
        <v>4122.6629112520313</v>
      </c>
      <c r="D1360" s="21">
        <f t="shared" ca="1" si="234"/>
        <v>2.8759529780101278</v>
      </c>
      <c r="E1360" s="21">
        <f t="shared" ca="1" si="241"/>
        <v>44.184902611736106</v>
      </c>
      <c r="F1360" s="20" t="str">
        <f t="shared" ca="1" si="239"/>
        <v>No</v>
      </c>
      <c r="G1360" s="21">
        <f t="shared" ca="1" si="235"/>
        <v>0</v>
      </c>
      <c r="H1360" s="21">
        <f t="shared" ca="1" si="236"/>
        <v>4166.8478138637674</v>
      </c>
      <c r="I1360" s="21">
        <f t="shared" ca="1" si="231"/>
        <v>4169.7237668417774</v>
      </c>
      <c r="J1360" s="20">
        <f t="shared" ca="1" si="240"/>
        <v>6</v>
      </c>
      <c r="K1360" s="20">
        <f t="shared" ca="1" si="232"/>
        <v>5</v>
      </c>
      <c r="L1360" s="44">
        <f t="shared" ca="1" si="237"/>
        <v>5.5</v>
      </c>
    </row>
    <row r="1361" spans="1:12" x14ac:dyDescent="0.25">
      <c r="A1361" s="20">
        <v>1353</v>
      </c>
      <c r="B1361" s="21">
        <f t="shared" ca="1" si="233"/>
        <v>3.7055947769105768</v>
      </c>
      <c r="C1361" s="21">
        <f t="shared" ca="1" si="238"/>
        <v>4126.3685060289417</v>
      </c>
      <c r="D1361" s="21">
        <f t="shared" ca="1" si="234"/>
        <v>0.70776338796007443</v>
      </c>
      <c r="E1361" s="21">
        <f t="shared" ca="1" si="241"/>
        <v>43.355260812835695</v>
      </c>
      <c r="F1361" s="20" t="str">
        <f t="shared" ca="1" si="239"/>
        <v>No</v>
      </c>
      <c r="G1361" s="21">
        <f t="shared" ca="1" si="235"/>
        <v>0</v>
      </c>
      <c r="H1361" s="21">
        <f t="shared" ca="1" si="236"/>
        <v>4169.7237668417774</v>
      </c>
      <c r="I1361" s="21">
        <f t="shared" ca="1" si="231"/>
        <v>4170.4315302297373</v>
      </c>
      <c r="J1361" s="20">
        <f t="shared" ca="1" si="240"/>
        <v>6</v>
      </c>
      <c r="K1361" s="20">
        <f t="shared" ca="1" si="232"/>
        <v>5</v>
      </c>
      <c r="L1361" s="44">
        <f t="shared" ca="1" si="237"/>
        <v>5.5</v>
      </c>
    </row>
    <row r="1362" spans="1:12" x14ac:dyDescent="0.25">
      <c r="A1362" s="20">
        <v>1354</v>
      </c>
      <c r="B1362" s="21">
        <f t="shared" ca="1" si="233"/>
        <v>1.6188720995148997</v>
      </c>
      <c r="C1362" s="21">
        <f t="shared" ca="1" si="238"/>
        <v>4127.9873781284568</v>
      </c>
      <c r="D1362" s="21">
        <f t="shared" ca="1" si="234"/>
        <v>4.0182807075181293</v>
      </c>
      <c r="E1362" s="21">
        <f t="shared" ca="1" si="241"/>
        <v>42.444152101280451</v>
      </c>
      <c r="F1362" s="20" t="str">
        <f t="shared" ca="1" si="239"/>
        <v>No</v>
      </c>
      <c r="G1362" s="21">
        <f t="shared" ca="1" si="235"/>
        <v>0</v>
      </c>
      <c r="H1362" s="21">
        <f t="shared" ca="1" si="236"/>
        <v>4170.4315302297373</v>
      </c>
      <c r="I1362" s="21">
        <f t="shared" ca="1" si="231"/>
        <v>4174.4498109372553</v>
      </c>
      <c r="J1362" s="20">
        <f t="shared" ca="1" si="240"/>
        <v>6</v>
      </c>
      <c r="K1362" s="20">
        <f t="shared" ca="1" si="232"/>
        <v>5</v>
      </c>
      <c r="L1362" s="44">
        <f t="shared" ca="1" si="237"/>
        <v>5.5</v>
      </c>
    </row>
    <row r="1363" spans="1:12" x14ac:dyDescent="0.25">
      <c r="A1363" s="20">
        <v>1355</v>
      </c>
      <c r="B1363" s="21">
        <f t="shared" ca="1" si="233"/>
        <v>0.20894920622337029</v>
      </c>
      <c r="C1363" s="21">
        <f t="shared" ca="1" si="238"/>
        <v>4128.1963273346801</v>
      </c>
      <c r="D1363" s="21">
        <f t="shared" ca="1" si="234"/>
        <v>11.807934229091201</v>
      </c>
      <c r="E1363" s="21">
        <f t="shared" ca="1" si="241"/>
        <v>46.253483602575216</v>
      </c>
      <c r="F1363" s="20" t="str">
        <f t="shared" ca="1" si="239"/>
        <v>No</v>
      </c>
      <c r="G1363" s="21">
        <f t="shared" ca="1" si="235"/>
        <v>0</v>
      </c>
      <c r="H1363" s="21">
        <f t="shared" ca="1" si="236"/>
        <v>4174.4498109372553</v>
      </c>
      <c r="I1363" s="21">
        <f t="shared" ca="1" si="231"/>
        <v>4186.2577451663465</v>
      </c>
      <c r="J1363" s="20">
        <f t="shared" ca="1" si="240"/>
        <v>6</v>
      </c>
      <c r="K1363" s="20">
        <f t="shared" ca="1" si="232"/>
        <v>5</v>
      </c>
      <c r="L1363" s="44">
        <f t="shared" ca="1" si="237"/>
        <v>5.5</v>
      </c>
    </row>
    <row r="1364" spans="1:12" x14ac:dyDescent="0.25">
      <c r="A1364" s="20">
        <v>1356</v>
      </c>
      <c r="B1364" s="21">
        <f t="shared" ca="1" si="233"/>
        <v>6.5262872721025467</v>
      </c>
      <c r="C1364" s="21">
        <f t="shared" ca="1" si="238"/>
        <v>4134.7226146067824</v>
      </c>
      <c r="D1364" s="21">
        <f t="shared" ca="1" si="234"/>
        <v>9.3464440211045261</v>
      </c>
      <c r="E1364" s="21">
        <f t="shared" ca="1" si="241"/>
        <v>51.535130559564095</v>
      </c>
      <c r="F1364" s="20" t="str">
        <f t="shared" ca="1" si="239"/>
        <v>No</v>
      </c>
      <c r="G1364" s="21">
        <f t="shared" ca="1" si="235"/>
        <v>0</v>
      </c>
      <c r="H1364" s="21">
        <f t="shared" ca="1" si="236"/>
        <v>4186.2577451663465</v>
      </c>
      <c r="I1364" s="21">
        <f t="shared" ca="1" si="231"/>
        <v>4195.6041891874511</v>
      </c>
      <c r="J1364" s="20">
        <f t="shared" ca="1" si="240"/>
        <v>6</v>
      </c>
      <c r="K1364" s="20">
        <f t="shared" ca="1" si="232"/>
        <v>5</v>
      </c>
      <c r="L1364" s="44">
        <f t="shared" ca="1" si="237"/>
        <v>5.5</v>
      </c>
    </row>
    <row r="1365" spans="1:12" x14ac:dyDescent="0.25">
      <c r="A1365" s="20">
        <v>1357</v>
      </c>
      <c r="B1365" s="21">
        <f t="shared" ca="1" si="233"/>
        <v>3.8975786327780622</v>
      </c>
      <c r="C1365" s="21">
        <f t="shared" ca="1" si="238"/>
        <v>4138.6201932395606</v>
      </c>
      <c r="D1365" s="21">
        <f t="shared" ca="1" si="234"/>
        <v>2.1784861249912022</v>
      </c>
      <c r="E1365" s="21">
        <f t="shared" ca="1" si="241"/>
        <v>56.983995947890435</v>
      </c>
      <c r="F1365" s="20" t="str">
        <f t="shared" ca="1" si="239"/>
        <v>No</v>
      </c>
      <c r="G1365" s="21">
        <f t="shared" ca="1" si="235"/>
        <v>0</v>
      </c>
      <c r="H1365" s="21">
        <f t="shared" ca="1" si="236"/>
        <v>4195.6041891874511</v>
      </c>
      <c r="I1365" s="21">
        <f t="shared" ca="1" si="231"/>
        <v>4197.7826753124427</v>
      </c>
      <c r="J1365" s="20">
        <f t="shared" ca="1" si="240"/>
        <v>6</v>
      </c>
      <c r="K1365" s="20">
        <f t="shared" ca="1" si="232"/>
        <v>5</v>
      </c>
      <c r="L1365" s="44">
        <f t="shared" ca="1" si="237"/>
        <v>5.5</v>
      </c>
    </row>
    <row r="1366" spans="1:12" x14ac:dyDescent="0.25">
      <c r="A1366" s="20">
        <v>1358</v>
      </c>
      <c r="B1366" s="21">
        <f t="shared" ca="1" si="233"/>
        <v>0.17494302713772272</v>
      </c>
      <c r="C1366" s="21">
        <f t="shared" ca="1" si="238"/>
        <v>4138.7951362666981</v>
      </c>
      <c r="D1366" s="21">
        <f t="shared" ca="1" si="234"/>
        <v>3.4602364090115092</v>
      </c>
      <c r="E1366" s="21">
        <f t="shared" ca="1" si="241"/>
        <v>58.987539045744597</v>
      </c>
      <c r="F1366" s="20" t="str">
        <f t="shared" ca="1" si="239"/>
        <v>No</v>
      </c>
      <c r="G1366" s="21">
        <f t="shared" ca="1" si="235"/>
        <v>0</v>
      </c>
      <c r="H1366" s="21">
        <f t="shared" ca="1" si="236"/>
        <v>4197.7826753124427</v>
      </c>
      <c r="I1366" s="21">
        <f t="shared" ca="1" si="231"/>
        <v>4201.2429117214542</v>
      </c>
      <c r="J1366" s="20">
        <f t="shared" ca="1" si="240"/>
        <v>6</v>
      </c>
      <c r="K1366" s="20">
        <f t="shared" ca="1" si="232"/>
        <v>5</v>
      </c>
      <c r="L1366" s="44">
        <f t="shared" ca="1" si="237"/>
        <v>5.5</v>
      </c>
    </row>
    <row r="1367" spans="1:12" x14ac:dyDescent="0.25">
      <c r="A1367" s="20">
        <v>1359</v>
      </c>
      <c r="B1367" s="21">
        <f t="shared" ca="1" si="233"/>
        <v>1.3205099532807691</v>
      </c>
      <c r="C1367" s="21">
        <f t="shared" ca="1" si="238"/>
        <v>4140.1156462199788</v>
      </c>
      <c r="D1367" s="21">
        <f t="shared" ca="1" si="234"/>
        <v>0.62922357140956675</v>
      </c>
      <c r="E1367" s="21">
        <f t="shared" ca="1" si="241"/>
        <v>61.127265501475449</v>
      </c>
      <c r="F1367" s="20" t="str">
        <f t="shared" ca="1" si="239"/>
        <v>No</v>
      </c>
      <c r="G1367" s="21">
        <f t="shared" ca="1" si="235"/>
        <v>0</v>
      </c>
      <c r="H1367" s="21">
        <f t="shared" ca="1" si="236"/>
        <v>4201.2429117214542</v>
      </c>
      <c r="I1367" s="21">
        <f t="shared" ca="1" si="231"/>
        <v>4201.8721352928642</v>
      </c>
      <c r="J1367" s="20">
        <f t="shared" ca="1" si="240"/>
        <v>6</v>
      </c>
      <c r="K1367" s="20">
        <f t="shared" ca="1" si="232"/>
        <v>5</v>
      </c>
      <c r="L1367" s="44">
        <f t="shared" ca="1" si="237"/>
        <v>5.5</v>
      </c>
    </row>
    <row r="1368" spans="1:12" x14ac:dyDescent="0.25">
      <c r="A1368" s="20">
        <v>1360</v>
      </c>
      <c r="B1368" s="21">
        <f t="shared" ca="1" si="233"/>
        <v>1.0646172680867725</v>
      </c>
      <c r="C1368" s="21">
        <f t="shared" ca="1" si="238"/>
        <v>4141.180263488066</v>
      </c>
      <c r="D1368" s="21">
        <f t="shared" ca="1" si="234"/>
        <v>0.32903502061318901</v>
      </c>
      <c r="E1368" s="21">
        <f t="shared" ca="1" si="241"/>
        <v>60.691871804798211</v>
      </c>
      <c r="F1368" s="20" t="str">
        <f t="shared" ca="1" si="239"/>
        <v>No</v>
      </c>
      <c r="G1368" s="21">
        <f t="shared" ca="1" si="235"/>
        <v>0</v>
      </c>
      <c r="H1368" s="21">
        <f t="shared" ca="1" si="236"/>
        <v>4201.8721352928642</v>
      </c>
      <c r="I1368" s="21">
        <f t="shared" ca="1" si="231"/>
        <v>4202.2011703134776</v>
      </c>
      <c r="J1368" s="20">
        <f t="shared" ca="1" si="240"/>
        <v>6</v>
      </c>
      <c r="K1368" s="20">
        <f t="shared" ca="1" si="232"/>
        <v>5</v>
      </c>
      <c r="L1368" s="44">
        <f t="shared" ca="1" si="237"/>
        <v>5.5</v>
      </c>
    </row>
    <row r="1369" spans="1:12" x14ac:dyDescent="0.25">
      <c r="A1369" s="20">
        <v>1361</v>
      </c>
      <c r="B1369" s="21">
        <f t="shared" ca="1" si="233"/>
        <v>4.6805045546357249</v>
      </c>
      <c r="C1369" s="21">
        <f t="shared" ca="1" si="238"/>
        <v>4145.8607680427021</v>
      </c>
      <c r="D1369" s="21">
        <f t="shared" ca="1" si="234"/>
        <v>1.1160358417005072</v>
      </c>
      <c r="E1369" s="21">
        <f t="shared" ca="1" si="241"/>
        <v>56.340402270775485</v>
      </c>
      <c r="F1369" s="20" t="str">
        <f t="shared" ca="1" si="239"/>
        <v>No</v>
      </c>
      <c r="G1369" s="21">
        <f t="shared" ca="1" si="235"/>
        <v>0</v>
      </c>
      <c r="H1369" s="21">
        <f t="shared" ca="1" si="236"/>
        <v>4202.2011703134776</v>
      </c>
      <c r="I1369" s="21">
        <f t="shared" ca="1" si="231"/>
        <v>4203.3172061551777</v>
      </c>
      <c r="J1369" s="20">
        <f t="shared" ca="1" si="240"/>
        <v>6</v>
      </c>
      <c r="K1369" s="20">
        <f t="shared" ca="1" si="232"/>
        <v>5</v>
      </c>
      <c r="L1369" s="44">
        <f t="shared" ca="1" si="237"/>
        <v>5.5</v>
      </c>
    </row>
    <row r="1370" spans="1:12" x14ac:dyDescent="0.25">
      <c r="A1370" s="20">
        <v>1362</v>
      </c>
      <c r="B1370" s="21">
        <f t="shared" ca="1" si="233"/>
        <v>8.9168066677326685</v>
      </c>
      <c r="C1370" s="21">
        <f t="shared" ca="1" si="238"/>
        <v>4154.7775747104351</v>
      </c>
      <c r="D1370" s="21">
        <f t="shared" ca="1" si="234"/>
        <v>1.1265073821818321</v>
      </c>
      <c r="E1370" s="21">
        <f t="shared" ca="1" si="241"/>
        <v>48.539631444742554</v>
      </c>
      <c r="F1370" s="20" t="str">
        <f t="shared" ca="1" si="239"/>
        <v>No</v>
      </c>
      <c r="G1370" s="21">
        <f t="shared" ca="1" si="235"/>
        <v>0</v>
      </c>
      <c r="H1370" s="21">
        <f t="shared" ca="1" si="236"/>
        <v>4203.3172061551777</v>
      </c>
      <c r="I1370" s="21">
        <f t="shared" ca="1" si="231"/>
        <v>4204.4437135373591</v>
      </c>
      <c r="J1370" s="20">
        <f t="shared" ca="1" si="240"/>
        <v>6</v>
      </c>
      <c r="K1370" s="20">
        <f t="shared" ca="1" si="232"/>
        <v>5</v>
      </c>
      <c r="L1370" s="44">
        <f t="shared" ca="1" si="237"/>
        <v>5.5</v>
      </c>
    </row>
    <row r="1371" spans="1:12" x14ac:dyDescent="0.25">
      <c r="A1371" s="20">
        <v>1363</v>
      </c>
      <c r="B1371" s="21">
        <f t="shared" ca="1" si="233"/>
        <v>0.78864174616703353</v>
      </c>
      <c r="C1371" s="21">
        <f t="shared" ca="1" si="238"/>
        <v>4155.566216456602</v>
      </c>
      <c r="D1371" s="21">
        <f t="shared" ca="1" si="234"/>
        <v>2.2157367310885401</v>
      </c>
      <c r="E1371" s="21">
        <f t="shared" ca="1" si="241"/>
        <v>48.877497080757166</v>
      </c>
      <c r="F1371" s="20" t="str">
        <f t="shared" ca="1" si="239"/>
        <v>No</v>
      </c>
      <c r="G1371" s="21">
        <f t="shared" ca="1" si="235"/>
        <v>0</v>
      </c>
      <c r="H1371" s="21">
        <f t="shared" ca="1" si="236"/>
        <v>4204.4437135373591</v>
      </c>
      <c r="I1371" s="21">
        <f t="shared" ca="1" si="231"/>
        <v>4206.6594502684475</v>
      </c>
      <c r="J1371" s="20">
        <f t="shared" ca="1" si="240"/>
        <v>6</v>
      </c>
      <c r="K1371" s="20">
        <f t="shared" ca="1" si="232"/>
        <v>5</v>
      </c>
      <c r="L1371" s="44">
        <f t="shared" ca="1" si="237"/>
        <v>5.5</v>
      </c>
    </row>
    <row r="1372" spans="1:12" x14ac:dyDescent="0.25">
      <c r="A1372" s="20">
        <v>1364</v>
      </c>
      <c r="B1372" s="21">
        <f t="shared" ca="1" si="233"/>
        <v>3.8724160995544401</v>
      </c>
      <c r="C1372" s="21">
        <f t="shared" ca="1" si="238"/>
        <v>4159.4386325561563</v>
      </c>
      <c r="D1372" s="21">
        <f t="shared" ca="1" si="234"/>
        <v>1.8332082033207557</v>
      </c>
      <c r="E1372" s="21">
        <f t="shared" ca="1" si="241"/>
        <v>47.220817712291137</v>
      </c>
      <c r="F1372" s="20" t="str">
        <f t="shared" ca="1" si="239"/>
        <v>No</v>
      </c>
      <c r="G1372" s="21">
        <f t="shared" ca="1" si="235"/>
        <v>0</v>
      </c>
      <c r="H1372" s="21">
        <f t="shared" ca="1" si="236"/>
        <v>4206.6594502684475</v>
      </c>
      <c r="I1372" s="21">
        <f t="shared" ca="1" si="231"/>
        <v>4208.4926584717687</v>
      </c>
      <c r="J1372" s="20">
        <f t="shared" ca="1" si="240"/>
        <v>6</v>
      </c>
      <c r="K1372" s="20">
        <f t="shared" ca="1" si="232"/>
        <v>5</v>
      </c>
      <c r="L1372" s="44">
        <f t="shared" ca="1" si="237"/>
        <v>5.5</v>
      </c>
    </row>
    <row r="1373" spans="1:12" x14ac:dyDescent="0.25">
      <c r="A1373" s="20">
        <v>1365</v>
      </c>
      <c r="B1373" s="21">
        <f t="shared" ca="1" si="233"/>
        <v>0.40754226180807679</v>
      </c>
      <c r="C1373" s="21">
        <f t="shared" ca="1" si="238"/>
        <v>4159.8461748179643</v>
      </c>
      <c r="D1373" s="21">
        <f t="shared" ca="1" si="234"/>
        <v>0.2557573819820283</v>
      </c>
      <c r="E1373" s="21">
        <f t="shared" ca="1" si="241"/>
        <v>48.646483653804353</v>
      </c>
      <c r="F1373" s="20" t="str">
        <f t="shared" ca="1" si="239"/>
        <v>No</v>
      </c>
      <c r="G1373" s="21">
        <f t="shared" ca="1" si="235"/>
        <v>0</v>
      </c>
      <c r="H1373" s="21">
        <f t="shared" ca="1" si="236"/>
        <v>4208.4926584717687</v>
      </c>
      <c r="I1373" s="21">
        <f t="shared" ca="1" si="231"/>
        <v>4208.7484158537509</v>
      </c>
      <c r="J1373" s="20">
        <f t="shared" ca="1" si="240"/>
        <v>6</v>
      </c>
      <c r="K1373" s="20">
        <f t="shared" ca="1" si="232"/>
        <v>5</v>
      </c>
      <c r="L1373" s="44">
        <f t="shared" ca="1" si="237"/>
        <v>5.5</v>
      </c>
    </row>
    <row r="1374" spans="1:12" x14ac:dyDescent="0.25">
      <c r="A1374" s="20">
        <v>1366</v>
      </c>
      <c r="B1374" s="21">
        <f t="shared" ca="1" si="233"/>
        <v>0.95981710026104639</v>
      </c>
      <c r="C1374" s="21">
        <f t="shared" ca="1" si="238"/>
        <v>4160.8059919182251</v>
      </c>
      <c r="D1374" s="21">
        <f t="shared" ca="1" si="234"/>
        <v>0.19886219230496679</v>
      </c>
      <c r="E1374" s="21">
        <f t="shared" ca="1" si="241"/>
        <v>47.942423935525767</v>
      </c>
      <c r="F1374" s="20" t="str">
        <f t="shared" ca="1" si="239"/>
        <v>No</v>
      </c>
      <c r="G1374" s="21">
        <f t="shared" ca="1" si="235"/>
        <v>0</v>
      </c>
      <c r="H1374" s="21">
        <f t="shared" ca="1" si="236"/>
        <v>4208.7484158537509</v>
      </c>
      <c r="I1374" s="21">
        <f t="shared" ca="1" si="231"/>
        <v>4208.9472780460555</v>
      </c>
      <c r="J1374" s="20">
        <f t="shared" ca="1" si="240"/>
        <v>6</v>
      </c>
      <c r="K1374" s="20">
        <f t="shared" ca="1" si="232"/>
        <v>5</v>
      </c>
      <c r="L1374" s="44">
        <f t="shared" ca="1" si="237"/>
        <v>5.5</v>
      </c>
    </row>
    <row r="1375" spans="1:12" x14ac:dyDescent="0.25">
      <c r="A1375" s="20">
        <v>1367</v>
      </c>
      <c r="B1375" s="21">
        <f t="shared" ca="1" si="233"/>
        <v>1.6141439791484449</v>
      </c>
      <c r="C1375" s="21">
        <f t="shared" ca="1" si="238"/>
        <v>4162.4201358973733</v>
      </c>
      <c r="D1375" s="21">
        <f t="shared" ca="1" si="234"/>
        <v>4.5246921764983901</v>
      </c>
      <c r="E1375" s="21">
        <f t="shared" ca="1" si="241"/>
        <v>46.527142148682287</v>
      </c>
      <c r="F1375" s="20" t="str">
        <f t="shared" ca="1" si="239"/>
        <v>No</v>
      </c>
      <c r="G1375" s="21">
        <f t="shared" ca="1" si="235"/>
        <v>0</v>
      </c>
      <c r="H1375" s="21">
        <f t="shared" ca="1" si="236"/>
        <v>4208.9472780460555</v>
      </c>
      <c r="I1375" s="21">
        <f t="shared" ca="1" si="231"/>
        <v>4213.4719702225539</v>
      </c>
      <c r="J1375" s="20">
        <f t="shared" ca="1" si="240"/>
        <v>6</v>
      </c>
      <c r="K1375" s="20">
        <f t="shared" ca="1" si="232"/>
        <v>5</v>
      </c>
      <c r="L1375" s="44">
        <f t="shared" ca="1" si="237"/>
        <v>5.5</v>
      </c>
    </row>
    <row r="1376" spans="1:12" x14ac:dyDescent="0.25">
      <c r="A1376" s="20">
        <v>1368</v>
      </c>
      <c r="B1376" s="21">
        <f t="shared" ca="1" si="233"/>
        <v>2.0365612330109446</v>
      </c>
      <c r="C1376" s="21">
        <f t="shared" ca="1" si="238"/>
        <v>4164.4566971303839</v>
      </c>
      <c r="D1376" s="21">
        <f t="shared" ca="1" si="234"/>
        <v>4.5142161951080162</v>
      </c>
      <c r="E1376" s="21">
        <f t="shared" ca="1" si="241"/>
        <v>49.015273092169991</v>
      </c>
      <c r="F1376" s="20" t="str">
        <f t="shared" ca="1" si="239"/>
        <v>No</v>
      </c>
      <c r="G1376" s="21">
        <f t="shared" ca="1" si="235"/>
        <v>0</v>
      </c>
      <c r="H1376" s="21">
        <f t="shared" ca="1" si="236"/>
        <v>4213.4719702225539</v>
      </c>
      <c r="I1376" s="21">
        <f t="shared" ca="1" si="231"/>
        <v>4217.9861864176619</v>
      </c>
      <c r="J1376" s="20">
        <f t="shared" ca="1" si="240"/>
        <v>6</v>
      </c>
      <c r="K1376" s="20">
        <f t="shared" ca="1" si="232"/>
        <v>5</v>
      </c>
      <c r="L1376" s="44">
        <f t="shared" ca="1" si="237"/>
        <v>5.5</v>
      </c>
    </row>
    <row r="1377" spans="1:12" x14ac:dyDescent="0.25">
      <c r="A1377" s="20">
        <v>1369</v>
      </c>
      <c r="B1377" s="21">
        <f t="shared" ca="1" si="233"/>
        <v>3.4753819585598431</v>
      </c>
      <c r="C1377" s="21">
        <f t="shared" ca="1" si="238"/>
        <v>4167.9320790889433</v>
      </c>
      <c r="D1377" s="21">
        <f t="shared" ca="1" si="234"/>
        <v>5.3269493160271262</v>
      </c>
      <c r="E1377" s="21">
        <f t="shared" ca="1" si="241"/>
        <v>50.054107328718601</v>
      </c>
      <c r="F1377" s="20" t="str">
        <f t="shared" ca="1" si="239"/>
        <v>No</v>
      </c>
      <c r="G1377" s="21">
        <f t="shared" ca="1" si="235"/>
        <v>0</v>
      </c>
      <c r="H1377" s="21">
        <f t="shared" ca="1" si="236"/>
        <v>4217.9861864176619</v>
      </c>
      <c r="I1377" s="21">
        <f t="shared" ca="1" si="231"/>
        <v>4223.3131357336888</v>
      </c>
      <c r="J1377" s="20">
        <f t="shared" ca="1" si="240"/>
        <v>6</v>
      </c>
      <c r="K1377" s="20">
        <f t="shared" ca="1" si="232"/>
        <v>5</v>
      </c>
      <c r="L1377" s="44">
        <f t="shared" ca="1" si="237"/>
        <v>5.5</v>
      </c>
    </row>
    <row r="1378" spans="1:12" x14ac:dyDescent="0.25">
      <c r="A1378" s="20">
        <v>1370</v>
      </c>
      <c r="B1378" s="21">
        <f t="shared" ca="1" si="233"/>
        <v>1.4669344794148187</v>
      </c>
      <c r="C1378" s="21">
        <f t="shared" ca="1" si="238"/>
        <v>4169.399013568358</v>
      </c>
      <c r="D1378" s="21">
        <f t="shared" ca="1" si="234"/>
        <v>2.7406383121113702</v>
      </c>
      <c r="E1378" s="21">
        <f t="shared" ca="1" si="241"/>
        <v>53.914122165330809</v>
      </c>
      <c r="F1378" s="20" t="str">
        <f t="shared" ca="1" si="239"/>
        <v>No</v>
      </c>
      <c r="G1378" s="21">
        <f t="shared" ca="1" si="235"/>
        <v>0</v>
      </c>
      <c r="H1378" s="21">
        <f t="shared" ca="1" si="236"/>
        <v>4223.3131357336888</v>
      </c>
      <c r="I1378" s="21">
        <f t="shared" ca="1" si="231"/>
        <v>4226.0537740458003</v>
      </c>
      <c r="J1378" s="20">
        <f t="shared" ca="1" si="240"/>
        <v>6</v>
      </c>
      <c r="K1378" s="20">
        <f t="shared" ca="1" si="232"/>
        <v>5</v>
      </c>
      <c r="L1378" s="44">
        <f t="shared" ca="1" si="237"/>
        <v>5.5</v>
      </c>
    </row>
    <row r="1379" spans="1:12" x14ac:dyDescent="0.25">
      <c r="A1379" s="20">
        <v>1371</v>
      </c>
      <c r="B1379" s="21">
        <f t="shared" ca="1" si="233"/>
        <v>0.92306777168107657</v>
      </c>
      <c r="C1379" s="21">
        <f t="shared" ca="1" si="238"/>
        <v>4170.3220813400394</v>
      </c>
      <c r="D1379" s="21">
        <f t="shared" ca="1" si="234"/>
        <v>0.99724923386741382</v>
      </c>
      <c r="E1379" s="21">
        <f t="shared" ca="1" si="241"/>
        <v>55.731692705760906</v>
      </c>
      <c r="F1379" s="20" t="str">
        <f t="shared" ca="1" si="239"/>
        <v>No</v>
      </c>
      <c r="G1379" s="21">
        <f t="shared" ca="1" si="235"/>
        <v>0</v>
      </c>
      <c r="H1379" s="21">
        <f t="shared" ca="1" si="236"/>
        <v>4226.0537740458003</v>
      </c>
      <c r="I1379" s="21">
        <f t="shared" ca="1" si="231"/>
        <v>4227.0510232796678</v>
      </c>
      <c r="J1379" s="20">
        <f t="shared" ca="1" si="240"/>
        <v>6</v>
      </c>
      <c r="K1379" s="20">
        <f t="shared" ca="1" si="232"/>
        <v>5</v>
      </c>
      <c r="L1379" s="44">
        <f t="shared" ca="1" si="237"/>
        <v>5.5</v>
      </c>
    </row>
    <row r="1380" spans="1:12" x14ac:dyDescent="0.25">
      <c r="A1380" s="20">
        <v>1372</v>
      </c>
      <c r="B1380" s="21">
        <f t="shared" ca="1" si="233"/>
        <v>0.56738412174069353</v>
      </c>
      <c r="C1380" s="21">
        <f t="shared" ca="1" si="238"/>
        <v>4170.8894654617798</v>
      </c>
      <c r="D1380" s="21">
        <f t="shared" ca="1" si="234"/>
        <v>0.3110138730138875</v>
      </c>
      <c r="E1380" s="21">
        <f t="shared" ca="1" si="241"/>
        <v>56.161557817888024</v>
      </c>
      <c r="F1380" s="20" t="str">
        <f t="shared" ca="1" si="239"/>
        <v>No</v>
      </c>
      <c r="G1380" s="21">
        <f t="shared" ca="1" si="235"/>
        <v>0</v>
      </c>
      <c r="H1380" s="21">
        <f t="shared" ca="1" si="236"/>
        <v>4227.0510232796678</v>
      </c>
      <c r="I1380" s="21">
        <f t="shared" ca="1" si="231"/>
        <v>4227.3620371526813</v>
      </c>
      <c r="J1380" s="20">
        <f t="shared" ca="1" si="240"/>
        <v>6</v>
      </c>
      <c r="K1380" s="20">
        <f t="shared" ca="1" si="232"/>
        <v>5</v>
      </c>
      <c r="L1380" s="44">
        <f t="shared" ca="1" si="237"/>
        <v>5.5</v>
      </c>
    </row>
    <row r="1381" spans="1:12" x14ac:dyDescent="0.25">
      <c r="A1381" s="20">
        <v>1373</v>
      </c>
      <c r="B1381" s="21">
        <f t="shared" ca="1" si="233"/>
        <v>0.40755918638962674</v>
      </c>
      <c r="C1381" s="21">
        <f t="shared" ca="1" si="238"/>
        <v>4171.2970246481691</v>
      </c>
      <c r="D1381" s="21">
        <f t="shared" ca="1" si="234"/>
        <v>2.3867538317960824</v>
      </c>
      <c r="E1381" s="21">
        <f t="shared" ca="1" si="241"/>
        <v>56.065012504512197</v>
      </c>
      <c r="F1381" s="20" t="str">
        <f t="shared" ca="1" si="239"/>
        <v>No</v>
      </c>
      <c r="G1381" s="21">
        <f t="shared" ca="1" si="235"/>
        <v>0</v>
      </c>
      <c r="H1381" s="21">
        <f t="shared" ca="1" si="236"/>
        <v>4227.3620371526813</v>
      </c>
      <c r="I1381" s="21">
        <f t="shared" ca="1" si="231"/>
        <v>4229.7487909844776</v>
      </c>
      <c r="J1381" s="20">
        <f t="shared" ca="1" si="240"/>
        <v>6</v>
      </c>
      <c r="K1381" s="20">
        <f t="shared" ca="1" si="232"/>
        <v>5</v>
      </c>
      <c r="L1381" s="44">
        <f t="shared" ca="1" si="237"/>
        <v>5.5</v>
      </c>
    </row>
    <row r="1382" spans="1:12" x14ac:dyDescent="0.25">
      <c r="A1382" s="20">
        <v>1374</v>
      </c>
      <c r="B1382" s="21">
        <f t="shared" ca="1" si="233"/>
        <v>3.9006516668478763</v>
      </c>
      <c r="C1382" s="21">
        <f t="shared" ca="1" si="238"/>
        <v>4175.1976763150169</v>
      </c>
      <c r="D1382" s="21">
        <f t="shared" ca="1" si="234"/>
        <v>0.58717090999734978</v>
      </c>
      <c r="E1382" s="21">
        <f t="shared" ca="1" si="241"/>
        <v>54.551114669460731</v>
      </c>
      <c r="F1382" s="20" t="str">
        <f t="shared" ca="1" si="239"/>
        <v>No</v>
      </c>
      <c r="G1382" s="21">
        <f t="shared" ca="1" si="235"/>
        <v>0</v>
      </c>
      <c r="H1382" s="21">
        <f t="shared" ca="1" si="236"/>
        <v>4229.7487909844776</v>
      </c>
      <c r="I1382" s="21">
        <f t="shared" ca="1" si="231"/>
        <v>4230.3359618944751</v>
      </c>
      <c r="J1382" s="20">
        <f t="shared" ca="1" si="240"/>
        <v>6</v>
      </c>
      <c r="K1382" s="20">
        <f t="shared" ca="1" si="232"/>
        <v>5</v>
      </c>
      <c r="L1382" s="44">
        <f t="shared" ca="1" si="237"/>
        <v>5.5</v>
      </c>
    </row>
    <row r="1383" spans="1:12" x14ac:dyDescent="0.25">
      <c r="A1383" s="20">
        <v>1375</v>
      </c>
      <c r="B1383" s="21">
        <f t="shared" ca="1" si="233"/>
        <v>5.5879841705377912E-3</v>
      </c>
      <c r="C1383" s="21">
        <f t="shared" ca="1" si="238"/>
        <v>4175.2032642991871</v>
      </c>
      <c r="D1383" s="21">
        <f t="shared" ca="1" si="234"/>
        <v>1.7361562853192196</v>
      </c>
      <c r="E1383" s="21">
        <f t="shared" ca="1" si="241"/>
        <v>55.132697595287937</v>
      </c>
      <c r="F1383" s="20" t="str">
        <f t="shared" ca="1" si="239"/>
        <v>No</v>
      </c>
      <c r="G1383" s="21">
        <f t="shared" ca="1" si="235"/>
        <v>0</v>
      </c>
      <c r="H1383" s="21">
        <f t="shared" ca="1" si="236"/>
        <v>4230.3359618944751</v>
      </c>
      <c r="I1383" s="21">
        <f t="shared" ca="1" si="231"/>
        <v>4232.0721181797944</v>
      </c>
      <c r="J1383" s="20">
        <f t="shared" ca="1" si="240"/>
        <v>6</v>
      </c>
      <c r="K1383" s="20">
        <f t="shared" ca="1" si="232"/>
        <v>5</v>
      </c>
      <c r="L1383" s="44">
        <f t="shared" ca="1" si="237"/>
        <v>5.5</v>
      </c>
    </row>
    <row r="1384" spans="1:12" x14ac:dyDescent="0.25">
      <c r="A1384" s="20">
        <v>1376</v>
      </c>
      <c r="B1384" s="21">
        <f t="shared" ca="1" si="233"/>
        <v>1.1794519631917642</v>
      </c>
      <c r="C1384" s="21">
        <f t="shared" ca="1" si="238"/>
        <v>4176.3827162623793</v>
      </c>
      <c r="D1384" s="21">
        <f t="shared" ca="1" si="234"/>
        <v>1.3533648568688328</v>
      </c>
      <c r="E1384" s="21">
        <f t="shared" ca="1" si="241"/>
        <v>55.689401917415125</v>
      </c>
      <c r="F1384" s="20" t="str">
        <f t="shared" ca="1" si="239"/>
        <v>No</v>
      </c>
      <c r="G1384" s="21">
        <f t="shared" ca="1" si="235"/>
        <v>0</v>
      </c>
      <c r="H1384" s="21">
        <f t="shared" ca="1" si="236"/>
        <v>4232.0721181797944</v>
      </c>
      <c r="I1384" s="21">
        <f t="shared" ca="1" si="231"/>
        <v>4233.4254830366635</v>
      </c>
      <c r="J1384" s="20">
        <f t="shared" ca="1" si="240"/>
        <v>6</v>
      </c>
      <c r="K1384" s="20">
        <f t="shared" ca="1" si="232"/>
        <v>5</v>
      </c>
      <c r="L1384" s="44">
        <f t="shared" ca="1" si="237"/>
        <v>5.5</v>
      </c>
    </row>
    <row r="1385" spans="1:12" x14ac:dyDescent="0.25">
      <c r="A1385" s="20">
        <v>1377</v>
      </c>
      <c r="B1385" s="21">
        <f t="shared" ca="1" si="233"/>
        <v>4.0325882764420324</v>
      </c>
      <c r="C1385" s="21">
        <f t="shared" ca="1" si="238"/>
        <v>4180.4153045388211</v>
      </c>
      <c r="D1385" s="21">
        <f t="shared" ca="1" si="234"/>
        <v>0.28196903887329511</v>
      </c>
      <c r="E1385" s="21">
        <f t="shared" ca="1" si="241"/>
        <v>53.010178497842389</v>
      </c>
      <c r="F1385" s="20" t="str">
        <f t="shared" ca="1" si="239"/>
        <v>No</v>
      </c>
      <c r="G1385" s="21">
        <f t="shared" ca="1" si="235"/>
        <v>0</v>
      </c>
      <c r="H1385" s="21">
        <f t="shared" ca="1" si="236"/>
        <v>4233.4254830366635</v>
      </c>
      <c r="I1385" s="21">
        <f t="shared" ca="1" si="231"/>
        <v>4233.7074520755368</v>
      </c>
      <c r="J1385" s="20">
        <f t="shared" ca="1" si="240"/>
        <v>6</v>
      </c>
      <c r="K1385" s="20">
        <f t="shared" ca="1" si="232"/>
        <v>5</v>
      </c>
      <c r="L1385" s="44">
        <f t="shared" ca="1" si="237"/>
        <v>5.5</v>
      </c>
    </row>
    <row r="1386" spans="1:12" x14ac:dyDescent="0.25">
      <c r="A1386" s="20">
        <v>1378</v>
      </c>
      <c r="B1386" s="21">
        <f t="shared" ca="1" si="233"/>
        <v>1.0125661939911568</v>
      </c>
      <c r="C1386" s="21">
        <f t="shared" ca="1" si="238"/>
        <v>4181.4278707328122</v>
      </c>
      <c r="D1386" s="21">
        <f t="shared" ca="1" si="234"/>
        <v>2.3861780225101357</v>
      </c>
      <c r="E1386" s="21">
        <f t="shared" ca="1" si="241"/>
        <v>52.279581342724669</v>
      </c>
      <c r="F1386" s="20" t="str">
        <f t="shared" ca="1" si="239"/>
        <v>No</v>
      </c>
      <c r="G1386" s="21">
        <f t="shared" ca="1" si="235"/>
        <v>0</v>
      </c>
      <c r="H1386" s="21">
        <f t="shared" ca="1" si="236"/>
        <v>4233.7074520755368</v>
      </c>
      <c r="I1386" s="21">
        <f t="shared" ca="1" si="231"/>
        <v>4236.0936300980466</v>
      </c>
      <c r="J1386" s="20">
        <f t="shared" ca="1" si="240"/>
        <v>6</v>
      </c>
      <c r="K1386" s="20">
        <f t="shared" ca="1" si="232"/>
        <v>5</v>
      </c>
      <c r="L1386" s="44">
        <f t="shared" ca="1" si="237"/>
        <v>5.5</v>
      </c>
    </row>
    <row r="1387" spans="1:12" x14ac:dyDescent="0.25">
      <c r="A1387" s="20">
        <v>1379</v>
      </c>
      <c r="B1387" s="21">
        <f t="shared" ca="1" si="233"/>
        <v>3.1993306658772389</v>
      </c>
      <c r="C1387" s="21">
        <f t="shared" ca="1" si="238"/>
        <v>4184.6272013986891</v>
      </c>
      <c r="D1387" s="21">
        <f t="shared" ca="1" si="234"/>
        <v>0.21112011310261375</v>
      </c>
      <c r="E1387" s="21">
        <f t="shared" ca="1" si="241"/>
        <v>51.466428699357493</v>
      </c>
      <c r="F1387" s="20" t="str">
        <f t="shared" ca="1" si="239"/>
        <v>No</v>
      </c>
      <c r="G1387" s="21">
        <f t="shared" ca="1" si="235"/>
        <v>0</v>
      </c>
      <c r="H1387" s="21">
        <f t="shared" ca="1" si="236"/>
        <v>4236.0936300980466</v>
      </c>
      <c r="I1387" s="21">
        <f t="shared" ca="1" si="231"/>
        <v>4236.3047502111494</v>
      </c>
      <c r="J1387" s="20">
        <f t="shared" ca="1" si="240"/>
        <v>6</v>
      </c>
      <c r="K1387" s="20">
        <f t="shared" ca="1" si="232"/>
        <v>5</v>
      </c>
      <c r="L1387" s="44">
        <f t="shared" ca="1" si="237"/>
        <v>5.5</v>
      </c>
    </row>
    <row r="1388" spans="1:12" x14ac:dyDescent="0.25">
      <c r="A1388" s="20">
        <v>1380</v>
      </c>
      <c r="B1388" s="21">
        <f t="shared" ca="1" si="233"/>
        <v>0.21595309510906496</v>
      </c>
      <c r="C1388" s="21">
        <f t="shared" ca="1" si="238"/>
        <v>4184.8431544937985</v>
      </c>
      <c r="D1388" s="21">
        <f t="shared" ca="1" si="234"/>
        <v>1.3390137744322623</v>
      </c>
      <c r="E1388" s="21">
        <f t="shared" ca="1" si="241"/>
        <v>51.461595717350974</v>
      </c>
      <c r="F1388" s="20" t="str">
        <f t="shared" ca="1" si="239"/>
        <v>No</v>
      </c>
      <c r="G1388" s="21">
        <f t="shared" ca="1" si="235"/>
        <v>0</v>
      </c>
      <c r="H1388" s="21">
        <f t="shared" ca="1" si="236"/>
        <v>4236.3047502111494</v>
      </c>
      <c r="I1388" s="21">
        <f t="shared" ca="1" si="231"/>
        <v>4237.6437639855822</v>
      </c>
      <c r="J1388" s="20">
        <f t="shared" ca="1" si="240"/>
        <v>6</v>
      </c>
      <c r="K1388" s="20">
        <f t="shared" ca="1" si="232"/>
        <v>5</v>
      </c>
      <c r="L1388" s="44">
        <f t="shared" ca="1" si="237"/>
        <v>5.5</v>
      </c>
    </row>
    <row r="1389" spans="1:12" x14ac:dyDescent="0.25">
      <c r="A1389" s="20">
        <v>1381</v>
      </c>
      <c r="B1389" s="21">
        <f t="shared" ca="1" si="233"/>
        <v>0.62432975457858819</v>
      </c>
      <c r="C1389" s="21">
        <f t="shared" ca="1" si="238"/>
        <v>4185.4674842483773</v>
      </c>
      <c r="D1389" s="21">
        <f t="shared" ca="1" si="234"/>
        <v>3.0989435013793698</v>
      </c>
      <c r="E1389" s="21">
        <f t="shared" ca="1" si="241"/>
        <v>52.176279737204823</v>
      </c>
      <c r="F1389" s="20" t="str">
        <f t="shared" ca="1" si="239"/>
        <v>No</v>
      </c>
      <c r="G1389" s="21">
        <f t="shared" ca="1" si="235"/>
        <v>0</v>
      </c>
      <c r="H1389" s="21">
        <f t="shared" ca="1" si="236"/>
        <v>4237.6437639855822</v>
      </c>
      <c r="I1389" s="21">
        <f t="shared" ca="1" si="231"/>
        <v>4240.7427074869611</v>
      </c>
      <c r="J1389" s="20">
        <f t="shared" ca="1" si="240"/>
        <v>6</v>
      </c>
      <c r="K1389" s="20">
        <f t="shared" ca="1" si="232"/>
        <v>5</v>
      </c>
      <c r="L1389" s="44">
        <f t="shared" ca="1" si="237"/>
        <v>5.5</v>
      </c>
    </row>
    <row r="1390" spans="1:12" x14ac:dyDescent="0.25">
      <c r="A1390" s="20">
        <v>1382</v>
      </c>
      <c r="B1390" s="21">
        <f t="shared" ca="1" si="233"/>
        <v>8.8606610805538502</v>
      </c>
      <c r="C1390" s="21">
        <f t="shared" ca="1" si="238"/>
        <v>4194.328145328931</v>
      </c>
      <c r="D1390" s="21">
        <f t="shared" ca="1" si="234"/>
        <v>0.69566112226245214</v>
      </c>
      <c r="E1390" s="21">
        <f t="shared" ca="1" si="241"/>
        <v>46.414562158030094</v>
      </c>
      <c r="F1390" s="20" t="str">
        <f t="shared" ca="1" si="239"/>
        <v>No</v>
      </c>
      <c r="G1390" s="21">
        <f t="shared" ca="1" si="235"/>
        <v>0</v>
      </c>
      <c r="H1390" s="21">
        <f t="shared" ca="1" si="236"/>
        <v>4240.7427074869611</v>
      </c>
      <c r="I1390" s="21">
        <f t="shared" ca="1" si="231"/>
        <v>4241.4383686092233</v>
      </c>
      <c r="J1390" s="20">
        <f t="shared" ca="1" si="240"/>
        <v>6</v>
      </c>
      <c r="K1390" s="20">
        <f t="shared" ca="1" si="232"/>
        <v>5</v>
      </c>
      <c r="L1390" s="44">
        <f t="shared" ca="1" si="237"/>
        <v>5.5</v>
      </c>
    </row>
    <row r="1391" spans="1:12" x14ac:dyDescent="0.25">
      <c r="A1391" s="20">
        <v>1383</v>
      </c>
      <c r="B1391" s="21">
        <f t="shared" ca="1" si="233"/>
        <v>3.6522304624121196</v>
      </c>
      <c r="C1391" s="21">
        <f t="shared" ca="1" si="238"/>
        <v>4197.9803757913432</v>
      </c>
      <c r="D1391" s="21">
        <f t="shared" ca="1" si="234"/>
        <v>0.8357386622852303</v>
      </c>
      <c r="E1391" s="21">
        <f t="shared" ca="1" si="241"/>
        <v>43.45799281788004</v>
      </c>
      <c r="F1391" s="20" t="str">
        <f t="shared" ca="1" si="239"/>
        <v>No</v>
      </c>
      <c r="G1391" s="21">
        <f t="shared" ca="1" si="235"/>
        <v>0</v>
      </c>
      <c r="H1391" s="21">
        <f t="shared" ca="1" si="236"/>
        <v>4241.4383686092233</v>
      </c>
      <c r="I1391" s="21">
        <f t="shared" ca="1" si="231"/>
        <v>4242.2741072715089</v>
      </c>
      <c r="J1391" s="20">
        <f t="shared" ca="1" si="240"/>
        <v>6</v>
      </c>
      <c r="K1391" s="20">
        <f t="shared" ca="1" si="232"/>
        <v>5</v>
      </c>
      <c r="L1391" s="44">
        <f t="shared" ca="1" si="237"/>
        <v>5.5</v>
      </c>
    </row>
    <row r="1392" spans="1:12" x14ac:dyDescent="0.25">
      <c r="A1392" s="20">
        <v>1384</v>
      </c>
      <c r="B1392" s="21">
        <f t="shared" ca="1" si="233"/>
        <v>0.33870096274352463</v>
      </c>
      <c r="C1392" s="21">
        <f t="shared" ca="1" si="238"/>
        <v>4198.3190767540864</v>
      </c>
      <c r="D1392" s="21">
        <f t="shared" ca="1" si="234"/>
        <v>1.0394996654046975</v>
      </c>
      <c r="E1392" s="21">
        <f t="shared" ca="1" si="241"/>
        <v>43.955030517422529</v>
      </c>
      <c r="F1392" s="20" t="str">
        <f t="shared" ca="1" si="239"/>
        <v>No</v>
      </c>
      <c r="G1392" s="21">
        <f t="shared" ca="1" si="235"/>
        <v>0</v>
      </c>
      <c r="H1392" s="21">
        <f t="shared" ca="1" si="236"/>
        <v>4242.2741072715089</v>
      </c>
      <c r="I1392" s="21">
        <f t="shared" ca="1" si="231"/>
        <v>4243.3136069369139</v>
      </c>
      <c r="J1392" s="20">
        <f t="shared" ca="1" si="240"/>
        <v>6</v>
      </c>
      <c r="K1392" s="20">
        <f t="shared" ca="1" si="232"/>
        <v>5</v>
      </c>
      <c r="L1392" s="44">
        <f t="shared" ca="1" si="237"/>
        <v>5.5</v>
      </c>
    </row>
    <row r="1393" spans="1:12" x14ac:dyDescent="0.25">
      <c r="A1393" s="20">
        <v>1385</v>
      </c>
      <c r="B1393" s="21">
        <f t="shared" ca="1" si="233"/>
        <v>2.5872173417867814</v>
      </c>
      <c r="C1393" s="21">
        <f t="shared" ca="1" si="238"/>
        <v>4200.9062940958729</v>
      </c>
      <c r="D1393" s="21">
        <f t="shared" ca="1" si="234"/>
        <v>3.6513250812441864</v>
      </c>
      <c r="E1393" s="21">
        <f t="shared" ca="1" si="241"/>
        <v>42.407312841040948</v>
      </c>
      <c r="F1393" s="20" t="str">
        <f t="shared" ca="1" si="239"/>
        <v>No</v>
      </c>
      <c r="G1393" s="21">
        <f t="shared" ca="1" si="235"/>
        <v>0</v>
      </c>
      <c r="H1393" s="21">
        <f t="shared" ca="1" si="236"/>
        <v>4243.3136069369139</v>
      </c>
      <c r="I1393" s="21">
        <f t="shared" ca="1" si="231"/>
        <v>4246.9649320181579</v>
      </c>
      <c r="J1393" s="20">
        <f t="shared" ca="1" si="240"/>
        <v>6</v>
      </c>
      <c r="K1393" s="20">
        <f t="shared" ca="1" si="232"/>
        <v>5</v>
      </c>
      <c r="L1393" s="44">
        <f t="shared" ca="1" si="237"/>
        <v>5.5</v>
      </c>
    </row>
    <row r="1394" spans="1:12" x14ac:dyDescent="0.25">
      <c r="A1394" s="20">
        <v>1386</v>
      </c>
      <c r="B1394" s="21">
        <f t="shared" ca="1" si="233"/>
        <v>4.1126830742064868</v>
      </c>
      <c r="C1394" s="21">
        <f t="shared" ca="1" si="238"/>
        <v>4205.0189771700798</v>
      </c>
      <c r="D1394" s="21">
        <f t="shared" ca="1" si="234"/>
        <v>8.9285583483024009</v>
      </c>
      <c r="E1394" s="21">
        <f t="shared" ca="1" si="241"/>
        <v>41.945954848078145</v>
      </c>
      <c r="F1394" s="20" t="str">
        <f t="shared" ca="1" si="239"/>
        <v>No</v>
      </c>
      <c r="G1394" s="21">
        <f t="shared" ca="1" si="235"/>
        <v>0</v>
      </c>
      <c r="H1394" s="21">
        <f t="shared" ca="1" si="236"/>
        <v>4246.9649320181579</v>
      </c>
      <c r="I1394" s="21">
        <f t="shared" ca="1" si="231"/>
        <v>4255.8934903664604</v>
      </c>
      <c r="J1394" s="20">
        <f t="shared" ca="1" si="240"/>
        <v>6</v>
      </c>
      <c r="K1394" s="20">
        <f t="shared" ca="1" si="232"/>
        <v>5</v>
      </c>
      <c r="L1394" s="44">
        <f t="shared" ca="1" si="237"/>
        <v>5.5</v>
      </c>
    </row>
    <row r="1395" spans="1:12" x14ac:dyDescent="0.25">
      <c r="A1395" s="20">
        <v>1387</v>
      </c>
      <c r="B1395" s="21">
        <f t="shared" ca="1" si="233"/>
        <v>3.887526578346173</v>
      </c>
      <c r="C1395" s="21">
        <f t="shared" ca="1" si="238"/>
        <v>4208.9065037484261</v>
      </c>
      <c r="D1395" s="21">
        <f t="shared" ca="1" si="234"/>
        <v>2.7746038928080696</v>
      </c>
      <c r="E1395" s="21">
        <f t="shared" ca="1" si="241"/>
        <v>46.98698661803428</v>
      </c>
      <c r="F1395" s="20" t="str">
        <f t="shared" ca="1" si="239"/>
        <v>No</v>
      </c>
      <c r="G1395" s="21">
        <f t="shared" ca="1" si="235"/>
        <v>0</v>
      </c>
      <c r="H1395" s="21">
        <f t="shared" ca="1" si="236"/>
        <v>4255.8934903664604</v>
      </c>
      <c r="I1395" s="21">
        <f t="shared" ca="1" si="231"/>
        <v>4258.6680942592684</v>
      </c>
      <c r="J1395" s="20">
        <f t="shared" ca="1" si="240"/>
        <v>6</v>
      </c>
      <c r="K1395" s="20">
        <f t="shared" ca="1" si="232"/>
        <v>5</v>
      </c>
      <c r="L1395" s="44">
        <f t="shared" ca="1" si="237"/>
        <v>5.5</v>
      </c>
    </row>
    <row r="1396" spans="1:12" x14ac:dyDescent="0.25">
      <c r="A1396" s="20">
        <v>1388</v>
      </c>
      <c r="B1396" s="21">
        <f t="shared" ca="1" si="233"/>
        <v>0.83089690358195412</v>
      </c>
      <c r="C1396" s="21">
        <f t="shared" ca="1" si="238"/>
        <v>4209.7374006520076</v>
      </c>
      <c r="D1396" s="21">
        <f t="shared" ca="1" si="234"/>
        <v>2.1422628839290847</v>
      </c>
      <c r="E1396" s="21">
        <f t="shared" ca="1" si="241"/>
        <v>48.930693607260764</v>
      </c>
      <c r="F1396" s="20" t="str">
        <f t="shared" ca="1" si="239"/>
        <v>No</v>
      </c>
      <c r="G1396" s="21">
        <f t="shared" ca="1" si="235"/>
        <v>0</v>
      </c>
      <c r="H1396" s="21">
        <f t="shared" ca="1" si="236"/>
        <v>4258.6680942592684</v>
      </c>
      <c r="I1396" s="21">
        <f t="shared" ca="1" si="231"/>
        <v>4260.8103571431975</v>
      </c>
      <c r="J1396" s="20">
        <f t="shared" ca="1" si="240"/>
        <v>6</v>
      </c>
      <c r="K1396" s="20">
        <f t="shared" ca="1" si="232"/>
        <v>5</v>
      </c>
      <c r="L1396" s="44">
        <f t="shared" ca="1" si="237"/>
        <v>5.5</v>
      </c>
    </row>
    <row r="1397" spans="1:12" x14ac:dyDescent="0.25">
      <c r="A1397" s="20">
        <v>1389</v>
      </c>
      <c r="B1397" s="21">
        <f t="shared" ca="1" si="233"/>
        <v>1.3623212036911667</v>
      </c>
      <c r="C1397" s="21">
        <f t="shared" ca="1" si="238"/>
        <v>4211.0997218556986</v>
      </c>
      <c r="D1397" s="21">
        <f t="shared" ca="1" si="234"/>
        <v>4.445133571147073</v>
      </c>
      <c r="E1397" s="21">
        <f t="shared" ca="1" si="241"/>
        <v>49.710635287498917</v>
      </c>
      <c r="F1397" s="20" t="str">
        <f t="shared" ca="1" si="239"/>
        <v>No</v>
      </c>
      <c r="G1397" s="21">
        <f t="shared" ca="1" si="235"/>
        <v>0</v>
      </c>
      <c r="H1397" s="21">
        <f t="shared" ca="1" si="236"/>
        <v>4260.8103571431975</v>
      </c>
      <c r="I1397" s="21">
        <f t="shared" ca="1" si="231"/>
        <v>4265.2554907143449</v>
      </c>
      <c r="J1397" s="20">
        <f t="shared" ca="1" si="240"/>
        <v>6</v>
      </c>
      <c r="K1397" s="20">
        <f t="shared" ca="1" si="232"/>
        <v>5</v>
      </c>
      <c r="L1397" s="44">
        <f t="shared" ca="1" si="237"/>
        <v>5.5</v>
      </c>
    </row>
    <row r="1398" spans="1:12" x14ac:dyDescent="0.25">
      <c r="A1398" s="20">
        <v>1390</v>
      </c>
      <c r="B1398" s="21">
        <f t="shared" ca="1" si="233"/>
        <v>2.1479234447982036</v>
      </c>
      <c r="C1398" s="21">
        <f t="shared" ca="1" si="238"/>
        <v>4213.2476453004965</v>
      </c>
      <c r="D1398" s="21">
        <f t="shared" ca="1" si="234"/>
        <v>1.1135546050160456</v>
      </c>
      <c r="E1398" s="21">
        <f t="shared" ca="1" si="241"/>
        <v>52.007845413848372</v>
      </c>
      <c r="F1398" s="20" t="str">
        <f t="shared" ca="1" si="239"/>
        <v>No</v>
      </c>
      <c r="G1398" s="21">
        <f t="shared" ca="1" si="235"/>
        <v>0</v>
      </c>
      <c r="H1398" s="21">
        <f t="shared" ca="1" si="236"/>
        <v>4265.2554907143449</v>
      </c>
      <c r="I1398" s="21">
        <f t="shared" ca="1" si="231"/>
        <v>4266.3690453193612</v>
      </c>
      <c r="J1398" s="20">
        <f t="shared" ca="1" si="240"/>
        <v>6</v>
      </c>
      <c r="K1398" s="20">
        <f t="shared" ca="1" si="232"/>
        <v>5</v>
      </c>
      <c r="L1398" s="44">
        <f t="shared" ca="1" si="237"/>
        <v>5.5</v>
      </c>
    </row>
    <row r="1399" spans="1:12" x14ac:dyDescent="0.25">
      <c r="A1399" s="20">
        <v>1391</v>
      </c>
      <c r="B1399" s="21">
        <f t="shared" ca="1" si="233"/>
        <v>2.1712218562092938</v>
      </c>
      <c r="C1399" s="21">
        <f t="shared" ca="1" si="238"/>
        <v>4215.4188671567063</v>
      </c>
      <c r="D1399" s="21">
        <f t="shared" ca="1" si="234"/>
        <v>0.54399516882321586</v>
      </c>
      <c r="E1399" s="21">
        <f t="shared" ca="1" si="241"/>
        <v>50.950178162654993</v>
      </c>
      <c r="F1399" s="20" t="str">
        <f t="shared" ca="1" si="239"/>
        <v>No</v>
      </c>
      <c r="G1399" s="21">
        <f t="shared" ca="1" si="235"/>
        <v>0</v>
      </c>
      <c r="H1399" s="21">
        <f t="shared" ca="1" si="236"/>
        <v>4266.3690453193612</v>
      </c>
      <c r="I1399" s="21">
        <f t="shared" ca="1" si="231"/>
        <v>4266.9130404881844</v>
      </c>
      <c r="J1399" s="20">
        <f t="shared" ca="1" si="240"/>
        <v>6</v>
      </c>
      <c r="K1399" s="20">
        <f t="shared" ca="1" si="232"/>
        <v>5</v>
      </c>
      <c r="L1399" s="44">
        <f t="shared" ca="1" si="237"/>
        <v>5.5</v>
      </c>
    </row>
    <row r="1400" spans="1:12" x14ac:dyDescent="0.25">
      <c r="A1400" s="20">
        <v>1392</v>
      </c>
      <c r="B1400" s="21">
        <f t="shared" ca="1" si="233"/>
        <v>1.1658118886415556</v>
      </c>
      <c r="C1400" s="21">
        <f t="shared" ca="1" si="238"/>
        <v>4216.5846790453479</v>
      </c>
      <c r="D1400" s="21">
        <f t="shared" ca="1" si="234"/>
        <v>2.8096977093918811</v>
      </c>
      <c r="E1400" s="21">
        <f t="shared" ca="1" si="241"/>
        <v>50.328361442836467</v>
      </c>
      <c r="F1400" s="20" t="str">
        <f t="shared" ca="1" si="239"/>
        <v>No</v>
      </c>
      <c r="G1400" s="21">
        <f t="shared" ca="1" si="235"/>
        <v>0</v>
      </c>
      <c r="H1400" s="21">
        <f t="shared" ca="1" si="236"/>
        <v>4266.9130404881844</v>
      </c>
      <c r="I1400" s="21">
        <f t="shared" ca="1" si="231"/>
        <v>4269.7227381975763</v>
      </c>
      <c r="J1400" s="20">
        <f t="shared" ca="1" si="240"/>
        <v>6</v>
      </c>
      <c r="K1400" s="20">
        <f t="shared" ca="1" si="232"/>
        <v>5</v>
      </c>
      <c r="L1400" s="44">
        <f t="shared" ca="1" si="237"/>
        <v>5.5</v>
      </c>
    </row>
    <row r="1401" spans="1:12" x14ac:dyDescent="0.25">
      <c r="A1401" s="20">
        <v>1393</v>
      </c>
      <c r="B1401" s="21">
        <f t="shared" ca="1" si="233"/>
        <v>1.5282643020129496</v>
      </c>
      <c r="C1401" s="21">
        <f t="shared" ca="1" si="238"/>
        <v>4218.1129433473607</v>
      </c>
      <c r="D1401" s="21">
        <f t="shared" ca="1" si="234"/>
        <v>1.0337233843193283</v>
      </c>
      <c r="E1401" s="21">
        <f t="shared" ca="1" si="241"/>
        <v>51.609794850215621</v>
      </c>
      <c r="F1401" s="20" t="str">
        <f t="shared" ca="1" si="239"/>
        <v>No</v>
      </c>
      <c r="G1401" s="21">
        <f t="shared" ca="1" si="235"/>
        <v>0</v>
      </c>
      <c r="H1401" s="21">
        <f t="shared" ca="1" si="236"/>
        <v>4269.7227381975763</v>
      </c>
      <c r="I1401" s="21">
        <f t="shared" ca="1" si="231"/>
        <v>4270.7564615818956</v>
      </c>
      <c r="J1401" s="20">
        <f t="shared" ca="1" si="240"/>
        <v>6</v>
      </c>
      <c r="K1401" s="20">
        <f t="shared" ca="1" si="232"/>
        <v>5</v>
      </c>
      <c r="L1401" s="44">
        <f t="shared" ca="1" si="237"/>
        <v>5.5</v>
      </c>
    </row>
    <row r="1402" spans="1:12" x14ac:dyDescent="0.25">
      <c r="A1402" s="20">
        <v>1394</v>
      </c>
      <c r="B1402" s="21">
        <f t="shared" ca="1" si="233"/>
        <v>1.1558160626949239</v>
      </c>
      <c r="C1402" s="21">
        <f t="shared" ca="1" si="238"/>
        <v>4219.2687594100553</v>
      </c>
      <c r="D1402" s="21">
        <f t="shared" ca="1" si="234"/>
        <v>2.3015086919930954</v>
      </c>
      <c r="E1402" s="21">
        <f t="shared" ca="1" si="241"/>
        <v>51.487702171840283</v>
      </c>
      <c r="F1402" s="20" t="str">
        <f t="shared" ca="1" si="239"/>
        <v>No</v>
      </c>
      <c r="G1402" s="21">
        <f t="shared" ca="1" si="235"/>
        <v>0</v>
      </c>
      <c r="H1402" s="21">
        <f t="shared" ca="1" si="236"/>
        <v>4270.7564615818956</v>
      </c>
      <c r="I1402" s="21">
        <f t="shared" ca="1" si="231"/>
        <v>4273.0579702738887</v>
      </c>
      <c r="J1402" s="20">
        <f t="shared" ca="1" si="240"/>
        <v>6</v>
      </c>
      <c r="K1402" s="20">
        <f t="shared" ca="1" si="232"/>
        <v>5</v>
      </c>
      <c r="L1402" s="44">
        <f t="shared" ca="1" si="237"/>
        <v>5.5</v>
      </c>
    </row>
    <row r="1403" spans="1:12" x14ac:dyDescent="0.25">
      <c r="A1403" s="20">
        <v>1395</v>
      </c>
      <c r="B1403" s="21">
        <f t="shared" ca="1" si="233"/>
        <v>10.007666100170503</v>
      </c>
      <c r="C1403" s="21">
        <f t="shared" ca="1" si="238"/>
        <v>4229.2764255102256</v>
      </c>
      <c r="D1403" s="21">
        <f t="shared" ca="1" si="234"/>
        <v>0.90484684344663835</v>
      </c>
      <c r="E1403" s="21">
        <f t="shared" ca="1" si="241"/>
        <v>43.781544763663078</v>
      </c>
      <c r="F1403" s="20" t="str">
        <f t="shared" ca="1" si="239"/>
        <v>No</v>
      </c>
      <c r="G1403" s="21">
        <f t="shared" ca="1" si="235"/>
        <v>0</v>
      </c>
      <c r="H1403" s="21">
        <f t="shared" ca="1" si="236"/>
        <v>4273.0579702738887</v>
      </c>
      <c r="I1403" s="21">
        <f t="shared" ca="1" si="231"/>
        <v>4273.9628171173354</v>
      </c>
      <c r="J1403" s="20">
        <f t="shared" ca="1" si="240"/>
        <v>6</v>
      </c>
      <c r="K1403" s="20">
        <f t="shared" ca="1" si="232"/>
        <v>5</v>
      </c>
      <c r="L1403" s="44">
        <f t="shared" ca="1" si="237"/>
        <v>5.5</v>
      </c>
    </row>
    <row r="1404" spans="1:12" x14ac:dyDescent="0.25">
      <c r="A1404" s="20">
        <v>1396</v>
      </c>
      <c r="B1404" s="21">
        <f t="shared" ca="1" si="233"/>
        <v>0.44722399419514991</v>
      </c>
      <c r="C1404" s="21">
        <f t="shared" ca="1" si="238"/>
        <v>4229.7236495044208</v>
      </c>
      <c r="D1404" s="21">
        <f t="shared" ca="1" si="234"/>
        <v>3.7249025863674207E-2</v>
      </c>
      <c r="E1404" s="21">
        <f t="shared" ca="1" si="241"/>
        <v>44.239167612914571</v>
      </c>
      <c r="F1404" s="20" t="str">
        <f t="shared" ca="1" si="239"/>
        <v>No</v>
      </c>
      <c r="G1404" s="21">
        <f t="shared" ca="1" si="235"/>
        <v>0</v>
      </c>
      <c r="H1404" s="21">
        <f t="shared" ca="1" si="236"/>
        <v>4273.9628171173354</v>
      </c>
      <c r="I1404" s="21">
        <f t="shared" ca="1" si="231"/>
        <v>4274.0000661431986</v>
      </c>
      <c r="J1404" s="20">
        <f t="shared" ca="1" si="240"/>
        <v>6</v>
      </c>
      <c r="K1404" s="20">
        <f t="shared" ca="1" si="232"/>
        <v>5</v>
      </c>
      <c r="L1404" s="44">
        <f t="shared" ca="1" si="237"/>
        <v>5.5</v>
      </c>
    </row>
    <row r="1405" spans="1:12" x14ac:dyDescent="0.25">
      <c r="A1405" s="20">
        <v>1397</v>
      </c>
      <c r="B1405" s="21">
        <f t="shared" ca="1" si="233"/>
        <v>4.6965977087792528</v>
      </c>
      <c r="C1405" s="21">
        <f t="shared" ca="1" si="238"/>
        <v>4234.4202472132001</v>
      </c>
      <c r="D1405" s="21">
        <f t="shared" ca="1" si="234"/>
        <v>4.4224166787848889</v>
      </c>
      <c r="E1405" s="21">
        <f t="shared" ca="1" si="241"/>
        <v>39.57981892999851</v>
      </c>
      <c r="F1405" s="20" t="str">
        <f t="shared" ca="1" si="239"/>
        <v>No</v>
      </c>
      <c r="G1405" s="21">
        <f t="shared" ca="1" si="235"/>
        <v>0</v>
      </c>
      <c r="H1405" s="21">
        <f t="shared" ca="1" si="236"/>
        <v>4274.0000661431986</v>
      </c>
      <c r="I1405" s="21">
        <f t="shared" ca="1" si="231"/>
        <v>4278.422482821984</v>
      </c>
      <c r="J1405" s="20">
        <f t="shared" ca="1" si="240"/>
        <v>6</v>
      </c>
      <c r="K1405" s="20">
        <f t="shared" ca="1" si="232"/>
        <v>5</v>
      </c>
      <c r="L1405" s="44">
        <f t="shared" ca="1" si="237"/>
        <v>5.5</v>
      </c>
    </row>
    <row r="1406" spans="1:12" x14ac:dyDescent="0.25">
      <c r="A1406" s="20">
        <v>1398</v>
      </c>
      <c r="B1406" s="21">
        <f t="shared" ca="1" si="233"/>
        <v>2.0374950592040961</v>
      </c>
      <c r="C1406" s="21">
        <f t="shared" ca="1" si="238"/>
        <v>4236.4577422724042</v>
      </c>
      <c r="D1406" s="21">
        <f t="shared" ca="1" si="234"/>
        <v>3.8011401380932672</v>
      </c>
      <c r="E1406" s="21">
        <f t="shared" ca="1" si="241"/>
        <v>41.964740549579801</v>
      </c>
      <c r="F1406" s="20" t="str">
        <f t="shared" ca="1" si="239"/>
        <v>No</v>
      </c>
      <c r="G1406" s="21">
        <f t="shared" ca="1" si="235"/>
        <v>0</v>
      </c>
      <c r="H1406" s="21">
        <f t="shared" ca="1" si="236"/>
        <v>4278.422482821984</v>
      </c>
      <c r="I1406" s="21">
        <f t="shared" ca="1" si="231"/>
        <v>4282.2236229600776</v>
      </c>
      <c r="J1406" s="20">
        <f t="shared" ca="1" si="240"/>
        <v>6</v>
      </c>
      <c r="K1406" s="20">
        <f t="shared" ca="1" si="232"/>
        <v>5</v>
      </c>
      <c r="L1406" s="44">
        <f t="shared" ca="1" si="237"/>
        <v>5.5</v>
      </c>
    </row>
    <row r="1407" spans="1:12" x14ac:dyDescent="0.25">
      <c r="A1407" s="20">
        <v>1399</v>
      </c>
      <c r="B1407" s="21">
        <f t="shared" ca="1" si="233"/>
        <v>0.65328634095463245</v>
      </c>
      <c r="C1407" s="21">
        <f t="shared" ca="1" si="238"/>
        <v>4237.1110286133589</v>
      </c>
      <c r="D1407" s="21">
        <f t="shared" ca="1" si="234"/>
        <v>0.78923178328844856</v>
      </c>
      <c r="E1407" s="21">
        <f t="shared" ca="1" si="241"/>
        <v>45.112594346718652</v>
      </c>
      <c r="F1407" s="20" t="str">
        <f t="shared" ca="1" si="239"/>
        <v>No</v>
      </c>
      <c r="G1407" s="21">
        <f t="shared" ca="1" si="235"/>
        <v>0</v>
      </c>
      <c r="H1407" s="21">
        <f t="shared" ca="1" si="236"/>
        <v>4282.2236229600776</v>
      </c>
      <c r="I1407" s="21">
        <f t="shared" ca="1" si="231"/>
        <v>4283.012854743366</v>
      </c>
      <c r="J1407" s="20">
        <f t="shared" ca="1" si="240"/>
        <v>6</v>
      </c>
      <c r="K1407" s="20">
        <f t="shared" ca="1" si="232"/>
        <v>5</v>
      </c>
      <c r="L1407" s="44">
        <f t="shared" ca="1" si="237"/>
        <v>5.5</v>
      </c>
    </row>
    <row r="1408" spans="1:12" x14ac:dyDescent="0.25">
      <c r="A1408" s="20">
        <v>1400</v>
      </c>
      <c r="B1408" s="21">
        <f t="shared" ca="1" si="233"/>
        <v>7.2535431042176565E-2</v>
      </c>
      <c r="C1408" s="21">
        <f t="shared" ca="1" si="238"/>
        <v>4237.1835640444015</v>
      </c>
      <c r="D1408" s="21">
        <f t="shared" ca="1" si="234"/>
        <v>0.2748161934892292</v>
      </c>
      <c r="E1408" s="21">
        <f t="shared" ca="1" si="241"/>
        <v>45.829290698964542</v>
      </c>
      <c r="F1408" s="20" t="str">
        <f t="shared" ca="1" si="239"/>
        <v>No</v>
      </c>
      <c r="G1408" s="21">
        <f t="shared" ca="1" si="235"/>
        <v>0</v>
      </c>
      <c r="H1408" s="21">
        <f t="shared" ca="1" si="236"/>
        <v>4283.012854743366</v>
      </c>
      <c r="I1408" s="21">
        <f t="shared" ca="1" si="231"/>
        <v>4283.2876709368556</v>
      </c>
      <c r="J1408" s="20">
        <f t="shared" ca="1" si="240"/>
        <v>6</v>
      </c>
      <c r="K1408" s="20">
        <f t="shared" ca="1" si="232"/>
        <v>5</v>
      </c>
      <c r="L1408" s="44">
        <f t="shared" ca="1" si="237"/>
        <v>5.5</v>
      </c>
    </row>
    <row r="1409" spans="1:12" x14ac:dyDescent="0.25">
      <c r="A1409" s="20">
        <v>1401</v>
      </c>
      <c r="B1409" s="21">
        <f t="shared" ca="1" si="233"/>
        <v>1.0542393513272275</v>
      </c>
      <c r="C1409" s="21">
        <f t="shared" ca="1" si="238"/>
        <v>4238.2378033957284</v>
      </c>
      <c r="D1409" s="21">
        <f t="shared" ca="1" si="234"/>
        <v>3.0832305101235882</v>
      </c>
      <c r="E1409" s="21">
        <f t="shared" ca="1" si="241"/>
        <v>45.049867541127242</v>
      </c>
      <c r="F1409" s="20" t="str">
        <f t="shared" ca="1" si="239"/>
        <v>No</v>
      </c>
      <c r="G1409" s="21">
        <f t="shared" ca="1" si="235"/>
        <v>0</v>
      </c>
      <c r="H1409" s="21">
        <f t="shared" ca="1" si="236"/>
        <v>4283.2876709368556</v>
      </c>
      <c r="I1409" s="21">
        <f t="shared" ca="1" si="231"/>
        <v>4286.3709014469796</v>
      </c>
      <c r="J1409" s="20">
        <f t="shared" ca="1" si="240"/>
        <v>6</v>
      </c>
      <c r="K1409" s="20">
        <f t="shared" ca="1" si="232"/>
        <v>5</v>
      </c>
      <c r="L1409" s="44">
        <f t="shared" ca="1" si="237"/>
        <v>5.5</v>
      </c>
    </row>
    <row r="1410" spans="1:12" x14ac:dyDescent="0.25">
      <c r="A1410" s="20">
        <v>1402</v>
      </c>
      <c r="B1410" s="21">
        <f t="shared" ca="1" si="233"/>
        <v>0.91152233153954165</v>
      </c>
      <c r="C1410" s="21">
        <f t="shared" ca="1" si="238"/>
        <v>4239.1493257272678</v>
      </c>
      <c r="D1410" s="21">
        <f t="shared" ca="1" si="234"/>
        <v>1.4887413883676637</v>
      </c>
      <c r="E1410" s="21">
        <f t="shared" ca="1" si="241"/>
        <v>47.221575719711836</v>
      </c>
      <c r="F1410" s="20" t="str">
        <f t="shared" ca="1" si="239"/>
        <v>No</v>
      </c>
      <c r="G1410" s="21">
        <f t="shared" ca="1" si="235"/>
        <v>0</v>
      </c>
      <c r="H1410" s="21">
        <f t="shared" ca="1" si="236"/>
        <v>4286.3709014469796</v>
      </c>
      <c r="I1410" s="21">
        <f t="shared" ca="1" si="231"/>
        <v>4287.8596428353476</v>
      </c>
      <c r="J1410" s="20">
        <f t="shared" ca="1" si="240"/>
        <v>6</v>
      </c>
      <c r="K1410" s="20">
        <f t="shared" ca="1" si="232"/>
        <v>5</v>
      </c>
      <c r="L1410" s="44">
        <f t="shared" ca="1" si="237"/>
        <v>5.5</v>
      </c>
    </row>
    <row r="1411" spans="1:12" x14ac:dyDescent="0.25">
      <c r="A1411" s="20">
        <v>1403</v>
      </c>
      <c r="B1411" s="21">
        <f t="shared" ca="1" si="233"/>
        <v>4.2415132879504318</v>
      </c>
      <c r="C1411" s="21">
        <f t="shared" ca="1" si="238"/>
        <v>4243.3908390152183</v>
      </c>
      <c r="D1411" s="21">
        <f t="shared" ca="1" si="234"/>
        <v>10.739349786731808</v>
      </c>
      <c r="E1411" s="21">
        <f t="shared" ca="1" si="241"/>
        <v>44.468803820129324</v>
      </c>
      <c r="F1411" s="20" t="str">
        <f t="shared" ca="1" si="239"/>
        <v>No</v>
      </c>
      <c r="G1411" s="21">
        <f t="shared" ca="1" si="235"/>
        <v>0</v>
      </c>
      <c r="H1411" s="21">
        <f t="shared" ca="1" si="236"/>
        <v>4287.8596428353476</v>
      </c>
      <c r="I1411" s="21">
        <f t="shared" ca="1" si="231"/>
        <v>4298.5989926220791</v>
      </c>
      <c r="J1411" s="20">
        <f t="shared" ca="1" si="240"/>
        <v>6</v>
      </c>
      <c r="K1411" s="20">
        <f t="shared" ca="1" si="232"/>
        <v>5</v>
      </c>
      <c r="L1411" s="44">
        <f t="shared" ca="1" si="237"/>
        <v>5.5</v>
      </c>
    </row>
    <row r="1412" spans="1:12" x14ac:dyDescent="0.25">
      <c r="A1412" s="20">
        <v>1404</v>
      </c>
      <c r="B1412" s="21">
        <f t="shared" ca="1" si="233"/>
        <v>0.60720936818494797</v>
      </c>
      <c r="C1412" s="21">
        <f t="shared" ca="1" si="238"/>
        <v>4243.9980483834033</v>
      </c>
      <c r="D1412" s="21">
        <f t="shared" ca="1" si="234"/>
        <v>0.17609666140030303</v>
      </c>
      <c r="E1412" s="21">
        <f t="shared" ca="1" si="241"/>
        <v>54.600944238675766</v>
      </c>
      <c r="F1412" s="20" t="str">
        <f t="shared" ca="1" si="239"/>
        <v>No</v>
      </c>
      <c r="G1412" s="21">
        <f t="shared" ca="1" si="235"/>
        <v>0</v>
      </c>
      <c r="H1412" s="21">
        <f t="shared" ca="1" si="236"/>
        <v>4298.5989926220791</v>
      </c>
      <c r="I1412" s="21">
        <f t="shared" ca="1" si="231"/>
        <v>4298.7750892834792</v>
      </c>
      <c r="J1412" s="20">
        <f t="shared" ca="1" si="240"/>
        <v>6</v>
      </c>
      <c r="K1412" s="20">
        <f t="shared" ca="1" si="232"/>
        <v>5</v>
      </c>
      <c r="L1412" s="44">
        <f t="shared" ca="1" si="237"/>
        <v>5.5</v>
      </c>
    </row>
    <row r="1413" spans="1:12" x14ac:dyDescent="0.25">
      <c r="A1413" s="20">
        <v>1405</v>
      </c>
      <c r="B1413" s="21">
        <f t="shared" ca="1" si="233"/>
        <v>2.2504911851208389</v>
      </c>
      <c r="C1413" s="21">
        <f t="shared" ca="1" si="238"/>
        <v>4246.2485395685244</v>
      </c>
      <c r="D1413" s="21">
        <f t="shared" ca="1" si="234"/>
        <v>2.1910226248354046</v>
      </c>
      <c r="E1413" s="21">
        <f t="shared" ca="1" si="241"/>
        <v>52.526549714954854</v>
      </c>
      <c r="F1413" s="20" t="str">
        <f t="shared" ca="1" si="239"/>
        <v>No</v>
      </c>
      <c r="G1413" s="21">
        <f t="shared" ca="1" si="235"/>
        <v>0</v>
      </c>
      <c r="H1413" s="21">
        <f t="shared" ca="1" si="236"/>
        <v>4298.7750892834792</v>
      </c>
      <c r="I1413" s="21">
        <f t="shared" ca="1" si="231"/>
        <v>4300.9661119083148</v>
      </c>
      <c r="J1413" s="20">
        <f t="shared" ca="1" si="240"/>
        <v>6</v>
      </c>
      <c r="K1413" s="20">
        <f t="shared" ca="1" si="232"/>
        <v>5</v>
      </c>
      <c r="L1413" s="44">
        <f t="shared" ca="1" si="237"/>
        <v>5.5</v>
      </c>
    </row>
    <row r="1414" spans="1:12" x14ac:dyDescent="0.25">
      <c r="A1414" s="20">
        <v>1406</v>
      </c>
      <c r="B1414" s="21">
        <f t="shared" ca="1" si="233"/>
        <v>2.5457569138613438</v>
      </c>
      <c r="C1414" s="21">
        <f t="shared" ca="1" si="238"/>
        <v>4248.794296482386</v>
      </c>
      <c r="D1414" s="21">
        <f t="shared" ca="1" si="234"/>
        <v>2.5984462506590469</v>
      </c>
      <c r="E1414" s="21">
        <f t="shared" ca="1" si="241"/>
        <v>52.171815425928799</v>
      </c>
      <c r="F1414" s="20" t="str">
        <f t="shared" ca="1" si="239"/>
        <v>No</v>
      </c>
      <c r="G1414" s="21">
        <f t="shared" ca="1" si="235"/>
        <v>0</v>
      </c>
      <c r="H1414" s="21">
        <f t="shared" ca="1" si="236"/>
        <v>4300.9661119083148</v>
      </c>
      <c r="I1414" s="21">
        <f t="shared" ca="1" si="231"/>
        <v>4303.5645581589743</v>
      </c>
      <c r="J1414" s="20">
        <f t="shared" ca="1" si="240"/>
        <v>6</v>
      </c>
      <c r="K1414" s="20">
        <f t="shared" ca="1" si="232"/>
        <v>5</v>
      </c>
      <c r="L1414" s="44">
        <f t="shared" ca="1" si="237"/>
        <v>5.5</v>
      </c>
    </row>
    <row r="1415" spans="1:12" x14ac:dyDescent="0.25">
      <c r="A1415" s="20">
        <v>1407</v>
      </c>
      <c r="B1415" s="21">
        <f t="shared" ca="1" si="233"/>
        <v>3.1551948701494519</v>
      </c>
      <c r="C1415" s="21">
        <f t="shared" ca="1" si="238"/>
        <v>4251.9494913525359</v>
      </c>
      <c r="D1415" s="21">
        <f t="shared" ca="1" si="234"/>
        <v>4.1504292058250396</v>
      </c>
      <c r="E1415" s="21">
        <f t="shared" ca="1" si="241"/>
        <v>51.615066806438335</v>
      </c>
      <c r="F1415" s="20" t="str">
        <f t="shared" ca="1" si="239"/>
        <v>No</v>
      </c>
      <c r="G1415" s="21">
        <f t="shared" ca="1" si="235"/>
        <v>0</v>
      </c>
      <c r="H1415" s="21">
        <f t="shared" ca="1" si="236"/>
        <v>4303.5645581589743</v>
      </c>
      <c r="I1415" s="21">
        <f t="shared" ca="1" si="231"/>
        <v>4307.7149873647995</v>
      </c>
      <c r="J1415" s="20">
        <f t="shared" ca="1" si="240"/>
        <v>6</v>
      </c>
      <c r="K1415" s="20">
        <f t="shared" ca="1" si="232"/>
        <v>5</v>
      </c>
      <c r="L1415" s="44">
        <f t="shared" ca="1" si="237"/>
        <v>5.5</v>
      </c>
    </row>
    <row r="1416" spans="1:12" x14ac:dyDescent="0.25">
      <c r="A1416" s="20">
        <v>1408</v>
      </c>
      <c r="B1416" s="21">
        <f t="shared" ca="1" si="233"/>
        <v>4.5131320805263426</v>
      </c>
      <c r="C1416" s="21">
        <f t="shared" ca="1" si="238"/>
        <v>4256.4626234330626</v>
      </c>
      <c r="D1416" s="21">
        <f t="shared" ca="1" si="234"/>
        <v>3.3914741130022596</v>
      </c>
      <c r="E1416" s="21">
        <f t="shared" ca="1" si="241"/>
        <v>51.252363931736909</v>
      </c>
      <c r="F1416" s="20" t="str">
        <f t="shared" ca="1" si="239"/>
        <v>No</v>
      </c>
      <c r="G1416" s="21">
        <f t="shared" ca="1" si="235"/>
        <v>0</v>
      </c>
      <c r="H1416" s="21">
        <f t="shared" ca="1" si="236"/>
        <v>4307.7149873647995</v>
      </c>
      <c r="I1416" s="21">
        <f t="shared" ca="1" si="231"/>
        <v>4311.1064614778015</v>
      </c>
      <c r="J1416" s="20">
        <f t="shared" ca="1" si="240"/>
        <v>6</v>
      </c>
      <c r="K1416" s="20">
        <f t="shared" ca="1" si="232"/>
        <v>5</v>
      </c>
      <c r="L1416" s="44">
        <f t="shared" ca="1" si="237"/>
        <v>5.5</v>
      </c>
    </row>
    <row r="1417" spans="1:12" x14ac:dyDescent="0.25">
      <c r="A1417" s="20">
        <v>1409</v>
      </c>
      <c r="B1417" s="21">
        <f t="shared" ca="1" si="233"/>
        <v>1.7826255898888022</v>
      </c>
      <c r="C1417" s="21">
        <f t="shared" ca="1" si="238"/>
        <v>4258.2452490229516</v>
      </c>
      <c r="D1417" s="21">
        <f t="shared" ca="1" si="234"/>
        <v>0.24246583468620594</v>
      </c>
      <c r="E1417" s="21">
        <f t="shared" ca="1" si="241"/>
        <v>52.86121245484992</v>
      </c>
      <c r="F1417" s="20" t="str">
        <f t="shared" ca="1" si="239"/>
        <v>No</v>
      </c>
      <c r="G1417" s="21">
        <f t="shared" ca="1" si="235"/>
        <v>0</v>
      </c>
      <c r="H1417" s="21">
        <f t="shared" ca="1" si="236"/>
        <v>4311.1064614778015</v>
      </c>
      <c r="I1417" s="21">
        <f t="shared" ref="I1417:I1480" ca="1" si="242">$H1417+$D1417</f>
        <v>4311.3489273124878</v>
      </c>
      <c r="J1417" s="20">
        <f t="shared" ca="1" si="240"/>
        <v>6</v>
      </c>
      <c r="K1417" s="20">
        <f t="shared" ref="K1417:K1480" ca="1" si="243">IF($I1417&lt;=$C1418,0,IF($I1417&lt;=$C1419,1,IF($I1417&lt;=$C1420,2,IF($I1417&lt;=$C1421,3,IF($I1417&lt;=$C1422,4,5)))))</f>
        <v>5</v>
      </c>
      <c r="L1417" s="44">
        <f t="shared" ca="1" si="237"/>
        <v>5.5</v>
      </c>
    </row>
    <row r="1418" spans="1:12" x14ac:dyDescent="0.25">
      <c r="A1418" s="20">
        <v>1410</v>
      </c>
      <c r="B1418" s="21">
        <f t="shared" ref="B1418:B1481" ca="1" si="244">-LN(RAND())/$D$4</f>
        <v>3.0146438507292315</v>
      </c>
      <c r="C1418" s="21">
        <f t="shared" ca="1" si="238"/>
        <v>4261.2598928736807</v>
      </c>
      <c r="D1418" s="21">
        <f t="shared" ref="D1418:D1481" ca="1" si="245">-LN(RAND())/$D$6</f>
        <v>0.38776207809719093</v>
      </c>
      <c r="E1418" s="21">
        <f t="shared" ca="1" si="241"/>
        <v>50.089034438807175</v>
      </c>
      <c r="F1418" s="20" t="str">
        <f t="shared" ca="1" si="239"/>
        <v>No</v>
      </c>
      <c r="G1418" s="21">
        <f t="shared" ref="G1418:G1481" ca="1" si="246">IF($I1417&lt;=$C1418,$C1418-$I1417,0)</f>
        <v>0</v>
      </c>
      <c r="H1418" s="21">
        <f t="shared" ref="H1418:H1481" ca="1" si="247">IF($I1417&lt;=$C1418,$C1418,$I1417)</f>
        <v>4311.3489273124878</v>
      </c>
      <c r="I1418" s="21">
        <f t="shared" ca="1" si="242"/>
        <v>4311.7366893905846</v>
      </c>
      <c r="J1418" s="20">
        <f t="shared" ca="1" si="240"/>
        <v>6</v>
      </c>
      <c r="K1418" s="20">
        <f t="shared" ca="1" si="243"/>
        <v>5</v>
      </c>
      <c r="L1418" s="44">
        <f t="shared" ref="L1418:L1481" ca="1" si="248">(J1418+K1418)/2</f>
        <v>5.5</v>
      </c>
    </row>
    <row r="1419" spans="1:12" x14ac:dyDescent="0.25">
      <c r="A1419" s="20">
        <v>1411</v>
      </c>
      <c r="B1419" s="21">
        <f t="shared" ca="1" si="244"/>
        <v>1.8670653822706418</v>
      </c>
      <c r="C1419" s="21">
        <f t="shared" ref="C1419:C1482" ca="1" si="249">$C1418+$B1419</f>
        <v>4263.1269582559516</v>
      </c>
      <c r="D1419" s="21">
        <f t="shared" ca="1" si="245"/>
        <v>1.7377017786978923</v>
      </c>
      <c r="E1419" s="21">
        <f t="shared" ca="1" si="241"/>
        <v>48.609731134632966</v>
      </c>
      <c r="F1419" s="20" t="str">
        <f t="shared" ref="F1419:F1482" ca="1" si="250">IF(E1419=0,"Yes","No")</f>
        <v>No</v>
      </c>
      <c r="G1419" s="21">
        <f t="shared" ca="1" si="246"/>
        <v>0</v>
      </c>
      <c r="H1419" s="21">
        <f t="shared" ca="1" si="247"/>
        <v>4311.7366893905846</v>
      </c>
      <c r="I1419" s="21">
        <f t="shared" ca="1" si="242"/>
        <v>4313.4743911692822</v>
      </c>
      <c r="J1419" s="20">
        <f t="shared" ref="J1419:J1482" ca="1" si="251">IF($I1418&lt;=$C1419,0,$K1418+1)</f>
        <v>6</v>
      </c>
      <c r="K1419" s="20">
        <f t="shared" ca="1" si="243"/>
        <v>5</v>
      </c>
      <c r="L1419" s="44">
        <f t="shared" ca="1" si="248"/>
        <v>5.5</v>
      </c>
    </row>
    <row r="1420" spans="1:12" x14ac:dyDescent="0.25">
      <c r="A1420" s="20">
        <v>1412</v>
      </c>
      <c r="B1420" s="21">
        <f t="shared" ca="1" si="244"/>
        <v>9.0758929366445501E-2</v>
      </c>
      <c r="C1420" s="21">
        <f t="shared" ca="1" si="249"/>
        <v>4263.2177171853182</v>
      </c>
      <c r="D1420" s="21">
        <f t="shared" ca="1" si="245"/>
        <v>2.5155659532707846</v>
      </c>
      <c r="E1420" s="21">
        <f t="shared" ref="E1420:E1483" ca="1" si="252">IF($I1419&lt;=$C1420,0,$I1419-$C1420)</f>
        <v>50.256673983963992</v>
      </c>
      <c r="F1420" s="20" t="str">
        <f t="shared" ca="1" si="250"/>
        <v>No</v>
      </c>
      <c r="G1420" s="21">
        <f t="shared" ca="1" si="246"/>
        <v>0</v>
      </c>
      <c r="H1420" s="21">
        <f t="shared" ca="1" si="247"/>
        <v>4313.4743911692822</v>
      </c>
      <c r="I1420" s="21">
        <f t="shared" ca="1" si="242"/>
        <v>4315.9899571225533</v>
      </c>
      <c r="J1420" s="20">
        <f t="shared" ca="1" si="251"/>
        <v>6</v>
      </c>
      <c r="K1420" s="20">
        <f t="shared" ca="1" si="243"/>
        <v>5</v>
      </c>
      <c r="L1420" s="44">
        <f t="shared" ca="1" si="248"/>
        <v>5.5</v>
      </c>
    </row>
    <row r="1421" spans="1:12" x14ac:dyDescent="0.25">
      <c r="A1421" s="20">
        <v>1413</v>
      </c>
      <c r="B1421" s="21">
        <f t="shared" ca="1" si="244"/>
        <v>1.5825373632159159</v>
      </c>
      <c r="C1421" s="21">
        <f t="shared" ca="1" si="249"/>
        <v>4264.8002545485342</v>
      </c>
      <c r="D1421" s="21">
        <f t="shared" ca="1" si="245"/>
        <v>0.36755478350472581</v>
      </c>
      <c r="E1421" s="21">
        <f t="shared" ca="1" si="252"/>
        <v>51.189702574019066</v>
      </c>
      <c r="F1421" s="20" t="str">
        <f t="shared" ca="1" si="250"/>
        <v>No</v>
      </c>
      <c r="G1421" s="21">
        <f t="shared" ca="1" si="246"/>
        <v>0</v>
      </c>
      <c r="H1421" s="21">
        <f t="shared" ca="1" si="247"/>
        <v>4315.9899571225533</v>
      </c>
      <c r="I1421" s="21">
        <f t="shared" ca="1" si="242"/>
        <v>4316.3575119060579</v>
      </c>
      <c r="J1421" s="20">
        <f t="shared" ca="1" si="251"/>
        <v>6</v>
      </c>
      <c r="K1421" s="20">
        <f t="shared" ca="1" si="243"/>
        <v>5</v>
      </c>
      <c r="L1421" s="44">
        <f t="shared" ca="1" si="248"/>
        <v>5.5</v>
      </c>
    </row>
    <row r="1422" spans="1:12" x14ac:dyDescent="0.25">
      <c r="A1422" s="20">
        <v>1414</v>
      </c>
      <c r="B1422" s="21">
        <f t="shared" ca="1" si="244"/>
        <v>0.38868132643513303</v>
      </c>
      <c r="C1422" s="21">
        <f t="shared" ca="1" si="249"/>
        <v>4265.1889358749695</v>
      </c>
      <c r="D1422" s="21">
        <f t="shared" ca="1" si="245"/>
        <v>1.0326199539441079</v>
      </c>
      <c r="E1422" s="21">
        <f t="shared" ca="1" si="252"/>
        <v>51.168576031088378</v>
      </c>
      <c r="F1422" s="20" t="str">
        <f t="shared" ca="1" si="250"/>
        <v>No</v>
      </c>
      <c r="G1422" s="21">
        <f t="shared" ca="1" si="246"/>
        <v>0</v>
      </c>
      <c r="H1422" s="21">
        <f t="shared" ca="1" si="247"/>
        <v>4316.3575119060579</v>
      </c>
      <c r="I1422" s="21">
        <f t="shared" ca="1" si="242"/>
        <v>4317.3901318600019</v>
      </c>
      <c r="J1422" s="20">
        <f t="shared" ca="1" si="251"/>
        <v>6</v>
      </c>
      <c r="K1422" s="20">
        <f t="shared" ca="1" si="243"/>
        <v>5</v>
      </c>
      <c r="L1422" s="44">
        <f t="shared" ca="1" si="248"/>
        <v>5.5</v>
      </c>
    </row>
    <row r="1423" spans="1:12" x14ac:dyDescent="0.25">
      <c r="A1423" s="20">
        <v>1415</v>
      </c>
      <c r="B1423" s="21">
        <f t="shared" ca="1" si="244"/>
        <v>7.0192497291954377</v>
      </c>
      <c r="C1423" s="21">
        <f t="shared" ca="1" si="249"/>
        <v>4272.208185604165</v>
      </c>
      <c r="D1423" s="21">
        <f t="shared" ca="1" si="245"/>
        <v>2.5103269801089159</v>
      </c>
      <c r="E1423" s="21">
        <f t="shared" ca="1" si="252"/>
        <v>45.18194625583692</v>
      </c>
      <c r="F1423" s="20" t="str">
        <f t="shared" ca="1" si="250"/>
        <v>No</v>
      </c>
      <c r="G1423" s="21">
        <f t="shared" ca="1" si="246"/>
        <v>0</v>
      </c>
      <c r="H1423" s="21">
        <f t="shared" ca="1" si="247"/>
        <v>4317.3901318600019</v>
      </c>
      <c r="I1423" s="21">
        <f t="shared" ca="1" si="242"/>
        <v>4319.9004588401112</v>
      </c>
      <c r="J1423" s="20">
        <f t="shared" ca="1" si="251"/>
        <v>6</v>
      </c>
      <c r="K1423" s="20">
        <f t="shared" ca="1" si="243"/>
        <v>5</v>
      </c>
      <c r="L1423" s="44">
        <f t="shared" ca="1" si="248"/>
        <v>5.5</v>
      </c>
    </row>
    <row r="1424" spans="1:12" x14ac:dyDescent="0.25">
      <c r="A1424" s="20">
        <v>1416</v>
      </c>
      <c r="B1424" s="21">
        <f t="shared" ca="1" si="244"/>
        <v>1.3900702136045324</v>
      </c>
      <c r="C1424" s="21">
        <f t="shared" ca="1" si="249"/>
        <v>4273.5982558177693</v>
      </c>
      <c r="D1424" s="21">
        <f t="shared" ca="1" si="245"/>
        <v>3.433129214478404</v>
      </c>
      <c r="E1424" s="21">
        <f t="shared" ca="1" si="252"/>
        <v>46.302203022341928</v>
      </c>
      <c r="F1424" s="20" t="str">
        <f t="shared" ca="1" si="250"/>
        <v>No</v>
      </c>
      <c r="G1424" s="21">
        <f t="shared" ca="1" si="246"/>
        <v>0</v>
      </c>
      <c r="H1424" s="21">
        <f t="shared" ca="1" si="247"/>
        <v>4319.9004588401112</v>
      </c>
      <c r="I1424" s="21">
        <f t="shared" ca="1" si="242"/>
        <v>4323.3335880545892</v>
      </c>
      <c r="J1424" s="20">
        <f t="shared" ca="1" si="251"/>
        <v>6</v>
      </c>
      <c r="K1424" s="20">
        <f t="shared" ca="1" si="243"/>
        <v>5</v>
      </c>
      <c r="L1424" s="44">
        <f t="shared" ca="1" si="248"/>
        <v>5.5</v>
      </c>
    </row>
    <row r="1425" spans="1:12" x14ac:dyDescent="0.25">
      <c r="A1425" s="20">
        <v>1417</v>
      </c>
      <c r="B1425" s="21">
        <f t="shared" ca="1" si="244"/>
        <v>9.2596700673914079</v>
      </c>
      <c r="C1425" s="21">
        <f t="shared" ca="1" si="249"/>
        <v>4282.8579258851605</v>
      </c>
      <c r="D1425" s="21">
        <f t="shared" ca="1" si="245"/>
        <v>0.40002486302922374</v>
      </c>
      <c r="E1425" s="21">
        <f t="shared" ca="1" si="252"/>
        <v>40.475662169428688</v>
      </c>
      <c r="F1425" s="20" t="str">
        <f t="shared" ca="1" si="250"/>
        <v>No</v>
      </c>
      <c r="G1425" s="21">
        <f t="shared" ca="1" si="246"/>
        <v>0</v>
      </c>
      <c r="H1425" s="21">
        <f t="shared" ca="1" si="247"/>
        <v>4323.3335880545892</v>
      </c>
      <c r="I1425" s="21">
        <f t="shared" ca="1" si="242"/>
        <v>4323.7336129176183</v>
      </c>
      <c r="J1425" s="20">
        <f t="shared" ca="1" si="251"/>
        <v>6</v>
      </c>
      <c r="K1425" s="20">
        <f t="shared" ca="1" si="243"/>
        <v>5</v>
      </c>
      <c r="L1425" s="44">
        <f t="shared" ca="1" si="248"/>
        <v>5.5</v>
      </c>
    </row>
    <row r="1426" spans="1:12" x14ac:dyDescent="0.25">
      <c r="A1426" s="20">
        <v>1418</v>
      </c>
      <c r="B1426" s="21">
        <f t="shared" ca="1" si="244"/>
        <v>2.2154182141081207</v>
      </c>
      <c r="C1426" s="21">
        <f t="shared" ca="1" si="249"/>
        <v>4285.073344099269</v>
      </c>
      <c r="D1426" s="21">
        <f t="shared" ca="1" si="245"/>
        <v>1.0892065213242552</v>
      </c>
      <c r="E1426" s="21">
        <f t="shared" ca="1" si="252"/>
        <v>38.660268818349323</v>
      </c>
      <c r="F1426" s="20" t="str">
        <f t="shared" ca="1" si="250"/>
        <v>No</v>
      </c>
      <c r="G1426" s="21">
        <f t="shared" ca="1" si="246"/>
        <v>0</v>
      </c>
      <c r="H1426" s="21">
        <f t="shared" ca="1" si="247"/>
        <v>4323.7336129176183</v>
      </c>
      <c r="I1426" s="21">
        <f t="shared" ca="1" si="242"/>
        <v>4324.8228194389421</v>
      </c>
      <c r="J1426" s="20">
        <f t="shared" ca="1" si="251"/>
        <v>6</v>
      </c>
      <c r="K1426" s="20">
        <f t="shared" ca="1" si="243"/>
        <v>5</v>
      </c>
      <c r="L1426" s="44">
        <f t="shared" ca="1" si="248"/>
        <v>5.5</v>
      </c>
    </row>
    <row r="1427" spans="1:12" x14ac:dyDescent="0.25">
      <c r="A1427" s="20">
        <v>1419</v>
      </c>
      <c r="B1427" s="21">
        <f t="shared" ca="1" si="244"/>
        <v>2.1647547139414827</v>
      </c>
      <c r="C1427" s="21">
        <f t="shared" ca="1" si="249"/>
        <v>4287.2380988132109</v>
      </c>
      <c r="D1427" s="21">
        <f t="shared" ca="1" si="245"/>
        <v>0.28435686823317452</v>
      </c>
      <c r="E1427" s="21">
        <f t="shared" ca="1" si="252"/>
        <v>37.584720625731279</v>
      </c>
      <c r="F1427" s="20" t="str">
        <f t="shared" ca="1" si="250"/>
        <v>No</v>
      </c>
      <c r="G1427" s="21">
        <f t="shared" ca="1" si="246"/>
        <v>0</v>
      </c>
      <c r="H1427" s="21">
        <f t="shared" ca="1" si="247"/>
        <v>4324.8228194389421</v>
      </c>
      <c r="I1427" s="21">
        <f t="shared" ca="1" si="242"/>
        <v>4325.107176307175</v>
      </c>
      <c r="J1427" s="20">
        <f t="shared" ca="1" si="251"/>
        <v>6</v>
      </c>
      <c r="K1427" s="20">
        <f t="shared" ca="1" si="243"/>
        <v>5</v>
      </c>
      <c r="L1427" s="44">
        <f t="shared" ca="1" si="248"/>
        <v>5.5</v>
      </c>
    </row>
    <row r="1428" spans="1:12" x14ac:dyDescent="0.25">
      <c r="A1428" s="20">
        <v>1420</v>
      </c>
      <c r="B1428" s="21">
        <f t="shared" ca="1" si="244"/>
        <v>1.904928901961739</v>
      </c>
      <c r="C1428" s="21">
        <f t="shared" ca="1" si="249"/>
        <v>4289.1430277151721</v>
      </c>
      <c r="D1428" s="21">
        <f t="shared" ca="1" si="245"/>
        <v>3.7627468644248534</v>
      </c>
      <c r="E1428" s="21">
        <f t="shared" ca="1" si="252"/>
        <v>35.964148592002857</v>
      </c>
      <c r="F1428" s="20" t="str">
        <f t="shared" ca="1" si="250"/>
        <v>No</v>
      </c>
      <c r="G1428" s="21">
        <f t="shared" ca="1" si="246"/>
        <v>0</v>
      </c>
      <c r="H1428" s="21">
        <f t="shared" ca="1" si="247"/>
        <v>4325.107176307175</v>
      </c>
      <c r="I1428" s="21">
        <f t="shared" ca="1" si="242"/>
        <v>4328.8699231716</v>
      </c>
      <c r="J1428" s="20">
        <f t="shared" ca="1" si="251"/>
        <v>6</v>
      </c>
      <c r="K1428" s="20">
        <f t="shared" ca="1" si="243"/>
        <v>5</v>
      </c>
      <c r="L1428" s="44">
        <f t="shared" ca="1" si="248"/>
        <v>5.5</v>
      </c>
    </row>
    <row r="1429" spans="1:12" x14ac:dyDescent="0.25">
      <c r="A1429" s="20">
        <v>1421</v>
      </c>
      <c r="B1429" s="21">
        <f t="shared" ca="1" si="244"/>
        <v>1.0018000577227666</v>
      </c>
      <c r="C1429" s="21">
        <f t="shared" ca="1" si="249"/>
        <v>4290.144827772895</v>
      </c>
      <c r="D1429" s="21">
        <f t="shared" ca="1" si="245"/>
        <v>1.8104930954039824</v>
      </c>
      <c r="E1429" s="21">
        <f t="shared" ca="1" si="252"/>
        <v>38.72509539870498</v>
      </c>
      <c r="F1429" s="20" t="str">
        <f t="shared" ca="1" si="250"/>
        <v>No</v>
      </c>
      <c r="G1429" s="21">
        <f t="shared" ca="1" si="246"/>
        <v>0</v>
      </c>
      <c r="H1429" s="21">
        <f t="shared" ca="1" si="247"/>
        <v>4328.8699231716</v>
      </c>
      <c r="I1429" s="21">
        <f t="shared" ca="1" si="242"/>
        <v>4330.6804162670041</v>
      </c>
      <c r="J1429" s="20">
        <f t="shared" ca="1" si="251"/>
        <v>6</v>
      </c>
      <c r="K1429" s="20">
        <f t="shared" ca="1" si="243"/>
        <v>5</v>
      </c>
      <c r="L1429" s="44">
        <f t="shared" ca="1" si="248"/>
        <v>5.5</v>
      </c>
    </row>
    <row r="1430" spans="1:12" x14ac:dyDescent="0.25">
      <c r="A1430" s="20">
        <v>1422</v>
      </c>
      <c r="B1430" s="21">
        <f t="shared" ca="1" si="244"/>
        <v>0.49430421620965892</v>
      </c>
      <c r="C1430" s="21">
        <f t="shared" ca="1" si="249"/>
        <v>4290.6391319891045</v>
      </c>
      <c r="D1430" s="21">
        <f t="shared" ca="1" si="245"/>
        <v>3.1042728748136361</v>
      </c>
      <c r="E1430" s="21">
        <f t="shared" ca="1" si="252"/>
        <v>40.041284277899649</v>
      </c>
      <c r="F1430" s="20" t="str">
        <f t="shared" ca="1" si="250"/>
        <v>No</v>
      </c>
      <c r="G1430" s="21">
        <f t="shared" ca="1" si="246"/>
        <v>0</v>
      </c>
      <c r="H1430" s="21">
        <f t="shared" ca="1" si="247"/>
        <v>4330.6804162670041</v>
      </c>
      <c r="I1430" s="21">
        <f t="shared" ca="1" si="242"/>
        <v>4333.7846891418176</v>
      </c>
      <c r="J1430" s="20">
        <f t="shared" ca="1" si="251"/>
        <v>6</v>
      </c>
      <c r="K1430" s="20">
        <f t="shared" ca="1" si="243"/>
        <v>5</v>
      </c>
      <c r="L1430" s="44">
        <f t="shared" ca="1" si="248"/>
        <v>5.5</v>
      </c>
    </row>
    <row r="1431" spans="1:12" x14ac:dyDescent="0.25">
      <c r="A1431" s="20">
        <v>1423</v>
      </c>
      <c r="B1431" s="21">
        <f t="shared" ca="1" si="244"/>
        <v>0.647321032679542</v>
      </c>
      <c r="C1431" s="21">
        <f t="shared" ca="1" si="249"/>
        <v>4291.2864530217839</v>
      </c>
      <c r="D1431" s="21">
        <f t="shared" ca="1" si="245"/>
        <v>0.30231191287362413</v>
      </c>
      <c r="E1431" s="21">
        <f t="shared" ca="1" si="252"/>
        <v>42.498236120033653</v>
      </c>
      <c r="F1431" s="20" t="str">
        <f t="shared" ca="1" si="250"/>
        <v>No</v>
      </c>
      <c r="G1431" s="21">
        <f t="shared" ca="1" si="246"/>
        <v>0</v>
      </c>
      <c r="H1431" s="21">
        <f t="shared" ca="1" si="247"/>
        <v>4333.7846891418176</v>
      </c>
      <c r="I1431" s="21">
        <f t="shared" ca="1" si="242"/>
        <v>4334.0870010546914</v>
      </c>
      <c r="J1431" s="20">
        <f t="shared" ca="1" si="251"/>
        <v>6</v>
      </c>
      <c r="K1431" s="20">
        <f t="shared" ca="1" si="243"/>
        <v>5</v>
      </c>
      <c r="L1431" s="44">
        <f t="shared" ca="1" si="248"/>
        <v>5.5</v>
      </c>
    </row>
    <row r="1432" spans="1:12" x14ac:dyDescent="0.25">
      <c r="A1432" s="20">
        <v>1424</v>
      </c>
      <c r="B1432" s="21">
        <f t="shared" ca="1" si="244"/>
        <v>9.567052073482591</v>
      </c>
      <c r="C1432" s="21">
        <f t="shared" ca="1" si="249"/>
        <v>4300.8535050952669</v>
      </c>
      <c r="D1432" s="21">
        <f t="shared" ca="1" si="245"/>
        <v>1.5218595281367449</v>
      </c>
      <c r="E1432" s="21">
        <f t="shared" ca="1" si="252"/>
        <v>33.233495959424545</v>
      </c>
      <c r="F1432" s="20" t="str">
        <f t="shared" ca="1" si="250"/>
        <v>No</v>
      </c>
      <c r="G1432" s="21">
        <f t="shared" ca="1" si="246"/>
        <v>0</v>
      </c>
      <c r="H1432" s="21">
        <f t="shared" ca="1" si="247"/>
        <v>4334.0870010546914</v>
      </c>
      <c r="I1432" s="21">
        <f t="shared" ca="1" si="242"/>
        <v>4335.6088605828281</v>
      </c>
      <c r="J1432" s="20">
        <f t="shared" ca="1" si="251"/>
        <v>6</v>
      </c>
      <c r="K1432" s="20">
        <f t="shared" ca="1" si="243"/>
        <v>5</v>
      </c>
      <c r="L1432" s="44">
        <f t="shared" ca="1" si="248"/>
        <v>5.5</v>
      </c>
    </row>
    <row r="1433" spans="1:12" x14ac:dyDescent="0.25">
      <c r="A1433" s="20">
        <v>1425</v>
      </c>
      <c r="B1433" s="21">
        <f t="shared" ca="1" si="244"/>
        <v>2.7362776827704867</v>
      </c>
      <c r="C1433" s="21">
        <f t="shared" ca="1" si="249"/>
        <v>4303.5897827780373</v>
      </c>
      <c r="D1433" s="21">
        <f t="shared" ca="1" si="245"/>
        <v>1.4545316898602816</v>
      </c>
      <c r="E1433" s="21">
        <f t="shared" ca="1" si="252"/>
        <v>32.019077804790868</v>
      </c>
      <c r="F1433" s="20" t="str">
        <f t="shared" ca="1" si="250"/>
        <v>No</v>
      </c>
      <c r="G1433" s="21">
        <f t="shared" ca="1" si="246"/>
        <v>0</v>
      </c>
      <c r="H1433" s="21">
        <f t="shared" ca="1" si="247"/>
        <v>4335.6088605828281</v>
      </c>
      <c r="I1433" s="21">
        <f t="shared" ca="1" si="242"/>
        <v>4337.0633922726884</v>
      </c>
      <c r="J1433" s="20">
        <f t="shared" ca="1" si="251"/>
        <v>6</v>
      </c>
      <c r="K1433" s="20">
        <f t="shared" ca="1" si="243"/>
        <v>5</v>
      </c>
      <c r="L1433" s="44">
        <f t="shared" ca="1" si="248"/>
        <v>5.5</v>
      </c>
    </row>
    <row r="1434" spans="1:12" x14ac:dyDescent="0.25">
      <c r="A1434" s="20">
        <v>1426</v>
      </c>
      <c r="B1434" s="21">
        <f t="shared" ca="1" si="244"/>
        <v>1.2586916251113969</v>
      </c>
      <c r="C1434" s="21">
        <f t="shared" ca="1" si="249"/>
        <v>4304.8484744031484</v>
      </c>
      <c r="D1434" s="21">
        <f t="shared" ca="1" si="245"/>
        <v>0.91415754697510487</v>
      </c>
      <c r="E1434" s="21">
        <f t="shared" ca="1" si="252"/>
        <v>32.214917869539931</v>
      </c>
      <c r="F1434" s="20" t="str">
        <f t="shared" ca="1" si="250"/>
        <v>No</v>
      </c>
      <c r="G1434" s="21">
        <f t="shared" ca="1" si="246"/>
        <v>0</v>
      </c>
      <c r="H1434" s="21">
        <f t="shared" ca="1" si="247"/>
        <v>4337.0633922726884</v>
      </c>
      <c r="I1434" s="21">
        <f t="shared" ca="1" si="242"/>
        <v>4337.9775498196632</v>
      </c>
      <c r="J1434" s="20">
        <f t="shared" ca="1" si="251"/>
        <v>6</v>
      </c>
      <c r="K1434" s="20">
        <f t="shared" ca="1" si="243"/>
        <v>5</v>
      </c>
      <c r="L1434" s="44">
        <f t="shared" ca="1" si="248"/>
        <v>5.5</v>
      </c>
    </row>
    <row r="1435" spans="1:12" x14ac:dyDescent="0.25">
      <c r="A1435" s="20">
        <v>1427</v>
      </c>
      <c r="B1435" s="21">
        <f t="shared" ca="1" si="244"/>
        <v>1.2562146585273144</v>
      </c>
      <c r="C1435" s="21">
        <f t="shared" ca="1" si="249"/>
        <v>4306.1046890616753</v>
      </c>
      <c r="D1435" s="21">
        <f t="shared" ca="1" si="245"/>
        <v>1.9071526430379038</v>
      </c>
      <c r="E1435" s="21">
        <f t="shared" ca="1" si="252"/>
        <v>31.872860757987837</v>
      </c>
      <c r="F1435" s="20" t="str">
        <f t="shared" ca="1" si="250"/>
        <v>No</v>
      </c>
      <c r="G1435" s="21">
        <f t="shared" ca="1" si="246"/>
        <v>0</v>
      </c>
      <c r="H1435" s="21">
        <f t="shared" ca="1" si="247"/>
        <v>4337.9775498196632</v>
      </c>
      <c r="I1435" s="21">
        <f t="shared" ca="1" si="242"/>
        <v>4339.8847024627012</v>
      </c>
      <c r="J1435" s="20">
        <f t="shared" ca="1" si="251"/>
        <v>6</v>
      </c>
      <c r="K1435" s="20">
        <f t="shared" ca="1" si="243"/>
        <v>5</v>
      </c>
      <c r="L1435" s="44">
        <f t="shared" ca="1" si="248"/>
        <v>5.5</v>
      </c>
    </row>
    <row r="1436" spans="1:12" x14ac:dyDescent="0.25">
      <c r="A1436" s="20">
        <v>1428</v>
      </c>
      <c r="B1436" s="21">
        <f t="shared" ca="1" si="244"/>
        <v>0.84320474159796022</v>
      </c>
      <c r="C1436" s="21">
        <f t="shared" ca="1" si="249"/>
        <v>4306.9478938032735</v>
      </c>
      <c r="D1436" s="21">
        <f t="shared" ca="1" si="245"/>
        <v>1.6927424152698725</v>
      </c>
      <c r="E1436" s="21">
        <f t="shared" ca="1" si="252"/>
        <v>32.936808659427697</v>
      </c>
      <c r="F1436" s="20" t="str">
        <f t="shared" ca="1" si="250"/>
        <v>No</v>
      </c>
      <c r="G1436" s="21">
        <f t="shared" ca="1" si="246"/>
        <v>0</v>
      </c>
      <c r="H1436" s="21">
        <f t="shared" ca="1" si="247"/>
        <v>4339.8847024627012</v>
      </c>
      <c r="I1436" s="21">
        <f t="shared" ca="1" si="242"/>
        <v>4341.5774448779712</v>
      </c>
      <c r="J1436" s="20">
        <f t="shared" ca="1" si="251"/>
        <v>6</v>
      </c>
      <c r="K1436" s="20">
        <f t="shared" ca="1" si="243"/>
        <v>5</v>
      </c>
      <c r="L1436" s="44">
        <f t="shared" ca="1" si="248"/>
        <v>5.5</v>
      </c>
    </row>
    <row r="1437" spans="1:12" x14ac:dyDescent="0.25">
      <c r="A1437" s="20">
        <v>1429</v>
      </c>
      <c r="B1437" s="21">
        <f t="shared" ca="1" si="244"/>
        <v>2.6222351599856588</v>
      </c>
      <c r="C1437" s="21">
        <f t="shared" ca="1" si="249"/>
        <v>4309.5701289632589</v>
      </c>
      <c r="D1437" s="21">
        <f t="shared" ca="1" si="245"/>
        <v>1.4620908059459015</v>
      </c>
      <c r="E1437" s="21">
        <f t="shared" ca="1" si="252"/>
        <v>32.007315914712308</v>
      </c>
      <c r="F1437" s="20" t="str">
        <f t="shared" ca="1" si="250"/>
        <v>No</v>
      </c>
      <c r="G1437" s="21">
        <f t="shared" ca="1" si="246"/>
        <v>0</v>
      </c>
      <c r="H1437" s="21">
        <f t="shared" ca="1" si="247"/>
        <v>4341.5774448779712</v>
      </c>
      <c r="I1437" s="21">
        <f t="shared" ca="1" si="242"/>
        <v>4343.0395356839172</v>
      </c>
      <c r="J1437" s="20">
        <f t="shared" ca="1" si="251"/>
        <v>6</v>
      </c>
      <c r="K1437" s="20">
        <f t="shared" ca="1" si="243"/>
        <v>5</v>
      </c>
      <c r="L1437" s="44">
        <f t="shared" ca="1" si="248"/>
        <v>5.5</v>
      </c>
    </row>
    <row r="1438" spans="1:12" x14ac:dyDescent="0.25">
      <c r="A1438" s="20">
        <v>1430</v>
      </c>
      <c r="B1438" s="21">
        <f t="shared" ca="1" si="244"/>
        <v>2.284092983104733</v>
      </c>
      <c r="C1438" s="21">
        <f t="shared" ca="1" si="249"/>
        <v>4311.8542219463634</v>
      </c>
      <c r="D1438" s="21">
        <f t="shared" ca="1" si="245"/>
        <v>0.13659976359431983</v>
      </c>
      <c r="E1438" s="21">
        <f t="shared" ca="1" si="252"/>
        <v>31.18531373755377</v>
      </c>
      <c r="F1438" s="20" t="str">
        <f t="shared" ca="1" si="250"/>
        <v>No</v>
      </c>
      <c r="G1438" s="21">
        <f t="shared" ca="1" si="246"/>
        <v>0</v>
      </c>
      <c r="H1438" s="21">
        <f t="shared" ca="1" si="247"/>
        <v>4343.0395356839172</v>
      </c>
      <c r="I1438" s="21">
        <f t="shared" ca="1" si="242"/>
        <v>4343.1761354475111</v>
      </c>
      <c r="J1438" s="20">
        <f t="shared" ca="1" si="251"/>
        <v>6</v>
      </c>
      <c r="K1438" s="20">
        <f t="shared" ca="1" si="243"/>
        <v>5</v>
      </c>
      <c r="L1438" s="44">
        <f t="shared" ca="1" si="248"/>
        <v>5.5</v>
      </c>
    </row>
    <row r="1439" spans="1:12" x14ac:dyDescent="0.25">
      <c r="A1439" s="20">
        <v>1431</v>
      </c>
      <c r="B1439" s="21">
        <f t="shared" ca="1" si="244"/>
        <v>3.9619524955214067</v>
      </c>
      <c r="C1439" s="21">
        <f t="shared" ca="1" si="249"/>
        <v>4315.8161744418849</v>
      </c>
      <c r="D1439" s="21">
        <f t="shared" ca="1" si="245"/>
        <v>0.3420537165171128</v>
      </c>
      <c r="E1439" s="21">
        <f t="shared" ca="1" si="252"/>
        <v>27.359961005626246</v>
      </c>
      <c r="F1439" s="20" t="str">
        <f t="shared" ca="1" si="250"/>
        <v>No</v>
      </c>
      <c r="G1439" s="21">
        <f t="shared" ca="1" si="246"/>
        <v>0</v>
      </c>
      <c r="H1439" s="21">
        <f t="shared" ca="1" si="247"/>
        <v>4343.1761354475111</v>
      </c>
      <c r="I1439" s="21">
        <f t="shared" ca="1" si="242"/>
        <v>4343.5181891640286</v>
      </c>
      <c r="J1439" s="20">
        <f t="shared" ca="1" si="251"/>
        <v>6</v>
      </c>
      <c r="K1439" s="20">
        <f t="shared" ca="1" si="243"/>
        <v>5</v>
      </c>
      <c r="L1439" s="44">
        <f t="shared" ca="1" si="248"/>
        <v>5.5</v>
      </c>
    </row>
    <row r="1440" spans="1:12" x14ac:dyDescent="0.25">
      <c r="A1440" s="20">
        <v>1432</v>
      </c>
      <c r="B1440" s="21">
        <f t="shared" ca="1" si="244"/>
        <v>1.3300821263534119</v>
      </c>
      <c r="C1440" s="21">
        <f t="shared" ca="1" si="249"/>
        <v>4317.1462565682386</v>
      </c>
      <c r="D1440" s="21">
        <f t="shared" ca="1" si="245"/>
        <v>4.5715576996228684</v>
      </c>
      <c r="E1440" s="21">
        <f t="shared" ca="1" si="252"/>
        <v>26.371932595789985</v>
      </c>
      <c r="F1440" s="20" t="str">
        <f t="shared" ca="1" si="250"/>
        <v>No</v>
      </c>
      <c r="G1440" s="21">
        <f t="shared" ca="1" si="246"/>
        <v>0</v>
      </c>
      <c r="H1440" s="21">
        <f t="shared" ca="1" si="247"/>
        <v>4343.5181891640286</v>
      </c>
      <c r="I1440" s="21">
        <f t="shared" ca="1" si="242"/>
        <v>4348.0897468636513</v>
      </c>
      <c r="J1440" s="20">
        <f t="shared" ca="1" si="251"/>
        <v>6</v>
      </c>
      <c r="K1440" s="20">
        <f t="shared" ca="1" si="243"/>
        <v>5</v>
      </c>
      <c r="L1440" s="44">
        <f t="shared" ca="1" si="248"/>
        <v>5.5</v>
      </c>
    </row>
    <row r="1441" spans="1:12" x14ac:dyDescent="0.25">
      <c r="A1441" s="20">
        <v>1433</v>
      </c>
      <c r="B1441" s="21">
        <f t="shared" ca="1" si="244"/>
        <v>3.3093953273182266</v>
      </c>
      <c r="C1441" s="21">
        <f t="shared" ca="1" si="249"/>
        <v>4320.4556518955569</v>
      </c>
      <c r="D1441" s="21">
        <f t="shared" ca="1" si="245"/>
        <v>4.2240162612099308</v>
      </c>
      <c r="E1441" s="21">
        <f t="shared" ca="1" si="252"/>
        <v>27.63409496809436</v>
      </c>
      <c r="F1441" s="20" t="str">
        <f t="shared" ca="1" si="250"/>
        <v>No</v>
      </c>
      <c r="G1441" s="21">
        <f t="shared" ca="1" si="246"/>
        <v>0</v>
      </c>
      <c r="H1441" s="21">
        <f t="shared" ca="1" si="247"/>
        <v>4348.0897468636513</v>
      </c>
      <c r="I1441" s="21">
        <f t="shared" ca="1" si="242"/>
        <v>4352.313763124861</v>
      </c>
      <c r="J1441" s="20">
        <f t="shared" ca="1" si="251"/>
        <v>6</v>
      </c>
      <c r="K1441" s="20">
        <f t="shared" ca="1" si="243"/>
        <v>5</v>
      </c>
      <c r="L1441" s="44">
        <f t="shared" ca="1" si="248"/>
        <v>5.5</v>
      </c>
    </row>
    <row r="1442" spans="1:12" x14ac:dyDescent="0.25">
      <c r="A1442" s="20">
        <v>1434</v>
      </c>
      <c r="B1442" s="21">
        <f t="shared" ca="1" si="244"/>
        <v>2.8351560556048168</v>
      </c>
      <c r="C1442" s="21">
        <f t="shared" ca="1" si="249"/>
        <v>4323.2908079511617</v>
      </c>
      <c r="D1442" s="21">
        <f t="shared" ca="1" si="245"/>
        <v>5.5016538596075275</v>
      </c>
      <c r="E1442" s="21">
        <f t="shared" ca="1" si="252"/>
        <v>29.022955173699302</v>
      </c>
      <c r="F1442" s="20" t="str">
        <f t="shared" ca="1" si="250"/>
        <v>No</v>
      </c>
      <c r="G1442" s="21">
        <f t="shared" ca="1" si="246"/>
        <v>0</v>
      </c>
      <c r="H1442" s="21">
        <f t="shared" ca="1" si="247"/>
        <v>4352.313763124861</v>
      </c>
      <c r="I1442" s="21">
        <f t="shared" ca="1" si="242"/>
        <v>4357.8154169844684</v>
      </c>
      <c r="J1442" s="20">
        <f t="shared" ca="1" si="251"/>
        <v>6</v>
      </c>
      <c r="K1442" s="20">
        <f t="shared" ca="1" si="243"/>
        <v>5</v>
      </c>
      <c r="L1442" s="44">
        <f t="shared" ca="1" si="248"/>
        <v>5.5</v>
      </c>
    </row>
    <row r="1443" spans="1:12" x14ac:dyDescent="0.25">
      <c r="A1443" s="20">
        <v>1435</v>
      </c>
      <c r="B1443" s="21">
        <f t="shared" ca="1" si="244"/>
        <v>5.2853829049509971E-2</v>
      </c>
      <c r="C1443" s="21">
        <f t="shared" ca="1" si="249"/>
        <v>4323.3436617802108</v>
      </c>
      <c r="D1443" s="21">
        <f t="shared" ca="1" si="245"/>
        <v>1.7692761638867007</v>
      </c>
      <c r="E1443" s="21">
        <f t="shared" ca="1" si="252"/>
        <v>34.471755204257533</v>
      </c>
      <c r="F1443" s="20" t="str">
        <f t="shared" ca="1" si="250"/>
        <v>No</v>
      </c>
      <c r="G1443" s="21">
        <f t="shared" ca="1" si="246"/>
        <v>0</v>
      </c>
      <c r="H1443" s="21">
        <f t="shared" ca="1" si="247"/>
        <v>4357.8154169844684</v>
      </c>
      <c r="I1443" s="21">
        <f t="shared" ca="1" si="242"/>
        <v>4359.5846931483547</v>
      </c>
      <c r="J1443" s="20">
        <f t="shared" ca="1" si="251"/>
        <v>6</v>
      </c>
      <c r="K1443" s="20">
        <f t="shared" ca="1" si="243"/>
        <v>5</v>
      </c>
      <c r="L1443" s="44">
        <f t="shared" ca="1" si="248"/>
        <v>5.5</v>
      </c>
    </row>
    <row r="1444" spans="1:12" x14ac:dyDescent="0.25">
      <c r="A1444" s="20">
        <v>1436</v>
      </c>
      <c r="B1444" s="21">
        <f t="shared" ca="1" si="244"/>
        <v>12.404283160659803</v>
      </c>
      <c r="C1444" s="21">
        <f t="shared" ca="1" si="249"/>
        <v>4335.7479449408702</v>
      </c>
      <c r="D1444" s="21">
        <f t="shared" ca="1" si="245"/>
        <v>1.6096436887076015</v>
      </c>
      <c r="E1444" s="21">
        <f t="shared" ca="1" si="252"/>
        <v>23.836748207484561</v>
      </c>
      <c r="F1444" s="20" t="str">
        <f t="shared" ca="1" si="250"/>
        <v>No</v>
      </c>
      <c r="G1444" s="21">
        <f t="shared" ca="1" si="246"/>
        <v>0</v>
      </c>
      <c r="H1444" s="21">
        <f t="shared" ca="1" si="247"/>
        <v>4359.5846931483547</v>
      </c>
      <c r="I1444" s="21">
        <f t="shared" ca="1" si="242"/>
        <v>4361.1943368370621</v>
      </c>
      <c r="J1444" s="20">
        <f t="shared" ca="1" si="251"/>
        <v>6</v>
      </c>
      <c r="K1444" s="20">
        <f t="shared" ca="1" si="243"/>
        <v>5</v>
      </c>
      <c r="L1444" s="44">
        <f t="shared" ca="1" si="248"/>
        <v>5.5</v>
      </c>
    </row>
    <row r="1445" spans="1:12" x14ac:dyDescent="0.25">
      <c r="A1445" s="20">
        <v>1437</v>
      </c>
      <c r="B1445" s="21">
        <f t="shared" ca="1" si="244"/>
        <v>1.8634477713045248</v>
      </c>
      <c r="C1445" s="21">
        <f t="shared" ca="1" si="249"/>
        <v>4337.6113927121751</v>
      </c>
      <c r="D1445" s="21">
        <f t="shared" ca="1" si="245"/>
        <v>3.1225673448560136</v>
      </c>
      <c r="E1445" s="21">
        <f t="shared" ca="1" si="252"/>
        <v>23.582944124887035</v>
      </c>
      <c r="F1445" s="20" t="str">
        <f t="shared" ca="1" si="250"/>
        <v>No</v>
      </c>
      <c r="G1445" s="21">
        <f t="shared" ca="1" si="246"/>
        <v>0</v>
      </c>
      <c r="H1445" s="21">
        <f t="shared" ca="1" si="247"/>
        <v>4361.1943368370621</v>
      </c>
      <c r="I1445" s="21">
        <f t="shared" ca="1" si="242"/>
        <v>4364.3169041819183</v>
      </c>
      <c r="J1445" s="20">
        <f t="shared" ca="1" si="251"/>
        <v>6</v>
      </c>
      <c r="K1445" s="20">
        <f t="shared" ca="1" si="243"/>
        <v>5</v>
      </c>
      <c r="L1445" s="44">
        <f t="shared" ca="1" si="248"/>
        <v>5.5</v>
      </c>
    </row>
    <row r="1446" spans="1:12" x14ac:dyDescent="0.25">
      <c r="A1446" s="20">
        <v>1438</v>
      </c>
      <c r="B1446" s="21">
        <f t="shared" ca="1" si="244"/>
        <v>1.3935522848711304</v>
      </c>
      <c r="C1446" s="21">
        <f t="shared" ca="1" si="249"/>
        <v>4339.0049449970466</v>
      </c>
      <c r="D1446" s="21">
        <f t="shared" ca="1" si="245"/>
        <v>2.4266122315619456</v>
      </c>
      <c r="E1446" s="21">
        <f t="shared" ca="1" si="252"/>
        <v>25.311959184871739</v>
      </c>
      <c r="F1446" s="20" t="str">
        <f t="shared" ca="1" si="250"/>
        <v>No</v>
      </c>
      <c r="G1446" s="21">
        <f t="shared" ca="1" si="246"/>
        <v>0</v>
      </c>
      <c r="H1446" s="21">
        <f t="shared" ca="1" si="247"/>
        <v>4364.3169041819183</v>
      </c>
      <c r="I1446" s="21">
        <f t="shared" ca="1" si="242"/>
        <v>4366.7435164134804</v>
      </c>
      <c r="J1446" s="20">
        <f t="shared" ca="1" si="251"/>
        <v>6</v>
      </c>
      <c r="K1446" s="20">
        <f t="shared" ca="1" si="243"/>
        <v>5</v>
      </c>
      <c r="L1446" s="44">
        <f t="shared" ca="1" si="248"/>
        <v>5.5</v>
      </c>
    </row>
    <row r="1447" spans="1:12" x14ac:dyDescent="0.25">
      <c r="A1447" s="20">
        <v>1439</v>
      </c>
      <c r="B1447" s="21">
        <f t="shared" ca="1" si="244"/>
        <v>1.1589331834544541</v>
      </c>
      <c r="C1447" s="21">
        <f t="shared" ca="1" si="249"/>
        <v>4340.1638781805013</v>
      </c>
      <c r="D1447" s="21">
        <f t="shared" ca="1" si="245"/>
        <v>6.0137093680715212</v>
      </c>
      <c r="E1447" s="21">
        <f t="shared" ca="1" si="252"/>
        <v>26.57963823297905</v>
      </c>
      <c r="F1447" s="20" t="str">
        <f t="shared" ca="1" si="250"/>
        <v>No</v>
      </c>
      <c r="G1447" s="21">
        <f t="shared" ca="1" si="246"/>
        <v>0</v>
      </c>
      <c r="H1447" s="21">
        <f t="shared" ca="1" si="247"/>
        <v>4366.7435164134804</v>
      </c>
      <c r="I1447" s="21">
        <f t="shared" ca="1" si="242"/>
        <v>4372.7572257815518</v>
      </c>
      <c r="J1447" s="20">
        <f t="shared" ca="1" si="251"/>
        <v>6</v>
      </c>
      <c r="K1447" s="20">
        <f t="shared" ca="1" si="243"/>
        <v>5</v>
      </c>
      <c r="L1447" s="44">
        <f t="shared" ca="1" si="248"/>
        <v>5.5</v>
      </c>
    </row>
    <row r="1448" spans="1:12" x14ac:dyDescent="0.25">
      <c r="A1448" s="20">
        <v>1440</v>
      </c>
      <c r="B1448" s="21">
        <f t="shared" ca="1" si="244"/>
        <v>6.5022220589646518E-2</v>
      </c>
      <c r="C1448" s="21">
        <f t="shared" ca="1" si="249"/>
        <v>4340.2289004010909</v>
      </c>
      <c r="D1448" s="21">
        <f t="shared" ca="1" si="245"/>
        <v>0.44637496775735425</v>
      </c>
      <c r="E1448" s="21">
        <f t="shared" ca="1" si="252"/>
        <v>32.528325380460956</v>
      </c>
      <c r="F1448" s="20" t="str">
        <f t="shared" ca="1" si="250"/>
        <v>No</v>
      </c>
      <c r="G1448" s="21">
        <f t="shared" ca="1" si="246"/>
        <v>0</v>
      </c>
      <c r="H1448" s="21">
        <f t="shared" ca="1" si="247"/>
        <v>4372.7572257815518</v>
      </c>
      <c r="I1448" s="21">
        <f t="shared" ca="1" si="242"/>
        <v>4373.2036007493089</v>
      </c>
      <c r="J1448" s="20">
        <f t="shared" ca="1" si="251"/>
        <v>6</v>
      </c>
      <c r="K1448" s="20">
        <f t="shared" ca="1" si="243"/>
        <v>5</v>
      </c>
      <c r="L1448" s="44">
        <f t="shared" ca="1" si="248"/>
        <v>5.5</v>
      </c>
    </row>
    <row r="1449" spans="1:12" x14ac:dyDescent="0.25">
      <c r="A1449" s="20">
        <v>1441</v>
      </c>
      <c r="B1449" s="21">
        <f t="shared" ca="1" si="244"/>
        <v>2.5395602646518922</v>
      </c>
      <c r="C1449" s="21">
        <f t="shared" ca="1" si="249"/>
        <v>4342.7684606657431</v>
      </c>
      <c r="D1449" s="21">
        <f t="shared" ca="1" si="245"/>
        <v>0.50684888524304628</v>
      </c>
      <c r="E1449" s="21">
        <f t="shared" ca="1" si="252"/>
        <v>30.435140083565784</v>
      </c>
      <c r="F1449" s="20" t="str">
        <f t="shared" ca="1" si="250"/>
        <v>No</v>
      </c>
      <c r="G1449" s="21">
        <f t="shared" ca="1" si="246"/>
        <v>0</v>
      </c>
      <c r="H1449" s="21">
        <f t="shared" ca="1" si="247"/>
        <v>4373.2036007493089</v>
      </c>
      <c r="I1449" s="21">
        <f t="shared" ca="1" si="242"/>
        <v>4373.7104496345519</v>
      </c>
      <c r="J1449" s="20">
        <f t="shared" ca="1" si="251"/>
        <v>6</v>
      </c>
      <c r="K1449" s="20">
        <f t="shared" ca="1" si="243"/>
        <v>5</v>
      </c>
      <c r="L1449" s="44">
        <f t="shared" ca="1" si="248"/>
        <v>5.5</v>
      </c>
    </row>
    <row r="1450" spans="1:12" x14ac:dyDescent="0.25">
      <c r="A1450" s="20">
        <v>1442</v>
      </c>
      <c r="B1450" s="21">
        <f t="shared" ca="1" si="244"/>
        <v>2.133390079560225</v>
      </c>
      <c r="C1450" s="21">
        <f t="shared" ca="1" si="249"/>
        <v>4344.9018507453029</v>
      </c>
      <c r="D1450" s="21">
        <f t="shared" ca="1" si="245"/>
        <v>0.12758636235950535</v>
      </c>
      <c r="E1450" s="21">
        <f t="shared" ca="1" si="252"/>
        <v>28.808598889248969</v>
      </c>
      <c r="F1450" s="20" t="str">
        <f t="shared" ca="1" si="250"/>
        <v>No</v>
      </c>
      <c r="G1450" s="21">
        <f t="shared" ca="1" si="246"/>
        <v>0</v>
      </c>
      <c r="H1450" s="21">
        <f t="shared" ca="1" si="247"/>
        <v>4373.7104496345519</v>
      </c>
      <c r="I1450" s="21">
        <f t="shared" ca="1" si="242"/>
        <v>4373.8380359969115</v>
      </c>
      <c r="J1450" s="20">
        <f t="shared" ca="1" si="251"/>
        <v>6</v>
      </c>
      <c r="K1450" s="20">
        <f t="shared" ca="1" si="243"/>
        <v>5</v>
      </c>
      <c r="L1450" s="44">
        <f t="shared" ca="1" si="248"/>
        <v>5.5</v>
      </c>
    </row>
    <row r="1451" spans="1:12" x14ac:dyDescent="0.25">
      <c r="A1451" s="20">
        <v>1443</v>
      </c>
      <c r="B1451" s="21">
        <f t="shared" ca="1" si="244"/>
        <v>7.7179710881508004E-2</v>
      </c>
      <c r="C1451" s="21">
        <f t="shared" ca="1" si="249"/>
        <v>4344.9790304561848</v>
      </c>
      <c r="D1451" s="21">
        <f t="shared" ca="1" si="245"/>
        <v>3.8545937674318189</v>
      </c>
      <c r="E1451" s="21">
        <f t="shared" ca="1" si="252"/>
        <v>28.859005540726685</v>
      </c>
      <c r="F1451" s="20" t="str">
        <f t="shared" ca="1" si="250"/>
        <v>No</v>
      </c>
      <c r="G1451" s="21">
        <f t="shared" ca="1" si="246"/>
        <v>0</v>
      </c>
      <c r="H1451" s="21">
        <f t="shared" ca="1" si="247"/>
        <v>4373.8380359969115</v>
      </c>
      <c r="I1451" s="21">
        <f t="shared" ca="1" si="242"/>
        <v>4377.6926297643431</v>
      </c>
      <c r="J1451" s="20">
        <f t="shared" ca="1" si="251"/>
        <v>6</v>
      </c>
      <c r="K1451" s="20">
        <f t="shared" ca="1" si="243"/>
        <v>5</v>
      </c>
      <c r="L1451" s="44">
        <f t="shared" ca="1" si="248"/>
        <v>5.5</v>
      </c>
    </row>
    <row r="1452" spans="1:12" x14ac:dyDescent="0.25">
      <c r="A1452" s="20">
        <v>1444</v>
      </c>
      <c r="B1452" s="21">
        <f t="shared" ca="1" si="244"/>
        <v>6.0250935345073104</v>
      </c>
      <c r="C1452" s="21">
        <f t="shared" ca="1" si="249"/>
        <v>4351.0041239906923</v>
      </c>
      <c r="D1452" s="21">
        <f t="shared" ca="1" si="245"/>
        <v>2.2388526940185325</v>
      </c>
      <c r="E1452" s="21">
        <f t="shared" ca="1" si="252"/>
        <v>26.688505773650832</v>
      </c>
      <c r="F1452" s="20" t="str">
        <f t="shared" ca="1" si="250"/>
        <v>No</v>
      </c>
      <c r="G1452" s="21">
        <f t="shared" ca="1" si="246"/>
        <v>0</v>
      </c>
      <c r="H1452" s="21">
        <f t="shared" ca="1" si="247"/>
        <v>4377.6926297643431</v>
      </c>
      <c r="I1452" s="21">
        <f t="shared" ca="1" si="242"/>
        <v>4379.9314824583616</v>
      </c>
      <c r="J1452" s="20">
        <f t="shared" ca="1" si="251"/>
        <v>6</v>
      </c>
      <c r="K1452" s="20">
        <f t="shared" ca="1" si="243"/>
        <v>5</v>
      </c>
      <c r="L1452" s="44">
        <f t="shared" ca="1" si="248"/>
        <v>5.5</v>
      </c>
    </row>
    <row r="1453" spans="1:12" x14ac:dyDescent="0.25">
      <c r="A1453" s="20">
        <v>1445</v>
      </c>
      <c r="B1453" s="21">
        <f t="shared" ca="1" si="244"/>
        <v>6.5247376986524452</v>
      </c>
      <c r="C1453" s="21">
        <f t="shared" ca="1" si="249"/>
        <v>4357.5288616893449</v>
      </c>
      <c r="D1453" s="21">
        <f t="shared" ca="1" si="245"/>
        <v>2.4408115431724244</v>
      </c>
      <c r="E1453" s="21">
        <f t="shared" ca="1" si="252"/>
        <v>22.402620769016721</v>
      </c>
      <c r="F1453" s="20" t="str">
        <f t="shared" ca="1" si="250"/>
        <v>No</v>
      </c>
      <c r="G1453" s="21">
        <f t="shared" ca="1" si="246"/>
        <v>0</v>
      </c>
      <c r="H1453" s="21">
        <f t="shared" ca="1" si="247"/>
        <v>4379.9314824583616</v>
      </c>
      <c r="I1453" s="21">
        <f t="shared" ca="1" si="242"/>
        <v>4382.3722940015341</v>
      </c>
      <c r="J1453" s="20">
        <f t="shared" ca="1" si="251"/>
        <v>6</v>
      </c>
      <c r="K1453" s="20">
        <f t="shared" ca="1" si="243"/>
        <v>5</v>
      </c>
      <c r="L1453" s="44">
        <f t="shared" ca="1" si="248"/>
        <v>5.5</v>
      </c>
    </row>
    <row r="1454" spans="1:12" x14ac:dyDescent="0.25">
      <c r="A1454" s="20">
        <v>1446</v>
      </c>
      <c r="B1454" s="21">
        <f t="shared" ca="1" si="244"/>
        <v>5.9341768262401953</v>
      </c>
      <c r="C1454" s="21">
        <f t="shared" ca="1" si="249"/>
        <v>4363.4630385155851</v>
      </c>
      <c r="D1454" s="21">
        <f t="shared" ca="1" si="245"/>
        <v>5.4123485075856026</v>
      </c>
      <c r="E1454" s="21">
        <f t="shared" ca="1" si="252"/>
        <v>18.909255485948961</v>
      </c>
      <c r="F1454" s="20" t="str">
        <f t="shared" ca="1" si="250"/>
        <v>No</v>
      </c>
      <c r="G1454" s="21">
        <f t="shared" ca="1" si="246"/>
        <v>0</v>
      </c>
      <c r="H1454" s="21">
        <f t="shared" ca="1" si="247"/>
        <v>4382.3722940015341</v>
      </c>
      <c r="I1454" s="21">
        <f t="shared" ca="1" si="242"/>
        <v>4387.7846425091193</v>
      </c>
      <c r="J1454" s="20">
        <f t="shared" ca="1" si="251"/>
        <v>6</v>
      </c>
      <c r="K1454" s="20">
        <f t="shared" ca="1" si="243"/>
        <v>5</v>
      </c>
      <c r="L1454" s="44">
        <f t="shared" ca="1" si="248"/>
        <v>5.5</v>
      </c>
    </row>
    <row r="1455" spans="1:12" x14ac:dyDescent="0.25">
      <c r="A1455" s="20">
        <v>1447</v>
      </c>
      <c r="B1455" s="21">
        <f t="shared" ca="1" si="244"/>
        <v>3.7111563809760937</v>
      </c>
      <c r="C1455" s="21">
        <f t="shared" ca="1" si="249"/>
        <v>4367.1741948965609</v>
      </c>
      <c r="D1455" s="21">
        <f t="shared" ca="1" si="245"/>
        <v>1.7104158506645963</v>
      </c>
      <c r="E1455" s="21">
        <f t="shared" ca="1" si="252"/>
        <v>20.610447612558346</v>
      </c>
      <c r="F1455" s="20" t="str">
        <f t="shared" ca="1" si="250"/>
        <v>No</v>
      </c>
      <c r="G1455" s="21">
        <f t="shared" ca="1" si="246"/>
        <v>0</v>
      </c>
      <c r="H1455" s="21">
        <f t="shared" ca="1" si="247"/>
        <v>4387.7846425091193</v>
      </c>
      <c r="I1455" s="21">
        <f t="shared" ca="1" si="242"/>
        <v>4389.4950583597838</v>
      </c>
      <c r="J1455" s="20">
        <f t="shared" ca="1" si="251"/>
        <v>6</v>
      </c>
      <c r="K1455" s="20">
        <f t="shared" ca="1" si="243"/>
        <v>5</v>
      </c>
      <c r="L1455" s="44">
        <f t="shared" ca="1" si="248"/>
        <v>5.5</v>
      </c>
    </row>
    <row r="1456" spans="1:12" x14ac:dyDescent="0.25">
      <c r="A1456" s="20">
        <v>1448</v>
      </c>
      <c r="B1456" s="21">
        <f t="shared" ca="1" si="244"/>
        <v>2.7903654032184688</v>
      </c>
      <c r="C1456" s="21">
        <f t="shared" ca="1" si="249"/>
        <v>4369.9645602997798</v>
      </c>
      <c r="D1456" s="21">
        <f t="shared" ca="1" si="245"/>
        <v>1.2454138669503816</v>
      </c>
      <c r="E1456" s="21">
        <f t="shared" ca="1" si="252"/>
        <v>19.530498060003993</v>
      </c>
      <c r="F1456" s="20" t="str">
        <f t="shared" ca="1" si="250"/>
        <v>No</v>
      </c>
      <c r="G1456" s="21">
        <f t="shared" ca="1" si="246"/>
        <v>0</v>
      </c>
      <c r="H1456" s="21">
        <f t="shared" ca="1" si="247"/>
        <v>4389.4950583597838</v>
      </c>
      <c r="I1456" s="21">
        <f t="shared" ca="1" si="242"/>
        <v>4390.7404722267338</v>
      </c>
      <c r="J1456" s="20">
        <f t="shared" ca="1" si="251"/>
        <v>6</v>
      </c>
      <c r="K1456" s="20">
        <f t="shared" ca="1" si="243"/>
        <v>5</v>
      </c>
      <c r="L1456" s="44">
        <f t="shared" ca="1" si="248"/>
        <v>5.5</v>
      </c>
    </row>
    <row r="1457" spans="1:12" x14ac:dyDescent="0.25">
      <c r="A1457" s="20">
        <v>1449</v>
      </c>
      <c r="B1457" s="21">
        <f t="shared" ca="1" si="244"/>
        <v>1.8257369157321786</v>
      </c>
      <c r="C1457" s="21">
        <f t="shared" ca="1" si="249"/>
        <v>4371.7902972155116</v>
      </c>
      <c r="D1457" s="21">
        <f t="shared" ca="1" si="245"/>
        <v>2.2777227518218144</v>
      </c>
      <c r="E1457" s="21">
        <f t="shared" ca="1" si="252"/>
        <v>18.9501750112222</v>
      </c>
      <c r="F1457" s="20" t="str">
        <f t="shared" ca="1" si="250"/>
        <v>No</v>
      </c>
      <c r="G1457" s="21">
        <f t="shared" ca="1" si="246"/>
        <v>0</v>
      </c>
      <c r="H1457" s="21">
        <f t="shared" ca="1" si="247"/>
        <v>4390.7404722267338</v>
      </c>
      <c r="I1457" s="21">
        <f t="shared" ca="1" si="242"/>
        <v>4393.0181949785556</v>
      </c>
      <c r="J1457" s="20">
        <f t="shared" ca="1" si="251"/>
        <v>6</v>
      </c>
      <c r="K1457" s="20">
        <f t="shared" ca="1" si="243"/>
        <v>5</v>
      </c>
      <c r="L1457" s="44">
        <f t="shared" ca="1" si="248"/>
        <v>5.5</v>
      </c>
    </row>
    <row r="1458" spans="1:12" x14ac:dyDescent="0.25">
      <c r="A1458" s="20">
        <v>1450</v>
      </c>
      <c r="B1458" s="21">
        <f t="shared" ca="1" si="244"/>
        <v>4.5319768963205629</v>
      </c>
      <c r="C1458" s="21">
        <f t="shared" ca="1" si="249"/>
        <v>4376.3222741118325</v>
      </c>
      <c r="D1458" s="21">
        <f t="shared" ca="1" si="245"/>
        <v>1.1849040348291746</v>
      </c>
      <c r="E1458" s="21">
        <f t="shared" ca="1" si="252"/>
        <v>16.6959208667231</v>
      </c>
      <c r="F1458" s="20" t="str">
        <f t="shared" ca="1" si="250"/>
        <v>No</v>
      </c>
      <c r="G1458" s="21">
        <f t="shared" ca="1" si="246"/>
        <v>0</v>
      </c>
      <c r="H1458" s="21">
        <f t="shared" ca="1" si="247"/>
        <v>4393.0181949785556</v>
      </c>
      <c r="I1458" s="21">
        <f t="shared" ca="1" si="242"/>
        <v>4394.2030990133844</v>
      </c>
      <c r="J1458" s="20">
        <f t="shared" ca="1" si="251"/>
        <v>6</v>
      </c>
      <c r="K1458" s="20">
        <f t="shared" ca="1" si="243"/>
        <v>5</v>
      </c>
      <c r="L1458" s="44">
        <f t="shared" ca="1" si="248"/>
        <v>5.5</v>
      </c>
    </row>
    <row r="1459" spans="1:12" x14ac:dyDescent="0.25">
      <c r="A1459" s="20">
        <v>1451</v>
      </c>
      <c r="B1459" s="21">
        <f t="shared" ca="1" si="244"/>
        <v>4.5921240540029675</v>
      </c>
      <c r="C1459" s="21">
        <f t="shared" ca="1" si="249"/>
        <v>4380.9143981658353</v>
      </c>
      <c r="D1459" s="21">
        <f t="shared" ca="1" si="245"/>
        <v>9.7202162691862402</v>
      </c>
      <c r="E1459" s="21">
        <f t="shared" ca="1" si="252"/>
        <v>13.28870084754908</v>
      </c>
      <c r="F1459" s="20" t="str">
        <f t="shared" ca="1" si="250"/>
        <v>No</v>
      </c>
      <c r="G1459" s="21">
        <f t="shared" ca="1" si="246"/>
        <v>0</v>
      </c>
      <c r="H1459" s="21">
        <f t="shared" ca="1" si="247"/>
        <v>4394.2030990133844</v>
      </c>
      <c r="I1459" s="21">
        <f t="shared" ca="1" si="242"/>
        <v>4403.9233152825709</v>
      </c>
      <c r="J1459" s="20">
        <f t="shared" ca="1" si="251"/>
        <v>6</v>
      </c>
      <c r="K1459" s="20">
        <f t="shared" ca="1" si="243"/>
        <v>5</v>
      </c>
      <c r="L1459" s="44">
        <f t="shared" ca="1" si="248"/>
        <v>5.5</v>
      </c>
    </row>
    <row r="1460" spans="1:12" x14ac:dyDescent="0.25">
      <c r="A1460" s="20">
        <v>1452</v>
      </c>
      <c r="B1460" s="21">
        <f t="shared" ca="1" si="244"/>
        <v>2.0824497863939078</v>
      </c>
      <c r="C1460" s="21">
        <f t="shared" ca="1" si="249"/>
        <v>4382.9968479522295</v>
      </c>
      <c r="D1460" s="21">
        <f t="shared" ca="1" si="245"/>
        <v>1.4674771853585045</v>
      </c>
      <c r="E1460" s="21">
        <f t="shared" ca="1" si="252"/>
        <v>20.926467330341438</v>
      </c>
      <c r="F1460" s="20" t="str">
        <f t="shared" ca="1" si="250"/>
        <v>No</v>
      </c>
      <c r="G1460" s="21">
        <f t="shared" ca="1" si="246"/>
        <v>0</v>
      </c>
      <c r="H1460" s="21">
        <f t="shared" ca="1" si="247"/>
        <v>4403.9233152825709</v>
      </c>
      <c r="I1460" s="21">
        <f t="shared" ca="1" si="242"/>
        <v>4405.3907924679297</v>
      </c>
      <c r="J1460" s="20">
        <f t="shared" ca="1" si="251"/>
        <v>6</v>
      </c>
      <c r="K1460" s="20">
        <f t="shared" ca="1" si="243"/>
        <v>5</v>
      </c>
      <c r="L1460" s="44">
        <f t="shared" ca="1" si="248"/>
        <v>5.5</v>
      </c>
    </row>
    <row r="1461" spans="1:12" x14ac:dyDescent="0.25">
      <c r="A1461" s="20">
        <v>1453</v>
      </c>
      <c r="B1461" s="21">
        <f t="shared" ca="1" si="244"/>
        <v>4.0498306966848023</v>
      </c>
      <c r="C1461" s="21">
        <f t="shared" ca="1" si="249"/>
        <v>4387.0466786489142</v>
      </c>
      <c r="D1461" s="21">
        <f t="shared" ca="1" si="245"/>
        <v>6.0957878612726377</v>
      </c>
      <c r="E1461" s="21">
        <f t="shared" ca="1" si="252"/>
        <v>18.344113819015547</v>
      </c>
      <c r="F1461" s="20" t="str">
        <f t="shared" ca="1" si="250"/>
        <v>No</v>
      </c>
      <c r="G1461" s="21">
        <f t="shared" ca="1" si="246"/>
        <v>0</v>
      </c>
      <c r="H1461" s="21">
        <f t="shared" ca="1" si="247"/>
        <v>4405.3907924679297</v>
      </c>
      <c r="I1461" s="21">
        <f t="shared" ca="1" si="242"/>
        <v>4411.4865803292023</v>
      </c>
      <c r="J1461" s="20">
        <f t="shared" ca="1" si="251"/>
        <v>6</v>
      </c>
      <c r="K1461" s="20">
        <f t="shared" ca="1" si="243"/>
        <v>5</v>
      </c>
      <c r="L1461" s="44">
        <f t="shared" ca="1" si="248"/>
        <v>5.5</v>
      </c>
    </row>
    <row r="1462" spans="1:12" x14ac:dyDescent="0.25">
      <c r="A1462" s="20">
        <v>1454</v>
      </c>
      <c r="B1462" s="21">
        <f t="shared" ca="1" si="244"/>
        <v>2.1101730011639805</v>
      </c>
      <c r="C1462" s="21">
        <f t="shared" ca="1" si="249"/>
        <v>4389.1568516500784</v>
      </c>
      <c r="D1462" s="21">
        <f t="shared" ca="1" si="245"/>
        <v>0.9846068153069707</v>
      </c>
      <c r="E1462" s="21">
        <f t="shared" ca="1" si="252"/>
        <v>22.329728679123946</v>
      </c>
      <c r="F1462" s="20" t="str">
        <f t="shared" ca="1" si="250"/>
        <v>No</v>
      </c>
      <c r="G1462" s="21">
        <f t="shared" ca="1" si="246"/>
        <v>0</v>
      </c>
      <c r="H1462" s="21">
        <f t="shared" ca="1" si="247"/>
        <v>4411.4865803292023</v>
      </c>
      <c r="I1462" s="21">
        <f t="shared" ca="1" si="242"/>
        <v>4412.4711871445097</v>
      </c>
      <c r="J1462" s="20">
        <f t="shared" ca="1" si="251"/>
        <v>6</v>
      </c>
      <c r="K1462" s="20">
        <f t="shared" ca="1" si="243"/>
        <v>4</v>
      </c>
      <c r="L1462" s="44">
        <f t="shared" ca="1" si="248"/>
        <v>5</v>
      </c>
    </row>
    <row r="1463" spans="1:12" x14ac:dyDescent="0.25">
      <c r="A1463" s="20">
        <v>1455</v>
      </c>
      <c r="B1463" s="21">
        <f t="shared" ca="1" si="244"/>
        <v>5.0289024638757809</v>
      </c>
      <c r="C1463" s="21">
        <f t="shared" ca="1" si="249"/>
        <v>4394.1857541139543</v>
      </c>
      <c r="D1463" s="21">
        <f t="shared" ca="1" si="245"/>
        <v>4.0576573796003217</v>
      </c>
      <c r="E1463" s="21">
        <f t="shared" ca="1" si="252"/>
        <v>18.285433030555396</v>
      </c>
      <c r="F1463" s="20" t="str">
        <f t="shared" ca="1" si="250"/>
        <v>No</v>
      </c>
      <c r="G1463" s="21">
        <f t="shared" ca="1" si="246"/>
        <v>0</v>
      </c>
      <c r="H1463" s="21">
        <f t="shared" ca="1" si="247"/>
        <v>4412.4711871445097</v>
      </c>
      <c r="I1463" s="21">
        <f t="shared" ca="1" si="242"/>
        <v>4416.5288445241104</v>
      </c>
      <c r="J1463" s="20">
        <f t="shared" ca="1" si="251"/>
        <v>5</v>
      </c>
      <c r="K1463" s="20">
        <f t="shared" ca="1" si="243"/>
        <v>4</v>
      </c>
      <c r="L1463" s="44">
        <f t="shared" ca="1" si="248"/>
        <v>4.5</v>
      </c>
    </row>
    <row r="1464" spans="1:12" x14ac:dyDescent="0.25">
      <c r="A1464" s="20">
        <v>1456</v>
      </c>
      <c r="B1464" s="21">
        <f t="shared" ca="1" si="244"/>
        <v>6.7789059563815375</v>
      </c>
      <c r="C1464" s="21">
        <f t="shared" ca="1" si="249"/>
        <v>4400.9646600703354</v>
      </c>
      <c r="D1464" s="21">
        <f t="shared" ca="1" si="245"/>
        <v>1.6418148756129676</v>
      </c>
      <c r="E1464" s="21">
        <f t="shared" ca="1" si="252"/>
        <v>15.564184453774942</v>
      </c>
      <c r="F1464" s="20" t="str">
        <f t="shared" ca="1" si="250"/>
        <v>No</v>
      </c>
      <c r="G1464" s="21">
        <f t="shared" ca="1" si="246"/>
        <v>0</v>
      </c>
      <c r="H1464" s="21">
        <f t="shared" ca="1" si="247"/>
        <v>4416.5288445241104</v>
      </c>
      <c r="I1464" s="21">
        <f t="shared" ca="1" si="242"/>
        <v>4418.1706593997233</v>
      </c>
      <c r="J1464" s="20">
        <f t="shared" ca="1" si="251"/>
        <v>5</v>
      </c>
      <c r="K1464" s="20">
        <f t="shared" ca="1" si="243"/>
        <v>4</v>
      </c>
      <c r="L1464" s="44">
        <f t="shared" ca="1" si="248"/>
        <v>4.5</v>
      </c>
    </row>
    <row r="1465" spans="1:12" x14ac:dyDescent="0.25">
      <c r="A1465" s="20">
        <v>1457</v>
      </c>
      <c r="B1465" s="21">
        <f t="shared" ca="1" si="244"/>
        <v>3.2008553261628538</v>
      </c>
      <c r="C1465" s="21">
        <f t="shared" ca="1" si="249"/>
        <v>4404.1655153964984</v>
      </c>
      <c r="D1465" s="21">
        <f t="shared" ca="1" si="245"/>
        <v>0.44635322967440832</v>
      </c>
      <c r="E1465" s="21">
        <f t="shared" ca="1" si="252"/>
        <v>14.005144003224814</v>
      </c>
      <c r="F1465" s="20" t="str">
        <f t="shared" ca="1" si="250"/>
        <v>No</v>
      </c>
      <c r="G1465" s="21">
        <f t="shared" ca="1" si="246"/>
        <v>0</v>
      </c>
      <c r="H1465" s="21">
        <f t="shared" ca="1" si="247"/>
        <v>4418.1706593997233</v>
      </c>
      <c r="I1465" s="21">
        <f t="shared" ca="1" si="242"/>
        <v>4418.6170126293973</v>
      </c>
      <c r="J1465" s="20">
        <f t="shared" ca="1" si="251"/>
        <v>5</v>
      </c>
      <c r="K1465" s="20">
        <f t="shared" ca="1" si="243"/>
        <v>3</v>
      </c>
      <c r="L1465" s="44">
        <f t="shared" ca="1" si="248"/>
        <v>4</v>
      </c>
    </row>
    <row r="1466" spans="1:12" x14ac:dyDescent="0.25">
      <c r="A1466" s="20">
        <v>1458</v>
      </c>
      <c r="B1466" s="21">
        <f t="shared" ca="1" si="244"/>
        <v>6.6560399380659847</v>
      </c>
      <c r="C1466" s="21">
        <f t="shared" ca="1" si="249"/>
        <v>4410.8215553345644</v>
      </c>
      <c r="D1466" s="21">
        <f t="shared" ca="1" si="245"/>
        <v>7.0109558705454189</v>
      </c>
      <c r="E1466" s="21">
        <f t="shared" ca="1" si="252"/>
        <v>7.795457294832886</v>
      </c>
      <c r="F1466" s="20" t="str">
        <f t="shared" ca="1" si="250"/>
        <v>No</v>
      </c>
      <c r="G1466" s="21">
        <f t="shared" ca="1" si="246"/>
        <v>0</v>
      </c>
      <c r="H1466" s="21">
        <f t="shared" ca="1" si="247"/>
        <v>4418.6170126293973</v>
      </c>
      <c r="I1466" s="21">
        <f t="shared" ca="1" si="242"/>
        <v>4425.6279684999427</v>
      </c>
      <c r="J1466" s="20">
        <f t="shared" ca="1" si="251"/>
        <v>4</v>
      </c>
      <c r="K1466" s="20">
        <f t="shared" ca="1" si="243"/>
        <v>5</v>
      </c>
      <c r="L1466" s="44">
        <f t="shared" ca="1" si="248"/>
        <v>4.5</v>
      </c>
    </row>
    <row r="1467" spans="1:12" x14ac:dyDescent="0.25">
      <c r="A1467" s="20">
        <v>1459</v>
      </c>
      <c r="B1467" s="21">
        <f t="shared" ca="1" si="244"/>
        <v>3.7367823940095652</v>
      </c>
      <c r="C1467" s="21">
        <f t="shared" ca="1" si="249"/>
        <v>4414.5583377285739</v>
      </c>
      <c r="D1467" s="21">
        <f t="shared" ca="1" si="245"/>
        <v>7.1508057254758981</v>
      </c>
      <c r="E1467" s="21">
        <f t="shared" ca="1" si="252"/>
        <v>11.069630771368793</v>
      </c>
      <c r="F1467" s="20" t="str">
        <f t="shared" ca="1" si="250"/>
        <v>No</v>
      </c>
      <c r="G1467" s="21">
        <f t="shared" ca="1" si="246"/>
        <v>0</v>
      </c>
      <c r="H1467" s="21">
        <f t="shared" ca="1" si="247"/>
        <v>4425.6279684999427</v>
      </c>
      <c r="I1467" s="21">
        <f t="shared" ca="1" si="242"/>
        <v>4432.7787742254186</v>
      </c>
      <c r="J1467" s="20">
        <f t="shared" ca="1" si="251"/>
        <v>6</v>
      </c>
      <c r="K1467" s="20">
        <f t="shared" ca="1" si="243"/>
        <v>5</v>
      </c>
      <c r="L1467" s="44">
        <f t="shared" ca="1" si="248"/>
        <v>5.5</v>
      </c>
    </row>
    <row r="1468" spans="1:12" x14ac:dyDescent="0.25">
      <c r="A1468" s="20">
        <v>1460</v>
      </c>
      <c r="B1468" s="21">
        <f t="shared" ca="1" si="244"/>
        <v>2.4398285890744349</v>
      </c>
      <c r="C1468" s="21">
        <f t="shared" ca="1" si="249"/>
        <v>4416.9981663176486</v>
      </c>
      <c r="D1468" s="21">
        <f t="shared" ca="1" si="245"/>
        <v>2.2504948816176928</v>
      </c>
      <c r="E1468" s="21">
        <f t="shared" ca="1" si="252"/>
        <v>15.780607907769991</v>
      </c>
      <c r="F1468" s="20" t="str">
        <f t="shared" ca="1" si="250"/>
        <v>No</v>
      </c>
      <c r="G1468" s="21">
        <f t="shared" ca="1" si="246"/>
        <v>0</v>
      </c>
      <c r="H1468" s="21">
        <f t="shared" ca="1" si="247"/>
        <v>4432.7787742254186</v>
      </c>
      <c r="I1468" s="21">
        <f t="shared" ca="1" si="242"/>
        <v>4435.0292691070363</v>
      </c>
      <c r="J1468" s="20">
        <f t="shared" ca="1" si="251"/>
        <v>6</v>
      </c>
      <c r="K1468" s="20">
        <f t="shared" ca="1" si="243"/>
        <v>4</v>
      </c>
      <c r="L1468" s="44">
        <f t="shared" ca="1" si="248"/>
        <v>5</v>
      </c>
    </row>
    <row r="1469" spans="1:12" x14ac:dyDescent="0.25">
      <c r="A1469" s="20">
        <v>1461</v>
      </c>
      <c r="B1469" s="21">
        <f t="shared" ca="1" si="244"/>
        <v>2.5320521772488753</v>
      </c>
      <c r="C1469" s="21">
        <f t="shared" ca="1" si="249"/>
        <v>4419.5302184948978</v>
      </c>
      <c r="D1469" s="21">
        <f t="shared" ca="1" si="245"/>
        <v>0.17625771146457533</v>
      </c>
      <c r="E1469" s="21">
        <f t="shared" ca="1" si="252"/>
        <v>15.49905061213849</v>
      </c>
      <c r="F1469" s="20" t="str">
        <f t="shared" ca="1" si="250"/>
        <v>No</v>
      </c>
      <c r="G1469" s="21">
        <f t="shared" ca="1" si="246"/>
        <v>0</v>
      </c>
      <c r="H1469" s="21">
        <f t="shared" ca="1" si="247"/>
        <v>4435.0292691070363</v>
      </c>
      <c r="I1469" s="21">
        <f t="shared" ca="1" si="242"/>
        <v>4435.2055268185004</v>
      </c>
      <c r="J1469" s="20">
        <f t="shared" ca="1" si="251"/>
        <v>5</v>
      </c>
      <c r="K1469" s="20">
        <f t="shared" ca="1" si="243"/>
        <v>3</v>
      </c>
      <c r="L1469" s="44">
        <f t="shared" ca="1" si="248"/>
        <v>4</v>
      </c>
    </row>
    <row r="1470" spans="1:12" x14ac:dyDescent="0.25">
      <c r="A1470" s="20">
        <v>1462</v>
      </c>
      <c r="B1470" s="21">
        <f t="shared" ca="1" si="244"/>
        <v>0.89078887753335301</v>
      </c>
      <c r="C1470" s="21">
        <f t="shared" ca="1" si="249"/>
        <v>4420.4210073724307</v>
      </c>
      <c r="D1470" s="21">
        <f t="shared" ca="1" si="245"/>
        <v>1.9354807733630464</v>
      </c>
      <c r="E1470" s="21">
        <f t="shared" ca="1" si="252"/>
        <v>14.78451944606968</v>
      </c>
      <c r="F1470" s="20" t="str">
        <f t="shared" ca="1" si="250"/>
        <v>No</v>
      </c>
      <c r="G1470" s="21">
        <f t="shared" ca="1" si="246"/>
        <v>0</v>
      </c>
      <c r="H1470" s="21">
        <f t="shared" ca="1" si="247"/>
        <v>4435.2055268185004</v>
      </c>
      <c r="I1470" s="21">
        <f t="shared" ca="1" si="242"/>
        <v>4437.1410075918639</v>
      </c>
      <c r="J1470" s="20">
        <f t="shared" ca="1" si="251"/>
        <v>4</v>
      </c>
      <c r="K1470" s="20">
        <f t="shared" ca="1" si="243"/>
        <v>2</v>
      </c>
      <c r="L1470" s="44">
        <f t="shared" ca="1" si="248"/>
        <v>3</v>
      </c>
    </row>
    <row r="1471" spans="1:12" x14ac:dyDescent="0.25">
      <c r="A1471" s="20">
        <v>1463</v>
      </c>
      <c r="B1471" s="21">
        <f t="shared" ca="1" si="244"/>
        <v>4.558685625857489</v>
      </c>
      <c r="C1471" s="21">
        <f t="shared" ca="1" si="249"/>
        <v>4424.9796929982886</v>
      </c>
      <c r="D1471" s="21">
        <f t="shared" ca="1" si="245"/>
        <v>0.8055549136966369</v>
      </c>
      <c r="E1471" s="21">
        <f t="shared" ca="1" si="252"/>
        <v>12.161314593575298</v>
      </c>
      <c r="F1471" s="20" t="str">
        <f t="shared" ca="1" si="250"/>
        <v>No</v>
      </c>
      <c r="G1471" s="21">
        <f t="shared" ca="1" si="246"/>
        <v>0</v>
      </c>
      <c r="H1471" s="21">
        <f t="shared" ca="1" si="247"/>
        <v>4437.1410075918639</v>
      </c>
      <c r="I1471" s="21">
        <f t="shared" ca="1" si="242"/>
        <v>4437.9465625055609</v>
      </c>
      <c r="J1471" s="20">
        <f t="shared" ca="1" si="251"/>
        <v>3</v>
      </c>
      <c r="K1471" s="20">
        <f t="shared" ca="1" si="243"/>
        <v>1</v>
      </c>
      <c r="L1471" s="44">
        <f t="shared" ca="1" si="248"/>
        <v>2</v>
      </c>
    </row>
    <row r="1472" spans="1:12" x14ac:dyDescent="0.25">
      <c r="A1472" s="20">
        <v>1464</v>
      </c>
      <c r="B1472" s="21">
        <f t="shared" ca="1" si="244"/>
        <v>5.6042150164548188</v>
      </c>
      <c r="C1472" s="21">
        <f t="shared" ca="1" si="249"/>
        <v>4430.5839080147434</v>
      </c>
      <c r="D1472" s="21">
        <f t="shared" ca="1" si="245"/>
        <v>0.13642683895649579</v>
      </c>
      <c r="E1472" s="21">
        <f t="shared" ca="1" si="252"/>
        <v>7.3626544908174765</v>
      </c>
      <c r="F1472" s="20" t="str">
        <f t="shared" ca="1" si="250"/>
        <v>No</v>
      </c>
      <c r="G1472" s="21">
        <f t="shared" ca="1" si="246"/>
        <v>0</v>
      </c>
      <c r="H1472" s="21">
        <f t="shared" ca="1" si="247"/>
        <v>4437.9465625055609</v>
      </c>
      <c r="I1472" s="21">
        <f t="shared" ca="1" si="242"/>
        <v>4438.082989344517</v>
      </c>
      <c r="J1472" s="20">
        <f t="shared" ca="1" si="251"/>
        <v>2</v>
      </c>
      <c r="K1472" s="20">
        <f t="shared" ca="1" si="243"/>
        <v>0</v>
      </c>
      <c r="L1472" s="44">
        <f t="shared" ca="1" si="248"/>
        <v>1</v>
      </c>
    </row>
    <row r="1473" spans="1:12" x14ac:dyDescent="0.25">
      <c r="A1473" s="20">
        <v>1465</v>
      </c>
      <c r="B1473" s="21">
        <f t="shared" ca="1" si="244"/>
        <v>12.243309957130744</v>
      </c>
      <c r="C1473" s="21">
        <f t="shared" ca="1" si="249"/>
        <v>4442.8272179718742</v>
      </c>
      <c r="D1473" s="21">
        <f t="shared" ca="1" si="245"/>
        <v>8.2312430689520593</v>
      </c>
      <c r="E1473" s="21">
        <f t="shared" ca="1" si="252"/>
        <v>0</v>
      </c>
      <c r="F1473" s="20" t="str">
        <f t="shared" ca="1" si="250"/>
        <v>Yes</v>
      </c>
      <c r="G1473" s="21">
        <f t="shared" ca="1" si="246"/>
        <v>4.7442286273571881</v>
      </c>
      <c r="H1473" s="21">
        <f t="shared" ca="1" si="247"/>
        <v>4442.8272179718742</v>
      </c>
      <c r="I1473" s="21">
        <f t="shared" ca="1" si="242"/>
        <v>4451.0584610408259</v>
      </c>
      <c r="J1473" s="20">
        <f t="shared" ca="1" si="251"/>
        <v>0</v>
      </c>
      <c r="K1473" s="20">
        <f t="shared" ca="1" si="243"/>
        <v>5</v>
      </c>
      <c r="L1473" s="44">
        <f t="shared" ca="1" si="248"/>
        <v>2.5</v>
      </c>
    </row>
    <row r="1474" spans="1:12" x14ac:dyDescent="0.25">
      <c r="A1474" s="20">
        <v>1466</v>
      </c>
      <c r="B1474" s="21">
        <f t="shared" ca="1" si="244"/>
        <v>2.3447638726853168</v>
      </c>
      <c r="C1474" s="21">
        <f t="shared" ca="1" si="249"/>
        <v>4445.1719818445599</v>
      </c>
      <c r="D1474" s="21">
        <f t="shared" ca="1" si="245"/>
        <v>2.4685405231165722</v>
      </c>
      <c r="E1474" s="21">
        <f t="shared" ca="1" si="252"/>
        <v>5.8864791962660092</v>
      </c>
      <c r="F1474" s="20" t="str">
        <f t="shared" ca="1" si="250"/>
        <v>No</v>
      </c>
      <c r="G1474" s="21">
        <f t="shared" ca="1" si="246"/>
        <v>0</v>
      </c>
      <c r="H1474" s="21">
        <f t="shared" ca="1" si="247"/>
        <v>4451.0584610408259</v>
      </c>
      <c r="I1474" s="21">
        <f t="shared" ca="1" si="242"/>
        <v>4453.5270015639426</v>
      </c>
      <c r="J1474" s="20">
        <f t="shared" ca="1" si="251"/>
        <v>6</v>
      </c>
      <c r="K1474" s="20">
        <f t="shared" ca="1" si="243"/>
        <v>5</v>
      </c>
      <c r="L1474" s="44">
        <f t="shared" ca="1" si="248"/>
        <v>5.5</v>
      </c>
    </row>
    <row r="1475" spans="1:12" x14ac:dyDescent="0.25">
      <c r="A1475" s="20">
        <v>1467</v>
      </c>
      <c r="B1475" s="21">
        <f t="shared" ca="1" si="244"/>
        <v>3.1748727987922654</v>
      </c>
      <c r="C1475" s="21">
        <f t="shared" ca="1" si="249"/>
        <v>4448.3468546433523</v>
      </c>
      <c r="D1475" s="21">
        <f t="shared" ca="1" si="245"/>
        <v>1.6435347781698153</v>
      </c>
      <c r="E1475" s="21">
        <f t="shared" ca="1" si="252"/>
        <v>5.1801469205902322</v>
      </c>
      <c r="F1475" s="20" t="str">
        <f t="shared" ca="1" si="250"/>
        <v>No</v>
      </c>
      <c r="G1475" s="21">
        <f t="shared" ca="1" si="246"/>
        <v>0</v>
      </c>
      <c r="H1475" s="21">
        <f t="shared" ca="1" si="247"/>
        <v>4453.5270015639426</v>
      </c>
      <c r="I1475" s="21">
        <f t="shared" ca="1" si="242"/>
        <v>4455.1705363421124</v>
      </c>
      <c r="J1475" s="20">
        <f t="shared" ca="1" si="251"/>
        <v>6</v>
      </c>
      <c r="K1475" s="20">
        <f t="shared" ca="1" si="243"/>
        <v>5</v>
      </c>
      <c r="L1475" s="44">
        <f t="shared" ca="1" si="248"/>
        <v>5.5</v>
      </c>
    </row>
    <row r="1476" spans="1:12" x14ac:dyDescent="0.25">
      <c r="A1476" s="20">
        <v>1468</v>
      </c>
      <c r="B1476" s="21">
        <f t="shared" ca="1" si="244"/>
        <v>1.7552895341045336</v>
      </c>
      <c r="C1476" s="21">
        <f t="shared" ca="1" si="249"/>
        <v>4450.1021441774565</v>
      </c>
      <c r="D1476" s="21">
        <f t="shared" ca="1" si="245"/>
        <v>3.067869320748764</v>
      </c>
      <c r="E1476" s="21">
        <f t="shared" ca="1" si="252"/>
        <v>5.0683921646559611</v>
      </c>
      <c r="F1476" s="20" t="str">
        <f t="shared" ca="1" si="250"/>
        <v>No</v>
      </c>
      <c r="G1476" s="21">
        <f t="shared" ca="1" si="246"/>
        <v>0</v>
      </c>
      <c r="H1476" s="21">
        <f t="shared" ca="1" si="247"/>
        <v>4455.1705363421124</v>
      </c>
      <c r="I1476" s="21">
        <f t="shared" ca="1" si="242"/>
        <v>4458.2384056628616</v>
      </c>
      <c r="J1476" s="20">
        <f t="shared" ca="1" si="251"/>
        <v>6</v>
      </c>
      <c r="K1476" s="20">
        <f t="shared" ca="1" si="243"/>
        <v>5</v>
      </c>
      <c r="L1476" s="44">
        <f t="shared" ca="1" si="248"/>
        <v>5.5</v>
      </c>
    </row>
    <row r="1477" spans="1:12" x14ac:dyDescent="0.25">
      <c r="A1477" s="20">
        <v>1469</v>
      </c>
      <c r="B1477" s="21">
        <f t="shared" ca="1" si="244"/>
        <v>0.47487545448531687</v>
      </c>
      <c r="C1477" s="21">
        <f t="shared" ca="1" si="249"/>
        <v>4450.5770196319418</v>
      </c>
      <c r="D1477" s="21">
        <f t="shared" ca="1" si="245"/>
        <v>0.55007728124839717</v>
      </c>
      <c r="E1477" s="21">
        <f t="shared" ca="1" si="252"/>
        <v>7.6613860309198571</v>
      </c>
      <c r="F1477" s="20" t="str">
        <f t="shared" ca="1" si="250"/>
        <v>No</v>
      </c>
      <c r="G1477" s="21">
        <f t="shared" ca="1" si="246"/>
        <v>0</v>
      </c>
      <c r="H1477" s="21">
        <f t="shared" ca="1" si="247"/>
        <v>4458.2384056628616</v>
      </c>
      <c r="I1477" s="21">
        <f t="shared" ca="1" si="242"/>
        <v>4458.78848294411</v>
      </c>
      <c r="J1477" s="20">
        <f t="shared" ca="1" si="251"/>
        <v>6</v>
      </c>
      <c r="K1477" s="20">
        <f t="shared" ca="1" si="243"/>
        <v>4</v>
      </c>
      <c r="L1477" s="44">
        <f t="shared" ca="1" si="248"/>
        <v>5</v>
      </c>
    </row>
    <row r="1478" spans="1:12" x14ac:dyDescent="0.25">
      <c r="A1478" s="20">
        <v>1470</v>
      </c>
      <c r="B1478" s="21">
        <f t="shared" ca="1" si="244"/>
        <v>2.5967463163154961E-2</v>
      </c>
      <c r="C1478" s="21">
        <f t="shared" ca="1" si="249"/>
        <v>4450.6029870951052</v>
      </c>
      <c r="D1478" s="21">
        <f t="shared" ca="1" si="245"/>
        <v>13.367740906995783</v>
      </c>
      <c r="E1478" s="21">
        <f t="shared" ca="1" si="252"/>
        <v>8.1854958490048375</v>
      </c>
      <c r="F1478" s="20" t="str">
        <f t="shared" ca="1" si="250"/>
        <v>No</v>
      </c>
      <c r="G1478" s="21">
        <f t="shared" ca="1" si="246"/>
        <v>0</v>
      </c>
      <c r="H1478" s="21">
        <f t="shared" ca="1" si="247"/>
        <v>4458.78848294411</v>
      </c>
      <c r="I1478" s="21">
        <f t="shared" ca="1" si="242"/>
        <v>4472.156223851106</v>
      </c>
      <c r="J1478" s="20">
        <f t="shared" ca="1" si="251"/>
        <v>5</v>
      </c>
      <c r="K1478" s="20">
        <f t="shared" ca="1" si="243"/>
        <v>4</v>
      </c>
      <c r="L1478" s="44">
        <f t="shared" ca="1" si="248"/>
        <v>4.5</v>
      </c>
    </row>
    <row r="1479" spans="1:12" x14ac:dyDescent="0.25">
      <c r="A1479" s="20">
        <v>1471</v>
      </c>
      <c r="B1479" s="21">
        <f t="shared" ca="1" si="244"/>
        <v>2.6131140340860819</v>
      </c>
      <c r="C1479" s="21">
        <f t="shared" ca="1" si="249"/>
        <v>4453.216101129191</v>
      </c>
      <c r="D1479" s="21">
        <f t="shared" ca="1" si="245"/>
        <v>4.7145824749381777</v>
      </c>
      <c r="E1479" s="21">
        <f t="shared" ca="1" si="252"/>
        <v>18.940122721915031</v>
      </c>
      <c r="F1479" s="20" t="str">
        <f t="shared" ca="1" si="250"/>
        <v>No</v>
      </c>
      <c r="G1479" s="21">
        <f t="shared" ca="1" si="246"/>
        <v>0</v>
      </c>
      <c r="H1479" s="21">
        <f t="shared" ca="1" si="247"/>
        <v>4472.156223851106</v>
      </c>
      <c r="I1479" s="21">
        <f t="shared" ca="1" si="242"/>
        <v>4476.8708063260437</v>
      </c>
      <c r="J1479" s="20">
        <f t="shared" ca="1" si="251"/>
        <v>5</v>
      </c>
      <c r="K1479" s="20">
        <f t="shared" ca="1" si="243"/>
        <v>5</v>
      </c>
      <c r="L1479" s="44">
        <f t="shared" ca="1" si="248"/>
        <v>5</v>
      </c>
    </row>
    <row r="1480" spans="1:12" x14ac:dyDescent="0.25">
      <c r="A1480" s="20">
        <v>1472</v>
      </c>
      <c r="B1480" s="21">
        <f t="shared" ca="1" si="244"/>
        <v>0.92686877119403255</v>
      </c>
      <c r="C1480" s="21">
        <f t="shared" ca="1" si="249"/>
        <v>4454.1429699003847</v>
      </c>
      <c r="D1480" s="21">
        <f t="shared" ca="1" si="245"/>
        <v>1.0418727731115112</v>
      </c>
      <c r="E1480" s="21">
        <f t="shared" ca="1" si="252"/>
        <v>22.727836425659007</v>
      </c>
      <c r="F1480" s="20" t="str">
        <f t="shared" ca="1" si="250"/>
        <v>No</v>
      </c>
      <c r="G1480" s="21">
        <f t="shared" ca="1" si="246"/>
        <v>0</v>
      </c>
      <c r="H1480" s="21">
        <f t="shared" ca="1" si="247"/>
        <v>4476.8708063260437</v>
      </c>
      <c r="I1480" s="21">
        <f t="shared" ca="1" si="242"/>
        <v>4477.912679099155</v>
      </c>
      <c r="J1480" s="20">
        <f t="shared" ca="1" si="251"/>
        <v>6</v>
      </c>
      <c r="K1480" s="20">
        <f t="shared" ca="1" si="243"/>
        <v>5</v>
      </c>
      <c r="L1480" s="44">
        <f t="shared" ca="1" si="248"/>
        <v>5.5</v>
      </c>
    </row>
    <row r="1481" spans="1:12" x14ac:dyDescent="0.25">
      <c r="A1481" s="20">
        <v>1473</v>
      </c>
      <c r="B1481" s="21">
        <f t="shared" ca="1" si="244"/>
        <v>4.0224445509303841</v>
      </c>
      <c r="C1481" s="21">
        <f t="shared" ca="1" si="249"/>
        <v>4458.165414451315</v>
      </c>
      <c r="D1481" s="21">
        <f t="shared" ca="1" si="245"/>
        <v>4.5036481284541887</v>
      </c>
      <c r="E1481" s="21">
        <f t="shared" ca="1" si="252"/>
        <v>19.747264647839984</v>
      </c>
      <c r="F1481" s="20" t="str">
        <f t="shared" ca="1" si="250"/>
        <v>No</v>
      </c>
      <c r="G1481" s="21">
        <f t="shared" ca="1" si="246"/>
        <v>0</v>
      </c>
      <c r="H1481" s="21">
        <f t="shared" ca="1" si="247"/>
        <v>4477.912679099155</v>
      </c>
      <c r="I1481" s="21">
        <f t="shared" ref="I1481:I1544" ca="1" si="253">$H1481+$D1481</f>
        <v>4482.4163272276091</v>
      </c>
      <c r="J1481" s="20">
        <f t="shared" ca="1" si="251"/>
        <v>6</v>
      </c>
      <c r="K1481" s="20">
        <f t="shared" ref="K1481:K1544" ca="1" si="254">IF($I1481&lt;=$C1482,0,IF($I1481&lt;=$C1483,1,IF($I1481&lt;=$C1484,2,IF($I1481&lt;=$C1485,3,IF($I1481&lt;=$C1486,4,5)))))</f>
        <v>5</v>
      </c>
      <c r="L1481" s="44">
        <f t="shared" ca="1" si="248"/>
        <v>5.5</v>
      </c>
    </row>
    <row r="1482" spans="1:12" x14ac:dyDescent="0.25">
      <c r="A1482" s="20">
        <v>1474</v>
      </c>
      <c r="B1482" s="21">
        <f t="shared" ref="B1482:B1545" ca="1" si="255">-LN(RAND())/$D$4</f>
        <v>12.711178122562277</v>
      </c>
      <c r="C1482" s="21">
        <f t="shared" ca="1" si="249"/>
        <v>4470.8765925738771</v>
      </c>
      <c r="D1482" s="21">
        <f t="shared" ref="D1482:D1545" ca="1" si="256">-LN(RAND())/$D$6</f>
        <v>4.1513049206571289</v>
      </c>
      <c r="E1482" s="21">
        <f t="shared" ca="1" si="252"/>
        <v>11.539734653732012</v>
      </c>
      <c r="F1482" s="20" t="str">
        <f t="shared" ca="1" si="250"/>
        <v>No</v>
      </c>
      <c r="G1482" s="21">
        <f t="shared" ref="G1482:G1545" ca="1" si="257">IF($I1481&lt;=$C1482,$C1482-$I1481,0)</f>
        <v>0</v>
      </c>
      <c r="H1482" s="21">
        <f t="shared" ref="H1482:H1545" ca="1" si="258">IF($I1481&lt;=$C1482,$C1482,$I1481)</f>
        <v>4482.4163272276091</v>
      </c>
      <c r="I1482" s="21">
        <f t="shared" ca="1" si="253"/>
        <v>4486.5676321482661</v>
      </c>
      <c r="J1482" s="20">
        <f t="shared" ca="1" si="251"/>
        <v>6</v>
      </c>
      <c r="K1482" s="20">
        <f t="shared" ca="1" si="254"/>
        <v>5</v>
      </c>
      <c r="L1482" s="44">
        <f t="shared" ref="L1482:L1545" ca="1" si="259">(J1482+K1482)/2</f>
        <v>5.5</v>
      </c>
    </row>
    <row r="1483" spans="1:12" x14ac:dyDescent="0.25">
      <c r="A1483" s="20">
        <v>1475</v>
      </c>
      <c r="B1483" s="21">
        <f t="shared" ca="1" si="255"/>
        <v>4.7987787885740127</v>
      </c>
      <c r="C1483" s="21">
        <f t="shared" ref="C1483:C1546" ca="1" si="260">$C1482+$B1483</f>
        <v>4475.6753713624512</v>
      </c>
      <c r="D1483" s="21">
        <f t="shared" ca="1" si="256"/>
        <v>0.17256244227971151</v>
      </c>
      <c r="E1483" s="21">
        <f t="shared" ca="1" si="252"/>
        <v>10.892260785814869</v>
      </c>
      <c r="F1483" s="20" t="str">
        <f t="shared" ref="F1483:F1546" ca="1" si="261">IF(E1483=0,"Yes","No")</f>
        <v>No</v>
      </c>
      <c r="G1483" s="21">
        <f t="shared" ca="1" si="257"/>
        <v>0</v>
      </c>
      <c r="H1483" s="21">
        <f t="shared" ca="1" si="258"/>
        <v>4486.5676321482661</v>
      </c>
      <c r="I1483" s="21">
        <f t="shared" ca="1" si="253"/>
        <v>4486.7401945905458</v>
      </c>
      <c r="J1483" s="20">
        <f t="shared" ref="J1483:J1546" ca="1" si="262">IF($I1482&lt;=$C1483,0,$K1482+1)</f>
        <v>6</v>
      </c>
      <c r="K1483" s="20">
        <f t="shared" ca="1" si="254"/>
        <v>5</v>
      </c>
      <c r="L1483" s="44">
        <f t="shared" ca="1" si="259"/>
        <v>5.5</v>
      </c>
    </row>
    <row r="1484" spans="1:12" x14ac:dyDescent="0.25">
      <c r="A1484" s="20">
        <v>1476</v>
      </c>
      <c r="B1484" s="21">
        <f t="shared" ca="1" si="255"/>
        <v>0.8208880998352156</v>
      </c>
      <c r="C1484" s="21">
        <f t="shared" ca="1" si="260"/>
        <v>4476.4962594622866</v>
      </c>
      <c r="D1484" s="21">
        <f t="shared" ca="1" si="256"/>
        <v>0.46406810225140055</v>
      </c>
      <c r="E1484" s="21">
        <f t="shared" ref="E1484:E1547" ca="1" si="263">IF($I1483&lt;=$C1484,0,$I1483-$C1484)</f>
        <v>10.243935128259182</v>
      </c>
      <c r="F1484" s="20" t="str">
        <f t="shared" ca="1" si="261"/>
        <v>No</v>
      </c>
      <c r="G1484" s="21">
        <f t="shared" ca="1" si="257"/>
        <v>0</v>
      </c>
      <c r="H1484" s="21">
        <f t="shared" ca="1" si="258"/>
        <v>4486.7401945905458</v>
      </c>
      <c r="I1484" s="21">
        <f t="shared" ca="1" si="253"/>
        <v>4487.2042626927969</v>
      </c>
      <c r="J1484" s="20">
        <f t="shared" ca="1" si="262"/>
        <v>6</v>
      </c>
      <c r="K1484" s="20">
        <f t="shared" ca="1" si="254"/>
        <v>4</v>
      </c>
      <c r="L1484" s="44">
        <f t="shared" ca="1" si="259"/>
        <v>5</v>
      </c>
    </row>
    <row r="1485" spans="1:12" x14ac:dyDescent="0.25">
      <c r="A1485" s="20">
        <v>1477</v>
      </c>
      <c r="B1485" s="21">
        <f t="shared" ca="1" si="255"/>
        <v>0.68408624883713187</v>
      </c>
      <c r="C1485" s="21">
        <f t="shared" ca="1" si="260"/>
        <v>4477.1803457111237</v>
      </c>
      <c r="D1485" s="21">
        <f t="shared" ca="1" si="256"/>
        <v>9.0141631300186482</v>
      </c>
      <c r="E1485" s="21">
        <f t="shared" ca="1" si="263"/>
        <v>10.02391698167321</v>
      </c>
      <c r="F1485" s="20" t="str">
        <f t="shared" ca="1" si="261"/>
        <v>No</v>
      </c>
      <c r="G1485" s="21">
        <f t="shared" ca="1" si="257"/>
        <v>0</v>
      </c>
      <c r="H1485" s="21">
        <f t="shared" ca="1" si="258"/>
        <v>4487.2042626927969</v>
      </c>
      <c r="I1485" s="21">
        <f t="shared" ca="1" si="253"/>
        <v>4496.2184258228153</v>
      </c>
      <c r="J1485" s="20">
        <f t="shared" ca="1" si="262"/>
        <v>5</v>
      </c>
      <c r="K1485" s="20">
        <f t="shared" ca="1" si="254"/>
        <v>5</v>
      </c>
      <c r="L1485" s="44">
        <f t="shared" ca="1" si="259"/>
        <v>5</v>
      </c>
    </row>
    <row r="1486" spans="1:12" x14ac:dyDescent="0.25">
      <c r="A1486" s="20">
        <v>1478</v>
      </c>
      <c r="B1486" s="21">
        <f t="shared" ca="1" si="255"/>
        <v>4.872159001860644</v>
      </c>
      <c r="C1486" s="21">
        <f t="shared" ca="1" si="260"/>
        <v>4482.052504712984</v>
      </c>
      <c r="D1486" s="21">
        <f t="shared" ca="1" si="256"/>
        <v>0.47006393834717369</v>
      </c>
      <c r="E1486" s="21">
        <f t="shared" ca="1" si="263"/>
        <v>14.165921109831288</v>
      </c>
      <c r="F1486" s="20" t="str">
        <f t="shared" ca="1" si="261"/>
        <v>No</v>
      </c>
      <c r="G1486" s="21">
        <f t="shared" ca="1" si="257"/>
        <v>0</v>
      </c>
      <c r="H1486" s="21">
        <f t="shared" ca="1" si="258"/>
        <v>4496.2184258228153</v>
      </c>
      <c r="I1486" s="21">
        <f t="shared" ca="1" si="253"/>
        <v>4496.6884897611626</v>
      </c>
      <c r="J1486" s="20">
        <f t="shared" ca="1" si="262"/>
        <v>6</v>
      </c>
      <c r="K1486" s="20">
        <f t="shared" ca="1" si="254"/>
        <v>5</v>
      </c>
      <c r="L1486" s="44">
        <f t="shared" ca="1" si="259"/>
        <v>5.5</v>
      </c>
    </row>
    <row r="1487" spans="1:12" x14ac:dyDescent="0.25">
      <c r="A1487" s="20">
        <v>1479</v>
      </c>
      <c r="B1487" s="21">
        <f t="shared" ca="1" si="255"/>
        <v>1.6674416520432032</v>
      </c>
      <c r="C1487" s="21">
        <f t="shared" ca="1" si="260"/>
        <v>4483.7199463650277</v>
      </c>
      <c r="D1487" s="21">
        <f t="shared" ca="1" si="256"/>
        <v>1.3066473744566969</v>
      </c>
      <c r="E1487" s="21">
        <f t="shared" ca="1" si="263"/>
        <v>12.968543396134919</v>
      </c>
      <c r="F1487" s="20" t="str">
        <f t="shared" ca="1" si="261"/>
        <v>No</v>
      </c>
      <c r="G1487" s="21">
        <f t="shared" ca="1" si="257"/>
        <v>0</v>
      </c>
      <c r="H1487" s="21">
        <f t="shared" ca="1" si="258"/>
        <v>4496.6884897611626</v>
      </c>
      <c r="I1487" s="21">
        <f t="shared" ca="1" si="253"/>
        <v>4497.9951371356192</v>
      </c>
      <c r="J1487" s="20">
        <f t="shared" ca="1" si="262"/>
        <v>6</v>
      </c>
      <c r="K1487" s="20">
        <f t="shared" ca="1" si="254"/>
        <v>5</v>
      </c>
      <c r="L1487" s="44">
        <f t="shared" ca="1" si="259"/>
        <v>5.5</v>
      </c>
    </row>
    <row r="1488" spans="1:12" x14ac:dyDescent="0.25">
      <c r="A1488" s="20">
        <v>1480</v>
      </c>
      <c r="B1488" s="21">
        <f t="shared" ca="1" si="255"/>
        <v>1.9853769555285865</v>
      </c>
      <c r="C1488" s="21">
        <f t="shared" ca="1" si="260"/>
        <v>4485.7053233205561</v>
      </c>
      <c r="D1488" s="21">
        <f t="shared" ca="1" si="256"/>
        <v>0.6235276100331768</v>
      </c>
      <c r="E1488" s="21">
        <f t="shared" ca="1" si="263"/>
        <v>12.289813815063098</v>
      </c>
      <c r="F1488" s="20" t="str">
        <f t="shared" ca="1" si="261"/>
        <v>No</v>
      </c>
      <c r="G1488" s="21">
        <f t="shared" ca="1" si="257"/>
        <v>0</v>
      </c>
      <c r="H1488" s="21">
        <f t="shared" ca="1" si="258"/>
        <v>4497.9951371356192</v>
      </c>
      <c r="I1488" s="21">
        <f t="shared" ca="1" si="253"/>
        <v>4498.6186647456525</v>
      </c>
      <c r="J1488" s="20">
        <f t="shared" ca="1" si="262"/>
        <v>6</v>
      </c>
      <c r="K1488" s="20">
        <f t="shared" ca="1" si="254"/>
        <v>5</v>
      </c>
      <c r="L1488" s="44">
        <f t="shared" ca="1" si="259"/>
        <v>5.5</v>
      </c>
    </row>
    <row r="1489" spans="1:12" x14ac:dyDescent="0.25">
      <c r="A1489" s="20">
        <v>1481</v>
      </c>
      <c r="B1489" s="21">
        <f t="shared" ca="1" si="255"/>
        <v>3.905097834019307</v>
      </c>
      <c r="C1489" s="21">
        <f t="shared" ca="1" si="260"/>
        <v>4489.6104211545753</v>
      </c>
      <c r="D1489" s="21">
        <f t="shared" ca="1" si="256"/>
        <v>3.1003860497036042</v>
      </c>
      <c r="E1489" s="21">
        <f t="shared" ca="1" si="263"/>
        <v>9.0082435910771892</v>
      </c>
      <c r="F1489" s="20" t="str">
        <f t="shared" ca="1" si="261"/>
        <v>No</v>
      </c>
      <c r="G1489" s="21">
        <f t="shared" ca="1" si="257"/>
        <v>0</v>
      </c>
      <c r="H1489" s="21">
        <f t="shared" ca="1" si="258"/>
        <v>4498.6186647456525</v>
      </c>
      <c r="I1489" s="21">
        <f t="shared" ca="1" si="253"/>
        <v>4501.7190507953565</v>
      </c>
      <c r="J1489" s="20">
        <f t="shared" ca="1" si="262"/>
        <v>6</v>
      </c>
      <c r="K1489" s="20">
        <f t="shared" ca="1" si="254"/>
        <v>4</v>
      </c>
      <c r="L1489" s="44">
        <f t="shared" ca="1" si="259"/>
        <v>5</v>
      </c>
    </row>
    <row r="1490" spans="1:12" x14ac:dyDescent="0.25">
      <c r="A1490" s="20">
        <v>1482</v>
      </c>
      <c r="B1490" s="21">
        <f t="shared" ca="1" si="255"/>
        <v>1.6169663048977512</v>
      </c>
      <c r="C1490" s="21">
        <f t="shared" ca="1" si="260"/>
        <v>4491.227387459473</v>
      </c>
      <c r="D1490" s="21">
        <f t="shared" ca="1" si="256"/>
        <v>11.749440911711064</v>
      </c>
      <c r="E1490" s="21">
        <f t="shared" ca="1" si="263"/>
        <v>10.491663335883459</v>
      </c>
      <c r="F1490" s="20" t="str">
        <f t="shared" ca="1" si="261"/>
        <v>No</v>
      </c>
      <c r="G1490" s="21">
        <f t="shared" ca="1" si="257"/>
        <v>0</v>
      </c>
      <c r="H1490" s="21">
        <f t="shared" ca="1" si="258"/>
        <v>4501.7190507953565</v>
      </c>
      <c r="I1490" s="21">
        <f t="shared" ca="1" si="253"/>
        <v>4513.4684917070672</v>
      </c>
      <c r="J1490" s="20">
        <f t="shared" ca="1" si="262"/>
        <v>5</v>
      </c>
      <c r="K1490" s="20">
        <f t="shared" ca="1" si="254"/>
        <v>5</v>
      </c>
      <c r="L1490" s="44">
        <f t="shared" ca="1" si="259"/>
        <v>5</v>
      </c>
    </row>
    <row r="1491" spans="1:12" x14ac:dyDescent="0.25">
      <c r="A1491" s="20">
        <v>1483</v>
      </c>
      <c r="B1491" s="21">
        <f t="shared" ca="1" si="255"/>
        <v>2.6230912827059836</v>
      </c>
      <c r="C1491" s="21">
        <f t="shared" ca="1" si="260"/>
        <v>4493.8504787421789</v>
      </c>
      <c r="D1491" s="21">
        <f t="shared" ca="1" si="256"/>
        <v>3.7951730563746882</v>
      </c>
      <c r="E1491" s="21">
        <f t="shared" ca="1" si="263"/>
        <v>19.618012964888294</v>
      </c>
      <c r="F1491" s="20" t="str">
        <f t="shared" ca="1" si="261"/>
        <v>No</v>
      </c>
      <c r="G1491" s="21">
        <f t="shared" ca="1" si="257"/>
        <v>0</v>
      </c>
      <c r="H1491" s="21">
        <f t="shared" ca="1" si="258"/>
        <v>4513.4684917070672</v>
      </c>
      <c r="I1491" s="21">
        <f t="shared" ca="1" si="253"/>
        <v>4517.2636647634417</v>
      </c>
      <c r="J1491" s="20">
        <f t="shared" ca="1" si="262"/>
        <v>6</v>
      </c>
      <c r="K1491" s="20">
        <f t="shared" ca="1" si="254"/>
        <v>5</v>
      </c>
      <c r="L1491" s="44">
        <f t="shared" ca="1" si="259"/>
        <v>5.5</v>
      </c>
    </row>
    <row r="1492" spans="1:12" x14ac:dyDescent="0.25">
      <c r="A1492" s="20">
        <v>1484</v>
      </c>
      <c r="B1492" s="21">
        <f t="shared" ca="1" si="255"/>
        <v>0.77727357486666082</v>
      </c>
      <c r="C1492" s="21">
        <f t="shared" ca="1" si="260"/>
        <v>4494.6277523170456</v>
      </c>
      <c r="D1492" s="21">
        <f t="shared" ca="1" si="256"/>
        <v>0.70997999018155655</v>
      </c>
      <c r="E1492" s="21">
        <f t="shared" ca="1" si="263"/>
        <v>22.635912446396105</v>
      </c>
      <c r="F1492" s="20" t="str">
        <f t="shared" ca="1" si="261"/>
        <v>No</v>
      </c>
      <c r="G1492" s="21">
        <f t="shared" ca="1" si="257"/>
        <v>0</v>
      </c>
      <c r="H1492" s="21">
        <f t="shared" ca="1" si="258"/>
        <v>4517.2636647634417</v>
      </c>
      <c r="I1492" s="21">
        <f t="shared" ca="1" si="253"/>
        <v>4517.9736447536234</v>
      </c>
      <c r="J1492" s="20">
        <f t="shared" ca="1" si="262"/>
        <v>6</v>
      </c>
      <c r="K1492" s="20">
        <f t="shared" ca="1" si="254"/>
        <v>5</v>
      </c>
      <c r="L1492" s="44">
        <f t="shared" ca="1" si="259"/>
        <v>5.5</v>
      </c>
    </row>
    <row r="1493" spans="1:12" x14ac:dyDescent="0.25">
      <c r="A1493" s="20">
        <v>1485</v>
      </c>
      <c r="B1493" s="21">
        <f t="shared" ca="1" si="255"/>
        <v>0.18130124274917858</v>
      </c>
      <c r="C1493" s="21">
        <f t="shared" ca="1" si="260"/>
        <v>4494.8090535597948</v>
      </c>
      <c r="D1493" s="21">
        <f t="shared" ca="1" si="256"/>
        <v>6.9242345461533334</v>
      </c>
      <c r="E1493" s="21">
        <f t="shared" ca="1" si="263"/>
        <v>23.164591193828528</v>
      </c>
      <c r="F1493" s="20" t="str">
        <f t="shared" ca="1" si="261"/>
        <v>No</v>
      </c>
      <c r="G1493" s="21">
        <f t="shared" ca="1" si="257"/>
        <v>0</v>
      </c>
      <c r="H1493" s="21">
        <f t="shared" ca="1" si="258"/>
        <v>4517.9736447536234</v>
      </c>
      <c r="I1493" s="21">
        <f t="shared" ca="1" si="253"/>
        <v>4524.8978792997768</v>
      </c>
      <c r="J1493" s="20">
        <f t="shared" ca="1" si="262"/>
        <v>6</v>
      </c>
      <c r="K1493" s="20">
        <f t="shared" ca="1" si="254"/>
        <v>5</v>
      </c>
      <c r="L1493" s="44">
        <f t="shared" ca="1" si="259"/>
        <v>5.5</v>
      </c>
    </row>
    <row r="1494" spans="1:12" x14ac:dyDescent="0.25">
      <c r="A1494" s="20">
        <v>1486</v>
      </c>
      <c r="B1494" s="21">
        <f t="shared" ca="1" si="255"/>
        <v>7.0616794056770473</v>
      </c>
      <c r="C1494" s="21">
        <f t="shared" ca="1" si="260"/>
        <v>4501.8707329654717</v>
      </c>
      <c r="D1494" s="21">
        <f t="shared" ca="1" si="256"/>
        <v>8.4425879759194175E-2</v>
      </c>
      <c r="E1494" s="21">
        <f t="shared" ca="1" si="263"/>
        <v>23.027146334305144</v>
      </c>
      <c r="F1494" s="20" t="str">
        <f t="shared" ca="1" si="261"/>
        <v>No</v>
      </c>
      <c r="G1494" s="21">
        <f t="shared" ca="1" si="257"/>
        <v>0</v>
      </c>
      <c r="H1494" s="21">
        <f t="shared" ca="1" si="258"/>
        <v>4524.8978792997768</v>
      </c>
      <c r="I1494" s="21">
        <f t="shared" ca="1" si="253"/>
        <v>4524.9823051795356</v>
      </c>
      <c r="J1494" s="20">
        <f t="shared" ca="1" si="262"/>
        <v>6</v>
      </c>
      <c r="K1494" s="20">
        <f t="shared" ca="1" si="254"/>
        <v>5</v>
      </c>
      <c r="L1494" s="44">
        <f t="shared" ca="1" si="259"/>
        <v>5.5</v>
      </c>
    </row>
    <row r="1495" spans="1:12" x14ac:dyDescent="0.25">
      <c r="A1495" s="20">
        <v>1487</v>
      </c>
      <c r="B1495" s="21">
        <f t="shared" ca="1" si="255"/>
        <v>1.7584091307322118</v>
      </c>
      <c r="C1495" s="21">
        <f t="shared" ca="1" si="260"/>
        <v>4503.6291420962043</v>
      </c>
      <c r="D1495" s="21">
        <f t="shared" ca="1" si="256"/>
        <v>0.25858176179072728</v>
      </c>
      <c r="E1495" s="21">
        <f t="shared" ca="1" si="263"/>
        <v>21.35316308333131</v>
      </c>
      <c r="F1495" s="20" t="str">
        <f t="shared" ca="1" si="261"/>
        <v>No</v>
      </c>
      <c r="G1495" s="21">
        <f t="shared" ca="1" si="257"/>
        <v>0</v>
      </c>
      <c r="H1495" s="21">
        <f t="shared" ca="1" si="258"/>
        <v>4524.9823051795356</v>
      </c>
      <c r="I1495" s="21">
        <f t="shared" ca="1" si="253"/>
        <v>4525.2408869413266</v>
      </c>
      <c r="J1495" s="20">
        <f t="shared" ca="1" si="262"/>
        <v>6</v>
      </c>
      <c r="K1495" s="20">
        <f t="shared" ca="1" si="254"/>
        <v>5</v>
      </c>
      <c r="L1495" s="44">
        <f t="shared" ca="1" si="259"/>
        <v>5.5</v>
      </c>
    </row>
    <row r="1496" spans="1:12" x14ac:dyDescent="0.25">
      <c r="A1496" s="20">
        <v>1488</v>
      </c>
      <c r="B1496" s="21">
        <f t="shared" ca="1" si="255"/>
        <v>0.88705598901274352</v>
      </c>
      <c r="C1496" s="21">
        <f t="shared" ca="1" si="260"/>
        <v>4504.5161980852172</v>
      </c>
      <c r="D1496" s="21">
        <f t="shared" ca="1" si="256"/>
        <v>2.0121381203499985E-2</v>
      </c>
      <c r="E1496" s="21">
        <f t="shared" ca="1" si="263"/>
        <v>20.724688856109424</v>
      </c>
      <c r="F1496" s="20" t="str">
        <f t="shared" ca="1" si="261"/>
        <v>No</v>
      </c>
      <c r="G1496" s="21">
        <f t="shared" ca="1" si="257"/>
        <v>0</v>
      </c>
      <c r="H1496" s="21">
        <f t="shared" ca="1" si="258"/>
        <v>4525.2408869413266</v>
      </c>
      <c r="I1496" s="21">
        <f t="shared" ca="1" si="253"/>
        <v>4525.26100832253</v>
      </c>
      <c r="J1496" s="20">
        <f t="shared" ca="1" si="262"/>
        <v>6</v>
      </c>
      <c r="K1496" s="20">
        <f t="shared" ca="1" si="254"/>
        <v>5</v>
      </c>
      <c r="L1496" s="44">
        <f t="shared" ca="1" si="259"/>
        <v>5.5</v>
      </c>
    </row>
    <row r="1497" spans="1:12" x14ac:dyDescent="0.25">
      <c r="A1497" s="20">
        <v>1489</v>
      </c>
      <c r="B1497" s="21">
        <f t="shared" ca="1" si="255"/>
        <v>5.9055398972477828</v>
      </c>
      <c r="C1497" s="21">
        <f t="shared" ca="1" si="260"/>
        <v>4510.4217379824649</v>
      </c>
      <c r="D1497" s="21">
        <f t="shared" ca="1" si="256"/>
        <v>2.9838324315547751</v>
      </c>
      <c r="E1497" s="21">
        <f t="shared" ca="1" si="263"/>
        <v>14.839270340065013</v>
      </c>
      <c r="F1497" s="20" t="str">
        <f t="shared" ca="1" si="261"/>
        <v>No</v>
      </c>
      <c r="G1497" s="21">
        <f t="shared" ca="1" si="257"/>
        <v>0</v>
      </c>
      <c r="H1497" s="21">
        <f t="shared" ca="1" si="258"/>
        <v>4525.26100832253</v>
      </c>
      <c r="I1497" s="21">
        <f t="shared" ca="1" si="253"/>
        <v>4528.2448407540851</v>
      </c>
      <c r="J1497" s="20">
        <f t="shared" ca="1" si="262"/>
        <v>6</v>
      </c>
      <c r="K1497" s="20">
        <f t="shared" ca="1" si="254"/>
        <v>5</v>
      </c>
      <c r="L1497" s="44">
        <f t="shared" ca="1" si="259"/>
        <v>5.5</v>
      </c>
    </row>
    <row r="1498" spans="1:12" x14ac:dyDescent="0.25">
      <c r="A1498" s="20">
        <v>1490</v>
      </c>
      <c r="B1498" s="21">
        <f t="shared" ca="1" si="255"/>
        <v>0.15251898094588784</v>
      </c>
      <c r="C1498" s="21">
        <f t="shared" ca="1" si="260"/>
        <v>4510.5742569634112</v>
      </c>
      <c r="D1498" s="21">
        <f t="shared" ca="1" si="256"/>
        <v>1.1193630170740598</v>
      </c>
      <c r="E1498" s="21">
        <f t="shared" ca="1" si="263"/>
        <v>17.670583790673845</v>
      </c>
      <c r="F1498" s="20" t="str">
        <f t="shared" ca="1" si="261"/>
        <v>No</v>
      </c>
      <c r="G1498" s="21">
        <f t="shared" ca="1" si="257"/>
        <v>0</v>
      </c>
      <c r="H1498" s="21">
        <f t="shared" ca="1" si="258"/>
        <v>4528.2448407540851</v>
      </c>
      <c r="I1498" s="21">
        <f t="shared" ca="1" si="253"/>
        <v>4529.3642037711588</v>
      </c>
      <c r="J1498" s="20">
        <f t="shared" ca="1" si="262"/>
        <v>6</v>
      </c>
      <c r="K1498" s="20">
        <f t="shared" ca="1" si="254"/>
        <v>5</v>
      </c>
      <c r="L1498" s="44">
        <f t="shared" ca="1" si="259"/>
        <v>5.5</v>
      </c>
    </row>
    <row r="1499" spans="1:12" x14ac:dyDescent="0.25">
      <c r="A1499" s="20">
        <v>1491</v>
      </c>
      <c r="B1499" s="21">
        <f t="shared" ca="1" si="255"/>
        <v>2.7235549207826053</v>
      </c>
      <c r="C1499" s="21">
        <f t="shared" ca="1" si="260"/>
        <v>4513.2978118841938</v>
      </c>
      <c r="D1499" s="21">
        <f t="shared" ca="1" si="256"/>
        <v>0.69062348703211351</v>
      </c>
      <c r="E1499" s="21">
        <f t="shared" ca="1" si="263"/>
        <v>16.066391886964993</v>
      </c>
      <c r="F1499" s="20" t="str">
        <f t="shared" ca="1" si="261"/>
        <v>No</v>
      </c>
      <c r="G1499" s="21">
        <f t="shared" ca="1" si="257"/>
        <v>0</v>
      </c>
      <c r="H1499" s="21">
        <f t="shared" ca="1" si="258"/>
        <v>4529.3642037711588</v>
      </c>
      <c r="I1499" s="21">
        <f t="shared" ca="1" si="253"/>
        <v>4530.0548272581909</v>
      </c>
      <c r="J1499" s="20">
        <f t="shared" ca="1" si="262"/>
        <v>6</v>
      </c>
      <c r="K1499" s="20">
        <f t="shared" ca="1" si="254"/>
        <v>5</v>
      </c>
      <c r="L1499" s="44">
        <f t="shared" ca="1" si="259"/>
        <v>5.5</v>
      </c>
    </row>
    <row r="1500" spans="1:12" x14ac:dyDescent="0.25">
      <c r="A1500" s="20">
        <v>1492</v>
      </c>
      <c r="B1500" s="21">
        <f t="shared" ca="1" si="255"/>
        <v>6.9979043027298378</v>
      </c>
      <c r="C1500" s="21">
        <f t="shared" ca="1" si="260"/>
        <v>4520.2957161869235</v>
      </c>
      <c r="D1500" s="21">
        <f t="shared" ca="1" si="256"/>
        <v>13.923662805506188</v>
      </c>
      <c r="E1500" s="21">
        <f t="shared" ca="1" si="263"/>
        <v>9.7591110712673981</v>
      </c>
      <c r="F1500" s="20" t="str">
        <f t="shared" ca="1" si="261"/>
        <v>No</v>
      </c>
      <c r="G1500" s="21">
        <f t="shared" ca="1" si="257"/>
        <v>0</v>
      </c>
      <c r="H1500" s="21">
        <f t="shared" ca="1" si="258"/>
        <v>4530.0548272581909</v>
      </c>
      <c r="I1500" s="21">
        <f t="shared" ca="1" si="253"/>
        <v>4543.9784900636969</v>
      </c>
      <c r="J1500" s="20">
        <f t="shared" ca="1" si="262"/>
        <v>6</v>
      </c>
      <c r="K1500" s="20">
        <f t="shared" ca="1" si="254"/>
        <v>5</v>
      </c>
      <c r="L1500" s="44">
        <f t="shared" ca="1" si="259"/>
        <v>5.5</v>
      </c>
    </row>
    <row r="1501" spans="1:12" x14ac:dyDescent="0.25">
      <c r="A1501" s="20">
        <v>1493</v>
      </c>
      <c r="B1501" s="21">
        <f t="shared" ca="1" si="255"/>
        <v>1.9491993653425825</v>
      </c>
      <c r="C1501" s="21">
        <f t="shared" ca="1" si="260"/>
        <v>4522.2449155522663</v>
      </c>
      <c r="D1501" s="21">
        <f t="shared" ca="1" si="256"/>
        <v>4.7056213768394661</v>
      </c>
      <c r="E1501" s="21">
        <f t="shared" ca="1" si="263"/>
        <v>21.733574511430561</v>
      </c>
      <c r="F1501" s="20" t="str">
        <f t="shared" ca="1" si="261"/>
        <v>No</v>
      </c>
      <c r="G1501" s="21">
        <f t="shared" ca="1" si="257"/>
        <v>0</v>
      </c>
      <c r="H1501" s="21">
        <f t="shared" ca="1" si="258"/>
        <v>4543.9784900636969</v>
      </c>
      <c r="I1501" s="21">
        <f t="shared" ca="1" si="253"/>
        <v>4548.6841114405361</v>
      </c>
      <c r="J1501" s="20">
        <f t="shared" ca="1" si="262"/>
        <v>6</v>
      </c>
      <c r="K1501" s="20">
        <f t="shared" ca="1" si="254"/>
        <v>5</v>
      </c>
      <c r="L1501" s="44">
        <f t="shared" ca="1" si="259"/>
        <v>5.5</v>
      </c>
    </row>
    <row r="1502" spans="1:12" x14ac:dyDescent="0.25">
      <c r="A1502" s="20">
        <v>1494</v>
      </c>
      <c r="B1502" s="21">
        <f t="shared" ca="1" si="255"/>
        <v>3.2659336868068922</v>
      </c>
      <c r="C1502" s="21">
        <f t="shared" ca="1" si="260"/>
        <v>4525.5108492390737</v>
      </c>
      <c r="D1502" s="21">
        <f t="shared" ca="1" si="256"/>
        <v>1.8780343359773368</v>
      </c>
      <c r="E1502" s="21">
        <f t="shared" ca="1" si="263"/>
        <v>23.173262201462421</v>
      </c>
      <c r="F1502" s="20" t="str">
        <f t="shared" ca="1" si="261"/>
        <v>No</v>
      </c>
      <c r="G1502" s="21">
        <f t="shared" ca="1" si="257"/>
        <v>0</v>
      </c>
      <c r="H1502" s="21">
        <f t="shared" ca="1" si="258"/>
        <v>4548.6841114405361</v>
      </c>
      <c r="I1502" s="21">
        <f t="shared" ca="1" si="253"/>
        <v>4550.5621457765137</v>
      </c>
      <c r="J1502" s="20">
        <f t="shared" ca="1" si="262"/>
        <v>6</v>
      </c>
      <c r="K1502" s="20">
        <f t="shared" ca="1" si="254"/>
        <v>5</v>
      </c>
      <c r="L1502" s="44">
        <f t="shared" ca="1" si="259"/>
        <v>5.5</v>
      </c>
    </row>
    <row r="1503" spans="1:12" x14ac:dyDescent="0.25">
      <c r="A1503" s="20">
        <v>1495</v>
      </c>
      <c r="B1503" s="21">
        <f t="shared" ca="1" si="255"/>
        <v>0.89208050956951845</v>
      </c>
      <c r="C1503" s="21">
        <f t="shared" ca="1" si="260"/>
        <v>4526.4029297486431</v>
      </c>
      <c r="D1503" s="21">
        <f t="shared" ca="1" si="256"/>
        <v>1.9938914666079579</v>
      </c>
      <c r="E1503" s="21">
        <f t="shared" ca="1" si="263"/>
        <v>24.159216027870571</v>
      </c>
      <c r="F1503" s="20" t="str">
        <f t="shared" ca="1" si="261"/>
        <v>No</v>
      </c>
      <c r="G1503" s="21">
        <f t="shared" ca="1" si="257"/>
        <v>0</v>
      </c>
      <c r="H1503" s="21">
        <f t="shared" ca="1" si="258"/>
        <v>4550.5621457765137</v>
      </c>
      <c r="I1503" s="21">
        <f t="shared" ca="1" si="253"/>
        <v>4552.5560372431219</v>
      </c>
      <c r="J1503" s="20">
        <f t="shared" ca="1" si="262"/>
        <v>6</v>
      </c>
      <c r="K1503" s="20">
        <f t="shared" ca="1" si="254"/>
        <v>5</v>
      </c>
      <c r="L1503" s="44">
        <f t="shared" ca="1" si="259"/>
        <v>5.5</v>
      </c>
    </row>
    <row r="1504" spans="1:12" x14ac:dyDescent="0.25">
      <c r="A1504" s="20">
        <v>1496</v>
      </c>
      <c r="B1504" s="21">
        <f t="shared" ca="1" si="255"/>
        <v>1.7349272042277351</v>
      </c>
      <c r="C1504" s="21">
        <f t="shared" ca="1" si="260"/>
        <v>4528.1378569528706</v>
      </c>
      <c r="D1504" s="21">
        <f t="shared" ca="1" si="256"/>
        <v>0.41187449075829308</v>
      </c>
      <c r="E1504" s="21">
        <f t="shared" ca="1" si="263"/>
        <v>24.418180290251257</v>
      </c>
      <c r="F1504" s="20" t="str">
        <f t="shared" ca="1" si="261"/>
        <v>No</v>
      </c>
      <c r="G1504" s="21">
        <f t="shared" ca="1" si="257"/>
        <v>0</v>
      </c>
      <c r="H1504" s="21">
        <f t="shared" ca="1" si="258"/>
        <v>4552.5560372431219</v>
      </c>
      <c r="I1504" s="21">
        <f t="shared" ca="1" si="253"/>
        <v>4552.9679117338801</v>
      </c>
      <c r="J1504" s="20">
        <f t="shared" ca="1" si="262"/>
        <v>6</v>
      </c>
      <c r="K1504" s="20">
        <f t="shared" ca="1" si="254"/>
        <v>5</v>
      </c>
      <c r="L1504" s="44">
        <f t="shared" ca="1" si="259"/>
        <v>5.5</v>
      </c>
    </row>
    <row r="1505" spans="1:12" x14ac:dyDescent="0.25">
      <c r="A1505" s="20">
        <v>1497</v>
      </c>
      <c r="B1505" s="21">
        <f t="shared" ca="1" si="255"/>
        <v>0.24743924618967975</v>
      </c>
      <c r="C1505" s="21">
        <f t="shared" ca="1" si="260"/>
        <v>4528.3852961990606</v>
      </c>
      <c r="D1505" s="21">
        <f t="shared" ca="1" si="256"/>
        <v>0.21756697293024563</v>
      </c>
      <c r="E1505" s="21">
        <f t="shared" ca="1" si="263"/>
        <v>24.582615534819524</v>
      </c>
      <c r="F1505" s="20" t="str">
        <f t="shared" ca="1" si="261"/>
        <v>No</v>
      </c>
      <c r="G1505" s="21">
        <f t="shared" ca="1" si="257"/>
        <v>0</v>
      </c>
      <c r="H1505" s="21">
        <f t="shared" ca="1" si="258"/>
        <v>4552.9679117338801</v>
      </c>
      <c r="I1505" s="21">
        <f t="shared" ca="1" si="253"/>
        <v>4553.1854787068105</v>
      </c>
      <c r="J1505" s="20">
        <f t="shared" ca="1" si="262"/>
        <v>6</v>
      </c>
      <c r="K1505" s="20">
        <f t="shared" ca="1" si="254"/>
        <v>5</v>
      </c>
      <c r="L1505" s="44">
        <f t="shared" ca="1" si="259"/>
        <v>5.5</v>
      </c>
    </row>
    <row r="1506" spans="1:12" x14ac:dyDescent="0.25">
      <c r="A1506" s="20">
        <v>1498</v>
      </c>
      <c r="B1506" s="21">
        <f t="shared" ca="1" si="255"/>
        <v>0.7457906749774017</v>
      </c>
      <c r="C1506" s="21">
        <f t="shared" ca="1" si="260"/>
        <v>4529.1310868740384</v>
      </c>
      <c r="D1506" s="21">
        <f t="shared" ca="1" si="256"/>
        <v>1.8601132837438386</v>
      </c>
      <c r="E1506" s="21">
        <f t="shared" ca="1" si="263"/>
        <v>24.054391832772126</v>
      </c>
      <c r="F1506" s="20" t="str">
        <f t="shared" ca="1" si="261"/>
        <v>No</v>
      </c>
      <c r="G1506" s="21">
        <f t="shared" ca="1" si="257"/>
        <v>0</v>
      </c>
      <c r="H1506" s="21">
        <f t="shared" ca="1" si="258"/>
        <v>4553.1854787068105</v>
      </c>
      <c r="I1506" s="21">
        <f t="shared" ca="1" si="253"/>
        <v>4555.0455919905544</v>
      </c>
      <c r="J1506" s="20">
        <f t="shared" ca="1" si="262"/>
        <v>6</v>
      </c>
      <c r="K1506" s="20">
        <f t="shared" ca="1" si="254"/>
        <v>5</v>
      </c>
      <c r="L1506" s="44">
        <f t="shared" ca="1" si="259"/>
        <v>5.5</v>
      </c>
    </row>
    <row r="1507" spans="1:12" x14ac:dyDescent="0.25">
      <c r="A1507" s="20">
        <v>1499</v>
      </c>
      <c r="B1507" s="21">
        <f t="shared" ca="1" si="255"/>
        <v>3.1588144340373256E-2</v>
      </c>
      <c r="C1507" s="21">
        <f t="shared" ca="1" si="260"/>
        <v>4529.1626750183786</v>
      </c>
      <c r="D1507" s="21">
        <f t="shared" ca="1" si="256"/>
        <v>1.462058217584447</v>
      </c>
      <c r="E1507" s="21">
        <f t="shared" ca="1" si="263"/>
        <v>25.882916972175735</v>
      </c>
      <c r="F1507" s="20" t="str">
        <f t="shared" ca="1" si="261"/>
        <v>No</v>
      </c>
      <c r="G1507" s="21">
        <f t="shared" ca="1" si="257"/>
        <v>0</v>
      </c>
      <c r="H1507" s="21">
        <f t="shared" ca="1" si="258"/>
        <v>4555.0455919905544</v>
      </c>
      <c r="I1507" s="21">
        <f t="shared" ca="1" si="253"/>
        <v>4556.5076502081392</v>
      </c>
      <c r="J1507" s="20">
        <f t="shared" ca="1" si="262"/>
        <v>6</v>
      </c>
      <c r="K1507" s="20">
        <f t="shared" ca="1" si="254"/>
        <v>5</v>
      </c>
      <c r="L1507" s="44">
        <f t="shared" ca="1" si="259"/>
        <v>5.5</v>
      </c>
    </row>
    <row r="1508" spans="1:12" x14ac:dyDescent="0.25">
      <c r="A1508" s="20">
        <v>1500</v>
      </c>
      <c r="B1508" s="21">
        <f t="shared" ca="1" si="255"/>
        <v>0.92511340405054543</v>
      </c>
      <c r="C1508" s="21">
        <f t="shared" ca="1" si="260"/>
        <v>4530.0877884224292</v>
      </c>
      <c r="D1508" s="21">
        <f t="shared" ca="1" si="256"/>
        <v>2.2407308149382779</v>
      </c>
      <c r="E1508" s="21">
        <f t="shared" ca="1" si="263"/>
        <v>26.419861785710054</v>
      </c>
      <c r="F1508" s="20" t="str">
        <f t="shared" ca="1" si="261"/>
        <v>No</v>
      </c>
      <c r="G1508" s="21">
        <f t="shared" ca="1" si="257"/>
        <v>0</v>
      </c>
      <c r="H1508" s="21">
        <f t="shared" ca="1" si="258"/>
        <v>4556.5076502081392</v>
      </c>
      <c r="I1508" s="21">
        <f t="shared" ca="1" si="253"/>
        <v>4558.7483810230779</v>
      </c>
      <c r="J1508" s="20">
        <f t="shared" ca="1" si="262"/>
        <v>6</v>
      </c>
      <c r="K1508" s="20">
        <f t="shared" ca="1" si="254"/>
        <v>5</v>
      </c>
      <c r="L1508" s="44">
        <f t="shared" ca="1" si="259"/>
        <v>5.5</v>
      </c>
    </row>
    <row r="1509" spans="1:12" x14ac:dyDescent="0.25">
      <c r="A1509" s="20">
        <v>1501</v>
      </c>
      <c r="B1509" s="21">
        <f t="shared" ca="1" si="255"/>
        <v>10.825734880265873</v>
      </c>
      <c r="C1509" s="21">
        <f t="shared" ca="1" si="260"/>
        <v>4540.9135233026955</v>
      </c>
      <c r="D1509" s="21">
        <f t="shared" ca="1" si="256"/>
        <v>3.0484713166094646</v>
      </c>
      <c r="E1509" s="21">
        <f t="shared" ca="1" si="263"/>
        <v>17.834857720382388</v>
      </c>
      <c r="F1509" s="20" t="str">
        <f t="shared" ca="1" si="261"/>
        <v>No</v>
      </c>
      <c r="G1509" s="21">
        <f t="shared" ca="1" si="257"/>
        <v>0</v>
      </c>
      <c r="H1509" s="21">
        <f t="shared" ca="1" si="258"/>
        <v>4558.7483810230779</v>
      </c>
      <c r="I1509" s="21">
        <f t="shared" ca="1" si="253"/>
        <v>4561.7968523396876</v>
      </c>
      <c r="J1509" s="20">
        <f t="shared" ca="1" si="262"/>
        <v>6</v>
      </c>
      <c r="K1509" s="20">
        <f t="shared" ca="1" si="254"/>
        <v>5</v>
      </c>
      <c r="L1509" s="44">
        <f t="shared" ca="1" si="259"/>
        <v>5.5</v>
      </c>
    </row>
    <row r="1510" spans="1:12" x14ac:dyDescent="0.25">
      <c r="A1510" s="20">
        <v>1502</v>
      </c>
      <c r="B1510" s="21">
        <f t="shared" ca="1" si="255"/>
        <v>5.0014020394230592</v>
      </c>
      <c r="C1510" s="21">
        <f t="shared" ca="1" si="260"/>
        <v>4545.9149253421183</v>
      </c>
      <c r="D1510" s="21">
        <f t="shared" ca="1" si="256"/>
        <v>0.54649724797053911</v>
      </c>
      <c r="E1510" s="21">
        <f t="shared" ca="1" si="263"/>
        <v>15.881926997569281</v>
      </c>
      <c r="F1510" s="20" t="str">
        <f t="shared" ca="1" si="261"/>
        <v>No</v>
      </c>
      <c r="G1510" s="21">
        <f t="shared" ca="1" si="257"/>
        <v>0</v>
      </c>
      <c r="H1510" s="21">
        <f t="shared" ca="1" si="258"/>
        <v>4561.7968523396876</v>
      </c>
      <c r="I1510" s="21">
        <f t="shared" ca="1" si="253"/>
        <v>4562.3433495876579</v>
      </c>
      <c r="J1510" s="20">
        <f t="shared" ca="1" si="262"/>
        <v>6</v>
      </c>
      <c r="K1510" s="20">
        <f t="shared" ca="1" si="254"/>
        <v>5</v>
      </c>
      <c r="L1510" s="44">
        <f t="shared" ca="1" si="259"/>
        <v>5.5</v>
      </c>
    </row>
    <row r="1511" spans="1:12" x14ac:dyDescent="0.25">
      <c r="A1511" s="20">
        <v>1503</v>
      </c>
      <c r="B1511" s="21">
        <f t="shared" ca="1" si="255"/>
        <v>2.5423381951330759</v>
      </c>
      <c r="C1511" s="21">
        <f t="shared" ca="1" si="260"/>
        <v>4548.4572635372515</v>
      </c>
      <c r="D1511" s="21">
        <f t="shared" ca="1" si="256"/>
        <v>5.2129393827589707</v>
      </c>
      <c r="E1511" s="21">
        <f t="shared" ca="1" si="263"/>
        <v>13.886086050406448</v>
      </c>
      <c r="F1511" s="20" t="str">
        <f t="shared" ca="1" si="261"/>
        <v>No</v>
      </c>
      <c r="G1511" s="21">
        <f t="shared" ca="1" si="257"/>
        <v>0</v>
      </c>
      <c r="H1511" s="21">
        <f t="shared" ca="1" si="258"/>
        <v>4562.3433495876579</v>
      </c>
      <c r="I1511" s="21">
        <f t="shared" ca="1" si="253"/>
        <v>4567.556288970417</v>
      </c>
      <c r="J1511" s="20">
        <f t="shared" ca="1" si="262"/>
        <v>6</v>
      </c>
      <c r="K1511" s="20">
        <f t="shared" ca="1" si="254"/>
        <v>5</v>
      </c>
      <c r="L1511" s="44">
        <f t="shared" ca="1" si="259"/>
        <v>5.5</v>
      </c>
    </row>
    <row r="1512" spans="1:12" x14ac:dyDescent="0.25">
      <c r="A1512" s="20">
        <v>1504</v>
      </c>
      <c r="B1512" s="21">
        <f t="shared" ca="1" si="255"/>
        <v>0.44740623800167706</v>
      </c>
      <c r="C1512" s="21">
        <f t="shared" ca="1" si="260"/>
        <v>4548.9046697752528</v>
      </c>
      <c r="D1512" s="21">
        <f t="shared" ca="1" si="256"/>
        <v>6.0369440201466524</v>
      </c>
      <c r="E1512" s="21">
        <f t="shared" ca="1" si="263"/>
        <v>18.65161919516413</v>
      </c>
      <c r="F1512" s="20" t="str">
        <f t="shared" ca="1" si="261"/>
        <v>No</v>
      </c>
      <c r="G1512" s="21">
        <f t="shared" ca="1" si="257"/>
        <v>0</v>
      </c>
      <c r="H1512" s="21">
        <f t="shared" ca="1" si="258"/>
        <v>4567.556288970417</v>
      </c>
      <c r="I1512" s="21">
        <f t="shared" ca="1" si="253"/>
        <v>4573.5932329905636</v>
      </c>
      <c r="J1512" s="20">
        <f t="shared" ca="1" si="262"/>
        <v>6</v>
      </c>
      <c r="K1512" s="20">
        <f t="shared" ca="1" si="254"/>
        <v>5</v>
      </c>
      <c r="L1512" s="44">
        <f t="shared" ca="1" si="259"/>
        <v>5.5</v>
      </c>
    </row>
    <row r="1513" spans="1:12" x14ac:dyDescent="0.25">
      <c r="A1513" s="20">
        <v>1505</v>
      </c>
      <c r="B1513" s="21">
        <f t="shared" ca="1" si="255"/>
        <v>0.99899967165307624</v>
      </c>
      <c r="C1513" s="21">
        <f t="shared" ca="1" si="260"/>
        <v>4549.903669446906</v>
      </c>
      <c r="D1513" s="21">
        <f t="shared" ca="1" si="256"/>
        <v>0.49375393750560392</v>
      </c>
      <c r="E1513" s="21">
        <f t="shared" ca="1" si="263"/>
        <v>23.689563543657641</v>
      </c>
      <c r="F1513" s="20" t="str">
        <f t="shared" ca="1" si="261"/>
        <v>No</v>
      </c>
      <c r="G1513" s="21">
        <f t="shared" ca="1" si="257"/>
        <v>0</v>
      </c>
      <c r="H1513" s="21">
        <f t="shared" ca="1" si="258"/>
        <v>4573.5932329905636</v>
      </c>
      <c r="I1513" s="21">
        <f t="shared" ca="1" si="253"/>
        <v>4574.0869869280696</v>
      </c>
      <c r="J1513" s="20">
        <f t="shared" ca="1" si="262"/>
        <v>6</v>
      </c>
      <c r="K1513" s="20">
        <f t="shared" ca="1" si="254"/>
        <v>5</v>
      </c>
      <c r="L1513" s="44">
        <f t="shared" ca="1" si="259"/>
        <v>5.5</v>
      </c>
    </row>
    <row r="1514" spans="1:12" x14ac:dyDescent="0.25">
      <c r="A1514" s="20">
        <v>1506</v>
      </c>
      <c r="B1514" s="21">
        <f t="shared" ca="1" si="255"/>
        <v>4.6109935586958217</v>
      </c>
      <c r="C1514" s="21">
        <f t="shared" ca="1" si="260"/>
        <v>4554.5146630056015</v>
      </c>
      <c r="D1514" s="21">
        <f t="shared" ca="1" si="256"/>
        <v>0.22131002634164279</v>
      </c>
      <c r="E1514" s="21">
        <f t="shared" ca="1" si="263"/>
        <v>19.572323922468058</v>
      </c>
      <c r="F1514" s="20" t="str">
        <f t="shared" ca="1" si="261"/>
        <v>No</v>
      </c>
      <c r="G1514" s="21">
        <f t="shared" ca="1" si="257"/>
        <v>0</v>
      </c>
      <c r="H1514" s="21">
        <f t="shared" ca="1" si="258"/>
        <v>4574.0869869280696</v>
      </c>
      <c r="I1514" s="21">
        <f t="shared" ca="1" si="253"/>
        <v>4574.3082969544112</v>
      </c>
      <c r="J1514" s="20">
        <f t="shared" ca="1" si="262"/>
        <v>6</v>
      </c>
      <c r="K1514" s="20">
        <f t="shared" ca="1" si="254"/>
        <v>5</v>
      </c>
      <c r="L1514" s="44">
        <f t="shared" ca="1" si="259"/>
        <v>5.5</v>
      </c>
    </row>
    <row r="1515" spans="1:12" x14ac:dyDescent="0.25">
      <c r="A1515" s="20">
        <v>1507</v>
      </c>
      <c r="B1515" s="21">
        <f t="shared" ca="1" si="255"/>
        <v>3.837320150319119</v>
      </c>
      <c r="C1515" s="21">
        <f t="shared" ca="1" si="260"/>
        <v>4558.3519831559206</v>
      </c>
      <c r="D1515" s="21">
        <f t="shared" ca="1" si="256"/>
        <v>1.7411041211574396</v>
      </c>
      <c r="E1515" s="21">
        <f t="shared" ca="1" si="263"/>
        <v>15.956313798490555</v>
      </c>
      <c r="F1515" s="20" t="str">
        <f t="shared" ca="1" si="261"/>
        <v>No</v>
      </c>
      <c r="G1515" s="21">
        <f t="shared" ca="1" si="257"/>
        <v>0</v>
      </c>
      <c r="H1515" s="21">
        <f t="shared" ca="1" si="258"/>
        <v>4574.3082969544112</v>
      </c>
      <c r="I1515" s="21">
        <f t="shared" ca="1" si="253"/>
        <v>4576.0494010755683</v>
      </c>
      <c r="J1515" s="20">
        <f t="shared" ca="1" si="262"/>
        <v>6</v>
      </c>
      <c r="K1515" s="20">
        <f t="shared" ca="1" si="254"/>
        <v>4</v>
      </c>
      <c r="L1515" s="44">
        <f t="shared" ca="1" si="259"/>
        <v>5</v>
      </c>
    </row>
    <row r="1516" spans="1:12" x14ac:dyDescent="0.25">
      <c r="A1516" s="20">
        <v>1508</v>
      </c>
      <c r="B1516" s="21">
        <f t="shared" ca="1" si="255"/>
        <v>0.22143916176454306</v>
      </c>
      <c r="C1516" s="21">
        <f t="shared" ca="1" si="260"/>
        <v>4558.5734223176851</v>
      </c>
      <c r="D1516" s="21">
        <f t="shared" ca="1" si="256"/>
        <v>2.4980356581108745</v>
      </c>
      <c r="E1516" s="21">
        <f t="shared" ca="1" si="263"/>
        <v>17.47597875788324</v>
      </c>
      <c r="F1516" s="20" t="str">
        <f t="shared" ca="1" si="261"/>
        <v>No</v>
      </c>
      <c r="G1516" s="21">
        <f t="shared" ca="1" si="257"/>
        <v>0</v>
      </c>
      <c r="H1516" s="21">
        <f t="shared" ca="1" si="258"/>
        <v>4576.0494010755683</v>
      </c>
      <c r="I1516" s="21">
        <f t="shared" ca="1" si="253"/>
        <v>4578.5474367336792</v>
      </c>
      <c r="J1516" s="20">
        <f t="shared" ca="1" si="262"/>
        <v>5</v>
      </c>
      <c r="K1516" s="20">
        <f t="shared" ca="1" si="254"/>
        <v>3</v>
      </c>
      <c r="L1516" s="44">
        <f t="shared" ca="1" si="259"/>
        <v>4</v>
      </c>
    </row>
    <row r="1517" spans="1:12" x14ac:dyDescent="0.25">
      <c r="A1517" s="20">
        <v>1509</v>
      </c>
      <c r="B1517" s="21">
        <f t="shared" ca="1" si="255"/>
        <v>6.0957570533891593E-2</v>
      </c>
      <c r="C1517" s="21">
        <f t="shared" ca="1" si="260"/>
        <v>4558.634379888219</v>
      </c>
      <c r="D1517" s="21">
        <f t="shared" ca="1" si="256"/>
        <v>2.2218483947070284</v>
      </c>
      <c r="E1517" s="21">
        <f t="shared" ca="1" si="263"/>
        <v>19.913056845460233</v>
      </c>
      <c r="F1517" s="20" t="str">
        <f t="shared" ca="1" si="261"/>
        <v>No</v>
      </c>
      <c r="G1517" s="21">
        <f t="shared" ca="1" si="257"/>
        <v>0</v>
      </c>
      <c r="H1517" s="21">
        <f t="shared" ca="1" si="258"/>
        <v>4578.5474367336792</v>
      </c>
      <c r="I1517" s="21">
        <f t="shared" ca="1" si="253"/>
        <v>4580.7692851283864</v>
      </c>
      <c r="J1517" s="20">
        <f t="shared" ca="1" si="262"/>
        <v>4</v>
      </c>
      <c r="K1517" s="20">
        <f t="shared" ca="1" si="254"/>
        <v>2</v>
      </c>
      <c r="L1517" s="44">
        <f t="shared" ca="1" si="259"/>
        <v>3</v>
      </c>
    </row>
    <row r="1518" spans="1:12" x14ac:dyDescent="0.25">
      <c r="A1518" s="20">
        <v>1510</v>
      </c>
      <c r="B1518" s="21">
        <f t="shared" ca="1" si="255"/>
        <v>9.8137608545036787</v>
      </c>
      <c r="C1518" s="21">
        <f t="shared" ca="1" si="260"/>
        <v>4568.4481407427229</v>
      </c>
      <c r="D1518" s="21">
        <f t="shared" ca="1" si="256"/>
        <v>0.35080382813704819</v>
      </c>
      <c r="E1518" s="21">
        <f t="shared" ca="1" si="263"/>
        <v>12.321144385663501</v>
      </c>
      <c r="F1518" s="20" t="str">
        <f t="shared" ca="1" si="261"/>
        <v>No</v>
      </c>
      <c r="G1518" s="21">
        <f t="shared" ca="1" si="257"/>
        <v>0</v>
      </c>
      <c r="H1518" s="21">
        <f t="shared" ca="1" si="258"/>
        <v>4580.7692851283864</v>
      </c>
      <c r="I1518" s="21">
        <f t="shared" ca="1" si="253"/>
        <v>4581.1200889565234</v>
      </c>
      <c r="J1518" s="20">
        <f t="shared" ca="1" si="262"/>
        <v>3</v>
      </c>
      <c r="K1518" s="20">
        <f t="shared" ca="1" si="254"/>
        <v>1</v>
      </c>
      <c r="L1518" s="44">
        <f t="shared" ca="1" si="259"/>
        <v>2</v>
      </c>
    </row>
    <row r="1519" spans="1:12" x14ac:dyDescent="0.25">
      <c r="A1519" s="20">
        <v>1511</v>
      </c>
      <c r="B1519" s="21">
        <f t="shared" ca="1" si="255"/>
        <v>5.1335046150582837</v>
      </c>
      <c r="C1519" s="21">
        <f t="shared" ca="1" si="260"/>
        <v>4573.5816453577809</v>
      </c>
      <c r="D1519" s="21">
        <f t="shared" ca="1" si="256"/>
        <v>0.27757153229157844</v>
      </c>
      <c r="E1519" s="21">
        <f t="shared" ca="1" si="263"/>
        <v>7.5384435987425604</v>
      </c>
      <c r="F1519" s="20" t="str">
        <f t="shared" ca="1" si="261"/>
        <v>No</v>
      </c>
      <c r="G1519" s="21">
        <f t="shared" ca="1" si="257"/>
        <v>0</v>
      </c>
      <c r="H1519" s="21">
        <f t="shared" ca="1" si="258"/>
        <v>4581.1200889565234</v>
      </c>
      <c r="I1519" s="21">
        <f t="shared" ca="1" si="253"/>
        <v>4581.3976604888148</v>
      </c>
      <c r="J1519" s="20">
        <f t="shared" ca="1" si="262"/>
        <v>2</v>
      </c>
      <c r="K1519" s="20">
        <f t="shared" ca="1" si="254"/>
        <v>0</v>
      </c>
      <c r="L1519" s="44">
        <f t="shared" ca="1" si="259"/>
        <v>1</v>
      </c>
    </row>
    <row r="1520" spans="1:12" x14ac:dyDescent="0.25">
      <c r="A1520" s="20">
        <v>1512</v>
      </c>
      <c r="B1520" s="21">
        <f t="shared" ca="1" si="255"/>
        <v>8.7638517681682249</v>
      </c>
      <c r="C1520" s="21">
        <f t="shared" ca="1" si="260"/>
        <v>4582.3454971259489</v>
      </c>
      <c r="D1520" s="21">
        <f t="shared" ca="1" si="256"/>
        <v>3.1737594830093398E-2</v>
      </c>
      <c r="E1520" s="21">
        <f t="shared" ca="1" si="263"/>
        <v>0</v>
      </c>
      <c r="F1520" s="20" t="str">
        <f t="shared" ca="1" si="261"/>
        <v>Yes</v>
      </c>
      <c r="G1520" s="21">
        <f t="shared" ca="1" si="257"/>
        <v>0.94783663713405986</v>
      </c>
      <c r="H1520" s="21">
        <f t="shared" ca="1" si="258"/>
        <v>4582.3454971259489</v>
      </c>
      <c r="I1520" s="21">
        <f t="shared" ca="1" si="253"/>
        <v>4582.3772347207787</v>
      </c>
      <c r="J1520" s="20">
        <f t="shared" ca="1" si="262"/>
        <v>0</v>
      </c>
      <c r="K1520" s="20">
        <f t="shared" ca="1" si="254"/>
        <v>0</v>
      </c>
      <c r="L1520" s="44">
        <f t="shared" ca="1" si="259"/>
        <v>0</v>
      </c>
    </row>
    <row r="1521" spans="1:12" x14ac:dyDescent="0.25">
      <c r="A1521" s="20">
        <v>1513</v>
      </c>
      <c r="B1521" s="21">
        <f t="shared" ca="1" si="255"/>
        <v>5.2483667438573356</v>
      </c>
      <c r="C1521" s="21">
        <f t="shared" ca="1" si="260"/>
        <v>4587.5938638698062</v>
      </c>
      <c r="D1521" s="21">
        <f t="shared" ca="1" si="256"/>
        <v>8.6921619291248892E-2</v>
      </c>
      <c r="E1521" s="21">
        <f t="shared" ca="1" si="263"/>
        <v>0</v>
      </c>
      <c r="F1521" s="20" t="str">
        <f t="shared" ca="1" si="261"/>
        <v>Yes</v>
      </c>
      <c r="G1521" s="21">
        <f t="shared" ca="1" si="257"/>
        <v>5.2166291490275398</v>
      </c>
      <c r="H1521" s="21">
        <f t="shared" ca="1" si="258"/>
        <v>4587.5938638698062</v>
      </c>
      <c r="I1521" s="21">
        <f t="shared" ca="1" si="253"/>
        <v>4587.6807854890976</v>
      </c>
      <c r="J1521" s="20">
        <f t="shared" ca="1" si="262"/>
        <v>0</v>
      </c>
      <c r="K1521" s="20">
        <f t="shared" ca="1" si="254"/>
        <v>0</v>
      </c>
      <c r="L1521" s="44">
        <f t="shared" ca="1" si="259"/>
        <v>0</v>
      </c>
    </row>
    <row r="1522" spans="1:12" x14ac:dyDescent="0.25">
      <c r="A1522" s="20">
        <v>1514</v>
      </c>
      <c r="B1522" s="21">
        <f t="shared" ca="1" si="255"/>
        <v>0.41451410957539853</v>
      </c>
      <c r="C1522" s="21">
        <f t="shared" ca="1" si="260"/>
        <v>4588.0083779793813</v>
      </c>
      <c r="D1522" s="21">
        <f t="shared" ca="1" si="256"/>
        <v>1.2839555026949847</v>
      </c>
      <c r="E1522" s="21">
        <f t="shared" ca="1" si="263"/>
        <v>0</v>
      </c>
      <c r="F1522" s="20" t="str">
        <f t="shared" ca="1" si="261"/>
        <v>Yes</v>
      </c>
      <c r="G1522" s="21">
        <f t="shared" ca="1" si="257"/>
        <v>0.32759249028367776</v>
      </c>
      <c r="H1522" s="21">
        <f t="shared" ca="1" si="258"/>
        <v>4588.0083779793813</v>
      </c>
      <c r="I1522" s="21">
        <f t="shared" ca="1" si="253"/>
        <v>4589.2923334820762</v>
      </c>
      <c r="J1522" s="20">
        <f t="shared" ca="1" si="262"/>
        <v>0</v>
      </c>
      <c r="K1522" s="20">
        <f t="shared" ca="1" si="254"/>
        <v>1</v>
      </c>
      <c r="L1522" s="44">
        <f t="shared" ca="1" si="259"/>
        <v>0.5</v>
      </c>
    </row>
    <row r="1523" spans="1:12" x14ac:dyDescent="0.25">
      <c r="A1523" s="20">
        <v>1515</v>
      </c>
      <c r="B1523" s="21">
        <f t="shared" ca="1" si="255"/>
        <v>0.76626064190056464</v>
      </c>
      <c r="C1523" s="21">
        <f t="shared" ca="1" si="260"/>
        <v>4588.7746386212821</v>
      </c>
      <c r="D1523" s="21">
        <f t="shared" ca="1" si="256"/>
        <v>0.10349447402843601</v>
      </c>
      <c r="E1523" s="21">
        <f t="shared" ca="1" si="263"/>
        <v>0.51769486079410854</v>
      </c>
      <c r="F1523" s="20" t="str">
        <f t="shared" ca="1" si="261"/>
        <v>No</v>
      </c>
      <c r="G1523" s="21">
        <f t="shared" ca="1" si="257"/>
        <v>0</v>
      </c>
      <c r="H1523" s="21">
        <f t="shared" ca="1" si="258"/>
        <v>4589.2923334820762</v>
      </c>
      <c r="I1523" s="21">
        <f t="shared" ca="1" si="253"/>
        <v>4589.3958279561048</v>
      </c>
      <c r="J1523" s="20">
        <f t="shared" ca="1" si="262"/>
        <v>2</v>
      </c>
      <c r="K1523" s="20">
        <f t="shared" ca="1" si="254"/>
        <v>0</v>
      </c>
      <c r="L1523" s="44">
        <f t="shared" ca="1" si="259"/>
        <v>1</v>
      </c>
    </row>
    <row r="1524" spans="1:12" x14ac:dyDescent="0.25">
      <c r="A1524" s="20">
        <v>1516</v>
      </c>
      <c r="B1524" s="21">
        <f t="shared" ca="1" si="255"/>
        <v>2.6382370488717495</v>
      </c>
      <c r="C1524" s="21">
        <f t="shared" ca="1" si="260"/>
        <v>4591.4128756701539</v>
      </c>
      <c r="D1524" s="21">
        <f t="shared" ca="1" si="256"/>
        <v>2.1045066691885368</v>
      </c>
      <c r="E1524" s="21">
        <f t="shared" ca="1" si="263"/>
        <v>0</v>
      </c>
      <c r="F1524" s="20" t="str">
        <f t="shared" ca="1" si="261"/>
        <v>Yes</v>
      </c>
      <c r="G1524" s="21">
        <f t="shared" ca="1" si="257"/>
        <v>2.017047714049113</v>
      </c>
      <c r="H1524" s="21">
        <f t="shared" ca="1" si="258"/>
        <v>4591.4128756701539</v>
      </c>
      <c r="I1524" s="21">
        <f t="shared" ca="1" si="253"/>
        <v>4593.5173823393425</v>
      </c>
      <c r="J1524" s="20">
        <f t="shared" ca="1" si="262"/>
        <v>0</v>
      </c>
      <c r="K1524" s="20">
        <f t="shared" ca="1" si="254"/>
        <v>1</v>
      </c>
      <c r="L1524" s="44">
        <f t="shared" ca="1" si="259"/>
        <v>0.5</v>
      </c>
    </row>
    <row r="1525" spans="1:12" x14ac:dyDescent="0.25">
      <c r="A1525" s="20">
        <v>1517</v>
      </c>
      <c r="B1525" s="21">
        <f t="shared" ca="1" si="255"/>
        <v>0.37882377973263609</v>
      </c>
      <c r="C1525" s="21">
        <f t="shared" ca="1" si="260"/>
        <v>4591.7916994498864</v>
      </c>
      <c r="D1525" s="21">
        <f t="shared" ca="1" si="256"/>
        <v>3.3343293387698503</v>
      </c>
      <c r="E1525" s="21">
        <f t="shared" ca="1" si="263"/>
        <v>1.7256828894560385</v>
      </c>
      <c r="F1525" s="20" t="str">
        <f t="shared" ca="1" si="261"/>
        <v>No</v>
      </c>
      <c r="G1525" s="21">
        <f t="shared" ca="1" si="257"/>
        <v>0</v>
      </c>
      <c r="H1525" s="21">
        <f t="shared" ca="1" si="258"/>
        <v>4593.5173823393425</v>
      </c>
      <c r="I1525" s="21">
        <f t="shared" ca="1" si="253"/>
        <v>4596.8517116781122</v>
      </c>
      <c r="J1525" s="20">
        <f t="shared" ca="1" si="262"/>
        <v>2</v>
      </c>
      <c r="K1525" s="20">
        <f t="shared" ca="1" si="254"/>
        <v>2</v>
      </c>
      <c r="L1525" s="44">
        <f t="shared" ca="1" si="259"/>
        <v>2</v>
      </c>
    </row>
    <row r="1526" spans="1:12" x14ac:dyDescent="0.25">
      <c r="A1526" s="20">
        <v>1518</v>
      </c>
      <c r="B1526" s="21">
        <f t="shared" ca="1" si="255"/>
        <v>3.4986857138295964</v>
      </c>
      <c r="C1526" s="21">
        <f t="shared" ca="1" si="260"/>
        <v>4595.2903851637157</v>
      </c>
      <c r="D1526" s="21">
        <f t="shared" ca="1" si="256"/>
        <v>1.2819951601628969</v>
      </c>
      <c r="E1526" s="21">
        <f t="shared" ca="1" si="263"/>
        <v>1.5613265143965691</v>
      </c>
      <c r="F1526" s="20" t="str">
        <f t="shared" ca="1" si="261"/>
        <v>No</v>
      </c>
      <c r="G1526" s="21">
        <f t="shared" ca="1" si="257"/>
        <v>0</v>
      </c>
      <c r="H1526" s="21">
        <f t="shared" ca="1" si="258"/>
        <v>4596.8517116781122</v>
      </c>
      <c r="I1526" s="21">
        <f t="shared" ca="1" si="253"/>
        <v>4598.1337068382754</v>
      </c>
      <c r="J1526" s="20">
        <f t="shared" ca="1" si="262"/>
        <v>3</v>
      </c>
      <c r="K1526" s="20">
        <f t="shared" ca="1" si="254"/>
        <v>3</v>
      </c>
      <c r="L1526" s="44">
        <f t="shared" ca="1" si="259"/>
        <v>3</v>
      </c>
    </row>
    <row r="1527" spans="1:12" x14ac:dyDescent="0.25">
      <c r="A1527" s="20">
        <v>1519</v>
      </c>
      <c r="B1527" s="21">
        <f t="shared" ca="1" si="255"/>
        <v>0.63122986645657764</v>
      </c>
      <c r="C1527" s="21">
        <f t="shared" ca="1" si="260"/>
        <v>4595.9216150301718</v>
      </c>
      <c r="D1527" s="21">
        <f t="shared" ca="1" si="256"/>
        <v>1.2370129908761196</v>
      </c>
      <c r="E1527" s="21">
        <f t="shared" ca="1" si="263"/>
        <v>2.2120918081036507</v>
      </c>
      <c r="F1527" s="20" t="str">
        <f t="shared" ca="1" si="261"/>
        <v>No</v>
      </c>
      <c r="G1527" s="21">
        <f t="shared" ca="1" si="257"/>
        <v>0</v>
      </c>
      <c r="H1527" s="21">
        <f t="shared" ca="1" si="258"/>
        <v>4598.1337068382754</v>
      </c>
      <c r="I1527" s="21">
        <f t="shared" ca="1" si="253"/>
        <v>4599.3707198291513</v>
      </c>
      <c r="J1527" s="20">
        <f t="shared" ca="1" si="262"/>
        <v>4</v>
      </c>
      <c r="K1527" s="20">
        <f t="shared" ca="1" si="254"/>
        <v>3</v>
      </c>
      <c r="L1527" s="44">
        <f t="shared" ca="1" si="259"/>
        <v>3.5</v>
      </c>
    </row>
    <row r="1528" spans="1:12" x14ac:dyDescent="0.25">
      <c r="A1528" s="20">
        <v>1520</v>
      </c>
      <c r="B1528" s="21">
        <f t="shared" ca="1" si="255"/>
        <v>0.9730258181139102</v>
      </c>
      <c r="C1528" s="21">
        <f t="shared" ca="1" si="260"/>
        <v>4596.8946408482852</v>
      </c>
      <c r="D1528" s="21">
        <f t="shared" ca="1" si="256"/>
        <v>0.29653903513676277</v>
      </c>
      <c r="E1528" s="21">
        <f t="shared" ca="1" si="263"/>
        <v>2.4760789808660775</v>
      </c>
      <c r="F1528" s="20" t="str">
        <f t="shared" ca="1" si="261"/>
        <v>No</v>
      </c>
      <c r="G1528" s="21">
        <f t="shared" ca="1" si="257"/>
        <v>0</v>
      </c>
      <c r="H1528" s="21">
        <f t="shared" ca="1" si="258"/>
        <v>4599.3707198291513</v>
      </c>
      <c r="I1528" s="21">
        <f t="shared" ca="1" si="253"/>
        <v>4599.6672588642878</v>
      </c>
      <c r="J1528" s="20">
        <f t="shared" ca="1" si="262"/>
        <v>4</v>
      </c>
      <c r="K1528" s="20">
        <f t="shared" ca="1" si="254"/>
        <v>2</v>
      </c>
      <c r="L1528" s="44">
        <f t="shared" ca="1" si="259"/>
        <v>3</v>
      </c>
    </row>
    <row r="1529" spans="1:12" x14ac:dyDescent="0.25">
      <c r="A1529" s="20">
        <v>1521</v>
      </c>
      <c r="B1529" s="21">
        <f t="shared" ca="1" si="255"/>
        <v>0.76094737051663897</v>
      </c>
      <c r="C1529" s="21">
        <f t="shared" ca="1" si="260"/>
        <v>4597.6555882188022</v>
      </c>
      <c r="D1529" s="21">
        <f t="shared" ca="1" si="256"/>
        <v>2.0475398906254902</v>
      </c>
      <c r="E1529" s="21">
        <f t="shared" ca="1" si="263"/>
        <v>2.0116706454855375</v>
      </c>
      <c r="F1529" s="20" t="str">
        <f t="shared" ca="1" si="261"/>
        <v>No</v>
      </c>
      <c r="G1529" s="21">
        <f t="shared" ca="1" si="257"/>
        <v>0</v>
      </c>
      <c r="H1529" s="21">
        <f t="shared" ca="1" si="258"/>
        <v>4599.6672588642878</v>
      </c>
      <c r="I1529" s="21">
        <f t="shared" ca="1" si="253"/>
        <v>4601.7147987549133</v>
      </c>
      <c r="J1529" s="20">
        <f t="shared" ca="1" si="262"/>
        <v>3</v>
      </c>
      <c r="K1529" s="20">
        <f t="shared" ca="1" si="254"/>
        <v>1</v>
      </c>
      <c r="L1529" s="44">
        <f t="shared" ca="1" si="259"/>
        <v>2</v>
      </c>
    </row>
    <row r="1530" spans="1:12" x14ac:dyDescent="0.25">
      <c r="A1530" s="20">
        <v>1522</v>
      </c>
      <c r="B1530" s="21">
        <f t="shared" ca="1" si="255"/>
        <v>1.5163398731447779</v>
      </c>
      <c r="C1530" s="21">
        <f t="shared" ca="1" si="260"/>
        <v>4599.1719280919469</v>
      </c>
      <c r="D1530" s="21">
        <f t="shared" ca="1" si="256"/>
        <v>1.5180181251007492</v>
      </c>
      <c r="E1530" s="21">
        <f t="shared" ca="1" si="263"/>
        <v>2.5428706629663793</v>
      </c>
      <c r="F1530" s="20" t="str">
        <f t="shared" ca="1" si="261"/>
        <v>No</v>
      </c>
      <c r="G1530" s="21">
        <f t="shared" ca="1" si="257"/>
        <v>0</v>
      </c>
      <c r="H1530" s="21">
        <f t="shared" ca="1" si="258"/>
        <v>4601.7147987549133</v>
      </c>
      <c r="I1530" s="21">
        <f t="shared" ca="1" si="253"/>
        <v>4603.2328168800141</v>
      </c>
      <c r="J1530" s="20">
        <f t="shared" ca="1" si="262"/>
        <v>2</v>
      </c>
      <c r="K1530" s="20">
        <f t="shared" ca="1" si="254"/>
        <v>1</v>
      </c>
      <c r="L1530" s="44">
        <f t="shared" ca="1" si="259"/>
        <v>1.5</v>
      </c>
    </row>
    <row r="1531" spans="1:12" x14ac:dyDescent="0.25">
      <c r="A1531" s="20">
        <v>1523</v>
      </c>
      <c r="B1531" s="21">
        <f t="shared" ca="1" si="255"/>
        <v>2.9512125580401687</v>
      </c>
      <c r="C1531" s="21">
        <f t="shared" ca="1" si="260"/>
        <v>4602.1231406499874</v>
      </c>
      <c r="D1531" s="21">
        <f t="shared" ca="1" si="256"/>
        <v>1.7333913785739823</v>
      </c>
      <c r="E1531" s="21">
        <f t="shared" ca="1" si="263"/>
        <v>1.1096762300267073</v>
      </c>
      <c r="F1531" s="20" t="str">
        <f t="shared" ca="1" si="261"/>
        <v>No</v>
      </c>
      <c r="G1531" s="21">
        <f t="shared" ca="1" si="257"/>
        <v>0</v>
      </c>
      <c r="H1531" s="21">
        <f t="shared" ca="1" si="258"/>
        <v>4603.2328168800141</v>
      </c>
      <c r="I1531" s="21">
        <f t="shared" ca="1" si="253"/>
        <v>4604.9662082585883</v>
      </c>
      <c r="J1531" s="20">
        <f t="shared" ca="1" si="262"/>
        <v>2</v>
      </c>
      <c r="K1531" s="20">
        <f t="shared" ca="1" si="254"/>
        <v>1</v>
      </c>
      <c r="L1531" s="44">
        <f t="shared" ca="1" si="259"/>
        <v>1.5</v>
      </c>
    </row>
    <row r="1532" spans="1:12" x14ac:dyDescent="0.25">
      <c r="A1532" s="20">
        <v>1524</v>
      </c>
      <c r="B1532" s="21">
        <f t="shared" ca="1" si="255"/>
        <v>1.8685086358763587</v>
      </c>
      <c r="C1532" s="21">
        <f t="shared" ca="1" si="260"/>
        <v>4603.9916492858638</v>
      </c>
      <c r="D1532" s="21">
        <f t="shared" ca="1" si="256"/>
        <v>1.965719621927748</v>
      </c>
      <c r="E1532" s="21">
        <f t="shared" ca="1" si="263"/>
        <v>0.97455897272448055</v>
      </c>
      <c r="F1532" s="20" t="str">
        <f t="shared" ca="1" si="261"/>
        <v>No</v>
      </c>
      <c r="G1532" s="21">
        <f t="shared" ca="1" si="257"/>
        <v>0</v>
      </c>
      <c r="H1532" s="21">
        <f t="shared" ca="1" si="258"/>
        <v>4604.9662082585883</v>
      </c>
      <c r="I1532" s="21">
        <f t="shared" ca="1" si="253"/>
        <v>4606.931927880516</v>
      </c>
      <c r="J1532" s="20">
        <f t="shared" ca="1" si="262"/>
        <v>2</v>
      </c>
      <c r="K1532" s="20">
        <f t="shared" ca="1" si="254"/>
        <v>1</v>
      </c>
      <c r="L1532" s="44">
        <f t="shared" ca="1" si="259"/>
        <v>1.5</v>
      </c>
    </row>
    <row r="1533" spans="1:12" x14ac:dyDescent="0.25">
      <c r="A1533" s="20">
        <v>1525</v>
      </c>
      <c r="B1533" s="21">
        <f t="shared" ca="1" si="255"/>
        <v>1.9520499651513052</v>
      </c>
      <c r="C1533" s="21">
        <f t="shared" ca="1" si="260"/>
        <v>4605.9436992510155</v>
      </c>
      <c r="D1533" s="21">
        <f t="shared" ca="1" si="256"/>
        <v>0.80428491584227546</v>
      </c>
      <c r="E1533" s="21">
        <f t="shared" ca="1" si="263"/>
        <v>0.98822862950055423</v>
      </c>
      <c r="F1533" s="20" t="str">
        <f t="shared" ca="1" si="261"/>
        <v>No</v>
      </c>
      <c r="G1533" s="21">
        <f t="shared" ca="1" si="257"/>
        <v>0</v>
      </c>
      <c r="H1533" s="21">
        <f t="shared" ca="1" si="258"/>
        <v>4606.931927880516</v>
      </c>
      <c r="I1533" s="21">
        <f t="shared" ca="1" si="253"/>
        <v>4607.7362127963579</v>
      </c>
      <c r="J1533" s="20">
        <f t="shared" ca="1" si="262"/>
        <v>2</v>
      </c>
      <c r="K1533" s="20">
        <f t="shared" ca="1" si="254"/>
        <v>0</v>
      </c>
      <c r="L1533" s="44">
        <f t="shared" ca="1" si="259"/>
        <v>1</v>
      </c>
    </row>
    <row r="1534" spans="1:12" x14ac:dyDescent="0.25">
      <c r="A1534" s="20">
        <v>1526</v>
      </c>
      <c r="B1534" s="21">
        <f t="shared" ca="1" si="255"/>
        <v>3.3975811705361707</v>
      </c>
      <c r="C1534" s="21">
        <f t="shared" ca="1" si="260"/>
        <v>4609.3412804215513</v>
      </c>
      <c r="D1534" s="21">
        <f t="shared" ca="1" si="256"/>
        <v>3.8963474613191704</v>
      </c>
      <c r="E1534" s="21">
        <f t="shared" ca="1" si="263"/>
        <v>0</v>
      </c>
      <c r="F1534" s="20" t="str">
        <f t="shared" ca="1" si="261"/>
        <v>Yes</v>
      </c>
      <c r="G1534" s="21">
        <f t="shared" ca="1" si="257"/>
        <v>1.6050676251934419</v>
      </c>
      <c r="H1534" s="21">
        <f t="shared" ca="1" si="258"/>
        <v>4609.3412804215513</v>
      </c>
      <c r="I1534" s="21">
        <f t="shared" ca="1" si="253"/>
        <v>4613.2376278828706</v>
      </c>
      <c r="J1534" s="20">
        <f t="shared" ca="1" si="262"/>
        <v>0</v>
      </c>
      <c r="K1534" s="20">
        <f t="shared" ca="1" si="254"/>
        <v>1</v>
      </c>
      <c r="L1534" s="44">
        <f t="shared" ca="1" si="259"/>
        <v>0.5</v>
      </c>
    </row>
    <row r="1535" spans="1:12" x14ac:dyDescent="0.25">
      <c r="A1535" s="20">
        <v>1527</v>
      </c>
      <c r="B1535" s="21">
        <f t="shared" ca="1" si="255"/>
        <v>0.95987374821422622</v>
      </c>
      <c r="C1535" s="21">
        <f t="shared" ca="1" si="260"/>
        <v>4610.3011541697651</v>
      </c>
      <c r="D1535" s="21">
        <f t="shared" ca="1" si="256"/>
        <v>7.0347587330314907</v>
      </c>
      <c r="E1535" s="21">
        <f t="shared" ca="1" si="263"/>
        <v>2.9364737131054426</v>
      </c>
      <c r="F1535" s="20" t="str">
        <f t="shared" ca="1" si="261"/>
        <v>No</v>
      </c>
      <c r="G1535" s="21">
        <f t="shared" ca="1" si="257"/>
        <v>0</v>
      </c>
      <c r="H1535" s="21">
        <f t="shared" ca="1" si="258"/>
        <v>4613.2376278828706</v>
      </c>
      <c r="I1535" s="21">
        <f t="shared" ca="1" si="253"/>
        <v>4620.2723866159022</v>
      </c>
      <c r="J1535" s="20">
        <f t="shared" ca="1" si="262"/>
        <v>2</v>
      </c>
      <c r="K1535" s="20">
        <f t="shared" ca="1" si="254"/>
        <v>1</v>
      </c>
      <c r="L1535" s="44">
        <f t="shared" ca="1" si="259"/>
        <v>1.5</v>
      </c>
    </row>
    <row r="1536" spans="1:12" x14ac:dyDescent="0.25">
      <c r="A1536" s="20">
        <v>1528</v>
      </c>
      <c r="B1536" s="21">
        <f t="shared" ca="1" si="255"/>
        <v>8.7198297758280088</v>
      </c>
      <c r="C1536" s="21">
        <f t="shared" ca="1" si="260"/>
        <v>4619.0209839455929</v>
      </c>
      <c r="D1536" s="21">
        <f t="shared" ca="1" si="256"/>
        <v>0.87344465428103568</v>
      </c>
      <c r="E1536" s="21">
        <f t="shared" ca="1" si="263"/>
        <v>1.2514026703092895</v>
      </c>
      <c r="F1536" s="20" t="str">
        <f t="shared" ca="1" si="261"/>
        <v>No</v>
      </c>
      <c r="G1536" s="21">
        <f t="shared" ca="1" si="257"/>
        <v>0</v>
      </c>
      <c r="H1536" s="21">
        <f t="shared" ca="1" si="258"/>
        <v>4620.2723866159022</v>
      </c>
      <c r="I1536" s="21">
        <f t="shared" ca="1" si="253"/>
        <v>4621.1458312701834</v>
      </c>
      <c r="J1536" s="20">
        <f t="shared" ca="1" si="262"/>
        <v>2</v>
      </c>
      <c r="K1536" s="20">
        <f t="shared" ca="1" si="254"/>
        <v>0</v>
      </c>
      <c r="L1536" s="44">
        <f t="shared" ca="1" si="259"/>
        <v>1</v>
      </c>
    </row>
    <row r="1537" spans="1:12" x14ac:dyDescent="0.25">
      <c r="A1537" s="20">
        <v>1529</v>
      </c>
      <c r="B1537" s="21">
        <f t="shared" ca="1" si="255"/>
        <v>4.1045541800583383</v>
      </c>
      <c r="C1537" s="21">
        <f t="shared" ca="1" si="260"/>
        <v>4623.1255381256515</v>
      </c>
      <c r="D1537" s="21">
        <f t="shared" ca="1" si="256"/>
        <v>3.3660186811600372</v>
      </c>
      <c r="E1537" s="21">
        <f t="shared" ca="1" si="263"/>
        <v>0</v>
      </c>
      <c r="F1537" s="20" t="str">
        <f t="shared" ca="1" si="261"/>
        <v>Yes</v>
      </c>
      <c r="G1537" s="21">
        <f t="shared" ca="1" si="257"/>
        <v>1.9797068554680664</v>
      </c>
      <c r="H1537" s="21">
        <f t="shared" ca="1" si="258"/>
        <v>4623.1255381256515</v>
      </c>
      <c r="I1537" s="21">
        <f t="shared" ca="1" si="253"/>
        <v>4626.4915568068118</v>
      </c>
      <c r="J1537" s="20">
        <f t="shared" ca="1" si="262"/>
        <v>0</v>
      </c>
      <c r="K1537" s="20">
        <f t="shared" ca="1" si="254"/>
        <v>1</v>
      </c>
      <c r="L1537" s="44">
        <f t="shared" ca="1" si="259"/>
        <v>0.5</v>
      </c>
    </row>
    <row r="1538" spans="1:12" x14ac:dyDescent="0.25">
      <c r="A1538" s="20">
        <v>1530</v>
      </c>
      <c r="B1538" s="21">
        <f t="shared" ca="1" si="255"/>
        <v>2.9646417910699081</v>
      </c>
      <c r="C1538" s="21">
        <f t="shared" ca="1" si="260"/>
        <v>4626.0901799167214</v>
      </c>
      <c r="D1538" s="21">
        <f t="shared" ca="1" si="256"/>
        <v>0.61969791027583354</v>
      </c>
      <c r="E1538" s="21">
        <f t="shared" ca="1" si="263"/>
        <v>0.40137689009043243</v>
      </c>
      <c r="F1538" s="20" t="str">
        <f t="shared" ca="1" si="261"/>
        <v>No</v>
      </c>
      <c r="G1538" s="21">
        <f t="shared" ca="1" si="257"/>
        <v>0</v>
      </c>
      <c r="H1538" s="21">
        <f t="shared" ca="1" si="258"/>
        <v>4626.4915568068118</v>
      </c>
      <c r="I1538" s="21">
        <f t="shared" ca="1" si="253"/>
        <v>4627.1112547170878</v>
      </c>
      <c r="J1538" s="20">
        <f t="shared" ca="1" si="262"/>
        <v>2</v>
      </c>
      <c r="K1538" s="20">
        <f t="shared" ca="1" si="254"/>
        <v>1</v>
      </c>
      <c r="L1538" s="44">
        <f t="shared" ca="1" si="259"/>
        <v>1.5</v>
      </c>
    </row>
    <row r="1539" spans="1:12" x14ac:dyDescent="0.25">
      <c r="A1539" s="20">
        <v>1531</v>
      </c>
      <c r="B1539" s="21">
        <f t="shared" ca="1" si="255"/>
        <v>0.94776625763188815</v>
      </c>
      <c r="C1539" s="21">
        <f t="shared" ca="1" si="260"/>
        <v>4627.0379461743532</v>
      </c>
      <c r="D1539" s="21">
        <f t="shared" ca="1" si="256"/>
        <v>2.2001952456562082</v>
      </c>
      <c r="E1539" s="21">
        <f t="shared" ca="1" si="263"/>
        <v>7.3308542734594084E-2</v>
      </c>
      <c r="F1539" s="20" t="str">
        <f t="shared" ca="1" si="261"/>
        <v>No</v>
      </c>
      <c r="G1539" s="21">
        <f t="shared" ca="1" si="257"/>
        <v>0</v>
      </c>
      <c r="H1539" s="21">
        <f t="shared" ca="1" si="258"/>
        <v>4627.1112547170878</v>
      </c>
      <c r="I1539" s="21">
        <f t="shared" ca="1" si="253"/>
        <v>4629.3114499627436</v>
      </c>
      <c r="J1539" s="20">
        <f t="shared" ca="1" si="262"/>
        <v>2</v>
      </c>
      <c r="K1539" s="20">
        <f t="shared" ca="1" si="254"/>
        <v>0</v>
      </c>
      <c r="L1539" s="44">
        <f t="shared" ca="1" si="259"/>
        <v>1</v>
      </c>
    </row>
    <row r="1540" spans="1:12" x14ac:dyDescent="0.25">
      <c r="A1540" s="20">
        <v>1532</v>
      </c>
      <c r="B1540" s="21">
        <f t="shared" ca="1" si="255"/>
        <v>2.6908745616908205</v>
      </c>
      <c r="C1540" s="21">
        <f t="shared" ca="1" si="260"/>
        <v>4629.7288207360443</v>
      </c>
      <c r="D1540" s="21">
        <f t="shared" ca="1" si="256"/>
        <v>0.9550145259787246</v>
      </c>
      <c r="E1540" s="21">
        <f t="shared" ca="1" si="263"/>
        <v>0</v>
      </c>
      <c r="F1540" s="20" t="str">
        <f t="shared" ca="1" si="261"/>
        <v>Yes</v>
      </c>
      <c r="G1540" s="21">
        <f t="shared" ca="1" si="257"/>
        <v>0.4173707733007177</v>
      </c>
      <c r="H1540" s="21">
        <f t="shared" ca="1" si="258"/>
        <v>4629.7288207360443</v>
      </c>
      <c r="I1540" s="21">
        <f t="shared" ca="1" si="253"/>
        <v>4630.6838352620234</v>
      </c>
      <c r="J1540" s="20">
        <f t="shared" ca="1" si="262"/>
        <v>0</v>
      </c>
      <c r="K1540" s="20">
        <f t="shared" ca="1" si="254"/>
        <v>0</v>
      </c>
      <c r="L1540" s="44">
        <f t="shared" ca="1" si="259"/>
        <v>0</v>
      </c>
    </row>
    <row r="1541" spans="1:12" x14ac:dyDescent="0.25">
      <c r="A1541" s="20">
        <v>1533</v>
      </c>
      <c r="B1541" s="21">
        <f t="shared" ca="1" si="255"/>
        <v>1.1086574283332542</v>
      </c>
      <c r="C1541" s="21">
        <f t="shared" ca="1" si="260"/>
        <v>4630.8374781643779</v>
      </c>
      <c r="D1541" s="21">
        <f t="shared" ca="1" si="256"/>
        <v>2.7781278694296221</v>
      </c>
      <c r="E1541" s="21">
        <f t="shared" ca="1" si="263"/>
        <v>0</v>
      </c>
      <c r="F1541" s="20" t="str">
        <f t="shared" ca="1" si="261"/>
        <v>Yes</v>
      </c>
      <c r="G1541" s="21">
        <f t="shared" ca="1" si="257"/>
        <v>0.15364290235447697</v>
      </c>
      <c r="H1541" s="21">
        <f t="shared" ca="1" si="258"/>
        <v>4630.8374781643779</v>
      </c>
      <c r="I1541" s="21">
        <f t="shared" ca="1" si="253"/>
        <v>4633.6156060338071</v>
      </c>
      <c r="J1541" s="20">
        <f t="shared" ca="1" si="262"/>
        <v>0</v>
      </c>
      <c r="K1541" s="20">
        <f t="shared" ca="1" si="254"/>
        <v>0</v>
      </c>
      <c r="L1541" s="44">
        <f t="shared" ca="1" si="259"/>
        <v>0</v>
      </c>
    </row>
    <row r="1542" spans="1:12" x14ac:dyDescent="0.25">
      <c r="A1542" s="20">
        <v>1534</v>
      </c>
      <c r="B1542" s="21">
        <f t="shared" ca="1" si="255"/>
        <v>2.8071596709740612</v>
      </c>
      <c r="C1542" s="21">
        <f t="shared" ca="1" si="260"/>
        <v>4633.6446378353521</v>
      </c>
      <c r="D1542" s="21">
        <f t="shared" ca="1" si="256"/>
        <v>0.92812681333409008</v>
      </c>
      <c r="E1542" s="21">
        <f t="shared" ca="1" si="263"/>
        <v>0</v>
      </c>
      <c r="F1542" s="20" t="str">
        <f t="shared" ca="1" si="261"/>
        <v>Yes</v>
      </c>
      <c r="G1542" s="21">
        <f t="shared" ca="1" si="257"/>
        <v>2.9031801544988411E-2</v>
      </c>
      <c r="H1542" s="21">
        <f t="shared" ca="1" si="258"/>
        <v>4633.6446378353521</v>
      </c>
      <c r="I1542" s="21">
        <f t="shared" ca="1" si="253"/>
        <v>4634.5727646486866</v>
      </c>
      <c r="J1542" s="20">
        <f t="shared" ca="1" si="262"/>
        <v>0</v>
      </c>
      <c r="K1542" s="20">
        <f t="shared" ca="1" si="254"/>
        <v>1</v>
      </c>
      <c r="L1542" s="44">
        <f t="shared" ca="1" si="259"/>
        <v>0.5</v>
      </c>
    </row>
    <row r="1543" spans="1:12" x14ac:dyDescent="0.25">
      <c r="A1543" s="20">
        <v>1535</v>
      </c>
      <c r="B1543" s="21">
        <f t="shared" ca="1" si="255"/>
        <v>0.25518793856907224</v>
      </c>
      <c r="C1543" s="21">
        <f t="shared" ca="1" si="260"/>
        <v>4633.8998257739213</v>
      </c>
      <c r="D1543" s="21">
        <f t="shared" ca="1" si="256"/>
        <v>1.3963166992333671</v>
      </c>
      <c r="E1543" s="21">
        <f t="shared" ca="1" si="263"/>
        <v>0.67293887476535019</v>
      </c>
      <c r="F1543" s="20" t="str">
        <f t="shared" ca="1" si="261"/>
        <v>No</v>
      </c>
      <c r="G1543" s="21">
        <f t="shared" ca="1" si="257"/>
        <v>0</v>
      </c>
      <c r="H1543" s="21">
        <f t="shared" ca="1" si="258"/>
        <v>4634.5727646486866</v>
      </c>
      <c r="I1543" s="21">
        <f t="shared" ca="1" si="253"/>
        <v>4635.9690813479201</v>
      </c>
      <c r="J1543" s="20">
        <f t="shared" ca="1" si="262"/>
        <v>2</v>
      </c>
      <c r="K1543" s="20">
        <f t="shared" ca="1" si="254"/>
        <v>1</v>
      </c>
      <c r="L1543" s="44">
        <f t="shared" ca="1" si="259"/>
        <v>1.5</v>
      </c>
    </row>
    <row r="1544" spans="1:12" x14ac:dyDescent="0.25">
      <c r="A1544" s="20">
        <v>1536</v>
      </c>
      <c r="B1544" s="21">
        <f t="shared" ca="1" si="255"/>
        <v>1.6184349300047947</v>
      </c>
      <c r="C1544" s="21">
        <f t="shared" ca="1" si="260"/>
        <v>4635.518260703926</v>
      </c>
      <c r="D1544" s="21">
        <f t="shared" ca="1" si="256"/>
        <v>2.1760492149169339</v>
      </c>
      <c r="E1544" s="21">
        <f t="shared" ca="1" si="263"/>
        <v>0.45082064399412047</v>
      </c>
      <c r="F1544" s="20" t="str">
        <f t="shared" ca="1" si="261"/>
        <v>No</v>
      </c>
      <c r="G1544" s="21">
        <f t="shared" ca="1" si="257"/>
        <v>0</v>
      </c>
      <c r="H1544" s="21">
        <f t="shared" ca="1" si="258"/>
        <v>4635.9690813479201</v>
      </c>
      <c r="I1544" s="21">
        <f t="shared" ca="1" si="253"/>
        <v>4638.145130562837</v>
      </c>
      <c r="J1544" s="20">
        <f t="shared" ca="1" si="262"/>
        <v>2</v>
      </c>
      <c r="K1544" s="20">
        <f t="shared" ca="1" si="254"/>
        <v>0</v>
      </c>
      <c r="L1544" s="44">
        <f t="shared" ca="1" si="259"/>
        <v>1</v>
      </c>
    </row>
    <row r="1545" spans="1:12" x14ac:dyDescent="0.25">
      <c r="A1545" s="20">
        <v>1537</v>
      </c>
      <c r="B1545" s="21">
        <f t="shared" ca="1" si="255"/>
        <v>14.382981057405043</v>
      </c>
      <c r="C1545" s="21">
        <f t="shared" ca="1" si="260"/>
        <v>4649.9012417613312</v>
      </c>
      <c r="D1545" s="21">
        <f t="shared" ca="1" si="256"/>
        <v>1.4891811208561678</v>
      </c>
      <c r="E1545" s="21">
        <f t="shared" ca="1" si="263"/>
        <v>0</v>
      </c>
      <c r="F1545" s="20" t="str">
        <f t="shared" ca="1" si="261"/>
        <v>Yes</v>
      </c>
      <c r="G1545" s="21">
        <f t="shared" ca="1" si="257"/>
        <v>11.756111198494182</v>
      </c>
      <c r="H1545" s="21">
        <f t="shared" ca="1" si="258"/>
        <v>4649.9012417613312</v>
      </c>
      <c r="I1545" s="21">
        <f t="shared" ref="I1545:I1608" ca="1" si="264">$H1545+$D1545</f>
        <v>4651.3904228821875</v>
      </c>
      <c r="J1545" s="20">
        <f t="shared" ca="1" si="262"/>
        <v>0</v>
      </c>
      <c r="K1545" s="20">
        <f t="shared" ref="K1545:K1608" ca="1" si="265">IF($I1545&lt;=$C1546,0,IF($I1545&lt;=$C1547,1,IF($I1545&lt;=$C1548,2,IF($I1545&lt;=$C1549,3,IF($I1545&lt;=$C1550,4,5)))))</f>
        <v>0</v>
      </c>
      <c r="L1545" s="44">
        <f t="shared" ca="1" si="259"/>
        <v>0</v>
      </c>
    </row>
    <row r="1546" spans="1:12" x14ac:dyDescent="0.25">
      <c r="A1546" s="20">
        <v>1538</v>
      </c>
      <c r="B1546" s="21">
        <f t="shared" ref="B1546:B1609" ca="1" si="266">-LN(RAND())/$D$4</f>
        <v>5.0264981395629489</v>
      </c>
      <c r="C1546" s="21">
        <f t="shared" ca="1" si="260"/>
        <v>4654.9277399008943</v>
      </c>
      <c r="D1546" s="21">
        <f t="shared" ref="D1546:D1609" ca="1" si="267">-LN(RAND())/$D$6</f>
        <v>1.2302616699839144</v>
      </c>
      <c r="E1546" s="21">
        <f t="shared" ca="1" si="263"/>
        <v>0</v>
      </c>
      <c r="F1546" s="20" t="str">
        <f t="shared" ca="1" si="261"/>
        <v>Yes</v>
      </c>
      <c r="G1546" s="21">
        <f t="shared" ref="G1546:G1609" ca="1" si="268">IF($I1545&lt;=$C1546,$C1546-$I1545,0)</f>
        <v>3.5373170187067444</v>
      </c>
      <c r="H1546" s="21">
        <f t="shared" ref="H1546:H1609" ca="1" si="269">IF($I1545&lt;=$C1546,$C1546,$I1545)</f>
        <v>4654.9277399008943</v>
      </c>
      <c r="I1546" s="21">
        <f t="shared" ca="1" si="264"/>
        <v>4656.1580015708778</v>
      </c>
      <c r="J1546" s="20">
        <f t="shared" ca="1" si="262"/>
        <v>0</v>
      </c>
      <c r="K1546" s="20">
        <f t="shared" ca="1" si="265"/>
        <v>0</v>
      </c>
      <c r="L1546" s="44">
        <f t="shared" ref="L1546:L1609" ca="1" si="270">(J1546+K1546)/2</f>
        <v>0</v>
      </c>
    </row>
    <row r="1547" spans="1:12" x14ac:dyDescent="0.25">
      <c r="A1547" s="20">
        <v>1539</v>
      </c>
      <c r="B1547" s="21">
        <f t="shared" ca="1" si="266"/>
        <v>1.4241992280419342</v>
      </c>
      <c r="C1547" s="21">
        <f t="shared" ref="C1547:C1610" ca="1" si="271">$C1546+$B1547</f>
        <v>4656.3519391289365</v>
      </c>
      <c r="D1547" s="21">
        <f t="shared" ca="1" si="267"/>
        <v>0.39135455013420573</v>
      </c>
      <c r="E1547" s="21">
        <f t="shared" ca="1" si="263"/>
        <v>0</v>
      </c>
      <c r="F1547" s="20" t="str">
        <f t="shared" ref="F1547:F1610" ca="1" si="272">IF(E1547=0,"Yes","No")</f>
        <v>Yes</v>
      </c>
      <c r="G1547" s="21">
        <f t="shared" ca="1" si="268"/>
        <v>0.19393755805867841</v>
      </c>
      <c r="H1547" s="21">
        <f t="shared" ca="1" si="269"/>
        <v>4656.3519391289365</v>
      </c>
      <c r="I1547" s="21">
        <f t="shared" ca="1" si="264"/>
        <v>4656.743293679071</v>
      </c>
      <c r="J1547" s="20">
        <f t="shared" ref="J1547:J1610" ca="1" si="273">IF($I1546&lt;=$C1547,0,$K1546+1)</f>
        <v>0</v>
      </c>
      <c r="K1547" s="20">
        <f t="shared" ca="1" si="265"/>
        <v>0</v>
      </c>
      <c r="L1547" s="44">
        <f t="shared" ca="1" si="270"/>
        <v>0</v>
      </c>
    </row>
    <row r="1548" spans="1:12" x14ac:dyDescent="0.25">
      <c r="A1548" s="20">
        <v>1540</v>
      </c>
      <c r="B1548" s="21">
        <f t="shared" ca="1" si="266"/>
        <v>0.90619597750182412</v>
      </c>
      <c r="C1548" s="21">
        <f t="shared" ca="1" si="271"/>
        <v>4657.2581351064382</v>
      </c>
      <c r="D1548" s="21">
        <f t="shared" ca="1" si="267"/>
        <v>8.5722447606420218</v>
      </c>
      <c r="E1548" s="21">
        <f t="shared" ref="E1548:E1611" ca="1" si="274">IF($I1547&lt;=$C1548,0,$I1547-$C1548)</f>
        <v>0</v>
      </c>
      <c r="F1548" s="20" t="str">
        <f t="shared" ca="1" si="272"/>
        <v>Yes</v>
      </c>
      <c r="G1548" s="21">
        <f t="shared" ca="1" si="268"/>
        <v>0.51484142736717331</v>
      </c>
      <c r="H1548" s="21">
        <f t="shared" ca="1" si="269"/>
        <v>4657.2581351064382</v>
      </c>
      <c r="I1548" s="21">
        <f t="shared" ca="1" si="264"/>
        <v>4665.8303798670804</v>
      </c>
      <c r="J1548" s="20">
        <f t="shared" ca="1" si="273"/>
        <v>0</v>
      </c>
      <c r="K1548" s="20">
        <f t="shared" ca="1" si="265"/>
        <v>2</v>
      </c>
      <c r="L1548" s="44">
        <f t="shared" ca="1" si="270"/>
        <v>1</v>
      </c>
    </row>
    <row r="1549" spans="1:12" x14ac:dyDescent="0.25">
      <c r="A1549" s="20">
        <v>1541</v>
      </c>
      <c r="B1549" s="21">
        <f t="shared" ca="1" si="266"/>
        <v>1.375960597783759</v>
      </c>
      <c r="C1549" s="21">
        <f t="shared" ca="1" si="271"/>
        <v>4658.6340957042221</v>
      </c>
      <c r="D1549" s="21">
        <f t="shared" ca="1" si="267"/>
        <v>5.7301405468033959</v>
      </c>
      <c r="E1549" s="21">
        <f t="shared" ca="1" si="274"/>
        <v>7.1962841628583192</v>
      </c>
      <c r="F1549" s="20" t="str">
        <f t="shared" ca="1" si="272"/>
        <v>No</v>
      </c>
      <c r="G1549" s="21">
        <f t="shared" ca="1" si="268"/>
        <v>0</v>
      </c>
      <c r="H1549" s="21">
        <f t="shared" ca="1" si="269"/>
        <v>4665.8303798670804</v>
      </c>
      <c r="I1549" s="21">
        <f t="shared" ca="1" si="264"/>
        <v>4671.5605204138838</v>
      </c>
      <c r="J1549" s="20">
        <f t="shared" ca="1" si="273"/>
        <v>3</v>
      </c>
      <c r="K1549" s="20">
        <f t="shared" ca="1" si="265"/>
        <v>2</v>
      </c>
      <c r="L1549" s="44">
        <f t="shared" ca="1" si="270"/>
        <v>2.5</v>
      </c>
    </row>
    <row r="1550" spans="1:12" x14ac:dyDescent="0.25">
      <c r="A1550" s="20">
        <v>1542</v>
      </c>
      <c r="B1550" s="21">
        <f t="shared" ca="1" si="266"/>
        <v>0.28770003028248603</v>
      </c>
      <c r="C1550" s="21">
        <f t="shared" ca="1" si="271"/>
        <v>4658.9217957345045</v>
      </c>
      <c r="D1550" s="21">
        <f t="shared" ca="1" si="267"/>
        <v>0.2057441335438136</v>
      </c>
      <c r="E1550" s="21">
        <f t="shared" ca="1" si="274"/>
        <v>12.638724679379266</v>
      </c>
      <c r="F1550" s="20" t="str">
        <f t="shared" ca="1" si="272"/>
        <v>No</v>
      </c>
      <c r="G1550" s="21">
        <f t="shared" ca="1" si="268"/>
        <v>0</v>
      </c>
      <c r="H1550" s="21">
        <f t="shared" ca="1" si="269"/>
        <v>4671.5605204138838</v>
      </c>
      <c r="I1550" s="21">
        <f t="shared" ca="1" si="264"/>
        <v>4671.7662645474275</v>
      </c>
      <c r="J1550" s="20">
        <f t="shared" ca="1" si="273"/>
        <v>3</v>
      </c>
      <c r="K1550" s="20">
        <f t="shared" ca="1" si="265"/>
        <v>1</v>
      </c>
      <c r="L1550" s="44">
        <f t="shared" ca="1" si="270"/>
        <v>2</v>
      </c>
    </row>
    <row r="1551" spans="1:12" x14ac:dyDescent="0.25">
      <c r="A1551" s="20">
        <v>1543</v>
      </c>
      <c r="B1551" s="21">
        <f t="shared" ca="1" si="266"/>
        <v>9.1458117100279566</v>
      </c>
      <c r="C1551" s="21">
        <f t="shared" ca="1" si="271"/>
        <v>4668.0676074445328</v>
      </c>
      <c r="D1551" s="21">
        <f t="shared" ca="1" si="267"/>
        <v>0.40902991400476568</v>
      </c>
      <c r="E1551" s="21">
        <f t="shared" ca="1" si="274"/>
        <v>3.6986571028946855</v>
      </c>
      <c r="F1551" s="20" t="str">
        <f t="shared" ca="1" si="272"/>
        <v>No</v>
      </c>
      <c r="G1551" s="21">
        <f t="shared" ca="1" si="268"/>
        <v>0</v>
      </c>
      <c r="H1551" s="21">
        <f t="shared" ca="1" si="269"/>
        <v>4671.7662645474275</v>
      </c>
      <c r="I1551" s="21">
        <f t="shared" ca="1" si="264"/>
        <v>4672.1752944614318</v>
      </c>
      <c r="J1551" s="20">
        <f t="shared" ca="1" si="273"/>
        <v>2</v>
      </c>
      <c r="K1551" s="20">
        <f t="shared" ca="1" si="265"/>
        <v>0</v>
      </c>
      <c r="L1551" s="44">
        <f t="shared" ca="1" si="270"/>
        <v>1</v>
      </c>
    </row>
    <row r="1552" spans="1:12" x14ac:dyDescent="0.25">
      <c r="A1552" s="20">
        <v>1544</v>
      </c>
      <c r="B1552" s="21">
        <f t="shared" ca="1" si="266"/>
        <v>4.545274300575679</v>
      </c>
      <c r="C1552" s="21">
        <f t="shared" ca="1" si="271"/>
        <v>4672.6128817451081</v>
      </c>
      <c r="D1552" s="21">
        <f t="shared" ca="1" si="267"/>
        <v>1.3258501121609316</v>
      </c>
      <c r="E1552" s="21">
        <f t="shared" ca="1" si="274"/>
        <v>0</v>
      </c>
      <c r="F1552" s="20" t="str">
        <f t="shared" ca="1" si="272"/>
        <v>Yes</v>
      </c>
      <c r="G1552" s="21">
        <f t="shared" ca="1" si="268"/>
        <v>0.43758728367629374</v>
      </c>
      <c r="H1552" s="21">
        <f t="shared" ca="1" si="269"/>
        <v>4672.6128817451081</v>
      </c>
      <c r="I1552" s="21">
        <f t="shared" ca="1" si="264"/>
        <v>4673.938731857269</v>
      </c>
      <c r="J1552" s="20">
        <f t="shared" ca="1" si="273"/>
        <v>0</v>
      </c>
      <c r="K1552" s="20">
        <f t="shared" ca="1" si="265"/>
        <v>2</v>
      </c>
      <c r="L1552" s="44">
        <f t="shared" ca="1" si="270"/>
        <v>1</v>
      </c>
    </row>
    <row r="1553" spans="1:12" x14ac:dyDescent="0.25">
      <c r="A1553" s="20">
        <v>1545</v>
      </c>
      <c r="B1553" s="21">
        <f t="shared" ca="1" si="266"/>
        <v>0.68672736031389892</v>
      </c>
      <c r="C1553" s="21">
        <f t="shared" ca="1" si="271"/>
        <v>4673.299609105422</v>
      </c>
      <c r="D1553" s="21">
        <f t="shared" ca="1" si="267"/>
        <v>0.84006569536672926</v>
      </c>
      <c r="E1553" s="21">
        <f t="shared" ca="1" si="274"/>
        <v>0.63912275184702594</v>
      </c>
      <c r="F1553" s="20" t="str">
        <f t="shared" ca="1" si="272"/>
        <v>No</v>
      </c>
      <c r="G1553" s="21">
        <f t="shared" ca="1" si="268"/>
        <v>0</v>
      </c>
      <c r="H1553" s="21">
        <f t="shared" ca="1" si="269"/>
        <v>4673.938731857269</v>
      </c>
      <c r="I1553" s="21">
        <f t="shared" ca="1" si="264"/>
        <v>4674.7787975526353</v>
      </c>
      <c r="J1553" s="20">
        <f t="shared" ca="1" si="273"/>
        <v>3</v>
      </c>
      <c r="K1553" s="20">
        <f t="shared" ca="1" si="265"/>
        <v>1</v>
      </c>
      <c r="L1553" s="44">
        <f t="shared" ca="1" si="270"/>
        <v>2</v>
      </c>
    </row>
    <row r="1554" spans="1:12" x14ac:dyDescent="0.25">
      <c r="A1554" s="20">
        <v>1546</v>
      </c>
      <c r="B1554" s="21">
        <f t="shared" ca="1" si="266"/>
        <v>0.4362677635425023</v>
      </c>
      <c r="C1554" s="21">
        <f t="shared" ca="1" si="271"/>
        <v>4673.7358768689646</v>
      </c>
      <c r="D1554" s="21">
        <f t="shared" ca="1" si="267"/>
        <v>1.493598071001359</v>
      </c>
      <c r="E1554" s="21">
        <f t="shared" ca="1" si="274"/>
        <v>1.0429206836706726</v>
      </c>
      <c r="F1554" s="20" t="str">
        <f t="shared" ca="1" si="272"/>
        <v>No</v>
      </c>
      <c r="G1554" s="21">
        <f t="shared" ca="1" si="268"/>
        <v>0</v>
      </c>
      <c r="H1554" s="21">
        <f t="shared" ca="1" si="269"/>
        <v>4674.7787975526353</v>
      </c>
      <c r="I1554" s="21">
        <f t="shared" ca="1" si="264"/>
        <v>4676.2723956236368</v>
      </c>
      <c r="J1554" s="20">
        <f t="shared" ca="1" si="273"/>
        <v>2</v>
      </c>
      <c r="K1554" s="20">
        <f t="shared" ca="1" si="265"/>
        <v>0</v>
      </c>
      <c r="L1554" s="44">
        <f t="shared" ca="1" si="270"/>
        <v>1</v>
      </c>
    </row>
    <row r="1555" spans="1:12" x14ac:dyDescent="0.25">
      <c r="A1555" s="20">
        <v>1547</v>
      </c>
      <c r="B1555" s="21">
        <f t="shared" ca="1" si="266"/>
        <v>4.6505077282449454</v>
      </c>
      <c r="C1555" s="21">
        <f t="shared" ca="1" si="271"/>
        <v>4678.3863845972091</v>
      </c>
      <c r="D1555" s="21">
        <f t="shared" ca="1" si="267"/>
        <v>3.115063918266586</v>
      </c>
      <c r="E1555" s="21">
        <f t="shared" ca="1" si="274"/>
        <v>0</v>
      </c>
      <c r="F1555" s="20" t="str">
        <f t="shared" ca="1" si="272"/>
        <v>Yes</v>
      </c>
      <c r="G1555" s="21">
        <f t="shared" ca="1" si="268"/>
        <v>2.1139889735723045</v>
      </c>
      <c r="H1555" s="21">
        <f t="shared" ca="1" si="269"/>
        <v>4678.3863845972091</v>
      </c>
      <c r="I1555" s="21">
        <f t="shared" ca="1" si="264"/>
        <v>4681.5014485154761</v>
      </c>
      <c r="J1555" s="20">
        <f t="shared" ca="1" si="273"/>
        <v>0</v>
      </c>
      <c r="K1555" s="20">
        <f t="shared" ca="1" si="265"/>
        <v>2</v>
      </c>
      <c r="L1555" s="44">
        <f t="shared" ca="1" si="270"/>
        <v>1</v>
      </c>
    </row>
    <row r="1556" spans="1:12" x14ac:dyDescent="0.25">
      <c r="A1556" s="20">
        <v>1548</v>
      </c>
      <c r="B1556" s="21">
        <f t="shared" ca="1" si="266"/>
        <v>0.42182316980209295</v>
      </c>
      <c r="C1556" s="21">
        <f t="shared" ca="1" si="271"/>
        <v>4678.8082077670115</v>
      </c>
      <c r="D1556" s="21">
        <f t="shared" ca="1" si="267"/>
        <v>1.0925908473036088</v>
      </c>
      <c r="E1556" s="21">
        <f t="shared" ca="1" si="274"/>
        <v>2.6932407484646319</v>
      </c>
      <c r="F1556" s="20" t="str">
        <f t="shared" ca="1" si="272"/>
        <v>No</v>
      </c>
      <c r="G1556" s="21">
        <f t="shared" ca="1" si="268"/>
        <v>0</v>
      </c>
      <c r="H1556" s="21">
        <f t="shared" ca="1" si="269"/>
        <v>4681.5014485154761</v>
      </c>
      <c r="I1556" s="21">
        <f t="shared" ca="1" si="264"/>
        <v>4682.5940393627798</v>
      </c>
      <c r="J1556" s="20">
        <f t="shared" ca="1" si="273"/>
        <v>3</v>
      </c>
      <c r="K1556" s="20">
        <f t="shared" ca="1" si="265"/>
        <v>1</v>
      </c>
      <c r="L1556" s="44">
        <f t="shared" ca="1" si="270"/>
        <v>2</v>
      </c>
    </row>
    <row r="1557" spans="1:12" x14ac:dyDescent="0.25">
      <c r="A1557" s="20">
        <v>1549</v>
      </c>
      <c r="B1557" s="21">
        <f t="shared" ca="1" si="266"/>
        <v>0.90620219408038283</v>
      </c>
      <c r="C1557" s="21">
        <f t="shared" ca="1" si="271"/>
        <v>4679.7144099610923</v>
      </c>
      <c r="D1557" s="21">
        <f t="shared" ca="1" si="267"/>
        <v>1.0200525827757889</v>
      </c>
      <c r="E1557" s="21">
        <f t="shared" ca="1" si="274"/>
        <v>2.8796294016874526</v>
      </c>
      <c r="F1557" s="20" t="str">
        <f t="shared" ca="1" si="272"/>
        <v>No</v>
      </c>
      <c r="G1557" s="21">
        <f t="shared" ca="1" si="268"/>
        <v>0</v>
      </c>
      <c r="H1557" s="21">
        <f t="shared" ca="1" si="269"/>
        <v>4682.5940393627798</v>
      </c>
      <c r="I1557" s="21">
        <f t="shared" ca="1" si="264"/>
        <v>4683.6140919455556</v>
      </c>
      <c r="J1557" s="20">
        <f t="shared" ca="1" si="273"/>
        <v>2</v>
      </c>
      <c r="K1557" s="20">
        <f t="shared" ca="1" si="265"/>
        <v>2</v>
      </c>
      <c r="L1557" s="44">
        <f t="shared" ca="1" si="270"/>
        <v>2</v>
      </c>
    </row>
    <row r="1558" spans="1:12" x14ac:dyDescent="0.25">
      <c r="A1558" s="20">
        <v>1550</v>
      </c>
      <c r="B1558" s="21">
        <f t="shared" ca="1" si="266"/>
        <v>3.0184762379729708</v>
      </c>
      <c r="C1558" s="21">
        <f t="shared" ca="1" si="271"/>
        <v>4682.7328861990654</v>
      </c>
      <c r="D1558" s="21">
        <f t="shared" ca="1" si="267"/>
        <v>1.0706014453690633</v>
      </c>
      <c r="E1558" s="21">
        <f t="shared" ca="1" si="274"/>
        <v>0.88120574649019545</v>
      </c>
      <c r="F1558" s="20" t="str">
        <f t="shared" ca="1" si="272"/>
        <v>No</v>
      </c>
      <c r="G1558" s="21">
        <f t="shared" ca="1" si="268"/>
        <v>0</v>
      </c>
      <c r="H1558" s="21">
        <f t="shared" ca="1" si="269"/>
        <v>4683.6140919455556</v>
      </c>
      <c r="I1558" s="21">
        <f t="shared" ca="1" si="264"/>
        <v>4684.6846933909246</v>
      </c>
      <c r="J1558" s="20">
        <f t="shared" ca="1" si="273"/>
        <v>3</v>
      </c>
      <c r="K1558" s="20">
        <f t="shared" ca="1" si="265"/>
        <v>1</v>
      </c>
      <c r="L1558" s="44">
        <f t="shared" ca="1" si="270"/>
        <v>2</v>
      </c>
    </row>
    <row r="1559" spans="1:12" x14ac:dyDescent="0.25">
      <c r="A1559" s="20">
        <v>1551</v>
      </c>
      <c r="B1559" s="21">
        <f t="shared" ca="1" si="266"/>
        <v>0.2045425103610693</v>
      </c>
      <c r="C1559" s="21">
        <f t="shared" ca="1" si="271"/>
        <v>4682.9374287094261</v>
      </c>
      <c r="D1559" s="21">
        <f t="shared" ca="1" si="267"/>
        <v>0.61229897222392948</v>
      </c>
      <c r="E1559" s="21">
        <f t="shared" ca="1" si="274"/>
        <v>1.7472646814985637</v>
      </c>
      <c r="F1559" s="20" t="str">
        <f t="shared" ca="1" si="272"/>
        <v>No</v>
      </c>
      <c r="G1559" s="21">
        <f t="shared" ca="1" si="268"/>
        <v>0</v>
      </c>
      <c r="H1559" s="21">
        <f t="shared" ca="1" si="269"/>
        <v>4684.6846933909246</v>
      </c>
      <c r="I1559" s="21">
        <f t="shared" ca="1" si="264"/>
        <v>4685.296992363149</v>
      </c>
      <c r="J1559" s="20">
        <f t="shared" ca="1" si="273"/>
        <v>2</v>
      </c>
      <c r="K1559" s="20">
        <f t="shared" ca="1" si="265"/>
        <v>0</v>
      </c>
      <c r="L1559" s="44">
        <f t="shared" ca="1" si="270"/>
        <v>1</v>
      </c>
    </row>
    <row r="1560" spans="1:12" x14ac:dyDescent="0.25">
      <c r="A1560" s="20">
        <v>1552</v>
      </c>
      <c r="B1560" s="21">
        <f t="shared" ca="1" si="266"/>
        <v>2.7161237413661024</v>
      </c>
      <c r="C1560" s="21">
        <f t="shared" ca="1" si="271"/>
        <v>4685.6535524507917</v>
      </c>
      <c r="D1560" s="21">
        <f t="shared" ca="1" si="267"/>
        <v>5.1164173588187953</v>
      </c>
      <c r="E1560" s="21">
        <f t="shared" ca="1" si="274"/>
        <v>0</v>
      </c>
      <c r="F1560" s="20" t="str">
        <f t="shared" ca="1" si="272"/>
        <v>Yes</v>
      </c>
      <c r="G1560" s="21">
        <f t="shared" ca="1" si="268"/>
        <v>0.35656008764271974</v>
      </c>
      <c r="H1560" s="21">
        <f t="shared" ca="1" si="269"/>
        <v>4685.6535524507917</v>
      </c>
      <c r="I1560" s="21">
        <f t="shared" ca="1" si="264"/>
        <v>4690.7699698096103</v>
      </c>
      <c r="J1560" s="20">
        <f t="shared" ca="1" si="273"/>
        <v>0</v>
      </c>
      <c r="K1560" s="20">
        <f t="shared" ca="1" si="265"/>
        <v>1</v>
      </c>
      <c r="L1560" s="44">
        <f t="shared" ca="1" si="270"/>
        <v>0.5</v>
      </c>
    </row>
    <row r="1561" spans="1:12" x14ac:dyDescent="0.25">
      <c r="A1561" s="20">
        <v>1553</v>
      </c>
      <c r="B1561" s="21">
        <f t="shared" ca="1" si="266"/>
        <v>1.1719716868386245</v>
      </c>
      <c r="C1561" s="21">
        <f t="shared" ca="1" si="271"/>
        <v>4686.8255241376301</v>
      </c>
      <c r="D1561" s="21">
        <f t="shared" ca="1" si="267"/>
        <v>2.1224780921789299</v>
      </c>
      <c r="E1561" s="21">
        <f t="shared" ca="1" si="274"/>
        <v>3.9444456719802474</v>
      </c>
      <c r="F1561" s="20" t="str">
        <f t="shared" ca="1" si="272"/>
        <v>No</v>
      </c>
      <c r="G1561" s="21">
        <f t="shared" ca="1" si="268"/>
        <v>0</v>
      </c>
      <c r="H1561" s="21">
        <f t="shared" ca="1" si="269"/>
        <v>4690.7699698096103</v>
      </c>
      <c r="I1561" s="21">
        <f t="shared" ca="1" si="264"/>
        <v>4692.8924479017896</v>
      </c>
      <c r="J1561" s="20">
        <f t="shared" ca="1" si="273"/>
        <v>2</v>
      </c>
      <c r="K1561" s="20">
        <f t="shared" ca="1" si="265"/>
        <v>1</v>
      </c>
      <c r="L1561" s="44">
        <f t="shared" ca="1" si="270"/>
        <v>1.5</v>
      </c>
    </row>
    <row r="1562" spans="1:12" x14ac:dyDescent="0.25">
      <c r="A1562" s="20">
        <v>1554</v>
      </c>
      <c r="B1562" s="21">
        <f t="shared" ca="1" si="266"/>
        <v>5.0165886603787344</v>
      </c>
      <c r="C1562" s="21">
        <f t="shared" ca="1" si="271"/>
        <v>4691.8421127980091</v>
      </c>
      <c r="D1562" s="21">
        <f t="shared" ca="1" si="267"/>
        <v>0.39158476773875073</v>
      </c>
      <c r="E1562" s="21">
        <f t="shared" ca="1" si="274"/>
        <v>1.050335103780526</v>
      </c>
      <c r="F1562" s="20" t="str">
        <f t="shared" ca="1" si="272"/>
        <v>No</v>
      </c>
      <c r="G1562" s="21">
        <f t="shared" ca="1" si="268"/>
        <v>0</v>
      </c>
      <c r="H1562" s="21">
        <f t="shared" ca="1" si="269"/>
        <v>4692.8924479017896</v>
      </c>
      <c r="I1562" s="21">
        <f t="shared" ca="1" si="264"/>
        <v>4693.2840326695286</v>
      </c>
      <c r="J1562" s="20">
        <f t="shared" ca="1" si="273"/>
        <v>2</v>
      </c>
      <c r="K1562" s="20">
        <f t="shared" ca="1" si="265"/>
        <v>0</v>
      </c>
      <c r="L1562" s="44">
        <f t="shared" ca="1" si="270"/>
        <v>1</v>
      </c>
    </row>
    <row r="1563" spans="1:12" x14ac:dyDescent="0.25">
      <c r="A1563" s="20">
        <v>1555</v>
      </c>
      <c r="B1563" s="21">
        <f t="shared" ca="1" si="266"/>
        <v>2.3707610672293331</v>
      </c>
      <c r="C1563" s="21">
        <f t="shared" ca="1" si="271"/>
        <v>4694.2128738652382</v>
      </c>
      <c r="D1563" s="21">
        <f t="shared" ca="1" si="267"/>
        <v>0.34101868635108834</v>
      </c>
      <c r="E1563" s="21">
        <f t="shared" ca="1" si="274"/>
        <v>0</v>
      </c>
      <c r="F1563" s="20" t="str">
        <f t="shared" ca="1" si="272"/>
        <v>Yes</v>
      </c>
      <c r="G1563" s="21">
        <f t="shared" ca="1" si="268"/>
        <v>0.92884119570953771</v>
      </c>
      <c r="H1563" s="21">
        <f t="shared" ca="1" si="269"/>
        <v>4694.2128738652382</v>
      </c>
      <c r="I1563" s="21">
        <f t="shared" ca="1" si="264"/>
        <v>4694.5538925515893</v>
      </c>
      <c r="J1563" s="20">
        <f t="shared" ca="1" si="273"/>
        <v>0</v>
      </c>
      <c r="K1563" s="20">
        <f t="shared" ca="1" si="265"/>
        <v>0</v>
      </c>
      <c r="L1563" s="44">
        <f t="shared" ca="1" si="270"/>
        <v>0</v>
      </c>
    </row>
    <row r="1564" spans="1:12" x14ac:dyDescent="0.25">
      <c r="A1564" s="20">
        <v>1556</v>
      </c>
      <c r="B1564" s="21">
        <f t="shared" ca="1" si="266"/>
        <v>5.6453722256351266</v>
      </c>
      <c r="C1564" s="21">
        <f t="shared" ca="1" si="271"/>
        <v>4699.8582460908729</v>
      </c>
      <c r="D1564" s="21">
        <f t="shared" ca="1" si="267"/>
        <v>2.3135634975811112</v>
      </c>
      <c r="E1564" s="21">
        <f t="shared" ca="1" si="274"/>
        <v>0</v>
      </c>
      <c r="F1564" s="20" t="str">
        <f t="shared" ca="1" si="272"/>
        <v>Yes</v>
      </c>
      <c r="G1564" s="21">
        <f t="shared" ca="1" si="268"/>
        <v>5.3043535392835111</v>
      </c>
      <c r="H1564" s="21">
        <f t="shared" ca="1" si="269"/>
        <v>4699.8582460908729</v>
      </c>
      <c r="I1564" s="21">
        <f t="shared" ca="1" si="264"/>
        <v>4702.1718095884544</v>
      </c>
      <c r="J1564" s="20">
        <f t="shared" ca="1" si="273"/>
        <v>0</v>
      </c>
      <c r="K1564" s="20">
        <f t="shared" ca="1" si="265"/>
        <v>0</v>
      </c>
      <c r="L1564" s="44">
        <f t="shared" ca="1" si="270"/>
        <v>0</v>
      </c>
    </row>
    <row r="1565" spans="1:12" x14ac:dyDescent="0.25">
      <c r="A1565" s="20">
        <v>1557</v>
      </c>
      <c r="B1565" s="21">
        <f t="shared" ca="1" si="266"/>
        <v>4.6081053727389687</v>
      </c>
      <c r="C1565" s="21">
        <f t="shared" ca="1" si="271"/>
        <v>4704.4663514636122</v>
      </c>
      <c r="D1565" s="21">
        <f t="shared" ca="1" si="267"/>
        <v>2.2519732021419729</v>
      </c>
      <c r="E1565" s="21">
        <f t="shared" ca="1" si="274"/>
        <v>0</v>
      </c>
      <c r="F1565" s="20" t="str">
        <f t="shared" ca="1" si="272"/>
        <v>Yes</v>
      </c>
      <c r="G1565" s="21">
        <f t="shared" ca="1" si="268"/>
        <v>2.2945418751578472</v>
      </c>
      <c r="H1565" s="21">
        <f t="shared" ca="1" si="269"/>
        <v>4704.4663514636122</v>
      </c>
      <c r="I1565" s="21">
        <f t="shared" ca="1" si="264"/>
        <v>4706.7183246657542</v>
      </c>
      <c r="J1565" s="20">
        <f t="shared" ca="1" si="273"/>
        <v>0</v>
      </c>
      <c r="K1565" s="20">
        <f t="shared" ca="1" si="265"/>
        <v>1</v>
      </c>
      <c r="L1565" s="44">
        <f t="shared" ca="1" si="270"/>
        <v>0.5</v>
      </c>
    </row>
    <row r="1566" spans="1:12" x14ac:dyDescent="0.25">
      <c r="A1566" s="20">
        <v>1558</v>
      </c>
      <c r="B1566" s="21">
        <f t="shared" ca="1" si="266"/>
        <v>1.3388230114340438</v>
      </c>
      <c r="C1566" s="21">
        <f t="shared" ca="1" si="271"/>
        <v>4705.8051744750464</v>
      </c>
      <c r="D1566" s="21">
        <f t="shared" ca="1" si="267"/>
        <v>2.4247799568984663</v>
      </c>
      <c r="E1566" s="21">
        <f t="shared" ca="1" si="274"/>
        <v>0.91315019070771086</v>
      </c>
      <c r="F1566" s="20" t="str">
        <f t="shared" ca="1" si="272"/>
        <v>No</v>
      </c>
      <c r="G1566" s="21">
        <f t="shared" ca="1" si="268"/>
        <v>0</v>
      </c>
      <c r="H1566" s="21">
        <f t="shared" ca="1" si="269"/>
        <v>4706.7183246657542</v>
      </c>
      <c r="I1566" s="21">
        <f t="shared" ca="1" si="264"/>
        <v>4709.1431046226526</v>
      </c>
      <c r="J1566" s="20">
        <f t="shared" ca="1" si="273"/>
        <v>2</v>
      </c>
      <c r="K1566" s="20">
        <f t="shared" ca="1" si="265"/>
        <v>0</v>
      </c>
      <c r="L1566" s="44">
        <f t="shared" ca="1" si="270"/>
        <v>1</v>
      </c>
    </row>
    <row r="1567" spans="1:12" x14ac:dyDescent="0.25">
      <c r="A1567" s="20">
        <v>1559</v>
      </c>
      <c r="B1567" s="21">
        <f t="shared" ca="1" si="266"/>
        <v>4.8289738954573966</v>
      </c>
      <c r="C1567" s="21">
        <f t="shared" ca="1" si="271"/>
        <v>4710.6341483705037</v>
      </c>
      <c r="D1567" s="21">
        <f t="shared" ca="1" si="267"/>
        <v>1.2629010971510284</v>
      </c>
      <c r="E1567" s="21">
        <f t="shared" ca="1" si="274"/>
        <v>0</v>
      </c>
      <c r="F1567" s="20" t="str">
        <f t="shared" ca="1" si="272"/>
        <v>Yes</v>
      </c>
      <c r="G1567" s="21">
        <f t="shared" ca="1" si="268"/>
        <v>1.4910437478511085</v>
      </c>
      <c r="H1567" s="21">
        <f t="shared" ca="1" si="269"/>
        <v>4710.6341483705037</v>
      </c>
      <c r="I1567" s="21">
        <f t="shared" ca="1" si="264"/>
        <v>4711.8970494676551</v>
      </c>
      <c r="J1567" s="20">
        <f t="shared" ca="1" si="273"/>
        <v>0</v>
      </c>
      <c r="K1567" s="20">
        <f t="shared" ca="1" si="265"/>
        <v>1</v>
      </c>
      <c r="L1567" s="44">
        <f t="shared" ca="1" si="270"/>
        <v>0.5</v>
      </c>
    </row>
    <row r="1568" spans="1:12" x14ac:dyDescent="0.25">
      <c r="A1568" s="20">
        <v>1560</v>
      </c>
      <c r="B1568" s="21">
        <f t="shared" ca="1" si="266"/>
        <v>1.1221125283239415</v>
      </c>
      <c r="C1568" s="21">
        <f t="shared" ca="1" si="271"/>
        <v>4711.7562608988273</v>
      </c>
      <c r="D1568" s="21">
        <f t="shared" ca="1" si="267"/>
        <v>2.4560131125369682</v>
      </c>
      <c r="E1568" s="21">
        <f t="shared" ca="1" si="274"/>
        <v>0.14078856882770197</v>
      </c>
      <c r="F1568" s="20" t="str">
        <f t="shared" ca="1" si="272"/>
        <v>No</v>
      </c>
      <c r="G1568" s="21">
        <f t="shared" ca="1" si="268"/>
        <v>0</v>
      </c>
      <c r="H1568" s="21">
        <f t="shared" ca="1" si="269"/>
        <v>4711.8970494676551</v>
      </c>
      <c r="I1568" s="21">
        <f t="shared" ca="1" si="264"/>
        <v>4714.3530625801923</v>
      </c>
      <c r="J1568" s="20">
        <f t="shared" ca="1" si="273"/>
        <v>2</v>
      </c>
      <c r="K1568" s="20">
        <f t="shared" ca="1" si="265"/>
        <v>0</v>
      </c>
      <c r="L1568" s="44">
        <f t="shared" ca="1" si="270"/>
        <v>1</v>
      </c>
    </row>
    <row r="1569" spans="1:12" x14ac:dyDescent="0.25">
      <c r="A1569" s="20">
        <v>1561</v>
      </c>
      <c r="B1569" s="21">
        <f t="shared" ca="1" si="266"/>
        <v>6.2117071994203297</v>
      </c>
      <c r="C1569" s="21">
        <f t="shared" ca="1" si="271"/>
        <v>4717.9679680982481</v>
      </c>
      <c r="D1569" s="21">
        <f t="shared" ca="1" si="267"/>
        <v>0.14323662139846879</v>
      </c>
      <c r="E1569" s="21">
        <f t="shared" ca="1" si="274"/>
        <v>0</v>
      </c>
      <c r="F1569" s="20" t="str">
        <f t="shared" ca="1" si="272"/>
        <v>Yes</v>
      </c>
      <c r="G1569" s="21">
        <f t="shared" ca="1" si="268"/>
        <v>3.6149055180558207</v>
      </c>
      <c r="H1569" s="21">
        <f t="shared" ca="1" si="269"/>
        <v>4717.9679680982481</v>
      </c>
      <c r="I1569" s="21">
        <f t="shared" ca="1" si="264"/>
        <v>4718.1112047196466</v>
      </c>
      <c r="J1569" s="20">
        <f t="shared" ca="1" si="273"/>
        <v>0</v>
      </c>
      <c r="K1569" s="20">
        <f t="shared" ca="1" si="265"/>
        <v>0</v>
      </c>
      <c r="L1569" s="44">
        <f t="shared" ca="1" si="270"/>
        <v>0</v>
      </c>
    </row>
    <row r="1570" spans="1:12" x14ac:dyDescent="0.25">
      <c r="A1570" s="20">
        <v>1562</v>
      </c>
      <c r="B1570" s="21">
        <f t="shared" ca="1" si="266"/>
        <v>1.5315411774176053</v>
      </c>
      <c r="C1570" s="21">
        <f t="shared" ca="1" si="271"/>
        <v>4719.4995092756653</v>
      </c>
      <c r="D1570" s="21">
        <f t="shared" ca="1" si="267"/>
        <v>3.9779985537998832</v>
      </c>
      <c r="E1570" s="21">
        <f t="shared" ca="1" si="274"/>
        <v>0</v>
      </c>
      <c r="F1570" s="20" t="str">
        <f t="shared" ca="1" si="272"/>
        <v>Yes</v>
      </c>
      <c r="G1570" s="21">
        <f t="shared" ca="1" si="268"/>
        <v>1.3883045560187384</v>
      </c>
      <c r="H1570" s="21">
        <f t="shared" ca="1" si="269"/>
        <v>4719.4995092756653</v>
      </c>
      <c r="I1570" s="21">
        <f t="shared" ca="1" si="264"/>
        <v>4723.4775078294651</v>
      </c>
      <c r="J1570" s="20">
        <f t="shared" ca="1" si="273"/>
        <v>0</v>
      </c>
      <c r="K1570" s="20">
        <f t="shared" ca="1" si="265"/>
        <v>0</v>
      </c>
      <c r="L1570" s="44">
        <f t="shared" ca="1" si="270"/>
        <v>0</v>
      </c>
    </row>
    <row r="1571" spans="1:12" x14ac:dyDescent="0.25">
      <c r="A1571" s="20">
        <v>1563</v>
      </c>
      <c r="B1571" s="21">
        <f t="shared" ca="1" si="266"/>
        <v>7.0693779113630191</v>
      </c>
      <c r="C1571" s="21">
        <f t="shared" ca="1" si="271"/>
        <v>4726.5688871870279</v>
      </c>
      <c r="D1571" s="21">
        <f t="shared" ca="1" si="267"/>
        <v>0.34660868345675228</v>
      </c>
      <c r="E1571" s="21">
        <f t="shared" ca="1" si="274"/>
        <v>0</v>
      </c>
      <c r="F1571" s="20" t="str">
        <f t="shared" ca="1" si="272"/>
        <v>Yes</v>
      </c>
      <c r="G1571" s="21">
        <f t="shared" ca="1" si="268"/>
        <v>3.0913793575628006</v>
      </c>
      <c r="H1571" s="21">
        <f t="shared" ca="1" si="269"/>
        <v>4726.5688871870279</v>
      </c>
      <c r="I1571" s="21">
        <f t="shared" ca="1" si="264"/>
        <v>4726.9154958704848</v>
      </c>
      <c r="J1571" s="20">
        <f t="shared" ca="1" si="273"/>
        <v>0</v>
      </c>
      <c r="K1571" s="20">
        <f t="shared" ca="1" si="265"/>
        <v>0</v>
      </c>
      <c r="L1571" s="44">
        <f t="shared" ca="1" si="270"/>
        <v>0</v>
      </c>
    </row>
    <row r="1572" spans="1:12" x14ac:dyDescent="0.25">
      <c r="A1572" s="20">
        <v>1564</v>
      </c>
      <c r="B1572" s="21">
        <f t="shared" ca="1" si="266"/>
        <v>6.5516375163342895</v>
      </c>
      <c r="C1572" s="21">
        <f t="shared" ca="1" si="271"/>
        <v>4733.1205247033622</v>
      </c>
      <c r="D1572" s="21">
        <f t="shared" ca="1" si="267"/>
        <v>0.81895104903701177</v>
      </c>
      <c r="E1572" s="21">
        <f t="shared" ca="1" si="274"/>
        <v>0</v>
      </c>
      <c r="F1572" s="20" t="str">
        <f t="shared" ca="1" si="272"/>
        <v>Yes</v>
      </c>
      <c r="G1572" s="21">
        <f t="shared" ca="1" si="268"/>
        <v>6.2050288328773604</v>
      </c>
      <c r="H1572" s="21">
        <f t="shared" ca="1" si="269"/>
        <v>4733.1205247033622</v>
      </c>
      <c r="I1572" s="21">
        <f t="shared" ca="1" si="264"/>
        <v>4733.9394757523996</v>
      </c>
      <c r="J1572" s="20">
        <f t="shared" ca="1" si="273"/>
        <v>0</v>
      </c>
      <c r="K1572" s="20">
        <f t="shared" ca="1" si="265"/>
        <v>0</v>
      </c>
      <c r="L1572" s="44">
        <f t="shared" ca="1" si="270"/>
        <v>0</v>
      </c>
    </row>
    <row r="1573" spans="1:12" x14ac:dyDescent="0.25">
      <c r="A1573" s="20">
        <v>1565</v>
      </c>
      <c r="B1573" s="21">
        <f t="shared" ca="1" si="266"/>
        <v>2.7911970341340204</v>
      </c>
      <c r="C1573" s="21">
        <f t="shared" ca="1" si="271"/>
        <v>4735.911721737496</v>
      </c>
      <c r="D1573" s="21">
        <f t="shared" ca="1" si="267"/>
        <v>0.39410805591999848</v>
      </c>
      <c r="E1573" s="21">
        <f t="shared" ca="1" si="274"/>
        <v>0</v>
      </c>
      <c r="F1573" s="20" t="str">
        <f t="shared" ca="1" si="272"/>
        <v>Yes</v>
      </c>
      <c r="G1573" s="21">
        <f t="shared" ca="1" si="268"/>
        <v>1.9722459850963787</v>
      </c>
      <c r="H1573" s="21">
        <f t="shared" ca="1" si="269"/>
        <v>4735.911721737496</v>
      </c>
      <c r="I1573" s="21">
        <f t="shared" ca="1" si="264"/>
        <v>4736.3058297934158</v>
      </c>
      <c r="J1573" s="20">
        <f t="shared" ca="1" si="273"/>
        <v>0</v>
      </c>
      <c r="K1573" s="20">
        <f t="shared" ca="1" si="265"/>
        <v>0</v>
      </c>
      <c r="L1573" s="44">
        <f t="shared" ca="1" si="270"/>
        <v>0</v>
      </c>
    </row>
    <row r="1574" spans="1:12" x14ac:dyDescent="0.25">
      <c r="A1574" s="20">
        <v>1566</v>
      </c>
      <c r="B1574" s="21">
        <f t="shared" ca="1" si="266"/>
        <v>0.49682212305876083</v>
      </c>
      <c r="C1574" s="21">
        <f t="shared" ca="1" si="271"/>
        <v>4736.4085438605543</v>
      </c>
      <c r="D1574" s="21">
        <f t="shared" ca="1" si="267"/>
        <v>0.95185882586544479</v>
      </c>
      <c r="E1574" s="21">
        <f t="shared" ca="1" si="274"/>
        <v>0</v>
      </c>
      <c r="F1574" s="20" t="str">
        <f t="shared" ca="1" si="272"/>
        <v>Yes</v>
      </c>
      <c r="G1574" s="21">
        <f t="shared" ca="1" si="268"/>
        <v>0.10271406713854958</v>
      </c>
      <c r="H1574" s="21">
        <f t="shared" ca="1" si="269"/>
        <v>4736.4085438605543</v>
      </c>
      <c r="I1574" s="21">
        <f t="shared" ca="1" si="264"/>
        <v>4737.3604026864195</v>
      </c>
      <c r="J1574" s="20">
        <f t="shared" ca="1" si="273"/>
        <v>0</v>
      </c>
      <c r="K1574" s="20">
        <f t="shared" ca="1" si="265"/>
        <v>0</v>
      </c>
      <c r="L1574" s="44">
        <f t="shared" ca="1" si="270"/>
        <v>0</v>
      </c>
    </row>
    <row r="1575" spans="1:12" x14ac:dyDescent="0.25">
      <c r="A1575" s="20">
        <v>1567</v>
      </c>
      <c r="B1575" s="21">
        <f t="shared" ca="1" si="266"/>
        <v>3.4860045282424381</v>
      </c>
      <c r="C1575" s="21">
        <f t="shared" ca="1" si="271"/>
        <v>4739.8945483887965</v>
      </c>
      <c r="D1575" s="21">
        <f t="shared" ca="1" si="267"/>
        <v>0.66451426182862883</v>
      </c>
      <c r="E1575" s="21">
        <f t="shared" ca="1" si="274"/>
        <v>0</v>
      </c>
      <c r="F1575" s="20" t="str">
        <f t="shared" ca="1" si="272"/>
        <v>Yes</v>
      </c>
      <c r="G1575" s="21">
        <f t="shared" ca="1" si="268"/>
        <v>2.5341457023769181</v>
      </c>
      <c r="H1575" s="21">
        <f t="shared" ca="1" si="269"/>
        <v>4739.8945483887965</v>
      </c>
      <c r="I1575" s="21">
        <f t="shared" ca="1" si="264"/>
        <v>4740.5590626506255</v>
      </c>
      <c r="J1575" s="20">
        <f t="shared" ca="1" si="273"/>
        <v>0</v>
      </c>
      <c r="K1575" s="20">
        <f t="shared" ca="1" si="265"/>
        <v>0</v>
      </c>
      <c r="L1575" s="44">
        <f t="shared" ca="1" si="270"/>
        <v>0</v>
      </c>
    </row>
    <row r="1576" spans="1:12" x14ac:dyDescent="0.25">
      <c r="A1576" s="20">
        <v>1568</v>
      </c>
      <c r="B1576" s="21">
        <f t="shared" ca="1" si="266"/>
        <v>3.669895313043237</v>
      </c>
      <c r="C1576" s="21">
        <f t="shared" ca="1" si="271"/>
        <v>4743.56444370184</v>
      </c>
      <c r="D1576" s="21">
        <f t="shared" ca="1" si="267"/>
        <v>2.5203452478281307</v>
      </c>
      <c r="E1576" s="21">
        <f t="shared" ca="1" si="274"/>
        <v>0</v>
      </c>
      <c r="F1576" s="20" t="str">
        <f t="shared" ca="1" si="272"/>
        <v>Yes</v>
      </c>
      <c r="G1576" s="21">
        <f t="shared" ca="1" si="268"/>
        <v>3.0053810512144992</v>
      </c>
      <c r="H1576" s="21">
        <f t="shared" ca="1" si="269"/>
        <v>4743.56444370184</v>
      </c>
      <c r="I1576" s="21">
        <f t="shared" ca="1" si="264"/>
        <v>4746.0847889496681</v>
      </c>
      <c r="J1576" s="20">
        <f t="shared" ca="1" si="273"/>
        <v>0</v>
      </c>
      <c r="K1576" s="20">
        <f t="shared" ca="1" si="265"/>
        <v>1</v>
      </c>
      <c r="L1576" s="44">
        <f t="shared" ca="1" si="270"/>
        <v>0.5</v>
      </c>
    </row>
    <row r="1577" spans="1:12" x14ac:dyDescent="0.25">
      <c r="A1577" s="20">
        <v>1569</v>
      </c>
      <c r="B1577" s="21">
        <f t="shared" ca="1" si="266"/>
        <v>1.6137376050704537</v>
      </c>
      <c r="C1577" s="21">
        <f t="shared" ca="1" si="271"/>
        <v>4745.1781813069101</v>
      </c>
      <c r="D1577" s="21">
        <f t="shared" ca="1" si="267"/>
        <v>4.7381657719077648</v>
      </c>
      <c r="E1577" s="21">
        <f t="shared" ca="1" si="274"/>
        <v>0.90660764275799011</v>
      </c>
      <c r="F1577" s="20" t="str">
        <f t="shared" ca="1" si="272"/>
        <v>No</v>
      </c>
      <c r="G1577" s="21">
        <f t="shared" ca="1" si="268"/>
        <v>0</v>
      </c>
      <c r="H1577" s="21">
        <f t="shared" ca="1" si="269"/>
        <v>4746.0847889496681</v>
      </c>
      <c r="I1577" s="21">
        <f t="shared" ca="1" si="264"/>
        <v>4750.822954721576</v>
      </c>
      <c r="J1577" s="20">
        <f t="shared" ca="1" si="273"/>
        <v>2</v>
      </c>
      <c r="K1577" s="20">
        <f t="shared" ca="1" si="265"/>
        <v>3</v>
      </c>
      <c r="L1577" s="44">
        <f t="shared" ca="1" si="270"/>
        <v>2.5</v>
      </c>
    </row>
    <row r="1578" spans="1:12" x14ac:dyDescent="0.25">
      <c r="A1578" s="20">
        <v>1570</v>
      </c>
      <c r="B1578" s="21">
        <f t="shared" ca="1" si="266"/>
        <v>3.6141391078921612</v>
      </c>
      <c r="C1578" s="21">
        <f t="shared" ca="1" si="271"/>
        <v>4748.7923204148019</v>
      </c>
      <c r="D1578" s="21">
        <f t="shared" ca="1" si="267"/>
        <v>6.7158273539194857</v>
      </c>
      <c r="E1578" s="21">
        <f t="shared" ca="1" si="274"/>
        <v>2.0306343067741182</v>
      </c>
      <c r="F1578" s="20" t="str">
        <f t="shared" ca="1" si="272"/>
        <v>No</v>
      </c>
      <c r="G1578" s="21">
        <f t="shared" ca="1" si="268"/>
        <v>0</v>
      </c>
      <c r="H1578" s="21">
        <f t="shared" ca="1" si="269"/>
        <v>4750.822954721576</v>
      </c>
      <c r="I1578" s="21">
        <f t="shared" ca="1" si="264"/>
        <v>4757.5387820754959</v>
      </c>
      <c r="J1578" s="20">
        <f t="shared" ca="1" si="273"/>
        <v>4</v>
      </c>
      <c r="K1578" s="20">
        <f t="shared" ca="1" si="265"/>
        <v>2</v>
      </c>
      <c r="L1578" s="44">
        <f t="shared" ca="1" si="270"/>
        <v>3</v>
      </c>
    </row>
    <row r="1579" spans="1:12" x14ac:dyDescent="0.25">
      <c r="A1579" s="20">
        <v>1571</v>
      </c>
      <c r="B1579" s="21">
        <f t="shared" ca="1" si="266"/>
        <v>9.0372389069486081E-2</v>
      </c>
      <c r="C1579" s="21">
        <f t="shared" ca="1" si="271"/>
        <v>4748.8826928038716</v>
      </c>
      <c r="D1579" s="21">
        <f t="shared" ca="1" si="267"/>
        <v>1.0133058795632082</v>
      </c>
      <c r="E1579" s="21">
        <f t="shared" ca="1" si="274"/>
        <v>8.6560892716242961</v>
      </c>
      <c r="F1579" s="20" t="str">
        <f t="shared" ca="1" si="272"/>
        <v>No</v>
      </c>
      <c r="G1579" s="21">
        <f t="shared" ca="1" si="268"/>
        <v>0</v>
      </c>
      <c r="H1579" s="21">
        <f t="shared" ca="1" si="269"/>
        <v>4757.5387820754959</v>
      </c>
      <c r="I1579" s="21">
        <f t="shared" ca="1" si="264"/>
        <v>4758.5520879550595</v>
      </c>
      <c r="J1579" s="20">
        <f t="shared" ca="1" si="273"/>
        <v>3</v>
      </c>
      <c r="K1579" s="20">
        <f t="shared" ca="1" si="265"/>
        <v>1</v>
      </c>
      <c r="L1579" s="44">
        <f t="shared" ca="1" si="270"/>
        <v>2</v>
      </c>
    </row>
    <row r="1580" spans="1:12" x14ac:dyDescent="0.25">
      <c r="A1580" s="20">
        <v>1572</v>
      </c>
      <c r="B1580" s="21">
        <f t="shared" ca="1" si="266"/>
        <v>0.42186183217506507</v>
      </c>
      <c r="C1580" s="21">
        <f t="shared" ca="1" si="271"/>
        <v>4749.3045546360463</v>
      </c>
      <c r="D1580" s="21">
        <f t="shared" ca="1" si="267"/>
        <v>1.6182309806124946</v>
      </c>
      <c r="E1580" s="21">
        <f t="shared" ca="1" si="274"/>
        <v>9.2475333190132005</v>
      </c>
      <c r="F1580" s="20" t="str">
        <f t="shared" ca="1" si="272"/>
        <v>No</v>
      </c>
      <c r="G1580" s="21">
        <f t="shared" ca="1" si="268"/>
        <v>0</v>
      </c>
      <c r="H1580" s="21">
        <f t="shared" ca="1" si="269"/>
        <v>4758.5520879550595</v>
      </c>
      <c r="I1580" s="21">
        <f t="shared" ca="1" si="264"/>
        <v>4760.1703189356722</v>
      </c>
      <c r="J1580" s="20">
        <f t="shared" ca="1" si="273"/>
        <v>2</v>
      </c>
      <c r="K1580" s="20">
        <f t="shared" ca="1" si="265"/>
        <v>1</v>
      </c>
      <c r="L1580" s="44">
        <f t="shared" ca="1" si="270"/>
        <v>1.5</v>
      </c>
    </row>
    <row r="1581" spans="1:12" x14ac:dyDescent="0.25">
      <c r="A1581" s="20">
        <v>1573</v>
      </c>
      <c r="B1581" s="21">
        <f t="shared" ca="1" si="266"/>
        <v>9.7254440703782752</v>
      </c>
      <c r="C1581" s="21">
        <f t="shared" ca="1" si="271"/>
        <v>4759.0299987064245</v>
      </c>
      <c r="D1581" s="21">
        <f t="shared" ca="1" si="267"/>
        <v>5.1933698319252297</v>
      </c>
      <c r="E1581" s="21">
        <f t="shared" ca="1" si="274"/>
        <v>1.1403202292476635</v>
      </c>
      <c r="F1581" s="20" t="str">
        <f t="shared" ca="1" si="272"/>
        <v>No</v>
      </c>
      <c r="G1581" s="21">
        <f t="shared" ca="1" si="268"/>
        <v>0</v>
      </c>
      <c r="H1581" s="21">
        <f t="shared" ca="1" si="269"/>
        <v>4760.1703189356722</v>
      </c>
      <c r="I1581" s="21">
        <f t="shared" ca="1" si="264"/>
        <v>4765.3636887675975</v>
      </c>
      <c r="J1581" s="20">
        <f t="shared" ca="1" si="273"/>
        <v>2</v>
      </c>
      <c r="K1581" s="20">
        <f t="shared" ca="1" si="265"/>
        <v>0</v>
      </c>
      <c r="L1581" s="44">
        <f t="shared" ca="1" si="270"/>
        <v>1</v>
      </c>
    </row>
    <row r="1582" spans="1:12" x14ac:dyDescent="0.25">
      <c r="A1582" s="20">
        <v>1574</v>
      </c>
      <c r="B1582" s="21">
        <f t="shared" ca="1" si="266"/>
        <v>9.4175597620805576</v>
      </c>
      <c r="C1582" s="21">
        <f t="shared" ca="1" si="271"/>
        <v>4768.4475584685051</v>
      </c>
      <c r="D1582" s="21">
        <f t="shared" ca="1" si="267"/>
        <v>1.0805252129067331</v>
      </c>
      <c r="E1582" s="21">
        <f t="shared" ca="1" si="274"/>
        <v>0</v>
      </c>
      <c r="F1582" s="20" t="str">
        <f t="shared" ca="1" si="272"/>
        <v>Yes</v>
      </c>
      <c r="G1582" s="21">
        <f t="shared" ca="1" si="268"/>
        <v>3.0838697009075986</v>
      </c>
      <c r="H1582" s="21">
        <f t="shared" ca="1" si="269"/>
        <v>4768.4475584685051</v>
      </c>
      <c r="I1582" s="21">
        <f t="shared" ca="1" si="264"/>
        <v>4769.5280836814118</v>
      </c>
      <c r="J1582" s="20">
        <f t="shared" ca="1" si="273"/>
        <v>0</v>
      </c>
      <c r="K1582" s="20">
        <f t="shared" ca="1" si="265"/>
        <v>1</v>
      </c>
      <c r="L1582" s="44">
        <f t="shared" ca="1" si="270"/>
        <v>0.5</v>
      </c>
    </row>
    <row r="1583" spans="1:12" x14ac:dyDescent="0.25">
      <c r="A1583" s="20">
        <v>1575</v>
      </c>
      <c r="B1583" s="21">
        <f t="shared" ca="1" si="266"/>
        <v>0.6289786729860064</v>
      </c>
      <c r="C1583" s="21">
        <f t="shared" ca="1" si="271"/>
        <v>4769.0765371414909</v>
      </c>
      <c r="D1583" s="21">
        <f t="shared" ca="1" si="267"/>
        <v>2.039239996771844</v>
      </c>
      <c r="E1583" s="21">
        <f t="shared" ca="1" si="274"/>
        <v>0.45154653992085514</v>
      </c>
      <c r="F1583" s="20" t="str">
        <f t="shared" ca="1" si="272"/>
        <v>No</v>
      </c>
      <c r="G1583" s="21">
        <f t="shared" ca="1" si="268"/>
        <v>0</v>
      </c>
      <c r="H1583" s="21">
        <f t="shared" ca="1" si="269"/>
        <v>4769.5280836814118</v>
      </c>
      <c r="I1583" s="21">
        <f t="shared" ca="1" si="264"/>
        <v>4771.567323678184</v>
      </c>
      <c r="J1583" s="20">
        <f t="shared" ca="1" si="273"/>
        <v>2</v>
      </c>
      <c r="K1583" s="20">
        <f t="shared" ca="1" si="265"/>
        <v>1</v>
      </c>
      <c r="L1583" s="44">
        <f t="shared" ca="1" si="270"/>
        <v>1.5</v>
      </c>
    </row>
    <row r="1584" spans="1:12" x14ac:dyDescent="0.25">
      <c r="A1584" s="20">
        <v>1576</v>
      </c>
      <c r="B1584" s="21">
        <f t="shared" ca="1" si="266"/>
        <v>2.4485611431227561</v>
      </c>
      <c r="C1584" s="21">
        <f t="shared" ca="1" si="271"/>
        <v>4771.5250982846137</v>
      </c>
      <c r="D1584" s="21">
        <f t="shared" ca="1" si="267"/>
        <v>4.9190416117568976</v>
      </c>
      <c r="E1584" s="21">
        <f t="shared" ca="1" si="274"/>
        <v>4.2225393570333836E-2</v>
      </c>
      <c r="F1584" s="20" t="str">
        <f t="shared" ca="1" si="272"/>
        <v>No</v>
      </c>
      <c r="G1584" s="21">
        <f t="shared" ca="1" si="268"/>
        <v>0</v>
      </c>
      <c r="H1584" s="21">
        <f t="shared" ca="1" si="269"/>
        <v>4771.567323678184</v>
      </c>
      <c r="I1584" s="21">
        <f t="shared" ca="1" si="264"/>
        <v>4776.4863652899412</v>
      </c>
      <c r="J1584" s="20">
        <f t="shared" ca="1" si="273"/>
        <v>2</v>
      </c>
      <c r="K1584" s="20">
        <f t="shared" ca="1" si="265"/>
        <v>0</v>
      </c>
      <c r="L1584" s="44">
        <f t="shared" ca="1" si="270"/>
        <v>1</v>
      </c>
    </row>
    <row r="1585" spans="1:12" x14ac:dyDescent="0.25">
      <c r="A1585" s="20">
        <v>1577</v>
      </c>
      <c r="B1585" s="21">
        <f t="shared" ca="1" si="266"/>
        <v>10.821005855019342</v>
      </c>
      <c r="C1585" s="21">
        <f t="shared" ca="1" si="271"/>
        <v>4782.3461041396331</v>
      </c>
      <c r="D1585" s="21">
        <f t="shared" ca="1" si="267"/>
        <v>1.5685342329761338</v>
      </c>
      <c r="E1585" s="21">
        <f t="shared" ca="1" si="274"/>
        <v>0</v>
      </c>
      <c r="F1585" s="20" t="str">
        <f t="shared" ca="1" si="272"/>
        <v>Yes</v>
      </c>
      <c r="G1585" s="21">
        <f t="shared" ca="1" si="268"/>
        <v>5.8597388496918938</v>
      </c>
      <c r="H1585" s="21">
        <f t="shared" ca="1" si="269"/>
        <v>4782.3461041396331</v>
      </c>
      <c r="I1585" s="21">
        <f t="shared" ca="1" si="264"/>
        <v>4783.9146383726093</v>
      </c>
      <c r="J1585" s="20">
        <f t="shared" ca="1" si="273"/>
        <v>0</v>
      </c>
      <c r="K1585" s="20">
        <f t="shared" ca="1" si="265"/>
        <v>0</v>
      </c>
      <c r="L1585" s="44">
        <f t="shared" ca="1" si="270"/>
        <v>0</v>
      </c>
    </row>
    <row r="1586" spans="1:12" x14ac:dyDescent="0.25">
      <c r="A1586" s="20">
        <v>1578</v>
      </c>
      <c r="B1586" s="21">
        <f t="shared" ca="1" si="266"/>
        <v>6.1322713642684308</v>
      </c>
      <c r="C1586" s="21">
        <f t="shared" ca="1" si="271"/>
        <v>4788.4783755039016</v>
      </c>
      <c r="D1586" s="21">
        <f t="shared" ca="1" si="267"/>
        <v>0.18275596548041279</v>
      </c>
      <c r="E1586" s="21">
        <f t="shared" ca="1" si="274"/>
        <v>0</v>
      </c>
      <c r="F1586" s="20" t="str">
        <f t="shared" ca="1" si="272"/>
        <v>Yes</v>
      </c>
      <c r="G1586" s="21">
        <f t="shared" ca="1" si="268"/>
        <v>4.5637371312923278</v>
      </c>
      <c r="H1586" s="21">
        <f t="shared" ca="1" si="269"/>
        <v>4788.4783755039016</v>
      </c>
      <c r="I1586" s="21">
        <f t="shared" ca="1" si="264"/>
        <v>4788.6611314693819</v>
      </c>
      <c r="J1586" s="20">
        <f t="shared" ca="1" si="273"/>
        <v>0</v>
      </c>
      <c r="K1586" s="20">
        <f t="shared" ca="1" si="265"/>
        <v>0</v>
      </c>
      <c r="L1586" s="44">
        <f t="shared" ca="1" si="270"/>
        <v>0</v>
      </c>
    </row>
    <row r="1587" spans="1:12" x14ac:dyDescent="0.25">
      <c r="A1587" s="20">
        <v>1579</v>
      </c>
      <c r="B1587" s="21">
        <f t="shared" ca="1" si="266"/>
        <v>0.50682853242338743</v>
      </c>
      <c r="C1587" s="21">
        <f t="shared" ca="1" si="271"/>
        <v>4788.9852040363248</v>
      </c>
      <c r="D1587" s="21">
        <f t="shared" ca="1" si="267"/>
        <v>5.091196234121754</v>
      </c>
      <c r="E1587" s="21">
        <f t="shared" ca="1" si="274"/>
        <v>0</v>
      </c>
      <c r="F1587" s="20" t="str">
        <f t="shared" ca="1" si="272"/>
        <v>Yes</v>
      </c>
      <c r="G1587" s="21">
        <f t="shared" ca="1" si="268"/>
        <v>0.32407256694295938</v>
      </c>
      <c r="H1587" s="21">
        <f t="shared" ca="1" si="269"/>
        <v>4788.9852040363248</v>
      </c>
      <c r="I1587" s="21">
        <f t="shared" ca="1" si="264"/>
        <v>4794.0764002704464</v>
      </c>
      <c r="J1587" s="20">
        <f t="shared" ca="1" si="273"/>
        <v>0</v>
      </c>
      <c r="K1587" s="20">
        <f t="shared" ca="1" si="265"/>
        <v>1</v>
      </c>
      <c r="L1587" s="44">
        <f t="shared" ca="1" si="270"/>
        <v>0.5</v>
      </c>
    </row>
    <row r="1588" spans="1:12" x14ac:dyDescent="0.25">
      <c r="A1588" s="20">
        <v>1580</v>
      </c>
      <c r="B1588" s="21">
        <f t="shared" ca="1" si="266"/>
        <v>4.251301873003956</v>
      </c>
      <c r="C1588" s="21">
        <f t="shared" ca="1" si="271"/>
        <v>4793.236505909329</v>
      </c>
      <c r="D1588" s="21">
        <f t="shared" ca="1" si="267"/>
        <v>1.6045621056234449</v>
      </c>
      <c r="E1588" s="21">
        <f t="shared" ca="1" si="274"/>
        <v>0.83989436111733085</v>
      </c>
      <c r="F1588" s="20" t="str">
        <f t="shared" ca="1" si="272"/>
        <v>No</v>
      </c>
      <c r="G1588" s="21">
        <f t="shared" ca="1" si="268"/>
        <v>0</v>
      </c>
      <c r="H1588" s="21">
        <f t="shared" ca="1" si="269"/>
        <v>4794.0764002704464</v>
      </c>
      <c r="I1588" s="21">
        <f t="shared" ca="1" si="264"/>
        <v>4795.6809623760701</v>
      </c>
      <c r="J1588" s="20">
        <f t="shared" ca="1" si="273"/>
        <v>2</v>
      </c>
      <c r="K1588" s="20">
        <f t="shared" ca="1" si="265"/>
        <v>0</v>
      </c>
      <c r="L1588" s="44">
        <f t="shared" ca="1" si="270"/>
        <v>1</v>
      </c>
    </row>
    <row r="1589" spans="1:12" x14ac:dyDescent="0.25">
      <c r="A1589" s="20">
        <v>1581</v>
      </c>
      <c r="B1589" s="21">
        <f t="shared" ca="1" si="266"/>
        <v>7.410026809439592</v>
      </c>
      <c r="C1589" s="21">
        <f t="shared" ca="1" si="271"/>
        <v>4800.6465327187689</v>
      </c>
      <c r="D1589" s="21">
        <f t="shared" ca="1" si="267"/>
        <v>1.8559901764015285</v>
      </c>
      <c r="E1589" s="21">
        <f t="shared" ca="1" si="274"/>
        <v>0</v>
      </c>
      <c r="F1589" s="20" t="str">
        <f t="shared" ca="1" si="272"/>
        <v>Yes</v>
      </c>
      <c r="G1589" s="21">
        <f t="shared" ca="1" si="268"/>
        <v>4.9655703426988111</v>
      </c>
      <c r="H1589" s="21">
        <f t="shared" ca="1" si="269"/>
        <v>4800.6465327187689</v>
      </c>
      <c r="I1589" s="21">
        <f t="shared" ca="1" si="264"/>
        <v>4802.5025228951708</v>
      </c>
      <c r="J1589" s="20">
        <f t="shared" ca="1" si="273"/>
        <v>0</v>
      </c>
      <c r="K1589" s="20">
        <f t="shared" ca="1" si="265"/>
        <v>1</v>
      </c>
      <c r="L1589" s="44">
        <f t="shared" ca="1" si="270"/>
        <v>0.5</v>
      </c>
    </row>
    <row r="1590" spans="1:12" x14ac:dyDescent="0.25">
      <c r="A1590" s="20">
        <v>1582</v>
      </c>
      <c r="B1590" s="21">
        <f t="shared" ca="1" si="266"/>
        <v>1.2917865606075385</v>
      </c>
      <c r="C1590" s="21">
        <f t="shared" ca="1" si="271"/>
        <v>4801.9383192793766</v>
      </c>
      <c r="D1590" s="21">
        <f t="shared" ca="1" si="267"/>
        <v>0.29172504194830429</v>
      </c>
      <c r="E1590" s="21">
        <f t="shared" ca="1" si="274"/>
        <v>0.56420361579421296</v>
      </c>
      <c r="F1590" s="20" t="str">
        <f t="shared" ca="1" si="272"/>
        <v>No</v>
      </c>
      <c r="G1590" s="21">
        <f t="shared" ca="1" si="268"/>
        <v>0</v>
      </c>
      <c r="H1590" s="21">
        <f t="shared" ca="1" si="269"/>
        <v>4802.5025228951708</v>
      </c>
      <c r="I1590" s="21">
        <f t="shared" ca="1" si="264"/>
        <v>4802.7942479371195</v>
      </c>
      <c r="J1590" s="20">
        <f t="shared" ca="1" si="273"/>
        <v>2</v>
      </c>
      <c r="K1590" s="20">
        <f t="shared" ca="1" si="265"/>
        <v>0</v>
      </c>
      <c r="L1590" s="44">
        <f t="shared" ca="1" si="270"/>
        <v>1</v>
      </c>
    </row>
    <row r="1591" spans="1:12" x14ac:dyDescent="0.25">
      <c r="A1591" s="20">
        <v>1583</v>
      </c>
      <c r="B1591" s="21">
        <f t="shared" ca="1" si="266"/>
        <v>2.0754215252358166</v>
      </c>
      <c r="C1591" s="21">
        <f t="shared" ca="1" si="271"/>
        <v>4804.0137408046121</v>
      </c>
      <c r="D1591" s="21">
        <f t="shared" ca="1" si="267"/>
        <v>4.2139042954689857E-2</v>
      </c>
      <c r="E1591" s="21">
        <f t="shared" ca="1" si="274"/>
        <v>0</v>
      </c>
      <c r="F1591" s="20" t="str">
        <f t="shared" ca="1" si="272"/>
        <v>Yes</v>
      </c>
      <c r="G1591" s="21">
        <f t="shared" ca="1" si="268"/>
        <v>1.2194928674925904</v>
      </c>
      <c r="H1591" s="21">
        <f t="shared" ca="1" si="269"/>
        <v>4804.0137408046121</v>
      </c>
      <c r="I1591" s="21">
        <f t="shared" ca="1" si="264"/>
        <v>4804.0558798475668</v>
      </c>
      <c r="J1591" s="20">
        <f t="shared" ca="1" si="273"/>
        <v>0</v>
      </c>
      <c r="K1591" s="20">
        <f t="shared" ca="1" si="265"/>
        <v>0</v>
      </c>
      <c r="L1591" s="44">
        <f t="shared" ca="1" si="270"/>
        <v>0</v>
      </c>
    </row>
    <row r="1592" spans="1:12" x14ac:dyDescent="0.25">
      <c r="A1592" s="20">
        <v>1584</v>
      </c>
      <c r="B1592" s="21">
        <f t="shared" ca="1" si="266"/>
        <v>0.65575576455733109</v>
      </c>
      <c r="C1592" s="21">
        <f t="shared" ca="1" si="271"/>
        <v>4804.6694965691695</v>
      </c>
      <c r="D1592" s="21">
        <f t="shared" ca="1" si="267"/>
        <v>2.016905010396941</v>
      </c>
      <c r="E1592" s="21">
        <f t="shared" ca="1" si="274"/>
        <v>0</v>
      </c>
      <c r="F1592" s="20" t="str">
        <f t="shared" ca="1" si="272"/>
        <v>Yes</v>
      </c>
      <c r="G1592" s="21">
        <f t="shared" ca="1" si="268"/>
        <v>0.61361672160273883</v>
      </c>
      <c r="H1592" s="21">
        <f t="shared" ca="1" si="269"/>
        <v>4804.6694965691695</v>
      </c>
      <c r="I1592" s="21">
        <f t="shared" ca="1" si="264"/>
        <v>4806.6864015795663</v>
      </c>
      <c r="J1592" s="20">
        <f t="shared" ca="1" si="273"/>
        <v>0</v>
      </c>
      <c r="K1592" s="20">
        <f t="shared" ca="1" si="265"/>
        <v>1</v>
      </c>
      <c r="L1592" s="44">
        <f t="shared" ca="1" si="270"/>
        <v>0.5</v>
      </c>
    </row>
    <row r="1593" spans="1:12" x14ac:dyDescent="0.25">
      <c r="A1593" s="20">
        <v>1585</v>
      </c>
      <c r="B1593" s="21">
        <f t="shared" ca="1" si="266"/>
        <v>0.91843337046034368</v>
      </c>
      <c r="C1593" s="21">
        <f t="shared" ca="1" si="271"/>
        <v>4805.5879299396302</v>
      </c>
      <c r="D1593" s="21">
        <f t="shared" ca="1" si="267"/>
        <v>1.849550524594844</v>
      </c>
      <c r="E1593" s="21">
        <f t="shared" ca="1" si="274"/>
        <v>1.0984716399361787</v>
      </c>
      <c r="F1593" s="20" t="str">
        <f t="shared" ca="1" si="272"/>
        <v>No</v>
      </c>
      <c r="G1593" s="21">
        <f t="shared" ca="1" si="268"/>
        <v>0</v>
      </c>
      <c r="H1593" s="21">
        <f t="shared" ca="1" si="269"/>
        <v>4806.6864015795663</v>
      </c>
      <c r="I1593" s="21">
        <f t="shared" ca="1" si="264"/>
        <v>4808.535952104161</v>
      </c>
      <c r="J1593" s="20">
        <f t="shared" ca="1" si="273"/>
        <v>2</v>
      </c>
      <c r="K1593" s="20">
        <f t="shared" ca="1" si="265"/>
        <v>2</v>
      </c>
      <c r="L1593" s="44">
        <f t="shared" ca="1" si="270"/>
        <v>2</v>
      </c>
    </row>
    <row r="1594" spans="1:12" x14ac:dyDescent="0.25">
      <c r="A1594" s="20">
        <v>1586</v>
      </c>
      <c r="B1594" s="21">
        <f t="shared" ca="1" si="266"/>
        <v>1.388409407332361</v>
      </c>
      <c r="C1594" s="21">
        <f t="shared" ca="1" si="271"/>
        <v>4806.976339346963</v>
      </c>
      <c r="D1594" s="21">
        <f t="shared" ca="1" si="267"/>
        <v>15.70406361942344</v>
      </c>
      <c r="E1594" s="21">
        <f t="shared" ca="1" si="274"/>
        <v>1.5596127571980105</v>
      </c>
      <c r="F1594" s="20" t="str">
        <f t="shared" ca="1" si="272"/>
        <v>No</v>
      </c>
      <c r="G1594" s="21">
        <f t="shared" ca="1" si="268"/>
        <v>0</v>
      </c>
      <c r="H1594" s="21">
        <f t="shared" ca="1" si="269"/>
        <v>4808.535952104161</v>
      </c>
      <c r="I1594" s="21">
        <f t="shared" ca="1" si="264"/>
        <v>4824.2400157235843</v>
      </c>
      <c r="J1594" s="20">
        <f t="shared" ca="1" si="273"/>
        <v>3</v>
      </c>
      <c r="K1594" s="20">
        <f t="shared" ca="1" si="265"/>
        <v>5</v>
      </c>
      <c r="L1594" s="44">
        <f t="shared" ca="1" si="270"/>
        <v>4</v>
      </c>
    </row>
    <row r="1595" spans="1:12" x14ac:dyDescent="0.25">
      <c r="A1595" s="20">
        <v>1587</v>
      </c>
      <c r="B1595" s="21">
        <f t="shared" ca="1" si="266"/>
        <v>0.25489775579942542</v>
      </c>
      <c r="C1595" s="21">
        <f t="shared" ca="1" si="271"/>
        <v>4807.231237102762</v>
      </c>
      <c r="D1595" s="21">
        <f t="shared" ca="1" si="267"/>
        <v>1.3315769019953685</v>
      </c>
      <c r="E1595" s="21">
        <f t="shared" ca="1" si="274"/>
        <v>17.008778620822341</v>
      </c>
      <c r="F1595" s="20" t="str">
        <f t="shared" ca="1" si="272"/>
        <v>No</v>
      </c>
      <c r="G1595" s="21">
        <f t="shared" ca="1" si="268"/>
        <v>0</v>
      </c>
      <c r="H1595" s="21">
        <f t="shared" ca="1" si="269"/>
        <v>4824.2400157235843</v>
      </c>
      <c r="I1595" s="21">
        <f t="shared" ca="1" si="264"/>
        <v>4825.5715926255798</v>
      </c>
      <c r="J1595" s="20">
        <f t="shared" ca="1" si="273"/>
        <v>6</v>
      </c>
      <c r="K1595" s="20">
        <f t="shared" ca="1" si="265"/>
        <v>5</v>
      </c>
      <c r="L1595" s="44">
        <f t="shared" ca="1" si="270"/>
        <v>5.5</v>
      </c>
    </row>
    <row r="1596" spans="1:12" x14ac:dyDescent="0.25">
      <c r="A1596" s="20">
        <v>1588</v>
      </c>
      <c r="B1596" s="21">
        <f t="shared" ca="1" si="266"/>
        <v>2.7199501497240917</v>
      </c>
      <c r="C1596" s="21">
        <f t="shared" ca="1" si="271"/>
        <v>4809.9511872524863</v>
      </c>
      <c r="D1596" s="21">
        <f t="shared" ca="1" si="267"/>
        <v>4.3047943906962631</v>
      </c>
      <c r="E1596" s="21">
        <f t="shared" ca="1" si="274"/>
        <v>15.62040537309349</v>
      </c>
      <c r="F1596" s="20" t="str">
        <f t="shared" ca="1" si="272"/>
        <v>No</v>
      </c>
      <c r="G1596" s="21">
        <f t="shared" ca="1" si="268"/>
        <v>0</v>
      </c>
      <c r="H1596" s="21">
        <f t="shared" ca="1" si="269"/>
        <v>4825.5715926255798</v>
      </c>
      <c r="I1596" s="21">
        <f t="shared" ca="1" si="264"/>
        <v>4829.8763870162757</v>
      </c>
      <c r="J1596" s="20">
        <f t="shared" ca="1" si="273"/>
        <v>6</v>
      </c>
      <c r="K1596" s="20">
        <f t="shared" ca="1" si="265"/>
        <v>5</v>
      </c>
      <c r="L1596" s="44">
        <f t="shared" ca="1" si="270"/>
        <v>5.5</v>
      </c>
    </row>
    <row r="1597" spans="1:12" x14ac:dyDescent="0.25">
      <c r="A1597" s="20">
        <v>1589</v>
      </c>
      <c r="B1597" s="21">
        <f t="shared" ca="1" si="266"/>
        <v>4.6774350008389316</v>
      </c>
      <c r="C1597" s="21">
        <f t="shared" ca="1" si="271"/>
        <v>4814.6286222533254</v>
      </c>
      <c r="D1597" s="21">
        <f t="shared" ca="1" si="267"/>
        <v>9.5406901152629224</v>
      </c>
      <c r="E1597" s="21">
        <f t="shared" ca="1" si="274"/>
        <v>15.247764762950283</v>
      </c>
      <c r="F1597" s="20" t="str">
        <f t="shared" ca="1" si="272"/>
        <v>No</v>
      </c>
      <c r="G1597" s="21">
        <f t="shared" ca="1" si="268"/>
        <v>0</v>
      </c>
      <c r="H1597" s="21">
        <f t="shared" ca="1" si="269"/>
        <v>4829.8763870162757</v>
      </c>
      <c r="I1597" s="21">
        <f t="shared" ca="1" si="264"/>
        <v>4839.4170771315385</v>
      </c>
      <c r="J1597" s="20">
        <f t="shared" ca="1" si="273"/>
        <v>6</v>
      </c>
      <c r="K1597" s="20">
        <f t="shared" ca="1" si="265"/>
        <v>5</v>
      </c>
      <c r="L1597" s="44">
        <f t="shared" ca="1" si="270"/>
        <v>5.5</v>
      </c>
    </row>
    <row r="1598" spans="1:12" x14ac:dyDescent="0.25">
      <c r="A1598" s="20">
        <v>1590</v>
      </c>
      <c r="B1598" s="21">
        <f t="shared" ca="1" si="266"/>
        <v>0.80751467282785327</v>
      </c>
      <c r="C1598" s="21">
        <f t="shared" ca="1" si="271"/>
        <v>4815.4361369261533</v>
      </c>
      <c r="D1598" s="21">
        <f t="shared" ca="1" si="267"/>
        <v>2.7231554359314645</v>
      </c>
      <c r="E1598" s="21">
        <f t="shared" ca="1" si="274"/>
        <v>23.980940205385195</v>
      </c>
      <c r="F1598" s="20" t="str">
        <f t="shared" ca="1" si="272"/>
        <v>No</v>
      </c>
      <c r="G1598" s="21">
        <f t="shared" ca="1" si="268"/>
        <v>0</v>
      </c>
      <c r="H1598" s="21">
        <f t="shared" ca="1" si="269"/>
        <v>4839.4170771315385</v>
      </c>
      <c r="I1598" s="21">
        <f t="shared" ca="1" si="264"/>
        <v>4842.1402325674699</v>
      </c>
      <c r="J1598" s="20">
        <f t="shared" ca="1" si="273"/>
        <v>6</v>
      </c>
      <c r="K1598" s="20">
        <f t="shared" ca="1" si="265"/>
        <v>5</v>
      </c>
      <c r="L1598" s="44">
        <f t="shared" ca="1" si="270"/>
        <v>5.5</v>
      </c>
    </row>
    <row r="1599" spans="1:12" x14ac:dyDescent="0.25">
      <c r="A1599" s="20">
        <v>1591</v>
      </c>
      <c r="B1599" s="21">
        <f t="shared" ca="1" si="266"/>
        <v>1.9831150726560198</v>
      </c>
      <c r="C1599" s="21">
        <f t="shared" ca="1" si="271"/>
        <v>4817.4192519988092</v>
      </c>
      <c r="D1599" s="21">
        <f t="shared" ca="1" si="267"/>
        <v>9.616056616560936</v>
      </c>
      <c r="E1599" s="21">
        <f t="shared" ca="1" si="274"/>
        <v>24.720980568660707</v>
      </c>
      <c r="F1599" s="20" t="str">
        <f t="shared" ca="1" si="272"/>
        <v>No</v>
      </c>
      <c r="G1599" s="21">
        <f t="shared" ca="1" si="268"/>
        <v>0</v>
      </c>
      <c r="H1599" s="21">
        <f t="shared" ca="1" si="269"/>
        <v>4842.1402325674699</v>
      </c>
      <c r="I1599" s="21">
        <f t="shared" ca="1" si="264"/>
        <v>4851.7562891840307</v>
      </c>
      <c r="J1599" s="20">
        <f t="shared" ca="1" si="273"/>
        <v>6</v>
      </c>
      <c r="K1599" s="20">
        <f t="shared" ca="1" si="265"/>
        <v>5</v>
      </c>
      <c r="L1599" s="44">
        <f t="shared" ca="1" si="270"/>
        <v>5.5</v>
      </c>
    </row>
    <row r="1600" spans="1:12" x14ac:dyDescent="0.25">
      <c r="A1600" s="20">
        <v>1592</v>
      </c>
      <c r="B1600" s="21">
        <f t="shared" ca="1" si="266"/>
        <v>0.67449097357529963</v>
      </c>
      <c r="C1600" s="21">
        <f t="shared" ca="1" si="271"/>
        <v>4818.0937429723845</v>
      </c>
      <c r="D1600" s="21">
        <f t="shared" ca="1" si="267"/>
        <v>0.39034215400604844</v>
      </c>
      <c r="E1600" s="21">
        <f t="shared" ca="1" si="274"/>
        <v>33.662546211646259</v>
      </c>
      <c r="F1600" s="20" t="str">
        <f t="shared" ca="1" si="272"/>
        <v>No</v>
      </c>
      <c r="G1600" s="21">
        <f t="shared" ca="1" si="268"/>
        <v>0</v>
      </c>
      <c r="H1600" s="21">
        <f t="shared" ca="1" si="269"/>
        <v>4851.7562891840307</v>
      </c>
      <c r="I1600" s="21">
        <f t="shared" ca="1" si="264"/>
        <v>4852.146631338037</v>
      </c>
      <c r="J1600" s="20">
        <f t="shared" ca="1" si="273"/>
        <v>6</v>
      </c>
      <c r="K1600" s="20">
        <f t="shared" ca="1" si="265"/>
        <v>5</v>
      </c>
      <c r="L1600" s="44">
        <f t="shared" ca="1" si="270"/>
        <v>5.5</v>
      </c>
    </row>
    <row r="1601" spans="1:12" x14ac:dyDescent="0.25">
      <c r="A1601" s="20">
        <v>1593</v>
      </c>
      <c r="B1601" s="21">
        <f t="shared" ca="1" si="266"/>
        <v>2.326941204630784</v>
      </c>
      <c r="C1601" s="21">
        <f t="shared" ca="1" si="271"/>
        <v>4820.4206841770156</v>
      </c>
      <c r="D1601" s="21">
        <f t="shared" ca="1" si="267"/>
        <v>1.2735897802843417</v>
      </c>
      <c r="E1601" s="21">
        <f t="shared" ca="1" si="274"/>
        <v>31.725947161021395</v>
      </c>
      <c r="F1601" s="20" t="str">
        <f t="shared" ca="1" si="272"/>
        <v>No</v>
      </c>
      <c r="G1601" s="21">
        <f t="shared" ca="1" si="268"/>
        <v>0</v>
      </c>
      <c r="H1601" s="21">
        <f t="shared" ca="1" si="269"/>
        <v>4852.146631338037</v>
      </c>
      <c r="I1601" s="21">
        <f t="shared" ca="1" si="264"/>
        <v>4853.420221118321</v>
      </c>
      <c r="J1601" s="20">
        <f t="shared" ca="1" si="273"/>
        <v>6</v>
      </c>
      <c r="K1601" s="20">
        <f t="shared" ca="1" si="265"/>
        <v>5</v>
      </c>
      <c r="L1601" s="44">
        <f t="shared" ca="1" si="270"/>
        <v>5.5</v>
      </c>
    </row>
    <row r="1602" spans="1:12" x14ac:dyDescent="0.25">
      <c r="A1602" s="20">
        <v>1594</v>
      </c>
      <c r="B1602" s="21">
        <f t="shared" ca="1" si="266"/>
        <v>1.307039862591352</v>
      </c>
      <c r="C1602" s="21">
        <f t="shared" ca="1" si="271"/>
        <v>4821.727724039607</v>
      </c>
      <c r="D1602" s="21">
        <f t="shared" ca="1" si="267"/>
        <v>3.29076471026492</v>
      </c>
      <c r="E1602" s="21">
        <f t="shared" ca="1" si="274"/>
        <v>31.692497078714041</v>
      </c>
      <c r="F1602" s="20" t="str">
        <f t="shared" ca="1" si="272"/>
        <v>No</v>
      </c>
      <c r="G1602" s="21">
        <f t="shared" ca="1" si="268"/>
        <v>0</v>
      </c>
      <c r="H1602" s="21">
        <f t="shared" ca="1" si="269"/>
        <v>4853.420221118321</v>
      </c>
      <c r="I1602" s="21">
        <f t="shared" ca="1" si="264"/>
        <v>4856.7109858285858</v>
      </c>
      <c r="J1602" s="20">
        <f t="shared" ca="1" si="273"/>
        <v>6</v>
      </c>
      <c r="K1602" s="20">
        <f t="shared" ca="1" si="265"/>
        <v>5</v>
      </c>
      <c r="L1602" s="44">
        <f t="shared" ca="1" si="270"/>
        <v>5.5</v>
      </c>
    </row>
    <row r="1603" spans="1:12" x14ac:dyDescent="0.25">
      <c r="A1603" s="20">
        <v>1595</v>
      </c>
      <c r="B1603" s="21">
        <f t="shared" ca="1" si="266"/>
        <v>8.8160938350287275</v>
      </c>
      <c r="C1603" s="21">
        <f t="shared" ca="1" si="271"/>
        <v>4830.5438178746354</v>
      </c>
      <c r="D1603" s="21">
        <f t="shared" ca="1" si="267"/>
        <v>0.10177228970352406</v>
      </c>
      <c r="E1603" s="21">
        <f t="shared" ca="1" si="274"/>
        <v>26.167167953950411</v>
      </c>
      <c r="F1603" s="20" t="str">
        <f t="shared" ca="1" si="272"/>
        <v>No</v>
      </c>
      <c r="G1603" s="21">
        <f t="shared" ca="1" si="268"/>
        <v>0</v>
      </c>
      <c r="H1603" s="21">
        <f t="shared" ca="1" si="269"/>
        <v>4856.7109858285858</v>
      </c>
      <c r="I1603" s="21">
        <f t="shared" ca="1" si="264"/>
        <v>4856.8127581182889</v>
      </c>
      <c r="J1603" s="20">
        <f t="shared" ca="1" si="273"/>
        <v>6</v>
      </c>
      <c r="K1603" s="20">
        <f t="shared" ca="1" si="265"/>
        <v>5</v>
      </c>
      <c r="L1603" s="44">
        <f t="shared" ca="1" si="270"/>
        <v>5.5</v>
      </c>
    </row>
    <row r="1604" spans="1:12" x14ac:dyDescent="0.25">
      <c r="A1604" s="20">
        <v>1596</v>
      </c>
      <c r="B1604" s="21">
        <f t="shared" ca="1" si="266"/>
        <v>1.2964137968598355</v>
      </c>
      <c r="C1604" s="21">
        <f t="shared" ca="1" si="271"/>
        <v>4831.8402316714955</v>
      </c>
      <c r="D1604" s="21">
        <f t="shared" ca="1" si="267"/>
        <v>2.8358222526001375</v>
      </c>
      <c r="E1604" s="21">
        <f t="shared" ca="1" si="274"/>
        <v>24.972526446793381</v>
      </c>
      <c r="F1604" s="20" t="str">
        <f t="shared" ca="1" si="272"/>
        <v>No</v>
      </c>
      <c r="G1604" s="21">
        <f t="shared" ca="1" si="268"/>
        <v>0</v>
      </c>
      <c r="H1604" s="21">
        <f t="shared" ca="1" si="269"/>
        <v>4856.8127581182889</v>
      </c>
      <c r="I1604" s="21">
        <f t="shared" ca="1" si="264"/>
        <v>4859.6485803708892</v>
      </c>
      <c r="J1604" s="20">
        <f t="shared" ca="1" si="273"/>
        <v>6</v>
      </c>
      <c r="K1604" s="20">
        <f t="shared" ca="1" si="265"/>
        <v>5</v>
      </c>
      <c r="L1604" s="44">
        <f t="shared" ca="1" si="270"/>
        <v>5.5</v>
      </c>
    </row>
    <row r="1605" spans="1:12" x14ac:dyDescent="0.25">
      <c r="A1605" s="20">
        <v>1597</v>
      </c>
      <c r="B1605" s="21">
        <f t="shared" ca="1" si="266"/>
        <v>0.6065278091844164</v>
      </c>
      <c r="C1605" s="21">
        <f t="shared" ca="1" si="271"/>
        <v>4832.4467594806802</v>
      </c>
      <c r="D1605" s="21">
        <f t="shared" ca="1" si="267"/>
        <v>3.7123635143533367</v>
      </c>
      <c r="E1605" s="21">
        <f t="shared" ca="1" si="274"/>
        <v>27.201820890209092</v>
      </c>
      <c r="F1605" s="20" t="str">
        <f t="shared" ca="1" si="272"/>
        <v>No</v>
      </c>
      <c r="G1605" s="21">
        <f t="shared" ca="1" si="268"/>
        <v>0</v>
      </c>
      <c r="H1605" s="21">
        <f t="shared" ca="1" si="269"/>
        <v>4859.6485803708892</v>
      </c>
      <c r="I1605" s="21">
        <f t="shared" ca="1" si="264"/>
        <v>4863.3609438852427</v>
      </c>
      <c r="J1605" s="20">
        <f t="shared" ca="1" si="273"/>
        <v>6</v>
      </c>
      <c r="K1605" s="20">
        <f t="shared" ca="1" si="265"/>
        <v>5</v>
      </c>
      <c r="L1605" s="44">
        <f t="shared" ca="1" si="270"/>
        <v>5.5</v>
      </c>
    </row>
    <row r="1606" spans="1:12" x14ac:dyDescent="0.25">
      <c r="A1606" s="20">
        <v>1598</v>
      </c>
      <c r="B1606" s="21">
        <f t="shared" ca="1" si="266"/>
        <v>5.6214190425435335</v>
      </c>
      <c r="C1606" s="21">
        <f t="shared" ca="1" si="271"/>
        <v>4838.0681785232237</v>
      </c>
      <c r="D1606" s="21">
        <f t="shared" ca="1" si="267"/>
        <v>0.42299838060518113</v>
      </c>
      <c r="E1606" s="21">
        <f t="shared" ca="1" si="274"/>
        <v>25.292765362019054</v>
      </c>
      <c r="F1606" s="20" t="str">
        <f t="shared" ca="1" si="272"/>
        <v>No</v>
      </c>
      <c r="G1606" s="21">
        <f t="shared" ca="1" si="268"/>
        <v>0</v>
      </c>
      <c r="H1606" s="21">
        <f t="shared" ca="1" si="269"/>
        <v>4863.3609438852427</v>
      </c>
      <c r="I1606" s="21">
        <f t="shared" ca="1" si="264"/>
        <v>4863.7839422658481</v>
      </c>
      <c r="J1606" s="20">
        <f t="shared" ca="1" si="273"/>
        <v>6</v>
      </c>
      <c r="K1606" s="20">
        <f t="shared" ca="1" si="265"/>
        <v>5</v>
      </c>
      <c r="L1606" s="44">
        <f t="shared" ca="1" si="270"/>
        <v>5.5</v>
      </c>
    </row>
    <row r="1607" spans="1:12" x14ac:dyDescent="0.25">
      <c r="A1607" s="20">
        <v>1599</v>
      </c>
      <c r="B1607" s="21">
        <f t="shared" ca="1" si="266"/>
        <v>0.88235773609438606</v>
      </c>
      <c r="C1607" s="21">
        <f t="shared" ca="1" si="271"/>
        <v>4838.9505362593181</v>
      </c>
      <c r="D1607" s="21">
        <f t="shared" ca="1" si="267"/>
        <v>5.3614517112659774</v>
      </c>
      <c r="E1607" s="21">
        <f t="shared" ca="1" si="274"/>
        <v>24.833406006529913</v>
      </c>
      <c r="F1607" s="20" t="str">
        <f t="shared" ca="1" si="272"/>
        <v>No</v>
      </c>
      <c r="G1607" s="21">
        <f t="shared" ca="1" si="268"/>
        <v>0</v>
      </c>
      <c r="H1607" s="21">
        <f t="shared" ca="1" si="269"/>
        <v>4863.7839422658481</v>
      </c>
      <c r="I1607" s="21">
        <f t="shared" ca="1" si="264"/>
        <v>4869.1453939771136</v>
      </c>
      <c r="J1607" s="20">
        <f t="shared" ca="1" si="273"/>
        <v>6</v>
      </c>
      <c r="K1607" s="20">
        <f t="shared" ca="1" si="265"/>
        <v>5</v>
      </c>
      <c r="L1607" s="44">
        <f t="shared" ca="1" si="270"/>
        <v>5.5</v>
      </c>
    </row>
    <row r="1608" spans="1:12" x14ac:dyDescent="0.25">
      <c r="A1608" s="20">
        <v>1600</v>
      </c>
      <c r="B1608" s="21">
        <f t="shared" ca="1" si="266"/>
        <v>0.60228725154491936</v>
      </c>
      <c r="C1608" s="21">
        <f t="shared" ca="1" si="271"/>
        <v>4839.5528235108632</v>
      </c>
      <c r="D1608" s="21">
        <f t="shared" ca="1" si="267"/>
        <v>2.2369498243565085</v>
      </c>
      <c r="E1608" s="21">
        <f t="shared" ca="1" si="274"/>
        <v>29.592570466250436</v>
      </c>
      <c r="F1608" s="20" t="str">
        <f t="shared" ca="1" si="272"/>
        <v>No</v>
      </c>
      <c r="G1608" s="21">
        <f t="shared" ca="1" si="268"/>
        <v>0</v>
      </c>
      <c r="H1608" s="21">
        <f t="shared" ca="1" si="269"/>
        <v>4869.1453939771136</v>
      </c>
      <c r="I1608" s="21">
        <f t="shared" ca="1" si="264"/>
        <v>4871.3823438014697</v>
      </c>
      <c r="J1608" s="20">
        <f t="shared" ca="1" si="273"/>
        <v>6</v>
      </c>
      <c r="K1608" s="20">
        <f t="shared" ca="1" si="265"/>
        <v>5</v>
      </c>
      <c r="L1608" s="44">
        <f t="shared" ca="1" si="270"/>
        <v>5.5</v>
      </c>
    </row>
    <row r="1609" spans="1:12" x14ac:dyDescent="0.25">
      <c r="A1609" s="20">
        <v>1601</v>
      </c>
      <c r="B1609" s="21">
        <f t="shared" ca="1" si="266"/>
        <v>4.5445819898465638</v>
      </c>
      <c r="C1609" s="21">
        <f t="shared" ca="1" si="271"/>
        <v>4844.09740550071</v>
      </c>
      <c r="D1609" s="21">
        <f t="shared" ca="1" si="267"/>
        <v>5.6442302076969426</v>
      </c>
      <c r="E1609" s="21">
        <f t="shared" ca="1" si="274"/>
        <v>27.284938300759677</v>
      </c>
      <c r="F1609" s="20" t="str">
        <f t="shared" ca="1" si="272"/>
        <v>No</v>
      </c>
      <c r="G1609" s="21">
        <f t="shared" ca="1" si="268"/>
        <v>0</v>
      </c>
      <c r="H1609" s="21">
        <f t="shared" ca="1" si="269"/>
        <v>4871.3823438014697</v>
      </c>
      <c r="I1609" s="21">
        <f t="shared" ref="I1609:I1672" ca="1" si="275">$H1609+$D1609</f>
        <v>4877.0265740091663</v>
      </c>
      <c r="J1609" s="20">
        <f t="shared" ca="1" si="273"/>
        <v>6</v>
      </c>
      <c r="K1609" s="20">
        <f t="shared" ref="K1609:K1672" ca="1" si="276">IF($I1609&lt;=$C1610,0,IF($I1609&lt;=$C1611,1,IF($I1609&lt;=$C1612,2,IF($I1609&lt;=$C1613,3,IF($I1609&lt;=$C1614,4,5)))))</f>
        <v>5</v>
      </c>
      <c r="L1609" s="44">
        <f t="shared" ca="1" si="270"/>
        <v>5.5</v>
      </c>
    </row>
    <row r="1610" spans="1:12" x14ac:dyDescent="0.25">
      <c r="A1610" s="20">
        <v>1602</v>
      </c>
      <c r="B1610" s="21">
        <f t="shared" ref="B1610:B1673" ca="1" si="277">-LN(RAND())/$D$4</f>
        <v>2.1771159712457133</v>
      </c>
      <c r="C1610" s="21">
        <f t="shared" ca="1" si="271"/>
        <v>4846.2745214719562</v>
      </c>
      <c r="D1610" s="21">
        <f t="shared" ref="D1610:D1673" ca="1" si="278">-LN(RAND())/$D$6</f>
        <v>4.9066165647922801</v>
      </c>
      <c r="E1610" s="21">
        <f t="shared" ca="1" si="274"/>
        <v>30.752052537210147</v>
      </c>
      <c r="F1610" s="20" t="str">
        <f t="shared" ca="1" si="272"/>
        <v>No</v>
      </c>
      <c r="G1610" s="21">
        <f t="shared" ref="G1610:G1673" ca="1" si="279">IF($I1609&lt;=$C1610,$C1610-$I1609,0)</f>
        <v>0</v>
      </c>
      <c r="H1610" s="21">
        <f t="shared" ref="H1610:H1673" ca="1" si="280">IF($I1609&lt;=$C1610,$C1610,$I1609)</f>
        <v>4877.0265740091663</v>
      </c>
      <c r="I1610" s="21">
        <f t="shared" ca="1" si="275"/>
        <v>4881.9331905739582</v>
      </c>
      <c r="J1610" s="20">
        <f t="shared" ca="1" si="273"/>
        <v>6</v>
      </c>
      <c r="K1610" s="20">
        <f t="shared" ca="1" si="276"/>
        <v>5</v>
      </c>
      <c r="L1610" s="44">
        <f t="shared" ref="L1610:L1673" ca="1" si="281">(J1610+K1610)/2</f>
        <v>5.5</v>
      </c>
    </row>
    <row r="1611" spans="1:12" x14ac:dyDescent="0.25">
      <c r="A1611" s="20">
        <v>1603</v>
      </c>
      <c r="B1611" s="21">
        <f t="shared" ca="1" si="277"/>
        <v>0.42230408623163862</v>
      </c>
      <c r="C1611" s="21">
        <f t="shared" ref="C1611:C1674" ca="1" si="282">$C1610+$B1611</f>
        <v>4846.6968255581878</v>
      </c>
      <c r="D1611" s="21">
        <f t="shared" ca="1" si="278"/>
        <v>0.70974071073840361</v>
      </c>
      <c r="E1611" s="21">
        <f t="shared" ca="1" si="274"/>
        <v>35.236365015770389</v>
      </c>
      <c r="F1611" s="20" t="str">
        <f t="shared" ref="F1611:F1674" ca="1" si="283">IF(E1611=0,"Yes","No")</f>
        <v>No</v>
      </c>
      <c r="G1611" s="21">
        <f t="shared" ca="1" si="279"/>
        <v>0</v>
      </c>
      <c r="H1611" s="21">
        <f t="shared" ca="1" si="280"/>
        <v>4881.9331905739582</v>
      </c>
      <c r="I1611" s="21">
        <f t="shared" ca="1" si="275"/>
        <v>4882.6429312846967</v>
      </c>
      <c r="J1611" s="20">
        <f t="shared" ref="J1611:J1674" ca="1" si="284">IF($I1610&lt;=$C1611,0,$K1610+1)</f>
        <v>6</v>
      </c>
      <c r="K1611" s="20">
        <f t="shared" ca="1" si="276"/>
        <v>5</v>
      </c>
      <c r="L1611" s="44">
        <f t="shared" ca="1" si="281"/>
        <v>5.5</v>
      </c>
    </row>
    <row r="1612" spans="1:12" x14ac:dyDescent="0.25">
      <c r="A1612" s="20">
        <v>1604</v>
      </c>
      <c r="B1612" s="21">
        <f t="shared" ca="1" si="277"/>
        <v>1.6295799892209597</v>
      </c>
      <c r="C1612" s="21">
        <f t="shared" ca="1" si="282"/>
        <v>4848.3264055474092</v>
      </c>
      <c r="D1612" s="21">
        <f t="shared" ca="1" si="278"/>
        <v>7.3503876328807349</v>
      </c>
      <c r="E1612" s="21">
        <f t="shared" ref="E1612:E1675" ca="1" si="285">IF($I1611&lt;=$C1612,0,$I1611-$C1612)</f>
        <v>34.31652573728752</v>
      </c>
      <c r="F1612" s="20" t="str">
        <f t="shared" ca="1" si="283"/>
        <v>No</v>
      </c>
      <c r="G1612" s="21">
        <f t="shared" ca="1" si="279"/>
        <v>0</v>
      </c>
      <c r="H1612" s="21">
        <f t="shared" ca="1" si="280"/>
        <v>4882.6429312846967</v>
      </c>
      <c r="I1612" s="21">
        <f t="shared" ca="1" si="275"/>
        <v>4889.9933189175772</v>
      </c>
      <c r="J1612" s="20">
        <f t="shared" ca="1" si="284"/>
        <v>6</v>
      </c>
      <c r="K1612" s="20">
        <f t="shared" ca="1" si="276"/>
        <v>5</v>
      </c>
      <c r="L1612" s="44">
        <f t="shared" ca="1" si="281"/>
        <v>5.5</v>
      </c>
    </row>
    <row r="1613" spans="1:12" x14ac:dyDescent="0.25">
      <c r="A1613" s="20">
        <v>1605</v>
      </c>
      <c r="B1613" s="21">
        <f t="shared" ca="1" si="277"/>
        <v>2.9236276804396497</v>
      </c>
      <c r="C1613" s="21">
        <f t="shared" ca="1" si="282"/>
        <v>4851.2500332278487</v>
      </c>
      <c r="D1613" s="21">
        <f t="shared" ca="1" si="278"/>
        <v>9.4538920551153307</v>
      </c>
      <c r="E1613" s="21">
        <f t="shared" ca="1" si="285"/>
        <v>38.743285689728509</v>
      </c>
      <c r="F1613" s="20" t="str">
        <f t="shared" ca="1" si="283"/>
        <v>No</v>
      </c>
      <c r="G1613" s="21">
        <f t="shared" ca="1" si="279"/>
        <v>0</v>
      </c>
      <c r="H1613" s="21">
        <f t="shared" ca="1" si="280"/>
        <v>4889.9933189175772</v>
      </c>
      <c r="I1613" s="21">
        <f t="shared" ca="1" si="275"/>
        <v>4899.4472109726921</v>
      </c>
      <c r="J1613" s="20">
        <f t="shared" ca="1" si="284"/>
        <v>6</v>
      </c>
      <c r="K1613" s="20">
        <f t="shared" ca="1" si="276"/>
        <v>5</v>
      </c>
      <c r="L1613" s="44">
        <f t="shared" ca="1" si="281"/>
        <v>5.5</v>
      </c>
    </row>
    <row r="1614" spans="1:12" x14ac:dyDescent="0.25">
      <c r="A1614" s="20">
        <v>1606</v>
      </c>
      <c r="B1614" s="21">
        <f t="shared" ca="1" si="277"/>
        <v>9.0451989019596765E-2</v>
      </c>
      <c r="C1614" s="21">
        <f t="shared" ca="1" si="282"/>
        <v>4851.3404852168687</v>
      </c>
      <c r="D1614" s="21">
        <f t="shared" ca="1" si="278"/>
        <v>2.6640894290217134</v>
      </c>
      <c r="E1614" s="21">
        <f t="shared" ca="1" si="285"/>
        <v>48.106725755823391</v>
      </c>
      <c r="F1614" s="20" t="str">
        <f t="shared" ca="1" si="283"/>
        <v>No</v>
      </c>
      <c r="G1614" s="21">
        <f t="shared" ca="1" si="279"/>
        <v>0</v>
      </c>
      <c r="H1614" s="21">
        <f t="shared" ca="1" si="280"/>
        <v>4899.4472109726921</v>
      </c>
      <c r="I1614" s="21">
        <f t="shared" ca="1" si="275"/>
        <v>4902.1113004017134</v>
      </c>
      <c r="J1614" s="20">
        <f t="shared" ca="1" si="284"/>
        <v>6</v>
      </c>
      <c r="K1614" s="20">
        <f t="shared" ca="1" si="276"/>
        <v>5</v>
      </c>
      <c r="L1614" s="44">
        <f t="shared" ca="1" si="281"/>
        <v>5.5</v>
      </c>
    </row>
    <row r="1615" spans="1:12" x14ac:dyDescent="0.25">
      <c r="A1615" s="20">
        <v>1607</v>
      </c>
      <c r="B1615" s="21">
        <f t="shared" ca="1" si="277"/>
        <v>2.0359897415323114</v>
      </c>
      <c r="C1615" s="21">
        <f t="shared" ca="1" si="282"/>
        <v>4853.3764749584006</v>
      </c>
      <c r="D1615" s="21">
        <f t="shared" ca="1" si="278"/>
        <v>0.18224329719958257</v>
      </c>
      <c r="E1615" s="21">
        <f t="shared" ca="1" si="285"/>
        <v>48.734825443312729</v>
      </c>
      <c r="F1615" s="20" t="str">
        <f t="shared" ca="1" si="283"/>
        <v>No</v>
      </c>
      <c r="G1615" s="21">
        <f t="shared" ca="1" si="279"/>
        <v>0</v>
      </c>
      <c r="H1615" s="21">
        <f t="shared" ca="1" si="280"/>
        <v>4902.1113004017134</v>
      </c>
      <c r="I1615" s="21">
        <f t="shared" ca="1" si="275"/>
        <v>4902.2935436989128</v>
      </c>
      <c r="J1615" s="20">
        <f t="shared" ca="1" si="284"/>
        <v>6</v>
      </c>
      <c r="K1615" s="20">
        <f t="shared" ca="1" si="276"/>
        <v>5</v>
      </c>
      <c r="L1615" s="44">
        <f t="shared" ca="1" si="281"/>
        <v>5.5</v>
      </c>
    </row>
    <row r="1616" spans="1:12" x14ac:dyDescent="0.25">
      <c r="A1616" s="20">
        <v>1608</v>
      </c>
      <c r="B1616" s="21">
        <f t="shared" ca="1" si="277"/>
        <v>4.8511495327278045</v>
      </c>
      <c r="C1616" s="21">
        <f t="shared" ca="1" si="282"/>
        <v>4858.2276244911282</v>
      </c>
      <c r="D1616" s="21">
        <f t="shared" ca="1" si="278"/>
        <v>0.53633425994989037</v>
      </c>
      <c r="E1616" s="21">
        <f t="shared" ca="1" si="285"/>
        <v>44.065919207784646</v>
      </c>
      <c r="F1616" s="20" t="str">
        <f t="shared" ca="1" si="283"/>
        <v>No</v>
      </c>
      <c r="G1616" s="21">
        <f t="shared" ca="1" si="279"/>
        <v>0</v>
      </c>
      <c r="H1616" s="21">
        <f t="shared" ca="1" si="280"/>
        <v>4902.2935436989128</v>
      </c>
      <c r="I1616" s="21">
        <f t="shared" ca="1" si="275"/>
        <v>4902.8298779588631</v>
      </c>
      <c r="J1616" s="20">
        <f t="shared" ca="1" si="284"/>
        <v>6</v>
      </c>
      <c r="K1616" s="20">
        <f t="shared" ca="1" si="276"/>
        <v>5</v>
      </c>
      <c r="L1616" s="44">
        <f t="shared" ca="1" si="281"/>
        <v>5.5</v>
      </c>
    </row>
    <row r="1617" spans="1:12" x14ac:dyDescent="0.25">
      <c r="A1617" s="20">
        <v>1609</v>
      </c>
      <c r="B1617" s="21">
        <f t="shared" ca="1" si="277"/>
        <v>5.7160077699323715</v>
      </c>
      <c r="C1617" s="21">
        <f t="shared" ca="1" si="282"/>
        <v>4863.9436322610609</v>
      </c>
      <c r="D1617" s="21">
        <f t="shared" ca="1" si="278"/>
        <v>5.0365729056889057</v>
      </c>
      <c r="E1617" s="21">
        <f t="shared" ca="1" si="285"/>
        <v>38.886245697802224</v>
      </c>
      <c r="F1617" s="20" t="str">
        <f t="shared" ca="1" si="283"/>
        <v>No</v>
      </c>
      <c r="G1617" s="21">
        <f t="shared" ca="1" si="279"/>
        <v>0</v>
      </c>
      <c r="H1617" s="21">
        <f t="shared" ca="1" si="280"/>
        <v>4902.8298779588631</v>
      </c>
      <c r="I1617" s="21">
        <f t="shared" ca="1" si="275"/>
        <v>4907.8664508645525</v>
      </c>
      <c r="J1617" s="20">
        <f t="shared" ca="1" si="284"/>
        <v>6</v>
      </c>
      <c r="K1617" s="20">
        <f t="shared" ca="1" si="276"/>
        <v>5</v>
      </c>
      <c r="L1617" s="44">
        <f t="shared" ca="1" si="281"/>
        <v>5.5</v>
      </c>
    </row>
    <row r="1618" spans="1:12" x14ac:dyDescent="0.25">
      <c r="A1618" s="20">
        <v>1610</v>
      </c>
      <c r="B1618" s="21">
        <f t="shared" ca="1" si="277"/>
        <v>0.8598416854636608</v>
      </c>
      <c r="C1618" s="21">
        <f t="shared" ca="1" si="282"/>
        <v>4864.8034739465247</v>
      </c>
      <c r="D1618" s="21">
        <f t="shared" ca="1" si="278"/>
        <v>2.0520434525050635</v>
      </c>
      <c r="E1618" s="21">
        <f t="shared" ca="1" si="285"/>
        <v>43.062976918027744</v>
      </c>
      <c r="F1618" s="20" t="str">
        <f t="shared" ca="1" si="283"/>
        <v>No</v>
      </c>
      <c r="G1618" s="21">
        <f t="shared" ca="1" si="279"/>
        <v>0</v>
      </c>
      <c r="H1618" s="21">
        <f t="shared" ca="1" si="280"/>
        <v>4907.8664508645525</v>
      </c>
      <c r="I1618" s="21">
        <f t="shared" ca="1" si="275"/>
        <v>4909.9184943170576</v>
      </c>
      <c r="J1618" s="20">
        <f t="shared" ca="1" si="284"/>
        <v>6</v>
      </c>
      <c r="K1618" s="20">
        <f t="shared" ca="1" si="276"/>
        <v>5</v>
      </c>
      <c r="L1618" s="44">
        <f t="shared" ca="1" si="281"/>
        <v>5.5</v>
      </c>
    </row>
    <row r="1619" spans="1:12" x14ac:dyDescent="0.25">
      <c r="A1619" s="20">
        <v>1611</v>
      </c>
      <c r="B1619" s="21">
        <f t="shared" ca="1" si="277"/>
        <v>3.6094051993527541</v>
      </c>
      <c r="C1619" s="21">
        <f t="shared" ca="1" si="282"/>
        <v>4868.4128791458779</v>
      </c>
      <c r="D1619" s="21">
        <f t="shared" ca="1" si="278"/>
        <v>3.8985604964338032</v>
      </c>
      <c r="E1619" s="21">
        <f t="shared" ca="1" si="285"/>
        <v>41.50561517117967</v>
      </c>
      <c r="F1619" s="20" t="str">
        <f t="shared" ca="1" si="283"/>
        <v>No</v>
      </c>
      <c r="G1619" s="21">
        <f t="shared" ca="1" si="279"/>
        <v>0</v>
      </c>
      <c r="H1619" s="21">
        <f t="shared" ca="1" si="280"/>
        <v>4909.9184943170576</v>
      </c>
      <c r="I1619" s="21">
        <f t="shared" ca="1" si="275"/>
        <v>4913.8170548134913</v>
      </c>
      <c r="J1619" s="20">
        <f t="shared" ca="1" si="284"/>
        <v>6</v>
      </c>
      <c r="K1619" s="20">
        <f t="shared" ca="1" si="276"/>
        <v>5</v>
      </c>
      <c r="L1619" s="44">
        <f t="shared" ca="1" si="281"/>
        <v>5.5</v>
      </c>
    </row>
    <row r="1620" spans="1:12" x14ac:dyDescent="0.25">
      <c r="A1620" s="20">
        <v>1612</v>
      </c>
      <c r="B1620" s="21">
        <f t="shared" ca="1" si="277"/>
        <v>0.45090572646781368</v>
      </c>
      <c r="C1620" s="21">
        <f t="shared" ca="1" si="282"/>
        <v>4868.8637848723456</v>
      </c>
      <c r="D1620" s="21">
        <f t="shared" ca="1" si="278"/>
        <v>4.8978362417739607</v>
      </c>
      <c r="E1620" s="21">
        <f t="shared" ca="1" si="285"/>
        <v>44.953269941145663</v>
      </c>
      <c r="F1620" s="20" t="str">
        <f t="shared" ca="1" si="283"/>
        <v>No</v>
      </c>
      <c r="G1620" s="21">
        <f t="shared" ca="1" si="279"/>
        <v>0</v>
      </c>
      <c r="H1620" s="21">
        <f t="shared" ca="1" si="280"/>
        <v>4913.8170548134913</v>
      </c>
      <c r="I1620" s="21">
        <f t="shared" ca="1" si="275"/>
        <v>4918.7148910552651</v>
      </c>
      <c r="J1620" s="20">
        <f t="shared" ca="1" si="284"/>
        <v>6</v>
      </c>
      <c r="K1620" s="20">
        <f t="shared" ca="1" si="276"/>
        <v>5</v>
      </c>
      <c r="L1620" s="44">
        <f t="shared" ca="1" si="281"/>
        <v>5.5</v>
      </c>
    </row>
    <row r="1621" spans="1:12" x14ac:dyDescent="0.25">
      <c r="A1621" s="20">
        <v>1613</v>
      </c>
      <c r="B1621" s="21">
        <f t="shared" ca="1" si="277"/>
        <v>0.31879188036218337</v>
      </c>
      <c r="C1621" s="21">
        <f t="shared" ca="1" si="282"/>
        <v>4869.182576752708</v>
      </c>
      <c r="D1621" s="21">
        <f t="shared" ca="1" si="278"/>
        <v>6.4494388410409054E-2</v>
      </c>
      <c r="E1621" s="21">
        <f t="shared" ca="1" si="285"/>
        <v>49.532314302557097</v>
      </c>
      <c r="F1621" s="20" t="str">
        <f t="shared" ca="1" si="283"/>
        <v>No</v>
      </c>
      <c r="G1621" s="21">
        <f t="shared" ca="1" si="279"/>
        <v>0</v>
      </c>
      <c r="H1621" s="21">
        <f t="shared" ca="1" si="280"/>
        <v>4918.7148910552651</v>
      </c>
      <c r="I1621" s="21">
        <f t="shared" ca="1" si="275"/>
        <v>4918.7793854436759</v>
      </c>
      <c r="J1621" s="20">
        <f t="shared" ca="1" si="284"/>
        <v>6</v>
      </c>
      <c r="K1621" s="20">
        <f t="shared" ca="1" si="276"/>
        <v>5</v>
      </c>
      <c r="L1621" s="44">
        <f t="shared" ca="1" si="281"/>
        <v>5.5</v>
      </c>
    </row>
    <row r="1622" spans="1:12" x14ac:dyDescent="0.25">
      <c r="A1622" s="20">
        <v>1614</v>
      </c>
      <c r="B1622" s="21">
        <f t="shared" ca="1" si="277"/>
        <v>1.3524434686828337</v>
      </c>
      <c r="C1622" s="21">
        <f t="shared" ca="1" si="282"/>
        <v>4870.5350202213904</v>
      </c>
      <c r="D1622" s="21">
        <f t="shared" ca="1" si="278"/>
        <v>0.55428267840430134</v>
      </c>
      <c r="E1622" s="21">
        <f t="shared" ca="1" si="285"/>
        <v>48.244365222285523</v>
      </c>
      <c r="F1622" s="20" t="str">
        <f t="shared" ca="1" si="283"/>
        <v>No</v>
      </c>
      <c r="G1622" s="21">
        <f t="shared" ca="1" si="279"/>
        <v>0</v>
      </c>
      <c r="H1622" s="21">
        <f t="shared" ca="1" si="280"/>
        <v>4918.7793854436759</v>
      </c>
      <c r="I1622" s="21">
        <f t="shared" ca="1" si="275"/>
        <v>4919.3336681220799</v>
      </c>
      <c r="J1622" s="20">
        <f t="shared" ca="1" si="284"/>
        <v>6</v>
      </c>
      <c r="K1622" s="20">
        <f t="shared" ca="1" si="276"/>
        <v>5</v>
      </c>
      <c r="L1622" s="44">
        <f t="shared" ca="1" si="281"/>
        <v>5.5</v>
      </c>
    </row>
    <row r="1623" spans="1:12" x14ac:dyDescent="0.25">
      <c r="A1623" s="20">
        <v>1615</v>
      </c>
      <c r="B1623" s="21">
        <f t="shared" ca="1" si="277"/>
        <v>0.59294117145869463</v>
      </c>
      <c r="C1623" s="21">
        <f t="shared" ca="1" si="282"/>
        <v>4871.1279613928491</v>
      </c>
      <c r="D1623" s="21">
        <f t="shared" ca="1" si="278"/>
        <v>0.61911336360953972</v>
      </c>
      <c r="E1623" s="21">
        <f t="shared" ca="1" si="285"/>
        <v>48.205706729230769</v>
      </c>
      <c r="F1623" s="20" t="str">
        <f t="shared" ca="1" si="283"/>
        <v>No</v>
      </c>
      <c r="G1623" s="21">
        <f t="shared" ca="1" si="279"/>
        <v>0</v>
      </c>
      <c r="H1623" s="21">
        <f t="shared" ca="1" si="280"/>
        <v>4919.3336681220799</v>
      </c>
      <c r="I1623" s="21">
        <f t="shared" ca="1" si="275"/>
        <v>4919.9527814856892</v>
      </c>
      <c r="J1623" s="20">
        <f t="shared" ca="1" si="284"/>
        <v>6</v>
      </c>
      <c r="K1623" s="20">
        <f t="shared" ca="1" si="276"/>
        <v>5</v>
      </c>
      <c r="L1623" s="44">
        <f t="shared" ca="1" si="281"/>
        <v>5.5</v>
      </c>
    </row>
    <row r="1624" spans="1:12" x14ac:dyDescent="0.25">
      <c r="A1624" s="20">
        <v>1616</v>
      </c>
      <c r="B1624" s="21">
        <f t="shared" ca="1" si="277"/>
        <v>0.15622497241616323</v>
      </c>
      <c r="C1624" s="21">
        <f t="shared" ca="1" si="282"/>
        <v>4871.2841863652657</v>
      </c>
      <c r="D1624" s="21">
        <f t="shared" ca="1" si="278"/>
        <v>5.9847362970259095</v>
      </c>
      <c r="E1624" s="21">
        <f t="shared" ca="1" si="285"/>
        <v>48.668595120423561</v>
      </c>
      <c r="F1624" s="20" t="str">
        <f t="shared" ca="1" si="283"/>
        <v>No</v>
      </c>
      <c r="G1624" s="21">
        <f t="shared" ca="1" si="279"/>
        <v>0</v>
      </c>
      <c r="H1624" s="21">
        <f t="shared" ca="1" si="280"/>
        <v>4919.9527814856892</v>
      </c>
      <c r="I1624" s="21">
        <f t="shared" ca="1" si="275"/>
        <v>4925.9375177827151</v>
      </c>
      <c r="J1624" s="20">
        <f t="shared" ca="1" si="284"/>
        <v>6</v>
      </c>
      <c r="K1624" s="20">
        <f t="shared" ca="1" si="276"/>
        <v>5</v>
      </c>
      <c r="L1624" s="44">
        <f t="shared" ca="1" si="281"/>
        <v>5.5</v>
      </c>
    </row>
    <row r="1625" spans="1:12" x14ac:dyDescent="0.25">
      <c r="A1625" s="20">
        <v>1617</v>
      </c>
      <c r="B1625" s="21">
        <f t="shared" ca="1" si="277"/>
        <v>4.3044482688520063</v>
      </c>
      <c r="C1625" s="21">
        <f t="shared" ca="1" si="282"/>
        <v>4875.5886346341176</v>
      </c>
      <c r="D1625" s="21">
        <f t="shared" ca="1" si="278"/>
        <v>0.3332812150143411</v>
      </c>
      <c r="E1625" s="21">
        <f t="shared" ca="1" si="285"/>
        <v>50.348883148597452</v>
      </c>
      <c r="F1625" s="20" t="str">
        <f t="shared" ca="1" si="283"/>
        <v>No</v>
      </c>
      <c r="G1625" s="21">
        <f t="shared" ca="1" si="279"/>
        <v>0</v>
      </c>
      <c r="H1625" s="21">
        <f t="shared" ca="1" si="280"/>
        <v>4925.9375177827151</v>
      </c>
      <c r="I1625" s="21">
        <f t="shared" ca="1" si="275"/>
        <v>4926.2707989977298</v>
      </c>
      <c r="J1625" s="20">
        <f t="shared" ca="1" si="284"/>
        <v>6</v>
      </c>
      <c r="K1625" s="20">
        <f t="shared" ca="1" si="276"/>
        <v>5</v>
      </c>
      <c r="L1625" s="44">
        <f t="shared" ca="1" si="281"/>
        <v>5.5</v>
      </c>
    </row>
    <row r="1626" spans="1:12" x14ac:dyDescent="0.25">
      <c r="A1626" s="20">
        <v>1618</v>
      </c>
      <c r="B1626" s="21">
        <f t="shared" ca="1" si="277"/>
        <v>4.756347377163066</v>
      </c>
      <c r="C1626" s="21">
        <f t="shared" ca="1" si="282"/>
        <v>4880.344982011281</v>
      </c>
      <c r="D1626" s="21">
        <f t="shared" ca="1" si="278"/>
        <v>2.5057694158764066</v>
      </c>
      <c r="E1626" s="21">
        <f t="shared" ca="1" si="285"/>
        <v>45.925816986448808</v>
      </c>
      <c r="F1626" s="20" t="str">
        <f t="shared" ca="1" si="283"/>
        <v>No</v>
      </c>
      <c r="G1626" s="21">
        <f t="shared" ca="1" si="279"/>
        <v>0</v>
      </c>
      <c r="H1626" s="21">
        <f t="shared" ca="1" si="280"/>
        <v>4926.2707989977298</v>
      </c>
      <c r="I1626" s="21">
        <f t="shared" ca="1" si="275"/>
        <v>4928.7765684136066</v>
      </c>
      <c r="J1626" s="20">
        <f t="shared" ca="1" si="284"/>
        <v>6</v>
      </c>
      <c r="K1626" s="20">
        <f t="shared" ca="1" si="276"/>
        <v>5</v>
      </c>
      <c r="L1626" s="44">
        <f t="shared" ca="1" si="281"/>
        <v>5.5</v>
      </c>
    </row>
    <row r="1627" spans="1:12" x14ac:dyDescent="0.25">
      <c r="A1627" s="20">
        <v>1619</v>
      </c>
      <c r="B1627" s="21">
        <f t="shared" ca="1" si="277"/>
        <v>4.7545217907535449</v>
      </c>
      <c r="C1627" s="21">
        <f t="shared" ca="1" si="282"/>
        <v>4885.0995038020346</v>
      </c>
      <c r="D1627" s="21">
        <f t="shared" ca="1" si="278"/>
        <v>0.31260102291239328</v>
      </c>
      <c r="E1627" s="21">
        <f t="shared" ca="1" si="285"/>
        <v>43.67706461157195</v>
      </c>
      <c r="F1627" s="20" t="str">
        <f t="shared" ca="1" si="283"/>
        <v>No</v>
      </c>
      <c r="G1627" s="21">
        <f t="shared" ca="1" si="279"/>
        <v>0</v>
      </c>
      <c r="H1627" s="21">
        <f t="shared" ca="1" si="280"/>
        <v>4928.7765684136066</v>
      </c>
      <c r="I1627" s="21">
        <f t="shared" ca="1" si="275"/>
        <v>4929.0891694365191</v>
      </c>
      <c r="J1627" s="20">
        <f t="shared" ca="1" si="284"/>
        <v>6</v>
      </c>
      <c r="K1627" s="20">
        <f t="shared" ca="1" si="276"/>
        <v>5</v>
      </c>
      <c r="L1627" s="44">
        <f t="shared" ca="1" si="281"/>
        <v>5.5</v>
      </c>
    </row>
    <row r="1628" spans="1:12" x14ac:dyDescent="0.25">
      <c r="A1628" s="20">
        <v>1620</v>
      </c>
      <c r="B1628" s="21">
        <f t="shared" ca="1" si="277"/>
        <v>3.2742562300985765</v>
      </c>
      <c r="C1628" s="21">
        <f t="shared" ca="1" si="282"/>
        <v>4888.3737600321329</v>
      </c>
      <c r="D1628" s="21">
        <f t="shared" ca="1" si="278"/>
        <v>1.0831559474092307</v>
      </c>
      <c r="E1628" s="21">
        <f t="shared" ca="1" si="285"/>
        <v>40.715409404386264</v>
      </c>
      <c r="F1628" s="20" t="str">
        <f t="shared" ca="1" si="283"/>
        <v>No</v>
      </c>
      <c r="G1628" s="21">
        <f t="shared" ca="1" si="279"/>
        <v>0</v>
      </c>
      <c r="H1628" s="21">
        <f t="shared" ca="1" si="280"/>
        <v>4929.0891694365191</v>
      </c>
      <c r="I1628" s="21">
        <f t="shared" ca="1" si="275"/>
        <v>4930.1723253839282</v>
      </c>
      <c r="J1628" s="20">
        <f t="shared" ca="1" si="284"/>
        <v>6</v>
      </c>
      <c r="K1628" s="20">
        <f t="shared" ca="1" si="276"/>
        <v>5</v>
      </c>
      <c r="L1628" s="44">
        <f t="shared" ca="1" si="281"/>
        <v>5.5</v>
      </c>
    </row>
    <row r="1629" spans="1:12" x14ac:dyDescent="0.25">
      <c r="A1629" s="20">
        <v>1621</v>
      </c>
      <c r="B1629" s="21">
        <f t="shared" ca="1" si="277"/>
        <v>1.3945637728990228E-2</v>
      </c>
      <c r="C1629" s="21">
        <f t="shared" ca="1" si="282"/>
        <v>4888.387705669862</v>
      </c>
      <c r="D1629" s="21">
        <f t="shared" ca="1" si="278"/>
        <v>2.6010259325569454</v>
      </c>
      <c r="E1629" s="21">
        <f t="shared" ca="1" si="285"/>
        <v>41.784619714066139</v>
      </c>
      <c r="F1629" s="20" t="str">
        <f t="shared" ca="1" si="283"/>
        <v>No</v>
      </c>
      <c r="G1629" s="21">
        <f t="shared" ca="1" si="279"/>
        <v>0</v>
      </c>
      <c r="H1629" s="21">
        <f t="shared" ca="1" si="280"/>
        <v>4930.1723253839282</v>
      </c>
      <c r="I1629" s="21">
        <f t="shared" ca="1" si="275"/>
        <v>4932.7733513164849</v>
      </c>
      <c r="J1629" s="20">
        <f t="shared" ca="1" si="284"/>
        <v>6</v>
      </c>
      <c r="K1629" s="20">
        <f t="shared" ca="1" si="276"/>
        <v>5</v>
      </c>
      <c r="L1629" s="44">
        <f t="shared" ca="1" si="281"/>
        <v>5.5</v>
      </c>
    </row>
    <row r="1630" spans="1:12" x14ac:dyDescent="0.25">
      <c r="A1630" s="20">
        <v>1622</v>
      </c>
      <c r="B1630" s="21">
        <f t="shared" ca="1" si="277"/>
        <v>3.496703421867029</v>
      </c>
      <c r="C1630" s="21">
        <f t="shared" ca="1" si="282"/>
        <v>4891.8844090917291</v>
      </c>
      <c r="D1630" s="21">
        <f t="shared" ca="1" si="278"/>
        <v>6.0375927173414405</v>
      </c>
      <c r="E1630" s="21">
        <f t="shared" ca="1" si="285"/>
        <v>40.888942224755738</v>
      </c>
      <c r="F1630" s="20" t="str">
        <f t="shared" ca="1" si="283"/>
        <v>No</v>
      </c>
      <c r="G1630" s="21">
        <f t="shared" ca="1" si="279"/>
        <v>0</v>
      </c>
      <c r="H1630" s="21">
        <f t="shared" ca="1" si="280"/>
        <v>4932.7733513164849</v>
      </c>
      <c r="I1630" s="21">
        <f t="shared" ca="1" si="275"/>
        <v>4938.8109440338267</v>
      </c>
      <c r="J1630" s="20">
        <f t="shared" ca="1" si="284"/>
        <v>6</v>
      </c>
      <c r="K1630" s="20">
        <f t="shared" ca="1" si="276"/>
        <v>5</v>
      </c>
      <c r="L1630" s="44">
        <f t="shared" ca="1" si="281"/>
        <v>5.5</v>
      </c>
    </row>
    <row r="1631" spans="1:12" x14ac:dyDescent="0.25">
      <c r="A1631" s="20">
        <v>1623</v>
      </c>
      <c r="B1631" s="21">
        <f t="shared" ca="1" si="277"/>
        <v>3.0367158687450293</v>
      </c>
      <c r="C1631" s="21">
        <f t="shared" ca="1" si="282"/>
        <v>4894.9211249604741</v>
      </c>
      <c r="D1631" s="21">
        <f t="shared" ca="1" si="278"/>
        <v>0.19425182005940367</v>
      </c>
      <c r="E1631" s="21">
        <f t="shared" ca="1" si="285"/>
        <v>43.889819073352555</v>
      </c>
      <c r="F1631" s="20" t="str">
        <f t="shared" ca="1" si="283"/>
        <v>No</v>
      </c>
      <c r="G1631" s="21">
        <f t="shared" ca="1" si="279"/>
        <v>0</v>
      </c>
      <c r="H1631" s="21">
        <f t="shared" ca="1" si="280"/>
        <v>4938.8109440338267</v>
      </c>
      <c r="I1631" s="21">
        <f t="shared" ca="1" si="275"/>
        <v>4939.0051958538861</v>
      </c>
      <c r="J1631" s="20">
        <f t="shared" ca="1" si="284"/>
        <v>6</v>
      </c>
      <c r="K1631" s="20">
        <f t="shared" ca="1" si="276"/>
        <v>5</v>
      </c>
      <c r="L1631" s="44">
        <f t="shared" ca="1" si="281"/>
        <v>5.5</v>
      </c>
    </row>
    <row r="1632" spans="1:12" x14ac:dyDescent="0.25">
      <c r="A1632" s="20">
        <v>1624</v>
      </c>
      <c r="B1632" s="21">
        <f t="shared" ca="1" si="277"/>
        <v>1.0066337362079265</v>
      </c>
      <c r="C1632" s="21">
        <f t="shared" ca="1" si="282"/>
        <v>4895.9277586966818</v>
      </c>
      <c r="D1632" s="21">
        <f t="shared" ca="1" si="278"/>
        <v>2.2611964419007435</v>
      </c>
      <c r="E1632" s="21">
        <f t="shared" ca="1" si="285"/>
        <v>43.077437157204258</v>
      </c>
      <c r="F1632" s="20" t="str">
        <f t="shared" ca="1" si="283"/>
        <v>No</v>
      </c>
      <c r="G1632" s="21">
        <f t="shared" ca="1" si="279"/>
        <v>0</v>
      </c>
      <c r="H1632" s="21">
        <f t="shared" ca="1" si="280"/>
        <v>4939.0051958538861</v>
      </c>
      <c r="I1632" s="21">
        <f t="shared" ca="1" si="275"/>
        <v>4941.2663922957872</v>
      </c>
      <c r="J1632" s="20">
        <f t="shared" ca="1" si="284"/>
        <v>6</v>
      </c>
      <c r="K1632" s="20">
        <f t="shared" ca="1" si="276"/>
        <v>5</v>
      </c>
      <c r="L1632" s="44">
        <f t="shared" ca="1" si="281"/>
        <v>5.5</v>
      </c>
    </row>
    <row r="1633" spans="1:12" x14ac:dyDescent="0.25">
      <c r="A1633" s="20">
        <v>1625</v>
      </c>
      <c r="B1633" s="21">
        <f t="shared" ca="1" si="277"/>
        <v>4.9099564556283113</v>
      </c>
      <c r="C1633" s="21">
        <f t="shared" ca="1" si="282"/>
        <v>4900.83771515231</v>
      </c>
      <c r="D1633" s="21">
        <f t="shared" ca="1" si="278"/>
        <v>0.12030866464284684</v>
      </c>
      <c r="E1633" s="21">
        <f t="shared" ca="1" si="285"/>
        <v>40.428677143477216</v>
      </c>
      <c r="F1633" s="20" t="str">
        <f t="shared" ca="1" si="283"/>
        <v>No</v>
      </c>
      <c r="G1633" s="21">
        <f t="shared" ca="1" si="279"/>
        <v>0</v>
      </c>
      <c r="H1633" s="21">
        <f t="shared" ca="1" si="280"/>
        <v>4941.2663922957872</v>
      </c>
      <c r="I1633" s="21">
        <f t="shared" ca="1" si="275"/>
        <v>4941.3867009604301</v>
      </c>
      <c r="J1633" s="20">
        <f t="shared" ca="1" si="284"/>
        <v>6</v>
      </c>
      <c r="K1633" s="20">
        <f t="shared" ca="1" si="276"/>
        <v>5</v>
      </c>
      <c r="L1633" s="44">
        <f t="shared" ca="1" si="281"/>
        <v>5.5</v>
      </c>
    </row>
    <row r="1634" spans="1:12" x14ac:dyDescent="0.25">
      <c r="A1634" s="20">
        <v>1626</v>
      </c>
      <c r="B1634" s="21">
        <f t="shared" ca="1" si="277"/>
        <v>4.1006518311675046</v>
      </c>
      <c r="C1634" s="21">
        <f t="shared" ca="1" si="282"/>
        <v>4904.9383669834779</v>
      </c>
      <c r="D1634" s="21">
        <f t="shared" ca="1" si="278"/>
        <v>0.30944060952537744</v>
      </c>
      <c r="E1634" s="21">
        <f t="shared" ca="1" si="285"/>
        <v>36.448333976952199</v>
      </c>
      <c r="F1634" s="20" t="str">
        <f t="shared" ca="1" si="283"/>
        <v>No</v>
      </c>
      <c r="G1634" s="21">
        <f t="shared" ca="1" si="279"/>
        <v>0</v>
      </c>
      <c r="H1634" s="21">
        <f t="shared" ca="1" si="280"/>
        <v>4941.3867009604301</v>
      </c>
      <c r="I1634" s="21">
        <f t="shared" ca="1" si="275"/>
        <v>4941.6961415699552</v>
      </c>
      <c r="J1634" s="20">
        <f t="shared" ca="1" si="284"/>
        <v>6</v>
      </c>
      <c r="K1634" s="20">
        <f t="shared" ca="1" si="276"/>
        <v>5</v>
      </c>
      <c r="L1634" s="44">
        <f t="shared" ca="1" si="281"/>
        <v>5.5</v>
      </c>
    </row>
    <row r="1635" spans="1:12" x14ac:dyDescent="0.25">
      <c r="A1635" s="20">
        <v>1627</v>
      </c>
      <c r="B1635" s="21">
        <f t="shared" ca="1" si="277"/>
        <v>4.2225133392320116</v>
      </c>
      <c r="C1635" s="21">
        <f t="shared" ca="1" si="282"/>
        <v>4909.16088032271</v>
      </c>
      <c r="D1635" s="21">
        <f t="shared" ca="1" si="278"/>
        <v>1.1525061092134432</v>
      </c>
      <c r="E1635" s="21">
        <f t="shared" ca="1" si="285"/>
        <v>32.535261247245217</v>
      </c>
      <c r="F1635" s="20" t="str">
        <f t="shared" ca="1" si="283"/>
        <v>No</v>
      </c>
      <c r="G1635" s="21">
        <f t="shared" ca="1" si="279"/>
        <v>0</v>
      </c>
      <c r="H1635" s="21">
        <f t="shared" ca="1" si="280"/>
        <v>4941.6961415699552</v>
      </c>
      <c r="I1635" s="21">
        <f t="shared" ca="1" si="275"/>
        <v>4942.8486476791686</v>
      </c>
      <c r="J1635" s="20">
        <f t="shared" ca="1" si="284"/>
        <v>6</v>
      </c>
      <c r="K1635" s="20">
        <f t="shared" ca="1" si="276"/>
        <v>5</v>
      </c>
      <c r="L1635" s="44">
        <f t="shared" ca="1" si="281"/>
        <v>5.5</v>
      </c>
    </row>
    <row r="1636" spans="1:12" x14ac:dyDescent="0.25">
      <c r="A1636" s="20">
        <v>1628</v>
      </c>
      <c r="B1636" s="21">
        <f t="shared" ca="1" si="277"/>
        <v>1.8458090673019552</v>
      </c>
      <c r="C1636" s="21">
        <f t="shared" ca="1" si="282"/>
        <v>4911.0066893900121</v>
      </c>
      <c r="D1636" s="21">
        <f t="shared" ca="1" si="278"/>
        <v>3.8719628527124228</v>
      </c>
      <c r="E1636" s="21">
        <f t="shared" ca="1" si="285"/>
        <v>31.841958289156537</v>
      </c>
      <c r="F1636" s="20" t="str">
        <f t="shared" ca="1" si="283"/>
        <v>No</v>
      </c>
      <c r="G1636" s="21">
        <f t="shared" ca="1" si="279"/>
        <v>0</v>
      </c>
      <c r="H1636" s="21">
        <f t="shared" ca="1" si="280"/>
        <v>4942.8486476791686</v>
      </c>
      <c r="I1636" s="21">
        <f t="shared" ca="1" si="275"/>
        <v>4946.720610531881</v>
      </c>
      <c r="J1636" s="20">
        <f t="shared" ca="1" si="284"/>
        <v>6</v>
      </c>
      <c r="K1636" s="20">
        <f t="shared" ca="1" si="276"/>
        <v>5</v>
      </c>
      <c r="L1636" s="44">
        <f t="shared" ca="1" si="281"/>
        <v>5.5</v>
      </c>
    </row>
    <row r="1637" spans="1:12" x14ac:dyDescent="0.25">
      <c r="A1637" s="20">
        <v>1629</v>
      </c>
      <c r="B1637" s="21">
        <f t="shared" ca="1" si="277"/>
        <v>1.9438455024321992</v>
      </c>
      <c r="C1637" s="21">
        <f t="shared" ca="1" si="282"/>
        <v>4912.950534892444</v>
      </c>
      <c r="D1637" s="21">
        <f t="shared" ca="1" si="278"/>
        <v>2.9658627325701379</v>
      </c>
      <c r="E1637" s="21">
        <f t="shared" ca="1" si="285"/>
        <v>33.770075639436982</v>
      </c>
      <c r="F1637" s="20" t="str">
        <f t="shared" ca="1" si="283"/>
        <v>No</v>
      </c>
      <c r="G1637" s="21">
        <f t="shared" ca="1" si="279"/>
        <v>0</v>
      </c>
      <c r="H1637" s="21">
        <f t="shared" ca="1" si="280"/>
        <v>4946.720610531881</v>
      </c>
      <c r="I1637" s="21">
        <f t="shared" ca="1" si="275"/>
        <v>4949.6864732644508</v>
      </c>
      <c r="J1637" s="20">
        <f t="shared" ca="1" si="284"/>
        <v>6</v>
      </c>
      <c r="K1637" s="20">
        <f t="shared" ca="1" si="276"/>
        <v>5</v>
      </c>
      <c r="L1637" s="44">
        <f t="shared" ca="1" si="281"/>
        <v>5.5</v>
      </c>
    </row>
    <row r="1638" spans="1:12" x14ac:dyDescent="0.25">
      <c r="A1638" s="20">
        <v>1630</v>
      </c>
      <c r="B1638" s="21">
        <f t="shared" ca="1" si="277"/>
        <v>0.45683930209252477</v>
      </c>
      <c r="C1638" s="21">
        <f t="shared" ca="1" si="282"/>
        <v>4913.4073741945367</v>
      </c>
      <c r="D1638" s="21">
        <f t="shared" ca="1" si="278"/>
        <v>4.4357330289040178</v>
      </c>
      <c r="E1638" s="21">
        <f t="shared" ca="1" si="285"/>
        <v>36.279099069914082</v>
      </c>
      <c r="F1638" s="20" t="str">
        <f t="shared" ca="1" si="283"/>
        <v>No</v>
      </c>
      <c r="G1638" s="21">
        <f t="shared" ca="1" si="279"/>
        <v>0</v>
      </c>
      <c r="H1638" s="21">
        <f t="shared" ca="1" si="280"/>
        <v>4949.6864732644508</v>
      </c>
      <c r="I1638" s="21">
        <f t="shared" ca="1" si="275"/>
        <v>4954.1222062933548</v>
      </c>
      <c r="J1638" s="20">
        <f t="shared" ca="1" si="284"/>
        <v>6</v>
      </c>
      <c r="K1638" s="20">
        <f t="shared" ca="1" si="276"/>
        <v>5</v>
      </c>
      <c r="L1638" s="44">
        <f t="shared" ca="1" si="281"/>
        <v>5.5</v>
      </c>
    </row>
    <row r="1639" spans="1:12" x14ac:dyDescent="0.25">
      <c r="A1639" s="20">
        <v>1631</v>
      </c>
      <c r="B1639" s="21">
        <f t="shared" ca="1" si="277"/>
        <v>1.1668964754349429</v>
      </c>
      <c r="C1639" s="21">
        <f t="shared" ca="1" si="282"/>
        <v>4914.5742706699721</v>
      </c>
      <c r="D1639" s="21">
        <f t="shared" ca="1" si="278"/>
        <v>1.2919632354120394</v>
      </c>
      <c r="E1639" s="21">
        <f t="shared" ca="1" si="285"/>
        <v>39.547935623382727</v>
      </c>
      <c r="F1639" s="20" t="str">
        <f t="shared" ca="1" si="283"/>
        <v>No</v>
      </c>
      <c r="G1639" s="21">
        <f t="shared" ca="1" si="279"/>
        <v>0</v>
      </c>
      <c r="H1639" s="21">
        <f t="shared" ca="1" si="280"/>
        <v>4954.1222062933548</v>
      </c>
      <c r="I1639" s="21">
        <f t="shared" ca="1" si="275"/>
        <v>4955.4141695287672</v>
      </c>
      <c r="J1639" s="20">
        <f t="shared" ca="1" si="284"/>
        <v>6</v>
      </c>
      <c r="K1639" s="20">
        <f t="shared" ca="1" si="276"/>
        <v>5</v>
      </c>
      <c r="L1639" s="44">
        <f t="shared" ca="1" si="281"/>
        <v>5.5</v>
      </c>
    </row>
    <row r="1640" spans="1:12" x14ac:dyDescent="0.25">
      <c r="A1640" s="20">
        <v>1632</v>
      </c>
      <c r="B1640" s="21">
        <f t="shared" ca="1" si="277"/>
        <v>5.6797561792135891</v>
      </c>
      <c r="C1640" s="21">
        <f t="shared" ca="1" si="282"/>
        <v>4920.2540268491857</v>
      </c>
      <c r="D1640" s="21">
        <f t="shared" ca="1" si="278"/>
        <v>6.2758027130812</v>
      </c>
      <c r="E1640" s="21">
        <f t="shared" ca="1" si="285"/>
        <v>35.16014267958144</v>
      </c>
      <c r="F1640" s="20" t="str">
        <f t="shared" ca="1" si="283"/>
        <v>No</v>
      </c>
      <c r="G1640" s="21">
        <f t="shared" ca="1" si="279"/>
        <v>0</v>
      </c>
      <c r="H1640" s="21">
        <f t="shared" ca="1" si="280"/>
        <v>4955.4141695287672</v>
      </c>
      <c r="I1640" s="21">
        <f t="shared" ca="1" si="275"/>
        <v>4961.6899722418484</v>
      </c>
      <c r="J1640" s="20">
        <f t="shared" ca="1" si="284"/>
        <v>6</v>
      </c>
      <c r="K1640" s="20">
        <f t="shared" ca="1" si="276"/>
        <v>5</v>
      </c>
      <c r="L1640" s="44">
        <f t="shared" ca="1" si="281"/>
        <v>5.5</v>
      </c>
    </row>
    <row r="1641" spans="1:12" x14ac:dyDescent="0.25">
      <c r="A1641" s="20">
        <v>1633</v>
      </c>
      <c r="B1641" s="21">
        <f t="shared" ca="1" si="277"/>
        <v>9.8433882000330915</v>
      </c>
      <c r="C1641" s="21">
        <f t="shared" ca="1" si="282"/>
        <v>4930.0974150492184</v>
      </c>
      <c r="D1641" s="21">
        <f t="shared" ca="1" si="278"/>
        <v>9.6043276381539991E-2</v>
      </c>
      <c r="E1641" s="21">
        <f t="shared" ca="1" si="285"/>
        <v>31.592557192630011</v>
      </c>
      <c r="F1641" s="20" t="str">
        <f t="shared" ca="1" si="283"/>
        <v>No</v>
      </c>
      <c r="G1641" s="21">
        <f t="shared" ca="1" si="279"/>
        <v>0</v>
      </c>
      <c r="H1641" s="21">
        <f t="shared" ca="1" si="280"/>
        <v>4961.6899722418484</v>
      </c>
      <c r="I1641" s="21">
        <f t="shared" ca="1" si="275"/>
        <v>4961.7860155182298</v>
      </c>
      <c r="J1641" s="20">
        <f t="shared" ca="1" si="284"/>
        <v>6</v>
      </c>
      <c r="K1641" s="20">
        <f t="shared" ca="1" si="276"/>
        <v>5</v>
      </c>
      <c r="L1641" s="44">
        <f t="shared" ca="1" si="281"/>
        <v>5.5</v>
      </c>
    </row>
    <row r="1642" spans="1:12" x14ac:dyDescent="0.25">
      <c r="A1642" s="20">
        <v>1634</v>
      </c>
      <c r="B1642" s="21">
        <f t="shared" ca="1" si="277"/>
        <v>7.5115512298084033</v>
      </c>
      <c r="C1642" s="21">
        <f t="shared" ca="1" si="282"/>
        <v>4937.6089662790264</v>
      </c>
      <c r="D1642" s="21">
        <f t="shared" ca="1" si="278"/>
        <v>1.0285026686560332</v>
      </c>
      <c r="E1642" s="21">
        <f t="shared" ca="1" si="285"/>
        <v>24.17704923920337</v>
      </c>
      <c r="F1642" s="20" t="str">
        <f t="shared" ca="1" si="283"/>
        <v>No</v>
      </c>
      <c r="G1642" s="21">
        <f t="shared" ca="1" si="279"/>
        <v>0</v>
      </c>
      <c r="H1642" s="21">
        <f t="shared" ca="1" si="280"/>
        <v>4961.7860155182298</v>
      </c>
      <c r="I1642" s="21">
        <f t="shared" ca="1" si="275"/>
        <v>4962.8145181868858</v>
      </c>
      <c r="J1642" s="20">
        <f t="shared" ca="1" si="284"/>
        <v>6</v>
      </c>
      <c r="K1642" s="20">
        <f t="shared" ca="1" si="276"/>
        <v>5</v>
      </c>
      <c r="L1642" s="44">
        <f t="shared" ca="1" si="281"/>
        <v>5.5</v>
      </c>
    </row>
    <row r="1643" spans="1:12" x14ac:dyDescent="0.25">
      <c r="A1643" s="20">
        <v>1635</v>
      </c>
      <c r="B1643" s="21">
        <f t="shared" ca="1" si="277"/>
        <v>1.5105772113152274</v>
      </c>
      <c r="C1643" s="21">
        <f t="shared" ca="1" si="282"/>
        <v>4939.119543490342</v>
      </c>
      <c r="D1643" s="21">
        <f t="shared" ca="1" si="278"/>
        <v>4.0903606389982743E-2</v>
      </c>
      <c r="E1643" s="21">
        <f t="shared" ca="1" si="285"/>
        <v>23.694974696543795</v>
      </c>
      <c r="F1643" s="20" t="str">
        <f t="shared" ca="1" si="283"/>
        <v>No</v>
      </c>
      <c r="G1643" s="21">
        <f t="shared" ca="1" si="279"/>
        <v>0</v>
      </c>
      <c r="H1643" s="21">
        <f t="shared" ca="1" si="280"/>
        <v>4962.8145181868858</v>
      </c>
      <c r="I1643" s="21">
        <f t="shared" ca="1" si="275"/>
        <v>4962.855421793276</v>
      </c>
      <c r="J1643" s="20">
        <f t="shared" ca="1" si="284"/>
        <v>6</v>
      </c>
      <c r="K1643" s="20">
        <f t="shared" ca="1" si="276"/>
        <v>5</v>
      </c>
      <c r="L1643" s="44">
        <f t="shared" ca="1" si="281"/>
        <v>5.5</v>
      </c>
    </row>
    <row r="1644" spans="1:12" x14ac:dyDescent="0.25">
      <c r="A1644" s="20">
        <v>1636</v>
      </c>
      <c r="B1644" s="21">
        <f t="shared" ca="1" si="277"/>
        <v>3.2917753912339043</v>
      </c>
      <c r="C1644" s="21">
        <f t="shared" ca="1" si="282"/>
        <v>4942.4113188815763</v>
      </c>
      <c r="D1644" s="21">
        <f t="shared" ca="1" si="278"/>
        <v>2.2223604987950076</v>
      </c>
      <c r="E1644" s="21">
        <f t="shared" ca="1" si="285"/>
        <v>20.444102911699702</v>
      </c>
      <c r="F1644" s="20" t="str">
        <f t="shared" ca="1" si="283"/>
        <v>No</v>
      </c>
      <c r="G1644" s="21">
        <f t="shared" ca="1" si="279"/>
        <v>0</v>
      </c>
      <c r="H1644" s="21">
        <f t="shared" ca="1" si="280"/>
        <v>4962.855421793276</v>
      </c>
      <c r="I1644" s="21">
        <f t="shared" ca="1" si="275"/>
        <v>4965.0777822920709</v>
      </c>
      <c r="J1644" s="20">
        <f t="shared" ca="1" si="284"/>
        <v>6</v>
      </c>
      <c r="K1644" s="20">
        <f t="shared" ca="1" si="276"/>
        <v>5</v>
      </c>
      <c r="L1644" s="44">
        <f t="shared" ca="1" si="281"/>
        <v>5.5</v>
      </c>
    </row>
    <row r="1645" spans="1:12" x14ac:dyDescent="0.25">
      <c r="A1645" s="20">
        <v>1637</v>
      </c>
      <c r="B1645" s="21">
        <f t="shared" ca="1" si="277"/>
        <v>5.2416716788220867</v>
      </c>
      <c r="C1645" s="21">
        <f t="shared" ca="1" si="282"/>
        <v>4947.6529905603984</v>
      </c>
      <c r="D1645" s="21">
        <f t="shared" ca="1" si="278"/>
        <v>2.0729751895491777</v>
      </c>
      <c r="E1645" s="21">
        <f t="shared" ca="1" si="285"/>
        <v>17.424791731672485</v>
      </c>
      <c r="F1645" s="20" t="str">
        <f t="shared" ca="1" si="283"/>
        <v>No</v>
      </c>
      <c r="G1645" s="21">
        <f t="shared" ca="1" si="279"/>
        <v>0</v>
      </c>
      <c r="H1645" s="21">
        <f t="shared" ca="1" si="280"/>
        <v>4965.0777822920709</v>
      </c>
      <c r="I1645" s="21">
        <f t="shared" ca="1" si="275"/>
        <v>4967.1507574816196</v>
      </c>
      <c r="J1645" s="20">
        <f t="shared" ca="1" si="284"/>
        <v>6</v>
      </c>
      <c r="K1645" s="20">
        <f t="shared" ca="1" si="276"/>
        <v>5</v>
      </c>
      <c r="L1645" s="44">
        <f t="shared" ca="1" si="281"/>
        <v>5.5</v>
      </c>
    </row>
    <row r="1646" spans="1:12" x14ac:dyDescent="0.25">
      <c r="A1646" s="20">
        <v>1638</v>
      </c>
      <c r="B1646" s="21">
        <f t="shared" ca="1" si="277"/>
        <v>3.5823901654960242</v>
      </c>
      <c r="C1646" s="21">
        <f t="shared" ca="1" si="282"/>
        <v>4951.2353807258942</v>
      </c>
      <c r="D1646" s="21">
        <f t="shared" ca="1" si="278"/>
        <v>5.195260081341484</v>
      </c>
      <c r="E1646" s="21">
        <f t="shared" ca="1" si="285"/>
        <v>15.915376755725447</v>
      </c>
      <c r="F1646" s="20" t="str">
        <f t="shared" ca="1" si="283"/>
        <v>No</v>
      </c>
      <c r="G1646" s="21">
        <f t="shared" ca="1" si="279"/>
        <v>0</v>
      </c>
      <c r="H1646" s="21">
        <f t="shared" ca="1" si="280"/>
        <v>4967.1507574816196</v>
      </c>
      <c r="I1646" s="21">
        <f t="shared" ca="1" si="275"/>
        <v>4972.3460175629607</v>
      </c>
      <c r="J1646" s="20">
        <f t="shared" ca="1" si="284"/>
        <v>6</v>
      </c>
      <c r="K1646" s="20">
        <f t="shared" ca="1" si="276"/>
        <v>5</v>
      </c>
      <c r="L1646" s="44">
        <f t="shared" ca="1" si="281"/>
        <v>5.5</v>
      </c>
    </row>
    <row r="1647" spans="1:12" x14ac:dyDescent="0.25">
      <c r="A1647" s="20">
        <v>1639</v>
      </c>
      <c r="B1647" s="21">
        <f t="shared" ca="1" si="277"/>
        <v>1.8503542376790434</v>
      </c>
      <c r="C1647" s="21">
        <f t="shared" ca="1" si="282"/>
        <v>4953.0857349635735</v>
      </c>
      <c r="D1647" s="21">
        <f t="shared" ca="1" si="278"/>
        <v>6.0674434387087306</v>
      </c>
      <c r="E1647" s="21">
        <f t="shared" ca="1" si="285"/>
        <v>19.26028259938721</v>
      </c>
      <c r="F1647" s="20" t="str">
        <f t="shared" ca="1" si="283"/>
        <v>No</v>
      </c>
      <c r="G1647" s="21">
        <f t="shared" ca="1" si="279"/>
        <v>0</v>
      </c>
      <c r="H1647" s="21">
        <f t="shared" ca="1" si="280"/>
        <v>4972.3460175629607</v>
      </c>
      <c r="I1647" s="21">
        <f t="shared" ca="1" si="275"/>
        <v>4978.413461001669</v>
      </c>
      <c r="J1647" s="20">
        <f t="shared" ca="1" si="284"/>
        <v>6</v>
      </c>
      <c r="K1647" s="20">
        <f t="shared" ca="1" si="276"/>
        <v>5</v>
      </c>
      <c r="L1647" s="44">
        <f t="shared" ca="1" si="281"/>
        <v>5.5</v>
      </c>
    </row>
    <row r="1648" spans="1:12" x14ac:dyDescent="0.25">
      <c r="A1648" s="20">
        <v>1640</v>
      </c>
      <c r="B1648" s="21">
        <f t="shared" ca="1" si="277"/>
        <v>2.6685862749034852</v>
      </c>
      <c r="C1648" s="21">
        <f t="shared" ca="1" si="282"/>
        <v>4955.7543212384771</v>
      </c>
      <c r="D1648" s="21">
        <f t="shared" ca="1" si="278"/>
        <v>0.36694839266814083</v>
      </c>
      <c r="E1648" s="21">
        <f t="shared" ca="1" si="285"/>
        <v>22.659139763191888</v>
      </c>
      <c r="F1648" s="20" t="str">
        <f t="shared" ca="1" si="283"/>
        <v>No</v>
      </c>
      <c r="G1648" s="21">
        <f t="shared" ca="1" si="279"/>
        <v>0</v>
      </c>
      <c r="H1648" s="21">
        <f t="shared" ca="1" si="280"/>
        <v>4978.413461001669</v>
      </c>
      <c r="I1648" s="21">
        <f t="shared" ca="1" si="275"/>
        <v>4978.7804093943369</v>
      </c>
      <c r="J1648" s="20">
        <f t="shared" ca="1" si="284"/>
        <v>6</v>
      </c>
      <c r="K1648" s="20">
        <f t="shared" ca="1" si="276"/>
        <v>5</v>
      </c>
      <c r="L1648" s="44">
        <f t="shared" ca="1" si="281"/>
        <v>5.5</v>
      </c>
    </row>
    <row r="1649" spans="1:12" x14ac:dyDescent="0.25">
      <c r="A1649" s="20">
        <v>1641</v>
      </c>
      <c r="B1649" s="21">
        <f t="shared" ca="1" si="277"/>
        <v>4.7272911545824838</v>
      </c>
      <c r="C1649" s="21">
        <f t="shared" ca="1" si="282"/>
        <v>4960.4816123930595</v>
      </c>
      <c r="D1649" s="21">
        <f t="shared" ca="1" si="278"/>
        <v>0.87829865812303898</v>
      </c>
      <c r="E1649" s="21">
        <f t="shared" ca="1" si="285"/>
        <v>18.298797001277308</v>
      </c>
      <c r="F1649" s="20" t="str">
        <f t="shared" ca="1" si="283"/>
        <v>No</v>
      </c>
      <c r="G1649" s="21">
        <f t="shared" ca="1" si="279"/>
        <v>0</v>
      </c>
      <c r="H1649" s="21">
        <f t="shared" ca="1" si="280"/>
        <v>4978.7804093943369</v>
      </c>
      <c r="I1649" s="21">
        <f t="shared" ca="1" si="275"/>
        <v>4979.6587080524596</v>
      </c>
      <c r="J1649" s="20">
        <f t="shared" ca="1" si="284"/>
        <v>6</v>
      </c>
      <c r="K1649" s="20">
        <f t="shared" ca="1" si="276"/>
        <v>5</v>
      </c>
      <c r="L1649" s="44">
        <f t="shared" ca="1" si="281"/>
        <v>5.5</v>
      </c>
    </row>
    <row r="1650" spans="1:12" x14ac:dyDescent="0.25">
      <c r="A1650" s="20">
        <v>1642</v>
      </c>
      <c r="B1650" s="21">
        <f t="shared" ca="1" si="277"/>
        <v>0.65867076340598041</v>
      </c>
      <c r="C1650" s="21">
        <f t="shared" ca="1" si="282"/>
        <v>4961.1402831564656</v>
      </c>
      <c r="D1650" s="21">
        <f t="shared" ca="1" si="278"/>
        <v>2.8072012795770416</v>
      </c>
      <c r="E1650" s="21">
        <f t="shared" ca="1" si="285"/>
        <v>18.518424895994031</v>
      </c>
      <c r="F1650" s="20" t="str">
        <f t="shared" ca="1" si="283"/>
        <v>No</v>
      </c>
      <c r="G1650" s="21">
        <f t="shared" ca="1" si="279"/>
        <v>0</v>
      </c>
      <c r="H1650" s="21">
        <f t="shared" ca="1" si="280"/>
        <v>4979.6587080524596</v>
      </c>
      <c r="I1650" s="21">
        <f t="shared" ca="1" si="275"/>
        <v>4982.465909332037</v>
      </c>
      <c r="J1650" s="20">
        <f t="shared" ca="1" si="284"/>
        <v>6</v>
      </c>
      <c r="K1650" s="20">
        <f t="shared" ca="1" si="276"/>
        <v>5</v>
      </c>
      <c r="L1650" s="44">
        <f t="shared" ca="1" si="281"/>
        <v>5.5</v>
      </c>
    </row>
    <row r="1651" spans="1:12" x14ac:dyDescent="0.25">
      <c r="A1651" s="20">
        <v>1643</v>
      </c>
      <c r="B1651" s="21">
        <f t="shared" ca="1" si="277"/>
        <v>0.8858003842897173</v>
      </c>
      <c r="C1651" s="21">
        <f t="shared" ca="1" si="282"/>
        <v>4962.0260835407553</v>
      </c>
      <c r="D1651" s="21">
        <f t="shared" ca="1" si="278"/>
        <v>3.4508235057637502</v>
      </c>
      <c r="E1651" s="21">
        <f t="shared" ca="1" si="285"/>
        <v>20.439825791281692</v>
      </c>
      <c r="F1651" s="20" t="str">
        <f t="shared" ca="1" si="283"/>
        <v>No</v>
      </c>
      <c r="G1651" s="21">
        <f t="shared" ca="1" si="279"/>
        <v>0</v>
      </c>
      <c r="H1651" s="21">
        <f t="shared" ca="1" si="280"/>
        <v>4982.465909332037</v>
      </c>
      <c r="I1651" s="21">
        <f t="shared" ca="1" si="275"/>
        <v>4985.9167328378007</v>
      </c>
      <c r="J1651" s="20">
        <f t="shared" ca="1" si="284"/>
        <v>6</v>
      </c>
      <c r="K1651" s="20">
        <f t="shared" ca="1" si="276"/>
        <v>5</v>
      </c>
      <c r="L1651" s="44">
        <f t="shared" ca="1" si="281"/>
        <v>5.5</v>
      </c>
    </row>
    <row r="1652" spans="1:12" x14ac:dyDescent="0.25">
      <c r="A1652" s="20">
        <v>1644</v>
      </c>
      <c r="B1652" s="21">
        <f t="shared" ca="1" si="277"/>
        <v>0.11065930551567052</v>
      </c>
      <c r="C1652" s="21">
        <f t="shared" ca="1" si="282"/>
        <v>4962.1367428462709</v>
      </c>
      <c r="D1652" s="21">
        <f t="shared" ca="1" si="278"/>
        <v>4.9187743448276633</v>
      </c>
      <c r="E1652" s="21">
        <f t="shared" ca="1" si="285"/>
        <v>23.779989991529874</v>
      </c>
      <c r="F1652" s="20" t="str">
        <f t="shared" ca="1" si="283"/>
        <v>No</v>
      </c>
      <c r="G1652" s="21">
        <f t="shared" ca="1" si="279"/>
        <v>0</v>
      </c>
      <c r="H1652" s="21">
        <f t="shared" ca="1" si="280"/>
        <v>4985.9167328378007</v>
      </c>
      <c r="I1652" s="21">
        <f t="shared" ca="1" si="275"/>
        <v>4990.8355071826281</v>
      </c>
      <c r="J1652" s="20">
        <f t="shared" ca="1" si="284"/>
        <v>6</v>
      </c>
      <c r="K1652" s="20">
        <f t="shared" ca="1" si="276"/>
        <v>5</v>
      </c>
      <c r="L1652" s="44">
        <f t="shared" ca="1" si="281"/>
        <v>5.5</v>
      </c>
    </row>
    <row r="1653" spans="1:12" x14ac:dyDescent="0.25">
      <c r="A1653" s="20">
        <v>1645</v>
      </c>
      <c r="B1653" s="21">
        <f t="shared" ca="1" si="277"/>
        <v>0.21357920005812231</v>
      </c>
      <c r="C1653" s="21">
        <f t="shared" ca="1" si="282"/>
        <v>4962.350322046329</v>
      </c>
      <c r="D1653" s="21">
        <f t="shared" ca="1" si="278"/>
        <v>1.0119583925544604</v>
      </c>
      <c r="E1653" s="21">
        <f t="shared" ca="1" si="285"/>
        <v>28.485185136299151</v>
      </c>
      <c r="F1653" s="20" t="str">
        <f t="shared" ca="1" si="283"/>
        <v>No</v>
      </c>
      <c r="G1653" s="21">
        <f t="shared" ca="1" si="279"/>
        <v>0</v>
      </c>
      <c r="H1653" s="21">
        <f t="shared" ca="1" si="280"/>
        <v>4990.8355071826281</v>
      </c>
      <c r="I1653" s="21">
        <f t="shared" ca="1" si="275"/>
        <v>4991.8474655751825</v>
      </c>
      <c r="J1653" s="20">
        <f t="shared" ca="1" si="284"/>
        <v>6</v>
      </c>
      <c r="K1653" s="20">
        <f t="shared" ca="1" si="276"/>
        <v>5</v>
      </c>
      <c r="L1653" s="44">
        <f t="shared" ca="1" si="281"/>
        <v>5.5</v>
      </c>
    </row>
    <row r="1654" spans="1:12" x14ac:dyDescent="0.25">
      <c r="A1654" s="20">
        <v>1646</v>
      </c>
      <c r="B1654" s="21">
        <f t="shared" ca="1" si="277"/>
        <v>0.75263496366465876</v>
      </c>
      <c r="C1654" s="21">
        <f t="shared" ca="1" si="282"/>
        <v>4963.1029570099936</v>
      </c>
      <c r="D1654" s="21">
        <f t="shared" ca="1" si="278"/>
        <v>0.81621212414440958</v>
      </c>
      <c r="E1654" s="21">
        <f t="shared" ca="1" si="285"/>
        <v>28.74450856518888</v>
      </c>
      <c r="F1654" s="20" t="str">
        <f t="shared" ca="1" si="283"/>
        <v>No</v>
      </c>
      <c r="G1654" s="21">
        <f t="shared" ca="1" si="279"/>
        <v>0</v>
      </c>
      <c r="H1654" s="21">
        <f t="shared" ca="1" si="280"/>
        <v>4991.8474655751825</v>
      </c>
      <c r="I1654" s="21">
        <f t="shared" ca="1" si="275"/>
        <v>4992.6636776993273</v>
      </c>
      <c r="J1654" s="20">
        <f t="shared" ca="1" si="284"/>
        <v>6</v>
      </c>
      <c r="K1654" s="20">
        <f t="shared" ca="1" si="276"/>
        <v>5</v>
      </c>
      <c r="L1654" s="44">
        <f t="shared" ca="1" si="281"/>
        <v>5.5</v>
      </c>
    </row>
    <row r="1655" spans="1:12" x14ac:dyDescent="0.25">
      <c r="A1655" s="20">
        <v>1647</v>
      </c>
      <c r="B1655" s="21">
        <f t="shared" ca="1" si="277"/>
        <v>2.1013485045034721</v>
      </c>
      <c r="C1655" s="21">
        <f t="shared" ca="1" si="282"/>
        <v>4965.2043055144968</v>
      </c>
      <c r="D1655" s="21">
        <f t="shared" ca="1" si="278"/>
        <v>6.2064178684412123</v>
      </c>
      <c r="E1655" s="21">
        <f t="shared" ca="1" si="285"/>
        <v>27.459372184830499</v>
      </c>
      <c r="F1655" s="20" t="str">
        <f t="shared" ca="1" si="283"/>
        <v>No</v>
      </c>
      <c r="G1655" s="21">
        <f t="shared" ca="1" si="279"/>
        <v>0</v>
      </c>
      <c r="H1655" s="21">
        <f t="shared" ca="1" si="280"/>
        <v>4992.6636776993273</v>
      </c>
      <c r="I1655" s="21">
        <f t="shared" ca="1" si="275"/>
        <v>4998.8700955677687</v>
      </c>
      <c r="J1655" s="20">
        <f t="shared" ca="1" si="284"/>
        <v>6</v>
      </c>
      <c r="K1655" s="20">
        <f t="shared" ca="1" si="276"/>
        <v>5</v>
      </c>
      <c r="L1655" s="44">
        <f t="shared" ca="1" si="281"/>
        <v>5.5</v>
      </c>
    </row>
    <row r="1656" spans="1:12" x14ac:dyDescent="0.25">
      <c r="A1656" s="20">
        <v>1648</v>
      </c>
      <c r="B1656" s="21">
        <f t="shared" ca="1" si="277"/>
        <v>5.014527204943624</v>
      </c>
      <c r="C1656" s="21">
        <f t="shared" ca="1" si="282"/>
        <v>4970.2188327194408</v>
      </c>
      <c r="D1656" s="21">
        <f t="shared" ca="1" si="278"/>
        <v>1.5211603195612611</v>
      </c>
      <c r="E1656" s="21">
        <f t="shared" ca="1" si="285"/>
        <v>28.65126284832786</v>
      </c>
      <c r="F1656" s="20" t="str">
        <f t="shared" ca="1" si="283"/>
        <v>No</v>
      </c>
      <c r="G1656" s="21">
        <f t="shared" ca="1" si="279"/>
        <v>0</v>
      </c>
      <c r="H1656" s="21">
        <f t="shared" ca="1" si="280"/>
        <v>4998.8700955677687</v>
      </c>
      <c r="I1656" s="21">
        <f t="shared" ca="1" si="275"/>
        <v>5000.3912558873299</v>
      </c>
      <c r="J1656" s="20">
        <f t="shared" ca="1" si="284"/>
        <v>6</v>
      </c>
      <c r="K1656" s="20">
        <f t="shared" ca="1" si="276"/>
        <v>5</v>
      </c>
      <c r="L1656" s="44">
        <f t="shared" ca="1" si="281"/>
        <v>5.5</v>
      </c>
    </row>
    <row r="1657" spans="1:12" x14ac:dyDescent="0.25">
      <c r="A1657" s="20">
        <v>1649</v>
      </c>
      <c r="B1657" s="21">
        <f t="shared" ca="1" si="277"/>
        <v>1.1308665223625332</v>
      </c>
      <c r="C1657" s="21">
        <f t="shared" ca="1" si="282"/>
        <v>4971.3496992418031</v>
      </c>
      <c r="D1657" s="21">
        <f t="shared" ca="1" si="278"/>
        <v>14.048309426623744</v>
      </c>
      <c r="E1657" s="21">
        <f t="shared" ca="1" si="285"/>
        <v>29.041556645526725</v>
      </c>
      <c r="F1657" s="20" t="str">
        <f t="shared" ca="1" si="283"/>
        <v>No</v>
      </c>
      <c r="G1657" s="21">
        <f t="shared" ca="1" si="279"/>
        <v>0</v>
      </c>
      <c r="H1657" s="21">
        <f t="shared" ca="1" si="280"/>
        <v>5000.3912558873299</v>
      </c>
      <c r="I1657" s="21">
        <f t="shared" ca="1" si="275"/>
        <v>5014.4395653139536</v>
      </c>
      <c r="J1657" s="20">
        <f t="shared" ca="1" si="284"/>
        <v>6</v>
      </c>
      <c r="K1657" s="20">
        <f t="shared" ca="1" si="276"/>
        <v>5</v>
      </c>
      <c r="L1657" s="44">
        <f t="shared" ca="1" si="281"/>
        <v>5.5</v>
      </c>
    </row>
    <row r="1658" spans="1:12" x14ac:dyDescent="0.25">
      <c r="A1658" s="20">
        <v>1650</v>
      </c>
      <c r="B1658" s="21">
        <f t="shared" ca="1" si="277"/>
        <v>0.49598101833396097</v>
      </c>
      <c r="C1658" s="21">
        <f t="shared" ca="1" si="282"/>
        <v>4971.8456802601368</v>
      </c>
      <c r="D1658" s="21">
        <f t="shared" ca="1" si="278"/>
        <v>2.2305629757687395</v>
      </c>
      <c r="E1658" s="21">
        <f t="shared" ca="1" si="285"/>
        <v>42.593885053816848</v>
      </c>
      <c r="F1658" s="20" t="str">
        <f t="shared" ca="1" si="283"/>
        <v>No</v>
      </c>
      <c r="G1658" s="21">
        <f t="shared" ca="1" si="279"/>
        <v>0</v>
      </c>
      <c r="H1658" s="21">
        <f t="shared" ca="1" si="280"/>
        <v>5014.4395653139536</v>
      </c>
      <c r="I1658" s="21">
        <f t="shared" ca="1" si="275"/>
        <v>5016.670128289722</v>
      </c>
      <c r="J1658" s="20">
        <f t="shared" ca="1" si="284"/>
        <v>6</v>
      </c>
      <c r="K1658" s="20">
        <f t="shared" ca="1" si="276"/>
        <v>5</v>
      </c>
      <c r="L1658" s="44">
        <f t="shared" ca="1" si="281"/>
        <v>5.5</v>
      </c>
    </row>
    <row r="1659" spans="1:12" x14ac:dyDescent="0.25">
      <c r="A1659" s="20">
        <v>1651</v>
      </c>
      <c r="B1659" s="21">
        <f t="shared" ca="1" si="277"/>
        <v>5.86937845499655</v>
      </c>
      <c r="C1659" s="21">
        <f t="shared" ca="1" si="282"/>
        <v>4977.7150587151336</v>
      </c>
      <c r="D1659" s="21">
        <f t="shared" ca="1" si="278"/>
        <v>1.0231815862439957</v>
      </c>
      <c r="E1659" s="21">
        <f t="shared" ca="1" si="285"/>
        <v>38.955069574588379</v>
      </c>
      <c r="F1659" s="20" t="str">
        <f t="shared" ca="1" si="283"/>
        <v>No</v>
      </c>
      <c r="G1659" s="21">
        <f t="shared" ca="1" si="279"/>
        <v>0</v>
      </c>
      <c r="H1659" s="21">
        <f t="shared" ca="1" si="280"/>
        <v>5016.670128289722</v>
      </c>
      <c r="I1659" s="21">
        <f t="shared" ca="1" si="275"/>
        <v>5017.6933098759664</v>
      </c>
      <c r="J1659" s="20">
        <f t="shared" ca="1" si="284"/>
        <v>6</v>
      </c>
      <c r="K1659" s="20">
        <f t="shared" ca="1" si="276"/>
        <v>5</v>
      </c>
      <c r="L1659" s="44">
        <f t="shared" ca="1" si="281"/>
        <v>5.5</v>
      </c>
    </row>
    <row r="1660" spans="1:12" x14ac:dyDescent="0.25">
      <c r="A1660" s="20">
        <v>1652</v>
      </c>
      <c r="B1660" s="21">
        <f t="shared" ca="1" si="277"/>
        <v>1.0457830824394936</v>
      </c>
      <c r="C1660" s="21">
        <f t="shared" ca="1" si="282"/>
        <v>4978.7608417975734</v>
      </c>
      <c r="D1660" s="21">
        <f t="shared" ca="1" si="278"/>
        <v>2.5514031078913271</v>
      </c>
      <c r="E1660" s="21">
        <f t="shared" ca="1" si="285"/>
        <v>38.932468078392958</v>
      </c>
      <c r="F1660" s="20" t="str">
        <f t="shared" ca="1" si="283"/>
        <v>No</v>
      </c>
      <c r="G1660" s="21">
        <f t="shared" ca="1" si="279"/>
        <v>0</v>
      </c>
      <c r="H1660" s="21">
        <f t="shared" ca="1" si="280"/>
        <v>5017.6933098759664</v>
      </c>
      <c r="I1660" s="21">
        <f t="shared" ca="1" si="275"/>
        <v>5020.2447129838574</v>
      </c>
      <c r="J1660" s="20">
        <f t="shared" ca="1" si="284"/>
        <v>6</v>
      </c>
      <c r="K1660" s="20">
        <f t="shared" ca="1" si="276"/>
        <v>5</v>
      </c>
      <c r="L1660" s="44">
        <f t="shared" ca="1" si="281"/>
        <v>5.5</v>
      </c>
    </row>
    <row r="1661" spans="1:12" x14ac:dyDescent="0.25">
      <c r="A1661" s="20">
        <v>1653</v>
      </c>
      <c r="B1661" s="21">
        <f t="shared" ca="1" si="277"/>
        <v>4.7504676066077485</v>
      </c>
      <c r="C1661" s="21">
        <f t="shared" ca="1" si="282"/>
        <v>4983.5113094041808</v>
      </c>
      <c r="D1661" s="21">
        <f t="shared" ca="1" si="278"/>
        <v>4.6302200761565571</v>
      </c>
      <c r="E1661" s="21">
        <f t="shared" ca="1" si="285"/>
        <v>36.733403579676633</v>
      </c>
      <c r="F1661" s="20" t="str">
        <f t="shared" ca="1" si="283"/>
        <v>No</v>
      </c>
      <c r="G1661" s="21">
        <f t="shared" ca="1" si="279"/>
        <v>0</v>
      </c>
      <c r="H1661" s="21">
        <f t="shared" ca="1" si="280"/>
        <v>5020.2447129838574</v>
      </c>
      <c r="I1661" s="21">
        <f t="shared" ca="1" si="275"/>
        <v>5024.874933060014</v>
      </c>
      <c r="J1661" s="20">
        <f t="shared" ca="1" si="284"/>
        <v>6</v>
      </c>
      <c r="K1661" s="20">
        <f t="shared" ca="1" si="276"/>
        <v>5</v>
      </c>
      <c r="L1661" s="44">
        <f t="shared" ca="1" si="281"/>
        <v>5.5</v>
      </c>
    </row>
    <row r="1662" spans="1:12" x14ac:dyDescent="0.25">
      <c r="A1662" s="20">
        <v>1654</v>
      </c>
      <c r="B1662" s="21">
        <f t="shared" ca="1" si="277"/>
        <v>0.95414608318807426</v>
      </c>
      <c r="C1662" s="21">
        <f t="shared" ca="1" si="282"/>
        <v>4984.4654554873687</v>
      </c>
      <c r="D1662" s="21">
        <f t="shared" ca="1" si="278"/>
        <v>1.1511488726952257</v>
      </c>
      <c r="E1662" s="21">
        <f t="shared" ca="1" si="285"/>
        <v>40.409477572645301</v>
      </c>
      <c r="F1662" s="20" t="str">
        <f t="shared" ca="1" si="283"/>
        <v>No</v>
      </c>
      <c r="G1662" s="21">
        <f t="shared" ca="1" si="279"/>
        <v>0</v>
      </c>
      <c r="H1662" s="21">
        <f t="shared" ca="1" si="280"/>
        <v>5024.874933060014</v>
      </c>
      <c r="I1662" s="21">
        <f t="shared" ca="1" si="275"/>
        <v>5026.0260819327095</v>
      </c>
      <c r="J1662" s="20">
        <f t="shared" ca="1" si="284"/>
        <v>6</v>
      </c>
      <c r="K1662" s="20">
        <f t="shared" ca="1" si="276"/>
        <v>5</v>
      </c>
      <c r="L1662" s="44">
        <f t="shared" ca="1" si="281"/>
        <v>5.5</v>
      </c>
    </row>
    <row r="1663" spans="1:12" x14ac:dyDescent="0.25">
      <c r="A1663" s="20">
        <v>1655</v>
      </c>
      <c r="B1663" s="21">
        <f t="shared" ca="1" si="277"/>
        <v>2.8928669268788187</v>
      </c>
      <c r="C1663" s="21">
        <f t="shared" ca="1" si="282"/>
        <v>4987.3583224142476</v>
      </c>
      <c r="D1663" s="21">
        <f t="shared" ca="1" si="278"/>
        <v>0.59245418462841981</v>
      </c>
      <c r="E1663" s="21">
        <f t="shared" ca="1" si="285"/>
        <v>38.667759518461935</v>
      </c>
      <c r="F1663" s="20" t="str">
        <f t="shared" ca="1" si="283"/>
        <v>No</v>
      </c>
      <c r="G1663" s="21">
        <f t="shared" ca="1" si="279"/>
        <v>0</v>
      </c>
      <c r="H1663" s="21">
        <f t="shared" ca="1" si="280"/>
        <v>5026.0260819327095</v>
      </c>
      <c r="I1663" s="21">
        <f t="shared" ca="1" si="275"/>
        <v>5026.6185361173375</v>
      </c>
      <c r="J1663" s="20">
        <f t="shared" ca="1" si="284"/>
        <v>6</v>
      </c>
      <c r="K1663" s="20">
        <f t="shared" ca="1" si="276"/>
        <v>5</v>
      </c>
      <c r="L1663" s="44">
        <f t="shared" ca="1" si="281"/>
        <v>5.5</v>
      </c>
    </row>
    <row r="1664" spans="1:12" x14ac:dyDescent="0.25">
      <c r="A1664" s="20">
        <v>1656</v>
      </c>
      <c r="B1664" s="21">
        <f t="shared" ca="1" si="277"/>
        <v>2.0498298929870558</v>
      </c>
      <c r="C1664" s="21">
        <f t="shared" ca="1" si="282"/>
        <v>4989.4081523072346</v>
      </c>
      <c r="D1664" s="21">
        <f t="shared" ca="1" si="278"/>
        <v>1.3812202463585594</v>
      </c>
      <c r="E1664" s="21">
        <f t="shared" ca="1" si="285"/>
        <v>37.21038381010294</v>
      </c>
      <c r="F1664" s="20" t="str">
        <f t="shared" ca="1" si="283"/>
        <v>No</v>
      </c>
      <c r="G1664" s="21">
        <f t="shared" ca="1" si="279"/>
        <v>0</v>
      </c>
      <c r="H1664" s="21">
        <f t="shared" ca="1" si="280"/>
        <v>5026.6185361173375</v>
      </c>
      <c r="I1664" s="21">
        <f t="shared" ca="1" si="275"/>
        <v>5027.9997563636962</v>
      </c>
      <c r="J1664" s="20">
        <f t="shared" ca="1" si="284"/>
        <v>6</v>
      </c>
      <c r="K1664" s="20">
        <f t="shared" ca="1" si="276"/>
        <v>5</v>
      </c>
      <c r="L1664" s="44">
        <f t="shared" ca="1" si="281"/>
        <v>5.5</v>
      </c>
    </row>
    <row r="1665" spans="1:12" x14ac:dyDescent="0.25">
      <c r="A1665" s="20">
        <v>1657</v>
      </c>
      <c r="B1665" s="21">
        <f t="shared" ca="1" si="277"/>
        <v>1.4460423119256802E-2</v>
      </c>
      <c r="C1665" s="21">
        <f t="shared" ca="1" si="282"/>
        <v>4989.4226127303536</v>
      </c>
      <c r="D1665" s="21">
        <f t="shared" ca="1" si="278"/>
        <v>15.354631777845956</v>
      </c>
      <c r="E1665" s="21">
        <f t="shared" ca="1" si="285"/>
        <v>38.57714363334253</v>
      </c>
      <c r="F1665" s="20" t="str">
        <f t="shared" ca="1" si="283"/>
        <v>No</v>
      </c>
      <c r="G1665" s="21">
        <f t="shared" ca="1" si="279"/>
        <v>0</v>
      </c>
      <c r="H1665" s="21">
        <f t="shared" ca="1" si="280"/>
        <v>5027.9997563636962</v>
      </c>
      <c r="I1665" s="21">
        <f t="shared" ca="1" si="275"/>
        <v>5043.3543881415426</v>
      </c>
      <c r="J1665" s="20">
        <f t="shared" ca="1" si="284"/>
        <v>6</v>
      </c>
      <c r="K1665" s="20">
        <f t="shared" ca="1" si="276"/>
        <v>5</v>
      </c>
      <c r="L1665" s="44">
        <f t="shared" ca="1" si="281"/>
        <v>5.5</v>
      </c>
    </row>
    <row r="1666" spans="1:12" x14ac:dyDescent="0.25">
      <c r="A1666" s="20">
        <v>1658</v>
      </c>
      <c r="B1666" s="21">
        <f t="shared" ca="1" si="277"/>
        <v>0.77853346434216486</v>
      </c>
      <c r="C1666" s="21">
        <f t="shared" ca="1" si="282"/>
        <v>4990.2011461946959</v>
      </c>
      <c r="D1666" s="21">
        <f t="shared" ca="1" si="278"/>
        <v>1.3788830677333885</v>
      </c>
      <c r="E1666" s="21">
        <f t="shared" ca="1" si="285"/>
        <v>53.15324194684672</v>
      </c>
      <c r="F1666" s="20" t="str">
        <f t="shared" ca="1" si="283"/>
        <v>No</v>
      </c>
      <c r="G1666" s="21">
        <f t="shared" ca="1" si="279"/>
        <v>0</v>
      </c>
      <c r="H1666" s="21">
        <f t="shared" ca="1" si="280"/>
        <v>5043.3543881415426</v>
      </c>
      <c r="I1666" s="21">
        <f t="shared" ca="1" si="275"/>
        <v>5044.7332712092757</v>
      </c>
      <c r="J1666" s="20">
        <f t="shared" ca="1" si="284"/>
        <v>6</v>
      </c>
      <c r="K1666" s="20">
        <f t="shared" ca="1" si="276"/>
        <v>5</v>
      </c>
      <c r="L1666" s="44">
        <f t="shared" ca="1" si="281"/>
        <v>5.5</v>
      </c>
    </row>
    <row r="1667" spans="1:12" x14ac:dyDescent="0.25">
      <c r="A1667" s="20">
        <v>1659</v>
      </c>
      <c r="B1667" s="21">
        <f t="shared" ca="1" si="277"/>
        <v>21.355887297194787</v>
      </c>
      <c r="C1667" s="21">
        <f t="shared" ca="1" si="282"/>
        <v>5011.5570334918903</v>
      </c>
      <c r="D1667" s="21">
        <f t="shared" ca="1" si="278"/>
        <v>1.5499389881304777</v>
      </c>
      <c r="E1667" s="21">
        <f t="shared" ca="1" si="285"/>
        <v>33.176237717385447</v>
      </c>
      <c r="F1667" s="20" t="str">
        <f t="shared" ca="1" si="283"/>
        <v>No</v>
      </c>
      <c r="G1667" s="21">
        <f t="shared" ca="1" si="279"/>
        <v>0</v>
      </c>
      <c r="H1667" s="21">
        <f t="shared" ca="1" si="280"/>
        <v>5044.7332712092757</v>
      </c>
      <c r="I1667" s="21">
        <f t="shared" ca="1" si="275"/>
        <v>5046.2832101974063</v>
      </c>
      <c r="J1667" s="20">
        <f t="shared" ca="1" si="284"/>
        <v>6</v>
      </c>
      <c r="K1667" s="20">
        <f t="shared" ca="1" si="276"/>
        <v>5</v>
      </c>
      <c r="L1667" s="44">
        <f t="shared" ca="1" si="281"/>
        <v>5.5</v>
      </c>
    </row>
    <row r="1668" spans="1:12" x14ac:dyDescent="0.25">
      <c r="A1668" s="20">
        <v>1660</v>
      </c>
      <c r="B1668" s="21">
        <f t="shared" ca="1" si="277"/>
        <v>0.61457449061779834</v>
      </c>
      <c r="C1668" s="21">
        <f t="shared" ca="1" si="282"/>
        <v>5012.1716079825082</v>
      </c>
      <c r="D1668" s="21">
        <f t="shared" ca="1" si="278"/>
        <v>5.3860380447055931</v>
      </c>
      <c r="E1668" s="21">
        <f t="shared" ca="1" si="285"/>
        <v>34.111602214898085</v>
      </c>
      <c r="F1668" s="20" t="str">
        <f t="shared" ca="1" si="283"/>
        <v>No</v>
      </c>
      <c r="G1668" s="21">
        <f t="shared" ca="1" si="279"/>
        <v>0</v>
      </c>
      <c r="H1668" s="21">
        <f t="shared" ca="1" si="280"/>
        <v>5046.2832101974063</v>
      </c>
      <c r="I1668" s="21">
        <f t="shared" ca="1" si="275"/>
        <v>5051.6692482421122</v>
      </c>
      <c r="J1668" s="20">
        <f t="shared" ca="1" si="284"/>
        <v>6</v>
      </c>
      <c r="K1668" s="20">
        <f t="shared" ca="1" si="276"/>
        <v>5</v>
      </c>
      <c r="L1668" s="44">
        <f t="shared" ca="1" si="281"/>
        <v>5.5</v>
      </c>
    </row>
    <row r="1669" spans="1:12" x14ac:dyDescent="0.25">
      <c r="A1669" s="20">
        <v>1661</v>
      </c>
      <c r="B1669" s="21">
        <f t="shared" ca="1" si="277"/>
        <v>1.1867569845191763</v>
      </c>
      <c r="C1669" s="21">
        <f t="shared" ca="1" si="282"/>
        <v>5013.3583649670272</v>
      </c>
      <c r="D1669" s="21">
        <f t="shared" ca="1" si="278"/>
        <v>2.0977335751068327</v>
      </c>
      <c r="E1669" s="21">
        <f t="shared" ca="1" si="285"/>
        <v>38.310883275084961</v>
      </c>
      <c r="F1669" s="20" t="str">
        <f t="shared" ca="1" si="283"/>
        <v>No</v>
      </c>
      <c r="G1669" s="21">
        <f t="shared" ca="1" si="279"/>
        <v>0</v>
      </c>
      <c r="H1669" s="21">
        <f t="shared" ca="1" si="280"/>
        <v>5051.6692482421122</v>
      </c>
      <c r="I1669" s="21">
        <f t="shared" ca="1" si="275"/>
        <v>5053.7669818172189</v>
      </c>
      <c r="J1669" s="20">
        <f t="shared" ca="1" si="284"/>
        <v>6</v>
      </c>
      <c r="K1669" s="20">
        <f t="shared" ca="1" si="276"/>
        <v>5</v>
      </c>
      <c r="L1669" s="44">
        <f t="shared" ca="1" si="281"/>
        <v>5.5</v>
      </c>
    </row>
    <row r="1670" spans="1:12" x14ac:dyDescent="0.25">
      <c r="A1670" s="20">
        <v>1662</v>
      </c>
      <c r="B1670" s="21">
        <f t="shared" ca="1" si="277"/>
        <v>6.9089699356958523E-2</v>
      </c>
      <c r="C1670" s="21">
        <f t="shared" ca="1" si="282"/>
        <v>5013.4274546663846</v>
      </c>
      <c r="D1670" s="21">
        <f t="shared" ca="1" si="278"/>
        <v>0.19614324498442903</v>
      </c>
      <c r="E1670" s="21">
        <f t="shared" ca="1" si="285"/>
        <v>40.339527150834328</v>
      </c>
      <c r="F1670" s="20" t="str">
        <f t="shared" ca="1" si="283"/>
        <v>No</v>
      </c>
      <c r="G1670" s="21">
        <f t="shared" ca="1" si="279"/>
        <v>0</v>
      </c>
      <c r="H1670" s="21">
        <f t="shared" ca="1" si="280"/>
        <v>5053.7669818172189</v>
      </c>
      <c r="I1670" s="21">
        <f t="shared" ca="1" si="275"/>
        <v>5053.9631250622033</v>
      </c>
      <c r="J1670" s="20">
        <f t="shared" ca="1" si="284"/>
        <v>6</v>
      </c>
      <c r="K1670" s="20">
        <f t="shared" ca="1" si="276"/>
        <v>5</v>
      </c>
      <c r="L1670" s="44">
        <f t="shared" ca="1" si="281"/>
        <v>5.5</v>
      </c>
    </row>
    <row r="1671" spans="1:12" x14ac:dyDescent="0.25">
      <c r="A1671" s="20">
        <v>1663</v>
      </c>
      <c r="B1671" s="21">
        <f t="shared" ca="1" si="277"/>
        <v>0.5496364313423715</v>
      </c>
      <c r="C1671" s="21">
        <f t="shared" ca="1" si="282"/>
        <v>5013.9770910977268</v>
      </c>
      <c r="D1671" s="21">
        <f t="shared" ca="1" si="278"/>
        <v>0.62859683924272969</v>
      </c>
      <c r="E1671" s="21">
        <f t="shared" ca="1" si="285"/>
        <v>39.986033964476519</v>
      </c>
      <c r="F1671" s="20" t="str">
        <f t="shared" ca="1" si="283"/>
        <v>No</v>
      </c>
      <c r="G1671" s="21">
        <f t="shared" ca="1" si="279"/>
        <v>0</v>
      </c>
      <c r="H1671" s="21">
        <f t="shared" ca="1" si="280"/>
        <v>5053.9631250622033</v>
      </c>
      <c r="I1671" s="21">
        <f t="shared" ca="1" si="275"/>
        <v>5054.5917219014464</v>
      </c>
      <c r="J1671" s="20">
        <f t="shared" ca="1" si="284"/>
        <v>6</v>
      </c>
      <c r="K1671" s="20">
        <f t="shared" ca="1" si="276"/>
        <v>5</v>
      </c>
      <c r="L1671" s="44">
        <f t="shared" ca="1" si="281"/>
        <v>5.5</v>
      </c>
    </row>
    <row r="1672" spans="1:12" x14ac:dyDescent="0.25">
      <c r="A1672" s="20">
        <v>1664</v>
      </c>
      <c r="B1672" s="21">
        <f t="shared" ca="1" si="277"/>
        <v>0.20630857526809512</v>
      </c>
      <c r="C1672" s="21">
        <f t="shared" ca="1" si="282"/>
        <v>5014.1833996729947</v>
      </c>
      <c r="D1672" s="21">
        <f t="shared" ca="1" si="278"/>
        <v>0.13346019419726809</v>
      </c>
      <c r="E1672" s="21">
        <f t="shared" ca="1" si="285"/>
        <v>40.408322228451652</v>
      </c>
      <c r="F1672" s="20" t="str">
        <f t="shared" ca="1" si="283"/>
        <v>No</v>
      </c>
      <c r="G1672" s="21">
        <f t="shared" ca="1" si="279"/>
        <v>0</v>
      </c>
      <c r="H1672" s="21">
        <f t="shared" ca="1" si="280"/>
        <v>5054.5917219014464</v>
      </c>
      <c r="I1672" s="21">
        <f t="shared" ca="1" si="275"/>
        <v>5054.7251820956435</v>
      </c>
      <c r="J1672" s="20">
        <f t="shared" ca="1" si="284"/>
        <v>6</v>
      </c>
      <c r="K1672" s="20">
        <f t="shared" ca="1" si="276"/>
        <v>5</v>
      </c>
      <c r="L1672" s="44">
        <f t="shared" ca="1" si="281"/>
        <v>5.5</v>
      </c>
    </row>
    <row r="1673" spans="1:12" x14ac:dyDescent="0.25">
      <c r="A1673" s="20">
        <v>1665</v>
      </c>
      <c r="B1673" s="21">
        <f t="shared" ca="1" si="277"/>
        <v>0.89126154175891059</v>
      </c>
      <c r="C1673" s="21">
        <f t="shared" ca="1" si="282"/>
        <v>5015.0746612147532</v>
      </c>
      <c r="D1673" s="21">
        <f t="shared" ca="1" si="278"/>
        <v>2.3795174384431945</v>
      </c>
      <c r="E1673" s="21">
        <f t="shared" ca="1" si="285"/>
        <v>39.650520880890326</v>
      </c>
      <c r="F1673" s="20" t="str">
        <f t="shared" ca="1" si="283"/>
        <v>No</v>
      </c>
      <c r="G1673" s="21">
        <f t="shared" ca="1" si="279"/>
        <v>0</v>
      </c>
      <c r="H1673" s="21">
        <f t="shared" ca="1" si="280"/>
        <v>5054.7251820956435</v>
      </c>
      <c r="I1673" s="21">
        <f t="shared" ref="I1673:I1736" ca="1" si="286">$H1673+$D1673</f>
        <v>5057.1046995340866</v>
      </c>
      <c r="J1673" s="20">
        <f t="shared" ca="1" si="284"/>
        <v>6</v>
      </c>
      <c r="K1673" s="20">
        <f t="shared" ref="K1673:K1736" ca="1" si="287">IF($I1673&lt;=$C1674,0,IF($I1673&lt;=$C1675,1,IF($I1673&lt;=$C1676,2,IF($I1673&lt;=$C1677,3,IF($I1673&lt;=$C1678,4,5)))))</f>
        <v>5</v>
      </c>
      <c r="L1673" s="44">
        <f t="shared" ca="1" si="281"/>
        <v>5.5</v>
      </c>
    </row>
    <row r="1674" spans="1:12" x14ac:dyDescent="0.25">
      <c r="A1674" s="20">
        <v>1666</v>
      </c>
      <c r="B1674" s="21">
        <f t="shared" ref="B1674:B1737" ca="1" si="288">-LN(RAND())/$D$4</f>
        <v>1.882669498149605</v>
      </c>
      <c r="C1674" s="21">
        <f t="shared" ca="1" si="282"/>
        <v>5016.9573307129031</v>
      </c>
      <c r="D1674" s="21">
        <f t="shared" ref="D1674:D1737" ca="1" si="289">-LN(RAND())/$D$6</f>
        <v>2.0074155045140563</v>
      </c>
      <c r="E1674" s="21">
        <f t="shared" ca="1" si="285"/>
        <v>40.147368821183591</v>
      </c>
      <c r="F1674" s="20" t="str">
        <f t="shared" ca="1" si="283"/>
        <v>No</v>
      </c>
      <c r="G1674" s="21">
        <f t="shared" ref="G1674:G1737" ca="1" si="290">IF($I1673&lt;=$C1674,$C1674-$I1673,0)</f>
        <v>0</v>
      </c>
      <c r="H1674" s="21">
        <f t="shared" ref="H1674:H1737" ca="1" si="291">IF($I1673&lt;=$C1674,$C1674,$I1673)</f>
        <v>5057.1046995340866</v>
      </c>
      <c r="I1674" s="21">
        <f t="shared" ca="1" si="286"/>
        <v>5059.1121150386007</v>
      </c>
      <c r="J1674" s="20">
        <f t="shared" ca="1" si="284"/>
        <v>6</v>
      </c>
      <c r="K1674" s="20">
        <f t="shared" ca="1" si="287"/>
        <v>5</v>
      </c>
      <c r="L1674" s="44">
        <f t="shared" ref="L1674:L1737" ca="1" si="292">(J1674+K1674)/2</f>
        <v>5.5</v>
      </c>
    </row>
    <row r="1675" spans="1:12" x14ac:dyDescent="0.25">
      <c r="A1675" s="20">
        <v>1667</v>
      </c>
      <c r="B1675" s="21">
        <f t="shared" ca="1" si="288"/>
        <v>0.14851562400192775</v>
      </c>
      <c r="C1675" s="21">
        <f t="shared" ref="C1675:C1738" ca="1" si="293">$C1674+$B1675</f>
        <v>5017.1058463369054</v>
      </c>
      <c r="D1675" s="21">
        <f t="shared" ca="1" si="289"/>
        <v>0.97821686192808532</v>
      </c>
      <c r="E1675" s="21">
        <f t="shared" ca="1" si="285"/>
        <v>42.006268701695262</v>
      </c>
      <c r="F1675" s="20" t="str">
        <f t="shared" ref="F1675:F1738" ca="1" si="294">IF(E1675=0,"Yes","No")</f>
        <v>No</v>
      </c>
      <c r="G1675" s="21">
        <f t="shared" ca="1" si="290"/>
        <v>0</v>
      </c>
      <c r="H1675" s="21">
        <f t="shared" ca="1" si="291"/>
        <v>5059.1121150386007</v>
      </c>
      <c r="I1675" s="21">
        <f t="shared" ca="1" si="286"/>
        <v>5060.0903319005283</v>
      </c>
      <c r="J1675" s="20">
        <f t="shared" ref="J1675:J1738" ca="1" si="295">IF($I1674&lt;=$C1675,0,$K1674+1)</f>
        <v>6</v>
      </c>
      <c r="K1675" s="20">
        <f t="shared" ca="1" si="287"/>
        <v>5</v>
      </c>
      <c r="L1675" s="44">
        <f t="shared" ca="1" si="292"/>
        <v>5.5</v>
      </c>
    </row>
    <row r="1676" spans="1:12" x14ac:dyDescent="0.25">
      <c r="A1676" s="20">
        <v>1668</v>
      </c>
      <c r="B1676" s="21">
        <f t="shared" ca="1" si="288"/>
        <v>8.5806137675324443</v>
      </c>
      <c r="C1676" s="21">
        <f t="shared" ca="1" si="293"/>
        <v>5025.6864601044381</v>
      </c>
      <c r="D1676" s="21">
        <f t="shared" ca="1" si="289"/>
        <v>1.4895504864482967</v>
      </c>
      <c r="E1676" s="21">
        <f t="shared" ref="E1676:E1739" ca="1" si="296">IF($I1675&lt;=$C1676,0,$I1675-$C1676)</f>
        <v>34.403871796090243</v>
      </c>
      <c r="F1676" s="20" t="str">
        <f t="shared" ca="1" si="294"/>
        <v>No</v>
      </c>
      <c r="G1676" s="21">
        <f t="shared" ca="1" si="290"/>
        <v>0</v>
      </c>
      <c r="H1676" s="21">
        <f t="shared" ca="1" si="291"/>
        <v>5060.0903319005283</v>
      </c>
      <c r="I1676" s="21">
        <f t="shared" ca="1" si="286"/>
        <v>5061.5798823869764</v>
      </c>
      <c r="J1676" s="20">
        <f t="shared" ca="1" si="295"/>
        <v>6</v>
      </c>
      <c r="K1676" s="20">
        <f t="shared" ca="1" si="287"/>
        <v>5</v>
      </c>
      <c r="L1676" s="44">
        <f t="shared" ca="1" si="292"/>
        <v>5.5</v>
      </c>
    </row>
    <row r="1677" spans="1:12" x14ac:dyDescent="0.25">
      <c r="A1677" s="20">
        <v>1669</v>
      </c>
      <c r="B1677" s="21">
        <f t="shared" ca="1" si="288"/>
        <v>1.3170231559147905</v>
      </c>
      <c r="C1677" s="21">
        <f t="shared" ca="1" si="293"/>
        <v>5027.0034832603533</v>
      </c>
      <c r="D1677" s="21">
        <f t="shared" ca="1" si="289"/>
        <v>0.20280412502010797</v>
      </c>
      <c r="E1677" s="21">
        <f t="shared" ca="1" si="296"/>
        <v>34.576399126623073</v>
      </c>
      <c r="F1677" s="20" t="str">
        <f t="shared" ca="1" si="294"/>
        <v>No</v>
      </c>
      <c r="G1677" s="21">
        <f t="shared" ca="1" si="290"/>
        <v>0</v>
      </c>
      <c r="H1677" s="21">
        <f t="shared" ca="1" si="291"/>
        <v>5061.5798823869764</v>
      </c>
      <c r="I1677" s="21">
        <f t="shared" ca="1" si="286"/>
        <v>5061.7826865119969</v>
      </c>
      <c r="J1677" s="20">
        <f t="shared" ca="1" si="295"/>
        <v>6</v>
      </c>
      <c r="K1677" s="20">
        <f t="shared" ca="1" si="287"/>
        <v>5</v>
      </c>
      <c r="L1677" s="44">
        <f t="shared" ca="1" si="292"/>
        <v>5.5</v>
      </c>
    </row>
    <row r="1678" spans="1:12" x14ac:dyDescent="0.25">
      <c r="A1678" s="20">
        <v>1670</v>
      </c>
      <c r="B1678" s="21">
        <f t="shared" ca="1" si="288"/>
        <v>1.2218811826213101</v>
      </c>
      <c r="C1678" s="21">
        <f t="shared" ca="1" si="293"/>
        <v>5028.2253644429748</v>
      </c>
      <c r="D1678" s="21">
        <f t="shared" ca="1" si="289"/>
        <v>2.4488839082400591</v>
      </c>
      <c r="E1678" s="21">
        <f t="shared" ca="1" si="296"/>
        <v>33.557322069022121</v>
      </c>
      <c r="F1678" s="20" t="str">
        <f t="shared" ca="1" si="294"/>
        <v>No</v>
      </c>
      <c r="G1678" s="21">
        <f t="shared" ca="1" si="290"/>
        <v>0</v>
      </c>
      <c r="H1678" s="21">
        <f t="shared" ca="1" si="291"/>
        <v>5061.7826865119969</v>
      </c>
      <c r="I1678" s="21">
        <f t="shared" ca="1" si="286"/>
        <v>5064.2315704202365</v>
      </c>
      <c r="J1678" s="20">
        <f t="shared" ca="1" si="295"/>
        <v>6</v>
      </c>
      <c r="K1678" s="20">
        <f t="shared" ca="1" si="287"/>
        <v>5</v>
      </c>
      <c r="L1678" s="44">
        <f t="shared" ca="1" si="292"/>
        <v>5.5</v>
      </c>
    </row>
    <row r="1679" spans="1:12" x14ac:dyDescent="0.25">
      <c r="A1679" s="20">
        <v>1671</v>
      </c>
      <c r="B1679" s="21">
        <f t="shared" ca="1" si="288"/>
        <v>6.7440811865896277</v>
      </c>
      <c r="C1679" s="21">
        <f t="shared" ca="1" si="293"/>
        <v>5034.9694456295647</v>
      </c>
      <c r="D1679" s="21">
        <f t="shared" ca="1" si="289"/>
        <v>2.1602412961785151</v>
      </c>
      <c r="E1679" s="21">
        <f t="shared" ca="1" si="296"/>
        <v>29.262124790671805</v>
      </c>
      <c r="F1679" s="20" t="str">
        <f t="shared" ca="1" si="294"/>
        <v>No</v>
      </c>
      <c r="G1679" s="21">
        <f t="shared" ca="1" si="290"/>
        <v>0</v>
      </c>
      <c r="H1679" s="21">
        <f t="shared" ca="1" si="291"/>
        <v>5064.2315704202365</v>
      </c>
      <c r="I1679" s="21">
        <f t="shared" ca="1" si="286"/>
        <v>5066.3918117164148</v>
      </c>
      <c r="J1679" s="20">
        <f t="shared" ca="1" si="295"/>
        <v>6</v>
      </c>
      <c r="K1679" s="20">
        <f t="shared" ca="1" si="287"/>
        <v>5</v>
      </c>
      <c r="L1679" s="44">
        <f t="shared" ca="1" si="292"/>
        <v>5.5</v>
      </c>
    </row>
    <row r="1680" spans="1:12" x14ac:dyDescent="0.25">
      <c r="A1680" s="20">
        <v>1672</v>
      </c>
      <c r="B1680" s="21">
        <f t="shared" ca="1" si="288"/>
        <v>11.438702415914884</v>
      </c>
      <c r="C1680" s="21">
        <f t="shared" ca="1" si="293"/>
        <v>5046.4081480454797</v>
      </c>
      <c r="D1680" s="21">
        <f t="shared" ca="1" si="289"/>
        <v>0.13684584945026204</v>
      </c>
      <c r="E1680" s="21">
        <f t="shared" ca="1" si="296"/>
        <v>19.98366367093513</v>
      </c>
      <c r="F1680" s="20" t="str">
        <f t="shared" ca="1" si="294"/>
        <v>No</v>
      </c>
      <c r="G1680" s="21">
        <f t="shared" ca="1" si="290"/>
        <v>0</v>
      </c>
      <c r="H1680" s="21">
        <f t="shared" ca="1" si="291"/>
        <v>5066.3918117164148</v>
      </c>
      <c r="I1680" s="21">
        <f t="shared" ca="1" si="286"/>
        <v>5066.5286575658647</v>
      </c>
      <c r="J1680" s="20">
        <f t="shared" ca="1" si="295"/>
        <v>6</v>
      </c>
      <c r="K1680" s="20">
        <f t="shared" ca="1" si="287"/>
        <v>5</v>
      </c>
      <c r="L1680" s="44">
        <f t="shared" ca="1" si="292"/>
        <v>5.5</v>
      </c>
    </row>
    <row r="1681" spans="1:12" x14ac:dyDescent="0.25">
      <c r="A1681" s="20">
        <v>1673</v>
      </c>
      <c r="B1681" s="21">
        <f t="shared" ca="1" si="288"/>
        <v>2.5740120090373555</v>
      </c>
      <c r="C1681" s="21">
        <f t="shared" ca="1" si="293"/>
        <v>5048.9821600545174</v>
      </c>
      <c r="D1681" s="21">
        <f t="shared" ca="1" si="289"/>
        <v>0.90526290533949139</v>
      </c>
      <c r="E1681" s="21">
        <f t="shared" ca="1" si="296"/>
        <v>17.546497511347297</v>
      </c>
      <c r="F1681" s="20" t="str">
        <f t="shared" ca="1" si="294"/>
        <v>No</v>
      </c>
      <c r="G1681" s="21">
        <f t="shared" ca="1" si="290"/>
        <v>0</v>
      </c>
      <c r="H1681" s="21">
        <f t="shared" ca="1" si="291"/>
        <v>5066.5286575658647</v>
      </c>
      <c r="I1681" s="21">
        <f t="shared" ca="1" si="286"/>
        <v>5067.4339204712041</v>
      </c>
      <c r="J1681" s="20">
        <f t="shared" ca="1" si="295"/>
        <v>6</v>
      </c>
      <c r="K1681" s="20">
        <f t="shared" ca="1" si="287"/>
        <v>5</v>
      </c>
      <c r="L1681" s="44">
        <f t="shared" ca="1" si="292"/>
        <v>5.5</v>
      </c>
    </row>
    <row r="1682" spans="1:12" x14ac:dyDescent="0.25">
      <c r="A1682" s="20">
        <v>1674</v>
      </c>
      <c r="B1682" s="21">
        <f t="shared" ca="1" si="288"/>
        <v>2.5147168645490989</v>
      </c>
      <c r="C1682" s="21">
        <f t="shared" ca="1" si="293"/>
        <v>5051.4968769190664</v>
      </c>
      <c r="D1682" s="21">
        <f t="shared" ca="1" si="289"/>
        <v>2.7402063405480295</v>
      </c>
      <c r="E1682" s="21">
        <f t="shared" ca="1" si="296"/>
        <v>15.937043552137766</v>
      </c>
      <c r="F1682" s="20" t="str">
        <f t="shared" ca="1" si="294"/>
        <v>No</v>
      </c>
      <c r="G1682" s="21">
        <f t="shared" ca="1" si="290"/>
        <v>0</v>
      </c>
      <c r="H1682" s="21">
        <f t="shared" ca="1" si="291"/>
        <v>5067.4339204712041</v>
      </c>
      <c r="I1682" s="21">
        <f t="shared" ca="1" si="286"/>
        <v>5070.1741268117521</v>
      </c>
      <c r="J1682" s="20">
        <f t="shared" ca="1" si="295"/>
        <v>6</v>
      </c>
      <c r="K1682" s="20">
        <f t="shared" ca="1" si="287"/>
        <v>5</v>
      </c>
      <c r="L1682" s="44">
        <f t="shared" ca="1" si="292"/>
        <v>5.5</v>
      </c>
    </row>
    <row r="1683" spans="1:12" x14ac:dyDescent="0.25">
      <c r="A1683" s="20">
        <v>1675</v>
      </c>
      <c r="B1683" s="21">
        <f t="shared" ca="1" si="288"/>
        <v>7.0606841805538547</v>
      </c>
      <c r="C1683" s="21">
        <f t="shared" ca="1" si="293"/>
        <v>5058.5575610996202</v>
      </c>
      <c r="D1683" s="21">
        <f t="shared" ca="1" si="289"/>
        <v>0.58516357080708914</v>
      </c>
      <c r="E1683" s="21">
        <f t="shared" ca="1" si="296"/>
        <v>11.616565712131887</v>
      </c>
      <c r="F1683" s="20" t="str">
        <f t="shared" ca="1" si="294"/>
        <v>No</v>
      </c>
      <c r="G1683" s="21">
        <f t="shared" ca="1" si="290"/>
        <v>0</v>
      </c>
      <c r="H1683" s="21">
        <f t="shared" ca="1" si="291"/>
        <v>5070.1741268117521</v>
      </c>
      <c r="I1683" s="21">
        <f t="shared" ca="1" si="286"/>
        <v>5070.7592903825589</v>
      </c>
      <c r="J1683" s="20">
        <f t="shared" ca="1" si="295"/>
        <v>6</v>
      </c>
      <c r="K1683" s="20">
        <f t="shared" ca="1" si="287"/>
        <v>5</v>
      </c>
      <c r="L1683" s="44">
        <f t="shared" ca="1" si="292"/>
        <v>5.5</v>
      </c>
    </row>
    <row r="1684" spans="1:12" x14ac:dyDescent="0.25">
      <c r="A1684" s="20">
        <v>1676</v>
      </c>
      <c r="B1684" s="21">
        <f t="shared" ca="1" si="288"/>
        <v>2.9901670523098962E-2</v>
      </c>
      <c r="C1684" s="21">
        <f t="shared" ca="1" si="293"/>
        <v>5058.5874627701432</v>
      </c>
      <c r="D1684" s="21">
        <f t="shared" ca="1" si="289"/>
        <v>0.2028204400102821</v>
      </c>
      <c r="E1684" s="21">
        <f t="shared" ca="1" si="296"/>
        <v>12.171827612415655</v>
      </c>
      <c r="F1684" s="20" t="str">
        <f t="shared" ca="1" si="294"/>
        <v>No</v>
      </c>
      <c r="G1684" s="21">
        <f t="shared" ca="1" si="290"/>
        <v>0</v>
      </c>
      <c r="H1684" s="21">
        <f t="shared" ca="1" si="291"/>
        <v>5070.7592903825589</v>
      </c>
      <c r="I1684" s="21">
        <f t="shared" ca="1" si="286"/>
        <v>5070.9621108225692</v>
      </c>
      <c r="J1684" s="20">
        <f t="shared" ca="1" si="295"/>
        <v>6</v>
      </c>
      <c r="K1684" s="20">
        <f t="shared" ca="1" si="287"/>
        <v>5</v>
      </c>
      <c r="L1684" s="44">
        <f t="shared" ca="1" si="292"/>
        <v>5.5</v>
      </c>
    </row>
    <row r="1685" spans="1:12" x14ac:dyDescent="0.25">
      <c r="A1685" s="20">
        <v>1677</v>
      </c>
      <c r="B1685" s="21">
        <f t="shared" ca="1" si="288"/>
        <v>0.79026663111373341</v>
      </c>
      <c r="C1685" s="21">
        <f t="shared" ca="1" si="293"/>
        <v>5059.3777294012571</v>
      </c>
      <c r="D1685" s="21">
        <f t="shared" ca="1" si="289"/>
        <v>3.7558898267980321</v>
      </c>
      <c r="E1685" s="21">
        <f t="shared" ca="1" si="296"/>
        <v>11.584381421312173</v>
      </c>
      <c r="F1685" s="20" t="str">
        <f t="shared" ca="1" si="294"/>
        <v>No</v>
      </c>
      <c r="G1685" s="21">
        <f t="shared" ca="1" si="290"/>
        <v>0</v>
      </c>
      <c r="H1685" s="21">
        <f t="shared" ca="1" si="291"/>
        <v>5070.9621108225692</v>
      </c>
      <c r="I1685" s="21">
        <f t="shared" ca="1" si="286"/>
        <v>5074.7180006493672</v>
      </c>
      <c r="J1685" s="20">
        <f t="shared" ca="1" si="295"/>
        <v>6</v>
      </c>
      <c r="K1685" s="20">
        <f t="shared" ca="1" si="287"/>
        <v>5</v>
      </c>
      <c r="L1685" s="44">
        <f t="shared" ca="1" si="292"/>
        <v>5.5</v>
      </c>
    </row>
    <row r="1686" spans="1:12" x14ac:dyDescent="0.25">
      <c r="A1686" s="20">
        <v>1678</v>
      </c>
      <c r="B1686" s="21">
        <f t="shared" ca="1" si="288"/>
        <v>0.4063682869797472</v>
      </c>
      <c r="C1686" s="21">
        <f t="shared" ca="1" si="293"/>
        <v>5059.7840976882371</v>
      </c>
      <c r="D1686" s="21">
        <f t="shared" ca="1" si="289"/>
        <v>0.74914114621727401</v>
      </c>
      <c r="E1686" s="21">
        <f t="shared" ca="1" si="296"/>
        <v>14.933902961130116</v>
      </c>
      <c r="F1686" s="20" t="str">
        <f t="shared" ca="1" si="294"/>
        <v>No</v>
      </c>
      <c r="G1686" s="21">
        <f t="shared" ca="1" si="290"/>
        <v>0</v>
      </c>
      <c r="H1686" s="21">
        <f t="shared" ca="1" si="291"/>
        <v>5074.7180006493672</v>
      </c>
      <c r="I1686" s="21">
        <f t="shared" ca="1" si="286"/>
        <v>5075.4671417955842</v>
      </c>
      <c r="J1686" s="20">
        <f t="shared" ca="1" si="295"/>
        <v>6</v>
      </c>
      <c r="K1686" s="20">
        <f t="shared" ca="1" si="287"/>
        <v>5</v>
      </c>
      <c r="L1686" s="44">
        <f t="shared" ca="1" si="292"/>
        <v>5.5</v>
      </c>
    </row>
    <row r="1687" spans="1:12" x14ac:dyDescent="0.25">
      <c r="A1687" s="20">
        <v>1679</v>
      </c>
      <c r="B1687" s="21">
        <f t="shared" ca="1" si="288"/>
        <v>1.6622551989788552</v>
      </c>
      <c r="C1687" s="21">
        <f t="shared" ca="1" si="293"/>
        <v>5061.4463528872157</v>
      </c>
      <c r="D1687" s="21">
        <f t="shared" ca="1" si="289"/>
        <v>0.54549212985357365</v>
      </c>
      <c r="E1687" s="21">
        <f t="shared" ca="1" si="296"/>
        <v>14.020788908368559</v>
      </c>
      <c r="F1687" s="20" t="str">
        <f t="shared" ca="1" si="294"/>
        <v>No</v>
      </c>
      <c r="G1687" s="21">
        <f t="shared" ca="1" si="290"/>
        <v>0</v>
      </c>
      <c r="H1687" s="21">
        <f t="shared" ca="1" si="291"/>
        <v>5075.4671417955842</v>
      </c>
      <c r="I1687" s="21">
        <f t="shared" ca="1" si="286"/>
        <v>5076.0126339254375</v>
      </c>
      <c r="J1687" s="20">
        <f t="shared" ca="1" si="295"/>
        <v>6</v>
      </c>
      <c r="K1687" s="20">
        <f t="shared" ca="1" si="287"/>
        <v>5</v>
      </c>
      <c r="L1687" s="44">
        <f t="shared" ca="1" si="292"/>
        <v>5.5</v>
      </c>
    </row>
    <row r="1688" spans="1:12" x14ac:dyDescent="0.25">
      <c r="A1688" s="20">
        <v>1680</v>
      </c>
      <c r="B1688" s="21">
        <f t="shared" ca="1" si="288"/>
        <v>4.5936992542346955</v>
      </c>
      <c r="C1688" s="21">
        <f t="shared" ca="1" si="293"/>
        <v>5066.0400521414504</v>
      </c>
      <c r="D1688" s="21">
        <f t="shared" ca="1" si="289"/>
        <v>5.4969981588686272</v>
      </c>
      <c r="E1688" s="21">
        <f t="shared" ca="1" si="296"/>
        <v>9.9725817839871524</v>
      </c>
      <c r="F1688" s="20" t="str">
        <f t="shared" ca="1" si="294"/>
        <v>No</v>
      </c>
      <c r="G1688" s="21">
        <f t="shared" ca="1" si="290"/>
        <v>0</v>
      </c>
      <c r="H1688" s="21">
        <f t="shared" ca="1" si="291"/>
        <v>5076.0126339254375</v>
      </c>
      <c r="I1688" s="21">
        <f t="shared" ca="1" si="286"/>
        <v>5081.5096320843058</v>
      </c>
      <c r="J1688" s="20">
        <f t="shared" ca="1" si="295"/>
        <v>6</v>
      </c>
      <c r="K1688" s="20">
        <f t="shared" ca="1" si="287"/>
        <v>5</v>
      </c>
      <c r="L1688" s="44">
        <f t="shared" ca="1" si="292"/>
        <v>5.5</v>
      </c>
    </row>
    <row r="1689" spans="1:12" x14ac:dyDescent="0.25">
      <c r="A1689" s="20">
        <v>1681</v>
      </c>
      <c r="B1689" s="21">
        <f t="shared" ca="1" si="288"/>
        <v>1.3597336068326578</v>
      </c>
      <c r="C1689" s="21">
        <f t="shared" ca="1" si="293"/>
        <v>5067.3997857482827</v>
      </c>
      <c r="D1689" s="21">
        <f t="shared" ca="1" si="289"/>
        <v>5.0025350821204277</v>
      </c>
      <c r="E1689" s="21">
        <f t="shared" ca="1" si="296"/>
        <v>14.109846336023111</v>
      </c>
      <c r="F1689" s="20" t="str">
        <f t="shared" ca="1" si="294"/>
        <v>No</v>
      </c>
      <c r="G1689" s="21">
        <f t="shared" ca="1" si="290"/>
        <v>0</v>
      </c>
      <c r="H1689" s="21">
        <f t="shared" ca="1" si="291"/>
        <v>5081.5096320843058</v>
      </c>
      <c r="I1689" s="21">
        <f t="shared" ca="1" si="286"/>
        <v>5086.5121671664265</v>
      </c>
      <c r="J1689" s="20">
        <f t="shared" ca="1" si="295"/>
        <v>6</v>
      </c>
      <c r="K1689" s="20">
        <f t="shared" ca="1" si="287"/>
        <v>5</v>
      </c>
      <c r="L1689" s="44">
        <f t="shared" ca="1" si="292"/>
        <v>5.5</v>
      </c>
    </row>
    <row r="1690" spans="1:12" x14ac:dyDescent="0.25">
      <c r="A1690" s="20">
        <v>1682</v>
      </c>
      <c r="B1690" s="21">
        <f t="shared" ca="1" si="288"/>
        <v>1.1412869489393196</v>
      </c>
      <c r="C1690" s="21">
        <f t="shared" ca="1" si="293"/>
        <v>5068.5410726972223</v>
      </c>
      <c r="D1690" s="21">
        <f t="shared" ca="1" si="289"/>
        <v>0.28944639155164431</v>
      </c>
      <c r="E1690" s="21">
        <f t="shared" ca="1" si="296"/>
        <v>17.971094469204218</v>
      </c>
      <c r="F1690" s="20" t="str">
        <f t="shared" ca="1" si="294"/>
        <v>No</v>
      </c>
      <c r="G1690" s="21">
        <f t="shared" ca="1" si="290"/>
        <v>0</v>
      </c>
      <c r="H1690" s="21">
        <f t="shared" ca="1" si="291"/>
        <v>5086.5121671664265</v>
      </c>
      <c r="I1690" s="21">
        <f t="shared" ca="1" si="286"/>
        <v>5086.8016135579783</v>
      </c>
      <c r="J1690" s="20">
        <f t="shared" ca="1" si="295"/>
        <v>6</v>
      </c>
      <c r="K1690" s="20">
        <f t="shared" ca="1" si="287"/>
        <v>5</v>
      </c>
      <c r="L1690" s="44">
        <f t="shared" ca="1" si="292"/>
        <v>5.5</v>
      </c>
    </row>
    <row r="1691" spans="1:12" x14ac:dyDescent="0.25">
      <c r="A1691" s="20">
        <v>1683</v>
      </c>
      <c r="B1691" s="21">
        <f t="shared" ca="1" si="288"/>
        <v>5.5947695138014204</v>
      </c>
      <c r="C1691" s="21">
        <f t="shared" ca="1" si="293"/>
        <v>5074.1358422110234</v>
      </c>
      <c r="D1691" s="21">
        <f t="shared" ca="1" si="289"/>
        <v>0.83200372144402968</v>
      </c>
      <c r="E1691" s="21">
        <f t="shared" ca="1" si="296"/>
        <v>12.665771346954898</v>
      </c>
      <c r="F1691" s="20" t="str">
        <f t="shared" ca="1" si="294"/>
        <v>No</v>
      </c>
      <c r="G1691" s="21">
        <f t="shared" ca="1" si="290"/>
        <v>0</v>
      </c>
      <c r="H1691" s="21">
        <f t="shared" ca="1" si="291"/>
        <v>5086.8016135579783</v>
      </c>
      <c r="I1691" s="21">
        <f t="shared" ca="1" si="286"/>
        <v>5087.6336172794227</v>
      </c>
      <c r="J1691" s="20">
        <f t="shared" ca="1" si="295"/>
        <v>6</v>
      </c>
      <c r="K1691" s="20">
        <f t="shared" ca="1" si="287"/>
        <v>5</v>
      </c>
      <c r="L1691" s="44">
        <f t="shared" ca="1" si="292"/>
        <v>5.5</v>
      </c>
    </row>
    <row r="1692" spans="1:12" x14ac:dyDescent="0.25">
      <c r="A1692" s="20">
        <v>1684</v>
      </c>
      <c r="B1692" s="21">
        <f t="shared" ca="1" si="288"/>
        <v>1.6770215741047563</v>
      </c>
      <c r="C1692" s="21">
        <f t="shared" ca="1" si="293"/>
        <v>5075.8128637851278</v>
      </c>
      <c r="D1692" s="21">
        <f t="shared" ca="1" si="289"/>
        <v>2.3832916286612482</v>
      </c>
      <c r="E1692" s="21">
        <f t="shared" ca="1" si="296"/>
        <v>11.820753494294877</v>
      </c>
      <c r="F1692" s="20" t="str">
        <f t="shared" ca="1" si="294"/>
        <v>No</v>
      </c>
      <c r="G1692" s="21">
        <f t="shared" ca="1" si="290"/>
        <v>0</v>
      </c>
      <c r="H1692" s="21">
        <f t="shared" ca="1" si="291"/>
        <v>5087.6336172794227</v>
      </c>
      <c r="I1692" s="21">
        <f t="shared" ca="1" si="286"/>
        <v>5090.0169089080837</v>
      </c>
      <c r="J1692" s="20">
        <f t="shared" ca="1" si="295"/>
        <v>6</v>
      </c>
      <c r="K1692" s="20">
        <f t="shared" ca="1" si="287"/>
        <v>5</v>
      </c>
      <c r="L1692" s="44">
        <f t="shared" ca="1" si="292"/>
        <v>5.5</v>
      </c>
    </row>
    <row r="1693" spans="1:12" x14ac:dyDescent="0.25">
      <c r="A1693" s="20">
        <v>1685</v>
      </c>
      <c r="B1693" s="21">
        <f t="shared" ca="1" si="288"/>
        <v>1.2621012949553889</v>
      </c>
      <c r="C1693" s="21">
        <f t="shared" ca="1" si="293"/>
        <v>5077.0749650800835</v>
      </c>
      <c r="D1693" s="21">
        <f t="shared" ca="1" si="289"/>
        <v>5.4447234719992048</v>
      </c>
      <c r="E1693" s="21">
        <f t="shared" ca="1" si="296"/>
        <v>12.941943828000149</v>
      </c>
      <c r="F1693" s="20" t="str">
        <f t="shared" ca="1" si="294"/>
        <v>No</v>
      </c>
      <c r="G1693" s="21">
        <f t="shared" ca="1" si="290"/>
        <v>0</v>
      </c>
      <c r="H1693" s="21">
        <f t="shared" ca="1" si="291"/>
        <v>5090.0169089080837</v>
      </c>
      <c r="I1693" s="21">
        <f t="shared" ca="1" si="286"/>
        <v>5095.4616323800828</v>
      </c>
      <c r="J1693" s="20">
        <f t="shared" ca="1" si="295"/>
        <v>6</v>
      </c>
      <c r="K1693" s="20">
        <f t="shared" ca="1" si="287"/>
        <v>5</v>
      </c>
      <c r="L1693" s="44">
        <f t="shared" ca="1" si="292"/>
        <v>5.5</v>
      </c>
    </row>
    <row r="1694" spans="1:12" x14ac:dyDescent="0.25">
      <c r="A1694" s="20">
        <v>1686</v>
      </c>
      <c r="B1694" s="21">
        <f t="shared" ca="1" si="288"/>
        <v>0.26344473458665479</v>
      </c>
      <c r="C1694" s="21">
        <f t="shared" ca="1" si="293"/>
        <v>5077.3384098146698</v>
      </c>
      <c r="D1694" s="21">
        <f t="shared" ca="1" si="289"/>
        <v>1.8317542113748237</v>
      </c>
      <c r="E1694" s="21">
        <f t="shared" ca="1" si="296"/>
        <v>18.123222565413016</v>
      </c>
      <c r="F1694" s="20" t="str">
        <f t="shared" ca="1" si="294"/>
        <v>No</v>
      </c>
      <c r="G1694" s="21">
        <f t="shared" ca="1" si="290"/>
        <v>0</v>
      </c>
      <c r="H1694" s="21">
        <f t="shared" ca="1" si="291"/>
        <v>5095.4616323800828</v>
      </c>
      <c r="I1694" s="21">
        <f t="shared" ca="1" si="286"/>
        <v>5097.2933865914574</v>
      </c>
      <c r="J1694" s="20">
        <f t="shared" ca="1" si="295"/>
        <v>6</v>
      </c>
      <c r="K1694" s="20">
        <f t="shared" ca="1" si="287"/>
        <v>5</v>
      </c>
      <c r="L1694" s="44">
        <f t="shared" ca="1" si="292"/>
        <v>5.5</v>
      </c>
    </row>
    <row r="1695" spans="1:12" x14ac:dyDescent="0.25">
      <c r="A1695" s="20">
        <v>1687</v>
      </c>
      <c r="B1695" s="21">
        <f t="shared" ca="1" si="288"/>
        <v>1.1073642653923172</v>
      </c>
      <c r="C1695" s="21">
        <f t="shared" ca="1" si="293"/>
        <v>5078.4457740800617</v>
      </c>
      <c r="D1695" s="21">
        <f t="shared" ca="1" si="289"/>
        <v>0.28230317487582463</v>
      </c>
      <c r="E1695" s="21">
        <f t="shared" ca="1" si="296"/>
        <v>18.84761251139571</v>
      </c>
      <c r="F1695" s="20" t="str">
        <f t="shared" ca="1" si="294"/>
        <v>No</v>
      </c>
      <c r="G1695" s="21">
        <f t="shared" ca="1" si="290"/>
        <v>0</v>
      </c>
      <c r="H1695" s="21">
        <f t="shared" ca="1" si="291"/>
        <v>5097.2933865914574</v>
      </c>
      <c r="I1695" s="21">
        <f t="shared" ca="1" si="286"/>
        <v>5097.5756897663332</v>
      </c>
      <c r="J1695" s="20">
        <f t="shared" ca="1" si="295"/>
        <v>6</v>
      </c>
      <c r="K1695" s="20">
        <f t="shared" ca="1" si="287"/>
        <v>5</v>
      </c>
      <c r="L1695" s="44">
        <f t="shared" ca="1" si="292"/>
        <v>5.5</v>
      </c>
    </row>
    <row r="1696" spans="1:12" x14ac:dyDescent="0.25">
      <c r="A1696" s="20">
        <v>1688</v>
      </c>
      <c r="B1696" s="21">
        <f t="shared" ca="1" si="288"/>
        <v>1.2704614018756519</v>
      </c>
      <c r="C1696" s="21">
        <f t="shared" ca="1" si="293"/>
        <v>5079.7162354819375</v>
      </c>
      <c r="D1696" s="21">
        <f t="shared" ca="1" si="289"/>
        <v>1.8272848398387198</v>
      </c>
      <c r="E1696" s="21">
        <f t="shared" ca="1" si="296"/>
        <v>17.859454284395724</v>
      </c>
      <c r="F1696" s="20" t="str">
        <f t="shared" ca="1" si="294"/>
        <v>No</v>
      </c>
      <c r="G1696" s="21">
        <f t="shared" ca="1" si="290"/>
        <v>0</v>
      </c>
      <c r="H1696" s="21">
        <f t="shared" ca="1" si="291"/>
        <v>5097.5756897663332</v>
      </c>
      <c r="I1696" s="21">
        <f t="shared" ca="1" si="286"/>
        <v>5099.4029746061715</v>
      </c>
      <c r="J1696" s="20">
        <f t="shared" ca="1" si="295"/>
        <v>6</v>
      </c>
      <c r="K1696" s="20">
        <f t="shared" ca="1" si="287"/>
        <v>5</v>
      </c>
      <c r="L1696" s="44">
        <f t="shared" ca="1" si="292"/>
        <v>5.5</v>
      </c>
    </row>
    <row r="1697" spans="1:12" x14ac:dyDescent="0.25">
      <c r="A1697" s="20">
        <v>1689</v>
      </c>
      <c r="B1697" s="21">
        <f t="shared" ca="1" si="288"/>
        <v>0.43169593989204025</v>
      </c>
      <c r="C1697" s="21">
        <f t="shared" ca="1" si="293"/>
        <v>5080.1479314218295</v>
      </c>
      <c r="D1697" s="21">
        <f t="shared" ca="1" si="289"/>
        <v>2.1118081526612067</v>
      </c>
      <c r="E1697" s="21">
        <f t="shared" ca="1" si="296"/>
        <v>19.255043184341957</v>
      </c>
      <c r="F1697" s="20" t="str">
        <f t="shared" ca="1" si="294"/>
        <v>No</v>
      </c>
      <c r="G1697" s="21">
        <f t="shared" ca="1" si="290"/>
        <v>0</v>
      </c>
      <c r="H1697" s="21">
        <f t="shared" ca="1" si="291"/>
        <v>5099.4029746061715</v>
      </c>
      <c r="I1697" s="21">
        <f t="shared" ca="1" si="286"/>
        <v>5101.5147827588326</v>
      </c>
      <c r="J1697" s="20">
        <f t="shared" ca="1" si="295"/>
        <v>6</v>
      </c>
      <c r="K1697" s="20">
        <f t="shared" ca="1" si="287"/>
        <v>5</v>
      </c>
      <c r="L1697" s="44">
        <f t="shared" ca="1" si="292"/>
        <v>5.5</v>
      </c>
    </row>
    <row r="1698" spans="1:12" x14ac:dyDescent="0.25">
      <c r="A1698" s="20">
        <v>1690</v>
      </c>
      <c r="B1698" s="21">
        <f t="shared" ca="1" si="288"/>
        <v>7.5236281419379898</v>
      </c>
      <c r="C1698" s="21">
        <f t="shared" ca="1" si="293"/>
        <v>5087.6715595637679</v>
      </c>
      <c r="D1698" s="21">
        <f t="shared" ca="1" si="289"/>
        <v>1.7991837787812299</v>
      </c>
      <c r="E1698" s="21">
        <f t="shared" ca="1" si="296"/>
        <v>13.843223195064638</v>
      </c>
      <c r="F1698" s="20" t="str">
        <f t="shared" ca="1" si="294"/>
        <v>No</v>
      </c>
      <c r="G1698" s="21">
        <f t="shared" ca="1" si="290"/>
        <v>0</v>
      </c>
      <c r="H1698" s="21">
        <f t="shared" ca="1" si="291"/>
        <v>5101.5147827588326</v>
      </c>
      <c r="I1698" s="21">
        <f t="shared" ca="1" si="286"/>
        <v>5103.3139665376139</v>
      </c>
      <c r="J1698" s="20">
        <f t="shared" ca="1" si="295"/>
        <v>6</v>
      </c>
      <c r="K1698" s="20">
        <f t="shared" ca="1" si="287"/>
        <v>5</v>
      </c>
      <c r="L1698" s="44">
        <f t="shared" ca="1" si="292"/>
        <v>5.5</v>
      </c>
    </row>
    <row r="1699" spans="1:12" x14ac:dyDescent="0.25">
      <c r="A1699" s="20">
        <v>1691</v>
      </c>
      <c r="B1699" s="21">
        <f t="shared" ca="1" si="288"/>
        <v>3.0649237671011713</v>
      </c>
      <c r="C1699" s="21">
        <f t="shared" ca="1" si="293"/>
        <v>5090.7364833308693</v>
      </c>
      <c r="D1699" s="21">
        <f t="shared" ca="1" si="289"/>
        <v>2.4776725210081194</v>
      </c>
      <c r="E1699" s="21">
        <f t="shared" ca="1" si="296"/>
        <v>12.577483206744546</v>
      </c>
      <c r="F1699" s="20" t="str">
        <f t="shared" ca="1" si="294"/>
        <v>No</v>
      </c>
      <c r="G1699" s="21">
        <f t="shared" ca="1" si="290"/>
        <v>0</v>
      </c>
      <c r="H1699" s="21">
        <f t="shared" ca="1" si="291"/>
        <v>5103.3139665376139</v>
      </c>
      <c r="I1699" s="21">
        <f t="shared" ca="1" si="286"/>
        <v>5105.7916390586224</v>
      </c>
      <c r="J1699" s="20">
        <f t="shared" ca="1" si="295"/>
        <v>6</v>
      </c>
      <c r="K1699" s="20">
        <f t="shared" ca="1" si="287"/>
        <v>5</v>
      </c>
      <c r="L1699" s="44">
        <f t="shared" ca="1" si="292"/>
        <v>5.5</v>
      </c>
    </row>
    <row r="1700" spans="1:12" x14ac:dyDescent="0.25">
      <c r="A1700" s="20">
        <v>1692</v>
      </c>
      <c r="B1700" s="21">
        <f t="shared" ca="1" si="288"/>
        <v>0.39096660551337603</v>
      </c>
      <c r="C1700" s="21">
        <f t="shared" ca="1" si="293"/>
        <v>5091.1274499363826</v>
      </c>
      <c r="D1700" s="21">
        <f t="shared" ca="1" si="289"/>
        <v>2.2491147282858228</v>
      </c>
      <c r="E1700" s="21">
        <f t="shared" ca="1" si="296"/>
        <v>14.664189122239804</v>
      </c>
      <c r="F1700" s="20" t="str">
        <f t="shared" ca="1" si="294"/>
        <v>No</v>
      </c>
      <c r="G1700" s="21">
        <f t="shared" ca="1" si="290"/>
        <v>0</v>
      </c>
      <c r="H1700" s="21">
        <f t="shared" ca="1" si="291"/>
        <v>5105.7916390586224</v>
      </c>
      <c r="I1700" s="21">
        <f t="shared" ca="1" si="286"/>
        <v>5108.0407537869087</v>
      </c>
      <c r="J1700" s="20">
        <f t="shared" ca="1" si="295"/>
        <v>6</v>
      </c>
      <c r="K1700" s="20">
        <f t="shared" ca="1" si="287"/>
        <v>5</v>
      </c>
      <c r="L1700" s="44">
        <f t="shared" ca="1" si="292"/>
        <v>5.5</v>
      </c>
    </row>
    <row r="1701" spans="1:12" x14ac:dyDescent="0.25">
      <c r="A1701" s="20">
        <v>1693</v>
      </c>
      <c r="B1701" s="21">
        <f t="shared" ca="1" si="288"/>
        <v>0.97941672997057716</v>
      </c>
      <c r="C1701" s="21">
        <f t="shared" ca="1" si="293"/>
        <v>5092.1068666663532</v>
      </c>
      <c r="D1701" s="21">
        <f t="shared" ca="1" si="289"/>
        <v>2.2805068062450653</v>
      </c>
      <c r="E1701" s="21">
        <f t="shared" ca="1" si="296"/>
        <v>15.933887120555482</v>
      </c>
      <c r="F1701" s="20" t="str">
        <f t="shared" ca="1" si="294"/>
        <v>No</v>
      </c>
      <c r="G1701" s="21">
        <f t="shared" ca="1" si="290"/>
        <v>0</v>
      </c>
      <c r="H1701" s="21">
        <f t="shared" ca="1" si="291"/>
        <v>5108.0407537869087</v>
      </c>
      <c r="I1701" s="21">
        <f t="shared" ca="1" si="286"/>
        <v>5110.321260593154</v>
      </c>
      <c r="J1701" s="20">
        <f t="shared" ca="1" si="295"/>
        <v>6</v>
      </c>
      <c r="K1701" s="20">
        <f t="shared" ca="1" si="287"/>
        <v>5</v>
      </c>
      <c r="L1701" s="44">
        <f t="shared" ca="1" si="292"/>
        <v>5.5</v>
      </c>
    </row>
    <row r="1702" spans="1:12" x14ac:dyDescent="0.25">
      <c r="A1702" s="20">
        <v>1694</v>
      </c>
      <c r="B1702" s="21">
        <f t="shared" ca="1" si="288"/>
        <v>1.1977023349118625</v>
      </c>
      <c r="C1702" s="21">
        <f t="shared" ca="1" si="293"/>
        <v>5093.304569001265</v>
      </c>
      <c r="D1702" s="21">
        <f t="shared" ca="1" si="289"/>
        <v>0.57148706398390514</v>
      </c>
      <c r="E1702" s="21">
        <f t="shared" ca="1" si="296"/>
        <v>17.016691591888957</v>
      </c>
      <c r="F1702" s="20" t="str">
        <f t="shared" ca="1" si="294"/>
        <v>No</v>
      </c>
      <c r="G1702" s="21">
        <f t="shared" ca="1" si="290"/>
        <v>0</v>
      </c>
      <c r="H1702" s="21">
        <f t="shared" ca="1" si="291"/>
        <v>5110.321260593154</v>
      </c>
      <c r="I1702" s="21">
        <f t="shared" ca="1" si="286"/>
        <v>5110.892747657138</v>
      </c>
      <c r="J1702" s="20">
        <f t="shared" ca="1" si="295"/>
        <v>6</v>
      </c>
      <c r="K1702" s="20">
        <f t="shared" ca="1" si="287"/>
        <v>5</v>
      </c>
      <c r="L1702" s="44">
        <f t="shared" ca="1" si="292"/>
        <v>5.5</v>
      </c>
    </row>
    <row r="1703" spans="1:12" x14ac:dyDescent="0.25">
      <c r="A1703" s="20">
        <v>1695</v>
      </c>
      <c r="B1703" s="21">
        <f t="shared" ca="1" si="288"/>
        <v>3.0379586547720807</v>
      </c>
      <c r="C1703" s="21">
        <f t="shared" ca="1" si="293"/>
        <v>5096.3425276560374</v>
      </c>
      <c r="D1703" s="21">
        <f t="shared" ca="1" si="289"/>
        <v>0.79496958256215999</v>
      </c>
      <c r="E1703" s="21">
        <f t="shared" ca="1" si="296"/>
        <v>14.55022000110057</v>
      </c>
      <c r="F1703" s="20" t="str">
        <f t="shared" ca="1" si="294"/>
        <v>No</v>
      </c>
      <c r="G1703" s="21">
        <f t="shared" ca="1" si="290"/>
        <v>0</v>
      </c>
      <c r="H1703" s="21">
        <f t="shared" ca="1" si="291"/>
        <v>5110.892747657138</v>
      </c>
      <c r="I1703" s="21">
        <f t="shared" ca="1" si="286"/>
        <v>5111.6877172396999</v>
      </c>
      <c r="J1703" s="20">
        <f t="shared" ca="1" si="295"/>
        <v>6</v>
      </c>
      <c r="K1703" s="20">
        <f t="shared" ca="1" si="287"/>
        <v>5</v>
      </c>
      <c r="L1703" s="44">
        <f t="shared" ca="1" si="292"/>
        <v>5.5</v>
      </c>
    </row>
    <row r="1704" spans="1:12" x14ac:dyDescent="0.25">
      <c r="A1704" s="20">
        <v>1696</v>
      </c>
      <c r="B1704" s="21">
        <f t="shared" ca="1" si="288"/>
        <v>5.4796142954390898</v>
      </c>
      <c r="C1704" s="21">
        <f t="shared" ca="1" si="293"/>
        <v>5101.8221419514766</v>
      </c>
      <c r="D1704" s="21">
        <f t="shared" ca="1" si="289"/>
        <v>4.3493254338777643</v>
      </c>
      <c r="E1704" s="21">
        <f t="shared" ca="1" si="296"/>
        <v>9.8655752882232264</v>
      </c>
      <c r="F1704" s="20" t="str">
        <f t="shared" ca="1" si="294"/>
        <v>No</v>
      </c>
      <c r="G1704" s="21">
        <f t="shared" ca="1" si="290"/>
        <v>0</v>
      </c>
      <c r="H1704" s="21">
        <f t="shared" ca="1" si="291"/>
        <v>5111.6877172396999</v>
      </c>
      <c r="I1704" s="21">
        <f t="shared" ca="1" si="286"/>
        <v>5116.0370426735772</v>
      </c>
      <c r="J1704" s="20">
        <f t="shared" ca="1" si="295"/>
        <v>6</v>
      </c>
      <c r="K1704" s="20">
        <f t="shared" ca="1" si="287"/>
        <v>5</v>
      </c>
      <c r="L1704" s="44">
        <f t="shared" ca="1" si="292"/>
        <v>5.5</v>
      </c>
    </row>
    <row r="1705" spans="1:12" x14ac:dyDescent="0.25">
      <c r="A1705" s="20">
        <v>1697</v>
      </c>
      <c r="B1705" s="21">
        <f t="shared" ca="1" si="288"/>
        <v>0.69157099629890895</v>
      </c>
      <c r="C1705" s="21">
        <f t="shared" ca="1" si="293"/>
        <v>5102.5137129477753</v>
      </c>
      <c r="D1705" s="21">
        <f t="shared" ca="1" si="289"/>
        <v>3.2060491909774167</v>
      </c>
      <c r="E1705" s="21">
        <f t="shared" ca="1" si="296"/>
        <v>13.523329725801887</v>
      </c>
      <c r="F1705" s="20" t="str">
        <f t="shared" ca="1" si="294"/>
        <v>No</v>
      </c>
      <c r="G1705" s="21">
        <f t="shared" ca="1" si="290"/>
        <v>0</v>
      </c>
      <c r="H1705" s="21">
        <f t="shared" ca="1" si="291"/>
        <v>5116.0370426735772</v>
      </c>
      <c r="I1705" s="21">
        <f t="shared" ca="1" si="286"/>
        <v>5119.243091864555</v>
      </c>
      <c r="J1705" s="20">
        <f t="shared" ca="1" si="295"/>
        <v>6</v>
      </c>
      <c r="K1705" s="20">
        <f t="shared" ca="1" si="287"/>
        <v>5</v>
      </c>
      <c r="L1705" s="44">
        <f t="shared" ca="1" si="292"/>
        <v>5.5</v>
      </c>
    </row>
    <row r="1706" spans="1:12" x14ac:dyDescent="0.25">
      <c r="A1706" s="20">
        <v>1698</v>
      </c>
      <c r="B1706" s="21">
        <f t="shared" ca="1" si="288"/>
        <v>1.016904997013732</v>
      </c>
      <c r="C1706" s="21">
        <f t="shared" ca="1" si="293"/>
        <v>5103.5306179447889</v>
      </c>
      <c r="D1706" s="21">
        <f t="shared" ca="1" si="289"/>
        <v>2.218695276618357</v>
      </c>
      <c r="E1706" s="21">
        <f t="shared" ca="1" si="296"/>
        <v>15.712473919766126</v>
      </c>
      <c r="F1706" s="20" t="str">
        <f t="shared" ca="1" si="294"/>
        <v>No</v>
      </c>
      <c r="G1706" s="21">
        <f t="shared" ca="1" si="290"/>
        <v>0</v>
      </c>
      <c r="H1706" s="21">
        <f t="shared" ca="1" si="291"/>
        <v>5119.243091864555</v>
      </c>
      <c r="I1706" s="21">
        <f t="shared" ca="1" si="286"/>
        <v>5121.4617871411738</v>
      </c>
      <c r="J1706" s="20">
        <f t="shared" ca="1" si="295"/>
        <v>6</v>
      </c>
      <c r="K1706" s="20">
        <f t="shared" ca="1" si="287"/>
        <v>5</v>
      </c>
      <c r="L1706" s="44">
        <f t="shared" ca="1" si="292"/>
        <v>5.5</v>
      </c>
    </row>
    <row r="1707" spans="1:12" x14ac:dyDescent="0.25">
      <c r="A1707" s="20">
        <v>1699</v>
      </c>
      <c r="B1707" s="21">
        <f t="shared" ca="1" si="288"/>
        <v>0.10293040430767493</v>
      </c>
      <c r="C1707" s="21">
        <f t="shared" ca="1" si="293"/>
        <v>5103.6335483490966</v>
      </c>
      <c r="D1707" s="21">
        <f t="shared" ca="1" si="289"/>
        <v>0.92418387246810407</v>
      </c>
      <c r="E1707" s="21">
        <f t="shared" ca="1" si="296"/>
        <v>17.828238792077173</v>
      </c>
      <c r="F1707" s="20" t="str">
        <f t="shared" ca="1" si="294"/>
        <v>No</v>
      </c>
      <c r="G1707" s="21">
        <f t="shared" ca="1" si="290"/>
        <v>0</v>
      </c>
      <c r="H1707" s="21">
        <f t="shared" ca="1" si="291"/>
        <v>5121.4617871411738</v>
      </c>
      <c r="I1707" s="21">
        <f t="shared" ca="1" si="286"/>
        <v>5122.3859710136421</v>
      </c>
      <c r="J1707" s="20">
        <f t="shared" ca="1" si="295"/>
        <v>6</v>
      </c>
      <c r="K1707" s="20">
        <f t="shared" ca="1" si="287"/>
        <v>5</v>
      </c>
      <c r="L1707" s="44">
        <f t="shared" ca="1" si="292"/>
        <v>5.5</v>
      </c>
    </row>
    <row r="1708" spans="1:12" x14ac:dyDescent="0.25">
      <c r="A1708" s="20">
        <v>1700</v>
      </c>
      <c r="B1708" s="21">
        <f t="shared" ca="1" si="288"/>
        <v>4.7472708942053412</v>
      </c>
      <c r="C1708" s="21">
        <f t="shared" ca="1" si="293"/>
        <v>5108.3808192433016</v>
      </c>
      <c r="D1708" s="21">
        <f t="shared" ca="1" si="289"/>
        <v>0.96377292716650131</v>
      </c>
      <c r="E1708" s="21">
        <f t="shared" ca="1" si="296"/>
        <v>14.00515177034049</v>
      </c>
      <c r="F1708" s="20" t="str">
        <f t="shared" ca="1" si="294"/>
        <v>No</v>
      </c>
      <c r="G1708" s="21">
        <f t="shared" ca="1" si="290"/>
        <v>0</v>
      </c>
      <c r="H1708" s="21">
        <f t="shared" ca="1" si="291"/>
        <v>5122.3859710136421</v>
      </c>
      <c r="I1708" s="21">
        <f t="shared" ca="1" si="286"/>
        <v>5123.3497439408084</v>
      </c>
      <c r="J1708" s="20">
        <f t="shared" ca="1" si="295"/>
        <v>6</v>
      </c>
      <c r="K1708" s="20">
        <f t="shared" ca="1" si="287"/>
        <v>5</v>
      </c>
      <c r="L1708" s="44">
        <f t="shared" ca="1" si="292"/>
        <v>5.5</v>
      </c>
    </row>
    <row r="1709" spans="1:12" x14ac:dyDescent="0.25">
      <c r="A1709" s="20">
        <v>1701</v>
      </c>
      <c r="B1709" s="21">
        <f t="shared" ca="1" si="288"/>
        <v>2.2191565570525547</v>
      </c>
      <c r="C1709" s="21">
        <f t="shared" ca="1" si="293"/>
        <v>5110.5999758003545</v>
      </c>
      <c r="D1709" s="21">
        <f t="shared" ca="1" si="289"/>
        <v>3.9893197534514715</v>
      </c>
      <c r="E1709" s="21">
        <f t="shared" ca="1" si="296"/>
        <v>12.749768140453853</v>
      </c>
      <c r="F1709" s="20" t="str">
        <f t="shared" ca="1" si="294"/>
        <v>No</v>
      </c>
      <c r="G1709" s="21">
        <f t="shared" ca="1" si="290"/>
        <v>0</v>
      </c>
      <c r="H1709" s="21">
        <f t="shared" ca="1" si="291"/>
        <v>5123.3497439408084</v>
      </c>
      <c r="I1709" s="21">
        <f t="shared" ca="1" si="286"/>
        <v>5127.3390636942595</v>
      </c>
      <c r="J1709" s="20">
        <f t="shared" ca="1" si="295"/>
        <v>6</v>
      </c>
      <c r="K1709" s="20">
        <f t="shared" ca="1" si="287"/>
        <v>5</v>
      </c>
      <c r="L1709" s="44">
        <f t="shared" ca="1" si="292"/>
        <v>5.5</v>
      </c>
    </row>
    <row r="1710" spans="1:12" x14ac:dyDescent="0.25">
      <c r="A1710" s="20">
        <v>1702</v>
      </c>
      <c r="B1710" s="21">
        <f t="shared" ca="1" si="288"/>
        <v>0.94399372614712029</v>
      </c>
      <c r="C1710" s="21">
        <f t="shared" ca="1" si="293"/>
        <v>5111.5439695265013</v>
      </c>
      <c r="D1710" s="21">
        <f t="shared" ca="1" si="289"/>
        <v>5.433110079617439</v>
      </c>
      <c r="E1710" s="21">
        <f t="shared" ca="1" si="296"/>
        <v>15.79509416775818</v>
      </c>
      <c r="F1710" s="20" t="str">
        <f t="shared" ca="1" si="294"/>
        <v>No</v>
      </c>
      <c r="G1710" s="21">
        <f t="shared" ca="1" si="290"/>
        <v>0</v>
      </c>
      <c r="H1710" s="21">
        <f t="shared" ca="1" si="291"/>
        <v>5127.3390636942595</v>
      </c>
      <c r="I1710" s="21">
        <f t="shared" ca="1" si="286"/>
        <v>5132.7721737738766</v>
      </c>
      <c r="J1710" s="20">
        <f t="shared" ca="1" si="295"/>
        <v>6</v>
      </c>
      <c r="K1710" s="20">
        <f t="shared" ca="1" si="287"/>
        <v>5</v>
      </c>
      <c r="L1710" s="44">
        <f t="shared" ca="1" si="292"/>
        <v>5.5</v>
      </c>
    </row>
    <row r="1711" spans="1:12" x14ac:dyDescent="0.25">
      <c r="A1711" s="20">
        <v>1703</v>
      </c>
      <c r="B1711" s="21">
        <f t="shared" ca="1" si="288"/>
        <v>2.4557998885419119</v>
      </c>
      <c r="C1711" s="21">
        <f t="shared" ca="1" si="293"/>
        <v>5113.9997694150434</v>
      </c>
      <c r="D1711" s="21">
        <f t="shared" ca="1" si="289"/>
        <v>2.7646565097948081</v>
      </c>
      <c r="E1711" s="21">
        <f t="shared" ca="1" si="296"/>
        <v>18.772404358833228</v>
      </c>
      <c r="F1711" s="20" t="str">
        <f t="shared" ca="1" si="294"/>
        <v>No</v>
      </c>
      <c r="G1711" s="21">
        <f t="shared" ca="1" si="290"/>
        <v>0</v>
      </c>
      <c r="H1711" s="21">
        <f t="shared" ca="1" si="291"/>
        <v>5132.7721737738766</v>
      </c>
      <c r="I1711" s="21">
        <f t="shared" ca="1" si="286"/>
        <v>5135.5368302836714</v>
      </c>
      <c r="J1711" s="20">
        <f t="shared" ca="1" si="295"/>
        <v>6</v>
      </c>
      <c r="K1711" s="20">
        <f t="shared" ca="1" si="287"/>
        <v>5</v>
      </c>
      <c r="L1711" s="44">
        <f t="shared" ca="1" si="292"/>
        <v>5.5</v>
      </c>
    </row>
    <row r="1712" spans="1:12" x14ac:dyDescent="0.25">
      <c r="A1712" s="20">
        <v>1704</v>
      </c>
      <c r="B1712" s="21">
        <f t="shared" ca="1" si="288"/>
        <v>2.3781893166634513</v>
      </c>
      <c r="C1712" s="21">
        <f t="shared" ca="1" si="293"/>
        <v>5116.3779587317067</v>
      </c>
      <c r="D1712" s="21">
        <f t="shared" ca="1" si="289"/>
        <v>2.2135791335532709</v>
      </c>
      <c r="E1712" s="21">
        <f t="shared" ca="1" si="296"/>
        <v>19.158871551964694</v>
      </c>
      <c r="F1712" s="20" t="str">
        <f t="shared" ca="1" si="294"/>
        <v>No</v>
      </c>
      <c r="G1712" s="21">
        <f t="shared" ca="1" si="290"/>
        <v>0</v>
      </c>
      <c r="H1712" s="21">
        <f t="shared" ca="1" si="291"/>
        <v>5135.5368302836714</v>
      </c>
      <c r="I1712" s="21">
        <f t="shared" ca="1" si="286"/>
        <v>5137.7504094172245</v>
      </c>
      <c r="J1712" s="20">
        <f t="shared" ca="1" si="295"/>
        <v>6</v>
      </c>
      <c r="K1712" s="20">
        <f t="shared" ca="1" si="287"/>
        <v>5</v>
      </c>
      <c r="L1712" s="44">
        <f t="shared" ca="1" si="292"/>
        <v>5.5</v>
      </c>
    </row>
    <row r="1713" spans="1:12" x14ac:dyDescent="0.25">
      <c r="A1713" s="20">
        <v>1705</v>
      </c>
      <c r="B1713" s="21">
        <f t="shared" ca="1" si="288"/>
        <v>3.3051242408438699</v>
      </c>
      <c r="C1713" s="21">
        <f t="shared" ca="1" si="293"/>
        <v>5119.6830829725504</v>
      </c>
      <c r="D1713" s="21">
        <f t="shared" ca="1" si="289"/>
        <v>1.1264971393121153</v>
      </c>
      <c r="E1713" s="21">
        <f t="shared" ca="1" si="296"/>
        <v>18.067326444674109</v>
      </c>
      <c r="F1713" s="20" t="str">
        <f t="shared" ca="1" si="294"/>
        <v>No</v>
      </c>
      <c r="G1713" s="21">
        <f t="shared" ca="1" si="290"/>
        <v>0</v>
      </c>
      <c r="H1713" s="21">
        <f t="shared" ca="1" si="291"/>
        <v>5137.7504094172245</v>
      </c>
      <c r="I1713" s="21">
        <f t="shared" ca="1" si="286"/>
        <v>5138.8769065565366</v>
      </c>
      <c r="J1713" s="20">
        <f t="shared" ca="1" si="295"/>
        <v>6</v>
      </c>
      <c r="K1713" s="20">
        <f t="shared" ca="1" si="287"/>
        <v>5</v>
      </c>
      <c r="L1713" s="44">
        <f t="shared" ca="1" si="292"/>
        <v>5.5</v>
      </c>
    </row>
    <row r="1714" spans="1:12" x14ac:dyDescent="0.25">
      <c r="A1714" s="20">
        <v>1706</v>
      </c>
      <c r="B1714" s="21">
        <f t="shared" ca="1" si="288"/>
        <v>5.7062795843144505</v>
      </c>
      <c r="C1714" s="21">
        <f t="shared" ca="1" si="293"/>
        <v>5125.3893625568653</v>
      </c>
      <c r="D1714" s="21">
        <f t="shared" ca="1" si="289"/>
        <v>5.0824111453517418</v>
      </c>
      <c r="E1714" s="21">
        <f t="shared" ca="1" si="296"/>
        <v>13.487543999671288</v>
      </c>
      <c r="F1714" s="20" t="str">
        <f t="shared" ca="1" si="294"/>
        <v>No</v>
      </c>
      <c r="G1714" s="21">
        <f t="shared" ca="1" si="290"/>
        <v>0</v>
      </c>
      <c r="H1714" s="21">
        <f t="shared" ca="1" si="291"/>
        <v>5138.8769065565366</v>
      </c>
      <c r="I1714" s="21">
        <f t="shared" ca="1" si="286"/>
        <v>5143.9593177018887</v>
      </c>
      <c r="J1714" s="20">
        <f t="shared" ca="1" si="295"/>
        <v>6</v>
      </c>
      <c r="K1714" s="20">
        <f t="shared" ca="1" si="287"/>
        <v>5</v>
      </c>
      <c r="L1714" s="44">
        <f t="shared" ca="1" si="292"/>
        <v>5.5</v>
      </c>
    </row>
    <row r="1715" spans="1:12" x14ac:dyDescent="0.25">
      <c r="A1715" s="20">
        <v>1707</v>
      </c>
      <c r="B1715" s="21">
        <f t="shared" ca="1" si="288"/>
        <v>2.1135723374045035</v>
      </c>
      <c r="C1715" s="21">
        <f t="shared" ca="1" si="293"/>
        <v>5127.5029348942699</v>
      </c>
      <c r="D1715" s="21">
        <f t="shared" ca="1" si="289"/>
        <v>0.20076186440782187</v>
      </c>
      <c r="E1715" s="21">
        <f t="shared" ca="1" si="296"/>
        <v>16.456382807618866</v>
      </c>
      <c r="F1715" s="20" t="str">
        <f t="shared" ca="1" si="294"/>
        <v>No</v>
      </c>
      <c r="G1715" s="21">
        <f t="shared" ca="1" si="290"/>
        <v>0</v>
      </c>
      <c r="H1715" s="21">
        <f t="shared" ca="1" si="291"/>
        <v>5143.9593177018887</v>
      </c>
      <c r="I1715" s="21">
        <f t="shared" ca="1" si="286"/>
        <v>5144.1600795662962</v>
      </c>
      <c r="J1715" s="20">
        <f t="shared" ca="1" si="295"/>
        <v>6</v>
      </c>
      <c r="K1715" s="20">
        <f t="shared" ca="1" si="287"/>
        <v>4</v>
      </c>
      <c r="L1715" s="44">
        <f t="shared" ca="1" si="292"/>
        <v>5</v>
      </c>
    </row>
    <row r="1716" spans="1:12" x14ac:dyDescent="0.25">
      <c r="A1716" s="20">
        <v>1708</v>
      </c>
      <c r="B1716" s="21">
        <f t="shared" ca="1" si="288"/>
        <v>0.71586513116844386</v>
      </c>
      <c r="C1716" s="21">
        <f t="shared" ca="1" si="293"/>
        <v>5128.2188000254382</v>
      </c>
      <c r="D1716" s="21">
        <f t="shared" ca="1" si="289"/>
        <v>0.68719066412772267</v>
      </c>
      <c r="E1716" s="21">
        <f t="shared" ca="1" si="296"/>
        <v>15.941279540857977</v>
      </c>
      <c r="F1716" s="20" t="str">
        <f t="shared" ca="1" si="294"/>
        <v>No</v>
      </c>
      <c r="G1716" s="21">
        <f t="shared" ca="1" si="290"/>
        <v>0</v>
      </c>
      <c r="H1716" s="21">
        <f t="shared" ca="1" si="291"/>
        <v>5144.1600795662962</v>
      </c>
      <c r="I1716" s="21">
        <f t="shared" ca="1" si="286"/>
        <v>5144.8472702304243</v>
      </c>
      <c r="J1716" s="20">
        <f t="shared" ca="1" si="295"/>
        <v>5</v>
      </c>
      <c r="K1716" s="20">
        <f t="shared" ca="1" si="287"/>
        <v>3</v>
      </c>
      <c r="L1716" s="44">
        <f t="shared" ca="1" si="292"/>
        <v>4</v>
      </c>
    </row>
    <row r="1717" spans="1:12" x14ac:dyDescent="0.25">
      <c r="A1717" s="20">
        <v>1709</v>
      </c>
      <c r="B1717" s="21">
        <f t="shared" ca="1" si="288"/>
        <v>3.2811515301356815</v>
      </c>
      <c r="C1717" s="21">
        <f t="shared" ca="1" si="293"/>
        <v>5131.4999515555737</v>
      </c>
      <c r="D1717" s="21">
        <f t="shared" ca="1" si="289"/>
        <v>0.2220052114805042</v>
      </c>
      <c r="E1717" s="21">
        <f t="shared" ca="1" si="296"/>
        <v>13.347318674850612</v>
      </c>
      <c r="F1717" s="20" t="str">
        <f t="shared" ca="1" si="294"/>
        <v>No</v>
      </c>
      <c r="G1717" s="21">
        <f t="shared" ca="1" si="290"/>
        <v>0</v>
      </c>
      <c r="H1717" s="21">
        <f t="shared" ca="1" si="291"/>
        <v>5144.8472702304243</v>
      </c>
      <c r="I1717" s="21">
        <f t="shared" ca="1" si="286"/>
        <v>5145.0692754419051</v>
      </c>
      <c r="J1717" s="20">
        <f t="shared" ca="1" si="295"/>
        <v>4</v>
      </c>
      <c r="K1717" s="20">
        <f t="shared" ca="1" si="287"/>
        <v>2</v>
      </c>
      <c r="L1717" s="44">
        <f t="shared" ca="1" si="292"/>
        <v>3</v>
      </c>
    </row>
    <row r="1718" spans="1:12" x14ac:dyDescent="0.25">
      <c r="A1718" s="20">
        <v>1710</v>
      </c>
      <c r="B1718" s="21">
        <f t="shared" ca="1" si="288"/>
        <v>1.4877563753706604</v>
      </c>
      <c r="C1718" s="21">
        <f t="shared" ca="1" si="293"/>
        <v>5132.9877079309445</v>
      </c>
      <c r="D1718" s="21">
        <f t="shared" ca="1" si="289"/>
        <v>5.1675946257645826</v>
      </c>
      <c r="E1718" s="21">
        <f t="shared" ca="1" si="296"/>
        <v>12.081567510960667</v>
      </c>
      <c r="F1718" s="20" t="str">
        <f t="shared" ca="1" si="294"/>
        <v>No</v>
      </c>
      <c r="G1718" s="21">
        <f t="shared" ca="1" si="290"/>
        <v>0</v>
      </c>
      <c r="H1718" s="21">
        <f t="shared" ca="1" si="291"/>
        <v>5145.0692754419051</v>
      </c>
      <c r="I1718" s="21">
        <f t="shared" ca="1" si="286"/>
        <v>5150.2368700676698</v>
      </c>
      <c r="J1718" s="20">
        <f t="shared" ca="1" si="295"/>
        <v>3</v>
      </c>
      <c r="K1718" s="20">
        <f t="shared" ca="1" si="287"/>
        <v>3</v>
      </c>
      <c r="L1718" s="44">
        <f t="shared" ca="1" si="292"/>
        <v>3</v>
      </c>
    </row>
    <row r="1719" spans="1:12" x14ac:dyDescent="0.25">
      <c r="A1719" s="20">
        <v>1711</v>
      </c>
      <c r="B1719" s="21">
        <f t="shared" ca="1" si="288"/>
        <v>4.0110190054893593</v>
      </c>
      <c r="C1719" s="21">
        <f t="shared" ca="1" si="293"/>
        <v>5136.9987269364337</v>
      </c>
      <c r="D1719" s="21">
        <f t="shared" ca="1" si="289"/>
        <v>2.5808405363119378</v>
      </c>
      <c r="E1719" s="21">
        <f t="shared" ca="1" si="296"/>
        <v>13.238143131236029</v>
      </c>
      <c r="F1719" s="20" t="str">
        <f t="shared" ca="1" si="294"/>
        <v>No</v>
      </c>
      <c r="G1719" s="21">
        <f t="shared" ca="1" si="290"/>
        <v>0</v>
      </c>
      <c r="H1719" s="21">
        <f t="shared" ca="1" si="291"/>
        <v>5150.2368700676698</v>
      </c>
      <c r="I1719" s="21">
        <f t="shared" ca="1" si="286"/>
        <v>5152.8177106039821</v>
      </c>
      <c r="J1719" s="20">
        <f t="shared" ca="1" si="295"/>
        <v>4</v>
      </c>
      <c r="K1719" s="20">
        <f t="shared" ca="1" si="287"/>
        <v>3</v>
      </c>
      <c r="L1719" s="44">
        <f t="shared" ca="1" si="292"/>
        <v>3.5</v>
      </c>
    </row>
    <row r="1720" spans="1:12" x14ac:dyDescent="0.25">
      <c r="A1720" s="20">
        <v>1712</v>
      </c>
      <c r="B1720" s="21">
        <f t="shared" ca="1" si="288"/>
        <v>8.9175771049339883</v>
      </c>
      <c r="C1720" s="21">
        <f t="shared" ca="1" si="293"/>
        <v>5145.9163040413678</v>
      </c>
      <c r="D1720" s="21">
        <f t="shared" ca="1" si="289"/>
        <v>0.25842756893433766</v>
      </c>
      <c r="E1720" s="21">
        <f t="shared" ca="1" si="296"/>
        <v>6.9014065626142838</v>
      </c>
      <c r="F1720" s="20" t="str">
        <f t="shared" ca="1" si="294"/>
        <v>No</v>
      </c>
      <c r="G1720" s="21">
        <f t="shared" ca="1" si="290"/>
        <v>0</v>
      </c>
      <c r="H1720" s="21">
        <f t="shared" ca="1" si="291"/>
        <v>5152.8177106039821</v>
      </c>
      <c r="I1720" s="21">
        <f t="shared" ca="1" si="286"/>
        <v>5153.0761381729162</v>
      </c>
      <c r="J1720" s="20">
        <f t="shared" ca="1" si="295"/>
        <v>4</v>
      </c>
      <c r="K1720" s="20">
        <f t="shared" ca="1" si="287"/>
        <v>2</v>
      </c>
      <c r="L1720" s="44">
        <f t="shared" ca="1" si="292"/>
        <v>3</v>
      </c>
    </row>
    <row r="1721" spans="1:12" x14ac:dyDescent="0.25">
      <c r="A1721" s="20">
        <v>1713</v>
      </c>
      <c r="B1721" s="21">
        <f t="shared" ca="1" si="288"/>
        <v>3.9115363054534926</v>
      </c>
      <c r="C1721" s="21">
        <f t="shared" ca="1" si="293"/>
        <v>5149.8278403468212</v>
      </c>
      <c r="D1721" s="21">
        <f t="shared" ca="1" si="289"/>
        <v>1.0694299542041859</v>
      </c>
      <c r="E1721" s="21">
        <f t="shared" ca="1" si="296"/>
        <v>3.2482978260950404</v>
      </c>
      <c r="F1721" s="20" t="str">
        <f t="shared" ca="1" si="294"/>
        <v>No</v>
      </c>
      <c r="G1721" s="21">
        <f t="shared" ca="1" si="290"/>
        <v>0</v>
      </c>
      <c r="H1721" s="21">
        <f t="shared" ca="1" si="291"/>
        <v>5153.0761381729162</v>
      </c>
      <c r="I1721" s="21">
        <f t="shared" ca="1" si="286"/>
        <v>5154.14556812712</v>
      </c>
      <c r="J1721" s="20">
        <f t="shared" ca="1" si="295"/>
        <v>3</v>
      </c>
      <c r="K1721" s="20">
        <f t="shared" ca="1" si="287"/>
        <v>1</v>
      </c>
      <c r="L1721" s="44">
        <f t="shared" ca="1" si="292"/>
        <v>2</v>
      </c>
    </row>
    <row r="1722" spans="1:12" x14ac:dyDescent="0.25">
      <c r="A1722" s="20">
        <v>1714</v>
      </c>
      <c r="B1722" s="21">
        <f t="shared" ca="1" si="288"/>
        <v>1.6633620163642218</v>
      </c>
      <c r="C1722" s="21">
        <f t="shared" ca="1" si="293"/>
        <v>5151.491202363185</v>
      </c>
      <c r="D1722" s="21">
        <f t="shared" ca="1" si="289"/>
        <v>2.9911060554267093</v>
      </c>
      <c r="E1722" s="21">
        <f t="shared" ca="1" si="296"/>
        <v>2.6543657639349476</v>
      </c>
      <c r="F1722" s="20" t="str">
        <f t="shared" ca="1" si="294"/>
        <v>No</v>
      </c>
      <c r="G1722" s="21">
        <f t="shared" ca="1" si="290"/>
        <v>0</v>
      </c>
      <c r="H1722" s="21">
        <f t="shared" ca="1" si="291"/>
        <v>5154.14556812712</v>
      </c>
      <c r="I1722" s="21">
        <f t="shared" ca="1" si="286"/>
        <v>5157.1366741825468</v>
      </c>
      <c r="J1722" s="20">
        <f t="shared" ca="1" si="295"/>
        <v>2</v>
      </c>
      <c r="K1722" s="20">
        <f t="shared" ca="1" si="287"/>
        <v>1</v>
      </c>
      <c r="L1722" s="44">
        <f t="shared" ca="1" si="292"/>
        <v>1.5</v>
      </c>
    </row>
    <row r="1723" spans="1:12" x14ac:dyDescent="0.25">
      <c r="A1723" s="20">
        <v>1715</v>
      </c>
      <c r="B1723" s="21">
        <f t="shared" ca="1" si="288"/>
        <v>4.8272682148851791</v>
      </c>
      <c r="C1723" s="21">
        <f t="shared" ca="1" si="293"/>
        <v>5156.3184705780704</v>
      </c>
      <c r="D1723" s="21">
        <f t="shared" ca="1" si="289"/>
        <v>0.47624287180432617</v>
      </c>
      <c r="E1723" s="21">
        <f t="shared" ca="1" si="296"/>
        <v>0.81820360447636631</v>
      </c>
      <c r="F1723" s="20" t="str">
        <f t="shared" ca="1" si="294"/>
        <v>No</v>
      </c>
      <c r="G1723" s="21">
        <f t="shared" ca="1" si="290"/>
        <v>0</v>
      </c>
      <c r="H1723" s="21">
        <f t="shared" ca="1" si="291"/>
        <v>5157.1366741825468</v>
      </c>
      <c r="I1723" s="21">
        <f t="shared" ca="1" si="286"/>
        <v>5157.6129170543509</v>
      </c>
      <c r="J1723" s="20">
        <f t="shared" ca="1" si="295"/>
        <v>2</v>
      </c>
      <c r="K1723" s="20">
        <f t="shared" ca="1" si="287"/>
        <v>0</v>
      </c>
      <c r="L1723" s="44">
        <f t="shared" ca="1" si="292"/>
        <v>1</v>
      </c>
    </row>
    <row r="1724" spans="1:12" x14ac:dyDescent="0.25">
      <c r="A1724" s="20">
        <v>1716</v>
      </c>
      <c r="B1724" s="21">
        <f t="shared" ca="1" si="288"/>
        <v>1.3559371141737939</v>
      </c>
      <c r="C1724" s="21">
        <f t="shared" ca="1" si="293"/>
        <v>5157.6744076922441</v>
      </c>
      <c r="D1724" s="21">
        <f t="shared" ca="1" si="289"/>
        <v>2.8675313811747358</v>
      </c>
      <c r="E1724" s="21">
        <f t="shared" ca="1" si="296"/>
        <v>0</v>
      </c>
      <c r="F1724" s="20" t="str">
        <f t="shared" ca="1" si="294"/>
        <v>Yes</v>
      </c>
      <c r="G1724" s="21">
        <f t="shared" ca="1" si="290"/>
        <v>6.1490637893257372E-2</v>
      </c>
      <c r="H1724" s="21">
        <f t="shared" ca="1" si="291"/>
        <v>5157.6744076922441</v>
      </c>
      <c r="I1724" s="21">
        <f t="shared" ca="1" si="286"/>
        <v>5160.5419390734187</v>
      </c>
      <c r="J1724" s="20">
        <f t="shared" ca="1" si="295"/>
        <v>0</v>
      </c>
      <c r="K1724" s="20">
        <f t="shared" ca="1" si="287"/>
        <v>0</v>
      </c>
      <c r="L1724" s="44">
        <f t="shared" ca="1" si="292"/>
        <v>0</v>
      </c>
    </row>
    <row r="1725" spans="1:12" x14ac:dyDescent="0.25">
      <c r="A1725" s="20">
        <v>1717</v>
      </c>
      <c r="B1725" s="21">
        <f t="shared" ca="1" si="288"/>
        <v>4.4359903186621077</v>
      </c>
      <c r="C1725" s="21">
        <f t="shared" ca="1" si="293"/>
        <v>5162.1103980109065</v>
      </c>
      <c r="D1725" s="21">
        <f t="shared" ca="1" si="289"/>
        <v>1.3903894842298807</v>
      </c>
      <c r="E1725" s="21">
        <f t="shared" ca="1" si="296"/>
        <v>0</v>
      </c>
      <c r="F1725" s="20" t="str">
        <f t="shared" ca="1" si="294"/>
        <v>Yes</v>
      </c>
      <c r="G1725" s="21">
        <f t="shared" ca="1" si="290"/>
        <v>1.568458937487776</v>
      </c>
      <c r="H1725" s="21">
        <f t="shared" ca="1" si="291"/>
        <v>5162.1103980109065</v>
      </c>
      <c r="I1725" s="21">
        <f t="shared" ca="1" si="286"/>
        <v>5163.5007874951361</v>
      </c>
      <c r="J1725" s="20">
        <f t="shared" ca="1" si="295"/>
        <v>0</v>
      </c>
      <c r="K1725" s="20">
        <f t="shared" ca="1" si="287"/>
        <v>0</v>
      </c>
      <c r="L1725" s="44">
        <f t="shared" ca="1" si="292"/>
        <v>0</v>
      </c>
    </row>
    <row r="1726" spans="1:12" x14ac:dyDescent="0.25">
      <c r="A1726" s="20">
        <v>1718</v>
      </c>
      <c r="B1726" s="21">
        <f t="shared" ca="1" si="288"/>
        <v>1.8210819849049473</v>
      </c>
      <c r="C1726" s="21">
        <f t="shared" ca="1" si="293"/>
        <v>5163.9314799958111</v>
      </c>
      <c r="D1726" s="21">
        <f t="shared" ca="1" si="289"/>
        <v>3.6715035088630388</v>
      </c>
      <c r="E1726" s="21">
        <f t="shared" ca="1" si="296"/>
        <v>0</v>
      </c>
      <c r="F1726" s="20" t="str">
        <f t="shared" ca="1" si="294"/>
        <v>Yes</v>
      </c>
      <c r="G1726" s="21">
        <f t="shared" ca="1" si="290"/>
        <v>0.43069250067492248</v>
      </c>
      <c r="H1726" s="21">
        <f t="shared" ca="1" si="291"/>
        <v>5163.9314799958111</v>
      </c>
      <c r="I1726" s="21">
        <f t="shared" ca="1" si="286"/>
        <v>5167.6029835046738</v>
      </c>
      <c r="J1726" s="20">
        <f t="shared" ca="1" si="295"/>
        <v>0</v>
      </c>
      <c r="K1726" s="20">
        <f t="shared" ca="1" si="287"/>
        <v>0</v>
      </c>
      <c r="L1726" s="44">
        <f t="shared" ca="1" si="292"/>
        <v>0</v>
      </c>
    </row>
    <row r="1727" spans="1:12" x14ac:dyDescent="0.25">
      <c r="A1727" s="20">
        <v>1719</v>
      </c>
      <c r="B1727" s="21">
        <f t="shared" ca="1" si="288"/>
        <v>6.7283994694789939</v>
      </c>
      <c r="C1727" s="21">
        <f t="shared" ca="1" si="293"/>
        <v>5170.65987946529</v>
      </c>
      <c r="D1727" s="21">
        <f t="shared" ca="1" si="289"/>
        <v>1.2958933050297017</v>
      </c>
      <c r="E1727" s="21">
        <f t="shared" ca="1" si="296"/>
        <v>0</v>
      </c>
      <c r="F1727" s="20" t="str">
        <f t="shared" ca="1" si="294"/>
        <v>Yes</v>
      </c>
      <c r="G1727" s="21">
        <f t="shared" ca="1" si="290"/>
        <v>3.0568959606162025</v>
      </c>
      <c r="H1727" s="21">
        <f t="shared" ca="1" si="291"/>
        <v>5170.65987946529</v>
      </c>
      <c r="I1727" s="21">
        <f t="shared" ca="1" si="286"/>
        <v>5171.9557727703195</v>
      </c>
      <c r="J1727" s="20">
        <f t="shared" ca="1" si="295"/>
        <v>0</v>
      </c>
      <c r="K1727" s="20">
        <f t="shared" ca="1" si="287"/>
        <v>0</v>
      </c>
      <c r="L1727" s="44">
        <f t="shared" ca="1" si="292"/>
        <v>0</v>
      </c>
    </row>
    <row r="1728" spans="1:12" x14ac:dyDescent="0.25">
      <c r="A1728" s="20">
        <v>1720</v>
      </c>
      <c r="B1728" s="21">
        <f t="shared" ca="1" si="288"/>
        <v>1.6246514111467707</v>
      </c>
      <c r="C1728" s="21">
        <f t="shared" ca="1" si="293"/>
        <v>5172.2845308764372</v>
      </c>
      <c r="D1728" s="21">
        <f t="shared" ca="1" si="289"/>
        <v>0.14303701185050796</v>
      </c>
      <c r="E1728" s="21">
        <f t="shared" ca="1" si="296"/>
        <v>0</v>
      </c>
      <c r="F1728" s="20" t="str">
        <f t="shared" ca="1" si="294"/>
        <v>Yes</v>
      </c>
      <c r="G1728" s="21">
        <f t="shared" ca="1" si="290"/>
        <v>0.3287581061176752</v>
      </c>
      <c r="H1728" s="21">
        <f t="shared" ca="1" si="291"/>
        <v>5172.2845308764372</v>
      </c>
      <c r="I1728" s="21">
        <f t="shared" ca="1" si="286"/>
        <v>5172.4275678882877</v>
      </c>
      <c r="J1728" s="20">
        <f t="shared" ca="1" si="295"/>
        <v>0</v>
      </c>
      <c r="K1728" s="20">
        <f t="shared" ca="1" si="287"/>
        <v>0</v>
      </c>
      <c r="L1728" s="44">
        <f t="shared" ca="1" si="292"/>
        <v>0</v>
      </c>
    </row>
    <row r="1729" spans="1:12" x14ac:dyDescent="0.25">
      <c r="A1729" s="20">
        <v>1721</v>
      </c>
      <c r="B1729" s="21">
        <f t="shared" ca="1" si="288"/>
        <v>5.8706544579703479</v>
      </c>
      <c r="C1729" s="21">
        <f t="shared" ca="1" si="293"/>
        <v>5178.1551853344072</v>
      </c>
      <c r="D1729" s="21">
        <f t="shared" ca="1" si="289"/>
        <v>1.5298215445586298</v>
      </c>
      <c r="E1729" s="21">
        <f t="shared" ca="1" si="296"/>
        <v>0</v>
      </c>
      <c r="F1729" s="20" t="str">
        <f t="shared" ca="1" si="294"/>
        <v>Yes</v>
      </c>
      <c r="G1729" s="21">
        <f t="shared" ca="1" si="290"/>
        <v>5.7276174461194387</v>
      </c>
      <c r="H1729" s="21">
        <f t="shared" ca="1" si="291"/>
        <v>5178.1551853344072</v>
      </c>
      <c r="I1729" s="21">
        <f t="shared" ca="1" si="286"/>
        <v>5179.6850068789654</v>
      </c>
      <c r="J1729" s="20">
        <f t="shared" ca="1" si="295"/>
        <v>0</v>
      </c>
      <c r="K1729" s="20">
        <f t="shared" ca="1" si="287"/>
        <v>1</v>
      </c>
      <c r="L1729" s="44">
        <f t="shared" ca="1" si="292"/>
        <v>0.5</v>
      </c>
    </row>
    <row r="1730" spans="1:12" x14ac:dyDescent="0.25">
      <c r="A1730" s="20">
        <v>1722</v>
      </c>
      <c r="B1730" s="21">
        <f t="shared" ca="1" si="288"/>
        <v>1.3757855678446289</v>
      </c>
      <c r="C1730" s="21">
        <f t="shared" ca="1" si="293"/>
        <v>5179.5309709022522</v>
      </c>
      <c r="D1730" s="21">
        <f t="shared" ca="1" si="289"/>
        <v>1.7493351303325144</v>
      </c>
      <c r="E1730" s="21">
        <f t="shared" ca="1" si="296"/>
        <v>0.15403597671320313</v>
      </c>
      <c r="F1730" s="20" t="str">
        <f t="shared" ca="1" si="294"/>
        <v>No</v>
      </c>
      <c r="G1730" s="21">
        <f t="shared" ca="1" si="290"/>
        <v>0</v>
      </c>
      <c r="H1730" s="21">
        <f t="shared" ca="1" si="291"/>
        <v>5179.6850068789654</v>
      </c>
      <c r="I1730" s="21">
        <f t="shared" ca="1" si="286"/>
        <v>5181.4343420092982</v>
      </c>
      <c r="J1730" s="20">
        <f t="shared" ca="1" si="295"/>
        <v>2</v>
      </c>
      <c r="K1730" s="20">
        <f t="shared" ca="1" si="287"/>
        <v>1</v>
      </c>
      <c r="L1730" s="44">
        <f t="shared" ca="1" si="292"/>
        <v>1.5</v>
      </c>
    </row>
    <row r="1731" spans="1:12" x14ac:dyDescent="0.25">
      <c r="A1731" s="20">
        <v>1723</v>
      </c>
      <c r="B1731" s="21">
        <f t="shared" ca="1" si="288"/>
        <v>0.63796803583742112</v>
      </c>
      <c r="C1731" s="21">
        <f t="shared" ca="1" si="293"/>
        <v>5180.1689389380899</v>
      </c>
      <c r="D1731" s="21">
        <f t="shared" ca="1" si="289"/>
        <v>0.10568042146865979</v>
      </c>
      <c r="E1731" s="21">
        <f t="shared" ca="1" si="296"/>
        <v>1.2654030712083113</v>
      </c>
      <c r="F1731" s="20" t="str">
        <f t="shared" ca="1" si="294"/>
        <v>No</v>
      </c>
      <c r="G1731" s="21">
        <f t="shared" ca="1" si="290"/>
        <v>0</v>
      </c>
      <c r="H1731" s="21">
        <f t="shared" ca="1" si="291"/>
        <v>5181.4343420092982</v>
      </c>
      <c r="I1731" s="21">
        <f t="shared" ca="1" si="286"/>
        <v>5181.5400224307668</v>
      </c>
      <c r="J1731" s="20">
        <f t="shared" ca="1" si="295"/>
        <v>2</v>
      </c>
      <c r="K1731" s="20">
        <f t="shared" ca="1" si="287"/>
        <v>0</v>
      </c>
      <c r="L1731" s="44">
        <f t="shared" ca="1" si="292"/>
        <v>1</v>
      </c>
    </row>
    <row r="1732" spans="1:12" x14ac:dyDescent="0.25">
      <c r="A1732" s="20">
        <v>1724</v>
      </c>
      <c r="B1732" s="21">
        <f t="shared" ca="1" si="288"/>
        <v>2.4513227125229275</v>
      </c>
      <c r="C1732" s="21">
        <f t="shared" ca="1" si="293"/>
        <v>5182.6202616506125</v>
      </c>
      <c r="D1732" s="21">
        <f t="shared" ca="1" si="289"/>
        <v>1.7594487884100076</v>
      </c>
      <c r="E1732" s="21">
        <f t="shared" ca="1" si="296"/>
        <v>0</v>
      </c>
      <c r="F1732" s="20" t="str">
        <f t="shared" ca="1" si="294"/>
        <v>Yes</v>
      </c>
      <c r="G1732" s="21">
        <f t="shared" ca="1" si="290"/>
        <v>1.0802392198456801</v>
      </c>
      <c r="H1732" s="21">
        <f t="shared" ca="1" si="291"/>
        <v>5182.6202616506125</v>
      </c>
      <c r="I1732" s="21">
        <f t="shared" ca="1" si="286"/>
        <v>5184.3797104390223</v>
      </c>
      <c r="J1732" s="20">
        <f t="shared" ca="1" si="295"/>
        <v>0</v>
      </c>
      <c r="K1732" s="20">
        <f t="shared" ca="1" si="287"/>
        <v>0</v>
      </c>
      <c r="L1732" s="44">
        <f t="shared" ca="1" si="292"/>
        <v>0</v>
      </c>
    </row>
    <row r="1733" spans="1:12" x14ac:dyDescent="0.25">
      <c r="A1733" s="20">
        <v>1725</v>
      </c>
      <c r="B1733" s="21">
        <f t="shared" ca="1" si="288"/>
        <v>6.4333393446130955</v>
      </c>
      <c r="C1733" s="21">
        <f t="shared" ca="1" si="293"/>
        <v>5189.0536009952257</v>
      </c>
      <c r="D1733" s="21">
        <f t="shared" ca="1" si="289"/>
        <v>9.7706978758087912E-2</v>
      </c>
      <c r="E1733" s="21">
        <f t="shared" ca="1" si="296"/>
        <v>0</v>
      </c>
      <c r="F1733" s="20" t="str">
        <f t="shared" ca="1" si="294"/>
        <v>Yes</v>
      </c>
      <c r="G1733" s="21">
        <f t="shared" ca="1" si="290"/>
        <v>4.6738905562033324</v>
      </c>
      <c r="H1733" s="21">
        <f t="shared" ca="1" si="291"/>
        <v>5189.0536009952257</v>
      </c>
      <c r="I1733" s="21">
        <f t="shared" ca="1" si="286"/>
        <v>5189.1513079739834</v>
      </c>
      <c r="J1733" s="20">
        <f t="shared" ca="1" si="295"/>
        <v>0</v>
      </c>
      <c r="K1733" s="20">
        <f t="shared" ca="1" si="287"/>
        <v>0</v>
      </c>
      <c r="L1733" s="44">
        <f t="shared" ca="1" si="292"/>
        <v>0</v>
      </c>
    </row>
    <row r="1734" spans="1:12" x14ac:dyDescent="0.25">
      <c r="A1734" s="20">
        <v>1726</v>
      </c>
      <c r="B1734" s="21">
        <f t="shared" ca="1" si="288"/>
        <v>2.1150222192214416</v>
      </c>
      <c r="C1734" s="21">
        <f t="shared" ca="1" si="293"/>
        <v>5191.1686232144475</v>
      </c>
      <c r="D1734" s="21">
        <f t="shared" ca="1" si="289"/>
        <v>0.66256530130242919</v>
      </c>
      <c r="E1734" s="21">
        <f t="shared" ca="1" si="296"/>
        <v>0</v>
      </c>
      <c r="F1734" s="20" t="str">
        <f t="shared" ca="1" si="294"/>
        <v>Yes</v>
      </c>
      <c r="G1734" s="21">
        <f t="shared" ca="1" si="290"/>
        <v>2.0173152404640859</v>
      </c>
      <c r="H1734" s="21">
        <f t="shared" ca="1" si="291"/>
        <v>5191.1686232144475</v>
      </c>
      <c r="I1734" s="21">
        <f t="shared" ca="1" si="286"/>
        <v>5191.83118851575</v>
      </c>
      <c r="J1734" s="20">
        <f t="shared" ca="1" si="295"/>
        <v>0</v>
      </c>
      <c r="K1734" s="20">
        <f t="shared" ca="1" si="287"/>
        <v>1</v>
      </c>
      <c r="L1734" s="44">
        <f t="shared" ca="1" si="292"/>
        <v>0.5</v>
      </c>
    </row>
    <row r="1735" spans="1:12" x14ac:dyDescent="0.25">
      <c r="A1735" s="20">
        <v>1727</v>
      </c>
      <c r="B1735" s="21">
        <f t="shared" ca="1" si="288"/>
        <v>0.13364551401874714</v>
      </c>
      <c r="C1735" s="21">
        <f t="shared" ca="1" si="293"/>
        <v>5191.3022687284665</v>
      </c>
      <c r="D1735" s="21">
        <f t="shared" ca="1" si="289"/>
        <v>1.5036381368847518</v>
      </c>
      <c r="E1735" s="21">
        <f t="shared" ca="1" si="296"/>
        <v>0.52891978728348477</v>
      </c>
      <c r="F1735" s="20" t="str">
        <f t="shared" ca="1" si="294"/>
        <v>No</v>
      </c>
      <c r="G1735" s="21">
        <f t="shared" ca="1" si="290"/>
        <v>0</v>
      </c>
      <c r="H1735" s="21">
        <f t="shared" ca="1" si="291"/>
        <v>5191.83118851575</v>
      </c>
      <c r="I1735" s="21">
        <f t="shared" ca="1" si="286"/>
        <v>5193.3348266526345</v>
      </c>
      <c r="J1735" s="20">
        <f t="shared" ca="1" si="295"/>
        <v>2</v>
      </c>
      <c r="K1735" s="20">
        <f t="shared" ca="1" si="287"/>
        <v>0</v>
      </c>
      <c r="L1735" s="44">
        <f t="shared" ca="1" si="292"/>
        <v>1</v>
      </c>
    </row>
    <row r="1736" spans="1:12" x14ac:dyDescent="0.25">
      <c r="A1736" s="20">
        <v>1728</v>
      </c>
      <c r="B1736" s="21">
        <f t="shared" ca="1" si="288"/>
        <v>5.3098750913291148</v>
      </c>
      <c r="C1736" s="21">
        <f t="shared" ca="1" si="293"/>
        <v>5196.6121438197961</v>
      </c>
      <c r="D1736" s="21">
        <f t="shared" ca="1" si="289"/>
        <v>5.8809391258875428</v>
      </c>
      <c r="E1736" s="21">
        <f t="shared" ca="1" si="296"/>
        <v>0</v>
      </c>
      <c r="F1736" s="20" t="str">
        <f t="shared" ca="1" si="294"/>
        <v>Yes</v>
      </c>
      <c r="G1736" s="21">
        <f t="shared" ca="1" si="290"/>
        <v>3.2773171671615273</v>
      </c>
      <c r="H1736" s="21">
        <f t="shared" ca="1" si="291"/>
        <v>5196.6121438197961</v>
      </c>
      <c r="I1736" s="21">
        <f t="shared" ca="1" si="286"/>
        <v>5202.4930829456835</v>
      </c>
      <c r="J1736" s="20">
        <f t="shared" ca="1" si="295"/>
        <v>0</v>
      </c>
      <c r="K1736" s="20">
        <f t="shared" ca="1" si="287"/>
        <v>2</v>
      </c>
      <c r="L1736" s="44">
        <f t="shared" ca="1" si="292"/>
        <v>1</v>
      </c>
    </row>
    <row r="1737" spans="1:12" x14ac:dyDescent="0.25">
      <c r="A1737" s="20">
        <v>1729</v>
      </c>
      <c r="B1737" s="21">
        <f t="shared" ca="1" si="288"/>
        <v>3.9318427625903802</v>
      </c>
      <c r="C1737" s="21">
        <f t="shared" ca="1" si="293"/>
        <v>5200.5439865823864</v>
      </c>
      <c r="D1737" s="21">
        <f t="shared" ca="1" si="289"/>
        <v>2.2145372151059584</v>
      </c>
      <c r="E1737" s="21">
        <f t="shared" ca="1" si="296"/>
        <v>1.9490963632970306</v>
      </c>
      <c r="F1737" s="20" t="str">
        <f t="shared" ca="1" si="294"/>
        <v>No</v>
      </c>
      <c r="G1737" s="21">
        <f t="shared" ca="1" si="290"/>
        <v>0</v>
      </c>
      <c r="H1737" s="21">
        <f t="shared" ca="1" si="291"/>
        <v>5202.4930829456835</v>
      </c>
      <c r="I1737" s="21">
        <f t="shared" ref="I1737:I1800" ca="1" si="297">$H1737+$D1737</f>
        <v>5204.7076201607897</v>
      </c>
      <c r="J1737" s="20">
        <f t="shared" ca="1" si="295"/>
        <v>3</v>
      </c>
      <c r="K1737" s="20">
        <f t="shared" ref="K1737:K1800" ca="1" si="298">IF($I1737&lt;=$C1738,0,IF($I1737&lt;=$C1739,1,IF($I1737&lt;=$C1740,2,IF($I1737&lt;=$C1741,3,IF($I1737&lt;=$C1742,4,5)))))</f>
        <v>1</v>
      </c>
      <c r="L1737" s="44">
        <f t="shared" ca="1" si="292"/>
        <v>2</v>
      </c>
    </row>
    <row r="1738" spans="1:12" x14ac:dyDescent="0.25">
      <c r="A1738" s="20">
        <v>1730</v>
      </c>
      <c r="B1738" s="21">
        <f t="shared" ref="B1738:B1801" ca="1" si="299">-LN(RAND())/$D$4</f>
        <v>0.11363006188488296</v>
      </c>
      <c r="C1738" s="21">
        <f t="shared" ca="1" si="293"/>
        <v>5200.657616644271</v>
      </c>
      <c r="D1738" s="21">
        <f t="shared" ref="D1738:D1801" ca="1" si="300">-LN(RAND())/$D$6</f>
        <v>0.16837414242185331</v>
      </c>
      <c r="E1738" s="21">
        <f t="shared" ca="1" si="296"/>
        <v>4.0500035165187001</v>
      </c>
      <c r="F1738" s="20" t="str">
        <f t="shared" ca="1" si="294"/>
        <v>No</v>
      </c>
      <c r="G1738" s="21">
        <f t="shared" ref="G1738:G1801" ca="1" si="301">IF($I1737&lt;=$C1738,$C1738-$I1737,0)</f>
        <v>0</v>
      </c>
      <c r="H1738" s="21">
        <f t="shared" ref="H1738:H1801" ca="1" si="302">IF($I1737&lt;=$C1738,$C1738,$I1737)</f>
        <v>5204.7076201607897</v>
      </c>
      <c r="I1738" s="21">
        <f t="shared" ca="1" si="297"/>
        <v>5204.8759943032119</v>
      </c>
      <c r="J1738" s="20">
        <f t="shared" ca="1" si="295"/>
        <v>2</v>
      </c>
      <c r="K1738" s="20">
        <f t="shared" ca="1" si="298"/>
        <v>0</v>
      </c>
      <c r="L1738" s="44">
        <f t="shared" ref="L1738:L1801" ca="1" si="303">(J1738+K1738)/2</f>
        <v>1</v>
      </c>
    </row>
    <row r="1739" spans="1:12" x14ac:dyDescent="0.25">
      <c r="A1739" s="20">
        <v>1731</v>
      </c>
      <c r="B1739" s="21">
        <f t="shared" ca="1" si="299"/>
        <v>5.1711522474648479</v>
      </c>
      <c r="C1739" s="21">
        <f t="shared" ref="C1739:C1802" ca="1" si="304">$C1738+$B1739</f>
        <v>5205.8287688917362</v>
      </c>
      <c r="D1739" s="21">
        <f t="shared" ca="1" si="300"/>
        <v>1.2844466815066917</v>
      </c>
      <c r="E1739" s="21">
        <f t="shared" ca="1" si="296"/>
        <v>0</v>
      </c>
      <c r="F1739" s="20" t="str">
        <f t="shared" ref="F1739:F1802" ca="1" si="305">IF(E1739=0,"Yes","No")</f>
        <v>Yes</v>
      </c>
      <c r="G1739" s="21">
        <f t="shared" ca="1" si="301"/>
        <v>0.95277458852433483</v>
      </c>
      <c r="H1739" s="21">
        <f t="shared" ca="1" si="302"/>
        <v>5205.8287688917362</v>
      </c>
      <c r="I1739" s="21">
        <f t="shared" ca="1" si="297"/>
        <v>5207.113215573243</v>
      </c>
      <c r="J1739" s="20">
        <f t="shared" ref="J1739:J1802" ca="1" si="306">IF($I1738&lt;=$C1739,0,$K1738+1)</f>
        <v>0</v>
      </c>
      <c r="K1739" s="20">
        <f t="shared" ca="1" si="298"/>
        <v>2</v>
      </c>
      <c r="L1739" s="44">
        <f t="shared" ca="1" si="303"/>
        <v>1</v>
      </c>
    </row>
    <row r="1740" spans="1:12" x14ac:dyDescent="0.25">
      <c r="A1740" s="20">
        <v>1732</v>
      </c>
      <c r="B1740" s="21">
        <f t="shared" ca="1" si="299"/>
        <v>0.43891978225520284</v>
      </c>
      <c r="C1740" s="21">
        <f t="shared" ca="1" si="304"/>
        <v>5206.2676886739919</v>
      </c>
      <c r="D1740" s="21">
        <f t="shared" ca="1" si="300"/>
        <v>1.9767074136081988</v>
      </c>
      <c r="E1740" s="21">
        <f t="shared" ref="E1740:E1803" ca="1" si="307">IF($I1739&lt;=$C1740,0,$I1739-$C1740)</f>
        <v>0.84552689925112645</v>
      </c>
      <c r="F1740" s="20" t="str">
        <f t="shared" ca="1" si="305"/>
        <v>No</v>
      </c>
      <c r="G1740" s="21">
        <f t="shared" ca="1" si="301"/>
        <v>0</v>
      </c>
      <c r="H1740" s="21">
        <f t="shared" ca="1" si="302"/>
        <v>5207.113215573243</v>
      </c>
      <c r="I1740" s="21">
        <f t="shared" ca="1" si="297"/>
        <v>5209.089922986851</v>
      </c>
      <c r="J1740" s="20">
        <f t="shared" ca="1" si="306"/>
        <v>3</v>
      </c>
      <c r="K1740" s="20">
        <f t="shared" ca="1" si="298"/>
        <v>1</v>
      </c>
      <c r="L1740" s="44">
        <f t="shared" ca="1" si="303"/>
        <v>2</v>
      </c>
    </row>
    <row r="1741" spans="1:12" x14ac:dyDescent="0.25">
      <c r="A1741" s="20">
        <v>1733</v>
      </c>
      <c r="B1741" s="21">
        <f t="shared" ca="1" si="299"/>
        <v>0.51509308114818819</v>
      </c>
      <c r="C1741" s="21">
        <f t="shared" ca="1" si="304"/>
        <v>5206.7827817551397</v>
      </c>
      <c r="D1741" s="21">
        <f t="shared" ca="1" si="300"/>
        <v>0.34441128301405283</v>
      </c>
      <c r="E1741" s="21">
        <f t="shared" ca="1" si="307"/>
        <v>2.3071412317112845</v>
      </c>
      <c r="F1741" s="20" t="str">
        <f t="shared" ca="1" si="305"/>
        <v>No</v>
      </c>
      <c r="G1741" s="21">
        <f t="shared" ca="1" si="301"/>
        <v>0</v>
      </c>
      <c r="H1741" s="21">
        <f t="shared" ca="1" si="302"/>
        <v>5209.089922986851</v>
      </c>
      <c r="I1741" s="21">
        <f t="shared" ca="1" si="297"/>
        <v>5209.4343342698648</v>
      </c>
      <c r="J1741" s="20">
        <f t="shared" ca="1" si="306"/>
        <v>2</v>
      </c>
      <c r="K1741" s="20">
        <f t="shared" ca="1" si="298"/>
        <v>0</v>
      </c>
      <c r="L1741" s="44">
        <f t="shared" ca="1" si="303"/>
        <v>1</v>
      </c>
    </row>
    <row r="1742" spans="1:12" x14ac:dyDescent="0.25">
      <c r="A1742" s="20">
        <v>1734</v>
      </c>
      <c r="B1742" s="21">
        <f t="shared" ca="1" si="299"/>
        <v>6.5194951665588867</v>
      </c>
      <c r="C1742" s="21">
        <f t="shared" ca="1" si="304"/>
        <v>5213.3022769216986</v>
      </c>
      <c r="D1742" s="21">
        <f t="shared" ca="1" si="300"/>
        <v>1.0058461299095873</v>
      </c>
      <c r="E1742" s="21">
        <f t="shared" ca="1" si="307"/>
        <v>0</v>
      </c>
      <c r="F1742" s="20" t="str">
        <f t="shared" ca="1" si="305"/>
        <v>Yes</v>
      </c>
      <c r="G1742" s="21">
        <f t="shared" ca="1" si="301"/>
        <v>3.8679426518338005</v>
      </c>
      <c r="H1742" s="21">
        <f t="shared" ca="1" si="302"/>
        <v>5213.3022769216986</v>
      </c>
      <c r="I1742" s="21">
        <f t="shared" ca="1" si="297"/>
        <v>5214.3081230516082</v>
      </c>
      <c r="J1742" s="20">
        <f t="shared" ca="1" si="306"/>
        <v>0</v>
      </c>
      <c r="K1742" s="20">
        <f t="shared" ca="1" si="298"/>
        <v>0</v>
      </c>
      <c r="L1742" s="44">
        <f t="shared" ca="1" si="303"/>
        <v>0</v>
      </c>
    </row>
    <row r="1743" spans="1:12" x14ac:dyDescent="0.25">
      <c r="A1743" s="20">
        <v>1735</v>
      </c>
      <c r="B1743" s="21">
        <f t="shared" ca="1" si="299"/>
        <v>1.6910758237968255</v>
      </c>
      <c r="C1743" s="21">
        <f t="shared" ca="1" si="304"/>
        <v>5214.993352745495</v>
      </c>
      <c r="D1743" s="21">
        <f t="shared" ca="1" si="300"/>
        <v>1.3641103396819845</v>
      </c>
      <c r="E1743" s="21">
        <f t="shared" ca="1" si="307"/>
        <v>0</v>
      </c>
      <c r="F1743" s="20" t="str">
        <f t="shared" ca="1" si="305"/>
        <v>Yes</v>
      </c>
      <c r="G1743" s="21">
        <f t="shared" ca="1" si="301"/>
        <v>0.68522969388686761</v>
      </c>
      <c r="H1743" s="21">
        <f t="shared" ca="1" si="302"/>
        <v>5214.993352745495</v>
      </c>
      <c r="I1743" s="21">
        <f t="shared" ca="1" si="297"/>
        <v>5216.3574630851772</v>
      </c>
      <c r="J1743" s="20">
        <f t="shared" ca="1" si="306"/>
        <v>0</v>
      </c>
      <c r="K1743" s="20">
        <f t="shared" ca="1" si="298"/>
        <v>1</v>
      </c>
      <c r="L1743" s="44">
        <f t="shared" ca="1" si="303"/>
        <v>0.5</v>
      </c>
    </row>
    <row r="1744" spans="1:12" x14ac:dyDescent="0.25">
      <c r="A1744" s="20">
        <v>1736</v>
      </c>
      <c r="B1744" s="21">
        <f t="shared" ca="1" si="299"/>
        <v>0.13698166347025639</v>
      </c>
      <c r="C1744" s="21">
        <f t="shared" ca="1" si="304"/>
        <v>5215.1303344089656</v>
      </c>
      <c r="D1744" s="21">
        <f t="shared" ca="1" si="300"/>
        <v>1.9066381097657941</v>
      </c>
      <c r="E1744" s="21">
        <f t="shared" ca="1" si="307"/>
        <v>1.2271286762115778</v>
      </c>
      <c r="F1744" s="20" t="str">
        <f t="shared" ca="1" si="305"/>
        <v>No</v>
      </c>
      <c r="G1744" s="21">
        <f t="shared" ca="1" si="301"/>
        <v>0</v>
      </c>
      <c r="H1744" s="21">
        <f t="shared" ca="1" si="302"/>
        <v>5216.3574630851772</v>
      </c>
      <c r="I1744" s="21">
        <f t="shared" ca="1" si="297"/>
        <v>5218.2641011949427</v>
      </c>
      <c r="J1744" s="20">
        <f t="shared" ca="1" si="306"/>
        <v>2</v>
      </c>
      <c r="K1744" s="20">
        <f t="shared" ca="1" si="298"/>
        <v>0</v>
      </c>
      <c r="L1744" s="44">
        <f t="shared" ca="1" si="303"/>
        <v>1</v>
      </c>
    </row>
    <row r="1745" spans="1:12" x14ac:dyDescent="0.25">
      <c r="A1745" s="20">
        <v>1737</v>
      </c>
      <c r="B1745" s="21">
        <f t="shared" ca="1" si="299"/>
        <v>12.291175629035846</v>
      </c>
      <c r="C1745" s="21">
        <f t="shared" ca="1" si="304"/>
        <v>5227.4215100380015</v>
      </c>
      <c r="D1745" s="21">
        <f t="shared" ca="1" si="300"/>
        <v>1.8244956055496719</v>
      </c>
      <c r="E1745" s="21">
        <f t="shared" ca="1" si="307"/>
        <v>0</v>
      </c>
      <c r="F1745" s="20" t="str">
        <f t="shared" ca="1" si="305"/>
        <v>Yes</v>
      </c>
      <c r="G1745" s="21">
        <f t="shared" ca="1" si="301"/>
        <v>9.1574088430588745</v>
      </c>
      <c r="H1745" s="21">
        <f t="shared" ca="1" si="302"/>
        <v>5227.4215100380015</v>
      </c>
      <c r="I1745" s="21">
        <f t="shared" ca="1" si="297"/>
        <v>5229.2460056435511</v>
      </c>
      <c r="J1745" s="20">
        <f t="shared" ca="1" si="306"/>
        <v>0</v>
      </c>
      <c r="K1745" s="20">
        <f t="shared" ca="1" si="298"/>
        <v>0</v>
      </c>
      <c r="L1745" s="44">
        <f t="shared" ca="1" si="303"/>
        <v>0</v>
      </c>
    </row>
    <row r="1746" spans="1:12" x14ac:dyDescent="0.25">
      <c r="A1746" s="20">
        <v>1738</v>
      </c>
      <c r="B1746" s="21">
        <f t="shared" ca="1" si="299"/>
        <v>2.5744189257026644</v>
      </c>
      <c r="C1746" s="21">
        <f t="shared" ca="1" si="304"/>
        <v>5229.9959289637045</v>
      </c>
      <c r="D1746" s="21">
        <f t="shared" ca="1" si="300"/>
        <v>0.18889088678079249</v>
      </c>
      <c r="E1746" s="21">
        <f t="shared" ca="1" si="307"/>
        <v>0</v>
      </c>
      <c r="F1746" s="20" t="str">
        <f t="shared" ca="1" si="305"/>
        <v>Yes</v>
      </c>
      <c r="G1746" s="21">
        <f t="shared" ca="1" si="301"/>
        <v>0.74992332015335705</v>
      </c>
      <c r="H1746" s="21">
        <f t="shared" ca="1" si="302"/>
        <v>5229.9959289637045</v>
      </c>
      <c r="I1746" s="21">
        <f t="shared" ca="1" si="297"/>
        <v>5230.1848198504849</v>
      </c>
      <c r="J1746" s="20">
        <f t="shared" ca="1" si="306"/>
        <v>0</v>
      </c>
      <c r="K1746" s="20">
        <f t="shared" ca="1" si="298"/>
        <v>0</v>
      </c>
      <c r="L1746" s="44">
        <f t="shared" ca="1" si="303"/>
        <v>0</v>
      </c>
    </row>
    <row r="1747" spans="1:12" x14ac:dyDescent="0.25">
      <c r="A1747" s="20">
        <v>1739</v>
      </c>
      <c r="B1747" s="21">
        <f t="shared" ca="1" si="299"/>
        <v>1.8174218831016622</v>
      </c>
      <c r="C1747" s="21">
        <f t="shared" ca="1" si="304"/>
        <v>5231.8133508468063</v>
      </c>
      <c r="D1747" s="21">
        <f t="shared" ca="1" si="300"/>
        <v>2.1967700841450855</v>
      </c>
      <c r="E1747" s="21">
        <f t="shared" ca="1" si="307"/>
        <v>0</v>
      </c>
      <c r="F1747" s="20" t="str">
        <f t="shared" ca="1" si="305"/>
        <v>Yes</v>
      </c>
      <c r="G1747" s="21">
        <f t="shared" ca="1" si="301"/>
        <v>1.6285309963213876</v>
      </c>
      <c r="H1747" s="21">
        <f t="shared" ca="1" si="302"/>
        <v>5231.8133508468063</v>
      </c>
      <c r="I1747" s="21">
        <f t="shared" ca="1" si="297"/>
        <v>5234.0101209309514</v>
      </c>
      <c r="J1747" s="20">
        <f t="shared" ca="1" si="306"/>
        <v>0</v>
      </c>
      <c r="K1747" s="20">
        <f t="shared" ca="1" si="298"/>
        <v>1</v>
      </c>
      <c r="L1747" s="44">
        <f t="shared" ca="1" si="303"/>
        <v>0.5</v>
      </c>
    </row>
    <row r="1748" spans="1:12" x14ac:dyDescent="0.25">
      <c r="A1748" s="20">
        <v>1740</v>
      </c>
      <c r="B1748" s="21">
        <f t="shared" ca="1" si="299"/>
        <v>1.6674017199185744</v>
      </c>
      <c r="C1748" s="21">
        <f t="shared" ca="1" si="304"/>
        <v>5233.4807525667247</v>
      </c>
      <c r="D1748" s="21">
        <f t="shared" ca="1" si="300"/>
        <v>6.6078476462962685</v>
      </c>
      <c r="E1748" s="21">
        <f t="shared" ca="1" si="307"/>
        <v>0.52936836422668421</v>
      </c>
      <c r="F1748" s="20" t="str">
        <f t="shared" ca="1" si="305"/>
        <v>No</v>
      </c>
      <c r="G1748" s="21">
        <f t="shared" ca="1" si="301"/>
        <v>0</v>
      </c>
      <c r="H1748" s="21">
        <f t="shared" ca="1" si="302"/>
        <v>5234.0101209309514</v>
      </c>
      <c r="I1748" s="21">
        <f t="shared" ca="1" si="297"/>
        <v>5240.6179685772477</v>
      </c>
      <c r="J1748" s="20">
        <f t="shared" ca="1" si="306"/>
        <v>2</v>
      </c>
      <c r="K1748" s="20">
        <f t="shared" ca="1" si="298"/>
        <v>5</v>
      </c>
      <c r="L1748" s="44">
        <f t="shared" ca="1" si="303"/>
        <v>3.5</v>
      </c>
    </row>
    <row r="1749" spans="1:12" x14ac:dyDescent="0.25">
      <c r="A1749" s="20">
        <v>1741</v>
      </c>
      <c r="B1749" s="21">
        <f t="shared" ca="1" si="299"/>
        <v>1.2585528512368378</v>
      </c>
      <c r="C1749" s="21">
        <f t="shared" ca="1" si="304"/>
        <v>5234.739305417962</v>
      </c>
      <c r="D1749" s="21">
        <f t="shared" ca="1" si="300"/>
        <v>3.1037468233565426</v>
      </c>
      <c r="E1749" s="21">
        <f t="shared" ca="1" si="307"/>
        <v>5.8786631592856793</v>
      </c>
      <c r="F1749" s="20" t="str">
        <f t="shared" ca="1" si="305"/>
        <v>No</v>
      </c>
      <c r="G1749" s="21">
        <f t="shared" ca="1" si="301"/>
        <v>0</v>
      </c>
      <c r="H1749" s="21">
        <f t="shared" ca="1" si="302"/>
        <v>5240.6179685772477</v>
      </c>
      <c r="I1749" s="21">
        <f t="shared" ca="1" si="297"/>
        <v>5243.7217154006039</v>
      </c>
      <c r="J1749" s="20">
        <f t="shared" ca="1" si="306"/>
        <v>6</v>
      </c>
      <c r="K1749" s="20">
        <f t="shared" ca="1" si="298"/>
        <v>5</v>
      </c>
      <c r="L1749" s="44">
        <f t="shared" ca="1" si="303"/>
        <v>5.5</v>
      </c>
    </row>
    <row r="1750" spans="1:12" x14ac:dyDescent="0.25">
      <c r="A1750" s="20">
        <v>1742</v>
      </c>
      <c r="B1750" s="21">
        <f t="shared" ca="1" si="299"/>
        <v>1.4481574092810234</v>
      </c>
      <c r="C1750" s="21">
        <f t="shared" ca="1" si="304"/>
        <v>5236.1874628272426</v>
      </c>
      <c r="D1750" s="21">
        <f t="shared" ca="1" si="300"/>
        <v>5.2200205081971189</v>
      </c>
      <c r="E1750" s="21">
        <f t="shared" ca="1" si="307"/>
        <v>7.5342525733613002</v>
      </c>
      <c r="F1750" s="20" t="str">
        <f t="shared" ca="1" si="305"/>
        <v>No</v>
      </c>
      <c r="G1750" s="21">
        <f t="shared" ca="1" si="301"/>
        <v>0</v>
      </c>
      <c r="H1750" s="21">
        <f t="shared" ca="1" si="302"/>
        <v>5243.7217154006039</v>
      </c>
      <c r="I1750" s="21">
        <f t="shared" ca="1" si="297"/>
        <v>5248.9417359088011</v>
      </c>
      <c r="J1750" s="20">
        <f t="shared" ca="1" si="306"/>
        <v>6</v>
      </c>
      <c r="K1750" s="20">
        <f t="shared" ca="1" si="298"/>
        <v>4</v>
      </c>
      <c r="L1750" s="44">
        <f t="shared" ca="1" si="303"/>
        <v>5</v>
      </c>
    </row>
    <row r="1751" spans="1:12" x14ac:dyDescent="0.25">
      <c r="A1751" s="20">
        <v>1743</v>
      </c>
      <c r="B1751" s="21">
        <f t="shared" ca="1" si="299"/>
        <v>1.4903667878230404</v>
      </c>
      <c r="C1751" s="21">
        <f t="shared" ca="1" si="304"/>
        <v>5237.677829615066</v>
      </c>
      <c r="D1751" s="21">
        <f t="shared" ca="1" si="300"/>
        <v>4.8928818375752012</v>
      </c>
      <c r="E1751" s="21">
        <f t="shared" ca="1" si="307"/>
        <v>11.26390629373509</v>
      </c>
      <c r="F1751" s="20" t="str">
        <f t="shared" ca="1" si="305"/>
        <v>No</v>
      </c>
      <c r="G1751" s="21">
        <f t="shared" ca="1" si="301"/>
        <v>0</v>
      </c>
      <c r="H1751" s="21">
        <f t="shared" ca="1" si="302"/>
        <v>5248.9417359088011</v>
      </c>
      <c r="I1751" s="21">
        <f t="shared" ca="1" si="297"/>
        <v>5253.8346177463764</v>
      </c>
      <c r="J1751" s="20">
        <f t="shared" ca="1" si="306"/>
        <v>5</v>
      </c>
      <c r="K1751" s="20">
        <f t="shared" ca="1" si="298"/>
        <v>5</v>
      </c>
      <c r="L1751" s="44">
        <f t="shared" ca="1" si="303"/>
        <v>5</v>
      </c>
    </row>
    <row r="1752" spans="1:12" x14ac:dyDescent="0.25">
      <c r="A1752" s="20">
        <v>1744</v>
      </c>
      <c r="B1752" s="21">
        <f t="shared" ca="1" si="299"/>
        <v>1.1089969543697555</v>
      </c>
      <c r="C1752" s="21">
        <f t="shared" ca="1" si="304"/>
        <v>5238.786826569436</v>
      </c>
      <c r="D1752" s="21">
        <f t="shared" ca="1" si="300"/>
        <v>4.6686206629009739</v>
      </c>
      <c r="E1752" s="21">
        <f t="shared" ca="1" si="307"/>
        <v>15.047791176940336</v>
      </c>
      <c r="F1752" s="20" t="str">
        <f t="shared" ca="1" si="305"/>
        <v>No</v>
      </c>
      <c r="G1752" s="21">
        <f t="shared" ca="1" si="301"/>
        <v>0</v>
      </c>
      <c r="H1752" s="21">
        <f t="shared" ca="1" si="302"/>
        <v>5253.8346177463764</v>
      </c>
      <c r="I1752" s="21">
        <f t="shared" ca="1" si="297"/>
        <v>5258.5032384092774</v>
      </c>
      <c r="J1752" s="20">
        <f t="shared" ca="1" si="306"/>
        <v>6</v>
      </c>
      <c r="K1752" s="20">
        <f t="shared" ca="1" si="298"/>
        <v>5</v>
      </c>
      <c r="L1752" s="44">
        <f t="shared" ca="1" si="303"/>
        <v>5.5</v>
      </c>
    </row>
    <row r="1753" spans="1:12" x14ac:dyDescent="0.25">
      <c r="A1753" s="20">
        <v>1745</v>
      </c>
      <c r="B1753" s="21">
        <f t="shared" ca="1" si="299"/>
        <v>0.61743105903137641</v>
      </c>
      <c r="C1753" s="21">
        <f t="shared" ca="1" si="304"/>
        <v>5239.4042576284673</v>
      </c>
      <c r="D1753" s="21">
        <f t="shared" ca="1" si="300"/>
        <v>0.58454203657904746</v>
      </c>
      <c r="E1753" s="21">
        <f t="shared" ca="1" si="307"/>
        <v>19.098980780810052</v>
      </c>
      <c r="F1753" s="20" t="str">
        <f t="shared" ca="1" si="305"/>
        <v>No</v>
      </c>
      <c r="G1753" s="21">
        <f t="shared" ca="1" si="301"/>
        <v>0</v>
      </c>
      <c r="H1753" s="21">
        <f t="shared" ca="1" si="302"/>
        <v>5258.5032384092774</v>
      </c>
      <c r="I1753" s="21">
        <f t="shared" ca="1" si="297"/>
        <v>5259.0877804458569</v>
      </c>
      <c r="J1753" s="20">
        <f t="shared" ca="1" si="306"/>
        <v>6</v>
      </c>
      <c r="K1753" s="20">
        <f t="shared" ca="1" si="298"/>
        <v>5</v>
      </c>
      <c r="L1753" s="44">
        <f t="shared" ca="1" si="303"/>
        <v>5.5</v>
      </c>
    </row>
    <row r="1754" spans="1:12" x14ac:dyDescent="0.25">
      <c r="A1754" s="20">
        <v>1746</v>
      </c>
      <c r="B1754" s="21">
        <f t="shared" ca="1" si="299"/>
        <v>2.5929461867950319</v>
      </c>
      <c r="C1754" s="21">
        <f t="shared" ca="1" si="304"/>
        <v>5241.9972038152628</v>
      </c>
      <c r="D1754" s="21">
        <f t="shared" ca="1" si="300"/>
        <v>0.11519132595759966</v>
      </c>
      <c r="E1754" s="21">
        <f t="shared" ca="1" si="307"/>
        <v>17.090576630594114</v>
      </c>
      <c r="F1754" s="20" t="str">
        <f t="shared" ca="1" si="305"/>
        <v>No</v>
      </c>
      <c r="G1754" s="21">
        <f t="shared" ca="1" si="301"/>
        <v>0</v>
      </c>
      <c r="H1754" s="21">
        <f t="shared" ca="1" si="302"/>
        <v>5259.0877804458569</v>
      </c>
      <c r="I1754" s="21">
        <f t="shared" ca="1" si="297"/>
        <v>5259.2029717718142</v>
      </c>
      <c r="J1754" s="20">
        <f t="shared" ca="1" si="306"/>
        <v>6</v>
      </c>
      <c r="K1754" s="20">
        <f t="shared" ca="1" si="298"/>
        <v>5</v>
      </c>
      <c r="L1754" s="44">
        <f t="shared" ca="1" si="303"/>
        <v>5.5</v>
      </c>
    </row>
    <row r="1755" spans="1:12" x14ac:dyDescent="0.25">
      <c r="A1755" s="20">
        <v>1747</v>
      </c>
      <c r="B1755" s="21">
        <f t="shared" ca="1" si="299"/>
        <v>7.5768473053124215</v>
      </c>
      <c r="C1755" s="21">
        <f t="shared" ca="1" si="304"/>
        <v>5249.5740511205749</v>
      </c>
      <c r="D1755" s="21">
        <f t="shared" ca="1" si="300"/>
        <v>2.122521379285732</v>
      </c>
      <c r="E1755" s="21">
        <f t="shared" ca="1" si="307"/>
        <v>9.6289206512392411</v>
      </c>
      <c r="F1755" s="20" t="str">
        <f t="shared" ca="1" si="305"/>
        <v>No</v>
      </c>
      <c r="G1755" s="21">
        <f t="shared" ca="1" si="301"/>
        <v>0</v>
      </c>
      <c r="H1755" s="21">
        <f t="shared" ca="1" si="302"/>
        <v>5259.2029717718142</v>
      </c>
      <c r="I1755" s="21">
        <f t="shared" ca="1" si="297"/>
        <v>5261.3254931511001</v>
      </c>
      <c r="J1755" s="20">
        <f t="shared" ca="1" si="306"/>
        <v>6</v>
      </c>
      <c r="K1755" s="20">
        <f t="shared" ca="1" si="298"/>
        <v>4</v>
      </c>
      <c r="L1755" s="44">
        <f t="shared" ca="1" si="303"/>
        <v>5</v>
      </c>
    </row>
    <row r="1756" spans="1:12" x14ac:dyDescent="0.25">
      <c r="A1756" s="20">
        <v>1748</v>
      </c>
      <c r="B1756" s="21">
        <f t="shared" ca="1" si="299"/>
        <v>1.4295023512025735</v>
      </c>
      <c r="C1756" s="21">
        <f t="shared" ca="1" si="304"/>
        <v>5251.0035534717772</v>
      </c>
      <c r="D1756" s="21">
        <f t="shared" ca="1" si="300"/>
        <v>3.6606966882080654</v>
      </c>
      <c r="E1756" s="21">
        <f t="shared" ca="1" si="307"/>
        <v>10.321939679322895</v>
      </c>
      <c r="F1756" s="20" t="str">
        <f t="shared" ca="1" si="305"/>
        <v>No</v>
      </c>
      <c r="G1756" s="21">
        <f t="shared" ca="1" si="301"/>
        <v>0</v>
      </c>
      <c r="H1756" s="21">
        <f t="shared" ca="1" si="302"/>
        <v>5261.3254931511001</v>
      </c>
      <c r="I1756" s="21">
        <f t="shared" ca="1" si="297"/>
        <v>5264.9861898393083</v>
      </c>
      <c r="J1756" s="20">
        <f t="shared" ca="1" si="306"/>
        <v>5</v>
      </c>
      <c r="K1756" s="20">
        <f t="shared" ca="1" si="298"/>
        <v>3</v>
      </c>
      <c r="L1756" s="44">
        <f t="shared" ca="1" si="303"/>
        <v>4</v>
      </c>
    </row>
    <row r="1757" spans="1:12" x14ac:dyDescent="0.25">
      <c r="A1757" s="20">
        <v>1749</v>
      </c>
      <c r="B1757" s="21">
        <f t="shared" ca="1" si="299"/>
        <v>3.28697387394118</v>
      </c>
      <c r="C1757" s="21">
        <f t="shared" ca="1" si="304"/>
        <v>5254.2905273457181</v>
      </c>
      <c r="D1757" s="21">
        <f t="shared" ca="1" si="300"/>
        <v>3.4246360843788404</v>
      </c>
      <c r="E1757" s="21">
        <f t="shared" ca="1" si="307"/>
        <v>10.695662493590135</v>
      </c>
      <c r="F1757" s="20" t="str">
        <f t="shared" ca="1" si="305"/>
        <v>No</v>
      </c>
      <c r="G1757" s="21">
        <f t="shared" ca="1" si="301"/>
        <v>0</v>
      </c>
      <c r="H1757" s="21">
        <f t="shared" ca="1" si="302"/>
        <v>5264.9861898393083</v>
      </c>
      <c r="I1757" s="21">
        <f t="shared" ca="1" si="297"/>
        <v>5268.4108259236873</v>
      </c>
      <c r="J1757" s="20">
        <f t="shared" ca="1" si="306"/>
        <v>4</v>
      </c>
      <c r="K1757" s="20">
        <f t="shared" ca="1" si="298"/>
        <v>2</v>
      </c>
      <c r="L1757" s="44">
        <f t="shared" ca="1" si="303"/>
        <v>3</v>
      </c>
    </row>
    <row r="1758" spans="1:12" x14ac:dyDescent="0.25">
      <c r="A1758" s="20">
        <v>1750</v>
      </c>
      <c r="B1758" s="21">
        <f t="shared" ca="1" si="299"/>
        <v>3.933308370897342</v>
      </c>
      <c r="C1758" s="21">
        <f t="shared" ca="1" si="304"/>
        <v>5258.2238357166152</v>
      </c>
      <c r="D1758" s="21">
        <f t="shared" ca="1" si="300"/>
        <v>4.3809002197847651</v>
      </c>
      <c r="E1758" s="21">
        <f t="shared" ca="1" si="307"/>
        <v>10.186990207072085</v>
      </c>
      <c r="F1758" s="20" t="str">
        <f t="shared" ca="1" si="305"/>
        <v>No</v>
      </c>
      <c r="G1758" s="21">
        <f t="shared" ca="1" si="301"/>
        <v>0</v>
      </c>
      <c r="H1758" s="21">
        <f t="shared" ca="1" si="302"/>
        <v>5268.4108259236873</v>
      </c>
      <c r="I1758" s="21">
        <f t="shared" ca="1" si="297"/>
        <v>5272.7917261434723</v>
      </c>
      <c r="J1758" s="20">
        <f t="shared" ca="1" si="306"/>
        <v>3</v>
      </c>
      <c r="K1758" s="20">
        <f t="shared" ca="1" si="298"/>
        <v>3</v>
      </c>
      <c r="L1758" s="44">
        <f t="shared" ca="1" si="303"/>
        <v>3</v>
      </c>
    </row>
    <row r="1759" spans="1:12" x14ac:dyDescent="0.25">
      <c r="A1759" s="20">
        <v>1751</v>
      </c>
      <c r="B1759" s="21">
        <f t="shared" ca="1" si="299"/>
        <v>0.54613625755742257</v>
      </c>
      <c r="C1759" s="21">
        <f t="shared" ca="1" si="304"/>
        <v>5258.7699719741722</v>
      </c>
      <c r="D1759" s="21">
        <f t="shared" ca="1" si="300"/>
        <v>0.25978336339287034</v>
      </c>
      <c r="E1759" s="21">
        <f t="shared" ca="1" si="307"/>
        <v>14.021754169300038</v>
      </c>
      <c r="F1759" s="20" t="str">
        <f t="shared" ca="1" si="305"/>
        <v>No</v>
      </c>
      <c r="G1759" s="21">
        <f t="shared" ca="1" si="301"/>
        <v>0</v>
      </c>
      <c r="H1759" s="21">
        <f t="shared" ca="1" si="302"/>
        <v>5272.7917261434723</v>
      </c>
      <c r="I1759" s="21">
        <f t="shared" ca="1" si="297"/>
        <v>5273.0515095068649</v>
      </c>
      <c r="J1759" s="20">
        <f t="shared" ca="1" si="306"/>
        <v>4</v>
      </c>
      <c r="K1759" s="20">
        <f t="shared" ca="1" si="298"/>
        <v>2</v>
      </c>
      <c r="L1759" s="44">
        <f t="shared" ca="1" si="303"/>
        <v>3</v>
      </c>
    </row>
    <row r="1760" spans="1:12" x14ac:dyDescent="0.25">
      <c r="A1760" s="20">
        <v>1752</v>
      </c>
      <c r="B1760" s="21">
        <f t="shared" ca="1" si="299"/>
        <v>10.690132879433165</v>
      </c>
      <c r="C1760" s="21">
        <f t="shared" ca="1" si="304"/>
        <v>5269.4601048536051</v>
      </c>
      <c r="D1760" s="21">
        <f t="shared" ca="1" si="300"/>
        <v>1.1800498818777672</v>
      </c>
      <c r="E1760" s="21">
        <f t="shared" ca="1" si="307"/>
        <v>3.5914046532598149</v>
      </c>
      <c r="F1760" s="20" t="str">
        <f t="shared" ca="1" si="305"/>
        <v>No</v>
      </c>
      <c r="G1760" s="21">
        <f t="shared" ca="1" si="301"/>
        <v>0</v>
      </c>
      <c r="H1760" s="21">
        <f t="shared" ca="1" si="302"/>
        <v>5273.0515095068649</v>
      </c>
      <c r="I1760" s="21">
        <f t="shared" ca="1" si="297"/>
        <v>5274.2315593887424</v>
      </c>
      <c r="J1760" s="20">
        <f t="shared" ca="1" si="306"/>
        <v>3</v>
      </c>
      <c r="K1760" s="20">
        <f t="shared" ca="1" si="298"/>
        <v>1</v>
      </c>
      <c r="L1760" s="44">
        <f t="shared" ca="1" si="303"/>
        <v>2</v>
      </c>
    </row>
    <row r="1761" spans="1:12" x14ac:dyDescent="0.25">
      <c r="A1761" s="20">
        <v>1753</v>
      </c>
      <c r="B1761" s="21">
        <f t="shared" ca="1" si="299"/>
        <v>0.54224847320287151</v>
      </c>
      <c r="C1761" s="21">
        <f t="shared" ca="1" si="304"/>
        <v>5270.0023533268077</v>
      </c>
      <c r="D1761" s="21">
        <f t="shared" ca="1" si="300"/>
        <v>3.0094023892169073</v>
      </c>
      <c r="E1761" s="21">
        <f t="shared" ca="1" si="307"/>
        <v>4.2292060619347467</v>
      </c>
      <c r="F1761" s="20" t="str">
        <f t="shared" ca="1" si="305"/>
        <v>No</v>
      </c>
      <c r="G1761" s="21">
        <f t="shared" ca="1" si="301"/>
        <v>0</v>
      </c>
      <c r="H1761" s="21">
        <f t="shared" ca="1" si="302"/>
        <v>5274.2315593887424</v>
      </c>
      <c r="I1761" s="21">
        <f t="shared" ca="1" si="297"/>
        <v>5277.2409617779595</v>
      </c>
      <c r="J1761" s="20">
        <f t="shared" ca="1" si="306"/>
        <v>2</v>
      </c>
      <c r="K1761" s="20">
        <f t="shared" ca="1" si="298"/>
        <v>3</v>
      </c>
      <c r="L1761" s="44">
        <f t="shared" ca="1" si="303"/>
        <v>2.5</v>
      </c>
    </row>
    <row r="1762" spans="1:12" x14ac:dyDescent="0.25">
      <c r="A1762" s="20">
        <v>1754</v>
      </c>
      <c r="B1762" s="21">
        <f t="shared" ca="1" si="299"/>
        <v>6.0853503780061304</v>
      </c>
      <c r="C1762" s="21">
        <f t="shared" ca="1" si="304"/>
        <v>5276.087703704814</v>
      </c>
      <c r="D1762" s="21">
        <f t="shared" ca="1" si="300"/>
        <v>0.7542022810858735</v>
      </c>
      <c r="E1762" s="21">
        <f t="shared" ca="1" si="307"/>
        <v>1.15325807314548</v>
      </c>
      <c r="F1762" s="20" t="str">
        <f t="shared" ca="1" si="305"/>
        <v>No</v>
      </c>
      <c r="G1762" s="21">
        <f t="shared" ca="1" si="301"/>
        <v>0</v>
      </c>
      <c r="H1762" s="21">
        <f t="shared" ca="1" si="302"/>
        <v>5277.2409617779595</v>
      </c>
      <c r="I1762" s="21">
        <f t="shared" ca="1" si="297"/>
        <v>5277.9951640590452</v>
      </c>
      <c r="J1762" s="20">
        <f t="shared" ca="1" si="306"/>
        <v>4</v>
      </c>
      <c r="K1762" s="20">
        <f t="shared" ca="1" si="298"/>
        <v>2</v>
      </c>
      <c r="L1762" s="44">
        <f t="shared" ca="1" si="303"/>
        <v>3</v>
      </c>
    </row>
    <row r="1763" spans="1:12" x14ac:dyDescent="0.25">
      <c r="A1763" s="20">
        <v>1755</v>
      </c>
      <c r="B1763" s="21">
        <f t="shared" ca="1" si="299"/>
        <v>0.40583683994421843</v>
      </c>
      <c r="C1763" s="21">
        <f t="shared" ca="1" si="304"/>
        <v>5276.4935405447586</v>
      </c>
      <c r="D1763" s="21">
        <f t="shared" ca="1" si="300"/>
        <v>4.4578643799032998</v>
      </c>
      <c r="E1763" s="21">
        <f t="shared" ca="1" si="307"/>
        <v>1.5016235142866208</v>
      </c>
      <c r="F1763" s="20" t="str">
        <f t="shared" ca="1" si="305"/>
        <v>No</v>
      </c>
      <c r="G1763" s="21">
        <f t="shared" ca="1" si="301"/>
        <v>0</v>
      </c>
      <c r="H1763" s="21">
        <f t="shared" ca="1" si="302"/>
        <v>5277.9951640590452</v>
      </c>
      <c r="I1763" s="21">
        <f t="shared" ca="1" si="297"/>
        <v>5282.4530284389484</v>
      </c>
      <c r="J1763" s="20">
        <f t="shared" ca="1" si="306"/>
        <v>3</v>
      </c>
      <c r="K1763" s="20">
        <f t="shared" ca="1" si="298"/>
        <v>1</v>
      </c>
      <c r="L1763" s="44">
        <f t="shared" ca="1" si="303"/>
        <v>2</v>
      </c>
    </row>
    <row r="1764" spans="1:12" x14ac:dyDescent="0.25">
      <c r="A1764" s="20">
        <v>1756</v>
      </c>
      <c r="B1764" s="21">
        <f t="shared" ca="1" si="299"/>
        <v>0.47743741311476906</v>
      </c>
      <c r="C1764" s="21">
        <f t="shared" ca="1" si="304"/>
        <v>5276.9709779578734</v>
      </c>
      <c r="D1764" s="21">
        <f t="shared" ca="1" si="300"/>
        <v>5.5501352405169309</v>
      </c>
      <c r="E1764" s="21">
        <f t="shared" ca="1" si="307"/>
        <v>5.4820504810750208</v>
      </c>
      <c r="F1764" s="20" t="str">
        <f t="shared" ca="1" si="305"/>
        <v>No</v>
      </c>
      <c r="G1764" s="21">
        <f t="shared" ca="1" si="301"/>
        <v>0</v>
      </c>
      <c r="H1764" s="21">
        <f t="shared" ca="1" si="302"/>
        <v>5282.4530284389484</v>
      </c>
      <c r="I1764" s="21">
        <f t="shared" ca="1" si="297"/>
        <v>5288.0031636794656</v>
      </c>
      <c r="J1764" s="20">
        <f t="shared" ca="1" si="306"/>
        <v>2</v>
      </c>
      <c r="K1764" s="20">
        <f t="shared" ca="1" si="298"/>
        <v>3</v>
      </c>
      <c r="L1764" s="44">
        <f t="shared" ca="1" si="303"/>
        <v>2.5</v>
      </c>
    </row>
    <row r="1765" spans="1:12" x14ac:dyDescent="0.25">
      <c r="A1765" s="20">
        <v>1757</v>
      </c>
      <c r="B1765" s="21">
        <f t="shared" ca="1" si="299"/>
        <v>6.4716874699288365</v>
      </c>
      <c r="C1765" s="21">
        <f t="shared" ca="1" si="304"/>
        <v>5283.4426654278022</v>
      </c>
      <c r="D1765" s="21">
        <f t="shared" ca="1" si="300"/>
        <v>2.8746595351413875</v>
      </c>
      <c r="E1765" s="21">
        <f t="shared" ca="1" si="307"/>
        <v>4.5604982516633754</v>
      </c>
      <c r="F1765" s="20" t="str">
        <f t="shared" ca="1" si="305"/>
        <v>No</v>
      </c>
      <c r="G1765" s="21">
        <f t="shared" ca="1" si="301"/>
        <v>0</v>
      </c>
      <c r="H1765" s="21">
        <f t="shared" ca="1" si="302"/>
        <v>5288.0031636794656</v>
      </c>
      <c r="I1765" s="21">
        <f t="shared" ca="1" si="297"/>
        <v>5290.8778232146069</v>
      </c>
      <c r="J1765" s="20">
        <f t="shared" ca="1" si="306"/>
        <v>4</v>
      </c>
      <c r="K1765" s="20">
        <f t="shared" ca="1" si="298"/>
        <v>2</v>
      </c>
      <c r="L1765" s="44">
        <f t="shared" ca="1" si="303"/>
        <v>3</v>
      </c>
    </row>
    <row r="1766" spans="1:12" x14ac:dyDescent="0.25">
      <c r="A1766" s="20">
        <v>1758</v>
      </c>
      <c r="B1766" s="21">
        <f t="shared" ca="1" si="299"/>
        <v>0.76629270948689487</v>
      </c>
      <c r="C1766" s="21">
        <f t="shared" ca="1" si="304"/>
        <v>5284.2089581372893</v>
      </c>
      <c r="D1766" s="21">
        <f t="shared" ca="1" si="300"/>
        <v>5.6516092725688365</v>
      </c>
      <c r="E1766" s="21">
        <f t="shared" ca="1" si="307"/>
        <v>6.668865077317605</v>
      </c>
      <c r="F1766" s="20" t="str">
        <f t="shared" ca="1" si="305"/>
        <v>No</v>
      </c>
      <c r="G1766" s="21">
        <f t="shared" ca="1" si="301"/>
        <v>0</v>
      </c>
      <c r="H1766" s="21">
        <f t="shared" ca="1" si="302"/>
        <v>5290.8778232146069</v>
      </c>
      <c r="I1766" s="21">
        <f t="shared" ca="1" si="297"/>
        <v>5296.5294324871757</v>
      </c>
      <c r="J1766" s="20">
        <f t="shared" ca="1" si="306"/>
        <v>3</v>
      </c>
      <c r="K1766" s="20">
        <f t="shared" ca="1" si="298"/>
        <v>4</v>
      </c>
      <c r="L1766" s="44">
        <f t="shared" ca="1" si="303"/>
        <v>3.5</v>
      </c>
    </row>
    <row r="1767" spans="1:12" x14ac:dyDescent="0.25">
      <c r="A1767" s="20">
        <v>1759</v>
      </c>
      <c r="B1767" s="21">
        <f t="shared" ca="1" si="299"/>
        <v>1.3848239106046163</v>
      </c>
      <c r="C1767" s="21">
        <f t="shared" ca="1" si="304"/>
        <v>5285.5937820478939</v>
      </c>
      <c r="D1767" s="21">
        <f t="shared" ca="1" si="300"/>
        <v>0.31357041332323377</v>
      </c>
      <c r="E1767" s="21">
        <f t="shared" ca="1" si="307"/>
        <v>10.935650439281744</v>
      </c>
      <c r="F1767" s="20" t="str">
        <f t="shared" ca="1" si="305"/>
        <v>No</v>
      </c>
      <c r="G1767" s="21">
        <f t="shared" ca="1" si="301"/>
        <v>0</v>
      </c>
      <c r="H1767" s="21">
        <f t="shared" ca="1" si="302"/>
        <v>5296.5294324871757</v>
      </c>
      <c r="I1767" s="21">
        <f t="shared" ca="1" si="297"/>
        <v>5296.8430029004985</v>
      </c>
      <c r="J1767" s="20">
        <f t="shared" ca="1" si="306"/>
        <v>5</v>
      </c>
      <c r="K1767" s="20">
        <f t="shared" ca="1" si="298"/>
        <v>3</v>
      </c>
      <c r="L1767" s="44">
        <f t="shared" ca="1" si="303"/>
        <v>4</v>
      </c>
    </row>
    <row r="1768" spans="1:12" x14ac:dyDescent="0.25">
      <c r="A1768" s="20">
        <v>1760</v>
      </c>
      <c r="B1768" s="21">
        <f t="shared" ca="1" si="299"/>
        <v>6.0335900439320866</v>
      </c>
      <c r="C1768" s="21">
        <f t="shared" ca="1" si="304"/>
        <v>5291.6273720918261</v>
      </c>
      <c r="D1768" s="21">
        <f t="shared" ca="1" si="300"/>
        <v>0.538618369135757</v>
      </c>
      <c r="E1768" s="21">
        <f t="shared" ca="1" si="307"/>
        <v>5.2156308086723584</v>
      </c>
      <c r="F1768" s="20" t="str">
        <f t="shared" ca="1" si="305"/>
        <v>No</v>
      </c>
      <c r="G1768" s="21">
        <f t="shared" ca="1" si="301"/>
        <v>0</v>
      </c>
      <c r="H1768" s="21">
        <f t="shared" ca="1" si="302"/>
        <v>5296.8430029004985</v>
      </c>
      <c r="I1768" s="21">
        <f t="shared" ca="1" si="297"/>
        <v>5297.3816212696347</v>
      </c>
      <c r="J1768" s="20">
        <f t="shared" ca="1" si="306"/>
        <v>4</v>
      </c>
      <c r="K1768" s="20">
        <f t="shared" ca="1" si="298"/>
        <v>2</v>
      </c>
      <c r="L1768" s="44">
        <f t="shared" ca="1" si="303"/>
        <v>3</v>
      </c>
    </row>
    <row r="1769" spans="1:12" x14ac:dyDescent="0.25">
      <c r="A1769" s="20">
        <v>1761</v>
      </c>
      <c r="B1769" s="21">
        <f t="shared" ca="1" si="299"/>
        <v>3.1357194015362553</v>
      </c>
      <c r="C1769" s="21">
        <f t="shared" ca="1" si="304"/>
        <v>5294.7630914933625</v>
      </c>
      <c r="D1769" s="21">
        <f t="shared" ca="1" si="300"/>
        <v>0.53109571296960367</v>
      </c>
      <c r="E1769" s="21">
        <f t="shared" ca="1" si="307"/>
        <v>2.6185297762722257</v>
      </c>
      <c r="F1769" s="20" t="str">
        <f t="shared" ca="1" si="305"/>
        <v>No</v>
      </c>
      <c r="G1769" s="21">
        <f t="shared" ca="1" si="301"/>
        <v>0</v>
      </c>
      <c r="H1769" s="21">
        <f t="shared" ca="1" si="302"/>
        <v>5297.3816212696347</v>
      </c>
      <c r="I1769" s="21">
        <f t="shared" ca="1" si="297"/>
        <v>5297.9127169826043</v>
      </c>
      <c r="J1769" s="20">
        <f t="shared" ca="1" si="306"/>
        <v>3</v>
      </c>
      <c r="K1769" s="20">
        <f t="shared" ca="1" si="298"/>
        <v>1</v>
      </c>
      <c r="L1769" s="44">
        <f t="shared" ca="1" si="303"/>
        <v>2</v>
      </c>
    </row>
    <row r="1770" spans="1:12" x14ac:dyDescent="0.25">
      <c r="A1770" s="20">
        <v>1762</v>
      </c>
      <c r="B1770" s="21">
        <f t="shared" ca="1" si="299"/>
        <v>0.10754985589491872</v>
      </c>
      <c r="C1770" s="21">
        <f t="shared" ca="1" si="304"/>
        <v>5294.8706413492573</v>
      </c>
      <c r="D1770" s="21">
        <f t="shared" ca="1" si="300"/>
        <v>6.5613151201197706</v>
      </c>
      <c r="E1770" s="21">
        <f t="shared" ca="1" si="307"/>
        <v>3.0420756333469399</v>
      </c>
      <c r="F1770" s="20" t="str">
        <f t="shared" ca="1" si="305"/>
        <v>No</v>
      </c>
      <c r="G1770" s="21">
        <f t="shared" ca="1" si="301"/>
        <v>0</v>
      </c>
      <c r="H1770" s="21">
        <f t="shared" ca="1" si="302"/>
        <v>5297.9127169826043</v>
      </c>
      <c r="I1770" s="21">
        <f t="shared" ca="1" si="297"/>
        <v>5304.4740321027239</v>
      </c>
      <c r="J1770" s="20">
        <f t="shared" ca="1" si="306"/>
        <v>2</v>
      </c>
      <c r="K1770" s="20">
        <f t="shared" ca="1" si="298"/>
        <v>4</v>
      </c>
      <c r="L1770" s="44">
        <f t="shared" ca="1" si="303"/>
        <v>3</v>
      </c>
    </row>
    <row r="1771" spans="1:12" x14ac:dyDescent="0.25">
      <c r="A1771" s="20">
        <v>1763</v>
      </c>
      <c r="B1771" s="21">
        <f t="shared" ca="1" si="299"/>
        <v>5.3214643269206352</v>
      </c>
      <c r="C1771" s="21">
        <f t="shared" ca="1" si="304"/>
        <v>5300.1921056761776</v>
      </c>
      <c r="D1771" s="21">
        <f t="shared" ca="1" si="300"/>
        <v>7.2556134054390524</v>
      </c>
      <c r="E1771" s="21">
        <f t="shared" ca="1" si="307"/>
        <v>4.2819264265463062</v>
      </c>
      <c r="F1771" s="20" t="str">
        <f t="shared" ca="1" si="305"/>
        <v>No</v>
      </c>
      <c r="G1771" s="21">
        <f t="shared" ca="1" si="301"/>
        <v>0</v>
      </c>
      <c r="H1771" s="21">
        <f t="shared" ca="1" si="302"/>
        <v>5304.4740321027239</v>
      </c>
      <c r="I1771" s="21">
        <f t="shared" ca="1" si="297"/>
        <v>5311.7296455081632</v>
      </c>
      <c r="J1771" s="20">
        <f t="shared" ca="1" si="306"/>
        <v>5</v>
      </c>
      <c r="K1771" s="20">
        <f t="shared" ca="1" si="298"/>
        <v>5</v>
      </c>
      <c r="L1771" s="44">
        <f t="shared" ca="1" si="303"/>
        <v>5</v>
      </c>
    </row>
    <row r="1772" spans="1:12" x14ac:dyDescent="0.25">
      <c r="A1772" s="20">
        <v>1764</v>
      </c>
      <c r="B1772" s="21">
        <f t="shared" ca="1" si="299"/>
        <v>1.8604881912109628</v>
      </c>
      <c r="C1772" s="21">
        <f t="shared" ca="1" si="304"/>
        <v>5302.0525938673882</v>
      </c>
      <c r="D1772" s="21">
        <f t="shared" ca="1" si="300"/>
        <v>5.9063651581363086</v>
      </c>
      <c r="E1772" s="21">
        <f t="shared" ca="1" si="307"/>
        <v>9.677051640775062</v>
      </c>
      <c r="F1772" s="20" t="str">
        <f t="shared" ca="1" si="305"/>
        <v>No</v>
      </c>
      <c r="G1772" s="21">
        <f t="shared" ca="1" si="301"/>
        <v>0</v>
      </c>
      <c r="H1772" s="21">
        <f t="shared" ca="1" si="302"/>
        <v>5311.7296455081632</v>
      </c>
      <c r="I1772" s="21">
        <f t="shared" ca="1" si="297"/>
        <v>5317.6360106662996</v>
      </c>
      <c r="J1772" s="20">
        <f t="shared" ca="1" si="306"/>
        <v>6</v>
      </c>
      <c r="K1772" s="20">
        <f t="shared" ca="1" si="298"/>
        <v>5</v>
      </c>
      <c r="L1772" s="44">
        <f t="shared" ca="1" si="303"/>
        <v>5.5</v>
      </c>
    </row>
    <row r="1773" spans="1:12" x14ac:dyDescent="0.25">
      <c r="A1773" s="20">
        <v>1765</v>
      </c>
      <c r="B1773" s="21">
        <f t="shared" ca="1" si="299"/>
        <v>4.2968627466026595E-2</v>
      </c>
      <c r="C1773" s="21">
        <f t="shared" ca="1" si="304"/>
        <v>5302.0955624948538</v>
      </c>
      <c r="D1773" s="21">
        <f t="shared" ca="1" si="300"/>
        <v>1.1432018813128477</v>
      </c>
      <c r="E1773" s="21">
        <f t="shared" ca="1" si="307"/>
        <v>15.54044817144586</v>
      </c>
      <c r="F1773" s="20" t="str">
        <f t="shared" ca="1" si="305"/>
        <v>No</v>
      </c>
      <c r="G1773" s="21">
        <f t="shared" ca="1" si="301"/>
        <v>0</v>
      </c>
      <c r="H1773" s="21">
        <f t="shared" ca="1" si="302"/>
        <v>5317.6360106662996</v>
      </c>
      <c r="I1773" s="21">
        <f t="shared" ca="1" si="297"/>
        <v>5318.7792125476126</v>
      </c>
      <c r="J1773" s="20">
        <f t="shared" ca="1" si="306"/>
        <v>6</v>
      </c>
      <c r="K1773" s="20">
        <f t="shared" ca="1" si="298"/>
        <v>4</v>
      </c>
      <c r="L1773" s="44">
        <f t="shared" ca="1" si="303"/>
        <v>5</v>
      </c>
    </row>
    <row r="1774" spans="1:12" x14ac:dyDescent="0.25">
      <c r="A1774" s="20">
        <v>1766</v>
      </c>
      <c r="B1774" s="21">
        <f t="shared" ca="1" si="299"/>
        <v>1.5676046321767818</v>
      </c>
      <c r="C1774" s="21">
        <f t="shared" ca="1" si="304"/>
        <v>5303.6631671270306</v>
      </c>
      <c r="D1774" s="21">
        <f t="shared" ca="1" si="300"/>
        <v>1.069995690656786</v>
      </c>
      <c r="E1774" s="21">
        <f t="shared" ca="1" si="307"/>
        <v>15.116045420581941</v>
      </c>
      <c r="F1774" s="20" t="str">
        <f t="shared" ca="1" si="305"/>
        <v>No</v>
      </c>
      <c r="G1774" s="21">
        <f t="shared" ca="1" si="301"/>
        <v>0</v>
      </c>
      <c r="H1774" s="21">
        <f t="shared" ca="1" si="302"/>
        <v>5318.7792125476126</v>
      </c>
      <c r="I1774" s="21">
        <f t="shared" ca="1" si="297"/>
        <v>5319.8492082382691</v>
      </c>
      <c r="J1774" s="20">
        <f t="shared" ca="1" si="306"/>
        <v>5</v>
      </c>
      <c r="K1774" s="20">
        <f t="shared" ca="1" si="298"/>
        <v>4</v>
      </c>
      <c r="L1774" s="44">
        <f t="shared" ca="1" si="303"/>
        <v>4.5</v>
      </c>
    </row>
    <row r="1775" spans="1:12" x14ac:dyDescent="0.25">
      <c r="A1775" s="20">
        <v>1767</v>
      </c>
      <c r="B1775" s="21">
        <f t="shared" ca="1" si="299"/>
        <v>7.3265160436602139</v>
      </c>
      <c r="C1775" s="21">
        <f t="shared" ca="1" si="304"/>
        <v>5310.989683170691</v>
      </c>
      <c r="D1775" s="21">
        <f t="shared" ca="1" si="300"/>
        <v>0.99640714617828974</v>
      </c>
      <c r="E1775" s="21">
        <f t="shared" ca="1" si="307"/>
        <v>8.8595250675780335</v>
      </c>
      <c r="F1775" s="20" t="str">
        <f t="shared" ca="1" si="305"/>
        <v>No</v>
      </c>
      <c r="G1775" s="21">
        <f t="shared" ca="1" si="301"/>
        <v>0</v>
      </c>
      <c r="H1775" s="21">
        <f t="shared" ca="1" si="302"/>
        <v>5319.8492082382691</v>
      </c>
      <c r="I1775" s="21">
        <f t="shared" ca="1" si="297"/>
        <v>5320.8456153844472</v>
      </c>
      <c r="J1775" s="20">
        <f t="shared" ca="1" si="306"/>
        <v>5</v>
      </c>
      <c r="K1775" s="20">
        <f t="shared" ca="1" si="298"/>
        <v>4</v>
      </c>
      <c r="L1775" s="44">
        <f t="shared" ca="1" si="303"/>
        <v>4.5</v>
      </c>
    </row>
    <row r="1776" spans="1:12" x14ac:dyDescent="0.25">
      <c r="A1776" s="20">
        <v>1768</v>
      </c>
      <c r="B1776" s="21">
        <f t="shared" ca="1" si="299"/>
        <v>0.20660644994134175</v>
      </c>
      <c r="C1776" s="21">
        <f t="shared" ca="1" si="304"/>
        <v>5311.1962896206323</v>
      </c>
      <c r="D1776" s="21">
        <f t="shared" ca="1" si="300"/>
        <v>0.12716263868313959</v>
      </c>
      <c r="E1776" s="21">
        <f t="shared" ca="1" si="307"/>
        <v>9.6493257638148862</v>
      </c>
      <c r="F1776" s="20" t="str">
        <f t="shared" ca="1" si="305"/>
        <v>No</v>
      </c>
      <c r="G1776" s="21">
        <f t="shared" ca="1" si="301"/>
        <v>0</v>
      </c>
      <c r="H1776" s="21">
        <f t="shared" ca="1" si="302"/>
        <v>5320.8456153844472</v>
      </c>
      <c r="I1776" s="21">
        <f t="shared" ca="1" si="297"/>
        <v>5320.9727780231306</v>
      </c>
      <c r="J1776" s="20">
        <f t="shared" ca="1" si="306"/>
        <v>5</v>
      </c>
      <c r="K1776" s="20">
        <f t="shared" ca="1" si="298"/>
        <v>3</v>
      </c>
      <c r="L1776" s="44">
        <f t="shared" ca="1" si="303"/>
        <v>4</v>
      </c>
    </row>
    <row r="1777" spans="1:12" x14ac:dyDescent="0.25">
      <c r="A1777" s="20">
        <v>1769</v>
      </c>
      <c r="B1777" s="21">
        <f t="shared" ca="1" si="299"/>
        <v>2.2321595133405943</v>
      </c>
      <c r="C1777" s="21">
        <f t="shared" ca="1" si="304"/>
        <v>5313.4284491339731</v>
      </c>
      <c r="D1777" s="21">
        <f t="shared" ca="1" si="300"/>
        <v>0.9421366020833627</v>
      </c>
      <c r="E1777" s="21">
        <f t="shared" ca="1" si="307"/>
        <v>7.5443288891574412</v>
      </c>
      <c r="F1777" s="20" t="str">
        <f t="shared" ca="1" si="305"/>
        <v>No</v>
      </c>
      <c r="G1777" s="21">
        <f t="shared" ca="1" si="301"/>
        <v>0</v>
      </c>
      <c r="H1777" s="21">
        <f t="shared" ca="1" si="302"/>
        <v>5320.9727780231306</v>
      </c>
      <c r="I1777" s="21">
        <f t="shared" ca="1" si="297"/>
        <v>5321.9149146252139</v>
      </c>
      <c r="J1777" s="20">
        <f t="shared" ca="1" si="306"/>
        <v>4</v>
      </c>
      <c r="K1777" s="20">
        <f t="shared" ca="1" si="298"/>
        <v>2</v>
      </c>
      <c r="L1777" s="44">
        <f t="shared" ca="1" si="303"/>
        <v>3</v>
      </c>
    </row>
    <row r="1778" spans="1:12" x14ac:dyDescent="0.25">
      <c r="A1778" s="20">
        <v>1770</v>
      </c>
      <c r="B1778" s="21">
        <f t="shared" ca="1" si="299"/>
        <v>6.367015291721061</v>
      </c>
      <c r="C1778" s="21">
        <f t="shared" ca="1" si="304"/>
        <v>5319.7954644256943</v>
      </c>
      <c r="D1778" s="21">
        <f t="shared" ca="1" si="300"/>
        <v>2.239501079959203</v>
      </c>
      <c r="E1778" s="21">
        <f t="shared" ca="1" si="307"/>
        <v>2.1194501995196333</v>
      </c>
      <c r="F1778" s="20" t="str">
        <f t="shared" ca="1" si="305"/>
        <v>No</v>
      </c>
      <c r="G1778" s="21">
        <f t="shared" ca="1" si="301"/>
        <v>0</v>
      </c>
      <c r="H1778" s="21">
        <f t="shared" ca="1" si="302"/>
        <v>5321.9149146252139</v>
      </c>
      <c r="I1778" s="21">
        <f t="shared" ca="1" si="297"/>
        <v>5324.1544157051731</v>
      </c>
      <c r="J1778" s="20">
        <f t="shared" ca="1" si="306"/>
        <v>3</v>
      </c>
      <c r="K1778" s="20">
        <f t="shared" ca="1" si="298"/>
        <v>1</v>
      </c>
      <c r="L1778" s="44">
        <f t="shared" ca="1" si="303"/>
        <v>2</v>
      </c>
    </row>
    <row r="1779" spans="1:12" x14ac:dyDescent="0.25">
      <c r="A1779" s="20">
        <v>1771</v>
      </c>
      <c r="B1779" s="21">
        <f t="shared" ca="1" si="299"/>
        <v>0.6673517288299089</v>
      </c>
      <c r="C1779" s="21">
        <f t="shared" ca="1" si="304"/>
        <v>5320.4628161545243</v>
      </c>
      <c r="D1779" s="21">
        <f t="shared" ca="1" si="300"/>
        <v>2.5213114872297706</v>
      </c>
      <c r="E1779" s="21">
        <f t="shared" ca="1" si="307"/>
        <v>3.6915995506487889</v>
      </c>
      <c r="F1779" s="20" t="str">
        <f t="shared" ca="1" si="305"/>
        <v>No</v>
      </c>
      <c r="G1779" s="21">
        <f t="shared" ca="1" si="301"/>
        <v>0</v>
      </c>
      <c r="H1779" s="21">
        <f t="shared" ca="1" si="302"/>
        <v>5324.1544157051731</v>
      </c>
      <c r="I1779" s="21">
        <f t="shared" ca="1" si="297"/>
        <v>5326.6757271924025</v>
      </c>
      <c r="J1779" s="20">
        <f t="shared" ca="1" si="306"/>
        <v>2</v>
      </c>
      <c r="K1779" s="20">
        <f t="shared" ca="1" si="298"/>
        <v>1</v>
      </c>
      <c r="L1779" s="44">
        <f t="shared" ca="1" si="303"/>
        <v>1.5</v>
      </c>
    </row>
    <row r="1780" spans="1:12" x14ac:dyDescent="0.25">
      <c r="A1780" s="20">
        <v>1772</v>
      </c>
      <c r="B1780" s="21">
        <f t="shared" ca="1" si="299"/>
        <v>5.9982481327059105</v>
      </c>
      <c r="C1780" s="21">
        <f t="shared" ca="1" si="304"/>
        <v>5326.4610642872303</v>
      </c>
      <c r="D1780" s="21">
        <f t="shared" ca="1" si="300"/>
        <v>4.2624756760473108</v>
      </c>
      <c r="E1780" s="21">
        <f t="shared" ca="1" si="307"/>
        <v>0.21466290517219022</v>
      </c>
      <c r="F1780" s="20" t="str">
        <f t="shared" ca="1" si="305"/>
        <v>No</v>
      </c>
      <c r="G1780" s="21">
        <f t="shared" ca="1" si="301"/>
        <v>0</v>
      </c>
      <c r="H1780" s="21">
        <f t="shared" ca="1" si="302"/>
        <v>5326.6757271924025</v>
      </c>
      <c r="I1780" s="21">
        <f t="shared" ca="1" si="297"/>
        <v>5330.9382028684495</v>
      </c>
      <c r="J1780" s="20">
        <f t="shared" ca="1" si="306"/>
        <v>2</v>
      </c>
      <c r="K1780" s="20">
        <f t="shared" ca="1" si="298"/>
        <v>2</v>
      </c>
      <c r="L1780" s="44">
        <f t="shared" ca="1" si="303"/>
        <v>2</v>
      </c>
    </row>
    <row r="1781" spans="1:12" x14ac:dyDescent="0.25">
      <c r="A1781" s="20">
        <v>1773</v>
      </c>
      <c r="B1781" s="21">
        <f t="shared" ca="1" si="299"/>
        <v>1.6153843136872743</v>
      </c>
      <c r="C1781" s="21">
        <f t="shared" ca="1" si="304"/>
        <v>5328.0764486009175</v>
      </c>
      <c r="D1781" s="21">
        <f t="shared" ca="1" si="300"/>
        <v>5.7380823100731355</v>
      </c>
      <c r="E1781" s="21">
        <f t="shared" ca="1" si="307"/>
        <v>2.8617542675319783</v>
      </c>
      <c r="F1781" s="20" t="str">
        <f t="shared" ca="1" si="305"/>
        <v>No</v>
      </c>
      <c r="G1781" s="21">
        <f t="shared" ca="1" si="301"/>
        <v>0</v>
      </c>
      <c r="H1781" s="21">
        <f t="shared" ca="1" si="302"/>
        <v>5330.9382028684495</v>
      </c>
      <c r="I1781" s="21">
        <f t="shared" ca="1" si="297"/>
        <v>5336.6762851785224</v>
      </c>
      <c r="J1781" s="20">
        <f t="shared" ca="1" si="306"/>
        <v>3</v>
      </c>
      <c r="K1781" s="20">
        <f t="shared" ca="1" si="298"/>
        <v>5</v>
      </c>
      <c r="L1781" s="44">
        <f t="shared" ca="1" si="303"/>
        <v>4</v>
      </c>
    </row>
    <row r="1782" spans="1:12" x14ac:dyDescent="0.25">
      <c r="A1782" s="20">
        <v>1774</v>
      </c>
      <c r="B1782" s="21">
        <f t="shared" ca="1" si="299"/>
        <v>0.11183897962909566</v>
      </c>
      <c r="C1782" s="21">
        <f t="shared" ca="1" si="304"/>
        <v>5328.1882875805468</v>
      </c>
      <c r="D1782" s="21">
        <f t="shared" ca="1" si="300"/>
        <v>2.2841149405529064</v>
      </c>
      <c r="E1782" s="21">
        <f t="shared" ca="1" si="307"/>
        <v>8.4879975979756637</v>
      </c>
      <c r="F1782" s="20" t="str">
        <f t="shared" ca="1" si="305"/>
        <v>No</v>
      </c>
      <c r="G1782" s="21">
        <f t="shared" ca="1" si="301"/>
        <v>0</v>
      </c>
      <c r="H1782" s="21">
        <f t="shared" ca="1" si="302"/>
        <v>5336.6762851785224</v>
      </c>
      <c r="I1782" s="21">
        <f t="shared" ca="1" si="297"/>
        <v>5338.9604001190755</v>
      </c>
      <c r="J1782" s="20">
        <f t="shared" ca="1" si="306"/>
        <v>6</v>
      </c>
      <c r="K1782" s="20">
        <f t="shared" ca="1" si="298"/>
        <v>5</v>
      </c>
      <c r="L1782" s="44">
        <f t="shared" ca="1" si="303"/>
        <v>5.5</v>
      </c>
    </row>
    <row r="1783" spans="1:12" x14ac:dyDescent="0.25">
      <c r="A1783" s="20">
        <v>1775</v>
      </c>
      <c r="B1783" s="21">
        <f t="shared" ca="1" si="299"/>
        <v>3.8086095567759948</v>
      </c>
      <c r="C1783" s="21">
        <f t="shared" ca="1" si="304"/>
        <v>5331.9968971373228</v>
      </c>
      <c r="D1783" s="21">
        <f t="shared" ca="1" si="300"/>
        <v>4.013563222355951</v>
      </c>
      <c r="E1783" s="21">
        <f t="shared" ca="1" si="307"/>
        <v>6.9635029817527538</v>
      </c>
      <c r="F1783" s="20" t="str">
        <f t="shared" ca="1" si="305"/>
        <v>No</v>
      </c>
      <c r="G1783" s="21">
        <f t="shared" ca="1" si="301"/>
        <v>0</v>
      </c>
      <c r="H1783" s="21">
        <f t="shared" ca="1" si="302"/>
        <v>5338.9604001190755</v>
      </c>
      <c r="I1783" s="21">
        <f t="shared" ca="1" si="297"/>
        <v>5342.973963341431</v>
      </c>
      <c r="J1783" s="20">
        <f t="shared" ca="1" si="306"/>
        <v>6</v>
      </c>
      <c r="K1783" s="20">
        <f t="shared" ca="1" si="298"/>
        <v>5</v>
      </c>
      <c r="L1783" s="44">
        <f t="shared" ca="1" si="303"/>
        <v>5.5</v>
      </c>
    </row>
    <row r="1784" spans="1:12" x14ac:dyDescent="0.25">
      <c r="A1784" s="20">
        <v>1776</v>
      </c>
      <c r="B1784" s="21">
        <f t="shared" ca="1" si="299"/>
        <v>1.8418202500356571</v>
      </c>
      <c r="C1784" s="21">
        <f t="shared" ca="1" si="304"/>
        <v>5333.8387173873589</v>
      </c>
      <c r="D1784" s="21">
        <f t="shared" ca="1" si="300"/>
        <v>0.75194574526755187</v>
      </c>
      <c r="E1784" s="21">
        <f t="shared" ca="1" si="307"/>
        <v>9.1352459540721611</v>
      </c>
      <c r="F1784" s="20" t="str">
        <f t="shared" ca="1" si="305"/>
        <v>No</v>
      </c>
      <c r="G1784" s="21">
        <f t="shared" ca="1" si="301"/>
        <v>0</v>
      </c>
      <c r="H1784" s="21">
        <f t="shared" ca="1" si="302"/>
        <v>5342.973963341431</v>
      </c>
      <c r="I1784" s="21">
        <f t="shared" ca="1" si="297"/>
        <v>5343.7259090866983</v>
      </c>
      <c r="J1784" s="20">
        <f t="shared" ca="1" si="306"/>
        <v>6</v>
      </c>
      <c r="K1784" s="20">
        <f t="shared" ca="1" si="298"/>
        <v>5</v>
      </c>
      <c r="L1784" s="44">
        <f t="shared" ca="1" si="303"/>
        <v>5.5</v>
      </c>
    </row>
    <row r="1785" spans="1:12" x14ac:dyDescent="0.25">
      <c r="A1785" s="20">
        <v>1777</v>
      </c>
      <c r="B1785" s="21">
        <f t="shared" ca="1" si="299"/>
        <v>1.3838814900841261</v>
      </c>
      <c r="C1785" s="21">
        <f t="shared" ca="1" si="304"/>
        <v>5335.2225988774426</v>
      </c>
      <c r="D1785" s="21">
        <f t="shared" ca="1" si="300"/>
        <v>2.5601074846187255</v>
      </c>
      <c r="E1785" s="21">
        <f t="shared" ca="1" si="307"/>
        <v>8.5033102092556874</v>
      </c>
      <c r="F1785" s="20" t="str">
        <f t="shared" ca="1" si="305"/>
        <v>No</v>
      </c>
      <c r="G1785" s="21">
        <f t="shared" ca="1" si="301"/>
        <v>0</v>
      </c>
      <c r="H1785" s="21">
        <f t="shared" ca="1" si="302"/>
        <v>5343.7259090866983</v>
      </c>
      <c r="I1785" s="21">
        <f t="shared" ca="1" si="297"/>
        <v>5346.2860165713173</v>
      </c>
      <c r="J1785" s="20">
        <f t="shared" ca="1" si="306"/>
        <v>6</v>
      </c>
      <c r="K1785" s="20">
        <f t="shared" ca="1" si="298"/>
        <v>4</v>
      </c>
      <c r="L1785" s="44">
        <f t="shared" ca="1" si="303"/>
        <v>5</v>
      </c>
    </row>
    <row r="1786" spans="1:12" x14ac:dyDescent="0.25">
      <c r="A1786" s="20">
        <v>1778</v>
      </c>
      <c r="B1786" s="21">
        <f t="shared" ca="1" si="299"/>
        <v>0.28804743166578461</v>
      </c>
      <c r="C1786" s="21">
        <f t="shared" ca="1" si="304"/>
        <v>5335.5106463091088</v>
      </c>
      <c r="D1786" s="21">
        <f t="shared" ca="1" si="300"/>
        <v>0.89332479653237007</v>
      </c>
      <c r="E1786" s="21">
        <f t="shared" ca="1" si="307"/>
        <v>10.775370262208526</v>
      </c>
      <c r="F1786" s="20" t="str">
        <f t="shared" ca="1" si="305"/>
        <v>No</v>
      </c>
      <c r="G1786" s="21">
        <f t="shared" ca="1" si="301"/>
        <v>0</v>
      </c>
      <c r="H1786" s="21">
        <f t="shared" ca="1" si="302"/>
        <v>5346.2860165713173</v>
      </c>
      <c r="I1786" s="21">
        <f t="shared" ca="1" si="297"/>
        <v>5347.1793413678497</v>
      </c>
      <c r="J1786" s="20">
        <f t="shared" ca="1" si="306"/>
        <v>5</v>
      </c>
      <c r="K1786" s="20">
        <f t="shared" ca="1" si="298"/>
        <v>3</v>
      </c>
      <c r="L1786" s="44">
        <f t="shared" ca="1" si="303"/>
        <v>4</v>
      </c>
    </row>
    <row r="1787" spans="1:12" x14ac:dyDescent="0.25">
      <c r="A1787" s="20">
        <v>1779</v>
      </c>
      <c r="B1787" s="21">
        <f t="shared" ca="1" si="299"/>
        <v>0.58426146736727058</v>
      </c>
      <c r="C1787" s="21">
        <f t="shared" ca="1" si="304"/>
        <v>5336.0949077764762</v>
      </c>
      <c r="D1787" s="21">
        <f t="shared" ca="1" si="300"/>
        <v>1.0786026982588086</v>
      </c>
      <c r="E1787" s="21">
        <f t="shared" ca="1" si="307"/>
        <v>11.084433591373454</v>
      </c>
      <c r="F1787" s="20" t="str">
        <f t="shared" ca="1" si="305"/>
        <v>No</v>
      </c>
      <c r="G1787" s="21">
        <f t="shared" ca="1" si="301"/>
        <v>0</v>
      </c>
      <c r="H1787" s="21">
        <f t="shared" ca="1" si="302"/>
        <v>5347.1793413678497</v>
      </c>
      <c r="I1787" s="21">
        <f t="shared" ca="1" si="297"/>
        <v>5348.2579440661084</v>
      </c>
      <c r="J1787" s="20">
        <f t="shared" ca="1" si="306"/>
        <v>4</v>
      </c>
      <c r="K1787" s="20">
        <f t="shared" ca="1" si="298"/>
        <v>4</v>
      </c>
      <c r="L1787" s="44">
        <f t="shared" ca="1" si="303"/>
        <v>4</v>
      </c>
    </row>
    <row r="1788" spans="1:12" x14ac:dyDescent="0.25">
      <c r="A1788" s="20">
        <v>1780</v>
      </c>
      <c r="B1788" s="21">
        <f t="shared" ca="1" si="299"/>
        <v>0.55734874652607047</v>
      </c>
      <c r="C1788" s="21">
        <f t="shared" ca="1" si="304"/>
        <v>5336.6522565230025</v>
      </c>
      <c r="D1788" s="21">
        <f t="shared" ca="1" si="300"/>
        <v>1.9526652904915132</v>
      </c>
      <c r="E1788" s="21">
        <f t="shared" ca="1" si="307"/>
        <v>11.605687543105887</v>
      </c>
      <c r="F1788" s="20" t="str">
        <f t="shared" ca="1" si="305"/>
        <v>No</v>
      </c>
      <c r="G1788" s="21">
        <f t="shared" ca="1" si="301"/>
        <v>0</v>
      </c>
      <c r="H1788" s="21">
        <f t="shared" ca="1" si="302"/>
        <v>5348.2579440661084</v>
      </c>
      <c r="I1788" s="21">
        <f t="shared" ca="1" si="297"/>
        <v>5350.2106093565999</v>
      </c>
      <c r="J1788" s="20">
        <f t="shared" ca="1" si="306"/>
        <v>5</v>
      </c>
      <c r="K1788" s="20">
        <f t="shared" ca="1" si="298"/>
        <v>4</v>
      </c>
      <c r="L1788" s="44">
        <f t="shared" ca="1" si="303"/>
        <v>4.5</v>
      </c>
    </row>
    <row r="1789" spans="1:12" x14ac:dyDescent="0.25">
      <c r="A1789" s="20">
        <v>1781</v>
      </c>
      <c r="B1789" s="21">
        <f t="shared" ca="1" si="299"/>
        <v>2.8506100816513205</v>
      </c>
      <c r="C1789" s="21">
        <f t="shared" ca="1" si="304"/>
        <v>5339.5028666046537</v>
      </c>
      <c r="D1789" s="21">
        <f t="shared" ca="1" si="300"/>
        <v>4.8628263365402518</v>
      </c>
      <c r="E1789" s="21">
        <f t="shared" ca="1" si="307"/>
        <v>10.707742751946171</v>
      </c>
      <c r="F1789" s="20" t="str">
        <f t="shared" ca="1" si="305"/>
        <v>No</v>
      </c>
      <c r="G1789" s="21">
        <f t="shared" ca="1" si="301"/>
        <v>0</v>
      </c>
      <c r="H1789" s="21">
        <f t="shared" ca="1" si="302"/>
        <v>5350.2106093565999</v>
      </c>
      <c r="I1789" s="21">
        <f t="shared" ca="1" si="297"/>
        <v>5355.0734356931398</v>
      </c>
      <c r="J1789" s="20">
        <f t="shared" ca="1" si="306"/>
        <v>5</v>
      </c>
      <c r="K1789" s="20">
        <f t="shared" ca="1" si="298"/>
        <v>5</v>
      </c>
      <c r="L1789" s="44">
        <f t="shared" ca="1" si="303"/>
        <v>5</v>
      </c>
    </row>
    <row r="1790" spans="1:12" x14ac:dyDescent="0.25">
      <c r="A1790" s="20">
        <v>1782</v>
      </c>
      <c r="B1790" s="21">
        <f t="shared" ca="1" si="299"/>
        <v>7.8791169333998177</v>
      </c>
      <c r="C1790" s="21">
        <f t="shared" ca="1" si="304"/>
        <v>5347.3819835380536</v>
      </c>
      <c r="D1790" s="21">
        <f t="shared" ca="1" si="300"/>
        <v>0.14309990309523601</v>
      </c>
      <c r="E1790" s="21">
        <f t="shared" ca="1" si="307"/>
        <v>7.6914521550861537</v>
      </c>
      <c r="F1790" s="20" t="str">
        <f t="shared" ca="1" si="305"/>
        <v>No</v>
      </c>
      <c r="G1790" s="21">
        <f t="shared" ca="1" si="301"/>
        <v>0</v>
      </c>
      <c r="H1790" s="21">
        <f t="shared" ca="1" si="302"/>
        <v>5355.0734356931398</v>
      </c>
      <c r="I1790" s="21">
        <f t="shared" ca="1" si="297"/>
        <v>5355.2165355962352</v>
      </c>
      <c r="J1790" s="20">
        <f t="shared" ca="1" si="306"/>
        <v>6</v>
      </c>
      <c r="K1790" s="20">
        <f t="shared" ca="1" si="298"/>
        <v>5</v>
      </c>
      <c r="L1790" s="44">
        <f t="shared" ca="1" si="303"/>
        <v>5.5</v>
      </c>
    </row>
    <row r="1791" spans="1:12" x14ac:dyDescent="0.25">
      <c r="A1791" s="20">
        <v>1783</v>
      </c>
      <c r="B1791" s="21">
        <f t="shared" ca="1" si="299"/>
        <v>0.42770846615290936</v>
      </c>
      <c r="C1791" s="21">
        <f t="shared" ca="1" si="304"/>
        <v>5347.8096920042062</v>
      </c>
      <c r="D1791" s="21">
        <f t="shared" ca="1" si="300"/>
        <v>3.0946381224349477</v>
      </c>
      <c r="E1791" s="21">
        <f t="shared" ca="1" si="307"/>
        <v>7.406843592028963</v>
      </c>
      <c r="F1791" s="20" t="str">
        <f t="shared" ca="1" si="305"/>
        <v>No</v>
      </c>
      <c r="G1791" s="21">
        <f t="shared" ca="1" si="301"/>
        <v>0</v>
      </c>
      <c r="H1791" s="21">
        <f t="shared" ca="1" si="302"/>
        <v>5355.2165355962352</v>
      </c>
      <c r="I1791" s="21">
        <f t="shared" ca="1" si="297"/>
        <v>5358.31117371867</v>
      </c>
      <c r="J1791" s="20">
        <f t="shared" ca="1" si="306"/>
        <v>6</v>
      </c>
      <c r="K1791" s="20">
        <f t="shared" ca="1" si="298"/>
        <v>5</v>
      </c>
      <c r="L1791" s="44">
        <f t="shared" ca="1" si="303"/>
        <v>5.5</v>
      </c>
    </row>
    <row r="1792" spans="1:12" x14ac:dyDescent="0.25">
      <c r="A1792" s="20">
        <v>1784</v>
      </c>
      <c r="B1792" s="21">
        <f t="shared" ca="1" si="299"/>
        <v>2.2045723577813696</v>
      </c>
      <c r="C1792" s="21">
        <f t="shared" ca="1" si="304"/>
        <v>5350.0142643619874</v>
      </c>
      <c r="D1792" s="21">
        <f t="shared" ca="1" si="300"/>
        <v>2.8536780183016641</v>
      </c>
      <c r="E1792" s="21">
        <f t="shared" ca="1" si="307"/>
        <v>8.2969093566825904</v>
      </c>
      <c r="F1792" s="20" t="str">
        <f t="shared" ca="1" si="305"/>
        <v>No</v>
      </c>
      <c r="G1792" s="21">
        <f t="shared" ca="1" si="301"/>
        <v>0</v>
      </c>
      <c r="H1792" s="21">
        <f t="shared" ca="1" si="302"/>
        <v>5358.31117371867</v>
      </c>
      <c r="I1792" s="21">
        <f t="shared" ca="1" si="297"/>
        <v>5361.1648517369713</v>
      </c>
      <c r="J1792" s="20">
        <f t="shared" ca="1" si="306"/>
        <v>6</v>
      </c>
      <c r="K1792" s="20">
        <f t="shared" ca="1" si="298"/>
        <v>5</v>
      </c>
      <c r="L1792" s="44">
        <f t="shared" ca="1" si="303"/>
        <v>5.5</v>
      </c>
    </row>
    <row r="1793" spans="1:12" x14ac:dyDescent="0.25">
      <c r="A1793" s="20">
        <v>1785</v>
      </c>
      <c r="B1793" s="21">
        <f t="shared" ca="1" si="299"/>
        <v>2.7153297830869634</v>
      </c>
      <c r="C1793" s="21">
        <f t="shared" ca="1" si="304"/>
        <v>5352.7295941450748</v>
      </c>
      <c r="D1793" s="21">
        <f t="shared" ca="1" si="300"/>
        <v>3.0580360583952504</v>
      </c>
      <c r="E1793" s="21">
        <f t="shared" ca="1" si="307"/>
        <v>8.4352575918965158</v>
      </c>
      <c r="F1793" s="20" t="str">
        <f t="shared" ca="1" si="305"/>
        <v>No</v>
      </c>
      <c r="G1793" s="21">
        <f t="shared" ca="1" si="301"/>
        <v>0</v>
      </c>
      <c r="H1793" s="21">
        <f t="shared" ca="1" si="302"/>
        <v>5361.1648517369713</v>
      </c>
      <c r="I1793" s="21">
        <f t="shared" ca="1" si="297"/>
        <v>5364.2228877953667</v>
      </c>
      <c r="J1793" s="20">
        <f t="shared" ca="1" si="306"/>
        <v>6</v>
      </c>
      <c r="K1793" s="20">
        <f t="shared" ca="1" si="298"/>
        <v>5</v>
      </c>
      <c r="L1793" s="44">
        <f t="shared" ca="1" si="303"/>
        <v>5.5</v>
      </c>
    </row>
    <row r="1794" spans="1:12" x14ac:dyDescent="0.25">
      <c r="A1794" s="20">
        <v>1786</v>
      </c>
      <c r="B1794" s="21">
        <f t="shared" ca="1" si="299"/>
        <v>0.27077569540508284</v>
      </c>
      <c r="C1794" s="21">
        <f t="shared" ca="1" si="304"/>
        <v>5353.0003698404798</v>
      </c>
      <c r="D1794" s="21">
        <f t="shared" ca="1" si="300"/>
        <v>0.55861155134855067</v>
      </c>
      <c r="E1794" s="21">
        <f t="shared" ca="1" si="307"/>
        <v>11.222517954886825</v>
      </c>
      <c r="F1794" s="20" t="str">
        <f t="shared" ca="1" si="305"/>
        <v>No</v>
      </c>
      <c r="G1794" s="21">
        <f t="shared" ca="1" si="301"/>
        <v>0</v>
      </c>
      <c r="H1794" s="21">
        <f t="shared" ca="1" si="302"/>
        <v>5364.2228877953667</v>
      </c>
      <c r="I1794" s="21">
        <f t="shared" ca="1" si="297"/>
        <v>5364.7814993467155</v>
      </c>
      <c r="J1794" s="20">
        <f t="shared" ca="1" si="306"/>
        <v>6</v>
      </c>
      <c r="K1794" s="20">
        <f t="shared" ca="1" si="298"/>
        <v>5</v>
      </c>
      <c r="L1794" s="44">
        <f t="shared" ca="1" si="303"/>
        <v>5.5</v>
      </c>
    </row>
    <row r="1795" spans="1:12" x14ac:dyDescent="0.25">
      <c r="A1795" s="20">
        <v>1787</v>
      </c>
      <c r="B1795" s="21">
        <f t="shared" ca="1" si="299"/>
        <v>0.32123198514191498</v>
      </c>
      <c r="C1795" s="21">
        <f t="shared" ca="1" si="304"/>
        <v>5353.3216018256217</v>
      </c>
      <c r="D1795" s="21">
        <f t="shared" ca="1" si="300"/>
        <v>18.079379480434373</v>
      </c>
      <c r="E1795" s="21">
        <f t="shared" ca="1" si="307"/>
        <v>11.459897521093808</v>
      </c>
      <c r="F1795" s="20" t="str">
        <f t="shared" ca="1" si="305"/>
        <v>No</v>
      </c>
      <c r="G1795" s="21">
        <f t="shared" ca="1" si="301"/>
        <v>0</v>
      </c>
      <c r="H1795" s="21">
        <f t="shared" ca="1" si="302"/>
        <v>5364.7814993467155</v>
      </c>
      <c r="I1795" s="21">
        <f t="shared" ca="1" si="297"/>
        <v>5382.8608788271495</v>
      </c>
      <c r="J1795" s="20">
        <f t="shared" ca="1" si="306"/>
        <v>6</v>
      </c>
      <c r="K1795" s="20">
        <f t="shared" ca="1" si="298"/>
        <v>5</v>
      </c>
      <c r="L1795" s="44">
        <f t="shared" ca="1" si="303"/>
        <v>5.5</v>
      </c>
    </row>
    <row r="1796" spans="1:12" x14ac:dyDescent="0.25">
      <c r="A1796" s="20">
        <v>1788</v>
      </c>
      <c r="B1796" s="21">
        <f t="shared" ca="1" si="299"/>
        <v>2.9741599840939483</v>
      </c>
      <c r="C1796" s="21">
        <f t="shared" ca="1" si="304"/>
        <v>5356.2957618097153</v>
      </c>
      <c r="D1796" s="21">
        <f t="shared" ca="1" si="300"/>
        <v>11.683776063622147</v>
      </c>
      <c r="E1796" s="21">
        <f t="shared" ca="1" si="307"/>
        <v>26.565117017434204</v>
      </c>
      <c r="F1796" s="20" t="str">
        <f t="shared" ca="1" si="305"/>
        <v>No</v>
      </c>
      <c r="G1796" s="21">
        <f t="shared" ca="1" si="301"/>
        <v>0</v>
      </c>
      <c r="H1796" s="21">
        <f t="shared" ca="1" si="302"/>
        <v>5382.8608788271495</v>
      </c>
      <c r="I1796" s="21">
        <f t="shared" ca="1" si="297"/>
        <v>5394.5446548907712</v>
      </c>
      <c r="J1796" s="20">
        <f t="shared" ca="1" si="306"/>
        <v>6</v>
      </c>
      <c r="K1796" s="20">
        <f t="shared" ca="1" si="298"/>
        <v>5</v>
      </c>
      <c r="L1796" s="44">
        <f t="shared" ca="1" si="303"/>
        <v>5.5</v>
      </c>
    </row>
    <row r="1797" spans="1:12" x14ac:dyDescent="0.25">
      <c r="A1797" s="20">
        <v>1789</v>
      </c>
      <c r="B1797" s="21">
        <f t="shared" ca="1" si="299"/>
        <v>0.69647111731143996</v>
      </c>
      <c r="C1797" s="21">
        <f t="shared" ca="1" si="304"/>
        <v>5356.9922329270266</v>
      </c>
      <c r="D1797" s="21">
        <f t="shared" ca="1" si="300"/>
        <v>0.56611067528887915</v>
      </c>
      <c r="E1797" s="21">
        <f t="shared" ca="1" si="307"/>
        <v>37.552421963744564</v>
      </c>
      <c r="F1797" s="20" t="str">
        <f t="shared" ca="1" si="305"/>
        <v>No</v>
      </c>
      <c r="G1797" s="21">
        <f t="shared" ca="1" si="301"/>
        <v>0</v>
      </c>
      <c r="H1797" s="21">
        <f t="shared" ca="1" si="302"/>
        <v>5394.5446548907712</v>
      </c>
      <c r="I1797" s="21">
        <f t="shared" ca="1" si="297"/>
        <v>5395.1107655660599</v>
      </c>
      <c r="J1797" s="20">
        <f t="shared" ca="1" si="306"/>
        <v>6</v>
      </c>
      <c r="K1797" s="20">
        <f t="shared" ca="1" si="298"/>
        <v>5</v>
      </c>
      <c r="L1797" s="44">
        <f t="shared" ca="1" si="303"/>
        <v>5.5</v>
      </c>
    </row>
    <row r="1798" spans="1:12" x14ac:dyDescent="0.25">
      <c r="A1798" s="20">
        <v>1790</v>
      </c>
      <c r="B1798" s="21">
        <f t="shared" ca="1" si="299"/>
        <v>1.3846133030996965</v>
      </c>
      <c r="C1798" s="21">
        <f t="shared" ca="1" si="304"/>
        <v>5358.3768462301259</v>
      </c>
      <c r="D1798" s="21">
        <f t="shared" ca="1" si="300"/>
        <v>1.2577068795517528</v>
      </c>
      <c r="E1798" s="21">
        <f t="shared" ca="1" si="307"/>
        <v>36.733919335933933</v>
      </c>
      <c r="F1798" s="20" t="str">
        <f t="shared" ca="1" si="305"/>
        <v>No</v>
      </c>
      <c r="G1798" s="21">
        <f t="shared" ca="1" si="301"/>
        <v>0</v>
      </c>
      <c r="H1798" s="21">
        <f t="shared" ca="1" si="302"/>
        <v>5395.1107655660599</v>
      </c>
      <c r="I1798" s="21">
        <f t="shared" ca="1" si="297"/>
        <v>5396.3684724456116</v>
      </c>
      <c r="J1798" s="20">
        <f t="shared" ca="1" si="306"/>
        <v>6</v>
      </c>
      <c r="K1798" s="20">
        <f t="shared" ca="1" si="298"/>
        <v>5</v>
      </c>
      <c r="L1798" s="44">
        <f t="shared" ca="1" si="303"/>
        <v>5.5</v>
      </c>
    </row>
    <row r="1799" spans="1:12" x14ac:dyDescent="0.25">
      <c r="A1799" s="20">
        <v>1791</v>
      </c>
      <c r="B1799" s="21">
        <f t="shared" ca="1" si="299"/>
        <v>0.78108078928519764</v>
      </c>
      <c r="C1799" s="21">
        <f t="shared" ca="1" si="304"/>
        <v>5359.1579270194115</v>
      </c>
      <c r="D1799" s="21">
        <f t="shared" ca="1" si="300"/>
        <v>5.9636668527214827</v>
      </c>
      <c r="E1799" s="21">
        <f t="shared" ca="1" si="307"/>
        <v>37.210545426200042</v>
      </c>
      <c r="F1799" s="20" t="str">
        <f t="shared" ca="1" si="305"/>
        <v>No</v>
      </c>
      <c r="G1799" s="21">
        <f t="shared" ca="1" si="301"/>
        <v>0</v>
      </c>
      <c r="H1799" s="21">
        <f t="shared" ca="1" si="302"/>
        <v>5396.3684724456116</v>
      </c>
      <c r="I1799" s="21">
        <f t="shared" ca="1" si="297"/>
        <v>5402.3321392983335</v>
      </c>
      <c r="J1799" s="20">
        <f t="shared" ca="1" si="306"/>
        <v>6</v>
      </c>
      <c r="K1799" s="20">
        <f t="shared" ca="1" si="298"/>
        <v>5</v>
      </c>
      <c r="L1799" s="44">
        <f t="shared" ca="1" si="303"/>
        <v>5.5</v>
      </c>
    </row>
    <row r="1800" spans="1:12" x14ac:dyDescent="0.25">
      <c r="A1800" s="20">
        <v>1792</v>
      </c>
      <c r="B1800" s="21">
        <f t="shared" ca="1" si="299"/>
        <v>1.3355659039411725</v>
      </c>
      <c r="C1800" s="21">
        <f t="shared" ca="1" si="304"/>
        <v>5360.4934929233523</v>
      </c>
      <c r="D1800" s="21">
        <f t="shared" ca="1" si="300"/>
        <v>4.9486949989693505</v>
      </c>
      <c r="E1800" s="21">
        <f t="shared" ca="1" si="307"/>
        <v>41.838646374981181</v>
      </c>
      <c r="F1800" s="20" t="str">
        <f t="shared" ca="1" si="305"/>
        <v>No</v>
      </c>
      <c r="G1800" s="21">
        <f t="shared" ca="1" si="301"/>
        <v>0</v>
      </c>
      <c r="H1800" s="21">
        <f t="shared" ca="1" si="302"/>
        <v>5402.3321392983335</v>
      </c>
      <c r="I1800" s="21">
        <f t="shared" ca="1" si="297"/>
        <v>5407.280834297303</v>
      </c>
      <c r="J1800" s="20">
        <f t="shared" ca="1" si="306"/>
        <v>6</v>
      </c>
      <c r="K1800" s="20">
        <f t="shared" ca="1" si="298"/>
        <v>5</v>
      </c>
      <c r="L1800" s="44">
        <f t="shared" ca="1" si="303"/>
        <v>5.5</v>
      </c>
    </row>
    <row r="1801" spans="1:12" x14ac:dyDescent="0.25">
      <c r="A1801" s="20">
        <v>1793</v>
      </c>
      <c r="B1801" s="21">
        <f t="shared" ca="1" si="299"/>
        <v>0.89911366168683038</v>
      </c>
      <c r="C1801" s="21">
        <f t="shared" ca="1" si="304"/>
        <v>5361.3926065850392</v>
      </c>
      <c r="D1801" s="21">
        <f t="shared" ca="1" si="300"/>
        <v>0.67158570578202315</v>
      </c>
      <c r="E1801" s="21">
        <f t="shared" ca="1" si="307"/>
        <v>45.88822771226387</v>
      </c>
      <c r="F1801" s="20" t="str">
        <f t="shared" ca="1" si="305"/>
        <v>No</v>
      </c>
      <c r="G1801" s="21">
        <f t="shared" ca="1" si="301"/>
        <v>0</v>
      </c>
      <c r="H1801" s="21">
        <f t="shared" ca="1" si="302"/>
        <v>5407.280834297303</v>
      </c>
      <c r="I1801" s="21">
        <f t="shared" ref="I1801:I1864" ca="1" si="308">$H1801+$D1801</f>
        <v>5407.9524200030846</v>
      </c>
      <c r="J1801" s="20">
        <f t="shared" ca="1" si="306"/>
        <v>6</v>
      </c>
      <c r="K1801" s="20">
        <f t="shared" ref="K1801:K1864" ca="1" si="309">IF($I1801&lt;=$C1802,0,IF($I1801&lt;=$C1803,1,IF($I1801&lt;=$C1804,2,IF($I1801&lt;=$C1805,3,IF($I1801&lt;=$C1806,4,5)))))</f>
        <v>5</v>
      </c>
      <c r="L1801" s="44">
        <f t="shared" ca="1" si="303"/>
        <v>5.5</v>
      </c>
    </row>
    <row r="1802" spans="1:12" x14ac:dyDescent="0.25">
      <c r="A1802" s="20">
        <v>1794</v>
      </c>
      <c r="B1802" s="21">
        <f t="shared" ref="B1802:B1865" ca="1" si="310">-LN(RAND())/$D$4</f>
        <v>2.3344969612037674</v>
      </c>
      <c r="C1802" s="21">
        <f t="shared" ca="1" si="304"/>
        <v>5363.7271035462427</v>
      </c>
      <c r="D1802" s="21">
        <f t="shared" ref="D1802:D1865" ca="1" si="311">-LN(RAND())/$D$6</f>
        <v>1.5110832970364332</v>
      </c>
      <c r="E1802" s="21">
        <f t="shared" ca="1" si="307"/>
        <v>44.225316456841938</v>
      </c>
      <c r="F1802" s="20" t="str">
        <f t="shared" ca="1" si="305"/>
        <v>No</v>
      </c>
      <c r="G1802" s="21">
        <f t="shared" ref="G1802:G1865" ca="1" si="312">IF($I1801&lt;=$C1802,$C1802-$I1801,0)</f>
        <v>0</v>
      </c>
      <c r="H1802" s="21">
        <f t="shared" ref="H1802:H1865" ca="1" si="313">IF($I1801&lt;=$C1802,$C1802,$I1801)</f>
        <v>5407.9524200030846</v>
      </c>
      <c r="I1802" s="21">
        <f t="shared" ca="1" si="308"/>
        <v>5409.4635033001214</v>
      </c>
      <c r="J1802" s="20">
        <f t="shared" ca="1" si="306"/>
        <v>6</v>
      </c>
      <c r="K1802" s="20">
        <f t="shared" ca="1" si="309"/>
        <v>5</v>
      </c>
      <c r="L1802" s="44">
        <f t="shared" ref="L1802:L1865" ca="1" si="314">(J1802+K1802)/2</f>
        <v>5.5</v>
      </c>
    </row>
    <row r="1803" spans="1:12" x14ac:dyDescent="0.25">
      <c r="A1803" s="20">
        <v>1795</v>
      </c>
      <c r="B1803" s="21">
        <f t="shared" ca="1" si="310"/>
        <v>0.63689229068478581</v>
      </c>
      <c r="C1803" s="21">
        <f t="shared" ref="C1803:C1866" ca="1" si="315">$C1802+$B1803</f>
        <v>5364.3639958369276</v>
      </c>
      <c r="D1803" s="21">
        <f t="shared" ca="1" si="311"/>
        <v>2.2374119610799261</v>
      </c>
      <c r="E1803" s="21">
        <f t="shared" ca="1" si="307"/>
        <v>45.099507463193731</v>
      </c>
      <c r="F1803" s="20" t="str">
        <f t="shared" ref="F1803:F1866" ca="1" si="316">IF(E1803=0,"Yes","No")</f>
        <v>No</v>
      </c>
      <c r="G1803" s="21">
        <f t="shared" ca="1" si="312"/>
        <v>0</v>
      </c>
      <c r="H1803" s="21">
        <f t="shared" ca="1" si="313"/>
        <v>5409.4635033001214</v>
      </c>
      <c r="I1803" s="21">
        <f t="shared" ca="1" si="308"/>
        <v>5411.7009152612009</v>
      </c>
      <c r="J1803" s="20">
        <f t="shared" ref="J1803:J1866" ca="1" si="317">IF($I1802&lt;=$C1803,0,$K1802+1)</f>
        <v>6</v>
      </c>
      <c r="K1803" s="20">
        <f t="shared" ca="1" si="309"/>
        <v>5</v>
      </c>
      <c r="L1803" s="44">
        <f t="shared" ca="1" si="314"/>
        <v>5.5</v>
      </c>
    </row>
    <row r="1804" spans="1:12" x14ac:dyDescent="0.25">
      <c r="A1804" s="20">
        <v>1796</v>
      </c>
      <c r="B1804" s="21">
        <f t="shared" ca="1" si="310"/>
        <v>1.3585986223115687</v>
      </c>
      <c r="C1804" s="21">
        <f t="shared" ca="1" si="315"/>
        <v>5365.7225944592392</v>
      </c>
      <c r="D1804" s="21">
        <f t="shared" ca="1" si="311"/>
        <v>0.40349247262080179</v>
      </c>
      <c r="E1804" s="21">
        <f t="shared" ref="E1804:E1867" ca="1" si="318">IF($I1803&lt;=$C1804,0,$I1803-$C1804)</f>
        <v>45.978320801961672</v>
      </c>
      <c r="F1804" s="20" t="str">
        <f t="shared" ca="1" si="316"/>
        <v>No</v>
      </c>
      <c r="G1804" s="21">
        <f t="shared" ca="1" si="312"/>
        <v>0</v>
      </c>
      <c r="H1804" s="21">
        <f t="shared" ca="1" si="313"/>
        <v>5411.7009152612009</v>
      </c>
      <c r="I1804" s="21">
        <f t="shared" ca="1" si="308"/>
        <v>5412.104407733822</v>
      </c>
      <c r="J1804" s="20">
        <f t="shared" ca="1" si="317"/>
        <v>6</v>
      </c>
      <c r="K1804" s="20">
        <f t="shared" ca="1" si="309"/>
        <v>5</v>
      </c>
      <c r="L1804" s="44">
        <f t="shared" ca="1" si="314"/>
        <v>5.5</v>
      </c>
    </row>
    <row r="1805" spans="1:12" x14ac:dyDescent="0.25">
      <c r="A1805" s="20">
        <v>1797</v>
      </c>
      <c r="B1805" s="21">
        <f t="shared" ca="1" si="310"/>
        <v>5.6149909768726254E-2</v>
      </c>
      <c r="C1805" s="21">
        <f t="shared" ca="1" si="315"/>
        <v>5365.7787443690077</v>
      </c>
      <c r="D1805" s="21">
        <f t="shared" ca="1" si="311"/>
        <v>7.9924490378225022</v>
      </c>
      <c r="E1805" s="21">
        <f t="shared" ca="1" si="318"/>
        <v>46.325663364814318</v>
      </c>
      <c r="F1805" s="20" t="str">
        <f t="shared" ca="1" si="316"/>
        <v>No</v>
      </c>
      <c r="G1805" s="21">
        <f t="shared" ca="1" si="312"/>
        <v>0</v>
      </c>
      <c r="H1805" s="21">
        <f t="shared" ca="1" si="313"/>
        <v>5412.104407733822</v>
      </c>
      <c r="I1805" s="21">
        <f t="shared" ca="1" si="308"/>
        <v>5420.0968567716445</v>
      </c>
      <c r="J1805" s="20">
        <f t="shared" ca="1" si="317"/>
        <v>6</v>
      </c>
      <c r="K1805" s="20">
        <f t="shared" ca="1" si="309"/>
        <v>5</v>
      </c>
      <c r="L1805" s="44">
        <f t="shared" ca="1" si="314"/>
        <v>5.5</v>
      </c>
    </row>
    <row r="1806" spans="1:12" x14ac:dyDescent="0.25">
      <c r="A1806" s="20">
        <v>1798</v>
      </c>
      <c r="B1806" s="21">
        <f t="shared" ca="1" si="310"/>
        <v>16.314401600653476</v>
      </c>
      <c r="C1806" s="21">
        <f t="shared" ca="1" si="315"/>
        <v>5382.0931459696612</v>
      </c>
      <c r="D1806" s="21">
        <f t="shared" ca="1" si="311"/>
        <v>3.041583814938206</v>
      </c>
      <c r="E1806" s="21">
        <f t="shared" ca="1" si="318"/>
        <v>38.003710801983289</v>
      </c>
      <c r="F1806" s="20" t="str">
        <f t="shared" ca="1" si="316"/>
        <v>No</v>
      </c>
      <c r="G1806" s="21">
        <f t="shared" ca="1" si="312"/>
        <v>0</v>
      </c>
      <c r="H1806" s="21">
        <f t="shared" ca="1" si="313"/>
        <v>5420.0968567716445</v>
      </c>
      <c r="I1806" s="21">
        <f t="shared" ca="1" si="308"/>
        <v>5423.1384405865829</v>
      </c>
      <c r="J1806" s="20">
        <f t="shared" ca="1" si="317"/>
        <v>6</v>
      </c>
      <c r="K1806" s="20">
        <f t="shared" ca="1" si="309"/>
        <v>5</v>
      </c>
      <c r="L1806" s="44">
        <f t="shared" ca="1" si="314"/>
        <v>5.5</v>
      </c>
    </row>
    <row r="1807" spans="1:12" x14ac:dyDescent="0.25">
      <c r="A1807" s="20">
        <v>1799</v>
      </c>
      <c r="B1807" s="21">
        <f t="shared" ca="1" si="310"/>
        <v>2.9056712786764134</v>
      </c>
      <c r="C1807" s="21">
        <f t="shared" ca="1" si="315"/>
        <v>5384.9988172483372</v>
      </c>
      <c r="D1807" s="21">
        <f t="shared" ca="1" si="311"/>
        <v>0.95744468009019312</v>
      </c>
      <c r="E1807" s="21">
        <f t="shared" ca="1" si="318"/>
        <v>38.139623338245656</v>
      </c>
      <c r="F1807" s="20" t="str">
        <f t="shared" ca="1" si="316"/>
        <v>No</v>
      </c>
      <c r="G1807" s="21">
        <f t="shared" ca="1" si="312"/>
        <v>0</v>
      </c>
      <c r="H1807" s="21">
        <f t="shared" ca="1" si="313"/>
        <v>5423.1384405865829</v>
      </c>
      <c r="I1807" s="21">
        <f t="shared" ca="1" si="308"/>
        <v>5424.0958852666727</v>
      </c>
      <c r="J1807" s="20">
        <f t="shared" ca="1" si="317"/>
        <v>6</v>
      </c>
      <c r="K1807" s="20">
        <f t="shared" ca="1" si="309"/>
        <v>5</v>
      </c>
      <c r="L1807" s="44">
        <f t="shared" ca="1" si="314"/>
        <v>5.5</v>
      </c>
    </row>
    <row r="1808" spans="1:12" x14ac:dyDescent="0.25">
      <c r="A1808" s="20">
        <v>1800</v>
      </c>
      <c r="B1808" s="21">
        <f t="shared" ca="1" si="310"/>
        <v>2.6896903137367287</v>
      </c>
      <c r="C1808" s="21">
        <f t="shared" ca="1" si="315"/>
        <v>5387.6885075620739</v>
      </c>
      <c r="D1808" s="21">
        <f t="shared" ca="1" si="311"/>
        <v>2.0958944659601104</v>
      </c>
      <c r="E1808" s="21">
        <f t="shared" ca="1" si="318"/>
        <v>36.40737770459873</v>
      </c>
      <c r="F1808" s="20" t="str">
        <f t="shared" ca="1" si="316"/>
        <v>No</v>
      </c>
      <c r="G1808" s="21">
        <f t="shared" ca="1" si="312"/>
        <v>0</v>
      </c>
      <c r="H1808" s="21">
        <f t="shared" ca="1" si="313"/>
        <v>5424.0958852666727</v>
      </c>
      <c r="I1808" s="21">
        <f t="shared" ca="1" si="308"/>
        <v>5426.1917797326332</v>
      </c>
      <c r="J1808" s="20">
        <f t="shared" ca="1" si="317"/>
        <v>6</v>
      </c>
      <c r="K1808" s="20">
        <f t="shared" ca="1" si="309"/>
        <v>5</v>
      </c>
      <c r="L1808" s="44">
        <f t="shared" ca="1" si="314"/>
        <v>5.5</v>
      </c>
    </row>
    <row r="1809" spans="1:12" x14ac:dyDescent="0.25">
      <c r="A1809" s="20">
        <v>1801</v>
      </c>
      <c r="B1809" s="21">
        <f t="shared" ca="1" si="310"/>
        <v>0.18997288914931507</v>
      </c>
      <c r="C1809" s="21">
        <f t="shared" ca="1" si="315"/>
        <v>5387.8784804512234</v>
      </c>
      <c r="D1809" s="21">
        <f t="shared" ca="1" si="311"/>
        <v>1.6654450686757267</v>
      </c>
      <c r="E1809" s="21">
        <f t="shared" ca="1" si="318"/>
        <v>38.313299281409854</v>
      </c>
      <c r="F1809" s="20" t="str">
        <f t="shared" ca="1" si="316"/>
        <v>No</v>
      </c>
      <c r="G1809" s="21">
        <f t="shared" ca="1" si="312"/>
        <v>0</v>
      </c>
      <c r="H1809" s="21">
        <f t="shared" ca="1" si="313"/>
        <v>5426.1917797326332</v>
      </c>
      <c r="I1809" s="21">
        <f t="shared" ca="1" si="308"/>
        <v>5427.8572248013088</v>
      </c>
      <c r="J1809" s="20">
        <f t="shared" ca="1" si="317"/>
        <v>6</v>
      </c>
      <c r="K1809" s="20">
        <f t="shared" ca="1" si="309"/>
        <v>5</v>
      </c>
      <c r="L1809" s="44">
        <f t="shared" ca="1" si="314"/>
        <v>5.5</v>
      </c>
    </row>
    <row r="1810" spans="1:12" x14ac:dyDescent="0.25">
      <c r="A1810" s="20">
        <v>1802</v>
      </c>
      <c r="B1810" s="21">
        <f t="shared" ca="1" si="310"/>
        <v>4.8933962517545533</v>
      </c>
      <c r="C1810" s="21">
        <f t="shared" ca="1" si="315"/>
        <v>5392.7718767029783</v>
      </c>
      <c r="D1810" s="21">
        <f t="shared" ca="1" si="311"/>
        <v>1.3602677863359085</v>
      </c>
      <c r="E1810" s="21">
        <f t="shared" ca="1" si="318"/>
        <v>35.085348098330542</v>
      </c>
      <c r="F1810" s="20" t="str">
        <f t="shared" ca="1" si="316"/>
        <v>No</v>
      </c>
      <c r="G1810" s="21">
        <f t="shared" ca="1" si="312"/>
        <v>0</v>
      </c>
      <c r="H1810" s="21">
        <f t="shared" ca="1" si="313"/>
        <v>5427.8572248013088</v>
      </c>
      <c r="I1810" s="21">
        <f t="shared" ca="1" si="308"/>
        <v>5429.2174925876443</v>
      </c>
      <c r="J1810" s="20">
        <f t="shared" ca="1" si="317"/>
        <v>6</v>
      </c>
      <c r="K1810" s="20">
        <f t="shared" ca="1" si="309"/>
        <v>5</v>
      </c>
      <c r="L1810" s="44">
        <f t="shared" ca="1" si="314"/>
        <v>5.5</v>
      </c>
    </row>
    <row r="1811" spans="1:12" x14ac:dyDescent="0.25">
      <c r="A1811" s="20">
        <v>1803</v>
      </c>
      <c r="B1811" s="21">
        <f t="shared" ca="1" si="310"/>
        <v>1.0020762768499867</v>
      </c>
      <c r="C1811" s="21">
        <f t="shared" ca="1" si="315"/>
        <v>5393.7739529798282</v>
      </c>
      <c r="D1811" s="21">
        <f t="shared" ca="1" si="311"/>
        <v>0.47747172991709402</v>
      </c>
      <c r="E1811" s="21">
        <f t="shared" ca="1" si="318"/>
        <v>35.443539607816092</v>
      </c>
      <c r="F1811" s="20" t="str">
        <f t="shared" ca="1" si="316"/>
        <v>No</v>
      </c>
      <c r="G1811" s="21">
        <f t="shared" ca="1" si="312"/>
        <v>0</v>
      </c>
      <c r="H1811" s="21">
        <f t="shared" ca="1" si="313"/>
        <v>5429.2174925876443</v>
      </c>
      <c r="I1811" s="21">
        <f t="shared" ca="1" si="308"/>
        <v>5429.6949643175612</v>
      </c>
      <c r="J1811" s="20">
        <f t="shared" ca="1" si="317"/>
        <v>6</v>
      </c>
      <c r="K1811" s="20">
        <f t="shared" ca="1" si="309"/>
        <v>5</v>
      </c>
      <c r="L1811" s="44">
        <f t="shared" ca="1" si="314"/>
        <v>5.5</v>
      </c>
    </row>
    <row r="1812" spans="1:12" x14ac:dyDescent="0.25">
      <c r="A1812" s="20">
        <v>1804</v>
      </c>
      <c r="B1812" s="21">
        <f t="shared" ca="1" si="310"/>
        <v>1.2588839635132594</v>
      </c>
      <c r="C1812" s="21">
        <f t="shared" ca="1" si="315"/>
        <v>5395.0328369433419</v>
      </c>
      <c r="D1812" s="21">
        <f t="shared" ca="1" si="311"/>
        <v>6.8193785068578654</v>
      </c>
      <c r="E1812" s="21">
        <f t="shared" ca="1" si="318"/>
        <v>34.662127374219381</v>
      </c>
      <c r="F1812" s="20" t="str">
        <f t="shared" ca="1" si="316"/>
        <v>No</v>
      </c>
      <c r="G1812" s="21">
        <f t="shared" ca="1" si="312"/>
        <v>0</v>
      </c>
      <c r="H1812" s="21">
        <f t="shared" ca="1" si="313"/>
        <v>5429.6949643175612</v>
      </c>
      <c r="I1812" s="21">
        <f t="shared" ca="1" si="308"/>
        <v>5436.5143428244191</v>
      </c>
      <c r="J1812" s="20">
        <f t="shared" ca="1" si="317"/>
        <v>6</v>
      </c>
      <c r="K1812" s="20">
        <f t="shared" ca="1" si="309"/>
        <v>5</v>
      </c>
      <c r="L1812" s="44">
        <f t="shared" ca="1" si="314"/>
        <v>5.5</v>
      </c>
    </row>
    <row r="1813" spans="1:12" x14ac:dyDescent="0.25">
      <c r="A1813" s="20">
        <v>1805</v>
      </c>
      <c r="B1813" s="21">
        <f t="shared" ca="1" si="310"/>
        <v>1.1178265245706882</v>
      </c>
      <c r="C1813" s="21">
        <f t="shared" ca="1" si="315"/>
        <v>5396.1506634679126</v>
      </c>
      <c r="D1813" s="21">
        <f t="shared" ca="1" si="311"/>
        <v>0.34211517076851983</v>
      </c>
      <c r="E1813" s="21">
        <f t="shared" ca="1" si="318"/>
        <v>40.363679356506509</v>
      </c>
      <c r="F1813" s="20" t="str">
        <f t="shared" ca="1" si="316"/>
        <v>No</v>
      </c>
      <c r="G1813" s="21">
        <f t="shared" ca="1" si="312"/>
        <v>0</v>
      </c>
      <c r="H1813" s="21">
        <f t="shared" ca="1" si="313"/>
        <v>5436.5143428244191</v>
      </c>
      <c r="I1813" s="21">
        <f t="shared" ca="1" si="308"/>
        <v>5436.8564579951881</v>
      </c>
      <c r="J1813" s="20">
        <f t="shared" ca="1" si="317"/>
        <v>6</v>
      </c>
      <c r="K1813" s="20">
        <f t="shared" ca="1" si="309"/>
        <v>5</v>
      </c>
      <c r="L1813" s="44">
        <f t="shared" ca="1" si="314"/>
        <v>5.5</v>
      </c>
    </row>
    <row r="1814" spans="1:12" x14ac:dyDescent="0.25">
      <c r="A1814" s="20">
        <v>1806</v>
      </c>
      <c r="B1814" s="21">
        <f t="shared" ca="1" si="310"/>
        <v>0.81158731497736347</v>
      </c>
      <c r="C1814" s="21">
        <f t="shared" ca="1" si="315"/>
        <v>5396.9622507828899</v>
      </c>
      <c r="D1814" s="21">
        <f t="shared" ca="1" si="311"/>
        <v>6.2841075019366821</v>
      </c>
      <c r="E1814" s="21">
        <f t="shared" ca="1" si="318"/>
        <v>39.89420721229817</v>
      </c>
      <c r="F1814" s="20" t="str">
        <f t="shared" ca="1" si="316"/>
        <v>No</v>
      </c>
      <c r="G1814" s="21">
        <f t="shared" ca="1" si="312"/>
        <v>0</v>
      </c>
      <c r="H1814" s="21">
        <f t="shared" ca="1" si="313"/>
        <v>5436.8564579951881</v>
      </c>
      <c r="I1814" s="21">
        <f t="shared" ca="1" si="308"/>
        <v>5443.140565497125</v>
      </c>
      <c r="J1814" s="20">
        <f t="shared" ca="1" si="317"/>
        <v>6</v>
      </c>
      <c r="K1814" s="20">
        <f t="shared" ca="1" si="309"/>
        <v>5</v>
      </c>
      <c r="L1814" s="44">
        <f t="shared" ca="1" si="314"/>
        <v>5.5</v>
      </c>
    </row>
    <row r="1815" spans="1:12" x14ac:dyDescent="0.25">
      <c r="A1815" s="20">
        <v>1807</v>
      </c>
      <c r="B1815" s="21">
        <f t="shared" ca="1" si="310"/>
        <v>2.3538998422264177</v>
      </c>
      <c r="C1815" s="21">
        <f t="shared" ca="1" si="315"/>
        <v>5399.3161506251163</v>
      </c>
      <c r="D1815" s="21">
        <f t="shared" ca="1" si="311"/>
        <v>2.3143007634643422</v>
      </c>
      <c r="E1815" s="21">
        <f t="shared" ca="1" si="318"/>
        <v>43.824414872008674</v>
      </c>
      <c r="F1815" s="20" t="str">
        <f t="shared" ca="1" si="316"/>
        <v>No</v>
      </c>
      <c r="G1815" s="21">
        <f t="shared" ca="1" si="312"/>
        <v>0</v>
      </c>
      <c r="H1815" s="21">
        <f t="shared" ca="1" si="313"/>
        <v>5443.140565497125</v>
      </c>
      <c r="I1815" s="21">
        <f t="shared" ca="1" si="308"/>
        <v>5445.4548662605894</v>
      </c>
      <c r="J1815" s="20">
        <f t="shared" ca="1" si="317"/>
        <v>6</v>
      </c>
      <c r="K1815" s="20">
        <f t="shared" ca="1" si="309"/>
        <v>5</v>
      </c>
      <c r="L1815" s="44">
        <f t="shared" ca="1" si="314"/>
        <v>5.5</v>
      </c>
    </row>
    <row r="1816" spans="1:12" x14ac:dyDescent="0.25">
      <c r="A1816" s="20">
        <v>1808</v>
      </c>
      <c r="B1816" s="21">
        <f t="shared" ca="1" si="310"/>
        <v>1.4664902694096738</v>
      </c>
      <c r="C1816" s="21">
        <f t="shared" ca="1" si="315"/>
        <v>5400.7826408945257</v>
      </c>
      <c r="D1816" s="21">
        <f t="shared" ca="1" si="311"/>
        <v>2.3784154912483112E-2</v>
      </c>
      <c r="E1816" s="21">
        <f t="shared" ca="1" si="318"/>
        <v>44.672225366063685</v>
      </c>
      <c r="F1816" s="20" t="str">
        <f t="shared" ca="1" si="316"/>
        <v>No</v>
      </c>
      <c r="G1816" s="21">
        <f t="shared" ca="1" si="312"/>
        <v>0</v>
      </c>
      <c r="H1816" s="21">
        <f t="shared" ca="1" si="313"/>
        <v>5445.4548662605894</v>
      </c>
      <c r="I1816" s="21">
        <f t="shared" ca="1" si="308"/>
        <v>5445.4786504155018</v>
      </c>
      <c r="J1816" s="20">
        <f t="shared" ca="1" si="317"/>
        <v>6</v>
      </c>
      <c r="K1816" s="20">
        <f t="shared" ca="1" si="309"/>
        <v>5</v>
      </c>
      <c r="L1816" s="44">
        <f t="shared" ca="1" si="314"/>
        <v>5.5</v>
      </c>
    </row>
    <row r="1817" spans="1:12" x14ac:dyDescent="0.25">
      <c r="A1817" s="20">
        <v>1809</v>
      </c>
      <c r="B1817" s="21">
        <f t="shared" ca="1" si="310"/>
        <v>0.11918126381793907</v>
      </c>
      <c r="C1817" s="21">
        <f t="shared" ca="1" si="315"/>
        <v>5400.9018221583437</v>
      </c>
      <c r="D1817" s="21">
        <f t="shared" ca="1" si="311"/>
        <v>0.85111443988818147</v>
      </c>
      <c r="E1817" s="21">
        <f t="shared" ca="1" si="318"/>
        <v>44.576828257158013</v>
      </c>
      <c r="F1817" s="20" t="str">
        <f t="shared" ca="1" si="316"/>
        <v>No</v>
      </c>
      <c r="G1817" s="21">
        <f t="shared" ca="1" si="312"/>
        <v>0</v>
      </c>
      <c r="H1817" s="21">
        <f t="shared" ca="1" si="313"/>
        <v>5445.4786504155018</v>
      </c>
      <c r="I1817" s="21">
        <f t="shared" ca="1" si="308"/>
        <v>5446.3297648553898</v>
      </c>
      <c r="J1817" s="20">
        <f t="shared" ca="1" si="317"/>
        <v>6</v>
      </c>
      <c r="K1817" s="20">
        <f t="shared" ca="1" si="309"/>
        <v>5</v>
      </c>
      <c r="L1817" s="44">
        <f t="shared" ca="1" si="314"/>
        <v>5.5</v>
      </c>
    </row>
    <row r="1818" spans="1:12" x14ac:dyDescent="0.25">
      <c r="A1818" s="20">
        <v>1810</v>
      </c>
      <c r="B1818" s="21">
        <f t="shared" ca="1" si="310"/>
        <v>6.0075961263297506</v>
      </c>
      <c r="C1818" s="21">
        <f t="shared" ca="1" si="315"/>
        <v>5406.9094182846738</v>
      </c>
      <c r="D1818" s="21">
        <f t="shared" ca="1" si="311"/>
        <v>9.8605442649499948E-3</v>
      </c>
      <c r="E1818" s="21">
        <f t="shared" ca="1" si="318"/>
        <v>39.420346570715992</v>
      </c>
      <c r="F1818" s="20" t="str">
        <f t="shared" ca="1" si="316"/>
        <v>No</v>
      </c>
      <c r="G1818" s="21">
        <f t="shared" ca="1" si="312"/>
        <v>0</v>
      </c>
      <c r="H1818" s="21">
        <f t="shared" ca="1" si="313"/>
        <v>5446.3297648553898</v>
      </c>
      <c r="I1818" s="21">
        <f t="shared" ca="1" si="308"/>
        <v>5446.3396253996552</v>
      </c>
      <c r="J1818" s="20">
        <f t="shared" ca="1" si="317"/>
        <v>6</v>
      </c>
      <c r="K1818" s="20">
        <f t="shared" ca="1" si="309"/>
        <v>5</v>
      </c>
      <c r="L1818" s="44">
        <f t="shared" ca="1" si="314"/>
        <v>5.5</v>
      </c>
    </row>
    <row r="1819" spans="1:12" x14ac:dyDescent="0.25">
      <c r="A1819" s="20">
        <v>1811</v>
      </c>
      <c r="B1819" s="21">
        <f t="shared" ca="1" si="310"/>
        <v>0.93213042628915199</v>
      </c>
      <c r="C1819" s="21">
        <f t="shared" ca="1" si="315"/>
        <v>5407.8415487109633</v>
      </c>
      <c r="D1819" s="21">
        <f t="shared" ca="1" si="311"/>
        <v>4.9526292607108413</v>
      </c>
      <c r="E1819" s="21">
        <f t="shared" ca="1" si="318"/>
        <v>38.498076688691981</v>
      </c>
      <c r="F1819" s="20" t="str">
        <f t="shared" ca="1" si="316"/>
        <v>No</v>
      </c>
      <c r="G1819" s="21">
        <f t="shared" ca="1" si="312"/>
        <v>0</v>
      </c>
      <c r="H1819" s="21">
        <f t="shared" ca="1" si="313"/>
        <v>5446.3396253996552</v>
      </c>
      <c r="I1819" s="21">
        <f t="shared" ca="1" si="308"/>
        <v>5451.2922546603659</v>
      </c>
      <c r="J1819" s="20">
        <f t="shared" ca="1" si="317"/>
        <v>6</v>
      </c>
      <c r="K1819" s="20">
        <f t="shared" ca="1" si="309"/>
        <v>5</v>
      </c>
      <c r="L1819" s="44">
        <f t="shared" ca="1" si="314"/>
        <v>5.5</v>
      </c>
    </row>
    <row r="1820" spans="1:12" x14ac:dyDescent="0.25">
      <c r="A1820" s="20">
        <v>1812</v>
      </c>
      <c r="B1820" s="21">
        <f t="shared" ca="1" si="310"/>
        <v>6.9946554308454933</v>
      </c>
      <c r="C1820" s="21">
        <f t="shared" ca="1" si="315"/>
        <v>5414.8362041418086</v>
      </c>
      <c r="D1820" s="21">
        <f t="shared" ca="1" si="311"/>
        <v>0.92428887789364378</v>
      </c>
      <c r="E1820" s="21">
        <f t="shared" ca="1" si="318"/>
        <v>36.456050518557277</v>
      </c>
      <c r="F1820" s="20" t="str">
        <f t="shared" ca="1" si="316"/>
        <v>No</v>
      </c>
      <c r="G1820" s="21">
        <f t="shared" ca="1" si="312"/>
        <v>0</v>
      </c>
      <c r="H1820" s="21">
        <f t="shared" ca="1" si="313"/>
        <v>5451.2922546603659</v>
      </c>
      <c r="I1820" s="21">
        <f t="shared" ca="1" si="308"/>
        <v>5452.2165435382594</v>
      </c>
      <c r="J1820" s="20">
        <f t="shared" ca="1" si="317"/>
        <v>6</v>
      </c>
      <c r="K1820" s="20">
        <f t="shared" ca="1" si="309"/>
        <v>5</v>
      </c>
      <c r="L1820" s="44">
        <f t="shared" ca="1" si="314"/>
        <v>5.5</v>
      </c>
    </row>
    <row r="1821" spans="1:12" x14ac:dyDescent="0.25">
      <c r="A1821" s="20">
        <v>1813</v>
      </c>
      <c r="B1821" s="21">
        <f t="shared" ca="1" si="310"/>
        <v>0.36065434049661255</v>
      </c>
      <c r="C1821" s="21">
        <f t="shared" ca="1" si="315"/>
        <v>5415.1968584823053</v>
      </c>
      <c r="D1821" s="21">
        <f t="shared" ca="1" si="311"/>
        <v>3.8703241683678011</v>
      </c>
      <c r="E1821" s="21">
        <f t="shared" ca="1" si="318"/>
        <v>37.019685055954142</v>
      </c>
      <c r="F1821" s="20" t="str">
        <f t="shared" ca="1" si="316"/>
        <v>No</v>
      </c>
      <c r="G1821" s="21">
        <f t="shared" ca="1" si="312"/>
        <v>0</v>
      </c>
      <c r="H1821" s="21">
        <f t="shared" ca="1" si="313"/>
        <v>5452.2165435382594</v>
      </c>
      <c r="I1821" s="21">
        <f t="shared" ca="1" si="308"/>
        <v>5456.0868677066273</v>
      </c>
      <c r="J1821" s="20">
        <f t="shared" ca="1" si="317"/>
        <v>6</v>
      </c>
      <c r="K1821" s="20">
        <f t="shared" ca="1" si="309"/>
        <v>5</v>
      </c>
      <c r="L1821" s="44">
        <f t="shared" ca="1" si="314"/>
        <v>5.5</v>
      </c>
    </row>
    <row r="1822" spans="1:12" x14ac:dyDescent="0.25">
      <c r="A1822" s="20">
        <v>1814</v>
      </c>
      <c r="B1822" s="21">
        <f t="shared" ca="1" si="310"/>
        <v>4.6703004804125117</v>
      </c>
      <c r="C1822" s="21">
        <f t="shared" ca="1" si="315"/>
        <v>5419.8671589627174</v>
      </c>
      <c r="D1822" s="21">
        <f t="shared" ca="1" si="311"/>
        <v>2.8353171977769356</v>
      </c>
      <c r="E1822" s="21">
        <f t="shared" ca="1" si="318"/>
        <v>36.219708743909905</v>
      </c>
      <c r="F1822" s="20" t="str">
        <f t="shared" ca="1" si="316"/>
        <v>No</v>
      </c>
      <c r="G1822" s="21">
        <f t="shared" ca="1" si="312"/>
        <v>0</v>
      </c>
      <c r="H1822" s="21">
        <f t="shared" ca="1" si="313"/>
        <v>5456.0868677066273</v>
      </c>
      <c r="I1822" s="21">
        <f t="shared" ca="1" si="308"/>
        <v>5458.9221849044043</v>
      </c>
      <c r="J1822" s="20">
        <f t="shared" ca="1" si="317"/>
        <v>6</v>
      </c>
      <c r="K1822" s="20">
        <f t="shared" ca="1" si="309"/>
        <v>5</v>
      </c>
      <c r="L1822" s="44">
        <f t="shared" ca="1" si="314"/>
        <v>5.5</v>
      </c>
    </row>
    <row r="1823" spans="1:12" x14ac:dyDescent="0.25">
      <c r="A1823" s="20">
        <v>1815</v>
      </c>
      <c r="B1823" s="21">
        <f t="shared" ca="1" si="310"/>
        <v>8.0844826051897858</v>
      </c>
      <c r="C1823" s="21">
        <f t="shared" ca="1" si="315"/>
        <v>5427.9516415679072</v>
      </c>
      <c r="D1823" s="21">
        <f t="shared" ca="1" si="311"/>
        <v>0.41633832087693395</v>
      </c>
      <c r="E1823" s="21">
        <f t="shared" ca="1" si="318"/>
        <v>30.97054333649703</v>
      </c>
      <c r="F1823" s="20" t="str">
        <f t="shared" ca="1" si="316"/>
        <v>No</v>
      </c>
      <c r="G1823" s="21">
        <f t="shared" ca="1" si="312"/>
        <v>0</v>
      </c>
      <c r="H1823" s="21">
        <f t="shared" ca="1" si="313"/>
        <v>5458.9221849044043</v>
      </c>
      <c r="I1823" s="21">
        <f t="shared" ca="1" si="308"/>
        <v>5459.3385232252813</v>
      </c>
      <c r="J1823" s="20">
        <f t="shared" ca="1" si="317"/>
        <v>6</v>
      </c>
      <c r="K1823" s="20">
        <f t="shared" ca="1" si="309"/>
        <v>5</v>
      </c>
      <c r="L1823" s="44">
        <f t="shared" ca="1" si="314"/>
        <v>5.5</v>
      </c>
    </row>
    <row r="1824" spans="1:12" x14ac:dyDescent="0.25">
      <c r="A1824" s="20">
        <v>1816</v>
      </c>
      <c r="B1824" s="21">
        <f t="shared" ca="1" si="310"/>
        <v>0.79425937156565218</v>
      </c>
      <c r="C1824" s="21">
        <f t="shared" ca="1" si="315"/>
        <v>5428.7459009394724</v>
      </c>
      <c r="D1824" s="21">
        <f t="shared" ca="1" si="311"/>
        <v>0.3282876600258447</v>
      </c>
      <c r="E1824" s="21">
        <f t="shared" ca="1" si="318"/>
        <v>30.592622285808829</v>
      </c>
      <c r="F1824" s="20" t="str">
        <f t="shared" ca="1" si="316"/>
        <v>No</v>
      </c>
      <c r="G1824" s="21">
        <f t="shared" ca="1" si="312"/>
        <v>0</v>
      </c>
      <c r="H1824" s="21">
        <f t="shared" ca="1" si="313"/>
        <v>5459.3385232252813</v>
      </c>
      <c r="I1824" s="21">
        <f t="shared" ca="1" si="308"/>
        <v>5459.6668108853073</v>
      </c>
      <c r="J1824" s="20">
        <f t="shared" ca="1" si="317"/>
        <v>6</v>
      </c>
      <c r="K1824" s="20">
        <f t="shared" ca="1" si="309"/>
        <v>5</v>
      </c>
      <c r="L1824" s="44">
        <f t="shared" ca="1" si="314"/>
        <v>5.5</v>
      </c>
    </row>
    <row r="1825" spans="1:12" x14ac:dyDescent="0.25">
      <c r="A1825" s="20">
        <v>1817</v>
      </c>
      <c r="B1825" s="21">
        <f t="shared" ca="1" si="310"/>
        <v>1.107006555571004</v>
      </c>
      <c r="C1825" s="21">
        <f t="shared" ca="1" si="315"/>
        <v>5429.8529074950438</v>
      </c>
      <c r="D1825" s="21">
        <f t="shared" ca="1" si="311"/>
        <v>4.1571684267958009</v>
      </c>
      <c r="E1825" s="21">
        <f t="shared" ca="1" si="318"/>
        <v>29.813903390263476</v>
      </c>
      <c r="F1825" s="20" t="str">
        <f t="shared" ca="1" si="316"/>
        <v>No</v>
      </c>
      <c r="G1825" s="21">
        <f t="shared" ca="1" si="312"/>
        <v>0</v>
      </c>
      <c r="H1825" s="21">
        <f t="shared" ca="1" si="313"/>
        <v>5459.6668108853073</v>
      </c>
      <c r="I1825" s="21">
        <f t="shared" ca="1" si="308"/>
        <v>5463.8239793121029</v>
      </c>
      <c r="J1825" s="20">
        <f t="shared" ca="1" si="317"/>
        <v>6</v>
      </c>
      <c r="K1825" s="20">
        <f t="shared" ca="1" si="309"/>
        <v>5</v>
      </c>
      <c r="L1825" s="44">
        <f t="shared" ca="1" si="314"/>
        <v>5.5</v>
      </c>
    </row>
    <row r="1826" spans="1:12" x14ac:dyDescent="0.25">
      <c r="A1826" s="20">
        <v>1818</v>
      </c>
      <c r="B1826" s="21">
        <f t="shared" ca="1" si="310"/>
        <v>0.76844282757233373</v>
      </c>
      <c r="C1826" s="21">
        <f t="shared" ca="1" si="315"/>
        <v>5430.6213503226163</v>
      </c>
      <c r="D1826" s="21">
        <f t="shared" ca="1" si="311"/>
        <v>6.4972947655766626</v>
      </c>
      <c r="E1826" s="21">
        <f t="shared" ca="1" si="318"/>
        <v>33.202628989486584</v>
      </c>
      <c r="F1826" s="20" t="str">
        <f t="shared" ca="1" si="316"/>
        <v>No</v>
      </c>
      <c r="G1826" s="21">
        <f t="shared" ca="1" si="312"/>
        <v>0</v>
      </c>
      <c r="H1826" s="21">
        <f t="shared" ca="1" si="313"/>
        <v>5463.8239793121029</v>
      </c>
      <c r="I1826" s="21">
        <f t="shared" ca="1" si="308"/>
        <v>5470.3212740776798</v>
      </c>
      <c r="J1826" s="20">
        <f t="shared" ca="1" si="317"/>
        <v>6</v>
      </c>
      <c r="K1826" s="20">
        <f t="shared" ca="1" si="309"/>
        <v>5</v>
      </c>
      <c r="L1826" s="44">
        <f t="shared" ca="1" si="314"/>
        <v>5.5</v>
      </c>
    </row>
    <row r="1827" spans="1:12" x14ac:dyDescent="0.25">
      <c r="A1827" s="20">
        <v>1819</v>
      </c>
      <c r="B1827" s="21">
        <f t="shared" ca="1" si="310"/>
        <v>1.2581770220663688</v>
      </c>
      <c r="C1827" s="21">
        <f t="shared" ca="1" si="315"/>
        <v>5431.8795273446831</v>
      </c>
      <c r="D1827" s="21">
        <f t="shared" ca="1" si="311"/>
        <v>16.848269310927144</v>
      </c>
      <c r="E1827" s="21">
        <f t="shared" ca="1" si="318"/>
        <v>38.441746732996762</v>
      </c>
      <c r="F1827" s="20" t="str">
        <f t="shared" ca="1" si="316"/>
        <v>No</v>
      </c>
      <c r="G1827" s="21">
        <f t="shared" ca="1" si="312"/>
        <v>0</v>
      </c>
      <c r="H1827" s="21">
        <f t="shared" ca="1" si="313"/>
        <v>5470.3212740776798</v>
      </c>
      <c r="I1827" s="21">
        <f t="shared" ca="1" si="308"/>
        <v>5487.1695433886071</v>
      </c>
      <c r="J1827" s="20">
        <f t="shared" ca="1" si="317"/>
        <v>6</v>
      </c>
      <c r="K1827" s="20">
        <f t="shared" ca="1" si="309"/>
        <v>5</v>
      </c>
      <c r="L1827" s="44">
        <f t="shared" ca="1" si="314"/>
        <v>5.5</v>
      </c>
    </row>
    <row r="1828" spans="1:12" x14ac:dyDescent="0.25">
      <c r="A1828" s="20">
        <v>1820</v>
      </c>
      <c r="B1828" s="21">
        <f t="shared" ca="1" si="310"/>
        <v>0.32147029058868731</v>
      </c>
      <c r="C1828" s="21">
        <f t="shared" ca="1" si="315"/>
        <v>5432.200997635272</v>
      </c>
      <c r="D1828" s="21">
        <f t="shared" ca="1" si="311"/>
        <v>4.8924993632458893</v>
      </c>
      <c r="E1828" s="21">
        <f t="shared" ca="1" si="318"/>
        <v>54.968545753335093</v>
      </c>
      <c r="F1828" s="20" t="str">
        <f t="shared" ca="1" si="316"/>
        <v>No</v>
      </c>
      <c r="G1828" s="21">
        <f t="shared" ca="1" si="312"/>
        <v>0</v>
      </c>
      <c r="H1828" s="21">
        <f t="shared" ca="1" si="313"/>
        <v>5487.1695433886071</v>
      </c>
      <c r="I1828" s="21">
        <f t="shared" ca="1" si="308"/>
        <v>5492.0620427518534</v>
      </c>
      <c r="J1828" s="20">
        <f t="shared" ca="1" si="317"/>
        <v>6</v>
      </c>
      <c r="K1828" s="20">
        <f t="shared" ca="1" si="309"/>
        <v>5</v>
      </c>
      <c r="L1828" s="44">
        <f t="shared" ca="1" si="314"/>
        <v>5.5</v>
      </c>
    </row>
    <row r="1829" spans="1:12" x14ac:dyDescent="0.25">
      <c r="A1829" s="20">
        <v>1821</v>
      </c>
      <c r="B1829" s="21">
        <f t="shared" ca="1" si="310"/>
        <v>4.1782324125118766</v>
      </c>
      <c r="C1829" s="21">
        <f t="shared" ca="1" si="315"/>
        <v>5436.3792300477835</v>
      </c>
      <c r="D1829" s="21">
        <f t="shared" ca="1" si="311"/>
        <v>1.9287303624850038</v>
      </c>
      <c r="E1829" s="21">
        <f t="shared" ca="1" si="318"/>
        <v>55.682812704069875</v>
      </c>
      <c r="F1829" s="20" t="str">
        <f t="shared" ca="1" si="316"/>
        <v>No</v>
      </c>
      <c r="G1829" s="21">
        <f t="shared" ca="1" si="312"/>
        <v>0</v>
      </c>
      <c r="H1829" s="21">
        <f t="shared" ca="1" si="313"/>
        <v>5492.0620427518534</v>
      </c>
      <c r="I1829" s="21">
        <f t="shared" ca="1" si="308"/>
        <v>5493.9907731143385</v>
      </c>
      <c r="J1829" s="20">
        <f t="shared" ca="1" si="317"/>
        <v>6</v>
      </c>
      <c r="K1829" s="20">
        <f t="shared" ca="1" si="309"/>
        <v>5</v>
      </c>
      <c r="L1829" s="44">
        <f t="shared" ca="1" si="314"/>
        <v>5.5</v>
      </c>
    </row>
    <row r="1830" spans="1:12" x14ac:dyDescent="0.25">
      <c r="A1830" s="20">
        <v>1822</v>
      </c>
      <c r="B1830" s="21">
        <f t="shared" ca="1" si="310"/>
        <v>0.14126695221518445</v>
      </c>
      <c r="C1830" s="21">
        <f t="shared" ca="1" si="315"/>
        <v>5436.5204969999986</v>
      </c>
      <c r="D1830" s="21">
        <f t="shared" ca="1" si="311"/>
        <v>2.9249259328041441</v>
      </c>
      <c r="E1830" s="21">
        <f t="shared" ca="1" si="318"/>
        <v>57.470276114339867</v>
      </c>
      <c r="F1830" s="20" t="str">
        <f t="shared" ca="1" si="316"/>
        <v>No</v>
      </c>
      <c r="G1830" s="21">
        <f t="shared" ca="1" si="312"/>
        <v>0</v>
      </c>
      <c r="H1830" s="21">
        <f t="shared" ca="1" si="313"/>
        <v>5493.9907731143385</v>
      </c>
      <c r="I1830" s="21">
        <f t="shared" ca="1" si="308"/>
        <v>5496.9156990471429</v>
      </c>
      <c r="J1830" s="20">
        <f t="shared" ca="1" si="317"/>
        <v>6</v>
      </c>
      <c r="K1830" s="20">
        <f t="shared" ca="1" si="309"/>
        <v>5</v>
      </c>
      <c r="L1830" s="44">
        <f t="shared" ca="1" si="314"/>
        <v>5.5</v>
      </c>
    </row>
    <row r="1831" spans="1:12" x14ac:dyDescent="0.25">
      <c r="A1831" s="20">
        <v>1823</v>
      </c>
      <c r="B1831" s="21">
        <f t="shared" ca="1" si="310"/>
        <v>0.89717267429963221</v>
      </c>
      <c r="C1831" s="21">
        <f t="shared" ca="1" si="315"/>
        <v>5437.4176696742979</v>
      </c>
      <c r="D1831" s="21">
        <f t="shared" ca="1" si="311"/>
        <v>0.85904507447361744</v>
      </c>
      <c r="E1831" s="21">
        <f t="shared" ca="1" si="318"/>
        <v>59.49802937284494</v>
      </c>
      <c r="F1831" s="20" t="str">
        <f t="shared" ca="1" si="316"/>
        <v>No</v>
      </c>
      <c r="G1831" s="21">
        <f t="shared" ca="1" si="312"/>
        <v>0</v>
      </c>
      <c r="H1831" s="21">
        <f t="shared" ca="1" si="313"/>
        <v>5496.9156990471429</v>
      </c>
      <c r="I1831" s="21">
        <f t="shared" ca="1" si="308"/>
        <v>5497.7747441216161</v>
      </c>
      <c r="J1831" s="20">
        <f t="shared" ca="1" si="317"/>
        <v>6</v>
      </c>
      <c r="K1831" s="20">
        <f t="shared" ca="1" si="309"/>
        <v>5</v>
      </c>
      <c r="L1831" s="44">
        <f t="shared" ca="1" si="314"/>
        <v>5.5</v>
      </c>
    </row>
    <row r="1832" spans="1:12" x14ac:dyDescent="0.25">
      <c r="A1832" s="20">
        <v>1824</v>
      </c>
      <c r="B1832" s="21">
        <f t="shared" ca="1" si="310"/>
        <v>1.0318283183996564E-2</v>
      </c>
      <c r="C1832" s="21">
        <f t="shared" ca="1" si="315"/>
        <v>5437.4279879574815</v>
      </c>
      <c r="D1832" s="21">
        <f t="shared" ca="1" si="311"/>
        <v>0.53507029676681284</v>
      </c>
      <c r="E1832" s="21">
        <f t="shared" ca="1" si="318"/>
        <v>60.346756164134604</v>
      </c>
      <c r="F1832" s="20" t="str">
        <f t="shared" ca="1" si="316"/>
        <v>No</v>
      </c>
      <c r="G1832" s="21">
        <f t="shared" ca="1" si="312"/>
        <v>0</v>
      </c>
      <c r="H1832" s="21">
        <f t="shared" ca="1" si="313"/>
        <v>5497.7747441216161</v>
      </c>
      <c r="I1832" s="21">
        <f t="shared" ca="1" si="308"/>
        <v>5498.3098144183832</v>
      </c>
      <c r="J1832" s="20">
        <f t="shared" ca="1" si="317"/>
        <v>6</v>
      </c>
      <c r="K1832" s="20">
        <f t="shared" ca="1" si="309"/>
        <v>5</v>
      </c>
      <c r="L1832" s="44">
        <f t="shared" ca="1" si="314"/>
        <v>5.5</v>
      </c>
    </row>
    <row r="1833" spans="1:12" x14ac:dyDescent="0.25">
      <c r="A1833" s="20">
        <v>1825</v>
      </c>
      <c r="B1833" s="21">
        <f t="shared" ca="1" si="310"/>
        <v>12.939898505144463</v>
      </c>
      <c r="C1833" s="21">
        <f t="shared" ca="1" si="315"/>
        <v>5450.3678864626263</v>
      </c>
      <c r="D1833" s="21">
        <f t="shared" ca="1" si="311"/>
        <v>7.0597751229988779</v>
      </c>
      <c r="E1833" s="21">
        <f t="shared" ca="1" si="318"/>
        <v>47.94192795575691</v>
      </c>
      <c r="F1833" s="20" t="str">
        <f t="shared" ca="1" si="316"/>
        <v>No</v>
      </c>
      <c r="G1833" s="21">
        <f t="shared" ca="1" si="312"/>
        <v>0</v>
      </c>
      <c r="H1833" s="21">
        <f t="shared" ca="1" si="313"/>
        <v>5498.3098144183832</v>
      </c>
      <c r="I1833" s="21">
        <f t="shared" ca="1" si="308"/>
        <v>5505.3695895413821</v>
      </c>
      <c r="J1833" s="20">
        <f t="shared" ca="1" si="317"/>
        <v>6</v>
      </c>
      <c r="K1833" s="20">
        <f t="shared" ca="1" si="309"/>
        <v>5</v>
      </c>
      <c r="L1833" s="44">
        <f t="shared" ca="1" si="314"/>
        <v>5.5</v>
      </c>
    </row>
    <row r="1834" spans="1:12" x14ac:dyDescent="0.25">
      <c r="A1834" s="20">
        <v>1826</v>
      </c>
      <c r="B1834" s="21">
        <f t="shared" ca="1" si="310"/>
        <v>1.3235672718672722</v>
      </c>
      <c r="C1834" s="21">
        <f t="shared" ca="1" si="315"/>
        <v>5451.6914537344937</v>
      </c>
      <c r="D1834" s="21">
        <f t="shared" ca="1" si="311"/>
        <v>1.3549015149947814</v>
      </c>
      <c r="E1834" s="21">
        <f t="shared" ca="1" si="318"/>
        <v>53.678135806888349</v>
      </c>
      <c r="F1834" s="20" t="str">
        <f t="shared" ca="1" si="316"/>
        <v>No</v>
      </c>
      <c r="G1834" s="21">
        <f t="shared" ca="1" si="312"/>
        <v>0</v>
      </c>
      <c r="H1834" s="21">
        <f t="shared" ca="1" si="313"/>
        <v>5505.3695895413821</v>
      </c>
      <c r="I1834" s="21">
        <f t="shared" ca="1" si="308"/>
        <v>5506.7244910563768</v>
      </c>
      <c r="J1834" s="20">
        <f t="shared" ca="1" si="317"/>
        <v>6</v>
      </c>
      <c r="K1834" s="20">
        <f t="shared" ca="1" si="309"/>
        <v>5</v>
      </c>
      <c r="L1834" s="44">
        <f t="shared" ca="1" si="314"/>
        <v>5.5</v>
      </c>
    </row>
    <row r="1835" spans="1:12" x14ac:dyDescent="0.25">
      <c r="A1835" s="20">
        <v>1827</v>
      </c>
      <c r="B1835" s="21">
        <f t="shared" ca="1" si="310"/>
        <v>6.3521591652802813</v>
      </c>
      <c r="C1835" s="21">
        <f t="shared" ca="1" si="315"/>
        <v>5458.0436128997744</v>
      </c>
      <c r="D1835" s="21">
        <f t="shared" ca="1" si="311"/>
        <v>3.7492703054771401</v>
      </c>
      <c r="E1835" s="21">
        <f t="shared" ca="1" si="318"/>
        <v>48.680878156602375</v>
      </c>
      <c r="F1835" s="20" t="str">
        <f t="shared" ca="1" si="316"/>
        <v>No</v>
      </c>
      <c r="G1835" s="21">
        <f t="shared" ca="1" si="312"/>
        <v>0</v>
      </c>
      <c r="H1835" s="21">
        <f t="shared" ca="1" si="313"/>
        <v>5506.7244910563768</v>
      </c>
      <c r="I1835" s="21">
        <f t="shared" ca="1" si="308"/>
        <v>5510.4737613618536</v>
      </c>
      <c r="J1835" s="20">
        <f t="shared" ca="1" si="317"/>
        <v>6</v>
      </c>
      <c r="K1835" s="20">
        <f t="shared" ca="1" si="309"/>
        <v>5</v>
      </c>
      <c r="L1835" s="44">
        <f t="shared" ca="1" si="314"/>
        <v>5.5</v>
      </c>
    </row>
    <row r="1836" spans="1:12" x14ac:dyDescent="0.25">
      <c r="A1836" s="20">
        <v>1828</v>
      </c>
      <c r="B1836" s="21">
        <f t="shared" ca="1" si="310"/>
        <v>10.65393950610112</v>
      </c>
      <c r="C1836" s="21">
        <f t="shared" ca="1" si="315"/>
        <v>5468.6975524058753</v>
      </c>
      <c r="D1836" s="21">
        <f t="shared" ca="1" si="311"/>
        <v>4.0731409272362775</v>
      </c>
      <c r="E1836" s="21">
        <f t="shared" ca="1" si="318"/>
        <v>41.776208955978291</v>
      </c>
      <c r="F1836" s="20" t="str">
        <f t="shared" ca="1" si="316"/>
        <v>No</v>
      </c>
      <c r="G1836" s="21">
        <f t="shared" ca="1" si="312"/>
        <v>0</v>
      </c>
      <c r="H1836" s="21">
        <f t="shared" ca="1" si="313"/>
        <v>5510.4737613618536</v>
      </c>
      <c r="I1836" s="21">
        <f t="shared" ca="1" si="308"/>
        <v>5514.5469022890902</v>
      </c>
      <c r="J1836" s="20">
        <f t="shared" ca="1" si="317"/>
        <v>6</v>
      </c>
      <c r="K1836" s="20">
        <f t="shared" ca="1" si="309"/>
        <v>5</v>
      </c>
      <c r="L1836" s="44">
        <f t="shared" ca="1" si="314"/>
        <v>5.5</v>
      </c>
    </row>
    <row r="1837" spans="1:12" x14ac:dyDescent="0.25">
      <c r="A1837" s="20">
        <v>1829</v>
      </c>
      <c r="B1837" s="21">
        <f t="shared" ca="1" si="310"/>
        <v>0.34226538697311243</v>
      </c>
      <c r="C1837" s="21">
        <f t="shared" ca="1" si="315"/>
        <v>5469.0398177928482</v>
      </c>
      <c r="D1837" s="21">
        <f t="shared" ca="1" si="311"/>
        <v>2.0091755039596104</v>
      </c>
      <c r="E1837" s="21">
        <f t="shared" ca="1" si="318"/>
        <v>45.507084496241987</v>
      </c>
      <c r="F1837" s="20" t="str">
        <f t="shared" ca="1" si="316"/>
        <v>No</v>
      </c>
      <c r="G1837" s="21">
        <f t="shared" ca="1" si="312"/>
        <v>0</v>
      </c>
      <c r="H1837" s="21">
        <f t="shared" ca="1" si="313"/>
        <v>5514.5469022890902</v>
      </c>
      <c r="I1837" s="21">
        <f t="shared" ca="1" si="308"/>
        <v>5516.5560777930496</v>
      </c>
      <c r="J1837" s="20">
        <f t="shared" ca="1" si="317"/>
        <v>6</v>
      </c>
      <c r="K1837" s="20">
        <f t="shared" ca="1" si="309"/>
        <v>5</v>
      </c>
      <c r="L1837" s="44">
        <f t="shared" ca="1" si="314"/>
        <v>5.5</v>
      </c>
    </row>
    <row r="1838" spans="1:12" x14ac:dyDescent="0.25">
      <c r="A1838" s="20">
        <v>1830</v>
      </c>
      <c r="B1838" s="21">
        <f t="shared" ca="1" si="310"/>
        <v>2.6348456517622476</v>
      </c>
      <c r="C1838" s="21">
        <f t="shared" ca="1" si="315"/>
        <v>5471.6746634446108</v>
      </c>
      <c r="D1838" s="21">
        <f t="shared" ca="1" si="311"/>
        <v>0.28820070516101765</v>
      </c>
      <c r="E1838" s="21">
        <f t="shared" ca="1" si="318"/>
        <v>44.881414348438739</v>
      </c>
      <c r="F1838" s="20" t="str">
        <f t="shared" ca="1" si="316"/>
        <v>No</v>
      </c>
      <c r="G1838" s="21">
        <f t="shared" ca="1" si="312"/>
        <v>0</v>
      </c>
      <c r="H1838" s="21">
        <f t="shared" ca="1" si="313"/>
        <v>5516.5560777930496</v>
      </c>
      <c r="I1838" s="21">
        <f t="shared" ca="1" si="308"/>
        <v>5516.8442784982108</v>
      </c>
      <c r="J1838" s="20">
        <f t="shared" ca="1" si="317"/>
        <v>6</v>
      </c>
      <c r="K1838" s="20">
        <f t="shared" ca="1" si="309"/>
        <v>5</v>
      </c>
      <c r="L1838" s="44">
        <f t="shared" ca="1" si="314"/>
        <v>5.5</v>
      </c>
    </row>
    <row r="1839" spans="1:12" x14ac:dyDescent="0.25">
      <c r="A1839" s="20">
        <v>1831</v>
      </c>
      <c r="B1839" s="21">
        <f t="shared" ca="1" si="310"/>
        <v>4.4248982294924453</v>
      </c>
      <c r="C1839" s="21">
        <f t="shared" ca="1" si="315"/>
        <v>5476.0995616741029</v>
      </c>
      <c r="D1839" s="21">
        <f t="shared" ca="1" si="311"/>
        <v>0.81375307500814653</v>
      </c>
      <c r="E1839" s="21">
        <f t="shared" ca="1" si="318"/>
        <v>40.744716824107854</v>
      </c>
      <c r="F1839" s="20" t="str">
        <f t="shared" ca="1" si="316"/>
        <v>No</v>
      </c>
      <c r="G1839" s="21">
        <f t="shared" ca="1" si="312"/>
        <v>0</v>
      </c>
      <c r="H1839" s="21">
        <f t="shared" ca="1" si="313"/>
        <v>5516.8442784982108</v>
      </c>
      <c r="I1839" s="21">
        <f t="shared" ca="1" si="308"/>
        <v>5517.658031573219</v>
      </c>
      <c r="J1839" s="20">
        <f t="shared" ca="1" si="317"/>
        <v>6</v>
      </c>
      <c r="K1839" s="20">
        <f t="shared" ca="1" si="309"/>
        <v>5</v>
      </c>
      <c r="L1839" s="44">
        <f t="shared" ca="1" si="314"/>
        <v>5.5</v>
      </c>
    </row>
    <row r="1840" spans="1:12" x14ac:dyDescent="0.25">
      <c r="A1840" s="20">
        <v>1832</v>
      </c>
      <c r="B1840" s="21">
        <f t="shared" ca="1" si="310"/>
        <v>2.6845095490946491</v>
      </c>
      <c r="C1840" s="21">
        <f t="shared" ca="1" si="315"/>
        <v>5478.7840712231973</v>
      </c>
      <c r="D1840" s="21">
        <f t="shared" ca="1" si="311"/>
        <v>1.0291877501718747</v>
      </c>
      <c r="E1840" s="21">
        <f t="shared" ca="1" si="318"/>
        <v>38.873960350021662</v>
      </c>
      <c r="F1840" s="20" t="str">
        <f t="shared" ca="1" si="316"/>
        <v>No</v>
      </c>
      <c r="G1840" s="21">
        <f t="shared" ca="1" si="312"/>
        <v>0</v>
      </c>
      <c r="H1840" s="21">
        <f t="shared" ca="1" si="313"/>
        <v>5517.658031573219</v>
      </c>
      <c r="I1840" s="21">
        <f t="shared" ca="1" si="308"/>
        <v>5518.6872193233912</v>
      </c>
      <c r="J1840" s="20">
        <f t="shared" ca="1" si="317"/>
        <v>6</v>
      </c>
      <c r="K1840" s="20">
        <f t="shared" ca="1" si="309"/>
        <v>5</v>
      </c>
      <c r="L1840" s="44">
        <f t="shared" ca="1" si="314"/>
        <v>5.5</v>
      </c>
    </row>
    <row r="1841" spans="1:12" x14ac:dyDescent="0.25">
      <c r="A1841" s="20">
        <v>1833</v>
      </c>
      <c r="B1841" s="21">
        <f t="shared" ca="1" si="310"/>
        <v>0.57105580732826799</v>
      </c>
      <c r="C1841" s="21">
        <f t="shared" ca="1" si="315"/>
        <v>5479.3551270305252</v>
      </c>
      <c r="D1841" s="21">
        <f t="shared" ca="1" si="311"/>
        <v>0.91769258042337454</v>
      </c>
      <c r="E1841" s="21">
        <f t="shared" ca="1" si="318"/>
        <v>39.332092292866037</v>
      </c>
      <c r="F1841" s="20" t="str">
        <f t="shared" ca="1" si="316"/>
        <v>No</v>
      </c>
      <c r="G1841" s="21">
        <f t="shared" ca="1" si="312"/>
        <v>0</v>
      </c>
      <c r="H1841" s="21">
        <f t="shared" ca="1" si="313"/>
        <v>5518.6872193233912</v>
      </c>
      <c r="I1841" s="21">
        <f t="shared" ca="1" si="308"/>
        <v>5519.6049119038144</v>
      </c>
      <c r="J1841" s="20">
        <f t="shared" ca="1" si="317"/>
        <v>6</v>
      </c>
      <c r="K1841" s="20">
        <f t="shared" ca="1" si="309"/>
        <v>5</v>
      </c>
      <c r="L1841" s="44">
        <f t="shared" ca="1" si="314"/>
        <v>5.5</v>
      </c>
    </row>
    <row r="1842" spans="1:12" x14ac:dyDescent="0.25">
      <c r="A1842" s="20">
        <v>1834</v>
      </c>
      <c r="B1842" s="21">
        <f t="shared" ca="1" si="310"/>
        <v>4.7648130967930715</v>
      </c>
      <c r="C1842" s="21">
        <f t="shared" ca="1" si="315"/>
        <v>5484.1199401273179</v>
      </c>
      <c r="D1842" s="21">
        <f t="shared" ca="1" si="311"/>
        <v>0.76692154858731654</v>
      </c>
      <c r="E1842" s="21">
        <f t="shared" ca="1" si="318"/>
        <v>35.484971776496423</v>
      </c>
      <c r="F1842" s="20" t="str">
        <f t="shared" ca="1" si="316"/>
        <v>No</v>
      </c>
      <c r="G1842" s="21">
        <f t="shared" ca="1" si="312"/>
        <v>0</v>
      </c>
      <c r="H1842" s="21">
        <f t="shared" ca="1" si="313"/>
        <v>5519.6049119038144</v>
      </c>
      <c r="I1842" s="21">
        <f t="shared" ca="1" si="308"/>
        <v>5520.3718334524019</v>
      </c>
      <c r="J1842" s="20">
        <f t="shared" ca="1" si="317"/>
        <v>6</v>
      </c>
      <c r="K1842" s="20">
        <f t="shared" ca="1" si="309"/>
        <v>5</v>
      </c>
      <c r="L1842" s="44">
        <f t="shared" ca="1" si="314"/>
        <v>5.5</v>
      </c>
    </row>
    <row r="1843" spans="1:12" x14ac:dyDescent="0.25">
      <c r="A1843" s="20">
        <v>1835</v>
      </c>
      <c r="B1843" s="21">
        <f t="shared" ca="1" si="310"/>
        <v>1.2574315316639539</v>
      </c>
      <c r="C1843" s="21">
        <f t="shared" ca="1" si="315"/>
        <v>5485.3773716589822</v>
      </c>
      <c r="D1843" s="21">
        <f t="shared" ca="1" si="311"/>
        <v>0.28221413629448622</v>
      </c>
      <c r="E1843" s="21">
        <f t="shared" ca="1" si="318"/>
        <v>34.994461793419759</v>
      </c>
      <c r="F1843" s="20" t="str">
        <f t="shared" ca="1" si="316"/>
        <v>No</v>
      </c>
      <c r="G1843" s="21">
        <f t="shared" ca="1" si="312"/>
        <v>0</v>
      </c>
      <c r="H1843" s="21">
        <f t="shared" ca="1" si="313"/>
        <v>5520.3718334524019</v>
      </c>
      <c r="I1843" s="21">
        <f t="shared" ca="1" si="308"/>
        <v>5520.6540475886968</v>
      </c>
      <c r="J1843" s="20">
        <f t="shared" ca="1" si="317"/>
        <v>6</v>
      </c>
      <c r="K1843" s="20">
        <f t="shared" ca="1" si="309"/>
        <v>5</v>
      </c>
      <c r="L1843" s="44">
        <f t="shared" ca="1" si="314"/>
        <v>5.5</v>
      </c>
    </row>
    <row r="1844" spans="1:12" x14ac:dyDescent="0.25">
      <c r="A1844" s="20">
        <v>1836</v>
      </c>
      <c r="B1844" s="21">
        <f t="shared" ca="1" si="310"/>
        <v>3.3063902487927925</v>
      </c>
      <c r="C1844" s="21">
        <f t="shared" ca="1" si="315"/>
        <v>5488.6837619077751</v>
      </c>
      <c r="D1844" s="21">
        <f t="shared" ca="1" si="311"/>
        <v>0.66664582641349779</v>
      </c>
      <c r="E1844" s="21">
        <f t="shared" ca="1" si="318"/>
        <v>31.970285680921734</v>
      </c>
      <c r="F1844" s="20" t="str">
        <f t="shared" ca="1" si="316"/>
        <v>No</v>
      </c>
      <c r="G1844" s="21">
        <f t="shared" ca="1" si="312"/>
        <v>0</v>
      </c>
      <c r="H1844" s="21">
        <f t="shared" ca="1" si="313"/>
        <v>5520.6540475886968</v>
      </c>
      <c r="I1844" s="21">
        <f t="shared" ca="1" si="308"/>
        <v>5521.3206934151103</v>
      </c>
      <c r="J1844" s="20">
        <f t="shared" ca="1" si="317"/>
        <v>6</v>
      </c>
      <c r="K1844" s="20">
        <f t="shared" ca="1" si="309"/>
        <v>5</v>
      </c>
      <c r="L1844" s="44">
        <f t="shared" ca="1" si="314"/>
        <v>5.5</v>
      </c>
    </row>
    <row r="1845" spans="1:12" x14ac:dyDescent="0.25">
      <c r="A1845" s="20">
        <v>1837</v>
      </c>
      <c r="B1845" s="21">
        <f t="shared" ca="1" si="310"/>
        <v>5.400058605407148</v>
      </c>
      <c r="C1845" s="21">
        <f t="shared" ca="1" si="315"/>
        <v>5494.0838205131822</v>
      </c>
      <c r="D1845" s="21">
        <f t="shared" ca="1" si="311"/>
        <v>1.0253607695819842</v>
      </c>
      <c r="E1845" s="21">
        <f t="shared" ca="1" si="318"/>
        <v>27.236872901928109</v>
      </c>
      <c r="F1845" s="20" t="str">
        <f t="shared" ca="1" si="316"/>
        <v>No</v>
      </c>
      <c r="G1845" s="21">
        <f t="shared" ca="1" si="312"/>
        <v>0</v>
      </c>
      <c r="H1845" s="21">
        <f t="shared" ca="1" si="313"/>
        <v>5521.3206934151103</v>
      </c>
      <c r="I1845" s="21">
        <f t="shared" ca="1" si="308"/>
        <v>5522.3460541846925</v>
      </c>
      <c r="J1845" s="20">
        <f t="shared" ca="1" si="317"/>
        <v>6</v>
      </c>
      <c r="K1845" s="20">
        <f t="shared" ca="1" si="309"/>
        <v>5</v>
      </c>
      <c r="L1845" s="44">
        <f t="shared" ca="1" si="314"/>
        <v>5.5</v>
      </c>
    </row>
    <row r="1846" spans="1:12" x14ac:dyDescent="0.25">
      <c r="A1846" s="20">
        <v>1838</v>
      </c>
      <c r="B1846" s="21">
        <f t="shared" ca="1" si="310"/>
        <v>0.73216274329422126</v>
      </c>
      <c r="C1846" s="21">
        <f t="shared" ca="1" si="315"/>
        <v>5494.8159832564761</v>
      </c>
      <c r="D1846" s="21">
        <f t="shared" ca="1" si="311"/>
        <v>3.7120941963950452E-2</v>
      </c>
      <c r="E1846" s="21">
        <f t="shared" ca="1" si="318"/>
        <v>27.530070928216446</v>
      </c>
      <c r="F1846" s="20" t="str">
        <f t="shared" ca="1" si="316"/>
        <v>No</v>
      </c>
      <c r="G1846" s="21">
        <f t="shared" ca="1" si="312"/>
        <v>0</v>
      </c>
      <c r="H1846" s="21">
        <f t="shared" ca="1" si="313"/>
        <v>5522.3460541846925</v>
      </c>
      <c r="I1846" s="21">
        <f t="shared" ca="1" si="308"/>
        <v>5522.3831751266562</v>
      </c>
      <c r="J1846" s="20">
        <f t="shared" ca="1" si="317"/>
        <v>6</v>
      </c>
      <c r="K1846" s="20">
        <f t="shared" ca="1" si="309"/>
        <v>5</v>
      </c>
      <c r="L1846" s="44">
        <f t="shared" ca="1" si="314"/>
        <v>5.5</v>
      </c>
    </row>
    <row r="1847" spans="1:12" x14ac:dyDescent="0.25">
      <c r="A1847" s="20">
        <v>1839</v>
      </c>
      <c r="B1847" s="21">
        <f t="shared" ca="1" si="310"/>
        <v>5.1780671555496656E-2</v>
      </c>
      <c r="C1847" s="21">
        <f t="shared" ca="1" si="315"/>
        <v>5494.8677639280313</v>
      </c>
      <c r="D1847" s="21">
        <f t="shared" ca="1" si="311"/>
        <v>0.12236552551917063</v>
      </c>
      <c r="E1847" s="21">
        <f t="shared" ca="1" si="318"/>
        <v>27.515411198624861</v>
      </c>
      <c r="F1847" s="20" t="str">
        <f t="shared" ca="1" si="316"/>
        <v>No</v>
      </c>
      <c r="G1847" s="21">
        <f t="shared" ca="1" si="312"/>
        <v>0</v>
      </c>
      <c r="H1847" s="21">
        <f t="shared" ca="1" si="313"/>
        <v>5522.3831751266562</v>
      </c>
      <c r="I1847" s="21">
        <f t="shared" ca="1" si="308"/>
        <v>5522.5055406521751</v>
      </c>
      <c r="J1847" s="20">
        <f t="shared" ca="1" si="317"/>
        <v>6</v>
      </c>
      <c r="K1847" s="20">
        <f t="shared" ca="1" si="309"/>
        <v>5</v>
      </c>
      <c r="L1847" s="44">
        <f t="shared" ca="1" si="314"/>
        <v>5.5</v>
      </c>
    </row>
    <row r="1848" spans="1:12" x14ac:dyDescent="0.25">
      <c r="A1848" s="20">
        <v>1840</v>
      </c>
      <c r="B1848" s="21">
        <f t="shared" ca="1" si="310"/>
        <v>0.71300470661566961</v>
      </c>
      <c r="C1848" s="21">
        <f t="shared" ca="1" si="315"/>
        <v>5495.580768634647</v>
      </c>
      <c r="D1848" s="21">
        <f t="shared" ca="1" si="311"/>
        <v>1.1855613875963666</v>
      </c>
      <c r="E1848" s="21">
        <f t="shared" ca="1" si="318"/>
        <v>26.924772017528085</v>
      </c>
      <c r="F1848" s="20" t="str">
        <f t="shared" ca="1" si="316"/>
        <v>No</v>
      </c>
      <c r="G1848" s="21">
        <f t="shared" ca="1" si="312"/>
        <v>0</v>
      </c>
      <c r="H1848" s="21">
        <f t="shared" ca="1" si="313"/>
        <v>5522.5055406521751</v>
      </c>
      <c r="I1848" s="21">
        <f t="shared" ca="1" si="308"/>
        <v>5523.6911020397711</v>
      </c>
      <c r="J1848" s="20">
        <f t="shared" ca="1" si="317"/>
        <v>6</v>
      </c>
      <c r="K1848" s="20">
        <f t="shared" ca="1" si="309"/>
        <v>5</v>
      </c>
      <c r="L1848" s="44">
        <f t="shared" ca="1" si="314"/>
        <v>5.5</v>
      </c>
    </row>
    <row r="1849" spans="1:12" x14ac:dyDescent="0.25">
      <c r="A1849" s="20">
        <v>1841</v>
      </c>
      <c r="B1849" s="21">
        <f t="shared" ca="1" si="310"/>
        <v>4.8410551035687783</v>
      </c>
      <c r="C1849" s="21">
        <f t="shared" ca="1" si="315"/>
        <v>5500.4218237382156</v>
      </c>
      <c r="D1849" s="21">
        <f t="shared" ca="1" si="311"/>
        <v>2.6619147655752382</v>
      </c>
      <c r="E1849" s="21">
        <f t="shared" ca="1" si="318"/>
        <v>23.26927830155546</v>
      </c>
      <c r="F1849" s="20" t="str">
        <f t="shared" ca="1" si="316"/>
        <v>No</v>
      </c>
      <c r="G1849" s="21">
        <f t="shared" ca="1" si="312"/>
        <v>0</v>
      </c>
      <c r="H1849" s="21">
        <f t="shared" ca="1" si="313"/>
        <v>5523.6911020397711</v>
      </c>
      <c r="I1849" s="21">
        <f t="shared" ca="1" si="308"/>
        <v>5526.3530168053467</v>
      </c>
      <c r="J1849" s="20">
        <f t="shared" ca="1" si="317"/>
        <v>6</v>
      </c>
      <c r="K1849" s="20">
        <f t="shared" ca="1" si="309"/>
        <v>5</v>
      </c>
      <c r="L1849" s="44">
        <f t="shared" ca="1" si="314"/>
        <v>5.5</v>
      </c>
    </row>
    <row r="1850" spans="1:12" x14ac:dyDescent="0.25">
      <c r="A1850" s="20">
        <v>1842</v>
      </c>
      <c r="B1850" s="21">
        <f t="shared" ca="1" si="310"/>
        <v>0.33582184406517951</v>
      </c>
      <c r="C1850" s="21">
        <f t="shared" ca="1" si="315"/>
        <v>5500.7576455822809</v>
      </c>
      <c r="D1850" s="21">
        <f t="shared" ca="1" si="311"/>
        <v>1.7647748628111448</v>
      </c>
      <c r="E1850" s="21">
        <f t="shared" ca="1" si="318"/>
        <v>25.59537122306574</v>
      </c>
      <c r="F1850" s="20" t="str">
        <f t="shared" ca="1" si="316"/>
        <v>No</v>
      </c>
      <c r="G1850" s="21">
        <f t="shared" ca="1" si="312"/>
        <v>0</v>
      </c>
      <c r="H1850" s="21">
        <f t="shared" ca="1" si="313"/>
        <v>5526.3530168053467</v>
      </c>
      <c r="I1850" s="21">
        <f t="shared" ca="1" si="308"/>
        <v>5528.1177916681581</v>
      </c>
      <c r="J1850" s="20">
        <f t="shared" ca="1" si="317"/>
        <v>6</v>
      </c>
      <c r="K1850" s="20">
        <f t="shared" ca="1" si="309"/>
        <v>5</v>
      </c>
      <c r="L1850" s="44">
        <f t="shared" ca="1" si="314"/>
        <v>5.5</v>
      </c>
    </row>
    <row r="1851" spans="1:12" x14ac:dyDescent="0.25">
      <c r="A1851" s="20">
        <v>1843</v>
      </c>
      <c r="B1851" s="21">
        <f t="shared" ca="1" si="310"/>
        <v>2.8658451727174445</v>
      </c>
      <c r="C1851" s="21">
        <f t="shared" ca="1" si="315"/>
        <v>5503.6234907549988</v>
      </c>
      <c r="D1851" s="21">
        <f t="shared" ca="1" si="311"/>
        <v>9.8288132430314562E-2</v>
      </c>
      <c r="E1851" s="21">
        <f t="shared" ca="1" si="318"/>
        <v>24.49430091315935</v>
      </c>
      <c r="F1851" s="20" t="str">
        <f t="shared" ca="1" si="316"/>
        <v>No</v>
      </c>
      <c r="G1851" s="21">
        <f t="shared" ca="1" si="312"/>
        <v>0</v>
      </c>
      <c r="H1851" s="21">
        <f t="shared" ca="1" si="313"/>
        <v>5528.1177916681581</v>
      </c>
      <c r="I1851" s="21">
        <f t="shared" ca="1" si="308"/>
        <v>5528.2160798005889</v>
      </c>
      <c r="J1851" s="20">
        <f t="shared" ca="1" si="317"/>
        <v>6</v>
      </c>
      <c r="K1851" s="20">
        <f t="shared" ca="1" si="309"/>
        <v>5</v>
      </c>
      <c r="L1851" s="44">
        <f t="shared" ca="1" si="314"/>
        <v>5.5</v>
      </c>
    </row>
    <row r="1852" spans="1:12" x14ac:dyDescent="0.25">
      <c r="A1852" s="20">
        <v>1844</v>
      </c>
      <c r="B1852" s="21">
        <f t="shared" ca="1" si="310"/>
        <v>9.1176668954963489</v>
      </c>
      <c r="C1852" s="21">
        <f t="shared" ca="1" si="315"/>
        <v>5512.7411576504956</v>
      </c>
      <c r="D1852" s="21">
        <f t="shared" ca="1" si="311"/>
        <v>0.29301788705343135</v>
      </c>
      <c r="E1852" s="21">
        <f t="shared" ca="1" si="318"/>
        <v>15.474922150093334</v>
      </c>
      <c r="F1852" s="20" t="str">
        <f t="shared" ca="1" si="316"/>
        <v>No</v>
      </c>
      <c r="G1852" s="21">
        <f t="shared" ca="1" si="312"/>
        <v>0</v>
      </c>
      <c r="H1852" s="21">
        <f t="shared" ca="1" si="313"/>
        <v>5528.2160798005889</v>
      </c>
      <c r="I1852" s="21">
        <f t="shared" ca="1" si="308"/>
        <v>5528.5090976876427</v>
      </c>
      <c r="J1852" s="20">
        <f t="shared" ca="1" si="317"/>
        <v>6</v>
      </c>
      <c r="K1852" s="20">
        <f t="shared" ca="1" si="309"/>
        <v>5</v>
      </c>
      <c r="L1852" s="44">
        <f t="shared" ca="1" si="314"/>
        <v>5.5</v>
      </c>
    </row>
    <row r="1853" spans="1:12" x14ac:dyDescent="0.25">
      <c r="A1853" s="20">
        <v>1845</v>
      </c>
      <c r="B1853" s="21">
        <f t="shared" ca="1" si="310"/>
        <v>2.8003327269401024</v>
      </c>
      <c r="C1853" s="21">
        <f t="shared" ca="1" si="315"/>
        <v>5515.5414903774354</v>
      </c>
      <c r="D1853" s="21">
        <f t="shared" ca="1" si="311"/>
        <v>1.2323648718158886</v>
      </c>
      <c r="E1853" s="21">
        <f t="shared" ca="1" si="318"/>
        <v>12.967607310207313</v>
      </c>
      <c r="F1853" s="20" t="str">
        <f t="shared" ca="1" si="316"/>
        <v>No</v>
      </c>
      <c r="G1853" s="21">
        <f t="shared" ca="1" si="312"/>
        <v>0</v>
      </c>
      <c r="H1853" s="21">
        <f t="shared" ca="1" si="313"/>
        <v>5528.5090976876427</v>
      </c>
      <c r="I1853" s="21">
        <f t="shared" ca="1" si="308"/>
        <v>5529.7414625594583</v>
      </c>
      <c r="J1853" s="20">
        <f t="shared" ca="1" si="317"/>
        <v>6</v>
      </c>
      <c r="K1853" s="20">
        <f t="shared" ca="1" si="309"/>
        <v>5</v>
      </c>
      <c r="L1853" s="44">
        <f t="shared" ca="1" si="314"/>
        <v>5.5</v>
      </c>
    </row>
    <row r="1854" spans="1:12" x14ac:dyDescent="0.25">
      <c r="A1854" s="20">
        <v>1846</v>
      </c>
      <c r="B1854" s="21">
        <f t="shared" ca="1" si="310"/>
        <v>0.78045791018715249</v>
      </c>
      <c r="C1854" s="21">
        <f t="shared" ca="1" si="315"/>
        <v>5516.3219482876229</v>
      </c>
      <c r="D1854" s="21">
        <f t="shared" ca="1" si="311"/>
        <v>7.4128595503347467</v>
      </c>
      <c r="E1854" s="21">
        <f t="shared" ca="1" si="318"/>
        <v>13.419514271835396</v>
      </c>
      <c r="F1854" s="20" t="str">
        <f t="shared" ca="1" si="316"/>
        <v>No</v>
      </c>
      <c r="G1854" s="21">
        <f t="shared" ca="1" si="312"/>
        <v>0</v>
      </c>
      <c r="H1854" s="21">
        <f t="shared" ca="1" si="313"/>
        <v>5529.7414625594583</v>
      </c>
      <c r="I1854" s="21">
        <f t="shared" ca="1" si="308"/>
        <v>5537.1543221097927</v>
      </c>
      <c r="J1854" s="20">
        <f t="shared" ca="1" si="317"/>
        <v>6</v>
      </c>
      <c r="K1854" s="20">
        <f t="shared" ca="1" si="309"/>
        <v>5</v>
      </c>
      <c r="L1854" s="44">
        <f t="shared" ca="1" si="314"/>
        <v>5.5</v>
      </c>
    </row>
    <row r="1855" spans="1:12" x14ac:dyDescent="0.25">
      <c r="A1855" s="20">
        <v>1847</v>
      </c>
      <c r="B1855" s="21">
        <f t="shared" ca="1" si="310"/>
        <v>5.03926014739781</v>
      </c>
      <c r="C1855" s="21">
        <f t="shared" ca="1" si="315"/>
        <v>5521.3612084350207</v>
      </c>
      <c r="D1855" s="21">
        <f t="shared" ca="1" si="311"/>
        <v>3.4001064634239895</v>
      </c>
      <c r="E1855" s="21">
        <f t="shared" ca="1" si="318"/>
        <v>15.79311367477203</v>
      </c>
      <c r="F1855" s="20" t="str">
        <f t="shared" ca="1" si="316"/>
        <v>No</v>
      </c>
      <c r="G1855" s="21">
        <f t="shared" ca="1" si="312"/>
        <v>0</v>
      </c>
      <c r="H1855" s="21">
        <f t="shared" ca="1" si="313"/>
        <v>5537.1543221097927</v>
      </c>
      <c r="I1855" s="21">
        <f t="shared" ca="1" si="308"/>
        <v>5540.5544285732167</v>
      </c>
      <c r="J1855" s="20">
        <f t="shared" ca="1" si="317"/>
        <v>6</v>
      </c>
      <c r="K1855" s="20">
        <f t="shared" ca="1" si="309"/>
        <v>5</v>
      </c>
      <c r="L1855" s="44">
        <f t="shared" ca="1" si="314"/>
        <v>5.5</v>
      </c>
    </row>
    <row r="1856" spans="1:12" x14ac:dyDescent="0.25">
      <c r="A1856" s="20">
        <v>1848</v>
      </c>
      <c r="B1856" s="21">
        <f t="shared" ca="1" si="310"/>
        <v>0.77008578018922191</v>
      </c>
      <c r="C1856" s="21">
        <f t="shared" ca="1" si="315"/>
        <v>5522.1312942152099</v>
      </c>
      <c r="D1856" s="21">
        <f t="shared" ca="1" si="311"/>
        <v>1.807741112565791</v>
      </c>
      <c r="E1856" s="21">
        <f t="shared" ca="1" si="318"/>
        <v>18.423134358006791</v>
      </c>
      <c r="F1856" s="20" t="str">
        <f t="shared" ca="1" si="316"/>
        <v>No</v>
      </c>
      <c r="G1856" s="21">
        <f t="shared" ca="1" si="312"/>
        <v>0</v>
      </c>
      <c r="H1856" s="21">
        <f t="shared" ca="1" si="313"/>
        <v>5540.5544285732167</v>
      </c>
      <c r="I1856" s="21">
        <f t="shared" ca="1" si="308"/>
        <v>5542.3621696857826</v>
      </c>
      <c r="J1856" s="20">
        <f t="shared" ca="1" si="317"/>
        <v>6</v>
      </c>
      <c r="K1856" s="20">
        <f t="shared" ca="1" si="309"/>
        <v>4</v>
      </c>
      <c r="L1856" s="44">
        <f t="shared" ca="1" si="314"/>
        <v>5</v>
      </c>
    </row>
    <row r="1857" spans="1:12" x14ac:dyDescent="0.25">
      <c r="A1857" s="20">
        <v>1849</v>
      </c>
      <c r="B1857" s="21">
        <f t="shared" ca="1" si="310"/>
        <v>4.7819533776972083</v>
      </c>
      <c r="C1857" s="21">
        <f t="shared" ca="1" si="315"/>
        <v>5526.9132475929073</v>
      </c>
      <c r="D1857" s="21">
        <f t="shared" ca="1" si="311"/>
        <v>3.0378783562930831</v>
      </c>
      <c r="E1857" s="21">
        <f t="shared" ca="1" si="318"/>
        <v>15.448922092875364</v>
      </c>
      <c r="F1857" s="20" t="str">
        <f t="shared" ca="1" si="316"/>
        <v>No</v>
      </c>
      <c r="G1857" s="21">
        <f t="shared" ca="1" si="312"/>
        <v>0</v>
      </c>
      <c r="H1857" s="21">
        <f t="shared" ca="1" si="313"/>
        <v>5542.3621696857826</v>
      </c>
      <c r="I1857" s="21">
        <f t="shared" ca="1" si="308"/>
        <v>5545.4000480420755</v>
      </c>
      <c r="J1857" s="20">
        <f t="shared" ca="1" si="317"/>
        <v>5</v>
      </c>
      <c r="K1857" s="20">
        <f t="shared" ca="1" si="309"/>
        <v>4</v>
      </c>
      <c r="L1857" s="44">
        <f t="shared" ca="1" si="314"/>
        <v>4.5</v>
      </c>
    </row>
    <row r="1858" spans="1:12" x14ac:dyDescent="0.25">
      <c r="A1858" s="20">
        <v>1850</v>
      </c>
      <c r="B1858" s="21">
        <f t="shared" ca="1" si="310"/>
        <v>2.6101428035924452</v>
      </c>
      <c r="C1858" s="21">
        <f t="shared" ca="1" si="315"/>
        <v>5529.5233903965</v>
      </c>
      <c r="D1858" s="21">
        <f t="shared" ca="1" si="311"/>
        <v>3.9996737956116188</v>
      </c>
      <c r="E1858" s="21">
        <f t="shared" ca="1" si="318"/>
        <v>15.876657645575506</v>
      </c>
      <c r="F1858" s="20" t="str">
        <f t="shared" ca="1" si="316"/>
        <v>No</v>
      </c>
      <c r="G1858" s="21">
        <f t="shared" ca="1" si="312"/>
        <v>0</v>
      </c>
      <c r="H1858" s="21">
        <f t="shared" ca="1" si="313"/>
        <v>5545.4000480420755</v>
      </c>
      <c r="I1858" s="21">
        <f t="shared" ca="1" si="308"/>
        <v>5549.3997218376871</v>
      </c>
      <c r="J1858" s="20">
        <f t="shared" ca="1" si="317"/>
        <v>5</v>
      </c>
      <c r="K1858" s="20">
        <f t="shared" ca="1" si="309"/>
        <v>5</v>
      </c>
      <c r="L1858" s="44">
        <f t="shared" ca="1" si="314"/>
        <v>5</v>
      </c>
    </row>
    <row r="1859" spans="1:12" x14ac:dyDescent="0.25">
      <c r="A1859" s="20">
        <v>1851</v>
      </c>
      <c r="B1859" s="21">
        <f t="shared" ca="1" si="310"/>
        <v>5.4321051444159334</v>
      </c>
      <c r="C1859" s="21">
        <f t="shared" ca="1" si="315"/>
        <v>5534.9554955409158</v>
      </c>
      <c r="D1859" s="21">
        <f t="shared" ca="1" si="311"/>
        <v>1.8175009257724788</v>
      </c>
      <c r="E1859" s="21">
        <f t="shared" ca="1" si="318"/>
        <v>14.444226296771376</v>
      </c>
      <c r="F1859" s="20" t="str">
        <f t="shared" ca="1" si="316"/>
        <v>No</v>
      </c>
      <c r="G1859" s="21">
        <f t="shared" ca="1" si="312"/>
        <v>0</v>
      </c>
      <c r="H1859" s="21">
        <f t="shared" ca="1" si="313"/>
        <v>5549.3997218376871</v>
      </c>
      <c r="I1859" s="21">
        <f t="shared" ca="1" si="308"/>
        <v>5551.2172227634592</v>
      </c>
      <c r="J1859" s="20">
        <f t="shared" ca="1" si="317"/>
        <v>6</v>
      </c>
      <c r="K1859" s="20">
        <f t="shared" ca="1" si="309"/>
        <v>4</v>
      </c>
      <c r="L1859" s="44">
        <f t="shared" ca="1" si="314"/>
        <v>5</v>
      </c>
    </row>
    <row r="1860" spans="1:12" x14ac:dyDescent="0.25">
      <c r="A1860" s="20">
        <v>1852</v>
      </c>
      <c r="B1860" s="21">
        <f t="shared" ca="1" si="310"/>
        <v>4.864908358439755</v>
      </c>
      <c r="C1860" s="21">
        <f t="shared" ca="1" si="315"/>
        <v>5539.8204038993554</v>
      </c>
      <c r="D1860" s="21">
        <f t="shared" ca="1" si="311"/>
        <v>1.50916313668166</v>
      </c>
      <c r="E1860" s="21">
        <f t="shared" ca="1" si="318"/>
        <v>11.396818864103807</v>
      </c>
      <c r="F1860" s="20" t="str">
        <f t="shared" ca="1" si="316"/>
        <v>No</v>
      </c>
      <c r="G1860" s="21">
        <f t="shared" ca="1" si="312"/>
        <v>0</v>
      </c>
      <c r="H1860" s="21">
        <f t="shared" ca="1" si="313"/>
        <v>5551.2172227634592</v>
      </c>
      <c r="I1860" s="21">
        <f t="shared" ca="1" si="308"/>
        <v>5552.7263859001405</v>
      </c>
      <c r="J1860" s="20">
        <f t="shared" ca="1" si="317"/>
        <v>5</v>
      </c>
      <c r="K1860" s="20">
        <f t="shared" ca="1" si="309"/>
        <v>3</v>
      </c>
      <c r="L1860" s="44">
        <f t="shared" ca="1" si="314"/>
        <v>4</v>
      </c>
    </row>
    <row r="1861" spans="1:12" x14ac:dyDescent="0.25">
      <c r="A1861" s="20">
        <v>1853</v>
      </c>
      <c r="B1861" s="21">
        <f t="shared" ca="1" si="310"/>
        <v>4.0036128418954773</v>
      </c>
      <c r="C1861" s="21">
        <f t="shared" ca="1" si="315"/>
        <v>5543.8240167412505</v>
      </c>
      <c r="D1861" s="21">
        <f t="shared" ca="1" si="311"/>
        <v>1.1508204499682135</v>
      </c>
      <c r="E1861" s="21">
        <f t="shared" ca="1" si="318"/>
        <v>8.9023691588899965</v>
      </c>
      <c r="F1861" s="20" t="str">
        <f t="shared" ca="1" si="316"/>
        <v>No</v>
      </c>
      <c r="G1861" s="21">
        <f t="shared" ca="1" si="312"/>
        <v>0</v>
      </c>
      <c r="H1861" s="21">
        <f t="shared" ca="1" si="313"/>
        <v>5552.7263859001405</v>
      </c>
      <c r="I1861" s="21">
        <f t="shared" ca="1" si="308"/>
        <v>5553.8772063501083</v>
      </c>
      <c r="J1861" s="20">
        <f t="shared" ca="1" si="317"/>
        <v>4</v>
      </c>
      <c r="K1861" s="20">
        <f t="shared" ca="1" si="309"/>
        <v>2</v>
      </c>
      <c r="L1861" s="44">
        <f t="shared" ca="1" si="314"/>
        <v>3</v>
      </c>
    </row>
    <row r="1862" spans="1:12" x14ac:dyDescent="0.25">
      <c r="A1862" s="20">
        <v>1854</v>
      </c>
      <c r="B1862" s="21">
        <f t="shared" ca="1" si="310"/>
        <v>5.1686800662921346</v>
      </c>
      <c r="C1862" s="21">
        <f t="shared" ca="1" si="315"/>
        <v>5548.9926968075424</v>
      </c>
      <c r="D1862" s="21">
        <f t="shared" ca="1" si="311"/>
        <v>2.7104923646412429</v>
      </c>
      <c r="E1862" s="21">
        <f t="shared" ca="1" si="318"/>
        <v>4.8845095425658656</v>
      </c>
      <c r="F1862" s="20" t="str">
        <f t="shared" ca="1" si="316"/>
        <v>No</v>
      </c>
      <c r="G1862" s="21">
        <f t="shared" ca="1" si="312"/>
        <v>0</v>
      </c>
      <c r="H1862" s="21">
        <f t="shared" ca="1" si="313"/>
        <v>5553.8772063501083</v>
      </c>
      <c r="I1862" s="21">
        <f t="shared" ca="1" si="308"/>
        <v>5556.5876987147494</v>
      </c>
      <c r="J1862" s="20">
        <f t="shared" ca="1" si="317"/>
        <v>3</v>
      </c>
      <c r="K1862" s="20">
        <f t="shared" ca="1" si="309"/>
        <v>1</v>
      </c>
      <c r="L1862" s="44">
        <f t="shared" ca="1" si="314"/>
        <v>2</v>
      </c>
    </row>
    <row r="1863" spans="1:12" x14ac:dyDescent="0.25">
      <c r="A1863" s="20">
        <v>1855</v>
      </c>
      <c r="B1863" s="21">
        <f t="shared" ca="1" si="310"/>
        <v>0.35920033539719226</v>
      </c>
      <c r="C1863" s="21">
        <f t="shared" ca="1" si="315"/>
        <v>5549.3518971429394</v>
      </c>
      <c r="D1863" s="21">
        <f t="shared" ca="1" si="311"/>
        <v>8.5209409560478247E-2</v>
      </c>
      <c r="E1863" s="21">
        <f t="shared" ca="1" si="318"/>
        <v>7.2358015718100432</v>
      </c>
      <c r="F1863" s="20" t="str">
        <f t="shared" ca="1" si="316"/>
        <v>No</v>
      </c>
      <c r="G1863" s="21">
        <f t="shared" ca="1" si="312"/>
        <v>0</v>
      </c>
      <c r="H1863" s="21">
        <f t="shared" ca="1" si="313"/>
        <v>5556.5876987147494</v>
      </c>
      <c r="I1863" s="21">
        <f t="shared" ca="1" si="308"/>
        <v>5556.6729081243102</v>
      </c>
      <c r="J1863" s="20">
        <f t="shared" ca="1" si="317"/>
        <v>2</v>
      </c>
      <c r="K1863" s="20">
        <f t="shared" ca="1" si="309"/>
        <v>0</v>
      </c>
      <c r="L1863" s="44">
        <f t="shared" ca="1" si="314"/>
        <v>1</v>
      </c>
    </row>
    <row r="1864" spans="1:12" x14ac:dyDescent="0.25">
      <c r="A1864" s="20">
        <v>1856</v>
      </c>
      <c r="B1864" s="21">
        <f t="shared" ca="1" si="310"/>
        <v>15.776669779657025</v>
      </c>
      <c r="C1864" s="21">
        <f t="shared" ca="1" si="315"/>
        <v>5565.1285669225963</v>
      </c>
      <c r="D1864" s="21">
        <f t="shared" ca="1" si="311"/>
        <v>1.6551821537053475</v>
      </c>
      <c r="E1864" s="21">
        <f t="shared" ca="1" si="318"/>
        <v>0</v>
      </c>
      <c r="F1864" s="20" t="str">
        <f t="shared" ca="1" si="316"/>
        <v>Yes</v>
      </c>
      <c r="G1864" s="21">
        <f t="shared" ca="1" si="312"/>
        <v>8.4556587982860947</v>
      </c>
      <c r="H1864" s="21">
        <f t="shared" ca="1" si="313"/>
        <v>5565.1285669225963</v>
      </c>
      <c r="I1864" s="21">
        <f t="shared" ca="1" si="308"/>
        <v>5566.7837490763013</v>
      </c>
      <c r="J1864" s="20">
        <f t="shared" ca="1" si="317"/>
        <v>0</v>
      </c>
      <c r="K1864" s="20">
        <f t="shared" ca="1" si="309"/>
        <v>0</v>
      </c>
      <c r="L1864" s="44">
        <f t="shared" ca="1" si="314"/>
        <v>0</v>
      </c>
    </row>
    <row r="1865" spans="1:12" x14ac:dyDescent="0.25">
      <c r="A1865" s="20">
        <v>1857</v>
      </c>
      <c r="B1865" s="21">
        <f t="shared" ca="1" si="310"/>
        <v>2.9825366103739293</v>
      </c>
      <c r="C1865" s="21">
        <f t="shared" ca="1" si="315"/>
        <v>5568.1111035329704</v>
      </c>
      <c r="D1865" s="21">
        <f t="shared" ca="1" si="311"/>
        <v>1.3953733474385861</v>
      </c>
      <c r="E1865" s="21">
        <f t="shared" ca="1" si="318"/>
        <v>0</v>
      </c>
      <c r="F1865" s="20" t="str">
        <f t="shared" ca="1" si="316"/>
        <v>Yes</v>
      </c>
      <c r="G1865" s="21">
        <f t="shared" ca="1" si="312"/>
        <v>1.3273544566691271</v>
      </c>
      <c r="H1865" s="21">
        <f t="shared" ca="1" si="313"/>
        <v>5568.1111035329704</v>
      </c>
      <c r="I1865" s="21">
        <f t="shared" ref="I1865:I1928" ca="1" si="319">$H1865+$D1865</f>
        <v>5569.5064768804086</v>
      </c>
      <c r="J1865" s="20">
        <f t="shared" ca="1" si="317"/>
        <v>0</v>
      </c>
      <c r="K1865" s="20">
        <f t="shared" ref="K1865:K1928" ca="1" si="320">IF($I1865&lt;=$C1866,0,IF($I1865&lt;=$C1867,1,IF($I1865&lt;=$C1868,2,IF($I1865&lt;=$C1869,3,IF($I1865&lt;=$C1870,4,5)))))</f>
        <v>0</v>
      </c>
      <c r="L1865" s="44">
        <f t="shared" ca="1" si="314"/>
        <v>0</v>
      </c>
    </row>
    <row r="1866" spans="1:12" x14ac:dyDescent="0.25">
      <c r="A1866" s="20">
        <v>1858</v>
      </c>
      <c r="B1866" s="21">
        <f t="shared" ref="B1866:B1929" ca="1" si="321">-LN(RAND())/$D$4</f>
        <v>9.1503546177001454</v>
      </c>
      <c r="C1866" s="21">
        <f t="shared" ca="1" si="315"/>
        <v>5577.2614581506705</v>
      </c>
      <c r="D1866" s="21">
        <f t="shared" ref="D1866:D1929" ca="1" si="322">-LN(RAND())/$D$6</f>
        <v>3.0748671356291268</v>
      </c>
      <c r="E1866" s="21">
        <f t="shared" ca="1" si="318"/>
        <v>0</v>
      </c>
      <c r="F1866" s="20" t="str">
        <f t="shared" ca="1" si="316"/>
        <v>Yes</v>
      </c>
      <c r="G1866" s="21">
        <f t="shared" ref="G1866:G1929" ca="1" si="323">IF($I1865&lt;=$C1866,$C1866-$I1865,0)</f>
        <v>7.754981270261851</v>
      </c>
      <c r="H1866" s="21">
        <f t="shared" ref="H1866:H1929" ca="1" si="324">IF($I1865&lt;=$C1866,$C1866,$I1865)</f>
        <v>5577.2614581506705</v>
      </c>
      <c r="I1866" s="21">
        <f t="shared" ca="1" si="319"/>
        <v>5580.3363252863001</v>
      </c>
      <c r="J1866" s="20">
        <f t="shared" ca="1" si="317"/>
        <v>0</v>
      </c>
      <c r="K1866" s="20">
        <f t="shared" ca="1" si="320"/>
        <v>2</v>
      </c>
      <c r="L1866" s="44">
        <f t="shared" ref="L1866:L1929" ca="1" si="325">(J1866+K1866)/2</f>
        <v>1</v>
      </c>
    </row>
    <row r="1867" spans="1:12" x14ac:dyDescent="0.25">
      <c r="A1867" s="20">
        <v>1859</v>
      </c>
      <c r="B1867" s="21">
        <f t="shared" ca="1" si="321"/>
        <v>1.0254206897244686</v>
      </c>
      <c r="C1867" s="21">
        <f t="shared" ref="C1867:C1930" ca="1" si="326">$C1866+$B1867</f>
        <v>5578.2868788403948</v>
      </c>
      <c r="D1867" s="21">
        <f t="shared" ca="1" si="322"/>
        <v>1.9466625254590391</v>
      </c>
      <c r="E1867" s="21">
        <f t="shared" ca="1" si="318"/>
        <v>2.0494464459052324</v>
      </c>
      <c r="F1867" s="20" t="str">
        <f t="shared" ref="F1867:F1930" ca="1" si="327">IF(E1867=0,"Yes","No")</f>
        <v>No</v>
      </c>
      <c r="G1867" s="21">
        <f t="shared" ca="1" si="323"/>
        <v>0</v>
      </c>
      <c r="H1867" s="21">
        <f t="shared" ca="1" si="324"/>
        <v>5580.3363252863001</v>
      </c>
      <c r="I1867" s="21">
        <f t="shared" ca="1" si="319"/>
        <v>5582.2829878117591</v>
      </c>
      <c r="J1867" s="20">
        <f t="shared" ref="J1867:J1930" ca="1" si="328">IF($I1866&lt;=$C1867,0,$K1866+1)</f>
        <v>3</v>
      </c>
      <c r="K1867" s="20">
        <f t="shared" ca="1" si="320"/>
        <v>1</v>
      </c>
      <c r="L1867" s="44">
        <f t="shared" ca="1" si="325"/>
        <v>2</v>
      </c>
    </row>
    <row r="1868" spans="1:12" x14ac:dyDescent="0.25">
      <c r="A1868" s="20">
        <v>1860</v>
      </c>
      <c r="B1868" s="21">
        <f t="shared" ca="1" si="321"/>
        <v>0.97361581199055758</v>
      </c>
      <c r="C1868" s="21">
        <f t="shared" ca="1" si="326"/>
        <v>5579.2604946523852</v>
      </c>
      <c r="D1868" s="21">
        <f t="shared" ca="1" si="322"/>
        <v>0.22120023439069533</v>
      </c>
      <c r="E1868" s="21">
        <f t="shared" ref="E1868:E1931" ca="1" si="329">IF($I1867&lt;=$C1868,0,$I1867-$C1868)</f>
        <v>3.0224931593738802</v>
      </c>
      <c r="F1868" s="20" t="str">
        <f t="shared" ca="1" si="327"/>
        <v>No</v>
      </c>
      <c r="G1868" s="21">
        <f t="shared" ca="1" si="323"/>
        <v>0</v>
      </c>
      <c r="H1868" s="21">
        <f t="shared" ca="1" si="324"/>
        <v>5582.2829878117591</v>
      </c>
      <c r="I1868" s="21">
        <f t="shared" ca="1" si="319"/>
        <v>5582.5041880461495</v>
      </c>
      <c r="J1868" s="20">
        <f t="shared" ca="1" si="328"/>
        <v>2</v>
      </c>
      <c r="K1868" s="20">
        <f t="shared" ca="1" si="320"/>
        <v>0</v>
      </c>
      <c r="L1868" s="44">
        <f t="shared" ca="1" si="325"/>
        <v>1</v>
      </c>
    </row>
    <row r="1869" spans="1:12" x14ac:dyDescent="0.25">
      <c r="A1869" s="20">
        <v>1861</v>
      </c>
      <c r="B1869" s="21">
        <f t="shared" ca="1" si="321"/>
        <v>3.8536521579290084</v>
      </c>
      <c r="C1869" s="21">
        <f t="shared" ca="1" si="326"/>
        <v>5583.1141468103142</v>
      </c>
      <c r="D1869" s="21">
        <f t="shared" ca="1" si="322"/>
        <v>1.5936292116350136E-2</v>
      </c>
      <c r="E1869" s="21">
        <f t="shared" ca="1" si="329"/>
        <v>0</v>
      </c>
      <c r="F1869" s="20" t="str">
        <f t="shared" ca="1" si="327"/>
        <v>Yes</v>
      </c>
      <c r="G1869" s="21">
        <f t="shared" ca="1" si="323"/>
        <v>0.60995876416473038</v>
      </c>
      <c r="H1869" s="21">
        <f t="shared" ca="1" si="324"/>
        <v>5583.1141468103142</v>
      </c>
      <c r="I1869" s="21">
        <f t="shared" ca="1" si="319"/>
        <v>5583.1300831024309</v>
      </c>
      <c r="J1869" s="20">
        <f t="shared" ca="1" si="328"/>
        <v>0</v>
      </c>
      <c r="K1869" s="20">
        <f t="shared" ca="1" si="320"/>
        <v>0</v>
      </c>
      <c r="L1869" s="44">
        <f t="shared" ca="1" si="325"/>
        <v>0</v>
      </c>
    </row>
    <row r="1870" spans="1:12" x14ac:dyDescent="0.25">
      <c r="A1870" s="20">
        <v>1862</v>
      </c>
      <c r="B1870" s="21">
        <f t="shared" ca="1" si="321"/>
        <v>4.2532902316149457</v>
      </c>
      <c r="C1870" s="21">
        <f t="shared" ca="1" si="326"/>
        <v>5587.3674370419294</v>
      </c>
      <c r="D1870" s="21">
        <f t="shared" ca="1" si="322"/>
        <v>1.2360465767502855</v>
      </c>
      <c r="E1870" s="21">
        <f t="shared" ca="1" si="329"/>
        <v>0</v>
      </c>
      <c r="F1870" s="20" t="str">
        <f t="shared" ca="1" si="327"/>
        <v>Yes</v>
      </c>
      <c r="G1870" s="21">
        <f t="shared" ca="1" si="323"/>
        <v>4.2373539394984618</v>
      </c>
      <c r="H1870" s="21">
        <f t="shared" ca="1" si="324"/>
        <v>5587.3674370419294</v>
      </c>
      <c r="I1870" s="21">
        <f t="shared" ca="1" si="319"/>
        <v>5588.60348361868</v>
      </c>
      <c r="J1870" s="20">
        <f t="shared" ca="1" si="328"/>
        <v>0</v>
      </c>
      <c r="K1870" s="20">
        <f t="shared" ca="1" si="320"/>
        <v>3</v>
      </c>
      <c r="L1870" s="44">
        <f t="shared" ca="1" si="325"/>
        <v>1.5</v>
      </c>
    </row>
    <row r="1871" spans="1:12" x14ac:dyDescent="0.25">
      <c r="A1871" s="20">
        <v>1863</v>
      </c>
      <c r="B1871" s="21">
        <f t="shared" ca="1" si="321"/>
        <v>0.81006024362996853</v>
      </c>
      <c r="C1871" s="21">
        <f t="shared" ca="1" si="326"/>
        <v>5588.1774972855592</v>
      </c>
      <c r="D1871" s="21">
        <f t="shared" ca="1" si="322"/>
        <v>2.641521306947284</v>
      </c>
      <c r="E1871" s="21">
        <f t="shared" ca="1" si="329"/>
        <v>0.42598633312081802</v>
      </c>
      <c r="F1871" s="20" t="str">
        <f t="shared" ca="1" si="327"/>
        <v>No</v>
      </c>
      <c r="G1871" s="21">
        <f t="shared" ca="1" si="323"/>
        <v>0</v>
      </c>
      <c r="H1871" s="21">
        <f t="shared" ca="1" si="324"/>
        <v>5588.60348361868</v>
      </c>
      <c r="I1871" s="21">
        <f t="shared" ca="1" si="319"/>
        <v>5591.2450049256277</v>
      </c>
      <c r="J1871" s="20">
        <f t="shared" ca="1" si="328"/>
        <v>4</v>
      </c>
      <c r="K1871" s="20">
        <f t="shared" ca="1" si="320"/>
        <v>3</v>
      </c>
      <c r="L1871" s="44">
        <f t="shared" ca="1" si="325"/>
        <v>3.5</v>
      </c>
    </row>
    <row r="1872" spans="1:12" x14ac:dyDescent="0.25">
      <c r="A1872" s="20">
        <v>1864</v>
      </c>
      <c r="B1872" s="21">
        <f t="shared" ca="1" si="321"/>
        <v>4.6584189866591637E-2</v>
      </c>
      <c r="C1872" s="21">
        <f t="shared" ca="1" si="326"/>
        <v>5588.2240814754259</v>
      </c>
      <c r="D1872" s="21">
        <f t="shared" ca="1" si="322"/>
        <v>0.73734779383558113</v>
      </c>
      <c r="E1872" s="21">
        <f t="shared" ca="1" si="329"/>
        <v>3.0209234502017352</v>
      </c>
      <c r="F1872" s="20" t="str">
        <f t="shared" ca="1" si="327"/>
        <v>No</v>
      </c>
      <c r="G1872" s="21">
        <f t="shared" ca="1" si="323"/>
        <v>0</v>
      </c>
      <c r="H1872" s="21">
        <f t="shared" ca="1" si="324"/>
        <v>5591.2450049256277</v>
      </c>
      <c r="I1872" s="21">
        <f t="shared" ca="1" si="319"/>
        <v>5591.9823527194631</v>
      </c>
      <c r="J1872" s="20">
        <f t="shared" ca="1" si="328"/>
        <v>4</v>
      </c>
      <c r="K1872" s="20">
        <f t="shared" ca="1" si="320"/>
        <v>3</v>
      </c>
      <c r="L1872" s="44">
        <f t="shared" ca="1" si="325"/>
        <v>3.5</v>
      </c>
    </row>
    <row r="1873" spans="1:12" x14ac:dyDescent="0.25">
      <c r="A1873" s="20">
        <v>1865</v>
      </c>
      <c r="B1873" s="21">
        <f t="shared" ca="1" si="321"/>
        <v>0.33493368011925578</v>
      </c>
      <c r="C1873" s="21">
        <f t="shared" ca="1" si="326"/>
        <v>5588.5590151555452</v>
      </c>
      <c r="D1873" s="21">
        <f t="shared" ca="1" si="322"/>
        <v>0.21656921927585701</v>
      </c>
      <c r="E1873" s="21">
        <f t="shared" ca="1" si="329"/>
        <v>3.4233375639178121</v>
      </c>
      <c r="F1873" s="20" t="str">
        <f t="shared" ca="1" si="327"/>
        <v>No</v>
      </c>
      <c r="G1873" s="21">
        <f t="shared" ca="1" si="323"/>
        <v>0</v>
      </c>
      <c r="H1873" s="21">
        <f t="shared" ca="1" si="324"/>
        <v>5591.9823527194631</v>
      </c>
      <c r="I1873" s="21">
        <f t="shared" ca="1" si="319"/>
        <v>5592.1989219387387</v>
      </c>
      <c r="J1873" s="20">
        <f t="shared" ca="1" si="328"/>
        <v>4</v>
      </c>
      <c r="K1873" s="20">
        <f t="shared" ca="1" si="320"/>
        <v>3</v>
      </c>
      <c r="L1873" s="44">
        <f t="shared" ca="1" si="325"/>
        <v>3.5</v>
      </c>
    </row>
    <row r="1874" spans="1:12" x14ac:dyDescent="0.25">
      <c r="A1874" s="20">
        <v>1866</v>
      </c>
      <c r="B1874" s="21">
        <f t="shared" ca="1" si="321"/>
        <v>2.2982209737691566</v>
      </c>
      <c r="C1874" s="21">
        <f t="shared" ca="1" si="326"/>
        <v>5590.8572361293145</v>
      </c>
      <c r="D1874" s="21">
        <f t="shared" ca="1" si="322"/>
        <v>0.49771529960897415</v>
      </c>
      <c r="E1874" s="21">
        <f t="shared" ca="1" si="329"/>
        <v>1.3416858094242343</v>
      </c>
      <c r="F1874" s="20" t="str">
        <f t="shared" ca="1" si="327"/>
        <v>No</v>
      </c>
      <c r="G1874" s="21">
        <f t="shared" ca="1" si="323"/>
        <v>0</v>
      </c>
      <c r="H1874" s="21">
        <f t="shared" ca="1" si="324"/>
        <v>5592.1989219387387</v>
      </c>
      <c r="I1874" s="21">
        <f t="shared" ca="1" si="319"/>
        <v>5592.6966372383476</v>
      </c>
      <c r="J1874" s="20">
        <f t="shared" ca="1" si="328"/>
        <v>4</v>
      </c>
      <c r="K1874" s="20">
        <f t="shared" ca="1" si="320"/>
        <v>2</v>
      </c>
      <c r="L1874" s="44">
        <f t="shared" ca="1" si="325"/>
        <v>3</v>
      </c>
    </row>
    <row r="1875" spans="1:12" x14ac:dyDescent="0.25">
      <c r="A1875" s="20">
        <v>1867</v>
      </c>
      <c r="B1875" s="21">
        <f t="shared" ca="1" si="321"/>
        <v>0.43363782328074757</v>
      </c>
      <c r="C1875" s="21">
        <f t="shared" ca="1" si="326"/>
        <v>5591.2908739525956</v>
      </c>
      <c r="D1875" s="21">
        <f t="shared" ca="1" si="322"/>
        <v>0.95163881899544789</v>
      </c>
      <c r="E1875" s="21">
        <f t="shared" ca="1" si="329"/>
        <v>1.405763285752073</v>
      </c>
      <c r="F1875" s="20" t="str">
        <f t="shared" ca="1" si="327"/>
        <v>No</v>
      </c>
      <c r="G1875" s="21">
        <f t="shared" ca="1" si="323"/>
        <v>0</v>
      </c>
      <c r="H1875" s="21">
        <f t="shared" ca="1" si="324"/>
        <v>5592.6966372383476</v>
      </c>
      <c r="I1875" s="21">
        <f t="shared" ca="1" si="319"/>
        <v>5593.6482760573435</v>
      </c>
      <c r="J1875" s="20">
        <f t="shared" ca="1" si="328"/>
        <v>3</v>
      </c>
      <c r="K1875" s="20">
        <f t="shared" ca="1" si="320"/>
        <v>1</v>
      </c>
      <c r="L1875" s="44">
        <f t="shared" ca="1" si="325"/>
        <v>2</v>
      </c>
    </row>
    <row r="1876" spans="1:12" x14ac:dyDescent="0.25">
      <c r="A1876" s="20">
        <v>1868</v>
      </c>
      <c r="B1876" s="21">
        <f t="shared" ca="1" si="321"/>
        <v>0.86927374615481101</v>
      </c>
      <c r="C1876" s="21">
        <f t="shared" ca="1" si="326"/>
        <v>5592.1601476987507</v>
      </c>
      <c r="D1876" s="21">
        <f t="shared" ca="1" si="322"/>
        <v>2.0407235093831382</v>
      </c>
      <c r="E1876" s="21">
        <f t="shared" ca="1" si="329"/>
        <v>1.4881283585928031</v>
      </c>
      <c r="F1876" s="20" t="str">
        <f t="shared" ca="1" si="327"/>
        <v>No</v>
      </c>
      <c r="G1876" s="21">
        <f t="shared" ca="1" si="323"/>
        <v>0</v>
      </c>
      <c r="H1876" s="21">
        <f t="shared" ca="1" si="324"/>
        <v>5593.6482760573435</v>
      </c>
      <c r="I1876" s="21">
        <f t="shared" ca="1" si="319"/>
        <v>5595.688999566727</v>
      </c>
      <c r="J1876" s="20">
        <f t="shared" ca="1" si="328"/>
        <v>2</v>
      </c>
      <c r="K1876" s="20">
        <f t="shared" ca="1" si="320"/>
        <v>0</v>
      </c>
      <c r="L1876" s="44">
        <f t="shared" ca="1" si="325"/>
        <v>1</v>
      </c>
    </row>
    <row r="1877" spans="1:12" x14ac:dyDescent="0.25">
      <c r="A1877" s="20">
        <v>1869</v>
      </c>
      <c r="B1877" s="21">
        <f t="shared" ca="1" si="321"/>
        <v>5.962038340952037</v>
      </c>
      <c r="C1877" s="21">
        <f t="shared" ca="1" si="326"/>
        <v>5598.1221860397027</v>
      </c>
      <c r="D1877" s="21">
        <f t="shared" ca="1" si="322"/>
        <v>1.4945469451348792</v>
      </c>
      <c r="E1877" s="21">
        <f t="shared" ca="1" si="329"/>
        <v>0</v>
      </c>
      <c r="F1877" s="20" t="str">
        <f t="shared" ca="1" si="327"/>
        <v>Yes</v>
      </c>
      <c r="G1877" s="21">
        <f t="shared" ca="1" si="323"/>
        <v>2.4331864729756489</v>
      </c>
      <c r="H1877" s="21">
        <f t="shared" ca="1" si="324"/>
        <v>5598.1221860397027</v>
      </c>
      <c r="I1877" s="21">
        <f t="shared" ca="1" si="319"/>
        <v>5599.6167329848377</v>
      </c>
      <c r="J1877" s="20">
        <f t="shared" ca="1" si="328"/>
        <v>0</v>
      </c>
      <c r="K1877" s="20">
        <f t="shared" ca="1" si="320"/>
        <v>0</v>
      </c>
      <c r="L1877" s="44">
        <f t="shared" ca="1" si="325"/>
        <v>0</v>
      </c>
    </row>
    <row r="1878" spans="1:12" x14ac:dyDescent="0.25">
      <c r="A1878" s="20">
        <v>1870</v>
      </c>
      <c r="B1878" s="21">
        <f t="shared" ca="1" si="321"/>
        <v>15.14025601440602</v>
      </c>
      <c r="C1878" s="21">
        <f t="shared" ca="1" si="326"/>
        <v>5613.2624420541088</v>
      </c>
      <c r="D1878" s="21">
        <f t="shared" ca="1" si="322"/>
        <v>0.8322692234465392</v>
      </c>
      <c r="E1878" s="21">
        <f t="shared" ca="1" si="329"/>
        <v>0</v>
      </c>
      <c r="F1878" s="20" t="str">
        <f t="shared" ca="1" si="327"/>
        <v>Yes</v>
      </c>
      <c r="G1878" s="21">
        <f t="shared" ca="1" si="323"/>
        <v>13.645709069271106</v>
      </c>
      <c r="H1878" s="21">
        <f t="shared" ca="1" si="324"/>
        <v>5613.2624420541088</v>
      </c>
      <c r="I1878" s="21">
        <f t="shared" ca="1" si="319"/>
        <v>5614.0947112775557</v>
      </c>
      <c r="J1878" s="20">
        <f t="shared" ca="1" si="328"/>
        <v>0</v>
      </c>
      <c r="K1878" s="20">
        <f t="shared" ca="1" si="320"/>
        <v>1</v>
      </c>
      <c r="L1878" s="44">
        <f t="shared" ca="1" si="325"/>
        <v>0.5</v>
      </c>
    </row>
    <row r="1879" spans="1:12" x14ac:dyDescent="0.25">
      <c r="A1879" s="20">
        <v>1871</v>
      </c>
      <c r="B1879" s="21">
        <f t="shared" ca="1" si="321"/>
        <v>0.38656790567984622</v>
      </c>
      <c r="C1879" s="21">
        <f t="shared" ca="1" si="326"/>
        <v>5613.6490099597886</v>
      </c>
      <c r="D1879" s="21">
        <f t="shared" ca="1" si="322"/>
        <v>1.6567493821897423</v>
      </c>
      <c r="E1879" s="21">
        <f t="shared" ca="1" si="329"/>
        <v>0.44570131776708877</v>
      </c>
      <c r="F1879" s="20" t="str">
        <f t="shared" ca="1" si="327"/>
        <v>No</v>
      </c>
      <c r="G1879" s="21">
        <f t="shared" ca="1" si="323"/>
        <v>0</v>
      </c>
      <c r="H1879" s="21">
        <f t="shared" ca="1" si="324"/>
        <v>5614.0947112775557</v>
      </c>
      <c r="I1879" s="21">
        <f t="shared" ca="1" si="319"/>
        <v>5615.7514606597451</v>
      </c>
      <c r="J1879" s="20">
        <f t="shared" ca="1" si="328"/>
        <v>2</v>
      </c>
      <c r="K1879" s="20">
        <f t="shared" ca="1" si="320"/>
        <v>1</v>
      </c>
      <c r="L1879" s="44">
        <f t="shared" ca="1" si="325"/>
        <v>1.5</v>
      </c>
    </row>
    <row r="1880" spans="1:12" x14ac:dyDescent="0.25">
      <c r="A1880" s="20">
        <v>1872</v>
      </c>
      <c r="B1880" s="21">
        <f t="shared" ca="1" si="321"/>
        <v>1.7070629025155215</v>
      </c>
      <c r="C1880" s="21">
        <f t="shared" ca="1" si="326"/>
        <v>5615.3560728623042</v>
      </c>
      <c r="D1880" s="21">
        <f t="shared" ca="1" si="322"/>
        <v>4.9916943844021011</v>
      </c>
      <c r="E1880" s="21">
        <f t="shared" ca="1" si="329"/>
        <v>0.3953877974408897</v>
      </c>
      <c r="F1880" s="20" t="str">
        <f t="shared" ca="1" si="327"/>
        <v>No</v>
      </c>
      <c r="G1880" s="21">
        <f t="shared" ca="1" si="323"/>
        <v>0</v>
      </c>
      <c r="H1880" s="21">
        <f t="shared" ca="1" si="324"/>
        <v>5615.7514606597451</v>
      </c>
      <c r="I1880" s="21">
        <f t="shared" ca="1" si="319"/>
        <v>5620.743155044147</v>
      </c>
      <c r="J1880" s="20">
        <f t="shared" ca="1" si="328"/>
        <v>2</v>
      </c>
      <c r="K1880" s="20">
        <f t="shared" ca="1" si="320"/>
        <v>3</v>
      </c>
      <c r="L1880" s="44">
        <f t="shared" ca="1" si="325"/>
        <v>2.5</v>
      </c>
    </row>
    <row r="1881" spans="1:12" x14ac:dyDescent="0.25">
      <c r="A1881" s="20">
        <v>1873</v>
      </c>
      <c r="B1881" s="21">
        <f t="shared" ca="1" si="321"/>
        <v>1.9145402012202175</v>
      </c>
      <c r="C1881" s="21">
        <f t="shared" ca="1" si="326"/>
        <v>5617.2706130635243</v>
      </c>
      <c r="D1881" s="21">
        <f t="shared" ca="1" si="322"/>
        <v>1.036291061191382</v>
      </c>
      <c r="E1881" s="21">
        <f t="shared" ca="1" si="329"/>
        <v>3.4725419806227364</v>
      </c>
      <c r="F1881" s="20" t="str">
        <f t="shared" ca="1" si="327"/>
        <v>No</v>
      </c>
      <c r="G1881" s="21">
        <f t="shared" ca="1" si="323"/>
        <v>0</v>
      </c>
      <c r="H1881" s="21">
        <f t="shared" ca="1" si="324"/>
        <v>5620.743155044147</v>
      </c>
      <c r="I1881" s="21">
        <f t="shared" ca="1" si="319"/>
        <v>5621.7794461053381</v>
      </c>
      <c r="J1881" s="20">
        <f t="shared" ca="1" si="328"/>
        <v>4</v>
      </c>
      <c r="K1881" s="20">
        <f t="shared" ca="1" si="320"/>
        <v>2</v>
      </c>
      <c r="L1881" s="44">
        <f t="shared" ca="1" si="325"/>
        <v>3</v>
      </c>
    </row>
    <row r="1882" spans="1:12" x14ac:dyDescent="0.25">
      <c r="A1882" s="20">
        <v>1874</v>
      </c>
      <c r="B1882" s="21">
        <f t="shared" ca="1" si="321"/>
        <v>0.64583811475123831</v>
      </c>
      <c r="C1882" s="21">
        <f t="shared" ca="1" si="326"/>
        <v>5617.9164511782756</v>
      </c>
      <c r="D1882" s="21">
        <f t="shared" ca="1" si="322"/>
        <v>1.0567461285277562</v>
      </c>
      <c r="E1882" s="21">
        <f t="shared" ca="1" si="329"/>
        <v>3.862994927062573</v>
      </c>
      <c r="F1882" s="20" t="str">
        <f t="shared" ca="1" si="327"/>
        <v>No</v>
      </c>
      <c r="G1882" s="21">
        <f t="shared" ca="1" si="323"/>
        <v>0</v>
      </c>
      <c r="H1882" s="21">
        <f t="shared" ca="1" si="324"/>
        <v>5621.7794461053381</v>
      </c>
      <c r="I1882" s="21">
        <f t="shared" ca="1" si="319"/>
        <v>5622.8361922338663</v>
      </c>
      <c r="J1882" s="20">
        <f t="shared" ca="1" si="328"/>
        <v>3</v>
      </c>
      <c r="K1882" s="20">
        <f t="shared" ca="1" si="320"/>
        <v>1</v>
      </c>
      <c r="L1882" s="44">
        <f t="shared" ca="1" si="325"/>
        <v>2</v>
      </c>
    </row>
    <row r="1883" spans="1:12" x14ac:dyDescent="0.25">
      <c r="A1883" s="20">
        <v>1875</v>
      </c>
      <c r="B1883" s="21">
        <f t="shared" ca="1" si="321"/>
        <v>2.0029906529107588</v>
      </c>
      <c r="C1883" s="21">
        <f t="shared" ca="1" si="326"/>
        <v>5619.9194418311863</v>
      </c>
      <c r="D1883" s="21">
        <f t="shared" ca="1" si="322"/>
        <v>0.38009782610277743</v>
      </c>
      <c r="E1883" s="21">
        <f t="shared" ca="1" si="329"/>
        <v>2.9167504026800088</v>
      </c>
      <c r="F1883" s="20" t="str">
        <f t="shared" ca="1" si="327"/>
        <v>No</v>
      </c>
      <c r="G1883" s="21">
        <f t="shared" ca="1" si="323"/>
        <v>0</v>
      </c>
      <c r="H1883" s="21">
        <f t="shared" ca="1" si="324"/>
        <v>5622.8361922338663</v>
      </c>
      <c r="I1883" s="21">
        <f t="shared" ca="1" si="319"/>
        <v>5623.2162900599687</v>
      </c>
      <c r="J1883" s="20">
        <f t="shared" ca="1" si="328"/>
        <v>2</v>
      </c>
      <c r="K1883" s="20">
        <f t="shared" ca="1" si="320"/>
        <v>0</v>
      </c>
      <c r="L1883" s="44">
        <f t="shared" ca="1" si="325"/>
        <v>1</v>
      </c>
    </row>
    <row r="1884" spans="1:12" x14ac:dyDescent="0.25">
      <c r="A1884" s="20">
        <v>1876</v>
      </c>
      <c r="B1884" s="21">
        <f t="shared" ca="1" si="321"/>
        <v>3.7865580034329382</v>
      </c>
      <c r="C1884" s="21">
        <f t="shared" ca="1" si="326"/>
        <v>5623.7059998346194</v>
      </c>
      <c r="D1884" s="21">
        <f t="shared" ca="1" si="322"/>
        <v>0.37946180507319716</v>
      </c>
      <c r="E1884" s="21">
        <f t="shared" ca="1" si="329"/>
        <v>0</v>
      </c>
      <c r="F1884" s="20" t="str">
        <f t="shared" ca="1" si="327"/>
        <v>Yes</v>
      </c>
      <c r="G1884" s="21">
        <f t="shared" ca="1" si="323"/>
        <v>0.48970977465069154</v>
      </c>
      <c r="H1884" s="21">
        <f t="shared" ca="1" si="324"/>
        <v>5623.7059998346194</v>
      </c>
      <c r="I1884" s="21">
        <f t="shared" ca="1" si="319"/>
        <v>5624.0854616396928</v>
      </c>
      <c r="J1884" s="20">
        <f t="shared" ca="1" si="328"/>
        <v>0</v>
      </c>
      <c r="K1884" s="20">
        <f t="shared" ca="1" si="320"/>
        <v>0</v>
      </c>
      <c r="L1884" s="44">
        <f t="shared" ca="1" si="325"/>
        <v>0</v>
      </c>
    </row>
    <row r="1885" spans="1:12" x14ac:dyDescent="0.25">
      <c r="A1885" s="20">
        <v>1877</v>
      </c>
      <c r="B1885" s="21">
        <f t="shared" ca="1" si="321"/>
        <v>1.2825122928119606</v>
      </c>
      <c r="C1885" s="21">
        <f t="shared" ca="1" si="326"/>
        <v>5624.988512127431</v>
      </c>
      <c r="D1885" s="21">
        <f t="shared" ca="1" si="322"/>
        <v>1.9021930910047062</v>
      </c>
      <c r="E1885" s="21">
        <f t="shared" ca="1" si="329"/>
        <v>0</v>
      </c>
      <c r="F1885" s="20" t="str">
        <f t="shared" ca="1" si="327"/>
        <v>Yes</v>
      </c>
      <c r="G1885" s="21">
        <f t="shared" ca="1" si="323"/>
        <v>0.90305048773825547</v>
      </c>
      <c r="H1885" s="21">
        <f t="shared" ca="1" si="324"/>
        <v>5624.988512127431</v>
      </c>
      <c r="I1885" s="21">
        <f t="shared" ca="1" si="319"/>
        <v>5626.8907052184359</v>
      </c>
      <c r="J1885" s="20">
        <f t="shared" ca="1" si="328"/>
        <v>0</v>
      </c>
      <c r="K1885" s="20">
        <f t="shared" ca="1" si="320"/>
        <v>0</v>
      </c>
      <c r="L1885" s="44">
        <f t="shared" ca="1" si="325"/>
        <v>0</v>
      </c>
    </row>
    <row r="1886" spans="1:12" x14ac:dyDescent="0.25">
      <c r="A1886" s="20">
        <v>1878</v>
      </c>
      <c r="B1886" s="21">
        <f t="shared" ca="1" si="321"/>
        <v>2.2516617779452108</v>
      </c>
      <c r="C1886" s="21">
        <f t="shared" ca="1" si="326"/>
        <v>5627.2401739053767</v>
      </c>
      <c r="D1886" s="21">
        <f t="shared" ca="1" si="322"/>
        <v>0.30166980038292418</v>
      </c>
      <c r="E1886" s="21">
        <f t="shared" ca="1" si="329"/>
        <v>0</v>
      </c>
      <c r="F1886" s="20" t="str">
        <f t="shared" ca="1" si="327"/>
        <v>Yes</v>
      </c>
      <c r="G1886" s="21">
        <f t="shared" ca="1" si="323"/>
        <v>0.34946868694078148</v>
      </c>
      <c r="H1886" s="21">
        <f t="shared" ca="1" si="324"/>
        <v>5627.2401739053767</v>
      </c>
      <c r="I1886" s="21">
        <f t="shared" ca="1" si="319"/>
        <v>5627.5418437057597</v>
      </c>
      <c r="J1886" s="20">
        <f t="shared" ca="1" si="328"/>
        <v>0</v>
      </c>
      <c r="K1886" s="20">
        <f t="shared" ca="1" si="320"/>
        <v>0</v>
      </c>
      <c r="L1886" s="44">
        <f t="shared" ca="1" si="325"/>
        <v>0</v>
      </c>
    </row>
    <row r="1887" spans="1:12" x14ac:dyDescent="0.25">
      <c r="A1887" s="20">
        <v>1879</v>
      </c>
      <c r="B1887" s="21">
        <f t="shared" ca="1" si="321"/>
        <v>1.3116522530519288</v>
      </c>
      <c r="C1887" s="21">
        <f t="shared" ca="1" si="326"/>
        <v>5628.5518261584284</v>
      </c>
      <c r="D1887" s="21">
        <f t="shared" ca="1" si="322"/>
        <v>3.0812530789763648</v>
      </c>
      <c r="E1887" s="21">
        <f t="shared" ca="1" si="329"/>
        <v>0</v>
      </c>
      <c r="F1887" s="20" t="str">
        <f t="shared" ca="1" si="327"/>
        <v>Yes</v>
      </c>
      <c r="G1887" s="21">
        <f t="shared" ca="1" si="323"/>
        <v>1.0099824526687371</v>
      </c>
      <c r="H1887" s="21">
        <f t="shared" ca="1" si="324"/>
        <v>5628.5518261584284</v>
      </c>
      <c r="I1887" s="21">
        <f t="shared" ca="1" si="319"/>
        <v>5631.6330792374047</v>
      </c>
      <c r="J1887" s="20">
        <f t="shared" ca="1" si="328"/>
        <v>0</v>
      </c>
      <c r="K1887" s="20">
        <f t="shared" ca="1" si="320"/>
        <v>0</v>
      </c>
      <c r="L1887" s="44">
        <f t="shared" ca="1" si="325"/>
        <v>0</v>
      </c>
    </row>
    <row r="1888" spans="1:12" x14ac:dyDescent="0.25">
      <c r="A1888" s="20">
        <v>1880</v>
      </c>
      <c r="B1888" s="21">
        <f t="shared" ca="1" si="321"/>
        <v>5.5509538229877133</v>
      </c>
      <c r="C1888" s="21">
        <f t="shared" ca="1" si="326"/>
        <v>5634.1027799814165</v>
      </c>
      <c r="D1888" s="21">
        <f t="shared" ca="1" si="322"/>
        <v>4.5656301191686977</v>
      </c>
      <c r="E1888" s="21">
        <f t="shared" ca="1" si="329"/>
        <v>0</v>
      </c>
      <c r="F1888" s="20" t="str">
        <f t="shared" ca="1" si="327"/>
        <v>Yes</v>
      </c>
      <c r="G1888" s="21">
        <f t="shared" ca="1" si="323"/>
        <v>2.4697007440117886</v>
      </c>
      <c r="H1888" s="21">
        <f t="shared" ca="1" si="324"/>
        <v>5634.1027799814165</v>
      </c>
      <c r="I1888" s="21">
        <f t="shared" ca="1" si="319"/>
        <v>5638.6684101005849</v>
      </c>
      <c r="J1888" s="20">
        <f t="shared" ca="1" si="328"/>
        <v>0</v>
      </c>
      <c r="K1888" s="20">
        <f t="shared" ca="1" si="320"/>
        <v>0</v>
      </c>
      <c r="L1888" s="44">
        <f t="shared" ca="1" si="325"/>
        <v>0</v>
      </c>
    </row>
    <row r="1889" spans="1:12" x14ac:dyDescent="0.25">
      <c r="A1889" s="20">
        <v>1881</v>
      </c>
      <c r="B1889" s="21">
        <f t="shared" ca="1" si="321"/>
        <v>5.0435616742071643</v>
      </c>
      <c r="C1889" s="21">
        <f t="shared" ca="1" si="326"/>
        <v>5639.1463416556235</v>
      </c>
      <c r="D1889" s="21">
        <f t="shared" ca="1" si="322"/>
        <v>3.2849412172417089E-2</v>
      </c>
      <c r="E1889" s="21">
        <f t="shared" ca="1" si="329"/>
        <v>0</v>
      </c>
      <c r="F1889" s="20" t="str">
        <f t="shared" ca="1" si="327"/>
        <v>Yes</v>
      </c>
      <c r="G1889" s="21">
        <f t="shared" ca="1" si="323"/>
        <v>0.47793155503859452</v>
      </c>
      <c r="H1889" s="21">
        <f t="shared" ca="1" si="324"/>
        <v>5639.1463416556235</v>
      </c>
      <c r="I1889" s="21">
        <f t="shared" ca="1" si="319"/>
        <v>5639.1791910677957</v>
      </c>
      <c r="J1889" s="20">
        <f t="shared" ca="1" si="328"/>
        <v>0</v>
      </c>
      <c r="K1889" s="20">
        <f t="shared" ca="1" si="320"/>
        <v>0</v>
      </c>
      <c r="L1889" s="44">
        <f t="shared" ca="1" si="325"/>
        <v>0</v>
      </c>
    </row>
    <row r="1890" spans="1:12" x14ac:dyDescent="0.25">
      <c r="A1890" s="20">
        <v>1882</v>
      </c>
      <c r="B1890" s="21">
        <f t="shared" ca="1" si="321"/>
        <v>1.2136423811458199</v>
      </c>
      <c r="C1890" s="21">
        <f t="shared" ca="1" si="326"/>
        <v>5640.3599840367697</v>
      </c>
      <c r="D1890" s="21">
        <f t="shared" ca="1" si="322"/>
        <v>6.6794737956640819</v>
      </c>
      <c r="E1890" s="21">
        <f t="shared" ca="1" si="329"/>
        <v>0</v>
      </c>
      <c r="F1890" s="20" t="str">
        <f t="shared" ca="1" si="327"/>
        <v>Yes</v>
      </c>
      <c r="G1890" s="21">
        <f t="shared" ca="1" si="323"/>
        <v>1.1807929689739467</v>
      </c>
      <c r="H1890" s="21">
        <f t="shared" ca="1" si="324"/>
        <v>5640.3599840367697</v>
      </c>
      <c r="I1890" s="21">
        <f t="shared" ca="1" si="319"/>
        <v>5647.039457832434</v>
      </c>
      <c r="J1890" s="20">
        <f t="shared" ca="1" si="328"/>
        <v>0</v>
      </c>
      <c r="K1890" s="20">
        <f t="shared" ca="1" si="320"/>
        <v>2</v>
      </c>
      <c r="L1890" s="44">
        <f t="shared" ca="1" si="325"/>
        <v>1</v>
      </c>
    </row>
    <row r="1891" spans="1:12" x14ac:dyDescent="0.25">
      <c r="A1891" s="20">
        <v>1883</v>
      </c>
      <c r="B1891" s="21">
        <f t="shared" ca="1" si="321"/>
        <v>9.1557522212515743E-2</v>
      </c>
      <c r="C1891" s="21">
        <f t="shared" ca="1" si="326"/>
        <v>5640.4515415589822</v>
      </c>
      <c r="D1891" s="21">
        <f t="shared" ca="1" si="322"/>
        <v>2.1613335314963771</v>
      </c>
      <c r="E1891" s="21">
        <f t="shared" ca="1" si="329"/>
        <v>6.5879162734518104</v>
      </c>
      <c r="F1891" s="20" t="str">
        <f t="shared" ca="1" si="327"/>
        <v>No</v>
      </c>
      <c r="G1891" s="21">
        <f t="shared" ca="1" si="323"/>
        <v>0</v>
      </c>
      <c r="H1891" s="21">
        <f t="shared" ca="1" si="324"/>
        <v>5647.039457832434</v>
      </c>
      <c r="I1891" s="21">
        <f t="shared" ca="1" si="319"/>
        <v>5649.20079136393</v>
      </c>
      <c r="J1891" s="20">
        <f t="shared" ca="1" si="328"/>
        <v>3</v>
      </c>
      <c r="K1891" s="20">
        <f t="shared" ca="1" si="320"/>
        <v>1</v>
      </c>
      <c r="L1891" s="44">
        <f t="shared" ca="1" si="325"/>
        <v>2</v>
      </c>
    </row>
    <row r="1892" spans="1:12" x14ac:dyDescent="0.25">
      <c r="A1892" s="20">
        <v>1884</v>
      </c>
      <c r="B1892" s="21">
        <f t="shared" ca="1" si="321"/>
        <v>3.1570020505174692</v>
      </c>
      <c r="C1892" s="21">
        <f t="shared" ca="1" si="326"/>
        <v>5643.6085436095</v>
      </c>
      <c r="D1892" s="21">
        <f t="shared" ca="1" si="322"/>
        <v>0.3547868119197255</v>
      </c>
      <c r="E1892" s="21">
        <f t="shared" ca="1" si="329"/>
        <v>5.5922477544299909</v>
      </c>
      <c r="F1892" s="20" t="str">
        <f t="shared" ca="1" si="327"/>
        <v>No</v>
      </c>
      <c r="G1892" s="21">
        <f t="shared" ca="1" si="323"/>
        <v>0</v>
      </c>
      <c r="H1892" s="21">
        <f t="shared" ca="1" si="324"/>
        <v>5649.20079136393</v>
      </c>
      <c r="I1892" s="21">
        <f t="shared" ca="1" si="319"/>
        <v>5649.5555781758494</v>
      </c>
      <c r="J1892" s="20">
        <f t="shared" ca="1" si="328"/>
        <v>2</v>
      </c>
      <c r="K1892" s="20">
        <f t="shared" ca="1" si="320"/>
        <v>1</v>
      </c>
      <c r="L1892" s="44">
        <f t="shared" ca="1" si="325"/>
        <v>1.5</v>
      </c>
    </row>
    <row r="1893" spans="1:12" x14ac:dyDescent="0.25">
      <c r="A1893" s="20">
        <v>1885</v>
      </c>
      <c r="B1893" s="21">
        <f t="shared" ca="1" si="321"/>
        <v>5.8107847528029826</v>
      </c>
      <c r="C1893" s="21">
        <f t="shared" ca="1" si="326"/>
        <v>5649.4193283623026</v>
      </c>
      <c r="D1893" s="21">
        <f t="shared" ca="1" si="322"/>
        <v>0.81278039252872647</v>
      </c>
      <c r="E1893" s="21">
        <f t="shared" ca="1" si="329"/>
        <v>0.13624981354678312</v>
      </c>
      <c r="F1893" s="20" t="str">
        <f t="shared" ca="1" si="327"/>
        <v>No</v>
      </c>
      <c r="G1893" s="21">
        <f t="shared" ca="1" si="323"/>
        <v>0</v>
      </c>
      <c r="H1893" s="21">
        <f t="shared" ca="1" si="324"/>
        <v>5649.5555781758494</v>
      </c>
      <c r="I1893" s="21">
        <f t="shared" ca="1" si="319"/>
        <v>5650.3683585683784</v>
      </c>
      <c r="J1893" s="20">
        <f t="shared" ca="1" si="328"/>
        <v>2</v>
      </c>
      <c r="K1893" s="20">
        <f t="shared" ca="1" si="320"/>
        <v>0</v>
      </c>
      <c r="L1893" s="44">
        <f t="shared" ca="1" si="325"/>
        <v>1</v>
      </c>
    </row>
    <row r="1894" spans="1:12" x14ac:dyDescent="0.25">
      <c r="A1894" s="20">
        <v>1886</v>
      </c>
      <c r="B1894" s="21">
        <f t="shared" ca="1" si="321"/>
        <v>2.5090267493934402</v>
      </c>
      <c r="C1894" s="21">
        <f t="shared" ca="1" si="326"/>
        <v>5651.928355111696</v>
      </c>
      <c r="D1894" s="21">
        <f t="shared" ca="1" si="322"/>
        <v>9.6804715437656395</v>
      </c>
      <c r="E1894" s="21">
        <f t="shared" ca="1" si="329"/>
        <v>0</v>
      </c>
      <c r="F1894" s="20" t="str">
        <f t="shared" ca="1" si="327"/>
        <v>Yes</v>
      </c>
      <c r="G1894" s="21">
        <f t="shared" ca="1" si="323"/>
        <v>1.5599965433175385</v>
      </c>
      <c r="H1894" s="21">
        <f t="shared" ca="1" si="324"/>
        <v>5651.928355111696</v>
      </c>
      <c r="I1894" s="21">
        <f t="shared" ca="1" si="319"/>
        <v>5661.6088266554616</v>
      </c>
      <c r="J1894" s="20">
        <f t="shared" ca="1" si="328"/>
        <v>0</v>
      </c>
      <c r="K1894" s="20">
        <f t="shared" ca="1" si="320"/>
        <v>4</v>
      </c>
      <c r="L1894" s="44">
        <f t="shared" ca="1" si="325"/>
        <v>2</v>
      </c>
    </row>
    <row r="1895" spans="1:12" x14ac:dyDescent="0.25">
      <c r="A1895" s="20">
        <v>1887</v>
      </c>
      <c r="B1895" s="21">
        <f t="shared" ca="1" si="321"/>
        <v>2.8251233371009015</v>
      </c>
      <c r="C1895" s="21">
        <f t="shared" ca="1" si="326"/>
        <v>5654.7534784487971</v>
      </c>
      <c r="D1895" s="21">
        <f t="shared" ca="1" si="322"/>
        <v>3.3132044424922906</v>
      </c>
      <c r="E1895" s="21">
        <f t="shared" ca="1" si="329"/>
        <v>6.8553482066645302</v>
      </c>
      <c r="F1895" s="20" t="str">
        <f t="shared" ca="1" si="327"/>
        <v>No</v>
      </c>
      <c r="G1895" s="21">
        <f t="shared" ca="1" si="323"/>
        <v>0</v>
      </c>
      <c r="H1895" s="21">
        <f t="shared" ca="1" si="324"/>
        <v>5661.6088266554616</v>
      </c>
      <c r="I1895" s="21">
        <f t="shared" ca="1" si="319"/>
        <v>5664.9220310979535</v>
      </c>
      <c r="J1895" s="20">
        <f t="shared" ca="1" si="328"/>
        <v>5</v>
      </c>
      <c r="K1895" s="20">
        <f t="shared" ca="1" si="320"/>
        <v>4</v>
      </c>
      <c r="L1895" s="44">
        <f t="shared" ca="1" si="325"/>
        <v>4.5</v>
      </c>
    </row>
    <row r="1896" spans="1:12" x14ac:dyDescent="0.25">
      <c r="A1896" s="20">
        <v>1888</v>
      </c>
      <c r="B1896" s="21">
        <f t="shared" ca="1" si="321"/>
        <v>0.73167441699537938</v>
      </c>
      <c r="C1896" s="21">
        <f t="shared" ca="1" si="326"/>
        <v>5655.4851528657928</v>
      </c>
      <c r="D1896" s="21">
        <f t="shared" ca="1" si="322"/>
        <v>2.3382731989067689</v>
      </c>
      <c r="E1896" s="21">
        <f t="shared" ca="1" si="329"/>
        <v>9.4368782321607796</v>
      </c>
      <c r="F1896" s="20" t="str">
        <f t="shared" ca="1" si="327"/>
        <v>No</v>
      </c>
      <c r="G1896" s="21">
        <f t="shared" ca="1" si="323"/>
        <v>0</v>
      </c>
      <c r="H1896" s="21">
        <f t="shared" ca="1" si="324"/>
        <v>5664.9220310979535</v>
      </c>
      <c r="I1896" s="21">
        <f t="shared" ca="1" si="319"/>
        <v>5667.2603042968603</v>
      </c>
      <c r="J1896" s="20">
        <f t="shared" ca="1" si="328"/>
        <v>5</v>
      </c>
      <c r="K1896" s="20">
        <f t="shared" ca="1" si="320"/>
        <v>5</v>
      </c>
      <c r="L1896" s="44">
        <f t="shared" ca="1" si="325"/>
        <v>5</v>
      </c>
    </row>
    <row r="1897" spans="1:12" x14ac:dyDescent="0.25">
      <c r="A1897" s="20">
        <v>1889</v>
      </c>
      <c r="B1897" s="21">
        <f t="shared" ca="1" si="321"/>
        <v>6.8216249262365216E-3</v>
      </c>
      <c r="C1897" s="21">
        <f t="shared" ca="1" si="326"/>
        <v>5655.4919744907193</v>
      </c>
      <c r="D1897" s="21">
        <f t="shared" ca="1" si="322"/>
        <v>2.1138273102935332</v>
      </c>
      <c r="E1897" s="21">
        <f t="shared" ca="1" si="329"/>
        <v>11.768329806141082</v>
      </c>
      <c r="F1897" s="20" t="str">
        <f t="shared" ca="1" si="327"/>
        <v>No</v>
      </c>
      <c r="G1897" s="21">
        <f t="shared" ca="1" si="323"/>
        <v>0</v>
      </c>
      <c r="H1897" s="21">
        <f t="shared" ca="1" si="324"/>
        <v>5667.2603042968603</v>
      </c>
      <c r="I1897" s="21">
        <f t="shared" ca="1" si="319"/>
        <v>5669.3741316071537</v>
      </c>
      <c r="J1897" s="20">
        <f t="shared" ca="1" si="328"/>
        <v>6</v>
      </c>
      <c r="K1897" s="20">
        <f t="shared" ca="1" si="320"/>
        <v>4</v>
      </c>
      <c r="L1897" s="44">
        <f t="shared" ca="1" si="325"/>
        <v>5</v>
      </c>
    </row>
    <row r="1898" spans="1:12" x14ac:dyDescent="0.25">
      <c r="A1898" s="20">
        <v>1890</v>
      </c>
      <c r="B1898" s="21">
        <f t="shared" ca="1" si="321"/>
        <v>4.7923262007356184</v>
      </c>
      <c r="C1898" s="21">
        <f t="shared" ca="1" si="326"/>
        <v>5660.2843006914545</v>
      </c>
      <c r="D1898" s="21">
        <f t="shared" ca="1" si="322"/>
        <v>2.9796407135462423E-2</v>
      </c>
      <c r="E1898" s="21">
        <f t="shared" ca="1" si="329"/>
        <v>9.0898309156991672</v>
      </c>
      <c r="F1898" s="20" t="str">
        <f t="shared" ca="1" si="327"/>
        <v>No</v>
      </c>
      <c r="G1898" s="21">
        <f t="shared" ca="1" si="323"/>
        <v>0</v>
      </c>
      <c r="H1898" s="21">
        <f t="shared" ca="1" si="324"/>
        <v>5669.3741316071537</v>
      </c>
      <c r="I1898" s="21">
        <f t="shared" ca="1" si="319"/>
        <v>5669.4039280142888</v>
      </c>
      <c r="J1898" s="20">
        <f t="shared" ca="1" si="328"/>
        <v>5</v>
      </c>
      <c r="K1898" s="20">
        <f t="shared" ca="1" si="320"/>
        <v>3</v>
      </c>
      <c r="L1898" s="44">
        <f t="shared" ca="1" si="325"/>
        <v>4</v>
      </c>
    </row>
    <row r="1899" spans="1:12" x14ac:dyDescent="0.25">
      <c r="A1899" s="20">
        <v>1891</v>
      </c>
      <c r="B1899" s="21">
        <f t="shared" ca="1" si="321"/>
        <v>1.9809639538483748</v>
      </c>
      <c r="C1899" s="21">
        <f t="shared" ca="1" si="326"/>
        <v>5662.2652646453025</v>
      </c>
      <c r="D1899" s="21">
        <f t="shared" ca="1" si="322"/>
        <v>2.5508827390733555</v>
      </c>
      <c r="E1899" s="21">
        <f t="shared" ca="1" si="329"/>
        <v>7.138663368986272</v>
      </c>
      <c r="F1899" s="20" t="str">
        <f t="shared" ca="1" si="327"/>
        <v>No</v>
      </c>
      <c r="G1899" s="21">
        <f t="shared" ca="1" si="323"/>
        <v>0</v>
      </c>
      <c r="H1899" s="21">
        <f t="shared" ca="1" si="324"/>
        <v>5669.4039280142888</v>
      </c>
      <c r="I1899" s="21">
        <f t="shared" ca="1" si="319"/>
        <v>5671.9548107533619</v>
      </c>
      <c r="J1899" s="20">
        <f t="shared" ca="1" si="328"/>
        <v>4</v>
      </c>
      <c r="K1899" s="20">
        <f t="shared" ca="1" si="320"/>
        <v>4</v>
      </c>
      <c r="L1899" s="44">
        <f t="shared" ca="1" si="325"/>
        <v>4</v>
      </c>
    </row>
    <row r="1900" spans="1:12" x14ac:dyDescent="0.25">
      <c r="A1900" s="20">
        <v>1892</v>
      </c>
      <c r="B1900" s="21">
        <f t="shared" ca="1" si="321"/>
        <v>3.2911013760256163</v>
      </c>
      <c r="C1900" s="21">
        <f t="shared" ca="1" si="326"/>
        <v>5665.5563660213284</v>
      </c>
      <c r="D1900" s="21">
        <f t="shared" ca="1" si="322"/>
        <v>1.5764575068861868</v>
      </c>
      <c r="E1900" s="21">
        <f t="shared" ca="1" si="329"/>
        <v>6.3984447320335676</v>
      </c>
      <c r="F1900" s="20" t="str">
        <f t="shared" ca="1" si="327"/>
        <v>No</v>
      </c>
      <c r="G1900" s="21">
        <f t="shared" ca="1" si="323"/>
        <v>0</v>
      </c>
      <c r="H1900" s="21">
        <f t="shared" ca="1" si="324"/>
        <v>5671.9548107533619</v>
      </c>
      <c r="I1900" s="21">
        <f t="shared" ca="1" si="319"/>
        <v>5673.531268260248</v>
      </c>
      <c r="J1900" s="20">
        <f t="shared" ca="1" si="328"/>
        <v>5</v>
      </c>
      <c r="K1900" s="20">
        <f t="shared" ca="1" si="320"/>
        <v>3</v>
      </c>
      <c r="L1900" s="44">
        <f t="shared" ca="1" si="325"/>
        <v>4</v>
      </c>
    </row>
    <row r="1901" spans="1:12" x14ac:dyDescent="0.25">
      <c r="A1901" s="20">
        <v>1893</v>
      </c>
      <c r="B1901" s="21">
        <f t="shared" ca="1" si="321"/>
        <v>0.79495373521823609</v>
      </c>
      <c r="C1901" s="21">
        <f t="shared" ca="1" si="326"/>
        <v>5666.3513197565462</v>
      </c>
      <c r="D1901" s="21">
        <f t="shared" ca="1" si="322"/>
        <v>2.4634078092756466</v>
      </c>
      <c r="E1901" s="21">
        <f t="shared" ca="1" si="329"/>
        <v>7.1799485037017803</v>
      </c>
      <c r="F1901" s="20" t="str">
        <f t="shared" ca="1" si="327"/>
        <v>No</v>
      </c>
      <c r="G1901" s="21">
        <f t="shared" ca="1" si="323"/>
        <v>0</v>
      </c>
      <c r="H1901" s="21">
        <f t="shared" ca="1" si="324"/>
        <v>5673.531268260248</v>
      </c>
      <c r="I1901" s="21">
        <f t="shared" ca="1" si="319"/>
        <v>5675.9946760695238</v>
      </c>
      <c r="J1901" s="20">
        <f t="shared" ca="1" si="328"/>
        <v>4</v>
      </c>
      <c r="K1901" s="20">
        <f t="shared" ca="1" si="320"/>
        <v>4</v>
      </c>
      <c r="L1901" s="44">
        <f t="shared" ca="1" si="325"/>
        <v>4</v>
      </c>
    </row>
    <row r="1902" spans="1:12" x14ac:dyDescent="0.25">
      <c r="A1902" s="20">
        <v>1894</v>
      </c>
      <c r="B1902" s="21">
        <f t="shared" ca="1" si="321"/>
        <v>4.2015379437849552</v>
      </c>
      <c r="C1902" s="21">
        <f t="shared" ca="1" si="326"/>
        <v>5670.5528577003315</v>
      </c>
      <c r="D1902" s="21">
        <f t="shared" ca="1" si="322"/>
        <v>1.4042199392786237</v>
      </c>
      <c r="E1902" s="21">
        <f t="shared" ca="1" si="329"/>
        <v>5.4418183691923332</v>
      </c>
      <c r="F1902" s="20" t="str">
        <f t="shared" ca="1" si="327"/>
        <v>No</v>
      </c>
      <c r="G1902" s="21">
        <f t="shared" ca="1" si="323"/>
        <v>0</v>
      </c>
      <c r="H1902" s="21">
        <f t="shared" ca="1" si="324"/>
        <v>5675.9946760695238</v>
      </c>
      <c r="I1902" s="21">
        <f t="shared" ca="1" si="319"/>
        <v>5677.3988960088027</v>
      </c>
      <c r="J1902" s="20">
        <f t="shared" ca="1" si="328"/>
        <v>5</v>
      </c>
      <c r="K1902" s="20">
        <f t="shared" ca="1" si="320"/>
        <v>3</v>
      </c>
      <c r="L1902" s="44">
        <f t="shared" ca="1" si="325"/>
        <v>4</v>
      </c>
    </row>
    <row r="1903" spans="1:12" x14ac:dyDescent="0.25">
      <c r="A1903" s="20">
        <v>1895</v>
      </c>
      <c r="B1903" s="21">
        <f t="shared" ca="1" si="321"/>
        <v>0.98663110824439304</v>
      </c>
      <c r="C1903" s="21">
        <f t="shared" ca="1" si="326"/>
        <v>5671.5394888085757</v>
      </c>
      <c r="D1903" s="21">
        <f t="shared" ca="1" si="322"/>
        <v>3.8676268173358855E-2</v>
      </c>
      <c r="E1903" s="21">
        <f t="shared" ca="1" si="329"/>
        <v>5.8594072002269968</v>
      </c>
      <c r="F1903" s="20" t="str">
        <f t="shared" ca="1" si="327"/>
        <v>No</v>
      </c>
      <c r="G1903" s="21">
        <f t="shared" ca="1" si="323"/>
        <v>0</v>
      </c>
      <c r="H1903" s="21">
        <f t="shared" ca="1" si="324"/>
        <v>5677.3988960088027</v>
      </c>
      <c r="I1903" s="21">
        <f t="shared" ca="1" si="319"/>
        <v>5677.4375722769764</v>
      </c>
      <c r="J1903" s="20">
        <f t="shared" ca="1" si="328"/>
        <v>4</v>
      </c>
      <c r="K1903" s="20">
        <f t="shared" ca="1" si="320"/>
        <v>2</v>
      </c>
      <c r="L1903" s="44">
        <f t="shared" ca="1" si="325"/>
        <v>3</v>
      </c>
    </row>
    <row r="1904" spans="1:12" x14ac:dyDescent="0.25">
      <c r="A1904" s="20">
        <v>1896</v>
      </c>
      <c r="B1904" s="21">
        <f t="shared" ca="1" si="321"/>
        <v>2.6327164039309467</v>
      </c>
      <c r="C1904" s="21">
        <f t="shared" ca="1" si="326"/>
        <v>5674.1722052125069</v>
      </c>
      <c r="D1904" s="21">
        <f t="shared" ca="1" si="322"/>
        <v>3.8206836372535458</v>
      </c>
      <c r="E1904" s="21">
        <f t="shared" ca="1" si="329"/>
        <v>3.2653670644695012</v>
      </c>
      <c r="F1904" s="20" t="str">
        <f t="shared" ca="1" si="327"/>
        <v>No</v>
      </c>
      <c r="G1904" s="21">
        <f t="shared" ca="1" si="323"/>
        <v>0</v>
      </c>
      <c r="H1904" s="21">
        <f t="shared" ca="1" si="324"/>
        <v>5677.4375722769764</v>
      </c>
      <c r="I1904" s="21">
        <f t="shared" ca="1" si="319"/>
        <v>5681.2582559142302</v>
      </c>
      <c r="J1904" s="20">
        <f t="shared" ca="1" si="328"/>
        <v>3</v>
      </c>
      <c r="K1904" s="20">
        <f t="shared" ca="1" si="320"/>
        <v>1</v>
      </c>
      <c r="L1904" s="44">
        <f t="shared" ca="1" si="325"/>
        <v>2</v>
      </c>
    </row>
    <row r="1905" spans="1:12" x14ac:dyDescent="0.25">
      <c r="A1905" s="20">
        <v>1897</v>
      </c>
      <c r="B1905" s="21">
        <f t="shared" ca="1" si="321"/>
        <v>7.3034203839732748E-2</v>
      </c>
      <c r="C1905" s="21">
        <f t="shared" ca="1" si="326"/>
        <v>5674.2452394163465</v>
      </c>
      <c r="D1905" s="21">
        <f t="shared" ca="1" si="322"/>
        <v>4.5151199566477329</v>
      </c>
      <c r="E1905" s="21">
        <f t="shared" ca="1" si="329"/>
        <v>7.0130164978836547</v>
      </c>
      <c r="F1905" s="20" t="str">
        <f t="shared" ca="1" si="327"/>
        <v>No</v>
      </c>
      <c r="G1905" s="21">
        <f t="shared" ca="1" si="323"/>
        <v>0</v>
      </c>
      <c r="H1905" s="21">
        <f t="shared" ca="1" si="324"/>
        <v>5681.2582559142302</v>
      </c>
      <c r="I1905" s="21">
        <f t="shared" ca="1" si="319"/>
        <v>5685.7733758708782</v>
      </c>
      <c r="J1905" s="20">
        <f t="shared" ca="1" si="328"/>
        <v>2</v>
      </c>
      <c r="K1905" s="20">
        <f t="shared" ca="1" si="320"/>
        <v>2</v>
      </c>
      <c r="L1905" s="44">
        <f t="shared" ca="1" si="325"/>
        <v>2</v>
      </c>
    </row>
    <row r="1906" spans="1:12" x14ac:dyDescent="0.25">
      <c r="A1906" s="20">
        <v>1898</v>
      </c>
      <c r="B1906" s="21">
        <f t="shared" ca="1" si="321"/>
        <v>7.8470789875479365</v>
      </c>
      <c r="C1906" s="21">
        <f t="shared" ca="1" si="326"/>
        <v>5682.0923184038948</v>
      </c>
      <c r="D1906" s="21">
        <f t="shared" ca="1" si="322"/>
        <v>1.1701393810668237</v>
      </c>
      <c r="E1906" s="21">
        <f t="shared" ca="1" si="329"/>
        <v>3.681057466983475</v>
      </c>
      <c r="F1906" s="20" t="str">
        <f t="shared" ca="1" si="327"/>
        <v>No</v>
      </c>
      <c r="G1906" s="21">
        <f t="shared" ca="1" si="323"/>
        <v>0</v>
      </c>
      <c r="H1906" s="21">
        <f t="shared" ca="1" si="324"/>
        <v>5685.7733758708782</v>
      </c>
      <c r="I1906" s="21">
        <f t="shared" ca="1" si="319"/>
        <v>5686.9435152519454</v>
      </c>
      <c r="J1906" s="20">
        <f t="shared" ca="1" si="328"/>
        <v>3</v>
      </c>
      <c r="K1906" s="20">
        <f t="shared" ca="1" si="320"/>
        <v>2</v>
      </c>
      <c r="L1906" s="44">
        <f t="shared" ca="1" si="325"/>
        <v>2.5</v>
      </c>
    </row>
    <row r="1907" spans="1:12" x14ac:dyDescent="0.25">
      <c r="A1907" s="20">
        <v>1899</v>
      </c>
      <c r="B1907" s="21">
        <f t="shared" ca="1" si="321"/>
        <v>3.1111034003435933</v>
      </c>
      <c r="C1907" s="21">
        <f t="shared" ca="1" si="326"/>
        <v>5685.2034218042381</v>
      </c>
      <c r="D1907" s="21">
        <f t="shared" ca="1" si="322"/>
        <v>2.3103337615318553</v>
      </c>
      <c r="E1907" s="21">
        <f t="shared" ca="1" si="329"/>
        <v>1.7400934477072951</v>
      </c>
      <c r="F1907" s="20" t="str">
        <f t="shared" ca="1" si="327"/>
        <v>No</v>
      </c>
      <c r="G1907" s="21">
        <f t="shared" ca="1" si="323"/>
        <v>0</v>
      </c>
      <c r="H1907" s="21">
        <f t="shared" ca="1" si="324"/>
        <v>5686.9435152519454</v>
      </c>
      <c r="I1907" s="21">
        <f t="shared" ca="1" si="319"/>
        <v>5689.2538490134775</v>
      </c>
      <c r="J1907" s="20">
        <f t="shared" ca="1" si="328"/>
        <v>3</v>
      </c>
      <c r="K1907" s="20">
        <f t="shared" ca="1" si="320"/>
        <v>3</v>
      </c>
      <c r="L1907" s="44">
        <f t="shared" ca="1" si="325"/>
        <v>3</v>
      </c>
    </row>
    <row r="1908" spans="1:12" x14ac:dyDescent="0.25">
      <c r="A1908" s="20">
        <v>1900</v>
      </c>
      <c r="B1908" s="21">
        <f t="shared" ca="1" si="321"/>
        <v>0.81198032648036478</v>
      </c>
      <c r="C1908" s="21">
        <f t="shared" ca="1" si="326"/>
        <v>5686.0154021307189</v>
      </c>
      <c r="D1908" s="21">
        <f t="shared" ca="1" si="322"/>
        <v>0.43259603452759066</v>
      </c>
      <c r="E1908" s="21">
        <f t="shared" ca="1" si="329"/>
        <v>3.2384468827585806</v>
      </c>
      <c r="F1908" s="20" t="str">
        <f t="shared" ca="1" si="327"/>
        <v>No</v>
      </c>
      <c r="G1908" s="21">
        <f t="shared" ca="1" si="323"/>
        <v>0</v>
      </c>
      <c r="H1908" s="21">
        <f t="shared" ca="1" si="324"/>
        <v>5689.2538490134775</v>
      </c>
      <c r="I1908" s="21">
        <f t="shared" ca="1" si="319"/>
        <v>5689.6864450480052</v>
      </c>
      <c r="J1908" s="20">
        <f t="shared" ca="1" si="328"/>
        <v>4</v>
      </c>
      <c r="K1908" s="20">
        <f t="shared" ca="1" si="320"/>
        <v>2</v>
      </c>
      <c r="L1908" s="44">
        <f t="shared" ca="1" si="325"/>
        <v>3</v>
      </c>
    </row>
    <row r="1909" spans="1:12" x14ac:dyDescent="0.25">
      <c r="A1909" s="20">
        <v>1901</v>
      </c>
      <c r="B1909" s="21">
        <f t="shared" ca="1" si="321"/>
        <v>2.6753027985665856</v>
      </c>
      <c r="C1909" s="21">
        <f t="shared" ca="1" si="326"/>
        <v>5688.6907049292859</v>
      </c>
      <c r="D1909" s="21">
        <f t="shared" ca="1" si="322"/>
        <v>0.68900322784627621</v>
      </c>
      <c r="E1909" s="21">
        <f t="shared" ca="1" si="329"/>
        <v>0.99574011871936818</v>
      </c>
      <c r="F1909" s="20" t="str">
        <f t="shared" ca="1" si="327"/>
        <v>No</v>
      </c>
      <c r="G1909" s="21">
        <f t="shared" ca="1" si="323"/>
        <v>0</v>
      </c>
      <c r="H1909" s="21">
        <f t="shared" ca="1" si="324"/>
        <v>5689.6864450480052</v>
      </c>
      <c r="I1909" s="21">
        <f t="shared" ca="1" si="319"/>
        <v>5690.3754482758513</v>
      </c>
      <c r="J1909" s="20">
        <f t="shared" ca="1" si="328"/>
        <v>3</v>
      </c>
      <c r="K1909" s="20">
        <f t="shared" ca="1" si="320"/>
        <v>1</v>
      </c>
      <c r="L1909" s="44">
        <f t="shared" ca="1" si="325"/>
        <v>2</v>
      </c>
    </row>
    <row r="1910" spans="1:12" x14ac:dyDescent="0.25">
      <c r="A1910" s="20">
        <v>1902</v>
      </c>
      <c r="B1910" s="21">
        <f t="shared" ca="1" si="321"/>
        <v>0.30524805157190282</v>
      </c>
      <c r="C1910" s="21">
        <f t="shared" ca="1" si="326"/>
        <v>5688.9959529808575</v>
      </c>
      <c r="D1910" s="21">
        <f t="shared" ca="1" si="322"/>
        <v>1.4471221839519532</v>
      </c>
      <c r="E1910" s="21">
        <f t="shared" ca="1" si="329"/>
        <v>1.3794952949938306</v>
      </c>
      <c r="F1910" s="20" t="str">
        <f t="shared" ca="1" si="327"/>
        <v>No</v>
      </c>
      <c r="G1910" s="21">
        <f t="shared" ca="1" si="323"/>
        <v>0</v>
      </c>
      <c r="H1910" s="21">
        <f t="shared" ca="1" si="324"/>
        <v>5690.3754482758513</v>
      </c>
      <c r="I1910" s="21">
        <f t="shared" ca="1" si="319"/>
        <v>5691.8225704598035</v>
      </c>
      <c r="J1910" s="20">
        <f t="shared" ca="1" si="328"/>
        <v>2</v>
      </c>
      <c r="K1910" s="20">
        <f t="shared" ca="1" si="320"/>
        <v>1</v>
      </c>
      <c r="L1910" s="44">
        <f t="shared" ca="1" si="325"/>
        <v>1.5</v>
      </c>
    </row>
    <row r="1911" spans="1:12" x14ac:dyDescent="0.25">
      <c r="A1911" s="20">
        <v>1903</v>
      </c>
      <c r="B1911" s="21">
        <f t="shared" ca="1" si="321"/>
        <v>2.5912480157562778</v>
      </c>
      <c r="C1911" s="21">
        <f t="shared" ca="1" si="326"/>
        <v>5691.5872009966142</v>
      </c>
      <c r="D1911" s="21">
        <f t="shared" ca="1" si="322"/>
        <v>0.19973720792912436</v>
      </c>
      <c r="E1911" s="21">
        <f t="shared" ca="1" si="329"/>
        <v>0.23536946318927221</v>
      </c>
      <c r="F1911" s="20" t="str">
        <f t="shared" ca="1" si="327"/>
        <v>No</v>
      </c>
      <c r="G1911" s="21">
        <f t="shared" ca="1" si="323"/>
        <v>0</v>
      </c>
      <c r="H1911" s="21">
        <f t="shared" ca="1" si="324"/>
        <v>5691.8225704598035</v>
      </c>
      <c r="I1911" s="21">
        <f t="shared" ca="1" si="319"/>
        <v>5692.022307667733</v>
      </c>
      <c r="J1911" s="20">
        <f t="shared" ca="1" si="328"/>
        <v>2</v>
      </c>
      <c r="K1911" s="20">
        <f t="shared" ca="1" si="320"/>
        <v>0</v>
      </c>
      <c r="L1911" s="44">
        <f t="shared" ca="1" si="325"/>
        <v>1</v>
      </c>
    </row>
    <row r="1912" spans="1:12" x14ac:dyDescent="0.25">
      <c r="A1912" s="20">
        <v>1904</v>
      </c>
      <c r="B1912" s="21">
        <f t="shared" ca="1" si="321"/>
        <v>1.1317916747032568</v>
      </c>
      <c r="C1912" s="21">
        <f t="shared" ca="1" si="326"/>
        <v>5692.7189926713172</v>
      </c>
      <c r="D1912" s="21">
        <f t="shared" ca="1" si="322"/>
        <v>0.10615432065902139</v>
      </c>
      <c r="E1912" s="21">
        <f t="shared" ca="1" si="329"/>
        <v>0</v>
      </c>
      <c r="F1912" s="20" t="str">
        <f t="shared" ca="1" si="327"/>
        <v>Yes</v>
      </c>
      <c r="G1912" s="21">
        <f t="shared" ca="1" si="323"/>
        <v>0.69668500358420715</v>
      </c>
      <c r="H1912" s="21">
        <f t="shared" ca="1" si="324"/>
        <v>5692.7189926713172</v>
      </c>
      <c r="I1912" s="21">
        <f t="shared" ca="1" si="319"/>
        <v>5692.825146991976</v>
      </c>
      <c r="J1912" s="20">
        <f t="shared" ca="1" si="328"/>
        <v>0</v>
      </c>
      <c r="K1912" s="20">
        <f t="shared" ca="1" si="320"/>
        <v>0</v>
      </c>
      <c r="L1912" s="44">
        <f t="shared" ca="1" si="325"/>
        <v>0</v>
      </c>
    </row>
    <row r="1913" spans="1:12" x14ac:dyDescent="0.25">
      <c r="A1913" s="20">
        <v>1905</v>
      </c>
      <c r="B1913" s="21">
        <f t="shared" ca="1" si="321"/>
        <v>0.31120999553898654</v>
      </c>
      <c r="C1913" s="21">
        <f t="shared" ca="1" si="326"/>
        <v>5693.030202666856</v>
      </c>
      <c r="D1913" s="21">
        <f t="shared" ca="1" si="322"/>
        <v>1.3917724144896872</v>
      </c>
      <c r="E1913" s="21">
        <f t="shared" ca="1" si="329"/>
        <v>0</v>
      </c>
      <c r="F1913" s="20" t="str">
        <f t="shared" ca="1" si="327"/>
        <v>Yes</v>
      </c>
      <c r="G1913" s="21">
        <f t="shared" ca="1" si="323"/>
        <v>0.20505567487998633</v>
      </c>
      <c r="H1913" s="21">
        <f t="shared" ca="1" si="324"/>
        <v>5693.030202666856</v>
      </c>
      <c r="I1913" s="21">
        <f t="shared" ca="1" si="319"/>
        <v>5694.4219750813454</v>
      </c>
      <c r="J1913" s="20">
        <f t="shared" ca="1" si="328"/>
        <v>0</v>
      </c>
      <c r="K1913" s="20">
        <f t="shared" ca="1" si="320"/>
        <v>1</v>
      </c>
      <c r="L1913" s="44">
        <f t="shared" ca="1" si="325"/>
        <v>0.5</v>
      </c>
    </row>
    <row r="1914" spans="1:12" x14ac:dyDescent="0.25">
      <c r="A1914" s="20">
        <v>1906</v>
      </c>
      <c r="B1914" s="21">
        <f t="shared" ca="1" si="321"/>
        <v>1.0242266081958791</v>
      </c>
      <c r="C1914" s="21">
        <f t="shared" ca="1" si="326"/>
        <v>5694.0544292750519</v>
      </c>
      <c r="D1914" s="21">
        <f t="shared" ca="1" si="322"/>
        <v>2.4887508815573027</v>
      </c>
      <c r="E1914" s="21">
        <f t="shared" ca="1" si="329"/>
        <v>0.36754580629349221</v>
      </c>
      <c r="F1914" s="20" t="str">
        <f t="shared" ca="1" si="327"/>
        <v>No</v>
      </c>
      <c r="G1914" s="21">
        <f t="shared" ca="1" si="323"/>
        <v>0</v>
      </c>
      <c r="H1914" s="21">
        <f t="shared" ca="1" si="324"/>
        <v>5694.4219750813454</v>
      </c>
      <c r="I1914" s="21">
        <f t="shared" ca="1" si="319"/>
        <v>5696.9107259629027</v>
      </c>
      <c r="J1914" s="20">
        <f t="shared" ca="1" si="328"/>
        <v>2</v>
      </c>
      <c r="K1914" s="20">
        <f t="shared" ca="1" si="320"/>
        <v>1</v>
      </c>
      <c r="L1914" s="44">
        <f t="shared" ca="1" si="325"/>
        <v>1.5</v>
      </c>
    </row>
    <row r="1915" spans="1:12" x14ac:dyDescent="0.25">
      <c r="A1915" s="20">
        <v>1907</v>
      </c>
      <c r="B1915" s="21">
        <f t="shared" ca="1" si="321"/>
        <v>2.0509968198897695</v>
      </c>
      <c r="C1915" s="21">
        <f t="shared" ca="1" si="326"/>
        <v>5696.1054260949413</v>
      </c>
      <c r="D1915" s="21">
        <f t="shared" ca="1" si="322"/>
        <v>0.42663364258173964</v>
      </c>
      <c r="E1915" s="21">
        <f t="shared" ca="1" si="329"/>
        <v>0.80529986796136654</v>
      </c>
      <c r="F1915" s="20" t="str">
        <f t="shared" ca="1" si="327"/>
        <v>No</v>
      </c>
      <c r="G1915" s="21">
        <f t="shared" ca="1" si="323"/>
        <v>0</v>
      </c>
      <c r="H1915" s="21">
        <f t="shared" ca="1" si="324"/>
        <v>5696.9107259629027</v>
      </c>
      <c r="I1915" s="21">
        <f t="shared" ca="1" si="319"/>
        <v>5697.3373596054844</v>
      </c>
      <c r="J1915" s="20">
        <f t="shared" ca="1" si="328"/>
        <v>2</v>
      </c>
      <c r="K1915" s="20">
        <f t="shared" ca="1" si="320"/>
        <v>0</v>
      </c>
      <c r="L1915" s="44">
        <f t="shared" ca="1" si="325"/>
        <v>1</v>
      </c>
    </row>
    <row r="1916" spans="1:12" x14ac:dyDescent="0.25">
      <c r="A1916" s="20">
        <v>1908</v>
      </c>
      <c r="B1916" s="21">
        <f t="shared" ca="1" si="321"/>
        <v>4.9226405954312096</v>
      </c>
      <c r="C1916" s="21">
        <f t="shared" ca="1" si="326"/>
        <v>5701.0280666903727</v>
      </c>
      <c r="D1916" s="21">
        <f t="shared" ca="1" si="322"/>
        <v>4.3796612586696231</v>
      </c>
      <c r="E1916" s="21">
        <f t="shared" ca="1" si="329"/>
        <v>0</v>
      </c>
      <c r="F1916" s="20" t="str">
        <f t="shared" ca="1" si="327"/>
        <v>Yes</v>
      </c>
      <c r="G1916" s="21">
        <f t="shared" ca="1" si="323"/>
        <v>3.690707084888345</v>
      </c>
      <c r="H1916" s="21">
        <f t="shared" ca="1" si="324"/>
        <v>5701.0280666903727</v>
      </c>
      <c r="I1916" s="21">
        <f t="shared" ca="1" si="319"/>
        <v>5705.4077279490421</v>
      </c>
      <c r="J1916" s="20">
        <f t="shared" ca="1" si="328"/>
        <v>0</v>
      </c>
      <c r="K1916" s="20">
        <f t="shared" ca="1" si="320"/>
        <v>1</v>
      </c>
      <c r="L1916" s="44">
        <f t="shared" ca="1" si="325"/>
        <v>0.5</v>
      </c>
    </row>
    <row r="1917" spans="1:12" x14ac:dyDescent="0.25">
      <c r="A1917" s="20">
        <v>1909</v>
      </c>
      <c r="B1917" s="21">
        <f t="shared" ca="1" si="321"/>
        <v>1.1116622306099433</v>
      </c>
      <c r="C1917" s="21">
        <f t="shared" ca="1" si="326"/>
        <v>5702.1397289209826</v>
      </c>
      <c r="D1917" s="21">
        <f t="shared" ca="1" si="322"/>
        <v>1.8731549825809226</v>
      </c>
      <c r="E1917" s="21">
        <f t="shared" ca="1" si="329"/>
        <v>3.2679990280594211</v>
      </c>
      <c r="F1917" s="20" t="str">
        <f t="shared" ca="1" si="327"/>
        <v>No</v>
      </c>
      <c r="G1917" s="21">
        <f t="shared" ca="1" si="323"/>
        <v>0</v>
      </c>
      <c r="H1917" s="21">
        <f t="shared" ca="1" si="324"/>
        <v>5705.4077279490421</v>
      </c>
      <c r="I1917" s="21">
        <f t="shared" ca="1" si="319"/>
        <v>5707.2808829316227</v>
      </c>
      <c r="J1917" s="20">
        <f t="shared" ca="1" si="328"/>
        <v>2</v>
      </c>
      <c r="K1917" s="20">
        <f t="shared" ca="1" si="320"/>
        <v>1</v>
      </c>
      <c r="L1917" s="44">
        <f t="shared" ca="1" si="325"/>
        <v>1.5</v>
      </c>
    </row>
    <row r="1918" spans="1:12" x14ac:dyDescent="0.25">
      <c r="A1918" s="20">
        <v>1910</v>
      </c>
      <c r="B1918" s="21">
        <f t="shared" ca="1" si="321"/>
        <v>4.6126807467222255</v>
      </c>
      <c r="C1918" s="21">
        <f t="shared" ca="1" si="326"/>
        <v>5706.7524096677053</v>
      </c>
      <c r="D1918" s="21">
        <f t="shared" ca="1" si="322"/>
        <v>13.002468583171515</v>
      </c>
      <c r="E1918" s="21">
        <f t="shared" ca="1" si="329"/>
        <v>0.52847326391747629</v>
      </c>
      <c r="F1918" s="20" t="str">
        <f t="shared" ca="1" si="327"/>
        <v>No</v>
      </c>
      <c r="G1918" s="21">
        <f t="shared" ca="1" si="323"/>
        <v>0</v>
      </c>
      <c r="H1918" s="21">
        <f t="shared" ca="1" si="324"/>
        <v>5707.2808829316227</v>
      </c>
      <c r="I1918" s="21">
        <f t="shared" ca="1" si="319"/>
        <v>5720.283351514794</v>
      </c>
      <c r="J1918" s="20">
        <f t="shared" ca="1" si="328"/>
        <v>2</v>
      </c>
      <c r="K1918" s="20">
        <f t="shared" ca="1" si="320"/>
        <v>5</v>
      </c>
      <c r="L1918" s="44">
        <f t="shared" ca="1" si="325"/>
        <v>3.5</v>
      </c>
    </row>
    <row r="1919" spans="1:12" x14ac:dyDescent="0.25">
      <c r="A1919" s="20">
        <v>1911</v>
      </c>
      <c r="B1919" s="21">
        <f t="shared" ca="1" si="321"/>
        <v>2.9067064224843473</v>
      </c>
      <c r="C1919" s="21">
        <f t="shared" ca="1" si="326"/>
        <v>5709.6591160901899</v>
      </c>
      <c r="D1919" s="21">
        <f t="shared" ca="1" si="322"/>
        <v>1.2927643630201429</v>
      </c>
      <c r="E1919" s="21">
        <f t="shared" ca="1" si="329"/>
        <v>10.624235424604194</v>
      </c>
      <c r="F1919" s="20" t="str">
        <f t="shared" ca="1" si="327"/>
        <v>No</v>
      </c>
      <c r="G1919" s="21">
        <f t="shared" ca="1" si="323"/>
        <v>0</v>
      </c>
      <c r="H1919" s="21">
        <f t="shared" ca="1" si="324"/>
        <v>5720.283351514794</v>
      </c>
      <c r="I1919" s="21">
        <f t="shared" ca="1" si="319"/>
        <v>5721.5761158778141</v>
      </c>
      <c r="J1919" s="20">
        <f t="shared" ca="1" si="328"/>
        <v>6</v>
      </c>
      <c r="K1919" s="20">
        <f t="shared" ca="1" si="320"/>
        <v>5</v>
      </c>
      <c r="L1919" s="44">
        <f t="shared" ca="1" si="325"/>
        <v>5.5</v>
      </c>
    </row>
    <row r="1920" spans="1:12" x14ac:dyDescent="0.25">
      <c r="A1920" s="20">
        <v>1912</v>
      </c>
      <c r="B1920" s="21">
        <f t="shared" ca="1" si="321"/>
        <v>1.5271820778544445</v>
      </c>
      <c r="C1920" s="21">
        <f t="shared" ca="1" si="326"/>
        <v>5711.1862981680442</v>
      </c>
      <c r="D1920" s="21">
        <f t="shared" ca="1" si="322"/>
        <v>1.5405704217121032</v>
      </c>
      <c r="E1920" s="21">
        <f t="shared" ca="1" si="329"/>
        <v>10.389817709769886</v>
      </c>
      <c r="F1920" s="20" t="str">
        <f t="shared" ca="1" si="327"/>
        <v>No</v>
      </c>
      <c r="G1920" s="21">
        <f t="shared" ca="1" si="323"/>
        <v>0</v>
      </c>
      <c r="H1920" s="21">
        <f t="shared" ca="1" si="324"/>
        <v>5721.5761158778141</v>
      </c>
      <c r="I1920" s="21">
        <f t="shared" ca="1" si="319"/>
        <v>5723.116686299526</v>
      </c>
      <c r="J1920" s="20">
        <f t="shared" ca="1" si="328"/>
        <v>6</v>
      </c>
      <c r="K1920" s="20">
        <f t="shared" ca="1" si="320"/>
        <v>5</v>
      </c>
      <c r="L1920" s="44">
        <f t="shared" ca="1" si="325"/>
        <v>5.5</v>
      </c>
    </row>
    <row r="1921" spans="1:12" x14ac:dyDescent="0.25">
      <c r="A1921" s="20">
        <v>1913</v>
      </c>
      <c r="B1921" s="21">
        <f t="shared" ca="1" si="321"/>
        <v>1.3840009611499871</v>
      </c>
      <c r="C1921" s="21">
        <f t="shared" ca="1" si="326"/>
        <v>5712.5702991291946</v>
      </c>
      <c r="D1921" s="21">
        <f t="shared" ca="1" si="322"/>
        <v>4.8442684271425174</v>
      </c>
      <c r="E1921" s="21">
        <f t="shared" ca="1" si="329"/>
        <v>10.5463871703314</v>
      </c>
      <c r="F1921" s="20" t="str">
        <f t="shared" ca="1" si="327"/>
        <v>No</v>
      </c>
      <c r="G1921" s="21">
        <f t="shared" ca="1" si="323"/>
        <v>0</v>
      </c>
      <c r="H1921" s="21">
        <f t="shared" ca="1" si="324"/>
        <v>5723.116686299526</v>
      </c>
      <c r="I1921" s="21">
        <f t="shared" ca="1" si="319"/>
        <v>5727.9609547266682</v>
      </c>
      <c r="J1921" s="20">
        <f t="shared" ca="1" si="328"/>
        <v>6</v>
      </c>
      <c r="K1921" s="20">
        <f t="shared" ca="1" si="320"/>
        <v>5</v>
      </c>
      <c r="L1921" s="44">
        <f t="shared" ca="1" si="325"/>
        <v>5.5</v>
      </c>
    </row>
    <row r="1922" spans="1:12" x14ac:dyDescent="0.25">
      <c r="A1922" s="20">
        <v>1914</v>
      </c>
      <c r="B1922" s="21">
        <f t="shared" ca="1" si="321"/>
        <v>2.883103640476893</v>
      </c>
      <c r="C1922" s="21">
        <f t="shared" ca="1" si="326"/>
        <v>5715.4534027696718</v>
      </c>
      <c r="D1922" s="21">
        <f t="shared" ca="1" si="322"/>
        <v>2.65104435684859</v>
      </c>
      <c r="E1922" s="21">
        <f t="shared" ca="1" si="329"/>
        <v>12.507551956996394</v>
      </c>
      <c r="F1922" s="20" t="str">
        <f t="shared" ca="1" si="327"/>
        <v>No</v>
      </c>
      <c r="G1922" s="21">
        <f t="shared" ca="1" si="323"/>
        <v>0</v>
      </c>
      <c r="H1922" s="21">
        <f t="shared" ca="1" si="324"/>
        <v>5727.9609547266682</v>
      </c>
      <c r="I1922" s="21">
        <f t="shared" ca="1" si="319"/>
        <v>5730.6119990835168</v>
      </c>
      <c r="J1922" s="20">
        <f t="shared" ca="1" si="328"/>
        <v>6</v>
      </c>
      <c r="K1922" s="20">
        <f t="shared" ca="1" si="320"/>
        <v>4</v>
      </c>
      <c r="L1922" s="44">
        <f t="shared" ca="1" si="325"/>
        <v>5</v>
      </c>
    </row>
    <row r="1923" spans="1:12" x14ac:dyDescent="0.25">
      <c r="A1923" s="20">
        <v>1915</v>
      </c>
      <c r="B1923" s="21">
        <f t="shared" ca="1" si="321"/>
        <v>0.52263242931990805</v>
      </c>
      <c r="C1923" s="21">
        <f t="shared" ca="1" si="326"/>
        <v>5715.9760351989917</v>
      </c>
      <c r="D1923" s="21">
        <f t="shared" ca="1" si="322"/>
        <v>4.1968518875241596</v>
      </c>
      <c r="E1923" s="21">
        <f t="shared" ca="1" si="329"/>
        <v>14.635963884525154</v>
      </c>
      <c r="F1923" s="20" t="str">
        <f t="shared" ca="1" si="327"/>
        <v>No</v>
      </c>
      <c r="G1923" s="21">
        <f t="shared" ca="1" si="323"/>
        <v>0</v>
      </c>
      <c r="H1923" s="21">
        <f t="shared" ca="1" si="324"/>
        <v>5730.6119990835168</v>
      </c>
      <c r="I1923" s="21">
        <f t="shared" ca="1" si="319"/>
        <v>5734.8088509710406</v>
      </c>
      <c r="J1923" s="20">
        <f t="shared" ca="1" si="328"/>
        <v>5</v>
      </c>
      <c r="K1923" s="20">
        <f t="shared" ca="1" si="320"/>
        <v>3</v>
      </c>
      <c r="L1923" s="44">
        <f t="shared" ca="1" si="325"/>
        <v>4</v>
      </c>
    </row>
    <row r="1924" spans="1:12" x14ac:dyDescent="0.25">
      <c r="A1924" s="20">
        <v>1916</v>
      </c>
      <c r="B1924" s="21">
        <f t="shared" ca="1" si="321"/>
        <v>1.778076126394402</v>
      </c>
      <c r="C1924" s="21">
        <f t="shared" ca="1" si="326"/>
        <v>5717.7541113253865</v>
      </c>
      <c r="D1924" s="21">
        <f t="shared" ca="1" si="322"/>
        <v>4.6884493024143659</v>
      </c>
      <c r="E1924" s="21">
        <f t="shared" ca="1" si="329"/>
        <v>17.054739645654081</v>
      </c>
      <c r="F1924" s="20" t="str">
        <f t="shared" ca="1" si="327"/>
        <v>No</v>
      </c>
      <c r="G1924" s="21">
        <f t="shared" ca="1" si="323"/>
        <v>0</v>
      </c>
      <c r="H1924" s="21">
        <f t="shared" ca="1" si="324"/>
        <v>5734.8088509710406</v>
      </c>
      <c r="I1924" s="21">
        <f t="shared" ca="1" si="319"/>
        <v>5739.497300273455</v>
      </c>
      <c r="J1924" s="20">
        <f t="shared" ca="1" si="328"/>
        <v>4</v>
      </c>
      <c r="K1924" s="20">
        <f t="shared" ca="1" si="320"/>
        <v>4</v>
      </c>
      <c r="L1924" s="44">
        <f t="shared" ca="1" si="325"/>
        <v>4</v>
      </c>
    </row>
    <row r="1925" spans="1:12" x14ac:dyDescent="0.25">
      <c r="A1925" s="20">
        <v>1917</v>
      </c>
      <c r="B1925" s="21">
        <f t="shared" ca="1" si="321"/>
        <v>4.5082958975464669</v>
      </c>
      <c r="C1925" s="21">
        <f t="shared" ca="1" si="326"/>
        <v>5722.2624072229328</v>
      </c>
      <c r="D1925" s="21">
        <f t="shared" ca="1" si="322"/>
        <v>4.6702771360724205</v>
      </c>
      <c r="E1925" s="21">
        <f t="shared" ca="1" si="329"/>
        <v>17.23489305052226</v>
      </c>
      <c r="F1925" s="20" t="str">
        <f t="shared" ca="1" si="327"/>
        <v>No</v>
      </c>
      <c r="G1925" s="21">
        <f t="shared" ca="1" si="323"/>
        <v>0</v>
      </c>
      <c r="H1925" s="21">
        <f t="shared" ca="1" si="324"/>
        <v>5739.497300273455</v>
      </c>
      <c r="I1925" s="21">
        <f t="shared" ca="1" si="319"/>
        <v>5744.1675774095274</v>
      </c>
      <c r="J1925" s="20">
        <f t="shared" ca="1" si="328"/>
        <v>5</v>
      </c>
      <c r="K1925" s="20">
        <f t="shared" ca="1" si="320"/>
        <v>5</v>
      </c>
      <c r="L1925" s="44">
        <f t="shared" ca="1" si="325"/>
        <v>5</v>
      </c>
    </row>
    <row r="1926" spans="1:12" x14ac:dyDescent="0.25">
      <c r="A1926" s="20">
        <v>1918</v>
      </c>
      <c r="B1926" s="21">
        <f t="shared" ca="1" si="321"/>
        <v>5.1931532386451309</v>
      </c>
      <c r="C1926" s="21">
        <f t="shared" ca="1" si="326"/>
        <v>5727.455560461578</v>
      </c>
      <c r="D1926" s="21">
        <f t="shared" ca="1" si="322"/>
        <v>0.27978805512996235</v>
      </c>
      <c r="E1926" s="21">
        <f t="shared" ca="1" si="329"/>
        <v>16.712016947949451</v>
      </c>
      <c r="F1926" s="20" t="str">
        <f t="shared" ca="1" si="327"/>
        <v>No</v>
      </c>
      <c r="G1926" s="21">
        <f t="shared" ca="1" si="323"/>
        <v>0</v>
      </c>
      <c r="H1926" s="21">
        <f t="shared" ca="1" si="324"/>
        <v>5744.1675774095274</v>
      </c>
      <c r="I1926" s="21">
        <f t="shared" ca="1" si="319"/>
        <v>5744.4473654646572</v>
      </c>
      <c r="J1926" s="20">
        <f t="shared" ca="1" si="328"/>
        <v>6</v>
      </c>
      <c r="K1926" s="20">
        <f t="shared" ca="1" si="320"/>
        <v>5</v>
      </c>
      <c r="L1926" s="44">
        <f t="shared" ca="1" si="325"/>
        <v>5.5</v>
      </c>
    </row>
    <row r="1927" spans="1:12" x14ac:dyDescent="0.25">
      <c r="A1927" s="20">
        <v>1919</v>
      </c>
      <c r="B1927" s="21">
        <f t="shared" ca="1" si="321"/>
        <v>10.207553708962614</v>
      </c>
      <c r="C1927" s="21">
        <f t="shared" ca="1" si="326"/>
        <v>5737.6631141705402</v>
      </c>
      <c r="D1927" s="21">
        <f t="shared" ca="1" si="322"/>
        <v>1.0742670525804938</v>
      </c>
      <c r="E1927" s="21">
        <f t="shared" ca="1" si="329"/>
        <v>6.7842512941169844</v>
      </c>
      <c r="F1927" s="20" t="str">
        <f t="shared" ca="1" si="327"/>
        <v>No</v>
      </c>
      <c r="G1927" s="21">
        <f t="shared" ca="1" si="323"/>
        <v>0</v>
      </c>
      <c r="H1927" s="21">
        <f t="shared" ca="1" si="324"/>
        <v>5744.4473654646572</v>
      </c>
      <c r="I1927" s="21">
        <f t="shared" ca="1" si="319"/>
        <v>5745.5216325172378</v>
      </c>
      <c r="J1927" s="20">
        <f t="shared" ca="1" si="328"/>
        <v>6</v>
      </c>
      <c r="K1927" s="20">
        <f t="shared" ca="1" si="320"/>
        <v>4</v>
      </c>
      <c r="L1927" s="44">
        <f t="shared" ca="1" si="325"/>
        <v>5</v>
      </c>
    </row>
    <row r="1928" spans="1:12" x14ac:dyDescent="0.25">
      <c r="A1928" s="20">
        <v>1920</v>
      </c>
      <c r="B1928" s="21">
        <f t="shared" ca="1" si="321"/>
        <v>0.92884172553548128</v>
      </c>
      <c r="C1928" s="21">
        <f t="shared" ca="1" si="326"/>
        <v>5738.5919558960759</v>
      </c>
      <c r="D1928" s="21">
        <f t="shared" ca="1" si="322"/>
        <v>1.3796398790001976</v>
      </c>
      <c r="E1928" s="21">
        <f t="shared" ca="1" si="329"/>
        <v>6.9296766211618888</v>
      </c>
      <c r="F1928" s="20" t="str">
        <f t="shared" ca="1" si="327"/>
        <v>No</v>
      </c>
      <c r="G1928" s="21">
        <f t="shared" ca="1" si="323"/>
        <v>0</v>
      </c>
      <c r="H1928" s="21">
        <f t="shared" ca="1" si="324"/>
        <v>5745.5216325172378</v>
      </c>
      <c r="I1928" s="21">
        <f t="shared" ca="1" si="319"/>
        <v>5746.9012723962378</v>
      </c>
      <c r="J1928" s="20">
        <f t="shared" ca="1" si="328"/>
        <v>5</v>
      </c>
      <c r="K1928" s="20">
        <f t="shared" ca="1" si="320"/>
        <v>3</v>
      </c>
      <c r="L1928" s="44">
        <f t="shared" ca="1" si="325"/>
        <v>4</v>
      </c>
    </row>
    <row r="1929" spans="1:12" x14ac:dyDescent="0.25">
      <c r="A1929" s="20">
        <v>1921</v>
      </c>
      <c r="B1929" s="21">
        <f t="shared" ca="1" si="321"/>
        <v>0.95212636719739119</v>
      </c>
      <c r="C1929" s="21">
        <f t="shared" ca="1" si="326"/>
        <v>5739.5440822632736</v>
      </c>
      <c r="D1929" s="21">
        <f t="shared" ca="1" si="322"/>
        <v>0.55287641742097704</v>
      </c>
      <c r="E1929" s="21">
        <f t="shared" ca="1" si="329"/>
        <v>7.357190132964206</v>
      </c>
      <c r="F1929" s="20" t="str">
        <f t="shared" ca="1" si="327"/>
        <v>No</v>
      </c>
      <c r="G1929" s="21">
        <f t="shared" ca="1" si="323"/>
        <v>0</v>
      </c>
      <c r="H1929" s="21">
        <f t="shared" ca="1" si="324"/>
        <v>5746.9012723962378</v>
      </c>
      <c r="I1929" s="21">
        <f t="shared" ref="I1929:I1992" ca="1" si="330">$H1929+$D1929</f>
        <v>5747.4541488136592</v>
      </c>
      <c r="J1929" s="20">
        <f t="shared" ca="1" si="328"/>
        <v>4</v>
      </c>
      <c r="K1929" s="20">
        <f t="shared" ref="K1929:K1992" ca="1" si="331">IF($I1929&lt;=$C1930,0,IF($I1929&lt;=$C1931,1,IF($I1929&lt;=$C1932,2,IF($I1929&lt;=$C1933,3,IF($I1929&lt;=$C1934,4,5)))))</f>
        <v>3</v>
      </c>
      <c r="L1929" s="44">
        <f t="shared" ca="1" si="325"/>
        <v>3.5</v>
      </c>
    </row>
    <row r="1930" spans="1:12" x14ac:dyDescent="0.25">
      <c r="A1930" s="20">
        <v>1922</v>
      </c>
      <c r="B1930" s="21">
        <f t="shared" ref="B1930:B1993" ca="1" si="332">-LN(RAND())/$D$4</f>
        <v>1.1969393203263783</v>
      </c>
      <c r="C1930" s="21">
        <f t="shared" ca="1" si="326"/>
        <v>5740.7410215835998</v>
      </c>
      <c r="D1930" s="21">
        <f t="shared" ref="D1930:D1993" ca="1" si="333">-LN(RAND())/$D$6</f>
        <v>5.4244440417799327</v>
      </c>
      <c r="E1930" s="21">
        <f t="shared" ca="1" si="329"/>
        <v>6.7131272300593992</v>
      </c>
      <c r="F1930" s="20" t="str">
        <f t="shared" ca="1" si="327"/>
        <v>No</v>
      </c>
      <c r="G1930" s="21">
        <f t="shared" ref="G1930:G1993" ca="1" si="334">IF($I1929&lt;=$C1930,$C1930-$I1929,0)</f>
        <v>0</v>
      </c>
      <c r="H1930" s="21">
        <f t="shared" ref="H1930:H1993" ca="1" si="335">IF($I1929&lt;=$C1930,$C1930,$I1929)</f>
        <v>5747.4541488136592</v>
      </c>
      <c r="I1930" s="21">
        <f t="shared" ca="1" si="330"/>
        <v>5752.8785928554389</v>
      </c>
      <c r="J1930" s="20">
        <f t="shared" ca="1" si="328"/>
        <v>4</v>
      </c>
      <c r="K1930" s="20">
        <f t="shared" ca="1" si="331"/>
        <v>2</v>
      </c>
      <c r="L1930" s="44">
        <f t="shared" ref="L1930:L1993" ca="1" si="336">(J1930+K1930)/2</f>
        <v>3</v>
      </c>
    </row>
    <row r="1931" spans="1:12" x14ac:dyDescent="0.25">
      <c r="A1931" s="20">
        <v>1923</v>
      </c>
      <c r="B1931" s="21">
        <f t="shared" ca="1" si="332"/>
        <v>0.54038327560703225</v>
      </c>
      <c r="C1931" s="21">
        <f t="shared" ref="C1931:C1994" ca="1" si="337">$C1930+$B1931</f>
        <v>5741.2814048592072</v>
      </c>
      <c r="D1931" s="21">
        <f t="shared" ca="1" si="333"/>
        <v>2.4442088871789638</v>
      </c>
      <c r="E1931" s="21">
        <f t="shared" ca="1" si="329"/>
        <v>11.597187996231696</v>
      </c>
      <c r="F1931" s="20" t="str">
        <f t="shared" ref="F1931:F1994" ca="1" si="338">IF(E1931=0,"Yes","No")</f>
        <v>No</v>
      </c>
      <c r="G1931" s="21">
        <f t="shared" ca="1" si="334"/>
        <v>0</v>
      </c>
      <c r="H1931" s="21">
        <f t="shared" ca="1" si="335"/>
        <v>5752.8785928554389</v>
      </c>
      <c r="I1931" s="21">
        <f t="shared" ca="1" si="330"/>
        <v>5755.3228017426181</v>
      </c>
      <c r="J1931" s="20">
        <f t="shared" ref="J1931:J1994" ca="1" si="339">IF($I1930&lt;=$C1931,0,$K1930+1)</f>
        <v>3</v>
      </c>
      <c r="K1931" s="20">
        <f t="shared" ca="1" si="331"/>
        <v>1</v>
      </c>
      <c r="L1931" s="44">
        <f t="shared" ca="1" si="336"/>
        <v>2</v>
      </c>
    </row>
    <row r="1932" spans="1:12" x14ac:dyDescent="0.25">
      <c r="A1932" s="20">
        <v>1924</v>
      </c>
      <c r="B1932" s="21">
        <f t="shared" ca="1" si="332"/>
        <v>6.0587842438737258</v>
      </c>
      <c r="C1932" s="21">
        <f t="shared" ca="1" si="337"/>
        <v>5747.3401891030808</v>
      </c>
      <c r="D1932" s="21">
        <f t="shared" ca="1" si="333"/>
        <v>2.1380396369219468</v>
      </c>
      <c r="E1932" s="21">
        <f t="shared" ref="E1932:E1995" ca="1" si="340">IF($I1931&lt;=$C1932,0,$I1931-$C1932)</f>
        <v>7.9826126395373649</v>
      </c>
      <c r="F1932" s="20" t="str">
        <f t="shared" ca="1" si="338"/>
        <v>No</v>
      </c>
      <c r="G1932" s="21">
        <f t="shared" ca="1" si="334"/>
        <v>0</v>
      </c>
      <c r="H1932" s="21">
        <f t="shared" ca="1" si="335"/>
        <v>5755.3228017426181</v>
      </c>
      <c r="I1932" s="21">
        <f t="shared" ca="1" si="330"/>
        <v>5757.4608413795404</v>
      </c>
      <c r="J1932" s="20">
        <f t="shared" ca="1" si="339"/>
        <v>2</v>
      </c>
      <c r="K1932" s="20">
        <f t="shared" ca="1" si="331"/>
        <v>0</v>
      </c>
      <c r="L1932" s="44">
        <f t="shared" ca="1" si="336"/>
        <v>1</v>
      </c>
    </row>
    <row r="1933" spans="1:12" x14ac:dyDescent="0.25">
      <c r="A1933" s="20">
        <v>1925</v>
      </c>
      <c r="B1933" s="21">
        <f t="shared" ca="1" si="332"/>
        <v>11.054133241001761</v>
      </c>
      <c r="C1933" s="21">
        <f t="shared" ca="1" si="337"/>
        <v>5758.3943223440829</v>
      </c>
      <c r="D1933" s="21">
        <f t="shared" ca="1" si="333"/>
        <v>2.2326894495758078</v>
      </c>
      <c r="E1933" s="21">
        <f t="shared" ca="1" si="340"/>
        <v>0</v>
      </c>
      <c r="F1933" s="20" t="str">
        <f t="shared" ca="1" si="338"/>
        <v>Yes</v>
      </c>
      <c r="G1933" s="21">
        <f t="shared" ca="1" si="334"/>
        <v>0.93348096454246843</v>
      </c>
      <c r="H1933" s="21">
        <f t="shared" ca="1" si="335"/>
        <v>5758.3943223440829</v>
      </c>
      <c r="I1933" s="21">
        <f t="shared" ca="1" si="330"/>
        <v>5760.6270117936583</v>
      </c>
      <c r="J1933" s="20">
        <f t="shared" ca="1" si="339"/>
        <v>0</v>
      </c>
      <c r="K1933" s="20">
        <f t="shared" ca="1" si="331"/>
        <v>1</v>
      </c>
      <c r="L1933" s="44">
        <f t="shared" ca="1" si="336"/>
        <v>0.5</v>
      </c>
    </row>
    <row r="1934" spans="1:12" x14ac:dyDescent="0.25">
      <c r="A1934" s="20">
        <v>1926</v>
      </c>
      <c r="B1934" s="21">
        <f t="shared" ca="1" si="332"/>
        <v>0.96349326051606654</v>
      </c>
      <c r="C1934" s="21">
        <f t="shared" ca="1" si="337"/>
        <v>5759.3578156045987</v>
      </c>
      <c r="D1934" s="21">
        <f t="shared" ca="1" si="333"/>
        <v>1.2816104623975573</v>
      </c>
      <c r="E1934" s="21">
        <f t="shared" ca="1" si="340"/>
        <v>1.2691961890595849</v>
      </c>
      <c r="F1934" s="20" t="str">
        <f t="shared" ca="1" si="338"/>
        <v>No</v>
      </c>
      <c r="G1934" s="21">
        <f t="shared" ca="1" si="334"/>
        <v>0</v>
      </c>
      <c r="H1934" s="21">
        <f t="shared" ca="1" si="335"/>
        <v>5760.6270117936583</v>
      </c>
      <c r="I1934" s="21">
        <f t="shared" ca="1" si="330"/>
        <v>5761.9086222560554</v>
      </c>
      <c r="J1934" s="20">
        <f t="shared" ca="1" si="339"/>
        <v>2</v>
      </c>
      <c r="K1934" s="20">
        <f t="shared" ca="1" si="331"/>
        <v>0</v>
      </c>
      <c r="L1934" s="44">
        <f t="shared" ca="1" si="336"/>
        <v>1</v>
      </c>
    </row>
    <row r="1935" spans="1:12" x14ac:dyDescent="0.25">
      <c r="A1935" s="20">
        <v>1927</v>
      </c>
      <c r="B1935" s="21">
        <f t="shared" ca="1" si="332"/>
        <v>4.1743844553629881</v>
      </c>
      <c r="C1935" s="21">
        <f t="shared" ca="1" si="337"/>
        <v>5763.5322000599617</v>
      </c>
      <c r="D1935" s="21">
        <f t="shared" ca="1" si="333"/>
        <v>0.22037410217073708</v>
      </c>
      <c r="E1935" s="21">
        <f t="shared" ca="1" si="340"/>
        <v>0</v>
      </c>
      <c r="F1935" s="20" t="str">
        <f t="shared" ca="1" si="338"/>
        <v>Yes</v>
      </c>
      <c r="G1935" s="21">
        <f t="shared" ca="1" si="334"/>
        <v>1.6235778039063007</v>
      </c>
      <c r="H1935" s="21">
        <f t="shared" ca="1" si="335"/>
        <v>5763.5322000599617</v>
      </c>
      <c r="I1935" s="21">
        <f t="shared" ca="1" si="330"/>
        <v>5763.7525741621321</v>
      </c>
      <c r="J1935" s="20">
        <f t="shared" ca="1" si="339"/>
        <v>0</v>
      </c>
      <c r="K1935" s="20">
        <f t="shared" ca="1" si="331"/>
        <v>0</v>
      </c>
      <c r="L1935" s="44">
        <f t="shared" ca="1" si="336"/>
        <v>0</v>
      </c>
    </row>
    <row r="1936" spans="1:12" x14ac:dyDescent="0.25">
      <c r="A1936" s="20">
        <v>1928</v>
      </c>
      <c r="B1936" s="21">
        <f t="shared" ca="1" si="332"/>
        <v>1.3489603940764086</v>
      </c>
      <c r="C1936" s="21">
        <f t="shared" ca="1" si="337"/>
        <v>5764.8811604540379</v>
      </c>
      <c r="D1936" s="21">
        <f t="shared" ca="1" si="333"/>
        <v>2.4256990829518066</v>
      </c>
      <c r="E1936" s="21">
        <f t="shared" ca="1" si="340"/>
        <v>0</v>
      </c>
      <c r="F1936" s="20" t="str">
        <f t="shared" ca="1" si="338"/>
        <v>Yes</v>
      </c>
      <c r="G1936" s="21">
        <f t="shared" ca="1" si="334"/>
        <v>1.1285862919057763</v>
      </c>
      <c r="H1936" s="21">
        <f t="shared" ca="1" si="335"/>
        <v>5764.8811604540379</v>
      </c>
      <c r="I1936" s="21">
        <f t="shared" ca="1" si="330"/>
        <v>5767.3068595369896</v>
      </c>
      <c r="J1936" s="20">
        <f t="shared" ca="1" si="339"/>
        <v>0</v>
      </c>
      <c r="K1936" s="20">
        <f t="shared" ca="1" si="331"/>
        <v>0</v>
      </c>
      <c r="L1936" s="44">
        <f t="shared" ca="1" si="336"/>
        <v>0</v>
      </c>
    </row>
    <row r="1937" spans="1:12" x14ac:dyDescent="0.25">
      <c r="A1937" s="20">
        <v>1929</v>
      </c>
      <c r="B1937" s="21">
        <f t="shared" ca="1" si="332"/>
        <v>5.6420890060244826</v>
      </c>
      <c r="C1937" s="21">
        <f t="shared" ca="1" si="337"/>
        <v>5770.5232494600623</v>
      </c>
      <c r="D1937" s="21">
        <f t="shared" ca="1" si="333"/>
        <v>1.1711909968960421</v>
      </c>
      <c r="E1937" s="21">
        <f t="shared" ca="1" si="340"/>
        <v>0</v>
      </c>
      <c r="F1937" s="20" t="str">
        <f t="shared" ca="1" si="338"/>
        <v>Yes</v>
      </c>
      <c r="G1937" s="21">
        <f t="shared" ca="1" si="334"/>
        <v>3.2163899230727111</v>
      </c>
      <c r="H1937" s="21">
        <f t="shared" ca="1" si="335"/>
        <v>5770.5232494600623</v>
      </c>
      <c r="I1937" s="21">
        <f t="shared" ca="1" si="330"/>
        <v>5771.6944404569585</v>
      </c>
      <c r="J1937" s="20">
        <f t="shared" ca="1" si="339"/>
        <v>0</v>
      </c>
      <c r="K1937" s="20">
        <f t="shared" ca="1" si="331"/>
        <v>3</v>
      </c>
      <c r="L1937" s="44">
        <f t="shared" ca="1" si="336"/>
        <v>1.5</v>
      </c>
    </row>
    <row r="1938" spans="1:12" x14ac:dyDescent="0.25">
      <c r="A1938" s="20">
        <v>1930</v>
      </c>
      <c r="B1938" s="21">
        <f t="shared" ca="1" si="332"/>
        <v>0.2471548922220051</v>
      </c>
      <c r="C1938" s="21">
        <f t="shared" ca="1" si="337"/>
        <v>5770.7704043522845</v>
      </c>
      <c r="D1938" s="21">
        <f t="shared" ca="1" si="333"/>
        <v>1.7710403158611048</v>
      </c>
      <c r="E1938" s="21">
        <f t="shared" ca="1" si="340"/>
        <v>0.92403610467408726</v>
      </c>
      <c r="F1938" s="20" t="str">
        <f t="shared" ca="1" si="338"/>
        <v>No</v>
      </c>
      <c r="G1938" s="21">
        <f t="shared" ca="1" si="334"/>
        <v>0</v>
      </c>
      <c r="H1938" s="21">
        <f t="shared" ca="1" si="335"/>
        <v>5771.6944404569585</v>
      </c>
      <c r="I1938" s="21">
        <f t="shared" ca="1" si="330"/>
        <v>5773.4654807728193</v>
      </c>
      <c r="J1938" s="20">
        <f t="shared" ca="1" si="339"/>
        <v>4</v>
      </c>
      <c r="K1938" s="20">
        <f t="shared" ca="1" si="331"/>
        <v>2</v>
      </c>
      <c r="L1938" s="44">
        <f t="shared" ca="1" si="336"/>
        <v>3</v>
      </c>
    </row>
    <row r="1939" spans="1:12" x14ac:dyDescent="0.25">
      <c r="A1939" s="20">
        <v>1931</v>
      </c>
      <c r="B1939" s="21">
        <f t="shared" ca="1" si="332"/>
        <v>9.6583598609832302E-2</v>
      </c>
      <c r="C1939" s="21">
        <f t="shared" ca="1" si="337"/>
        <v>5770.8669879508943</v>
      </c>
      <c r="D1939" s="21">
        <f t="shared" ca="1" si="333"/>
        <v>2.6966296948435202</v>
      </c>
      <c r="E1939" s="21">
        <f t="shared" ca="1" si="340"/>
        <v>2.5984928219249923</v>
      </c>
      <c r="F1939" s="20" t="str">
        <f t="shared" ca="1" si="338"/>
        <v>No</v>
      </c>
      <c r="G1939" s="21">
        <f t="shared" ca="1" si="334"/>
        <v>0</v>
      </c>
      <c r="H1939" s="21">
        <f t="shared" ca="1" si="335"/>
        <v>5773.4654807728193</v>
      </c>
      <c r="I1939" s="21">
        <f t="shared" ca="1" si="330"/>
        <v>5776.1621104676624</v>
      </c>
      <c r="J1939" s="20">
        <f t="shared" ca="1" si="339"/>
        <v>3</v>
      </c>
      <c r="K1939" s="20">
        <f t="shared" ca="1" si="331"/>
        <v>2</v>
      </c>
      <c r="L1939" s="44">
        <f t="shared" ca="1" si="336"/>
        <v>2.5</v>
      </c>
    </row>
    <row r="1940" spans="1:12" x14ac:dyDescent="0.25">
      <c r="A1940" s="20">
        <v>1932</v>
      </c>
      <c r="B1940" s="21">
        <f t="shared" ca="1" si="332"/>
        <v>0.82581653167725011</v>
      </c>
      <c r="C1940" s="21">
        <f t="shared" ca="1" si="337"/>
        <v>5771.6928044825718</v>
      </c>
      <c r="D1940" s="21">
        <f t="shared" ca="1" si="333"/>
        <v>6.3674694908424119</v>
      </c>
      <c r="E1940" s="21">
        <f t="shared" ca="1" si="340"/>
        <v>4.4693059850906138</v>
      </c>
      <c r="F1940" s="20" t="str">
        <f t="shared" ca="1" si="338"/>
        <v>No</v>
      </c>
      <c r="G1940" s="21">
        <f t="shared" ca="1" si="334"/>
        <v>0</v>
      </c>
      <c r="H1940" s="21">
        <f t="shared" ca="1" si="335"/>
        <v>5776.1621104676624</v>
      </c>
      <c r="I1940" s="21">
        <f t="shared" ca="1" si="330"/>
        <v>5782.5295799585047</v>
      </c>
      <c r="J1940" s="20">
        <f t="shared" ca="1" si="339"/>
        <v>3</v>
      </c>
      <c r="K1940" s="20">
        <f t="shared" ca="1" si="331"/>
        <v>5</v>
      </c>
      <c r="L1940" s="44">
        <f t="shared" ca="1" si="336"/>
        <v>4</v>
      </c>
    </row>
    <row r="1941" spans="1:12" x14ac:dyDescent="0.25">
      <c r="A1941" s="20">
        <v>1933</v>
      </c>
      <c r="B1941" s="21">
        <f t="shared" ca="1" si="332"/>
        <v>2.2949234340937772</v>
      </c>
      <c r="C1941" s="21">
        <f t="shared" ca="1" si="337"/>
        <v>5773.9877279166658</v>
      </c>
      <c r="D1941" s="21">
        <f t="shared" ca="1" si="333"/>
        <v>2.2314282366244425</v>
      </c>
      <c r="E1941" s="21">
        <f t="shared" ca="1" si="340"/>
        <v>8.5418520418388653</v>
      </c>
      <c r="F1941" s="20" t="str">
        <f t="shared" ca="1" si="338"/>
        <v>No</v>
      </c>
      <c r="G1941" s="21">
        <f t="shared" ca="1" si="334"/>
        <v>0</v>
      </c>
      <c r="H1941" s="21">
        <f t="shared" ca="1" si="335"/>
        <v>5782.5295799585047</v>
      </c>
      <c r="I1941" s="21">
        <f t="shared" ca="1" si="330"/>
        <v>5784.7610081951289</v>
      </c>
      <c r="J1941" s="20">
        <f t="shared" ca="1" si="339"/>
        <v>6</v>
      </c>
      <c r="K1941" s="20">
        <f t="shared" ca="1" si="331"/>
        <v>5</v>
      </c>
      <c r="L1941" s="44">
        <f t="shared" ca="1" si="336"/>
        <v>5.5</v>
      </c>
    </row>
    <row r="1942" spans="1:12" x14ac:dyDescent="0.25">
      <c r="A1942" s="20">
        <v>1934</v>
      </c>
      <c r="B1942" s="21">
        <f t="shared" ca="1" si="332"/>
        <v>2.7331923062436836</v>
      </c>
      <c r="C1942" s="21">
        <f t="shared" ca="1" si="337"/>
        <v>5776.7209202229096</v>
      </c>
      <c r="D1942" s="21">
        <f t="shared" ca="1" si="333"/>
        <v>1.2171100510004329</v>
      </c>
      <c r="E1942" s="21">
        <f t="shared" ca="1" si="340"/>
        <v>8.0400879722192258</v>
      </c>
      <c r="F1942" s="20" t="str">
        <f t="shared" ca="1" si="338"/>
        <v>No</v>
      </c>
      <c r="G1942" s="21">
        <f t="shared" ca="1" si="334"/>
        <v>0</v>
      </c>
      <c r="H1942" s="21">
        <f t="shared" ca="1" si="335"/>
        <v>5784.7610081951289</v>
      </c>
      <c r="I1942" s="21">
        <f t="shared" ca="1" si="330"/>
        <v>5785.9781182461293</v>
      </c>
      <c r="J1942" s="20">
        <f t="shared" ca="1" si="339"/>
        <v>6</v>
      </c>
      <c r="K1942" s="20">
        <f t="shared" ca="1" si="331"/>
        <v>5</v>
      </c>
      <c r="L1942" s="44">
        <f t="shared" ca="1" si="336"/>
        <v>5.5</v>
      </c>
    </row>
    <row r="1943" spans="1:12" x14ac:dyDescent="0.25">
      <c r="A1943" s="20">
        <v>1935</v>
      </c>
      <c r="B1943" s="21">
        <f t="shared" ca="1" si="332"/>
        <v>2.9232278234348763E-2</v>
      </c>
      <c r="C1943" s="21">
        <f t="shared" ca="1" si="337"/>
        <v>5776.7501525011439</v>
      </c>
      <c r="D1943" s="21">
        <f t="shared" ca="1" si="333"/>
        <v>3.663249279808424</v>
      </c>
      <c r="E1943" s="21">
        <f t="shared" ca="1" si="340"/>
        <v>9.2279657449853403</v>
      </c>
      <c r="F1943" s="20" t="str">
        <f t="shared" ca="1" si="338"/>
        <v>No</v>
      </c>
      <c r="G1943" s="21">
        <f t="shared" ca="1" si="334"/>
        <v>0</v>
      </c>
      <c r="H1943" s="21">
        <f t="shared" ca="1" si="335"/>
        <v>5785.9781182461293</v>
      </c>
      <c r="I1943" s="21">
        <f t="shared" ca="1" si="330"/>
        <v>5789.6413675259373</v>
      </c>
      <c r="J1943" s="20">
        <f t="shared" ca="1" si="339"/>
        <v>6</v>
      </c>
      <c r="K1943" s="20">
        <f t="shared" ca="1" si="331"/>
        <v>5</v>
      </c>
      <c r="L1943" s="44">
        <f t="shared" ca="1" si="336"/>
        <v>5.5</v>
      </c>
    </row>
    <row r="1944" spans="1:12" x14ac:dyDescent="0.25">
      <c r="A1944" s="20">
        <v>1936</v>
      </c>
      <c r="B1944" s="21">
        <f t="shared" ca="1" si="332"/>
        <v>1.6994770081734321</v>
      </c>
      <c r="C1944" s="21">
        <f t="shared" ca="1" si="337"/>
        <v>5778.4496295093177</v>
      </c>
      <c r="D1944" s="21">
        <f t="shared" ca="1" si="333"/>
        <v>0.94661587994790308</v>
      </c>
      <c r="E1944" s="21">
        <f t="shared" ca="1" si="340"/>
        <v>11.191738016619638</v>
      </c>
      <c r="F1944" s="20" t="str">
        <f t="shared" ca="1" si="338"/>
        <v>No</v>
      </c>
      <c r="G1944" s="21">
        <f t="shared" ca="1" si="334"/>
        <v>0</v>
      </c>
      <c r="H1944" s="21">
        <f t="shared" ca="1" si="335"/>
        <v>5789.6413675259373</v>
      </c>
      <c r="I1944" s="21">
        <f t="shared" ca="1" si="330"/>
        <v>5790.5879834058851</v>
      </c>
      <c r="J1944" s="20">
        <f t="shared" ca="1" si="339"/>
        <v>6</v>
      </c>
      <c r="K1944" s="20">
        <f t="shared" ca="1" si="331"/>
        <v>5</v>
      </c>
      <c r="L1944" s="44">
        <f t="shared" ca="1" si="336"/>
        <v>5.5</v>
      </c>
    </row>
    <row r="1945" spans="1:12" x14ac:dyDescent="0.25">
      <c r="A1945" s="20">
        <v>1937</v>
      </c>
      <c r="B1945" s="21">
        <f t="shared" ca="1" si="332"/>
        <v>3.2714674256698291</v>
      </c>
      <c r="C1945" s="21">
        <f t="shared" ca="1" si="337"/>
        <v>5781.7210969349871</v>
      </c>
      <c r="D1945" s="21">
        <f t="shared" ca="1" si="333"/>
        <v>2.1359606978609587</v>
      </c>
      <c r="E1945" s="21">
        <f t="shared" ca="1" si="340"/>
        <v>8.8668864708979527</v>
      </c>
      <c r="F1945" s="20" t="str">
        <f t="shared" ca="1" si="338"/>
        <v>No</v>
      </c>
      <c r="G1945" s="21">
        <f t="shared" ca="1" si="334"/>
        <v>0</v>
      </c>
      <c r="H1945" s="21">
        <f t="shared" ca="1" si="335"/>
        <v>5790.5879834058851</v>
      </c>
      <c r="I1945" s="21">
        <f t="shared" ca="1" si="330"/>
        <v>5792.7239441037464</v>
      </c>
      <c r="J1945" s="20">
        <f t="shared" ca="1" si="339"/>
        <v>6</v>
      </c>
      <c r="K1945" s="20">
        <f t="shared" ca="1" si="331"/>
        <v>5</v>
      </c>
      <c r="L1945" s="44">
        <f t="shared" ca="1" si="336"/>
        <v>5.5</v>
      </c>
    </row>
    <row r="1946" spans="1:12" x14ac:dyDescent="0.25">
      <c r="A1946" s="20">
        <v>1938</v>
      </c>
      <c r="B1946" s="21">
        <f t="shared" ca="1" si="332"/>
        <v>0.81149824286264649</v>
      </c>
      <c r="C1946" s="21">
        <f t="shared" ca="1" si="337"/>
        <v>5782.5325951778495</v>
      </c>
      <c r="D1946" s="21">
        <f t="shared" ca="1" si="333"/>
        <v>0.73323722146024306</v>
      </c>
      <c r="E1946" s="21">
        <f t="shared" ca="1" si="340"/>
        <v>10.191348925896818</v>
      </c>
      <c r="F1946" s="20" t="str">
        <f t="shared" ca="1" si="338"/>
        <v>No</v>
      </c>
      <c r="G1946" s="21">
        <f t="shared" ca="1" si="334"/>
        <v>0</v>
      </c>
      <c r="H1946" s="21">
        <f t="shared" ca="1" si="335"/>
        <v>5792.7239441037464</v>
      </c>
      <c r="I1946" s="21">
        <f t="shared" ca="1" si="330"/>
        <v>5793.4571813252069</v>
      </c>
      <c r="J1946" s="20">
        <f t="shared" ca="1" si="339"/>
        <v>6</v>
      </c>
      <c r="K1946" s="20">
        <f t="shared" ca="1" si="331"/>
        <v>5</v>
      </c>
      <c r="L1946" s="44">
        <f t="shared" ca="1" si="336"/>
        <v>5.5</v>
      </c>
    </row>
    <row r="1947" spans="1:12" x14ac:dyDescent="0.25">
      <c r="A1947" s="20">
        <v>1939</v>
      </c>
      <c r="B1947" s="21">
        <f t="shared" ca="1" si="332"/>
        <v>1.628276471019158</v>
      </c>
      <c r="C1947" s="21">
        <f t="shared" ca="1" si="337"/>
        <v>5784.160871648869</v>
      </c>
      <c r="D1947" s="21">
        <f t="shared" ca="1" si="333"/>
        <v>0.24412305018001906</v>
      </c>
      <c r="E1947" s="21">
        <f t="shared" ca="1" si="340"/>
        <v>9.2963096763378417</v>
      </c>
      <c r="F1947" s="20" t="str">
        <f t="shared" ca="1" si="338"/>
        <v>No</v>
      </c>
      <c r="G1947" s="21">
        <f t="shared" ca="1" si="334"/>
        <v>0</v>
      </c>
      <c r="H1947" s="21">
        <f t="shared" ca="1" si="335"/>
        <v>5793.4571813252069</v>
      </c>
      <c r="I1947" s="21">
        <f t="shared" ca="1" si="330"/>
        <v>5793.7013043753868</v>
      </c>
      <c r="J1947" s="20">
        <f t="shared" ca="1" si="339"/>
        <v>6</v>
      </c>
      <c r="K1947" s="20">
        <f t="shared" ca="1" si="331"/>
        <v>5</v>
      </c>
      <c r="L1947" s="44">
        <f t="shared" ca="1" si="336"/>
        <v>5.5</v>
      </c>
    </row>
    <row r="1948" spans="1:12" x14ac:dyDescent="0.25">
      <c r="A1948" s="20">
        <v>1940</v>
      </c>
      <c r="B1948" s="21">
        <f t="shared" ca="1" si="332"/>
        <v>0.31390976972017254</v>
      </c>
      <c r="C1948" s="21">
        <f t="shared" ca="1" si="337"/>
        <v>5784.4747814185894</v>
      </c>
      <c r="D1948" s="21">
        <f t="shared" ca="1" si="333"/>
        <v>1.1918070387702198</v>
      </c>
      <c r="E1948" s="21">
        <f t="shared" ca="1" si="340"/>
        <v>9.2265229567974529</v>
      </c>
      <c r="F1948" s="20" t="str">
        <f t="shared" ca="1" si="338"/>
        <v>No</v>
      </c>
      <c r="G1948" s="21">
        <f t="shared" ca="1" si="334"/>
        <v>0</v>
      </c>
      <c r="H1948" s="21">
        <f t="shared" ca="1" si="335"/>
        <v>5793.7013043753868</v>
      </c>
      <c r="I1948" s="21">
        <f t="shared" ca="1" si="330"/>
        <v>5794.8931114141569</v>
      </c>
      <c r="J1948" s="20">
        <f t="shared" ca="1" si="339"/>
        <v>6</v>
      </c>
      <c r="K1948" s="20">
        <f t="shared" ca="1" si="331"/>
        <v>4</v>
      </c>
      <c r="L1948" s="44">
        <f t="shared" ca="1" si="336"/>
        <v>5</v>
      </c>
    </row>
    <row r="1949" spans="1:12" x14ac:dyDescent="0.25">
      <c r="A1949" s="20">
        <v>1941</v>
      </c>
      <c r="B1949" s="21">
        <f t="shared" ca="1" si="332"/>
        <v>0.38668740799278778</v>
      </c>
      <c r="C1949" s="21">
        <f t="shared" ca="1" si="337"/>
        <v>5784.8614688265825</v>
      </c>
      <c r="D1949" s="21">
        <f t="shared" ca="1" si="333"/>
        <v>1.3811015681241259</v>
      </c>
      <c r="E1949" s="21">
        <f t="shared" ca="1" si="340"/>
        <v>10.031642587574424</v>
      </c>
      <c r="F1949" s="20" t="str">
        <f t="shared" ca="1" si="338"/>
        <v>No</v>
      </c>
      <c r="G1949" s="21">
        <f t="shared" ca="1" si="334"/>
        <v>0</v>
      </c>
      <c r="H1949" s="21">
        <f t="shared" ca="1" si="335"/>
        <v>5794.8931114141569</v>
      </c>
      <c r="I1949" s="21">
        <f t="shared" ca="1" si="330"/>
        <v>5796.2742129822809</v>
      </c>
      <c r="J1949" s="20">
        <f t="shared" ca="1" si="339"/>
        <v>5</v>
      </c>
      <c r="K1949" s="20">
        <f t="shared" ca="1" si="331"/>
        <v>4</v>
      </c>
      <c r="L1949" s="44">
        <f t="shared" ca="1" si="336"/>
        <v>4.5</v>
      </c>
    </row>
    <row r="1950" spans="1:12" x14ac:dyDescent="0.25">
      <c r="A1950" s="20">
        <v>1942</v>
      </c>
      <c r="B1950" s="21">
        <f t="shared" ca="1" si="332"/>
        <v>0.10094238996247711</v>
      </c>
      <c r="C1950" s="21">
        <f t="shared" ca="1" si="337"/>
        <v>5784.9624112165448</v>
      </c>
      <c r="D1950" s="21">
        <f t="shared" ca="1" si="333"/>
        <v>2.033527253055718</v>
      </c>
      <c r="E1950" s="21">
        <f t="shared" ca="1" si="340"/>
        <v>11.311801765736163</v>
      </c>
      <c r="F1950" s="20" t="str">
        <f t="shared" ca="1" si="338"/>
        <v>No</v>
      </c>
      <c r="G1950" s="21">
        <f t="shared" ca="1" si="334"/>
        <v>0</v>
      </c>
      <c r="H1950" s="21">
        <f t="shared" ca="1" si="335"/>
        <v>5796.2742129822809</v>
      </c>
      <c r="I1950" s="21">
        <f t="shared" ca="1" si="330"/>
        <v>5798.3077402353365</v>
      </c>
      <c r="J1950" s="20">
        <f t="shared" ca="1" si="339"/>
        <v>5</v>
      </c>
      <c r="K1950" s="20">
        <f t="shared" ca="1" si="331"/>
        <v>5</v>
      </c>
      <c r="L1950" s="44">
        <f t="shared" ca="1" si="336"/>
        <v>5</v>
      </c>
    </row>
    <row r="1951" spans="1:12" x14ac:dyDescent="0.25">
      <c r="A1951" s="20">
        <v>1943</v>
      </c>
      <c r="B1951" s="21">
        <f t="shared" ca="1" si="332"/>
        <v>2.7300354514689369</v>
      </c>
      <c r="C1951" s="21">
        <f t="shared" ca="1" si="337"/>
        <v>5787.6924466680139</v>
      </c>
      <c r="D1951" s="21">
        <f t="shared" ca="1" si="333"/>
        <v>8.8903891670890243</v>
      </c>
      <c r="E1951" s="21">
        <f t="shared" ca="1" si="340"/>
        <v>10.615293567322624</v>
      </c>
      <c r="F1951" s="20" t="str">
        <f t="shared" ca="1" si="338"/>
        <v>No</v>
      </c>
      <c r="G1951" s="21">
        <f t="shared" ca="1" si="334"/>
        <v>0</v>
      </c>
      <c r="H1951" s="21">
        <f t="shared" ca="1" si="335"/>
        <v>5798.3077402353365</v>
      </c>
      <c r="I1951" s="21">
        <f t="shared" ca="1" si="330"/>
        <v>5807.1981294024254</v>
      </c>
      <c r="J1951" s="20">
        <f t="shared" ca="1" si="339"/>
        <v>6</v>
      </c>
      <c r="K1951" s="20">
        <f t="shared" ca="1" si="331"/>
        <v>5</v>
      </c>
      <c r="L1951" s="44">
        <f t="shared" ca="1" si="336"/>
        <v>5.5</v>
      </c>
    </row>
    <row r="1952" spans="1:12" x14ac:dyDescent="0.25">
      <c r="A1952" s="20">
        <v>1944</v>
      </c>
      <c r="B1952" s="21">
        <f t="shared" ca="1" si="332"/>
        <v>2.5128909135620745</v>
      </c>
      <c r="C1952" s="21">
        <f t="shared" ca="1" si="337"/>
        <v>5790.2053375815758</v>
      </c>
      <c r="D1952" s="21">
        <f t="shared" ca="1" si="333"/>
        <v>3.7648465332614505</v>
      </c>
      <c r="E1952" s="21">
        <f t="shared" ca="1" si="340"/>
        <v>16.992791820849561</v>
      </c>
      <c r="F1952" s="20" t="str">
        <f t="shared" ca="1" si="338"/>
        <v>No</v>
      </c>
      <c r="G1952" s="21">
        <f t="shared" ca="1" si="334"/>
        <v>0</v>
      </c>
      <c r="H1952" s="21">
        <f t="shared" ca="1" si="335"/>
        <v>5807.1981294024254</v>
      </c>
      <c r="I1952" s="21">
        <f t="shared" ca="1" si="330"/>
        <v>5810.9629759356867</v>
      </c>
      <c r="J1952" s="20">
        <f t="shared" ca="1" si="339"/>
        <v>6</v>
      </c>
      <c r="K1952" s="20">
        <f t="shared" ca="1" si="331"/>
        <v>5</v>
      </c>
      <c r="L1952" s="44">
        <f t="shared" ca="1" si="336"/>
        <v>5.5</v>
      </c>
    </row>
    <row r="1953" spans="1:12" x14ac:dyDescent="0.25">
      <c r="A1953" s="20">
        <v>1945</v>
      </c>
      <c r="B1953" s="21">
        <f t="shared" ca="1" si="332"/>
        <v>5.6158750547800826</v>
      </c>
      <c r="C1953" s="21">
        <f t="shared" ca="1" si="337"/>
        <v>5795.821212636356</v>
      </c>
      <c r="D1953" s="21">
        <f t="shared" ca="1" si="333"/>
        <v>3.8746439045814398</v>
      </c>
      <c r="E1953" s="21">
        <f t="shared" ca="1" si="340"/>
        <v>15.141763299330705</v>
      </c>
      <c r="F1953" s="20" t="str">
        <f t="shared" ca="1" si="338"/>
        <v>No</v>
      </c>
      <c r="G1953" s="21">
        <f t="shared" ca="1" si="334"/>
        <v>0</v>
      </c>
      <c r="H1953" s="21">
        <f t="shared" ca="1" si="335"/>
        <v>5810.9629759356867</v>
      </c>
      <c r="I1953" s="21">
        <f t="shared" ca="1" si="330"/>
        <v>5814.8376198402684</v>
      </c>
      <c r="J1953" s="20">
        <f t="shared" ca="1" si="339"/>
        <v>6</v>
      </c>
      <c r="K1953" s="20">
        <f t="shared" ca="1" si="331"/>
        <v>5</v>
      </c>
      <c r="L1953" s="44">
        <f t="shared" ca="1" si="336"/>
        <v>5.5</v>
      </c>
    </row>
    <row r="1954" spans="1:12" x14ac:dyDescent="0.25">
      <c r="A1954" s="20">
        <v>1946</v>
      </c>
      <c r="B1954" s="21">
        <f t="shared" ca="1" si="332"/>
        <v>0.60942158669942004</v>
      </c>
      <c r="C1954" s="21">
        <f t="shared" ca="1" si="337"/>
        <v>5796.4306342230557</v>
      </c>
      <c r="D1954" s="21">
        <f t="shared" ca="1" si="333"/>
        <v>0.79243853304771628</v>
      </c>
      <c r="E1954" s="21">
        <f t="shared" ca="1" si="340"/>
        <v>18.40698561721274</v>
      </c>
      <c r="F1954" s="20" t="str">
        <f t="shared" ca="1" si="338"/>
        <v>No</v>
      </c>
      <c r="G1954" s="21">
        <f t="shared" ca="1" si="334"/>
        <v>0</v>
      </c>
      <c r="H1954" s="21">
        <f t="shared" ca="1" si="335"/>
        <v>5814.8376198402684</v>
      </c>
      <c r="I1954" s="21">
        <f t="shared" ca="1" si="330"/>
        <v>5815.6300583733164</v>
      </c>
      <c r="J1954" s="20">
        <f t="shared" ca="1" si="339"/>
        <v>6</v>
      </c>
      <c r="K1954" s="20">
        <f t="shared" ca="1" si="331"/>
        <v>5</v>
      </c>
      <c r="L1954" s="44">
        <f t="shared" ca="1" si="336"/>
        <v>5.5</v>
      </c>
    </row>
    <row r="1955" spans="1:12" x14ac:dyDescent="0.25">
      <c r="A1955" s="20">
        <v>1947</v>
      </c>
      <c r="B1955" s="21">
        <f t="shared" ca="1" si="332"/>
        <v>1.0391376289564189</v>
      </c>
      <c r="C1955" s="21">
        <f t="shared" ca="1" si="337"/>
        <v>5797.4697718520119</v>
      </c>
      <c r="D1955" s="21">
        <f t="shared" ca="1" si="333"/>
        <v>0.58833893338262366</v>
      </c>
      <c r="E1955" s="21">
        <f t="shared" ca="1" si="340"/>
        <v>18.160286521304442</v>
      </c>
      <c r="F1955" s="20" t="str">
        <f t="shared" ca="1" si="338"/>
        <v>No</v>
      </c>
      <c r="G1955" s="21">
        <f t="shared" ca="1" si="334"/>
        <v>0</v>
      </c>
      <c r="H1955" s="21">
        <f t="shared" ca="1" si="335"/>
        <v>5815.6300583733164</v>
      </c>
      <c r="I1955" s="21">
        <f t="shared" ca="1" si="330"/>
        <v>5816.2183973066994</v>
      </c>
      <c r="J1955" s="20">
        <f t="shared" ca="1" si="339"/>
        <v>6</v>
      </c>
      <c r="K1955" s="20">
        <f t="shared" ca="1" si="331"/>
        <v>5</v>
      </c>
      <c r="L1955" s="44">
        <f t="shared" ca="1" si="336"/>
        <v>5.5</v>
      </c>
    </row>
    <row r="1956" spans="1:12" x14ac:dyDescent="0.25">
      <c r="A1956" s="20">
        <v>1948</v>
      </c>
      <c r="B1956" s="21">
        <f t="shared" ca="1" si="332"/>
        <v>1.6002678900949006</v>
      </c>
      <c r="C1956" s="21">
        <f t="shared" ca="1" si="337"/>
        <v>5799.0700397421069</v>
      </c>
      <c r="D1956" s="21">
        <f t="shared" ca="1" si="333"/>
        <v>0.54447685143419655</v>
      </c>
      <c r="E1956" s="21">
        <f t="shared" ca="1" si="340"/>
        <v>17.148357564592516</v>
      </c>
      <c r="F1956" s="20" t="str">
        <f t="shared" ca="1" si="338"/>
        <v>No</v>
      </c>
      <c r="G1956" s="21">
        <f t="shared" ca="1" si="334"/>
        <v>0</v>
      </c>
      <c r="H1956" s="21">
        <f t="shared" ca="1" si="335"/>
        <v>5816.2183973066994</v>
      </c>
      <c r="I1956" s="21">
        <f t="shared" ca="1" si="330"/>
        <v>5816.7628741581339</v>
      </c>
      <c r="J1956" s="20">
        <f t="shared" ca="1" si="339"/>
        <v>6</v>
      </c>
      <c r="K1956" s="20">
        <f t="shared" ca="1" si="331"/>
        <v>4</v>
      </c>
      <c r="L1956" s="44">
        <f t="shared" ca="1" si="336"/>
        <v>5</v>
      </c>
    </row>
    <row r="1957" spans="1:12" x14ac:dyDescent="0.25">
      <c r="A1957" s="20">
        <v>1949</v>
      </c>
      <c r="B1957" s="21">
        <f t="shared" ca="1" si="332"/>
        <v>3.4858374408599762</v>
      </c>
      <c r="C1957" s="21">
        <f t="shared" ca="1" si="337"/>
        <v>5802.5558771829665</v>
      </c>
      <c r="D1957" s="21">
        <f t="shared" ca="1" si="333"/>
        <v>3.0253399420954246</v>
      </c>
      <c r="E1957" s="21">
        <f t="shared" ca="1" si="340"/>
        <v>14.206996975167385</v>
      </c>
      <c r="F1957" s="20" t="str">
        <f t="shared" ca="1" si="338"/>
        <v>No</v>
      </c>
      <c r="G1957" s="21">
        <f t="shared" ca="1" si="334"/>
        <v>0</v>
      </c>
      <c r="H1957" s="21">
        <f t="shared" ca="1" si="335"/>
        <v>5816.7628741581339</v>
      </c>
      <c r="I1957" s="21">
        <f t="shared" ca="1" si="330"/>
        <v>5819.7882141002292</v>
      </c>
      <c r="J1957" s="20">
        <f t="shared" ca="1" si="339"/>
        <v>5</v>
      </c>
      <c r="K1957" s="20">
        <f t="shared" ca="1" si="331"/>
        <v>4</v>
      </c>
      <c r="L1957" s="44">
        <f t="shared" ca="1" si="336"/>
        <v>4.5</v>
      </c>
    </row>
    <row r="1958" spans="1:12" x14ac:dyDescent="0.25">
      <c r="A1958" s="20">
        <v>1950</v>
      </c>
      <c r="B1958" s="21">
        <f t="shared" ca="1" si="332"/>
        <v>2.4124250129486682</v>
      </c>
      <c r="C1958" s="21">
        <f t="shared" ca="1" si="337"/>
        <v>5804.9683021959154</v>
      </c>
      <c r="D1958" s="21">
        <f t="shared" ca="1" si="333"/>
        <v>4.3903117371378002</v>
      </c>
      <c r="E1958" s="21">
        <f t="shared" ca="1" si="340"/>
        <v>14.819911904313813</v>
      </c>
      <c r="F1958" s="20" t="str">
        <f t="shared" ca="1" si="338"/>
        <v>No</v>
      </c>
      <c r="G1958" s="21">
        <f t="shared" ca="1" si="334"/>
        <v>0</v>
      </c>
      <c r="H1958" s="21">
        <f t="shared" ca="1" si="335"/>
        <v>5819.7882141002292</v>
      </c>
      <c r="I1958" s="21">
        <f t="shared" ca="1" si="330"/>
        <v>5824.1785258373666</v>
      </c>
      <c r="J1958" s="20">
        <f t="shared" ca="1" si="339"/>
        <v>5</v>
      </c>
      <c r="K1958" s="20">
        <f t="shared" ca="1" si="331"/>
        <v>4</v>
      </c>
      <c r="L1958" s="44">
        <f t="shared" ca="1" si="336"/>
        <v>4.5</v>
      </c>
    </row>
    <row r="1959" spans="1:12" x14ac:dyDescent="0.25">
      <c r="A1959" s="20">
        <v>1951</v>
      </c>
      <c r="B1959" s="21">
        <f t="shared" ca="1" si="332"/>
        <v>2.0321043012644471</v>
      </c>
      <c r="C1959" s="21">
        <f t="shared" ca="1" si="337"/>
        <v>5807.0004064971799</v>
      </c>
      <c r="D1959" s="21">
        <f t="shared" ca="1" si="333"/>
        <v>3.6410694028134429</v>
      </c>
      <c r="E1959" s="21">
        <f t="shared" ca="1" si="340"/>
        <v>17.17811934018664</v>
      </c>
      <c r="F1959" s="20" t="str">
        <f t="shared" ca="1" si="338"/>
        <v>No</v>
      </c>
      <c r="G1959" s="21">
        <f t="shared" ca="1" si="334"/>
        <v>0</v>
      </c>
      <c r="H1959" s="21">
        <f t="shared" ca="1" si="335"/>
        <v>5824.1785258373666</v>
      </c>
      <c r="I1959" s="21">
        <f t="shared" ca="1" si="330"/>
        <v>5827.8195952401802</v>
      </c>
      <c r="J1959" s="20">
        <f t="shared" ca="1" si="339"/>
        <v>5</v>
      </c>
      <c r="K1959" s="20">
        <f t="shared" ca="1" si="331"/>
        <v>3</v>
      </c>
      <c r="L1959" s="44">
        <f t="shared" ca="1" si="336"/>
        <v>4</v>
      </c>
    </row>
    <row r="1960" spans="1:12" x14ac:dyDescent="0.25">
      <c r="A1960" s="20">
        <v>1952</v>
      </c>
      <c r="B1960" s="21">
        <f t="shared" ca="1" si="332"/>
        <v>4.6920421255635842</v>
      </c>
      <c r="C1960" s="21">
        <f t="shared" ca="1" si="337"/>
        <v>5811.6924486227435</v>
      </c>
      <c r="D1960" s="21">
        <f t="shared" ca="1" si="333"/>
        <v>1.2459198605547912</v>
      </c>
      <c r="E1960" s="21">
        <f t="shared" ca="1" si="340"/>
        <v>16.127146617436665</v>
      </c>
      <c r="F1960" s="20" t="str">
        <f t="shared" ca="1" si="338"/>
        <v>No</v>
      </c>
      <c r="G1960" s="21">
        <f t="shared" ca="1" si="334"/>
        <v>0</v>
      </c>
      <c r="H1960" s="21">
        <f t="shared" ca="1" si="335"/>
        <v>5827.8195952401802</v>
      </c>
      <c r="I1960" s="21">
        <f t="shared" ca="1" si="330"/>
        <v>5829.065515100735</v>
      </c>
      <c r="J1960" s="20">
        <f t="shared" ca="1" si="339"/>
        <v>4</v>
      </c>
      <c r="K1960" s="20">
        <f t="shared" ca="1" si="331"/>
        <v>2</v>
      </c>
      <c r="L1960" s="44">
        <f t="shared" ca="1" si="336"/>
        <v>3</v>
      </c>
    </row>
    <row r="1961" spans="1:12" x14ac:dyDescent="0.25">
      <c r="A1961" s="20">
        <v>1953</v>
      </c>
      <c r="B1961" s="21">
        <f t="shared" ca="1" si="332"/>
        <v>6.0281455975251337</v>
      </c>
      <c r="C1961" s="21">
        <f t="shared" ca="1" si="337"/>
        <v>5817.720594220269</v>
      </c>
      <c r="D1961" s="21">
        <f t="shared" ca="1" si="333"/>
        <v>3.1191717811954955</v>
      </c>
      <c r="E1961" s="21">
        <f t="shared" ca="1" si="340"/>
        <v>11.344920880465907</v>
      </c>
      <c r="F1961" s="20" t="str">
        <f t="shared" ca="1" si="338"/>
        <v>No</v>
      </c>
      <c r="G1961" s="21">
        <f t="shared" ca="1" si="334"/>
        <v>0</v>
      </c>
      <c r="H1961" s="21">
        <f t="shared" ca="1" si="335"/>
        <v>5829.065515100735</v>
      </c>
      <c r="I1961" s="21">
        <f t="shared" ca="1" si="330"/>
        <v>5832.1846868819302</v>
      </c>
      <c r="J1961" s="20">
        <f t="shared" ca="1" si="339"/>
        <v>3</v>
      </c>
      <c r="K1961" s="20">
        <f t="shared" ca="1" si="331"/>
        <v>1</v>
      </c>
      <c r="L1961" s="44">
        <f t="shared" ca="1" si="336"/>
        <v>2</v>
      </c>
    </row>
    <row r="1962" spans="1:12" x14ac:dyDescent="0.25">
      <c r="A1962" s="20">
        <v>1954</v>
      </c>
      <c r="B1962" s="21">
        <f t="shared" ca="1" si="332"/>
        <v>2.5628470478959064</v>
      </c>
      <c r="C1962" s="21">
        <f t="shared" ca="1" si="337"/>
        <v>5820.283441268165</v>
      </c>
      <c r="D1962" s="21">
        <f t="shared" ca="1" si="333"/>
        <v>3.0718671882534503</v>
      </c>
      <c r="E1962" s="21">
        <f t="shared" ca="1" si="340"/>
        <v>11.901245613765241</v>
      </c>
      <c r="F1962" s="20" t="str">
        <f t="shared" ca="1" si="338"/>
        <v>No</v>
      </c>
      <c r="G1962" s="21">
        <f t="shared" ca="1" si="334"/>
        <v>0</v>
      </c>
      <c r="H1962" s="21">
        <f t="shared" ca="1" si="335"/>
        <v>5832.1846868819302</v>
      </c>
      <c r="I1962" s="21">
        <f t="shared" ca="1" si="330"/>
        <v>5835.2565540701835</v>
      </c>
      <c r="J1962" s="20">
        <f t="shared" ca="1" si="339"/>
        <v>2</v>
      </c>
      <c r="K1962" s="20">
        <f t="shared" ca="1" si="331"/>
        <v>0</v>
      </c>
      <c r="L1962" s="44">
        <f t="shared" ca="1" si="336"/>
        <v>1</v>
      </c>
    </row>
    <row r="1963" spans="1:12" x14ac:dyDescent="0.25">
      <c r="A1963" s="20">
        <v>1955</v>
      </c>
      <c r="B1963" s="21">
        <f t="shared" ca="1" si="332"/>
        <v>17.047395642444894</v>
      </c>
      <c r="C1963" s="21">
        <f t="shared" ca="1" si="337"/>
        <v>5837.3308369106098</v>
      </c>
      <c r="D1963" s="21">
        <f t="shared" ca="1" si="333"/>
        <v>1.6454023119847712</v>
      </c>
      <c r="E1963" s="21">
        <f t="shared" ca="1" si="340"/>
        <v>0</v>
      </c>
      <c r="F1963" s="20" t="str">
        <f t="shared" ca="1" si="338"/>
        <v>Yes</v>
      </c>
      <c r="G1963" s="21">
        <f t="shared" ca="1" si="334"/>
        <v>2.0742828404263491</v>
      </c>
      <c r="H1963" s="21">
        <f t="shared" ca="1" si="335"/>
        <v>5837.3308369106098</v>
      </c>
      <c r="I1963" s="21">
        <f t="shared" ca="1" si="330"/>
        <v>5838.9762392225948</v>
      </c>
      <c r="J1963" s="20">
        <f t="shared" ca="1" si="339"/>
        <v>0</v>
      </c>
      <c r="K1963" s="20">
        <f t="shared" ca="1" si="331"/>
        <v>0</v>
      </c>
      <c r="L1963" s="44">
        <f t="shared" ca="1" si="336"/>
        <v>0</v>
      </c>
    </row>
    <row r="1964" spans="1:12" x14ac:dyDescent="0.25">
      <c r="A1964" s="20">
        <v>1956</v>
      </c>
      <c r="B1964" s="21">
        <f t="shared" ca="1" si="332"/>
        <v>4.3604377682834032</v>
      </c>
      <c r="C1964" s="21">
        <f t="shared" ca="1" si="337"/>
        <v>5841.691274678893</v>
      </c>
      <c r="D1964" s="21">
        <f t="shared" ca="1" si="333"/>
        <v>1.2615942166585405</v>
      </c>
      <c r="E1964" s="21">
        <f t="shared" ca="1" si="340"/>
        <v>0</v>
      </c>
      <c r="F1964" s="20" t="str">
        <f t="shared" ca="1" si="338"/>
        <v>Yes</v>
      </c>
      <c r="G1964" s="21">
        <f t="shared" ca="1" si="334"/>
        <v>2.7150354562982102</v>
      </c>
      <c r="H1964" s="21">
        <f t="shared" ca="1" si="335"/>
        <v>5841.691274678893</v>
      </c>
      <c r="I1964" s="21">
        <f t="shared" ca="1" si="330"/>
        <v>5842.9528688955515</v>
      </c>
      <c r="J1964" s="20">
        <f t="shared" ca="1" si="339"/>
        <v>0</v>
      </c>
      <c r="K1964" s="20">
        <f t="shared" ca="1" si="331"/>
        <v>0</v>
      </c>
      <c r="L1964" s="44">
        <f t="shared" ca="1" si="336"/>
        <v>0</v>
      </c>
    </row>
    <row r="1965" spans="1:12" x14ac:dyDescent="0.25">
      <c r="A1965" s="20">
        <v>1957</v>
      </c>
      <c r="B1965" s="21">
        <f t="shared" ca="1" si="332"/>
        <v>3.8217655200159344</v>
      </c>
      <c r="C1965" s="21">
        <f t="shared" ca="1" si="337"/>
        <v>5845.513040198909</v>
      </c>
      <c r="D1965" s="21">
        <f t="shared" ca="1" si="333"/>
        <v>1.7288952709824505</v>
      </c>
      <c r="E1965" s="21">
        <f t="shared" ca="1" si="340"/>
        <v>0</v>
      </c>
      <c r="F1965" s="20" t="str">
        <f t="shared" ca="1" si="338"/>
        <v>Yes</v>
      </c>
      <c r="G1965" s="21">
        <f t="shared" ca="1" si="334"/>
        <v>2.5601713033574924</v>
      </c>
      <c r="H1965" s="21">
        <f t="shared" ca="1" si="335"/>
        <v>5845.513040198909</v>
      </c>
      <c r="I1965" s="21">
        <f t="shared" ca="1" si="330"/>
        <v>5847.2419354698914</v>
      </c>
      <c r="J1965" s="20">
        <f t="shared" ca="1" si="339"/>
        <v>0</v>
      </c>
      <c r="K1965" s="20">
        <f t="shared" ca="1" si="331"/>
        <v>1</v>
      </c>
      <c r="L1965" s="44">
        <f t="shared" ca="1" si="336"/>
        <v>0.5</v>
      </c>
    </row>
    <row r="1966" spans="1:12" x14ac:dyDescent="0.25">
      <c r="A1966" s="20">
        <v>1958</v>
      </c>
      <c r="B1966" s="21">
        <f t="shared" ca="1" si="332"/>
        <v>0.34358445275639521</v>
      </c>
      <c r="C1966" s="21">
        <f t="shared" ca="1" si="337"/>
        <v>5845.8566246516657</v>
      </c>
      <c r="D1966" s="21">
        <f t="shared" ca="1" si="333"/>
        <v>3.1209939958602426</v>
      </c>
      <c r="E1966" s="21">
        <f t="shared" ca="1" si="340"/>
        <v>1.3853108182256619</v>
      </c>
      <c r="F1966" s="20" t="str">
        <f t="shared" ca="1" si="338"/>
        <v>No</v>
      </c>
      <c r="G1966" s="21">
        <f t="shared" ca="1" si="334"/>
        <v>0</v>
      </c>
      <c r="H1966" s="21">
        <f t="shared" ca="1" si="335"/>
        <v>5847.2419354698914</v>
      </c>
      <c r="I1966" s="21">
        <f t="shared" ca="1" si="330"/>
        <v>5850.3629294657512</v>
      </c>
      <c r="J1966" s="20">
        <f t="shared" ca="1" si="339"/>
        <v>2</v>
      </c>
      <c r="K1966" s="20">
        <f t="shared" ca="1" si="331"/>
        <v>1</v>
      </c>
      <c r="L1966" s="44">
        <f t="shared" ca="1" si="336"/>
        <v>1.5</v>
      </c>
    </row>
    <row r="1967" spans="1:12" x14ac:dyDescent="0.25">
      <c r="A1967" s="20">
        <v>1959</v>
      </c>
      <c r="B1967" s="21">
        <f t="shared" ca="1" si="332"/>
        <v>2.7024249436464531</v>
      </c>
      <c r="C1967" s="21">
        <f t="shared" ca="1" si="337"/>
        <v>5848.559049595312</v>
      </c>
      <c r="D1967" s="21">
        <f t="shared" ca="1" si="333"/>
        <v>3.6261994823016606</v>
      </c>
      <c r="E1967" s="21">
        <f t="shared" ca="1" si="340"/>
        <v>1.803879870439232</v>
      </c>
      <c r="F1967" s="20" t="str">
        <f t="shared" ca="1" si="338"/>
        <v>No</v>
      </c>
      <c r="G1967" s="21">
        <f t="shared" ca="1" si="334"/>
        <v>0</v>
      </c>
      <c r="H1967" s="21">
        <f t="shared" ca="1" si="335"/>
        <v>5850.3629294657512</v>
      </c>
      <c r="I1967" s="21">
        <f t="shared" ca="1" si="330"/>
        <v>5853.9891289480529</v>
      </c>
      <c r="J1967" s="20">
        <f t="shared" ca="1" si="339"/>
        <v>2</v>
      </c>
      <c r="K1967" s="20">
        <f t="shared" ca="1" si="331"/>
        <v>2</v>
      </c>
      <c r="L1967" s="44">
        <f t="shared" ca="1" si="336"/>
        <v>2</v>
      </c>
    </row>
    <row r="1968" spans="1:12" x14ac:dyDescent="0.25">
      <c r="A1968" s="20">
        <v>1960</v>
      </c>
      <c r="B1968" s="21">
        <f t="shared" ca="1" si="332"/>
        <v>2.0312750549241287</v>
      </c>
      <c r="C1968" s="21">
        <f t="shared" ca="1" si="337"/>
        <v>5850.5903246502357</v>
      </c>
      <c r="D1968" s="21">
        <f t="shared" ca="1" si="333"/>
        <v>8.8138822644578507</v>
      </c>
      <c r="E1968" s="21">
        <f t="shared" ca="1" si="340"/>
        <v>3.3988042978171507</v>
      </c>
      <c r="F1968" s="20" t="str">
        <f t="shared" ca="1" si="338"/>
        <v>No</v>
      </c>
      <c r="G1968" s="21">
        <f t="shared" ca="1" si="334"/>
        <v>0</v>
      </c>
      <c r="H1968" s="21">
        <f t="shared" ca="1" si="335"/>
        <v>5853.9891289480529</v>
      </c>
      <c r="I1968" s="21">
        <f t="shared" ca="1" si="330"/>
        <v>5862.8030112125107</v>
      </c>
      <c r="J1968" s="20">
        <f t="shared" ca="1" si="339"/>
        <v>3</v>
      </c>
      <c r="K1968" s="20">
        <f t="shared" ca="1" si="331"/>
        <v>5</v>
      </c>
      <c r="L1968" s="44">
        <f t="shared" ca="1" si="336"/>
        <v>4</v>
      </c>
    </row>
    <row r="1969" spans="1:12" x14ac:dyDescent="0.25">
      <c r="A1969" s="20">
        <v>1961</v>
      </c>
      <c r="B1969" s="21">
        <f t="shared" ca="1" si="332"/>
        <v>2.032726698360543</v>
      </c>
      <c r="C1969" s="21">
        <f t="shared" ca="1" si="337"/>
        <v>5852.6230513485962</v>
      </c>
      <c r="D1969" s="21">
        <f t="shared" ca="1" si="333"/>
        <v>4.2245601946631531E-2</v>
      </c>
      <c r="E1969" s="21">
        <f t="shared" ca="1" si="340"/>
        <v>10.179959863914519</v>
      </c>
      <c r="F1969" s="20" t="str">
        <f t="shared" ca="1" si="338"/>
        <v>No</v>
      </c>
      <c r="G1969" s="21">
        <f t="shared" ca="1" si="334"/>
        <v>0</v>
      </c>
      <c r="H1969" s="21">
        <f t="shared" ca="1" si="335"/>
        <v>5862.8030112125107</v>
      </c>
      <c r="I1969" s="21">
        <f t="shared" ca="1" si="330"/>
        <v>5862.8452568144576</v>
      </c>
      <c r="J1969" s="20">
        <f t="shared" ca="1" si="339"/>
        <v>6</v>
      </c>
      <c r="K1969" s="20">
        <f t="shared" ca="1" si="331"/>
        <v>5</v>
      </c>
      <c r="L1969" s="44">
        <f t="shared" ca="1" si="336"/>
        <v>5.5</v>
      </c>
    </row>
    <row r="1970" spans="1:12" x14ac:dyDescent="0.25">
      <c r="A1970" s="20">
        <v>1962</v>
      </c>
      <c r="B1970" s="21">
        <f t="shared" ca="1" si="332"/>
        <v>2.8418317125557087</v>
      </c>
      <c r="C1970" s="21">
        <f t="shared" ca="1" si="337"/>
        <v>5855.4648830611522</v>
      </c>
      <c r="D1970" s="21">
        <f t="shared" ca="1" si="333"/>
        <v>0.52063166232252667</v>
      </c>
      <c r="E1970" s="21">
        <f t="shared" ca="1" si="340"/>
        <v>7.3803737533053209</v>
      </c>
      <c r="F1970" s="20" t="str">
        <f t="shared" ca="1" si="338"/>
        <v>No</v>
      </c>
      <c r="G1970" s="21">
        <f t="shared" ca="1" si="334"/>
        <v>0</v>
      </c>
      <c r="H1970" s="21">
        <f t="shared" ca="1" si="335"/>
        <v>5862.8452568144576</v>
      </c>
      <c r="I1970" s="21">
        <f t="shared" ca="1" si="330"/>
        <v>5863.3658884767801</v>
      </c>
      <c r="J1970" s="20">
        <f t="shared" ca="1" si="339"/>
        <v>6</v>
      </c>
      <c r="K1970" s="20">
        <f t="shared" ca="1" si="331"/>
        <v>4</v>
      </c>
      <c r="L1970" s="44">
        <f t="shared" ca="1" si="336"/>
        <v>5</v>
      </c>
    </row>
    <row r="1971" spans="1:12" x14ac:dyDescent="0.25">
      <c r="A1971" s="20">
        <v>1963</v>
      </c>
      <c r="B1971" s="21">
        <f t="shared" ca="1" si="332"/>
        <v>1.5303759842973694</v>
      </c>
      <c r="C1971" s="21">
        <f t="shared" ca="1" si="337"/>
        <v>5856.9952590454495</v>
      </c>
      <c r="D1971" s="21">
        <f t="shared" ca="1" si="333"/>
        <v>3.7800975645714643</v>
      </c>
      <c r="E1971" s="21">
        <f t="shared" ca="1" si="340"/>
        <v>6.3706294313305989</v>
      </c>
      <c r="F1971" s="20" t="str">
        <f t="shared" ca="1" si="338"/>
        <v>No</v>
      </c>
      <c r="G1971" s="21">
        <f t="shared" ca="1" si="334"/>
        <v>0</v>
      </c>
      <c r="H1971" s="21">
        <f t="shared" ca="1" si="335"/>
        <v>5863.3658884767801</v>
      </c>
      <c r="I1971" s="21">
        <f t="shared" ca="1" si="330"/>
        <v>5867.1459860413515</v>
      </c>
      <c r="J1971" s="20">
        <f t="shared" ca="1" si="339"/>
        <v>5</v>
      </c>
      <c r="K1971" s="20">
        <f t="shared" ca="1" si="331"/>
        <v>4</v>
      </c>
      <c r="L1971" s="44">
        <f t="shared" ca="1" si="336"/>
        <v>4.5</v>
      </c>
    </row>
    <row r="1972" spans="1:12" x14ac:dyDescent="0.25">
      <c r="A1972" s="20">
        <v>1964</v>
      </c>
      <c r="B1972" s="21">
        <f t="shared" ca="1" si="332"/>
        <v>1.3062299791292415</v>
      </c>
      <c r="C1972" s="21">
        <f t="shared" ca="1" si="337"/>
        <v>5858.3014890245786</v>
      </c>
      <c r="D1972" s="21">
        <f t="shared" ca="1" si="333"/>
        <v>4.5390587706211981E-2</v>
      </c>
      <c r="E1972" s="21">
        <f t="shared" ca="1" si="340"/>
        <v>8.844497016772948</v>
      </c>
      <c r="F1972" s="20" t="str">
        <f t="shared" ca="1" si="338"/>
        <v>No</v>
      </c>
      <c r="G1972" s="21">
        <f t="shared" ca="1" si="334"/>
        <v>0</v>
      </c>
      <c r="H1972" s="21">
        <f t="shared" ca="1" si="335"/>
        <v>5867.1459860413515</v>
      </c>
      <c r="I1972" s="21">
        <f t="shared" ca="1" si="330"/>
        <v>5867.1913766290581</v>
      </c>
      <c r="J1972" s="20">
        <f t="shared" ca="1" si="339"/>
        <v>5</v>
      </c>
      <c r="K1972" s="20">
        <f t="shared" ca="1" si="331"/>
        <v>3</v>
      </c>
      <c r="L1972" s="44">
        <f t="shared" ca="1" si="336"/>
        <v>4</v>
      </c>
    </row>
    <row r="1973" spans="1:12" x14ac:dyDescent="0.25">
      <c r="A1973" s="20">
        <v>1965</v>
      </c>
      <c r="B1973" s="21">
        <f t="shared" ca="1" si="332"/>
        <v>1.9428591034689446</v>
      </c>
      <c r="C1973" s="21">
        <f t="shared" ca="1" si="337"/>
        <v>5860.2443481280479</v>
      </c>
      <c r="D1973" s="21">
        <f t="shared" ca="1" si="333"/>
        <v>4.8038013592575979</v>
      </c>
      <c r="E1973" s="21">
        <f t="shared" ca="1" si="340"/>
        <v>6.9470285010102089</v>
      </c>
      <c r="F1973" s="20" t="str">
        <f t="shared" ca="1" si="338"/>
        <v>No</v>
      </c>
      <c r="G1973" s="21">
        <f t="shared" ca="1" si="334"/>
        <v>0</v>
      </c>
      <c r="H1973" s="21">
        <f t="shared" ca="1" si="335"/>
        <v>5867.1913766290581</v>
      </c>
      <c r="I1973" s="21">
        <f t="shared" ca="1" si="330"/>
        <v>5871.9951779883158</v>
      </c>
      <c r="J1973" s="20">
        <f t="shared" ca="1" si="339"/>
        <v>4</v>
      </c>
      <c r="K1973" s="20">
        <f t="shared" ca="1" si="331"/>
        <v>4</v>
      </c>
      <c r="L1973" s="44">
        <f t="shared" ca="1" si="336"/>
        <v>4</v>
      </c>
    </row>
    <row r="1974" spans="1:12" x14ac:dyDescent="0.25">
      <c r="A1974" s="20">
        <v>1966</v>
      </c>
      <c r="B1974" s="21">
        <f t="shared" ca="1" si="332"/>
        <v>0.47435970385391857</v>
      </c>
      <c r="C1974" s="21">
        <f t="shared" ca="1" si="337"/>
        <v>5860.7187078319021</v>
      </c>
      <c r="D1974" s="21">
        <f t="shared" ca="1" si="333"/>
        <v>3.0735851771610911</v>
      </c>
      <c r="E1974" s="21">
        <f t="shared" ca="1" si="340"/>
        <v>11.276470156413779</v>
      </c>
      <c r="F1974" s="20" t="str">
        <f t="shared" ca="1" si="338"/>
        <v>No</v>
      </c>
      <c r="G1974" s="21">
        <f t="shared" ca="1" si="334"/>
        <v>0</v>
      </c>
      <c r="H1974" s="21">
        <f t="shared" ca="1" si="335"/>
        <v>5871.9951779883158</v>
      </c>
      <c r="I1974" s="21">
        <f t="shared" ca="1" si="330"/>
        <v>5875.0687631654773</v>
      </c>
      <c r="J1974" s="20">
        <f t="shared" ca="1" si="339"/>
        <v>5</v>
      </c>
      <c r="K1974" s="20">
        <f t="shared" ca="1" si="331"/>
        <v>3</v>
      </c>
      <c r="L1974" s="44">
        <f t="shared" ca="1" si="336"/>
        <v>4</v>
      </c>
    </row>
    <row r="1975" spans="1:12" x14ac:dyDescent="0.25">
      <c r="A1975" s="20">
        <v>1967</v>
      </c>
      <c r="B1975" s="21">
        <f t="shared" ca="1" si="332"/>
        <v>5.0686843326074653</v>
      </c>
      <c r="C1975" s="21">
        <f t="shared" ca="1" si="337"/>
        <v>5865.7873921645096</v>
      </c>
      <c r="D1975" s="21">
        <f t="shared" ca="1" si="333"/>
        <v>2.5916660396432194</v>
      </c>
      <c r="E1975" s="21">
        <f t="shared" ca="1" si="340"/>
        <v>9.2813710009677379</v>
      </c>
      <c r="F1975" s="20" t="str">
        <f t="shared" ca="1" si="338"/>
        <v>No</v>
      </c>
      <c r="G1975" s="21">
        <f t="shared" ca="1" si="334"/>
        <v>0</v>
      </c>
      <c r="H1975" s="21">
        <f t="shared" ca="1" si="335"/>
        <v>5875.0687631654773</v>
      </c>
      <c r="I1975" s="21">
        <f t="shared" ca="1" si="330"/>
        <v>5877.6604292051206</v>
      </c>
      <c r="J1975" s="20">
        <f t="shared" ca="1" si="339"/>
        <v>4</v>
      </c>
      <c r="K1975" s="20">
        <f t="shared" ca="1" si="331"/>
        <v>3</v>
      </c>
      <c r="L1975" s="44">
        <f t="shared" ca="1" si="336"/>
        <v>3.5</v>
      </c>
    </row>
    <row r="1976" spans="1:12" x14ac:dyDescent="0.25">
      <c r="A1976" s="20">
        <v>1968</v>
      </c>
      <c r="B1976" s="21">
        <f t="shared" ca="1" si="332"/>
        <v>3.1456091986795713</v>
      </c>
      <c r="C1976" s="21">
        <f t="shared" ca="1" si="337"/>
        <v>5868.9330013631889</v>
      </c>
      <c r="D1976" s="21">
        <f t="shared" ca="1" si="333"/>
        <v>0.43701414725118082</v>
      </c>
      <c r="E1976" s="21">
        <f t="shared" ca="1" si="340"/>
        <v>8.7274278419317852</v>
      </c>
      <c r="F1976" s="20" t="str">
        <f t="shared" ca="1" si="338"/>
        <v>No</v>
      </c>
      <c r="G1976" s="21">
        <f t="shared" ca="1" si="334"/>
        <v>0</v>
      </c>
      <c r="H1976" s="21">
        <f t="shared" ca="1" si="335"/>
        <v>5877.6604292051206</v>
      </c>
      <c r="I1976" s="21">
        <f t="shared" ca="1" si="330"/>
        <v>5878.0974433523716</v>
      </c>
      <c r="J1976" s="20">
        <f t="shared" ca="1" si="339"/>
        <v>4</v>
      </c>
      <c r="K1976" s="20">
        <f t="shared" ca="1" si="331"/>
        <v>2</v>
      </c>
      <c r="L1976" s="44">
        <f t="shared" ca="1" si="336"/>
        <v>3</v>
      </c>
    </row>
    <row r="1977" spans="1:12" x14ac:dyDescent="0.25">
      <c r="A1977" s="20">
        <v>1969</v>
      </c>
      <c r="B1977" s="21">
        <f t="shared" ca="1" si="332"/>
        <v>3.0097574793002471</v>
      </c>
      <c r="C1977" s="21">
        <f t="shared" ca="1" si="337"/>
        <v>5871.9427588424887</v>
      </c>
      <c r="D1977" s="21">
        <f t="shared" ca="1" si="333"/>
        <v>1.6751943837870908</v>
      </c>
      <c r="E1977" s="21">
        <f t="shared" ca="1" si="340"/>
        <v>6.1546845098828271</v>
      </c>
      <c r="F1977" s="20" t="str">
        <f t="shared" ca="1" si="338"/>
        <v>No</v>
      </c>
      <c r="G1977" s="21">
        <f t="shared" ca="1" si="334"/>
        <v>0</v>
      </c>
      <c r="H1977" s="21">
        <f t="shared" ca="1" si="335"/>
        <v>5878.0974433523716</v>
      </c>
      <c r="I1977" s="21">
        <f t="shared" ca="1" si="330"/>
        <v>5879.7726377361587</v>
      </c>
      <c r="J1977" s="20">
        <f t="shared" ca="1" si="339"/>
        <v>3</v>
      </c>
      <c r="K1977" s="20">
        <f t="shared" ca="1" si="331"/>
        <v>2</v>
      </c>
      <c r="L1977" s="44">
        <f t="shared" ca="1" si="336"/>
        <v>2.5</v>
      </c>
    </row>
    <row r="1978" spans="1:12" x14ac:dyDescent="0.25">
      <c r="A1978" s="20">
        <v>1970</v>
      </c>
      <c r="B1978" s="21">
        <f t="shared" ca="1" si="332"/>
        <v>5.56138970845182</v>
      </c>
      <c r="C1978" s="21">
        <f t="shared" ca="1" si="337"/>
        <v>5877.504148550941</v>
      </c>
      <c r="D1978" s="21">
        <f t="shared" ca="1" si="333"/>
        <v>0.41485471138542401</v>
      </c>
      <c r="E1978" s="21">
        <f t="shared" ca="1" si="340"/>
        <v>2.2684891852177316</v>
      </c>
      <c r="F1978" s="20" t="str">
        <f t="shared" ca="1" si="338"/>
        <v>No</v>
      </c>
      <c r="G1978" s="21">
        <f t="shared" ca="1" si="334"/>
        <v>0</v>
      </c>
      <c r="H1978" s="21">
        <f t="shared" ca="1" si="335"/>
        <v>5879.7726377361587</v>
      </c>
      <c r="I1978" s="21">
        <f t="shared" ca="1" si="330"/>
        <v>5880.1874924475442</v>
      </c>
      <c r="J1978" s="20">
        <f t="shared" ca="1" si="339"/>
        <v>3</v>
      </c>
      <c r="K1978" s="20">
        <f t="shared" ca="1" si="331"/>
        <v>1</v>
      </c>
      <c r="L1978" s="44">
        <f t="shared" ca="1" si="336"/>
        <v>2</v>
      </c>
    </row>
    <row r="1979" spans="1:12" x14ac:dyDescent="0.25">
      <c r="A1979" s="20">
        <v>1971</v>
      </c>
      <c r="B1979" s="21">
        <f t="shared" ca="1" si="332"/>
        <v>2.1306152188925247</v>
      </c>
      <c r="C1979" s="21">
        <f t="shared" ca="1" si="337"/>
        <v>5879.6347637698336</v>
      </c>
      <c r="D1979" s="21">
        <f t="shared" ca="1" si="333"/>
        <v>6.5537578358385193</v>
      </c>
      <c r="E1979" s="21">
        <f t="shared" ca="1" si="340"/>
        <v>0.55272867771054734</v>
      </c>
      <c r="F1979" s="20" t="str">
        <f t="shared" ca="1" si="338"/>
        <v>No</v>
      </c>
      <c r="G1979" s="21">
        <f t="shared" ca="1" si="334"/>
        <v>0</v>
      </c>
      <c r="H1979" s="21">
        <f t="shared" ca="1" si="335"/>
        <v>5880.1874924475442</v>
      </c>
      <c r="I1979" s="21">
        <f t="shared" ca="1" si="330"/>
        <v>5886.7412502833831</v>
      </c>
      <c r="J1979" s="20">
        <f t="shared" ca="1" si="339"/>
        <v>2</v>
      </c>
      <c r="K1979" s="20">
        <f t="shared" ca="1" si="331"/>
        <v>0</v>
      </c>
      <c r="L1979" s="44">
        <f t="shared" ca="1" si="336"/>
        <v>1</v>
      </c>
    </row>
    <row r="1980" spans="1:12" x14ac:dyDescent="0.25">
      <c r="A1980" s="20">
        <v>1972</v>
      </c>
      <c r="B1980" s="21">
        <f t="shared" ca="1" si="332"/>
        <v>7.6946252377285296</v>
      </c>
      <c r="C1980" s="21">
        <f t="shared" ca="1" si="337"/>
        <v>5887.329389007562</v>
      </c>
      <c r="D1980" s="21">
        <f t="shared" ca="1" si="333"/>
        <v>0.97896674191697586</v>
      </c>
      <c r="E1980" s="21">
        <f t="shared" ca="1" si="340"/>
        <v>0</v>
      </c>
      <c r="F1980" s="20" t="str">
        <f t="shared" ca="1" si="338"/>
        <v>Yes</v>
      </c>
      <c r="G1980" s="21">
        <f t="shared" ca="1" si="334"/>
        <v>0.58813872417886159</v>
      </c>
      <c r="H1980" s="21">
        <f t="shared" ca="1" si="335"/>
        <v>5887.329389007562</v>
      </c>
      <c r="I1980" s="21">
        <f t="shared" ca="1" si="330"/>
        <v>5888.3083557494792</v>
      </c>
      <c r="J1980" s="20">
        <f t="shared" ca="1" si="339"/>
        <v>0</v>
      </c>
      <c r="K1980" s="20">
        <f t="shared" ca="1" si="331"/>
        <v>0</v>
      </c>
      <c r="L1980" s="44">
        <f t="shared" ca="1" si="336"/>
        <v>0</v>
      </c>
    </row>
    <row r="1981" spans="1:12" x14ac:dyDescent="0.25">
      <c r="A1981" s="20">
        <v>1973</v>
      </c>
      <c r="B1981" s="21">
        <f t="shared" ca="1" si="332"/>
        <v>4.0246018065683149</v>
      </c>
      <c r="C1981" s="21">
        <f t="shared" ca="1" si="337"/>
        <v>5891.3539908141302</v>
      </c>
      <c r="D1981" s="21">
        <f t="shared" ca="1" si="333"/>
        <v>0.41571432329395647</v>
      </c>
      <c r="E1981" s="21">
        <f t="shared" ca="1" si="340"/>
        <v>0</v>
      </c>
      <c r="F1981" s="20" t="str">
        <f t="shared" ca="1" si="338"/>
        <v>Yes</v>
      </c>
      <c r="G1981" s="21">
        <f t="shared" ca="1" si="334"/>
        <v>3.0456350646509236</v>
      </c>
      <c r="H1981" s="21">
        <f t="shared" ca="1" si="335"/>
        <v>5891.3539908141302</v>
      </c>
      <c r="I1981" s="21">
        <f t="shared" ca="1" si="330"/>
        <v>5891.7697051374244</v>
      </c>
      <c r="J1981" s="20">
        <f t="shared" ca="1" si="339"/>
        <v>0</v>
      </c>
      <c r="K1981" s="20">
        <f t="shared" ca="1" si="331"/>
        <v>1</v>
      </c>
      <c r="L1981" s="44">
        <f t="shared" ca="1" si="336"/>
        <v>0.5</v>
      </c>
    </row>
    <row r="1982" spans="1:12" x14ac:dyDescent="0.25">
      <c r="A1982" s="20">
        <v>1974</v>
      </c>
      <c r="B1982" s="21">
        <f t="shared" ca="1" si="332"/>
        <v>0.14749082670317173</v>
      </c>
      <c r="C1982" s="21">
        <f t="shared" ca="1" si="337"/>
        <v>5891.5014816408329</v>
      </c>
      <c r="D1982" s="21">
        <f t="shared" ca="1" si="333"/>
        <v>3.226813049373384</v>
      </c>
      <c r="E1982" s="21">
        <f t="shared" ca="1" si="340"/>
        <v>0.26822349659141764</v>
      </c>
      <c r="F1982" s="20" t="str">
        <f t="shared" ca="1" si="338"/>
        <v>No</v>
      </c>
      <c r="G1982" s="21">
        <f t="shared" ca="1" si="334"/>
        <v>0</v>
      </c>
      <c r="H1982" s="21">
        <f t="shared" ca="1" si="335"/>
        <v>5891.7697051374244</v>
      </c>
      <c r="I1982" s="21">
        <f t="shared" ca="1" si="330"/>
        <v>5894.9965181867974</v>
      </c>
      <c r="J1982" s="20">
        <f t="shared" ca="1" si="339"/>
        <v>2</v>
      </c>
      <c r="K1982" s="20">
        <f t="shared" ca="1" si="331"/>
        <v>1</v>
      </c>
      <c r="L1982" s="44">
        <f t="shared" ca="1" si="336"/>
        <v>1.5</v>
      </c>
    </row>
    <row r="1983" spans="1:12" x14ac:dyDescent="0.25">
      <c r="A1983" s="20">
        <v>1975</v>
      </c>
      <c r="B1983" s="21">
        <f t="shared" ca="1" si="332"/>
        <v>0.75140452945075364</v>
      </c>
      <c r="C1983" s="21">
        <f t="shared" ca="1" si="337"/>
        <v>5892.252886170284</v>
      </c>
      <c r="D1983" s="21">
        <f t="shared" ca="1" si="333"/>
        <v>5.4397885384578674E-2</v>
      </c>
      <c r="E1983" s="21">
        <f t="shared" ca="1" si="340"/>
        <v>2.743632016513402</v>
      </c>
      <c r="F1983" s="20" t="str">
        <f t="shared" ca="1" si="338"/>
        <v>No</v>
      </c>
      <c r="G1983" s="21">
        <f t="shared" ca="1" si="334"/>
        <v>0</v>
      </c>
      <c r="H1983" s="21">
        <f t="shared" ca="1" si="335"/>
        <v>5894.9965181867974</v>
      </c>
      <c r="I1983" s="21">
        <f t="shared" ca="1" si="330"/>
        <v>5895.0509160721822</v>
      </c>
      <c r="J1983" s="20">
        <f t="shared" ca="1" si="339"/>
        <v>2</v>
      </c>
      <c r="K1983" s="20">
        <f t="shared" ca="1" si="331"/>
        <v>0</v>
      </c>
      <c r="L1983" s="44">
        <f t="shared" ca="1" si="336"/>
        <v>1</v>
      </c>
    </row>
    <row r="1984" spans="1:12" x14ac:dyDescent="0.25">
      <c r="A1984" s="20">
        <v>1976</v>
      </c>
      <c r="B1984" s="21">
        <f t="shared" ca="1" si="332"/>
        <v>5.3291388552444729</v>
      </c>
      <c r="C1984" s="21">
        <f t="shared" ca="1" si="337"/>
        <v>5897.5820250255283</v>
      </c>
      <c r="D1984" s="21">
        <f t="shared" ca="1" si="333"/>
        <v>1.53302693086602</v>
      </c>
      <c r="E1984" s="21">
        <f t="shared" ca="1" si="340"/>
        <v>0</v>
      </c>
      <c r="F1984" s="20" t="str">
        <f t="shared" ca="1" si="338"/>
        <v>Yes</v>
      </c>
      <c r="G1984" s="21">
        <f t="shared" ca="1" si="334"/>
        <v>2.53110895334612</v>
      </c>
      <c r="H1984" s="21">
        <f t="shared" ca="1" si="335"/>
        <v>5897.5820250255283</v>
      </c>
      <c r="I1984" s="21">
        <f t="shared" ca="1" si="330"/>
        <v>5899.1150519563944</v>
      </c>
      <c r="J1984" s="20">
        <f t="shared" ca="1" si="339"/>
        <v>0</v>
      </c>
      <c r="K1984" s="20">
        <f t="shared" ca="1" si="331"/>
        <v>0</v>
      </c>
      <c r="L1984" s="44">
        <f t="shared" ca="1" si="336"/>
        <v>0</v>
      </c>
    </row>
    <row r="1985" spans="1:12" x14ac:dyDescent="0.25">
      <c r="A1985" s="20">
        <v>1977</v>
      </c>
      <c r="B1985" s="21">
        <f t="shared" ca="1" si="332"/>
        <v>1.6573238850663619</v>
      </c>
      <c r="C1985" s="21">
        <f t="shared" ca="1" si="337"/>
        <v>5899.2393489105943</v>
      </c>
      <c r="D1985" s="21">
        <f t="shared" ca="1" si="333"/>
        <v>1.8163939654604182</v>
      </c>
      <c r="E1985" s="21">
        <f t="shared" ca="1" si="340"/>
        <v>0</v>
      </c>
      <c r="F1985" s="20" t="str">
        <f t="shared" ca="1" si="338"/>
        <v>Yes</v>
      </c>
      <c r="G1985" s="21">
        <f t="shared" ca="1" si="334"/>
        <v>0.12429695419996278</v>
      </c>
      <c r="H1985" s="21">
        <f t="shared" ca="1" si="335"/>
        <v>5899.2393489105943</v>
      </c>
      <c r="I1985" s="21">
        <f t="shared" ca="1" si="330"/>
        <v>5901.0557428760549</v>
      </c>
      <c r="J1985" s="20">
        <f t="shared" ca="1" si="339"/>
        <v>0</v>
      </c>
      <c r="K1985" s="20">
        <f t="shared" ca="1" si="331"/>
        <v>0</v>
      </c>
      <c r="L1985" s="44">
        <f t="shared" ca="1" si="336"/>
        <v>0</v>
      </c>
    </row>
    <row r="1986" spans="1:12" x14ac:dyDescent="0.25">
      <c r="A1986" s="20">
        <v>1978</v>
      </c>
      <c r="B1986" s="21">
        <f t="shared" ca="1" si="332"/>
        <v>3.2617212736939902</v>
      </c>
      <c r="C1986" s="21">
        <f t="shared" ca="1" si="337"/>
        <v>5902.5010701842884</v>
      </c>
      <c r="D1986" s="21">
        <f t="shared" ca="1" si="333"/>
        <v>1.7138438838568422</v>
      </c>
      <c r="E1986" s="21">
        <f t="shared" ca="1" si="340"/>
        <v>0</v>
      </c>
      <c r="F1986" s="20" t="str">
        <f t="shared" ca="1" si="338"/>
        <v>Yes</v>
      </c>
      <c r="G1986" s="21">
        <f t="shared" ca="1" si="334"/>
        <v>1.4453273082335727</v>
      </c>
      <c r="H1986" s="21">
        <f t="shared" ca="1" si="335"/>
        <v>5902.5010701842884</v>
      </c>
      <c r="I1986" s="21">
        <f t="shared" ca="1" si="330"/>
        <v>5904.2149140681449</v>
      </c>
      <c r="J1986" s="20">
        <f t="shared" ca="1" si="339"/>
        <v>0</v>
      </c>
      <c r="K1986" s="20">
        <f t="shared" ca="1" si="331"/>
        <v>1</v>
      </c>
      <c r="L1986" s="44">
        <f t="shared" ca="1" si="336"/>
        <v>0.5</v>
      </c>
    </row>
    <row r="1987" spans="1:12" x14ac:dyDescent="0.25">
      <c r="A1987" s="20">
        <v>1979</v>
      </c>
      <c r="B1987" s="21">
        <f t="shared" ca="1" si="332"/>
        <v>0.2451834363832317</v>
      </c>
      <c r="C1987" s="21">
        <f t="shared" ca="1" si="337"/>
        <v>5902.7462536206713</v>
      </c>
      <c r="D1987" s="21">
        <f t="shared" ca="1" si="333"/>
        <v>5.3227564413622375</v>
      </c>
      <c r="E1987" s="21">
        <f t="shared" ca="1" si="340"/>
        <v>1.4686604474736669</v>
      </c>
      <c r="F1987" s="20" t="str">
        <f t="shared" ca="1" si="338"/>
        <v>No</v>
      </c>
      <c r="G1987" s="21">
        <f t="shared" ca="1" si="334"/>
        <v>0</v>
      </c>
      <c r="H1987" s="21">
        <f t="shared" ca="1" si="335"/>
        <v>5904.2149140681449</v>
      </c>
      <c r="I1987" s="21">
        <f t="shared" ca="1" si="330"/>
        <v>5909.5376705095068</v>
      </c>
      <c r="J1987" s="20">
        <f t="shared" ca="1" si="339"/>
        <v>2</v>
      </c>
      <c r="K1987" s="20">
        <f t="shared" ca="1" si="331"/>
        <v>3</v>
      </c>
      <c r="L1987" s="44">
        <f t="shared" ca="1" si="336"/>
        <v>2.5</v>
      </c>
    </row>
    <row r="1988" spans="1:12" x14ac:dyDescent="0.25">
      <c r="A1988" s="20">
        <v>1980</v>
      </c>
      <c r="B1988" s="21">
        <f t="shared" ca="1" si="332"/>
        <v>2.1509219797187593</v>
      </c>
      <c r="C1988" s="21">
        <f t="shared" ca="1" si="337"/>
        <v>5904.8971756003903</v>
      </c>
      <c r="D1988" s="21">
        <f t="shared" ca="1" si="333"/>
        <v>0.22090384576049554</v>
      </c>
      <c r="E1988" s="21">
        <f t="shared" ca="1" si="340"/>
        <v>4.640494909116569</v>
      </c>
      <c r="F1988" s="20" t="str">
        <f t="shared" ca="1" si="338"/>
        <v>No</v>
      </c>
      <c r="G1988" s="21">
        <f t="shared" ca="1" si="334"/>
        <v>0</v>
      </c>
      <c r="H1988" s="21">
        <f t="shared" ca="1" si="335"/>
        <v>5909.5376705095068</v>
      </c>
      <c r="I1988" s="21">
        <f t="shared" ca="1" si="330"/>
        <v>5909.7585743552672</v>
      </c>
      <c r="J1988" s="20">
        <f t="shared" ca="1" si="339"/>
        <v>4</v>
      </c>
      <c r="K1988" s="20">
        <f t="shared" ca="1" si="331"/>
        <v>2</v>
      </c>
      <c r="L1988" s="44">
        <f t="shared" ca="1" si="336"/>
        <v>3</v>
      </c>
    </row>
    <row r="1989" spans="1:12" x14ac:dyDescent="0.25">
      <c r="A1989" s="20">
        <v>1981</v>
      </c>
      <c r="B1989" s="21">
        <f t="shared" ca="1" si="332"/>
        <v>2.7055965448054584</v>
      </c>
      <c r="C1989" s="21">
        <f t="shared" ca="1" si="337"/>
        <v>5907.6027721451956</v>
      </c>
      <c r="D1989" s="21">
        <f t="shared" ca="1" si="333"/>
        <v>0.65061421259473418</v>
      </c>
      <c r="E1989" s="21">
        <f t="shared" ca="1" si="340"/>
        <v>2.1558022100716698</v>
      </c>
      <c r="F1989" s="20" t="str">
        <f t="shared" ca="1" si="338"/>
        <v>No</v>
      </c>
      <c r="G1989" s="21">
        <f t="shared" ca="1" si="334"/>
        <v>0</v>
      </c>
      <c r="H1989" s="21">
        <f t="shared" ca="1" si="335"/>
        <v>5909.7585743552672</v>
      </c>
      <c r="I1989" s="21">
        <f t="shared" ca="1" si="330"/>
        <v>5910.4091885678617</v>
      </c>
      <c r="J1989" s="20">
        <f t="shared" ca="1" si="339"/>
        <v>3</v>
      </c>
      <c r="K1989" s="20">
        <f t="shared" ca="1" si="331"/>
        <v>1</v>
      </c>
      <c r="L1989" s="44">
        <f t="shared" ca="1" si="336"/>
        <v>2</v>
      </c>
    </row>
    <row r="1990" spans="1:12" x14ac:dyDescent="0.25">
      <c r="A1990" s="20">
        <v>1982</v>
      </c>
      <c r="B1990" s="21">
        <f t="shared" ca="1" si="332"/>
        <v>1.3623828079409714</v>
      </c>
      <c r="C1990" s="21">
        <f t="shared" ca="1" si="337"/>
        <v>5908.9651549531363</v>
      </c>
      <c r="D1990" s="21">
        <f t="shared" ca="1" si="333"/>
        <v>3.9043312929133909</v>
      </c>
      <c r="E1990" s="21">
        <f t="shared" ca="1" si="340"/>
        <v>1.4440336147254129</v>
      </c>
      <c r="F1990" s="20" t="str">
        <f t="shared" ca="1" si="338"/>
        <v>No</v>
      </c>
      <c r="G1990" s="21">
        <f t="shared" ca="1" si="334"/>
        <v>0</v>
      </c>
      <c r="H1990" s="21">
        <f t="shared" ca="1" si="335"/>
        <v>5910.4091885678617</v>
      </c>
      <c r="I1990" s="21">
        <f t="shared" ca="1" si="330"/>
        <v>5914.3135198607752</v>
      </c>
      <c r="J1990" s="20">
        <f t="shared" ca="1" si="339"/>
        <v>2</v>
      </c>
      <c r="K1990" s="20">
        <f t="shared" ca="1" si="331"/>
        <v>1</v>
      </c>
      <c r="L1990" s="44">
        <f t="shared" ca="1" si="336"/>
        <v>1.5</v>
      </c>
    </row>
    <row r="1991" spans="1:12" x14ac:dyDescent="0.25">
      <c r="A1991" s="20">
        <v>1983</v>
      </c>
      <c r="B1991" s="21">
        <f t="shared" ca="1" si="332"/>
        <v>4.5172177827617093</v>
      </c>
      <c r="C1991" s="21">
        <f t="shared" ca="1" si="337"/>
        <v>5913.482372735898</v>
      </c>
      <c r="D1991" s="21">
        <f t="shared" ca="1" si="333"/>
        <v>1.2329387201809561</v>
      </c>
      <c r="E1991" s="21">
        <f t="shared" ca="1" si="340"/>
        <v>0.83114712487713405</v>
      </c>
      <c r="F1991" s="20" t="str">
        <f t="shared" ca="1" si="338"/>
        <v>No</v>
      </c>
      <c r="G1991" s="21">
        <f t="shared" ca="1" si="334"/>
        <v>0</v>
      </c>
      <c r="H1991" s="21">
        <f t="shared" ca="1" si="335"/>
        <v>5914.3135198607752</v>
      </c>
      <c r="I1991" s="21">
        <f t="shared" ca="1" si="330"/>
        <v>5915.5464585809559</v>
      </c>
      <c r="J1991" s="20">
        <f t="shared" ca="1" si="339"/>
        <v>2</v>
      </c>
      <c r="K1991" s="20">
        <f t="shared" ca="1" si="331"/>
        <v>1</v>
      </c>
      <c r="L1991" s="44">
        <f t="shared" ca="1" si="336"/>
        <v>1.5</v>
      </c>
    </row>
    <row r="1992" spans="1:12" x14ac:dyDescent="0.25">
      <c r="A1992" s="20">
        <v>1984</v>
      </c>
      <c r="B1992" s="21">
        <f t="shared" ca="1" si="332"/>
        <v>1.3020076502474665</v>
      </c>
      <c r="C1992" s="21">
        <f t="shared" ca="1" si="337"/>
        <v>5914.7843803861451</v>
      </c>
      <c r="D1992" s="21">
        <f t="shared" ca="1" si="333"/>
        <v>5.4663279356849221</v>
      </c>
      <c r="E1992" s="21">
        <f t="shared" ca="1" si="340"/>
        <v>0.76207819481078332</v>
      </c>
      <c r="F1992" s="20" t="str">
        <f t="shared" ca="1" si="338"/>
        <v>No</v>
      </c>
      <c r="G1992" s="21">
        <f t="shared" ca="1" si="334"/>
        <v>0</v>
      </c>
      <c r="H1992" s="21">
        <f t="shared" ca="1" si="335"/>
        <v>5915.5464585809559</v>
      </c>
      <c r="I1992" s="21">
        <f t="shared" ca="1" si="330"/>
        <v>5921.0127865166405</v>
      </c>
      <c r="J1992" s="20">
        <f t="shared" ca="1" si="339"/>
        <v>2</v>
      </c>
      <c r="K1992" s="20">
        <f t="shared" ca="1" si="331"/>
        <v>1</v>
      </c>
      <c r="L1992" s="44">
        <f t="shared" ca="1" si="336"/>
        <v>1.5</v>
      </c>
    </row>
    <row r="1993" spans="1:12" x14ac:dyDescent="0.25">
      <c r="A1993" s="20">
        <v>1985</v>
      </c>
      <c r="B1993" s="21">
        <f t="shared" ca="1" si="332"/>
        <v>5.7990891727390759</v>
      </c>
      <c r="C1993" s="21">
        <f t="shared" ca="1" si="337"/>
        <v>5920.5834695588846</v>
      </c>
      <c r="D1993" s="21">
        <f t="shared" ca="1" si="333"/>
        <v>1.5572017695064178</v>
      </c>
      <c r="E1993" s="21">
        <f t="shared" ca="1" si="340"/>
        <v>0.42931695775587286</v>
      </c>
      <c r="F1993" s="20" t="str">
        <f t="shared" ca="1" si="338"/>
        <v>No</v>
      </c>
      <c r="G1993" s="21">
        <f t="shared" ca="1" si="334"/>
        <v>0</v>
      </c>
      <c r="H1993" s="21">
        <f t="shared" ca="1" si="335"/>
        <v>5921.0127865166405</v>
      </c>
      <c r="I1993" s="21">
        <f t="shared" ref="I1993:I2056" ca="1" si="341">$H1993+$D1993</f>
        <v>5922.5699882861472</v>
      </c>
      <c r="J1993" s="20">
        <f t="shared" ca="1" si="339"/>
        <v>2</v>
      </c>
      <c r="K1993" s="20">
        <f t="shared" ref="K1993:K2056" ca="1" si="342">IF($I1993&lt;=$C1994,0,IF($I1993&lt;=$C1995,1,IF($I1993&lt;=$C1996,2,IF($I1993&lt;=$C1997,3,IF($I1993&lt;=$C1998,4,5)))))</f>
        <v>1</v>
      </c>
      <c r="L1993" s="44">
        <f t="shared" ca="1" si="336"/>
        <v>1.5</v>
      </c>
    </row>
    <row r="1994" spans="1:12" x14ac:dyDescent="0.25">
      <c r="A1994" s="20">
        <v>1986</v>
      </c>
      <c r="B1994" s="21">
        <f t="shared" ref="B1994:B2057" ca="1" si="343">-LN(RAND())/$D$4</f>
        <v>1.9616898414576305</v>
      </c>
      <c r="C1994" s="21">
        <f t="shared" ca="1" si="337"/>
        <v>5922.5451594003425</v>
      </c>
      <c r="D1994" s="21">
        <f t="shared" ref="D1994:D2057" ca="1" si="344">-LN(RAND())/$D$6</f>
        <v>2.960936585619578</v>
      </c>
      <c r="E1994" s="21">
        <f t="shared" ca="1" si="340"/>
        <v>2.4828885804708989E-2</v>
      </c>
      <c r="F1994" s="20" t="str">
        <f t="shared" ca="1" si="338"/>
        <v>No</v>
      </c>
      <c r="G1994" s="21">
        <f t="shared" ref="G1994:G2057" ca="1" si="345">IF($I1993&lt;=$C1994,$C1994-$I1993,0)</f>
        <v>0</v>
      </c>
      <c r="H1994" s="21">
        <f t="shared" ref="H1994:H2057" ca="1" si="346">IF($I1993&lt;=$C1994,$C1994,$I1993)</f>
        <v>5922.5699882861472</v>
      </c>
      <c r="I1994" s="21">
        <f t="shared" ca="1" si="341"/>
        <v>5925.5309248717667</v>
      </c>
      <c r="J1994" s="20">
        <f t="shared" ca="1" si="339"/>
        <v>2</v>
      </c>
      <c r="K1994" s="20">
        <f t="shared" ca="1" si="342"/>
        <v>1</v>
      </c>
      <c r="L1994" s="44">
        <f t="shared" ref="L1994:L2057" ca="1" si="347">(J1994+K1994)/2</f>
        <v>1.5</v>
      </c>
    </row>
    <row r="1995" spans="1:12" x14ac:dyDescent="0.25">
      <c r="A1995" s="20">
        <v>1987</v>
      </c>
      <c r="B1995" s="21">
        <f t="shared" ca="1" si="343"/>
        <v>0.30309864315048574</v>
      </c>
      <c r="C1995" s="21">
        <f t="shared" ref="C1995:C2058" ca="1" si="348">$C1994+$B1995</f>
        <v>5922.8482580434929</v>
      </c>
      <c r="D1995" s="21">
        <f t="shared" ca="1" si="344"/>
        <v>3.3988328568425263</v>
      </c>
      <c r="E1995" s="21">
        <f t="shared" ca="1" si="340"/>
        <v>2.6826668282737955</v>
      </c>
      <c r="F1995" s="20" t="str">
        <f t="shared" ref="F1995:F2058" ca="1" si="349">IF(E1995=0,"Yes","No")</f>
        <v>No</v>
      </c>
      <c r="G1995" s="21">
        <f t="shared" ca="1" si="345"/>
        <v>0</v>
      </c>
      <c r="H1995" s="21">
        <f t="shared" ca="1" si="346"/>
        <v>5925.5309248717667</v>
      </c>
      <c r="I1995" s="21">
        <f t="shared" ca="1" si="341"/>
        <v>5928.9297577286088</v>
      </c>
      <c r="J1995" s="20">
        <f t="shared" ref="J1995:J2058" ca="1" si="350">IF($I1994&lt;=$C1995,0,$K1994+1)</f>
        <v>2</v>
      </c>
      <c r="K1995" s="20">
        <f t="shared" ca="1" si="342"/>
        <v>2</v>
      </c>
      <c r="L1995" s="44">
        <f t="shared" ca="1" si="347"/>
        <v>2</v>
      </c>
    </row>
    <row r="1996" spans="1:12" x14ac:dyDescent="0.25">
      <c r="A1996" s="20">
        <v>1988</v>
      </c>
      <c r="B1996" s="21">
        <f t="shared" ca="1" si="343"/>
        <v>3.8381093714795829</v>
      </c>
      <c r="C1996" s="21">
        <f t="shared" ca="1" si="348"/>
        <v>5926.6863674149727</v>
      </c>
      <c r="D1996" s="21">
        <f t="shared" ca="1" si="344"/>
        <v>1.2132942843869472</v>
      </c>
      <c r="E1996" s="21">
        <f t="shared" ref="E1996:E2059" ca="1" si="351">IF($I1995&lt;=$C1996,0,$I1995-$C1996)</f>
        <v>2.243390313636155</v>
      </c>
      <c r="F1996" s="20" t="str">
        <f t="shared" ca="1" si="349"/>
        <v>No</v>
      </c>
      <c r="G1996" s="21">
        <f t="shared" ca="1" si="345"/>
        <v>0</v>
      </c>
      <c r="H1996" s="21">
        <f t="shared" ca="1" si="346"/>
        <v>5928.9297577286088</v>
      </c>
      <c r="I1996" s="21">
        <f t="shared" ca="1" si="341"/>
        <v>5930.1430520129961</v>
      </c>
      <c r="J1996" s="20">
        <f t="shared" ca="1" si="350"/>
        <v>3</v>
      </c>
      <c r="K1996" s="20">
        <f t="shared" ca="1" si="342"/>
        <v>1</v>
      </c>
      <c r="L1996" s="44">
        <f t="shared" ca="1" si="347"/>
        <v>2</v>
      </c>
    </row>
    <row r="1997" spans="1:12" x14ac:dyDescent="0.25">
      <c r="A1997" s="20">
        <v>1989</v>
      </c>
      <c r="B1997" s="21">
        <f t="shared" ca="1" si="343"/>
        <v>1.4593101466221043</v>
      </c>
      <c r="C1997" s="21">
        <f t="shared" ca="1" si="348"/>
        <v>5928.1456775615952</v>
      </c>
      <c r="D1997" s="21">
        <f t="shared" ca="1" si="344"/>
        <v>5.8098836134417375</v>
      </c>
      <c r="E1997" s="21">
        <f t="shared" ca="1" si="351"/>
        <v>1.9973744514009013</v>
      </c>
      <c r="F1997" s="20" t="str">
        <f t="shared" ca="1" si="349"/>
        <v>No</v>
      </c>
      <c r="G1997" s="21">
        <f t="shared" ca="1" si="345"/>
        <v>0</v>
      </c>
      <c r="H1997" s="21">
        <f t="shared" ca="1" si="346"/>
        <v>5930.1430520129961</v>
      </c>
      <c r="I1997" s="21">
        <f t="shared" ca="1" si="341"/>
        <v>5935.9529356264375</v>
      </c>
      <c r="J1997" s="20">
        <f t="shared" ca="1" si="350"/>
        <v>2</v>
      </c>
      <c r="K1997" s="20">
        <f t="shared" ca="1" si="342"/>
        <v>2</v>
      </c>
      <c r="L1997" s="44">
        <f t="shared" ca="1" si="347"/>
        <v>2</v>
      </c>
    </row>
    <row r="1998" spans="1:12" x14ac:dyDescent="0.25">
      <c r="A1998" s="20">
        <v>1990</v>
      </c>
      <c r="B1998" s="21">
        <f t="shared" ca="1" si="343"/>
        <v>3.715055610465138</v>
      </c>
      <c r="C1998" s="21">
        <f t="shared" ca="1" si="348"/>
        <v>5931.8607331720605</v>
      </c>
      <c r="D1998" s="21">
        <f t="shared" ca="1" si="344"/>
        <v>4.0979259121552136</v>
      </c>
      <c r="E1998" s="21">
        <f t="shared" ca="1" si="351"/>
        <v>4.0922024543770021</v>
      </c>
      <c r="F1998" s="20" t="str">
        <f t="shared" ca="1" si="349"/>
        <v>No</v>
      </c>
      <c r="G1998" s="21">
        <f t="shared" ca="1" si="345"/>
        <v>0</v>
      </c>
      <c r="H1998" s="21">
        <f t="shared" ca="1" si="346"/>
        <v>5935.9529356264375</v>
      </c>
      <c r="I1998" s="21">
        <f t="shared" ca="1" si="341"/>
        <v>5940.0508615385925</v>
      </c>
      <c r="J1998" s="20">
        <f t="shared" ca="1" si="350"/>
        <v>3</v>
      </c>
      <c r="K1998" s="20">
        <f t="shared" ca="1" si="342"/>
        <v>5</v>
      </c>
      <c r="L1998" s="44">
        <f t="shared" ca="1" si="347"/>
        <v>4</v>
      </c>
    </row>
    <row r="1999" spans="1:12" x14ac:dyDescent="0.25">
      <c r="A1999" s="20">
        <v>1991</v>
      </c>
      <c r="B1999" s="21">
        <f t="shared" ca="1" si="343"/>
        <v>1.9538223819182001</v>
      </c>
      <c r="C1999" s="21">
        <f t="shared" ca="1" si="348"/>
        <v>5933.8145555539786</v>
      </c>
      <c r="D1999" s="21">
        <f t="shared" ca="1" si="344"/>
        <v>4.6191121221967375</v>
      </c>
      <c r="E1999" s="21">
        <f t="shared" ca="1" si="351"/>
        <v>6.236305984613864</v>
      </c>
      <c r="F1999" s="20" t="str">
        <f t="shared" ca="1" si="349"/>
        <v>No</v>
      </c>
      <c r="G1999" s="21">
        <f t="shared" ca="1" si="345"/>
        <v>0</v>
      </c>
      <c r="H1999" s="21">
        <f t="shared" ca="1" si="346"/>
        <v>5940.0508615385925</v>
      </c>
      <c r="I1999" s="21">
        <f t="shared" ca="1" si="341"/>
        <v>5944.6699736607889</v>
      </c>
      <c r="J1999" s="20">
        <f t="shared" ca="1" si="350"/>
        <v>6</v>
      </c>
      <c r="K1999" s="20">
        <f t="shared" ca="1" si="342"/>
        <v>5</v>
      </c>
      <c r="L1999" s="44">
        <f t="shared" ca="1" si="347"/>
        <v>5.5</v>
      </c>
    </row>
    <row r="2000" spans="1:12" x14ac:dyDescent="0.25">
      <c r="A2000" s="20">
        <v>1992</v>
      </c>
      <c r="B2000" s="21">
        <f t="shared" ca="1" si="343"/>
        <v>4.0324691944884377</v>
      </c>
      <c r="C2000" s="21">
        <f t="shared" ca="1" si="348"/>
        <v>5937.8470247484674</v>
      </c>
      <c r="D2000" s="21">
        <f t="shared" ca="1" si="344"/>
        <v>1.4244575867265115</v>
      </c>
      <c r="E2000" s="21">
        <f t="shared" ca="1" si="351"/>
        <v>6.822948912321408</v>
      </c>
      <c r="F2000" s="20" t="str">
        <f t="shared" ca="1" si="349"/>
        <v>No</v>
      </c>
      <c r="G2000" s="21">
        <f t="shared" ca="1" si="345"/>
        <v>0</v>
      </c>
      <c r="H2000" s="21">
        <f t="shared" ca="1" si="346"/>
        <v>5944.6699736607889</v>
      </c>
      <c r="I2000" s="21">
        <f t="shared" ca="1" si="341"/>
        <v>5946.0944312475158</v>
      </c>
      <c r="J2000" s="20">
        <f t="shared" ca="1" si="350"/>
        <v>6</v>
      </c>
      <c r="K2000" s="20">
        <f t="shared" ca="1" si="342"/>
        <v>5</v>
      </c>
      <c r="L2000" s="44">
        <f t="shared" ca="1" si="347"/>
        <v>5.5</v>
      </c>
    </row>
    <row r="2001" spans="1:12" x14ac:dyDescent="0.25">
      <c r="A2001" s="20">
        <v>1993</v>
      </c>
      <c r="B2001" s="21">
        <f t="shared" ca="1" si="343"/>
        <v>0.41451387481707419</v>
      </c>
      <c r="C2001" s="21">
        <f t="shared" ca="1" si="348"/>
        <v>5938.2615386232847</v>
      </c>
      <c r="D2001" s="21">
        <f t="shared" ca="1" si="344"/>
        <v>3.3827880088278497</v>
      </c>
      <c r="E2001" s="21">
        <f t="shared" ca="1" si="351"/>
        <v>7.8328926242311354</v>
      </c>
      <c r="F2001" s="20" t="str">
        <f t="shared" ca="1" si="349"/>
        <v>No</v>
      </c>
      <c r="G2001" s="21">
        <f t="shared" ca="1" si="345"/>
        <v>0</v>
      </c>
      <c r="H2001" s="21">
        <f t="shared" ca="1" si="346"/>
        <v>5946.0944312475158</v>
      </c>
      <c r="I2001" s="21">
        <f t="shared" ca="1" si="341"/>
        <v>5949.4772192563432</v>
      </c>
      <c r="J2001" s="20">
        <f t="shared" ca="1" si="350"/>
        <v>6</v>
      </c>
      <c r="K2001" s="20">
        <f t="shared" ca="1" si="342"/>
        <v>5</v>
      </c>
      <c r="L2001" s="44">
        <f t="shared" ca="1" si="347"/>
        <v>5.5</v>
      </c>
    </row>
    <row r="2002" spans="1:12" x14ac:dyDescent="0.25">
      <c r="A2002" s="20">
        <v>1994</v>
      </c>
      <c r="B2002" s="21">
        <f t="shared" ca="1" si="343"/>
        <v>1.1317175824008949</v>
      </c>
      <c r="C2002" s="21">
        <f t="shared" ca="1" si="348"/>
        <v>5939.3932562056852</v>
      </c>
      <c r="D2002" s="21">
        <f t="shared" ca="1" si="344"/>
        <v>1.0232703050524721</v>
      </c>
      <c r="E2002" s="21">
        <f t="shared" ca="1" si="351"/>
        <v>10.083963050657985</v>
      </c>
      <c r="F2002" s="20" t="str">
        <f t="shared" ca="1" si="349"/>
        <v>No</v>
      </c>
      <c r="G2002" s="21">
        <f t="shared" ca="1" si="345"/>
        <v>0</v>
      </c>
      <c r="H2002" s="21">
        <f t="shared" ca="1" si="346"/>
        <v>5949.4772192563432</v>
      </c>
      <c r="I2002" s="21">
        <f t="shared" ca="1" si="341"/>
        <v>5950.5004895613956</v>
      </c>
      <c r="J2002" s="20">
        <f t="shared" ca="1" si="350"/>
        <v>6</v>
      </c>
      <c r="K2002" s="20">
        <f t="shared" ca="1" si="342"/>
        <v>4</v>
      </c>
      <c r="L2002" s="44">
        <f t="shared" ca="1" si="347"/>
        <v>5</v>
      </c>
    </row>
    <row r="2003" spans="1:12" x14ac:dyDescent="0.25">
      <c r="A2003" s="20">
        <v>1995</v>
      </c>
      <c r="B2003" s="21">
        <f t="shared" ca="1" si="343"/>
        <v>2.6851786844407744E-2</v>
      </c>
      <c r="C2003" s="21">
        <f t="shared" ca="1" si="348"/>
        <v>5939.4201079925297</v>
      </c>
      <c r="D2003" s="21">
        <f t="shared" ca="1" si="344"/>
        <v>2.2677855027472993</v>
      </c>
      <c r="E2003" s="21">
        <f t="shared" ca="1" si="351"/>
        <v>11.08038156886596</v>
      </c>
      <c r="F2003" s="20" t="str">
        <f t="shared" ca="1" si="349"/>
        <v>No</v>
      </c>
      <c r="G2003" s="21">
        <f t="shared" ca="1" si="345"/>
        <v>0</v>
      </c>
      <c r="H2003" s="21">
        <f t="shared" ca="1" si="346"/>
        <v>5950.5004895613956</v>
      </c>
      <c r="I2003" s="21">
        <f t="shared" ca="1" si="341"/>
        <v>5952.7682750641425</v>
      </c>
      <c r="J2003" s="20">
        <f t="shared" ca="1" si="350"/>
        <v>5</v>
      </c>
      <c r="K2003" s="20">
        <f t="shared" ca="1" si="342"/>
        <v>3</v>
      </c>
      <c r="L2003" s="44">
        <f t="shared" ca="1" si="347"/>
        <v>4</v>
      </c>
    </row>
    <row r="2004" spans="1:12" x14ac:dyDescent="0.25">
      <c r="A2004" s="20">
        <v>1996</v>
      </c>
      <c r="B2004" s="21">
        <f t="shared" ca="1" si="343"/>
        <v>1.0702881839124552</v>
      </c>
      <c r="C2004" s="21">
        <f t="shared" ca="1" si="348"/>
        <v>5940.4903961764421</v>
      </c>
      <c r="D2004" s="21">
        <f t="shared" ca="1" si="344"/>
        <v>0.80793719551500831</v>
      </c>
      <c r="E2004" s="21">
        <f t="shared" ca="1" si="351"/>
        <v>12.277878887700354</v>
      </c>
      <c r="F2004" s="20" t="str">
        <f t="shared" ca="1" si="349"/>
        <v>No</v>
      </c>
      <c r="G2004" s="21">
        <f t="shared" ca="1" si="345"/>
        <v>0</v>
      </c>
      <c r="H2004" s="21">
        <f t="shared" ca="1" si="346"/>
        <v>5952.7682750641425</v>
      </c>
      <c r="I2004" s="21">
        <f t="shared" ca="1" si="341"/>
        <v>5953.576212259657</v>
      </c>
      <c r="J2004" s="20">
        <f t="shared" ca="1" si="350"/>
        <v>4</v>
      </c>
      <c r="K2004" s="20">
        <f t="shared" ca="1" si="342"/>
        <v>3</v>
      </c>
      <c r="L2004" s="44">
        <f t="shared" ca="1" si="347"/>
        <v>3.5</v>
      </c>
    </row>
    <row r="2005" spans="1:12" x14ac:dyDescent="0.25">
      <c r="A2005" s="20">
        <v>1997</v>
      </c>
      <c r="B2005" s="21">
        <f t="shared" ca="1" si="343"/>
        <v>3.3138273152066722</v>
      </c>
      <c r="C2005" s="21">
        <f t="shared" ca="1" si="348"/>
        <v>5943.8042234916484</v>
      </c>
      <c r="D2005" s="21">
        <f t="shared" ca="1" si="344"/>
        <v>7.3798821757978255</v>
      </c>
      <c r="E2005" s="21">
        <f t="shared" ca="1" si="351"/>
        <v>9.7719887680086686</v>
      </c>
      <c r="F2005" s="20" t="str">
        <f t="shared" ca="1" si="349"/>
        <v>No</v>
      </c>
      <c r="G2005" s="21">
        <f t="shared" ca="1" si="345"/>
        <v>0</v>
      </c>
      <c r="H2005" s="21">
        <f t="shared" ca="1" si="346"/>
        <v>5953.576212259657</v>
      </c>
      <c r="I2005" s="21">
        <f t="shared" ca="1" si="341"/>
        <v>5960.9560944354553</v>
      </c>
      <c r="J2005" s="20">
        <f t="shared" ca="1" si="350"/>
        <v>4</v>
      </c>
      <c r="K2005" s="20">
        <f t="shared" ca="1" si="342"/>
        <v>3</v>
      </c>
      <c r="L2005" s="44">
        <f t="shared" ca="1" si="347"/>
        <v>3.5</v>
      </c>
    </row>
    <row r="2006" spans="1:12" x14ac:dyDescent="0.25">
      <c r="A2006" s="20">
        <v>1998</v>
      </c>
      <c r="B2006" s="21">
        <f t="shared" ca="1" si="343"/>
        <v>2.9155087840622742</v>
      </c>
      <c r="C2006" s="21">
        <f t="shared" ca="1" si="348"/>
        <v>5946.7197322757111</v>
      </c>
      <c r="D2006" s="21">
        <f t="shared" ca="1" si="344"/>
        <v>0.78856983057161378</v>
      </c>
      <c r="E2006" s="21">
        <f t="shared" ca="1" si="351"/>
        <v>14.236362159744203</v>
      </c>
      <c r="F2006" s="20" t="str">
        <f t="shared" ca="1" si="349"/>
        <v>No</v>
      </c>
      <c r="G2006" s="21">
        <f t="shared" ca="1" si="345"/>
        <v>0</v>
      </c>
      <c r="H2006" s="21">
        <f t="shared" ca="1" si="346"/>
        <v>5960.9560944354553</v>
      </c>
      <c r="I2006" s="21">
        <f t="shared" ca="1" si="341"/>
        <v>5961.744664266027</v>
      </c>
      <c r="J2006" s="20">
        <f t="shared" ca="1" si="350"/>
        <v>4</v>
      </c>
      <c r="K2006" s="20">
        <f t="shared" ca="1" si="342"/>
        <v>2</v>
      </c>
      <c r="L2006" s="44">
        <f t="shared" ca="1" si="347"/>
        <v>3</v>
      </c>
    </row>
    <row r="2007" spans="1:12" x14ac:dyDescent="0.25">
      <c r="A2007" s="20">
        <v>1999</v>
      </c>
      <c r="B2007" s="21">
        <f t="shared" ca="1" si="343"/>
        <v>6.2569601574630127</v>
      </c>
      <c r="C2007" s="21">
        <f t="shared" ca="1" si="348"/>
        <v>5952.9766924331743</v>
      </c>
      <c r="D2007" s="21">
        <f t="shared" ca="1" si="344"/>
        <v>1.5508762929273681</v>
      </c>
      <c r="E2007" s="21">
        <f t="shared" ca="1" si="351"/>
        <v>8.7679718328527088</v>
      </c>
      <c r="F2007" s="20" t="str">
        <f t="shared" ca="1" si="349"/>
        <v>No</v>
      </c>
      <c r="G2007" s="21">
        <f t="shared" ca="1" si="345"/>
        <v>0</v>
      </c>
      <c r="H2007" s="21">
        <f t="shared" ca="1" si="346"/>
        <v>5961.744664266027</v>
      </c>
      <c r="I2007" s="21">
        <f t="shared" ca="1" si="341"/>
        <v>5963.2955405589546</v>
      </c>
      <c r="J2007" s="20">
        <f t="shared" ca="1" si="350"/>
        <v>3</v>
      </c>
      <c r="K2007" s="20">
        <f t="shared" ca="1" si="342"/>
        <v>2</v>
      </c>
      <c r="L2007" s="44">
        <f t="shared" ca="1" si="347"/>
        <v>2.5</v>
      </c>
    </row>
    <row r="2008" spans="1:12" x14ac:dyDescent="0.25">
      <c r="A2008" s="20">
        <v>2000</v>
      </c>
      <c r="B2008" s="21">
        <f t="shared" ca="1" si="343"/>
        <v>2.5599218585145889</v>
      </c>
      <c r="C2008" s="21">
        <f t="shared" ca="1" si="348"/>
        <v>5955.5366142916891</v>
      </c>
      <c r="D2008" s="21">
        <f t="shared" ca="1" si="344"/>
        <v>0.14058685607320989</v>
      </c>
      <c r="E2008" s="21">
        <f t="shared" ca="1" si="351"/>
        <v>7.7589262672654513</v>
      </c>
      <c r="F2008" s="20" t="str">
        <f t="shared" ca="1" si="349"/>
        <v>No</v>
      </c>
      <c r="G2008" s="21">
        <f t="shared" ca="1" si="345"/>
        <v>0</v>
      </c>
      <c r="H2008" s="21">
        <f t="shared" ca="1" si="346"/>
        <v>5963.2955405589546</v>
      </c>
      <c r="I2008" s="21">
        <f t="shared" ca="1" si="341"/>
        <v>5963.4361274150278</v>
      </c>
      <c r="J2008" s="20">
        <f t="shared" ca="1" si="350"/>
        <v>3</v>
      </c>
      <c r="K2008" s="20">
        <f t="shared" ca="1" si="342"/>
        <v>1</v>
      </c>
      <c r="L2008" s="44">
        <f t="shared" ca="1" si="347"/>
        <v>2</v>
      </c>
    </row>
    <row r="2009" spans="1:12" x14ac:dyDescent="0.25">
      <c r="A2009" s="20">
        <v>2001</v>
      </c>
      <c r="B2009" s="21">
        <f t="shared" ca="1" si="343"/>
        <v>7.3234865533623914</v>
      </c>
      <c r="C2009" s="21">
        <f t="shared" ca="1" si="348"/>
        <v>5962.8601008450514</v>
      </c>
      <c r="D2009" s="21">
        <f t="shared" ca="1" si="344"/>
        <v>1.1083427197996545</v>
      </c>
      <c r="E2009" s="21">
        <f t="shared" ca="1" si="351"/>
        <v>0.57602656997642043</v>
      </c>
      <c r="F2009" s="20" t="str">
        <f t="shared" ca="1" si="349"/>
        <v>No</v>
      </c>
      <c r="G2009" s="21">
        <f t="shared" ca="1" si="345"/>
        <v>0</v>
      </c>
      <c r="H2009" s="21">
        <f t="shared" ca="1" si="346"/>
        <v>5963.4361274150278</v>
      </c>
      <c r="I2009" s="21">
        <f t="shared" ca="1" si="341"/>
        <v>5964.5444701348279</v>
      </c>
      <c r="J2009" s="20">
        <f t="shared" ca="1" si="350"/>
        <v>2</v>
      </c>
      <c r="K2009" s="20">
        <f t="shared" ca="1" si="342"/>
        <v>0</v>
      </c>
      <c r="L2009" s="44">
        <f t="shared" ca="1" si="347"/>
        <v>1</v>
      </c>
    </row>
    <row r="2010" spans="1:12" x14ac:dyDescent="0.25">
      <c r="A2010" s="20">
        <v>2002</v>
      </c>
      <c r="B2010" s="21">
        <f t="shared" ca="1" si="343"/>
        <v>1.9879507117269117</v>
      </c>
      <c r="C2010" s="21">
        <f t="shared" ca="1" si="348"/>
        <v>5964.848051556778</v>
      </c>
      <c r="D2010" s="21">
        <f t="shared" ca="1" si="344"/>
        <v>2.0979698479728706</v>
      </c>
      <c r="E2010" s="21">
        <f t="shared" ca="1" si="351"/>
        <v>0</v>
      </c>
      <c r="F2010" s="20" t="str">
        <f t="shared" ca="1" si="349"/>
        <v>Yes</v>
      </c>
      <c r="G2010" s="21">
        <f t="shared" ca="1" si="345"/>
        <v>0.30358142195018445</v>
      </c>
      <c r="H2010" s="21">
        <f t="shared" ca="1" si="346"/>
        <v>5964.848051556778</v>
      </c>
      <c r="I2010" s="21">
        <f t="shared" ca="1" si="341"/>
        <v>5966.9460214047513</v>
      </c>
      <c r="J2010" s="20">
        <f t="shared" ca="1" si="350"/>
        <v>0</v>
      </c>
      <c r="K2010" s="20">
        <f t="shared" ca="1" si="342"/>
        <v>0</v>
      </c>
      <c r="L2010" s="44">
        <f t="shared" ca="1" si="347"/>
        <v>0</v>
      </c>
    </row>
    <row r="2011" spans="1:12" x14ac:dyDescent="0.25">
      <c r="A2011" s="20">
        <v>2003</v>
      </c>
      <c r="B2011" s="21">
        <f t="shared" ca="1" si="343"/>
        <v>5.2047757723607546</v>
      </c>
      <c r="C2011" s="21">
        <f t="shared" ca="1" si="348"/>
        <v>5970.0528273291384</v>
      </c>
      <c r="D2011" s="21">
        <f t="shared" ca="1" si="344"/>
        <v>0.48246462742101404</v>
      </c>
      <c r="E2011" s="21">
        <f t="shared" ca="1" si="351"/>
        <v>0</v>
      </c>
      <c r="F2011" s="20" t="str">
        <f t="shared" ca="1" si="349"/>
        <v>Yes</v>
      </c>
      <c r="G2011" s="21">
        <f t="shared" ca="1" si="345"/>
        <v>3.1068059243871176</v>
      </c>
      <c r="H2011" s="21">
        <f t="shared" ca="1" si="346"/>
        <v>5970.0528273291384</v>
      </c>
      <c r="I2011" s="21">
        <f t="shared" ca="1" si="341"/>
        <v>5970.5352919565594</v>
      </c>
      <c r="J2011" s="20">
        <f t="shared" ca="1" si="350"/>
        <v>0</v>
      </c>
      <c r="K2011" s="20">
        <f t="shared" ca="1" si="342"/>
        <v>0</v>
      </c>
      <c r="L2011" s="44">
        <f t="shared" ca="1" si="347"/>
        <v>0</v>
      </c>
    </row>
    <row r="2012" spans="1:12" x14ac:dyDescent="0.25">
      <c r="A2012" s="20">
        <v>2004</v>
      </c>
      <c r="B2012" s="21">
        <f t="shared" ca="1" si="343"/>
        <v>8.76123281383944</v>
      </c>
      <c r="C2012" s="21">
        <f t="shared" ca="1" si="348"/>
        <v>5978.8140601429777</v>
      </c>
      <c r="D2012" s="21">
        <f t="shared" ca="1" si="344"/>
        <v>4.0267988077404597</v>
      </c>
      <c r="E2012" s="21">
        <f t="shared" ca="1" si="351"/>
        <v>0</v>
      </c>
      <c r="F2012" s="20" t="str">
        <f t="shared" ca="1" si="349"/>
        <v>Yes</v>
      </c>
      <c r="G2012" s="21">
        <f t="shared" ca="1" si="345"/>
        <v>8.2787681864183469</v>
      </c>
      <c r="H2012" s="21">
        <f t="shared" ca="1" si="346"/>
        <v>5978.8140601429777</v>
      </c>
      <c r="I2012" s="21">
        <f t="shared" ca="1" si="341"/>
        <v>5982.840858950718</v>
      </c>
      <c r="J2012" s="20">
        <f t="shared" ca="1" si="350"/>
        <v>0</v>
      </c>
      <c r="K2012" s="20">
        <f t="shared" ca="1" si="342"/>
        <v>2</v>
      </c>
      <c r="L2012" s="44">
        <f t="shared" ca="1" si="347"/>
        <v>1</v>
      </c>
    </row>
    <row r="2013" spans="1:12" x14ac:dyDescent="0.25">
      <c r="A2013" s="20">
        <v>2005</v>
      </c>
      <c r="B2013" s="21">
        <f t="shared" ca="1" si="343"/>
        <v>1.5795278509132373</v>
      </c>
      <c r="C2013" s="21">
        <f t="shared" ca="1" si="348"/>
        <v>5980.3935879938908</v>
      </c>
      <c r="D2013" s="21">
        <f t="shared" ca="1" si="344"/>
        <v>3.9994884661256253E-2</v>
      </c>
      <c r="E2013" s="21">
        <f t="shared" ca="1" si="351"/>
        <v>2.4472709568271966</v>
      </c>
      <c r="F2013" s="20" t="str">
        <f t="shared" ca="1" si="349"/>
        <v>No</v>
      </c>
      <c r="G2013" s="21">
        <f t="shared" ca="1" si="345"/>
        <v>0</v>
      </c>
      <c r="H2013" s="21">
        <f t="shared" ca="1" si="346"/>
        <v>5982.840858950718</v>
      </c>
      <c r="I2013" s="21">
        <f t="shared" ca="1" si="341"/>
        <v>5982.8808538353796</v>
      </c>
      <c r="J2013" s="20">
        <f t="shared" ca="1" si="350"/>
        <v>3</v>
      </c>
      <c r="K2013" s="20">
        <f t="shared" ca="1" si="342"/>
        <v>1</v>
      </c>
      <c r="L2013" s="44">
        <f t="shared" ca="1" si="347"/>
        <v>2</v>
      </c>
    </row>
    <row r="2014" spans="1:12" x14ac:dyDescent="0.25">
      <c r="A2014" s="20">
        <v>2006</v>
      </c>
      <c r="B2014" s="21">
        <f t="shared" ca="1" si="343"/>
        <v>0.98399629766089591</v>
      </c>
      <c r="C2014" s="21">
        <f t="shared" ca="1" si="348"/>
        <v>5981.377584291552</v>
      </c>
      <c r="D2014" s="21">
        <f t="shared" ca="1" si="344"/>
        <v>0.21717213392046245</v>
      </c>
      <c r="E2014" s="21">
        <f t="shared" ca="1" si="351"/>
        <v>1.5032695438276278</v>
      </c>
      <c r="F2014" s="20" t="str">
        <f t="shared" ca="1" si="349"/>
        <v>No</v>
      </c>
      <c r="G2014" s="21">
        <f t="shared" ca="1" si="345"/>
        <v>0</v>
      </c>
      <c r="H2014" s="21">
        <f t="shared" ca="1" si="346"/>
        <v>5982.8808538353796</v>
      </c>
      <c r="I2014" s="21">
        <f t="shared" ca="1" si="341"/>
        <v>5983.0980259692997</v>
      </c>
      <c r="J2014" s="20">
        <f t="shared" ca="1" si="350"/>
        <v>2</v>
      </c>
      <c r="K2014" s="20">
        <f t="shared" ca="1" si="342"/>
        <v>0</v>
      </c>
      <c r="L2014" s="44">
        <f t="shared" ca="1" si="347"/>
        <v>1</v>
      </c>
    </row>
    <row r="2015" spans="1:12" x14ac:dyDescent="0.25">
      <c r="A2015" s="20">
        <v>2007</v>
      </c>
      <c r="B2015" s="21">
        <f t="shared" ca="1" si="343"/>
        <v>3.5872665893875908</v>
      </c>
      <c r="C2015" s="21">
        <f t="shared" ca="1" si="348"/>
        <v>5984.9648508809396</v>
      </c>
      <c r="D2015" s="21">
        <f t="shared" ca="1" si="344"/>
        <v>5.4021613753162301</v>
      </c>
      <c r="E2015" s="21">
        <f t="shared" ca="1" si="351"/>
        <v>0</v>
      </c>
      <c r="F2015" s="20" t="str">
        <f t="shared" ca="1" si="349"/>
        <v>Yes</v>
      </c>
      <c r="G2015" s="21">
        <f t="shared" ca="1" si="345"/>
        <v>1.8668249116399238</v>
      </c>
      <c r="H2015" s="21">
        <f t="shared" ca="1" si="346"/>
        <v>5984.9648508809396</v>
      </c>
      <c r="I2015" s="21">
        <f t="shared" ca="1" si="341"/>
        <v>5990.3670122562562</v>
      </c>
      <c r="J2015" s="20">
        <f t="shared" ca="1" si="350"/>
        <v>0</v>
      </c>
      <c r="K2015" s="20">
        <f t="shared" ca="1" si="342"/>
        <v>0</v>
      </c>
      <c r="L2015" s="44">
        <f t="shared" ca="1" si="347"/>
        <v>0</v>
      </c>
    </row>
    <row r="2016" spans="1:12" x14ac:dyDescent="0.25">
      <c r="A2016" s="20">
        <v>2008</v>
      </c>
      <c r="B2016" s="21">
        <f t="shared" ca="1" si="343"/>
        <v>6.689737431985459</v>
      </c>
      <c r="C2016" s="21">
        <f t="shared" ca="1" si="348"/>
        <v>5991.6545883129247</v>
      </c>
      <c r="D2016" s="21">
        <f t="shared" ca="1" si="344"/>
        <v>2.6797674834627627</v>
      </c>
      <c r="E2016" s="21">
        <f t="shared" ca="1" si="351"/>
        <v>0</v>
      </c>
      <c r="F2016" s="20" t="str">
        <f t="shared" ca="1" si="349"/>
        <v>Yes</v>
      </c>
      <c r="G2016" s="21">
        <f t="shared" ca="1" si="345"/>
        <v>1.287576056668513</v>
      </c>
      <c r="H2016" s="21">
        <f t="shared" ca="1" si="346"/>
        <v>5991.6545883129247</v>
      </c>
      <c r="I2016" s="21">
        <f t="shared" ca="1" si="341"/>
        <v>5994.3343557963872</v>
      </c>
      <c r="J2016" s="20">
        <f t="shared" ca="1" si="350"/>
        <v>0</v>
      </c>
      <c r="K2016" s="20">
        <f t="shared" ca="1" si="342"/>
        <v>0</v>
      </c>
      <c r="L2016" s="44">
        <f t="shared" ca="1" si="347"/>
        <v>0</v>
      </c>
    </row>
    <row r="2017" spans="1:12" x14ac:dyDescent="0.25">
      <c r="A2017" s="20">
        <v>2009</v>
      </c>
      <c r="B2017" s="21">
        <f t="shared" ca="1" si="343"/>
        <v>6.2455167132188638</v>
      </c>
      <c r="C2017" s="21">
        <f t="shared" ca="1" si="348"/>
        <v>5997.9001050261431</v>
      </c>
      <c r="D2017" s="21">
        <f t="shared" ca="1" si="344"/>
        <v>2.50910978239803</v>
      </c>
      <c r="E2017" s="21">
        <f t="shared" ca="1" si="351"/>
        <v>0</v>
      </c>
      <c r="F2017" s="20" t="str">
        <f t="shared" ca="1" si="349"/>
        <v>Yes</v>
      </c>
      <c r="G2017" s="21">
        <f t="shared" ca="1" si="345"/>
        <v>3.5657492297559656</v>
      </c>
      <c r="H2017" s="21">
        <f t="shared" ca="1" si="346"/>
        <v>5997.9001050261431</v>
      </c>
      <c r="I2017" s="21">
        <f t="shared" ca="1" si="341"/>
        <v>6000.409214808541</v>
      </c>
      <c r="J2017" s="20">
        <f t="shared" ca="1" si="350"/>
        <v>0</v>
      </c>
      <c r="K2017" s="20">
        <f t="shared" ca="1" si="342"/>
        <v>0</v>
      </c>
      <c r="L2017" s="44">
        <f t="shared" ca="1" si="347"/>
        <v>0</v>
      </c>
    </row>
    <row r="2018" spans="1:12" x14ac:dyDescent="0.25">
      <c r="A2018" s="20">
        <v>2010</v>
      </c>
      <c r="B2018" s="21">
        <f t="shared" ca="1" si="343"/>
        <v>8.1363822393567098</v>
      </c>
      <c r="C2018" s="21">
        <f t="shared" ca="1" si="348"/>
        <v>6006.0364872655</v>
      </c>
      <c r="D2018" s="21">
        <f t="shared" ca="1" si="344"/>
        <v>2.0376861000090432</v>
      </c>
      <c r="E2018" s="21">
        <f t="shared" ca="1" si="351"/>
        <v>0</v>
      </c>
      <c r="F2018" s="20" t="str">
        <f t="shared" ca="1" si="349"/>
        <v>Yes</v>
      </c>
      <c r="G2018" s="21">
        <f t="shared" ca="1" si="345"/>
        <v>5.6272724569589627</v>
      </c>
      <c r="H2018" s="21">
        <f t="shared" ca="1" si="346"/>
        <v>6006.0364872655</v>
      </c>
      <c r="I2018" s="21">
        <f t="shared" ca="1" si="341"/>
        <v>6008.0741733655086</v>
      </c>
      <c r="J2018" s="20">
        <f t="shared" ca="1" si="350"/>
        <v>0</v>
      </c>
      <c r="K2018" s="20">
        <f t="shared" ca="1" si="342"/>
        <v>2</v>
      </c>
      <c r="L2018" s="44">
        <f t="shared" ca="1" si="347"/>
        <v>1</v>
      </c>
    </row>
    <row r="2019" spans="1:12" x14ac:dyDescent="0.25">
      <c r="A2019" s="20">
        <v>2011</v>
      </c>
      <c r="B2019" s="21">
        <f t="shared" ca="1" si="343"/>
        <v>1.5219836263886475</v>
      </c>
      <c r="C2019" s="21">
        <f t="shared" ca="1" si="348"/>
        <v>6007.5584708918886</v>
      </c>
      <c r="D2019" s="21">
        <f t="shared" ca="1" si="344"/>
        <v>3.5916916166555399</v>
      </c>
      <c r="E2019" s="21">
        <f t="shared" ca="1" si="351"/>
        <v>0.51570247361996735</v>
      </c>
      <c r="F2019" s="20" t="str">
        <f t="shared" ca="1" si="349"/>
        <v>No</v>
      </c>
      <c r="G2019" s="21">
        <f t="shared" ca="1" si="345"/>
        <v>0</v>
      </c>
      <c r="H2019" s="21">
        <f t="shared" ca="1" si="346"/>
        <v>6008.0741733655086</v>
      </c>
      <c r="I2019" s="21">
        <f t="shared" ca="1" si="341"/>
        <v>6011.6658649821638</v>
      </c>
      <c r="J2019" s="20">
        <f t="shared" ca="1" si="350"/>
        <v>3</v>
      </c>
      <c r="K2019" s="20">
        <f t="shared" ca="1" si="342"/>
        <v>5</v>
      </c>
      <c r="L2019" s="44">
        <f t="shared" ca="1" si="347"/>
        <v>4</v>
      </c>
    </row>
    <row r="2020" spans="1:12" x14ac:dyDescent="0.25">
      <c r="A2020" s="20">
        <v>2012</v>
      </c>
      <c r="B2020" s="21">
        <f t="shared" ca="1" si="343"/>
        <v>0.31419631316770402</v>
      </c>
      <c r="C2020" s="21">
        <f t="shared" ca="1" si="348"/>
        <v>6007.8726672050561</v>
      </c>
      <c r="D2020" s="21">
        <f t="shared" ca="1" si="344"/>
        <v>0.25399654051081716</v>
      </c>
      <c r="E2020" s="21">
        <f t="shared" ca="1" si="351"/>
        <v>3.7931977771077072</v>
      </c>
      <c r="F2020" s="20" t="str">
        <f t="shared" ca="1" si="349"/>
        <v>No</v>
      </c>
      <c r="G2020" s="21">
        <f t="shared" ca="1" si="345"/>
        <v>0</v>
      </c>
      <c r="H2020" s="21">
        <f t="shared" ca="1" si="346"/>
        <v>6011.6658649821638</v>
      </c>
      <c r="I2020" s="21">
        <f t="shared" ca="1" si="341"/>
        <v>6011.9198615226751</v>
      </c>
      <c r="J2020" s="20">
        <f t="shared" ca="1" si="350"/>
        <v>6</v>
      </c>
      <c r="K2020" s="20">
        <f t="shared" ca="1" si="342"/>
        <v>4</v>
      </c>
      <c r="L2020" s="44">
        <f t="shared" ca="1" si="347"/>
        <v>5</v>
      </c>
    </row>
    <row r="2021" spans="1:12" x14ac:dyDescent="0.25">
      <c r="A2021" s="20">
        <v>2013</v>
      </c>
      <c r="B2021" s="21">
        <f t="shared" ca="1" si="343"/>
        <v>0.30005055723198432</v>
      </c>
      <c r="C2021" s="21">
        <f t="shared" ca="1" si="348"/>
        <v>6008.1727177622879</v>
      </c>
      <c r="D2021" s="21">
        <f t="shared" ca="1" si="344"/>
        <v>0.94212463948423375</v>
      </c>
      <c r="E2021" s="21">
        <f t="shared" ca="1" si="351"/>
        <v>3.7471437603871891</v>
      </c>
      <c r="F2021" s="20" t="str">
        <f t="shared" ca="1" si="349"/>
        <v>No</v>
      </c>
      <c r="G2021" s="21">
        <f t="shared" ca="1" si="345"/>
        <v>0</v>
      </c>
      <c r="H2021" s="21">
        <f t="shared" ca="1" si="346"/>
        <v>6011.9198615226751</v>
      </c>
      <c r="I2021" s="21">
        <f t="shared" ca="1" si="341"/>
        <v>6012.8619861621592</v>
      </c>
      <c r="J2021" s="20">
        <f t="shared" ca="1" si="350"/>
        <v>5</v>
      </c>
      <c r="K2021" s="20">
        <f t="shared" ca="1" si="342"/>
        <v>3</v>
      </c>
      <c r="L2021" s="44">
        <f t="shared" ca="1" si="347"/>
        <v>4</v>
      </c>
    </row>
    <row r="2022" spans="1:12" x14ac:dyDescent="0.25">
      <c r="A2022" s="20">
        <v>2014</v>
      </c>
      <c r="B2022" s="21">
        <f t="shared" ca="1" si="343"/>
        <v>0.12613875987285222</v>
      </c>
      <c r="C2022" s="21">
        <f t="shared" ca="1" si="348"/>
        <v>6008.2988565221603</v>
      </c>
      <c r="D2022" s="21">
        <f t="shared" ca="1" si="344"/>
        <v>3.8584671296415856</v>
      </c>
      <c r="E2022" s="21">
        <f t="shared" ca="1" si="351"/>
        <v>4.5631296399988059</v>
      </c>
      <c r="F2022" s="20" t="str">
        <f t="shared" ca="1" si="349"/>
        <v>No</v>
      </c>
      <c r="G2022" s="21">
        <f t="shared" ca="1" si="345"/>
        <v>0</v>
      </c>
      <c r="H2022" s="21">
        <f t="shared" ca="1" si="346"/>
        <v>6012.8619861621592</v>
      </c>
      <c r="I2022" s="21">
        <f t="shared" ca="1" si="341"/>
        <v>6016.7204532918004</v>
      </c>
      <c r="J2022" s="20">
        <f t="shared" ca="1" si="350"/>
        <v>4</v>
      </c>
      <c r="K2022" s="20">
        <f t="shared" ca="1" si="342"/>
        <v>2</v>
      </c>
      <c r="L2022" s="44">
        <f t="shared" ca="1" si="347"/>
        <v>3</v>
      </c>
    </row>
    <row r="2023" spans="1:12" x14ac:dyDescent="0.25">
      <c r="A2023" s="20">
        <v>2015</v>
      </c>
      <c r="B2023" s="21">
        <f t="shared" ca="1" si="343"/>
        <v>1.2513549266974064</v>
      </c>
      <c r="C2023" s="21">
        <f t="shared" ca="1" si="348"/>
        <v>6009.5502114488581</v>
      </c>
      <c r="D2023" s="21">
        <f t="shared" ca="1" si="344"/>
        <v>1.0708721596834112</v>
      </c>
      <c r="E2023" s="21">
        <f t="shared" ca="1" si="351"/>
        <v>7.1702418429422323</v>
      </c>
      <c r="F2023" s="20" t="str">
        <f t="shared" ca="1" si="349"/>
        <v>No</v>
      </c>
      <c r="G2023" s="21">
        <f t="shared" ca="1" si="345"/>
        <v>0</v>
      </c>
      <c r="H2023" s="21">
        <f t="shared" ca="1" si="346"/>
        <v>6016.7204532918004</v>
      </c>
      <c r="I2023" s="21">
        <f t="shared" ca="1" si="341"/>
        <v>6017.7913254514842</v>
      </c>
      <c r="J2023" s="20">
        <f t="shared" ca="1" si="350"/>
        <v>3</v>
      </c>
      <c r="K2023" s="20">
        <f t="shared" ca="1" si="342"/>
        <v>2</v>
      </c>
      <c r="L2023" s="44">
        <f t="shared" ca="1" si="347"/>
        <v>2.5</v>
      </c>
    </row>
    <row r="2024" spans="1:12" x14ac:dyDescent="0.25">
      <c r="A2024" s="20">
        <v>2016</v>
      </c>
      <c r="B2024" s="21">
        <f t="shared" ca="1" si="343"/>
        <v>0.49469154873157173</v>
      </c>
      <c r="C2024" s="21">
        <f t="shared" ca="1" si="348"/>
        <v>6010.0449029975898</v>
      </c>
      <c r="D2024" s="21">
        <f t="shared" ca="1" si="344"/>
        <v>9.0944864427152936</v>
      </c>
      <c r="E2024" s="21">
        <f t="shared" ca="1" si="351"/>
        <v>7.7464224538944109</v>
      </c>
      <c r="F2024" s="20" t="str">
        <f t="shared" ca="1" si="349"/>
        <v>No</v>
      </c>
      <c r="G2024" s="21">
        <f t="shared" ca="1" si="345"/>
        <v>0</v>
      </c>
      <c r="H2024" s="21">
        <f t="shared" ca="1" si="346"/>
        <v>6017.7913254514842</v>
      </c>
      <c r="I2024" s="21">
        <f t="shared" ca="1" si="341"/>
        <v>6026.8858118941998</v>
      </c>
      <c r="J2024" s="20">
        <f t="shared" ca="1" si="350"/>
        <v>3</v>
      </c>
      <c r="K2024" s="20">
        <f t="shared" ca="1" si="342"/>
        <v>4</v>
      </c>
      <c r="L2024" s="44">
        <f t="shared" ca="1" si="347"/>
        <v>3.5</v>
      </c>
    </row>
    <row r="2025" spans="1:12" x14ac:dyDescent="0.25">
      <c r="A2025" s="20">
        <v>2017</v>
      </c>
      <c r="B2025" s="21">
        <f t="shared" ca="1" si="343"/>
        <v>6.706917733297928</v>
      </c>
      <c r="C2025" s="21">
        <f t="shared" ca="1" si="348"/>
        <v>6016.7518207308876</v>
      </c>
      <c r="D2025" s="21">
        <f t="shared" ca="1" si="344"/>
        <v>3.2751979605176729</v>
      </c>
      <c r="E2025" s="21">
        <f t="shared" ca="1" si="351"/>
        <v>10.133991163312203</v>
      </c>
      <c r="F2025" s="20" t="str">
        <f t="shared" ca="1" si="349"/>
        <v>No</v>
      </c>
      <c r="G2025" s="21">
        <f t="shared" ca="1" si="345"/>
        <v>0</v>
      </c>
      <c r="H2025" s="21">
        <f t="shared" ca="1" si="346"/>
        <v>6026.8858118941998</v>
      </c>
      <c r="I2025" s="21">
        <f t="shared" ca="1" si="341"/>
        <v>6030.1610098547171</v>
      </c>
      <c r="J2025" s="20">
        <f t="shared" ca="1" si="350"/>
        <v>5</v>
      </c>
      <c r="K2025" s="20">
        <f t="shared" ca="1" si="342"/>
        <v>3</v>
      </c>
      <c r="L2025" s="44">
        <f t="shared" ca="1" si="347"/>
        <v>4</v>
      </c>
    </row>
    <row r="2026" spans="1:12" x14ac:dyDescent="0.25">
      <c r="A2026" s="20">
        <v>2018</v>
      </c>
      <c r="B2026" s="21">
        <f t="shared" ca="1" si="343"/>
        <v>1.7355116945211335</v>
      </c>
      <c r="C2026" s="21">
        <f t="shared" ca="1" si="348"/>
        <v>6018.4873324254086</v>
      </c>
      <c r="D2026" s="21">
        <f t="shared" ca="1" si="344"/>
        <v>6.5964034318561042</v>
      </c>
      <c r="E2026" s="21">
        <f t="shared" ca="1" si="351"/>
        <v>11.673677429308555</v>
      </c>
      <c r="F2026" s="20" t="str">
        <f t="shared" ca="1" si="349"/>
        <v>No</v>
      </c>
      <c r="G2026" s="21">
        <f t="shared" ca="1" si="345"/>
        <v>0</v>
      </c>
      <c r="H2026" s="21">
        <f t="shared" ca="1" si="346"/>
        <v>6030.1610098547171</v>
      </c>
      <c r="I2026" s="21">
        <f t="shared" ca="1" si="341"/>
        <v>6036.757413286573</v>
      </c>
      <c r="J2026" s="20">
        <f t="shared" ca="1" si="350"/>
        <v>4</v>
      </c>
      <c r="K2026" s="20">
        <f t="shared" ca="1" si="342"/>
        <v>3</v>
      </c>
      <c r="L2026" s="44">
        <f t="shared" ca="1" si="347"/>
        <v>3.5</v>
      </c>
    </row>
    <row r="2027" spans="1:12" x14ac:dyDescent="0.25">
      <c r="A2027" s="20">
        <v>2019</v>
      </c>
      <c r="B2027" s="21">
        <f t="shared" ca="1" si="343"/>
        <v>3.7750255512225745</v>
      </c>
      <c r="C2027" s="21">
        <f t="shared" ca="1" si="348"/>
        <v>6022.2623579766314</v>
      </c>
      <c r="D2027" s="21">
        <f t="shared" ca="1" si="344"/>
        <v>0.7620633118060911</v>
      </c>
      <c r="E2027" s="21">
        <f t="shared" ca="1" si="351"/>
        <v>14.495055309941563</v>
      </c>
      <c r="F2027" s="20" t="str">
        <f t="shared" ca="1" si="349"/>
        <v>No</v>
      </c>
      <c r="G2027" s="21">
        <f t="shared" ca="1" si="345"/>
        <v>0</v>
      </c>
      <c r="H2027" s="21">
        <f t="shared" ca="1" si="346"/>
        <v>6036.757413286573</v>
      </c>
      <c r="I2027" s="21">
        <f t="shared" ca="1" si="341"/>
        <v>6037.5194765983788</v>
      </c>
      <c r="J2027" s="20">
        <f t="shared" ca="1" si="350"/>
        <v>4</v>
      </c>
      <c r="K2027" s="20">
        <f t="shared" ca="1" si="342"/>
        <v>2</v>
      </c>
      <c r="L2027" s="44">
        <f t="shared" ca="1" si="347"/>
        <v>3</v>
      </c>
    </row>
    <row r="2028" spans="1:12" x14ac:dyDescent="0.25">
      <c r="A2028" s="20">
        <v>2020</v>
      </c>
      <c r="B2028" s="21">
        <f t="shared" ca="1" si="343"/>
        <v>4.0150660054595564</v>
      </c>
      <c r="C2028" s="21">
        <f t="shared" ca="1" si="348"/>
        <v>6026.277423982091</v>
      </c>
      <c r="D2028" s="21">
        <f t="shared" ca="1" si="344"/>
        <v>1.049644253052429</v>
      </c>
      <c r="E2028" s="21">
        <f t="shared" ca="1" si="351"/>
        <v>11.242052616287765</v>
      </c>
      <c r="F2028" s="20" t="str">
        <f t="shared" ca="1" si="349"/>
        <v>No</v>
      </c>
      <c r="G2028" s="21">
        <f t="shared" ca="1" si="345"/>
        <v>0</v>
      </c>
      <c r="H2028" s="21">
        <f t="shared" ca="1" si="346"/>
        <v>6037.5194765983788</v>
      </c>
      <c r="I2028" s="21">
        <f t="shared" ca="1" si="341"/>
        <v>6038.5691208514309</v>
      </c>
      <c r="J2028" s="20">
        <f t="shared" ca="1" si="350"/>
        <v>3</v>
      </c>
      <c r="K2028" s="20">
        <f t="shared" ca="1" si="342"/>
        <v>1</v>
      </c>
      <c r="L2028" s="44">
        <f t="shared" ca="1" si="347"/>
        <v>2</v>
      </c>
    </row>
    <row r="2029" spans="1:12" x14ac:dyDescent="0.25">
      <c r="A2029" s="20">
        <v>2021</v>
      </c>
      <c r="B2029" s="21">
        <f t="shared" ca="1" si="343"/>
        <v>4.5382083688785784</v>
      </c>
      <c r="C2029" s="21">
        <f t="shared" ca="1" si="348"/>
        <v>6030.8156323509693</v>
      </c>
      <c r="D2029" s="21">
        <f t="shared" ca="1" si="344"/>
        <v>0.84652965429389904</v>
      </c>
      <c r="E2029" s="21">
        <f t="shared" ca="1" si="351"/>
        <v>7.7534885004615717</v>
      </c>
      <c r="F2029" s="20" t="str">
        <f t="shared" ca="1" si="349"/>
        <v>No</v>
      </c>
      <c r="G2029" s="21">
        <f t="shared" ca="1" si="345"/>
        <v>0</v>
      </c>
      <c r="H2029" s="21">
        <f t="shared" ca="1" si="346"/>
        <v>6038.5691208514309</v>
      </c>
      <c r="I2029" s="21">
        <f t="shared" ca="1" si="341"/>
        <v>6039.4156505057244</v>
      </c>
      <c r="J2029" s="20">
        <f t="shared" ca="1" si="350"/>
        <v>2</v>
      </c>
      <c r="K2029" s="20">
        <f t="shared" ca="1" si="342"/>
        <v>0</v>
      </c>
      <c r="L2029" s="44">
        <f t="shared" ca="1" si="347"/>
        <v>1</v>
      </c>
    </row>
    <row r="2030" spans="1:12" x14ac:dyDescent="0.25">
      <c r="A2030" s="20">
        <v>2022</v>
      </c>
      <c r="B2030" s="21">
        <f t="shared" ca="1" si="343"/>
        <v>11.215422489422412</v>
      </c>
      <c r="C2030" s="21">
        <f t="shared" ca="1" si="348"/>
        <v>6042.0310548403913</v>
      </c>
      <c r="D2030" s="21">
        <f t="shared" ca="1" si="344"/>
        <v>5.5348530569180676</v>
      </c>
      <c r="E2030" s="21">
        <f t="shared" ca="1" si="351"/>
        <v>0</v>
      </c>
      <c r="F2030" s="20" t="str">
        <f t="shared" ca="1" si="349"/>
        <v>Yes</v>
      </c>
      <c r="G2030" s="21">
        <f t="shared" ca="1" si="345"/>
        <v>2.6154043346668914</v>
      </c>
      <c r="H2030" s="21">
        <f t="shared" ca="1" si="346"/>
        <v>6042.0310548403913</v>
      </c>
      <c r="I2030" s="21">
        <f t="shared" ca="1" si="341"/>
        <v>6047.5659078973094</v>
      </c>
      <c r="J2030" s="20">
        <f t="shared" ca="1" si="350"/>
        <v>0</v>
      </c>
      <c r="K2030" s="20">
        <f t="shared" ca="1" si="342"/>
        <v>0</v>
      </c>
      <c r="L2030" s="44">
        <f t="shared" ca="1" si="347"/>
        <v>0</v>
      </c>
    </row>
    <row r="2031" spans="1:12" x14ac:dyDescent="0.25">
      <c r="A2031" s="20">
        <v>2023</v>
      </c>
      <c r="B2031" s="21">
        <f t="shared" ca="1" si="343"/>
        <v>9.0185566136055026</v>
      </c>
      <c r="C2031" s="21">
        <f t="shared" ca="1" si="348"/>
        <v>6051.0496114539965</v>
      </c>
      <c r="D2031" s="21">
        <f t="shared" ca="1" si="344"/>
        <v>1.4959225273361172</v>
      </c>
      <c r="E2031" s="21">
        <f t="shared" ca="1" si="351"/>
        <v>0</v>
      </c>
      <c r="F2031" s="20" t="str">
        <f t="shared" ca="1" si="349"/>
        <v>Yes</v>
      </c>
      <c r="G2031" s="21">
        <f t="shared" ca="1" si="345"/>
        <v>3.4837035566870327</v>
      </c>
      <c r="H2031" s="21">
        <f t="shared" ca="1" si="346"/>
        <v>6051.0496114539965</v>
      </c>
      <c r="I2031" s="21">
        <f t="shared" ca="1" si="341"/>
        <v>6052.5455339813325</v>
      </c>
      <c r="J2031" s="20">
        <f t="shared" ca="1" si="350"/>
        <v>0</v>
      </c>
      <c r="K2031" s="20">
        <f t="shared" ca="1" si="342"/>
        <v>0</v>
      </c>
      <c r="L2031" s="44">
        <f t="shared" ca="1" si="347"/>
        <v>0</v>
      </c>
    </row>
    <row r="2032" spans="1:12" x14ac:dyDescent="0.25">
      <c r="A2032" s="20">
        <v>2024</v>
      </c>
      <c r="B2032" s="21">
        <f t="shared" ca="1" si="343"/>
        <v>2.0697146079263931</v>
      </c>
      <c r="C2032" s="21">
        <f t="shared" ca="1" si="348"/>
        <v>6053.1193260619229</v>
      </c>
      <c r="D2032" s="21">
        <f t="shared" ca="1" si="344"/>
        <v>1.9672841408961452</v>
      </c>
      <c r="E2032" s="21">
        <f t="shared" ca="1" si="351"/>
        <v>0</v>
      </c>
      <c r="F2032" s="20" t="str">
        <f t="shared" ca="1" si="349"/>
        <v>Yes</v>
      </c>
      <c r="G2032" s="21">
        <f t="shared" ca="1" si="345"/>
        <v>0.57379208059046505</v>
      </c>
      <c r="H2032" s="21">
        <f t="shared" ca="1" si="346"/>
        <v>6053.1193260619229</v>
      </c>
      <c r="I2032" s="21">
        <f t="shared" ca="1" si="341"/>
        <v>6055.0866102028194</v>
      </c>
      <c r="J2032" s="20">
        <f t="shared" ca="1" si="350"/>
        <v>0</v>
      </c>
      <c r="K2032" s="20">
        <f t="shared" ca="1" si="342"/>
        <v>0</v>
      </c>
      <c r="L2032" s="44">
        <f t="shared" ca="1" si="347"/>
        <v>0</v>
      </c>
    </row>
    <row r="2033" spans="1:12" x14ac:dyDescent="0.25">
      <c r="A2033" s="20">
        <v>2025</v>
      </c>
      <c r="B2033" s="21">
        <f t="shared" ca="1" si="343"/>
        <v>8.2617136457067915</v>
      </c>
      <c r="C2033" s="21">
        <f t="shared" ca="1" si="348"/>
        <v>6061.3810397076295</v>
      </c>
      <c r="D2033" s="21">
        <f t="shared" ca="1" si="344"/>
        <v>0.87744298245780816</v>
      </c>
      <c r="E2033" s="21">
        <f t="shared" ca="1" si="351"/>
        <v>0</v>
      </c>
      <c r="F2033" s="20" t="str">
        <f t="shared" ca="1" si="349"/>
        <v>Yes</v>
      </c>
      <c r="G2033" s="21">
        <f t="shared" ca="1" si="345"/>
        <v>6.2944295048100685</v>
      </c>
      <c r="H2033" s="21">
        <f t="shared" ca="1" si="346"/>
        <v>6061.3810397076295</v>
      </c>
      <c r="I2033" s="21">
        <f t="shared" ca="1" si="341"/>
        <v>6062.2584826900875</v>
      </c>
      <c r="J2033" s="20">
        <f t="shared" ca="1" si="350"/>
        <v>0</v>
      </c>
      <c r="K2033" s="20">
        <f t="shared" ca="1" si="342"/>
        <v>0</v>
      </c>
      <c r="L2033" s="44">
        <f t="shared" ca="1" si="347"/>
        <v>0</v>
      </c>
    </row>
    <row r="2034" spans="1:12" x14ac:dyDescent="0.25">
      <c r="A2034" s="20">
        <v>2026</v>
      </c>
      <c r="B2034" s="21">
        <f t="shared" ca="1" si="343"/>
        <v>1.6754561053580175</v>
      </c>
      <c r="C2034" s="21">
        <f t="shared" ca="1" si="348"/>
        <v>6063.0564958129871</v>
      </c>
      <c r="D2034" s="21">
        <f t="shared" ca="1" si="344"/>
        <v>1.1992413935495083</v>
      </c>
      <c r="E2034" s="21">
        <f t="shared" ca="1" si="351"/>
        <v>0</v>
      </c>
      <c r="F2034" s="20" t="str">
        <f t="shared" ca="1" si="349"/>
        <v>Yes</v>
      </c>
      <c r="G2034" s="21">
        <f t="shared" ca="1" si="345"/>
        <v>0.79801312289964699</v>
      </c>
      <c r="H2034" s="21">
        <f t="shared" ca="1" si="346"/>
        <v>6063.0564958129871</v>
      </c>
      <c r="I2034" s="21">
        <f t="shared" ca="1" si="341"/>
        <v>6064.2557372065367</v>
      </c>
      <c r="J2034" s="20">
        <f t="shared" ca="1" si="350"/>
        <v>0</v>
      </c>
      <c r="K2034" s="20">
        <f t="shared" ca="1" si="342"/>
        <v>0</v>
      </c>
      <c r="L2034" s="44">
        <f t="shared" ca="1" si="347"/>
        <v>0</v>
      </c>
    </row>
    <row r="2035" spans="1:12" x14ac:dyDescent="0.25">
      <c r="A2035" s="20">
        <v>2027</v>
      </c>
      <c r="B2035" s="21">
        <f t="shared" ca="1" si="343"/>
        <v>2.7397509813930125</v>
      </c>
      <c r="C2035" s="21">
        <f t="shared" ca="1" si="348"/>
        <v>6065.7962467943798</v>
      </c>
      <c r="D2035" s="21">
        <f t="shared" ca="1" si="344"/>
        <v>0.12435340161982608</v>
      </c>
      <c r="E2035" s="21">
        <f t="shared" ca="1" si="351"/>
        <v>0</v>
      </c>
      <c r="F2035" s="20" t="str">
        <f t="shared" ca="1" si="349"/>
        <v>Yes</v>
      </c>
      <c r="G2035" s="21">
        <f t="shared" ca="1" si="345"/>
        <v>1.5405095878431894</v>
      </c>
      <c r="H2035" s="21">
        <f t="shared" ca="1" si="346"/>
        <v>6065.7962467943798</v>
      </c>
      <c r="I2035" s="21">
        <f t="shared" ca="1" si="341"/>
        <v>6065.9206001959992</v>
      </c>
      <c r="J2035" s="20">
        <f t="shared" ca="1" si="350"/>
        <v>0</v>
      </c>
      <c r="K2035" s="20">
        <f t="shared" ca="1" si="342"/>
        <v>0</v>
      </c>
      <c r="L2035" s="44">
        <f t="shared" ca="1" si="347"/>
        <v>0</v>
      </c>
    </row>
    <row r="2036" spans="1:12" x14ac:dyDescent="0.25">
      <c r="A2036" s="20">
        <v>2028</v>
      </c>
      <c r="B2036" s="21">
        <f t="shared" ca="1" si="343"/>
        <v>0.14052352813776989</v>
      </c>
      <c r="C2036" s="21">
        <f t="shared" ca="1" si="348"/>
        <v>6065.936770322518</v>
      </c>
      <c r="D2036" s="21">
        <f t="shared" ca="1" si="344"/>
        <v>1.876595125579209</v>
      </c>
      <c r="E2036" s="21">
        <f t="shared" ca="1" si="351"/>
        <v>0</v>
      </c>
      <c r="F2036" s="20" t="str">
        <f t="shared" ca="1" si="349"/>
        <v>Yes</v>
      </c>
      <c r="G2036" s="21">
        <f t="shared" ca="1" si="345"/>
        <v>1.6170126518773031E-2</v>
      </c>
      <c r="H2036" s="21">
        <f t="shared" ca="1" si="346"/>
        <v>6065.936770322518</v>
      </c>
      <c r="I2036" s="21">
        <f t="shared" ca="1" si="341"/>
        <v>6067.8133654480971</v>
      </c>
      <c r="J2036" s="20">
        <f t="shared" ca="1" si="350"/>
        <v>0</v>
      </c>
      <c r="K2036" s="20">
        <f t="shared" ca="1" si="342"/>
        <v>0</v>
      </c>
      <c r="L2036" s="44">
        <f t="shared" ca="1" si="347"/>
        <v>0</v>
      </c>
    </row>
    <row r="2037" spans="1:12" x14ac:dyDescent="0.25">
      <c r="A2037" s="20">
        <v>2029</v>
      </c>
      <c r="B2037" s="21">
        <f t="shared" ca="1" si="343"/>
        <v>5.853705061336397</v>
      </c>
      <c r="C2037" s="21">
        <f t="shared" ca="1" si="348"/>
        <v>6071.7904753838548</v>
      </c>
      <c r="D2037" s="21">
        <f t="shared" ca="1" si="344"/>
        <v>2.7097988850966614</v>
      </c>
      <c r="E2037" s="21">
        <f t="shared" ca="1" si="351"/>
        <v>0</v>
      </c>
      <c r="F2037" s="20" t="str">
        <f t="shared" ca="1" si="349"/>
        <v>Yes</v>
      </c>
      <c r="G2037" s="21">
        <f t="shared" ca="1" si="345"/>
        <v>3.9771099357576531</v>
      </c>
      <c r="H2037" s="21">
        <f t="shared" ca="1" si="346"/>
        <v>6071.7904753838548</v>
      </c>
      <c r="I2037" s="21">
        <f t="shared" ca="1" si="341"/>
        <v>6074.5002742689512</v>
      </c>
      <c r="J2037" s="20">
        <f t="shared" ca="1" si="350"/>
        <v>0</v>
      </c>
      <c r="K2037" s="20">
        <f t="shared" ca="1" si="342"/>
        <v>0</v>
      </c>
      <c r="L2037" s="44">
        <f t="shared" ca="1" si="347"/>
        <v>0</v>
      </c>
    </row>
    <row r="2038" spans="1:12" x14ac:dyDescent="0.25">
      <c r="A2038" s="20">
        <v>2030</v>
      </c>
      <c r="B2038" s="21">
        <f t="shared" ca="1" si="343"/>
        <v>3.437546875438708</v>
      </c>
      <c r="C2038" s="21">
        <f t="shared" ca="1" si="348"/>
        <v>6075.2280222592935</v>
      </c>
      <c r="D2038" s="21">
        <f t="shared" ca="1" si="344"/>
        <v>11.345097612946867</v>
      </c>
      <c r="E2038" s="21">
        <f t="shared" ca="1" si="351"/>
        <v>0</v>
      </c>
      <c r="F2038" s="20" t="str">
        <f t="shared" ca="1" si="349"/>
        <v>Yes</v>
      </c>
      <c r="G2038" s="21">
        <f t="shared" ca="1" si="345"/>
        <v>0.72774799034232274</v>
      </c>
      <c r="H2038" s="21">
        <f t="shared" ca="1" si="346"/>
        <v>6075.2280222592935</v>
      </c>
      <c r="I2038" s="21">
        <f t="shared" ca="1" si="341"/>
        <v>6086.5731198722406</v>
      </c>
      <c r="J2038" s="20">
        <f t="shared" ca="1" si="350"/>
        <v>0</v>
      </c>
      <c r="K2038" s="20">
        <f t="shared" ca="1" si="342"/>
        <v>5</v>
      </c>
      <c r="L2038" s="44">
        <f t="shared" ca="1" si="347"/>
        <v>2.5</v>
      </c>
    </row>
    <row r="2039" spans="1:12" x14ac:dyDescent="0.25">
      <c r="A2039" s="20">
        <v>2031</v>
      </c>
      <c r="B2039" s="21">
        <f t="shared" ca="1" si="343"/>
        <v>7.4247805196517955</v>
      </c>
      <c r="C2039" s="21">
        <f t="shared" ca="1" si="348"/>
        <v>6082.6528027789454</v>
      </c>
      <c r="D2039" s="21">
        <f t="shared" ca="1" si="344"/>
        <v>2.0339504368980399</v>
      </c>
      <c r="E2039" s="21">
        <f t="shared" ca="1" si="351"/>
        <v>3.9203170932951252</v>
      </c>
      <c r="F2039" s="20" t="str">
        <f t="shared" ca="1" si="349"/>
        <v>No</v>
      </c>
      <c r="G2039" s="21">
        <f t="shared" ca="1" si="345"/>
        <v>0</v>
      </c>
      <c r="H2039" s="21">
        <f t="shared" ca="1" si="346"/>
        <v>6086.5731198722406</v>
      </c>
      <c r="I2039" s="21">
        <f t="shared" ca="1" si="341"/>
        <v>6088.6070703091382</v>
      </c>
      <c r="J2039" s="20">
        <f t="shared" ca="1" si="350"/>
        <v>6</v>
      </c>
      <c r="K2039" s="20">
        <f t="shared" ca="1" si="342"/>
        <v>5</v>
      </c>
      <c r="L2039" s="44">
        <f t="shared" ca="1" si="347"/>
        <v>5.5</v>
      </c>
    </row>
    <row r="2040" spans="1:12" x14ac:dyDescent="0.25">
      <c r="A2040" s="20">
        <v>2032</v>
      </c>
      <c r="B2040" s="21">
        <f t="shared" ca="1" si="343"/>
        <v>0.41260032396074658</v>
      </c>
      <c r="C2040" s="21">
        <f t="shared" ca="1" si="348"/>
        <v>6083.0654031029062</v>
      </c>
      <c r="D2040" s="21">
        <f t="shared" ca="1" si="344"/>
        <v>2.2839191897621891</v>
      </c>
      <c r="E2040" s="21">
        <f t="shared" ca="1" si="351"/>
        <v>5.5416672062319776</v>
      </c>
      <c r="F2040" s="20" t="str">
        <f t="shared" ca="1" si="349"/>
        <v>No</v>
      </c>
      <c r="G2040" s="21">
        <f t="shared" ca="1" si="345"/>
        <v>0</v>
      </c>
      <c r="H2040" s="21">
        <f t="shared" ca="1" si="346"/>
        <v>6088.6070703091382</v>
      </c>
      <c r="I2040" s="21">
        <f t="shared" ca="1" si="341"/>
        <v>6090.8909894989001</v>
      </c>
      <c r="J2040" s="20">
        <f t="shared" ca="1" si="350"/>
        <v>6</v>
      </c>
      <c r="K2040" s="20">
        <f t="shared" ca="1" si="342"/>
        <v>5</v>
      </c>
      <c r="L2040" s="44">
        <f t="shared" ca="1" si="347"/>
        <v>5.5</v>
      </c>
    </row>
    <row r="2041" spans="1:12" x14ac:dyDescent="0.25">
      <c r="A2041" s="20">
        <v>2033</v>
      </c>
      <c r="B2041" s="21">
        <f t="shared" ca="1" si="343"/>
        <v>0.38198139988936897</v>
      </c>
      <c r="C2041" s="21">
        <f t="shared" ca="1" si="348"/>
        <v>6083.447384502796</v>
      </c>
      <c r="D2041" s="21">
        <f t="shared" ca="1" si="344"/>
        <v>0.57873541337981893</v>
      </c>
      <c r="E2041" s="21">
        <f t="shared" ca="1" si="351"/>
        <v>7.4436049961041135</v>
      </c>
      <c r="F2041" s="20" t="str">
        <f t="shared" ca="1" si="349"/>
        <v>No</v>
      </c>
      <c r="G2041" s="21">
        <f t="shared" ca="1" si="345"/>
        <v>0</v>
      </c>
      <c r="H2041" s="21">
        <f t="shared" ca="1" si="346"/>
        <v>6090.8909894989001</v>
      </c>
      <c r="I2041" s="21">
        <f t="shared" ca="1" si="341"/>
        <v>6091.4697249122801</v>
      </c>
      <c r="J2041" s="20">
        <f t="shared" ca="1" si="350"/>
        <v>6</v>
      </c>
      <c r="K2041" s="20">
        <f t="shared" ca="1" si="342"/>
        <v>4</v>
      </c>
      <c r="L2041" s="44">
        <f t="shared" ca="1" si="347"/>
        <v>5</v>
      </c>
    </row>
    <row r="2042" spans="1:12" x14ac:dyDescent="0.25">
      <c r="A2042" s="20">
        <v>2034</v>
      </c>
      <c r="B2042" s="21">
        <f t="shared" ca="1" si="343"/>
        <v>0.22846715049156879</v>
      </c>
      <c r="C2042" s="21">
        <f t="shared" ca="1" si="348"/>
        <v>6083.6758516532873</v>
      </c>
      <c r="D2042" s="21">
        <f t="shared" ca="1" si="344"/>
        <v>5.2721492962927963</v>
      </c>
      <c r="E2042" s="21">
        <f t="shared" ca="1" si="351"/>
        <v>7.7938732589927895</v>
      </c>
      <c r="F2042" s="20" t="str">
        <f t="shared" ca="1" si="349"/>
        <v>No</v>
      </c>
      <c r="G2042" s="21">
        <f t="shared" ca="1" si="345"/>
        <v>0</v>
      </c>
      <c r="H2042" s="21">
        <f t="shared" ca="1" si="346"/>
        <v>6091.4697249122801</v>
      </c>
      <c r="I2042" s="21">
        <f t="shared" ca="1" si="341"/>
        <v>6096.7418742085729</v>
      </c>
      <c r="J2042" s="20">
        <f t="shared" ca="1" si="350"/>
        <v>5</v>
      </c>
      <c r="K2042" s="20">
        <f t="shared" ca="1" si="342"/>
        <v>5</v>
      </c>
      <c r="L2042" s="44">
        <f t="shared" ca="1" si="347"/>
        <v>5</v>
      </c>
    </row>
    <row r="2043" spans="1:12" x14ac:dyDescent="0.25">
      <c r="A2043" s="20">
        <v>2035</v>
      </c>
      <c r="B2043" s="21">
        <f t="shared" ca="1" si="343"/>
        <v>0.72683708148212811</v>
      </c>
      <c r="C2043" s="21">
        <f t="shared" ca="1" si="348"/>
        <v>6084.4026887347691</v>
      </c>
      <c r="D2043" s="21">
        <f t="shared" ca="1" si="344"/>
        <v>0.86175408729796676</v>
      </c>
      <c r="E2043" s="21">
        <f t="shared" ca="1" si="351"/>
        <v>12.339185473803809</v>
      </c>
      <c r="F2043" s="20" t="str">
        <f t="shared" ca="1" si="349"/>
        <v>No</v>
      </c>
      <c r="G2043" s="21">
        <f t="shared" ca="1" si="345"/>
        <v>0</v>
      </c>
      <c r="H2043" s="21">
        <f t="shared" ca="1" si="346"/>
        <v>6096.7418742085729</v>
      </c>
      <c r="I2043" s="21">
        <f t="shared" ca="1" si="341"/>
        <v>6097.6036282958712</v>
      </c>
      <c r="J2043" s="20">
        <f t="shared" ca="1" si="350"/>
        <v>6</v>
      </c>
      <c r="K2043" s="20">
        <f t="shared" ca="1" si="342"/>
        <v>5</v>
      </c>
      <c r="L2043" s="44">
        <f t="shared" ca="1" si="347"/>
        <v>5.5</v>
      </c>
    </row>
    <row r="2044" spans="1:12" x14ac:dyDescent="0.25">
      <c r="A2044" s="20">
        <v>2036</v>
      </c>
      <c r="B2044" s="21">
        <f t="shared" ca="1" si="343"/>
        <v>0.91255063497583988</v>
      </c>
      <c r="C2044" s="21">
        <f t="shared" ca="1" si="348"/>
        <v>6085.3152393697446</v>
      </c>
      <c r="D2044" s="21">
        <f t="shared" ca="1" si="344"/>
        <v>1.0636307227398567</v>
      </c>
      <c r="E2044" s="21">
        <f t="shared" ca="1" si="351"/>
        <v>12.288388926126572</v>
      </c>
      <c r="F2044" s="20" t="str">
        <f t="shared" ca="1" si="349"/>
        <v>No</v>
      </c>
      <c r="G2044" s="21">
        <f t="shared" ca="1" si="345"/>
        <v>0</v>
      </c>
      <c r="H2044" s="21">
        <f t="shared" ca="1" si="346"/>
        <v>6097.6036282958712</v>
      </c>
      <c r="I2044" s="21">
        <f t="shared" ca="1" si="341"/>
        <v>6098.6672590186108</v>
      </c>
      <c r="J2044" s="20">
        <f t="shared" ca="1" si="350"/>
        <v>6</v>
      </c>
      <c r="K2044" s="20">
        <f t="shared" ca="1" si="342"/>
        <v>5</v>
      </c>
      <c r="L2044" s="44">
        <f t="shared" ca="1" si="347"/>
        <v>5.5</v>
      </c>
    </row>
    <row r="2045" spans="1:12" x14ac:dyDescent="0.25">
      <c r="A2045" s="20">
        <v>2037</v>
      </c>
      <c r="B2045" s="21">
        <f t="shared" ca="1" si="343"/>
        <v>3.095319299501659</v>
      </c>
      <c r="C2045" s="21">
        <f t="shared" ca="1" si="348"/>
        <v>6088.4105586692467</v>
      </c>
      <c r="D2045" s="21">
        <f t="shared" ca="1" si="344"/>
        <v>0.11436498375224391</v>
      </c>
      <c r="E2045" s="21">
        <f t="shared" ca="1" si="351"/>
        <v>10.25670034936411</v>
      </c>
      <c r="F2045" s="20" t="str">
        <f t="shared" ca="1" si="349"/>
        <v>No</v>
      </c>
      <c r="G2045" s="21">
        <f t="shared" ca="1" si="345"/>
        <v>0</v>
      </c>
      <c r="H2045" s="21">
        <f t="shared" ca="1" si="346"/>
        <v>6098.6672590186108</v>
      </c>
      <c r="I2045" s="21">
        <f t="shared" ca="1" si="341"/>
        <v>6098.7816240023631</v>
      </c>
      <c r="J2045" s="20">
        <f t="shared" ca="1" si="350"/>
        <v>6</v>
      </c>
      <c r="K2045" s="20">
        <f t="shared" ca="1" si="342"/>
        <v>4</v>
      </c>
      <c r="L2045" s="44">
        <f t="shared" ca="1" si="347"/>
        <v>5</v>
      </c>
    </row>
    <row r="2046" spans="1:12" x14ac:dyDescent="0.25">
      <c r="A2046" s="20">
        <v>2038</v>
      </c>
      <c r="B2046" s="21">
        <f t="shared" ca="1" si="343"/>
        <v>4.8126352520071416</v>
      </c>
      <c r="C2046" s="21">
        <f t="shared" ca="1" si="348"/>
        <v>6093.2231939212543</v>
      </c>
      <c r="D2046" s="21">
        <f t="shared" ca="1" si="344"/>
        <v>2.8886372410798136</v>
      </c>
      <c r="E2046" s="21">
        <f t="shared" ca="1" si="351"/>
        <v>5.5584300811087815</v>
      </c>
      <c r="F2046" s="20" t="str">
        <f t="shared" ca="1" si="349"/>
        <v>No</v>
      </c>
      <c r="G2046" s="21">
        <f t="shared" ca="1" si="345"/>
        <v>0</v>
      </c>
      <c r="H2046" s="21">
        <f t="shared" ca="1" si="346"/>
        <v>6098.7816240023631</v>
      </c>
      <c r="I2046" s="21">
        <f t="shared" ca="1" si="341"/>
        <v>6101.6702612434428</v>
      </c>
      <c r="J2046" s="20">
        <f t="shared" ca="1" si="350"/>
        <v>5</v>
      </c>
      <c r="K2046" s="20">
        <f t="shared" ca="1" si="342"/>
        <v>3</v>
      </c>
      <c r="L2046" s="44">
        <f t="shared" ca="1" si="347"/>
        <v>4</v>
      </c>
    </row>
    <row r="2047" spans="1:12" x14ac:dyDescent="0.25">
      <c r="A2047" s="20">
        <v>2039</v>
      </c>
      <c r="B2047" s="21">
        <f t="shared" ca="1" si="343"/>
        <v>0.77454158782365601</v>
      </c>
      <c r="C2047" s="21">
        <f t="shared" ca="1" si="348"/>
        <v>6093.9977355090778</v>
      </c>
      <c r="D2047" s="21">
        <f t="shared" ca="1" si="344"/>
        <v>2.6380061339805598</v>
      </c>
      <c r="E2047" s="21">
        <f t="shared" ca="1" si="351"/>
        <v>7.672525734365081</v>
      </c>
      <c r="F2047" s="20" t="str">
        <f t="shared" ca="1" si="349"/>
        <v>No</v>
      </c>
      <c r="G2047" s="21">
        <f t="shared" ca="1" si="345"/>
        <v>0</v>
      </c>
      <c r="H2047" s="21">
        <f t="shared" ca="1" si="346"/>
        <v>6101.6702612434428</v>
      </c>
      <c r="I2047" s="21">
        <f t="shared" ca="1" si="341"/>
        <v>6104.3082673774234</v>
      </c>
      <c r="J2047" s="20">
        <f t="shared" ca="1" si="350"/>
        <v>4</v>
      </c>
      <c r="K2047" s="20">
        <f t="shared" ca="1" si="342"/>
        <v>2</v>
      </c>
      <c r="L2047" s="44">
        <f t="shared" ca="1" si="347"/>
        <v>3</v>
      </c>
    </row>
    <row r="2048" spans="1:12" x14ac:dyDescent="0.25">
      <c r="A2048" s="20">
        <v>2040</v>
      </c>
      <c r="B2048" s="21">
        <f t="shared" ca="1" si="343"/>
        <v>1.1771393875222746</v>
      </c>
      <c r="C2048" s="21">
        <f t="shared" ca="1" si="348"/>
        <v>6095.1748748966002</v>
      </c>
      <c r="D2048" s="21">
        <f t="shared" ca="1" si="344"/>
        <v>0.61310562587567874</v>
      </c>
      <c r="E2048" s="21">
        <f t="shared" ca="1" si="351"/>
        <v>9.1333924808232041</v>
      </c>
      <c r="F2048" s="20" t="str">
        <f t="shared" ca="1" si="349"/>
        <v>No</v>
      </c>
      <c r="G2048" s="21">
        <f t="shared" ca="1" si="345"/>
        <v>0</v>
      </c>
      <c r="H2048" s="21">
        <f t="shared" ca="1" si="346"/>
        <v>6104.3082673774234</v>
      </c>
      <c r="I2048" s="21">
        <f t="shared" ca="1" si="341"/>
        <v>6104.9213730032989</v>
      </c>
      <c r="J2048" s="20">
        <f t="shared" ca="1" si="350"/>
        <v>3</v>
      </c>
      <c r="K2048" s="20">
        <f t="shared" ca="1" si="342"/>
        <v>1</v>
      </c>
      <c r="L2048" s="44">
        <f t="shared" ca="1" si="347"/>
        <v>2</v>
      </c>
    </row>
    <row r="2049" spans="1:12" x14ac:dyDescent="0.25">
      <c r="A2049" s="20">
        <v>2041</v>
      </c>
      <c r="B2049" s="21">
        <f t="shared" ca="1" si="343"/>
        <v>3.3090832023042425</v>
      </c>
      <c r="C2049" s="21">
        <f t="shared" ca="1" si="348"/>
        <v>6098.4839580989046</v>
      </c>
      <c r="D2049" s="21">
        <f t="shared" ca="1" si="344"/>
        <v>4.747348581673192</v>
      </c>
      <c r="E2049" s="21">
        <f t="shared" ca="1" si="351"/>
        <v>6.4374149043942452</v>
      </c>
      <c r="F2049" s="20" t="str">
        <f t="shared" ca="1" si="349"/>
        <v>No</v>
      </c>
      <c r="G2049" s="21">
        <f t="shared" ca="1" si="345"/>
        <v>0</v>
      </c>
      <c r="H2049" s="21">
        <f t="shared" ca="1" si="346"/>
        <v>6104.9213730032989</v>
      </c>
      <c r="I2049" s="21">
        <f t="shared" ca="1" si="341"/>
        <v>6109.6687215849724</v>
      </c>
      <c r="J2049" s="20">
        <f t="shared" ca="1" si="350"/>
        <v>2</v>
      </c>
      <c r="K2049" s="20">
        <f t="shared" ca="1" si="342"/>
        <v>1</v>
      </c>
      <c r="L2049" s="44">
        <f t="shared" ca="1" si="347"/>
        <v>1.5</v>
      </c>
    </row>
    <row r="2050" spans="1:12" x14ac:dyDescent="0.25">
      <c r="A2050" s="20">
        <v>2042</v>
      </c>
      <c r="B2050" s="21">
        <f t="shared" ca="1" si="343"/>
        <v>7.239450526591221</v>
      </c>
      <c r="C2050" s="21">
        <f t="shared" ca="1" si="348"/>
        <v>6105.7234086254957</v>
      </c>
      <c r="D2050" s="21">
        <f t="shared" ca="1" si="344"/>
        <v>0.62371417543478747</v>
      </c>
      <c r="E2050" s="21">
        <f t="shared" ca="1" si="351"/>
        <v>3.9453129594767233</v>
      </c>
      <c r="F2050" s="20" t="str">
        <f t="shared" ca="1" si="349"/>
        <v>No</v>
      </c>
      <c r="G2050" s="21">
        <f t="shared" ca="1" si="345"/>
        <v>0</v>
      </c>
      <c r="H2050" s="21">
        <f t="shared" ca="1" si="346"/>
        <v>6109.6687215849724</v>
      </c>
      <c r="I2050" s="21">
        <f t="shared" ca="1" si="341"/>
        <v>6110.292435760407</v>
      </c>
      <c r="J2050" s="20">
        <f t="shared" ca="1" si="350"/>
        <v>2</v>
      </c>
      <c r="K2050" s="20">
        <f t="shared" ca="1" si="342"/>
        <v>0</v>
      </c>
      <c r="L2050" s="44">
        <f t="shared" ca="1" si="347"/>
        <v>1</v>
      </c>
    </row>
    <row r="2051" spans="1:12" x14ac:dyDescent="0.25">
      <c r="A2051" s="20">
        <v>2043</v>
      </c>
      <c r="B2051" s="21">
        <f t="shared" ca="1" si="343"/>
        <v>11.695402674390397</v>
      </c>
      <c r="C2051" s="21">
        <f t="shared" ca="1" si="348"/>
        <v>6117.4188112998863</v>
      </c>
      <c r="D2051" s="21">
        <f t="shared" ca="1" si="344"/>
        <v>1.217362376884374</v>
      </c>
      <c r="E2051" s="21">
        <f t="shared" ca="1" si="351"/>
        <v>0</v>
      </c>
      <c r="F2051" s="20" t="str">
        <f t="shared" ca="1" si="349"/>
        <v>Yes</v>
      </c>
      <c r="G2051" s="21">
        <f t="shared" ca="1" si="345"/>
        <v>7.1263755394793407</v>
      </c>
      <c r="H2051" s="21">
        <f t="shared" ca="1" si="346"/>
        <v>6117.4188112998863</v>
      </c>
      <c r="I2051" s="21">
        <f t="shared" ca="1" si="341"/>
        <v>6118.6361736767703</v>
      </c>
      <c r="J2051" s="20">
        <f t="shared" ca="1" si="350"/>
        <v>0</v>
      </c>
      <c r="K2051" s="20">
        <f t="shared" ca="1" si="342"/>
        <v>0</v>
      </c>
      <c r="L2051" s="44">
        <f t="shared" ca="1" si="347"/>
        <v>0</v>
      </c>
    </row>
    <row r="2052" spans="1:12" x14ac:dyDescent="0.25">
      <c r="A2052" s="20">
        <v>2044</v>
      </c>
      <c r="B2052" s="21">
        <f t="shared" ca="1" si="343"/>
        <v>5.0598625838211708</v>
      </c>
      <c r="C2052" s="21">
        <f t="shared" ca="1" si="348"/>
        <v>6122.4786738837074</v>
      </c>
      <c r="D2052" s="21">
        <f t="shared" ca="1" si="344"/>
        <v>0.58650705266030245</v>
      </c>
      <c r="E2052" s="21">
        <f t="shared" ca="1" si="351"/>
        <v>0</v>
      </c>
      <c r="F2052" s="20" t="str">
        <f t="shared" ca="1" si="349"/>
        <v>Yes</v>
      </c>
      <c r="G2052" s="21">
        <f t="shared" ca="1" si="345"/>
        <v>3.8425002069370748</v>
      </c>
      <c r="H2052" s="21">
        <f t="shared" ca="1" si="346"/>
        <v>6122.4786738837074</v>
      </c>
      <c r="I2052" s="21">
        <f t="shared" ca="1" si="341"/>
        <v>6123.0651809363681</v>
      </c>
      <c r="J2052" s="20">
        <f t="shared" ca="1" si="350"/>
        <v>0</v>
      </c>
      <c r="K2052" s="20">
        <f t="shared" ca="1" si="342"/>
        <v>0</v>
      </c>
      <c r="L2052" s="44">
        <f t="shared" ca="1" si="347"/>
        <v>0</v>
      </c>
    </row>
    <row r="2053" spans="1:12" x14ac:dyDescent="0.25">
      <c r="A2053" s="20">
        <v>2045</v>
      </c>
      <c r="B2053" s="21">
        <f t="shared" ca="1" si="343"/>
        <v>1.3155940413992337</v>
      </c>
      <c r="C2053" s="21">
        <f t="shared" ca="1" si="348"/>
        <v>6123.7942679251064</v>
      </c>
      <c r="D2053" s="21">
        <f t="shared" ca="1" si="344"/>
        <v>1.8898254348077426</v>
      </c>
      <c r="E2053" s="21">
        <f t="shared" ca="1" si="351"/>
        <v>0</v>
      </c>
      <c r="F2053" s="20" t="str">
        <f t="shared" ca="1" si="349"/>
        <v>Yes</v>
      </c>
      <c r="G2053" s="21">
        <f t="shared" ca="1" si="345"/>
        <v>0.7290869887383451</v>
      </c>
      <c r="H2053" s="21">
        <f t="shared" ca="1" si="346"/>
        <v>6123.7942679251064</v>
      </c>
      <c r="I2053" s="21">
        <f t="shared" ca="1" si="341"/>
        <v>6125.6840933599142</v>
      </c>
      <c r="J2053" s="20">
        <f t="shared" ca="1" si="350"/>
        <v>0</v>
      </c>
      <c r="K2053" s="20">
        <f t="shared" ca="1" si="342"/>
        <v>2</v>
      </c>
      <c r="L2053" s="44">
        <f t="shared" ca="1" si="347"/>
        <v>1</v>
      </c>
    </row>
    <row r="2054" spans="1:12" x14ac:dyDescent="0.25">
      <c r="A2054" s="20">
        <v>2046</v>
      </c>
      <c r="B2054" s="21">
        <f t="shared" ca="1" si="343"/>
        <v>0.19867629841164552</v>
      </c>
      <c r="C2054" s="21">
        <f t="shared" ca="1" si="348"/>
        <v>6123.992944223518</v>
      </c>
      <c r="D2054" s="21">
        <f t="shared" ca="1" si="344"/>
        <v>0.6803367227555468</v>
      </c>
      <c r="E2054" s="21">
        <f t="shared" ca="1" si="351"/>
        <v>1.6911491363962341</v>
      </c>
      <c r="F2054" s="20" t="str">
        <f t="shared" ca="1" si="349"/>
        <v>No</v>
      </c>
      <c r="G2054" s="21">
        <f t="shared" ca="1" si="345"/>
        <v>0</v>
      </c>
      <c r="H2054" s="21">
        <f t="shared" ca="1" si="346"/>
        <v>6125.6840933599142</v>
      </c>
      <c r="I2054" s="21">
        <f t="shared" ca="1" si="341"/>
        <v>6126.36443008267</v>
      </c>
      <c r="J2054" s="20">
        <f t="shared" ca="1" si="350"/>
        <v>3</v>
      </c>
      <c r="K2054" s="20">
        <f t="shared" ca="1" si="342"/>
        <v>1</v>
      </c>
      <c r="L2054" s="44">
        <f t="shared" ca="1" si="347"/>
        <v>2</v>
      </c>
    </row>
    <row r="2055" spans="1:12" x14ac:dyDescent="0.25">
      <c r="A2055" s="20">
        <v>2047</v>
      </c>
      <c r="B2055" s="21">
        <f t="shared" ca="1" si="343"/>
        <v>9.3115532411229787E-2</v>
      </c>
      <c r="C2055" s="21">
        <f t="shared" ca="1" si="348"/>
        <v>6124.0860597559295</v>
      </c>
      <c r="D2055" s="21">
        <f t="shared" ca="1" si="344"/>
        <v>1.1983213476343089</v>
      </c>
      <c r="E2055" s="21">
        <f t="shared" ca="1" si="351"/>
        <v>2.2783703267405144</v>
      </c>
      <c r="F2055" s="20" t="str">
        <f t="shared" ca="1" si="349"/>
        <v>No</v>
      </c>
      <c r="G2055" s="21">
        <f t="shared" ca="1" si="345"/>
        <v>0</v>
      </c>
      <c r="H2055" s="21">
        <f t="shared" ca="1" si="346"/>
        <v>6126.36443008267</v>
      </c>
      <c r="I2055" s="21">
        <f t="shared" ca="1" si="341"/>
        <v>6127.5627514303042</v>
      </c>
      <c r="J2055" s="20">
        <f t="shared" ca="1" si="350"/>
        <v>2</v>
      </c>
      <c r="K2055" s="20">
        <f t="shared" ca="1" si="342"/>
        <v>1</v>
      </c>
      <c r="L2055" s="44">
        <f t="shared" ca="1" si="347"/>
        <v>1.5</v>
      </c>
    </row>
    <row r="2056" spans="1:12" x14ac:dyDescent="0.25">
      <c r="A2056" s="20">
        <v>2048</v>
      </c>
      <c r="B2056" s="21">
        <f t="shared" ca="1" si="343"/>
        <v>2.5919811616070767</v>
      </c>
      <c r="C2056" s="21">
        <f t="shared" ca="1" si="348"/>
        <v>6126.6780409175362</v>
      </c>
      <c r="D2056" s="21">
        <f t="shared" ca="1" si="344"/>
        <v>0.7333815445650288</v>
      </c>
      <c r="E2056" s="21">
        <f t="shared" ca="1" si="351"/>
        <v>0.88471051276792423</v>
      </c>
      <c r="F2056" s="20" t="str">
        <f t="shared" ca="1" si="349"/>
        <v>No</v>
      </c>
      <c r="G2056" s="21">
        <f t="shared" ca="1" si="345"/>
        <v>0</v>
      </c>
      <c r="H2056" s="21">
        <f t="shared" ca="1" si="346"/>
        <v>6127.5627514303042</v>
      </c>
      <c r="I2056" s="21">
        <f t="shared" ca="1" si="341"/>
        <v>6128.2961329748696</v>
      </c>
      <c r="J2056" s="20">
        <f t="shared" ca="1" si="350"/>
        <v>2</v>
      </c>
      <c r="K2056" s="20">
        <f t="shared" ca="1" si="342"/>
        <v>0</v>
      </c>
      <c r="L2056" s="44">
        <f t="shared" ca="1" si="347"/>
        <v>1</v>
      </c>
    </row>
    <row r="2057" spans="1:12" x14ac:dyDescent="0.25">
      <c r="A2057" s="20">
        <v>2049</v>
      </c>
      <c r="B2057" s="21">
        <f t="shared" ca="1" si="343"/>
        <v>4.2892172723721504</v>
      </c>
      <c r="C2057" s="21">
        <f t="shared" ca="1" si="348"/>
        <v>6130.9672581899085</v>
      </c>
      <c r="D2057" s="21">
        <f t="shared" ca="1" si="344"/>
        <v>3.232761862092616E-2</v>
      </c>
      <c r="E2057" s="21">
        <f t="shared" ca="1" si="351"/>
        <v>0</v>
      </c>
      <c r="F2057" s="20" t="str">
        <f t="shared" ca="1" si="349"/>
        <v>Yes</v>
      </c>
      <c r="G2057" s="21">
        <f t="shared" ca="1" si="345"/>
        <v>2.6711252150389555</v>
      </c>
      <c r="H2057" s="21">
        <f t="shared" ca="1" si="346"/>
        <v>6130.9672581899085</v>
      </c>
      <c r="I2057" s="21">
        <f t="shared" ref="I2057:I2120" ca="1" si="352">$H2057+$D2057</f>
        <v>6130.9995858085294</v>
      </c>
      <c r="J2057" s="20">
        <f t="shared" ca="1" si="350"/>
        <v>0</v>
      </c>
      <c r="K2057" s="20">
        <f t="shared" ref="K2057:K2120" ca="1" si="353">IF($I2057&lt;=$C2058,0,IF($I2057&lt;=$C2059,1,IF($I2057&lt;=$C2060,2,IF($I2057&lt;=$C2061,3,IF($I2057&lt;=$C2062,4,5)))))</f>
        <v>0</v>
      </c>
      <c r="L2057" s="44">
        <f t="shared" ca="1" si="347"/>
        <v>0</v>
      </c>
    </row>
    <row r="2058" spans="1:12" x14ac:dyDescent="0.25">
      <c r="A2058" s="20">
        <v>2050</v>
      </c>
      <c r="B2058" s="21">
        <f t="shared" ref="B2058:B2121" ca="1" si="354">-LN(RAND())/$D$4</f>
        <v>1.3294214200081853</v>
      </c>
      <c r="C2058" s="21">
        <f t="shared" ca="1" si="348"/>
        <v>6132.2966796099163</v>
      </c>
      <c r="D2058" s="21">
        <f t="shared" ref="D2058:D2121" ca="1" si="355">-LN(RAND())/$D$6</f>
        <v>7.0366643575646837</v>
      </c>
      <c r="E2058" s="21">
        <f t="shared" ca="1" si="351"/>
        <v>0</v>
      </c>
      <c r="F2058" s="20" t="str">
        <f t="shared" ca="1" si="349"/>
        <v>Yes</v>
      </c>
      <c r="G2058" s="21">
        <f t="shared" ref="G2058:G2121" ca="1" si="356">IF($I2057&lt;=$C2058,$C2058-$I2057,0)</f>
        <v>1.2970938013868363</v>
      </c>
      <c r="H2058" s="21">
        <f t="shared" ref="H2058:H2121" ca="1" si="357">IF($I2057&lt;=$C2058,$C2058,$I2057)</f>
        <v>6132.2966796099163</v>
      </c>
      <c r="I2058" s="21">
        <f t="shared" ca="1" si="352"/>
        <v>6139.3333439674807</v>
      </c>
      <c r="J2058" s="20">
        <f t="shared" ca="1" si="350"/>
        <v>0</v>
      </c>
      <c r="K2058" s="20">
        <f t="shared" ca="1" si="353"/>
        <v>2</v>
      </c>
      <c r="L2058" s="44">
        <f t="shared" ref="L2058:L2121" ca="1" si="358">(J2058+K2058)/2</f>
        <v>1</v>
      </c>
    </row>
    <row r="2059" spans="1:12" x14ac:dyDescent="0.25">
      <c r="A2059" s="20">
        <v>2051</v>
      </c>
      <c r="B2059" s="21">
        <f t="shared" ca="1" si="354"/>
        <v>0.33244471380238572</v>
      </c>
      <c r="C2059" s="21">
        <f t="shared" ref="C2059:C2122" ca="1" si="359">$C2058+$B2059</f>
        <v>6132.6291243237183</v>
      </c>
      <c r="D2059" s="21">
        <f t="shared" ca="1" si="355"/>
        <v>0.62316644873916582</v>
      </c>
      <c r="E2059" s="21">
        <f t="shared" ca="1" si="351"/>
        <v>6.7042196437623716</v>
      </c>
      <c r="F2059" s="20" t="str">
        <f t="shared" ref="F2059:F2122" ca="1" si="360">IF(E2059=0,"Yes","No")</f>
        <v>No</v>
      </c>
      <c r="G2059" s="21">
        <f t="shared" ca="1" si="356"/>
        <v>0</v>
      </c>
      <c r="H2059" s="21">
        <f t="shared" ca="1" si="357"/>
        <v>6139.3333439674807</v>
      </c>
      <c r="I2059" s="21">
        <f t="shared" ca="1" si="352"/>
        <v>6139.9565104162202</v>
      </c>
      <c r="J2059" s="20">
        <f t="shared" ref="J2059:J2122" ca="1" si="361">IF($I2058&lt;=$C2059,0,$K2058+1)</f>
        <v>3</v>
      </c>
      <c r="K2059" s="20">
        <f t="shared" ca="1" si="353"/>
        <v>2</v>
      </c>
      <c r="L2059" s="44">
        <f t="shared" ca="1" si="358"/>
        <v>2.5</v>
      </c>
    </row>
    <row r="2060" spans="1:12" x14ac:dyDescent="0.25">
      <c r="A2060" s="20">
        <v>2052</v>
      </c>
      <c r="B2060" s="21">
        <f t="shared" ca="1" si="354"/>
        <v>5.2743388332034984</v>
      </c>
      <c r="C2060" s="21">
        <f t="shared" ca="1" si="359"/>
        <v>6137.903463156922</v>
      </c>
      <c r="D2060" s="21">
        <f t="shared" ca="1" si="355"/>
        <v>7.9819726563956079</v>
      </c>
      <c r="E2060" s="21">
        <f t="shared" ref="E2060:E2123" ca="1" si="362">IF($I2059&lt;=$C2060,0,$I2059-$C2060)</f>
        <v>2.0530472592981823</v>
      </c>
      <c r="F2060" s="20" t="str">
        <f t="shared" ca="1" si="360"/>
        <v>No</v>
      </c>
      <c r="G2060" s="21">
        <f t="shared" ca="1" si="356"/>
        <v>0</v>
      </c>
      <c r="H2060" s="21">
        <f t="shared" ca="1" si="357"/>
        <v>6139.9565104162202</v>
      </c>
      <c r="I2060" s="21">
        <f t="shared" ca="1" si="352"/>
        <v>6147.9384830726158</v>
      </c>
      <c r="J2060" s="20">
        <f t="shared" ca="1" si="361"/>
        <v>3</v>
      </c>
      <c r="K2060" s="20">
        <f t="shared" ca="1" si="353"/>
        <v>1</v>
      </c>
      <c r="L2060" s="44">
        <f t="shared" ca="1" si="358"/>
        <v>2</v>
      </c>
    </row>
    <row r="2061" spans="1:12" x14ac:dyDescent="0.25">
      <c r="A2061" s="20">
        <v>2053</v>
      </c>
      <c r="B2061" s="21">
        <f t="shared" ca="1" si="354"/>
        <v>1.6011928025380975</v>
      </c>
      <c r="C2061" s="21">
        <f t="shared" ca="1" si="359"/>
        <v>6139.5046559594603</v>
      </c>
      <c r="D2061" s="21">
        <f t="shared" ca="1" si="355"/>
        <v>1.2703574000401665</v>
      </c>
      <c r="E2061" s="21">
        <f t="shared" ca="1" si="362"/>
        <v>8.4338271131555302</v>
      </c>
      <c r="F2061" s="20" t="str">
        <f t="shared" ca="1" si="360"/>
        <v>No</v>
      </c>
      <c r="G2061" s="21">
        <f t="shared" ca="1" si="356"/>
        <v>0</v>
      </c>
      <c r="H2061" s="21">
        <f t="shared" ca="1" si="357"/>
        <v>6147.9384830726158</v>
      </c>
      <c r="I2061" s="21">
        <f t="shared" ca="1" si="352"/>
        <v>6149.2088404726555</v>
      </c>
      <c r="J2061" s="20">
        <f t="shared" ca="1" si="361"/>
        <v>2</v>
      </c>
      <c r="K2061" s="20">
        <f t="shared" ca="1" si="353"/>
        <v>0</v>
      </c>
      <c r="L2061" s="44">
        <f t="shared" ca="1" si="358"/>
        <v>1</v>
      </c>
    </row>
    <row r="2062" spans="1:12" x14ac:dyDescent="0.25">
      <c r="A2062" s="20">
        <v>2054</v>
      </c>
      <c r="B2062" s="21">
        <f t="shared" ca="1" si="354"/>
        <v>15.531694959730373</v>
      </c>
      <c r="C2062" s="21">
        <f t="shared" ca="1" si="359"/>
        <v>6155.0363509191902</v>
      </c>
      <c r="D2062" s="21">
        <f t="shared" ca="1" si="355"/>
        <v>10.310028936678851</v>
      </c>
      <c r="E2062" s="21">
        <f t="shared" ca="1" si="362"/>
        <v>0</v>
      </c>
      <c r="F2062" s="20" t="str">
        <f t="shared" ca="1" si="360"/>
        <v>Yes</v>
      </c>
      <c r="G2062" s="21">
        <f t="shared" ca="1" si="356"/>
        <v>5.8275104465346885</v>
      </c>
      <c r="H2062" s="21">
        <f t="shared" ca="1" si="357"/>
        <v>6155.0363509191902</v>
      </c>
      <c r="I2062" s="21">
        <f t="shared" ca="1" si="352"/>
        <v>6165.3463798558687</v>
      </c>
      <c r="J2062" s="20">
        <f t="shared" ca="1" si="361"/>
        <v>0</v>
      </c>
      <c r="K2062" s="20">
        <f t="shared" ca="1" si="353"/>
        <v>5</v>
      </c>
      <c r="L2062" s="44">
        <f t="shared" ca="1" si="358"/>
        <v>2.5</v>
      </c>
    </row>
    <row r="2063" spans="1:12" x14ac:dyDescent="0.25">
      <c r="A2063" s="20">
        <v>2055</v>
      </c>
      <c r="B2063" s="21">
        <f t="shared" ca="1" si="354"/>
        <v>1.7440014176442791</v>
      </c>
      <c r="C2063" s="21">
        <f t="shared" ca="1" si="359"/>
        <v>6156.7803523368348</v>
      </c>
      <c r="D2063" s="21">
        <f t="shared" ca="1" si="355"/>
        <v>1.8727497747233741</v>
      </c>
      <c r="E2063" s="21">
        <f t="shared" ca="1" si="362"/>
        <v>8.5660275190339235</v>
      </c>
      <c r="F2063" s="20" t="str">
        <f t="shared" ca="1" si="360"/>
        <v>No</v>
      </c>
      <c r="G2063" s="21">
        <f t="shared" ca="1" si="356"/>
        <v>0</v>
      </c>
      <c r="H2063" s="21">
        <f t="shared" ca="1" si="357"/>
        <v>6165.3463798558687</v>
      </c>
      <c r="I2063" s="21">
        <f t="shared" ca="1" si="352"/>
        <v>6167.2191296305919</v>
      </c>
      <c r="J2063" s="20">
        <f t="shared" ca="1" si="361"/>
        <v>6</v>
      </c>
      <c r="K2063" s="20">
        <f t="shared" ca="1" si="353"/>
        <v>4</v>
      </c>
      <c r="L2063" s="44">
        <f t="shared" ca="1" si="358"/>
        <v>5</v>
      </c>
    </row>
    <row r="2064" spans="1:12" x14ac:dyDescent="0.25">
      <c r="A2064" s="20">
        <v>2056</v>
      </c>
      <c r="B2064" s="21">
        <f t="shared" ca="1" si="354"/>
        <v>5.1826669428469518</v>
      </c>
      <c r="C2064" s="21">
        <f t="shared" ca="1" si="359"/>
        <v>6161.9630192796822</v>
      </c>
      <c r="D2064" s="21">
        <f t="shared" ca="1" si="355"/>
        <v>1.1985030610607268</v>
      </c>
      <c r="E2064" s="21">
        <f t="shared" ca="1" si="362"/>
        <v>5.2561103509096938</v>
      </c>
      <c r="F2064" s="20" t="str">
        <f t="shared" ca="1" si="360"/>
        <v>No</v>
      </c>
      <c r="G2064" s="21">
        <f t="shared" ca="1" si="356"/>
        <v>0</v>
      </c>
      <c r="H2064" s="21">
        <f t="shared" ca="1" si="357"/>
        <v>6167.2191296305919</v>
      </c>
      <c r="I2064" s="21">
        <f t="shared" ca="1" si="352"/>
        <v>6168.4176326916522</v>
      </c>
      <c r="J2064" s="20">
        <f t="shared" ca="1" si="361"/>
        <v>5</v>
      </c>
      <c r="K2064" s="20">
        <f t="shared" ca="1" si="353"/>
        <v>3</v>
      </c>
      <c r="L2064" s="44">
        <f t="shared" ca="1" si="358"/>
        <v>4</v>
      </c>
    </row>
    <row r="2065" spans="1:12" x14ac:dyDescent="0.25">
      <c r="A2065" s="20">
        <v>2057</v>
      </c>
      <c r="B2065" s="21">
        <f t="shared" ca="1" si="354"/>
        <v>4.7575955196894705E-2</v>
      </c>
      <c r="C2065" s="21">
        <f t="shared" ca="1" si="359"/>
        <v>6162.0105952348795</v>
      </c>
      <c r="D2065" s="21">
        <f t="shared" ca="1" si="355"/>
        <v>0.93901139108431675</v>
      </c>
      <c r="E2065" s="21">
        <f t="shared" ca="1" si="362"/>
        <v>6.4070374567727413</v>
      </c>
      <c r="F2065" s="20" t="str">
        <f t="shared" ca="1" si="360"/>
        <v>No</v>
      </c>
      <c r="G2065" s="21">
        <f t="shared" ca="1" si="356"/>
        <v>0</v>
      </c>
      <c r="H2065" s="21">
        <f t="shared" ca="1" si="357"/>
        <v>6168.4176326916522</v>
      </c>
      <c r="I2065" s="21">
        <f t="shared" ca="1" si="352"/>
        <v>6169.3566440827362</v>
      </c>
      <c r="J2065" s="20">
        <f t="shared" ca="1" si="361"/>
        <v>4</v>
      </c>
      <c r="K2065" s="20">
        <f t="shared" ca="1" si="353"/>
        <v>2</v>
      </c>
      <c r="L2065" s="44">
        <f t="shared" ca="1" si="358"/>
        <v>3</v>
      </c>
    </row>
    <row r="2066" spans="1:12" x14ac:dyDescent="0.25">
      <c r="A2066" s="20">
        <v>2058</v>
      </c>
      <c r="B2066" s="21">
        <f t="shared" ca="1" si="354"/>
        <v>0.7782882057477456</v>
      </c>
      <c r="C2066" s="21">
        <f t="shared" ca="1" si="359"/>
        <v>6162.7888834406276</v>
      </c>
      <c r="D2066" s="21">
        <f t="shared" ca="1" si="355"/>
        <v>4.8765004830180088</v>
      </c>
      <c r="E2066" s="21">
        <f t="shared" ca="1" si="362"/>
        <v>6.5677606421086239</v>
      </c>
      <c r="F2066" s="20" t="str">
        <f t="shared" ca="1" si="360"/>
        <v>No</v>
      </c>
      <c r="G2066" s="21">
        <f t="shared" ca="1" si="356"/>
        <v>0</v>
      </c>
      <c r="H2066" s="21">
        <f t="shared" ca="1" si="357"/>
        <v>6169.3566440827362</v>
      </c>
      <c r="I2066" s="21">
        <f t="shared" ca="1" si="352"/>
        <v>6174.2331445657546</v>
      </c>
      <c r="J2066" s="20">
        <f t="shared" ca="1" si="361"/>
        <v>3</v>
      </c>
      <c r="K2066" s="20">
        <f t="shared" ca="1" si="353"/>
        <v>1</v>
      </c>
      <c r="L2066" s="44">
        <f t="shared" ca="1" si="358"/>
        <v>2</v>
      </c>
    </row>
    <row r="2067" spans="1:12" x14ac:dyDescent="0.25">
      <c r="A2067" s="20">
        <v>2059</v>
      </c>
      <c r="B2067" s="21">
        <f t="shared" ca="1" si="354"/>
        <v>0.62837533653745248</v>
      </c>
      <c r="C2067" s="21">
        <f t="shared" ca="1" si="359"/>
        <v>6163.4172587771654</v>
      </c>
      <c r="D2067" s="21">
        <f t="shared" ca="1" si="355"/>
        <v>1.7118340314395399</v>
      </c>
      <c r="E2067" s="21">
        <f t="shared" ca="1" si="362"/>
        <v>10.815885788589185</v>
      </c>
      <c r="F2067" s="20" t="str">
        <f t="shared" ca="1" si="360"/>
        <v>No</v>
      </c>
      <c r="G2067" s="21">
        <f t="shared" ca="1" si="356"/>
        <v>0</v>
      </c>
      <c r="H2067" s="21">
        <f t="shared" ca="1" si="357"/>
        <v>6174.2331445657546</v>
      </c>
      <c r="I2067" s="21">
        <f t="shared" ca="1" si="352"/>
        <v>6175.9449785971938</v>
      </c>
      <c r="J2067" s="20">
        <f t="shared" ca="1" si="361"/>
        <v>2</v>
      </c>
      <c r="K2067" s="20">
        <f t="shared" ca="1" si="353"/>
        <v>0</v>
      </c>
      <c r="L2067" s="44">
        <f t="shared" ca="1" si="358"/>
        <v>1</v>
      </c>
    </row>
    <row r="2068" spans="1:12" x14ac:dyDescent="0.25">
      <c r="A2068" s="20">
        <v>2060</v>
      </c>
      <c r="B2068" s="21">
        <f t="shared" ca="1" si="354"/>
        <v>13.600766914282211</v>
      </c>
      <c r="C2068" s="21">
        <f t="shared" ca="1" si="359"/>
        <v>6177.0180256914473</v>
      </c>
      <c r="D2068" s="21">
        <f t="shared" ca="1" si="355"/>
        <v>1.2919888722714807</v>
      </c>
      <c r="E2068" s="21">
        <f t="shared" ca="1" si="362"/>
        <v>0</v>
      </c>
      <c r="F2068" s="20" t="str">
        <f t="shared" ca="1" si="360"/>
        <v>Yes</v>
      </c>
      <c r="G2068" s="21">
        <f t="shared" ca="1" si="356"/>
        <v>1.0730470942535248</v>
      </c>
      <c r="H2068" s="21">
        <f t="shared" ca="1" si="357"/>
        <v>6177.0180256914473</v>
      </c>
      <c r="I2068" s="21">
        <f t="shared" ca="1" si="352"/>
        <v>6178.3100145637191</v>
      </c>
      <c r="J2068" s="20">
        <f t="shared" ca="1" si="361"/>
        <v>0</v>
      </c>
      <c r="K2068" s="20">
        <f t="shared" ca="1" si="353"/>
        <v>0</v>
      </c>
      <c r="L2068" s="44">
        <f t="shared" ca="1" si="358"/>
        <v>0</v>
      </c>
    </row>
    <row r="2069" spans="1:12" x14ac:dyDescent="0.25">
      <c r="A2069" s="20">
        <v>2061</v>
      </c>
      <c r="B2069" s="21">
        <f t="shared" ca="1" si="354"/>
        <v>3.1110687624312896</v>
      </c>
      <c r="C2069" s="21">
        <f t="shared" ca="1" si="359"/>
        <v>6180.1290944538787</v>
      </c>
      <c r="D2069" s="21">
        <f t="shared" ca="1" si="355"/>
        <v>3.2816044937480453</v>
      </c>
      <c r="E2069" s="21">
        <f t="shared" ca="1" si="362"/>
        <v>0</v>
      </c>
      <c r="F2069" s="20" t="str">
        <f t="shared" ca="1" si="360"/>
        <v>Yes</v>
      </c>
      <c r="G2069" s="21">
        <f t="shared" ca="1" si="356"/>
        <v>1.8190798901596281</v>
      </c>
      <c r="H2069" s="21">
        <f t="shared" ca="1" si="357"/>
        <v>6180.1290944538787</v>
      </c>
      <c r="I2069" s="21">
        <f t="shared" ca="1" si="352"/>
        <v>6183.4106989476268</v>
      </c>
      <c r="J2069" s="20">
        <f t="shared" ca="1" si="361"/>
        <v>0</v>
      </c>
      <c r="K2069" s="20">
        <f t="shared" ca="1" si="353"/>
        <v>1</v>
      </c>
      <c r="L2069" s="44">
        <f t="shared" ca="1" si="358"/>
        <v>0.5</v>
      </c>
    </row>
    <row r="2070" spans="1:12" x14ac:dyDescent="0.25">
      <c r="A2070" s="20">
        <v>2062</v>
      </c>
      <c r="B2070" s="21">
        <f t="shared" ca="1" si="354"/>
        <v>3.155268059659408</v>
      </c>
      <c r="C2070" s="21">
        <f t="shared" ca="1" si="359"/>
        <v>6183.2843625135383</v>
      </c>
      <c r="D2070" s="21">
        <f t="shared" ca="1" si="355"/>
        <v>1.4754669783047895E-2</v>
      </c>
      <c r="E2070" s="21">
        <f t="shared" ca="1" si="362"/>
        <v>0.12633643408844364</v>
      </c>
      <c r="F2070" s="20" t="str">
        <f t="shared" ca="1" si="360"/>
        <v>No</v>
      </c>
      <c r="G2070" s="21">
        <f t="shared" ca="1" si="356"/>
        <v>0</v>
      </c>
      <c r="H2070" s="21">
        <f t="shared" ca="1" si="357"/>
        <v>6183.4106989476268</v>
      </c>
      <c r="I2070" s="21">
        <f t="shared" ca="1" si="352"/>
        <v>6183.4254536174094</v>
      </c>
      <c r="J2070" s="20">
        <f t="shared" ca="1" si="361"/>
        <v>2</v>
      </c>
      <c r="K2070" s="20">
        <f t="shared" ca="1" si="353"/>
        <v>0</v>
      </c>
      <c r="L2070" s="44">
        <f t="shared" ca="1" si="358"/>
        <v>1</v>
      </c>
    </row>
    <row r="2071" spans="1:12" x14ac:dyDescent="0.25">
      <c r="A2071" s="20">
        <v>2063</v>
      </c>
      <c r="B2071" s="21">
        <f t="shared" ca="1" si="354"/>
        <v>3.8542378148579624</v>
      </c>
      <c r="C2071" s="21">
        <f t="shared" ca="1" si="359"/>
        <v>6187.138600328396</v>
      </c>
      <c r="D2071" s="21">
        <f t="shared" ca="1" si="355"/>
        <v>0.22188455815827046</v>
      </c>
      <c r="E2071" s="21">
        <f t="shared" ca="1" si="362"/>
        <v>0</v>
      </c>
      <c r="F2071" s="20" t="str">
        <f t="shared" ca="1" si="360"/>
        <v>Yes</v>
      </c>
      <c r="G2071" s="21">
        <f t="shared" ca="1" si="356"/>
        <v>3.7131467109866207</v>
      </c>
      <c r="H2071" s="21">
        <f t="shared" ca="1" si="357"/>
        <v>6187.138600328396</v>
      </c>
      <c r="I2071" s="21">
        <f t="shared" ca="1" si="352"/>
        <v>6187.3604848865543</v>
      </c>
      <c r="J2071" s="20">
        <f t="shared" ca="1" si="361"/>
        <v>0</v>
      </c>
      <c r="K2071" s="20">
        <f t="shared" ca="1" si="353"/>
        <v>0</v>
      </c>
      <c r="L2071" s="44">
        <f t="shared" ca="1" si="358"/>
        <v>0</v>
      </c>
    </row>
    <row r="2072" spans="1:12" x14ac:dyDescent="0.25">
      <c r="A2072" s="20">
        <v>2064</v>
      </c>
      <c r="B2072" s="21">
        <f t="shared" ca="1" si="354"/>
        <v>1.3043481711370972</v>
      </c>
      <c r="C2072" s="21">
        <f t="shared" ca="1" si="359"/>
        <v>6188.4429484995335</v>
      </c>
      <c r="D2072" s="21">
        <f t="shared" ca="1" si="355"/>
        <v>1.0586783702824225</v>
      </c>
      <c r="E2072" s="21">
        <f t="shared" ca="1" si="362"/>
        <v>0</v>
      </c>
      <c r="F2072" s="20" t="str">
        <f t="shared" ca="1" si="360"/>
        <v>Yes</v>
      </c>
      <c r="G2072" s="21">
        <f t="shared" ca="1" si="356"/>
        <v>1.0824636129791543</v>
      </c>
      <c r="H2072" s="21">
        <f t="shared" ca="1" si="357"/>
        <v>6188.4429484995335</v>
      </c>
      <c r="I2072" s="21">
        <f t="shared" ca="1" si="352"/>
        <v>6189.5016268698155</v>
      </c>
      <c r="J2072" s="20">
        <f t="shared" ca="1" si="361"/>
        <v>0</v>
      </c>
      <c r="K2072" s="20">
        <f t="shared" ca="1" si="353"/>
        <v>0</v>
      </c>
      <c r="L2072" s="44">
        <f t="shared" ca="1" si="358"/>
        <v>0</v>
      </c>
    </row>
    <row r="2073" spans="1:12" x14ac:dyDescent="0.25">
      <c r="A2073" s="20">
        <v>2065</v>
      </c>
      <c r="B2073" s="21">
        <f t="shared" ca="1" si="354"/>
        <v>1.9797140586815807</v>
      </c>
      <c r="C2073" s="21">
        <f t="shared" ca="1" si="359"/>
        <v>6190.4226625582151</v>
      </c>
      <c r="D2073" s="21">
        <f t="shared" ca="1" si="355"/>
        <v>5.4887022279365265</v>
      </c>
      <c r="E2073" s="21">
        <f t="shared" ca="1" si="362"/>
        <v>0</v>
      </c>
      <c r="F2073" s="20" t="str">
        <f t="shared" ca="1" si="360"/>
        <v>Yes</v>
      </c>
      <c r="G2073" s="21">
        <f t="shared" ca="1" si="356"/>
        <v>0.92103568839957006</v>
      </c>
      <c r="H2073" s="21">
        <f t="shared" ca="1" si="357"/>
        <v>6190.4226625582151</v>
      </c>
      <c r="I2073" s="21">
        <f t="shared" ca="1" si="352"/>
        <v>6195.9113647861514</v>
      </c>
      <c r="J2073" s="20">
        <f t="shared" ca="1" si="361"/>
        <v>0</v>
      </c>
      <c r="K2073" s="20">
        <f t="shared" ca="1" si="353"/>
        <v>2</v>
      </c>
      <c r="L2073" s="44">
        <f t="shared" ca="1" si="358"/>
        <v>1</v>
      </c>
    </row>
    <row r="2074" spans="1:12" x14ac:dyDescent="0.25">
      <c r="A2074" s="20">
        <v>2066</v>
      </c>
      <c r="B2074" s="21">
        <f t="shared" ca="1" si="354"/>
        <v>2.435026965011176</v>
      </c>
      <c r="C2074" s="21">
        <f t="shared" ca="1" si="359"/>
        <v>6192.8576895232263</v>
      </c>
      <c r="D2074" s="21">
        <f t="shared" ca="1" si="355"/>
        <v>0.29394611366175671</v>
      </c>
      <c r="E2074" s="21">
        <f t="shared" ca="1" si="362"/>
        <v>3.0536752629250259</v>
      </c>
      <c r="F2074" s="20" t="str">
        <f t="shared" ca="1" si="360"/>
        <v>No</v>
      </c>
      <c r="G2074" s="21">
        <f t="shared" ca="1" si="356"/>
        <v>0</v>
      </c>
      <c r="H2074" s="21">
        <f t="shared" ca="1" si="357"/>
        <v>6195.9113647861514</v>
      </c>
      <c r="I2074" s="21">
        <f t="shared" ca="1" si="352"/>
        <v>6196.2053108998134</v>
      </c>
      <c r="J2074" s="20">
        <f t="shared" ca="1" si="361"/>
        <v>3</v>
      </c>
      <c r="K2074" s="20">
        <f t="shared" ca="1" si="353"/>
        <v>1</v>
      </c>
      <c r="L2074" s="44">
        <f t="shared" ca="1" si="358"/>
        <v>2</v>
      </c>
    </row>
    <row r="2075" spans="1:12" x14ac:dyDescent="0.25">
      <c r="A2075" s="20">
        <v>2067</v>
      </c>
      <c r="B2075" s="21">
        <f t="shared" ca="1" si="354"/>
        <v>0.38002792728393131</v>
      </c>
      <c r="C2075" s="21">
        <f t="shared" ca="1" si="359"/>
        <v>6193.23771745051</v>
      </c>
      <c r="D2075" s="21">
        <f t="shared" ca="1" si="355"/>
        <v>2.7534193446854065</v>
      </c>
      <c r="E2075" s="21">
        <f t="shared" ca="1" si="362"/>
        <v>2.9675934493034219</v>
      </c>
      <c r="F2075" s="20" t="str">
        <f t="shared" ca="1" si="360"/>
        <v>No</v>
      </c>
      <c r="G2075" s="21">
        <f t="shared" ca="1" si="356"/>
        <v>0</v>
      </c>
      <c r="H2075" s="21">
        <f t="shared" ca="1" si="357"/>
        <v>6196.2053108998134</v>
      </c>
      <c r="I2075" s="21">
        <f t="shared" ca="1" si="352"/>
        <v>6198.9587302444988</v>
      </c>
      <c r="J2075" s="20">
        <f t="shared" ca="1" si="361"/>
        <v>2</v>
      </c>
      <c r="K2075" s="20">
        <f t="shared" ca="1" si="353"/>
        <v>1</v>
      </c>
      <c r="L2075" s="44">
        <f t="shared" ca="1" si="358"/>
        <v>1.5</v>
      </c>
    </row>
    <row r="2076" spans="1:12" x14ac:dyDescent="0.25">
      <c r="A2076" s="20">
        <v>2068</v>
      </c>
      <c r="B2076" s="21">
        <f t="shared" ca="1" si="354"/>
        <v>3.3201948809324975</v>
      </c>
      <c r="C2076" s="21">
        <f t="shared" ca="1" si="359"/>
        <v>6196.5579123314428</v>
      </c>
      <c r="D2076" s="21">
        <f t="shared" ca="1" si="355"/>
        <v>0.97671394617942386</v>
      </c>
      <c r="E2076" s="21">
        <f t="shared" ca="1" si="362"/>
        <v>2.4008179130560166</v>
      </c>
      <c r="F2076" s="20" t="str">
        <f t="shared" ca="1" si="360"/>
        <v>No</v>
      </c>
      <c r="G2076" s="21">
        <f t="shared" ca="1" si="356"/>
        <v>0</v>
      </c>
      <c r="H2076" s="21">
        <f t="shared" ca="1" si="357"/>
        <v>6198.9587302444988</v>
      </c>
      <c r="I2076" s="21">
        <f t="shared" ca="1" si="352"/>
        <v>6199.935444190678</v>
      </c>
      <c r="J2076" s="20">
        <f t="shared" ca="1" si="361"/>
        <v>2</v>
      </c>
      <c r="K2076" s="20">
        <f t="shared" ca="1" si="353"/>
        <v>0</v>
      </c>
      <c r="L2076" s="44">
        <f t="shared" ca="1" si="358"/>
        <v>1</v>
      </c>
    </row>
    <row r="2077" spans="1:12" x14ac:dyDescent="0.25">
      <c r="A2077" s="20">
        <v>2069</v>
      </c>
      <c r="B2077" s="21">
        <f t="shared" ca="1" si="354"/>
        <v>5.1375236081552815</v>
      </c>
      <c r="C2077" s="21">
        <f t="shared" ca="1" si="359"/>
        <v>6201.6954359395977</v>
      </c>
      <c r="D2077" s="21">
        <f t="shared" ca="1" si="355"/>
        <v>1.2332890856462237</v>
      </c>
      <c r="E2077" s="21">
        <f t="shared" ca="1" si="362"/>
        <v>0</v>
      </c>
      <c r="F2077" s="20" t="str">
        <f t="shared" ca="1" si="360"/>
        <v>Yes</v>
      </c>
      <c r="G2077" s="21">
        <f t="shared" ca="1" si="356"/>
        <v>1.7599917489196741</v>
      </c>
      <c r="H2077" s="21">
        <f t="shared" ca="1" si="357"/>
        <v>6201.6954359395977</v>
      </c>
      <c r="I2077" s="21">
        <f t="shared" ca="1" si="352"/>
        <v>6202.9287250252437</v>
      </c>
      <c r="J2077" s="20">
        <f t="shared" ca="1" si="361"/>
        <v>0</v>
      </c>
      <c r="K2077" s="20">
        <f t="shared" ca="1" si="353"/>
        <v>1</v>
      </c>
      <c r="L2077" s="44">
        <f t="shared" ca="1" si="358"/>
        <v>0.5</v>
      </c>
    </row>
    <row r="2078" spans="1:12" x14ac:dyDescent="0.25">
      <c r="A2078" s="20">
        <v>2070</v>
      </c>
      <c r="B2078" s="21">
        <f t="shared" ca="1" si="354"/>
        <v>0.35741083991998557</v>
      </c>
      <c r="C2078" s="21">
        <f t="shared" ca="1" si="359"/>
        <v>6202.0528467795175</v>
      </c>
      <c r="D2078" s="21">
        <f t="shared" ca="1" si="355"/>
        <v>2.3265388690214506</v>
      </c>
      <c r="E2078" s="21">
        <f t="shared" ca="1" si="362"/>
        <v>0.87587824572619866</v>
      </c>
      <c r="F2078" s="20" t="str">
        <f t="shared" ca="1" si="360"/>
        <v>No</v>
      </c>
      <c r="G2078" s="21">
        <f t="shared" ca="1" si="356"/>
        <v>0</v>
      </c>
      <c r="H2078" s="21">
        <f t="shared" ca="1" si="357"/>
        <v>6202.9287250252437</v>
      </c>
      <c r="I2078" s="21">
        <f t="shared" ca="1" si="352"/>
        <v>6205.2552638942652</v>
      </c>
      <c r="J2078" s="20">
        <f t="shared" ca="1" si="361"/>
        <v>2</v>
      </c>
      <c r="K2078" s="20">
        <f t="shared" ca="1" si="353"/>
        <v>0</v>
      </c>
      <c r="L2078" s="44">
        <f t="shared" ca="1" si="358"/>
        <v>1</v>
      </c>
    </row>
    <row r="2079" spans="1:12" x14ac:dyDescent="0.25">
      <c r="A2079" s="20">
        <v>2071</v>
      </c>
      <c r="B2079" s="21">
        <f t="shared" ca="1" si="354"/>
        <v>4.1383187138010422</v>
      </c>
      <c r="C2079" s="21">
        <f t="shared" ca="1" si="359"/>
        <v>6206.1911654933183</v>
      </c>
      <c r="D2079" s="21">
        <f t="shared" ca="1" si="355"/>
        <v>4.3904907558541808</v>
      </c>
      <c r="E2079" s="21">
        <f t="shared" ca="1" si="362"/>
        <v>0</v>
      </c>
      <c r="F2079" s="20" t="str">
        <f t="shared" ca="1" si="360"/>
        <v>Yes</v>
      </c>
      <c r="G2079" s="21">
        <f t="shared" ca="1" si="356"/>
        <v>0.93590159905306791</v>
      </c>
      <c r="H2079" s="21">
        <f t="shared" ca="1" si="357"/>
        <v>6206.1911654933183</v>
      </c>
      <c r="I2079" s="21">
        <f t="shared" ca="1" si="352"/>
        <v>6210.5816562491727</v>
      </c>
      <c r="J2079" s="20">
        <f t="shared" ca="1" si="361"/>
        <v>0</v>
      </c>
      <c r="K2079" s="20">
        <f t="shared" ca="1" si="353"/>
        <v>0</v>
      </c>
      <c r="L2079" s="44">
        <f t="shared" ca="1" si="358"/>
        <v>0</v>
      </c>
    </row>
    <row r="2080" spans="1:12" x14ac:dyDescent="0.25">
      <c r="A2080" s="20">
        <v>2072</v>
      </c>
      <c r="B2080" s="21">
        <f t="shared" ca="1" si="354"/>
        <v>4.4550104335100489</v>
      </c>
      <c r="C2080" s="21">
        <f t="shared" ca="1" si="359"/>
        <v>6210.6461759268286</v>
      </c>
      <c r="D2080" s="21">
        <f t="shared" ca="1" si="355"/>
        <v>4.8206284450046697</v>
      </c>
      <c r="E2080" s="21">
        <f t="shared" ca="1" si="362"/>
        <v>0</v>
      </c>
      <c r="F2080" s="20" t="str">
        <f t="shared" ca="1" si="360"/>
        <v>Yes</v>
      </c>
      <c r="G2080" s="21">
        <f t="shared" ca="1" si="356"/>
        <v>6.4519677655880514E-2</v>
      </c>
      <c r="H2080" s="21">
        <f t="shared" ca="1" si="357"/>
        <v>6210.6461759268286</v>
      </c>
      <c r="I2080" s="21">
        <f t="shared" ca="1" si="352"/>
        <v>6215.4668043718329</v>
      </c>
      <c r="J2080" s="20">
        <f t="shared" ca="1" si="361"/>
        <v>0</v>
      </c>
      <c r="K2080" s="20">
        <f t="shared" ca="1" si="353"/>
        <v>1</v>
      </c>
      <c r="L2080" s="44">
        <f t="shared" ca="1" si="358"/>
        <v>0.5</v>
      </c>
    </row>
    <row r="2081" spans="1:12" x14ac:dyDescent="0.25">
      <c r="A2081" s="20">
        <v>2073</v>
      </c>
      <c r="B2081" s="21">
        <f t="shared" ca="1" si="354"/>
        <v>2.6004551013165731</v>
      </c>
      <c r="C2081" s="21">
        <f t="shared" ca="1" si="359"/>
        <v>6213.2466310281452</v>
      </c>
      <c r="D2081" s="21">
        <f t="shared" ca="1" si="355"/>
        <v>1.6955426435104961</v>
      </c>
      <c r="E2081" s="21">
        <f t="shared" ca="1" si="362"/>
        <v>2.2201733436877475</v>
      </c>
      <c r="F2081" s="20" t="str">
        <f t="shared" ca="1" si="360"/>
        <v>No</v>
      </c>
      <c r="G2081" s="21">
        <f t="shared" ca="1" si="356"/>
        <v>0</v>
      </c>
      <c r="H2081" s="21">
        <f t="shared" ca="1" si="357"/>
        <v>6215.4668043718329</v>
      </c>
      <c r="I2081" s="21">
        <f t="shared" ca="1" si="352"/>
        <v>6217.1623470153436</v>
      </c>
      <c r="J2081" s="20">
        <f t="shared" ca="1" si="361"/>
        <v>2</v>
      </c>
      <c r="K2081" s="20">
        <f t="shared" ca="1" si="353"/>
        <v>1</v>
      </c>
      <c r="L2081" s="44">
        <f t="shared" ca="1" si="358"/>
        <v>1.5</v>
      </c>
    </row>
    <row r="2082" spans="1:12" x14ac:dyDescent="0.25">
      <c r="A2082" s="20">
        <v>2074</v>
      </c>
      <c r="B2082" s="21">
        <f t="shared" ca="1" si="354"/>
        <v>3.6364594397944265</v>
      </c>
      <c r="C2082" s="21">
        <f t="shared" ca="1" si="359"/>
        <v>6216.8830904679398</v>
      </c>
      <c r="D2082" s="21">
        <f t="shared" ca="1" si="355"/>
        <v>2.119395088741137</v>
      </c>
      <c r="E2082" s="21">
        <f t="shared" ca="1" si="362"/>
        <v>0.27925654740374739</v>
      </c>
      <c r="F2082" s="20" t="str">
        <f t="shared" ca="1" si="360"/>
        <v>No</v>
      </c>
      <c r="G2082" s="21">
        <f t="shared" ca="1" si="356"/>
        <v>0</v>
      </c>
      <c r="H2082" s="21">
        <f t="shared" ca="1" si="357"/>
        <v>6217.1623470153436</v>
      </c>
      <c r="I2082" s="21">
        <f t="shared" ca="1" si="352"/>
        <v>6219.2817421040845</v>
      </c>
      <c r="J2082" s="20">
        <f t="shared" ca="1" si="361"/>
        <v>2</v>
      </c>
      <c r="K2082" s="20">
        <f t="shared" ca="1" si="353"/>
        <v>1</v>
      </c>
      <c r="L2082" s="44">
        <f t="shared" ca="1" si="358"/>
        <v>1.5</v>
      </c>
    </row>
    <row r="2083" spans="1:12" x14ac:dyDescent="0.25">
      <c r="A2083" s="20">
        <v>2075</v>
      </c>
      <c r="B2083" s="21">
        <f t="shared" ca="1" si="354"/>
        <v>1.2013092532243097</v>
      </c>
      <c r="C2083" s="21">
        <f t="shared" ca="1" si="359"/>
        <v>6218.0843997211641</v>
      </c>
      <c r="D2083" s="21">
        <f t="shared" ca="1" si="355"/>
        <v>1.9823602661866642</v>
      </c>
      <c r="E2083" s="21">
        <f t="shared" ca="1" si="362"/>
        <v>1.1973423829203966</v>
      </c>
      <c r="F2083" s="20" t="str">
        <f t="shared" ca="1" si="360"/>
        <v>No</v>
      </c>
      <c r="G2083" s="21">
        <f t="shared" ca="1" si="356"/>
        <v>0</v>
      </c>
      <c r="H2083" s="21">
        <f t="shared" ca="1" si="357"/>
        <v>6219.2817421040845</v>
      </c>
      <c r="I2083" s="21">
        <f t="shared" ca="1" si="352"/>
        <v>6221.2641023702708</v>
      </c>
      <c r="J2083" s="20">
        <f t="shared" ca="1" si="361"/>
        <v>2</v>
      </c>
      <c r="K2083" s="20">
        <f t="shared" ca="1" si="353"/>
        <v>1</v>
      </c>
      <c r="L2083" s="44">
        <f t="shared" ca="1" si="358"/>
        <v>1.5</v>
      </c>
    </row>
    <row r="2084" spans="1:12" x14ac:dyDescent="0.25">
      <c r="A2084" s="20">
        <v>2076</v>
      </c>
      <c r="B2084" s="21">
        <f t="shared" ca="1" si="354"/>
        <v>2.758800405354775</v>
      </c>
      <c r="C2084" s="21">
        <f t="shared" ca="1" si="359"/>
        <v>6220.8432001265192</v>
      </c>
      <c r="D2084" s="21">
        <f t="shared" ca="1" si="355"/>
        <v>1.5692573164722894</v>
      </c>
      <c r="E2084" s="21">
        <f t="shared" ca="1" si="362"/>
        <v>0.42090224375169782</v>
      </c>
      <c r="F2084" s="20" t="str">
        <f t="shared" ca="1" si="360"/>
        <v>No</v>
      </c>
      <c r="G2084" s="21">
        <f t="shared" ca="1" si="356"/>
        <v>0</v>
      </c>
      <c r="H2084" s="21">
        <f t="shared" ca="1" si="357"/>
        <v>6221.2641023702708</v>
      </c>
      <c r="I2084" s="21">
        <f t="shared" ca="1" si="352"/>
        <v>6222.8333596867433</v>
      </c>
      <c r="J2084" s="20">
        <f t="shared" ca="1" si="361"/>
        <v>2</v>
      </c>
      <c r="K2084" s="20">
        <f t="shared" ca="1" si="353"/>
        <v>0</v>
      </c>
      <c r="L2084" s="44">
        <f t="shared" ca="1" si="358"/>
        <v>1</v>
      </c>
    </row>
    <row r="2085" spans="1:12" x14ac:dyDescent="0.25">
      <c r="A2085" s="20">
        <v>2077</v>
      </c>
      <c r="B2085" s="21">
        <f t="shared" ca="1" si="354"/>
        <v>6.0924177280980008</v>
      </c>
      <c r="C2085" s="21">
        <f t="shared" ca="1" si="359"/>
        <v>6226.9356178546168</v>
      </c>
      <c r="D2085" s="21">
        <f t="shared" ca="1" si="355"/>
        <v>1.5159522065836222</v>
      </c>
      <c r="E2085" s="21">
        <f t="shared" ca="1" si="362"/>
        <v>0</v>
      </c>
      <c r="F2085" s="20" t="str">
        <f t="shared" ca="1" si="360"/>
        <v>Yes</v>
      </c>
      <c r="G2085" s="21">
        <f t="shared" ca="1" si="356"/>
        <v>4.102258167873515</v>
      </c>
      <c r="H2085" s="21">
        <f t="shared" ca="1" si="357"/>
        <v>6226.9356178546168</v>
      </c>
      <c r="I2085" s="21">
        <f t="shared" ca="1" si="352"/>
        <v>6228.4515700612001</v>
      </c>
      <c r="J2085" s="20">
        <f t="shared" ca="1" si="361"/>
        <v>0</v>
      </c>
      <c r="K2085" s="20">
        <f t="shared" ca="1" si="353"/>
        <v>0</v>
      </c>
      <c r="L2085" s="44">
        <f t="shared" ca="1" si="358"/>
        <v>0</v>
      </c>
    </row>
    <row r="2086" spans="1:12" x14ac:dyDescent="0.25">
      <c r="A2086" s="20">
        <v>2078</v>
      </c>
      <c r="B2086" s="21">
        <f t="shared" ca="1" si="354"/>
        <v>3.4206647469829514</v>
      </c>
      <c r="C2086" s="21">
        <f t="shared" ca="1" si="359"/>
        <v>6230.3562826015996</v>
      </c>
      <c r="D2086" s="21">
        <f t="shared" ca="1" si="355"/>
        <v>0.77761027128373683</v>
      </c>
      <c r="E2086" s="21">
        <f t="shared" ca="1" si="362"/>
        <v>0</v>
      </c>
      <c r="F2086" s="20" t="str">
        <f t="shared" ca="1" si="360"/>
        <v>Yes</v>
      </c>
      <c r="G2086" s="21">
        <f t="shared" ca="1" si="356"/>
        <v>1.9047125403994869</v>
      </c>
      <c r="H2086" s="21">
        <f t="shared" ca="1" si="357"/>
        <v>6230.3562826015996</v>
      </c>
      <c r="I2086" s="21">
        <f t="shared" ca="1" si="352"/>
        <v>6231.1338928728837</v>
      </c>
      <c r="J2086" s="20">
        <f t="shared" ca="1" si="361"/>
        <v>0</v>
      </c>
      <c r="K2086" s="20">
        <f t="shared" ca="1" si="353"/>
        <v>0</v>
      </c>
      <c r="L2086" s="44">
        <f t="shared" ca="1" si="358"/>
        <v>0</v>
      </c>
    </row>
    <row r="2087" spans="1:12" x14ac:dyDescent="0.25">
      <c r="A2087" s="20">
        <v>2079</v>
      </c>
      <c r="B2087" s="21">
        <f t="shared" ca="1" si="354"/>
        <v>3.5117316432683925</v>
      </c>
      <c r="C2087" s="21">
        <f t="shared" ca="1" si="359"/>
        <v>6233.8680142448684</v>
      </c>
      <c r="D2087" s="21">
        <f t="shared" ca="1" si="355"/>
        <v>0.71174110857368111</v>
      </c>
      <c r="E2087" s="21">
        <f t="shared" ca="1" si="362"/>
        <v>0</v>
      </c>
      <c r="F2087" s="20" t="str">
        <f t="shared" ca="1" si="360"/>
        <v>Yes</v>
      </c>
      <c r="G2087" s="21">
        <f t="shared" ca="1" si="356"/>
        <v>2.7341213719846564</v>
      </c>
      <c r="H2087" s="21">
        <f t="shared" ca="1" si="357"/>
        <v>6233.8680142448684</v>
      </c>
      <c r="I2087" s="21">
        <f t="shared" ca="1" si="352"/>
        <v>6234.5797553534421</v>
      </c>
      <c r="J2087" s="20">
        <f t="shared" ca="1" si="361"/>
        <v>0</v>
      </c>
      <c r="K2087" s="20">
        <f t="shared" ca="1" si="353"/>
        <v>0</v>
      </c>
      <c r="L2087" s="44">
        <f t="shared" ca="1" si="358"/>
        <v>0</v>
      </c>
    </row>
    <row r="2088" spans="1:12" x14ac:dyDescent="0.25">
      <c r="A2088" s="20">
        <v>2080</v>
      </c>
      <c r="B2088" s="21">
        <f t="shared" ca="1" si="354"/>
        <v>5.6907997452257648</v>
      </c>
      <c r="C2088" s="21">
        <f t="shared" ca="1" si="359"/>
        <v>6239.5588139900938</v>
      </c>
      <c r="D2088" s="21">
        <f t="shared" ca="1" si="355"/>
        <v>0.90649665762659548</v>
      </c>
      <c r="E2088" s="21">
        <f t="shared" ca="1" si="362"/>
        <v>0</v>
      </c>
      <c r="F2088" s="20" t="str">
        <f t="shared" ca="1" si="360"/>
        <v>Yes</v>
      </c>
      <c r="G2088" s="21">
        <f t="shared" ca="1" si="356"/>
        <v>4.9790586366516436</v>
      </c>
      <c r="H2088" s="21">
        <f t="shared" ca="1" si="357"/>
        <v>6239.5588139900938</v>
      </c>
      <c r="I2088" s="21">
        <f t="shared" ca="1" si="352"/>
        <v>6240.4653106477208</v>
      </c>
      <c r="J2088" s="20">
        <f t="shared" ca="1" si="361"/>
        <v>0</v>
      </c>
      <c r="K2088" s="20">
        <f t="shared" ca="1" si="353"/>
        <v>0</v>
      </c>
      <c r="L2088" s="44">
        <f t="shared" ca="1" si="358"/>
        <v>0</v>
      </c>
    </row>
    <row r="2089" spans="1:12" x14ac:dyDescent="0.25">
      <c r="A2089" s="20">
        <v>2081</v>
      </c>
      <c r="B2089" s="21">
        <f t="shared" ca="1" si="354"/>
        <v>1.677103539629264</v>
      </c>
      <c r="C2089" s="21">
        <f t="shared" ca="1" si="359"/>
        <v>6241.2359175297233</v>
      </c>
      <c r="D2089" s="21">
        <f t="shared" ca="1" si="355"/>
        <v>0.23343080427172594</v>
      </c>
      <c r="E2089" s="21">
        <f t="shared" ca="1" si="362"/>
        <v>0</v>
      </c>
      <c r="F2089" s="20" t="str">
        <f t="shared" ca="1" si="360"/>
        <v>Yes</v>
      </c>
      <c r="G2089" s="21">
        <f t="shared" ca="1" si="356"/>
        <v>0.77060688200253935</v>
      </c>
      <c r="H2089" s="21">
        <f t="shared" ca="1" si="357"/>
        <v>6241.2359175297233</v>
      </c>
      <c r="I2089" s="21">
        <f t="shared" ca="1" si="352"/>
        <v>6241.4693483339952</v>
      </c>
      <c r="J2089" s="20">
        <f t="shared" ca="1" si="361"/>
        <v>0</v>
      </c>
      <c r="K2089" s="20">
        <f t="shared" ca="1" si="353"/>
        <v>0</v>
      </c>
      <c r="L2089" s="44">
        <f t="shared" ca="1" si="358"/>
        <v>0</v>
      </c>
    </row>
    <row r="2090" spans="1:12" x14ac:dyDescent="0.25">
      <c r="A2090" s="20">
        <v>2082</v>
      </c>
      <c r="B2090" s="21">
        <f t="shared" ca="1" si="354"/>
        <v>2.8705257744077421</v>
      </c>
      <c r="C2090" s="21">
        <f t="shared" ca="1" si="359"/>
        <v>6244.1064433041311</v>
      </c>
      <c r="D2090" s="21">
        <f t="shared" ca="1" si="355"/>
        <v>1.3360600119132078</v>
      </c>
      <c r="E2090" s="21">
        <f t="shared" ca="1" si="362"/>
        <v>0</v>
      </c>
      <c r="F2090" s="20" t="str">
        <f t="shared" ca="1" si="360"/>
        <v>Yes</v>
      </c>
      <c r="G2090" s="21">
        <f t="shared" ca="1" si="356"/>
        <v>2.6370949701358768</v>
      </c>
      <c r="H2090" s="21">
        <f t="shared" ca="1" si="357"/>
        <v>6244.1064433041311</v>
      </c>
      <c r="I2090" s="21">
        <f t="shared" ca="1" si="352"/>
        <v>6245.4425033160442</v>
      </c>
      <c r="J2090" s="20">
        <f t="shared" ca="1" si="361"/>
        <v>0</v>
      </c>
      <c r="K2090" s="20">
        <f t="shared" ca="1" si="353"/>
        <v>1</v>
      </c>
      <c r="L2090" s="44">
        <f t="shared" ca="1" si="358"/>
        <v>0.5</v>
      </c>
    </row>
    <row r="2091" spans="1:12" x14ac:dyDescent="0.25">
      <c r="A2091" s="20">
        <v>2083</v>
      </c>
      <c r="B2091" s="21">
        <f t="shared" ca="1" si="354"/>
        <v>0.11904637927096232</v>
      </c>
      <c r="C2091" s="21">
        <f t="shared" ca="1" si="359"/>
        <v>6244.225489683402</v>
      </c>
      <c r="D2091" s="21">
        <f t="shared" ca="1" si="355"/>
        <v>0.71524126649622555</v>
      </c>
      <c r="E2091" s="21">
        <f t="shared" ca="1" si="362"/>
        <v>1.2170136326421925</v>
      </c>
      <c r="F2091" s="20" t="str">
        <f t="shared" ca="1" si="360"/>
        <v>No</v>
      </c>
      <c r="G2091" s="21">
        <f t="shared" ca="1" si="356"/>
        <v>0</v>
      </c>
      <c r="H2091" s="21">
        <f t="shared" ca="1" si="357"/>
        <v>6245.4425033160442</v>
      </c>
      <c r="I2091" s="21">
        <f t="shared" ca="1" si="352"/>
        <v>6246.1577445825405</v>
      </c>
      <c r="J2091" s="20">
        <f t="shared" ca="1" si="361"/>
        <v>2</v>
      </c>
      <c r="K2091" s="20">
        <f t="shared" ca="1" si="353"/>
        <v>0</v>
      </c>
      <c r="L2091" s="44">
        <f t="shared" ca="1" si="358"/>
        <v>1</v>
      </c>
    </row>
    <row r="2092" spans="1:12" x14ac:dyDescent="0.25">
      <c r="A2092" s="20">
        <v>2084</v>
      </c>
      <c r="B2092" s="21">
        <f t="shared" ca="1" si="354"/>
        <v>5.0914532626817373</v>
      </c>
      <c r="C2092" s="21">
        <f t="shared" ca="1" si="359"/>
        <v>6249.3169429460841</v>
      </c>
      <c r="D2092" s="21">
        <f t="shared" ca="1" si="355"/>
        <v>0.90972426873574153</v>
      </c>
      <c r="E2092" s="21">
        <f t="shared" ca="1" si="362"/>
        <v>0</v>
      </c>
      <c r="F2092" s="20" t="str">
        <f t="shared" ca="1" si="360"/>
        <v>Yes</v>
      </c>
      <c r="G2092" s="21">
        <f t="shared" ca="1" si="356"/>
        <v>3.1591983635435099</v>
      </c>
      <c r="H2092" s="21">
        <f t="shared" ca="1" si="357"/>
        <v>6249.3169429460841</v>
      </c>
      <c r="I2092" s="21">
        <f t="shared" ca="1" si="352"/>
        <v>6250.2266672148198</v>
      </c>
      <c r="J2092" s="20">
        <f t="shared" ca="1" si="361"/>
        <v>0</v>
      </c>
      <c r="K2092" s="20">
        <f t="shared" ca="1" si="353"/>
        <v>1</v>
      </c>
      <c r="L2092" s="44">
        <f t="shared" ca="1" si="358"/>
        <v>0.5</v>
      </c>
    </row>
    <row r="2093" spans="1:12" x14ac:dyDescent="0.25">
      <c r="A2093" s="20">
        <v>2085</v>
      </c>
      <c r="B2093" s="21">
        <f t="shared" ca="1" si="354"/>
        <v>0.72906552435178884</v>
      </c>
      <c r="C2093" s="21">
        <f t="shared" ca="1" si="359"/>
        <v>6250.0460084704355</v>
      </c>
      <c r="D2093" s="21">
        <f t="shared" ca="1" si="355"/>
        <v>3.5986850865887465</v>
      </c>
      <c r="E2093" s="21">
        <f t="shared" ca="1" si="362"/>
        <v>0.18065874438434548</v>
      </c>
      <c r="F2093" s="20" t="str">
        <f t="shared" ca="1" si="360"/>
        <v>No</v>
      </c>
      <c r="G2093" s="21">
        <f t="shared" ca="1" si="356"/>
        <v>0</v>
      </c>
      <c r="H2093" s="21">
        <f t="shared" ca="1" si="357"/>
        <v>6250.2266672148198</v>
      </c>
      <c r="I2093" s="21">
        <f t="shared" ca="1" si="352"/>
        <v>6253.8253523014082</v>
      </c>
      <c r="J2093" s="20">
        <f t="shared" ca="1" si="361"/>
        <v>2</v>
      </c>
      <c r="K2093" s="20">
        <f t="shared" ca="1" si="353"/>
        <v>1</v>
      </c>
      <c r="L2093" s="44">
        <f t="shared" ca="1" si="358"/>
        <v>1.5</v>
      </c>
    </row>
    <row r="2094" spans="1:12" x14ac:dyDescent="0.25">
      <c r="A2094" s="20">
        <v>2086</v>
      </c>
      <c r="B2094" s="21">
        <f t="shared" ca="1" si="354"/>
        <v>0.62139610091112774</v>
      </c>
      <c r="C2094" s="21">
        <f t="shared" ca="1" si="359"/>
        <v>6250.6674045713462</v>
      </c>
      <c r="D2094" s="21">
        <f t="shared" ca="1" si="355"/>
        <v>0.92050838206983188</v>
      </c>
      <c r="E2094" s="21">
        <f t="shared" ca="1" si="362"/>
        <v>3.1579477300620056</v>
      </c>
      <c r="F2094" s="20" t="str">
        <f t="shared" ca="1" si="360"/>
        <v>No</v>
      </c>
      <c r="G2094" s="21">
        <f t="shared" ca="1" si="356"/>
        <v>0</v>
      </c>
      <c r="H2094" s="21">
        <f t="shared" ca="1" si="357"/>
        <v>6253.8253523014082</v>
      </c>
      <c r="I2094" s="21">
        <f t="shared" ca="1" si="352"/>
        <v>6254.745860683478</v>
      </c>
      <c r="J2094" s="20">
        <f t="shared" ca="1" si="361"/>
        <v>2</v>
      </c>
      <c r="K2094" s="20">
        <f t="shared" ca="1" si="353"/>
        <v>0</v>
      </c>
      <c r="L2094" s="44">
        <f t="shared" ca="1" si="358"/>
        <v>1</v>
      </c>
    </row>
    <row r="2095" spans="1:12" x14ac:dyDescent="0.25">
      <c r="A2095" s="20">
        <v>2087</v>
      </c>
      <c r="B2095" s="21">
        <f t="shared" ca="1" si="354"/>
        <v>6.6661195818481147</v>
      </c>
      <c r="C2095" s="21">
        <f t="shared" ca="1" si="359"/>
        <v>6257.333524153194</v>
      </c>
      <c r="D2095" s="21">
        <f t="shared" ca="1" si="355"/>
        <v>0.81577704102652937</v>
      </c>
      <c r="E2095" s="21">
        <f t="shared" ca="1" si="362"/>
        <v>0</v>
      </c>
      <c r="F2095" s="20" t="str">
        <f t="shared" ca="1" si="360"/>
        <v>Yes</v>
      </c>
      <c r="G2095" s="21">
        <f t="shared" ca="1" si="356"/>
        <v>2.5876634697160625</v>
      </c>
      <c r="H2095" s="21">
        <f t="shared" ca="1" si="357"/>
        <v>6257.333524153194</v>
      </c>
      <c r="I2095" s="21">
        <f t="shared" ca="1" si="352"/>
        <v>6258.1493011942202</v>
      </c>
      <c r="J2095" s="20">
        <f t="shared" ca="1" si="361"/>
        <v>0</v>
      </c>
      <c r="K2095" s="20">
        <f t="shared" ca="1" si="353"/>
        <v>0</v>
      </c>
      <c r="L2095" s="44">
        <f t="shared" ca="1" si="358"/>
        <v>0</v>
      </c>
    </row>
    <row r="2096" spans="1:12" x14ac:dyDescent="0.25">
      <c r="A2096" s="20">
        <v>2088</v>
      </c>
      <c r="B2096" s="21">
        <f t="shared" ca="1" si="354"/>
        <v>0.9829834528571626</v>
      </c>
      <c r="C2096" s="21">
        <f t="shared" ca="1" si="359"/>
        <v>6258.3165076060513</v>
      </c>
      <c r="D2096" s="21">
        <f t="shared" ca="1" si="355"/>
        <v>0.48865712987173748</v>
      </c>
      <c r="E2096" s="21">
        <f t="shared" ca="1" si="362"/>
        <v>0</v>
      </c>
      <c r="F2096" s="20" t="str">
        <f t="shared" ca="1" si="360"/>
        <v>Yes</v>
      </c>
      <c r="G2096" s="21">
        <f t="shared" ca="1" si="356"/>
        <v>0.16720641183110274</v>
      </c>
      <c r="H2096" s="21">
        <f t="shared" ca="1" si="357"/>
        <v>6258.3165076060513</v>
      </c>
      <c r="I2096" s="21">
        <f t="shared" ca="1" si="352"/>
        <v>6258.8051647359234</v>
      </c>
      <c r="J2096" s="20">
        <f t="shared" ca="1" si="361"/>
        <v>0</v>
      </c>
      <c r="K2096" s="20">
        <f t="shared" ca="1" si="353"/>
        <v>0</v>
      </c>
      <c r="L2096" s="44">
        <f t="shared" ca="1" si="358"/>
        <v>0</v>
      </c>
    </row>
    <row r="2097" spans="1:12" x14ac:dyDescent="0.25">
      <c r="A2097" s="20">
        <v>2089</v>
      </c>
      <c r="B2097" s="21">
        <f t="shared" ca="1" si="354"/>
        <v>4.5372429833543242</v>
      </c>
      <c r="C2097" s="21">
        <f t="shared" ca="1" si="359"/>
        <v>6262.8537505894055</v>
      </c>
      <c r="D2097" s="21">
        <f t="shared" ca="1" si="355"/>
        <v>5.0455290022696104</v>
      </c>
      <c r="E2097" s="21">
        <f t="shared" ca="1" si="362"/>
        <v>0</v>
      </c>
      <c r="F2097" s="20" t="str">
        <f t="shared" ca="1" si="360"/>
        <v>Yes</v>
      </c>
      <c r="G2097" s="21">
        <f t="shared" ca="1" si="356"/>
        <v>4.0485858534821091</v>
      </c>
      <c r="H2097" s="21">
        <f t="shared" ca="1" si="357"/>
        <v>6262.8537505894055</v>
      </c>
      <c r="I2097" s="21">
        <f t="shared" ca="1" si="352"/>
        <v>6267.8992795916747</v>
      </c>
      <c r="J2097" s="20">
        <f t="shared" ca="1" si="361"/>
        <v>0</v>
      </c>
      <c r="K2097" s="20">
        <f t="shared" ca="1" si="353"/>
        <v>3</v>
      </c>
      <c r="L2097" s="44">
        <f t="shared" ca="1" si="358"/>
        <v>1.5</v>
      </c>
    </row>
    <row r="2098" spans="1:12" x14ac:dyDescent="0.25">
      <c r="A2098" s="20">
        <v>2090</v>
      </c>
      <c r="B2098" s="21">
        <f t="shared" ca="1" si="354"/>
        <v>0.87300553434304229</v>
      </c>
      <c r="C2098" s="21">
        <f t="shared" ca="1" si="359"/>
        <v>6263.7267561237486</v>
      </c>
      <c r="D2098" s="21">
        <f t="shared" ca="1" si="355"/>
        <v>0.187125785191146</v>
      </c>
      <c r="E2098" s="21">
        <f t="shared" ca="1" si="362"/>
        <v>4.1725234679261121</v>
      </c>
      <c r="F2098" s="20" t="str">
        <f t="shared" ca="1" si="360"/>
        <v>No</v>
      </c>
      <c r="G2098" s="21">
        <f t="shared" ca="1" si="356"/>
        <v>0</v>
      </c>
      <c r="H2098" s="21">
        <f t="shared" ca="1" si="357"/>
        <v>6267.8992795916747</v>
      </c>
      <c r="I2098" s="21">
        <f t="shared" ca="1" si="352"/>
        <v>6268.0864053768655</v>
      </c>
      <c r="J2098" s="20">
        <f t="shared" ca="1" si="361"/>
        <v>4</v>
      </c>
      <c r="K2098" s="20">
        <f t="shared" ca="1" si="353"/>
        <v>2</v>
      </c>
      <c r="L2098" s="44">
        <f t="shared" ca="1" si="358"/>
        <v>3</v>
      </c>
    </row>
    <row r="2099" spans="1:12" x14ac:dyDescent="0.25">
      <c r="A2099" s="20">
        <v>2091</v>
      </c>
      <c r="B2099" s="21">
        <f t="shared" ca="1" si="354"/>
        <v>0.72666246724967376</v>
      </c>
      <c r="C2099" s="21">
        <f t="shared" ca="1" si="359"/>
        <v>6264.4534185909979</v>
      </c>
      <c r="D2099" s="21">
        <f t="shared" ca="1" si="355"/>
        <v>5.43232215778554E-2</v>
      </c>
      <c r="E2099" s="21">
        <f t="shared" ca="1" si="362"/>
        <v>3.6329867858676153</v>
      </c>
      <c r="F2099" s="20" t="str">
        <f t="shared" ca="1" si="360"/>
        <v>No</v>
      </c>
      <c r="G2099" s="21">
        <f t="shared" ca="1" si="356"/>
        <v>0</v>
      </c>
      <c r="H2099" s="21">
        <f t="shared" ca="1" si="357"/>
        <v>6268.0864053768655</v>
      </c>
      <c r="I2099" s="21">
        <f t="shared" ca="1" si="352"/>
        <v>6268.1407285984433</v>
      </c>
      <c r="J2099" s="20">
        <f t="shared" ca="1" si="361"/>
        <v>3</v>
      </c>
      <c r="K2099" s="20">
        <f t="shared" ca="1" si="353"/>
        <v>1</v>
      </c>
      <c r="L2099" s="44">
        <f t="shared" ca="1" si="358"/>
        <v>2</v>
      </c>
    </row>
    <row r="2100" spans="1:12" x14ac:dyDescent="0.25">
      <c r="A2100" s="20">
        <v>2092</v>
      </c>
      <c r="B2100" s="21">
        <f t="shared" ca="1" si="354"/>
        <v>3.3715462975876496</v>
      </c>
      <c r="C2100" s="21">
        <f t="shared" ca="1" si="359"/>
        <v>6267.8249648885858</v>
      </c>
      <c r="D2100" s="21">
        <f t="shared" ca="1" si="355"/>
        <v>0.1483585220998449</v>
      </c>
      <c r="E2100" s="21">
        <f t="shared" ca="1" si="362"/>
        <v>0.31576370985749236</v>
      </c>
      <c r="F2100" s="20" t="str">
        <f t="shared" ca="1" si="360"/>
        <v>No</v>
      </c>
      <c r="G2100" s="21">
        <f t="shared" ca="1" si="356"/>
        <v>0</v>
      </c>
      <c r="H2100" s="21">
        <f t="shared" ca="1" si="357"/>
        <v>6268.1407285984433</v>
      </c>
      <c r="I2100" s="21">
        <f t="shared" ca="1" si="352"/>
        <v>6268.2890871205427</v>
      </c>
      <c r="J2100" s="20">
        <f t="shared" ca="1" si="361"/>
        <v>2</v>
      </c>
      <c r="K2100" s="20">
        <f t="shared" ca="1" si="353"/>
        <v>0</v>
      </c>
      <c r="L2100" s="44">
        <f t="shared" ca="1" si="358"/>
        <v>1</v>
      </c>
    </row>
    <row r="2101" spans="1:12" x14ac:dyDescent="0.25">
      <c r="A2101" s="20">
        <v>2093</v>
      </c>
      <c r="B2101" s="21">
        <f t="shared" ca="1" si="354"/>
        <v>4.4862203306147013</v>
      </c>
      <c r="C2101" s="21">
        <f t="shared" ca="1" si="359"/>
        <v>6272.3111852192005</v>
      </c>
      <c r="D2101" s="21">
        <f t="shared" ca="1" si="355"/>
        <v>0.89766269451411096</v>
      </c>
      <c r="E2101" s="21">
        <f t="shared" ca="1" si="362"/>
        <v>0</v>
      </c>
      <c r="F2101" s="20" t="str">
        <f t="shared" ca="1" si="360"/>
        <v>Yes</v>
      </c>
      <c r="G2101" s="21">
        <f t="shared" ca="1" si="356"/>
        <v>4.022098098657807</v>
      </c>
      <c r="H2101" s="21">
        <f t="shared" ca="1" si="357"/>
        <v>6272.3111852192005</v>
      </c>
      <c r="I2101" s="21">
        <f t="shared" ca="1" si="352"/>
        <v>6273.2088479137146</v>
      </c>
      <c r="J2101" s="20">
        <f t="shared" ca="1" si="361"/>
        <v>0</v>
      </c>
      <c r="K2101" s="20">
        <f t="shared" ca="1" si="353"/>
        <v>0</v>
      </c>
      <c r="L2101" s="44">
        <f t="shared" ca="1" si="358"/>
        <v>0</v>
      </c>
    </row>
    <row r="2102" spans="1:12" x14ac:dyDescent="0.25">
      <c r="A2102" s="20">
        <v>2094</v>
      </c>
      <c r="B2102" s="21">
        <f t="shared" ca="1" si="354"/>
        <v>4.9313826263878466</v>
      </c>
      <c r="C2102" s="21">
        <f t="shared" ca="1" si="359"/>
        <v>6277.2425678455884</v>
      </c>
      <c r="D2102" s="21">
        <f t="shared" ca="1" si="355"/>
        <v>1.6684774261636919</v>
      </c>
      <c r="E2102" s="21">
        <f t="shared" ca="1" si="362"/>
        <v>0</v>
      </c>
      <c r="F2102" s="20" t="str">
        <f t="shared" ca="1" si="360"/>
        <v>Yes</v>
      </c>
      <c r="G2102" s="21">
        <f t="shared" ca="1" si="356"/>
        <v>4.0337199318737476</v>
      </c>
      <c r="H2102" s="21">
        <f t="shared" ca="1" si="357"/>
        <v>6277.2425678455884</v>
      </c>
      <c r="I2102" s="21">
        <f t="shared" ca="1" si="352"/>
        <v>6278.9110452717523</v>
      </c>
      <c r="J2102" s="20">
        <f t="shared" ca="1" si="361"/>
        <v>0</v>
      </c>
      <c r="K2102" s="20">
        <f t="shared" ca="1" si="353"/>
        <v>1</v>
      </c>
      <c r="L2102" s="44">
        <f t="shared" ca="1" si="358"/>
        <v>0.5</v>
      </c>
    </row>
    <row r="2103" spans="1:12" x14ac:dyDescent="0.25">
      <c r="A2103" s="20">
        <v>2095</v>
      </c>
      <c r="B2103" s="21">
        <f t="shared" ca="1" si="354"/>
        <v>0.35275466362758962</v>
      </c>
      <c r="C2103" s="21">
        <f t="shared" ca="1" si="359"/>
        <v>6277.5953225092162</v>
      </c>
      <c r="D2103" s="21">
        <f t="shared" ca="1" si="355"/>
        <v>0.40340647420073489</v>
      </c>
      <c r="E2103" s="21">
        <f t="shared" ca="1" si="362"/>
        <v>1.3157227625360974</v>
      </c>
      <c r="F2103" s="20" t="str">
        <f t="shared" ca="1" si="360"/>
        <v>No</v>
      </c>
      <c r="G2103" s="21">
        <f t="shared" ca="1" si="356"/>
        <v>0</v>
      </c>
      <c r="H2103" s="21">
        <f t="shared" ca="1" si="357"/>
        <v>6278.9110452717523</v>
      </c>
      <c r="I2103" s="21">
        <f t="shared" ca="1" si="352"/>
        <v>6279.3144517459532</v>
      </c>
      <c r="J2103" s="20">
        <f t="shared" ca="1" si="361"/>
        <v>2</v>
      </c>
      <c r="K2103" s="20">
        <f t="shared" ca="1" si="353"/>
        <v>0</v>
      </c>
      <c r="L2103" s="44">
        <f t="shared" ca="1" si="358"/>
        <v>1</v>
      </c>
    </row>
    <row r="2104" spans="1:12" x14ac:dyDescent="0.25">
      <c r="A2104" s="20">
        <v>2096</v>
      </c>
      <c r="B2104" s="21">
        <f t="shared" ca="1" si="354"/>
        <v>4.8295152457817458</v>
      </c>
      <c r="C2104" s="21">
        <f t="shared" ca="1" si="359"/>
        <v>6282.4248377549975</v>
      </c>
      <c r="D2104" s="21">
        <f t="shared" ca="1" si="355"/>
        <v>5.3227171586151707</v>
      </c>
      <c r="E2104" s="21">
        <f t="shared" ca="1" si="362"/>
        <v>0</v>
      </c>
      <c r="F2104" s="20" t="str">
        <f t="shared" ca="1" si="360"/>
        <v>Yes</v>
      </c>
      <c r="G2104" s="21">
        <f t="shared" ca="1" si="356"/>
        <v>3.110386009044305</v>
      </c>
      <c r="H2104" s="21">
        <f t="shared" ca="1" si="357"/>
        <v>6282.4248377549975</v>
      </c>
      <c r="I2104" s="21">
        <f t="shared" ca="1" si="352"/>
        <v>6287.7475549136125</v>
      </c>
      <c r="J2104" s="20">
        <f t="shared" ca="1" si="361"/>
        <v>0</v>
      </c>
      <c r="K2104" s="20">
        <f t="shared" ca="1" si="353"/>
        <v>2</v>
      </c>
      <c r="L2104" s="44">
        <f t="shared" ca="1" si="358"/>
        <v>1</v>
      </c>
    </row>
    <row r="2105" spans="1:12" x14ac:dyDescent="0.25">
      <c r="A2105" s="20">
        <v>2097</v>
      </c>
      <c r="B2105" s="21">
        <f t="shared" ca="1" si="354"/>
        <v>0.62051423090414104</v>
      </c>
      <c r="C2105" s="21">
        <f t="shared" ca="1" si="359"/>
        <v>6283.045351985902</v>
      </c>
      <c r="D2105" s="21">
        <f t="shared" ca="1" si="355"/>
        <v>0.46263621482734901</v>
      </c>
      <c r="E2105" s="21">
        <f t="shared" ca="1" si="362"/>
        <v>4.7022029277104593</v>
      </c>
      <c r="F2105" s="20" t="str">
        <f t="shared" ca="1" si="360"/>
        <v>No</v>
      </c>
      <c r="G2105" s="21">
        <f t="shared" ca="1" si="356"/>
        <v>0</v>
      </c>
      <c r="H2105" s="21">
        <f t="shared" ca="1" si="357"/>
        <v>6287.7475549136125</v>
      </c>
      <c r="I2105" s="21">
        <f t="shared" ca="1" si="352"/>
        <v>6288.2101911284399</v>
      </c>
      <c r="J2105" s="20">
        <f t="shared" ca="1" si="361"/>
        <v>3</v>
      </c>
      <c r="K2105" s="20">
        <f t="shared" ca="1" si="353"/>
        <v>1</v>
      </c>
      <c r="L2105" s="44">
        <f t="shared" ca="1" si="358"/>
        <v>2</v>
      </c>
    </row>
    <row r="2106" spans="1:12" x14ac:dyDescent="0.25">
      <c r="A2106" s="20">
        <v>2098</v>
      </c>
      <c r="B2106" s="21">
        <f t="shared" ca="1" si="354"/>
        <v>0.49849541675012571</v>
      </c>
      <c r="C2106" s="21">
        <f t="shared" ca="1" si="359"/>
        <v>6283.5438474026523</v>
      </c>
      <c r="D2106" s="21">
        <f t="shared" ca="1" si="355"/>
        <v>1.3027116834748511</v>
      </c>
      <c r="E2106" s="21">
        <f t="shared" ca="1" si="362"/>
        <v>4.6663437257875557</v>
      </c>
      <c r="F2106" s="20" t="str">
        <f t="shared" ca="1" si="360"/>
        <v>No</v>
      </c>
      <c r="G2106" s="21">
        <f t="shared" ca="1" si="356"/>
        <v>0</v>
      </c>
      <c r="H2106" s="21">
        <f t="shared" ca="1" si="357"/>
        <v>6288.2101911284399</v>
      </c>
      <c r="I2106" s="21">
        <f t="shared" ca="1" si="352"/>
        <v>6289.5129028119145</v>
      </c>
      <c r="J2106" s="20">
        <f t="shared" ca="1" si="361"/>
        <v>2</v>
      </c>
      <c r="K2106" s="20">
        <f t="shared" ca="1" si="353"/>
        <v>0</v>
      </c>
      <c r="L2106" s="44">
        <f t="shared" ca="1" si="358"/>
        <v>1</v>
      </c>
    </row>
    <row r="2107" spans="1:12" x14ac:dyDescent="0.25">
      <c r="A2107" s="20">
        <v>2099</v>
      </c>
      <c r="B2107" s="21">
        <f t="shared" ca="1" si="354"/>
        <v>6.6961770679619246</v>
      </c>
      <c r="C2107" s="21">
        <f t="shared" ca="1" si="359"/>
        <v>6290.2400244706141</v>
      </c>
      <c r="D2107" s="21">
        <f t="shared" ca="1" si="355"/>
        <v>3.2793785495268315</v>
      </c>
      <c r="E2107" s="21">
        <f t="shared" ca="1" si="362"/>
        <v>0</v>
      </c>
      <c r="F2107" s="20" t="str">
        <f t="shared" ca="1" si="360"/>
        <v>Yes</v>
      </c>
      <c r="G2107" s="21">
        <f t="shared" ca="1" si="356"/>
        <v>0.72712165869961609</v>
      </c>
      <c r="H2107" s="21">
        <f t="shared" ca="1" si="357"/>
        <v>6290.2400244706141</v>
      </c>
      <c r="I2107" s="21">
        <f t="shared" ca="1" si="352"/>
        <v>6293.519403020141</v>
      </c>
      <c r="J2107" s="20">
        <f t="shared" ca="1" si="361"/>
        <v>0</v>
      </c>
      <c r="K2107" s="20">
        <f t="shared" ca="1" si="353"/>
        <v>2</v>
      </c>
      <c r="L2107" s="44">
        <f t="shared" ca="1" si="358"/>
        <v>1</v>
      </c>
    </row>
    <row r="2108" spans="1:12" x14ac:dyDescent="0.25">
      <c r="A2108" s="20">
        <v>2100</v>
      </c>
      <c r="B2108" s="21">
        <f t="shared" ca="1" si="354"/>
        <v>2.5832589862218303</v>
      </c>
      <c r="C2108" s="21">
        <f t="shared" ca="1" si="359"/>
        <v>6292.8232834568362</v>
      </c>
      <c r="D2108" s="21">
        <f t="shared" ca="1" si="355"/>
        <v>1.515495131866164</v>
      </c>
      <c r="E2108" s="21">
        <f t="shared" ca="1" si="362"/>
        <v>0.69611956330481917</v>
      </c>
      <c r="F2108" s="20" t="str">
        <f t="shared" ca="1" si="360"/>
        <v>No</v>
      </c>
      <c r="G2108" s="21">
        <f t="shared" ca="1" si="356"/>
        <v>0</v>
      </c>
      <c r="H2108" s="21">
        <f t="shared" ca="1" si="357"/>
        <v>6293.519403020141</v>
      </c>
      <c r="I2108" s="21">
        <f t="shared" ca="1" si="352"/>
        <v>6295.0348981520074</v>
      </c>
      <c r="J2108" s="20">
        <f t="shared" ca="1" si="361"/>
        <v>3</v>
      </c>
      <c r="K2108" s="20">
        <f t="shared" ca="1" si="353"/>
        <v>1</v>
      </c>
      <c r="L2108" s="44">
        <f t="shared" ca="1" si="358"/>
        <v>2</v>
      </c>
    </row>
    <row r="2109" spans="1:12" x14ac:dyDescent="0.25">
      <c r="A2109" s="20">
        <v>2101</v>
      </c>
      <c r="B2109" s="21">
        <f t="shared" ca="1" si="354"/>
        <v>3.9034729093913041E-2</v>
      </c>
      <c r="C2109" s="21">
        <f t="shared" ca="1" si="359"/>
        <v>6292.8623181859302</v>
      </c>
      <c r="D2109" s="21">
        <f t="shared" ca="1" si="355"/>
        <v>1.4808405813058407</v>
      </c>
      <c r="E2109" s="21">
        <f t="shared" ca="1" si="362"/>
        <v>2.1725799660771372</v>
      </c>
      <c r="F2109" s="20" t="str">
        <f t="shared" ca="1" si="360"/>
        <v>No</v>
      </c>
      <c r="G2109" s="21">
        <f t="shared" ca="1" si="356"/>
        <v>0</v>
      </c>
      <c r="H2109" s="21">
        <f t="shared" ca="1" si="357"/>
        <v>6295.0348981520074</v>
      </c>
      <c r="I2109" s="21">
        <f t="shared" ca="1" si="352"/>
        <v>6296.5157387333129</v>
      </c>
      <c r="J2109" s="20">
        <f t="shared" ca="1" si="361"/>
        <v>2</v>
      </c>
      <c r="K2109" s="20">
        <f t="shared" ca="1" si="353"/>
        <v>0</v>
      </c>
      <c r="L2109" s="44">
        <f t="shared" ca="1" si="358"/>
        <v>1</v>
      </c>
    </row>
    <row r="2110" spans="1:12" x14ac:dyDescent="0.25">
      <c r="A2110" s="20">
        <v>2102</v>
      </c>
      <c r="B2110" s="21">
        <f t="shared" ca="1" si="354"/>
        <v>3.7824298292358858</v>
      </c>
      <c r="C2110" s="21">
        <f t="shared" ca="1" si="359"/>
        <v>6296.6447480151664</v>
      </c>
      <c r="D2110" s="21">
        <f t="shared" ca="1" si="355"/>
        <v>0.66174200954313833</v>
      </c>
      <c r="E2110" s="21">
        <f t="shared" ca="1" si="362"/>
        <v>0</v>
      </c>
      <c r="F2110" s="20" t="str">
        <f t="shared" ca="1" si="360"/>
        <v>Yes</v>
      </c>
      <c r="G2110" s="21">
        <f t="shared" ca="1" si="356"/>
        <v>0.12900928185354132</v>
      </c>
      <c r="H2110" s="21">
        <f t="shared" ca="1" si="357"/>
        <v>6296.6447480151664</v>
      </c>
      <c r="I2110" s="21">
        <f t="shared" ca="1" si="352"/>
        <v>6297.30649002471</v>
      </c>
      <c r="J2110" s="20">
        <f t="shared" ca="1" si="361"/>
        <v>0</v>
      </c>
      <c r="K2110" s="20">
        <f t="shared" ca="1" si="353"/>
        <v>0</v>
      </c>
      <c r="L2110" s="44">
        <f t="shared" ca="1" si="358"/>
        <v>0</v>
      </c>
    </row>
    <row r="2111" spans="1:12" x14ac:dyDescent="0.25">
      <c r="A2111" s="20">
        <v>2103</v>
      </c>
      <c r="B2111" s="21">
        <f t="shared" ca="1" si="354"/>
        <v>2.3694942719083576</v>
      </c>
      <c r="C2111" s="21">
        <f t="shared" ca="1" si="359"/>
        <v>6299.0142422870749</v>
      </c>
      <c r="D2111" s="21">
        <f t="shared" ca="1" si="355"/>
        <v>1.4349231399722109</v>
      </c>
      <c r="E2111" s="21">
        <f t="shared" ca="1" si="362"/>
        <v>0</v>
      </c>
      <c r="F2111" s="20" t="str">
        <f t="shared" ca="1" si="360"/>
        <v>Yes</v>
      </c>
      <c r="G2111" s="21">
        <f t="shared" ca="1" si="356"/>
        <v>1.7077522623649202</v>
      </c>
      <c r="H2111" s="21">
        <f t="shared" ca="1" si="357"/>
        <v>6299.0142422870749</v>
      </c>
      <c r="I2111" s="21">
        <f t="shared" ca="1" si="352"/>
        <v>6300.4491654270469</v>
      </c>
      <c r="J2111" s="20">
        <f t="shared" ca="1" si="361"/>
        <v>0</v>
      </c>
      <c r="K2111" s="20">
        <f t="shared" ca="1" si="353"/>
        <v>0</v>
      </c>
      <c r="L2111" s="44">
        <f t="shared" ca="1" si="358"/>
        <v>0</v>
      </c>
    </row>
    <row r="2112" spans="1:12" x14ac:dyDescent="0.25">
      <c r="A2112" s="20">
        <v>2104</v>
      </c>
      <c r="B2112" s="21">
        <f t="shared" ca="1" si="354"/>
        <v>2.6317265980603004</v>
      </c>
      <c r="C2112" s="21">
        <f t="shared" ca="1" si="359"/>
        <v>6301.6459688851355</v>
      </c>
      <c r="D2112" s="21">
        <f t="shared" ca="1" si="355"/>
        <v>3.365337685965593</v>
      </c>
      <c r="E2112" s="21">
        <f t="shared" ca="1" si="362"/>
        <v>0</v>
      </c>
      <c r="F2112" s="20" t="str">
        <f t="shared" ca="1" si="360"/>
        <v>Yes</v>
      </c>
      <c r="G2112" s="21">
        <f t="shared" ca="1" si="356"/>
        <v>1.1968034580886524</v>
      </c>
      <c r="H2112" s="21">
        <f t="shared" ca="1" si="357"/>
        <v>6301.6459688851355</v>
      </c>
      <c r="I2112" s="21">
        <f t="shared" ca="1" si="352"/>
        <v>6305.0113065711012</v>
      </c>
      <c r="J2112" s="20">
        <f t="shared" ca="1" si="361"/>
        <v>0</v>
      </c>
      <c r="K2112" s="20">
        <f t="shared" ca="1" si="353"/>
        <v>0</v>
      </c>
      <c r="L2112" s="44">
        <f t="shared" ca="1" si="358"/>
        <v>0</v>
      </c>
    </row>
    <row r="2113" spans="1:12" x14ac:dyDescent="0.25">
      <c r="A2113" s="20">
        <v>2105</v>
      </c>
      <c r="B2113" s="21">
        <f t="shared" ca="1" si="354"/>
        <v>7.6307999965948001</v>
      </c>
      <c r="C2113" s="21">
        <f t="shared" ca="1" si="359"/>
        <v>6309.2767688817303</v>
      </c>
      <c r="D2113" s="21">
        <f t="shared" ca="1" si="355"/>
        <v>0.69594358493948216</v>
      </c>
      <c r="E2113" s="21">
        <f t="shared" ca="1" si="362"/>
        <v>0</v>
      </c>
      <c r="F2113" s="20" t="str">
        <f t="shared" ca="1" si="360"/>
        <v>Yes</v>
      </c>
      <c r="G2113" s="21">
        <f t="shared" ca="1" si="356"/>
        <v>4.2654623106291183</v>
      </c>
      <c r="H2113" s="21">
        <f t="shared" ca="1" si="357"/>
        <v>6309.2767688817303</v>
      </c>
      <c r="I2113" s="21">
        <f t="shared" ca="1" si="352"/>
        <v>6309.9727124666697</v>
      </c>
      <c r="J2113" s="20">
        <f t="shared" ca="1" si="361"/>
        <v>0</v>
      </c>
      <c r="K2113" s="20">
        <f t="shared" ca="1" si="353"/>
        <v>0</v>
      </c>
      <c r="L2113" s="44">
        <f t="shared" ca="1" si="358"/>
        <v>0</v>
      </c>
    </row>
    <row r="2114" spans="1:12" x14ac:dyDescent="0.25">
      <c r="A2114" s="20">
        <v>2106</v>
      </c>
      <c r="B2114" s="21">
        <f t="shared" ca="1" si="354"/>
        <v>8.4406348775734568</v>
      </c>
      <c r="C2114" s="21">
        <f t="shared" ca="1" si="359"/>
        <v>6317.717403759304</v>
      </c>
      <c r="D2114" s="21">
        <f t="shared" ca="1" si="355"/>
        <v>0.10367967412973367</v>
      </c>
      <c r="E2114" s="21">
        <f t="shared" ca="1" si="362"/>
        <v>0</v>
      </c>
      <c r="F2114" s="20" t="str">
        <f t="shared" ca="1" si="360"/>
        <v>Yes</v>
      </c>
      <c r="G2114" s="21">
        <f t="shared" ca="1" si="356"/>
        <v>7.744691292634343</v>
      </c>
      <c r="H2114" s="21">
        <f t="shared" ca="1" si="357"/>
        <v>6317.717403759304</v>
      </c>
      <c r="I2114" s="21">
        <f t="shared" ca="1" si="352"/>
        <v>6317.8210834334341</v>
      </c>
      <c r="J2114" s="20">
        <f t="shared" ca="1" si="361"/>
        <v>0</v>
      </c>
      <c r="K2114" s="20">
        <f t="shared" ca="1" si="353"/>
        <v>0</v>
      </c>
      <c r="L2114" s="44">
        <f t="shared" ca="1" si="358"/>
        <v>0</v>
      </c>
    </row>
    <row r="2115" spans="1:12" x14ac:dyDescent="0.25">
      <c r="A2115" s="20">
        <v>2107</v>
      </c>
      <c r="B2115" s="21">
        <f t="shared" ca="1" si="354"/>
        <v>7.5353939982681313</v>
      </c>
      <c r="C2115" s="21">
        <f t="shared" ca="1" si="359"/>
        <v>6325.2527977575719</v>
      </c>
      <c r="D2115" s="21">
        <f t="shared" ca="1" si="355"/>
        <v>0.55349029918144077</v>
      </c>
      <c r="E2115" s="21">
        <f t="shared" ca="1" si="362"/>
        <v>0</v>
      </c>
      <c r="F2115" s="20" t="str">
        <f t="shared" ca="1" si="360"/>
        <v>Yes</v>
      </c>
      <c r="G2115" s="21">
        <f t="shared" ca="1" si="356"/>
        <v>7.431714324137829</v>
      </c>
      <c r="H2115" s="21">
        <f t="shared" ca="1" si="357"/>
        <v>6325.2527977575719</v>
      </c>
      <c r="I2115" s="21">
        <f t="shared" ca="1" si="352"/>
        <v>6325.8062880567531</v>
      </c>
      <c r="J2115" s="20">
        <f t="shared" ca="1" si="361"/>
        <v>0</v>
      </c>
      <c r="K2115" s="20">
        <f t="shared" ca="1" si="353"/>
        <v>0</v>
      </c>
      <c r="L2115" s="44">
        <f t="shared" ca="1" si="358"/>
        <v>0</v>
      </c>
    </row>
    <row r="2116" spans="1:12" x14ac:dyDescent="0.25">
      <c r="A2116" s="20">
        <v>2108</v>
      </c>
      <c r="B2116" s="21">
        <f t="shared" ca="1" si="354"/>
        <v>2.8307795906885573</v>
      </c>
      <c r="C2116" s="21">
        <f t="shared" ca="1" si="359"/>
        <v>6328.0835773482604</v>
      </c>
      <c r="D2116" s="21">
        <f t="shared" ca="1" si="355"/>
        <v>1.3653351241014762</v>
      </c>
      <c r="E2116" s="21">
        <f t="shared" ca="1" si="362"/>
        <v>0</v>
      </c>
      <c r="F2116" s="20" t="str">
        <f t="shared" ca="1" si="360"/>
        <v>Yes</v>
      </c>
      <c r="G2116" s="21">
        <f t="shared" ca="1" si="356"/>
        <v>2.2772892915072589</v>
      </c>
      <c r="H2116" s="21">
        <f t="shared" ca="1" si="357"/>
        <v>6328.0835773482604</v>
      </c>
      <c r="I2116" s="21">
        <f t="shared" ca="1" si="352"/>
        <v>6329.4489124723623</v>
      </c>
      <c r="J2116" s="20">
        <f t="shared" ca="1" si="361"/>
        <v>0</v>
      </c>
      <c r="K2116" s="20">
        <f t="shared" ca="1" si="353"/>
        <v>0</v>
      </c>
      <c r="L2116" s="44">
        <f t="shared" ca="1" si="358"/>
        <v>0</v>
      </c>
    </row>
    <row r="2117" spans="1:12" x14ac:dyDescent="0.25">
      <c r="A2117" s="20">
        <v>2109</v>
      </c>
      <c r="B2117" s="21">
        <f t="shared" ca="1" si="354"/>
        <v>2.0430314244738699</v>
      </c>
      <c r="C2117" s="21">
        <f t="shared" ca="1" si="359"/>
        <v>6330.1266087727345</v>
      </c>
      <c r="D2117" s="21">
        <f t="shared" ca="1" si="355"/>
        <v>0.64736407232956372</v>
      </c>
      <c r="E2117" s="21">
        <f t="shared" ca="1" si="362"/>
        <v>0</v>
      </c>
      <c r="F2117" s="20" t="str">
        <f t="shared" ca="1" si="360"/>
        <v>Yes</v>
      </c>
      <c r="G2117" s="21">
        <f t="shared" ca="1" si="356"/>
        <v>0.67769630037219031</v>
      </c>
      <c r="H2117" s="21">
        <f t="shared" ca="1" si="357"/>
        <v>6330.1266087727345</v>
      </c>
      <c r="I2117" s="21">
        <f t="shared" ca="1" si="352"/>
        <v>6330.7739728450642</v>
      </c>
      <c r="J2117" s="20">
        <f t="shared" ca="1" si="361"/>
        <v>0</v>
      </c>
      <c r="K2117" s="20">
        <f t="shared" ca="1" si="353"/>
        <v>0</v>
      </c>
      <c r="L2117" s="44">
        <f t="shared" ca="1" si="358"/>
        <v>0</v>
      </c>
    </row>
    <row r="2118" spans="1:12" x14ac:dyDescent="0.25">
      <c r="A2118" s="20">
        <v>2110</v>
      </c>
      <c r="B2118" s="21">
        <f t="shared" ca="1" si="354"/>
        <v>7.7524408877598772</v>
      </c>
      <c r="C2118" s="21">
        <f t="shared" ca="1" si="359"/>
        <v>6337.8790496604943</v>
      </c>
      <c r="D2118" s="21">
        <f t="shared" ca="1" si="355"/>
        <v>6.950347856004897</v>
      </c>
      <c r="E2118" s="21">
        <f t="shared" ca="1" si="362"/>
        <v>0</v>
      </c>
      <c r="F2118" s="20" t="str">
        <f t="shared" ca="1" si="360"/>
        <v>Yes</v>
      </c>
      <c r="G2118" s="21">
        <f t="shared" ca="1" si="356"/>
        <v>7.1050768154300386</v>
      </c>
      <c r="H2118" s="21">
        <f t="shared" ca="1" si="357"/>
        <v>6337.8790496604943</v>
      </c>
      <c r="I2118" s="21">
        <f t="shared" ca="1" si="352"/>
        <v>6344.8293975164988</v>
      </c>
      <c r="J2118" s="20">
        <f t="shared" ca="1" si="361"/>
        <v>0</v>
      </c>
      <c r="K2118" s="20">
        <f t="shared" ca="1" si="353"/>
        <v>2</v>
      </c>
      <c r="L2118" s="44">
        <f t="shared" ca="1" si="358"/>
        <v>1</v>
      </c>
    </row>
    <row r="2119" spans="1:12" x14ac:dyDescent="0.25">
      <c r="A2119" s="20">
        <v>2111</v>
      </c>
      <c r="B2119" s="21">
        <f t="shared" ca="1" si="354"/>
        <v>3.9866432652265686</v>
      </c>
      <c r="C2119" s="21">
        <f t="shared" ca="1" si="359"/>
        <v>6341.8656929257204</v>
      </c>
      <c r="D2119" s="21">
        <f t="shared" ca="1" si="355"/>
        <v>0.46303736763087855</v>
      </c>
      <c r="E2119" s="21">
        <f t="shared" ca="1" si="362"/>
        <v>2.9637045907784341</v>
      </c>
      <c r="F2119" s="20" t="str">
        <f t="shared" ca="1" si="360"/>
        <v>No</v>
      </c>
      <c r="G2119" s="21">
        <f t="shared" ca="1" si="356"/>
        <v>0</v>
      </c>
      <c r="H2119" s="21">
        <f t="shared" ca="1" si="357"/>
        <v>6344.8293975164988</v>
      </c>
      <c r="I2119" s="21">
        <f t="shared" ca="1" si="352"/>
        <v>6345.2924348841298</v>
      </c>
      <c r="J2119" s="20">
        <f t="shared" ca="1" si="361"/>
        <v>3</v>
      </c>
      <c r="K2119" s="20">
        <f t="shared" ca="1" si="353"/>
        <v>1</v>
      </c>
      <c r="L2119" s="44">
        <f t="shared" ca="1" si="358"/>
        <v>2</v>
      </c>
    </row>
    <row r="2120" spans="1:12" x14ac:dyDescent="0.25">
      <c r="A2120" s="20">
        <v>2112</v>
      </c>
      <c r="B2120" s="21">
        <f t="shared" ca="1" si="354"/>
        <v>2.59849888552105</v>
      </c>
      <c r="C2120" s="21">
        <f t="shared" ca="1" si="359"/>
        <v>6344.4641918112411</v>
      </c>
      <c r="D2120" s="21">
        <f t="shared" ca="1" si="355"/>
        <v>4.8417055797073782</v>
      </c>
      <c r="E2120" s="21">
        <f t="shared" ca="1" si="362"/>
        <v>0.82824307288865384</v>
      </c>
      <c r="F2120" s="20" t="str">
        <f t="shared" ca="1" si="360"/>
        <v>No</v>
      </c>
      <c r="G2120" s="21">
        <f t="shared" ca="1" si="356"/>
        <v>0</v>
      </c>
      <c r="H2120" s="21">
        <f t="shared" ca="1" si="357"/>
        <v>6345.2924348841298</v>
      </c>
      <c r="I2120" s="21">
        <f t="shared" ca="1" si="352"/>
        <v>6350.134140463837</v>
      </c>
      <c r="J2120" s="20">
        <f t="shared" ca="1" si="361"/>
        <v>2</v>
      </c>
      <c r="K2120" s="20">
        <f t="shared" ca="1" si="353"/>
        <v>0</v>
      </c>
      <c r="L2120" s="44">
        <f t="shared" ca="1" si="358"/>
        <v>1</v>
      </c>
    </row>
    <row r="2121" spans="1:12" x14ac:dyDescent="0.25">
      <c r="A2121" s="20">
        <v>2113</v>
      </c>
      <c r="B2121" s="21">
        <f t="shared" ca="1" si="354"/>
        <v>7.2566489700638925</v>
      </c>
      <c r="C2121" s="21">
        <f t="shared" ca="1" si="359"/>
        <v>6351.720840781305</v>
      </c>
      <c r="D2121" s="21">
        <f t="shared" ca="1" si="355"/>
        <v>0.50222555093629462</v>
      </c>
      <c r="E2121" s="21">
        <f t="shared" ca="1" si="362"/>
        <v>0</v>
      </c>
      <c r="F2121" s="20" t="str">
        <f t="shared" ca="1" si="360"/>
        <v>Yes</v>
      </c>
      <c r="G2121" s="21">
        <f t="shared" ca="1" si="356"/>
        <v>1.5867003174680576</v>
      </c>
      <c r="H2121" s="21">
        <f t="shared" ca="1" si="357"/>
        <v>6351.720840781305</v>
      </c>
      <c r="I2121" s="21">
        <f t="shared" ref="I2121:I2184" ca="1" si="363">$H2121+$D2121</f>
        <v>6352.2230663322416</v>
      </c>
      <c r="J2121" s="20">
        <f t="shared" ca="1" si="361"/>
        <v>0</v>
      </c>
      <c r="K2121" s="20">
        <f t="shared" ref="K2121:K2184" ca="1" si="364">IF($I2121&lt;=$C2122,0,IF($I2121&lt;=$C2123,1,IF($I2121&lt;=$C2124,2,IF($I2121&lt;=$C2125,3,IF($I2121&lt;=$C2126,4,5)))))</f>
        <v>0</v>
      </c>
      <c r="L2121" s="44">
        <f t="shared" ca="1" si="358"/>
        <v>0</v>
      </c>
    </row>
    <row r="2122" spans="1:12" x14ac:dyDescent="0.25">
      <c r="A2122" s="20">
        <v>2114</v>
      </c>
      <c r="B2122" s="21">
        <f t="shared" ref="B2122:B2185" ca="1" si="365">-LN(RAND())/$D$4</f>
        <v>0.66901151366701406</v>
      </c>
      <c r="C2122" s="21">
        <f t="shared" ca="1" si="359"/>
        <v>6352.3898522949721</v>
      </c>
      <c r="D2122" s="21">
        <f t="shared" ref="D2122:D2185" ca="1" si="366">-LN(RAND())/$D$6</f>
        <v>0.39083876313064658</v>
      </c>
      <c r="E2122" s="21">
        <f t="shared" ca="1" si="362"/>
        <v>0</v>
      </c>
      <c r="F2122" s="20" t="str">
        <f t="shared" ca="1" si="360"/>
        <v>Yes</v>
      </c>
      <c r="G2122" s="21">
        <f t="shared" ref="G2122:G2185" ca="1" si="367">IF($I2121&lt;=$C2122,$C2122-$I2121,0)</f>
        <v>0.16678596273050061</v>
      </c>
      <c r="H2122" s="21">
        <f t="shared" ref="H2122:H2185" ca="1" si="368">IF($I2121&lt;=$C2122,$C2122,$I2121)</f>
        <v>6352.3898522949721</v>
      </c>
      <c r="I2122" s="21">
        <f t="shared" ca="1" si="363"/>
        <v>6352.780691058103</v>
      </c>
      <c r="J2122" s="20">
        <f t="shared" ca="1" si="361"/>
        <v>0</v>
      </c>
      <c r="K2122" s="20">
        <f t="shared" ca="1" si="364"/>
        <v>0</v>
      </c>
      <c r="L2122" s="44">
        <f t="shared" ref="L2122:L2185" ca="1" si="369">(J2122+K2122)/2</f>
        <v>0</v>
      </c>
    </row>
    <row r="2123" spans="1:12" x14ac:dyDescent="0.25">
      <c r="A2123" s="20">
        <v>2115</v>
      </c>
      <c r="B2123" s="21">
        <f t="shared" ca="1" si="365"/>
        <v>2.1984316234480494</v>
      </c>
      <c r="C2123" s="21">
        <f t="shared" ref="C2123:C2186" ca="1" si="370">$C2122+$B2123</f>
        <v>6354.5882839184205</v>
      </c>
      <c r="D2123" s="21">
        <f t="shared" ca="1" si="366"/>
        <v>2.1596254651234417</v>
      </c>
      <c r="E2123" s="21">
        <f t="shared" ca="1" si="362"/>
        <v>0</v>
      </c>
      <c r="F2123" s="20" t="str">
        <f t="shared" ref="F2123:F2186" ca="1" si="371">IF(E2123=0,"Yes","No")</f>
        <v>Yes</v>
      </c>
      <c r="G2123" s="21">
        <f t="shared" ca="1" si="367"/>
        <v>1.8075928603175271</v>
      </c>
      <c r="H2123" s="21">
        <f t="shared" ca="1" si="368"/>
        <v>6354.5882839184205</v>
      </c>
      <c r="I2123" s="21">
        <f t="shared" ca="1" si="363"/>
        <v>6356.7479093835436</v>
      </c>
      <c r="J2123" s="20">
        <f t="shared" ref="J2123:J2186" ca="1" si="372">IF($I2122&lt;=$C2123,0,$K2122+1)</f>
        <v>0</v>
      </c>
      <c r="K2123" s="20">
        <f t="shared" ca="1" si="364"/>
        <v>1</v>
      </c>
      <c r="L2123" s="44">
        <f t="shared" ca="1" si="369"/>
        <v>0.5</v>
      </c>
    </row>
    <row r="2124" spans="1:12" x14ac:dyDescent="0.25">
      <c r="A2124" s="20">
        <v>2116</v>
      </c>
      <c r="B2124" s="21">
        <f t="shared" ca="1" si="365"/>
        <v>1.3880204373554486</v>
      </c>
      <c r="C2124" s="21">
        <f t="shared" ca="1" si="370"/>
        <v>6355.9763043557759</v>
      </c>
      <c r="D2124" s="21">
        <f t="shared" ca="1" si="366"/>
        <v>3.01796073427544</v>
      </c>
      <c r="E2124" s="21">
        <f t="shared" ref="E2124:E2187" ca="1" si="373">IF($I2123&lt;=$C2124,0,$I2123-$C2124)</f>
        <v>0.77160502776769135</v>
      </c>
      <c r="F2124" s="20" t="str">
        <f t="shared" ca="1" si="371"/>
        <v>No</v>
      </c>
      <c r="G2124" s="21">
        <f t="shared" ca="1" si="367"/>
        <v>0</v>
      </c>
      <c r="H2124" s="21">
        <f t="shared" ca="1" si="368"/>
        <v>6356.7479093835436</v>
      </c>
      <c r="I2124" s="21">
        <f t="shared" ca="1" si="363"/>
        <v>6359.7658701178188</v>
      </c>
      <c r="J2124" s="20">
        <f t="shared" ca="1" si="372"/>
        <v>2</v>
      </c>
      <c r="K2124" s="20">
        <f t="shared" ca="1" si="364"/>
        <v>2</v>
      </c>
      <c r="L2124" s="44">
        <f t="shared" ca="1" si="369"/>
        <v>2</v>
      </c>
    </row>
    <row r="2125" spans="1:12" x14ac:dyDescent="0.25">
      <c r="A2125" s="20">
        <v>2117</v>
      </c>
      <c r="B2125" s="21">
        <f t="shared" ca="1" si="365"/>
        <v>1.2731690389792107</v>
      </c>
      <c r="C2125" s="21">
        <f t="shared" ca="1" si="370"/>
        <v>6357.2494733947551</v>
      </c>
      <c r="D2125" s="21">
        <f t="shared" ca="1" si="366"/>
        <v>2.9323763342586755</v>
      </c>
      <c r="E2125" s="21">
        <f t="shared" ca="1" si="373"/>
        <v>2.5163967230637354</v>
      </c>
      <c r="F2125" s="20" t="str">
        <f t="shared" ca="1" si="371"/>
        <v>No</v>
      </c>
      <c r="G2125" s="21">
        <f t="shared" ca="1" si="367"/>
        <v>0</v>
      </c>
      <c r="H2125" s="21">
        <f t="shared" ca="1" si="368"/>
        <v>6359.7658701178188</v>
      </c>
      <c r="I2125" s="21">
        <f t="shared" ca="1" si="363"/>
        <v>6362.6982464520779</v>
      </c>
      <c r="J2125" s="20">
        <f t="shared" ca="1" si="372"/>
        <v>3</v>
      </c>
      <c r="K2125" s="20">
        <f t="shared" ca="1" si="364"/>
        <v>2</v>
      </c>
      <c r="L2125" s="44">
        <f t="shared" ca="1" si="369"/>
        <v>2.5</v>
      </c>
    </row>
    <row r="2126" spans="1:12" x14ac:dyDescent="0.25">
      <c r="A2126" s="20">
        <v>2118</v>
      </c>
      <c r="B2126" s="21">
        <f t="shared" ca="1" si="365"/>
        <v>0.1951568199535797</v>
      </c>
      <c r="C2126" s="21">
        <f t="shared" ca="1" si="370"/>
        <v>6357.4446302147089</v>
      </c>
      <c r="D2126" s="21">
        <f t="shared" ca="1" si="366"/>
        <v>2.0989650876066563</v>
      </c>
      <c r="E2126" s="21">
        <f t="shared" ca="1" si="373"/>
        <v>5.2536162373689876</v>
      </c>
      <c r="F2126" s="20" t="str">
        <f t="shared" ca="1" si="371"/>
        <v>No</v>
      </c>
      <c r="G2126" s="21">
        <f t="shared" ca="1" si="367"/>
        <v>0</v>
      </c>
      <c r="H2126" s="21">
        <f t="shared" ca="1" si="368"/>
        <v>6362.6982464520779</v>
      </c>
      <c r="I2126" s="21">
        <f t="shared" ca="1" si="363"/>
        <v>6364.7972115396842</v>
      </c>
      <c r="J2126" s="20">
        <f t="shared" ca="1" si="372"/>
        <v>3</v>
      </c>
      <c r="K2126" s="20">
        <f t="shared" ca="1" si="364"/>
        <v>1</v>
      </c>
      <c r="L2126" s="44">
        <f t="shared" ca="1" si="369"/>
        <v>2</v>
      </c>
    </row>
    <row r="2127" spans="1:12" x14ac:dyDescent="0.25">
      <c r="A2127" s="20">
        <v>2119</v>
      </c>
      <c r="B2127" s="21">
        <f t="shared" ca="1" si="365"/>
        <v>2.6172058814148618</v>
      </c>
      <c r="C2127" s="21">
        <f t="shared" ca="1" si="370"/>
        <v>6360.0618360961234</v>
      </c>
      <c r="D2127" s="21">
        <f t="shared" ca="1" si="366"/>
        <v>1.2565676474459149</v>
      </c>
      <c r="E2127" s="21">
        <f t="shared" ca="1" si="373"/>
        <v>4.7353754435607698</v>
      </c>
      <c r="F2127" s="20" t="str">
        <f t="shared" ca="1" si="371"/>
        <v>No</v>
      </c>
      <c r="G2127" s="21">
        <f t="shared" ca="1" si="367"/>
        <v>0</v>
      </c>
      <c r="H2127" s="21">
        <f t="shared" ca="1" si="368"/>
        <v>6364.7972115396842</v>
      </c>
      <c r="I2127" s="21">
        <f t="shared" ca="1" si="363"/>
        <v>6366.0537791871302</v>
      </c>
      <c r="J2127" s="20">
        <f t="shared" ca="1" si="372"/>
        <v>2</v>
      </c>
      <c r="K2127" s="20">
        <f t="shared" ca="1" si="364"/>
        <v>2</v>
      </c>
      <c r="L2127" s="44">
        <f t="shared" ca="1" si="369"/>
        <v>2</v>
      </c>
    </row>
    <row r="2128" spans="1:12" x14ac:dyDescent="0.25">
      <c r="A2128" s="20">
        <v>2120</v>
      </c>
      <c r="B2128" s="21">
        <f t="shared" ca="1" si="365"/>
        <v>4.8816140378185109</v>
      </c>
      <c r="C2128" s="21">
        <f t="shared" ca="1" si="370"/>
        <v>6364.943450133942</v>
      </c>
      <c r="D2128" s="21">
        <f t="shared" ca="1" si="366"/>
        <v>2.1905431868201655</v>
      </c>
      <c r="E2128" s="21">
        <f t="shared" ca="1" si="373"/>
        <v>1.1103290531882521</v>
      </c>
      <c r="F2128" s="20" t="str">
        <f t="shared" ca="1" si="371"/>
        <v>No</v>
      </c>
      <c r="G2128" s="21">
        <f t="shared" ca="1" si="367"/>
        <v>0</v>
      </c>
      <c r="H2128" s="21">
        <f t="shared" ca="1" si="368"/>
        <v>6366.0537791871302</v>
      </c>
      <c r="I2128" s="21">
        <f t="shared" ca="1" si="363"/>
        <v>6368.2443223739501</v>
      </c>
      <c r="J2128" s="20">
        <f t="shared" ca="1" si="372"/>
        <v>3</v>
      </c>
      <c r="K2128" s="20">
        <f t="shared" ca="1" si="364"/>
        <v>3</v>
      </c>
      <c r="L2128" s="44">
        <f t="shared" ca="1" si="369"/>
        <v>3</v>
      </c>
    </row>
    <row r="2129" spans="1:12" x14ac:dyDescent="0.25">
      <c r="A2129" s="20">
        <v>2121</v>
      </c>
      <c r="B2129" s="21">
        <f t="shared" ca="1" si="365"/>
        <v>0.54632735461034754</v>
      </c>
      <c r="C2129" s="21">
        <f t="shared" ca="1" si="370"/>
        <v>6365.4897774885521</v>
      </c>
      <c r="D2129" s="21">
        <f t="shared" ca="1" si="366"/>
        <v>0.9945340315165303</v>
      </c>
      <c r="E2129" s="21">
        <f t="shared" ca="1" si="373"/>
        <v>2.7545448853979906</v>
      </c>
      <c r="F2129" s="20" t="str">
        <f t="shared" ca="1" si="371"/>
        <v>No</v>
      </c>
      <c r="G2129" s="21">
        <f t="shared" ca="1" si="367"/>
        <v>0</v>
      </c>
      <c r="H2129" s="21">
        <f t="shared" ca="1" si="368"/>
        <v>6368.2443223739501</v>
      </c>
      <c r="I2129" s="21">
        <f t="shared" ca="1" si="363"/>
        <v>6369.2388564054663</v>
      </c>
      <c r="J2129" s="20">
        <f t="shared" ca="1" si="372"/>
        <v>4</v>
      </c>
      <c r="K2129" s="20">
        <f t="shared" ca="1" si="364"/>
        <v>2</v>
      </c>
      <c r="L2129" s="44">
        <f t="shared" ca="1" si="369"/>
        <v>3</v>
      </c>
    </row>
    <row r="2130" spans="1:12" x14ac:dyDescent="0.25">
      <c r="A2130" s="20">
        <v>2122</v>
      </c>
      <c r="B2130" s="21">
        <f t="shared" ca="1" si="365"/>
        <v>0.59909044583482796</v>
      </c>
      <c r="C2130" s="21">
        <f t="shared" ca="1" si="370"/>
        <v>6366.0888679343871</v>
      </c>
      <c r="D2130" s="21">
        <f t="shared" ca="1" si="366"/>
        <v>2.2773354739775309</v>
      </c>
      <c r="E2130" s="21">
        <f t="shared" ca="1" si="373"/>
        <v>3.1499884710792685</v>
      </c>
      <c r="F2130" s="20" t="str">
        <f t="shared" ca="1" si="371"/>
        <v>No</v>
      </c>
      <c r="G2130" s="21">
        <f t="shared" ca="1" si="367"/>
        <v>0</v>
      </c>
      <c r="H2130" s="21">
        <f t="shared" ca="1" si="368"/>
        <v>6369.2388564054663</v>
      </c>
      <c r="I2130" s="21">
        <f t="shared" ca="1" si="363"/>
        <v>6371.5161918794438</v>
      </c>
      <c r="J2130" s="20">
        <f t="shared" ca="1" si="372"/>
        <v>3</v>
      </c>
      <c r="K2130" s="20">
        <f t="shared" ca="1" si="364"/>
        <v>4</v>
      </c>
      <c r="L2130" s="44">
        <f t="shared" ca="1" si="369"/>
        <v>3.5</v>
      </c>
    </row>
    <row r="2131" spans="1:12" x14ac:dyDescent="0.25">
      <c r="A2131" s="20">
        <v>2123</v>
      </c>
      <c r="B2131" s="21">
        <f t="shared" ca="1" si="365"/>
        <v>0.21329527438195159</v>
      </c>
      <c r="C2131" s="21">
        <f t="shared" ca="1" si="370"/>
        <v>6366.3021632087693</v>
      </c>
      <c r="D2131" s="21">
        <f t="shared" ca="1" si="366"/>
        <v>4.8959365778321864</v>
      </c>
      <c r="E2131" s="21">
        <f t="shared" ca="1" si="373"/>
        <v>5.2140286706744519</v>
      </c>
      <c r="F2131" s="20" t="str">
        <f t="shared" ca="1" si="371"/>
        <v>No</v>
      </c>
      <c r="G2131" s="21">
        <f t="shared" ca="1" si="367"/>
        <v>0</v>
      </c>
      <c r="H2131" s="21">
        <f t="shared" ca="1" si="368"/>
        <v>6371.5161918794438</v>
      </c>
      <c r="I2131" s="21">
        <f t="shared" ca="1" si="363"/>
        <v>6376.4121284572757</v>
      </c>
      <c r="J2131" s="20">
        <f t="shared" ca="1" si="372"/>
        <v>5</v>
      </c>
      <c r="K2131" s="20">
        <f t="shared" ca="1" si="364"/>
        <v>4</v>
      </c>
      <c r="L2131" s="44">
        <f t="shared" ca="1" si="369"/>
        <v>4.5</v>
      </c>
    </row>
    <row r="2132" spans="1:12" x14ac:dyDescent="0.25">
      <c r="A2132" s="20">
        <v>2124</v>
      </c>
      <c r="B2132" s="21">
        <f t="shared" ca="1" si="365"/>
        <v>2.9882231212540322</v>
      </c>
      <c r="C2132" s="21">
        <f t="shared" ca="1" si="370"/>
        <v>6369.2903863300235</v>
      </c>
      <c r="D2132" s="21">
        <f t="shared" ca="1" si="366"/>
        <v>3.6924901096944032</v>
      </c>
      <c r="E2132" s="21">
        <f t="shared" ca="1" si="373"/>
        <v>7.1217421272522188</v>
      </c>
      <c r="F2132" s="20" t="str">
        <f t="shared" ca="1" si="371"/>
        <v>No</v>
      </c>
      <c r="G2132" s="21">
        <f t="shared" ca="1" si="367"/>
        <v>0</v>
      </c>
      <c r="H2132" s="21">
        <f t="shared" ca="1" si="368"/>
        <v>6376.4121284572757</v>
      </c>
      <c r="I2132" s="21">
        <f t="shared" ca="1" si="363"/>
        <v>6380.1046185669702</v>
      </c>
      <c r="J2132" s="20">
        <f t="shared" ca="1" si="372"/>
        <v>5</v>
      </c>
      <c r="K2132" s="20">
        <f t="shared" ca="1" si="364"/>
        <v>3</v>
      </c>
      <c r="L2132" s="44">
        <f t="shared" ca="1" si="369"/>
        <v>4</v>
      </c>
    </row>
    <row r="2133" spans="1:12" x14ac:dyDescent="0.25">
      <c r="A2133" s="20">
        <v>2125</v>
      </c>
      <c r="B2133" s="21">
        <f t="shared" ca="1" si="365"/>
        <v>1.3867883643118541</v>
      </c>
      <c r="C2133" s="21">
        <f t="shared" ca="1" si="370"/>
        <v>6370.677174694335</v>
      </c>
      <c r="D2133" s="21">
        <f t="shared" ca="1" si="366"/>
        <v>6.0162098758264859</v>
      </c>
      <c r="E2133" s="21">
        <f t="shared" ca="1" si="373"/>
        <v>9.4274438726351946</v>
      </c>
      <c r="F2133" s="20" t="str">
        <f t="shared" ca="1" si="371"/>
        <v>No</v>
      </c>
      <c r="G2133" s="21">
        <f t="shared" ca="1" si="367"/>
        <v>0</v>
      </c>
      <c r="H2133" s="21">
        <f t="shared" ca="1" si="368"/>
        <v>6380.1046185669702</v>
      </c>
      <c r="I2133" s="21">
        <f t="shared" ca="1" si="363"/>
        <v>6386.1208284427967</v>
      </c>
      <c r="J2133" s="20">
        <f t="shared" ca="1" si="372"/>
        <v>4</v>
      </c>
      <c r="K2133" s="20">
        <f t="shared" ca="1" si="364"/>
        <v>4</v>
      </c>
      <c r="L2133" s="44">
        <f t="shared" ca="1" si="369"/>
        <v>4</v>
      </c>
    </row>
    <row r="2134" spans="1:12" x14ac:dyDescent="0.25">
      <c r="A2134" s="20">
        <v>2126</v>
      </c>
      <c r="B2134" s="21">
        <f t="shared" ca="1" si="365"/>
        <v>0.47875980442160293</v>
      </c>
      <c r="C2134" s="21">
        <f t="shared" ca="1" si="370"/>
        <v>6371.1559344987563</v>
      </c>
      <c r="D2134" s="21">
        <f t="shared" ca="1" si="366"/>
        <v>0.20312099537482581</v>
      </c>
      <c r="E2134" s="21">
        <f t="shared" ca="1" si="373"/>
        <v>14.964893944040341</v>
      </c>
      <c r="F2134" s="20" t="str">
        <f t="shared" ca="1" si="371"/>
        <v>No</v>
      </c>
      <c r="G2134" s="21">
        <f t="shared" ca="1" si="367"/>
        <v>0</v>
      </c>
      <c r="H2134" s="21">
        <f t="shared" ca="1" si="368"/>
        <v>6386.1208284427967</v>
      </c>
      <c r="I2134" s="21">
        <f t="shared" ca="1" si="363"/>
        <v>6386.3239494381714</v>
      </c>
      <c r="J2134" s="20">
        <f t="shared" ca="1" si="372"/>
        <v>5</v>
      </c>
      <c r="K2134" s="20">
        <f t="shared" ca="1" si="364"/>
        <v>3</v>
      </c>
      <c r="L2134" s="44">
        <f t="shared" ca="1" si="369"/>
        <v>4</v>
      </c>
    </row>
    <row r="2135" spans="1:12" x14ac:dyDescent="0.25">
      <c r="A2135" s="20">
        <v>2127</v>
      </c>
      <c r="B2135" s="21">
        <f t="shared" ca="1" si="365"/>
        <v>2.0291684068381879</v>
      </c>
      <c r="C2135" s="21">
        <f t="shared" ca="1" si="370"/>
        <v>6373.1851029055942</v>
      </c>
      <c r="D2135" s="21">
        <f t="shared" ca="1" si="366"/>
        <v>6.441372415519707</v>
      </c>
      <c r="E2135" s="21">
        <f t="shared" ca="1" si="373"/>
        <v>13.13884653257719</v>
      </c>
      <c r="F2135" s="20" t="str">
        <f t="shared" ca="1" si="371"/>
        <v>No</v>
      </c>
      <c r="G2135" s="21">
        <f t="shared" ca="1" si="367"/>
        <v>0</v>
      </c>
      <c r="H2135" s="21">
        <f t="shared" ca="1" si="368"/>
        <v>6386.3239494381714</v>
      </c>
      <c r="I2135" s="21">
        <f t="shared" ca="1" si="363"/>
        <v>6392.7653218536907</v>
      </c>
      <c r="J2135" s="20">
        <f t="shared" ca="1" si="372"/>
        <v>4</v>
      </c>
      <c r="K2135" s="20">
        <f t="shared" ca="1" si="364"/>
        <v>3</v>
      </c>
      <c r="L2135" s="44">
        <f t="shared" ca="1" si="369"/>
        <v>3.5</v>
      </c>
    </row>
    <row r="2136" spans="1:12" x14ac:dyDescent="0.25">
      <c r="A2136" s="20">
        <v>2128</v>
      </c>
      <c r="B2136" s="21">
        <f t="shared" ca="1" si="365"/>
        <v>7.8853268739601532</v>
      </c>
      <c r="C2136" s="21">
        <f t="shared" ca="1" si="370"/>
        <v>6381.0704297795546</v>
      </c>
      <c r="D2136" s="21">
        <f t="shared" ca="1" si="366"/>
        <v>1.186620940558726</v>
      </c>
      <c r="E2136" s="21">
        <f t="shared" ca="1" si="373"/>
        <v>11.694892074136078</v>
      </c>
      <c r="F2136" s="20" t="str">
        <f t="shared" ca="1" si="371"/>
        <v>No</v>
      </c>
      <c r="G2136" s="21">
        <f t="shared" ca="1" si="367"/>
        <v>0</v>
      </c>
      <c r="H2136" s="21">
        <f t="shared" ca="1" si="368"/>
        <v>6392.7653218536907</v>
      </c>
      <c r="I2136" s="21">
        <f t="shared" ca="1" si="363"/>
        <v>6393.9519427942496</v>
      </c>
      <c r="J2136" s="20">
        <f t="shared" ca="1" si="372"/>
        <v>4</v>
      </c>
      <c r="K2136" s="20">
        <f t="shared" ca="1" si="364"/>
        <v>3</v>
      </c>
      <c r="L2136" s="44">
        <f t="shared" ca="1" si="369"/>
        <v>3.5</v>
      </c>
    </row>
    <row r="2137" spans="1:12" x14ac:dyDescent="0.25">
      <c r="A2137" s="20">
        <v>2129</v>
      </c>
      <c r="B2137" s="21">
        <f t="shared" ca="1" si="365"/>
        <v>2.8166199315916973</v>
      </c>
      <c r="C2137" s="21">
        <f t="shared" ca="1" si="370"/>
        <v>6383.8870497111466</v>
      </c>
      <c r="D2137" s="21">
        <f t="shared" ca="1" si="366"/>
        <v>2.1366472039070894</v>
      </c>
      <c r="E2137" s="21">
        <f t="shared" ca="1" si="373"/>
        <v>10.064893083103016</v>
      </c>
      <c r="F2137" s="20" t="str">
        <f t="shared" ca="1" si="371"/>
        <v>No</v>
      </c>
      <c r="G2137" s="21">
        <f t="shared" ca="1" si="367"/>
        <v>0</v>
      </c>
      <c r="H2137" s="21">
        <f t="shared" ca="1" si="368"/>
        <v>6393.9519427942496</v>
      </c>
      <c r="I2137" s="21">
        <f t="shared" ca="1" si="363"/>
        <v>6396.0885899981567</v>
      </c>
      <c r="J2137" s="20">
        <f t="shared" ca="1" si="372"/>
        <v>4</v>
      </c>
      <c r="K2137" s="20">
        <f t="shared" ca="1" si="364"/>
        <v>2</v>
      </c>
      <c r="L2137" s="44">
        <f t="shared" ca="1" si="369"/>
        <v>3</v>
      </c>
    </row>
    <row r="2138" spans="1:12" x14ac:dyDescent="0.25">
      <c r="A2138" s="20">
        <v>2130</v>
      </c>
      <c r="B2138" s="21">
        <f t="shared" ca="1" si="365"/>
        <v>3.8546055895214355</v>
      </c>
      <c r="C2138" s="21">
        <f t="shared" ca="1" si="370"/>
        <v>6387.7416553006678</v>
      </c>
      <c r="D2138" s="21">
        <f t="shared" ca="1" si="366"/>
        <v>4.3129499834773686</v>
      </c>
      <c r="E2138" s="21">
        <f t="shared" ca="1" si="373"/>
        <v>8.3469346974889049</v>
      </c>
      <c r="F2138" s="20" t="str">
        <f t="shared" ca="1" si="371"/>
        <v>No</v>
      </c>
      <c r="G2138" s="21">
        <f t="shared" ca="1" si="367"/>
        <v>0</v>
      </c>
      <c r="H2138" s="21">
        <f t="shared" ca="1" si="368"/>
        <v>6396.0885899981567</v>
      </c>
      <c r="I2138" s="21">
        <f t="shared" ca="1" si="363"/>
        <v>6400.4015399816344</v>
      </c>
      <c r="J2138" s="20">
        <f t="shared" ca="1" si="372"/>
        <v>3</v>
      </c>
      <c r="K2138" s="20">
        <f t="shared" ca="1" si="364"/>
        <v>1</v>
      </c>
      <c r="L2138" s="44">
        <f t="shared" ca="1" si="369"/>
        <v>2</v>
      </c>
    </row>
    <row r="2139" spans="1:12" x14ac:dyDescent="0.25">
      <c r="A2139" s="20">
        <v>2131</v>
      </c>
      <c r="B2139" s="21">
        <f t="shared" ca="1" si="365"/>
        <v>6.0740164828300607</v>
      </c>
      <c r="C2139" s="21">
        <f t="shared" ca="1" si="370"/>
        <v>6393.8156717834981</v>
      </c>
      <c r="D2139" s="21">
        <f t="shared" ca="1" si="366"/>
        <v>4.02763604644701</v>
      </c>
      <c r="E2139" s="21">
        <f t="shared" ca="1" si="373"/>
        <v>6.5858681981362679</v>
      </c>
      <c r="F2139" s="20" t="str">
        <f t="shared" ca="1" si="371"/>
        <v>No</v>
      </c>
      <c r="G2139" s="21">
        <f t="shared" ca="1" si="367"/>
        <v>0</v>
      </c>
      <c r="H2139" s="21">
        <f t="shared" ca="1" si="368"/>
        <v>6400.4015399816344</v>
      </c>
      <c r="I2139" s="21">
        <f t="shared" ca="1" si="363"/>
        <v>6404.4291760280812</v>
      </c>
      <c r="J2139" s="20">
        <f t="shared" ca="1" si="372"/>
        <v>2</v>
      </c>
      <c r="K2139" s="20">
        <f t="shared" ca="1" si="364"/>
        <v>4</v>
      </c>
      <c r="L2139" s="44">
        <f t="shared" ca="1" si="369"/>
        <v>3</v>
      </c>
    </row>
    <row r="2140" spans="1:12" x14ac:dyDescent="0.25">
      <c r="A2140" s="20">
        <v>2132</v>
      </c>
      <c r="B2140" s="21">
        <f t="shared" ca="1" si="365"/>
        <v>7.1451783005489542</v>
      </c>
      <c r="C2140" s="21">
        <f t="shared" ca="1" si="370"/>
        <v>6400.9608500840468</v>
      </c>
      <c r="D2140" s="21">
        <f t="shared" ca="1" si="366"/>
        <v>4.8757605930072119</v>
      </c>
      <c r="E2140" s="21">
        <f t="shared" ca="1" si="373"/>
        <v>3.4683259440344045</v>
      </c>
      <c r="F2140" s="20" t="str">
        <f t="shared" ca="1" si="371"/>
        <v>No</v>
      </c>
      <c r="G2140" s="21">
        <f t="shared" ca="1" si="367"/>
        <v>0</v>
      </c>
      <c r="H2140" s="21">
        <f t="shared" ca="1" si="368"/>
        <v>6404.4291760280812</v>
      </c>
      <c r="I2140" s="21">
        <f t="shared" ca="1" si="363"/>
        <v>6409.304936621088</v>
      </c>
      <c r="J2140" s="20">
        <f t="shared" ca="1" si="372"/>
        <v>5</v>
      </c>
      <c r="K2140" s="20">
        <f t="shared" ca="1" si="364"/>
        <v>4</v>
      </c>
      <c r="L2140" s="44">
        <f t="shared" ca="1" si="369"/>
        <v>4.5</v>
      </c>
    </row>
    <row r="2141" spans="1:12" x14ac:dyDescent="0.25">
      <c r="A2141" s="20">
        <v>2133</v>
      </c>
      <c r="B2141" s="21">
        <f t="shared" ca="1" si="365"/>
        <v>5.3770948793843691E-2</v>
      </c>
      <c r="C2141" s="21">
        <f t="shared" ca="1" si="370"/>
        <v>6401.0146210328403</v>
      </c>
      <c r="D2141" s="21">
        <f t="shared" ca="1" si="366"/>
        <v>0.23763840785240592</v>
      </c>
      <c r="E2141" s="21">
        <f t="shared" ca="1" si="373"/>
        <v>8.2903155882477222</v>
      </c>
      <c r="F2141" s="20" t="str">
        <f t="shared" ca="1" si="371"/>
        <v>No</v>
      </c>
      <c r="G2141" s="21">
        <f t="shared" ca="1" si="367"/>
        <v>0</v>
      </c>
      <c r="H2141" s="21">
        <f t="shared" ca="1" si="368"/>
        <v>6409.304936621088</v>
      </c>
      <c r="I2141" s="21">
        <f t="shared" ca="1" si="363"/>
        <v>6409.5425750289405</v>
      </c>
      <c r="J2141" s="20">
        <f t="shared" ca="1" si="372"/>
        <v>5</v>
      </c>
      <c r="K2141" s="20">
        <f t="shared" ca="1" si="364"/>
        <v>3</v>
      </c>
      <c r="L2141" s="44">
        <f t="shared" ca="1" si="369"/>
        <v>4</v>
      </c>
    </row>
    <row r="2142" spans="1:12" x14ac:dyDescent="0.25">
      <c r="A2142" s="20">
        <v>2134</v>
      </c>
      <c r="B2142" s="21">
        <f t="shared" ca="1" si="365"/>
        <v>0.13186558952113014</v>
      </c>
      <c r="C2142" s="21">
        <f t="shared" ca="1" si="370"/>
        <v>6401.1464866223614</v>
      </c>
      <c r="D2142" s="21">
        <f t="shared" ca="1" si="366"/>
        <v>0.23727138533113501</v>
      </c>
      <c r="E2142" s="21">
        <f t="shared" ca="1" si="373"/>
        <v>8.3960884065791106</v>
      </c>
      <c r="F2142" s="20" t="str">
        <f t="shared" ca="1" si="371"/>
        <v>No</v>
      </c>
      <c r="G2142" s="21">
        <f t="shared" ca="1" si="367"/>
        <v>0</v>
      </c>
      <c r="H2142" s="21">
        <f t="shared" ca="1" si="368"/>
        <v>6409.5425750289405</v>
      </c>
      <c r="I2142" s="21">
        <f t="shared" ca="1" si="363"/>
        <v>6409.7798464142716</v>
      </c>
      <c r="J2142" s="20">
        <f t="shared" ca="1" si="372"/>
        <v>4</v>
      </c>
      <c r="K2142" s="20">
        <f t="shared" ca="1" si="364"/>
        <v>2</v>
      </c>
      <c r="L2142" s="44">
        <f t="shared" ca="1" si="369"/>
        <v>3</v>
      </c>
    </row>
    <row r="2143" spans="1:12" x14ac:dyDescent="0.25">
      <c r="A2143" s="20">
        <v>2135</v>
      </c>
      <c r="B2143" s="21">
        <f t="shared" ca="1" si="365"/>
        <v>1.1342688589750027</v>
      </c>
      <c r="C2143" s="21">
        <f t="shared" ca="1" si="370"/>
        <v>6402.2807554813362</v>
      </c>
      <c r="D2143" s="21">
        <f t="shared" ca="1" si="366"/>
        <v>6.143144897369357</v>
      </c>
      <c r="E2143" s="21">
        <f t="shared" ca="1" si="373"/>
        <v>7.4990909329353599</v>
      </c>
      <c r="F2143" s="20" t="str">
        <f t="shared" ca="1" si="371"/>
        <v>No</v>
      </c>
      <c r="G2143" s="21">
        <f t="shared" ca="1" si="367"/>
        <v>0</v>
      </c>
      <c r="H2143" s="21">
        <f t="shared" ca="1" si="368"/>
        <v>6409.7798464142716</v>
      </c>
      <c r="I2143" s="21">
        <f t="shared" ca="1" si="363"/>
        <v>6415.9229913116405</v>
      </c>
      <c r="J2143" s="20">
        <f t="shared" ca="1" si="372"/>
        <v>3</v>
      </c>
      <c r="K2143" s="20">
        <f t="shared" ca="1" si="364"/>
        <v>3</v>
      </c>
      <c r="L2143" s="44">
        <f t="shared" ca="1" si="369"/>
        <v>3</v>
      </c>
    </row>
    <row r="2144" spans="1:12" x14ac:dyDescent="0.25">
      <c r="A2144" s="20">
        <v>2136</v>
      </c>
      <c r="B2144" s="21">
        <f t="shared" ca="1" si="365"/>
        <v>6.2043446384838248</v>
      </c>
      <c r="C2144" s="21">
        <f t="shared" ca="1" si="370"/>
        <v>6408.4851001198203</v>
      </c>
      <c r="D2144" s="21">
        <f t="shared" ca="1" si="366"/>
        <v>1.2717555212861265</v>
      </c>
      <c r="E2144" s="21">
        <f t="shared" ca="1" si="373"/>
        <v>7.4378911918201993</v>
      </c>
      <c r="F2144" s="20" t="str">
        <f t="shared" ca="1" si="371"/>
        <v>No</v>
      </c>
      <c r="G2144" s="21">
        <f t="shared" ca="1" si="367"/>
        <v>0</v>
      </c>
      <c r="H2144" s="21">
        <f t="shared" ca="1" si="368"/>
        <v>6415.9229913116405</v>
      </c>
      <c r="I2144" s="21">
        <f t="shared" ca="1" si="363"/>
        <v>6417.1947468329263</v>
      </c>
      <c r="J2144" s="20">
        <f t="shared" ca="1" si="372"/>
        <v>4</v>
      </c>
      <c r="K2144" s="20">
        <f t="shared" ca="1" si="364"/>
        <v>3</v>
      </c>
      <c r="L2144" s="44">
        <f t="shared" ca="1" si="369"/>
        <v>3.5</v>
      </c>
    </row>
    <row r="2145" spans="1:12" x14ac:dyDescent="0.25">
      <c r="A2145" s="20">
        <v>2137</v>
      </c>
      <c r="B2145" s="21">
        <f t="shared" ca="1" si="365"/>
        <v>5.4855751905858501</v>
      </c>
      <c r="C2145" s="21">
        <f t="shared" ca="1" si="370"/>
        <v>6413.9706753104065</v>
      </c>
      <c r="D2145" s="21">
        <f t="shared" ca="1" si="366"/>
        <v>3.421081473197976</v>
      </c>
      <c r="E2145" s="21">
        <f t="shared" ca="1" si="373"/>
        <v>3.2240715225198073</v>
      </c>
      <c r="F2145" s="20" t="str">
        <f t="shared" ca="1" si="371"/>
        <v>No</v>
      </c>
      <c r="G2145" s="21">
        <f t="shared" ca="1" si="367"/>
        <v>0</v>
      </c>
      <c r="H2145" s="21">
        <f t="shared" ca="1" si="368"/>
        <v>6417.1947468329263</v>
      </c>
      <c r="I2145" s="21">
        <f t="shared" ca="1" si="363"/>
        <v>6420.6158283061241</v>
      </c>
      <c r="J2145" s="20">
        <f t="shared" ca="1" si="372"/>
        <v>4</v>
      </c>
      <c r="K2145" s="20">
        <f t="shared" ca="1" si="364"/>
        <v>2</v>
      </c>
      <c r="L2145" s="44">
        <f t="shared" ca="1" si="369"/>
        <v>3</v>
      </c>
    </row>
    <row r="2146" spans="1:12" x14ac:dyDescent="0.25">
      <c r="A2146" s="20">
        <v>2138</v>
      </c>
      <c r="B2146" s="21">
        <f t="shared" ca="1" si="365"/>
        <v>1.1050104003162871</v>
      </c>
      <c r="C2146" s="21">
        <f t="shared" ca="1" si="370"/>
        <v>6415.0756857107226</v>
      </c>
      <c r="D2146" s="21">
        <f t="shared" ca="1" si="366"/>
        <v>7.6193021562395616E-2</v>
      </c>
      <c r="E2146" s="21">
        <f t="shared" ca="1" si="373"/>
        <v>5.5401425954014485</v>
      </c>
      <c r="F2146" s="20" t="str">
        <f t="shared" ca="1" si="371"/>
        <v>No</v>
      </c>
      <c r="G2146" s="21">
        <f t="shared" ca="1" si="367"/>
        <v>0</v>
      </c>
      <c r="H2146" s="21">
        <f t="shared" ca="1" si="368"/>
        <v>6420.6158283061241</v>
      </c>
      <c r="I2146" s="21">
        <f t="shared" ca="1" si="363"/>
        <v>6420.6920213276862</v>
      </c>
      <c r="J2146" s="20">
        <f t="shared" ca="1" si="372"/>
        <v>3</v>
      </c>
      <c r="K2146" s="20">
        <f t="shared" ca="1" si="364"/>
        <v>1</v>
      </c>
      <c r="L2146" s="44">
        <f t="shared" ca="1" si="369"/>
        <v>2</v>
      </c>
    </row>
    <row r="2147" spans="1:12" x14ac:dyDescent="0.25">
      <c r="A2147" s="20">
        <v>2139</v>
      </c>
      <c r="B2147" s="21">
        <f t="shared" ca="1" si="365"/>
        <v>1.0126688540757216</v>
      </c>
      <c r="C2147" s="21">
        <f t="shared" ca="1" si="370"/>
        <v>6416.0883545647985</v>
      </c>
      <c r="D2147" s="21">
        <f t="shared" ca="1" si="366"/>
        <v>19.461849326503078</v>
      </c>
      <c r="E2147" s="21">
        <f t="shared" ca="1" si="373"/>
        <v>4.6036667628877694</v>
      </c>
      <c r="F2147" s="20" t="str">
        <f t="shared" ca="1" si="371"/>
        <v>No</v>
      </c>
      <c r="G2147" s="21">
        <f t="shared" ca="1" si="367"/>
        <v>0</v>
      </c>
      <c r="H2147" s="21">
        <f t="shared" ca="1" si="368"/>
        <v>6420.6920213276862</v>
      </c>
      <c r="I2147" s="21">
        <f t="shared" ca="1" si="363"/>
        <v>6440.1538706541896</v>
      </c>
      <c r="J2147" s="20">
        <f t="shared" ca="1" si="372"/>
        <v>2</v>
      </c>
      <c r="K2147" s="20">
        <f t="shared" ca="1" si="364"/>
        <v>5</v>
      </c>
      <c r="L2147" s="44">
        <f t="shared" ca="1" si="369"/>
        <v>3.5</v>
      </c>
    </row>
    <row r="2148" spans="1:12" x14ac:dyDescent="0.25">
      <c r="A2148" s="20">
        <v>2140</v>
      </c>
      <c r="B2148" s="21">
        <f t="shared" ca="1" si="365"/>
        <v>4.6810710404410862</v>
      </c>
      <c r="C2148" s="21">
        <f t="shared" ca="1" si="370"/>
        <v>6420.7694256052391</v>
      </c>
      <c r="D2148" s="21">
        <f t="shared" ca="1" si="366"/>
        <v>0.57195976359716816</v>
      </c>
      <c r="E2148" s="21">
        <f t="shared" ca="1" si="373"/>
        <v>19.384445048950511</v>
      </c>
      <c r="F2148" s="20" t="str">
        <f t="shared" ca="1" si="371"/>
        <v>No</v>
      </c>
      <c r="G2148" s="21">
        <f t="shared" ca="1" si="367"/>
        <v>0</v>
      </c>
      <c r="H2148" s="21">
        <f t="shared" ca="1" si="368"/>
        <v>6440.1538706541896</v>
      </c>
      <c r="I2148" s="21">
        <f t="shared" ca="1" si="363"/>
        <v>6440.7258304177867</v>
      </c>
      <c r="J2148" s="20">
        <f t="shared" ca="1" si="372"/>
        <v>6</v>
      </c>
      <c r="K2148" s="20">
        <f t="shared" ca="1" si="364"/>
        <v>5</v>
      </c>
      <c r="L2148" s="44">
        <f t="shared" ca="1" si="369"/>
        <v>5.5</v>
      </c>
    </row>
    <row r="2149" spans="1:12" x14ac:dyDescent="0.25">
      <c r="A2149" s="20">
        <v>2141</v>
      </c>
      <c r="B2149" s="21">
        <f t="shared" ca="1" si="365"/>
        <v>4.1910317401531181</v>
      </c>
      <c r="C2149" s="21">
        <f t="shared" ca="1" si="370"/>
        <v>6424.9604573453926</v>
      </c>
      <c r="D2149" s="21">
        <f t="shared" ca="1" si="366"/>
        <v>2.6173615995536381</v>
      </c>
      <c r="E2149" s="21">
        <f t="shared" ca="1" si="373"/>
        <v>15.765373072394141</v>
      </c>
      <c r="F2149" s="20" t="str">
        <f t="shared" ca="1" si="371"/>
        <v>No</v>
      </c>
      <c r="G2149" s="21">
        <f t="shared" ca="1" si="367"/>
        <v>0</v>
      </c>
      <c r="H2149" s="21">
        <f t="shared" ca="1" si="368"/>
        <v>6440.7258304177867</v>
      </c>
      <c r="I2149" s="21">
        <f t="shared" ca="1" si="363"/>
        <v>6443.3431920173407</v>
      </c>
      <c r="J2149" s="20">
        <f t="shared" ca="1" si="372"/>
        <v>6</v>
      </c>
      <c r="K2149" s="20">
        <f t="shared" ca="1" si="364"/>
        <v>5</v>
      </c>
      <c r="L2149" s="44">
        <f t="shared" ca="1" si="369"/>
        <v>5.5</v>
      </c>
    </row>
    <row r="2150" spans="1:12" x14ac:dyDescent="0.25">
      <c r="A2150" s="20">
        <v>2142</v>
      </c>
      <c r="B2150" s="21">
        <f t="shared" ca="1" si="365"/>
        <v>1.4615204271357645</v>
      </c>
      <c r="C2150" s="21">
        <f t="shared" ca="1" si="370"/>
        <v>6426.4219777725284</v>
      </c>
      <c r="D2150" s="21">
        <f t="shared" ca="1" si="366"/>
        <v>10.323095380096348</v>
      </c>
      <c r="E2150" s="21">
        <f t="shared" ca="1" si="373"/>
        <v>16.92121424481229</v>
      </c>
      <c r="F2150" s="20" t="str">
        <f t="shared" ca="1" si="371"/>
        <v>No</v>
      </c>
      <c r="G2150" s="21">
        <f t="shared" ca="1" si="367"/>
        <v>0</v>
      </c>
      <c r="H2150" s="21">
        <f t="shared" ca="1" si="368"/>
        <v>6443.3431920173407</v>
      </c>
      <c r="I2150" s="21">
        <f t="shared" ca="1" si="363"/>
        <v>6453.6662873974374</v>
      </c>
      <c r="J2150" s="20">
        <f t="shared" ca="1" si="372"/>
        <v>6</v>
      </c>
      <c r="K2150" s="20">
        <f t="shared" ca="1" si="364"/>
        <v>5</v>
      </c>
      <c r="L2150" s="44">
        <f t="shared" ca="1" si="369"/>
        <v>5.5</v>
      </c>
    </row>
    <row r="2151" spans="1:12" x14ac:dyDescent="0.25">
      <c r="A2151" s="20">
        <v>2143</v>
      </c>
      <c r="B2151" s="21">
        <f t="shared" ca="1" si="365"/>
        <v>1.2193536267665936</v>
      </c>
      <c r="C2151" s="21">
        <f t="shared" ca="1" si="370"/>
        <v>6427.6413313992953</v>
      </c>
      <c r="D2151" s="21">
        <f t="shared" ca="1" si="366"/>
        <v>1.5242429917339577</v>
      </c>
      <c r="E2151" s="21">
        <f t="shared" ca="1" si="373"/>
        <v>26.024955998142104</v>
      </c>
      <c r="F2151" s="20" t="str">
        <f t="shared" ca="1" si="371"/>
        <v>No</v>
      </c>
      <c r="G2151" s="21">
        <f t="shared" ca="1" si="367"/>
        <v>0</v>
      </c>
      <c r="H2151" s="21">
        <f t="shared" ca="1" si="368"/>
        <v>6453.6662873974374</v>
      </c>
      <c r="I2151" s="21">
        <f t="shared" ca="1" si="363"/>
        <v>6455.1905303891717</v>
      </c>
      <c r="J2151" s="20">
        <f t="shared" ca="1" si="372"/>
        <v>6</v>
      </c>
      <c r="K2151" s="20">
        <f t="shared" ca="1" si="364"/>
        <v>5</v>
      </c>
      <c r="L2151" s="44">
        <f t="shared" ca="1" si="369"/>
        <v>5.5</v>
      </c>
    </row>
    <row r="2152" spans="1:12" x14ac:dyDescent="0.25">
      <c r="A2152" s="20">
        <v>2144</v>
      </c>
      <c r="B2152" s="21">
        <f t="shared" ca="1" si="365"/>
        <v>4.1194580509587633</v>
      </c>
      <c r="C2152" s="21">
        <f t="shared" ca="1" si="370"/>
        <v>6431.7607894502544</v>
      </c>
      <c r="D2152" s="21">
        <f t="shared" ca="1" si="366"/>
        <v>0.40567104482326133</v>
      </c>
      <c r="E2152" s="21">
        <f t="shared" ca="1" si="373"/>
        <v>23.429740938917348</v>
      </c>
      <c r="F2152" s="20" t="str">
        <f t="shared" ca="1" si="371"/>
        <v>No</v>
      </c>
      <c r="G2152" s="21">
        <f t="shared" ca="1" si="367"/>
        <v>0</v>
      </c>
      <c r="H2152" s="21">
        <f t="shared" ca="1" si="368"/>
        <v>6455.1905303891717</v>
      </c>
      <c r="I2152" s="21">
        <f t="shared" ca="1" si="363"/>
        <v>6455.5962014339948</v>
      </c>
      <c r="J2152" s="20">
        <f t="shared" ca="1" si="372"/>
        <v>6</v>
      </c>
      <c r="K2152" s="20">
        <f t="shared" ca="1" si="364"/>
        <v>5</v>
      </c>
      <c r="L2152" s="44">
        <f t="shared" ca="1" si="369"/>
        <v>5.5</v>
      </c>
    </row>
    <row r="2153" spans="1:12" x14ac:dyDescent="0.25">
      <c r="A2153" s="20">
        <v>2145</v>
      </c>
      <c r="B2153" s="21">
        <f t="shared" ca="1" si="365"/>
        <v>4.5512853719354762</v>
      </c>
      <c r="C2153" s="21">
        <f t="shared" ca="1" si="370"/>
        <v>6436.31207482219</v>
      </c>
      <c r="D2153" s="21">
        <f t="shared" ca="1" si="366"/>
        <v>3.2577554630277143</v>
      </c>
      <c r="E2153" s="21">
        <f t="shared" ca="1" si="373"/>
        <v>19.284126611804822</v>
      </c>
      <c r="F2153" s="20" t="str">
        <f t="shared" ca="1" si="371"/>
        <v>No</v>
      </c>
      <c r="G2153" s="21">
        <f t="shared" ca="1" si="367"/>
        <v>0</v>
      </c>
      <c r="H2153" s="21">
        <f t="shared" ca="1" si="368"/>
        <v>6455.5962014339948</v>
      </c>
      <c r="I2153" s="21">
        <f t="shared" ca="1" si="363"/>
        <v>6458.8539568970227</v>
      </c>
      <c r="J2153" s="20">
        <f t="shared" ca="1" si="372"/>
        <v>6</v>
      </c>
      <c r="K2153" s="20">
        <f t="shared" ca="1" si="364"/>
        <v>5</v>
      </c>
      <c r="L2153" s="44">
        <f t="shared" ca="1" si="369"/>
        <v>5.5</v>
      </c>
    </row>
    <row r="2154" spans="1:12" x14ac:dyDescent="0.25">
      <c r="A2154" s="20">
        <v>2146</v>
      </c>
      <c r="B2154" s="21">
        <f t="shared" ca="1" si="365"/>
        <v>1.4025747644126967</v>
      </c>
      <c r="C2154" s="21">
        <f t="shared" ca="1" si="370"/>
        <v>6437.7146495866027</v>
      </c>
      <c r="D2154" s="21">
        <f t="shared" ca="1" si="366"/>
        <v>6.4779739349971388</v>
      </c>
      <c r="E2154" s="21">
        <f t="shared" ca="1" si="373"/>
        <v>21.139307310420008</v>
      </c>
      <c r="F2154" s="20" t="str">
        <f t="shared" ca="1" si="371"/>
        <v>No</v>
      </c>
      <c r="G2154" s="21">
        <f t="shared" ca="1" si="367"/>
        <v>0</v>
      </c>
      <c r="H2154" s="21">
        <f t="shared" ca="1" si="368"/>
        <v>6458.8539568970227</v>
      </c>
      <c r="I2154" s="21">
        <f t="shared" ca="1" si="363"/>
        <v>6465.3319308320197</v>
      </c>
      <c r="J2154" s="20">
        <f t="shared" ca="1" si="372"/>
        <v>6</v>
      </c>
      <c r="K2154" s="20">
        <f t="shared" ca="1" si="364"/>
        <v>5</v>
      </c>
      <c r="L2154" s="44">
        <f t="shared" ca="1" si="369"/>
        <v>5.5</v>
      </c>
    </row>
    <row r="2155" spans="1:12" x14ac:dyDescent="0.25">
      <c r="A2155" s="20">
        <v>2147</v>
      </c>
      <c r="B2155" s="21">
        <f t="shared" ca="1" si="365"/>
        <v>2.316580856642994</v>
      </c>
      <c r="C2155" s="21">
        <f t="shared" ca="1" si="370"/>
        <v>6440.0312304432455</v>
      </c>
      <c r="D2155" s="21">
        <f t="shared" ca="1" si="366"/>
        <v>1.6760834308194679</v>
      </c>
      <c r="E2155" s="21">
        <f t="shared" ca="1" si="373"/>
        <v>25.300700388774203</v>
      </c>
      <c r="F2155" s="20" t="str">
        <f t="shared" ca="1" si="371"/>
        <v>No</v>
      </c>
      <c r="G2155" s="21">
        <f t="shared" ca="1" si="367"/>
        <v>0</v>
      </c>
      <c r="H2155" s="21">
        <f t="shared" ca="1" si="368"/>
        <v>6465.3319308320197</v>
      </c>
      <c r="I2155" s="21">
        <f t="shared" ca="1" si="363"/>
        <v>6467.0080142628394</v>
      </c>
      <c r="J2155" s="20">
        <f t="shared" ca="1" si="372"/>
        <v>6</v>
      </c>
      <c r="K2155" s="20">
        <f t="shared" ca="1" si="364"/>
        <v>5</v>
      </c>
      <c r="L2155" s="44">
        <f t="shared" ca="1" si="369"/>
        <v>5.5</v>
      </c>
    </row>
    <row r="2156" spans="1:12" x14ac:dyDescent="0.25">
      <c r="A2156" s="20">
        <v>2148</v>
      </c>
      <c r="B2156" s="21">
        <f t="shared" ca="1" si="365"/>
        <v>1.0876489099670072</v>
      </c>
      <c r="C2156" s="21">
        <f t="shared" ca="1" si="370"/>
        <v>6441.1188793532128</v>
      </c>
      <c r="D2156" s="21">
        <f t="shared" ca="1" si="366"/>
        <v>6.5454433730185633</v>
      </c>
      <c r="E2156" s="21">
        <f t="shared" ca="1" si="373"/>
        <v>25.889134909626591</v>
      </c>
      <c r="F2156" s="20" t="str">
        <f t="shared" ca="1" si="371"/>
        <v>No</v>
      </c>
      <c r="G2156" s="21">
        <f t="shared" ca="1" si="367"/>
        <v>0</v>
      </c>
      <c r="H2156" s="21">
        <f t="shared" ca="1" si="368"/>
        <v>6467.0080142628394</v>
      </c>
      <c r="I2156" s="21">
        <f t="shared" ca="1" si="363"/>
        <v>6473.5534576358577</v>
      </c>
      <c r="J2156" s="20">
        <f t="shared" ca="1" si="372"/>
        <v>6</v>
      </c>
      <c r="K2156" s="20">
        <f t="shared" ca="1" si="364"/>
        <v>5</v>
      </c>
      <c r="L2156" s="44">
        <f t="shared" ca="1" si="369"/>
        <v>5.5</v>
      </c>
    </row>
    <row r="2157" spans="1:12" x14ac:dyDescent="0.25">
      <c r="A2157" s="20">
        <v>2149</v>
      </c>
      <c r="B2157" s="21">
        <f t="shared" ca="1" si="365"/>
        <v>2.1557445956165626</v>
      </c>
      <c r="C2157" s="21">
        <f t="shared" ca="1" si="370"/>
        <v>6443.2746239488297</v>
      </c>
      <c r="D2157" s="21">
        <f t="shared" ca="1" si="366"/>
        <v>0.69723196788850805</v>
      </c>
      <c r="E2157" s="21">
        <f t="shared" ca="1" si="373"/>
        <v>30.278833687028055</v>
      </c>
      <c r="F2157" s="20" t="str">
        <f t="shared" ca="1" si="371"/>
        <v>No</v>
      </c>
      <c r="G2157" s="21">
        <f t="shared" ca="1" si="367"/>
        <v>0</v>
      </c>
      <c r="H2157" s="21">
        <f t="shared" ca="1" si="368"/>
        <v>6473.5534576358577</v>
      </c>
      <c r="I2157" s="21">
        <f t="shared" ca="1" si="363"/>
        <v>6474.2506896037467</v>
      </c>
      <c r="J2157" s="20">
        <f t="shared" ca="1" si="372"/>
        <v>6</v>
      </c>
      <c r="K2157" s="20">
        <f t="shared" ca="1" si="364"/>
        <v>5</v>
      </c>
      <c r="L2157" s="44">
        <f t="shared" ca="1" si="369"/>
        <v>5.5</v>
      </c>
    </row>
    <row r="2158" spans="1:12" x14ac:dyDescent="0.25">
      <c r="A2158" s="20">
        <v>2150</v>
      </c>
      <c r="B2158" s="21">
        <f t="shared" ca="1" si="365"/>
        <v>1.7392225593246751</v>
      </c>
      <c r="C2158" s="21">
        <f t="shared" ca="1" si="370"/>
        <v>6445.0138465081545</v>
      </c>
      <c r="D2158" s="21">
        <f t="shared" ca="1" si="366"/>
        <v>3.5445701481042944</v>
      </c>
      <c r="E2158" s="21">
        <f t="shared" ca="1" si="373"/>
        <v>29.236843095592121</v>
      </c>
      <c r="F2158" s="20" t="str">
        <f t="shared" ca="1" si="371"/>
        <v>No</v>
      </c>
      <c r="G2158" s="21">
        <f t="shared" ca="1" si="367"/>
        <v>0</v>
      </c>
      <c r="H2158" s="21">
        <f t="shared" ca="1" si="368"/>
        <v>6474.2506896037467</v>
      </c>
      <c r="I2158" s="21">
        <f t="shared" ca="1" si="363"/>
        <v>6477.7952597518506</v>
      </c>
      <c r="J2158" s="20">
        <f t="shared" ca="1" si="372"/>
        <v>6</v>
      </c>
      <c r="K2158" s="20">
        <f t="shared" ca="1" si="364"/>
        <v>5</v>
      </c>
      <c r="L2158" s="44">
        <f t="shared" ca="1" si="369"/>
        <v>5.5</v>
      </c>
    </row>
    <row r="2159" spans="1:12" x14ac:dyDescent="0.25">
      <c r="A2159" s="20">
        <v>2151</v>
      </c>
      <c r="B2159" s="21">
        <f t="shared" ca="1" si="365"/>
        <v>1.1302073419660976</v>
      </c>
      <c r="C2159" s="21">
        <f t="shared" ca="1" si="370"/>
        <v>6446.1440538501211</v>
      </c>
      <c r="D2159" s="21">
        <f t="shared" ca="1" si="366"/>
        <v>2.6685916063182118</v>
      </c>
      <c r="E2159" s="21">
        <f t="shared" ca="1" si="373"/>
        <v>31.651205901729554</v>
      </c>
      <c r="F2159" s="20" t="str">
        <f t="shared" ca="1" si="371"/>
        <v>No</v>
      </c>
      <c r="G2159" s="21">
        <f t="shared" ca="1" si="367"/>
        <v>0</v>
      </c>
      <c r="H2159" s="21">
        <f t="shared" ca="1" si="368"/>
        <v>6477.7952597518506</v>
      </c>
      <c r="I2159" s="21">
        <f t="shared" ca="1" si="363"/>
        <v>6480.4638513581685</v>
      </c>
      <c r="J2159" s="20">
        <f t="shared" ca="1" si="372"/>
        <v>6</v>
      </c>
      <c r="K2159" s="20">
        <f t="shared" ca="1" si="364"/>
        <v>5</v>
      </c>
      <c r="L2159" s="44">
        <f t="shared" ca="1" si="369"/>
        <v>5.5</v>
      </c>
    </row>
    <row r="2160" spans="1:12" x14ac:dyDescent="0.25">
      <c r="A2160" s="20">
        <v>2152</v>
      </c>
      <c r="B2160" s="21">
        <f t="shared" ca="1" si="365"/>
        <v>2.2417589840652523</v>
      </c>
      <c r="C2160" s="21">
        <f t="shared" ca="1" si="370"/>
        <v>6448.3858128341863</v>
      </c>
      <c r="D2160" s="21">
        <f t="shared" ca="1" si="366"/>
        <v>3.6410057889044705</v>
      </c>
      <c r="E2160" s="21">
        <f t="shared" ca="1" si="373"/>
        <v>32.078038523982286</v>
      </c>
      <c r="F2160" s="20" t="str">
        <f t="shared" ca="1" si="371"/>
        <v>No</v>
      </c>
      <c r="G2160" s="21">
        <f t="shared" ca="1" si="367"/>
        <v>0</v>
      </c>
      <c r="H2160" s="21">
        <f t="shared" ca="1" si="368"/>
        <v>6480.4638513581685</v>
      </c>
      <c r="I2160" s="21">
        <f t="shared" ca="1" si="363"/>
        <v>6484.1048571470728</v>
      </c>
      <c r="J2160" s="20">
        <f t="shared" ca="1" si="372"/>
        <v>6</v>
      </c>
      <c r="K2160" s="20">
        <f t="shared" ca="1" si="364"/>
        <v>5</v>
      </c>
      <c r="L2160" s="44">
        <f t="shared" ca="1" si="369"/>
        <v>5.5</v>
      </c>
    </row>
    <row r="2161" spans="1:12" x14ac:dyDescent="0.25">
      <c r="A2161" s="20">
        <v>2153</v>
      </c>
      <c r="B2161" s="21">
        <f t="shared" ca="1" si="365"/>
        <v>1.161790332370269</v>
      </c>
      <c r="C2161" s="21">
        <f t="shared" ca="1" si="370"/>
        <v>6449.5476031665567</v>
      </c>
      <c r="D2161" s="21">
        <f t="shared" ca="1" si="366"/>
        <v>1.7798200544062341</v>
      </c>
      <c r="E2161" s="21">
        <f t="shared" ca="1" si="373"/>
        <v>34.55725398051618</v>
      </c>
      <c r="F2161" s="20" t="str">
        <f t="shared" ca="1" si="371"/>
        <v>No</v>
      </c>
      <c r="G2161" s="21">
        <f t="shared" ca="1" si="367"/>
        <v>0</v>
      </c>
      <c r="H2161" s="21">
        <f t="shared" ca="1" si="368"/>
        <v>6484.1048571470728</v>
      </c>
      <c r="I2161" s="21">
        <f t="shared" ca="1" si="363"/>
        <v>6485.8846772014795</v>
      </c>
      <c r="J2161" s="20">
        <f t="shared" ca="1" si="372"/>
        <v>6</v>
      </c>
      <c r="K2161" s="20">
        <f t="shared" ca="1" si="364"/>
        <v>5</v>
      </c>
      <c r="L2161" s="44">
        <f t="shared" ca="1" si="369"/>
        <v>5.5</v>
      </c>
    </row>
    <row r="2162" spans="1:12" x14ac:dyDescent="0.25">
      <c r="A2162" s="20">
        <v>2154</v>
      </c>
      <c r="B2162" s="21">
        <f t="shared" ca="1" si="365"/>
        <v>1.9231917709081892</v>
      </c>
      <c r="C2162" s="21">
        <f t="shared" ca="1" si="370"/>
        <v>6451.4707949374651</v>
      </c>
      <c r="D2162" s="21">
        <f t="shared" ca="1" si="366"/>
        <v>3.9747987132335028</v>
      </c>
      <c r="E2162" s="21">
        <f t="shared" ca="1" si="373"/>
        <v>34.413882264014319</v>
      </c>
      <c r="F2162" s="20" t="str">
        <f t="shared" ca="1" si="371"/>
        <v>No</v>
      </c>
      <c r="G2162" s="21">
        <f t="shared" ca="1" si="367"/>
        <v>0</v>
      </c>
      <c r="H2162" s="21">
        <f t="shared" ca="1" si="368"/>
        <v>6485.8846772014795</v>
      </c>
      <c r="I2162" s="21">
        <f t="shared" ca="1" si="363"/>
        <v>6489.8594759147127</v>
      </c>
      <c r="J2162" s="20">
        <f t="shared" ca="1" si="372"/>
        <v>6</v>
      </c>
      <c r="K2162" s="20">
        <f t="shared" ca="1" si="364"/>
        <v>5</v>
      </c>
      <c r="L2162" s="44">
        <f t="shared" ca="1" si="369"/>
        <v>5.5</v>
      </c>
    </row>
    <row r="2163" spans="1:12" x14ac:dyDescent="0.25">
      <c r="A2163" s="20">
        <v>2155</v>
      </c>
      <c r="B2163" s="21">
        <f t="shared" ca="1" si="365"/>
        <v>1.9522202884517299</v>
      </c>
      <c r="C2163" s="21">
        <f t="shared" ca="1" si="370"/>
        <v>6453.423015225917</v>
      </c>
      <c r="D2163" s="21">
        <f t="shared" ca="1" si="366"/>
        <v>13.011888030064634</v>
      </c>
      <c r="E2163" s="21">
        <f t="shared" ca="1" si="373"/>
        <v>36.436460688795705</v>
      </c>
      <c r="F2163" s="20" t="str">
        <f t="shared" ca="1" si="371"/>
        <v>No</v>
      </c>
      <c r="G2163" s="21">
        <f t="shared" ca="1" si="367"/>
        <v>0</v>
      </c>
      <c r="H2163" s="21">
        <f t="shared" ca="1" si="368"/>
        <v>6489.8594759147127</v>
      </c>
      <c r="I2163" s="21">
        <f t="shared" ca="1" si="363"/>
        <v>6502.8713639447769</v>
      </c>
      <c r="J2163" s="20">
        <f t="shared" ca="1" si="372"/>
        <v>6</v>
      </c>
      <c r="K2163" s="20">
        <f t="shared" ca="1" si="364"/>
        <v>5</v>
      </c>
      <c r="L2163" s="44">
        <f t="shared" ca="1" si="369"/>
        <v>5.5</v>
      </c>
    </row>
    <row r="2164" spans="1:12" x14ac:dyDescent="0.25">
      <c r="A2164" s="20">
        <v>2156</v>
      </c>
      <c r="B2164" s="21">
        <f t="shared" ca="1" si="365"/>
        <v>0.65705042633280808</v>
      </c>
      <c r="C2164" s="21">
        <f t="shared" ca="1" si="370"/>
        <v>6454.0800656522497</v>
      </c>
      <c r="D2164" s="21">
        <f t="shared" ca="1" si="366"/>
        <v>0.65428551833555115</v>
      </c>
      <c r="E2164" s="21">
        <f t="shared" ca="1" si="373"/>
        <v>48.791298292527244</v>
      </c>
      <c r="F2164" s="20" t="str">
        <f t="shared" ca="1" si="371"/>
        <v>No</v>
      </c>
      <c r="G2164" s="21">
        <f t="shared" ca="1" si="367"/>
        <v>0</v>
      </c>
      <c r="H2164" s="21">
        <f t="shared" ca="1" si="368"/>
        <v>6502.8713639447769</v>
      </c>
      <c r="I2164" s="21">
        <f t="shared" ca="1" si="363"/>
        <v>6503.5256494631121</v>
      </c>
      <c r="J2164" s="20">
        <f t="shared" ca="1" si="372"/>
        <v>6</v>
      </c>
      <c r="K2164" s="20">
        <f t="shared" ca="1" si="364"/>
        <v>5</v>
      </c>
      <c r="L2164" s="44">
        <f t="shared" ca="1" si="369"/>
        <v>5.5</v>
      </c>
    </row>
    <row r="2165" spans="1:12" x14ac:dyDescent="0.25">
      <c r="A2165" s="20">
        <v>2157</v>
      </c>
      <c r="B2165" s="21">
        <f t="shared" ca="1" si="365"/>
        <v>2.3808012758614647</v>
      </c>
      <c r="C2165" s="21">
        <f t="shared" ca="1" si="370"/>
        <v>6456.4608669281115</v>
      </c>
      <c r="D2165" s="21">
        <f t="shared" ca="1" si="366"/>
        <v>4.38377204476439</v>
      </c>
      <c r="E2165" s="21">
        <f t="shared" ca="1" si="373"/>
        <v>47.064782535000631</v>
      </c>
      <c r="F2165" s="20" t="str">
        <f t="shared" ca="1" si="371"/>
        <v>No</v>
      </c>
      <c r="G2165" s="21">
        <f t="shared" ca="1" si="367"/>
        <v>0</v>
      </c>
      <c r="H2165" s="21">
        <f t="shared" ca="1" si="368"/>
        <v>6503.5256494631121</v>
      </c>
      <c r="I2165" s="21">
        <f t="shared" ca="1" si="363"/>
        <v>6507.9094215078767</v>
      </c>
      <c r="J2165" s="20">
        <f t="shared" ca="1" si="372"/>
        <v>6</v>
      </c>
      <c r="K2165" s="20">
        <f t="shared" ca="1" si="364"/>
        <v>5</v>
      </c>
      <c r="L2165" s="44">
        <f t="shared" ca="1" si="369"/>
        <v>5.5</v>
      </c>
    </row>
    <row r="2166" spans="1:12" x14ac:dyDescent="0.25">
      <c r="A2166" s="20">
        <v>2158</v>
      </c>
      <c r="B2166" s="21">
        <f t="shared" ca="1" si="365"/>
        <v>11.574561248960087</v>
      </c>
      <c r="C2166" s="21">
        <f t="shared" ca="1" si="370"/>
        <v>6468.0354281770715</v>
      </c>
      <c r="D2166" s="21">
        <f t="shared" ca="1" si="366"/>
        <v>0.69658678814571273</v>
      </c>
      <c r="E2166" s="21">
        <f t="shared" ca="1" si="373"/>
        <v>39.873993330805206</v>
      </c>
      <c r="F2166" s="20" t="str">
        <f t="shared" ca="1" si="371"/>
        <v>No</v>
      </c>
      <c r="G2166" s="21">
        <f t="shared" ca="1" si="367"/>
        <v>0</v>
      </c>
      <c r="H2166" s="21">
        <f t="shared" ca="1" si="368"/>
        <v>6507.9094215078767</v>
      </c>
      <c r="I2166" s="21">
        <f t="shared" ca="1" si="363"/>
        <v>6508.6060082960221</v>
      </c>
      <c r="J2166" s="20">
        <f t="shared" ca="1" si="372"/>
        <v>6</v>
      </c>
      <c r="K2166" s="20">
        <f t="shared" ca="1" si="364"/>
        <v>5</v>
      </c>
      <c r="L2166" s="44">
        <f t="shared" ca="1" si="369"/>
        <v>5.5</v>
      </c>
    </row>
    <row r="2167" spans="1:12" x14ac:dyDescent="0.25">
      <c r="A2167" s="20">
        <v>2159</v>
      </c>
      <c r="B2167" s="21">
        <f t="shared" ca="1" si="365"/>
        <v>5.4479756154086534</v>
      </c>
      <c r="C2167" s="21">
        <f t="shared" ca="1" si="370"/>
        <v>6473.4834037924802</v>
      </c>
      <c r="D2167" s="21">
        <f t="shared" ca="1" si="366"/>
        <v>0.22838528144864997</v>
      </c>
      <c r="E2167" s="21">
        <f t="shared" ca="1" si="373"/>
        <v>35.122604503541879</v>
      </c>
      <c r="F2167" s="20" t="str">
        <f t="shared" ca="1" si="371"/>
        <v>No</v>
      </c>
      <c r="G2167" s="21">
        <f t="shared" ca="1" si="367"/>
        <v>0</v>
      </c>
      <c r="H2167" s="21">
        <f t="shared" ca="1" si="368"/>
        <v>6508.6060082960221</v>
      </c>
      <c r="I2167" s="21">
        <f t="shared" ca="1" si="363"/>
        <v>6508.834393577471</v>
      </c>
      <c r="J2167" s="20">
        <f t="shared" ca="1" si="372"/>
        <v>6</v>
      </c>
      <c r="K2167" s="20">
        <f t="shared" ca="1" si="364"/>
        <v>5</v>
      </c>
      <c r="L2167" s="44">
        <f t="shared" ca="1" si="369"/>
        <v>5.5</v>
      </c>
    </row>
    <row r="2168" spans="1:12" x14ac:dyDescent="0.25">
      <c r="A2168" s="20">
        <v>2160</v>
      </c>
      <c r="B2168" s="21">
        <f t="shared" ca="1" si="365"/>
        <v>3.8218772003939212</v>
      </c>
      <c r="C2168" s="21">
        <f t="shared" ca="1" si="370"/>
        <v>6477.305280992874</v>
      </c>
      <c r="D2168" s="21">
        <f t="shared" ca="1" si="366"/>
        <v>2.155644597968378</v>
      </c>
      <c r="E2168" s="21">
        <f t="shared" ca="1" si="373"/>
        <v>31.529112584596987</v>
      </c>
      <c r="F2168" s="20" t="str">
        <f t="shared" ca="1" si="371"/>
        <v>No</v>
      </c>
      <c r="G2168" s="21">
        <f t="shared" ca="1" si="367"/>
        <v>0</v>
      </c>
      <c r="H2168" s="21">
        <f t="shared" ca="1" si="368"/>
        <v>6508.834393577471</v>
      </c>
      <c r="I2168" s="21">
        <f t="shared" ca="1" si="363"/>
        <v>6510.9900381754396</v>
      </c>
      <c r="J2168" s="20">
        <f t="shared" ca="1" si="372"/>
        <v>6</v>
      </c>
      <c r="K2168" s="20">
        <f t="shared" ca="1" si="364"/>
        <v>5</v>
      </c>
      <c r="L2168" s="44">
        <f t="shared" ca="1" si="369"/>
        <v>5.5</v>
      </c>
    </row>
    <row r="2169" spans="1:12" x14ac:dyDescent="0.25">
      <c r="A2169" s="20">
        <v>2161</v>
      </c>
      <c r="B2169" s="21">
        <f t="shared" ca="1" si="365"/>
        <v>0.16118153607599184</v>
      </c>
      <c r="C2169" s="21">
        <f t="shared" ca="1" si="370"/>
        <v>6477.4664625289497</v>
      </c>
      <c r="D2169" s="21">
        <f t="shared" ca="1" si="366"/>
        <v>1.3047428375418562</v>
      </c>
      <c r="E2169" s="21">
        <f t="shared" ca="1" si="373"/>
        <v>33.523575646489917</v>
      </c>
      <c r="F2169" s="20" t="str">
        <f t="shared" ca="1" si="371"/>
        <v>No</v>
      </c>
      <c r="G2169" s="21">
        <f t="shared" ca="1" si="367"/>
        <v>0</v>
      </c>
      <c r="H2169" s="21">
        <f t="shared" ca="1" si="368"/>
        <v>6510.9900381754396</v>
      </c>
      <c r="I2169" s="21">
        <f t="shared" ca="1" si="363"/>
        <v>6512.2947810129817</v>
      </c>
      <c r="J2169" s="20">
        <f t="shared" ca="1" si="372"/>
        <v>6</v>
      </c>
      <c r="K2169" s="20">
        <f t="shared" ca="1" si="364"/>
        <v>5</v>
      </c>
      <c r="L2169" s="44">
        <f t="shared" ca="1" si="369"/>
        <v>5.5</v>
      </c>
    </row>
    <row r="2170" spans="1:12" x14ac:dyDescent="0.25">
      <c r="A2170" s="20">
        <v>2162</v>
      </c>
      <c r="B2170" s="21">
        <f t="shared" ca="1" si="365"/>
        <v>0.36511192165714385</v>
      </c>
      <c r="C2170" s="21">
        <f t="shared" ca="1" si="370"/>
        <v>6477.8315744506071</v>
      </c>
      <c r="D2170" s="21">
        <f t="shared" ca="1" si="366"/>
        <v>0.51973640508839802</v>
      </c>
      <c r="E2170" s="21">
        <f t="shared" ca="1" si="373"/>
        <v>34.46320656237458</v>
      </c>
      <c r="F2170" s="20" t="str">
        <f t="shared" ca="1" si="371"/>
        <v>No</v>
      </c>
      <c r="G2170" s="21">
        <f t="shared" ca="1" si="367"/>
        <v>0</v>
      </c>
      <c r="H2170" s="21">
        <f t="shared" ca="1" si="368"/>
        <v>6512.2947810129817</v>
      </c>
      <c r="I2170" s="21">
        <f t="shared" ca="1" si="363"/>
        <v>6512.81451741807</v>
      </c>
      <c r="J2170" s="20">
        <f t="shared" ca="1" si="372"/>
        <v>6</v>
      </c>
      <c r="K2170" s="20">
        <f t="shared" ca="1" si="364"/>
        <v>5</v>
      </c>
      <c r="L2170" s="44">
        <f t="shared" ca="1" si="369"/>
        <v>5.5</v>
      </c>
    </row>
    <row r="2171" spans="1:12" x14ac:dyDescent="0.25">
      <c r="A2171" s="20">
        <v>2163</v>
      </c>
      <c r="B2171" s="21">
        <f t="shared" ca="1" si="365"/>
        <v>3.2666016761110268</v>
      </c>
      <c r="C2171" s="21">
        <f t="shared" ca="1" si="370"/>
        <v>6481.0981761267185</v>
      </c>
      <c r="D2171" s="21">
        <f t="shared" ca="1" si="366"/>
        <v>1.4354011023924718</v>
      </c>
      <c r="E2171" s="21">
        <f t="shared" ca="1" si="373"/>
        <v>31.716341291351455</v>
      </c>
      <c r="F2171" s="20" t="str">
        <f t="shared" ca="1" si="371"/>
        <v>No</v>
      </c>
      <c r="G2171" s="21">
        <f t="shared" ca="1" si="367"/>
        <v>0</v>
      </c>
      <c r="H2171" s="21">
        <f t="shared" ca="1" si="368"/>
        <v>6512.81451741807</v>
      </c>
      <c r="I2171" s="21">
        <f t="shared" ca="1" si="363"/>
        <v>6514.2499185204624</v>
      </c>
      <c r="J2171" s="20">
        <f t="shared" ca="1" si="372"/>
        <v>6</v>
      </c>
      <c r="K2171" s="20">
        <f t="shared" ca="1" si="364"/>
        <v>5</v>
      </c>
      <c r="L2171" s="44">
        <f t="shared" ca="1" si="369"/>
        <v>5.5</v>
      </c>
    </row>
    <row r="2172" spans="1:12" x14ac:dyDescent="0.25">
      <c r="A2172" s="20">
        <v>2164</v>
      </c>
      <c r="B2172" s="21">
        <f t="shared" ca="1" si="365"/>
        <v>2.6340395390284423</v>
      </c>
      <c r="C2172" s="21">
        <f t="shared" ca="1" si="370"/>
        <v>6483.7322156657474</v>
      </c>
      <c r="D2172" s="21">
        <f t="shared" ca="1" si="366"/>
        <v>7.1713931581422585E-2</v>
      </c>
      <c r="E2172" s="21">
        <f t="shared" ca="1" si="373"/>
        <v>30.517702854715026</v>
      </c>
      <c r="F2172" s="20" t="str">
        <f t="shared" ca="1" si="371"/>
        <v>No</v>
      </c>
      <c r="G2172" s="21">
        <f t="shared" ca="1" si="367"/>
        <v>0</v>
      </c>
      <c r="H2172" s="21">
        <f t="shared" ca="1" si="368"/>
        <v>6514.2499185204624</v>
      </c>
      <c r="I2172" s="21">
        <f t="shared" ca="1" si="363"/>
        <v>6514.3216324520436</v>
      </c>
      <c r="J2172" s="20">
        <f t="shared" ca="1" si="372"/>
        <v>6</v>
      </c>
      <c r="K2172" s="20">
        <f t="shared" ca="1" si="364"/>
        <v>5</v>
      </c>
      <c r="L2172" s="44">
        <f t="shared" ca="1" si="369"/>
        <v>5.5</v>
      </c>
    </row>
    <row r="2173" spans="1:12" x14ac:dyDescent="0.25">
      <c r="A2173" s="20">
        <v>2165</v>
      </c>
      <c r="B2173" s="21">
        <f t="shared" ca="1" si="365"/>
        <v>4.7985046765895101</v>
      </c>
      <c r="C2173" s="21">
        <f t="shared" ca="1" si="370"/>
        <v>6488.5307203423372</v>
      </c>
      <c r="D2173" s="21">
        <f t="shared" ca="1" si="366"/>
        <v>2.7428406271286714</v>
      </c>
      <c r="E2173" s="21">
        <f t="shared" ca="1" si="373"/>
        <v>25.790912109706369</v>
      </c>
      <c r="F2173" s="20" t="str">
        <f t="shared" ca="1" si="371"/>
        <v>No</v>
      </c>
      <c r="G2173" s="21">
        <f t="shared" ca="1" si="367"/>
        <v>0</v>
      </c>
      <c r="H2173" s="21">
        <f t="shared" ca="1" si="368"/>
        <v>6514.3216324520436</v>
      </c>
      <c r="I2173" s="21">
        <f t="shared" ca="1" si="363"/>
        <v>6517.0644730791719</v>
      </c>
      <c r="J2173" s="20">
        <f t="shared" ca="1" si="372"/>
        <v>6</v>
      </c>
      <c r="K2173" s="20">
        <f t="shared" ca="1" si="364"/>
        <v>5</v>
      </c>
      <c r="L2173" s="44">
        <f t="shared" ca="1" si="369"/>
        <v>5.5</v>
      </c>
    </row>
    <row r="2174" spans="1:12" x14ac:dyDescent="0.25">
      <c r="A2174" s="20">
        <v>2166</v>
      </c>
      <c r="B2174" s="21">
        <f t="shared" ca="1" si="365"/>
        <v>0.95390918211058662</v>
      </c>
      <c r="C2174" s="21">
        <f t="shared" ca="1" si="370"/>
        <v>6489.4846295244479</v>
      </c>
      <c r="D2174" s="21">
        <f t="shared" ca="1" si="366"/>
        <v>5.0952676211801835</v>
      </c>
      <c r="E2174" s="21">
        <f t="shared" ca="1" si="373"/>
        <v>27.579843554723993</v>
      </c>
      <c r="F2174" s="20" t="str">
        <f t="shared" ca="1" si="371"/>
        <v>No</v>
      </c>
      <c r="G2174" s="21">
        <f t="shared" ca="1" si="367"/>
        <v>0</v>
      </c>
      <c r="H2174" s="21">
        <f t="shared" ca="1" si="368"/>
        <v>6517.0644730791719</v>
      </c>
      <c r="I2174" s="21">
        <f t="shared" ca="1" si="363"/>
        <v>6522.1597407003519</v>
      </c>
      <c r="J2174" s="20">
        <f t="shared" ca="1" si="372"/>
        <v>6</v>
      </c>
      <c r="K2174" s="20">
        <f t="shared" ca="1" si="364"/>
        <v>5</v>
      </c>
      <c r="L2174" s="44">
        <f t="shared" ca="1" si="369"/>
        <v>5.5</v>
      </c>
    </row>
    <row r="2175" spans="1:12" x14ac:dyDescent="0.25">
      <c r="A2175" s="20">
        <v>2167</v>
      </c>
      <c r="B2175" s="21">
        <f t="shared" ca="1" si="365"/>
        <v>1.1744264181184578</v>
      </c>
      <c r="C2175" s="21">
        <f t="shared" ca="1" si="370"/>
        <v>6490.6590559425667</v>
      </c>
      <c r="D2175" s="21">
        <f t="shared" ca="1" si="366"/>
        <v>4.1490656480247408</v>
      </c>
      <c r="E2175" s="21">
        <f t="shared" ca="1" si="373"/>
        <v>31.500684757785166</v>
      </c>
      <c r="F2175" s="20" t="str">
        <f t="shared" ca="1" si="371"/>
        <v>No</v>
      </c>
      <c r="G2175" s="21">
        <f t="shared" ca="1" si="367"/>
        <v>0</v>
      </c>
      <c r="H2175" s="21">
        <f t="shared" ca="1" si="368"/>
        <v>6522.1597407003519</v>
      </c>
      <c r="I2175" s="21">
        <f t="shared" ca="1" si="363"/>
        <v>6526.3088063483765</v>
      </c>
      <c r="J2175" s="20">
        <f t="shared" ca="1" si="372"/>
        <v>6</v>
      </c>
      <c r="K2175" s="20">
        <f t="shared" ca="1" si="364"/>
        <v>5</v>
      </c>
      <c r="L2175" s="44">
        <f t="shared" ca="1" si="369"/>
        <v>5.5</v>
      </c>
    </row>
    <row r="2176" spans="1:12" x14ac:dyDescent="0.25">
      <c r="A2176" s="20">
        <v>2168</v>
      </c>
      <c r="B2176" s="21">
        <f t="shared" ca="1" si="365"/>
        <v>7.7620130473703703</v>
      </c>
      <c r="C2176" s="21">
        <f t="shared" ca="1" si="370"/>
        <v>6498.4210689899373</v>
      </c>
      <c r="D2176" s="21">
        <f t="shared" ca="1" si="366"/>
        <v>0.83644666816180402</v>
      </c>
      <c r="E2176" s="21">
        <f t="shared" ca="1" si="373"/>
        <v>27.887737358439153</v>
      </c>
      <c r="F2176" s="20" t="str">
        <f t="shared" ca="1" si="371"/>
        <v>No</v>
      </c>
      <c r="G2176" s="21">
        <f t="shared" ca="1" si="367"/>
        <v>0</v>
      </c>
      <c r="H2176" s="21">
        <f t="shared" ca="1" si="368"/>
        <v>6526.3088063483765</v>
      </c>
      <c r="I2176" s="21">
        <f t="shared" ca="1" si="363"/>
        <v>6527.1452530165379</v>
      </c>
      <c r="J2176" s="20">
        <f t="shared" ca="1" si="372"/>
        <v>6</v>
      </c>
      <c r="K2176" s="20">
        <f t="shared" ca="1" si="364"/>
        <v>5</v>
      </c>
      <c r="L2176" s="44">
        <f t="shared" ca="1" si="369"/>
        <v>5.5</v>
      </c>
    </row>
    <row r="2177" spans="1:12" x14ac:dyDescent="0.25">
      <c r="A2177" s="20">
        <v>2169</v>
      </c>
      <c r="B2177" s="21">
        <f t="shared" ca="1" si="365"/>
        <v>0.24814960819652782</v>
      </c>
      <c r="C2177" s="21">
        <f t="shared" ca="1" si="370"/>
        <v>6498.6692185981337</v>
      </c>
      <c r="D2177" s="21">
        <f t="shared" ca="1" si="366"/>
        <v>10.885362013421185</v>
      </c>
      <c r="E2177" s="21">
        <f t="shared" ca="1" si="373"/>
        <v>28.476034418404197</v>
      </c>
      <c r="F2177" s="20" t="str">
        <f t="shared" ca="1" si="371"/>
        <v>No</v>
      </c>
      <c r="G2177" s="21">
        <f t="shared" ca="1" si="367"/>
        <v>0</v>
      </c>
      <c r="H2177" s="21">
        <f t="shared" ca="1" si="368"/>
        <v>6527.1452530165379</v>
      </c>
      <c r="I2177" s="21">
        <f t="shared" ca="1" si="363"/>
        <v>6538.0306150299593</v>
      </c>
      <c r="J2177" s="20">
        <f t="shared" ca="1" si="372"/>
        <v>6</v>
      </c>
      <c r="K2177" s="20">
        <f t="shared" ca="1" si="364"/>
        <v>5</v>
      </c>
      <c r="L2177" s="44">
        <f t="shared" ca="1" si="369"/>
        <v>5.5</v>
      </c>
    </row>
    <row r="2178" spans="1:12" x14ac:dyDescent="0.25">
      <c r="A2178" s="20">
        <v>2170</v>
      </c>
      <c r="B2178" s="21">
        <f t="shared" ca="1" si="365"/>
        <v>6.2876962533396901</v>
      </c>
      <c r="C2178" s="21">
        <f t="shared" ca="1" si="370"/>
        <v>6504.9569148514738</v>
      </c>
      <c r="D2178" s="21">
        <f t="shared" ca="1" si="366"/>
        <v>3.1960138116031676</v>
      </c>
      <c r="E2178" s="21">
        <f t="shared" ca="1" si="373"/>
        <v>33.073700178485524</v>
      </c>
      <c r="F2178" s="20" t="str">
        <f t="shared" ca="1" si="371"/>
        <v>No</v>
      </c>
      <c r="G2178" s="21">
        <f t="shared" ca="1" si="367"/>
        <v>0</v>
      </c>
      <c r="H2178" s="21">
        <f t="shared" ca="1" si="368"/>
        <v>6538.0306150299593</v>
      </c>
      <c r="I2178" s="21">
        <f t="shared" ca="1" si="363"/>
        <v>6541.2266288415622</v>
      </c>
      <c r="J2178" s="20">
        <f t="shared" ca="1" si="372"/>
        <v>6</v>
      </c>
      <c r="K2178" s="20">
        <f t="shared" ca="1" si="364"/>
        <v>5</v>
      </c>
      <c r="L2178" s="44">
        <f t="shared" ca="1" si="369"/>
        <v>5.5</v>
      </c>
    </row>
    <row r="2179" spans="1:12" x14ac:dyDescent="0.25">
      <c r="A2179" s="20">
        <v>2171</v>
      </c>
      <c r="B2179" s="21">
        <f t="shared" ca="1" si="365"/>
        <v>3.3468962562761901</v>
      </c>
      <c r="C2179" s="21">
        <f t="shared" ca="1" si="370"/>
        <v>6508.3038111077503</v>
      </c>
      <c r="D2179" s="21">
        <f t="shared" ca="1" si="366"/>
        <v>2.738017189391627</v>
      </c>
      <c r="E2179" s="21">
        <f t="shared" ca="1" si="373"/>
        <v>32.922817733811826</v>
      </c>
      <c r="F2179" s="20" t="str">
        <f t="shared" ca="1" si="371"/>
        <v>No</v>
      </c>
      <c r="G2179" s="21">
        <f t="shared" ca="1" si="367"/>
        <v>0</v>
      </c>
      <c r="H2179" s="21">
        <f t="shared" ca="1" si="368"/>
        <v>6541.2266288415622</v>
      </c>
      <c r="I2179" s="21">
        <f t="shared" ca="1" si="363"/>
        <v>6543.9646460309541</v>
      </c>
      <c r="J2179" s="20">
        <f t="shared" ca="1" si="372"/>
        <v>6</v>
      </c>
      <c r="K2179" s="20">
        <f t="shared" ca="1" si="364"/>
        <v>5</v>
      </c>
      <c r="L2179" s="44">
        <f t="shared" ca="1" si="369"/>
        <v>5.5</v>
      </c>
    </row>
    <row r="2180" spans="1:12" x14ac:dyDescent="0.25">
      <c r="A2180" s="20">
        <v>2172</v>
      </c>
      <c r="B2180" s="21">
        <f t="shared" ca="1" si="365"/>
        <v>6.3819817003362755E-2</v>
      </c>
      <c r="C2180" s="21">
        <f t="shared" ca="1" si="370"/>
        <v>6508.3676309247539</v>
      </c>
      <c r="D2180" s="21">
        <f t="shared" ca="1" si="366"/>
        <v>1.0040926574643894</v>
      </c>
      <c r="E2180" s="21">
        <f t="shared" ca="1" si="373"/>
        <v>35.597015106200161</v>
      </c>
      <c r="F2180" s="20" t="str">
        <f t="shared" ca="1" si="371"/>
        <v>No</v>
      </c>
      <c r="G2180" s="21">
        <f t="shared" ca="1" si="367"/>
        <v>0</v>
      </c>
      <c r="H2180" s="21">
        <f t="shared" ca="1" si="368"/>
        <v>6543.9646460309541</v>
      </c>
      <c r="I2180" s="21">
        <f t="shared" ca="1" si="363"/>
        <v>6544.9687386884189</v>
      </c>
      <c r="J2180" s="20">
        <f t="shared" ca="1" si="372"/>
        <v>6</v>
      </c>
      <c r="K2180" s="20">
        <f t="shared" ca="1" si="364"/>
        <v>5</v>
      </c>
      <c r="L2180" s="44">
        <f t="shared" ca="1" si="369"/>
        <v>5.5</v>
      </c>
    </row>
    <row r="2181" spans="1:12" x14ac:dyDescent="0.25">
      <c r="A2181" s="20">
        <v>2173</v>
      </c>
      <c r="B2181" s="21">
        <f t="shared" ca="1" si="365"/>
        <v>13.154862625375699</v>
      </c>
      <c r="C2181" s="21">
        <f t="shared" ca="1" si="370"/>
        <v>6521.5224935501301</v>
      </c>
      <c r="D2181" s="21">
        <f t="shared" ca="1" si="366"/>
        <v>1.1803495976703227</v>
      </c>
      <c r="E2181" s="21">
        <f t="shared" ca="1" si="373"/>
        <v>23.446245138288759</v>
      </c>
      <c r="F2181" s="20" t="str">
        <f t="shared" ca="1" si="371"/>
        <v>No</v>
      </c>
      <c r="G2181" s="21">
        <f t="shared" ca="1" si="367"/>
        <v>0</v>
      </c>
      <c r="H2181" s="21">
        <f t="shared" ca="1" si="368"/>
        <v>6544.9687386884189</v>
      </c>
      <c r="I2181" s="21">
        <f t="shared" ca="1" si="363"/>
        <v>6546.149088286089</v>
      </c>
      <c r="J2181" s="20">
        <f t="shared" ca="1" si="372"/>
        <v>6</v>
      </c>
      <c r="K2181" s="20">
        <f t="shared" ca="1" si="364"/>
        <v>5</v>
      </c>
      <c r="L2181" s="44">
        <f t="shared" ca="1" si="369"/>
        <v>5.5</v>
      </c>
    </row>
    <row r="2182" spans="1:12" x14ac:dyDescent="0.25">
      <c r="A2182" s="20">
        <v>2174</v>
      </c>
      <c r="B2182" s="21">
        <f t="shared" ca="1" si="365"/>
        <v>2.6148435934645469</v>
      </c>
      <c r="C2182" s="21">
        <f t="shared" ca="1" si="370"/>
        <v>6524.1373371435948</v>
      </c>
      <c r="D2182" s="21">
        <f t="shared" ca="1" si="366"/>
        <v>0.43879401836512594</v>
      </c>
      <c r="E2182" s="21">
        <f t="shared" ca="1" si="373"/>
        <v>22.011751142494177</v>
      </c>
      <c r="F2182" s="20" t="str">
        <f t="shared" ca="1" si="371"/>
        <v>No</v>
      </c>
      <c r="G2182" s="21">
        <f t="shared" ca="1" si="367"/>
        <v>0</v>
      </c>
      <c r="H2182" s="21">
        <f t="shared" ca="1" si="368"/>
        <v>6546.149088286089</v>
      </c>
      <c r="I2182" s="21">
        <f t="shared" ca="1" si="363"/>
        <v>6546.5878823044541</v>
      </c>
      <c r="J2182" s="20">
        <f t="shared" ca="1" si="372"/>
        <v>6</v>
      </c>
      <c r="K2182" s="20">
        <f t="shared" ca="1" si="364"/>
        <v>5</v>
      </c>
      <c r="L2182" s="44">
        <f t="shared" ca="1" si="369"/>
        <v>5.5</v>
      </c>
    </row>
    <row r="2183" spans="1:12" x14ac:dyDescent="0.25">
      <c r="A2183" s="20">
        <v>2175</v>
      </c>
      <c r="B2183" s="21">
        <f t="shared" ca="1" si="365"/>
        <v>0.59341439863458612</v>
      </c>
      <c r="C2183" s="21">
        <f t="shared" ca="1" si="370"/>
        <v>6524.730751542229</v>
      </c>
      <c r="D2183" s="21">
        <f t="shared" ca="1" si="366"/>
        <v>5.6568044728689282</v>
      </c>
      <c r="E2183" s="21">
        <f t="shared" ca="1" si="373"/>
        <v>21.857130762225097</v>
      </c>
      <c r="F2183" s="20" t="str">
        <f t="shared" ca="1" si="371"/>
        <v>No</v>
      </c>
      <c r="G2183" s="21">
        <f t="shared" ca="1" si="367"/>
        <v>0</v>
      </c>
      <c r="H2183" s="21">
        <f t="shared" ca="1" si="368"/>
        <v>6546.5878823044541</v>
      </c>
      <c r="I2183" s="21">
        <f t="shared" ca="1" si="363"/>
        <v>6552.2446867773233</v>
      </c>
      <c r="J2183" s="20">
        <f t="shared" ca="1" si="372"/>
        <v>6</v>
      </c>
      <c r="K2183" s="20">
        <f t="shared" ca="1" si="364"/>
        <v>5</v>
      </c>
      <c r="L2183" s="44">
        <f t="shared" ca="1" si="369"/>
        <v>5.5</v>
      </c>
    </row>
    <row r="2184" spans="1:12" x14ac:dyDescent="0.25">
      <c r="A2184" s="20">
        <v>2176</v>
      </c>
      <c r="B2184" s="21">
        <f t="shared" ca="1" si="365"/>
        <v>0.4547892534951315</v>
      </c>
      <c r="C2184" s="21">
        <f t="shared" ca="1" si="370"/>
        <v>6525.1855407957237</v>
      </c>
      <c r="D2184" s="21">
        <f t="shared" ca="1" si="366"/>
        <v>0.86232381716753204</v>
      </c>
      <c r="E2184" s="21">
        <f t="shared" ca="1" si="373"/>
        <v>27.059145981599613</v>
      </c>
      <c r="F2184" s="20" t="str">
        <f t="shared" ca="1" si="371"/>
        <v>No</v>
      </c>
      <c r="G2184" s="21">
        <f t="shared" ca="1" si="367"/>
        <v>0</v>
      </c>
      <c r="H2184" s="21">
        <f t="shared" ca="1" si="368"/>
        <v>6552.2446867773233</v>
      </c>
      <c r="I2184" s="21">
        <f t="shared" ca="1" si="363"/>
        <v>6553.1070105944909</v>
      </c>
      <c r="J2184" s="20">
        <f t="shared" ca="1" si="372"/>
        <v>6</v>
      </c>
      <c r="K2184" s="20">
        <f t="shared" ca="1" si="364"/>
        <v>5</v>
      </c>
      <c r="L2184" s="44">
        <f t="shared" ca="1" si="369"/>
        <v>5.5</v>
      </c>
    </row>
    <row r="2185" spans="1:12" x14ac:dyDescent="0.25">
      <c r="A2185" s="20">
        <v>2177</v>
      </c>
      <c r="B2185" s="21">
        <f t="shared" ca="1" si="365"/>
        <v>0.5853566520964858</v>
      </c>
      <c r="C2185" s="21">
        <f t="shared" ca="1" si="370"/>
        <v>6525.7708974478201</v>
      </c>
      <c r="D2185" s="21">
        <f t="shared" ca="1" si="366"/>
        <v>0.10554325125846638</v>
      </c>
      <c r="E2185" s="21">
        <f t="shared" ca="1" si="373"/>
        <v>27.336113146670868</v>
      </c>
      <c r="F2185" s="20" t="str">
        <f t="shared" ca="1" si="371"/>
        <v>No</v>
      </c>
      <c r="G2185" s="21">
        <f t="shared" ca="1" si="367"/>
        <v>0</v>
      </c>
      <c r="H2185" s="21">
        <f t="shared" ca="1" si="368"/>
        <v>6553.1070105944909</v>
      </c>
      <c r="I2185" s="21">
        <f t="shared" ref="I2185:I2248" ca="1" si="374">$H2185+$D2185</f>
        <v>6553.2125538457494</v>
      </c>
      <c r="J2185" s="20">
        <f t="shared" ca="1" si="372"/>
        <v>6</v>
      </c>
      <c r="K2185" s="20">
        <f t="shared" ref="K2185:K2248" ca="1" si="375">IF($I2185&lt;=$C2186,0,IF($I2185&lt;=$C2187,1,IF($I2185&lt;=$C2188,2,IF($I2185&lt;=$C2189,3,IF($I2185&lt;=$C2190,4,5)))))</f>
        <v>5</v>
      </c>
      <c r="L2185" s="44">
        <f t="shared" ca="1" si="369"/>
        <v>5.5</v>
      </c>
    </row>
    <row r="2186" spans="1:12" x14ac:dyDescent="0.25">
      <c r="A2186" s="20">
        <v>2178</v>
      </c>
      <c r="B2186" s="21">
        <f t="shared" ref="B2186:B2249" ca="1" si="376">-LN(RAND())/$D$4</f>
        <v>0.36162602688295531</v>
      </c>
      <c r="C2186" s="21">
        <f t="shared" ca="1" si="370"/>
        <v>6526.1325234747028</v>
      </c>
      <c r="D2186" s="21">
        <f t="shared" ref="D2186:D2249" ca="1" si="377">-LN(RAND())/$D$6</f>
        <v>1.3404065277349968</v>
      </c>
      <c r="E2186" s="21">
        <f t="shared" ca="1" si="373"/>
        <v>27.080030371046632</v>
      </c>
      <c r="F2186" s="20" t="str">
        <f t="shared" ca="1" si="371"/>
        <v>No</v>
      </c>
      <c r="G2186" s="21">
        <f t="shared" ref="G2186:G2249" ca="1" si="378">IF($I2185&lt;=$C2186,$C2186-$I2185,0)</f>
        <v>0</v>
      </c>
      <c r="H2186" s="21">
        <f t="shared" ref="H2186:H2249" ca="1" si="379">IF($I2185&lt;=$C2186,$C2186,$I2185)</f>
        <v>6553.2125538457494</v>
      </c>
      <c r="I2186" s="21">
        <f t="shared" ca="1" si="374"/>
        <v>6554.552960373484</v>
      </c>
      <c r="J2186" s="20">
        <f t="shared" ca="1" si="372"/>
        <v>6</v>
      </c>
      <c r="K2186" s="20">
        <f t="shared" ca="1" si="375"/>
        <v>5</v>
      </c>
      <c r="L2186" s="44">
        <f t="shared" ref="L2186:L2249" ca="1" si="380">(J2186+K2186)/2</f>
        <v>5.5</v>
      </c>
    </row>
    <row r="2187" spans="1:12" x14ac:dyDescent="0.25">
      <c r="A2187" s="20">
        <v>2179</v>
      </c>
      <c r="B2187" s="21">
        <f t="shared" ca="1" si="376"/>
        <v>0.86481820751089888</v>
      </c>
      <c r="C2187" s="21">
        <f t="shared" ref="C2187:C2250" ca="1" si="381">$C2186+$B2187</f>
        <v>6526.997341682214</v>
      </c>
      <c r="D2187" s="21">
        <f t="shared" ca="1" si="377"/>
        <v>1.3098265658109882</v>
      </c>
      <c r="E2187" s="21">
        <f t="shared" ca="1" si="373"/>
        <v>27.555618691269956</v>
      </c>
      <c r="F2187" s="20" t="str">
        <f t="shared" ref="F2187:F2250" ca="1" si="382">IF(E2187=0,"Yes","No")</f>
        <v>No</v>
      </c>
      <c r="G2187" s="21">
        <f t="shared" ca="1" si="378"/>
        <v>0</v>
      </c>
      <c r="H2187" s="21">
        <f t="shared" ca="1" si="379"/>
        <v>6554.552960373484</v>
      </c>
      <c r="I2187" s="21">
        <f t="shared" ca="1" si="374"/>
        <v>6555.8627869392949</v>
      </c>
      <c r="J2187" s="20">
        <f t="shared" ref="J2187:J2250" ca="1" si="383">IF($I2186&lt;=$C2187,0,$K2186+1)</f>
        <v>6</v>
      </c>
      <c r="K2187" s="20">
        <f t="shared" ca="1" si="375"/>
        <v>5</v>
      </c>
      <c r="L2187" s="44">
        <f t="shared" ca="1" si="380"/>
        <v>5.5</v>
      </c>
    </row>
    <row r="2188" spans="1:12" x14ac:dyDescent="0.25">
      <c r="A2188" s="20">
        <v>2180</v>
      </c>
      <c r="B2188" s="21">
        <f t="shared" ca="1" si="376"/>
        <v>4.498514480104002</v>
      </c>
      <c r="C2188" s="21">
        <f t="shared" ca="1" si="381"/>
        <v>6531.495856162318</v>
      </c>
      <c r="D2188" s="21">
        <f t="shared" ca="1" si="377"/>
        <v>1.7166683373256655</v>
      </c>
      <c r="E2188" s="21">
        <f t="shared" ref="E2188:E2251" ca="1" si="384">IF($I2187&lt;=$C2188,0,$I2187-$C2188)</f>
        <v>24.366930776976915</v>
      </c>
      <c r="F2188" s="20" t="str">
        <f t="shared" ca="1" si="382"/>
        <v>No</v>
      </c>
      <c r="G2188" s="21">
        <f t="shared" ca="1" si="378"/>
        <v>0</v>
      </c>
      <c r="H2188" s="21">
        <f t="shared" ca="1" si="379"/>
        <v>6555.8627869392949</v>
      </c>
      <c r="I2188" s="21">
        <f t="shared" ca="1" si="374"/>
        <v>6557.5794552766201</v>
      </c>
      <c r="J2188" s="20">
        <f t="shared" ca="1" si="383"/>
        <v>6</v>
      </c>
      <c r="K2188" s="20">
        <f t="shared" ca="1" si="375"/>
        <v>4</v>
      </c>
      <c r="L2188" s="44">
        <f t="shared" ca="1" si="380"/>
        <v>5</v>
      </c>
    </row>
    <row r="2189" spans="1:12" x14ac:dyDescent="0.25">
      <c r="A2189" s="20">
        <v>2181</v>
      </c>
      <c r="B2189" s="21">
        <f t="shared" ca="1" si="376"/>
        <v>11.941084448683052</v>
      </c>
      <c r="C2189" s="21">
        <f t="shared" ca="1" si="381"/>
        <v>6543.4369406110009</v>
      </c>
      <c r="D2189" s="21">
        <f t="shared" ca="1" si="377"/>
        <v>1.1271511346990912</v>
      </c>
      <c r="E2189" s="21">
        <f t="shared" ca="1" si="384"/>
        <v>14.142514665619274</v>
      </c>
      <c r="F2189" s="20" t="str">
        <f t="shared" ca="1" si="382"/>
        <v>No</v>
      </c>
      <c r="G2189" s="21">
        <f t="shared" ca="1" si="378"/>
        <v>0</v>
      </c>
      <c r="H2189" s="21">
        <f t="shared" ca="1" si="379"/>
        <v>6557.5794552766201</v>
      </c>
      <c r="I2189" s="21">
        <f t="shared" ca="1" si="374"/>
        <v>6558.7066064113196</v>
      </c>
      <c r="J2189" s="20">
        <f t="shared" ca="1" si="383"/>
        <v>5</v>
      </c>
      <c r="K2189" s="20">
        <f t="shared" ca="1" si="375"/>
        <v>3</v>
      </c>
      <c r="L2189" s="44">
        <f t="shared" ca="1" si="380"/>
        <v>4</v>
      </c>
    </row>
    <row r="2190" spans="1:12" x14ac:dyDescent="0.25">
      <c r="A2190" s="20">
        <v>2182</v>
      </c>
      <c r="B2190" s="21">
        <f t="shared" ca="1" si="376"/>
        <v>5.0913117600964668</v>
      </c>
      <c r="C2190" s="21">
        <f t="shared" ca="1" si="381"/>
        <v>6548.5282523710976</v>
      </c>
      <c r="D2190" s="21">
        <f t="shared" ca="1" si="377"/>
        <v>6.65035048273909</v>
      </c>
      <c r="E2190" s="21">
        <f t="shared" ca="1" si="384"/>
        <v>10.178354040222075</v>
      </c>
      <c r="F2190" s="20" t="str">
        <f t="shared" ca="1" si="382"/>
        <v>No</v>
      </c>
      <c r="G2190" s="21">
        <f t="shared" ca="1" si="378"/>
        <v>0</v>
      </c>
      <c r="H2190" s="21">
        <f t="shared" ca="1" si="379"/>
        <v>6558.7066064113196</v>
      </c>
      <c r="I2190" s="21">
        <f t="shared" ca="1" si="374"/>
        <v>6565.3569568940584</v>
      </c>
      <c r="J2190" s="20">
        <f t="shared" ca="1" si="383"/>
        <v>4</v>
      </c>
      <c r="K2190" s="20">
        <f t="shared" ca="1" si="375"/>
        <v>4</v>
      </c>
      <c r="L2190" s="44">
        <f t="shared" ca="1" si="380"/>
        <v>4</v>
      </c>
    </row>
    <row r="2191" spans="1:12" x14ac:dyDescent="0.25">
      <c r="A2191" s="20">
        <v>2183</v>
      </c>
      <c r="B2191" s="21">
        <f t="shared" ca="1" si="376"/>
        <v>0.30913285408420088</v>
      </c>
      <c r="C2191" s="21">
        <f t="shared" ca="1" si="381"/>
        <v>6548.8373852251816</v>
      </c>
      <c r="D2191" s="21">
        <f t="shared" ca="1" si="377"/>
        <v>0.65398918149724783</v>
      </c>
      <c r="E2191" s="21">
        <f t="shared" ca="1" si="384"/>
        <v>16.519571668876779</v>
      </c>
      <c r="F2191" s="20" t="str">
        <f t="shared" ca="1" si="382"/>
        <v>No</v>
      </c>
      <c r="G2191" s="21">
        <f t="shared" ca="1" si="378"/>
        <v>0</v>
      </c>
      <c r="H2191" s="21">
        <f t="shared" ca="1" si="379"/>
        <v>6565.3569568940584</v>
      </c>
      <c r="I2191" s="21">
        <f t="shared" ca="1" si="374"/>
        <v>6566.0109460755557</v>
      </c>
      <c r="J2191" s="20">
        <f t="shared" ca="1" si="383"/>
        <v>5</v>
      </c>
      <c r="K2191" s="20">
        <f t="shared" ca="1" si="375"/>
        <v>3</v>
      </c>
      <c r="L2191" s="44">
        <f t="shared" ca="1" si="380"/>
        <v>4</v>
      </c>
    </row>
    <row r="2192" spans="1:12" x14ac:dyDescent="0.25">
      <c r="A2192" s="20">
        <v>2184</v>
      </c>
      <c r="B2192" s="21">
        <f t="shared" ca="1" si="376"/>
        <v>5.9860110582741388</v>
      </c>
      <c r="C2192" s="21">
        <f t="shared" ca="1" si="381"/>
        <v>6554.8233962834556</v>
      </c>
      <c r="D2192" s="21">
        <f t="shared" ca="1" si="377"/>
        <v>0.74273108602808147</v>
      </c>
      <c r="E2192" s="21">
        <f t="shared" ca="1" si="384"/>
        <v>11.187549792100071</v>
      </c>
      <c r="F2192" s="20" t="str">
        <f t="shared" ca="1" si="382"/>
        <v>No</v>
      </c>
      <c r="G2192" s="21">
        <f t="shared" ca="1" si="378"/>
        <v>0</v>
      </c>
      <c r="H2192" s="21">
        <f t="shared" ca="1" si="379"/>
        <v>6566.0109460755557</v>
      </c>
      <c r="I2192" s="21">
        <f t="shared" ca="1" si="374"/>
        <v>6566.7536771615842</v>
      </c>
      <c r="J2192" s="20">
        <f t="shared" ca="1" si="383"/>
        <v>4</v>
      </c>
      <c r="K2192" s="20">
        <f t="shared" ca="1" si="375"/>
        <v>2</v>
      </c>
      <c r="L2192" s="44">
        <f t="shared" ca="1" si="380"/>
        <v>3</v>
      </c>
    </row>
    <row r="2193" spans="1:12" x14ac:dyDescent="0.25">
      <c r="A2193" s="20">
        <v>2185</v>
      </c>
      <c r="B2193" s="21">
        <f t="shared" ca="1" si="376"/>
        <v>8.6197773187268627</v>
      </c>
      <c r="C2193" s="21">
        <f t="shared" ca="1" si="381"/>
        <v>6563.4431736021825</v>
      </c>
      <c r="D2193" s="21">
        <f t="shared" ca="1" si="377"/>
        <v>2.9979948359294766</v>
      </c>
      <c r="E2193" s="21">
        <f t="shared" ca="1" si="384"/>
        <v>3.3105035594016954</v>
      </c>
      <c r="F2193" s="20" t="str">
        <f t="shared" ca="1" si="382"/>
        <v>No</v>
      </c>
      <c r="G2193" s="21">
        <f t="shared" ca="1" si="378"/>
        <v>0</v>
      </c>
      <c r="H2193" s="21">
        <f t="shared" ca="1" si="379"/>
        <v>6566.7536771615842</v>
      </c>
      <c r="I2193" s="21">
        <f t="shared" ca="1" si="374"/>
        <v>6569.7516719975138</v>
      </c>
      <c r="J2193" s="20">
        <f t="shared" ca="1" si="383"/>
        <v>3</v>
      </c>
      <c r="K2193" s="20">
        <f t="shared" ca="1" si="375"/>
        <v>4</v>
      </c>
      <c r="L2193" s="44">
        <f t="shared" ca="1" si="380"/>
        <v>3.5</v>
      </c>
    </row>
    <row r="2194" spans="1:12" x14ac:dyDescent="0.25">
      <c r="A2194" s="20">
        <v>2186</v>
      </c>
      <c r="B2194" s="21">
        <f t="shared" ca="1" si="376"/>
        <v>1.1324837790347972</v>
      </c>
      <c r="C2194" s="21">
        <f t="shared" ca="1" si="381"/>
        <v>6564.5756573812168</v>
      </c>
      <c r="D2194" s="21">
        <f t="shared" ca="1" si="377"/>
        <v>0.58191545531518252</v>
      </c>
      <c r="E2194" s="21">
        <f t="shared" ca="1" si="384"/>
        <v>5.1760146162969249</v>
      </c>
      <c r="F2194" s="20" t="str">
        <f t="shared" ca="1" si="382"/>
        <v>No</v>
      </c>
      <c r="G2194" s="21">
        <f t="shared" ca="1" si="378"/>
        <v>0</v>
      </c>
      <c r="H2194" s="21">
        <f t="shared" ca="1" si="379"/>
        <v>6569.7516719975138</v>
      </c>
      <c r="I2194" s="21">
        <f t="shared" ca="1" si="374"/>
        <v>6570.3335874528293</v>
      </c>
      <c r="J2194" s="20">
        <f t="shared" ca="1" si="383"/>
        <v>5</v>
      </c>
      <c r="K2194" s="20">
        <f t="shared" ca="1" si="375"/>
        <v>3</v>
      </c>
      <c r="L2194" s="44">
        <f t="shared" ca="1" si="380"/>
        <v>4</v>
      </c>
    </row>
    <row r="2195" spans="1:12" x14ac:dyDescent="0.25">
      <c r="A2195" s="20">
        <v>2187</v>
      </c>
      <c r="B2195" s="21">
        <f t="shared" ca="1" si="376"/>
        <v>2.9610688820529325</v>
      </c>
      <c r="C2195" s="21">
        <f t="shared" ca="1" si="381"/>
        <v>6567.5367262632699</v>
      </c>
      <c r="D2195" s="21">
        <f t="shared" ca="1" si="377"/>
        <v>0.13278168475341445</v>
      </c>
      <c r="E2195" s="21">
        <f t="shared" ca="1" si="384"/>
        <v>2.7968611895594222</v>
      </c>
      <c r="F2195" s="20" t="str">
        <f t="shared" ca="1" si="382"/>
        <v>No</v>
      </c>
      <c r="G2195" s="21">
        <f t="shared" ca="1" si="378"/>
        <v>0</v>
      </c>
      <c r="H2195" s="21">
        <f t="shared" ca="1" si="379"/>
        <v>6570.3335874528293</v>
      </c>
      <c r="I2195" s="21">
        <f t="shared" ca="1" si="374"/>
        <v>6570.4663691375827</v>
      </c>
      <c r="J2195" s="20">
        <f t="shared" ca="1" si="383"/>
        <v>4</v>
      </c>
      <c r="K2195" s="20">
        <f t="shared" ca="1" si="375"/>
        <v>2</v>
      </c>
      <c r="L2195" s="44">
        <f t="shared" ca="1" si="380"/>
        <v>3</v>
      </c>
    </row>
    <row r="2196" spans="1:12" x14ac:dyDescent="0.25">
      <c r="A2196" s="20">
        <v>2188</v>
      </c>
      <c r="B2196" s="21">
        <f t="shared" ca="1" si="376"/>
        <v>0.45632137181179133</v>
      </c>
      <c r="C2196" s="21">
        <f t="shared" ca="1" si="381"/>
        <v>6567.9930476350819</v>
      </c>
      <c r="D2196" s="21">
        <f t="shared" ca="1" si="377"/>
        <v>2.6062410668038298</v>
      </c>
      <c r="E2196" s="21">
        <f t="shared" ca="1" si="384"/>
        <v>2.4733215025007667</v>
      </c>
      <c r="F2196" s="20" t="str">
        <f t="shared" ca="1" si="382"/>
        <v>No</v>
      </c>
      <c r="G2196" s="21">
        <f t="shared" ca="1" si="378"/>
        <v>0</v>
      </c>
      <c r="H2196" s="21">
        <f t="shared" ca="1" si="379"/>
        <v>6570.4663691375827</v>
      </c>
      <c r="I2196" s="21">
        <f t="shared" ca="1" si="374"/>
        <v>6573.0726102043864</v>
      </c>
      <c r="J2196" s="20">
        <f t="shared" ca="1" si="383"/>
        <v>3</v>
      </c>
      <c r="K2196" s="20">
        <f t="shared" ca="1" si="375"/>
        <v>1</v>
      </c>
      <c r="L2196" s="44">
        <f t="shared" ca="1" si="380"/>
        <v>2</v>
      </c>
    </row>
    <row r="2197" spans="1:12" x14ac:dyDescent="0.25">
      <c r="A2197" s="20">
        <v>2189</v>
      </c>
      <c r="B2197" s="21">
        <f t="shared" ca="1" si="376"/>
        <v>1.1926199881889286</v>
      </c>
      <c r="C2197" s="21">
        <f t="shared" ca="1" si="381"/>
        <v>6569.185667623271</v>
      </c>
      <c r="D2197" s="21">
        <f t="shared" ca="1" si="377"/>
        <v>7.0803376137489913</v>
      </c>
      <c r="E2197" s="21">
        <f t="shared" ca="1" si="384"/>
        <v>3.8869425811153633</v>
      </c>
      <c r="F2197" s="20" t="str">
        <f t="shared" ca="1" si="382"/>
        <v>No</v>
      </c>
      <c r="G2197" s="21">
        <f t="shared" ca="1" si="378"/>
        <v>0</v>
      </c>
      <c r="H2197" s="21">
        <f t="shared" ca="1" si="379"/>
        <v>6573.0726102043864</v>
      </c>
      <c r="I2197" s="21">
        <f t="shared" ca="1" si="374"/>
        <v>6580.1529478181355</v>
      </c>
      <c r="J2197" s="20">
        <f t="shared" ca="1" si="383"/>
        <v>2</v>
      </c>
      <c r="K2197" s="20">
        <f t="shared" ca="1" si="375"/>
        <v>1</v>
      </c>
      <c r="L2197" s="44">
        <f t="shared" ca="1" si="380"/>
        <v>1.5</v>
      </c>
    </row>
    <row r="2198" spans="1:12" x14ac:dyDescent="0.25">
      <c r="A2198" s="20">
        <v>2190</v>
      </c>
      <c r="B2198" s="21">
        <f t="shared" ca="1" si="376"/>
        <v>9.9689417988011844</v>
      </c>
      <c r="C2198" s="21">
        <f t="shared" ca="1" si="381"/>
        <v>6579.1546094220721</v>
      </c>
      <c r="D2198" s="21">
        <f t="shared" ca="1" si="377"/>
        <v>0.63846066037103377</v>
      </c>
      <c r="E2198" s="21">
        <f t="shared" ca="1" si="384"/>
        <v>0.99833839606344554</v>
      </c>
      <c r="F2198" s="20" t="str">
        <f t="shared" ca="1" si="382"/>
        <v>No</v>
      </c>
      <c r="G2198" s="21">
        <f t="shared" ca="1" si="378"/>
        <v>0</v>
      </c>
      <c r="H2198" s="21">
        <f t="shared" ca="1" si="379"/>
        <v>6580.1529478181355</v>
      </c>
      <c r="I2198" s="21">
        <f t="shared" ca="1" si="374"/>
        <v>6580.7914084785061</v>
      </c>
      <c r="J2198" s="20">
        <f t="shared" ca="1" si="383"/>
        <v>2</v>
      </c>
      <c r="K2198" s="20">
        <f t="shared" ca="1" si="375"/>
        <v>0</v>
      </c>
      <c r="L2198" s="44">
        <f t="shared" ca="1" si="380"/>
        <v>1</v>
      </c>
    </row>
    <row r="2199" spans="1:12" x14ac:dyDescent="0.25">
      <c r="A2199" s="20">
        <v>2191</v>
      </c>
      <c r="B2199" s="21">
        <f t="shared" ca="1" si="376"/>
        <v>6.8422473251321243</v>
      </c>
      <c r="C2199" s="21">
        <f t="shared" ca="1" si="381"/>
        <v>6585.9968567472042</v>
      </c>
      <c r="D2199" s="21">
        <f t="shared" ca="1" si="377"/>
        <v>1.613131847001827</v>
      </c>
      <c r="E2199" s="21">
        <f t="shared" ca="1" si="384"/>
        <v>0</v>
      </c>
      <c r="F2199" s="20" t="str">
        <f t="shared" ca="1" si="382"/>
        <v>Yes</v>
      </c>
      <c r="G2199" s="21">
        <f t="shared" ca="1" si="378"/>
        <v>5.2054482686980919</v>
      </c>
      <c r="H2199" s="21">
        <f t="shared" ca="1" si="379"/>
        <v>6585.9968567472042</v>
      </c>
      <c r="I2199" s="21">
        <f t="shared" ca="1" si="374"/>
        <v>6587.6099885942058</v>
      </c>
      <c r="J2199" s="20">
        <f t="shared" ca="1" si="383"/>
        <v>0</v>
      </c>
      <c r="K2199" s="20">
        <f t="shared" ca="1" si="375"/>
        <v>0</v>
      </c>
      <c r="L2199" s="44">
        <f t="shared" ca="1" si="380"/>
        <v>0</v>
      </c>
    </row>
    <row r="2200" spans="1:12" x14ac:dyDescent="0.25">
      <c r="A2200" s="20">
        <v>2192</v>
      </c>
      <c r="B2200" s="21">
        <f t="shared" ca="1" si="376"/>
        <v>7.1816425412482578</v>
      </c>
      <c r="C2200" s="21">
        <f t="shared" ca="1" si="381"/>
        <v>6593.1784992884523</v>
      </c>
      <c r="D2200" s="21">
        <f t="shared" ca="1" si="377"/>
        <v>5.4264963211855104</v>
      </c>
      <c r="E2200" s="21">
        <f t="shared" ca="1" si="384"/>
        <v>0</v>
      </c>
      <c r="F2200" s="20" t="str">
        <f t="shared" ca="1" si="382"/>
        <v>Yes</v>
      </c>
      <c r="G2200" s="21">
        <f t="shared" ca="1" si="378"/>
        <v>5.5685106942464699</v>
      </c>
      <c r="H2200" s="21">
        <f t="shared" ca="1" si="379"/>
        <v>6593.1784992884523</v>
      </c>
      <c r="I2200" s="21">
        <f t="shared" ca="1" si="374"/>
        <v>6598.6049956096376</v>
      </c>
      <c r="J2200" s="20">
        <f t="shared" ca="1" si="383"/>
        <v>0</v>
      </c>
      <c r="K2200" s="20">
        <f t="shared" ca="1" si="375"/>
        <v>1</v>
      </c>
      <c r="L2200" s="44">
        <f t="shared" ca="1" si="380"/>
        <v>0.5</v>
      </c>
    </row>
    <row r="2201" spans="1:12" x14ac:dyDescent="0.25">
      <c r="A2201" s="20">
        <v>2193</v>
      </c>
      <c r="B2201" s="21">
        <f t="shared" ca="1" si="376"/>
        <v>1.8740851933664626</v>
      </c>
      <c r="C2201" s="21">
        <f t="shared" ca="1" si="381"/>
        <v>6595.0525844818185</v>
      </c>
      <c r="D2201" s="21">
        <f t="shared" ca="1" si="377"/>
        <v>4.3256192563027378</v>
      </c>
      <c r="E2201" s="21">
        <f t="shared" ca="1" si="384"/>
        <v>3.5524111278191413</v>
      </c>
      <c r="F2201" s="20" t="str">
        <f t="shared" ca="1" si="382"/>
        <v>No</v>
      </c>
      <c r="G2201" s="21">
        <f t="shared" ca="1" si="378"/>
        <v>0</v>
      </c>
      <c r="H2201" s="21">
        <f t="shared" ca="1" si="379"/>
        <v>6598.6049956096376</v>
      </c>
      <c r="I2201" s="21">
        <f t="shared" ca="1" si="374"/>
        <v>6602.9306148659407</v>
      </c>
      <c r="J2201" s="20">
        <f t="shared" ca="1" si="383"/>
        <v>2</v>
      </c>
      <c r="K2201" s="20">
        <f t="shared" ca="1" si="375"/>
        <v>1</v>
      </c>
      <c r="L2201" s="44">
        <f t="shared" ca="1" si="380"/>
        <v>1.5</v>
      </c>
    </row>
    <row r="2202" spans="1:12" x14ac:dyDescent="0.25">
      <c r="A2202" s="20">
        <v>2194</v>
      </c>
      <c r="B2202" s="21">
        <f t="shared" ca="1" si="376"/>
        <v>7.6360592850433093</v>
      </c>
      <c r="C2202" s="21">
        <f t="shared" ca="1" si="381"/>
        <v>6602.6886437668618</v>
      </c>
      <c r="D2202" s="21">
        <f t="shared" ca="1" si="377"/>
        <v>1.2713654567937553</v>
      </c>
      <c r="E2202" s="21">
        <f t="shared" ca="1" si="384"/>
        <v>0.2419710990789099</v>
      </c>
      <c r="F2202" s="20" t="str">
        <f t="shared" ca="1" si="382"/>
        <v>No</v>
      </c>
      <c r="G2202" s="21">
        <f t="shared" ca="1" si="378"/>
        <v>0</v>
      </c>
      <c r="H2202" s="21">
        <f t="shared" ca="1" si="379"/>
        <v>6602.9306148659407</v>
      </c>
      <c r="I2202" s="21">
        <f t="shared" ca="1" si="374"/>
        <v>6604.201980322734</v>
      </c>
      <c r="J2202" s="20">
        <f t="shared" ca="1" si="383"/>
        <v>2</v>
      </c>
      <c r="K2202" s="20">
        <f t="shared" ca="1" si="375"/>
        <v>0</v>
      </c>
      <c r="L2202" s="44">
        <f t="shared" ca="1" si="380"/>
        <v>1</v>
      </c>
    </row>
    <row r="2203" spans="1:12" x14ac:dyDescent="0.25">
      <c r="A2203" s="20">
        <v>2195</v>
      </c>
      <c r="B2203" s="21">
        <f t="shared" ca="1" si="376"/>
        <v>15.445800592971683</v>
      </c>
      <c r="C2203" s="21">
        <f t="shared" ca="1" si="381"/>
        <v>6618.1344443598337</v>
      </c>
      <c r="D2203" s="21">
        <f t="shared" ca="1" si="377"/>
        <v>4.1019675390602819</v>
      </c>
      <c r="E2203" s="21">
        <f t="shared" ca="1" si="384"/>
        <v>0</v>
      </c>
      <c r="F2203" s="20" t="str">
        <f t="shared" ca="1" si="382"/>
        <v>Yes</v>
      </c>
      <c r="G2203" s="21">
        <f t="shared" ca="1" si="378"/>
        <v>13.932464037099635</v>
      </c>
      <c r="H2203" s="21">
        <f t="shared" ca="1" si="379"/>
        <v>6618.1344443598337</v>
      </c>
      <c r="I2203" s="21">
        <f t="shared" ca="1" si="374"/>
        <v>6622.2364118988935</v>
      </c>
      <c r="J2203" s="20">
        <f t="shared" ca="1" si="383"/>
        <v>0</v>
      </c>
      <c r="K2203" s="20">
        <f t="shared" ca="1" si="375"/>
        <v>1</v>
      </c>
      <c r="L2203" s="44">
        <f t="shared" ca="1" si="380"/>
        <v>0.5</v>
      </c>
    </row>
    <row r="2204" spans="1:12" x14ac:dyDescent="0.25">
      <c r="A2204" s="20">
        <v>2196</v>
      </c>
      <c r="B2204" s="21">
        <f t="shared" ca="1" si="376"/>
        <v>1.4033307227922893</v>
      </c>
      <c r="C2204" s="21">
        <f t="shared" ca="1" si="381"/>
        <v>6619.5377750826256</v>
      </c>
      <c r="D2204" s="21">
        <f t="shared" ca="1" si="377"/>
        <v>1.4128729662202362</v>
      </c>
      <c r="E2204" s="21">
        <f t="shared" ca="1" si="384"/>
        <v>2.6986368162679355</v>
      </c>
      <c r="F2204" s="20" t="str">
        <f t="shared" ca="1" si="382"/>
        <v>No</v>
      </c>
      <c r="G2204" s="21">
        <f t="shared" ca="1" si="378"/>
        <v>0</v>
      </c>
      <c r="H2204" s="21">
        <f t="shared" ca="1" si="379"/>
        <v>6622.2364118988935</v>
      </c>
      <c r="I2204" s="21">
        <f t="shared" ca="1" si="374"/>
        <v>6623.6492848651142</v>
      </c>
      <c r="J2204" s="20">
        <f t="shared" ca="1" si="383"/>
        <v>2</v>
      </c>
      <c r="K2204" s="20">
        <f t="shared" ca="1" si="375"/>
        <v>0</v>
      </c>
      <c r="L2204" s="44">
        <f t="shared" ca="1" si="380"/>
        <v>1</v>
      </c>
    </row>
    <row r="2205" spans="1:12" x14ac:dyDescent="0.25">
      <c r="A2205" s="20">
        <v>2197</v>
      </c>
      <c r="B2205" s="21">
        <f t="shared" ca="1" si="376"/>
        <v>4.3988740356057399</v>
      </c>
      <c r="C2205" s="21">
        <f t="shared" ca="1" si="381"/>
        <v>6623.9366491182309</v>
      </c>
      <c r="D2205" s="21">
        <f t="shared" ca="1" si="377"/>
        <v>1.4083081506300079</v>
      </c>
      <c r="E2205" s="21">
        <f t="shared" ca="1" si="384"/>
        <v>0</v>
      </c>
      <c r="F2205" s="20" t="str">
        <f t="shared" ca="1" si="382"/>
        <v>Yes</v>
      </c>
      <c r="G2205" s="21">
        <f t="shared" ca="1" si="378"/>
        <v>0.28736425311672065</v>
      </c>
      <c r="H2205" s="21">
        <f t="shared" ca="1" si="379"/>
        <v>6623.9366491182309</v>
      </c>
      <c r="I2205" s="21">
        <f t="shared" ca="1" si="374"/>
        <v>6625.3449572688605</v>
      </c>
      <c r="J2205" s="20">
        <f t="shared" ca="1" si="383"/>
        <v>0</v>
      </c>
      <c r="K2205" s="20">
        <f t="shared" ca="1" si="375"/>
        <v>0</v>
      </c>
      <c r="L2205" s="44">
        <f t="shared" ca="1" si="380"/>
        <v>0</v>
      </c>
    </row>
    <row r="2206" spans="1:12" x14ac:dyDescent="0.25">
      <c r="A2206" s="20">
        <v>2198</v>
      </c>
      <c r="B2206" s="21">
        <f t="shared" ca="1" si="376"/>
        <v>2.6150075033609754</v>
      </c>
      <c r="C2206" s="21">
        <f t="shared" ca="1" si="381"/>
        <v>6626.551656621592</v>
      </c>
      <c r="D2206" s="21">
        <f t="shared" ca="1" si="377"/>
        <v>0.7628546754188279</v>
      </c>
      <c r="E2206" s="21">
        <f t="shared" ca="1" si="384"/>
        <v>0</v>
      </c>
      <c r="F2206" s="20" t="str">
        <f t="shared" ca="1" si="382"/>
        <v>Yes</v>
      </c>
      <c r="G2206" s="21">
        <f t="shared" ca="1" si="378"/>
        <v>1.206699352731448</v>
      </c>
      <c r="H2206" s="21">
        <f t="shared" ca="1" si="379"/>
        <v>6626.551656621592</v>
      </c>
      <c r="I2206" s="21">
        <f t="shared" ca="1" si="374"/>
        <v>6627.3145112970105</v>
      </c>
      <c r="J2206" s="20">
        <f t="shared" ca="1" si="383"/>
        <v>0</v>
      </c>
      <c r="K2206" s="20">
        <f t="shared" ca="1" si="375"/>
        <v>0</v>
      </c>
      <c r="L2206" s="44">
        <f t="shared" ca="1" si="380"/>
        <v>0</v>
      </c>
    </row>
    <row r="2207" spans="1:12" x14ac:dyDescent="0.25">
      <c r="A2207" s="20">
        <v>2199</v>
      </c>
      <c r="B2207" s="21">
        <f t="shared" ca="1" si="376"/>
        <v>1.4393230435105044</v>
      </c>
      <c r="C2207" s="21">
        <f t="shared" ca="1" si="381"/>
        <v>6627.9909796651027</v>
      </c>
      <c r="D2207" s="21">
        <f t="shared" ca="1" si="377"/>
        <v>1.0527356259947136</v>
      </c>
      <c r="E2207" s="21">
        <f t="shared" ca="1" si="384"/>
        <v>0</v>
      </c>
      <c r="F2207" s="20" t="str">
        <f t="shared" ca="1" si="382"/>
        <v>Yes</v>
      </c>
      <c r="G2207" s="21">
        <f t="shared" ca="1" si="378"/>
        <v>0.67646836809217348</v>
      </c>
      <c r="H2207" s="21">
        <f t="shared" ca="1" si="379"/>
        <v>6627.9909796651027</v>
      </c>
      <c r="I2207" s="21">
        <f t="shared" ca="1" si="374"/>
        <v>6629.0437152910972</v>
      </c>
      <c r="J2207" s="20">
        <f t="shared" ca="1" si="383"/>
        <v>0</v>
      </c>
      <c r="K2207" s="20">
        <f t="shared" ca="1" si="375"/>
        <v>0</v>
      </c>
      <c r="L2207" s="44">
        <f t="shared" ca="1" si="380"/>
        <v>0</v>
      </c>
    </row>
    <row r="2208" spans="1:12" x14ac:dyDescent="0.25">
      <c r="A2208" s="20">
        <v>2200</v>
      </c>
      <c r="B2208" s="21">
        <f t="shared" ca="1" si="376"/>
        <v>3.2604085128257889</v>
      </c>
      <c r="C2208" s="21">
        <f t="shared" ca="1" si="381"/>
        <v>6631.2513881779287</v>
      </c>
      <c r="D2208" s="21">
        <f t="shared" ca="1" si="377"/>
        <v>1.8688429978235237</v>
      </c>
      <c r="E2208" s="21">
        <f t="shared" ca="1" si="384"/>
        <v>0</v>
      </c>
      <c r="F2208" s="20" t="str">
        <f t="shared" ca="1" si="382"/>
        <v>Yes</v>
      </c>
      <c r="G2208" s="21">
        <f t="shared" ca="1" si="378"/>
        <v>2.2076728868314603</v>
      </c>
      <c r="H2208" s="21">
        <f t="shared" ca="1" si="379"/>
        <v>6631.2513881779287</v>
      </c>
      <c r="I2208" s="21">
        <f t="shared" ca="1" si="374"/>
        <v>6633.1202311757525</v>
      </c>
      <c r="J2208" s="20">
        <f t="shared" ca="1" si="383"/>
        <v>0</v>
      </c>
      <c r="K2208" s="20">
        <f t="shared" ca="1" si="375"/>
        <v>1</v>
      </c>
      <c r="L2208" s="44">
        <f t="shared" ca="1" si="380"/>
        <v>0.5</v>
      </c>
    </row>
    <row r="2209" spans="1:12" x14ac:dyDescent="0.25">
      <c r="A2209" s="20">
        <v>2201</v>
      </c>
      <c r="B2209" s="21">
        <f t="shared" ca="1" si="376"/>
        <v>0.38721692926832502</v>
      </c>
      <c r="C2209" s="21">
        <f t="shared" ca="1" si="381"/>
        <v>6631.6386051071968</v>
      </c>
      <c r="D2209" s="21">
        <f t="shared" ca="1" si="377"/>
        <v>3.8212858759874901</v>
      </c>
      <c r="E2209" s="21">
        <f t="shared" ca="1" si="384"/>
        <v>1.4816260685556699</v>
      </c>
      <c r="F2209" s="20" t="str">
        <f t="shared" ca="1" si="382"/>
        <v>No</v>
      </c>
      <c r="G2209" s="21">
        <f t="shared" ca="1" si="378"/>
        <v>0</v>
      </c>
      <c r="H2209" s="21">
        <f t="shared" ca="1" si="379"/>
        <v>6633.1202311757525</v>
      </c>
      <c r="I2209" s="21">
        <f t="shared" ca="1" si="374"/>
        <v>6636.9415170517395</v>
      </c>
      <c r="J2209" s="20">
        <f t="shared" ca="1" si="383"/>
        <v>2</v>
      </c>
      <c r="K2209" s="20">
        <f t="shared" ca="1" si="375"/>
        <v>1</v>
      </c>
      <c r="L2209" s="44">
        <f t="shared" ca="1" si="380"/>
        <v>1.5</v>
      </c>
    </row>
    <row r="2210" spans="1:12" x14ac:dyDescent="0.25">
      <c r="A2210" s="20">
        <v>2202</v>
      </c>
      <c r="B2210" s="21">
        <f t="shared" ca="1" si="376"/>
        <v>4.1296936214047797</v>
      </c>
      <c r="C2210" s="21">
        <f t="shared" ca="1" si="381"/>
        <v>6635.7682987286016</v>
      </c>
      <c r="D2210" s="21">
        <f t="shared" ca="1" si="377"/>
        <v>3.389386670107613</v>
      </c>
      <c r="E2210" s="21">
        <f t="shared" ca="1" si="384"/>
        <v>1.1732183231379167</v>
      </c>
      <c r="F2210" s="20" t="str">
        <f t="shared" ca="1" si="382"/>
        <v>No</v>
      </c>
      <c r="G2210" s="21">
        <f t="shared" ca="1" si="378"/>
        <v>0</v>
      </c>
      <c r="H2210" s="21">
        <f t="shared" ca="1" si="379"/>
        <v>6636.9415170517395</v>
      </c>
      <c r="I2210" s="21">
        <f t="shared" ca="1" si="374"/>
        <v>6640.3309037218469</v>
      </c>
      <c r="J2210" s="20">
        <f t="shared" ca="1" si="383"/>
        <v>2</v>
      </c>
      <c r="K2210" s="20">
        <f t="shared" ca="1" si="375"/>
        <v>0</v>
      </c>
      <c r="L2210" s="44">
        <f t="shared" ca="1" si="380"/>
        <v>1</v>
      </c>
    </row>
    <row r="2211" spans="1:12" x14ac:dyDescent="0.25">
      <c r="A2211" s="20">
        <v>2203</v>
      </c>
      <c r="B2211" s="21">
        <f t="shared" ca="1" si="376"/>
        <v>9.2540479174107908</v>
      </c>
      <c r="C2211" s="21">
        <f t="shared" ca="1" si="381"/>
        <v>6645.022346646012</v>
      </c>
      <c r="D2211" s="21">
        <f t="shared" ca="1" si="377"/>
        <v>2.3043125133042084</v>
      </c>
      <c r="E2211" s="21">
        <f t="shared" ca="1" si="384"/>
        <v>0</v>
      </c>
      <c r="F2211" s="20" t="str">
        <f t="shared" ca="1" si="382"/>
        <v>Yes</v>
      </c>
      <c r="G2211" s="21">
        <f t="shared" ca="1" si="378"/>
        <v>4.6914429241651305</v>
      </c>
      <c r="H2211" s="21">
        <f t="shared" ca="1" si="379"/>
        <v>6645.022346646012</v>
      </c>
      <c r="I2211" s="21">
        <f t="shared" ca="1" si="374"/>
        <v>6647.3266591593165</v>
      </c>
      <c r="J2211" s="20">
        <f t="shared" ca="1" si="383"/>
        <v>0</v>
      </c>
      <c r="K2211" s="20">
        <f t="shared" ca="1" si="375"/>
        <v>0</v>
      </c>
      <c r="L2211" s="44">
        <f t="shared" ca="1" si="380"/>
        <v>0</v>
      </c>
    </row>
    <row r="2212" spans="1:12" x14ac:dyDescent="0.25">
      <c r="A2212" s="20">
        <v>2204</v>
      </c>
      <c r="B2212" s="21">
        <f t="shared" ca="1" si="376"/>
        <v>3.5116547850786088</v>
      </c>
      <c r="C2212" s="21">
        <f t="shared" ca="1" si="381"/>
        <v>6648.5340014310905</v>
      </c>
      <c r="D2212" s="21">
        <f t="shared" ca="1" si="377"/>
        <v>7.8393140693791645</v>
      </c>
      <c r="E2212" s="21">
        <f t="shared" ca="1" si="384"/>
        <v>0</v>
      </c>
      <c r="F2212" s="20" t="str">
        <f t="shared" ca="1" si="382"/>
        <v>Yes</v>
      </c>
      <c r="G2212" s="21">
        <f t="shared" ca="1" si="378"/>
        <v>1.2073422717739959</v>
      </c>
      <c r="H2212" s="21">
        <f t="shared" ca="1" si="379"/>
        <v>6648.5340014310905</v>
      </c>
      <c r="I2212" s="21">
        <f t="shared" ca="1" si="374"/>
        <v>6656.3733155004693</v>
      </c>
      <c r="J2212" s="20">
        <f t="shared" ca="1" si="383"/>
        <v>0</v>
      </c>
      <c r="K2212" s="20">
        <f t="shared" ca="1" si="375"/>
        <v>1</v>
      </c>
      <c r="L2212" s="44">
        <f t="shared" ca="1" si="380"/>
        <v>0.5</v>
      </c>
    </row>
    <row r="2213" spans="1:12" x14ac:dyDescent="0.25">
      <c r="A2213" s="20">
        <v>2205</v>
      </c>
      <c r="B2213" s="21">
        <f t="shared" ca="1" si="376"/>
        <v>6.5962410423355804</v>
      </c>
      <c r="C2213" s="21">
        <f t="shared" ca="1" si="381"/>
        <v>6655.1302424734258</v>
      </c>
      <c r="D2213" s="21">
        <f t="shared" ca="1" si="377"/>
        <v>3.925262476493351</v>
      </c>
      <c r="E2213" s="21">
        <f t="shared" ca="1" si="384"/>
        <v>1.2430730270434651</v>
      </c>
      <c r="F2213" s="20" t="str">
        <f t="shared" ca="1" si="382"/>
        <v>No</v>
      </c>
      <c r="G2213" s="21">
        <f t="shared" ca="1" si="378"/>
        <v>0</v>
      </c>
      <c r="H2213" s="21">
        <f t="shared" ca="1" si="379"/>
        <v>6656.3733155004693</v>
      </c>
      <c r="I2213" s="21">
        <f t="shared" ca="1" si="374"/>
        <v>6660.2985779769624</v>
      </c>
      <c r="J2213" s="20">
        <f t="shared" ca="1" si="383"/>
        <v>2</v>
      </c>
      <c r="K2213" s="20">
        <f t="shared" ca="1" si="375"/>
        <v>0</v>
      </c>
      <c r="L2213" s="44">
        <f t="shared" ca="1" si="380"/>
        <v>1</v>
      </c>
    </row>
    <row r="2214" spans="1:12" x14ac:dyDescent="0.25">
      <c r="A2214" s="20">
        <v>2206</v>
      </c>
      <c r="B2214" s="21">
        <f t="shared" ca="1" si="376"/>
        <v>7.8454776127423642</v>
      </c>
      <c r="C2214" s="21">
        <f t="shared" ca="1" si="381"/>
        <v>6662.9757200861686</v>
      </c>
      <c r="D2214" s="21">
        <f t="shared" ca="1" si="377"/>
        <v>0.19610553662555152</v>
      </c>
      <c r="E2214" s="21">
        <f t="shared" ca="1" si="384"/>
        <v>0</v>
      </c>
      <c r="F2214" s="20" t="str">
        <f t="shared" ca="1" si="382"/>
        <v>Yes</v>
      </c>
      <c r="G2214" s="21">
        <f t="shared" ca="1" si="378"/>
        <v>2.6771421092062155</v>
      </c>
      <c r="H2214" s="21">
        <f t="shared" ca="1" si="379"/>
        <v>6662.9757200861686</v>
      </c>
      <c r="I2214" s="21">
        <f t="shared" ca="1" si="374"/>
        <v>6663.1718256227941</v>
      </c>
      <c r="J2214" s="20">
        <f t="shared" ca="1" si="383"/>
        <v>0</v>
      </c>
      <c r="K2214" s="20">
        <f t="shared" ca="1" si="375"/>
        <v>0</v>
      </c>
      <c r="L2214" s="44">
        <f t="shared" ca="1" si="380"/>
        <v>0</v>
      </c>
    </row>
    <row r="2215" spans="1:12" x14ac:dyDescent="0.25">
      <c r="A2215" s="20">
        <v>2207</v>
      </c>
      <c r="B2215" s="21">
        <f t="shared" ca="1" si="376"/>
        <v>5.7324472018150869</v>
      </c>
      <c r="C2215" s="21">
        <f t="shared" ca="1" si="381"/>
        <v>6668.708167287984</v>
      </c>
      <c r="D2215" s="21">
        <f t="shared" ca="1" si="377"/>
        <v>1.0030407704648671E-2</v>
      </c>
      <c r="E2215" s="21">
        <f t="shared" ca="1" si="384"/>
        <v>0</v>
      </c>
      <c r="F2215" s="20" t="str">
        <f t="shared" ca="1" si="382"/>
        <v>Yes</v>
      </c>
      <c r="G2215" s="21">
        <f t="shared" ca="1" si="378"/>
        <v>5.536341665189866</v>
      </c>
      <c r="H2215" s="21">
        <f t="shared" ca="1" si="379"/>
        <v>6668.708167287984</v>
      </c>
      <c r="I2215" s="21">
        <f t="shared" ca="1" si="374"/>
        <v>6668.718197695689</v>
      </c>
      <c r="J2215" s="20">
        <f t="shared" ca="1" si="383"/>
        <v>0</v>
      </c>
      <c r="K2215" s="20">
        <f t="shared" ca="1" si="375"/>
        <v>0</v>
      </c>
      <c r="L2215" s="44">
        <f t="shared" ca="1" si="380"/>
        <v>0</v>
      </c>
    </row>
    <row r="2216" spans="1:12" x14ac:dyDescent="0.25">
      <c r="A2216" s="20">
        <v>2208</v>
      </c>
      <c r="B2216" s="21">
        <f t="shared" ca="1" si="376"/>
        <v>3.447922230818008</v>
      </c>
      <c r="C2216" s="21">
        <f t="shared" ca="1" si="381"/>
        <v>6672.1560895188022</v>
      </c>
      <c r="D2216" s="21">
        <f t="shared" ca="1" si="377"/>
        <v>2.6219662376722206</v>
      </c>
      <c r="E2216" s="21">
        <f t="shared" ca="1" si="384"/>
        <v>0</v>
      </c>
      <c r="F2216" s="20" t="str">
        <f t="shared" ca="1" si="382"/>
        <v>Yes</v>
      </c>
      <c r="G2216" s="21">
        <f t="shared" ca="1" si="378"/>
        <v>3.4378918231132047</v>
      </c>
      <c r="H2216" s="21">
        <f t="shared" ca="1" si="379"/>
        <v>6672.1560895188022</v>
      </c>
      <c r="I2216" s="21">
        <f t="shared" ca="1" si="374"/>
        <v>6674.7780557564747</v>
      </c>
      <c r="J2216" s="20">
        <f t="shared" ca="1" si="383"/>
        <v>0</v>
      </c>
      <c r="K2216" s="20">
        <f t="shared" ca="1" si="375"/>
        <v>2</v>
      </c>
      <c r="L2216" s="44">
        <f t="shared" ca="1" si="380"/>
        <v>1</v>
      </c>
    </row>
    <row r="2217" spans="1:12" x14ac:dyDescent="0.25">
      <c r="A2217" s="20">
        <v>2209</v>
      </c>
      <c r="B2217" s="21">
        <f t="shared" ca="1" si="376"/>
        <v>1.7480801519005158</v>
      </c>
      <c r="C2217" s="21">
        <f t="shared" ca="1" si="381"/>
        <v>6673.9041696707027</v>
      </c>
      <c r="D2217" s="21">
        <f t="shared" ca="1" si="377"/>
        <v>3.3088443024221594</v>
      </c>
      <c r="E2217" s="21">
        <f t="shared" ca="1" si="384"/>
        <v>0.87388608577202831</v>
      </c>
      <c r="F2217" s="20" t="str">
        <f t="shared" ca="1" si="382"/>
        <v>No</v>
      </c>
      <c r="G2217" s="21">
        <f t="shared" ca="1" si="378"/>
        <v>0</v>
      </c>
      <c r="H2217" s="21">
        <f t="shared" ca="1" si="379"/>
        <v>6674.7780557564747</v>
      </c>
      <c r="I2217" s="21">
        <f t="shared" ca="1" si="374"/>
        <v>6678.0869000588973</v>
      </c>
      <c r="J2217" s="20">
        <f t="shared" ca="1" si="383"/>
        <v>3</v>
      </c>
      <c r="K2217" s="20">
        <f t="shared" ca="1" si="375"/>
        <v>1</v>
      </c>
      <c r="L2217" s="44">
        <f t="shared" ca="1" si="380"/>
        <v>2</v>
      </c>
    </row>
    <row r="2218" spans="1:12" x14ac:dyDescent="0.25">
      <c r="A2218" s="20">
        <v>2210</v>
      </c>
      <c r="B2218" s="21">
        <f t="shared" ca="1" si="376"/>
        <v>4.3204461193606832E-2</v>
      </c>
      <c r="C2218" s="21">
        <f t="shared" ca="1" si="381"/>
        <v>6673.9473741318961</v>
      </c>
      <c r="D2218" s="21">
        <f t="shared" ca="1" si="377"/>
        <v>2.4409096117444866</v>
      </c>
      <c r="E2218" s="21">
        <f t="shared" ca="1" si="384"/>
        <v>4.1395259270011593</v>
      </c>
      <c r="F2218" s="20" t="str">
        <f t="shared" ca="1" si="382"/>
        <v>No</v>
      </c>
      <c r="G2218" s="21">
        <f t="shared" ca="1" si="378"/>
        <v>0</v>
      </c>
      <c r="H2218" s="21">
        <f t="shared" ca="1" si="379"/>
        <v>6678.0869000588973</v>
      </c>
      <c r="I2218" s="21">
        <f t="shared" ca="1" si="374"/>
        <v>6680.5278096706415</v>
      </c>
      <c r="J2218" s="20">
        <f t="shared" ca="1" si="383"/>
        <v>2</v>
      </c>
      <c r="K2218" s="20">
        <f t="shared" ca="1" si="375"/>
        <v>1</v>
      </c>
      <c r="L2218" s="44">
        <f t="shared" ca="1" si="380"/>
        <v>1.5</v>
      </c>
    </row>
    <row r="2219" spans="1:12" x14ac:dyDescent="0.25">
      <c r="A2219" s="20">
        <v>2211</v>
      </c>
      <c r="B2219" s="21">
        <f t="shared" ca="1" si="376"/>
        <v>5.6679572031264218</v>
      </c>
      <c r="C2219" s="21">
        <f t="shared" ca="1" si="381"/>
        <v>6679.6153313350223</v>
      </c>
      <c r="D2219" s="21">
        <f t="shared" ca="1" si="377"/>
        <v>4.8752934425392427</v>
      </c>
      <c r="E2219" s="21">
        <f t="shared" ca="1" si="384"/>
        <v>0.91247833561919833</v>
      </c>
      <c r="F2219" s="20" t="str">
        <f t="shared" ca="1" si="382"/>
        <v>No</v>
      </c>
      <c r="G2219" s="21">
        <f t="shared" ca="1" si="378"/>
        <v>0</v>
      </c>
      <c r="H2219" s="21">
        <f t="shared" ca="1" si="379"/>
        <v>6680.5278096706415</v>
      </c>
      <c r="I2219" s="21">
        <f t="shared" ca="1" si="374"/>
        <v>6685.4031031131808</v>
      </c>
      <c r="J2219" s="20">
        <f t="shared" ca="1" si="383"/>
        <v>2</v>
      </c>
      <c r="K2219" s="20">
        <f t="shared" ca="1" si="375"/>
        <v>1</v>
      </c>
      <c r="L2219" s="44">
        <f t="shared" ca="1" si="380"/>
        <v>1.5</v>
      </c>
    </row>
    <row r="2220" spans="1:12" x14ac:dyDescent="0.25">
      <c r="A2220" s="20">
        <v>2212</v>
      </c>
      <c r="B2220" s="21">
        <f t="shared" ca="1" si="376"/>
        <v>2.6267655078359859</v>
      </c>
      <c r="C2220" s="21">
        <f t="shared" ca="1" si="381"/>
        <v>6682.2420968428587</v>
      </c>
      <c r="D2220" s="21">
        <f t="shared" ca="1" si="377"/>
        <v>1.5200712391733684</v>
      </c>
      <c r="E2220" s="21">
        <f t="shared" ca="1" si="384"/>
        <v>3.1610062703221047</v>
      </c>
      <c r="F2220" s="20" t="str">
        <f t="shared" ca="1" si="382"/>
        <v>No</v>
      </c>
      <c r="G2220" s="21">
        <f t="shared" ca="1" si="378"/>
        <v>0</v>
      </c>
      <c r="H2220" s="21">
        <f t="shared" ca="1" si="379"/>
        <v>6685.4031031131808</v>
      </c>
      <c r="I2220" s="21">
        <f t="shared" ca="1" si="374"/>
        <v>6686.9231743523542</v>
      </c>
      <c r="J2220" s="20">
        <f t="shared" ca="1" si="383"/>
        <v>2</v>
      </c>
      <c r="K2220" s="20">
        <f t="shared" ca="1" si="375"/>
        <v>1</v>
      </c>
      <c r="L2220" s="44">
        <f t="shared" ca="1" si="380"/>
        <v>1.5</v>
      </c>
    </row>
    <row r="2221" spans="1:12" x14ac:dyDescent="0.25">
      <c r="A2221" s="20">
        <v>2213</v>
      </c>
      <c r="B2221" s="21">
        <f t="shared" ca="1" si="376"/>
        <v>4.4791511592114341</v>
      </c>
      <c r="C2221" s="21">
        <f t="shared" ca="1" si="381"/>
        <v>6686.7212480020698</v>
      </c>
      <c r="D2221" s="21">
        <f t="shared" ca="1" si="377"/>
        <v>0.42082687847805195</v>
      </c>
      <c r="E2221" s="21">
        <f t="shared" ca="1" si="384"/>
        <v>0.2019263502843387</v>
      </c>
      <c r="F2221" s="20" t="str">
        <f t="shared" ca="1" si="382"/>
        <v>No</v>
      </c>
      <c r="G2221" s="21">
        <f t="shared" ca="1" si="378"/>
        <v>0</v>
      </c>
      <c r="H2221" s="21">
        <f t="shared" ca="1" si="379"/>
        <v>6686.9231743523542</v>
      </c>
      <c r="I2221" s="21">
        <f t="shared" ca="1" si="374"/>
        <v>6687.344001230832</v>
      </c>
      <c r="J2221" s="20">
        <f t="shared" ca="1" si="383"/>
        <v>2</v>
      </c>
      <c r="K2221" s="20">
        <f t="shared" ca="1" si="375"/>
        <v>1</v>
      </c>
      <c r="L2221" s="44">
        <f t="shared" ca="1" si="380"/>
        <v>1.5</v>
      </c>
    </row>
    <row r="2222" spans="1:12" x14ac:dyDescent="0.25">
      <c r="A2222" s="20">
        <v>2214</v>
      </c>
      <c r="B2222" s="21">
        <f t="shared" ca="1" si="376"/>
        <v>0.46215118990114512</v>
      </c>
      <c r="C2222" s="21">
        <f t="shared" ca="1" si="381"/>
        <v>6687.1833991919711</v>
      </c>
      <c r="D2222" s="21">
        <f t="shared" ca="1" si="377"/>
        <v>5.4200460250392979</v>
      </c>
      <c r="E2222" s="21">
        <f t="shared" ca="1" si="384"/>
        <v>0.16060203886081581</v>
      </c>
      <c r="F2222" s="20" t="str">
        <f t="shared" ca="1" si="382"/>
        <v>No</v>
      </c>
      <c r="G2222" s="21">
        <f t="shared" ca="1" si="378"/>
        <v>0</v>
      </c>
      <c r="H2222" s="21">
        <f t="shared" ca="1" si="379"/>
        <v>6687.344001230832</v>
      </c>
      <c r="I2222" s="21">
        <f t="shared" ca="1" si="374"/>
        <v>6692.7640472558714</v>
      </c>
      <c r="J2222" s="20">
        <f t="shared" ca="1" si="383"/>
        <v>2</v>
      </c>
      <c r="K2222" s="20">
        <f t="shared" ca="1" si="375"/>
        <v>1</v>
      </c>
      <c r="L2222" s="44">
        <f t="shared" ca="1" si="380"/>
        <v>1.5</v>
      </c>
    </row>
    <row r="2223" spans="1:12" x14ac:dyDescent="0.25">
      <c r="A2223" s="20">
        <v>2215</v>
      </c>
      <c r="B2223" s="21">
        <f t="shared" ca="1" si="376"/>
        <v>2.4576480755899741</v>
      </c>
      <c r="C2223" s="21">
        <f t="shared" ca="1" si="381"/>
        <v>6689.6410472675607</v>
      </c>
      <c r="D2223" s="21">
        <f t="shared" ca="1" si="377"/>
        <v>1.6007123523386202</v>
      </c>
      <c r="E2223" s="21">
        <f t="shared" ca="1" si="384"/>
        <v>3.1229999883107666</v>
      </c>
      <c r="F2223" s="20" t="str">
        <f t="shared" ca="1" si="382"/>
        <v>No</v>
      </c>
      <c r="G2223" s="21">
        <f t="shared" ca="1" si="378"/>
        <v>0</v>
      </c>
      <c r="H2223" s="21">
        <f t="shared" ca="1" si="379"/>
        <v>6692.7640472558714</v>
      </c>
      <c r="I2223" s="21">
        <f t="shared" ca="1" si="374"/>
        <v>6694.3647596082101</v>
      </c>
      <c r="J2223" s="20">
        <f t="shared" ca="1" si="383"/>
        <v>2</v>
      </c>
      <c r="K2223" s="20">
        <f t="shared" ca="1" si="375"/>
        <v>0</v>
      </c>
      <c r="L2223" s="44">
        <f t="shared" ca="1" si="380"/>
        <v>1</v>
      </c>
    </row>
    <row r="2224" spans="1:12" x14ac:dyDescent="0.25">
      <c r="A2224" s="20">
        <v>2216</v>
      </c>
      <c r="B2224" s="21">
        <f t="shared" ca="1" si="376"/>
        <v>7.3771838738410151</v>
      </c>
      <c r="C2224" s="21">
        <f t="shared" ca="1" si="381"/>
        <v>6697.0182311414019</v>
      </c>
      <c r="D2224" s="21">
        <f t="shared" ca="1" si="377"/>
        <v>5.5396282961404131</v>
      </c>
      <c r="E2224" s="21">
        <f t="shared" ca="1" si="384"/>
        <v>0</v>
      </c>
      <c r="F2224" s="20" t="str">
        <f t="shared" ca="1" si="382"/>
        <v>Yes</v>
      </c>
      <c r="G2224" s="21">
        <f t="shared" ca="1" si="378"/>
        <v>2.6534715331918051</v>
      </c>
      <c r="H2224" s="21">
        <f t="shared" ca="1" si="379"/>
        <v>6697.0182311414019</v>
      </c>
      <c r="I2224" s="21">
        <f t="shared" ca="1" si="374"/>
        <v>6702.557859437542</v>
      </c>
      <c r="J2224" s="20">
        <f t="shared" ca="1" si="383"/>
        <v>0</v>
      </c>
      <c r="K2224" s="20">
        <f t="shared" ca="1" si="375"/>
        <v>2</v>
      </c>
      <c r="L2224" s="44">
        <f t="shared" ca="1" si="380"/>
        <v>1</v>
      </c>
    </row>
    <row r="2225" spans="1:12" x14ac:dyDescent="0.25">
      <c r="A2225" s="20">
        <v>2217</v>
      </c>
      <c r="B2225" s="21">
        <f t="shared" ca="1" si="376"/>
        <v>1.8296947960853891</v>
      </c>
      <c r="C2225" s="21">
        <f t="shared" ca="1" si="381"/>
        <v>6698.8479259374872</v>
      </c>
      <c r="D2225" s="21">
        <f t="shared" ca="1" si="377"/>
        <v>2.3134256555161978</v>
      </c>
      <c r="E2225" s="21">
        <f t="shared" ca="1" si="384"/>
        <v>3.7099335000548308</v>
      </c>
      <c r="F2225" s="20" t="str">
        <f t="shared" ca="1" si="382"/>
        <v>No</v>
      </c>
      <c r="G2225" s="21">
        <f t="shared" ca="1" si="378"/>
        <v>0</v>
      </c>
      <c r="H2225" s="21">
        <f t="shared" ca="1" si="379"/>
        <v>6702.557859437542</v>
      </c>
      <c r="I2225" s="21">
        <f t="shared" ca="1" si="374"/>
        <v>6704.8712850930578</v>
      </c>
      <c r="J2225" s="20">
        <f t="shared" ca="1" si="383"/>
        <v>3</v>
      </c>
      <c r="K2225" s="20">
        <f t="shared" ca="1" si="375"/>
        <v>2</v>
      </c>
      <c r="L2225" s="44">
        <f t="shared" ca="1" si="380"/>
        <v>2.5</v>
      </c>
    </row>
    <row r="2226" spans="1:12" x14ac:dyDescent="0.25">
      <c r="A2226" s="20">
        <v>2218</v>
      </c>
      <c r="B2226" s="21">
        <f t="shared" ca="1" si="376"/>
        <v>0.10248072188340823</v>
      </c>
      <c r="C2226" s="21">
        <f t="shared" ca="1" si="381"/>
        <v>6698.9504066593709</v>
      </c>
      <c r="D2226" s="21">
        <f t="shared" ca="1" si="377"/>
        <v>2.373783665391882</v>
      </c>
      <c r="E2226" s="21">
        <f t="shared" ca="1" si="384"/>
        <v>5.920878433686994</v>
      </c>
      <c r="F2226" s="20" t="str">
        <f t="shared" ca="1" si="382"/>
        <v>No</v>
      </c>
      <c r="G2226" s="21">
        <f t="shared" ca="1" si="378"/>
        <v>0</v>
      </c>
      <c r="H2226" s="21">
        <f t="shared" ca="1" si="379"/>
        <v>6704.8712850930578</v>
      </c>
      <c r="I2226" s="21">
        <f t="shared" ca="1" si="374"/>
        <v>6707.2450687584496</v>
      </c>
      <c r="J2226" s="20">
        <f t="shared" ca="1" si="383"/>
        <v>3</v>
      </c>
      <c r="K2226" s="20">
        <f t="shared" ca="1" si="375"/>
        <v>1</v>
      </c>
      <c r="L2226" s="44">
        <f t="shared" ca="1" si="380"/>
        <v>2</v>
      </c>
    </row>
    <row r="2227" spans="1:12" x14ac:dyDescent="0.25">
      <c r="A2227" s="20">
        <v>2219</v>
      </c>
      <c r="B2227" s="21">
        <f t="shared" ca="1" si="376"/>
        <v>5.1356315383988997</v>
      </c>
      <c r="C2227" s="21">
        <f t="shared" ca="1" si="381"/>
        <v>6704.08603819777</v>
      </c>
      <c r="D2227" s="21">
        <f t="shared" ca="1" si="377"/>
        <v>8.1032293205996595</v>
      </c>
      <c r="E2227" s="21">
        <f t="shared" ca="1" si="384"/>
        <v>3.1590305606796392</v>
      </c>
      <c r="F2227" s="20" t="str">
        <f t="shared" ca="1" si="382"/>
        <v>No</v>
      </c>
      <c r="G2227" s="21">
        <f t="shared" ca="1" si="378"/>
        <v>0</v>
      </c>
      <c r="H2227" s="21">
        <f t="shared" ca="1" si="379"/>
        <v>6707.2450687584496</v>
      </c>
      <c r="I2227" s="21">
        <f t="shared" ca="1" si="374"/>
        <v>6715.3482980790495</v>
      </c>
      <c r="J2227" s="20">
        <f t="shared" ca="1" si="383"/>
        <v>2</v>
      </c>
      <c r="K2227" s="20">
        <f t="shared" ca="1" si="375"/>
        <v>1</v>
      </c>
      <c r="L2227" s="44">
        <f t="shared" ca="1" si="380"/>
        <v>1.5</v>
      </c>
    </row>
    <row r="2228" spans="1:12" x14ac:dyDescent="0.25">
      <c r="A2228" s="20">
        <v>2220</v>
      </c>
      <c r="B2228" s="21">
        <f t="shared" ca="1" si="376"/>
        <v>3.680910691265781</v>
      </c>
      <c r="C2228" s="21">
        <f t="shared" ca="1" si="381"/>
        <v>6707.766948889036</v>
      </c>
      <c r="D2228" s="21">
        <f t="shared" ca="1" si="377"/>
        <v>2.7010690599658083</v>
      </c>
      <c r="E2228" s="21">
        <f t="shared" ca="1" si="384"/>
        <v>7.5813491900134977</v>
      </c>
      <c r="F2228" s="20" t="str">
        <f t="shared" ca="1" si="382"/>
        <v>No</v>
      </c>
      <c r="G2228" s="21">
        <f t="shared" ca="1" si="378"/>
        <v>0</v>
      </c>
      <c r="H2228" s="21">
        <f t="shared" ca="1" si="379"/>
        <v>6715.3482980790495</v>
      </c>
      <c r="I2228" s="21">
        <f t="shared" ca="1" si="374"/>
        <v>6718.049367139015</v>
      </c>
      <c r="J2228" s="20">
        <f t="shared" ca="1" si="383"/>
        <v>2</v>
      </c>
      <c r="K2228" s="20">
        <f t="shared" ca="1" si="375"/>
        <v>2</v>
      </c>
      <c r="L2228" s="44">
        <f t="shared" ca="1" si="380"/>
        <v>2</v>
      </c>
    </row>
    <row r="2229" spans="1:12" x14ac:dyDescent="0.25">
      <c r="A2229" s="20">
        <v>2221</v>
      </c>
      <c r="B2229" s="21">
        <f t="shared" ca="1" si="376"/>
        <v>8.9213328681026329</v>
      </c>
      <c r="C2229" s="21">
        <f t="shared" ca="1" si="381"/>
        <v>6716.6882817571386</v>
      </c>
      <c r="D2229" s="21">
        <f t="shared" ca="1" si="377"/>
        <v>0.21814114782374461</v>
      </c>
      <c r="E2229" s="21">
        <f t="shared" ca="1" si="384"/>
        <v>1.3610853818763644</v>
      </c>
      <c r="F2229" s="20" t="str">
        <f t="shared" ca="1" si="382"/>
        <v>No</v>
      </c>
      <c r="G2229" s="21">
        <f t="shared" ca="1" si="378"/>
        <v>0</v>
      </c>
      <c r="H2229" s="21">
        <f t="shared" ca="1" si="379"/>
        <v>6718.049367139015</v>
      </c>
      <c r="I2229" s="21">
        <f t="shared" ca="1" si="374"/>
        <v>6718.2675082868391</v>
      </c>
      <c r="J2229" s="20">
        <f t="shared" ca="1" si="383"/>
        <v>3</v>
      </c>
      <c r="K2229" s="20">
        <f t="shared" ca="1" si="375"/>
        <v>1</v>
      </c>
      <c r="L2229" s="44">
        <f t="shared" ca="1" si="380"/>
        <v>2</v>
      </c>
    </row>
    <row r="2230" spans="1:12" x14ac:dyDescent="0.25">
      <c r="A2230" s="20">
        <v>2222</v>
      </c>
      <c r="B2230" s="21">
        <f t="shared" ca="1" si="376"/>
        <v>0.41202064488237466</v>
      </c>
      <c r="C2230" s="21">
        <f t="shared" ca="1" si="381"/>
        <v>6717.100302402021</v>
      </c>
      <c r="D2230" s="21">
        <f t="shared" ca="1" si="377"/>
        <v>0.64367073831532073</v>
      </c>
      <c r="E2230" s="21">
        <f t="shared" ca="1" si="384"/>
        <v>1.1672058848180313</v>
      </c>
      <c r="F2230" s="20" t="str">
        <f t="shared" ca="1" si="382"/>
        <v>No</v>
      </c>
      <c r="G2230" s="21">
        <f t="shared" ca="1" si="378"/>
        <v>0</v>
      </c>
      <c r="H2230" s="21">
        <f t="shared" ca="1" si="379"/>
        <v>6718.2675082868391</v>
      </c>
      <c r="I2230" s="21">
        <f t="shared" ca="1" si="374"/>
        <v>6718.9111790251545</v>
      </c>
      <c r="J2230" s="20">
        <f t="shared" ca="1" si="383"/>
        <v>2</v>
      </c>
      <c r="K2230" s="20">
        <f t="shared" ca="1" si="375"/>
        <v>0</v>
      </c>
      <c r="L2230" s="44">
        <f t="shared" ca="1" si="380"/>
        <v>1</v>
      </c>
    </row>
    <row r="2231" spans="1:12" x14ac:dyDescent="0.25">
      <c r="A2231" s="20">
        <v>2223</v>
      </c>
      <c r="B2231" s="21">
        <f t="shared" ca="1" si="376"/>
        <v>2.5615237040388608</v>
      </c>
      <c r="C2231" s="21">
        <f t="shared" ca="1" si="381"/>
        <v>6719.6618261060603</v>
      </c>
      <c r="D2231" s="21">
        <f t="shared" ca="1" si="377"/>
        <v>7.969128192573182E-3</v>
      </c>
      <c r="E2231" s="21">
        <f t="shared" ca="1" si="384"/>
        <v>0</v>
      </c>
      <c r="F2231" s="20" t="str">
        <f t="shared" ca="1" si="382"/>
        <v>Yes</v>
      </c>
      <c r="G2231" s="21">
        <f t="shared" ca="1" si="378"/>
        <v>0.7506470809057646</v>
      </c>
      <c r="H2231" s="21">
        <f t="shared" ca="1" si="379"/>
        <v>6719.6618261060603</v>
      </c>
      <c r="I2231" s="21">
        <f t="shared" ca="1" si="374"/>
        <v>6719.6697952342529</v>
      </c>
      <c r="J2231" s="20">
        <f t="shared" ca="1" si="383"/>
        <v>0</v>
      </c>
      <c r="K2231" s="20">
        <f t="shared" ca="1" si="375"/>
        <v>0</v>
      </c>
      <c r="L2231" s="44">
        <f t="shared" ca="1" si="380"/>
        <v>0</v>
      </c>
    </row>
    <row r="2232" spans="1:12" x14ac:dyDescent="0.25">
      <c r="A2232" s="20">
        <v>2224</v>
      </c>
      <c r="B2232" s="21">
        <f t="shared" ca="1" si="376"/>
        <v>1.2185621574524421</v>
      </c>
      <c r="C2232" s="21">
        <f t="shared" ca="1" si="381"/>
        <v>6720.8803882635129</v>
      </c>
      <c r="D2232" s="21">
        <f t="shared" ca="1" si="377"/>
        <v>0.25765526869425504</v>
      </c>
      <c r="E2232" s="21">
        <f t="shared" ca="1" si="384"/>
        <v>0</v>
      </c>
      <c r="F2232" s="20" t="str">
        <f t="shared" ca="1" si="382"/>
        <v>Yes</v>
      </c>
      <c r="G2232" s="21">
        <f t="shared" ca="1" si="378"/>
        <v>1.2105930292600533</v>
      </c>
      <c r="H2232" s="21">
        <f t="shared" ca="1" si="379"/>
        <v>6720.8803882635129</v>
      </c>
      <c r="I2232" s="21">
        <f t="shared" ca="1" si="374"/>
        <v>6721.1380435322071</v>
      </c>
      <c r="J2232" s="20">
        <f t="shared" ca="1" si="383"/>
        <v>0</v>
      </c>
      <c r="K2232" s="20">
        <f t="shared" ca="1" si="375"/>
        <v>0</v>
      </c>
      <c r="L2232" s="44">
        <f t="shared" ca="1" si="380"/>
        <v>0</v>
      </c>
    </row>
    <row r="2233" spans="1:12" x14ac:dyDescent="0.25">
      <c r="A2233" s="20">
        <v>2225</v>
      </c>
      <c r="B2233" s="21">
        <f t="shared" ca="1" si="376"/>
        <v>0.38991147487656624</v>
      </c>
      <c r="C2233" s="21">
        <f t="shared" ca="1" si="381"/>
        <v>6721.2702997383894</v>
      </c>
      <c r="D2233" s="21">
        <f t="shared" ca="1" si="377"/>
        <v>0.29009157109763573</v>
      </c>
      <c r="E2233" s="21">
        <f t="shared" ca="1" si="384"/>
        <v>0</v>
      </c>
      <c r="F2233" s="20" t="str">
        <f t="shared" ca="1" si="382"/>
        <v>Yes</v>
      </c>
      <c r="G2233" s="21">
        <f t="shared" ca="1" si="378"/>
        <v>0.13225620618231915</v>
      </c>
      <c r="H2233" s="21">
        <f t="shared" ca="1" si="379"/>
        <v>6721.2702997383894</v>
      </c>
      <c r="I2233" s="21">
        <f t="shared" ca="1" si="374"/>
        <v>6721.5603913094874</v>
      </c>
      <c r="J2233" s="20">
        <f t="shared" ca="1" si="383"/>
        <v>0</v>
      </c>
      <c r="K2233" s="20">
        <f t="shared" ca="1" si="375"/>
        <v>0</v>
      </c>
      <c r="L2233" s="44">
        <f t="shared" ca="1" si="380"/>
        <v>0</v>
      </c>
    </row>
    <row r="2234" spans="1:12" x14ac:dyDescent="0.25">
      <c r="A2234" s="20">
        <v>2226</v>
      </c>
      <c r="B2234" s="21">
        <f t="shared" ca="1" si="376"/>
        <v>1.7388963248767346</v>
      </c>
      <c r="C2234" s="21">
        <f t="shared" ca="1" si="381"/>
        <v>6723.0091960632662</v>
      </c>
      <c r="D2234" s="21">
        <f t="shared" ca="1" si="377"/>
        <v>2.4517690839878323</v>
      </c>
      <c r="E2234" s="21">
        <f t="shared" ca="1" si="384"/>
        <v>0</v>
      </c>
      <c r="F2234" s="20" t="str">
        <f t="shared" ca="1" si="382"/>
        <v>Yes</v>
      </c>
      <c r="G2234" s="21">
        <f t="shared" ca="1" si="378"/>
        <v>1.4488047537788589</v>
      </c>
      <c r="H2234" s="21">
        <f t="shared" ca="1" si="379"/>
        <v>6723.0091960632662</v>
      </c>
      <c r="I2234" s="21">
        <f t="shared" ca="1" si="374"/>
        <v>6725.4609651472538</v>
      </c>
      <c r="J2234" s="20">
        <f t="shared" ca="1" si="383"/>
        <v>0</v>
      </c>
      <c r="K2234" s="20">
        <f t="shared" ca="1" si="375"/>
        <v>0</v>
      </c>
      <c r="L2234" s="44">
        <f t="shared" ca="1" si="380"/>
        <v>0</v>
      </c>
    </row>
    <row r="2235" spans="1:12" x14ac:dyDescent="0.25">
      <c r="A2235" s="20">
        <v>2227</v>
      </c>
      <c r="B2235" s="21">
        <f t="shared" ca="1" si="376"/>
        <v>5.1761597770211045</v>
      </c>
      <c r="C2235" s="21">
        <f t="shared" ca="1" si="381"/>
        <v>6728.1853558402872</v>
      </c>
      <c r="D2235" s="21">
        <f t="shared" ca="1" si="377"/>
        <v>0.8023370548078016</v>
      </c>
      <c r="E2235" s="21">
        <f t="shared" ca="1" si="384"/>
        <v>0</v>
      </c>
      <c r="F2235" s="20" t="str">
        <f t="shared" ca="1" si="382"/>
        <v>Yes</v>
      </c>
      <c r="G2235" s="21">
        <f t="shared" ca="1" si="378"/>
        <v>2.724390693033456</v>
      </c>
      <c r="H2235" s="21">
        <f t="shared" ca="1" si="379"/>
        <v>6728.1853558402872</v>
      </c>
      <c r="I2235" s="21">
        <f t="shared" ca="1" si="374"/>
        <v>6728.9876928950953</v>
      </c>
      <c r="J2235" s="20">
        <f t="shared" ca="1" si="383"/>
        <v>0</v>
      </c>
      <c r="K2235" s="20">
        <f t="shared" ca="1" si="375"/>
        <v>0</v>
      </c>
      <c r="L2235" s="44">
        <f t="shared" ca="1" si="380"/>
        <v>0</v>
      </c>
    </row>
    <row r="2236" spans="1:12" x14ac:dyDescent="0.25">
      <c r="A2236" s="20">
        <v>2228</v>
      </c>
      <c r="B2236" s="21">
        <f t="shared" ca="1" si="376"/>
        <v>4.4857801535660764</v>
      </c>
      <c r="C2236" s="21">
        <f t="shared" ca="1" si="381"/>
        <v>6732.6711359938536</v>
      </c>
      <c r="D2236" s="21">
        <f t="shared" ca="1" si="377"/>
        <v>11.733284571413373</v>
      </c>
      <c r="E2236" s="21">
        <f t="shared" ca="1" si="384"/>
        <v>0</v>
      </c>
      <c r="F2236" s="20" t="str">
        <f t="shared" ca="1" si="382"/>
        <v>Yes</v>
      </c>
      <c r="G2236" s="21">
        <f t="shared" ca="1" si="378"/>
        <v>3.6834430987582891</v>
      </c>
      <c r="H2236" s="21">
        <f t="shared" ca="1" si="379"/>
        <v>6732.6711359938536</v>
      </c>
      <c r="I2236" s="21">
        <f t="shared" ca="1" si="374"/>
        <v>6744.4044205652672</v>
      </c>
      <c r="J2236" s="20">
        <f t="shared" ca="1" si="383"/>
        <v>0</v>
      </c>
      <c r="K2236" s="20">
        <f t="shared" ca="1" si="375"/>
        <v>5</v>
      </c>
      <c r="L2236" s="44">
        <f t="shared" ca="1" si="380"/>
        <v>2.5</v>
      </c>
    </row>
    <row r="2237" spans="1:12" x14ac:dyDescent="0.25">
      <c r="A2237" s="20">
        <v>2229</v>
      </c>
      <c r="B2237" s="21">
        <f t="shared" ca="1" si="376"/>
        <v>1.7382762914043561</v>
      </c>
      <c r="C2237" s="21">
        <f t="shared" ca="1" si="381"/>
        <v>6734.4094122852575</v>
      </c>
      <c r="D2237" s="21">
        <f t="shared" ca="1" si="377"/>
        <v>1.3725453454044769</v>
      </c>
      <c r="E2237" s="21">
        <f t="shared" ca="1" si="384"/>
        <v>9.9950082800096425</v>
      </c>
      <c r="F2237" s="20" t="str">
        <f t="shared" ca="1" si="382"/>
        <v>No</v>
      </c>
      <c r="G2237" s="21">
        <f t="shared" ca="1" si="378"/>
        <v>0</v>
      </c>
      <c r="H2237" s="21">
        <f t="shared" ca="1" si="379"/>
        <v>6744.4044205652672</v>
      </c>
      <c r="I2237" s="21">
        <f t="shared" ca="1" si="374"/>
        <v>6745.7769659106716</v>
      </c>
      <c r="J2237" s="20">
        <f t="shared" ca="1" si="383"/>
        <v>6</v>
      </c>
      <c r="K2237" s="20">
        <f t="shared" ca="1" si="375"/>
        <v>5</v>
      </c>
      <c r="L2237" s="44">
        <f t="shared" ca="1" si="380"/>
        <v>5.5</v>
      </c>
    </row>
    <row r="2238" spans="1:12" x14ac:dyDescent="0.25">
      <c r="A2238" s="20">
        <v>2230</v>
      </c>
      <c r="B2238" s="21">
        <f t="shared" ca="1" si="376"/>
        <v>1.1972919813778693</v>
      </c>
      <c r="C2238" s="21">
        <f t="shared" ca="1" si="381"/>
        <v>6735.6067042666355</v>
      </c>
      <c r="D2238" s="21">
        <f t="shared" ca="1" si="377"/>
        <v>0.51631513990043254</v>
      </c>
      <c r="E2238" s="21">
        <f t="shared" ca="1" si="384"/>
        <v>10.170261644036145</v>
      </c>
      <c r="F2238" s="20" t="str">
        <f t="shared" ca="1" si="382"/>
        <v>No</v>
      </c>
      <c r="G2238" s="21">
        <f t="shared" ca="1" si="378"/>
        <v>0</v>
      </c>
      <c r="H2238" s="21">
        <f t="shared" ca="1" si="379"/>
        <v>6745.7769659106716</v>
      </c>
      <c r="I2238" s="21">
        <f t="shared" ca="1" si="374"/>
        <v>6746.2932810505717</v>
      </c>
      <c r="J2238" s="20">
        <f t="shared" ca="1" si="383"/>
        <v>6</v>
      </c>
      <c r="K2238" s="20">
        <f t="shared" ca="1" si="375"/>
        <v>4</v>
      </c>
      <c r="L2238" s="44">
        <f t="shared" ca="1" si="380"/>
        <v>5</v>
      </c>
    </row>
    <row r="2239" spans="1:12" x14ac:dyDescent="0.25">
      <c r="A2239" s="20">
        <v>2231</v>
      </c>
      <c r="B2239" s="21">
        <f t="shared" ca="1" si="376"/>
        <v>1.1368677103648856E-3</v>
      </c>
      <c r="C2239" s="21">
        <f t="shared" ca="1" si="381"/>
        <v>6735.607841134346</v>
      </c>
      <c r="D2239" s="21">
        <f t="shared" ca="1" si="377"/>
        <v>0.49875774905726866</v>
      </c>
      <c r="E2239" s="21">
        <f t="shared" ca="1" si="384"/>
        <v>10.685439916225732</v>
      </c>
      <c r="F2239" s="20" t="str">
        <f t="shared" ca="1" si="382"/>
        <v>No</v>
      </c>
      <c r="G2239" s="21">
        <f t="shared" ca="1" si="378"/>
        <v>0</v>
      </c>
      <c r="H2239" s="21">
        <f t="shared" ca="1" si="379"/>
        <v>6746.2932810505717</v>
      </c>
      <c r="I2239" s="21">
        <f t="shared" ca="1" si="374"/>
        <v>6746.7920387996292</v>
      </c>
      <c r="J2239" s="20">
        <f t="shared" ca="1" si="383"/>
        <v>5</v>
      </c>
      <c r="K2239" s="20">
        <f t="shared" ca="1" si="375"/>
        <v>3</v>
      </c>
      <c r="L2239" s="44">
        <f t="shared" ca="1" si="380"/>
        <v>4</v>
      </c>
    </row>
    <row r="2240" spans="1:12" x14ac:dyDescent="0.25">
      <c r="A2240" s="20">
        <v>2232</v>
      </c>
      <c r="B2240" s="21">
        <f t="shared" ca="1" si="376"/>
        <v>7.5851716071160646E-2</v>
      </c>
      <c r="C2240" s="21">
        <f t="shared" ca="1" si="381"/>
        <v>6735.6836928504172</v>
      </c>
      <c r="D2240" s="21">
        <f t="shared" ca="1" si="377"/>
        <v>1.9187145601469957</v>
      </c>
      <c r="E2240" s="21">
        <f t="shared" ca="1" si="384"/>
        <v>11.10834594921198</v>
      </c>
      <c r="F2240" s="20" t="str">
        <f t="shared" ca="1" si="382"/>
        <v>No</v>
      </c>
      <c r="G2240" s="21">
        <f t="shared" ca="1" si="378"/>
        <v>0</v>
      </c>
      <c r="H2240" s="21">
        <f t="shared" ca="1" si="379"/>
        <v>6746.7920387996292</v>
      </c>
      <c r="I2240" s="21">
        <f t="shared" ca="1" si="374"/>
        <v>6748.7107533597764</v>
      </c>
      <c r="J2240" s="20">
        <f t="shared" ca="1" si="383"/>
        <v>4</v>
      </c>
      <c r="K2240" s="20">
        <f t="shared" ca="1" si="375"/>
        <v>2</v>
      </c>
      <c r="L2240" s="44">
        <f t="shared" ca="1" si="380"/>
        <v>3</v>
      </c>
    </row>
    <row r="2241" spans="1:12" x14ac:dyDescent="0.25">
      <c r="A2241" s="20">
        <v>2233</v>
      </c>
      <c r="B2241" s="21">
        <f t="shared" ca="1" si="376"/>
        <v>1.5415377379058977</v>
      </c>
      <c r="C2241" s="21">
        <f t="shared" ca="1" si="381"/>
        <v>6737.225230588323</v>
      </c>
      <c r="D2241" s="21">
        <f t="shared" ca="1" si="377"/>
        <v>2.2403214817798371</v>
      </c>
      <c r="E2241" s="21">
        <f t="shared" ca="1" si="384"/>
        <v>11.485522771453361</v>
      </c>
      <c r="F2241" s="20" t="str">
        <f t="shared" ca="1" si="382"/>
        <v>No</v>
      </c>
      <c r="G2241" s="21">
        <f t="shared" ca="1" si="378"/>
        <v>0</v>
      </c>
      <c r="H2241" s="21">
        <f t="shared" ca="1" si="379"/>
        <v>6748.7107533597764</v>
      </c>
      <c r="I2241" s="21">
        <f t="shared" ca="1" si="374"/>
        <v>6750.951074841556</v>
      </c>
      <c r="J2241" s="20">
        <f t="shared" ca="1" si="383"/>
        <v>3</v>
      </c>
      <c r="K2241" s="20">
        <f t="shared" ca="1" si="375"/>
        <v>2</v>
      </c>
      <c r="L2241" s="44">
        <f t="shared" ca="1" si="380"/>
        <v>2.5</v>
      </c>
    </row>
    <row r="2242" spans="1:12" x14ac:dyDescent="0.25">
      <c r="A2242" s="20">
        <v>2234</v>
      </c>
      <c r="B2242" s="21">
        <f t="shared" ca="1" si="376"/>
        <v>0.12277296136884279</v>
      </c>
      <c r="C2242" s="21">
        <f t="shared" ca="1" si="381"/>
        <v>6737.3480035496923</v>
      </c>
      <c r="D2242" s="21">
        <f t="shared" ca="1" si="377"/>
        <v>0.98694695100468077</v>
      </c>
      <c r="E2242" s="21">
        <f t="shared" ca="1" si="384"/>
        <v>13.603071291863671</v>
      </c>
      <c r="F2242" s="20" t="str">
        <f t="shared" ca="1" si="382"/>
        <v>No</v>
      </c>
      <c r="G2242" s="21">
        <f t="shared" ca="1" si="378"/>
        <v>0</v>
      </c>
      <c r="H2242" s="21">
        <f t="shared" ca="1" si="379"/>
        <v>6750.951074841556</v>
      </c>
      <c r="I2242" s="21">
        <f t="shared" ca="1" si="374"/>
        <v>6751.9380217925609</v>
      </c>
      <c r="J2242" s="20">
        <f t="shared" ca="1" si="383"/>
        <v>3</v>
      </c>
      <c r="K2242" s="20">
        <f t="shared" ca="1" si="375"/>
        <v>2</v>
      </c>
      <c r="L2242" s="44">
        <f t="shared" ca="1" si="380"/>
        <v>2.5</v>
      </c>
    </row>
    <row r="2243" spans="1:12" x14ac:dyDescent="0.25">
      <c r="A2243" s="20">
        <v>2235</v>
      </c>
      <c r="B2243" s="21">
        <f t="shared" ca="1" si="376"/>
        <v>13.527469489731379</v>
      </c>
      <c r="C2243" s="21">
        <f t="shared" ca="1" si="381"/>
        <v>6750.8754730394239</v>
      </c>
      <c r="D2243" s="21">
        <f t="shared" ca="1" si="377"/>
        <v>1.4521005191120007</v>
      </c>
      <c r="E2243" s="21">
        <f t="shared" ca="1" si="384"/>
        <v>1.0625487531369799</v>
      </c>
      <c r="F2243" s="20" t="str">
        <f t="shared" ca="1" si="382"/>
        <v>No</v>
      </c>
      <c r="G2243" s="21">
        <f t="shared" ca="1" si="378"/>
        <v>0</v>
      </c>
      <c r="H2243" s="21">
        <f t="shared" ca="1" si="379"/>
        <v>6751.9380217925609</v>
      </c>
      <c r="I2243" s="21">
        <f t="shared" ca="1" si="374"/>
        <v>6753.3901223116727</v>
      </c>
      <c r="J2243" s="20">
        <f t="shared" ca="1" si="383"/>
        <v>3</v>
      </c>
      <c r="K2243" s="20">
        <f t="shared" ca="1" si="375"/>
        <v>2</v>
      </c>
      <c r="L2243" s="44">
        <f t="shared" ca="1" si="380"/>
        <v>2.5</v>
      </c>
    </row>
    <row r="2244" spans="1:12" x14ac:dyDescent="0.25">
      <c r="A2244" s="20">
        <v>2236</v>
      </c>
      <c r="B2244" s="21">
        <f t="shared" ca="1" si="376"/>
        <v>0.42368229998825285</v>
      </c>
      <c r="C2244" s="21">
        <f t="shared" ca="1" si="381"/>
        <v>6751.2991553394122</v>
      </c>
      <c r="D2244" s="21">
        <f t="shared" ca="1" si="377"/>
        <v>2.7095472043037883</v>
      </c>
      <c r="E2244" s="21">
        <f t="shared" ca="1" si="384"/>
        <v>2.0909669722605031</v>
      </c>
      <c r="F2244" s="20" t="str">
        <f t="shared" ca="1" si="382"/>
        <v>No</v>
      </c>
      <c r="G2244" s="21">
        <f t="shared" ca="1" si="378"/>
        <v>0</v>
      </c>
      <c r="H2244" s="21">
        <f t="shared" ca="1" si="379"/>
        <v>6753.3901223116727</v>
      </c>
      <c r="I2244" s="21">
        <f t="shared" ca="1" si="374"/>
        <v>6756.0996695159765</v>
      </c>
      <c r="J2244" s="20">
        <f t="shared" ca="1" si="383"/>
        <v>3</v>
      </c>
      <c r="K2244" s="20">
        <f t="shared" ca="1" si="375"/>
        <v>1</v>
      </c>
      <c r="L2244" s="44">
        <f t="shared" ca="1" si="380"/>
        <v>2</v>
      </c>
    </row>
    <row r="2245" spans="1:12" x14ac:dyDescent="0.25">
      <c r="A2245" s="20">
        <v>2237</v>
      </c>
      <c r="B2245" s="21">
        <f t="shared" ca="1" si="376"/>
        <v>1.771711062253492</v>
      </c>
      <c r="C2245" s="21">
        <f t="shared" ca="1" si="381"/>
        <v>6753.0708664016656</v>
      </c>
      <c r="D2245" s="21">
        <f t="shared" ca="1" si="377"/>
        <v>7.4368378094135282E-2</v>
      </c>
      <c r="E2245" s="21">
        <f t="shared" ca="1" si="384"/>
        <v>3.0288031143109038</v>
      </c>
      <c r="F2245" s="20" t="str">
        <f t="shared" ca="1" si="382"/>
        <v>No</v>
      </c>
      <c r="G2245" s="21">
        <f t="shared" ca="1" si="378"/>
        <v>0</v>
      </c>
      <c r="H2245" s="21">
        <f t="shared" ca="1" si="379"/>
        <v>6756.0996695159765</v>
      </c>
      <c r="I2245" s="21">
        <f t="shared" ca="1" si="374"/>
        <v>6756.1740378940704</v>
      </c>
      <c r="J2245" s="20">
        <f t="shared" ca="1" si="383"/>
        <v>2</v>
      </c>
      <c r="K2245" s="20">
        <f t="shared" ca="1" si="375"/>
        <v>0</v>
      </c>
      <c r="L2245" s="44">
        <f t="shared" ca="1" si="380"/>
        <v>1</v>
      </c>
    </row>
    <row r="2246" spans="1:12" x14ac:dyDescent="0.25">
      <c r="A2246" s="20">
        <v>2238</v>
      </c>
      <c r="B2246" s="21">
        <f t="shared" ca="1" si="376"/>
        <v>8.5998652110211697</v>
      </c>
      <c r="C2246" s="21">
        <f t="shared" ca="1" si="381"/>
        <v>6761.6707316126867</v>
      </c>
      <c r="D2246" s="21">
        <f t="shared" ca="1" si="377"/>
        <v>2.2879027222062049</v>
      </c>
      <c r="E2246" s="21">
        <f t="shared" ca="1" si="384"/>
        <v>0</v>
      </c>
      <c r="F2246" s="20" t="str">
        <f t="shared" ca="1" si="382"/>
        <v>Yes</v>
      </c>
      <c r="G2246" s="21">
        <f t="shared" ca="1" si="378"/>
        <v>5.4966937186163705</v>
      </c>
      <c r="H2246" s="21">
        <f t="shared" ca="1" si="379"/>
        <v>6761.6707316126867</v>
      </c>
      <c r="I2246" s="21">
        <f t="shared" ca="1" si="374"/>
        <v>6763.9586343348928</v>
      </c>
      <c r="J2246" s="20">
        <f t="shared" ca="1" si="383"/>
        <v>0</v>
      </c>
      <c r="K2246" s="20">
        <f t="shared" ca="1" si="375"/>
        <v>1</v>
      </c>
      <c r="L2246" s="44">
        <f t="shared" ca="1" si="380"/>
        <v>0.5</v>
      </c>
    </row>
    <row r="2247" spans="1:12" x14ac:dyDescent="0.25">
      <c r="A2247" s="20">
        <v>2239</v>
      </c>
      <c r="B2247" s="21">
        <f t="shared" ca="1" si="376"/>
        <v>1.1938996658035324</v>
      </c>
      <c r="C2247" s="21">
        <f t="shared" ca="1" si="381"/>
        <v>6762.8646312784904</v>
      </c>
      <c r="D2247" s="21">
        <f t="shared" ca="1" si="377"/>
        <v>0.12844088716490579</v>
      </c>
      <c r="E2247" s="21">
        <f t="shared" ca="1" si="384"/>
        <v>1.094003056402471</v>
      </c>
      <c r="F2247" s="20" t="str">
        <f t="shared" ca="1" si="382"/>
        <v>No</v>
      </c>
      <c r="G2247" s="21">
        <f t="shared" ca="1" si="378"/>
        <v>0</v>
      </c>
      <c r="H2247" s="21">
        <f t="shared" ca="1" si="379"/>
        <v>6763.9586343348928</v>
      </c>
      <c r="I2247" s="21">
        <f t="shared" ca="1" si="374"/>
        <v>6764.087075222058</v>
      </c>
      <c r="J2247" s="20">
        <f t="shared" ca="1" si="383"/>
        <v>2</v>
      </c>
      <c r="K2247" s="20">
        <f t="shared" ca="1" si="375"/>
        <v>0</v>
      </c>
      <c r="L2247" s="44">
        <f t="shared" ca="1" si="380"/>
        <v>1</v>
      </c>
    </row>
    <row r="2248" spans="1:12" x14ac:dyDescent="0.25">
      <c r="A2248" s="20">
        <v>2240</v>
      </c>
      <c r="B2248" s="21">
        <f t="shared" ca="1" si="376"/>
        <v>2.9400714978018576</v>
      </c>
      <c r="C2248" s="21">
        <f t="shared" ca="1" si="381"/>
        <v>6765.8047027762923</v>
      </c>
      <c r="D2248" s="21">
        <f t="shared" ca="1" si="377"/>
        <v>4.855036369809711</v>
      </c>
      <c r="E2248" s="21">
        <f t="shared" ca="1" si="384"/>
        <v>0</v>
      </c>
      <c r="F2248" s="20" t="str">
        <f t="shared" ca="1" si="382"/>
        <v>Yes</v>
      </c>
      <c r="G2248" s="21">
        <f t="shared" ca="1" si="378"/>
        <v>1.717627554234241</v>
      </c>
      <c r="H2248" s="21">
        <f t="shared" ca="1" si="379"/>
        <v>6765.8047027762923</v>
      </c>
      <c r="I2248" s="21">
        <f t="shared" ca="1" si="374"/>
        <v>6770.6597391461019</v>
      </c>
      <c r="J2248" s="20">
        <f t="shared" ca="1" si="383"/>
        <v>0</v>
      </c>
      <c r="K2248" s="20">
        <f t="shared" ca="1" si="375"/>
        <v>1</v>
      </c>
      <c r="L2248" s="44">
        <f t="shared" ca="1" si="380"/>
        <v>0.5</v>
      </c>
    </row>
    <row r="2249" spans="1:12" x14ac:dyDescent="0.25">
      <c r="A2249" s="20">
        <v>2241</v>
      </c>
      <c r="B2249" s="21">
        <f t="shared" ca="1" si="376"/>
        <v>2.4098573309866915</v>
      </c>
      <c r="C2249" s="21">
        <f t="shared" ca="1" si="381"/>
        <v>6768.2145601072789</v>
      </c>
      <c r="D2249" s="21">
        <f t="shared" ca="1" si="377"/>
        <v>3.1283406974883188</v>
      </c>
      <c r="E2249" s="21">
        <f t="shared" ca="1" si="384"/>
        <v>2.4451790388229711</v>
      </c>
      <c r="F2249" s="20" t="str">
        <f t="shared" ca="1" si="382"/>
        <v>No</v>
      </c>
      <c r="G2249" s="21">
        <f t="shared" ca="1" si="378"/>
        <v>0</v>
      </c>
      <c r="H2249" s="21">
        <f t="shared" ca="1" si="379"/>
        <v>6770.6597391461019</v>
      </c>
      <c r="I2249" s="21">
        <f t="shared" ref="I2249:I2312" ca="1" si="385">$H2249+$D2249</f>
        <v>6773.7880798435899</v>
      </c>
      <c r="J2249" s="20">
        <f t="shared" ca="1" si="383"/>
        <v>2</v>
      </c>
      <c r="K2249" s="20">
        <f t="shared" ref="K2249:K2312" ca="1" si="386">IF($I2249&lt;=$C2250,0,IF($I2249&lt;=$C2251,1,IF($I2249&lt;=$C2252,2,IF($I2249&lt;=$C2253,3,IF($I2249&lt;=$C2254,4,5)))))</f>
        <v>1</v>
      </c>
      <c r="L2249" s="44">
        <f t="shared" ca="1" si="380"/>
        <v>1.5</v>
      </c>
    </row>
    <row r="2250" spans="1:12" x14ac:dyDescent="0.25">
      <c r="A2250" s="20">
        <v>2242</v>
      </c>
      <c r="B2250" s="21">
        <f t="shared" ref="B2250:B2313" ca="1" si="387">-LN(RAND())/$D$4</f>
        <v>3.5235008999920239</v>
      </c>
      <c r="C2250" s="21">
        <f t="shared" ca="1" si="381"/>
        <v>6771.7380610072705</v>
      </c>
      <c r="D2250" s="21">
        <f t="shared" ref="D2250:D2313" ca="1" si="388">-LN(RAND())/$D$6</f>
        <v>1.7555282934052558</v>
      </c>
      <c r="E2250" s="21">
        <f t="shared" ca="1" si="384"/>
        <v>2.0500188363193956</v>
      </c>
      <c r="F2250" s="20" t="str">
        <f t="shared" ca="1" si="382"/>
        <v>No</v>
      </c>
      <c r="G2250" s="21">
        <f t="shared" ref="G2250:G2313" ca="1" si="389">IF($I2249&lt;=$C2250,$C2250-$I2249,0)</f>
        <v>0</v>
      </c>
      <c r="H2250" s="21">
        <f t="shared" ref="H2250:H2313" ca="1" si="390">IF($I2249&lt;=$C2250,$C2250,$I2249)</f>
        <v>6773.7880798435899</v>
      </c>
      <c r="I2250" s="21">
        <f t="shared" ca="1" si="385"/>
        <v>6775.5436081369953</v>
      </c>
      <c r="J2250" s="20">
        <f t="shared" ca="1" si="383"/>
        <v>2</v>
      </c>
      <c r="K2250" s="20">
        <f t="shared" ca="1" si="386"/>
        <v>0</v>
      </c>
      <c r="L2250" s="44">
        <f t="shared" ref="L2250:L2313" ca="1" si="391">(J2250+K2250)/2</f>
        <v>1</v>
      </c>
    </row>
    <row r="2251" spans="1:12" x14ac:dyDescent="0.25">
      <c r="A2251" s="20">
        <v>2243</v>
      </c>
      <c r="B2251" s="21">
        <f t="shared" ca="1" si="387"/>
        <v>4.1546673209659062</v>
      </c>
      <c r="C2251" s="21">
        <f t="shared" ref="C2251:C2314" ca="1" si="392">$C2250+$B2251</f>
        <v>6775.8927283282364</v>
      </c>
      <c r="D2251" s="21">
        <f t="shared" ca="1" si="388"/>
        <v>3.7950595923685642</v>
      </c>
      <c r="E2251" s="21">
        <f t="shared" ca="1" si="384"/>
        <v>0</v>
      </c>
      <c r="F2251" s="20" t="str">
        <f t="shared" ref="F2251:F2314" ca="1" si="393">IF(E2251=0,"Yes","No")</f>
        <v>Yes</v>
      </c>
      <c r="G2251" s="21">
        <f t="shared" ca="1" si="389"/>
        <v>0.34912019124112703</v>
      </c>
      <c r="H2251" s="21">
        <f t="shared" ca="1" si="390"/>
        <v>6775.8927283282364</v>
      </c>
      <c r="I2251" s="21">
        <f t="shared" ca="1" si="385"/>
        <v>6779.6877879206049</v>
      </c>
      <c r="J2251" s="20">
        <f t="shared" ref="J2251:J2314" ca="1" si="394">IF($I2250&lt;=$C2251,0,$K2250+1)</f>
        <v>0</v>
      </c>
      <c r="K2251" s="20">
        <f t="shared" ca="1" si="386"/>
        <v>0</v>
      </c>
      <c r="L2251" s="44">
        <f t="shared" ca="1" si="391"/>
        <v>0</v>
      </c>
    </row>
    <row r="2252" spans="1:12" x14ac:dyDescent="0.25">
      <c r="A2252" s="20">
        <v>2244</v>
      </c>
      <c r="B2252" s="21">
        <f t="shared" ca="1" si="387"/>
        <v>9.5504327966816298</v>
      </c>
      <c r="C2252" s="21">
        <f t="shared" ca="1" si="392"/>
        <v>6785.4431611249183</v>
      </c>
      <c r="D2252" s="21">
        <f t="shared" ca="1" si="388"/>
        <v>2.4203890171198714</v>
      </c>
      <c r="E2252" s="21">
        <f t="shared" ref="E2252:E2315" ca="1" si="395">IF($I2251&lt;=$C2252,0,$I2251-$C2252)</f>
        <v>0</v>
      </c>
      <c r="F2252" s="20" t="str">
        <f t="shared" ca="1" si="393"/>
        <v>Yes</v>
      </c>
      <c r="G2252" s="21">
        <f t="shared" ca="1" si="389"/>
        <v>5.7553732043134005</v>
      </c>
      <c r="H2252" s="21">
        <f t="shared" ca="1" si="390"/>
        <v>6785.4431611249183</v>
      </c>
      <c r="I2252" s="21">
        <f t="shared" ca="1" si="385"/>
        <v>6787.8635501420385</v>
      </c>
      <c r="J2252" s="20">
        <f t="shared" ca="1" si="394"/>
        <v>0</v>
      </c>
      <c r="K2252" s="20">
        <f t="shared" ca="1" si="386"/>
        <v>0</v>
      </c>
      <c r="L2252" s="44">
        <f t="shared" ca="1" si="391"/>
        <v>0</v>
      </c>
    </row>
    <row r="2253" spans="1:12" x14ac:dyDescent="0.25">
      <c r="A2253" s="20">
        <v>2245</v>
      </c>
      <c r="B2253" s="21">
        <f t="shared" ca="1" si="387"/>
        <v>3.7060429124896781</v>
      </c>
      <c r="C2253" s="21">
        <f t="shared" ca="1" si="392"/>
        <v>6789.1492040374078</v>
      </c>
      <c r="D2253" s="21">
        <f t="shared" ca="1" si="388"/>
        <v>3.0938423655761196</v>
      </c>
      <c r="E2253" s="21">
        <f t="shared" ca="1" si="395"/>
        <v>0</v>
      </c>
      <c r="F2253" s="20" t="str">
        <f t="shared" ca="1" si="393"/>
        <v>Yes</v>
      </c>
      <c r="G2253" s="21">
        <f t="shared" ca="1" si="389"/>
        <v>1.2856538953692507</v>
      </c>
      <c r="H2253" s="21">
        <f t="shared" ca="1" si="390"/>
        <v>6789.1492040374078</v>
      </c>
      <c r="I2253" s="21">
        <f t="shared" ca="1" si="385"/>
        <v>6792.243046402984</v>
      </c>
      <c r="J2253" s="20">
        <f t="shared" ca="1" si="394"/>
        <v>0</v>
      </c>
      <c r="K2253" s="20">
        <f t="shared" ca="1" si="386"/>
        <v>1</v>
      </c>
      <c r="L2253" s="44">
        <f t="shared" ca="1" si="391"/>
        <v>0.5</v>
      </c>
    </row>
    <row r="2254" spans="1:12" x14ac:dyDescent="0.25">
      <c r="A2254" s="20">
        <v>2246</v>
      </c>
      <c r="B2254" s="21">
        <f t="shared" ca="1" si="387"/>
        <v>1.2027534614401474</v>
      </c>
      <c r="C2254" s="21">
        <f t="shared" ca="1" si="392"/>
        <v>6790.3519574988477</v>
      </c>
      <c r="D2254" s="21">
        <f t="shared" ca="1" si="388"/>
        <v>4.466301896175881E-2</v>
      </c>
      <c r="E2254" s="21">
        <f t="shared" ca="1" si="395"/>
        <v>1.891088904136268</v>
      </c>
      <c r="F2254" s="20" t="str">
        <f t="shared" ca="1" si="393"/>
        <v>No</v>
      </c>
      <c r="G2254" s="21">
        <f t="shared" ca="1" si="389"/>
        <v>0</v>
      </c>
      <c r="H2254" s="21">
        <f t="shared" ca="1" si="390"/>
        <v>6792.243046402984</v>
      </c>
      <c r="I2254" s="21">
        <f t="shared" ca="1" si="385"/>
        <v>6792.2877094219457</v>
      </c>
      <c r="J2254" s="20">
        <f t="shared" ca="1" si="394"/>
        <v>2</v>
      </c>
      <c r="K2254" s="20">
        <f t="shared" ca="1" si="386"/>
        <v>0</v>
      </c>
      <c r="L2254" s="44">
        <f t="shared" ca="1" si="391"/>
        <v>1</v>
      </c>
    </row>
    <row r="2255" spans="1:12" x14ac:dyDescent="0.25">
      <c r="A2255" s="20">
        <v>2247</v>
      </c>
      <c r="B2255" s="21">
        <f t="shared" ca="1" si="387"/>
        <v>5.3922963493807146</v>
      </c>
      <c r="C2255" s="21">
        <f t="shared" ca="1" si="392"/>
        <v>6795.7442538482283</v>
      </c>
      <c r="D2255" s="21">
        <f t="shared" ca="1" si="388"/>
        <v>3.5573345151682471E-2</v>
      </c>
      <c r="E2255" s="21">
        <f t="shared" ca="1" si="395"/>
        <v>0</v>
      </c>
      <c r="F2255" s="20" t="str">
        <f t="shared" ca="1" si="393"/>
        <v>Yes</v>
      </c>
      <c r="G2255" s="21">
        <f t="shared" ca="1" si="389"/>
        <v>3.4565444262825622</v>
      </c>
      <c r="H2255" s="21">
        <f t="shared" ca="1" si="390"/>
        <v>6795.7442538482283</v>
      </c>
      <c r="I2255" s="21">
        <f t="shared" ca="1" si="385"/>
        <v>6795.7798271933798</v>
      </c>
      <c r="J2255" s="20">
        <f t="shared" ca="1" si="394"/>
        <v>0</v>
      </c>
      <c r="K2255" s="20">
        <f t="shared" ca="1" si="386"/>
        <v>0</v>
      </c>
      <c r="L2255" s="44">
        <f t="shared" ca="1" si="391"/>
        <v>0</v>
      </c>
    </row>
    <row r="2256" spans="1:12" x14ac:dyDescent="0.25">
      <c r="A2256" s="20">
        <v>2248</v>
      </c>
      <c r="B2256" s="21">
        <f t="shared" ca="1" si="387"/>
        <v>2.9189543607088453</v>
      </c>
      <c r="C2256" s="21">
        <f t="shared" ca="1" si="392"/>
        <v>6798.6632082089372</v>
      </c>
      <c r="D2256" s="21">
        <f t="shared" ca="1" si="388"/>
        <v>4.9421517917072961</v>
      </c>
      <c r="E2256" s="21">
        <f t="shared" ca="1" si="395"/>
        <v>0</v>
      </c>
      <c r="F2256" s="20" t="str">
        <f t="shared" ca="1" si="393"/>
        <v>Yes</v>
      </c>
      <c r="G2256" s="21">
        <f t="shared" ca="1" si="389"/>
        <v>2.8833810155574611</v>
      </c>
      <c r="H2256" s="21">
        <f t="shared" ca="1" si="390"/>
        <v>6798.6632082089372</v>
      </c>
      <c r="I2256" s="21">
        <f t="shared" ca="1" si="385"/>
        <v>6803.6053600006444</v>
      </c>
      <c r="J2256" s="20">
        <f t="shared" ca="1" si="394"/>
        <v>0</v>
      </c>
      <c r="K2256" s="20">
        <f t="shared" ca="1" si="386"/>
        <v>3</v>
      </c>
      <c r="L2256" s="44">
        <f t="shared" ca="1" si="391"/>
        <v>1.5</v>
      </c>
    </row>
    <row r="2257" spans="1:12" x14ac:dyDescent="0.25">
      <c r="A2257" s="20">
        <v>2249</v>
      </c>
      <c r="B2257" s="21">
        <f t="shared" ca="1" si="387"/>
        <v>0.3760563329694237</v>
      </c>
      <c r="C2257" s="21">
        <f t="shared" ca="1" si="392"/>
        <v>6799.039264541907</v>
      </c>
      <c r="D2257" s="21">
        <f t="shared" ca="1" si="388"/>
        <v>2.4213898720915257</v>
      </c>
      <c r="E2257" s="21">
        <f t="shared" ca="1" si="395"/>
        <v>4.5660954587374363</v>
      </c>
      <c r="F2257" s="20" t="str">
        <f t="shared" ca="1" si="393"/>
        <v>No</v>
      </c>
      <c r="G2257" s="21">
        <f t="shared" ca="1" si="389"/>
        <v>0</v>
      </c>
      <c r="H2257" s="21">
        <f t="shared" ca="1" si="390"/>
        <v>6803.6053600006444</v>
      </c>
      <c r="I2257" s="21">
        <f t="shared" ca="1" si="385"/>
        <v>6806.0267498727362</v>
      </c>
      <c r="J2257" s="20">
        <f t="shared" ca="1" si="394"/>
        <v>4</v>
      </c>
      <c r="K2257" s="20">
        <f t="shared" ca="1" si="386"/>
        <v>3</v>
      </c>
      <c r="L2257" s="44">
        <f t="shared" ca="1" si="391"/>
        <v>3.5</v>
      </c>
    </row>
    <row r="2258" spans="1:12" x14ac:dyDescent="0.25">
      <c r="A2258" s="20">
        <v>2250</v>
      </c>
      <c r="B2258" s="21">
        <f t="shared" ca="1" si="387"/>
        <v>1.2274446759584527</v>
      </c>
      <c r="C2258" s="21">
        <f t="shared" ca="1" si="392"/>
        <v>6800.2667092178654</v>
      </c>
      <c r="D2258" s="21">
        <f t="shared" ca="1" si="388"/>
        <v>0.90838785497932673</v>
      </c>
      <c r="E2258" s="21">
        <f t="shared" ca="1" si="395"/>
        <v>5.7600406548708634</v>
      </c>
      <c r="F2258" s="20" t="str">
        <f t="shared" ca="1" si="393"/>
        <v>No</v>
      </c>
      <c r="G2258" s="21">
        <f t="shared" ca="1" si="389"/>
        <v>0</v>
      </c>
      <c r="H2258" s="21">
        <f t="shared" ca="1" si="390"/>
        <v>6806.0267498727362</v>
      </c>
      <c r="I2258" s="21">
        <f t="shared" ca="1" si="385"/>
        <v>6806.9351377277153</v>
      </c>
      <c r="J2258" s="20">
        <f t="shared" ca="1" si="394"/>
        <v>4</v>
      </c>
      <c r="K2258" s="20">
        <f t="shared" ca="1" si="386"/>
        <v>2</v>
      </c>
      <c r="L2258" s="44">
        <f t="shared" ca="1" si="391"/>
        <v>3</v>
      </c>
    </row>
    <row r="2259" spans="1:12" x14ac:dyDescent="0.25">
      <c r="A2259" s="20">
        <v>2251</v>
      </c>
      <c r="B2259" s="21">
        <f t="shared" ca="1" si="387"/>
        <v>1.2622614948892854</v>
      </c>
      <c r="C2259" s="21">
        <f t="shared" ca="1" si="392"/>
        <v>6801.5289707127549</v>
      </c>
      <c r="D2259" s="21">
        <f t="shared" ca="1" si="388"/>
        <v>1.01389219784528</v>
      </c>
      <c r="E2259" s="21">
        <f t="shared" ca="1" si="395"/>
        <v>5.4061670149603742</v>
      </c>
      <c r="F2259" s="20" t="str">
        <f t="shared" ca="1" si="393"/>
        <v>No</v>
      </c>
      <c r="G2259" s="21">
        <f t="shared" ca="1" si="389"/>
        <v>0</v>
      </c>
      <c r="H2259" s="21">
        <f t="shared" ca="1" si="390"/>
        <v>6806.9351377277153</v>
      </c>
      <c r="I2259" s="21">
        <f t="shared" ca="1" si="385"/>
        <v>6807.9490299255604</v>
      </c>
      <c r="J2259" s="20">
        <f t="shared" ca="1" si="394"/>
        <v>3</v>
      </c>
      <c r="K2259" s="20">
        <f t="shared" ca="1" si="386"/>
        <v>1</v>
      </c>
      <c r="L2259" s="44">
        <f t="shared" ca="1" si="391"/>
        <v>2</v>
      </c>
    </row>
    <row r="2260" spans="1:12" x14ac:dyDescent="0.25">
      <c r="A2260" s="20">
        <v>2252</v>
      </c>
      <c r="B2260" s="21">
        <f t="shared" ca="1" si="387"/>
        <v>4.1564104853280215</v>
      </c>
      <c r="C2260" s="21">
        <f t="shared" ca="1" si="392"/>
        <v>6805.6853811980827</v>
      </c>
      <c r="D2260" s="21">
        <f t="shared" ca="1" si="388"/>
        <v>0.78769064288201252</v>
      </c>
      <c r="E2260" s="21">
        <f t="shared" ca="1" si="395"/>
        <v>2.26364872747763</v>
      </c>
      <c r="F2260" s="20" t="str">
        <f t="shared" ca="1" si="393"/>
        <v>No</v>
      </c>
      <c r="G2260" s="21">
        <f t="shared" ca="1" si="389"/>
        <v>0</v>
      </c>
      <c r="H2260" s="21">
        <f t="shared" ca="1" si="390"/>
        <v>6807.9490299255604</v>
      </c>
      <c r="I2260" s="21">
        <f t="shared" ca="1" si="385"/>
        <v>6808.7367205684423</v>
      </c>
      <c r="J2260" s="20">
        <f t="shared" ca="1" si="394"/>
        <v>2</v>
      </c>
      <c r="K2260" s="20">
        <f t="shared" ca="1" si="386"/>
        <v>0</v>
      </c>
      <c r="L2260" s="44">
        <f t="shared" ca="1" si="391"/>
        <v>1</v>
      </c>
    </row>
    <row r="2261" spans="1:12" x14ac:dyDescent="0.25">
      <c r="A2261" s="20">
        <v>2253</v>
      </c>
      <c r="B2261" s="21">
        <f t="shared" ca="1" si="387"/>
        <v>6.4847302175822037</v>
      </c>
      <c r="C2261" s="21">
        <f t="shared" ca="1" si="392"/>
        <v>6812.1701114156649</v>
      </c>
      <c r="D2261" s="21">
        <f t="shared" ca="1" si="388"/>
        <v>4.2688069633429508</v>
      </c>
      <c r="E2261" s="21">
        <f t="shared" ca="1" si="395"/>
        <v>0</v>
      </c>
      <c r="F2261" s="20" t="str">
        <f t="shared" ca="1" si="393"/>
        <v>Yes</v>
      </c>
      <c r="G2261" s="21">
        <f t="shared" ca="1" si="389"/>
        <v>3.433390847222654</v>
      </c>
      <c r="H2261" s="21">
        <f t="shared" ca="1" si="390"/>
        <v>6812.1701114156649</v>
      </c>
      <c r="I2261" s="21">
        <f t="shared" ca="1" si="385"/>
        <v>6816.4389183790081</v>
      </c>
      <c r="J2261" s="20">
        <f t="shared" ca="1" si="394"/>
        <v>0</v>
      </c>
      <c r="K2261" s="20">
        <f t="shared" ca="1" si="386"/>
        <v>0</v>
      </c>
      <c r="L2261" s="44">
        <f t="shared" ca="1" si="391"/>
        <v>0</v>
      </c>
    </row>
    <row r="2262" spans="1:12" x14ac:dyDescent="0.25">
      <c r="A2262" s="20">
        <v>2254</v>
      </c>
      <c r="B2262" s="21">
        <f t="shared" ca="1" si="387"/>
        <v>5.3037090337422343</v>
      </c>
      <c r="C2262" s="21">
        <f t="shared" ca="1" si="392"/>
        <v>6817.473820449407</v>
      </c>
      <c r="D2262" s="21">
        <f t="shared" ca="1" si="388"/>
        <v>0.26991577579951836</v>
      </c>
      <c r="E2262" s="21">
        <f t="shared" ca="1" si="395"/>
        <v>0</v>
      </c>
      <c r="F2262" s="20" t="str">
        <f t="shared" ca="1" si="393"/>
        <v>Yes</v>
      </c>
      <c r="G2262" s="21">
        <f t="shared" ca="1" si="389"/>
        <v>1.0349020703988572</v>
      </c>
      <c r="H2262" s="21">
        <f t="shared" ca="1" si="390"/>
        <v>6817.473820449407</v>
      </c>
      <c r="I2262" s="21">
        <f t="shared" ca="1" si="385"/>
        <v>6817.7437362252067</v>
      </c>
      <c r="J2262" s="20">
        <f t="shared" ca="1" si="394"/>
        <v>0</v>
      </c>
      <c r="K2262" s="20">
        <f t="shared" ca="1" si="386"/>
        <v>0</v>
      </c>
      <c r="L2262" s="44">
        <f t="shared" ca="1" si="391"/>
        <v>0</v>
      </c>
    </row>
    <row r="2263" spans="1:12" x14ac:dyDescent="0.25">
      <c r="A2263" s="20">
        <v>2255</v>
      </c>
      <c r="B2263" s="21">
        <f t="shared" ca="1" si="387"/>
        <v>5.3490495604369928</v>
      </c>
      <c r="C2263" s="21">
        <f t="shared" ca="1" si="392"/>
        <v>6822.8228700098443</v>
      </c>
      <c r="D2263" s="21">
        <f t="shared" ca="1" si="388"/>
        <v>1.6440352776074014</v>
      </c>
      <c r="E2263" s="21">
        <f t="shared" ca="1" si="395"/>
        <v>0</v>
      </c>
      <c r="F2263" s="20" t="str">
        <f t="shared" ca="1" si="393"/>
        <v>Yes</v>
      </c>
      <c r="G2263" s="21">
        <f t="shared" ca="1" si="389"/>
        <v>5.0791337846376337</v>
      </c>
      <c r="H2263" s="21">
        <f t="shared" ca="1" si="390"/>
        <v>6822.8228700098443</v>
      </c>
      <c r="I2263" s="21">
        <f t="shared" ca="1" si="385"/>
        <v>6824.4669052874515</v>
      </c>
      <c r="J2263" s="20">
        <f t="shared" ca="1" si="394"/>
        <v>0</v>
      </c>
      <c r="K2263" s="20">
        <f t="shared" ca="1" si="386"/>
        <v>0</v>
      </c>
      <c r="L2263" s="44">
        <f t="shared" ca="1" si="391"/>
        <v>0</v>
      </c>
    </row>
    <row r="2264" spans="1:12" x14ac:dyDescent="0.25">
      <c r="A2264" s="20">
        <v>2256</v>
      </c>
      <c r="B2264" s="21">
        <f t="shared" ca="1" si="387"/>
        <v>2.8176665921053785</v>
      </c>
      <c r="C2264" s="21">
        <f t="shared" ca="1" si="392"/>
        <v>6825.6405366019499</v>
      </c>
      <c r="D2264" s="21">
        <f t="shared" ca="1" si="388"/>
        <v>2.6400613794512267</v>
      </c>
      <c r="E2264" s="21">
        <f t="shared" ca="1" si="395"/>
        <v>0</v>
      </c>
      <c r="F2264" s="20" t="str">
        <f t="shared" ca="1" si="393"/>
        <v>Yes</v>
      </c>
      <c r="G2264" s="21">
        <f t="shared" ca="1" si="389"/>
        <v>1.1736313144983797</v>
      </c>
      <c r="H2264" s="21">
        <f t="shared" ca="1" si="390"/>
        <v>6825.6405366019499</v>
      </c>
      <c r="I2264" s="21">
        <f t="shared" ca="1" si="385"/>
        <v>6828.2805979814011</v>
      </c>
      <c r="J2264" s="20">
        <f t="shared" ca="1" si="394"/>
        <v>0</v>
      </c>
      <c r="K2264" s="20">
        <f t="shared" ca="1" si="386"/>
        <v>0</v>
      </c>
      <c r="L2264" s="44">
        <f t="shared" ca="1" si="391"/>
        <v>0</v>
      </c>
    </row>
    <row r="2265" spans="1:12" x14ac:dyDescent="0.25">
      <c r="A2265" s="20">
        <v>2257</v>
      </c>
      <c r="B2265" s="21">
        <f t="shared" ca="1" si="387"/>
        <v>4.0874828979704683</v>
      </c>
      <c r="C2265" s="21">
        <f t="shared" ca="1" si="392"/>
        <v>6829.7280194999203</v>
      </c>
      <c r="D2265" s="21">
        <f t="shared" ca="1" si="388"/>
        <v>2.729110343618069</v>
      </c>
      <c r="E2265" s="21">
        <f t="shared" ca="1" si="395"/>
        <v>0</v>
      </c>
      <c r="F2265" s="20" t="str">
        <f t="shared" ca="1" si="393"/>
        <v>Yes</v>
      </c>
      <c r="G2265" s="21">
        <f t="shared" ca="1" si="389"/>
        <v>1.4474215185191497</v>
      </c>
      <c r="H2265" s="21">
        <f t="shared" ca="1" si="390"/>
        <v>6829.7280194999203</v>
      </c>
      <c r="I2265" s="21">
        <f t="shared" ca="1" si="385"/>
        <v>6832.4571298435385</v>
      </c>
      <c r="J2265" s="20">
        <f t="shared" ca="1" si="394"/>
        <v>0</v>
      </c>
      <c r="K2265" s="20">
        <f t="shared" ca="1" si="386"/>
        <v>0</v>
      </c>
      <c r="L2265" s="44">
        <f t="shared" ca="1" si="391"/>
        <v>0</v>
      </c>
    </row>
    <row r="2266" spans="1:12" x14ac:dyDescent="0.25">
      <c r="A2266" s="20">
        <v>2258</v>
      </c>
      <c r="B2266" s="21">
        <f t="shared" ca="1" si="387"/>
        <v>8.1318041945990824</v>
      </c>
      <c r="C2266" s="21">
        <f t="shared" ca="1" si="392"/>
        <v>6837.859823694519</v>
      </c>
      <c r="D2266" s="21">
        <f t="shared" ca="1" si="388"/>
        <v>1.0689268227884146</v>
      </c>
      <c r="E2266" s="21">
        <f t="shared" ca="1" si="395"/>
        <v>0</v>
      </c>
      <c r="F2266" s="20" t="str">
        <f t="shared" ca="1" si="393"/>
        <v>Yes</v>
      </c>
      <c r="G2266" s="21">
        <f t="shared" ca="1" si="389"/>
        <v>5.4026938509805404</v>
      </c>
      <c r="H2266" s="21">
        <f t="shared" ca="1" si="390"/>
        <v>6837.859823694519</v>
      </c>
      <c r="I2266" s="21">
        <f t="shared" ca="1" si="385"/>
        <v>6838.9287505173079</v>
      </c>
      <c r="J2266" s="20">
        <f t="shared" ca="1" si="394"/>
        <v>0</v>
      </c>
      <c r="K2266" s="20">
        <f t="shared" ca="1" si="386"/>
        <v>0</v>
      </c>
      <c r="L2266" s="44">
        <f t="shared" ca="1" si="391"/>
        <v>0</v>
      </c>
    </row>
    <row r="2267" spans="1:12" x14ac:dyDescent="0.25">
      <c r="A2267" s="20">
        <v>2259</v>
      </c>
      <c r="B2267" s="21">
        <f t="shared" ca="1" si="387"/>
        <v>4.9171875067192303</v>
      </c>
      <c r="C2267" s="21">
        <f t="shared" ca="1" si="392"/>
        <v>6842.7770112012386</v>
      </c>
      <c r="D2267" s="21">
        <f t="shared" ca="1" si="388"/>
        <v>4.413793311753321</v>
      </c>
      <c r="E2267" s="21">
        <f t="shared" ca="1" si="395"/>
        <v>0</v>
      </c>
      <c r="F2267" s="20" t="str">
        <f t="shared" ca="1" si="393"/>
        <v>Yes</v>
      </c>
      <c r="G2267" s="21">
        <f t="shared" ca="1" si="389"/>
        <v>3.8482606839306754</v>
      </c>
      <c r="H2267" s="21">
        <f t="shared" ca="1" si="390"/>
        <v>6842.7770112012386</v>
      </c>
      <c r="I2267" s="21">
        <f t="shared" ca="1" si="385"/>
        <v>6847.1908045129921</v>
      </c>
      <c r="J2267" s="20">
        <f t="shared" ca="1" si="394"/>
        <v>0</v>
      </c>
      <c r="K2267" s="20">
        <f t="shared" ca="1" si="386"/>
        <v>0</v>
      </c>
      <c r="L2267" s="44">
        <f t="shared" ca="1" si="391"/>
        <v>0</v>
      </c>
    </row>
    <row r="2268" spans="1:12" x14ac:dyDescent="0.25">
      <c r="A2268" s="20">
        <v>2260</v>
      </c>
      <c r="B2268" s="21">
        <f t="shared" ca="1" si="387"/>
        <v>18.997712649492243</v>
      </c>
      <c r="C2268" s="21">
        <f t="shared" ca="1" si="392"/>
        <v>6861.7747238507309</v>
      </c>
      <c r="D2268" s="21">
        <f t="shared" ca="1" si="388"/>
        <v>9.0576158996456773</v>
      </c>
      <c r="E2268" s="21">
        <f t="shared" ca="1" si="395"/>
        <v>0</v>
      </c>
      <c r="F2268" s="20" t="str">
        <f t="shared" ca="1" si="393"/>
        <v>Yes</v>
      </c>
      <c r="G2268" s="21">
        <f t="shared" ca="1" si="389"/>
        <v>14.583919337738735</v>
      </c>
      <c r="H2268" s="21">
        <f t="shared" ca="1" si="390"/>
        <v>6861.7747238507309</v>
      </c>
      <c r="I2268" s="21">
        <f t="shared" ca="1" si="385"/>
        <v>6870.8323397503764</v>
      </c>
      <c r="J2268" s="20">
        <f t="shared" ca="1" si="394"/>
        <v>0</v>
      </c>
      <c r="K2268" s="20">
        <f t="shared" ca="1" si="386"/>
        <v>0</v>
      </c>
      <c r="L2268" s="44">
        <f t="shared" ca="1" si="391"/>
        <v>0</v>
      </c>
    </row>
    <row r="2269" spans="1:12" x14ac:dyDescent="0.25">
      <c r="A2269" s="20">
        <v>2261</v>
      </c>
      <c r="B2269" s="21">
        <f t="shared" ca="1" si="387"/>
        <v>12.031636549385622</v>
      </c>
      <c r="C2269" s="21">
        <f t="shared" ca="1" si="392"/>
        <v>6873.8063604001163</v>
      </c>
      <c r="D2269" s="21">
        <f t="shared" ca="1" si="388"/>
        <v>7.1991855110257547E-2</v>
      </c>
      <c r="E2269" s="21">
        <f t="shared" ca="1" si="395"/>
        <v>0</v>
      </c>
      <c r="F2269" s="20" t="str">
        <f t="shared" ca="1" si="393"/>
        <v>Yes</v>
      </c>
      <c r="G2269" s="21">
        <f t="shared" ca="1" si="389"/>
        <v>2.9740206497399413</v>
      </c>
      <c r="H2269" s="21">
        <f t="shared" ca="1" si="390"/>
        <v>6873.8063604001163</v>
      </c>
      <c r="I2269" s="21">
        <f t="shared" ca="1" si="385"/>
        <v>6873.8783522552267</v>
      </c>
      <c r="J2269" s="20">
        <f t="shared" ca="1" si="394"/>
        <v>0</v>
      </c>
      <c r="K2269" s="20">
        <f t="shared" ca="1" si="386"/>
        <v>0</v>
      </c>
      <c r="L2269" s="44">
        <f t="shared" ca="1" si="391"/>
        <v>0</v>
      </c>
    </row>
    <row r="2270" spans="1:12" x14ac:dyDescent="0.25">
      <c r="A2270" s="20">
        <v>2262</v>
      </c>
      <c r="B2270" s="21">
        <f t="shared" ca="1" si="387"/>
        <v>0.72736019391322282</v>
      </c>
      <c r="C2270" s="21">
        <f t="shared" ca="1" si="392"/>
        <v>6874.5337205940295</v>
      </c>
      <c r="D2270" s="21">
        <f t="shared" ca="1" si="388"/>
        <v>0.14134587033550008</v>
      </c>
      <c r="E2270" s="21">
        <f t="shared" ca="1" si="395"/>
        <v>0</v>
      </c>
      <c r="F2270" s="20" t="str">
        <f t="shared" ca="1" si="393"/>
        <v>Yes</v>
      </c>
      <c r="G2270" s="21">
        <f t="shared" ca="1" si="389"/>
        <v>0.65536833880287304</v>
      </c>
      <c r="H2270" s="21">
        <f t="shared" ca="1" si="390"/>
        <v>6874.5337205940295</v>
      </c>
      <c r="I2270" s="21">
        <f t="shared" ca="1" si="385"/>
        <v>6874.675066464365</v>
      </c>
      <c r="J2270" s="20">
        <f t="shared" ca="1" si="394"/>
        <v>0</v>
      </c>
      <c r="K2270" s="20">
        <f t="shared" ca="1" si="386"/>
        <v>0</v>
      </c>
      <c r="L2270" s="44">
        <f t="shared" ca="1" si="391"/>
        <v>0</v>
      </c>
    </row>
    <row r="2271" spans="1:12" x14ac:dyDescent="0.25">
      <c r="A2271" s="20">
        <v>2263</v>
      </c>
      <c r="B2271" s="21">
        <f t="shared" ca="1" si="387"/>
        <v>6.2343856412895455</v>
      </c>
      <c r="C2271" s="21">
        <f t="shared" ca="1" si="392"/>
        <v>6880.7681062353195</v>
      </c>
      <c r="D2271" s="21">
        <f t="shared" ca="1" si="388"/>
        <v>1.5558331928540519</v>
      </c>
      <c r="E2271" s="21">
        <f t="shared" ca="1" si="395"/>
        <v>0</v>
      </c>
      <c r="F2271" s="20" t="str">
        <f t="shared" ca="1" si="393"/>
        <v>Yes</v>
      </c>
      <c r="G2271" s="21">
        <f t="shared" ca="1" si="389"/>
        <v>6.0930397709544195</v>
      </c>
      <c r="H2271" s="21">
        <f t="shared" ca="1" si="390"/>
        <v>6880.7681062353195</v>
      </c>
      <c r="I2271" s="21">
        <f t="shared" ca="1" si="385"/>
        <v>6882.3239394281736</v>
      </c>
      <c r="J2271" s="20">
        <f t="shared" ca="1" si="394"/>
        <v>0</v>
      </c>
      <c r="K2271" s="20">
        <f t="shared" ca="1" si="386"/>
        <v>0</v>
      </c>
      <c r="L2271" s="44">
        <f t="shared" ca="1" si="391"/>
        <v>0</v>
      </c>
    </row>
    <row r="2272" spans="1:12" x14ac:dyDescent="0.25">
      <c r="A2272" s="20">
        <v>2264</v>
      </c>
      <c r="B2272" s="21">
        <f t="shared" ca="1" si="387"/>
        <v>2.7723336494789463</v>
      </c>
      <c r="C2272" s="21">
        <f t="shared" ca="1" si="392"/>
        <v>6883.5404398847986</v>
      </c>
      <c r="D2272" s="21">
        <f t="shared" ca="1" si="388"/>
        <v>1.2827561298447234</v>
      </c>
      <c r="E2272" s="21">
        <f t="shared" ca="1" si="395"/>
        <v>0</v>
      </c>
      <c r="F2272" s="20" t="str">
        <f t="shared" ca="1" si="393"/>
        <v>Yes</v>
      </c>
      <c r="G2272" s="21">
        <f t="shared" ca="1" si="389"/>
        <v>1.2165004566249991</v>
      </c>
      <c r="H2272" s="21">
        <f t="shared" ca="1" si="390"/>
        <v>6883.5404398847986</v>
      </c>
      <c r="I2272" s="21">
        <f t="shared" ca="1" si="385"/>
        <v>6884.8231960146431</v>
      </c>
      <c r="J2272" s="20">
        <f t="shared" ca="1" si="394"/>
        <v>0</v>
      </c>
      <c r="K2272" s="20">
        <f t="shared" ca="1" si="386"/>
        <v>1</v>
      </c>
      <c r="L2272" s="44">
        <f t="shared" ca="1" si="391"/>
        <v>0.5</v>
      </c>
    </row>
    <row r="2273" spans="1:12" x14ac:dyDescent="0.25">
      <c r="A2273" s="20">
        <v>2265</v>
      </c>
      <c r="B2273" s="21">
        <f t="shared" ca="1" si="387"/>
        <v>0.63589659184083602</v>
      </c>
      <c r="C2273" s="21">
        <f t="shared" ca="1" si="392"/>
        <v>6884.1763364766393</v>
      </c>
      <c r="D2273" s="21">
        <f t="shared" ca="1" si="388"/>
        <v>0.49895925068024322</v>
      </c>
      <c r="E2273" s="21">
        <f t="shared" ca="1" si="395"/>
        <v>0.64685953800380958</v>
      </c>
      <c r="F2273" s="20" t="str">
        <f t="shared" ca="1" si="393"/>
        <v>No</v>
      </c>
      <c r="G2273" s="21">
        <f t="shared" ca="1" si="389"/>
        <v>0</v>
      </c>
      <c r="H2273" s="21">
        <f t="shared" ca="1" si="390"/>
        <v>6884.8231960146431</v>
      </c>
      <c r="I2273" s="21">
        <f t="shared" ca="1" si="385"/>
        <v>6885.3221552653231</v>
      </c>
      <c r="J2273" s="20">
        <f t="shared" ca="1" si="394"/>
        <v>2</v>
      </c>
      <c r="K2273" s="20">
        <f t="shared" ca="1" si="386"/>
        <v>0</v>
      </c>
      <c r="L2273" s="44">
        <f t="shared" ca="1" si="391"/>
        <v>1</v>
      </c>
    </row>
    <row r="2274" spans="1:12" x14ac:dyDescent="0.25">
      <c r="A2274" s="20">
        <v>2266</v>
      </c>
      <c r="B2274" s="21">
        <f t="shared" ca="1" si="387"/>
        <v>2.0802214361843223</v>
      </c>
      <c r="C2274" s="21">
        <f t="shared" ca="1" si="392"/>
        <v>6886.2565579128241</v>
      </c>
      <c r="D2274" s="21">
        <f t="shared" ca="1" si="388"/>
        <v>1.0868244329903332</v>
      </c>
      <c r="E2274" s="21">
        <f t="shared" ca="1" si="395"/>
        <v>0</v>
      </c>
      <c r="F2274" s="20" t="str">
        <f t="shared" ca="1" si="393"/>
        <v>Yes</v>
      </c>
      <c r="G2274" s="21">
        <f t="shared" ca="1" si="389"/>
        <v>0.93440264750097413</v>
      </c>
      <c r="H2274" s="21">
        <f t="shared" ca="1" si="390"/>
        <v>6886.2565579128241</v>
      </c>
      <c r="I2274" s="21">
        <f t="shared" ca="1" si="385"/>
        <v>6887.3433823458145</v>
      </c>
      <c r="J2274" s="20">
        <f t="shared" ca="1" si="394"/>
        <v>0</v>
      </c>
      <c r="K2274" s="20">
        <f t="shared" ca="1" si="386"/>
        <v>0</v>
      </c>
      <c r="L2274" s="44">
        <f t="shared" ca="1" si="391"/>
        <v>0</v>
      </c>
    </row>
    <row r="2275" spans="1:12" x14ac:dyDescent="0.25">
      <c r="A2275" s="20">
        <v>2267</v>
      </c>
      <c r="B2275" s="21">
        <f t="shared" ca="1" si="387"/>
        <v>7.7429661725506769</v>
      </c>
      <c r="C2275" s="21">
        <f t="shared" ca="1" si="392"/>
        <v>6893.999524085375</v>
      </c>
      <c r="D2275" s="21">
        <f t="shared" ca="1" si="388"/>
        <v>0.61421036696566267</v>
      </c>
      <c r="E2275" s="21">
        <f t="shared" ca="1" si="395"/>
        <v>0</v>
      </c>
      <c r="F2275" s="20" t="str">
        <f t="shared" ca="1" si="393"/>
        <v>Yes</v>
      </c>
      <c r="G2275" s="21">
        <f t="shared" ca="1" si="389"/>
        <v>6.6561417395605531</v>
      </c>
      <c r="H2275" s="21">
        <f t="shared" ca="1" si="390"/>
        <v>6893.999524085375</v>
      </c>
      <c r="I2275" s="21">
        <f t="shared" ca="1" si="385"/>
        <v>6894.6137344523404</v>
      </c>
      <c r="J2275" s="20">
        <f t="shared" ca="1" si="394"/>
        <v>0</v>
      </c>
      <c r="K2275" s="20">
        <f t="shared" ca="1" si="386"/>
        <v>0</v>
      </c>
      <c r="L2275" s="44">
        <f t="shared" ca="1" si="391"/>
        <v>0</v>
      </c>
    </row>
    <row r="2276" spans="1:12" x14ac:dyDescent="0.25">
      <c r="A2276" s="20">
        <v>2268</v>
      </c>
      <c r="B2276" s="21">
        <f t="shared" ca="1" si="387"/>
        <v>0.76919444695514194</v>
      </c>
      <c r="C2276" s="21">
        <f t="shared" ca="1" si="392"/>
        <v>6894.7687185323302</v>
      </c>
      <c r="D2276" s="21">
        <f t="shared" ca="1" si="388"/>
        <v>2.2235234992908013</v>
      </c>
      <c r="E2276" s="21">
        <f t="shared" ca="1" si="395"/>
        <v>0</v>
      </c>
      <c r="F2276" s="20" t="str">
        <f t="shared" ca="1" si="393"/>
        <v>Yes</v>
      </c>
      <c r="G2276" s="21">
        <f t="shared" ca="1" si="389"/>
        <v>0.15498407998984476</v>
      </c>
      <c r="H2276" s="21">
        <f t="shared" ca="1" si="390"/>
        <v>6894.7687185323302</v>
      </c>
      <c r="I2276" s="21">
        <f t="shared" ca="1" si="385"/>
        <v>6896.9922420316207</v>
      </c>
      <c r="J2276" s="20">
        <f t="shared" ca="1" si="394"/>
        <v>0</v>
      </c>
      <c r="K2276" s="20">
        <f t="shared" ca="1" si="386"/>
        <v>0</v>
      </c>
      <c r="L2276" s="44">
        <f t="shared" ca="1" si="391"/>
        <v>0</v>
      </c>
    </row>
    <row r="2277" spans="1:12" x14ac:dyDescent="0.25">
      <c r="A2277" s="20">
        <v>2269</v>
      </c>
      <c r="B2277" s="21">
        <f t="shared" ca="1" si="387"/>
        <v>9.3282150152745693</v>
      </c>
      <c r="C2277" s="21">
        <f t="shared" ca="1" si="392"/>
        <v>6904.0969335476047</v>
      </c>
      <c r="D2277" s="21">
        <f t="shared" ca="1" si="388"/>
        <v>0.70296425110302985</v>
      </c>
      <c r="E2277" s="21">
        <f t="shared" ca="1" si="395"/>
        <v>0</v>
      </c>
      <c r="F2277" s="20" t="str">
        <f t="shared" ca="1" si="393"/>
        <v>Yes</v>
      </c>
      <c r="G2277" s="21">
        <f t="shared" ca="1" si="389"/>
        <v>7.1046915159840864</v>
      </c>
      <c r="H2277" s="21">
        <f t="shared" ca="1" si="390"/>
        <v>6904.0969335476047</v>
      </c>
      <c r="I2277" s="21">
        <f t="shared" ca="1" si="385"/>
        <v>6904.7998977987081</v>
      </c>
      <c r="J2277" s="20">
        <f t="shared" ca="1" si="394"/>
        <v>0</v>
      </c>
      <c r="K2277" s="20">
        <f t="shared" ca="1" si="386"/>
        <v>1</v>
      </c>
      <c r="L2277" s="44">
        <f t="shared" ca="1" si="391"/>
        <v>0.5</v>
      </c>
    </row>
    <row r="2278" spans="1:12" x14ac:dyDescent="0.25">
      <c r="A2278" s="20">
        <v>2270</v>
      </c>
      <c r="B2278" s="21">
        <f t="shared" ca="1" si="387"/>
        <v>0.42206103161881708</v>
      </c>
      <c r="C2278" s="21">
        <f t="shared" ca="1" si="392"/>
        <v>6904.5189945792235</v>
      </c>
      <c r="D2278" s="21">
        <f t="shared" ca="1" si="388"/>
        <v>2.3732882086407159</v>
      </c>
      <c r="E2278" s="21">
        <f t="shared" ca="1" si="395"/>
        <v>0.28090321948457131</v>
      </c>
      <c r="F2278" s="20" t="str">
        <f t="shared" ca="1" si="393"/>
        <v>No</v>
      </c>
      <c r="G2278" s="21">
        <f t="shared" ca="1" si="389"/>
        <v>0</v>
      </c>
      <c r="H2278" s="21">
        <f t="shared" ca="1" si="390"/>
        <v>6904.7998977987081</v>
      </c>
      <c r="I2278" s="21">
        <f t="shared" ca="1" si="385"/>
        <v>6907.1731860073487</v>
      </c>
      <c r="J2278" s="20">
        <f t="shared" ca="1" si="394"/>
        <v>2</v>
      </c>
      <c r="K2278" s="20">
        <f t="shared" ca="1" si="386"/>
        <v>0</v>
      </c>
      <c r="L2278" s="44">
        <f t="shared" ca="1" si="391"/>
        <v>1</v>
      </c>
    </row>
    <row r="2279" spans="1:12" x14ac:dyDescent="0.25">
      <c r="A2279" s="20">
        <v>2271</v>
      </c>
      <c r="B2279" s="21">
        <f t="shared" ca="1" si="387"/>
        <v>4.9043675682207413</v>
      </c>
      <c r="C2279" s="21">
        <f t="shared" ca="1" si="392"/>
        <v>6909.4233621474441</v>
      </c>
      <c r="D2279" s="21">
        <f t="shared" ca="1" si="388"/>
        <v>3.5447078365816185</v>
      </c>
      <c r="E2279" s="21">
        <f t="shared" ca="1" si="395"/>
        <v>0</v>
      </c>
      <c r="F2279" s="20" t="str">
        <f t="shared" ca="1" si="393"/>
        <v>Yes</v>
      </c>
      <c r="G2279" s="21">
        <f t="shared" ca="1" si="389"/>
        <v>2.250176140095391</v>
      </c>
      <c r="H2279" s="21">
        <f t="shared" ca="1" si="390"/>
        <v>6909.4233621474441</v>
      </c>
      <c r="I2279" s="21">
        <f t="shared" ca="1" si="385"/>
        <v>6912.9680699840255</v>
      </c>
      <c r="J2279" s="20">
        <f t="shared" ca="1" si="394"/>
        <v>0</v>
      </c>
      <c r="K2279" s="20">
        <f t="shared" ca="1" si="386"/>
        <v>1</v>
      </c>
      <c r="L2279" s="44">
        <f t="shared" ca="1" si="391"/>
        <v>0.5</v>
      </c>
    </row>
    <row r="2280" spans="1:12" x14ac:dyDescent="0.25">
      <c r="A2280" s="20">
        <v>2272</v>
      </c>
      <c r="B2280" s="21">
        <f t="shared" ca="1" si="387"/>
        <v>0.70198924207546742</v>
      </c>
      <c r="C2280" s="21">
        <f t="shared" ca="1" si="392"/>
        <v>6910.1253513895199</v>
      </c>
      <c r="D2280" s="21">
        <f t="shared" ca="1" si="388"/>
        <v>0.83188393888648804</v>
      </c>
      <c r="E2280" s="21">
        <f t="shared" ca="1" si="395"/>
        <v>2.8427185945056408</v>
      </c>
      <c r="F2280" s="20" t="str">
        <f t="shared" ca="1" si="393"/>
        <v>No</v>
      </c>
      <c r="G2280" s="21">
        <f t="shared" ca="1" si="389"/>
        <v>0</v>
      </c>
      <c r="H2280" s="21">
        <f t="shared" ca="1" si="390"/>
        <v>6912.9680699840255</v>
      </c>
      <c r="I2280" s="21">
        <f t="shared" ca="1" si="385"/>
        <v>6913.7999539229122</v>
      </c>
      <c r="J2280" s="20">
        <f t="shared" ca="1" si="394"/>
        <v>2</v>
      </c>
      <c r="K2280" s="20">
        <f t="shared" ca="1" si="386"/>
        <v>1</v>
      </c>
      <c r="L2280" s="44">
        <f t="shared" ca="1" si="391"/>
        <v>1.5</v>
      </c>
    </row>
    <row r="2281" spans="1:12" x14ac:dyDescent="0.25">
      <c r="A2281" s="20">
        <v>2273</v>
      </c>
      <c r="B2281" s="21">
        <f t="shared" ca="1" si="387"/>
        <v>3.4449146981468042</v>
      </c>
      <c r="C2281" s="21">
        <f t="shared" ca="1" si="392"/>
        <v>6913.5702660876668</v>
      </c>
      <c r="D2281" s="21">
        <f t="shared" ca="1" si="388"/>
        <v>2.5339447549037368</v>
      </c>
      <c r="E2281" s="21">
        <f t="shared" ca="1" si="395"/>
        <v>0.22968783524538594</v>
      </c>
      <c r="F2281" s="20" t="str">
        <f t="shared" ca="1" si="393"/>
        <v>No</v>
      </c>
      <c r="G2281" s="21">
        <f t="shared" ca="1" si="389"/>
        <v>0</v>
      </c>
      <c r="H2281" s="21">
        <f t="shared" ca="1" si="390"/>
        <v>6913.7999539229122</v>
      </c>
      <c r="I2281" s="21">
        <f t="shared" ca="1" si="385"/>
        <v>6916.3338986778163</v>
      </c>
      <c r="J2281" s="20">
        <f t="shared" ca="1" si="394"/>
        <v>2</v>
      </c>
      <c r="K2281" s="20">
        <f t="shared" ca="1" si="386"/>
        <v>2</v>
      </c>
      <c r="L2281" s="44">
        <f t="shared" ca="1" si="391"/>
        <v>2</v>
      </c>
    </row>
    <row r="2282" spans="1:12" x14ac:dyDescent="0.25">
      <c r="A2282" s="20">
        <v>2274</v>
      </c>
      <c r="B2282" s="21">
        <f t="shared" ca="1" si="387"/>
        <v>1.3778050406159128</v>
      </c>
      <c r="C2282" s="21">
        <f t="shared" ca="1" si="392"/>
        <v>6914.9480711282831</v>
      </c>
      <c r="D2282" s="21">
        <f t="shared" ca="1" si="388"/>
        <v>2.6835872978144035</v>
      </c>
      <c r="E2282" s="21">
        <f t="shared" ca="1" si="395"/>
        <v>1.3858275495331327</v>
      </c>
      <c r="F2282" s="20" t="str">
        <f t="shared" ca="1" si="393"/>
        <v>No</v>
      </c>
      <c r="G2282" s="21">
        <f t="shared" ca="1" si="389"/>
        <v>0</v>
      </c>
      <c r="H2282" s="21">
        <f t="shared" ca="1" si="390"/>
        <v>6916.3338986778163</v>
      </c>
      <c r="I2282" s="21">
        <f t="shared" ca="1" si="385"/>
        <v>6919.0174859756307</v>
      </c>
      <c r="J2282" s="20">
        <f t="shared" ca="1" si="394"/>
        <v>3</v>
      </c>
      <c r="K2282" s="20">
        <f t="shared" ca="1" si="386"/>
        <v>2</v>
      </c>
      <c r="L2282" s="44">
        <f t="shared" ca="1" si="391"/>
        <v>2.5</v>
      </c>
    </row>
    <row r="2283" spans="1:12" x14ac:dyDescent="0.25">
      <c r="A2283" s="20">
        <v>2275</v>
      </c>
      <c r="B2283" s="21">
        <f t="shared" ca="1" si="387"/>
        <v>0.84662932602964169</v>
      </c>
      <c r="C2283" s="21">
        <f t="shared" ca="1" si="392"/>
        <v>6915.794700454313</v>
      </c>
      <c r="D2283" s="21">
        <f t="shared" ca="1" si="388"/>
        <v>1.1170673082169817</v>
      </c>
      <c r="E2283" s="21">
        <f t="shared" ca="1" si="395"/>
        <v>3.2227855213177463</v>
      </c>
      <c r="F2283" s="20" t="str">
        <f t="shared" ca="1" si="393"/>
        <v>No</v>
      </c>
      <c r="G2283" s="21">
        <f t="shared" ca="1" si="389"/>
        <v>0</v>
      </c>
      <c r="H2283" s="21">
        <f t="shared" ca="1" si="390"/>
        <v>6919.0174859756307</v>
      </c>
      <c r="I2283" s="21">
        <f t="shared" ca="1" si="385"/>
        <v>6920.1345532838477</v>
      </c>
      <c r="J2283" s="20">
        <f t="shared" ca="1" si="394"/>
        <v>3</v>
      </c>
      <c r="K2283" s="20">
        <f t="shared" ca="1" si="386"/>
        <v>2</v>
      </c>
      <c r="L2283" s="44">
        <f t="shared" ca="1" si="391"/>
        <v>2.5</v>
      </c>
    </row>
    <row r="2284" spans="1:12" x14ac:dyDescent="0.25">
      <c r="A2284" s="20">
        <v>2276</v>
      </c>
      <c r="B2284" s="21">
        <f t="shared" ca="1" si="387"/>
        <v>2.8374981989623165</v>
      </c>
      <c r="C2284" s="21">
        <f t="shared" ca="1" si="392"/>
        <v>6918.6321986532757</v>
      </c>
      <c r="D2284" s="21">
        <f t="shared" ca="1" si="388"/>
        <v>9.6858134469899202</v>
      </c>
      <c r="E2284" s="21">
        <f t="shared" ca="1" si="395"/>
        <v>1.5023546305719719</v>
      </c>
      <c r="F2284" s="20" t="str">
        <f t="shared" ca="1" si="393"/>
        <v>No</v>
      </c>
      <c r="G2284" s="21">
        <f t="shared" ca="1" si="389"/>
        <v>0</v>
      </c>
      <c r="H2284" s="21">
        <f t="shared" ca="1" si="390"/>
        <v>6920.1345532838477</v>
      </c>
      <c r="I2284" s="21">
        <f t="shared" ca="1" si="385"/>
        <v>6929.820366730838</v>
      </c>
      <c r="J2284" s="20">
        <f t="shared" ca="1" si="394"/>
        <v>3</v>
      </c>
      <c r="K2284" s="20">
        <f t="shared" ca="1" si="386"/>
        <v>2</v>
      </c>
      <c r="L2284" s="44">
        <f t="shared" ca="1" si="391"/>
        <v>2.5</v>
      </c>
    </row>
    <row r="2285" spans="1:12" x14ac:dyDescent="0.25">
      <c r="A2285" s="20">
        <v>2277</v>
      </c>
      <c r="B2285" s="21">
        <f t="shared" ca="1" si="387"/>
        <v>1.2459457616423562</v>
      </c>
      <c r="C2285" s="21">
        <f t="shared" ca="1" si="392"/>
        <v>6919.8781444149181</v>
      </c>
      <c r="D2285" s="21">
        <f t="shared" ca="1" si="388"/>
        <v>1.9944892138819916</v>
      </c>
      <c r="E2285" s="21">
        <f t="shared" ca="1" si="395"/>
        <v>9.9422223159199348</v>
      </c>
      <c r="F2285" s="20" t="str">
        <f t="shared" ca="1" si="393"/>
        <v>No</v>
      </c>
      <c r="G2285" s="21">
        <f t="shared" ca="1" si="389"/>
        <v>0</v>
      </c>
      <c r="H2285" s="21">
        <f t="shared" ca="1" si="390"/>
        <v>6929.820366730838</v>
      </c>
      <c r="I2285" s="21">
        <f t="shared" ca="1" si="385"/>
        <v>6931.81485594472</v>
      </c>
      <c r="J2285" s="20">
        <f t="shared" ca="1" si="394"/>
        <v>3</v>
      </c>
      <c r="K2285" s="20">
        <f t="shared" ca="1" si="386"/>
        <v>1</v>
      </c>
      <c r="L2285" s="44">
        <f t="shared" ca="1" si="391"/>
        <v>2</v>
      </c>
    </row>
    <row r="2286" spans="1:12" x14ac:dyDescent="0.25">
      <c r="A2286" s="20">
        <v>2278</v>
      </c>
      <c r="B2286" s="21">
        <f t="shared" ca="1" si="387"/>
        <v>0.79238444619138482</v>
      </c>
      <c r="C2286" s="21">
        <f t="shared" ca="1" si="392"/>
        <v>6920.6705288611092</v>
      </c>
      <c r="D2286" s="21">
        <f t="shared" ca="1" si="388"/>
        <v>7.021482893668832</v>
      </c>
      <c r="E2286" s="21">
        <f t="shared" ca="1" si="395"/>
        <v>11.144327083610733</v>
      </c>
      <c r="F2286" s="20" t="str">
        <f t="shared" ca="1" si="393"/>
        <v>No</v>
      </c>
      <c r="G2286" s="21">
        <f t="shared" ca="1" si="389"/>
        <v>0</v>
      </c>
      <c r="H2286" s="21">
        <f t="shared" ca="1" si="390"/>
        <v>6931.81485594472</v>
      </c>
      <c r="I2286" s="21">
        <f t="shared" ca="1" si="385"/>
        <v>6938.8363388383887</v>
      </c>
      <c r="J2286" s="20">
        <f t="shared" ca="1" si="394"/>
        <v>2</v>
      </c>
      <c r="K2286" s="20">
        <f t="shared" ca="1" si="386"/>
        <v>0</v>
      </c>
      <c r="L2286" s="44">
        <f t="shared" ca="1" si="391"/>
        <v>1</v>
      </c>
    </row>
    <row r="2287" spans="1:12" x14ac:dyDescent="0.25">
      <c r="A2287" s="20">
        <v>2279</v>
      </c>
      <c r="B2287" s="21">
        <f t="shared" ca="1" si="387"/>
        <v>25.468387954889753</v>
      </c>
      <c r="C2287" s="21">
        <f t="shared" ca="1" si="392"/>
        <v>6946.1389168159994</v>
      </c>
      <c r="D2287" s="21">
        <f t="shared" ca="1" si="388"/>
        <v>5.636235021187793</v>
      </c>
      <c r="E2287" s="21">
        <f t="shared" ca="1" si="395"/>
        <v>0</v>
      </c>
      <c r="F2287" s="20" t="str">
        <f t="shared" ca="1" si="393"/>
        <v>Yes</v>
      </c>
      <c r="G2287" s="21">
        <f t="shared" ca="1" si="389"/>
        <v>7.3025779776107811</v>
      </c>
      <c r="H2287" s="21">
        <f t="shared" ca="1" si="390"/>
        <v>6946.1389168159994</v>
      </c>
      <c r="I2287" s="21">
        <f t="shared" ca="1" si="385"/>
        <v>6951.775151837187</v>
      </c>
      <c r="J2287" s="20">
        <f t="shared" ca="1" si="394"/>
        <v>0</v>
      </c>
      <c r="K2287" s="20">
        <f t="shared" ca="1" si="386"/>
        <v>2</v>
      </c>
      <c r="L2287" s="44">
        <f t="shared" ca="1" si="391"/>
        <v>1</v>
      </c>
    </row>
    <row r="2288" spans="1:12" x14ac:dyDescent="0.25">
      <c r="A2288" s="20">
        <v>2280</v>
      </c>
      <c r="B2288" s="21">
        <f t="shared" ca="1" si="387"/>
        <v>0.30582006397456146</v>
      </c>
      <c r="C2288" s="21">
        <f t="shared" ca="1" si="392"/>
        <v>6946.4447368799738</v>
      </c>
      <c r="D2288" s="21">
        <f t="shared" ca="1" si="388"/>
        <v>0.38048876692901623</v>
      </c>
      <c r="E2288" s="21">
        <f t="shared" ca="1" si="395"/>
        <v>5.3304149572131792</v>
      </c>
      <c r="F2288" s="20" t="str">
        <f t="shared" ca="1" si="393"/>
        <v>No</v>
      </c>
      <c r="G2288" s="21">
        <f t="shared" ca="1" si="389"/>
        <v>0</v>
      </c>
      <c r="H2288" s="21">
        <f t="shared" ca="1" si="390"/>
        <v>6951.775151837187</v>
      </c>
      <c r="I2288" s="21">
        <f t="shared" ca="1" si="385"/>
        <v>6952.1556406041163</v>
      </c>
      <c r="J2288" s="20">
        <f t="shared" ca="1" si="394"/>
        <v>3</v>
      </c>
      <c r="K2288" s="20">
        <f t="shared" ca="1" si="386"/>
        <v>1</v>
      </c>
      <c r="L2288" s="44">
        <f t="shared" ca="1" si="391"/>
        <v>2</v>
      </c>
    </row>
    <row r="2289" spans="1:12" x14ac:dyDescent="0.25">
      <c r="A2289" s="20">
        <v>2281</v>
      </c>
      <c r="B2289" s="21">
        <f t="shared" ca="1" si="387"/>
        <v>1.0514943515893784</v>
      </c>
      <c r="C2289" s="21">
        <f t="shared" ca="1" si="392"/>
        <v>6947.4962312315629</v>
      </c>
      <c r="D2289" s="21">
        <f t="shared" ca="1" si="388"/>
        <v>0.45997174147455283</v>
      </c>
      <c r="E2289" s="21">
        <f t="shared" ca="1" si="395"/>
        <v>4.6594093725534549</v>
      </c>
      <c r="F2289" s="20" t="str">
        <f t="shared" ca="1" si="393"/>
        <v>No</v>
      </c>
      <c r="G2289" s="21">
        <f t="shared" ca="1" si="389"/>
        <v>0</v>
      </c>
      <c r="H2289" s="21">
        <f t="shared" ca="1" si="390"/>
        <v>6952.1556406041163</v>
      </c>
      <c r="I2289" s="21">
        <f t="shared" ca="1" si="385"/>
        <v>6952.6156123455912</v>
      </c>
      <c r="J2289" s="20">
        <f t="shared" ca="1" si="394"/>
        <v>2</v>
      </c>
      <c r="K2289" s="20">
        <f t="shared" ca="1" si="386"/>
        <v>0</v>
      </c>
      <c r="L2289" s="44">
        <f t="shared" ca="1" si="391"/>
        <v>1</v>
      </c>
    </row>
    <row r="2290" spans="1:12" x14ac:dyDescent="0.25">
      <c r="A2290" s="20">
        <v>2282</v>
      </c>
      <c r="B2290" s="21">
        <f t="shared" ca="1" si="387"/>
        <v>10.356109870275848</v>
      </c>
      <c r="C2290" s="21">
        <f t="shared" ca="1" si="392"/>
        <v>6957.8523411018386</v>
      </c>
      <c r="D2290" s="21">
        <f t="shared" ca="1" si="388"/>
        <v>3.5666951968410565</v>
      </c>
      <c r="E2290" s="21">
        <f t="shared" ca="1" si="395"/>
        <v>0</v>
      </c>
      <c r="F2290" s="20" t="str">
        <f t="shared" ca="1" si="393"/>
        <v>Yes</v>
      </c>
      <c r="G2290" s="21">
        <f t="shared" ca="1" si="389"/>
        <v>5.2367287562474303</v>
      </c>
      <c r="H2290" s="21">
        <f t="shared" ca="1" si="390"/>
        <v>6957.8523411018386</v>
      </c>
      <c r="I2290" s="21">
        <f t="shared" ca="1" si="385"/>
        <v>6961.4190362986801</v>
      </c>
      <c r="J2290" s="20">
        <f t="shared" ca="1" si="394"/>
        <v>0</v>
      </c>
      <c r="K2290" s="20">
        <f t="shared" ca="1" si="386"/>
        <v>3</v>
      </c>
      <c r="L2290" s="44">
        <f t="shared" ca="1" si="391"/>
        <v>1.5</v>
      </c>
    </row>
    <row r="2291" spans="1:12" x14ac:dyDescent="0.25">
      <c r="A2291" s="20">
        <v>2283</v>
      </c>
      <c r="B2291" s="21">
        <f t="shared" ca="1" si="387"/>
        <v>0.67871508937835057</v>
      </c>
      <c r="C2291" s="21">
        <f t="shared" ca="1" si="392"/>
        <v>6958.5310561912174</v>
      </c>
      <c r="D2291" s="21">
        <f t="shared" ca="1" si="388"/>
        <v>1.406023365352173</v>
      </c>
      <c r="E2291" s="21">
        <f t="shared" ca="1" si="395"/>
        <v>2.8879801074626812</v>
      </c>
      <c r="F2291" s="20" t="str">
        <f t="shared" ca="1" si="393"/>
        <v>No</v>
      </c>
      <c r="G2291" s="21">
        <f t="shared" ca="1" si="389"/>
        <v>0</v>
      </c>
      <c r="H2291" s="21">
        <f t="shared" ca="1" si="390"/>
        <v>6961.4190362986801</v>
      </c>
      <c r="I2291" s="21">
        <f t="shared" ca="1" si="385"/>
        <v>6962.8250596640319</v>
      </c>
      <c r="J2291" s="20">
        <f t="shared" ca="1" si="394"/>
        <v>4</v>
      </c>
      <c r="K2291" s="20">
        <f t="shared" ca="1" si="386"/>
        <v>3</v>
      </c>
      <c r="L2291" s="44">
        <f t="shared" ca="1" si="391"/>
        <v>3.5</v>
      </c>
    </row>
    <row r="2292" spans="1:12" x14ac:dyDescent="0.25">
      <c r="A2292" s="20">
        <v>2284</v>
      </c>
      <c r="B2292" s="21">
        <f t="shared" ca="1" si="387"/>
        <v>1.210786337466077</v>
      </c>
      <c r="C2292" s="21">
        <f t="shared" ca="1" si="392"/>
        <v>6959.7418425286833</v>
      </c>
      <c r="D2292" s="21">
        <f t="shared" ca="1" si="388"/>
        <v>1.4663176818414865</v>
      </c>
      <c r="E2292" s="21">
        <f t="shared" ca="1" si="395"/>
        <v>3.0832171353486046</v>
      </c>
      <c r="F2292" s="20" t="str">
        <f t="shared" ca="1" si="393"/>
        <v>No</v>
      </c>
      <c r="G2292" s="21">
        <f t="shared" ca="1" si="389"/>
        <v>0</v>
      </c>
      <c r="H2292" s="21">
        <f t="shared" ca="1" si="390"/>
        <v>6962.8250596640319</v>
      </c>
      <c r="I2292" s="21">
        <f t="shared" ca="1" si="385"/>
        <v>6964.2913773458731</v>
      </c>
      <c r="J2292" s="20">
        <f t="shared" ca="1" si="394"/>
        <v>4</v>
      </c>
      <c r="K2292" s="20">
        <f t="shared" ca="1" si="386"/>
        <v>2</v>
      </c>
      <c r="L2292" s="44">
        <f t="shared" ca="1" si="391"/>
        <v>3</v>
      </c>
    </row>
    <row r="2293" spans="1:12" x14ac:dyDescent="0.25">
      <c r="A2293" s="20">
        <v>2285</v>
      </c>
      <c r="B2293" s="21">
        <f t="shared" ca="1" si="387"/>
        <v>0.6951823468880548</v>
      </c>
      <c r="C2293" s="21">
        <f t="shared" ca="1" si="392"/>
        <v>6960.4370248755713</v>
      </c>
      <c r="D2293" s="21">
        <f t="shared" ca="1" si="388"/>
        <v>1.8220838280437994</v>
      </c>
      <c r="E2293" s="21">
        <f t="shared" ca="1" si="395"/>
        <v>3.8543524703018193</v>
      </c>
      <c r="F2293" s="20" t="str">
        <f t="shared" ca="1" si="393"/>
        <v>No</v>
      </c>
      <c r="G2293" s="21">
        <f t="shared" ca="1" si="389"/>
        <v>0</v>
      </c>
      <c r="H2293" s="21">
        <f t="shared" ca="1" si="390"/>
        <v>6964.2913773458731</v>
      </c>
      <c r="I2293" s="21">
        <f t="shared" ca="1" si="385"/>
        <v>6966.1134611739171</v>
      </c>
      <c r="J2293" s="20">
        <f t="shared" ca="1" si="394"/>
        <v>3</v>
      </c>
      <c r="K2293" s="20">
        <f t="shared" ca="1" si="386"/>
        <v>1</v>
      </c>
      <c r="L2293" s="44">
        <f t="shared" ca="1" si="391"/>
        <v>2</v>
      </c>
    </row>
    <row r="2294" spans="1:12" x14ac:dyDescent="0.25">
      <c r="A2294" s="20">
        <v>2286</v>
      </c>
      <c r="B2294" s="21">
        <f t="shared" ca="1" si="387"/>
        <v>1.061071031767669</v>
      </c>
      <c r="C2294" s="21">
        <f t="shared" ca="1" si="392"/>
        <v>6961.4980959073391</v>
      </c>
      <c r="D2294" s="21">
        <f t="shared" ca="1" si="388"/>
        <v>0.86593298603559632</v>
      </c>
      <c r="E2294" s="21">
        <f t="shared" ca="1" si="395"/>
        <v>4.6153652665780101</v>
      </c>
      <c r="F2294" s="20" t="str">
        <f t="shared" ca="1" si="393"/>
        <v>No</v>
      </c>
      <c r="G2294" s="21">
        <f t="shared" ca="1" si="389"/>
        <v>0</v>
      </c>
      <c r="H2294" s="21">
        <f t="shared" ca="1" si="390"/>
        <v>6966.1134611739171</v>
      </c>
      <c r="I2294" s="21">
        <f t="shared" ca="1" si="385"/>
        <v>6966.9793941599528</v>
      </c>
      <c r="J2294" s="20">
        <f t="shared" ca="1" si="394"/>
        <v>2</v>
      </c>
      <c r="K2294" s="20">
        <f t="shared" ca="1" si="386"/>
        <v>0</v>
      </c>
      <c r="L2294" s="44">
        <f t="shared" ca="1" si="391"/>
        <v>1</v>
      </c>
    </row>
    <row r="2295" spans="1:12" x14ac:dyDescent="0.25">
      <c r="A2295" s="20">
        <v>2287</v>
      </c>
      <c r="B2295" s="21">
        <f t="shared" ca="1" si="387"/>
        <v>10.895532714599938</v>
      </c>
      <c r="C2295" s="21">
        <f t="shared" ca="1" si="392"/>
        <v>6972.3936286219387</v>
      </c>
      <c r="D2295" s="21">
        <f t="shared" ca="1" si="388"/>
        <v>1.0743572113370763</v>
      </c>
      <c r="E2295" s="21">
        <f t="shared" ca="1" si="395"/>
        <v>0</v>
      </c>
      <c r="F2295" s="20" t="str">
        <f t="shared" ca="1" si="393"/>
        <v>Yes</v>
      </c>
      <c r="G2295" s="21">
        <f t="shared" ca="1" si="389"/>
        <v>5.4142344619858704</v>
      </c>
      <c r="H2295" s="21">
        <f t="shared" ca="1" si="390"/>
        <v>6972.3936286219387</v>
      </c>
      <c r="I2295" s="21">
        <f t="shared" ca="1" si="385"/>
        <v>6973.4679858332756</v>
      </c>
      <c r="J2295" s="20">
        <f t="shared" ca="1" si="394"/>
        <v>0</v>
      </c>
      <c r="K2295" s="20">
        <f t="shared" ca="1" si="386"/>
        <v>2</v>
      </c>
      <c r="L2295" s="44">
        <f t="shared" ca="1" si="391"/>
        <v>1</v>
      </c>
    </row>
    <row r="2296" spans="1:12" x14ac:dyDescent="0.25">
      <c r="A2296" s="20">
        <v>2288</v>
      </c>
      <c r="B2296" s="21">
        <f t="shared" ca="1" si="387"/>
        <v>7.1436068153183527E-2</v>
      </c>
      <c r="C2296" s="21">
        <f t="shared" ca="1" si="392"/>
        <v>6972.4650646900918</v>
      </c>
      <c r="D2296" s="21">
        <f t="shared" ca="1" si="388"/>
        <v>5.429247692500609</v>
      </c>
      <c r="E2296" s="21">
        <f t="shared" ca="1" si="395"/>
        <v>1.0029211431838121</v>
      </c>
      <c r="F2296" s="20" t="str">
        <f t="shared" ca="1" si="393"/>
        <v>No</v>
      </c>
      <c r="G2296" s="21">
        <f t="shared" ca="1" si="389"/>
        <v>0</v>
      </c>
      <c r="H2296" s="21">
        <f t="shared" ca="1" si="390"/>
        <v>6973.4679858332756</v>
      </c>
      <c r="I2296" s="21">
        <f t="shared" ca="1" si="385"/>
        <v>6978.8972335257758</v>
      </c>
      <c r="J2296" s="20">
        <f t="shared" ca="1" si="394"/>
        <v>3</v>
      </c>
      <c r="K2296" s="20">
        <f t="shared" ca="1" si="386"/>
        <v>5</v>
      </c>
      <c r="L2296" s="44">
        <f t="shared" ca="1" si="391"/>
        <v>4</v>
      </c>
    </row>
    <row r="2297" spans="1:12" x14ac:dyDescent="0.25">
      <c r="A2297" s="20">
        <v>2289</v>
      </c>
      <c r="B2297" s="21">
        <f t="shared" ca="1" si="387"/>
        <v>0.83447263110594194</v>
      </c>
      <c r="C2297" s="21">
        <f t="shared" ca="1" si="392"/>
        <v>6973.2995373211979</v>
      </c>
      <c r="D2297" s="21">
        <f t="shared" ca="1" si="388"/>
        <v>0.29518092882931685</v>
      </c>
      <c r="E2297" s="21">
        <f t="shared" ca="1" si="395"/>
        <v>5.5976962045779146</v>
      </c>
      <c r="F2297" s="20" t="str">
        <f t="shared" ca="1" si="393"/>
        <v>No</v>
      </c>
      <c r="G2297" s="21">
        <f t="shared" ca="1" si="389"/>
        <v>0</v>
      </c>
      <c r="H2297" s="21">
        <f t="shared" ca="1" si="390"/>
        <v>6978.8972335257758</v>
      </c>
      <c r="I2297" s="21">
        <f t="shared" ca="1" si="385"/>
        <v>6979.1924144546056</v>
      </c>
      <c r="J2297" s="20">
        <f t="shared" ca="1" si="394"/>
        <v>6</v>
      </c>
      <c r="K2297" s="20">
        <f t="shared" ca="1" si="386"/>
        <v>4</v>
      </c>
      <c r="L2297" s="44">
        <f t="shared" ca="1" si="391"/>
        <v>5</v>
      </c>
    </row>
    <row r="2298" spans="1:12" x14ac:dyDescent="0.25">
      <c r="A2298" s="20">
        <v>2290</v>
      </c>
      <c r="B2298" s="21">
        <f t="shared" ca="1" si="387"/>
        <v>4.1938657259531515</v>
      </c>
      <c r="C2298" s="21">
        <f t="shared" ca="1" si="392"/>
        <v>6977.4934030471513</v>
      </c>
      <c r="D2298" s="21">
        <f t="shared" ca="1" si="388"/>
        <v>3.725386329635004</v>
      </c>
      <c r="E2298" s="21">
        <f t="shared" ca="1" si="395"/>
        <v>1.6990114074542362</v>
      </c>
      <c r="F2298" s="20" t="str">
        <f t="shared" ca="1" si="393"/>
        <v>No</v>
      </c>
      <c r="G2298" s="21">
        <f t="shared" ca="1" si="389"/>
        <v>0</v>
      </c>
      <c r="H2298" s="21">
        <f t="shared" ca="1" si="390"/>
        <v>6979.1924144546056</v>
      </c>
      <c r="I2298" s="21">
        <f t="shared" ca="1" si="385"/>
        <v>6982.9178007842402</v>
      </c>
      <c r="J2298" s="20">
        <f t="shared" ca="1" si="394"/>
        <v>5</v>
      </c>
      <c r="K2298" s="20">
        <f t="shared" ca="1" si="386"/>
        <v>5</v>
      </c>
      <c r="L2298" s="44">
        <f t="shared" ca="1" si="391"/>
        <v>5</v>
      </c>
    </row>
    <row r="2299" spans="1:12" x14ac:dyDescent="0.25">
      <c r="A2299" s="20">
        <v>2291</v>
      </c>
      <c r="B2299" s="21">
        <f t="shared" ca="1" si="387"/>
        <v>0.15847476004759972</v>
      </c>
      <c r="C2299" s="21">
        <f t="shared" ca="1" si="392"/>
        <v>6977.6518778071986</v>
      </c>
      <c r="D2299" s="21">
        <f t="shared" ca="1" si="388"/>
        <v>4.8314278030068643</v>
      </c>
      <c r="E2299" s="21">
        <f t="shared" ca="1" si="395"/>
        <v>5.265922977041555</v>
      </c>
      <c r="F2299" s="20" t="str">
        <f t="shared" ca="1" si="393"/>
        <v>No</v>
      </c>
      <c r="G2299" s="21">
        <f t="shared" ca="1" si="389"/>
        <v>0</v>
      </c>
      <c r="H2299" s="21">
        <f t="shared" ca="1" si="390"/>
        <v>6982.9178007842402</v>
      </c>
      <c r="I2299" s="21">
        <f t="shared" ca="1" si="385"/>
        <v>6987.7492285872468</v>
      </c>
      <c r="J2299" s="20">
        <f t="shared" ca="1" si="394"/>
        <v>6</v>
      </c>
      <c r="K2299" s="20">
        <f t="shared" ca="1" si="386"/>
        <v>5</v>
      </c>
      <c r="L2299" s="44">
        <f t="shared" ca="1" si="391"/>
        <v>5.5</v>
      </c>
    </row>
    <row r="2300" spans="1:12" x14ac:dyDescent="0.25">
      <c r="A2300" s="20">
        <v>2292</v>
      </c>
      <c r="B2300" s="21">
        <f t="shared" ca="1" si="387"/>
        <v>0.54638091694882995</v>
      </c>
      <c r="C2300" s="21">
        <f t="shared" ca="1" si="392"/>
        <v>6978.1982587241473</v>
      </c>
      <c r="D2300" s="21">
        <f t="shared" ca="1" si="388"/>
        <v>2.0385732540992474</v>
      </c>
      <c r="E2300" s="21">
        <f t="shared" ca="1" si="395"/>
        <v>9.5509698630994535</v>
      </c>
      <c r="F2300" s="20" t="str">
        <f t="shared" ca="1" si="393"/>
        <v>No</v>
      </c>
      <c r="G2300" s="21">
        <f t="shared" ca="1" si="389"/>
        <v>0</v>
      </c>
      <c r="H2300" s="21">
        <f t="shared" ca="1" si="390"/>
        <v>6987.7492285872468</v>
      </c>
      <c r="I2300" s="21">
        <f t="shared" ca="1" si="385"/>
        <v>6989.7878018413458</v>
      </c>
      <c r="J2300" s="20">
        <f t="shared" ca="1" si="394"/>
        <v>6</v>
      </c>
      <c r="K2300" s="20">
        <f t="shared" ca="1" si="386"/>
        <v>5</v>
      </c>
      <c r="L2300" s="44">
        <f t="shared" ca="1" si="391"/>
        <v>5.5</v>
      </c>
    </row>
    <row r="2301" spans="1:12" x14ac:dyDescent="0.25">
      <c r="A2301" s="20">
        <v>2293</v>
      </c>
      <c r="B2301" s="21">
        <f t="shared" ca="1" si="387"/>
        <v>0.50030023092137899</v>
      </c>
      <c r="C2301" s="21">
        <f t="shared" ca="1" si="392"/>
        <v>6978.6985589550686</v>
      </c>
      <c r="D2301" s="21">
        <f t="shared" ca="1" si="388"/>
        <v>2.5310213146426412</v>
      </c>
      <c r="E2301" s="21">
        <f t="shared" ca="1" si="395"/>
        <v>11.089242886277134</v>
      </c>
      <c r="F2301" s="20" t="str">
        <f t="shared" ca="1" si="393"/>
        <v>No</v>
      </c>
      <c r="G2301" s="21">
        <f t="shared" ca="1" si="389"/>
        <v>0</v>
      </c>
      <c r="H2301" s="21">
        <f t="shared" ca="1" si="390"/>
        <v>6989.7878018413458</v>
      </c>
      <c r="I2301" s="21">
        <f t="shared" ca="1" si="385"/>
        <v>6992.318823155988</v>
      </c>
      <c r="J2301" s="20">
        <f t="shared" ca="1" si="394"/>
        <v>6</v>
      </c>
      <c r="K2301" s="20">
        <f t="shared" ca="1" si="386"/>
        <v>5</v>
      </c>
      <c r="L2301" s="44">
        <f t="shared" ca="1" si="391"/>
        <v>5.5</v>
      </c>
    </row>
    <row r="2302" spans="1:12" x14ac:dyDescent="0.25">
      <c r="A2302" s="20">
        <v>2294</v>
      </c>
      <c r="B2302" s="21">
        <f t="shared" ca="1" si="387"/>
        <v>0.86587428805405875</v>
      </c>
      <c r="C2302" s="21">
        <f t="shared" ca="1" si="392"/>
        <v>6979.5644332431229</v>
      </c>
      <c r="D2302" s="21">
        <f t="shared" ca="1" si="388"/>
        <v>2.285977721971558</v>
      </c>
      <c r="E2302" s="21">
        <f t="shared" ca="1" si="395"/>
        <v>12.754389912865008</v>
      </c>
      <c r="F2302" s="20" t="str">
        <f t="shared" ca="1" si="393"/>
        <v>No</v>
      </c>
      <c r="G2302" s="21">
        <f t="shared" ca="1" si="389"/>
        <v>0</v>
      </c>
      <c r="H2302" s="21">
        <f t="shared" ca="1" si="390"/>
        <v>6992.318823155988</v>
      </c>
      <c r="I2302" s="21">
        <f t="shared" ca="1" si="385"/>
        <v>6994.6048008779599</v>
      </c>
      <c r="J2302" s="20">
        <f t="shared" ca="1" si="394"/>
        <v>6</v>
      </c>
      <c r="K2302" s="20">
        <f t="shared" ca="1" si="386"/>
        <v>5</v>
      </c>
      <c r="L2302" s="44">
        <f t="shared" ca="1" si="391"/>
        <v>5.5</v>
      </c>
    </row>
    <row r="2303" spans="1:12" x14ac:dyDescent="0.25">
      <c r="A2303" s="20">
        <v>2295</v>
      </c>
      <c r="B2303" s="21">
        <f t="shared" ca="1" si="387"/>
        <v>2.8502790527741184</v>
      </c>
      <c r="C2303" s="21">
        <f t="shared" ca="1" si="392"/>
        <v>6982.4147122958975</v>
      </c>
      <c r="D2303" s="21">
        <f t="shared" ca="1" si="388"/>
        <v>0.53798599767300037</v>
      </c>
      <c r="E2303" s="21">
        <f t="shared" ca="1" si="395"/>
        <v>12.190088582062344</v>
      </c>
      <c r="F2303" s="20" t="str">
        <f t="shared" ca="1" si="393"/>
        <v>No</v>
      </c>
      <c r="G2303" s="21">
        <f t="shared" ca="1" si="389"/>
        <v>0</v>
      </c>
      <c r="H2303" s="21">
        <f t="shared" ca="1" si="390"/>
        <v>6994.6048008779599</v>
      </c>
      <c r="I2303" s="21">
        <f t="shared" ca="1" si="385"/>
        <v>6995.1427868756327</v>
      </c>
      <c r="J2303" s="20">
        <f t="shared" ca="1" si="394"/>
        <v>6</v>
      </c>
      <c r="K2303" s="20">
        <f t="shared" ca="1" si="386"/>
        <v>5</v>
      </c>
      <c r="L2303" s="44">
        <f t="shared" ca="1" si="391"/>
        <v>5.5</v>
      </c>
    </row>
    <row r="2304" spans="1:12" x14ac:dyDescent="0.25">
      <c r="A2304" s="20">
        <v>2296</v>
      </c>
      <c r="B2304" s="21">
        <f t="shared" ca="1" si="387"/>
        <v>1.6822352698982745</v>
      </c>
      <c r="C2304" s="21">
        <f t="shared" ca="1" si="392"/>
        <v>6984.0969475657957</v>
      </c>
      <c r="D2304" s="21">
        <f t="shared" ca="1" si="388"/>
        <v>2.3680391239422074E-3</v>
      </c>
      <c r="E2304" s="21">
        <f t="shared" ca="1" si="395"/>
        <v>11.045839309836992</v>
      </c>
      <c r="F2304" s="20" t="str">
        <f t="shared" ca="1" si="393"/>
        <v>No</v>
      </c>
      <c r="G2304" s="21">
        <f t="shared" ca="1" si="389"/>
        <v>0</v>
      </c>
      <c r="H2304" s="21">
        <f t="shared" ca="1" si="390"/>
        <v>6995.1427868756327</v>
      </c>
      <c r="I2304" s="21">
        <f t="shared" ca="1" si="385"/>
        <v>6995.1451549147569</v>
      </c>
      <c r="J2304" s="20">
        <f t="shared" ca="1" si="394"/>
        <v>6</v>
      </c>
      <c r="K2304" s="20">
        <f t="shared" ca="1" si="386"/>
        <v>4</v>
      </c>
      <c r="L2304" s="44">
        <f t="shared" ca="1" si="391"/>
        <v>5</v>
      </c>
    </row>
    <row r="2305" spans="1:12" x14ac:dyDescent="0.25">
      <c r="A2305" s="20">
        <v>2297</v>
      </c>
      <c r="B2305" s="21">
        <f t="shared" ca="1" si="387"/>
        <v>0.66794975071549745</v>
      </c>
      <c r="C2305" s="21">
        <f t="shared" ca="1" si="392"/>
        <v>6984.7648973165115</v>
      </c>
      <c r="D2305" s="21">
        <f t="shared" ca="1" si="388"/>
        <v>0.46352854022744788</v>
      </c>
      <c r="E2305" s="21">
        <f t="shared" ca="1" si="395"/>
        <v>10.380257598245407</v>
      </c>
      <c r="F2305" s="20" t="str">
        <f t="shared" ca="1" si="393"/>
        <v>No</v>
      </c>
      <c r="G2305" s="21">
        <f t="shared" ca="1" si="389"/>
        <v>0</v>
      </c>
      <c r="H2305" s="21">
        <f t="shared" ca="1" si="390"/>
        <v>6995.1451549147569</v>
      </c>
      <c r="I2305" s="21">
        <f t="shared" ca="1" si="385"/>
        <v>6995.6086834549842</v>
      </c>
      <c r="J2305" s="20">
        <f t="shared" ca="1" si="394"/>
        <v>5</v>
      </c>
      <c r="K2305" s="20">
        <f t="shared" ca="1" si="386"/>
        <v>3</v>
      </c>
      <c r="L2305" s="44">
        <f t="shared" ca="1" si="391"/>
        <v>4</v>
      </c>
    </row>
    <row r="2306" spans="1:12" x14ac:dyDescent="0.25">
      <c r="A2306" s="20">
        <v>2298</v>
      </c>
      <c r="B2306" s="21">
        <f t="shared" ca="1" si="387"/>
        <v>0.45951828389204907</v>
      </c>
      <c r="C2306" s="21">
        <f t="shared" ca="1" si="392"/>
        <v>6985.2244156004035</v>
      </c>
      <c r="D2306" s="21">
        <f t="shared" ca="1" si="388"/>
        <v>2.0540310879996744</v>
      </c>
      <c r="E2306" s="21">
        <f t="shared" ca="1" si="395"/>
        <v>10.384267854580685</v>
      </c>
      <c r="F2306" s="20" t="str">
        <f t="shared" ca="1" si="393"/>
        <v>No</v>
      </c>
      <c r="G2306" s="21">
        <f t="shared" ca="1" si="389"/>
        <v>0</v>
      </c>
      <c r="H2306" s="21">
        <f t="shared" ca="1" si="390"/>
        <v>6995.6086834549842</v>
      </c>
      <c r="I2306" s="21">
        <f t="shared" ca="1" si="385"/>
        <v>6997.6627145429838</v>
      </c>
      <c r="J2306" s="20">
        <f t="shared" ca="1" si="394"/>
        <v>4</v>
      </c>
      <c r="K2306" s="20">
        <f t="shared" ca="1" si="386"/>
        <v>3</v>
      </c>
      <c r="L2306" s="44">
        <f t="shared" ca="1" si="391"/>
        <v>3.5</v>
      </c>
    </row>
    <row r="2307" spans="1:12" x14ac:dyDescent="0.25">
      <c r="A2307" s="20">
        <v>2299</v>
      </c>
      <c r="B2307" s="21">
        <f t="shared" ca="1" si="387"/>
        <v>0.15943751780426876</v>
      </c>
      <c r="C2307" s="21">
        <f t="shared" ca="1" si="392"/>
        <v>6985.3838531182082</v>
      </c>
      <c r="D2307" s="21">
        <f t="shared" ca="1" si="388"/>
        <v>0.94112690081886674</v>
      </c>
      <c r="E2307" s="21">
        <f t="shared" ca="1" si="395"/>
        <v>12.278861424775641</v>
      </c>
      <c r="F2307" s="20" t="str">
        <f t="shared" ca="1" si="393"/>
        <v>No</v>
      </c>
      <c r="G2307" s="21">
        <f t="shared" ca="1" si="389"/>
        <v>0</v>
      </c>
      <c r="H2307" s="21">
        <f t="shared" ca="1" si="390"/>
        <v>6997.6627145429838</v>
      </c>
      <c r="I2307" s="21">
        <f t="shared" ca="1" si="385"/>
        <v>6998.6038414438026</v>
      </c>
      <c r="J2307" s="20">
        <f t="shared" ca="1" si="394"/>
        <v>4</v>
      </c>
      <c r="K2307" s="20">
        <f t="shared" ca="1" si="386"/>
        <v>2</v>
      </c>
      <c r="L2307" s="44">
        <f t="shared" ca="1" si="391"/>
        <v>3</v>
      </c>
    </row>
    <row r="2308" spans="1:12" x14ac:dyDescent="0.25">
      <c r="A2308" s="20">
        <v>2300</v>
      </c>
      <c r="B2308" s="21">
        <f t="shared" ca="1" si="387"/>
        <v>2.6695229491283028</v>
      </c>
      <c r="C2308" s="21">
        <f t="shared" ca="1" si="392"/>
        <v>6988.0533760673361</v>
      </c>
      <c r="D2308" s="21">
        <f t="shared" ca="1" si="388"/>
        <v>0.54731748769144684</v>
      </c>
      <c r="E2308" s="21">
        <f t="shared" ca="1" si="395"/>
        <v>10.550465376466491</v>
      </c>
      <c r="F2308" s="20" t="str">
        <f t="shared" ca="1" si="393"/>
        <v>No</v>
      </c>
      <c r="G2308" s="21">
        <f t="shared" ca="1" si="389"/>
        <v>0</v>
      </c>
      <c r="H2308" s="21">
        <f t="shared" ca="1" si="390"/>
        <v>6998.6038414438026</v>
      </c>
      <c r="I2308" s="21">
        <f t="shared" ca="1" si="385"/>
        <v>6999.1511589314941</v>
      </c>
      <c r="J2308" s="20">
        <f t="shared" ca="1" si="394"/>
        <v>3</v>
      </c>
      <c r="K2308" s="20">
        <f t="shared" ca="1" si="386"/>
        <v>1</v>
      </c>
      <c r="L2308" s="44">
        <f t="shared" ca="1" si="391"/>
        <v>2</v>
      </c>
    </row>
    <row r="2309" spans="1:12" x14ac:dyDescent="0.25">
      <c r="A2309" s="20">
        <v>2301</v>
      </c>
      <c r="B2309" s="21">
        <f t="shared" ca="1" si="387"/>
        <v>9.2180394882516055</v>
      </c>
      <c r="C2309" s="21">
        <f t="shared" ca="1" si="392"/>
        <v>6997.2714155555877</v>
      </c>
      <c r="D2309" s="21">
        <f t="shared" ca="1" si="388"/>
        <v>3.555476096733178</v>
      </c>
      <c r="E2309" s="21">
        <f t="shared" ca="1" si="395"/>
        <v>1.8797433759064006</v>
      </c>
      <c r="F2309" s="20" t="str">
        <f t="shared" ca="1" si="393"/>
        <v>No</v>
      </c>
      <c r="G2309" s="21">
        <f t="shared" ca="1" si="389"/>
        <v>0</v>
      </c>
      <c r="H2309" s="21">
        <f t="shared" ca="1" si="390"/>
        <v>6999.1511589314941</v>
      </c>
      <c r="I2309" s="21">
        <f t="shared" ca="1" si="385"/>
        <v>7002.7066350282275</v>
      </c>
      <c r="J2309" s="20">
        <f t="shared" ca="1" si="394"/>
        <v>2</v>
      </c>
      <c r="K2309" s="20">
        <f t="shared" ca="1" si="386"/>
        <v>1</v>
      </c>
      <c r="L2309" s="44">
        <f t="shared" ca="1" si="391"/>
        <v>1.5</v>
      </c>
    </row>
    <row r="2310" spans="1:12" x14ac:dyDescent="0.25">
      <c r="A2310" s="20">
        <v>2302</v>
      </c>
      <c r="B2310" s="21">
        <f t="shared" ca="1" si="387"/>
        <v>5.188992421935966</v>
      </c>
      <c r="C2310" s="21">
        <f t="shared" ca="1" si="392"/>
        <v>7002.4604079775236</v>
      </c>
      <c r="D2310" s="21">
        <f t="shared" ca="1" si="388"/>
        <v>2.6704543474867086</v>
      </c>
      <c r="E2310" s="21">
        <f t="shared" ca="1" si="395"/>
        <v>0.24622705070396478</v>
      </c>
      <c r="F2310" s="20" t="str">
        <f t="shared" ca="1" si="393"/>
        <v>No</v>
      </c>
      <c r="G2310" s="21">
        <f t="shared" ca="1" si="389"/>
        <v>0</v>
      </c>
      <c r="H2310" s="21">
        <f t="shared" ca="1" si="390"/>
        <v>7002.7066350282275</v>
      </c>
      <c r="I2310" s="21">
        <f t="shared" ca="1" si="385"/>
        <v>7005.3770893757146</v>
      </c>
      <c r="J2310" s="20">
        <f t="shared" ca="1" si="394"/>
        <v>2</v>
      </c>
      <c r="K2310" s="20">
        <f t="shared" ca="1" si="386"/>
        <v>2</v>
      </c>
      <c r="L2310" s="44">
        <f t="shared" ca="1" si="391"/>
        <v>2</v>
      </c>
    </row>
    <row r="2311" spans="1:12" x14ac:dyDescent="0.25">
      <c r="A2311" s="20">
        <v>2303</v>
      </c>
      <c r="B2311" s="21">
        <f t="shared" ca="1" si="387"/>
        <v>0.92835656893755847</v>
      </c>
      <c r="C2311" s="21">
        <f t="shared" ca="1" si="392"/>
        <v>7003.3887645464611</v>
      </c>
      <c r="D2311" s="21">
        <f t="shared" ca="1" si="388"/>
        <v>0.25707085553379233</v>
      </c>
      <c r="E2311" s="21">
        <f t="shared" ca="1" si="395"/>
        <v>1.9883248292535427</v>
      </c>
      <c r="F2311" s="20" t="str">
        <f t="shared" ca="1" si="393"/>
        <v>No</v>
      </c>
      <c r="G2311" s="21">
        <f t="shared" ca="1" si="389"/>
        <v>0</v>
      </c>
      <c r="H2311" s="21">
        <f t="shared" ca="1" si="390"/>
        <v>7005.3770893757146</v>
      </c>
      <c r="I2311" s="21">
        <f t="shared" ca="1" si="385"/>
        <v>7005.6341602312486</v>
      </c>
      <c r="J2311" s="20">
        <f t="shared" ca="1" si="394"/>
        <v>3</v>
      </c>
      <c r="K2311" s="20">
        <f t="shared" ca="1" si="386"/>
        <v>1</v>
      </c>
      <c r="L2311" s="44">
        <f t="shared" ca="1" si="391"/>
        <v>2</v>
      </c>
    </row>
    <row r="2312" spans="1:12" x14ac:dyDescent="0.25">
      <c r="A2312" s="20">
        <v>2304</v>
      </c>
      <c r="B2312" s="21">
        <f t="shared" ca="1" si="387"/>
        <v>1.385266593268482</v>
      </c>
      <c r="C2312" s="21">
        <f t="shared" ca="1" si="392"/>
        <v>7004.7740311397292</v>
      </c>
      <c r="D2312" s="21">
        <f t="shared" ca="1" si="388"/>
        <v>0.82287020289818569</v>
      </c>
      <c r="E2312" s="21">
        <f t="shared" ca="1" si="395"/>
        <v>0.8601290915194113</v>
      </c>
      <c r="F2312" s="20" t="str">
        <f t="shared" ca="1" si="393"/>
        <v>No</v>
      </c>
      <c r="G2312" s="21">
        <f t="shared" ca="1" si="389"/>
        <v>0</v>
      </c>
      <c r="H2312" s="21">
        <f t="shared" ca="1" si="390"/>
        <v>7005.6341602312486</v>
      </c>
      <c r="I2312" s="21">
        <f t="shared" ca="1" si="385"/>
        <v>7006.4570304341469</v>
      </c>
      <c r="J2312" s="20">
        <f t="shared" ca="1" si="394"/>
        <v>2</v>
      </c>
      <c r="K2312" s="20">
        <f t="shared" ca="1" si="386"/>
        <v>0</v>
      </c>
      <c r="L2312" s="44">
        <f t="shared" ca="1" si="391"/>
        <v>1</v>
      </c>
    </row>
    <row r="2313" spans="1:12" x14ac:dyDescent="0.25">
      <c r="A2313" s="20">
        <v>2305</v>
      </c>
      <c r="B2313" s="21">
        <f t="shared" ca="1" si="387"/>
        <v>2.9034615913391182</v>
      </c>
      <c r="C2313" s="21">
        <f t="shared" ca="1" si="392"/>
        <v>7007.677492731068</v>
      </c>
      <c r="D2313" s="21">
        <f t="shared" ca="1" si="388"/>
        <v>8.5364944355279047</v>
      </c>
      <c r="E2313" s="21">
        <f t="shared" ca="1" si="395"/>
        <v>0</v>
      </c>
      <c r="F2313" s="20" t="str">
        <f t="shared" ca="1" si="393"/>
        <v>Yes</v>
      </c>
      <c r="G2313" s="21">
        <f t="shared" ca="1" si="389"/>
        <v>1.2204622969211414</v>
      </c>
      <c r="H2313" s="21">
        <f t="shared" ca="1" si="390"/>
        <v>7007.677492731068</v>
      </c>
      <c r="I2313" s="21">
        <f t="shared" ref="I2313:I2376" ca="1" si="396">$H2313+$D2313</f>
        <v>7016.2139871665959</v>
      </c>
      <c r="J2313" s="20">
        <f t="shared" ca="1" si="394"/>
        <v>0</v>
      </c>
      <c r="K2313" s="20">
        <f t="shared" ref="K2313:K2376" ca="1" si="397">IF($I2313&lt;=$C2314,0,IF($I2313&lt;=$C2315,1,IF($I2313&lt;=$C2316,2,IF($I2313&lt;=$C2317,3,IF($I2313&lt;=$C2318,4,5)))))</f>
        <v>3</v>
      </c>
      <c r="L2313" s="44">
        <f t="shared" ca="1" si="391"/>
        <v>1.5</v>
      </c>
    </row>
    <row r="2314" spans="1:12" x14ac:dyDescent="0.25">
      <c r="A2314" s="20">
        <v>2306</v>
      </c>
      <c r="B2314" s="21">
        <f t="shared" ref="B2314:B2377" ca="1" si="398">-LN(RAND())/$D$4</f>
        <v>3.7566534904303737</v>
      </c>
      <c r="C2314" s="21">
        <f t="shared" ca="1" si="392"/>
        <v>7011.4341462214979</v>
      </c>
      <c r="D2314" s="21">
        <f t="shared" ref="D2314:D2377" ca="1" si="399">-LN(RAND())/$D$6</f>
        <v>1.2932331576135316</v>
      </c>
      <c r="E2314" s="21">
        <f t="shared" ca="1" si="395"/>
        <v>4.7798409450979307</v>
      </c>
      <c r="F2314" s="20" t="str">
        <f t="shared" ca="1" si="393"/>
        <v>No</v>
      </c>
      <c r="G2314" s="21">
        <f t="shared" ref="G2314:G2377" ca="1" si="400">IF($I2313&lt;=$C2314,$C2314-$I2313,0)</f>
        <v>0</v>
      </c>
      <c r="H2314" s="21">
        <f t="shared" ref="H2314:H2377" ca="1" si="401">IF($I2313&lt;=$C2314,$C2314,$I2313)</f>
        <v>7016.2139871665959</v>
      </c>
      <c r="I2314" s="21">
        <f t="shared" ca="1" si="396"/>
        <v>7017.5072203242098</v>
      </c>
      <c r="J2314" s="20">
        <f t="shared" ca="1" si="394"/>
        <v>4</v>
      </c>
      <c r="K2314" s="20">
        <f t="shared" ca="1" si="397"/>
        <v>3</v>
      </c>
      <c r="L2314" s="44">
        <f t="shared" ref="L2314:L2377" ca="1" si="402">(J2314+K2314)/2</f>
        <v>3.5</v>
      </c>
    </row>
    <row r="2315" spans="1:12" x14ac:dyDescent="0.25">
      <c r="A2315" s="20">
        <v>2307</v>
      </c>
      <c r="B2315" s="21">
        <f t="shared" ca="1" si="398"/>
        <v>3.0209655259341619</v>
      </c>
      <c r="C2315" s="21">
        <f t="shared" ref="C2315:C2378" ca="1" si="403">$C2314+$B2315</f>
        <v>7014.4551117474321</v>
      </c>
      <c r="D2315" s="21">
        <f t="shared" ca="1" si="399"/>
        <v>0.83829382336084013</v>
      </c>
      <c r="E2315" s="21">
        <f t="shared" ca="1" si="395"/>
        <v>3.0521085767777549</v>
      </c>
      <c r="F2315" s="20" t="str">
        <f t="shared" ref="F2315:F2378" ca="1" si="404">IF(E2315=0,"Yes","No")</f>
        <v>No</v>
      </c>
      <c r="G2315" s="21">
        <f t="shared" ca="1" si="400"/>
        <v>0</v>
      </c>
      <c r="H2315" s="21">
        <f t="shared" ca="1" si="401"/>
        <v>7017.5072203242098</v>
      </c>
      <c r="I2315" s="21">
        <f t="shared" ca="1" si="396"/>
        <v>7018.3455141475706</v>
      </c>
      <c r="J2315" s="20">
        <f t="shared" ref="J2315:J2378" ca="1" si="405">IF($I2314&lt;=$C2315,0,$K2314+1)</f>
        <v>4</v>
      </c>
      <c r="K2315" s="20">
        <f t="shared" ca="1" si="397"/>
        <v>2</v>
      </c>
      <c r="L2315" s="44">
        <f t="shared" ca="1" si="402"/>
        <v>3</v>
      </c>
    </row>
    <row r="2316" spans="1:12" x14ac:dyDescent="0.25">
      <c r="A2316" s="20">
        <v>2308</v>
      </c>
      <c r="B2316" s="21">
        <f t="shared" ca="1" si="398"/>
        <v>1.0543256106979249</v>
      </c>
      <c r="C2316" s="21">
        <f t="shared" ca="1" si="403"/>
        <v>7015.5094373581296</v>
      </c>
      <c r="D2316" s="21">
        <f t="shared" ca="1" si="399"/>
        <v>2.4472905639969516</v>
      </c>
      <c r="E2316" s="21">
        <f t="shared" ref="E2316:E2379" ca="1" si="406">IF($I2315&lt;=$C2316,0,$I2315-$C2316)</f>
        <v>2.8360767894409946</v>
      </c>
      <c r="F2316" s="20" t="str">
        <f t="shared" ca="1" si="404"/>
        <v>No</v>
      </c>
      <c r="G2316" s="21">
        <f t="shared" ca="1" si="400"/>
        <v>0</v>
      </c>
      <c r="H2316" s="21">
        <f t="shared" ca="1" si="401"/>
        <v>7018.3455141475706</v>
      </c>
      <c r="I2316" s="21">
        <f t="shared" ca="1" si="396"/>
        <v>7020.7928047115674</v>
      </c>
      <c r="J2316" s="20">
        <f t="shared" ca="1" si="405"/>
        <v>3</v>
      </c>
      <c r="K2316" s="20">
        <f t="shared" ca="1" si="397"/>
        <v>1</v>
      </c>
      <c r="L2316" s="44">
        <f t="shared" ca="1" si="402"/>
        <v>2</v>
      </c>
    </row>
    <row r="2317" spans="1:12" x14ac:dyDescent="0.25">
      <c r="A2317" s="20">
        <v>2309</v>
      </c>
      <c r="B2317" s="21">
        <f t="shared" ca="1" si="398"/>
        <v>1.8757766487270806</v>
      </c>
      <c r="C2317" s="21">
        <f t="shared" ca="1" si="403"/>
        <v>7017.3852140068566</v>
      </c>
      <c r="D2317" s="21">
        <f t="shared" ca="1" si="399"/>
        <v>1.6480982345172686</v>
      </c>
      <c r="E2317" s="21">
        <f t="shared" ca="1" si="406"/>
        <v>3.4075907047108558</v>
      </c>
      <c r="F2317" s="20" t="str">
        <f t="shared" ca="1" si="404"/>
        <v>No</v>
      </c>
      <c r="G2317" s="21">
        <f t="shared" ca="1" si="400"/>
        <v>0</v>
      </c>
      <c r="H2317" s="21">
        <f t="shared" ca="1" si="401"/>
        <v>7020.7928047115674</v>
      </c>
      <c r="I2317" s="21">
        <f t="shared" ca="1" si="396"/>
        <v>7022.4409029460849</v>
      </c>
      <c r="J2317" s="20">
        <f t="shared" ca="1" si="405"/>
        <v>2</v>
      </c>
      <c r="K2317" s="20">
        <f t="shared" ca="1" si="397"/>
        <v>0</v>
      </c>
      <c r="L2317" s="44">
        <f t="shared" ca="1" si="402"/>
        <v>1</v>
      </c>
    </row>
    <row r="2318" spans="1:12" x14ac:dyDescent="0.25">
      <c r="A2318" s="20">
        <v>2310</v>
      </c>
      <c r="B2318" s="21">
        <f t="shared" ca="1" si="398"/>
        <v>7.2665503013920691</v>
      </c>
      <c r="C2318" s="21">
        <f t="shared" ca="1" si="403"/>
        <v>7024.6517643082489</v>
      </c>
      <c r="D2318" s="21">
        <f t="shared" ca="1" si="399"/>
        <v>2.0203123634950906</v>
      </c>
      <c r="E2318" s="21">
        <f t="shared" ca="1" si="406"/>
        <v>0</v>
      </c>
      <c r="F2318" s="20" t="str">
        <f t="shared" ca="1" si="404"/>
        <v>Yes</v>
      </c>
      <c r="G2318" s="21">
        <f t="shared" ca="1" si="400"/>
        <v>2.2108613621639961</v>
      </c>
      <c r="H2318" s="21">
        <f t="shared" ca="1" si="401"/>
        <v>7024.6517643082489</v>
      </c>
      <c r="I2318" s="21">
        <f t="shared" ca="1" si="396"/>
        <v>7026.6720766717435</v>
      </c>
      <c r="J2318" s="20">
        <f t="shared" ca="1" si="405"/>
        <v>0</v>
      </c>
      <c r="K2318" s="20">
        <f t="shared" ca="1" si="397"/>
        <v>0</v>
      </c>
      <c r="L2318" s="44">
        <f t="shared" ca="1" si="402"/>
        <v>0</v>
      </c>
    </row>
    <row r="2319" spans="1:12" x14ac:dyDescent="0.25">
      <c r="A2319" s="20">
        <v>2311</v>
      </c>
      <c r="B2319" s="21">
        <f t="shared" ca="1" si="398"/>
        <v>4.2005584733118075</v>
      </c>
      <c r="C2319" s="21">
        <f t="shared" ca="1" si="403"/>
        <v>7028.8523227815604</v>
      </c>
      <c r="D2319" s="21">
        <f t="shared" ca="1" si="399"/>
        <v>3.2332602199905183</v>
      </c>
      <c r="E2319" s="21">
        <f t="shared" ca="1" si="406"/>
        <v>0</v>
      </c>
      <c r="F2319" s="20" t="str">
        <f t="shared" ca="1" si="404"/>
        <v>Yes</v>
      </c>
      <c r="G2319" s="21">
        <f t="shared" ca="1" si="400"/>
        <v>2.1802461098168351</v>
      </c>
      <c r="H2319" s="21">
        <f t="shared" ca="1" si="401"/>
        <v>7028.8523227815604</v>
      </c>
      <c r="I2319" s="21">
        <f t="shared" ca="1" si="396"/>
        <v>7032.0855830015507</v>
      </c>
      <c r="J2319" s="20">
        <f t="shared" ca="1" si="405"/>
        <v>0</v>
      </c>
      <c r="K2319" s="20">
        <f t="shared" ca="1" si="397"/>
        <v>0</v>
      </c>
      <c r="L2319" s="44">
        <f t="shared" ca="1" si="402"/>
        <v>0</v>
      </c>
    </row>
    <row r="2320" spans="1:12" x14ac:dyDescent="0.25">
      <c r="A2320" s="20">
        <v>2312</v>
      </c>
      <c r="B2320" s="21">
        <f t="shared" ca="1" si="398"/>
        <v>15.369456919752814</v>
      </c>
      <c r="C2320" s="21">
        <f t="shared" ca="1" si="403"/>
        <v>7044.2217797013136</v>
      </c>
      <c r="D2320" s="21">
        <f t="shared" ca="1" si="399"/>
        <v>6.4423960248704271</v>
      </c>
      <c r="E2320" s="21">
        <f t="shared" ca="1" si="406"/>
        <v>0</v>
      </c>
      <c r="F2320" s="20" t="str">
        <f t="shared" ca="1" si="404"/>
        <v>Yes</v>
      </c>
      <c r="G2320" s="21">
        <f t="shared" ca="1" si="400"/>
        <v>12.136196699762877</v>
      </c>
      <c r="H2320" s="21">
        <f t="shared" ca="1" si="401"/>
        <v>7044.2217797013136</v>
      </c>
      <c r="I2320" s="21">
        <f t="shared" ca="1" si="396"/>
        <v>7050.6641757261841</v>
      </c>
      <c r="J2320" s="20">
        <f t="shared" ca="1" si="405"/>
        <v>0</v>
      </c>
      <c r="K2320" s="20">
        <f t="shared" ca="1" si="397"/>
        <v>1</v>
      </c>
      <c r="L2320" s="44">
        <f t="shared" ca="1" si="402"/>
        <v>0.5</v>
      </c>
    </row>
    <row r="2321" spans="1:12" x14ac:dyDescent="0.25">
      <c r="A2321" s="20">
        <v>2313</v>
      </c>
      <c r="B2321" s="21">
        <f t="shared" ca="1" si="398"/>
        <v>1.2418526061251647</v>
      </c>
      <c r="C2321" s="21">
        <f t="shared" ca="1" si="403"/>
        <v>7045.4636323074392</v>
      </c>
      <c r="D2321" s="21">
        <f t="shared" ca="1" si="399"/>
        <v>0.90543582245911691</v>
      </c>
      <c r="E2321" s="21">
        <f t="shared" ca="1" si="406"/>
        <v>5.2005434187449282</v>
      </c>
      <c r="F2321" s="20" t="str">
        <f t="shared" ca="1" si="404"/>
        <v>No</v>
      </c>
      <c r="G2321" s="21">
        <f t="shared" ca="1" si="400"/>
        <v>0</v>
      </c>
      <c r="H2321" s="21">
        <f t="shared" ca="1" si="401"/>
        <v>7050.6641757261841</v>
      </c>
      <c r="I2321" s="21">
        <f t="shared" ca="1" si="396"/>
        <v>7051.5696115486435</v>
      </c>
      <c r="J2321" s="20">
        <f t="shared" ca="1" si="405"/>
        <v>2</v>
      </c>
      <c r="K2321" s="20">
        <f t="shared" ca="1" si="397"/>
        <v>0</v>
      </c>
      <c r="L2321" s="44">
        <f t="shared" ca="1" si="402"/>
        <v>1</v>
      </c>
    </row>
    <row r="2322" spans="1:12" x14ac:dyDescent="0.25">
      <c r="A2322" s="20">
        <v>2314</v>
      </c>
      <c r="B2322" s="21">
        <f t="shared" ca="1" si="398"/>
        <v>8.8149314872247153</v>
      </c>
      <c r="C2322" s="21">
        <f t="shared" ca="1" si="403"/>
        <v>7054.2785637946636</v>
      </c>
      <c r="D2322" s="21">
        <f t="shared" ca="1" si="399"/>
        <v>1.9277434148807955</v>
      </c>
      <c r="E2322" s="21">
        <f t="shared" ca="1" si="406"/>
        <v>0</v>
      </c>
      <c r="F2322" s="20" t="str">
        <f t="shared" ca="1" si="404"/>
        <v>Yes</v>
      </c>
      <c r="G2322" s="21">
        <f t="shared" ca="1" si="400"/>
        <v>2.7089522460200897</v>
      </c>
      <c r="H2322" s="21">
        <f t="shared" ca="1" si="401"/>
        <v>7054.2785637946636</v>
      </c>
      <c r="I2322" s="21">
        <f t="shared" ca="1" si="396"/>
        <v>7056.2063072095443</v>
      </c>
      <c r="J2322" s="20">
        <f t="shared" ca="1" si="405"/>
        <v>0</v>
      </c>
      <c r="K2322" s="20">
        <f t="shared" ca="1" si="397"/>
        <v>0</v>
      </c>
      <c r="L2322" s="44">
        <f t="shared" ca="1" si="402"/>
        <v>0</v>
      </c>
    </row>
    <row r="2323" spans="1:12" x14ac:dyDescent="0.25">
      <c r="A2323" s="20">
        <v>2315</v>
      </c>
      <c r="B2323" s="21">
        <f t="shared" ca="1" si="398"/>
        <v>8.3584662991220586</v>
      </c>
      <c r="C2323" s="21">
        <f t="shared" ca="1" si="403"/>
        <v>7062.6370300937861</v>
      </c>
      <c r="D2323" s="21">
        <f t="shared" ca="1" si="399"/>
        <v>0.42575872094828171</v>
      </c>
      <c r="E2323" s="21">
        <f t="shared" ca="1" si="406"/>
        <v>0</v>
      </c>
      <c r="F2323" s="20" t="str">
        <f t="shared" ca="1" si="404"/>
        <v>Yes</v>
      </c>
      <c r="G2323" s="21">
        <f t="shared" ca="1" si="400"/>
        <v>6.4307228842417317</v>
      </c>
      <c r="H2323" s="21">
        <f t="shared" ca="1" si="401"/>
        <v>7062.6370300937861</v>
      </c>
      <c r="I2323" s="21">
        <f t="shared" ca="1" si="396"/>
        <v>7063.0627888147346</v>
      </c>
      <c r="J2323" s="20">
        <f t="shared" ca="1" si="405"/>
        <v>0</v>
      </c>
      <c r="K2323" s="20">
        <f t="shared" ca="1" si="397"/>
        <v>0</v>
      </c>
      <c r="L2323" s="44">
        <f t="shared" ca="1" si="402"/>
        <v>0</v>
      </c>
    </row>
    <row r="2324" spans="1:12" x14ac:dyDescent="0.25">
      <c r="A2324" s="20">
        <v>2316</v>
      </c>
      <c r="B2324" s="21">
        <f t="shared" ca="1" si="398"/>
        <v>9.5138164422619553</v>
      </c>
      <c r="C2324" s="21">
        <f t="shared" ca="1" si="403"/>
        <v>7072.1508465360484</v>
      </c>
      <c r="D2324" s="21">
        <f t="shared" ca="1" si="399"/>
        <v>7.6550111641971105E-2</v>
      </c>
      <c r="E2324" s="21">
        <f t="shared" ca="1" si="406"/>
        <v>0</v>
      </c>
      <c r="F2324" s="20" t="str">
        <f t="shared" ca="1" si="404"/>
        <v>Yes</v>
      </c>
      <c r="G2324" s="21">
        <f t="shared" ca="1" si="400"/>
        <v>9.0880577213138167</v>
      </c>
      <c r="H2324" s="21">
        <f t="shared" ca="1" si="401"/>
        <v>7072.1508465360484</v>
      </c>
      <c r="I2324" s="21">
        <f t="shared" ca="1" si="396"/>
        <v>7072.2273966476905</v>
      </c>
      <c r="J2324" s="20">
        <f t="shared" ca="1" si="405"/>
        <v>0</v>
      </c>
      <c r="K2324" s="20">
        <f t="shared" ca="1" si="397"/>
        <v>0</v>
      </c>
      <c r="L2324" s="44">
        <f t="shared" ca="1" si="402"/>
        <v>0</v>
      </c>
    </row>
    <row r="2325" spans="1:12" x14ac:dyDescent="0.25">
      <c r="A2325" s="20">
        <v>2317</v>
      </c>
      <c r="B2325" s="21">
        <f t="shared" ca="1" si="398"/>
        <v>0.25094490565181404</v>
      </c>
      <c r="C2325" s="21">
        <f t="shared" ca="1" si="403"/>
        <v>7072.4017914417</v>
      </c>
      <c r="D2325" s="21">
        <f t="shared" ca="1" si="399"/>
        <v>0.5227071535216864</v>
      </c>
      <c r="E2325" s="21">
        <f t="shared" ca="1" si="406"/>
        <v>0</v>
      </c>
      <c r="F2325" s="20" t="str">
        <f t="shared" ca="1" si="404"/>
        <v>Yes</v>
      </c>
      <c r="G2325" s="21">
        <f t="shared" ca="1" si="400"/>
        <v>0.17439479400945856</v>
      </c>
      <c r="H2325" s="21">
        <f t="shared" ca="1" si="401"/>
        <v>7072.4017914417</v>
      </c>
      <c r="I2325" s="21">
        <f t="shared" ca="1" si="396"/>
        <v>7072.9244985952218</v>
      </c>
      <c r="J2325" s="20">
        <f t="shared" ca="1" si="405"/>
        <v>0</v>
      </c>
      <c r="K2325" s="20">
        <f t="shared" ca="1" si="397"/>
        <v>0</v>
      </c>
      <c r="L2325" s="44">
        <f t="shared" ca="1" si="402"/>
        <v>0</v>
      </c>
    </row>
    <row r="2326" spans="1:12" x14ac:dyDescent="0.25">
      <c r="A2326" s="20">
        <v>2318</v>
      </c>
      <c r="B2326" s="21">
        <f t="shared" ca="1" si="398"/>
        <v>6.4012416614020813</v>
      </c>
      <c r="C2326" s="21">
        <f t="shared" ca="1" si="403"/>
        <v>7078.8030331031023</v>
      </c>
      <c r="D2326" s="21">
        <f t="shared" ca="1" si="399"/>
        <v>2.2117014483729793</v>
      </c>
      <c r="E2326" s="21">
        <f t="shared" ca="1" si="406"/>
        <v>0</v>
      </c>
      <c r="F2326" s="20" t="str">
        <f t="shared" ca="1" si="404"/>
        <v>Yes</v>
      </c>
      <c r="G2326" s="21">
        <f t="shared" ca="1" si="400"/>
        <v>5.8785345078804312</v>
      </c>
      <c r="H2326" s="21">
        <f t="shared" ca="1" si="401"/>
        <v>7078.8030331031023</v>
      </c>
      <c r="I2326" s="21">
        <f t="shared" ca="1" si="396"/>
        <v>7081.0147345514752</v>
      </c>
      <c r="J2326" s="20">
        <f t="shared" ca="1" si="405"/>
        <v>0</v>
      </c>
      <c r="K2326" s="20">
        <f t="shared" ca="1" si="397"/>
        <v>0</v>
      </c>
      <c r="L2326" s="44">
        <f t="shared" ca="1" si="402"/>
        <v>0</v>
      </c>
    </row>
    <row r="2327" spans="1:12" x14ac:dyDescent="0.25">
      <c r="A2327" s="20">
        <v>2319</v>
      </c>
      <c r="B2327" s="21">
        <f t="shared" ca="1" si="398"/>
        <v>2.2346629282773791</v>
      </c>
      <c r="C2327" s="21">
        <f t="shared" ca="1" si="403"/>
        <v>7081.0376960313797</v>
      </c>
      <c r="D2327" s="21">
        <f t="shared" ca="1" si="399"/>
        <v>4.1240114758929316</v>
      </c>
      <c r="E2327" s="21">
        <f t="shared" ca="1" si="406"/>
        <v>0</v>
      </c>
      <c r="F2327" s="20" t="str">
        <f t="shared" ca="1" si="404"/>
        <v>Yes</v>
      </c>
      <c r="G2327" s="21">
        <f t="shared" ca="1" si="400"/>
        <v>2.2961479904552107E-2</v>
      </c>
      <c r="H2327" s="21">
        <f t="shared" ca="1" si="401"/>
        <v>7081.0376960313797</v>
      </c>
      <c r="I2327" s="21">
        <f t="shared" ca="1" si="396"/>
        <v>7085.1617075072727</v>
      </c>
      <c r="J2327" s="20">
        <f t="shared" ca="1" si="405"/>
        <v>0</v>
      </c>
      <c r="K2327" s="20">
        <f t="shared" ca="1" si="397"/>
        <v>2</v>
      </c>
      <c r="L2327" s="44">
        <f t="shared" ca="1" si="402"/>
        <v>1</v>
      </c>
    </row>
    <row r="2328" spans="1:12" x14ac:dyDescent="0.25">
      <c r="A2328" s="20">
        <v>2320</v>
      </c>
      <c r="B2328" s="21">
        <f t="shared" ca="1" si="398"/>
        <v>0.75505507818948558</v>
      </c>
      <c r="C2328" s="21">
        <f t="shared" ca="1" si="403"/>
        <v>7081.7927511095695</v>
      </c>
      <c r="D2328" s="21">
        <f t="shared" ca="1" si="399"/>
        <v>4.1449787606723007E-2</v>
      </c>
      <c r="E2328" s="21">
        <f t="shared" ca="1" si="406"/>
        <v>3.3689563977031867</v>
      </c>
      <c r="F2328" s="20" t="str">
        <f t="shared" ca="1" si="404"/>
        <v>No</v>
      </c>
      <c r="G2328" s="21">
        <f t="shared" ca="1" si="400"/>
        <v>0</v>
      </c>
      <c r="H2328" s="21">
        <f t="shared" ca="1" si="401"/>
        <v>7085.1617075072727</v>
      </c>
      <c r="I2328" s="21">
        <f t="shared" ca="1" si="396"/>
        <v>7085.203157294879</v>
      </c>
      <c r="J2328" s="20">
        <f t="shared" ca="1" si="405"/>
        <v>3</v>
      </c>
      <c r="K2328" s="20">
        <f t="shared" ca="1" si="397"/>
        <v>1</v>
      </c>
      <c r="L2328" s="44">
        <f t="shared" ca="1" si="402"/>
        <v>2</v>
      </c>
    </row>
    <row r="2329" spans="1:12" x14ac:dyDescent="0.25">
      <c r="A2329" s="20">
        <v>2321</v>
      </c>
      <c r="B2329" s="21">
        <f t="shared" ca="1" si="398"/>
        <v>1.3065062547606554</v>
      </c>
      <c r="C2329" s="21">
        <f t="shared" ca="1" si="403"/>
        <v>7083.0992573643298</v>
      </c>
      <c r="D2329" s="21">
        <f t="shared" ca="1" si="399"/>
        <v>1.0313469364826542</v>
      </c>
      <c r="E2329" s="21">
        <f t="shared" ca="1" si="406"/>
        <v>2.1038999305492325</v>
      </c>
      <c r="F2329" s="20" t="str">
        <f t="shared" ca="1" si="404"/>
        <v>No</v>
      </c>
      <c r="G2329" s="21">
        <f t="shared" ca="1" si="400"/>
        <v>0</v>
      </c>
      <c r="H2329" s="21">
        <f t="shared" ca="1" si="401"/>
        <v>7085.203157294879</v>
      </c>
      <c r="I2329" s="21">
        <f t="shared" ca="1" si="396"/>
        <v>7086.2345042313618</v>
      </c>
      <c r="J2329" s="20">
        <f t="shared" ca="1" si="405"/>
        <v>2</v>
      </c>
      <c r="K2329" s="20">
        <f t="shared" ca="1" si="397"/>
        <v>1</v>
      </c>
      <c r="L2329" s="44">
        <f t="shared" ca="1" si="402"/>
        <v>1.5</v>
      </c>
    </row>
    <row r="2330" spans="1:12" x14ac:dyDescent="0.25">
      <c r="A2330" s="20">
        <v>2322</v>
      </c>
      <c r="B2330" s="21">
        <f t="shared" ca="1" si="398"/>
        <v>2.8428741307443026</v>
      </c>
      <c r="C2330" s="21">
        <f t="shared" ca="1" si="403"/>
        <v>7085.9421314950741</v>
      </c>
      <c r="D2330" s="21">
        <f t="shared" ca="1" si="399"/>
        <v>1.8047167597313118</v>
      </c>
      <c r="E2330" s="21">
        <f t="shared" ca="1" si="406"/>
        <v>0.29237273628768889</v>
      </c>
      <c r="F2330" s="20" t="str">
        <f t="shared" ca="1" si="404"/>
        <v>No</v>
      </c>
      <c r="G2330" s="21">
        <f t="shared" ca="1" si="400"/>
        <v>0</v>
      </c>
      <c r="H2330" s="21">
        <f t="shared" ca="1" si="401"/>
        <v>7086.2345042313618</v>
      </c>
      <c r="I2330" s="21">
        <f t="shared" ca="1" si="396"/>
        <v>7088.0392209910933</v>
      </c>
      <c r="J2330" s="20">
        <f t="shared" ca="1" si="405"/>
        <v>2</v>
      </c>
      <c r="K2330" s="20">
        <f t="shared" ca="1" si="397"/>
        <v>0</v>
      </c>
      <c r="L2330" s="44">
        <f t="shared" ca="1" si="402"/>
        <v>1</v>
      </c>
    </row>
    <row r="2331" spans="1:12" x14ac:dyDescent="0.25">
      <c r="A2331" s="20">
        <v>2323</v>
      </c>
      <c r="B2331" s="21">
        <f t="shared" ca="1" si="398"/>
        <v>2.3460448504733646</v>
      </c>
      <c r="C2331" s="21">
        <f t="shared" ca="1" si="403"/>
        <v>7088.2881763455471</v>
      </c>
      <c r="D2331" s="21">
        <f t="shared" ca="1" si="399"/>
        <v>0.75229314134962144</v>
      </c>
      <c r="E2331" s="21">
        <f t="shared" ca="1" si="406"/>
        <v>0</v>
      </c>
      <c r="F2331" s="20" t="str">
        <f t="shared" ca="1" si="404"/>
        <v>Yes</v>
      </c>
      <c r="G2331" s="21">
        <f t="shared" ca="1" si="400"/>
        <v>0.24895535445375572</v>
      </c>
      <c r="H2331" s="21">
        <f t="shared" ca="1" si="401"/>
        <v>7088.2881763455471</v>
      </c>
      <c r="I2331" s="21">
        <f t="shared" ca="1" si="396"/>
        <v>7089.0404694868967</v>
      </c>
      <c r="J2331" s="20">
        <f t="shared" ca="1" si="405"/>
        <v>0</v>
      </c>
      <c r="K2331" s="20">
        <f t="shared" ca="1" si="397"/>
        <v>0</v>
      </c>
      <c r="L2331" s="44">
        <f t="shared" ca="1" si="402"/>
        <v>0</v>
      </c>
    </row>
    <row r="2332" spans="1:12" x14ac:dyDescent="0.25">
      <c r="A2332" s="20">
        <v>2324</v>
      </c>
      <c r="B2332" s="21">
        <f t="shared" ca="1" si="398"/>
        <v>0.97709837990198856</v>
      </c>
      <c r="C2332" s="21">
        <f t="shared" ca="1" si="403"/>
        <v>7089.2652747254488</v>
      </c>
      <c r="D2332" s="21">
        <f t="shared" ca="1" si="399"/>
        <v>0.84383742027763753</v>
      </c>
      <c r="E2332" s="21">
        <f t="shared" ca="1" si="406"/>
        <v>0</v>
      </c>
      <c r="F2332" s="20" t="str">
        <f t="shared" ca="1" si="404"/>
        <v>Yes</v>
      </c>
      <c r="G2332" s="21">
        <f t="shared" ca="1" si="400"/>
        <v>0.22480523855210777</v>
      </c>
      <c r="H2332" s="21">
        <f t="shared" ca="1" si="401"/>
        <v>7089.2652747254488</v>
      </c>
      <c r="I2332" s="21">
        <f t="shared" ca="1" si="396"/>
        <v>7090.1091121457266</v>
      </c>
      <c r="J2332" s="20">
        <f t="shared" ca="1" si="405"/>
        <v>0</v>
      </c>
      <c r="K2332" s="20">
        <f t="shared" ca="1" si="397"/>
        <v>0</v>
      </c>
      <c r="L2332" s="44">
        <f t="shared" ca="1" si="402"/>
        <v>0</v>
      </c>
    </row>
    <row r="2333" spans="1:12" x14ac:dyDescent="0.25">
      <c r="A2333" s="20">
        <v>2325</v>
      </c>
      <c r="B2333" s="21">
        <f t="shared" ca="1" si="398"/>
        <v>3.0489099866398579</v>
      </c>
      <c r="C2333" s="21">
        <f t="shared" ca="1" si="403"/>
        <v>7092.3141847120887</v>
      </c>
      <c r="D2333" s="21">
        <f t="shared" ca="1" si="399"/>
        <v>1.4970623695474652</v>
      </c>
      <c r="E2333" s="21">
        <f t="shared" ca="1" si="406"/>
        <v>0</v>
      </c>
      <c r="F2333" s="20" t="str">
        <f t="shared" ca="1" si="404"/>
        <v>Yes</v>
      </c>
      <c r="G2333" s="21">
        <f t="shared" ca="1" si="400"/>
        <v>2.2050725663621051</v>
      </c>
      <c r="H2333" s="21">
        <f t="shared" ca="1" si="401"/>
        <v>7092.3141847120887</v>
      </c>
      <c r="I2333" s="21">
        <f t="shared" ca="1" si="396"/>
        <v>7093.8112470816359</v>
      </c>
      <c r="J2333" s="20">
        <f t="shared" ca="1" si="405"/>
        <v>0</v>
      </c>
      <c r="K2333" s="20">
        <f t="shared" ca="1" si="397"/>
        <v>3</v>
      </c>
      <c r="L2333" s="44">
        <f t="shared" ca="1" si="402"/>
        <v>1.5</v>
      </c>
    </row>
    <row r="2334" spans="1:12" x14ac:dyDescent="0.25">
      <c r="A2334" s="20">
        <v>2326</v>
      </c>
      <c r="B2334" s="21">
        <f t="shared" ca="1" si="398"/>
        <v>2.0582588352908878E-2</v>
      </c>
      <c r="C2334" s="21">
        <f t="shared" ca="1" si="403"/>
        <v>7092.3347673004419</v>
      </c>
      <c r="D2334" s="21">
        <f t="shared" ca="1" si="399"/>
        <v>7.1587728973250968</v>
      </c>
      <c r="E2334" s="21">
        <f t="shared" ca="1" si="406"/>
        <v>1.4764797811940298</v>
      </c>
      <c r="F2334" s="20" t="str">
        <f t="shared" ca="1" si="404"/>
        <v>No</v>
      </c>
      <c r="G2334" s="21">
        <f t="shared" ca="1" si="400"/>
        <v>0</v>
      </c>
      <c r="H2334" s="21">
        <f t="shared" ca="1" si="401"/>
        <v>7093.8112470816359</v>
      </c>
      <c r="I2334" s="21">
        <f t="shared" ca="1" si="396"/>
        <v>7100.9700199789613</v>
      </c>
      <c r="J2334" s="20">
        <f t="shared" ca="1" si="405"/>
        <v>4</v>
      </c>
      <c r="K2334" s="20">
        <f t="shared" ca="1" si="397"/>
        <v>3</v>
      </c>
      <c r="L2334" s="44">
        <f t="shared" ca="1" si="402"/>
        <v>3.5</v>
      </c>
    </row>
    <row r="2335" spans="1:12" x14ac:dyDescent="0.25">
      <c r="A2335" s="20">
        <v>2327</v>
      </c>
      <c r="B2335" s="21">
        <f t="shared" ca="1" si="398"/>
        <v>0.49232511562351017</v>
      </c>
      <c r="C2335" s="21">
        <f t="shared" ca="1" si="403"/>
        <v>7092.8270924160652</v>
      </c>
      <c r="D2335" s="21">
        <f t="shared" ca="1" si="399"/>
        <v>1.3314552247415137</v>
      </c>
      <c r="E2335" s="21">
        <f t="shared" ca="1" si="406"/>
        <v>8.1429275628961477</v>
      </c>
      <c r="F2335" s="20" t="str">
        <f t="shared" ca="1" si="404"/>
        <v>No</v>
      </c>
      <c r="G2335" s="21">
        <f t="shared" ca="1" si="400"/>
        <v>0</v>
      </c>
      <c r="H2335" s="21">
        <f t="shared" ca="1" si="401"/>
        <v>7100.9700199789613</v>
      </c>
      <c r="I2335" s="21">
        <f t="shared" ca="1" si="396"/>
        <v>7102.3014752037025</v>
      </c>
      <c r="J2335" s="20">
        <f t="shared" ca="1" si="405"/>
        <v>4</v>
      </c>
      <c r="K2335" s="20">
        <f t="shared" ca="1" si="397"/>
        <v>2</v>
      </c>
      <c r="L2335" s="44">
        <f t="shared" ca="1" si="402"/>
        <v>3</v>
      </c>
    </row>
    <row r="2336" spans="1:12" x14ac:dyDescent="0.25">
      <c r="A2336" s="20">
        <v>2328</v>
      </c>
      <c r="B2336" s="21">
        <f t="shared" ca="1" si="398"/>
        <v>0.11836408677738663</v>
      </c>
      <c r="C2336" s="21">
        <f t="shared" ca="1" si="403"/>
        <v>7092.9454565028427</v>
      </c>
      <c r="D2336" s="21">
        <f t="shared" ca="1" si="399"/>
        <v>0.62581137362808881</v>
      </c>
      <c r="E2336" s="21">
        <f t="shared" ca="1" si="406"/>
        <v>9.3560187008597495</v>
      </c>
      <c r="F2336" s="20" t="str">
        <f t="shared" ca="1" si="404"/>
        <v>No</v>
      </c>
      <c r="G2336" s="21">
        <f t="shared" ca="1" si="400"/>
        <v>0</v>
      </c>
      <c r="H2336" s="21">
        <f t="shared" ca="1" si="401"/>
        <v>7102.3014752037025</v>
      </c>
      <c r="I2336" s="21">
        <f t="shared" ca="1" si="396"/>
        <v>7102.927286577331</v>
      </c>
      <c r="J2336" s="20">
        <f t="shared" ca="1" si="405"/>
        <v>3</v>
      </c>
      <c r="K2336" s="20">
        <f t="shared" ca="1" si="397"/>
        <v>1</v>
      </c>
      <c r="L2336" s="44">
        <f t="shared" ca="1" si="402"/>
        <v>2</v>
      </c>
    </row>
    <row r="2337" spans="1:12" x14ac:dyDescent="0.25">
      <c r="A2337" s="20">
        <v>2329</v>
      </c>
      <c r="B2337" s="21">
        <f t="shared" ca="1" si="398"/>
        <v>1.3977246211818068</v>
      </c>
      <c r="C2337" s="21">
        <f t="shared" ca="1" si="403"/>
        <v>7094.3431811240243</v>
      </c>
      <c r="D2337" s="21">
        <f t="shared" ca="1" si="399"/>
        <v>2.012582947257445</v>
      </c>
      <c r="E2337" s="21">
        <f t="shared" ca="1" si="406"/>
        <v>8.5841054533066199</v>
      </c>
      <c r="F2337" s="20" t="str">
        <f t="shared" ca="1" si="404"/>
        <v>No</v>
      </c>
      <c r="G2337" s="21">
        <f t="shared" ca="1" si="400"/>
        <v>0</v>
      </c>
      <c r="H2337" s="21">
        <f t="shared" ca="1" si="401"/>
        <v>7102.927286577331</v>
      </c>
      <c r="I2337" s="21">
        <f t="shared" ca="1" si="396"/>
        <v>7104.9398695245882</v>
      </c>
      <c r="J2337" s="20">
        <f t="shared" ca="1" si="405"/>
        <v>2</v>
      </c>
      <c r="K2337" s="20">
        <f t="shared" ca="1" si="397"/>
        <v>2</v>
      </c>
      <c r="L2337" s="44">
        <f t="shared" ca="1" si="402"/>
        <v>2</v>
      </c>
    </row>
    <row r="2338" spans="1:12" x14ac:dyDescent="0.25">
      <c r="A2338" s="20">
        <v>2330</v>
      </c>
      <c r="B2338" s="21">
        <f t="shared" ca="1" si="398"/>
        <v>9.5390480514739799</v>
      </c>
      <c r="C2338" s="21">
        <f t="shared" ca="1" si="403"/>
        <v>7103.8822291754987</v>
      </c>
      <c r="D2338" s="21">
        <f t="shared" ca="1" si="399"/>
        <v>0.68088266397451658</v>
      </c>
      <c r="E2338" s="21">
        <f t="shared" ca="1" si="406"/>
        <v>1.0576403490895245</v>
      </c>
      <c r="F2338" s="20" t="str">
        <f t="shared" ca="1" si="404"/>
        <v>No</v>
      </c>
      <c r="G2338" s="21">
        <f t="shared" ca="1" si="400"/>
        <v>0</v>
      </c>
      <c r="H2338" s="21">
        <f t="shared" ca="1" si="401"/>
        <v>7104.9398695245882</v>
      </c>
      <c r="I2338" s="21">
        <f t="shared" ca="1" si="396"/>
        <v>7105.6207521885626</v>
      </c>
      <c r="J2338" s="20">
        <f t="shared" ca="1" si="405"/>
        <v>3</v>
      </c>
      <c r="K2338" s="20">
        <f t="shared" ca="1" si="397"/>
        <v>1</v>
      </c>
      <c r="L2338" s="44">
        <f t="shared" ca="1" si="402"/>
        <v>2</v>
      </c>
    </row>
    <row r="2339" spans="1:12" x14ac:dyDescent="0.25">
      <c r="A2339" s="20">
        <v>2331</v>
      </c>
      <c r="B2339" s="21">
        <f t="shared" ca="1" si="398"/>
        <v>0.2506166864623614</v>
      </c>
      <c r="C2339" s="21">
        <f t="shared" ca="1" si="403"/>
        <v>7104.132845861961</v>
      </c>
      <c r="D2339" s="21">
        <f t="shared" ca="1" si="399"/>
        <v>0.21175263765397523</v>
      </c>
      <c r="E2339" s="21">
        <f t="shared" ca="1" si="406"/>
        <v>1.4879063266016601</v>
      </c>
      <c r="F2339" s="20" t="str">
        <f t="shared" ca="1" si="404"/>
        <v>No</v>
      </c>
      <c r="G2339" s="21">
        <f t="shared" ca="1" si="400"/>
        <v>0</v>
      </c>
      <c r="H2339" s="21">
        <f t="shared" ca="1" si="401"/>
        <v>7105.6207521885626</v>
      </c>
      <c r="I2339" s="21">
        <f t="shared" ca="1" si="396"/>
        <v>7105.8325048262168</v>
      </c>
      <c r="J2339" s="20">
        <f t="shared" ca="1" si="405"/>
        <v>2</v>
      </c>
      <c r="K2339" s="20">
        <f t="shared" ca="1" si="397"/>
        <v>0</v>
      </c>
      <c r="L2339" s="44">
        <f t="shared" ca="1" si="402"/>
        <v>1</v>
      </c>
    </row>
    <row r="2340" spans="1:12" x14ac:dyDescent="0.25">
      <c r="A2340" s="20">
        <v>2332</v>
      </c>
      <c r="B2340" s="21">
        <f t="shared" ca="1" si="398"/>
        <v>7.1423275469719076</v>
      </c>
      <c r="C2340" s="21">
        <f t="shared" ca="1" si="403"/>
        <v>7111.2751734089325</v>
      </c>
      <c r="D2340" s="21">
        <f t="shared" ca="1" si="399"/>
        <v>0.83206871346659517</v>
      </c>
      <c r="E2340" s="21">
        <f t="shared" ca="1" si="406"/>
        <v>0</v>
      </c>
      <c r="F2340" s="20" t="str">
        <f t="shared" ca="1" si="404"/>
        <v>Yes</v>
      </c>
      <c r="G2340" s="21">
        <f t="shared" ca="1" si="400"/>
        <v>5.4426685827156689</v>
      </c>
      <c r="H2340" s="21">
        <f t="shared" ca="1" si="401"/>
        <v>7111.2751734089325</v>
      </c>
      <c r="I2340" s="21">
        <f t="shared" ca="1" si="396"/>
        <v>7112.1072421223989</v>
      </c>
      <c r="J2340" s="20">
        <f t="shared" ca="1" si="405"/>
        <v>0</v>
      </c>
      <c r="K2340" s="20">
        <f t="shared" ca="1" si="397"/>
        <v>0</v>
      </c>
      <c r="L2340" s="44">
        <f t="shared" ca="1" si="402"/>
        <v>0</v>
      </c>
    </row>
    <row r="2341" spans="1:12" x14ac:dyDescent="0.25">
      <c r="A2341" s="20">
        <v>2333</v>
      </c>
      <c r="B2341" s="21">
        <f t="shared" ca="1" si="398"/>
        <v>2.4279077352109479</v>
      </c>
      <c r="C2341" s="21">
        <f t="shared" ca="1" si="403"/>
        <v>7113.7030811441437</v>
      </c>
      <c r="D2341" s="21">
        <f t="shared" ca="1" si="399"/>
        <v>7.9142801031237484</v>
      </c>
      <c r="E2341" s="21">
        <f t="shared" ca="1" si="406"/>
        <v>0</v>
      </c>
      <c r="F2341" s="20" t="str">
        <f t="shared" ca="1" si="404"/>
        <v>Yes</v>
      </c>
      <c r="G2341" s="21">
        <f t="shared" ca="1" si="400"/>
        <v>1.5958390217447231</v>
      </c>
      <c r="H2341" s="21">
        <f t="shared" ca="1" si="401"/>
        <v>7113.7030811441437</v>
      </c>
      <c r="I2341" s="21">
        <f t="shared" ca="1" si="396"/>
        <v>7121.6173612472676</v>
      </c>
      <c r="J2341" s="20">
        <f t="shared" ca="1" si="405"/>
        <v>0</v>
      </c>
      <c r="K2341" s="20">
        <f t="shared" ca="1" si="397"/>
        <v>1</v>
      </c>
      <c r="L2341" s="44">
        <f t="shared" ca="1" si="402"/>
        <v>0.5</v>
      </c>
    </row>
    <row r="2342" spans="1:12" x14ac:dyDescent="0.25">
      <c r="A2342" s="20">
        <v>2334</v>
      </c>
      <c r="B2342" s="21">
        <f t="shared" ca="1" si="398"/>
        <v>1.0226480084656435</v>
      </c>
      <c r="C2342" s="21">
        <f t="shared" ca="1" si="403"/>
        <v>7114.7257291526093</v>
      </c>
      <c r="D2342" s="21">
        <f t="shared" ca="1" si="399"/>
        <v>4.9425853855241053</v>
      </c>
      <c r="E2342" s="21">
        <f t="shared" ca="1" si="406"/>
        <v>6.8916320946582346</v>
      </c>
      <c r="F2342" s="20" t="str">
        <f t="shared" ca="1" si="404"/>
        <v>No</v>
      </c>
      <c r="G2342" s="21">
        <f t="shared" ca="1" si="400"/>
        <v>0</v>
      </c>
      <c r="H2342" s="21">
        <f t="shared" ca="1" si="401"/>
        <v>7121.6173612472676</v>
      </c>
      <c r="I2342" s="21">
        <f t="shared" ca="1" si="396"/>
        <v>7126.5599466327913</v>
      </c>
      <c r="J2342" s="20">
        <f t="shared" ca="1" si="405"/>
        <v>2</v>
      </c>
      <c r="K2342" s="20">
        <f t="shared" ca="1" si="397"/>
        <v>4</v>
      </c>
      <c r="L2342" s="44">
        <f t="shared" ca="1" si="402"/>
        <v>3</v>
      </c>
    </row>
    <row r="2343" spans="1:12" x14ac:dyDescent="0.25">
      <c r="A2343" s="20">
        <v>2335</v>
      </c>
      <c r="B2343" s="21">
        <f t="shared" ca="1" si="398"/>
        <v>7.2026716587884083</v>
      </c>
      <c r="C2343" s="21">
        <f t="shared" ca="1" si="403"/>
        <v>7121.9284008113982</v>
      </c>
      <c r="D2343" s="21">
        <f t="shared" ca="1" si="399"/>
        <v>0.66154453718124473</v>
      </c>
      <c r="E2343" s="21">
        <f t="shared" ca="1" si="406"/>
        <v>4.6315458213930469</v>
      </c>
      <c r="F2343" s="20" t="str">
        <f t="shared" ca="1" si="404"/>
        <v>No</v>
      </c>
      <c r="G2343" s="21">
        <f t="shared" ca="1" si="400"/>
        <v>0</v>
      </c>
      <c r="H2343" s="21">
        <f t="shared" ca="1" si="401"/>
        <v>7126.5599466327913</v>
      </c>
      <c r="I2343" s="21">
        <f t="shared" ca="1" si="396"/>
        <v>7127.2214911699721</v>
      </c>
      <c r="J2343" s="20">
        <f t="shared" ca="1" si="405"/>
        <v>5</v>
      </c>
      <c r="K2343" s="20">
        <f t="shared" ca="1" si="397"/>
        <v>3</v>
      </c>
      <c r="L2343" s="44">
        <f t="shared" ca="1" si="402"/>
        <v>4</v>
      </c>
    </row>
    <row r="2344" spans="1:12" x14ac:dyDescent="0.25">
      <c r="A2344" s="20">
        <v>2336</v>
      </c>
      <c r="B2344" s="21">
        <f t="shared" ca="1" si="398"/>
        <v>0.92400959358312895</v>
      </c>
      <c r="C2344" s="21">
        <f t="shared" ca="1" si="403"/>
        <v>7122.8524104049811</v>
      </c>
      <c r="D2344" s="21">
        <f t="shared" ca="1" si="399"/>
        <v>2.1832321283825196</v>
      </c>
      <c r="E2344" s="21">
        <f t="shared" ca="1" si="406"/>
        <v>4.3690807649909402</v>
      </c>
      <c r="F2344" s="20" t="str">
        <f t="shared" ca="1" si="404"/>
        <v>No</v>
      </c>
      <c r="G2344" s="21">
        <f t="shared" ca="1" si="400"/>
        <v>0</v>
      </c>
      <c r="H2344" s="21">
        <f t="shared" ca="1" si="401"/>
        <v>7127.2214911699721</v>
      </c>
      <c r="I2344" s="21">
        <f t="shared" ca="1" si="396"/>
        <v>7129.4047232983548</v>
      </c>
      <c r="J2344" s="20">
        <f t="shared" ca="1" si="405"/>
        <v>4</v>
      </c>
      <c r="K2344" s="20">
        <f t="shared" ca="1" si="397"/>
        <v>2</v>
      </c>
      <c r="L2344" s="44">
        <f t="shared" ca="1" si="402"/>
        <v>3</v>
      </c>
    </row>
    <row r="2345" spans="1:12" x14ac:dyDescent="0.25">
      <c r="A2345" s="20">
        <v>2337</v>
      </c>
      <c r="B2345" s="21">
        <f t="shared" ca="1" si="398"/>
        <v>1.1217959478198682</v>
      </c>
      <c r="C2345" s="21">
        <f t="shared" ca="1" si="403"/>
        <v>7123.974206352801</v>
      </c>
      <c r="D2345" s="21">
        <f t="shared" ca="1" si="399"/>
        <v>5.0368074118093702</v>
      </c>
      <c r="E2345" s="21">
        <f t="shared" ca="1" si="406"/>
        <v>5.4305169455537907</v>
      </c>
      <c r="F2345" s="20" t="str">
        <f t="shared" ca="1" si="404"/>
        <v>No</v>
      </c>
      <c r="G2345" s="21">
        <f t="shared" ca="1" si="400"/>
        <v>0</v>
      </c>
      <c r="H2345" s="21">
        <f t="shared" ca="1" si="401"/>
        <v>7129.4047232983548</v>
      </c>
      <c r="I2345" s="21">
        <f t="shared" ca="1" si="396"/>
        <v>7134.4415307101644</v>
      </c>
      <c r="J2345" s="20">
        <f t="shared" ca="1" si="405"/>
        <v>3</v>
      </c>
      <c r="K2345" s="20">
        <f t="shared" ca="1" si="397"/>
        <v>2</v>
      </c>
      <c r="L2345" s="44">
        <f t="shared" ca="1" si="402"/>
        <v>2.5</v>
      </c>
    </row>
    <row r="2346" spans="1:12" x14ac:dyDescent="0.25">
      <c r="A2346" s="20">
        <v>2338</v>
      </c>
      <c r="B2346" s="21">
        <f t="shared" ca="1" si="398"/>
        <v>0.36229322946077464</v>
      </c>
      <c r="C2346" s="21">
        <f t="shared" ca="1" si="403"/>
        <v>7124.3364995822621</v>
      </c>
      <c r="D2346" s="21">
        <f t="shared" ca="1" si="399"/>
        <v>1.1746507113923847</v>
      </c>
      <c r="E2346" s="21">
        <f t="shared" ca="1" si="406"/>
        <v>10.105031127902294</v>
      </c>
      <c r="F2346" s="20" t="str">
        <f t="shared" ca="1" si="404"/>
        <v>No</v>
      </c>
      <c r="G2346" s="21">
        <f t="shared" ca="1" si="400"/>
        <v>0</v>
      </c>
      <c r="H2346" s="21">
        <f t="shared" ca="1" si="401"/>
        <v>7134.4415307101644</v>
      </c>
      <c r="I2346" s="21">
        <f t="shared" ca="1" si="396"/>
        <v>7135.6161814215566</v>
      </c>
      <c r="J2346" s="20">
        <f t="shared" ca="1" si="405"/>
        <v>3</v>
      </c>
      <c r="K2346" s="20">
        <f t="shared" ca="1" si="397"/>
        <v>2</v>
      </c>
      <c r="L2346" s="44">
        <f t="shared" ca="1" si="402"/>
        <v>2.5</v>
      </c>
    </row>
    <row r="2347" spans="1:12" x14ac:dyDescent="0.25">
      <c r="A2347" s="20">
        <v>2339</v>
      </c>
      <c r="B2347" s="21">
        <f t="shared" ca="1" si="398"/>
        <v>7.0089915524713673</v>
      </c>
      <c r="C2347" s="21">
        <f t="shared" ca="1" si="403"/>
        <v>7131.3454911347335</v>
      </c>
      <c r="D2347" s="21">
        <f t="shared" ca="1" si="399"/>
        <v>0.79935346449871636</v>
      </c>
      <c r="E2347" s="21">
        <f t="shared" ca="1" si="406"/>
        <v>4.2706902868230827</v>
      </c>
      <c r="F2347" s="20" t="str">
        <f t="shared" ca="1" si="404"/>
        <v>No</v>
      </c>
      <c r="G2347" s="21">
        <f t="shared" ca="1" si="400"/>
        <v>0</v>
      </c>
      <c r="H2347" s="21">
        <f t="shared" ca="1" si="401"/>
        <v>7135.6161814215566</v>
      </c>
      <c r="I2347" s="21">
        <f t="shared" ca="1" si="396"/>
        <v>7136.415534886055</v>
      </c>
      <c r="J2347" s="20">
        <f t="shared" ca="1" si="405"/>
        <v>3</v>
      </c>
      <c r="K2347" s="20">
        <f t="shared" ca="1" si="397"/>
        <v>1</v>
      </c>
      <c r="L2347" s="44">
        <f t="shared" ca="1" si="402"/>
        <v>2</v>
      </c>
    </row>
    <row r="2348" spans="1:12" x14ac:dyDescent="0.25">
      <c r="A2348" s="20">
        <v>2340</v>
      </c>
      <c r="B2348" s="21">
        <f t="shared" ca="1" si="398"/>
        <v>3.9854433598576033</v>
      </c>
      <c r="C2348" s="21">
        <f t="shared" ca="1" si="403"/>
        <v>7135.330934494591</v>
      </c>
      <c r="D2348" s="21">
        <f t="shared" ca="1" si="399"/>
        <v>1.1945667130671231</v>
      </c>
      <c r="E2348" s="21">
        <f t="shared" ca="1" si="406"/>
        <v>1.0846003914639368</v>
      </c>
      <c r="F2348" s="20" t="str">
        <f t="shared" ca="1" si="404"/>
        <v>No</v>
      </c>
      <c r="G2348" s="21">
        <f t="shared" ca="1" si="400"/>
        <v>0</v>
      </c>
      <c r="H2348" s="21">
        <f t="shared" ca="1" si="401"/>
        <v>7136.415534886055</v>
      </c>
      <c r="I2348" s="21">
        <f t="shared" ca="1" si="396"/>
        <v>7137.6101015991217</v>
      </c>
      <c r="J2348" s="20">
        <f t="shared" ca="1" si="405"/>
        <v>2</v>
      </c>
      <c r="K2348" s="20">
        <f t="shared" ca="1" si="397"/>
        <v>1</v>
      </c>
      <c r="L2348" s="44">
        <f t="shared" ca="1" si="402"/>
        <v>1.5</v>
      </c>
    </row>
    <row r="2349" spans="1:12" x14ac:dyDescent="0.25">
      <c r="A2349" s="20">
        <v>2341</v>
      </c>
      <c r="B2349" s="21">
        <f t="shared" ca="1" si="398"/>
        <v>1.5923328498238709</v>
      </c>
      <c r="C2349" s="21">
        <f t="shared" ca="1" si="403"/>
        <v>7136.9232673444149</v>
      </c>
      <c r="D2349" s="21">
        <f t="shared" ca="1" si="399"/>
        <v>5.291659151056046</v>
      </c>
      <c r="E2349" s="21">
        <f t="shared" ca="1" si="406"/>
        <v>0.68683425470680959</v>
      </c>
      <c r="F2349" s="20" t="str">
        <f t="shared" ca="1" si="404"/>
        <v>No</v>
      </c>
      <c r="G2349" s="21">
        <f t="shared" ca="1" si="400"/>
        <v>0</v>
      </c>
      <c r="H2349" s="21">
        <f t="shared" ca="1" si="401"/>
        <v>7137.6101015991217</v>
      </c>
      <c r="I2349" s="21">
        <f t="shared" ca="1" si="396"/>
        <v>7142.9017607501773</v>
      </c>
      <c r="J2349" s="20">
        <f t="shared" ca="1" si="405"/>
        <v>2</v>
      </c>
      <c r="K2349" s="20">
        <f t="shared" ca="1" si="397"/>
        <v>2</v>
      </c>
      <c r="L2349" s="44">
        <f t="shared" ca="1" si="402"/>
        <v>2</v>
      </c>
    </row>
    <row r="2350" spans="1:12" x14ac:dyDescent="0.25">
      <c r="A2350" s="20">
        <v>2342</v>
      </c>
      <c r="B2350" s="21">
        <f t="shared" ca="1" si="398"/>
        <v>4.0385081879858511</v>
      </c>
      <c r="C2350" s="21">
        <f t="shared" ca="1" si="403"/>
        <v>7140.9617755324007</v>
      </c>
      <c r="D2350" s="21">
        <f t="shared" ca="1" si="399"/>
        <v>6.1802772871675042</v>
      </c>
      <c r="E2350" s="21">
        <f t="shared" ca="1" si="406"/>
        <v>1.9399852177766661</v>
      </c>
      <c r="F2350" s="20" t="str">
        <f t="shared" ca="1" si="404"/>
        <v>No</v>
      </c>
      <c r="G2350" s="21">
        <f t="shared" ca="1" si="400"/>
        <v>0</v>
      </c>
      <c r="H2350" s="21">
        <f t="shared" ca="1" si="401"/>
        <v>7142.9017607501773</v>
      </c>
      <c r="I2350" s="21">
        <f t="shared" ca="1" si="396"/>
        <v>7149.0820380373452</v>
      </c>
      <c r="J2350" s="20">
        <f t="shared" ca="1" si="405"/>
        <v>3</v>
      </c>
      <c r="K2350" s="20">
        <f t="shared" ca="1" si="397"/>
        <v>1</v>
      </c>
      <c r="L2350" s="44">
        <f t="shared" ca="1" si="402"/>
        <v>2</v>
      </c>
    </row>
    <row r="2351" spans="1:12" x14ac:dyDescent="0.25">
      <c r="A2351" s="20">
        <v>2343</v>
      </c>
      <c r="B2351" s="21">
        <f t="shared" ca="1" si="398"/>
        <v>1.5650348279839121</v>
      </c>
      <c r="C2351" s="21">
        <f t="shared" ca="1" si="403"/>
        <v>7142.5268103603848</v>
      </c>
      <c r="D2351" s="21">
        <f t="shared" ca="1" si="399"/>
        <v>0.4433741473443355</v>
      </c>
      <c r="E2351" s="21">
        <f t="shared" ca="1" si="406"/>
        <v>6.555227676960385</v>
      </c>
      <c r="F2351" s="20" t="str">
        <f t="shared" ca="1" si="404"/>
        <v>No</v>
      </c>
      <c r="G2351" s="21">
        <f t="shared" ca="1" si="400"/>
        <v>0</v>
      </c>
      <c r="H2351" s="21">
        <f t="shared" ca="1" si="401"/>
        <v>7149.0820380373452</v>
      </c>
      <c r="I2351" s="21">
        <f t="shared" ca="1" si="396"/>
        <v>7149.5254121846892</v>
      </c>
      <c r="J2351" s="20">
        <f t="shared" ca="1" si="405"/>
        <v>2</v>
      </c>
      <c r="K2351" s="20">
        <f t="shared" ca="1" si="397"/>
        <v>2</v>
      </c>
      <c r="L2351" s="44">
        <f t="shared" ca="1" si="402"/>
        <v>2</v>
      </c>
    </row>
    <row r="2352" spans="1:12" x14ac:dyDescent="0.25">
      <c r="A2352" s="20">
        <v>2344</v>
      </c>
      <c r="B2352" s="21">
        <f t="shared" ca="1" si="398"/>
        <v>6.8435414368974348</v>
      </c>
      <c r="C2352" s="21">
        <f t="shared" ca="1" si="403"/>
        <v>7149.3703517972826</v>
      </c>
      <c r="D2352" s="21">
        <f t="shared" ca="1" si="399"/>
        <v>7.6416109487302389E-2</v>
      </c>
      <c r="E2352" s="21">
        <f t="shared" ca="1" si="406"/>
        <v>0.15506038740659278</v>
      </c>
      <c r="F2352" s="20" t="str">
        <f t="shared" ca="1" si="404"/>
        <v>No</v>
      </c>
      <c r="G2352" s="21">
        <f t="shared" ca="1" si="400"/>
        <v>0</v>
      </c>
      <c r="H2352" s="21">
        <f t="shared" ca="1" si="401"/>
        <v>7149.5254121846892</v>
      </c>
      <c r="I2352" s="21">
        <f t="shared" ca="1" si="396"/>
        <v>7149.6018282941768</v>
      </c>
      <c r="J2352" s="20">
        <f t="shared" ca="1" si="405"/>
        <v>3</v>
      </c>
      <c r="K2352" s="20">
        <f t="shared" ca="1" si="397"/>
        <v>1</v>
      </c>
      <c r="L2352" s="44">
        <f t="shared" ca="1" si="402"/>
        <v>2</v>
      </c>
    </row>
    <row r="2353" spans="1:12" x14ac:dyDescent="0.25">
      <c r="A2353" s="20">
        <v>2345</v>
      </c>
      <c r="B2353" s="21">
        <f t="shared" ca="1" si="398"/>
        <v>0.12016167224415104</v>
      </c>
      <c r="C2353" s="21">
        <f t="shared" ca="1" si="403"/>
        <v>7149.4905134695264</v>
      </c>
      <c r="D2353" s="21">
        <f t="shared" ca="1" si="399"/>
        <v>7.1148251729469756</v>
      </c>
      <c r="E2353" s="21">
        <f t="shared" ca="1" si="406"/>
        <v>0.11131482465043518</v>
      </c>
      <c r="F2353" s="20" t="str">
        <f t="shared" ca="1" si="404"/>
        <v>No</v>
      </c>
      <c r="G2353" s="21">
        <f t="shared" ca="1" si="400"/>
        <v>0</v>
      </c>
      <c r="H2353" s="21">
        <f t="shared" ca="1" si="401"/>
        <v>7149.6018282941768</v>
      </c>
      <c r="I2353" s="21">
        <f t="shared" ca="1" si="396"/>
        <v>7156.7166534671242</v>
      </c>
      <c r="J2353" s="20">
        <f t="shared" ca="1" si="405"/>
        <v>2</v>
      </c>
      <c r="K2353" s="20">
        <f t="shared" ca="1" si="397"/>
        <v>4</v>
      </c>
      <c r="L2353" s="44">
        <f t="shared" ca="1" si="402"/>
        <v>3</v>
      </c>
    </row>
    <row r="2354" spans="1:12" x14ac:dyDescent="0.25">
      <c r="A2354" s="20">
        <v>2346</v>
      </c>
      <c r="B2354" s="21">
        <f t="shared" ca="1" si="398"/>
        <v>0.16489072928611928</v>
      </c>
      <c r="C2354" s="21">
        <f t="shared" ca="1" si="403"/>
        <v>7149.6554041988129</v>
      </c>
      <c r="D2354" s="21">
        <f t="shared" ca="1" si="399"/>
        <v>8.214913829523228</v>
      </c>
      <c r="E2354" s="21">
        <f t="shared" ca="1" si="406"/>
        <v>7.0612492683112578</v>
      </c>
      <c r="F2354" s="20" t="str">
        <f t="shared" ca="1" si="404"/>
        <v>No</v>
      </c>
      <c r="G2354" s="21">
        <f t="shared" ca="1" si="400"/>
        <v>0</v>
      </c>
      <c r="H2354" s="21">
        <f t="shared" ca="1" si="401"/>
        <v>7156.7166534671242</v>
      </c>
      <c r="I2354" s="21">
        <f t="shared" ca="1" si="396"/>
        <v>7164.9315672966477</v>
      </c>
      <c r="J2354" s="20">
        <f t="shared" ca="1" si="405"/>
        <v>5</v>
      </c>
      <c r="K2354" s="20">
        <f t="shared" ca="1" si="397"/>
        <v>5</v>
      </c>
      <c r="L2354" s="44">
        <f t="shared" ca="1" si="402"/>
        <v>5</v>
      </c>
    </row>
    <row r="2355" spans="1:12" x14ac:dyDescent="0.25">
      <c r="A2355" s="20">
        <v>2347</v>
      </c>
      <c r="B2355" s="21">
        <f t="shared" ca="1" si="398"/>
        <v>3.2614462787519205</v>
      </c>
      <c r="C2355" s="21">
        <f t="shared" ca="1" si="403"/>
        <v>7152.9168504775653</v>
      </c>
      <c r="D2355" s="21">
        <f t="shared" ca="1" si="399"/>
        <v>3.399646164524877</v>
      </c>
      <c r="E2355" s="21">
        <f t="shared" ca="1" si="406"/>
        <v>12.014716819082423</v>
      </c>
      <c r="F2355" s="20" t="str">
        <f t="shared" ca="1" si="404"/>
        <v>No</v>
      </c>
      <c r="G2355" s="21">
        <f t="shared" ca="1" si="400"/>
        <v>0</v>
      </c>
      <c r="H2355" s="21">
        <f t="shared" ca="1" si="401"/>
        <v>7164.9315672966477</v>
      </c>
      <c r="I2355" s="21">
        <f t="shared" ca="1" si="396"/>
        <v>7168.3312134611724</v>
      </c>
      <c r="J2355" s="20">
        <f t="shared" ca="1" si="405"/>
        <v>6</v>
      </c>
      <c r="K2355" s="20">
        <f t="shared" ca="1" si="397"/>
        <v>5</v>
      </c>
      <c r="L2355" s="44">
        <f t="shared" ca="1" si="402"/>
        <v>5.5</v>
      </c>
    </row>
    <row r="2356" spans="1:12" x14ac:dyDescent="0.25">
      <c r="A2356" s="20">
        <v>2348</v>
      </c>
      <c r="B2356" s="21">
        <f t="shared" ca="1" si="398"/>
        <v>0.62082920090673488</v>
      </c>
      <c r="C2356" s="21">
        <f t="shared" ca="1" si="403"/>
        <v>7153.5376796784722</v>
      </c>
      <c r="D2356" s="21">
        <f t="shared" ca="1" si="399"/>
        <v>0.33229298575707178</v>
      </c>
      <c r="E2356" s="21">
        <f t="shared" ca="1" si="406"/>
        <v>14.793533782700251</v>
      </c>
      <c r="F2356" s="20" t="str">
        <f t="shared" ca="1" si="404"/>
        <v>No</v>
      </c>
      <c r="G2356" s="21">
        <f t="shared" ca="1" si="400"/>
        <v>0</v>
      </c>
      <c r="H2356" s="21">
        <f t="shared" ca="1" si="401"/>
        <v>7168.3312134611724</v>
      </c>
      <c r="I2356" s="21">
        <f t="shared" ca="1" si="396"/>
        <v>7168.6635064469292</v>
      </c>
      <c r="J2356" s="20">
        <f t="shared" ca="1" si="405"/>
        <v>6</v>
      </c>
      <c r="K2356" s="20">
        <f t="shared" ca="1" si="397"/>
        <v>5</v>
      </c>
      <c r="L2356" s="44">
        <f t="shared" ca="1" si="402"/>
        <v>5.5</v>
      </c>
    </row>
    <row r="2357" spans="1:12" x14ac:dyDescent="0.25">
      <c r="A2357" s="20">
        <v>2349</v>
      </c>
      <c r="B2357" s="21">
        <f t="shared" ca="1" si="398"/>
        <v>2.6899748418934086</v>
      </c>
      <c r="C2357" s="21">
        <f t="shared" ca="1" si="403"/>
        <v>7156.2276545203658</v>
      </c>
      <c r="D2357" s="21">
        <f t="shared" ca="1" si="399"/>
        <v>0.22453208407956676</v>
      </c>
      <c r="E2357" s="21">
        <f t="shared" ca="1" si="406"/>
        <v>12.435851926563373</v>
      </c>
      <c r="F2357" s="20" t="str">
        <f t="shared" ca="1" si="404"/>
        <v>No</v>
      </c>
      <c r="G2357" s="21">
        <f t="shared" ca="1" si="400"/>
        <v>0</v>
      </c>
      <c r="H2357" s="21">
        <f t="shared" ca="1" si="401"/>
        <v>7168.6635064469292</v>
      </c>
      <c r="I2357" s="21">
        <f t="shared" ca="1" si="396"/>
        <v>7168.8880385310085</v>
      </c>
      <c r="J2357" s="20">
        <f t="shared" ca="1" si="405"/>
        <v>6</v>
      </c>
      <c r="K2357" s="20">
        <f t="shared" ca="1" si="397"/>
        <v>4</v>
      </c>
      <c r="L2357" s="44">
        <f t="shared" ca="1" si="402"/>
        <v>5</v>
      </c>
    </row>
    <row r="2358" spans="1:12" x14ac:dyDescent="0.25">
      <c r="A2358" s="20">
        <v>2350</v>
      </c>
      <c r="B2358" s="21">
        <f t="shared" ca="1" si="398"/>
        <v>1.6099560678859899</v>
      </c>
      <c r="C2358" s="21">
        <f t="shared" ca="1" si="403"/>
        <v>7157.8376105882517</v>
      </c>
      <c r="D2358" s="21">
        <f t="shared" ca="1" si="399"/>
        <v>2.7106365017561251</v>
      </c>
      <c r="E2358" s="21">
        <f t="shared" ca="1" si="406"/>
        <v>11.050427942756869</v>
      </c>
      <c r="F2358" s="20" t="str">
        <f t="shared" ca="1" si="404"/>
        <v>No</v>
      </c>
      <c r="G2358" s="21">
        <f t="shared" ca="1" si="400"/>
        <v>0</v>
      </c>
      <c r="H2358" s="21">
        <f t="shared" ca="1" si="401"/>
        <v>7168.8880385310085</v>
      </c>
      <c r="I2358" s="21">
        <f t="shared" ca="1" si="396"/>
        <v>7171.5986750327647</v>
      </c>
      <c r="J2358" s="20">
        <f t="shared" ca="1" si="405"/>
        <v>5</v>
      </c>
      <c r="K2358" s="20">
        <f t="shared" ca="1" si="397"/>
        <v>4</v>
      </c>
      <c r="L2358" s="44">
        <f t="shared" ca="1" si="402"/>
        <v>4.5</v>
      </c>
    </row>
    <row r="2359" spans="1:12" x14ac:dyDescent="0.25">
      <c r="A2359" s="20">
        <v>2351</v>
      </c>
      <c r="B2359" s="21">
        <f t="shared" ca="1" si="398"/>
        <v>6.2903865059044621</v>
      </c>
      <c r="C2359" s="21">
        <f t="shared" ca="1" si="403"/>
        <v>7164.1279970941559</v>
      </c>
      <c r="D2359" s="21">
        <f t="shared" ca="1" si="399"/>
        <v>1.3272122144272287</v>
      </c>
      <c r="E2359" s="21">
        <f t="shared" ca="1" si="406"/>
        <v>7.4706779386087874</v>
      </c>
      <c r="F2359" s="20" t="str">
        <f t="shared" ca="1" si="404"/>
        <v>No</v>
      </c>
      <c r="G2359" s="21">
        <f t="shared" ca="1" si="400"/>
        <v>0</v>
      </c>
      <c r="H2359" s="21">
        <f t="shared" ca="1" si="401"/>
        <v>7171.5986750327647</v>
      </c>
      <c r="I2359" s="21">
        <f t="shared" ca="1" si="396"/>
        <v>7172.9258872471919</v>
      </c>
      <c r="J2359" s="20">
        <f t="shared" ca="1" si="405"/>
        <v>5</v>
      </c>
      <c r="K2359" s="20">
        <f t="shared" ca="1" si="397"/>
        <v>3</v>
      </c>
      <c r="L2359" s="44">
        <f t="shared" ca="1" si="402"/>
        <v>4</v>
      </c>
    </row>
    <row r="2360" spans="1:12" x14ac:dyDescent="0.25">
      <c r="A2360" s="20">
        <v>2352</v>
      </c>
      <c r="B2360" s="21">
        <f t="shared" ca="1" si="398"/>
        <v>0.38273960815956098</v>
      </c>
      <c r="C2360" s="21">
        <f t="shared" ca="1" si="403"/>
        <v>7164.5107367023156</v>
      </c>
      <c r="D2360" s="21">
        <f t="shared" ca="1" si="399"/>
        <v>0.14727400359811091</v>
      </c>
      <c r="E2360" s="21">
        <f t="shared" ca="1" si="406"/>
        <v>8.4151505448762691</v>
      </c>
      <c r="F2360" s="20" t="str">
        <f t="shared" ca="1" si="404"/>
        <v>No</v>
      </c>
      <c r="G2360" s="21">
        <f t="shared" ca="1" si="400"/>
        <v>0</v>
      </c>
      <c r="H2360" s="21">
        <f t="shared" ca="1" si="401"/>
        <v>7172.9258872471919</v>
      </c>
      <c r="I2360" s="21">
        <f t="shared" ca="1" si="396"/>
        <v>7173.0731612507898</v>
      </c>
      <c r="J2360" s="20">
        <f t="shared" ca="1" si="405"/>
        <v>4</v>
      </c>
      <c r="K2360" s="20">
        <f t="shared" ca="1" si="397"/>
        <v>2</v>
      </c>
      <c r="L2360" s="44">
        <f t="shared" ca="1" si="402"/>
        <v>3</v>
      </c>
    </row>
    <row r="2361" spans="1:12" x14ac:dyDescent="0.25">
      <c r="A2361" s="20">
        <v>2353</v>
      </c>
      <c r="B2361" s="21">
        <f t="shared" ca="1" si="398"/>
        <v>0.81038149581766894</v>
      </c>
      <c r="C2361" s="21">
        <f t="shared" ca="1" si="403"/>
        <v>7165.3211181981333</v>
      </c>
      <c r="D2361" s="21">
        <f t="shared" ca="1" si="399"/>
        <v>1.6957622311897296</v>
      </c>
      <c r="E2361" s="21">
        <f t="shared" ca="1" si="406"/>
        <v>7.7520430526565178</v>
      </c>
      <c r="F2361" s="20" t="str">
        <f t="shared" ca="1" si="404"/>
        <v>No</v>
      </c>
      <c r="G2361" s="21">
        <f t="shared" ca="1" si="400"/>
        <v>0</v>
      </c>
      <c r="H2361" s="21">
        <f t="shared" ca="1" si="401"/>
        <v>7173.0731612507898</v>
      </c>
      <c r="I2361" s="21">
        <f t="shared" ca="1" si="396"/>
        <v>7174.7689234819791</v>
      </c>
      <c r="J2361" s="20">
        <f t="shared" ca="1" si="405"/>
        <v>3</v>
      </c>
      <c r="K2361" s="20">
        <f t="shared" ca="1" si="397"/>
        <v>2</v>
      </c>
      <c r="L2361" s="44">
        <f t="shared" ca="1" si="402"/>
        <v>2.5</v>
      </c>
    </row>
    <row r="2362" spans="1:12" x14ac:dyDescent="0.25">
      <c r="A2362" s="20">
        <v>2354</v>
      </c>
      <c r="B2362" s="21">
        <f t="shared" ca="1" si="398"/>
        <v>4.0223038475530855</v>
      </c>
      <c r="C2362" s="21">
        <f t="shared" ca="1" si="403"/>
        <v>7169.3434220456866</v>
      </c>
      <c r="D2362" s="21">
        <f t="shared" ca="1" si="399"/>
        <v>0.11825714535674212</v>
      </c>
      <c r="E2362" s="21">
        <f t="shared" ca="1" si="406"/>
        <v>5.4255014362925067</v>
      </c>
      <c r="F2362" s="20" t="str">
        <f t="shared" ca="1" si="404"/>
        <v>No</v>
      </c>
      <c r="G2362" s="21">
        <f t="shared" ca="1" si="400"/>
        <v>0</v>
      </c>
      <c r="H2362" s="21">
        <f t="shared" ca="1" si="401"/>
        <v>7174.7689234819791</v>
      </c>
      <c r="I2362" s="21">
        <f t="shared" ca="1" si="396"/>
        <v>7174.8871806273355</v>
      </c>
      <c r="J2362" s="20">
        <f t="shared" ca="1" si="405"/>
        <v>3</v>
      </c>
      <c r="K2362" s="20">
        <f t="shared" ca="1" si="397"/>
        <v>1</v>
      </c>
      <c r="L2362" s="44">
        <f t="shared" ca="1" si="402"/>
        <v>2</v>
      </c>
    </row>
    <row r="2363" spans="1:12" x14ac:dyDescent="0.25">
      <c r="A2363" s="20">
        <v>2355</v>
      </c>
      <c r="B2363" s="21">
        <f t="shared" ca="1" si="398"/>
        <v>5.2653688365294604</v>
      </c>
      <c r="C2363" s="21">
        <f t="shared" ca="1" si="403"/>
        <v>7174.6087908822165</v>
      </c>
      <c r="D2363" s="21">
        <f t="shared" ca="1" si="399"/>
        <v>1.4569843431516596</v>
      </c>
      <c r="E2363" s="21">
        <f t="shared" ca="1" si="406"/>
        <v>0.2783897451190569</v>
      </c>
      <c r="F2363" s="20" t="str">
        <f t="shared" ca="1" si="404"/>
        <v>No</v>
      </c>
      <c r="G2363" s="21">
        <f t="shared" ca="1" si="400"/>
        <v>0</v>
      </c>
      <c r="H2363" s="21">
        <f t="shared" ca="1" si="401"/>
        <v>7174.8871806273355</v>
      </c>
      <c r="I2363" s="21">
        <f t="shared" ca="1" si="396"/>
        <v>7176.3441649704873</v>
      </c>
      <c r="J2363" s="20">
        <f t="shared" ca="1" si="405"/>
        <v>2</v>
      </c>
      <c r="K2363" s="20">
        <f t="shared" ca="1" si="397"/>
        <v>1</v>
      </c>
      <c r="L2363" s="44">
        <f t="shared" ca="1" si="402"/>
        <v>1.5</v>
      </c>
    </row>
    <row r="2364" spans="1:12" x14ac:dyDescent="0.25">
      <c r="A2364" s="20">
        <v>2356</v>
      </c>
      <c r="B2364" s="21">
        <f t="shared" ca="1" si="398"/>
        <v>0.83347961795219994</v>
      </c>
      <c r="C2364" s="21">
        <f t="shared" ca="1" si="403"/>
        <v>7175.4422705001689</v>
      </c>
      <c r="D2364" s="21">
        <f t="shared" ca="1" si="399"/>
        <v>0.32909004509334849</v>
      </c>
      <c r="E2364" s="21">
        <f t="shared" ca="1" si="406"/>
        <v>0.90189447031843883</v>
      </c>
      <c r="F2364" s="20" t="str">
        <f t="shared" ca="1" si="404"/>
        <v>No</v>
      </c>
      <c r="G2364" s="21">
        <f t="shared" ca="1" si="400"/>
        <v>0</v>
      </c>
      <c r="H2364" s="21">
        <f t="shared" ca="1" si="401"/>
        <v>7176.3441649704873</v>
      </c>
      <c r="I2364" s="21">
        <f t="shared" ca="1" si="396"/>
        <v>7176.6732550155803</v>
      </c>
      <c r="J2364" s="20">
        <f t="shared" ca="1" si="405"/>
        <v>2</v>
      </c>
      <c r="K2364" s="20">
        <f t="shared" ca="1" si="397"/>
        <v>0</v>
      </c>
      <c r="L2364" s="44">
        <f t="shared" ca="1" si="402"/>
        <v>1</v>
      </c>
    </row>
    <row r="2365" spans="1:12" x14ac:dyDescent="0.25">
      <c r="A2365" s="20">
        <v>2357</v>
      </c>
      <c r="B2365" s="21">
        <f t="shared" ca="1" si="398"/>
        <v>4.1918664416252049</v>
      </c>
      <c r="C2365" s="21">
        <f t="shared" ca="1" si="403"/>
        <v>7179.6341369417942</v>
      </c>
      <c r="D2365" s="21">
        <f t="shared" ca="1" si="399"/>
        <v>3.2722813570074316</v>
      </c>
      <c r="E2365" s="21">
        <f t="shared" ca="1" si="406"/>
        <v>0</v>
      </c>
      <c r="F2365" s="20" t="str">
        <f t="shared" ca="1" si="404"/>
        <v>Yes</v>
      </c>
      <c r="G2365" s="21">
        <f t="shared" ca="1" si="400"/>
        <v>2.960881926213915</v>
      </c>
      <c r="H2365" s="21">
        <f t="shared" ca="1" si="401"/>
        <v>7179.6341369417942</v>
      </c>
      <c r="I2365" s="21">
        <f t="shared" ca="1" si="396"/>
        <v>7182.9064182988013</v>
      </c>
      <c r="J2365" s="20">
        <f t="shared" ca="1" si="405"/>
        <v>0</v>
      </c>
      <c r="K2365" s="20">
        <f t="shared" ca="1" si="397"/>
        <v>1</v>
      </c>
      <c r="L2365" s="44">
        <f t="shared" ca="1" si="402"/>
        <v>0.5</v>
      </c>
    </row>
    <row r="2366" spans="1:12" x14ac:dyDescent="0.25">
      <c r="A2366" s="20">
        <v>2358</v>
      </c>
      <c r="B2366" s="21">
        <f t="shared" ca="1" si="398"/>
        <v>0.59815654168910659</v>
      </c>
      <c r="C2366" s="21">
        <f t="shared" ca="1" si="403"/>
        <v>7180.2322934834829</v>
      </c>
      <c r="D2366" s="21">
        <f t="shared" ca="1" si="399"/>
        <v>1.9680363955955456</v>
      </c>
      <c r="E2366" s="21">
        <f t="shared" ca="1" si="406"/>
        <v>2.6741248153184642</v>
      </c>
      <c r="F2366" s="20" t="str">
        <f t="shared" ca="1" si="404"/>
        <v>No</v>
      </c>
      <c r="G2366" s="21">
        <f t="shared" ca="1" si="400"/>
        <v>0</v>
      </c>
      <c r="H2366" s="21">
        <f t="shared" ca="1" si="401"/>
        <v>7182.9064182988013</v>
      </c>
      <c r="I2366" s="21">
        <f t="shared" ca="1" si="396"/>
        <v>7184.8744546943972</v>
      </c>
      <c r="J2366" s="20">
        <f t="shared" ca="1" si="405"/>
        <v>2</v>
      </c>
      <c r="K2366" s="20">
        <f t="shared" ca="1" si="397"/>
        <v>1</v>
      </c>
      <c r="L2366" s="44">
        <f t="shared" ca="1" si="402"/>
        <v>1.5</v>
      </c>
    </row>
    <row r="2367" spans="1:12" x14ac:dyDescent="0.25">
      <c r="A2367" s="20">
        <v>2359</v>
      </c>
      <c r="B2367" s="21">
        <f t="shared" ca="1" si="398"/>
        <v>3.7140099147957546</v>
      </c>
      <c r="C2367" s="21">
        <f t="shared" ca="1" si="403"/>
        <v>7183.9463033982784</v>
      </c>
      <c r="D2367" s="21">
        <f t="shared" ca="1" si="399"/>
        <v>1.5832067044222837</v>
      </c>
      <c r="E2367" s="21">
        <f t="shared" ca="1" si="406"/>
        <v>0.92815129611881275</v>
      </c>
      <c r="F2367" s="20" t="str">
        <f t="shared" ca="1" si="404"/>
        <v>No</v>
      </c>
      <c r="G2367" s="21">
        <f t="shared" ca="1" si="400"/>
        <v>0</v>
      </c>
      <c r="H2367" s="21">
        <f t="shared" ca="1" si="401"/>
        <v>7184.8744546943972</v>
      </c>
      <c r="I2367" s="21">
        <f t="shared" ca="1" si="396"/>
        <v>7186.4576613988193</v>
      </c>
      <c r="J2367" s="20">
        <f t="shared" ca="1" si="405"/>
        <v>2</v>
      </c>
      <c r="K2367" s="20">
        <f t="shared" ca="1" si="397"/>
        <v>0</v>
      </c>
      <c r="L2367" s="44">
        <f t="shared" ca="1" si="402"/>
        <v>1</v>
      </c>
    </row>
    <row r="2368" spans="1:12" x14ac:dyDescent="0.25">
      <c r="A2368" s="20">
        <v>2360</v>
      </c>
      <c r="B2368" s="21">
        <f t="shared" ca="1" si="398"/>
        <v>12.881894485604603</v>
      </c>
      <c r="C2368" s="21">
        <f t="shared" ca="1" si="403"/>
        <v>7196.8281978838831</v>
      </c>
      <c r="D2368" s="21">
        <f t="shared" ca="1" si="399"/>
        <v>5.4414858241811466</v>
      </c>
      <c r="E2368" s="21">
        <f t="shared" ca="1" si="406"/>
        <v>0</v>
      </c>
      <c r="F2368" s="20" t="str">
        <f t="shared" ca="1" si="404"/>
        <v>Yes</v>
      </c>
      <c r="G2368" s="21">
        <f t="shared" ca="1" si="400"/>
        <v>10.370536485063894</v>
      </c>
      <c r="H2368" s="21">
        <f t="shared" ca="1" si="401"/>
        <v>7196.8281978838831</v>
      </c>
      <c r="I2368" s="21">
        <f t="shared" ca="1" si="396"/>
        <v>7202.2696837080639</v>
      </c>
      <c r="J2368" s="20">
        <f t="shared" ca="1" si="405"/>
        <v>0</v>
      </c>
      <c r="K2368" s="20">
        <f t="shared" ca="1" si="397"/>
        <v>3</v>
      </c>
      <c r="L2368" s="44">
        <f t="shared" ca="1" si="402"/>
        <v>1.5</v>
      </c>
    </row>
    <row r="2369" spans="1:12" x14ac:dyDescent="0.25">
      <c r="A2369" s="20">
        <v>2361</v>
      </c>
      <c r="B2369" s="21">
        <f t="shared" ca="1" si="398"/>
        <v>0.50144401755894419</v>
      </c>
      <c r="C2369" s="21">
        <f t="shared" ca="1" si="403"/>
        <v>7197.3296419014423</v>
      </c>
      <c r="D2369" s="21">
        <f t="shared" ca="1" si="399"/>
        <v>4.1469022177233867</v>
      </c>
      <c r="E2369" s="21">
        <f t="shared" ca="1" si="406"/>
        <v>4.9400418066215934</v>
      </c>
      <c r="F2369" s="20" t="str">
        <f t="shared" ca="1" si="404"/>
        <v>No</v>
      </c>
      <c r="G2369" s="21">
        <f t="shared" ca="1" si="400"/>
        <v>0</v>
      </c>
      <c r="H2369" s="21">
        <f t="shared" ca="1" si="401"/>
        <v>7202.2696837080639</v>
      </c>
      <c r="I2369" s="21">
        <f t="shared" ca="1" si="396"/>
        <v>7206.4165859257873</v>
      </c>
      <c r="J2369" s="20">
        <f t="shared" ca="1" si="405"/>
        <v>4</v>
      </c>
      <c r="K2369" s="20">
        <f t="shared" ca="1" si="397"/>
        <v>3</v>
      </c>
      <c r="L2369" s="44">
        <f t="shared" ca="1" si="402"/>
        <v>3.5</v>
      </c>
    </row>
    <row r="2370" spans="1:12" x14ac:dyDescent="0.25">
      <c r="A2370" s="20">
        <v>2362</v>
      </c>
      <c r="B2370" s="21">
        <f t="shared" ca="1" si="398"/>
        <v>1.1179840913514272</v>
      </c>
      <c r="C2370" s="21">
        <f t="shared" ca="1" si="403"/>
        <v>7198.4476259927933</v>
      </c>
      <c r="D2370" s="21">
        <f t="shared" ca="1" si="399"/>
        <v>2.304569293759763</v>
      </c>
      <c r="E2370" s="21">
        <f t="shared" ca="1" si="406"/>
        <v>7.9689599329940393</v>
      </c>
      <c r="F2370" s="20" t="str">
        <f t="shared" ca="1" si="404"/>
        <v>No</v>
      </c>
      <c r="G2370" s="21">
        <f t="shared" ca="1" si="400"/>
        <v>0</v>
      </c>
      <c r="H2370" s="21">
        <f t="shared" ca="1" si="401"/>
        <v>7206.4165859257873</v>
      </c>
      <c r="I2370" s="21">
        <f t="shared" ca="1" si="396"/>
        <v>7208.7211552195467</v>
      </c>
      <c r="J2370" s="20">
        <f t="shared" ca="1" si="405"/>
        <v>4</v>
      </c>
      <c r="K2370" s="20">
        <f t="shared" ca="1" si="397"/>
        <v>3</v>
      </c>
      <c r="L2370" s="44">
        <f t="shared" ca="1" si="402"/>
        <v>3.5</v>
      </c>
    </row>
    <row r="2371" spans="1:12" x14ac:dyDescent="0.25">
      <c r="A2371" s="20">
        <v>2363</v>
      </c>
      <c r="B2371" s="21">
        <f t="shared" ca="1" si="398"/>
        <v>1.4274233705014667</v>
      </c>
      <c r="C2371" s="21">
        <f t="shared" ca="1" si="403"/>
        <v>7199.8750493632951</v>
      </c>
      <c r="D2371" s="21">
        <f t="shared" ca="1" si="399"/>
        <v>3.0475722027242402</v>
      </c>
      <c r="E2371" s="21">
        <f t="shared" ca="1" si="406"/>
        <v>8.8461058562515973</v>
      </c>
      <c r="F2371" s="20" t="str">
        <f t="shared" ca="1" si="404"/>
        <v>No</v>
      </c>
      <c r="G2371" s="21">
        <f t="shared" ca="1" si="400"/>
        <v>0</v>
      </c>
      <c r="H2371" s="21">
        <f t="shared" ca="1" si="401"/>
        <v>7208.7211552195467</v>
      </c>
      <c r="I2371" s="21">
        <f t="shared" ca="1" si="396"/>
        <v>7211.7687274222708</v>
      </c>
      <c r="J2371" s="20">
        <f t="shared" ca="1" si="405"/>
        <v>4</v>
      </c>
      <c r="K2371" s="20">
        <f t="shared" ca="1" si="397"/>
        <v>3</v>
      </c>
      <c r="L2371" s="44">
        <f t="shared" ca="1" si="402"/>
        <v>3.5</v>
      </c>
    </row>
    <row r="2372" spans="1:12" x14ac:dyDescent="0.25">
      <c r="A2372" s="20">
        <v>2364</v>
      </c>
      <c r="B2372" s="21">
        <f t="shared" ca="1" si="398"/>
        <v>6.0791284006642137</v>
      </c>
      <c r="C2372" s="21">
        <f t="shared" ca="1" si="403"/>
        <v>7205.9541777639597</v>
      </c>
      <c r="D2372" s="21">
        <f t="shared" ca="1" si="399"/>
        <v>0.94593922812493247</v>
      </c>
      <c r="E2372" s="21">
        <f t="shared" ca="1" si="406"/>
        <v>5.8145496583110798</v>
      </c>
      <c r="F2372" s="20" t="str">
        <f t="shared" ca="1" si="404"/>
        <v>No</v>
      </c>
      <c r="G2372" s="21">
        <f t="shared" ca="1" si="400"/>
        <v>0</v>
      </c>
      <c r="H2372" s="21">
        <f t="shared" ca="1" si="401"/>
        <v>7211.7687274222708</v>
      </c>
      <c r="I2372" s="21">
        <f t="shared" ca="1" si="396"/>
        <v>7212.7146666503959</v>
      </c>
      <c r="J2372" s="20">
        <f t="shared" ca="1" si="405"/>
        <v>4</v>
      </c>
      <c r="K2372" s="20">
        <f t="shared" ca="1" si="397"/>
        <v>2</v>
      </c>
      <c r="L2372" s="44">
        <f t="shared" ca="1" si="402"/>
        <v>3</v>
      </c>
    </row>
    <row r="2373" spans="1:12" x14ac:dyDescent="0.25">
      <c r="A2373" s="20">
        <v>2365</v>
      </c>
      <c r="B2373" s="21">
        <f t="shared" ca="1" si="398"/>
        <v>2.6713171256820427</v>
      </c>
      <c r="C2373" s="21">
        <f t="shared" ca="1" si="403"/>
        <v>7208.6254948896421</v>
      </c>
      <c r="D2373" s="21">
        <f t="shared" ca="1" si="399"/>
        <v>1.0559383452149973</v>
      </c>
      <c r="E2373" s="21">
        <f t="shared" ca="1" si="406"/>
        <v>4.089171760753743</v>
      </c>
      <c r="F2373" s="20" t="str">
        <f t="shared" ca="1" si="404"/>
        <v>No</v>
      </c>
      <c r="G2373" s="21">
        <f t="shared" ca="1" si="400"/>
        <v>0</v>
      </c>
      <c r="H2373" s="21">
        <f t="shared" ca="1" si="401"/>
        <v>7212.7146666503959</v>
      </c>
      <c r="I2373" s="21">
        <f t="shared" ca="1" si="396"/>
        <v>7213.7706049956105</v>
      </c>
      <c r="J2373" s="20">
        <f t="shared" ca="1" si="405"/>
        <v>3</v>
      </c>
      <c r="K2373" s="20">
        <f t="shared" ca="1" si="397"/>
        <v>1</v>
      </c>
      <c r="L2373" s="44">
        <f t="shared" ca="1" si="402"/>
        <v>2</v>
      </c>
    </row>
    <row r="2374" spans="1:12" x14ac:dyDescent="0.25">
      <c r="A2374" s="20">
        <v>2366</v>
      </c>
      <c r="B2374" s="21">
        <f t="shared" ca="1" si="398"/>
        <v>2.3844485818057781</v>
      </c>
      <c r="C2374" s="21">
        <f t="shared" ca="1" si="403"/>
        <v>7211.0099434714475</v>
      </c>
      <c r="D2374" s="21">
        <f t="shared" ca="1" si="399"/>
        <v>1.9800701461473906</v>
      </c>
      <c r="E2374" s="21">
        <f t="shared" ca="1" si="406"/>
        <v>2.7606615241629697</v>
      </c>
      <c r="F2374" s="20" t="str">
        <f t="shared" ca="1" si="404"/>
        <v>No</v>
      </c>
      <c r="G2374" s="21">
        <f t="shared" ca="1" si="400"/>
        <v>0</v>
      </c>
      <c r="H2374" s="21">
        <f t="shared" ca="1" si="401"/>
        <v>7213.7706049956105</v>
      </c>
      <c r="I2374" s="21">
        <f t="shared" ca="1" si="396"/>
        <v>7215.7506751417577</v>
      </c>
      <c r="J2374" s="20">
        <f t="shared" ca="1" si="405"/>
        <v>2</v>
      </c>
      <c r="K2374" s="20">
        <f t="shared" ca="1" si="397"/>
        <v>0</v>
      </c>
      <c r="L2374" s="44">
        <f t="shared" ca="1" si="402"/>
        <v>1</v>
      </c>
    </row>
    <row r="2375" spans="1:12" x14ac:dyDescent="0.25">
      <c r="A2375" s="20">
        <v>2367</v>
      </c>
      <c r="B2375" s="21">
        <f t="shared" ca="1" si="398"/>
        <v>5.4538494374924067</v>
      </c>
      <c r="C2375" s="21">
        <f t="shared" ca="1" si="403"/>
        <v>7216.4637929089395</v>
      </c>
      <c r="D2375" s="21">
        <f t="shared" ca="1" si="399"/>
        <v>0.82883160625807895</v>
      </c>
      <c r="E2375" s="21">
        <f t="shared" ca="1" si="406"/>
        <v>0</v>
      </c>
      <c r="F2375" s="20" t="str">
        <f t="shared" ca="1" si="404"/>
        <v>Yes</v>
      </c>
      <c r="G2375" s="21">
        <f t="shared" ca="1" si="400"/>
        <v>0.71311776718175679</v>
      </c>
      <c r="H2375" s="21">
        <f t="shared" ca="1" si="401"/>
        <v>7216.4637929089395</v>
      </c>
      <c r="I2375" s="21">
        <f t="shared" ca="1" si="396"/>
        <v>7217.2926245151975</v>
      </c>
      <c r="J2375" s="20">
        <f t="shared" ca="1" si="405"/>
        <v>0</v>
      </c>
      <c r="K2375" s="20">
        <f t="shared" ca="1" si="397"/>
        <v>0</v>
      </c>
      <c r="L2375" s="44">
        <f t="shared" ca="1" si="402"/>
        <v>0</v>
      </c>
    </row>
    <row r="2376" spans="1:12" x14ac:dyDescent="0.25">
      <c r="A2376" s="20">
        <v>2368</v>
      </c>
      <c r="B2376" s="21">
        <f t="shared" ca="1" si="398"/>
        <v>1.3637492560132547</v>
      </c>
      <c r="C2376" s="21">
        <f t="shared" ca="1" si="403"/>
        <v>7217.8275421649523</v>
      </c>
      <c r="D2376" s="21">
        <f t="shared" ca="1" si="399"/>
        <v>5.8303071891278009</v>
      </c>
      <c r="E2376" s="21">
        <f t="shared" ca="1" si="406"/>
        <v>0</v>
      </c>
      <c r="F2376" s="20" t="str">
        <f t="shared" ca="1" si="404"/>
        <v>Yes</v>
      </c>
      <c r="G2376" s="21">
        <f t="shared" ca="1" si="400"/>
        <v>0.53491764975478873</v>
      </c>
      <c r="H2376" s="21">
        <f t="shared" ca="1" si="401"/>
        <v>7217.8275421649523</v>
      </c>
      <c r="I2376" s="21">
        <f t="shared" ca="1" si="396"/>
        <v>7223.6578493540801</v>
      </c>
      <c r="J2376" s="20">
        <f t="shared" ca="1" si="405"/>
        <v>0</v>
      </c>
      <c r="K2376" s="20">
        <f t="shared" ca="1" si="397"/>
        <v>2</v>
      </c>
      <c r="L2376" s="44">
        <f t="shared" ca="1" si="402"/>
        <v>1</v>
      </c>
    </row>
    <row r="2377" spans="1:12" x14ac:dyDescent="0.25">
      <c r="A2377" s="20">
        <v>2369</v>
      </c>
      <c r="B2377" s="21">
        <f t="shared" ca="1" si="398"/>
        <v>2.514017154705587</v>
      </c>
      <c r="C2377" s="21">
        <f t="shared" ca="1" si="403"/>
        <v>7220.3415593196578</v>
      </c>
      <c r="D2377" s="21">
        <f t="shared" ca="1" si="399"/>
        <v>1.5751265166473523</v>
      </c>
      <c r="E2377" s="21">
        <f t="shared" ca="1" si="406"/>
        <v>3.316290034422309</v>
      </c>
      <c r="F2377" s="20" t="str">
        <f t="shared" ca="1" si="404"/>
        <v>No</v>
      </c>
      <c r="G2377" s="21">
        <f t="shared" ca="1" si="400"/>
        <v>0</v>
      </c>
      <c r="H2377" s="21">
        <f t="shared" ca="1" si="401"/>
        <v>7223.6578493540801</v>
      </c>
      <c r="I2377" s="21">
        <f t="shared" ref="I2377:I2440" ca="1" si="407">$H2377+$D2377</f>
        <v>7225.2329758707274</v>
      </c>
      <c r="J2377" s="20">
        <f t="shared" ca="1" si="405"/>
        <v>3</v>
      </c>
      <c r="K2377" s="20">
        <f t="shared" ref="K2377:K2440" ca="1" si="408">IF($I2377&lt;=$C2378,0,IF($I2377&lt;=$C2379,1,IF($I2377&lt;=$C2380,2,IF($I2377&lt;=$C2381,3,IF($I2377&lt;=$C2382,4,5)))))</f>
        <v>1</v>
      </c>
      <c r="L2377" s="44">
        <f t="shared" ca="1" si="402"/>
        <v>2</v>
      </c>
    </row>
    <row r="2378" spans="1:12" x14ac:dyDescent="0.25">
      <c r="A2378" s="20">
        <v>2370</v>
      </c>
      <c r="B2378" s="21">
        <f t="shared" ref="B2378:B2441" ca="1" si="409">-LN(RAND())/$D$4</f>
        <v>1.9147435053941486</v>
      </c>
      <c r="C2378" s="21">
        <f t="shared" ca="1" si="403"/>
        <v>7222.2563028250515</v>
      </c>
      <c r="D2378" s="21">
        <f t="shared" ref="D2378:D2441" ca="1" si="410">-LN(RAND())/$D$6</f>
        <v>1.6477699962549637</v>
      </c>
      <c r="E2378" s="21">
        <f t="shared" ca="1" si="406"/>
        <v>2.9766730456758523</v>
      </c>
      <c r="F2378" s="20" t="str">
        <f t="shared" ca="1" si="404"/>
        <v>No</v>
      </c>
      <c r="G2378" s="21">
        <f t="shared" ref="G2378:G2441" ca="1" si="411">IF($I2377&lt;=$C2378,$C2378-$I2377,0)</f>
        <v>0</v>
      </c>
      <c r="H2378" s="21">
        <f t="shared" ref="H2378:H2441" ca="1" si="412">IF($I2377&lt;=$C2378,$C2378,$I2377)</f>
        <v>7225.2329758707274</v>
      </c>
      <c r="I2378" s="21">
        <f t="shared" ca="1" si="407"/>
        <v>7226.8807458669826</v>
      </c>
      <c r="J2378" s="20">
        <f t="shared" ca="1" si="405"/>
        <v>2</v>
      </c>
      <c r="K2378" s="20">
        <f t="shared" ca="1" si="408"/>
        <v>0</v>
      </c>
      <c r="L2378" s="44">
        <f t="shared" ref="L2378:L2441" ca="1" si="413">(J2378+K2378)/2</f>
        <v>1</v>
      </c>
    </row>
    <row r="2379" spans="1:12" x14ac:dyDescent="0.25">
      <c r="A2379" s="20">
        <v>2371</v>
      </c>
      <c r="B2379" s="21">
        <f t="shared" ca="1" si="409"/>
        <v>5.0506912406647189</v>
      </c>
      <c r="C2379" s="21">
        <f t="shared" ref="C2379:C2442" ca="1" si="414">$C2378+$B2379</f>
        <v>7227.306994065716</v>
      </c>
      <c r="D2379" s="21">
        <f t="shared" ca="1" si="410"/>
        <v>5.7808628008068412</v>
      </c>
      <c r="E2379" s="21">
        <f t="shared" ca="1" si="406"/>
        <v>0</v>
      </c>
      <c r="F2379" s="20" t="str">
        <f t="shared" ref="F2379:F2442" ca="1" si="415">IF(E2379=0,"Yes","No")</f>
        <v>Yes</v>
      </c>
      <c r="G2379" s="21">
        <f t="shared" ca="1" si="411"/>
        <v>0.42624819873344677</v>
      </c>
      <c r="H2379" s="21">
        <f t="shared" ca="1" si="412"/>
        <v>7227.306994065716</v>
      </c>
      <c r="I2379" s="21">
        <f t="shared" ca="1" si="407"/>
        <v>7233.087856866523</v>
      </c>
      <c r="J2379" s="20">
        <f t="shared" ref="J2379:J2442" ca="1" si="416">IF($I2378&lt;=$C2379,0,$K2378+1)</f>
        <v>0</v>
      </c>
      <c r="K2379" s="20">
        <f t="shared" ca="1" si="408"/>
        <v>2</v>
      </c>
      <c r="L2379" s="44">
        <f t="shared" ca="1" si="413"/>
        <v>1</v>
      </c>
    </row>
    <row r="2380" spans="1:12" x14ac:dyDescent="0.25">
      <c r="A2380" s="20">
        <v>2372</v>
      </c>
      <c r="B2380" s="21">
        <f t="shared" ca="1" si="409"/>
        <v>2.0005393803374671</v>
      </c>
      <c r="C2380" s="21">
        <f t="shared" ca="1" si="414"/>
        <v>7229.3075334460536</v>
      </c>
      <c r="D2380" s="21">
        <f t="shared" ca="1" si="410"/>
        <v>2.4182075141815398</v>
      </c>
      <c r="E2380" s="21">
        <f t="shared" ref="E2380:E2443" ca="1" si="417">IF($I2379&lt;=$C2380,0,$I2379-$C2380)</f>
        <v>3.7803234204693581</v>
      </c>
      <c r="F2380" s="20" t="str">
        <f t="shared" ca="1" si="415"/>
        <v>No</v>
      </c>
      <c r="G2380" s="21">
        <f t="shared" ca="1" si="411"/>
        <v>0</v>
      </c>
      <c r="H2380" s="21">
        <f t="shared" ca="1" si="412"/>
        <v>7233.087856866523</v>
      </c>
      <c r="I2380" s="21">
        <f t="shared" ca="1" si="407"/>
        <v>7235.5060643807046</v>
      </c>
      <c r="J2380" s="20">
        <f t="shared" ca="1" si="416"/>
        <v>3</v>
      </c>
      <c r="K2380" s="20">
        <f t="shared" ca="1" si="408"/>
        <v>1</v>
      </c>
      <c r="L2380" s="44">
        <f t="shared" ca="1" si="413"/>
        <v>2</v>
      </c>
    </row>
    <row r="2381" spans="1:12" x14ac:dyDescent="0.25">
      <c r="A2381" s="20">
        <v>2373</v>
      </c>
      <c r="B2381" s="21">
        <f t="shared" ca="1" si="409"/>
        <v>3.384090913935768</v>
      </c>
      <c r="C2381" s="21">
        <f t="shared" ca="1" si="414"/>
        <v>7232.691624359989</v>
      </c>
      <c r="D2381" s="21">
        <f t="shared" ca="1" si="410"/>
        <v>2.0952612005602322</v>
      </c>
      <c r="E2381" s="21">
        <f t="shared" ca="1" si="417"/>
        <v>2.814440020715665</v>
      </c>
      <c r="F2381" s="20" t="str">
        <f t="shared" ca="1" si="415"/>
        <v>No</v>
      </c>
      <c r="G2381" s="21">
        <f t="shared" ca="1" si="411"/>
        <v>0</v>
      </c>
      <c r="H2381" s="21">
        <f t="shared" ca="1" si="412"/>
        <v>7235.5060643807046</v>
      </c>
      <c r="I2381" s="21">
        <f t="shared" ca="1" si="407"/>
        <v>7237.601325581265</v>
      </c>
      <c r="J2381" s="20">
        <f t="shared" ca="1" si="416"/>
        <v>2</v>
      </c>
      <c r="K2381" s="20">
        <f t="shared" ca="1" si="408"/>
        <v>1</v>
      </c>
      <c r="L2381" s="44">
        <f t="shared" ca="1" si="413"/>
        <v>1.5</v>
      </c>
    </row>
    <row r="2382" spans="1:12" x14ac:dyDescent="0.25">
      <c r="A2382" s="20">
        <v>2374</v>
      </c>
      <c r="B2382" s="21">
        <f t="shared" ca="1" si="409"/>
        <v>3.0291852494123122</v>
      </c>
      <c r="C2382" s="21">
        <f t="shared" ca="1" si="414"/>
        <v>7235.7208096094009</v>
      </c>
      <c r="D2382" s="21">
        <f t="shared" ca="1" si="410"/>
        <v>0.85273248386038536</v>
      </c>
      <c r="E2382" s="21">
        <f t="shared" ca="1" si="417"/>
        <v>1.8805159718640425</v>
      </c>
      <c r="F2382" s="20" t="str">
        <f t="shared" ca="1" si="415"/>
        <v>No</v>
      </c>
      <c r="G2382" s="21">
        <f t="shared" ca="1" si="411"/>
        <v>0</v>
      </c>
      <c r="H2382" s="21">
        <f t="shared" ca="1" si="412"/>
        <v>7237.601325581265</v>
      </c>
      <c r="I2382" s="21">
        <f t="shared" ca="1" si="407"/>
        <v>7238.4540580651255</v>
      </c>
      <c r="J2382" s="20">
        <f t="shared" ca="1" si="416"/>
        <v>2</v>
      </c>
      <c r="K2382" s="20">
        <f t="shared" ca="1" si="408"/>
        <v>0</v>
      </c>
      <c r="L2382" s="44">
        <f t="shared" ca="1" si="413"/>
        <v>1</v>
      </c>
    </row>
    <row r="2383" spans="1:12" x14ac:dyDescent="0.25">
      <c r="A2383" s="20">
        <v>2375</v>
      </c>
      <c r="B2383" s="21">
        <f t="shared" ca="1" si="409"/>
        <v>5.8212586824704431</v>
      </c>
      <c r="C2383" s="21">
        <f t="shared" ca="1" si="414"/>
        <v>7241.5420682918711</v>
      </c>
      <c r="D2383" s="21">
        <f t="shared" ca="1" si="410"/>
        <v>1.104896122377206</v>
      </c>
      <c r="E2383" s="21">
        <f t="shared" ca="1" si="417"/>
        <v>0</v>
      </c>
      <c r="F2383" s="20" t="str">
        <f t="shared" ca="1" si="415"/>
        <v>Yes</v>
      </c>
      <c r="G2383" s="21">
        <f t="shared" ca="1" si="411"/>
        <v>3.0880102267456095</v>
      </c>
      <c r="H2383" s="21">
        <f t="shared" ca="1" si="412"/>
        <v>7241.5420682918711</v>
      </c>
      <c r="I2383" s="21">
        <f t="shared" ca="1" si="407"/>
        <v>7242.646964414248</v>
      </c>
      <c r="J2383" s="20">
        <f t="shared" ca="1" si="416"/>
        <v>0</v>
      </c>
      <c r="K2383" s="20">
        <f t="shared" ca="1" si="408"/>
        <v>0</v>
      </c>
      <c r="L2383" s="44">
        <f t="shared" ca="1" si="413"/>
        <v>0</v>
      </c>
    </row>
    <row r="2384" spans="1:12" x14ac:dyDescent="0.25">
      <c r="A2384" s="20">
        <v>2376</v>
      </c>
      <c r="B2384" s="21">
        <f t="shared" ca="1" si="409"/>
        <v>3.0933004097070373</v>
      </c>
      <c r="C2384" s="21">
        <f t="shared" ca="1" si="414"/>
        <v>7244.635368701578</v>
      </c>
      <c r="D2384" s="21">
        <f t="shared" ca="1" si="410"/>
        <v>0.2791823755184471</v>
      </c>
      <c r="E2384" s="21">
        <f t="shared" ca="1" si="417"/>
        <v>0</v>
      </c>
      <c r="F2384" s="20" t="str">
        <f t="shared" ca="1" si="415"/>
        <v>Yes</v>
      </c>
      <c r="G2384" s="21">
        <f t="shared" ca="1" si="411"/>
        <v>1.9884042873300132</v>
      </c>
      <c r="H2384" s="21">
        <f t="shared" ca="1" si="412"/>
        <v>7244.635368701578</v>
      </c>
      <c r="I2384" s="21">
        <f t="shared" ca="1" si="407"/>
        <v>7244.9145510770968</v>
      </c>
      <c r="J2384" s="20">
        <f t="shared" ca="1" si="416"/>
        <v>0</v>
      </c>
      <c r="K2384" s="20">
        <f t="shared" ca="1" si="408"/>
        <v>0</v>
      </c>
      <c r="L2384" s="44">
        <f t="shared" ca="1" si="413"/>
        <v>0</v>
      </c>
    </row>
    <row r="2385" spans="1:12" x14ac:dyDescent="0.25">
      <c r="A2385" s="20">
        <v>2377</v>
      </c>
      <c r="B2385" s="21">
        <f t="shared" ca="1" si="409"/>
        <v>3.1391205811190446</v>
      </c>
      <c r="C2385" s="21">
        <f t="shared" ca="1" si="414"/>
        <v>7247.7744892826968</v>
      </c>
      <c r="D2385" s="21">
        <f t="shared" ca="1" si="410"/>
        <v>0.63416551869106741</v>
      </c>
      <c r="E2385" s="21">
        <f t="shared" ca="1" si="417"/>
        <v>0</v>
      </c>
      <c r="F2385" s="20" t="str">
        <f t="shared" ca="1" si="415"/>
        <v>Yes</v>
      </c>
      <c r="G2385" s="21">
        <f t="shared" ca="1" si="411"/>
        <v>2.859938205599974</v>
      </c>
      <c r="H2385" s="21">
        <f t="shared" ca="1" si="412"/>
        <v>7247.7744892826968</v>
      </c>
      <c r="I2385" s="21">
        <f t="shared" ca="1" si="407"/>
        <v>7248.4086548013875</v>
      </c>
      <c r="J2385" s="20">
        <f t="shared" ca="1" si="416"/>
        <v>0</v>
      </c>
      <c r="K2385" s="20">
        <f t="shared" ca="1" si="408"/>
        <v>0</v>
      </c>
      <c r="L2385" s="44">
        <f t="shared" ca="1" si="413"/>
        <v>0</v>
      </c>
    </row>
    <row r="2386" spans="1:12" x14ac:dyDescent="0.25">
      <c r="A2386" s="20">
        <v>2378</v>
      </c>
      <c r="B2386" s="21">
        <f t="shared" ca="1" si="409"/>
        <v>4.7062237792483055</v>
      </c>
      <c r="C2386" s="21">
        <f t="shared" ca="1" si="414"/>
        <v>7252.4807130619447</v>
      </c>
      <c r="D2386" s="21">
        <f t="shared" ca="1" si="410"/>
        <v>7.7895215887781148</v>
      </c>
      <c r="E2386" s="21">
        <f t="shared" ca="1" si="417"/>
        <v>0</v>
      </c>
      <c r="F2386" s="20" t="str">
        <f t="shared" ca="1" si="415"/>
        <v>Yes</v>
      </c>
      <c r="G2386" s="21">
        <f t="shared" ca="1" si="411"/>
        <v>4.0720582605572417</v>
      </c>
      <c r="H2386" s="21">
        <f t="shared" ca="1" si="412"/>
        <v>7252.4807130619447</v>
      </c>
      <c r="I2386" s="21">
        <f t="shared" ca="1" si="407"/>
        <v>7260.2702346507231</v>
      </c>
      <c r="J2386" s="20">
        <f t="shared" ca="1" si="416"/>
        <v>0</v>
      </c>
      <c r="K2386" s="20">
        <f t="shared" ca="1" si="408"/>
        <v>5</v>
      </c>
      <c r="L2386" s="44">
        <f t="shared" ca="1" si="413"/>
        <v>2.5</v>
      </c>
    </row>
    <row r="2387" spans="1:12" x14ac:dyDescent="0.25">
      <c r="A2387" s="20">
        <v>2379</v>
      </c>
      <c r="B2387" s="21">
        <f t="shared" ca="1" si="409"/>
        <v>0.92920197706176955</v>
      </c>
      <c r="C2387" s="21">
        <f t="shared" ca="1" si="414"/>
        <v>7253.4099150390066</v>
      </c>
      <c r="D2387" s="21">
        <f t="shared" ca="1" si="410"/>
        <v>8.3586766627232603</v>
      </c>
      <c r="E2387" s="21">
        <f t="shared" ca="1" si="417"/>
        <v>6.8603196117164771</v>
      </c>
      <c r="F2387" s="20" t="str">
        <f t="shared" ca="1" si="415"/>
        <v>No</v>
      </c>
      <c r="G2387" s="21">
        <f t="shared" ca="1" si="411"/>
        <v>0</v>
      </c>
      <c r="H2387" s="21">
        <f t="shared" ca="1" si="412"/>
        <v>7260.2702346507231</v>
      </c>
      <c r="I2387" s="21">
        <f t="shared" ca="1" si="407"/>
        <v>7268.6289113134462</v>
      </c>
      <c r="J2387" s="20">
        <f t="shared" ca="1" si="416"/>
        <v>6</v>
      </c>
      <c r="K2387" s="20">
        <f t="shared" ca="1" si="408"/>
        <v>5</v>
      </c>
      <c r="L2387" s="44">
        <f t="shared" ca="1" si="413"/>
        <v>5.5</v>
      </c>
    </row>
    <row r="2388" spans="1:12" x14ac:dyDescent="0.25">
      <c r="A2388" s="20">
        <v>2380</v>
      </c>
      <c r="B2388" s="21">
        <f t="shared" ca="1" si="409"/>
        <v>0.47063765948198033</v>
      </c>
      <c r="C2388" s="21">
        <f t="shared" ca="1" si="414"/>
        <v>7253.8805526984888</v>
      </c>
      <c r="D2388" s="21">
        <f t="shared" ca="1" si="410"/>
        <v>0.17464648070579841</v>
      </c>
      <c r="E2388" s="21">
        <f t="shared" ca="1" si="417"/>
        <v>14.748358614957397</v>
      </c>
      <c r="F2388" s="20" t="str">
        <f t="shared" ca="1" si="415"/>
        <v>No</v>
      </c>
      <c r="G2388" s="21">
        <f t="shared" ca="1" si="411"/>
        <v>0</v>
      </c>
      <c r="H2388" s="21">
        <f t="shared" ca="1" si="412"/>
        <v>7268.6289113134462</v>
      </c>
      <c r="I2388" s="21">
        <f t="shared" ca="1" si="407"/>
        <v>7268.8035577941519</v>
      </c>
      <c r="J2388" s="20">
        <f t="shared" ca="1" si="416"/>
        <v>6</v>
      </c>
      <c r="K2388" s="20">
        <f t="shared" ca="1" si="408"/>
        <v>4</v>
      </c>
      <c r="L2388" s="44">
        <f t="shared" ca="1" si="413"/>
        <v>5</v>
      </c>
    </row>
    <row r="2389" spans="1:12" x14ac:dyDescent="0.25">
      <c r="A2389" s="20">
        <v>2381</v>
      </c>
      <c r="B2389" s="21">
        <f t="shared" ca="1" si="409"/>
        <v>0.8078270410825733</v>
      </c>
      <c r="C2389" s="21">
        <f t="shared" ca="1" si="414"/>
        <v>7254.6883797395712</v>
      </c>
      <c r="D2389" s="21">
        <f t="shared" ca="1" si="410"/>
        <v>5.7499016729957875</v>
      </c>
      <c r="E2389" s="21">
        <f t="shared" ca="1" si="417"/>
        <v>14.11517805458061</v>
      </c>
      <c r="F2389" s="20" t="str">
        <f t="shared" ca="1" si="415"/>
        <v>No</v>
      </c>
      <c r="G2389" s="21">
        <f t="shared" ca="1" si="411"/>
        <v>0</v>
      </c>
      <c r="H2389" s="21">
        <f t="shared" ca="1" si="412"/>
        <v>7268.8035577941519</v>
      </c>
      <c r="I2389" s="21">
        <f t="shared" ca="1" si="407"/>
        <v>7274.5534594671481</v>
      </c>
      <c r="J2389" s="20">
        <f t="shared" ca="1" si="416"/>
        <v>5</v>
      </c>
      <c r="K2389" s="20">
        <f t="shared" ca="1" si="408"/>
        <v>3</v>
      </c>
      <c r="L2389" s="44">
        <f t="shared" ca="1" si="413"/>
        <v>4</v>
      </c>
    </row>
    <row r="2390" spans="1:12" x14ac:dyDescent="0.25">
      <c r="A2390" s="20">
        <v>2382</v>
      </c>
      <c r="B2390" s="21">
        <f t="shared" ca="1" si="409"/>
        <v>3.2400037067917933</v>
      </c>
      <c r="C2390" s="21">
        <f t="shared" ca="1" si="414"/>
        <v>7257.9283834463631</v>
      </c>
      <c r="D2390" s="21">
        <f t="shared" ca="1" si="410"/>
        <v>0.90515559368871268</v>
      </c>
      <c r="E2390" s="21">
        <f t="shared" ca="1" si="417"/>
        <v>16.625076020784945</v>
      </c>
      <c r="F2390" s="20" t="str">
        <f t="shared" ca="1" si="415"/>
        <v>No</v>
      </c>
      <c r="G2390" s="21">
        <f t="shared" ca="1" si="411"/>
        <v>0</v>
      </c>
      <c r="H2390" s="21">
        <f t="shared" ca="1" si="412"/>
        <v>7274.5534594671481</v>
      </c>
      <c r="I2390" s="21">
        <f t="shared" ca="1" si="407"/>
        <v>7275.4586150608366</v>
      </c>
      <c r="J2390" s="20">
        <f t="shared" ca="1" si="416"/>
        <v>4</v>
      </c>
      <c r="K2390" s="20">
        <f t="shared" ca="1" si="408"/>
        <v>2</v>
      </c>
      <c r="L2390" s="44">
        <f t="shared" ca="1" si="413"/>
        <v>3</v>
      </c>
    </row>
    <row r="2391" spans="1:12" x14ac:dyDescent="0.25">
      <c r="A2391" s="20">
        <v>2383</v>
      </c>
      <c r="B2391" s="21">
        <f t="shared" ca="1" si="409"/>
        <v>0.42636632781569916</v>
      </c>
      <c r="C2391" s="21">
        <f t="shared" ca="1" si="414"/>
        <v>7258.3547497741793</v>
      </c>
      <c r="D2391" s="21">
        <f t="shared" ca="1" si="410"/>
        <v>1.2172586284409894</v>
      </c>
      <c r="E2391" s="21">
        <f t="shared" ca="1" si="417"/>
        <v>17.10386528665731</v>
      </c>
      <c r="F2391" s="20" t="str">
        <f t="shared" ca="1" si="415"/>
        <v>No</v>
      </c>
      <c r="G2391" s="21">
        <f t="shared" ca="1" si="411"/>
        <v>0</v>
      </c>
      <c r="H2391" s="21">
        <f t="shared" ca="1" si="412"/>
        <v>7275.4586150608366</v>
      </c>
      <c r="I2391" s="21">
        <f t="shared" ca="1" si="407"/>
        <v>7276.675873689278</v>
      </c>
      <c r="J2391" s="20">
        <f t="shared" ca="1" si="416"/>
        <v>3</v>
      </c>
      <c r="K2391" s="20">
        <f t="shared" ca="1" si="408"/>
        <v>1</v>
      </c>
      <c r="L2391" s="44">
        <f t="shared" ca="1" si="413"/>
        <v>2</v>
      </c>
    </row>
    <row r="2392" spans="1:12" x14ac:dyDescent="0.25">
      <c r="A2392" s="20">
        <v>2384</v>
      </c>
      <c r="B2392" s="21">
        <f t="shared" ca="1" si="409"/>
        <v>5.2304248033874874</v>
      </c>
      <c r="C2392" s="21">
        <f t="shared" ca="1" si="414"/>
        <v>7263.5851745775672</v>
      </c>
      <c r="D2392" s="21">
        <f t="shared" ca="1" si="410"/>
        <v>0.82872060335505671</v>
      </c>
      <c r="E2392" s="21">
        <f t="shared" ca="1" si="417"/>
        <v>13.090699111710819</v>
      </c>
      <c r="F2392" s="20" t="str">
        <f t="shared" ca="1" si="415"/>
        <v>No</v>
      </c>
      <c r="G2392" s="21">
        <f t="shared" ca="1" si="411"/>
        <v>0</v>
      </c>
      <c r="H2392" s="21">
        <f t="shared" ca="1" si="412"/>
        <v>7276.675873689278</v>
      </c>
      <c r="I2392" s="21">
        <f t="shared" ca="1" si="407"/>
        <v>7277.5045942926326</v>
      </c>
      <c r="J2392" s="20">
        <f t="shared" ca="1" si="416"/>
        <v>2</v>
      </c>
      <c r="K2392" s="20">
        <f t="shared" ca="1" si="408"/>
        <v>1</v>
      </c>
      <c r="L2392" s="44">
        <f t="shared" ca="1" si="413"/>
        <v>1.5</v>
      </c>
    </row>
    <row r="2393" spans="1:12" x14ac:dyDescent="0.25">
      <c r="A2393" s="20">
        <v>2385</v>
      </c>
      <c r="B2393" s="21">
        <f t="shared" ca="1" si="409"/>
        <v>13.82374679953578</v>
      </c>
      <c r="C2393" s="21">
        <f t="shared" ca="1" si="414"/>
        <v>7277.4089213771031</v>
      </c>
      <c r="D2393" s="21">
        <f t="shared" ca="1" si="410"/>
        <v>2.0429955666006983</v>
      </c>
      <c r="E2393" s="21">
        <f t="shared" ca="1" si="417"/>
        <v>9.567291552957613E-2</v>
      </c>
      <c r="F2393" s="20" t="str">
        <f t="shared" ca="1" si="415"/>
        <v>No</v>
      </c>
      <c r="G2393" s="21">
        <f t="shared" ca="1" si="411"/>
        <v>0</v>
      </c>
      <c r="H2393" s="21">
        <f t="shared" ca="1" si="412"/>
        <v>7277.5045942926326</v>
      </c>
      <c r="I2393" s="21">
        <f t="shared" ca="1" si="407"/>
        <v>7279.5475898592331</v>
      </c>
      <c r="J2393" s="20">
        <f t="shared" ca="1" si="416"/>
        <v>2</v>
      </c>
      <c r="K2393" s="20">
        <f t="shared" ca="1" si="408"/>
        <v>0</v>
      </c>
      <c r="L2393" s="44">
        <f t="shared" ca="1" si="413"/>
        <v>1</v>
      </c>
    </row>
    <row r="2394" spans="1:12" x14ac:dyDescent="0.25">
      <c r="A2394" s="20">
        <v>2386</v>
      </c>
      <c r="B2394" s="21">
        <f t="shared" ca="1" si="409"/>
        <v>4.0153673718959872</v>
      </c>
      <c r="C2394" s="21">
        <f t="shared" ca="1" si="414"/>
        <v>7281.4242887489991</v>
      </c>
      <c r="D2394" s="21">
        <f t="shared" ca="1" si="410"/>
        <v>3.950369105217062</v>
      </c>
      <c r="E2394" s="21">
        <f t="shared" ca="1" si="417"/>
        <v>0</v>
      </c>
      <c r="F2394" s="20" t="str">
        <f t="shared" ca="1" si="415"/>
        <v>Yes</v>
      </c>
      <c r="G2394" s="21">
        <f t="shared" ca="1" si="411"/>
        <v>1.8766988897659758</v>
      </c>
      <c r="H2394" s="21">
        <f t="shared" ca="1" si="412"/>
        <v>7281.4242887489991</v>
      </c>
      <c r="I2394" s="21">
        <f t="shared" ca="1" si="407"/>
        <v>7285.3746578542159</v>
      </c>
      <c r="J2394" s="20">
        <f t="shared" ca="1" si="416"/>
        <v>0</v>
      </c>
      <c r="K2394" s="20">
        <f t="shared" ca="1" si="408"/>
        <v>0</v>
      </c>
      <c r="L2394" s="44">
        <f t="shared" ca="1" si="413"/>
        <v>0</v>
      </c>
    </row>
    <row r="2395" spans="1:12" x14ac:dyDescent="0.25">
      <c r="A2395" s="20">
        <v>2387</v>
      </c>
      <c r="B2395" s="21">
        <f t="shared" ca="1" si="409"/>
        <v>6.3988630520744509</v>
      </c>
      <c r="C2395" s="21">
        <f t="shared" ca="1" si="414"/>
        <v>7287.8231518010734</v>
      </c>
      <c r="D2395" s="21">
        <f t="shared" ca="1" si="410"/>
        <v>0.58741669897660687</v>
      </c>
      <c r="E2395" s="21">
        <f t="shared" ca="1" si="417"/>
        <v>0</v>
      </c>
      <c r="F2395" s="20" t="str">
        <f t="shared" ca="1" si="415"/>
        <v>Yes</v>
      </c>
      <c r="G2395" s="21">
        <f t="shared" ca="1" si="411"/>
        <v>2.4484939468575249</v>
      </c>
      <c r="H2395" s="21">
        <f t="shared" ca="1" si="412"/>
        <v>7287.8231518010734</v>
      </c>
      <c r="I2395" s="21">
        <f t="shared" ca="1" si="407"/>
        <v>7288.4105685000504</v>
      </c>
      <c r="J2395" s="20">
        <f t="shared" ca="1" si="416"/>
        <v>0</v>
      </c>
      <c r="K2395" s="20">
        <f t="shared" ca="1" si="408"/>
        <v>1</v>
      </c>
      <c r="L2395" s="44">
        <f t="shared" ca="1" si="413"/>
        <v>0.5</v>
      </c>
    </row>
    <row r="2396" spans="1:12" x14ac:dyDescent="0.25">
      <c r="A2396" s="20">
        <v>2388</v>
      </c>
      <c r="B2396" s="21">
        <f t="shared" ca="1" si="409"/>
        <v>0.46991078758154792</v>
      </c>
      <c r="C2396" s="21">
        <f t="shared" ca="1" si="414"/>
        <v>7288.2930625886547</v>
      </c>
      <c r="D2396" s="21">
        <f t="shared" ca="1" si="410"/>
        <v>3.173699094751019E-3</v>
      </c>
      <c r="E2396" s="21">
        <f t="shared" ca="1" si="417"/>
        <v>0.11750591139571043</v>
      </c>
      <c r="F2396" s="20" t="str">
        <f t="shared" ca="1" si="415"/>
        <v>No</v>
      </c>
      <c r="G2396" s="21">
        <f t="shared" ca="1" si="411"/>
        <v>0</v>
      </c>
      <c r="H2396" s="21">
        <f t="shared" ca="1" si="412"/>
        <v>7288.4105685000504</v>
      </c>
      <c r="I2396" s="21">
        <f t="shared" ca="1" si="407"/>
        <v>7288.4137421991454</v>
      </c>
      <c r="J2396" s="20">
        <f t="shared" ca="1" si="416"/>
        <v>2</v>
      </c>
      <c r="K2396" s="20">
        <f t="shared" ca="1" si="408"/>
        <v>0</v>
      </c>
      <c r="L2396" s="44">
        <f t="shared" ca="1" si="413"/>
        <v>1</v>
      </c>
    </row>
    <row r="2397" spans="1:12" x14ac:dyDescent="0.25">
      <c r="A2397" s="20">
        <v>2389</v>
      </c>
      <c r="B2397" s="21">
        <f t="shared" ca="1" si="409"/>
        <v>2.8799241876733901</v>
      </c>
      <c r="C2397" s="21">
        <f t="shared" ca="1" si="414"/>
        <v>7291.1729867763279</v>
      </c>
      <c r="D2397" s="21">
        <f t="shared" ca="1" si="410"/>
        <v>5.8703463830434544</v>
      </c>
      <c r="E2397" s="21">
        <f t="shared" ca="1" si="417"/>
        <v>0</v>
      </c>
      <c r="F2397" s="20" t="str">
        <f t="shared" ca="1" si="415"/>
        <v>Yes</v>
      </c>
      <c r="G2397" s="21">
        <f t="shared" ca="1" si="411"/>
        <v>2.7592445771824714</v>
      </c>
      <c r="H2397" s="21">
        <f t="shared" ca="1" si="412"/>
        <v>7291.1729867763279</v>
      </c>
      <c r="I2397" s="21">
        <f t="shared" ca="1" si="407"/>
        <v>7297.0433331593713</v>
      </c>
      <c r="J2397" s="20">
        <f t="shared" ca="1" si="416"/>
        <v>0</v>
      </c>
      <c r="K2397" s="20">
        <f t="shared" ca="1" si="408"/>
        <v>2</v>
      </c>
      <c r="L2397" s="44">
        <f t="shared" ca="1" si="413"/>
        <v>1</v>
      </c>
    </row>
    <row r="2398" spans="1:12" x14ac:dyDescent="0.25">
      <c r="A2398" s="20">
        <v>2390</v>
      </c>
      <c r="B2398" s="21">
        <f t="shared" ca="1" si="409"/>
        <v>1.3410063843038273</v>
      </c>
      <c r="C2398" s="21">
        <f t="shared" ca="1" si="414"/>
        <v>7292.5139931606318</v>
      </c>
      <c r="D2398" s="21">
        <f t="shared" ca="1" si="410"/>
        <v>3.6199458547171384</v>
      </c>
      <c r="E2398" s="21">
        <f t="shared" ca="1" si="417"/>
        <v>4.5293399987394878</v>
      </c>
      <c r="F2398" s="20" t="str">
        <f t="shared" ca="1" si="415"/>
        <v>No</v>
      </c>
      <c r="G2398" s="21">
        <f t="shared" ca="1" si="411"/>
        <v>0</v>
      </c>
      <c r="H2398" s="21">
        <f t="shared" ca="1" si="412"/>
        <v>7297.0433331593713</v>
      </c>
      <c r="I2398" s="21">
        <f t="shared" ca="1" si="407"/>
        <v>7300.6632790140884</v>
      </c>
      <c r="J2398" s="20">
        <f t="shared" ca="1" si="416"/>
        <v>3</v>
      </c>
      <c r="K2398" s="20">
        <f t="shared" ca="1" si="408"/>
        <v>4</v>
      </c>
      <c r="L2398" s="44">
        <f t="shared" ca="1" si="413"/>
        <v>3.5</v>
      </c>
    </row>
    <row r="2399" spans="1:12" x14ac:dyDescent="0.25">
      <c r="A2399" s="20">
        <v>2391</v>
      </c>
      <c r="B2399" s="21">
        <f t="shared" ca="1" si="409"/>
        <v>3.8308502773114248</v>
      </c>
      <c r="C2399" s="21">
        <f t="shared" ca="1" si="414"/>
        <v>7296.3448434379434</v>
      </c>
      <c r="D2399" s="21">
        <f t="shared" ca="1" si="410"/>
        <v>3.1654966703655982</v>
      </c>
      <c r="E2399" s="21">
        <f t="shared" ca="1" si="417"/>
        <v>4.3184355761450206</v>
      </c>
      <c r="F2399" s="20" t="str">
        <f t="shared" ca="1" si="415"/>
        <v>No</v>
      </c>
      <c r="G2399" s="21">
        <f t="shared" ca="1" si="411"/>
        <v>0</v>
      </c>
      <c r="H2399" s="21">
        <f t="shared" ca="1" si="412"/>
        <v>7300.6632790140884</v>
      </c>
      <c r="I2399" s="21">
        <f t="shared" ca="1" si="407"/>
        <v>7303.8287756844538</v>
      </c>
      <c r="J2399" s="20">
        <f t="shared" ca="1" si="416"/>
        <v>5</v>
      </c>
      <c r="K2399" s="20">
        <f t="shared" ca="1" si="408"/>
        <v>5</v>
      </c>
      <c r="L2399" s="44">
        <f t="shared" ca="1" si="413"/>
        <v>5</v>
      </c>
    </row>
    <row r="2400" spans="1:12" x14ac:dyDescent="0.25">
      <c r="A2400" s="20">
        <v>2392</v>
      </c>
      <c r="B2400" s="21">
        <f t="shared" ca="1" si="409"/>
        <v>1.845751031557088</v>
      </c>
      <c r="C2400" s="21">
        <f t="shared" ca="1" si="414"/>
        <v>7298.1905944695009</v>
      </c>
      <c r="D2400" s="21">
        <f t="shared" ca="1" si="410"/>
        <v>5.3673212976390348</v>
      </c>
      <c r="E2400" s="21">
        <f t="shared" ca="1" si="417"/>
        <v>5.6381812149529651</v>
      </c>
      <c r="F2400" s="20" t="str">
        <f t="shared" ca="1" si="415"/>
        <v>No</v>
      </c>
      <c r="G2400" s="21">
        <f t="shared" ca="1" si="411"/>
        <v>0</v>
      </c>
      <c r="H2400" s="21">
        <f t="shared" ca="1" si="412"/>
        <v>7303.8287756844538</v>
      </c>
      <c r="I2400" s="21">
        <f t="shared" ca="1" si="407"/>
        <v>7309.196096982093</v>
      </c>
      <c r="J2400" s="20">
        <f t="shared" ca="1" si="416"/>
        <v>6</v>
      </c>
      <c r="K2400" s="20">
        <f t="shared" ca="1" si="408"/>
        <v>5</v>
      </c>
      <c r="L2400" s="44">
        <f t="shared" ca="1" si="413"/>
        <v>5.5</v>
      </c>
    </row>
    <row r="2401" spans="1:12" x14ac:dyDescent="0.25">
      <c r="A2401" s="20">
        <v>2393</v>
      </c>
      <c r="B2401" s="21">
        <f t="shared" ca="1" si="409"/>
        <v>1.5146315701673854</v>
      </c>
      <c r="C2401" s="21">
        <f t="shared" ca="1" si="414"/>
        <v>7299.7052260396686</v>
      </c>
      <c r="D2401" s="21">
        <f t="shared" ca="1" si="410"/>
        <v>1.0979381961502168</v>
      </c>
      <c r="E2401" s="21">
        <f t="shared" ca="1" si="417"/>
        <v>9.490870942424408</v>
      </c>
      <c r="F2401" s="20" t="str">
        <f t="shared" ca="1" si="415"/>
        <v>No</v>
      </c>
      <c r="G2401" s="21">
        <f t="shared" ca="1" si="411"/>
        <v>0</v>
      </c>
      <c r="H2401" s="21">
        <f t="shared" ca="1" si="412"/>
        <v>7309.196096982093</v>
      </c>
      <c r="I2401" s="21">
        <f t="shared" ca="1" si="407"/>
        <v>7310.2940351782436</v>
      </c>
      <c r="J2401" s="20">
        <f t="shared" ca="1" si="416"/>
        <v>6</v>
      </c>
      <c r="K2401" s="20">
        <f t="shared" ca="1" si="408"/>
        <v>5</v>
      </c>
      <c r="L2401" s="44">
        <f t="shared" ca="1" si="413"/>
        <v>5.5</v>
      </c>
    </row>
    <row r="2402" spans="1:12" x14ac:dyDescent="0.25">
      <c r="A2402" s="20">
        <v>2394</v>
      </c>
      <c r="B2402" s="21">
        <f t="shared" ca="1" si="409"/>
        <v>0.5290059343831488</v>
      </c>
      <c r="C2402" s="21">
        <f t="shared" ca="1" si="414"/>
        <v>7300.2342319740519</v>
      </c>
      <c r="D2402" s="21">
        <f t="shared" ca="1" si="410"/>
        <v>0.17072849530912126</v>
      </c>
      <c r="E2402" s="21">
        <f t="shared" ca="1" si="417"/>
        <v>10.059803204191667</v>
      </c>
      <c r="F2402" s="20" t="str">
        <f t="shared" ca="1" si="415"/>
        <v>No</v>
      </c>
      <c r="G2402" s="21">
        <f t="shared" ca="1" si="411"/>
        <v>0</v>
      </c>
      <c r="H2402" s="21">
        <f t="shared" ca="1" si="412"/>
        <v>7310.2940351782436</v>
      </c>
      <c r="I2402" s="21">
        <f t="shared" ca="1" si="407"/>
        <v>7310.4647636735526</v>
      </c>
      <c r="J2402" s="20">
        <f t="shared" ca="1" si="416"/>
        <v>6</v>
      </c>
      <c r="K2402" s="20">
        <f t="shared" ca="1" si="408"/>
        <v>5</v>
      </c>
      <c r="L2402" s="44">
        <f t="shared" ca="1" si="413"/>
        <v>5.5</v>
      </c>
    </row>
    <row r="2403" spans="1:12" x14ac:dyDescent="0.25">
      <c r="A2403" s="20">
        <v>2395</v>
      </c>
      <c r="B2403" s="21">
        <f t="shared" ca="1" si="409"/>
        <v>1.6184741275644414</v>
      </c>
      <c r="C2403" s="21">
        <f t="shared" ca="1" si="414"/>
        <v>7301.8527061016166</v>
      </c>
      <c r="D2403" s="21">
        <f t="shared" ca="1" si="410"/>
        <v>3.7230525421775593</v>
      </c>
      <c r="E2403" s="21">
        <f t="shared" ca="1" si="417"/>
        <v>8.6120575719360204</v>
      </c>
      <c r="F2403" s="20" t="str">
        <f t="shared" ca="1" si="415"/>
        <v>No</v>
      </c>
      <c r="G2403" s="21">
        <f t="shared" ca="1" si="411"/>
        <v>0</v>
      </c>
      <c r="H2403" s="21">
        <f t="shared" ca="1" si="412"/>
        <v>7310.4647636735526</v>
      </c>
      <c r="I2403" s="21">
        <f t="shared" ca="1" si="407"/>
        <v>7314.18781621573</v>
      </c>
      <c r="J2403" s="20">
        <f t="shared" ca="1" si="416"/>
        <v>6</v>
      </c>
      <c r="K2403" s="20">
        <f t="shared" ca="1" si="408"/>
        <v>5</v>
      </c>
      <c r="L2403" s="44">
        <f t="shared" ca="1" si="413"/>
        <v>5.5</v>
      </c>
    </row>
    <row r="2404" spans="1:12" x14ac:dyDescent="0.25">
      <c r="A2404" s="20">
        <v>2396</v>
      </c>
      <c r="B2404" s="21">
        <f t="shared" ca="1" si="409"/>
        <v>6.1402568964591141E-2</v>
      </c>
      <c r="C2404" s="21">
        <f t="shared" ca="1" si="414"/>
        <v>7301.9141086705813</v>
      </c>
      <c r="D2404" s="21">
        <f t="shared" ca="1" si="410"/>
        <v>1.8740828224414852</v>
      </c>
      <c r="E2404" s="21">
        <f t="shared" ca="1" si="417"/>
        <v>12.273707545148682</v>
      </c>
      <c r="F2404" s="20" t="str">
        <f t="shared" ca="1" si="415"/>
        <v>No</v>
      </c>
      <c r="G2404" s="21">
        <f t="shared" ca="1" si="411"/>
        <v>0</v>
      </c>
      <c r="H2404" s="21">
        <f t="shared" ca="1" si="412"/>
        <v>7314.18781621573</v>
      </c>
      <c r="I2404" s="21">
        <f t="shared" ca="1" si="407"/>
        <v>7316.0618990381718</v>
      </c>
      <c r="J2404" s="20">
        <f t="shared" ca="1" si="416"/>
        <v>6</v>
      </c>
      <c r="K2404" s="20">
        <f t="shared" ca="1" si="408"/>
        <v>5</v>
      </c>
      <c r="L2404" s="44">
        <f t="shared" ca="1" si="413"/>
        <v>5.5</v>
      </c>
    </row>
    <row r="2405" spans="1:12" x14ac:dyDescent="0.25">
      <c r="A2405" s="20">
        <v>2397</v>
      </c>
      <c r="B2405" s="21">
        <f t="shared" ca="1" si="409"/>
        <v>0.23672042560102854</v>
      </c>
      <c r="C2405" s="21">
        <f t="shared" ca="1" si="414"/>
        <v>7302.150829096182</v>
      </c>
      <c r="D2405" s="21">
        <f t="shared" ca="1" si="410"/>
        <v>1.9307299779740446</v>
      </c>
      <c r="E2405" s="21">
        <f t="shared" ca="1" si="417"/>
        <v>13.911069941989808</v>
      </c>
      <c r="F2405" s="20" t="str">
        <f t="shared" ca="1" si="415"/>
        <v>No</v>
      </c>
      <c r="G2405" s="21">
        <f t="shared" ca="1" si="411"/>
        <v>0</v>
      </c>
      <c r="H2405" s="21">
        <f t="shared" ca="1" si="412"/>
        <v>7316.0618990381718</v>
      </c>
      <c r="I2405" s="21">
        <f t="shared" ca="1" si="407"/>
        <v>7317.9926290161457</v>
      </c>
      <c r="J2405" s="20">
        <f t="shared" ca="1" si="416"/>
        <v>6</v>
      </c>
      <c r="K2405" s="20">
        <f t="shared" ca="1" si="408"/>
        <v>5</v>
      </c>
      <c r="L2405" s="44">
        <f t="shared" ca="1" si="413"/>
        <v>5.5</v>
      </c>
    </row>
    <row r="2406" spans="1:12" x14ac:dyDescent="0.25">
      <c r="A2406" s="20">
        <v>2398</v>
      </c>
      <c r="B2406" s="21">
        <f t="shared" ca="1" si="409"/>
        <v>1.4771739869984375</v>
      </c>
      <c r="C2406" s="21">
        <f t="shared" ca="1" si="414"/>
        <v>7303.6280030831804</v>
      </c>
      <c r="D2406" s="21">
        <f t="shared" ca="1" si="410"/>
        <v>8.9268012879332559E-2</v>
      </c>
      <c r="E2406" s="21">
        <f t="shared" ca="1" si="417"/>
        <v>14.364625932965282</v>
      </c>
      <c r="F2406" s="20" t="str">
        <f t="shared" ca="1" si="415"/>
        <v>No</v>
      </c>
      <c r="G2406" s="21">
        <f t="shared" ca="1" si="411"/>
        <v>0</v>
      </c>
      <c r="H2406" s="21">
        <f t="shared" ca="1" si="412"/>
        <v>7317.9926290161457</v>
      </c>
      <c r="I2406" s="21">
        <f t="shared" ca="1" si="407"/>
        <v>7318.0818970290247</v>
      </c>
      <c r="J2406" s="20">
        <f t="shared" ca="1" si="416"/>
        <v>6</v>
      </c>
      <c r="K2406" s="20">
        <f t="shared" ca="1" si="408"/>
        <v>5</v>
      </c>
      <c r="L2406" s="44">
        <f t="shared" ca="1" si="413"/>
        <v>5.5</v>
      </c>
    </row>
    <row r="2407" spans="1:12" x14ac:dyDescent="0.25">
      <c r="A2407" s="20">
        <v>2399</v>
      </c>
      <c r="B2407" s="21">
        <f t="shared" ca="1" si="409"/>
        <v>4.3690181406386115</v>
      </c>
      <c r="C2407" s="21">
        <f t="shared" ca="1" si="414"/>
        <v>7307.9970212238186</v>
      </c>
      <c r="D2407" s="21">
        <f t="shared" ca="1" si="410"/>
        <v>0.86197789358408694</v>
      </c>
      <c r="E2407" s="21">
        <f t="shared" ca="1" si="417"/>
        <v>10.084875805206138</v>
      </c>
      <c r="F2407" s="20" t="str">
        <f t="shared" ca="1" si="415"/>
        <v>No</v>
      </c>
      <c r="G2407" s="21">
        <f t="shared" ca="1" si="411"/>
        <v>0</v>
      </c>
      <c r="H2407" s="21">
        <f t="shared" ca="1" si="412"/>
        <v>7318.0818970290247</v>
      </c>
      <c r="I2407" s="21">
        <f t="shared" ca="1" si="407"/>
        <v>7318.9438749226092</v>
      </c>
      <c r="J2407" s="20">
        <f t="shared" ca="1" si="416"/>
        <v>6</v>
      </c>
      <c r="K2407" s="20">
        <f t="shared" ca="1" si="408"/>
        <v>4</v>
      </c>
      <c r="L2407" s="44">
        <f t="shared" ca="1" si="413"/>
        <v>5</v>
      </c>
    </row>
    <row r="2408" spans="1:12" x14ac:dyDescent="0.25">
      <c r="A2408" s="20">
        <v>2400</v>
      </c>
      <c r="B2408" s="21">
        <f t="shared" ca="1" si="409"/>
        <v>1.6107907910344097</v>
      </c>
      <c r="C2408" s="21">
        <f t="shared" ca="1" si="414"/>
        <v>7309.6078120148532</v>
      </c>
      <c r="D2408" s="21">
        <f t="shared" ca="1" si="410"/>
        <v>2.3206594287655888</v>
      </c>
      <c r="E2408" s="21">
        <f t="shared" ca="1" si="417"/>
        <v>9.3360629077560588</v>
      </c>
      <c r="F2408" s="20" t="str">
        <f t="shared" ca="1" si="415"/>
        <v>No</v>
      </c>
      <c r="G2408" s="21">
        <f t="shared" ca="1" si="411"/>
        <v>0</v>
      </c>
      <c r="H2408" s="21">
        <f t="shared" ca="1" si="412"/>
        <v>7318.9438749226092</v>
      </c>
      <c r="I2408" s="21">
        <f t="shared" ca="1" si="407"/>
        <v>7321.264534351375</v>
      </c>
      <c r="J2408" s="20">
        <f t="shared" ca="1" si="416"/>
        <v>5</v>
      </c>
      <c r="K2408" s="20">
        <f t="shared" ca="1" si="408"/>
        <v>3</v>
      </c>
      <c r="L2408" s="44">
        <f t="shared" ca="1" si="413"/>
        <v>4</v>
      </c>
    </row>
    <row r="2409" spans="1:12" x14ac:dyDescent="0.25">
      <c r="A2409" s="20">
        <v>2401</v>
      </c>
      <c r="B2409" s="21">
        <f t="shared" ca="1" si="409"/>
        <v>0.84880733187988966</v>
      </c>
      <c r="C2409" s="21">
        <f t="shared" ca="1" si="414"/>
        <v>7310.4566193467326</v>
      </c>
      <c r="D2409" s="21">
        <f t="shared" ca="1" si="410"/>
        <v>6.124040207113649E-4</v>
      </c>
      <c r="E2409" s="21">
        <f t="shared" ca="1" si="417"/>
        <v>10.807915004642382</v>
      </c>
      <c r="F2409" s="20" t="str">
        <f t="shared" ca="1" si="415"/>
        <v>No</v>
      </c>
      <c r="G2409" s="21">
        <f t="shared" ca="1" si="411"/>
        <v>0</v>
      </c>
      <c r="H2409" s="21">
        <f t="shared" ca="1" si="412"/>
        <v>7321.264534351375</v>
      </c>
      <c r="I2409" s="21">
        <f t="shared" ca="1" si="407"/>
        <v>7321.265146755396</v>
      </c>
      <c r="J2409" s="20">
        <f t="shared" ca="1" si="416"/>
        <v>4</v>
      </c>
      <c r="K2409" s="20">
        <f t="shared" ca="1" si="408"/>
        <v>2</v>
      </c>
      <c r="L2409" s="44">
        <f t="shared" ca="1" si="413"/>
        <v>3</v>
      </c>
    </row>
    <row r="2410" spans="1:12" x14ac:dyDescent="0.25">
      <c r="A2410" s="20">
        <v>2402</v>
      </c>
      <c r="B2410" s="21">
        <f t="shared" ca="1" si="409"/>
        <v>1.6043446897026736</v>
      </c>
      <c r="C2410" s="21">
        <f t="shared" ca="1" si="414"/>
        <v>7312.0609640364355</v>
      </c>
      <c r="D2410" s="21">
        <f t="shared" ca="1" si="410"/>
        <v>3.145662666349228</v>
      </c>
      <c r="E2410" s="21">
        <f t="shared" ca="1" si="417"/>
        <v>9.2041827189605101</v>
      </c>
      <c r="F2410" s="20" t="str">
        <f t="shared" ca="1" si="415"/>
        <v>No</v>
      </c>
      <c r="G2410" s="21">
        <f t="shared" ca="1" si="411"/>
        <v>0</v>
      </c>
      <c r="H2410" s="21">
        <f t="shared" ca="1" si="412"/>
        <v>7321.265146755396</v>
      </c>
      <c r="I2410" s="21">
        <f t="shared" ca="1" si="407"/>
        <v>7324.4108094217454</v>
      </c>
      <c r="J2410" s="20">
        <f t="shared" ca="1" si="416"/>
        <v>3</v>
      </c>
      <c r="K2410" s="20">
        <f t="shared" ca="1" si="408"/>
        <v>5</v>
      </c>
      <c r="L2410" s="44">
        <f t="shared" ca="1" si="413"/>
        <v>4</v>
      </c>
    </row>
    <row r="2411" spans="1:12" x14ac:dyDescent="0.25">
      <c r="A2411" s="20">
        <v>2403</v>
      </c>
      <c r="B2411" s="21">
        <f t="shared" ca="1" si="409"/>
        <v>5.8003811877506424</v>
      </c>
      <c r="C2411" s="21">
        <f t="shared" ca="1" si="414"/>
        <v>7317.8613452241862</v>
      </c>
      <c r="D2411" s="21">
        <f t="shared" ca="1" si="410"/>
        <v>1.9662961220481803</v>
      </c>
      <c r="E2411" s="21">
        <f t="shared" ca="1" si="417"/>
        <v>6.5494641975592458</v>
      </c>
      <c r="F2411" s="20" t="str">
        <f t="shared" ca="1" si="415"/>
        <v>No</v>
      </c>
      <c r="G2411" s="21">
        <f t="shared" ca="1" si="411"/>
        <v>0</v>
      </c>
      <c r="H2411" s="21">
        <f t="shared" ca="1" si="412"/>
        <v>7324.4108094217454</v>
      </c>
      <c r="I2411" s="21">
        <f t="shared" ca="1" si="407"/>
        <v>7326.3771055437937</v>
      </c>
      <c r="J2411" s="20">
        <f t="shared" ca="1" si="416"/>
        <v>6</v>
      </c>
      <c r="K2411" s="20">
        <f t="shared" ca="1" si="408"/>
        <v>5</v>
      </c>
      <c r="L2411" s="44">
        <f t="shared" ca="1" si="413"/>
        <v>5.5</v>
      </c>
    </row>
    <row r="2412" spans="1:12" x14ac:dyDescent="0.25">
      <c r="A2412" s="20">
        <v>2404</v>
      </c>
      <c r="B2412" s="21">
        <f t="shared" ca="1" si="409"/>
        <v>3.8331682154882882</v>
      </c>
      <c r="C2412" s="21">
        <f t="shared" ca="1" si="414"/>
        <v>7321.6945134396747</v>
      </c>
      <c r="D2412" s="21">
        <f t="shared" ca="1" si="410"/>
        <v>0.15161981095097607</v>
      </c>
      <c r="E2412" s="21">
        <f t="shared" ca="1" si="417"/>
        <v>4.6825921041190668</v>
      </c>
      <c r="F2412" s="20" t="str">
        <f t="shared" ca="1" si="415"/>
        <v>No</v>
      </c>
      <c r="G2412" s="21">
        <f t="shared" ca="1" si="411"/>
        <v>0</v>
      </c>
      <c r="H2412" s="21">
        <f t="shared" ca="1" si="412"/>
        <v>7326.3771055437937</v>
      </c>
      <c r="I2412" s="21">
        <f t="shared" ca="1" si="407"/>
        <v>7326.5287253547449</v>
      </c>
      <c r="J2412" s="20">
        <f t="shared" ca="1" si="416"/>
        <v>6</v>
      </c>
      <c r="K2412" s="20">
        <f t="shared" ca="1" si="408"/>
        <v>4</v>
      </c>
      <c r="L2412" s="44">
        <f t="shared" ca="1" si="413"/>
        <v>5</v>
      </c>
    </row>
    <row r="2413" spans="1:12" x14ac:dyDescent="0.25">
      <c r="A2413" s="20">
        <v>2405</v>
      </c>
      <c r="B2413" s="21">
        <f t="shared" ca="1" si="409"/>
        <v>0.38818787783402214</v>
      </c>
      <c r="C2413" s="21">
        <f t="shared" ca="1" si="414"/>
        <v>7322.0827013175085</v>
      </c>
      <c r="D2413" s="21">
        <f t="shared" ca="1" si="410"/>
        <v>0.22926678857073987</v>
      </c>
      <c r="E2413" s="21">
        <f t="shared" ca="1" si="417"/>
        <v>4.4460240372363842</v>
      </c>
      <c r="F2413" s="20" t="str">
        <f t="shared" ca="1" si="415"/>
        <v>No</v>
      </c>
      <c r="G2413" s="21">
        <f t="shared" ca="1" si="411"/>
        <v>0</v>
      </c>
      <c r="H2413" s="21">
        <f t="shared" ca="1" si="412"/>
        <v>7326.5287253547449</v>
      </c>
      <c r="I2413" s="21">
        <f t="shared" ca="1" si="407"/>
        <v>7326.7579921433153</v>
      </c>
      <c r="J2413" s="20">
        <f t="shared" ca="1" si="416"/>
        <v>5</v>
      </c>
      <c r="K2413" s="20">
        <f t="shared" ca="1" si="408"/>
        <v>3</v>
      </c>
      <c r="L2413" s="44">
        <f t="shared" ca="1" si="413"/>
        <v>4</v>
      </c>
    </row>
    <row r="2414" spans="1:12" x14ac:dyDescent="0.25">
      <c r="A2414" s="20">
        <v>2406</v>
      </c>
      <c r="B2414" s="21">
        <f t="shared" ca="1" si="409"/>
        <v>1.1908363250942875</v>
      </c>
      <c r="C2414" s="21">
        <f t="shared" ca="1" si="414"/>
        <v>7323.2735376426026</v>
      </c>
      <c r="D2414" s="21">
        <f t="shared" ca="1" si="410"/>
        <v>2.6743977654600934</v>
      </c>
      <c r="E2414" s="21">
        <f t="shared" ca="1" si="417"/>
        <v>3.4844545007126726</v>
      </c>
      <c r="F2414" s="20" t="str">
        <f t="shared" ca="1" si="415"/>
        <v>No</v>
      </c>
      <c r="G2414" s="21">
        <f t="shared" ca="1" si="411"/>
        <v>0</v>
      </c>
      <c r="H2414" s="21">
        <f t="shared" ca="1" si="412"/>
        <v>7326.7579921433153</v>
      </c>
      <c r="I2414" s="21">
        <f t="shared" ca="1" si="407"/>
        <v>7329.4323899087758</v>
      </c>
      <c r="J2414" s="20">
        <f t="shared" ca="1" si="416"/>
        <v>4</v>
      </c>
      <c r="K2414" s="20">
        <f t="shared" ca="1" si="408"/>
        <v>2</v>
      </c>
      <c r="L2414" s="44">
        <f t="shared" ca="1" si="413"/>
        <v>3</v>
      </c>
    </row>
    <row r="2415" spans="1:12" x14ac:dyDescent="0.25">
      <c r="A2415" s="20">
        <v>2407</v>
      </c>
      <c r="B2415" s="21">
        <f t="shared" ca="1" si="409"/>
        <v>0.31586470054393501</v>
      </c>
      <c r="C2415" s="21">
        <f t="shared" ca="1" si="414"/>
        <v>7323.5894023431465</v>
      </c>
      <c r="D2415" s="21">
        <f t="shared" ca="1" si="410"/>
        <v>0.12631152637728979</v>
      </c>
      <c r="E2415" s="21">
        <f t="shared" ca="1" si="417"/>
        <v>5.8429875656293007</v>
      </c>
      <c r="F2415" s="20" t="str">
        <f t="shared" ca="1" si="415"/>
        <v>No</v>
      </c>
      <c r="G2415" s="21">
        <f t="shared" ca="1" si="411"/>
        <v>0</v>
      </c>
      <c r="H2415" s="21">
        <f t="shared" ca="1" si="412"/>
        <v>7329.4323899087758</v>
      </c>
      <c r="I2415" s="21">
        <f t="shared" ca="1" si="407"/>
        <v>7329.5587014351531</v>
      </c>
      <c r="J2415" s="20">
        <f t="shared" ca="1" si="416"/>
        <v>3</v>
      </c>
      <c r="K2415" s="20">
        <f t="shared" ca="1" si="408"/>
        <v>1</v>
      </c>
      <c r="L2415" s="44">
        <f t="shared" ca="1" si="413"/>
        <v>2</v>
      </c>
    </row>
    <row r="2416" spans="1:12" x14ac:dyDescent="0.25">
      <c r="A2416" s="20">
        <v>2408</v>
      </c>
      <c r="B2416" s="21">
        <f t="shared" ca="1" si="409"/>
        <v>1.6363665277130381</v>
      </c>
      <c r="C2416" s="21">
        <f t="shared" ca="1" si="414"/>
        <v>7325.2257688708596</v>
      </c>
      <c r="D2416" s="21">
        <f t="shared" ca="1" si="410"/>
        <v>1.7276779530706472</v>
      </c>
      <c r="E2416" s="21">
        <f t="shared" ca="1" si="417"/>
        <v>4.3329325642935146</v>
      </c>
      <c r="F2416" s="20" t="str">
        <f t="shared" ca="1" si="415"/>
        <v>No</v>
      </c>
      <c r="G2416" s="21">
        <f t="shared" ca="1" si="411"/>
        <v>0</v>
      </c>
      <c r="H2416" s="21">
        <f t="shared" ca="1" si="412"/>
        <v>7329.5587014351531</v>
      </c>
      <c r="I2416" s="21">
        <f t="shared" ca="1" si="407"/>
        <v>7331.2863793882234</v>
      </c>
      <c r="J2416" s="20">
        <f t="shared" ca="1" si="416"/>
        <v>2</v>
      </c>
      <c r="K2416" s="20">
        <f t="shared" ca="1" si="408"/>
        <v>0</v>
      </c>
      <c r="L2416" s="44">
        <f t="shared" ca="1" si="413"/>
        <v>1</v>
      </c>
    </row>
    <row r="2417" spans="1:12" x14ac:dyDescent="0.25">
      <c r="A2417" s="20">
        <v>2409</v>
      </c>
      <c r="B2417" s="21">
        <f t="shared" ca="1" si="409"/>
        <v>10.216210429974092</v>
      </c>
      <c r="C2417" s="21">
        <f t="shared" ca="1" si="414"/>
        <v>7335.4419793008337</v>
      </c>
      <c r="D2417" s="21">
        <f t="shared" ca="1" si="410"/>
        <v>1.7992630335060562</v>
      </c>
      <c r="E2417" s="21">
        <f t="shared" ca="1" si="417"/>
        <v>0</v>
      </c>
      <c r="F2417" s="20" t="str">
        <f t="shared" ca="1" si="415"/>
        <v>Yes</v>
      </c>
      <c r="G2417" s="21">
        <f t="shared" ca="1" si="411"/>
        <v>4.1555999126103416</v>
      </c>
      <c r="H2417" s="21">
        <f t="shared" ca="1" si="412"/>
        <v>7335.4419793008337</v>
      </c>
      <c r="I2417" s="21">
        <f t="shared" ca="1" si="407"/>
        <v>7337.2412423343394</v>
      </c>
      <c r="J2417" s="20">
        <f t="shared" ca="1" si="416"/>
        <v>0</v>
      </c>
      <c r="K2417" s="20">
        <f t="shared" ca="1" si="408"/>
        <v>1</v>
      </c>
      <c r="L2417" s="44">
        <f t="shared" ca="1" si="413"/>
        <v>0.5</v>
      </c>
    </row>
    <row r="2418" spans="1:12" x14ac:dyDescent="0.25">
      <c r="A2418" s="20">
        <v>2410</v>
      </c>
      <c r="B2418" s="21">
        <f t="shared" ca="1" si="409"/>
        <v>0.17148851868259923</v>
      </c>
      <c r="C2418" s="21">
        <f t="shared" ca="1" si="414"/>
        <v>7335.6134678195167</v>
      </c>
      <c r="D2418" s="21">
        <f t="shared" ca="1" si="410"/>
        <v>1.6782298519419188</v>
      </c>
      <c r="E2418" s="21">
        <f t="shared" ca="1" si="417"/>
        <v>1.6277745148227041</v>
      </c>
      <c r="F2418" s="20" t="str">
        <f t="shared" ca="1" si="415"/>
        <v>No</v>
      </c>
      <c r="G2418" s="21">
        <f t="shared" ca="1" si="411"/>
        <v>0</v>
      </c>
      <c r="H2418" s="21">
        <f t="shared" ca="1" si="412"/>
        <v>7337.2412423343394</v>
      </c>
      <c r="I2418" s="21">
        <f t="shared" ca="1" si="407"/>
        <v>7338.9194721862814</v>
      </c>
      <c r="J2418" s="20">
        <f t="shared" ca="1" si="416"/>
        <v>2</v>
      </c>
      <c r="K2418" s="20">
        <f t="shared" ca="1" si="408"/>
        <v>0</v>
      </c>
      <c r="L2418" s="44">
        <f t="shared" ca="1" si="413"/>
        <v>1</v>
      </c>
    </row>
    <row r="2419" spans="1:12" x14ac:dyDescent="0.25">
      <c r="A2419" s="20">
        <v>2411</v>
      </c>
      <c r="B2419" s="21">
        <f t="shared" ca="1" si="409"/>
        <v>4.3645294310796823</v>
      </c>
      <c r="C2419" s="21">
        <f t="shared" ca="1" si="414"/>
        <v>7339.9779972505967</v>
      </c>
      <c r="D2419" s="21">
        <f t="shared" ca="1" si="410"/>
        <v>2.7950206898763432</v>
      </c>
      <c r="E2419" s="21">
        <f t="shared" ca="1" si="417"/>
        <v>0</v>
      </c>
      <c r="F2419" s="20" t="str">
        <f t="shared" ca="1" si="415"/>
        <v>Yes</v>
      </c>
      <c r="G2419" s="21">
        <f t="shared" ca="1" si="411"/>
        <v>1.0585250643152904</v>
      </c>
      <c r="H2419" s="21">
        <f t="shared" ca="1" si="412"/>
        <v>7339.9779972505967</v>
      </c>
      <c r="I2419" s="21">
        <f t="shared" ca="1" si="407"/>
        <v>7342.7730179404734</v>
      </c>
      <c r="J2419" s="20">
        <f t="shared" ca="1" si="416"/>
        <v>0</v>
      </c>
      <c r="K2419" s="20">
        <f t="shared" ca="1" si="408"/>
        <v>1</v>
      </c>
      <c r="L2419" s="44">
        <f t="shared" ca="1" si="413"/>
        <v>0.5</v>
      </c>
    </row>
    <row r="2420" spans="1:12" x14ac:dyDescent="0.25">
      <c r="A2420" s="20">
        <v>2412</v>
      </c>
      <c r="B2420" s="21">
        <f t="shared" ca="1" si="409"/>
        <v>0.44116003659078962</v>
      </c>
      <c r="C2420" s="21">
        <f t="shared" ca="1" si="414"/>
        <v>7340.4191572871878</v>
      </c>
      <c r="D2420" s="21">
        <f t="shared" ca="1" si="410"/>
        <v>1.13604612188642</v>
      </c>
      <c r="E2420" s="21">
        <f t="shared" ca="1" si="417"/>
        <v>2.3538606532856647</v>
      </c>
      <c r="F2420" s="20" t="str">
        <f t="shared" ca="1" si="415"/>
        <v>No</v>
      </c>
      <c r="G2420" s="21">
        <f t="shared" ca="1" si="411"/>
        <v>0</v>
      </c>
      <c r="H2420" s="21">
        <f t="shared" ca="1" si="412"/>
        <v>7342.7730179404734</v>
      </c>
      <c r="I2420" s="21">
        <f t="shared" ca="1" si="407"/>
        <v>7343.9090640623599</v>
      </c>
      <c r="J2420" s="20">
        <f t="shared" ca="1" si="416"/>
        <v>2</v>
      </c>
      <c r="K2420" s="20">
        <f t="shared" ca="1" si="408"/>
        <v>2</v>
      </c>
      <c r="L2420" s="44">
        <f t="shared" ca="1" si="413"/>
        <v>2</v>
      </c>
    </row>
    <row r="2421" spans="1:12" x14ac:dyDescent="0.25">
      <c r="A2421" s="20">
        <v>2413</v>
      </c>
      <c r="B2421" s="21">
        <f t="shared" ca="1" si="409"/>
        <v>2.414358737589577</v>
      </c>
      <c r="C2421" s="21">
        <f t="shared" ca="1" si="414"/>
        <v>7342.8335160247771</v>
      </c>
      <c r="D2421" s="21">
        <f t="shared" ca="1" si="410"/>
        <v>1.6346200810028835</v>
      </c>
      <c r="E2421" s="21">
        <f t="shared" ca="1" si="417"/>
        <v>1.0755480375828483</v>
      </c>
      <c r="F2421" s="20" t="str">
        <f t="shared" ca="1" si="415"/>
        <v>No</v>
      </c>
      <c r="G2421" s="21">
        <f t="shared" ca="1" si="411"/>
        <v>0</v>
      </c>
      <c r="H2421" s="21">
        <f t="shared" ca="1" si="412"/>
        <v>7343.9090640623599</v>
      </c>
      <c r="I2421" s="21">
        <f t="shared" ca="1" si="407"/>
        <v>7345.543684143363</v>
      </c>
      <c r="J2421" s="20">
        <f t="shared" ca="1" si="416"/>
        <v>3</v>
      </c>
      <c r="K2421" s="20">
        <f t="shared" ca="1" si="408"/>
        <v>2</v>
      </c>
      <c r="L2421" s="44">
        <f t="shared" ca="1" si="413"/>
        <v>2.5</v>
      </c>
    </row>
    <row r="2422" spans="1:12" x14ac:dyDescent="0.25">
      <c r="A2422" s="20">
        <v>2414</v>
      </c>
      <c r="B2422" s="21">
        <f t="shared" ca="1" si="409"/>
        <v>0.31501047336118843</v>
      </c>
      <c r="C2422" s="21">
        <f t="shared" ca="1" si="414"/>
        <v>7343.1485264981384</v>
      </c>
      <c r="D2422" s="21">
        <f t="shared" ca="1" si="410"/>
        <v>11.400325090457294</v>
      </c>
      <c r="E2422" s="21">
        <f t="shared" ca="1" si="417"/>
        <v>2.3951576452245718</v>
      </c>
      <c r="F2422" s="20" t="str">
        <f t="shared" ca="1" si="415"/>
        <v>No</v>
      </c>
      <c r="G2422" s="21">
        <f t="shared" ca="1" si="411"/>
        <v>0</v>
      </c>
      <c r="H2422" s="21">
        <f t="shared" ca="1" si="412"/>
        <v>7345.543684143363</v>
      </c>
      <c r="I2422" s="21">
        <f t="shared" ca="1" si="407"/>
        <v>7356.94400923382</v>
      </c>
      <c r="J2422" s="20">
        <f t="shared" ca="1" si="416"/>
        <v>3</v>
      </c>
      <c r="K2422" s="20">
        <f t="shared" ca="1" si="408"/>
        <v>5</v>
      </c>
      <c r="L2422" s="44">
        <f t="shared" ca="1" si="413"/>
        <v>4</v>
      </c>
    </row>
    <row r="2423" spans="1:12" x14ac:dyDescent="0.25">
      <c r="A2423" s="20">
        <v>2415</v>
      </c>
      <c r="B2423" s="21">
        <f t="shared" ca="1" si="409"/>
        <v>1.3918900652278743</v>
      </c>
      <c r="C2423" s="21">
        <f t="shared" ca="1" si="414"/>
        <v>7344.5404165633663</v>
      </c>
      <c r="D2423" s="21">
        <f t="shared" ca="1" si="410"/>
        <v>5.6444602432021993</v>
      </c>
      <c r="E2423" s="21">
        <f t="shared" ca="1" si="417"/>
        <v>12.403592670453691</v>
      </c>
      <c r="F2423" s="20" t="str">
        <f t="shared" ca="1" si="415"/>
        <v>No</v>
      </c>
      <c r="G2423" s="21">
        <f t="shared" ca="1" si="411"/>
        <v>0</v>
      </c>
      <c r="H2423" s="21">
        <f t="shared" ca="1" si="412"/>
        <v>7356.94400923382</v>
      </c>
      <c r="I2423" s="21">
        <f t="shared" ca="1" si="407"/>
        <v>7362.588469477022</v>
      </c>
      <c r="J2423" s="20">
        <f t="shared" ca="1" si="416"/>
        <v>6</v>
      </c>
      <c r="K2423" s="20">
        <f t="shared" ca="1" si="408"/>
        <v>5</v>
      </c>
      <c r="L2423" s="44">
        <f t="shared" ca="1" si="413"/>
        <v>5.5</v>
      </c>
    </row>
    <row r="2424" spans="1:12" x14ac:dyDescent="0.25">
      <c r="A2424" s="20">
        <v>2416</v>
      </c>
      <c r="B2424" s="21">
        <f t="shared" ca="1" si="409"/>
        <v>2.9680821058360554</v>
      </c>
      <c r="C2424" s="21">
        <f t="shared" ca="1" si="414"/>
        <v>7347.5084986692027</v>
      </c>
      <c r="D2424" s="21">
        <f t="shared" ca="1" si="410"/>
        <v>7.5700035101995118</v>
      </c>
      <c r="E2424" s="21">
        <f t="shared" ca="1" si="417"/>
        <v>15.079970807819336</v>
      </c>
      <c r="F2424" s="20" t="str">
        <f t="shared" ca="1" si="415"/>
        <v>No</v>
      </c>
      <c r="G2424" s="21">
        <f t="shared" ca="1" si="411"/>
        <v>0</v>
      </c>
      <c r="H2424" s="21">
        <f t="shared" ca="1" si="412"/>
        <v>7362.588469477022</v>
      </c>
      <c r="I2424" s="21">
        <f t="shared" ca="1" si="407"/>
        <v>7370.1584729872211</v>
      </c>
      <c r="J2424" s="20">
        <f t="shared" ca="1" si="416"/>
        <v>6</v>
      </c>
      <c r="K2424" s="20">
        <f t="shared" ca="1" si="408"/>
        <v>5</v>
      </c>
      <c r="L2424" s="44">
        <f t="shared" ca="1" si="413"/>
        <v>5.5</v>
      </c>
    </row>
    <row r="2425" spans="1:12" x14ac:dyDescent="0.25">
      <c r="A2425" s="20">
        <v>2417</v>
      </c>
      <c r="B2425" s="21">
        <f t="shared" ca="1" si="409"/>
        <v>3.3266259640627713</v>
      </c>
      <c r="C2425" s="21">
        <f t="shared" ca="1" si="414"/>
        <v>7350.8351246332659</v>
      </c>
      <c r="D2425" s="21">
        <f t="shared" ca="1" si="410"/>
        <v>4.5557264645424995</v>
      </c>
      <c r="E2425" s="21">
        <f t="shared" ca="1" si="417"/>
        <v>19.323348353955225</v>
      </c>
      <c r="F2425" s="20" t="str">
        <f t="shared" ca="1" si="415"/>
        <v>No</v>
      </c>
      <c r="G2425" s="21">
        <f t="shared" ca="1" si="411"/>
        <v>0</v>
      </c>
      <c r="H2425" s="21">
        <f t="shared" ca="1" si="412"/>
        <v>7370.1584729872211</v>
      </c>
      <c r="I2425" s="21">
        <f t="shared" ca="1" si="407"/>
        <v>7374.7141994517633</v>
      </c>
      <c r="J2425" s="20">
        <f t="shared" ca="1" si="416"/>
        <v>6</v>
      </c>
      <c r="K2425" s="20">
        <f t="shared" ca="1" si="408"/>
        <v>5</v>
      </c>
      <c r="L2425" s="44">
        <f t="shared" ca="1" si="413"/>
        <v>5.5</v>
      </c>
    </row>
    <row r="2426" spans="1:12" x14ac:dyDescent="0.25">
      <c r="A2426" s="20">
        <v>2418</v>
      </c>
      <c r="B2426" s="21">
        <f t="shared" ca="1" si="409"/>
        <v>3.2314182144748398</v>
      </c>
      <c r="C2426" s="21">
        <f t="shared" ca="1" si="414"/>
        <v>7354.0665428477405</v>
      </c>
      <c r="D2426" s="21">
        <f t="shared" ca="1" si="410"/>
        <v>0.60851539225674123</v>
      </c>
      <c r="E2426" s="21">
        <f t="shared" ca="1" si="417"/>
        <v>20.647656604022814</v>
      </c>
      <c r="F2426" s="20" t="str">
        <f t="shared" ca="1" si="415"/>
        <v>No</v>
      </c>
      <c r="G2426" s="21">
        <f t="shared" ca="1" si="411"/>
        <v>0</v>
      </c>
      <c r="H2426" s="21">
        <f t="shared" ca="1" si="412"/>
        <v>7374.7141994517633</v>
      </c>
      <c r="I2426" s="21">
        <f t="shared" ca="1" si="407"/>
        <v>7375.3227148440201</v>
      </c>
      <c r="J2426" s="20">
        <f t="shared" ca="1" si="416"/>
        <v>6</v>
      </c>
      <c r="K2426" s="20">
        <f t="shared" ca="1" si="408"/>
        <v>5</v>
      </c>
      <c r="L2426" s="44">
        <f t="shared" ca="1" si="413"/>
        <v>5.5</v>
      </c>
    </row>
    <row r="2427" spans="1:12" x14ac:dyDescent="0.25">
      <c r="A2427" s="20">
        <v>2419</v>
      </c>
      <c r="B2427" s="21">
        <f t="shared" ca="1" si="409"/>
        <v>1.5533158000855993</v>
      </c>
      <c r="C2427" s="21">
        <f t="shared" ca="1" si="414"/>
        <v>7355.6198586478258</v>
      </c>
      <c r="D2427" s="21">
        <f t="shared" ca="1" si="410"/>
        <v>0.16071487148545505</v>
      </c>
      <c r="E2427" s="21">
        <f t="shared" ca="1" si="417"/>
        <v>19.702856196194261</v>
      </c>
      <c r="F2427" s="20" t="str">
        <f t="shared" ca="1" si="415"/>
        <v>No</v>
      </c>
      <c r="G2427" s="21">
        <f t="shared" ca="1" si="411"/>
        <v>0</v>
      </c>
      <c r="H2427" s="21">
        <f t="shared" ca="1" si="412"/>
        <v>7375.3227148440201</v>
      </c>
      <c r="I2427" s="21">
        <f t="shared" ca="1" si="407"/>
        <v>7375.4834297155057</v>
      </c>
      <c r="J2427" s="20">
        <f t="shared" ca="1" si="416"/>
        <v>6</v>
      </c>
      <c r="K2427" s="20">
        <f t="shared" ca="1" si="408"/>
        <v>5</v>
      </c>
      <c r="L2427" s="44">
        <f t="shared" ca="1" si="413"/>
        <v>5.5</v>
      </c>
    </row>
    <row r="2428" spans="1:12" x14ac:dyDescent="0.25">
      <c r="A2428" s="20">
        <v>2420</v>
      </c>
      <c r="B2428" s="21">
        <f t="shared" ca="1" si="409"/>
        <v>1.0643404135624244</v>
      </c>
      <c r="C2428" s="21">
        <f t="shared" ca="1" si="414"/>
        <v>7356.6841990613884</v>
      </c>
      <c r="D2428" s="21">
        <f t="shared" ca="1" si="410"/>
        <v>0.56350410320644884</v>
      </c>
      <c r="E2428" s="21">
        <f t="shared" ca="1" si="417"/>
        <v>18.799230654117309</v>
      </c>
      <c r="F2428" s="20" t="str">
        <f t="shared" ca="1" si="415"/>
        <v>No</v>
      </c>
      <c r="G2428" s="21">
        <f t="shared" ca="1" si="411"/>
        <v>0</v>
      </c>
      <c r="H2428" s="21">
        <f t="shared" ca="1" si="412"/>
        <v>7375.4834297155057</v>
      </c>
      <c r="I2428" s="21">
        <f t="shared" ca="1" si="407"/>
        <v>7376.0469338187122</v>
      </c>
      <c r="J2428" s="20">
        <f t="shared" ca="1" si="416"/>
        <v>6</v>
      </c>
      <c r="K2428" s="20">
        <f t="shared" ca="1" si="408"/>
        <v>5</v>
      </c>
      <c r="L2428" s="44">
        <f t="shared" ca="1" si="413"/>
        <v>5.5</v>
      </c>
    </row>
    <row r="2429" spans="1:12" x14ac:dyDescent="0.25">
      <c r="A2429" s="20">
        <v>2421</v>
      </c>
      <c r="B2429" s="21">
        <f t="shared" ca="1" si="409"/>
        <v>0.34081635884976674</v>
      </c>
      <c r="C2429" s="21">
        <f t="shared" ca="1" si="414"/>
        <v>7357.0250154202386</v>
      </c>
      <c r="D2429" s="21">
        <f t="shared" ca="1" si="410"/>
        <v>2.0534070686337444</v>
      </c>
      <c r="E2429" s="21">
        <f t="shared" ca="1" si="417"/>
        <v>19.021918398473645</v>
      </c>
      <c r="F2429" s="20" t="str">
        <f t="shared" ca="1" si="415"/>
        <v>No</v>
      </c>
      <c r="G2429" s="21">
        <f t="shared" ca="1" si="411"/>
        <v>0</v>
      </c>
      <c r="H2429" s="21">
        <f t="shared" ca="1" si="412"/>
        <v>7376.0469338187122</v>
      </c>
      <c r="I2429" s="21">
        <f t="shared" ca="1" si="407"/>
        <v>7378.1003408873457</v>
      </c>
      <c r="J2429" s="20">
        <f t="shared" ca="1" si="416"/>
        <v>6</v>
      </c>
      <c r="K2429" s="20">
        <f t="shared" ca="1" si="408"/>
        <v>5</v>
      </c>
      <c r="L2429" s="44">
        <f t="shared" ca="1" si="413"/>
        <v>5.5</v>
      </c>
    </row>
    <row r="2430" spans="1:12" x14ac:dyDescent="0.25">
      <c r="A2430" s="20">
        <v>2422</v>
      </c>
      <c r="B2430" s="21">
        <f t="shared" ca="1" si="409"/>
        <v>5.4828917250807905</v>
      </c>
      <c r="C2430" s="21">
        <f t="shared" ca="1" si="414"/>
        <v>7362.5079071453192</v>
      </c>
      <c r="D2430" s="21">
        <f t="shared" ca="1" si="410"/>
        <v>2.2239736601856781</v>
      </c>
      <c r="E2430" s="21">
        <f t="shared" ca="1" si="417"/>
        <v>15.592433742026515</v>
      </c>
      <c r="F2430" s="20" t="str">
        <f t="shared" ca="1" si="415"/>
        <v>No</v>
      </c>
      <c r="G2430" s="21">
        <f t="shared" ca="1" si="411"/>
        <v>0</v>
      </c>
      <c r="H2430" s="21">
        <f t="shared" ca="1" si="412"/>
        <v>7378.1003408873457</v>
      </c>
      <c r="I2430" s="21">
        <f t="shared" ca="1" si="407"/>
        <v>7380.3243145475317</v>
      </c>
      <c r="J2430" s="20">
        <f t="shared" ca="1" si="416"/>
        <v>6</v>
      </c>
      <c r="K2430" s="20">
        <f t="shared" ca="1" si="408"/>
        <v>5</v>
      </c>
      <c r="L2430" s="44">
        <f t="shared" ca="1" si="413"/>
        <v>5.5</v>
      </c>
    </row>
    <row r="2431" spans="1:12" x14ac:dyDescent="0.25">
      <c r="A2431" s="20">
        <v>2423</v>
      </c>
      <c r="B2431" s="21">
        <f t="shared" ca="1" si="409"/>
        <v>2.0346328264378895</v>
      </c>
      <c r="C2431" s="21">
        <f t="shared" ca="1" si="414"/>
        <v>7364.5425399717569</v>
      </c>
      <c r="D2431" s="21">
        <f t="shared" ca="1" si="410"/>
        <v>0.50157982840503523</v>
      </c>
      <c r="E2431" s="21">
        <f t="shared" ca="1" si="417"/>
        <v>15.781774575774762</v>
      </c>
      <c r="F2431" s="20" t="str">
        <f t="shared" ca="1" si="415"/>
        <v>No</v>
      </c>
      <c r="G2431" s="21">
        <f t="shared" ca="1" si="411"/>
        <v>0</v>
      </c>
      <c r="H2431" s="21">
        <f t="shared" ca="1" si="412"/>
        <v>7380.3243145475317</v>
      </c>
      <c r="I2431" s="21">
        <f t="shared" ca="1" si="407"/>
        <v>7380.8258943759365</v>
      </c>
      <c r="J2431" s="20">
        <f t="shared" ca="1" si="416"/>
        <v>6</v>
      </c>
      <c r="K2431" s="20">
        <f t="shared" ca="1" si="408"/>
        <v>5</v>
      </c>
      <c r="L2431" s="44">
        <f t="shared" ca="1" si="413"/>
        <v>5.5</v>
      </c>
    </row>
    <row r="2432" spans="1:12" x14ac:dyDescent="0.25">
      <c r="A2432" s="20">
        <v>2424</v>
      </c>
      <c r="B2432" s="21">
        <f t="shared" ca="1" si="409"/>
        <v>0.85782883626268347</v>
      </c>
      <c r="C2432" s="21">
        <f t="shared" ca="1" si="414"/>
        <v>7365.4003688080193</v>
      </c>
      <c r="D2432" s="21">
        <f t="shared" ca="1" si="410"/>
        <v>1.7742906266220766</v>
      </c>
      <c r="E2432" s="21">
        <f t="shared" ca="1" si="417"/>
        <v>15.425525567917248</v>
      </c>
      <c r="F2432" s="20" t="str">
        <f t="shared" ca="1" si="415"/>
        <v>No</v>
      </c>
      <c r="G2432" s="21">
        <f t="shared" ca="1" si="411"/>
        <v>0</v>
      </c>
      <c r="H2432" s="21">
        <f t="shared" ca="1" si="412"/>
        <v>7380.8258943759365</v>
      </c>
      <c r="I2432" s="21">
        <f t="shared" ca="1" si="407"/>
        <v>7382.6001850025586</v>
      </c>
      <c r="J2432" s="20">
        <f t="shared" ca="1" si="416"/>
        <v>6</v>
      </c>
      <c r="K2432" s="20">
        <f t="shared" ca="1" si="408"/>
        <v>5</v>
      </c>
      <c r="L2432" s="44">
        <f t="shared" ca="1" si="413"/>
        <v>5.5</v>
      </c>
    </row>
    <row r="2433" spans="1:12" x14ac:dyDescent="0.25">
      <c r="A2433" s="20">
        <v>2425</v>
      </c>
      <c r="B2433" s="21">
        <f t="shared" ca="1" si="409"/>
        <v>0.26204643745861517</v>
      </c>
      <c r="C2433" s="21">
        <f t="shared" ca="1" si="414"/>
        <v>7365.6624152454779</v>
      </c>
      <c r="D2433" s="21">
        <f t="shared" ca="1" si="410"/>
        <v>2.0765388534017259</v>
      </c>
      <c r="E2433" s="21">
        <f t="shared" ca="1" si="417"/>
        <v>16.937769757080787</v>
      </c>
      <c r="F2433" s="20" t="str">
        <f t="shared" ca="1" si="415"/>
        <v>No</v>
      </c>
      <c r="G2433" s="21">
        <f t="shared" ca="1" si="411"/>
        <v>0</v>
      </c>
      <c r="H2433" s="21">
        <f t="shared" ca="1" si="412"/>
        <v>7382.6001850025586</v>
      </c>
      <c r="I2433" s="21">
        <f t="shared" ca="1" si="407"/>
        <v>7384.6767238559605</v>
      </c>
      <c r="J2433" s="20">
        <f t="shared" ca="1" si="416"/>
        <v>6</v>
      </c>
      <c r="K2433" s="20">
        <f t="shared" ca="1" si="408"/>
        <v>4</v>
      </c>
      <c r="L2433" s="44">
        <f t="shared" ca="1" si="413"/>
        <v>5</v>
      </c>
    </row>
    <row r="2434" spans="1:12" x14ac:dyDescent="0.25">
      <c r="A2434" s="20">
        <v>2426</v>
      </c>
      <c r="B2434" s="21">
        <f t="shared" ca="1" si="409"/>
        <v>3.6207368435374714</v>
      </c>
      <c r="C2434" s="21">
        <f t="shared" ca="1" si="414"/>
        <v>7369.2831520890149</v>
      </c>
      <c r="D2434" s="21">
        <f t="shared" ca="1" si="410"/>
        <v>1.6322063850032658</v>
      </c>
      <c r="E2434" s="21">
        <f t="shared" ca="1" si="417"/>
        <v>15.39357176694557</v>
      </c>
      <c r="F2434" s="20" t="str">
        <f t="shared" ca="1" si="415"/>
        <v>No</v>
      </c>
      <c r="G2434" s="21">
        <f t="shared" ca="1" si="411"/>
        <v>0</v>
      </c>
      <c r="H2434" s="21">
        <f t="shared" ca="1" si="412"/>
        <v>7384.6767238559605</v>
      </c>
      <c r="I2434" s="21">
        <f t="shared" ca="1" si="407"/>
        <v>7386.3089302409635</v>
      </c>
      <c r="J2434" s="20">
        <f t="shared" ca="1" si="416"/>
        <v>5</v>
      </c>
      <c r="K2434" s="20">
        <f t="shared" ca="1" si="408"/>
        <v>3</v>
      </c>
      <c r="L2434" s="44">
        <f t="shared" ca="1" si="413"/>
        <v>4</v>
      </c>
    </row>
    <row r="2435" spans="1:12" x14ac:dyDescent="0.25">
      <c r="A2435" s="20">
        <v>2427</v>
      </c>
      <c r="B2435" s="21">
        <f t="shared" ca="1" si="409"/>
        <v>4.0886695437822222</v>
      </c>
      <c r="C2435" s="21">
        <f t="shared" ca="1" si="414"/>
        <v>7373.371821632797</v>
      </c>
      <c r="D2435" s="21">
        <f t="shared" ca="1" si="410"/>
        <v>0.48133431298700963</v>
      </c>
      <c r="E2435" s="21">
        <f t="shared" ca="1" si="417"/>
        <v>12.937108608166454</v>
      </c>
      <c r="F2435" s="20" t="str">
        <f t="shared" ca="1" si="415"/>
        <v>No</v>
      </c>
      <c r="G2435" s="21">
        <f t="shared" ca="1" si="411"/>
        <v>0</v>
      </c>
      <c r="H2435" s="21">
        <f t="shared" ca="1" si="412"/>
        <v>7386.3089302409635</v>
      </c>
      <c r="I2435" s="21">
        <f t="shared" ca="1" si="407"/>
        <v>7386.7902645539507</v>
      </c>
      <c r="J2435" s="20">
        <f t="shared" ca="1" si="416"/>
        <v>4</v>
      </c>
      <c r="K2435" s="20">
        <f t="shared" ca="1" si="408"/>
        <v>3</v>
      </c>
      <c r="L2435" s="44">
        <f t="shared" ca="1" si="413"/>
        <v>3.5</v>
      </c>
    </row>
    <row r="2436" spans="1:12" x14ac:dyDescent="0.25">
      <c r="A2436" s="20">
        <v>2428</v>
      </c>
      <c r="B2436" s="21">
        <f t="shared" ca="1" si="409"/>
        <v>1.9379050596205576</v>
      </c>
      <c r="C2436" s="21">
        <f t="shared" ca="1" si="414"/>
        <v>7375.3097266924178</v>
      </c>
      <c r="D2436" s="21">
        <f t="shared" ca="1" si="410"/>
        <v>1.8406872986173246</v>
      </c>
      <c r="E2436" s="21">
        <f t="shared" ca="1" si="417"/>
        <v>11.480537861532866</v>
      </c>
      <c r="F2436" s="20" t="str">
        <f t="shared" ca="1" si="415"/>
        <v>No</v>
      </c>
      <c r="G2436" s="21">
        <f t="shared" ca="1" si="411"/>
        <v>0</v>
      </c>
      <c r="H2436" s="21">
        <f t="shared" ca="1" si="412"/>
        <v>7386.7902645539507</v>
      </c>
      <c r="I2436" s="21">
        <f t="shared" ca="1" si="407"/>
        <v>7388.6309518525677</v>
      </c>
      <c r="J2436" s="20">
        <f t="shared" ca="1" si="416"/>
        <v>4</v>
      </c>
      <c r="K2436" s="20">
        <f t="shared" ca="1" si="408"/>
        <v>3</v>
      </c>
      <c r="L2436" s="44">
        <f t="shared" ca="1" si="413"/>
        <v>3.5</v>
      </c>
    </row>
    <row r="2437" spans="1:12" x14ac:dyDescent="0.25">
      <c r="A2437" s="20">
        <v>2429</v>
      </c>
      <c r="B2437" s="21">
        <f t="shared" ca="1" si="409"/>
        <v>1.2099058553160982</v>
      </c>
      <c r="C2437" s="21">
        <f t="shared" ca="1" si="414"/>
        <v>7376.5196325477336</v>
      </c>
      <c r="D2437" s="21">
        <f t="shared" ca="1" si="410"/>
        <v>1.1578463784279147</v>
      </c>
      <c r="E2437" s="21">
        <f t="shared" ca="1" si="417"/>
        <v>12.111319304834069</v>
      </c>
      <c r="F2437" s="20" t="str">
        <f t="shared" ca="1" si="415"/>
        <v>No</v>
      </c>
      <c r="G2437" s="21">
        <f t="shared" ca="1" si="411"/>
        <v>0</v>
      </c>
      <c r="H2437" s="21">
        <f t="shared" ca="1" si="412"/>
        <v>7388.6309518525677</v>
      </c>
      <c r="I2437" s="21">
        <f t="shared" ca="1" si="407"/>
        <v>7389.7887982309958</v>
      </c>
      <c r="J2437" s="20">
        <f t="shared" ca="1" si="416"/>
        <v>4</v>
      </c>
      <c r="K2437" s="20">
        <f t="shared" ca="1" si="408"/>
        <v>3</v>
      </c>
      <c r="L2437" s="44">
        <f t="shared" ca="1" si="413"/>
        <v>3.5</v>
      </c>
    </row>
    <row r="2438" spans="1:12" x14ac:dyDescent="0.25">
      <c r="A2438" s="20">
        <v>2430</v>
      </c>
      <c r="B2438" s="21">
        <f t="shared" ca="1" si="409"/>
        <v>10.049233311585436</v>
      </c>
      <c r="C2438" s="21">
        <f t="shared" ca="1" si="414"/>
        <v>7386.568865859319</v>
      </c>
      <c r="D2438" s="21">
        <f t="shared" ca="1" si="410"/>
        <v>0.36676525494683726</v>
      </c>
      <c r="E2438" s="21">
        <f t="shared" ca="1" si="417"/>
        <v>3.2199323716768049</v>
      </c>
      <c r="F2438" s="20" t="str">
        <f t="shared" ca="1" si="415"/>
        <v>No</v>
      </c>
      <c r="G2438" s="21">
        <f t="shared" ca="1" si="411"/>
        <v>0</v>
      </c>
      <c r="H2438" s="21">
        <f t="shared" ca="1" si="412"/>
        <v>7389.7887982309958</v>
      </c>
      <c r="I2438" s="21">
        <f t="shared" ca="1" si="407"/>
        <v>7390.1555634859424</v>
      </c>
      <c r="J2438" s="20">
        <f t="shared" ca="1" si="416"/>
        <v>4</v>
      </c>
      <c r="K2438" s="20">
        <f t="shared" ca="1" si="408"/>
        <v>2</v>
      </c>
      <c r="L2438" s="44">
        <f t="shared" ca="1" si="413"/>
        <v>3</v>
      </c>
    </row>
    <row r="2439" spans="1:12" x14ac:dyDescent="0.25">
      <c r="A2439" s="20">
        <v>2431</v>
      </c>
      <c r="B2439" s="21">
        <f t="shared" ca="1" si="409"/>
        <v>1.9316578961780755</v>
      </c>
      <c r="C2439" s="21">
        <f t="shared" ca="1" si="414"/>
        <v>7388.5005237554969</v>
      </c>
      <c r="D2439" s="21">
        <f t="shared" ca="1" si="410"/>
        <v>0.85772285658407066</v>
      </c>
      <c r="E2439" s="21">
        <f t="shared" ca="1" si="417"/>
        <v>1.6550397304454236</v>
      </c>
      <c r="F2439" s="20" t="str">
        <f t="shared" ca="1" si="415"/>
        <v>No</v>
      </c>
      <c r="G2439" s="21">
        <f t="shared" ca="1" si="411"/>
        <v>0</v>
      </c>
      <c r="H2439" s="21">
        <f t="shared" ca="1" si="412"/>
        <v>7390.1555634859424</v>
      </c>
      <c r="I2439" s="21">
        <f t="shared" ca="1" si="407"/>
        <v>7391.013286342526</v>
      </c>
      <c r="J2439" s="20">
        <f t="shared" ca="1" si="416"/>
        <v>3</v>
      </c>
      <c r="K2439" s="20">
        <f t="shared" ca="1" si="408"/>
        <v>1</v>
      </c>
      <c r="L2439" s="44">
        <f t="shared" ca="1" si="413"/>
        <v>2</v>
      </c>
    </row>
    <row r="2440" spans="1:12" x14ac:dyDescent="0.25">
      <c r="A2440" s="20">
        <v>2432</v>
      </c>
      <c r="B2440" s="21">
        <f t="shared" ca="1" si="409"/>
        <v>0.38425021508701845</v>
      </c>
      <c r="C2440" s="21">
        <f t="shared" ca="1" si="414"/>
        <v>7388.8847739705843</v>
      </c>
      <c r="D2440" s="21">
        <f t="shared" ca="1" si="410"/>
        <v>1.4641364645014483</v>
      </c>
      <c r="E2440" s="21">
        <f t="shared" ca="1" si="417"/>
        <v>2.1285123719417243</v>
      </c>
      <c r="F2440" s="20" t="str">
        <f t="shared" ca="1" si="415"/>
        <v>No</v>
      </c>
      <c r="G2440" s="21">
        <f t="shared" ca="1" si="411"/>
        <v>0</v>
      </c>
      <c r="H2440" s="21">
        <f t="shared" ca="1" si="412"/>
        <v>7391.013286342526</v>
      </c>
      <c r="I2440" s="21">
        <f t="shared" ca="1" si="407"/>
        <v>7392.4774228070273</v>
      </c>
      <c r="J2440" s="20">
        <f t="shared" ca="1" si="416"/>
        <v>2</v>
      </c>
      <c r="K2440" s="20">
        <f t="shared" ca="1" si="408"/>
        <v>2</v>
      </c>
      <c r="L2440" s="44">
        <f t="shared" ca="1" si="413"/>
        <v>2</v>
      </c>
    </row>
    <row r="2441" spans="1:12" x14ac:dyDescent="0.25">
      <c r="A2441" s="20">
        <v>2433</v>
      </c>
      <c r="B2441" s="21">
        <f t="shared" ca="1" si="409"/>
        <v>2.3580803885357682</v>
      </c>
      <c r="C2441" s="21">
        <f t="shared" ca="1" si="414"/>
        <v>7391.2428543591204</v>
      </c>
      <c r="D2441" s="21">
        <f t="shared" ca="1" si="410"/>
        <v>0.98693466235331728</v>
      </c>
      <c r="E2441" s="21">
        <f t="shared" ca="1" si="417"/>
        <v>1.234568447906895</v>
      </c>
      <c r="F2441" s="20" t="str">
        <f t="shared" ca="1" si="415"/>
        <v>No</v>
      </c>
      <c r="G2441" s="21">
        <f t="shared" ca="1" si="411"/>
        <v>0</v>
      </c>
      <c r="H2441" s="21">
        <f t="shared" ca="1" si="412"/>
        <v>7392.4774228070273</v>
      </c>
      <c r="I2441" s="21">
        <f t="shared" ref="I2441:I2504" ca="1" si="418">$H2441+$D2441</f>
        <v>7393.464357469381</v>
      </c>
      <c r="J2441" s="20">
        <f t="shared" ca="1" si="416"/>
        <v>3</v>
      </c>
      <c r="K2441" s="20">
        <f t="shared" ref="K2441:K2504" ca="1" si="419">IF($I2441&lt;=$C2442,0,IF($I2441&lt;=$C2443,1,IF($I2441&lt;=$C2444,2,IF($I2441&lt;=$C2445,3,IF($I2441&lt;=$C2446,4,5)))))</f>
        <v>1</v>
      </c>
      <c r="L2441" s="44">
        <f t="shared" ca="1" si="413"/>
        <v>2</v>
      </c>
    </row>
    <row r="2442" spans="1:12" x14ac:dyDescent="0.25">
      <c r="A2442" s="20">
        <v>2434</v>
      </c>
      <c r="B2442" s="21">
        <f t="shared" ref="B2442:B2505" ca="1" si="420">-LN(RAND())/$D$4</f>
        <v>0.46068447523915118</v>
      </c>
      <c r="C2442" s="21">
        <f t="shared" ca="1" si="414"/>
        <v>7391.7035388343593</v>
      </c>
      <c r="D2442" s="21">
        <f t="shared" ref="D2442:D2505" ca="1" si="421">-LN(RAND())/$D$6</f>
        <v>2.8404654138880816</v>
      </c>
      <c r="E2442" s="21">
        <f t="shared" ca="1" si="417"/>
        <v>1.7608186350216783</v>
      </c>
      <c r="F2442" s="20" t="str">
        <f t="shared" ca="1" si="415"/>
        <v>No</v>
      </c>
      <c r="G2442" s="21">
        <f t="shared" ref="G2442:G2505" ca="1" si="422">IF($I2441&lt;=$C2442,$C2442-$I2441,0)</f>
        <v>0</v>
      </c>
      <c r="H2442" s="21">
        <f t="shared" ref="H2442:H2505" ca="1" si="423">IF($I2441&lt;=$C2442,$C2442,$I2441)</f>
        <v>7393.464357469381</v>
      </c>
      <c r="I2442" s="21">
        <f t="shared" ca="1" si="418"/>
        <v>7396.3048228832695</v>
      </c>
      <c r="J2442" s="20">
        <f t="shared" ca="1" si="416"/>
        <v>2</v>
      </c>
      <c r="K2442" s="20">
        <f t="shared" ca="1" si="419"/>
        <v>2</v>
      </c>
      <c r="L2442" s="44">
        <f t="shared" ref="L2442:L2505" ca="1" si="424">(J2442+K2442)/2</f>
        <v>2</v>
      </c>
    </row>
    <row r="2443" spans="1:12" x14ac:dyDescent="0.25">
      <c r="A2443" s="20">
        <v>2435</v>
      </c>
      <c r="B2443" s="21">
        <f t="shared" ca="1" si="420"/>
        <v>1.8422887258533467</v>
      </c>
      <c r="C2443" s="21">
        <f t="shared" ref="C2443:C2506" ca="1" si="425">$C2442+$B2443</f>
        <v>7393.5458275602123</v>
      </c>
      <c r="D2443" s="21">
        <f t="shared" ca="1" si="421"/>
        <v>1.7027484469603078</v>
      </c>
      <c r="E2443" s="21">
        <f t="shared" ca="1" si="417"/>
        <v>2.7589953230572064</v>
      </c>
      <c r="F2443" s="20" t="str">
        <f t="shared" ref="F2443:F2506" ca="1" si="426">IF(E2443=0,"Yes","No")</f>
        <v>No</v>
      </c>
      <c r="G2443" s="21">
        <f t="shared" ca="1" si="422"/>
        <v>0</v>
      </c>
      <c r="H2443" s="21">
        <f t="shared" ca="1" si="423"/>
        <v>7396.3048228832695</v>
      </c>
      <c r="I2443" s="21">
        <f t="shared" ca="1" si="418"/>
        <v>7398.0075713302294</v>
      </c>
      <c r="J2443" s="20">
        <f t="shared" ref="J2443:J2506" ca="1" si="427">IF($I2442&lt;=$C2443,0,$K2442+1)</f>
        <v>3</v>
      </c>
      <c r="K2443" s="20">
        <f t="shared" ca="1" si="419"/>
        <v>2</v>
      </c>
      <c r="L2443" s="44">
        <f t="shared" ca="1" si="424"/>
        <v>2.5</v>
      </c>
    </row>
    <row r="2444" spans="1:12" x14ac:dyDescent="0.25">
      <c r="A2444" s="20">
        <v>2436</v>
      </c>
      <c r="B2444" s="21">
        <f t="shared" ca="1" si="420"/>
        <v>1.624273130091346</v>
      </c>
      <c r="C2444" s="21">
        <f t="shared" ca="1" si="425"/>
        <v>7395.170100690304</v>
      </c>
      <c r="D2444" s="21">
        <f t="shared" ca="1" si="421"/>
        <v>1.7464190477937793</v>
      </c>
      <c r="E2444" s="21">
        <f t="shared" ref="E2444:E2507" ca="1" si="428">IF($I2443&lt;=$C2444,0,$I2443-$C2444)</f>
        <v>2.8374706399254137</v>
      </c>
      <c r="F2444" s="20" t="str">
        <f t="shared" ca="1" si="426"/>
        <v>No</v>
      </c>
      <c r="G2444" s="21">
        <f t="shared" ca="1" si="422"/>
        <v>0</v>
      </c>
      <c r="H2444" s="21">
        <f t="shared" ca="1" si="423"/>
        <v>7398.0075713302294</v>
      </c>
      <c r="I2444" s="21">
        <f t="shared" ca="1" si="418"/>
        <v>7399.7539903780234</v>
      </c>
      <c r="J2444" s="20">
        <f t="shared" ca="1" si="427"/>
        <v>3</v>
      </c>
      <c r="K2444" s="20">
        <f t="shared" ca="1" si="419"/>
        <v>2</v>
      </c>
      <c r="L2444" s="44">
        <f t="shared" ca="1" si="424"/>
        <v>2.5</v>
      </c>
    </row>
    <row r="2445" spans="1:12" x14ac:dyDescent="0.25">
      <c r="A2445" s="20">
        <v>2437</v>
      </c>
      <c r="B2445" s="21">
        <f t="shared" ca="1" si="420"/>
        <v>1.69865588634459</v>
      </c>
      <c r="C2445" s="21">
        <f t="shared" ca="1" si="425"/>
        <v>7396.8687565766486</v>
      </c>
      <c r="D2445" s="21">
        <f t="shared" ca="1" si="421"/>
        <v>2.0635923509332001</v>
      </c>
      <c r="E2445" s="21">
        <f t="shared" ca="1" si="428"/>
        <v>2.8852338013748522</v>
      </c>
      <c r="F2445" s="20" t="str">
        <f t="shared" ca="1" si="426"/>
        <v>No</v>
      </c>
      <c r="G2445" s="21">
        <f t="shared" ca="1" si="422"/>
        <v>0</v>
      </c>
      <c r="H2445" s="21">
        <f t="shared" ca="1" si="423"/>
        <v>7399.7539903780234</v>
      </c>
      <c r="I2445" s="21">
        <f t="shared" ca="1" si="418"/>
        <v>7401.8175827289569</v>
      </c>
      <c r="J2445" s="20">
        <f t="shared" ca="1" si="427"/>
        <v>3</v>
      </c>
      <c r="K2445" s="20">
        <f t="shared" ca="1" si="419"/>
        <v>1</v>
      </c>
      <c r="L2445" s="44">
        <f t="shared" ca="1" si="424"/>
        <v>2</v>
      </c>
    </row>
    <row r="2446" spans="1:12" x14ac:dyDescent="0.25">
      <c r="A2446" s="20">
        <v>2438</v>
      </c>
      <c r="B2446" s="21">
        <f t="shared" ca="1" si="420"/>
        <v>1.4828322726309044</v>
      </c>
      <c r="C2446" s="21">
        <f t="shared" ca="1" si="425"/>
        <v>7398.3515888492793</v>
      </c>
      <c r="D2446" s="21">
        <f t="shared" ca="1" si="421"/>
        <v>0.37750318278646672</v>
      </c>
      <c r="E2446" s="21">
        <f t="shared" ca="1" si="428"/>
        <v>3.465993879677626</v>
      </c>
      <c r="F2446" s="20" t="str">
        <f t="shared" ca="1" si="426"/>
        <v>No</v>
      </c>
      <c r="G2446" s="21">
        <f t="shared" ca="1" si="422"/>
        <v>0</v>
      </c>
      <c r="H2446" s="21">
        <f t="shared" ca="1" si="423"/>
        <v>7401.8175827289569</v>
      </c>
      <c r="I2446" s="21">
        <f t="shared" ca="1" si="418"/>
        <v>7402.1950859117433</v>
      </c>
      <c r="J2446" s="20">
        <f t="shared" ca="1" si="427"/>
        <v>2</v>
      </c>
      <c r="K2446" s="20">
        <f t="shared" ca="1" si="419"/>
        <v>0</v>
      </c>
      <c r="L2446" s="44">
        <f t="shared" ca="1" si="424"/>
        <v>1</v>
      </c>
    </row>
    <row r="2447" spans="1:12" x14ac:dyDescent="0.25">
      <c r="A2447" s="20">
        <v>2439</v>
      </c>
      <c r="B2447" s="21">
        <f t="shared" ca="1" si="420"/>
        <v>4.5372803363837191</v>
      </c>
      <c r="C2447" s="21">
        <f t="shared" ca="1" si="425"/>
        <v>7402.8888691856628</v>
      </c>
      <c r="D2447" s="21">
        <f t="shared" ca="1" si="421"/>
        <v>2.6892958242202152</v>
      </c>
      <c r="E2447" s="21">
        <f t="shared" ca="1" si="428"/>
        <v>0</v>
      </c>
      <c r="F2447" s="20" t="str">
        <f t="shared" ca="1" si="426"/>
        <v>Yes</v>
      </c>
      <c r="G2447" s="21">
        <f t="shared" ca="1" si="422"/>
        <v>0.69378327391950734</v>
      </c>
      <c r="H2447" s="21">
        <f t="shared" ca="1" si="423"/>
        <v>7402.8888691856628</v>
      </c>
      <c r="I2447" s="21">
        <f t="shared" ca="1" si="418"/>
        <v>7405.5781650098834</v>
      </c>
      <c r="J2447" s="20">
        <f t="shared" ca="1" si="427"/>
        <v>0</v>
      </c>
      <c r="K2447" s="20">
        <f t="shared" ca="1" si="419"/>
        <v>0</v>
      </c>
      <c r="L2447" s="44">
        <f t="shared" ca="1" si="424"/>
        <v>0</v>
      </c>
    </row>
    <row r="2448" spans="1:12" x14ac:dyDescent="0.25">
      <c r="A2448" s="20">
        <v>2440</v>
      </c>
      <c r="B2448" s="21">
        <f t="shared" ca="1" si="420"/>
        <v>4.5606536804773503</v>
      </c>
      <c r="C2448" s="21">
        <f t="shared" ca="1" si="425"/>
        <v>7407.4495228661399</v>
      </c>
      <c r="D2448" s="21">
        <f t="shared" ca="1" si="421"/>
        <v>0.88348924970245335</v>
      </c>
      <c r="E2448" s="21">
        <f t="shared" ca="1" si="428"/>
        <v>0</v>
      </c>
      <c r="F2448" s="20" t="str">
        <f t="shared" ca="1" si="426"/>
        <v>Yes</v>
      </c>
      <c r="G2448" s="21">
        <f t="shared" ca="1" si="422"/>
        <v>1.871357856256509</v>
      </c>
      <c r="H2448" s="21">
        <f t="shared" ca="1" si="423"/>
        <v>7407.4495228661399</v>
      </c>
      <c r="I2448" s="21">
        <f t="shared" ca="1" si="418"/>
        <v>7408.3330121158424</v>
      </c>
      <c r="J2448" s="20">
        <f t="shared" ca="1" si="427"/>
        <v>0</v>
      </c>
      <c r="K2448" s="20">
        <f t="shared" ca="1" si="419"/>
        <v>1</v>
      </c>
      <c r="L2448" s="44">
        <f t="shared" ca="1" si="424"/>
        <v>0.5</v>
      </c>
    </row>
    <row r="2449" spans="1:12" x14ac:dyDescent="0.25">
      <c r="A2449" s="20">
        <v>2441</v>
      </c>
      <c r="B2449" s="21">
        <f t="shared" ca="1" si="420"/>
        <v>5.902895184535905E-2</v>
      </c>
      <c r="C2449" s="21">
        <f t="shared" ca="1" si="425"/>
        <v>7407.5085518179849</v>
      </c>
      <c r="D2449" s="21">
        <f t="shared" ca="1" si="421"/>
        <v>5.2444733206374945</v>
      </c>
      <c r="E2449" s="21">
        <f t="shared" ca="1" si="428"/>
        <v>0.82446029785751307</v>
      </c>
      <c r="F2449" s="20" t="str">
        <f t="shared" ca="1" si="426"/>
        <v>No</v>
      </c>
      <c r="G2449" s="21">
        <f t="shared" ca="1" si="422"/>
        <v>0</v>
      </c>
      <c r="H2449" s="21">
        <f t="shared" ca="1" si="423"/>
        <v>7408.3330121158424</v>
      </c>
      <c r="I2449" s="21">
        <f t="shared" ca="1" si="418"/>
        <v>7413.5774854364799</v>
      </c>
      <c r="J2449" s="20">
        <f t="shared" ca="1" si="427"/>
        <v>2</v>
      </c>
      <c r="K2449" s="20">
        <f t="shared" ca="1" si="419"/>
        <v>3</v>
      </c>
      <c r="L2449" s="44">
        <f t="shared" ca="1" si="424"/>
        <v>2.5</v>
      </c>
    </row>
    <row r="2450" spans="1:12" x14ac:dyDescent="0.25">
      <c r="A2450" s="20">
        <v>2442</v>
      </c>
      <c r="B2450" s="21">
        <f t="shared" ca="1" si="420"/>
        <v>1.0850652124460787</v>
      </c>
      <c r="C2450" s="21">
        <f t="shared" ca="1" si="425"/>
        <v>7408.5936170304312</v>
      </c>
      <c r="D2450" s="21">
        <f t="shared" ca="1" si="421"/>
        <v>1.8711782107624675</v>
      </c>
      <c r="E2450" s="21">
        <f t="shared" ca="1" si="428"/>
        <v>4.983868406048714</v>
      </c>
      <c r="F2450" s="20" t="str">
        <f t="shared" ca="1" si="426"/>
        <v>No</v>
      </c>
      <c r="G2450" s="21">
        <f t="shared" ca="1" si="422"/>
        <v>0</v>
      </c>
      <c r="H2450" s="21">
        <f t="shared" ca="1" si="423"/>
        <v>7413.5774854364799</v>
      </c>
      <c r="I2450" s="21">
        <f t="shared" ca="1" si="418"/>
        <v>7415.448663647242</v>
      </c>
      <c r="J2450" s="20">
        <f t="shared" ca="1" si="427"/>
        <v>4</v>
      </c>
      <c r="K2450" s="20">
        <f t="shared" ca="1" si="419"/>
        <v>4</v>
      </c>
      <c r="L2450" s="44">
        <f t="shared" ca="1" si="424"/>
        <v>4</v>
      </c>
    </row>
    <row r="2451" spans="1:12" x14ac:dyDescent="0.25">
      <c r="A2451" s="20">
        <v>2443</v>
      </c>
      <c r="B2451" s="21">
        <f t="shared" ca="1" si="420"/>
        <v>2.2012775470100236</v>
      </c>
      <c r="C2451" s="21">
        <f t="shared" ca="1" si="425"/>
        <v>7410.7948945774415</v>
      </c>
      <c r="D2451" s="21">
        <f t="shared" ca="1" si="421"/>
        <v>7.4878364253087746</v>
      </c>
      <c r="E2451" s="21">
        <f t="shared" ca="1" si="428"/>
        <v>4.6537690698005463</v>
      </c>
      <c r="F2451" s="20" t="str">
        <f t="shared" ca="1" si="426"/>
        <v>No</v>
      </c>
      <c r="G2451" s="21">
        <f t="shared" ca="1" si="422"/>
        <v>0</v>
      </c>
      <c r="H2451" s="21">
        <f t="shared" ca="1" si="423"/>
        <v>7415.448663647242</v>
      </c>
      <c r="I2451" s="21">
        <f t="shared" ca="1" si="418"/>
        <v>7422.9365000725511</v>
      </c>
      <c r="J2451" s="20">
        <f t="shared" ca="1" si="427"/>
        <v>5</v>
      </c>
      <c r="K2451" s="20">
        <f t="shared" ca="1" si="419"/>
        <v>5</v>
      </c>
      <c r="L2451" s="44">
        <f t="shared" ca="1" si="424"/>
        <v>5</v>
      </c>
    </row>
    <row r="2452" spans="1:12" x14ac:dyDescent="0.25">
      <c r="A2452" s="20">
        <v>2444</v>
      </c>
      <c r="B2452" s="21">
        <f t="shared" ca="1" si="420"/>
        <v>2.5722375576017198</v>
      </c>
      <c r="C2452" s="21">
        <f t="shared" ca="1" si="425"/>
        <v>7413.367132135043</v>
      </c>
      <c r="D2452" s="21">
        <f t="shared" ca="1" si="421"/>
        <v>3.3934000125921457</v>
      </c>
      <c r="E2452" s="21">
        <f t="shared" ca="1" si="428"/>
        <v>9.5693679375081047</v>
      </c>
      <c r="F2452" s="20" t="str">
        <f t="shared" ca="1" si="426"/>
        <v>No</v>
      </c>
      <c r="G2452" s="21">
        <f t="shared" ca="1" si="422"/>
        <v>0</v>
      </c>
      <c r="H2452" s="21">
        <f t="shared" ca="1" si="423"/>
        <v>7422.9365000725511</v>
      </c>
      <c r="I2452" s="21">
        <f t="shared" ca="1" si="418"/>
        <v>7426.329900085143</v>
      </c>
      <c r="J2452" s="20">
        <f t="shared" ca="1" si="427"/>
        <v>6</v>
      </c>
      <c r="K2452" s="20">
        <f t="shared" ca="1" si="419"/>
        <v>5</v>
      </c>
      <c r="L2452" s="44">
        <f t="shared" ca="1" si="424"/>
        <v>5.5</v>
      </c>
    </row>
    <row r="2453" spans="1:12" x14ac:dyDescent="0.25">
      <c r="A2453" s="20">
        <v>2445</v>
      </c>
      <c r="B2453" s="21">
        <f t="shared" ca="1" si="420"/>
        <v>1.5500903570723334</v>
      </c>
      <c r="C2453" s="21">
        <f t="shared" ca="1" si="425"/>
        <v>7414.9172224921149</v>
      </c>
      <c r="D2453" s="21">
        <f t="shared" ca="1" si="421"/>
        <v>0.98934868209959237</v>
      </c>
      <c r="E2453" s="21">
        <f t="shared" ca="1" si="428"/>
        <v>11.412677593028093</v>
      </c>
      <c r="F2453" s="20" t="str">
        <f t="shared" ca="1" si="426"/>
        <v>No</v>
      </c>
      <c r="G2453" s="21">
        <f t="shared" ca="1" si="422"/>
        <v>0</v>
      </c>
      <c r="H2453" s="21">
        <f t="shared" ca="1" si="423"/>
        <v>7426.329900085143</v>
      </c>
      <c r="I2453" s="21">
        <f t="shared" ca="1" si="418"/>
        <v>7427.3192487672422</v>
      </c>
      <c r="J2453" s="20">
        <f t="shared" ca="1" si="427"/>
        <v>6</v>
      </c>
      <c r="K2453" s="20">
        <f t="shared" ca="1" si="419"/>
        <v>5</v>
      </c>
      <c r="L2453" s="44">
        <f t="shared" ca="1" si="424"/>
        <v>5.5</v>
      </c>
    </row>
    <row r="2454" spans="1:12" x14ac:dyDescent="0.25">
      <c r="A2454" s="20">
        <v>2446</v>
      </c>
      <c r="B2454" s="21">
        <f t="shared" ca="1" si="420"/>
        <v>0.1270954056088836</v>
      </c>
      <c r="C2454" s="21">
        <f t="shared" ca="1" si="425"/>
        <v>7415.0443178977239</v>
      </c>
      <c r="D2454" s="21">
        <f t="shared" ca="1" si="421"/>
        <v>1.2678853386438362</v>
      </c>
      <c r="E2454" s="21">
        <f t="shared" ca="1" si="428"/>
        <v>12.274930869518357</v>
      </c>
      <c r="F2454" s="20" t="str">
        <f t="shared" ca="1" si="426"/>
        <v>No</v>
      </c>
      <c r="G2454" s="21">
        <f t="shared" ca="1" si="422"/>
        <v>0</v>
      </c>
      <c r="H2454" s="21">
        <f t="shared" ca="1" si="423"/>
        <v>7427.3192487672422</v>
      </c>
      <c r="I2454" s="21">
        <f t="shared" ca="1" si="418"/>
        <v>7428.5871341058864</v>
      </c>
      <c r="J2454" s="20">
        <f t="shared" ca="1" si="427"/>
        <v>6</v>
      </c>
      <c r="K2454" s="20">
        <f t="shared" ca="1" si="419"/>
        <v>5</v>
      </c>
      <c r="L2454" s="44">
        <f t="shared" ca="1" si="424"/>
        <v>5.5</v>
      </c>
    </row>
    <row r="2455" spans="1:12" x14ac:dyDescent="0.25">
      <c r="A2455" s="20">
        <v>2447</v>
      </c>
      <c r="B2455" s="21">
        <f t="shared" ca="1" si="420"/>
        <v>3.4090844011985313</v>
      </c>
      <c r="C2455" s="21">
        <f t="shared" ca="1" si="425"/>
        <v>7418.4534022989228</v>
      </c>
      <c r="D2455" s="21">
        <f t="shared" ca="1" si="421"/>
        <v>0.85459061963930849</v>
      </c>
      <c r="E2455" s="21">
        <f t="shared" ca="1" si="428"/>
        <v>10.133731806963624</v>
      </c>
      <c r="F2455" s="20" t="str">
        <f t="shared" ca="1" si="426"/>
        <v>No</v>
      </c>
      <c r="G2455" s="21">
        <f t="shared" ca="1" si="422"/>
        <v>0</v>
      </c>
      <c r="H2455" s="21">
        <f t="shared" ca="1" si="423"/>
        <v>7428.5871341058864</v>
      </c>
      <c r="I2455" s="21">
        <f t="shared" ca="1" si="418"/>
        <v>7429.441724725526</v>
      </c>
      <c r="J2455" s="20">
        <f t="shared" ca="1" si="427"/>
        <v>6</v>
      </c>
      <c r="K2455" s="20">
        <f t="shared" ca="1" si="419"/>
        <v>5</v>
      </c>
      <c r="L2455" s="44">
        <f t="shared" ca="1" si="424"/>
        <v>5.5</v>
      </c>
    </row>
    <row r="2456" spans="1:12" x14ac:dyDescent="0.25">
      <c r="A2456" s="20">
        <v>2448</v>
      </c>
      <c r="B2456" s="21">
        <f t="shared" ca="1" si="420"/>
        <v>0.12616318419175809</v>
      </c>
      <c r="C2456" s="21">
        <f t="shared" ca="1" si="425"/>
        <v>7418.5795654831145</v>
      </c>
      <c r="D2456" s="21">
        <f t="shared" ca="1" si="421"/>
        <v>4.1509050453970424</v>
      </c>
      <c r="E2456" s="21">
        <f t="shared" ca="1" si="428"/>
        <v>10.862159242411508</v>
      </c>
      <c r="F2456" s="20" t="str">
        <f t="shared" ca="1" si="426"/>
        <v>No</v>
      </c>
      <c r="G2456" s="21">
        <f t="shared" ca="1" si="422"/>
        <v>0</v>
      </c>
      <c r="H2456" s="21">
        <f t="shared" ca="1" si="423"/>
        <v>7429.441724725526</v>
      </c>
      <c r="I2456" s="21">
        <f t="shared" ca="1" si="418"/>
        <v>7433.5926297709229</v>
      </c>
      <c r="J2456" s="20">
        <f t="shared" ca="1" si="427"/>
        <v>6</v>
      </c>
      <c r="K2456" s="20">
        <f t="shared" ca="1" si="419"/>
        <v>5</v>
      </c>
      <c r="L2456" s="44">
        <f t="shared" ca="1" si="424"/>
        <v>5.5</v>
      </c>
    </row>
    <row r="2457" spans="1:12" x14ac:dyDescent="0.25">
      <c r="A2457" s="20">
        <v>2449</v>
      </c>
      <c r="B2457" s="21">
        <f t="shared" ca="1" si="420"/>
        <v>1.6299582630157763</v>
      </c>
      <c r="C2457" s="21">
        <f t="shared" ca="1" si="425"/>
        <v>7420.2095237461299</v>
      </c>
      <c r="D2457" s="21">
        <f t="shared" ca="1" si="421"/>
        <v>8.019858223530381</v>
      </c>
      <c r="E2457" s="21">
        <f t="shared" ca="1" si="428"/>
        <v>13.383106024793051</v>
      </c>
      <c r="F2457" s="20" t="str">
        <f t="shared" ca="1" si="426"/>
        <v>No</v>
      </c>
      <c r="G2457" s="21">
        <f t="shared" ca="1" si="422"/>
        <v>0</v>
      </c>
      <c r="H2457" s="21">
        <f t="shared" ca="1" si="423"/>
        <v>7433.5926297709229</v>
      </c>
      <c r="I2457" s="21">
        <f t="shared" ca="1" si="418"/>
        <v>7441.6124879944537</v>
      </c>
      <c r="J2457" s="20">
        <f t="shared" ca="1" si="427"/>
        <v>6</v>
      </c>
      <c r="K2457" s="20">
        <f t="shared" ca="1" si="419"/>
        <v>5</v>
      </c>
      <c r="L2457" s="44">
        <f t="shared" ca="1" si="424"/>
        <v>5.5</v>
      </c>
    </row>
    <row r="2458" spans="1:12" x14ac:dyDescent="0.25">
      <c r="A2458" s="20">
        <v>2450</v>
      </c>
      <c r="B2458" s="21">
        <f t="shared" ca="1" si="420"/>
        <v>2.0624524754743279</v>
      </c>
      <c r="C2458" s="21">
        <f t="shared" ca="1" si="425"/>
        <v>7422.2719762216038</v>
      </c>
      <c r="D2458" s="21">
        <f t="shared" ca="1" si="421"/>
        <v>1.8826008920744657</v>
      </c>
      <c r="E2458" s="21">
        <f t="shared" ca="1" si="428"/>
        <v>19.340511772849823</v>
      </c>
      <c r="F2458" s="20" t="str">
        <f t="shared" ca="1" si="426"/>
        <v>No</v>
      </c>
      <c r="G2458" s="21">
        <f t="shared" ca="1" si="422"/>
        <v>0</v>
      </c>
      <c r="H2458" s="21">
        <f t="shared" ca="1" si="423"/>
        <v>7441.6124879944537</v>
      </c>
      <c r="I2458" s="21">
        <f t="shared" ca="1" si="418"/>
        <v>7443.4950888865278</v>
      </c>
      <c r="J2458" s="20">
        <f t="shared" ca="1" si="427"/>
        <v>6</v>
      </c>
      <c r="K2458" s="20">
        <f t="shared" ca="1" si="419"/>
        <v>5</v>
      </c>
      <c r="L2458" s="44">
        <f t="shared" ca="1" si="424"/>
        <v>5.5</v>
      </c>
    </row>
    <row r="2459" spans="1:12" x14ac:dyDescent="0.25">
      <c r="A2459" s="20">
        <v>2451</v>
      </c>
      <c r="B2459" s="21">
        <f t="shared" ca="1" si="420"/>
        <v>4.4880265650353541</v>
      </c>
      <c r="C2459" s="21">
        <f t="shared" ca="1" si="425"/>
        <v>7426.7600027866392</v>
      </c>
      <c r="D2459" s="21">
        <f t="shared" ca="1" si="421"/>
        <v>4.1131533406132528</v>
      </c>
      <c r="E2459" s="21">
        <f t="shared" ca="1" si="428"/>
        <v>16.735086099888576</v>
      </c>
      <c r="F2459" s="20" t="str">
        <f t="shared" ca="1" si="426"/>
        <v>No</v>
      </c>
      <c r="G2459" s="21">
        <f t="shared" ca="1" si="422"/>
        <v>0</v>
      </c>
      <c r="H2459" s="21">
        <f t="shared" ca="1" si="423"/>
        <v>7443.4950888865278</v>
      </c>
      <c r="I2459" s="21">
        <f t="shared" ca="1" si="418"/>
        <v>7447.6082422271411</v>
      </c>
      <c r="J2459" s="20">
        <f t="shared" ca="1" si="427"/>
        <v>6</v>
      </c>
      <c r="K2459" s="20">
        <f t="shared" ca="1" si="419"/>
        <v>5</v>
      </c>
      <c r="L2459" s="44">
        <f t="shared" ca="1" si="424"/>
        <v>5.5</v>
      </c>
    </row>
    <row r="2460" spans="1:12" x14ac:dyDescent="0.25">
      <c r="A2460" s="20">
        <v>2452</v>
      </c>
      <c r="B2460" s="21">
        <f t="shared" ca="1" si="420"/>
        <v>0.32116907697730529</v>
      </c>
      <c r="C2460" s="21">
        <f t="shared" ca="1" si="425"/>
        <v>7427.0811718636169</v>
      </c>
      <c r="D2460" s="21">
        <f t="shared" ca="1" si="421"/>
        <v>3.8388680061609728</v>
      </c>
      <c r="E2460" s="21">
        <f t="shared" ca="1" si="428"/>
        <v>20.527070363524217</v>
      </c>
      <c r="F2460" s="20" t="str">
        <f t="shared" ca="1" si="426"/>
        <v>No</v>
      </c>
      <c r="G2460" s="21">
        <f t="shared" ca="1" si="422"/>
        <v>0</v>
      </c>
      <c r="H2460" s="21">
        <f t="shared" ca="1" si="423"/>
        <v>7447.6082422271411</v>
      </c>
      <c r="I2460" s="21">
        <f t="shared" ca="1" si="418"/>
        <v>7451.4471102333018</v>
      </c>
      <c r="J2460" s="20">
        <f t="shared" ca="1" si="427"/>
        <v>6</v>
      </c>
      <c r="K2460" s="20">
        <f t="shared" ca="1" si="419"/>
        <v>5</v>
      </c>
      <c r="L2460" s="44">
        <f t="shared" ca="1" si="424"/>
        <v>5.5</v>
      </c>
    </row>
    <row r="2461" spans="1:12" x14ac:dyDescent="0.25">
      <c r="A2461" s="20">
        <v>2453</v>
      </c>
      <c r="B2461" s="21">
        <f t="shared" ca="1" si="420"/>
        <v>2.1388829302865502</v>
      </c>
      <c r="C2461" s="21">
        <f t="shared" ca="1" si="425"/>
        <v>7429.2200547939037</v>
      </c>
      <c r="D2461" s="21">
        <f t="shared" ca="1" si="421"/>
        <v>3.8074094749252363</v>
      </c>
      <c r="E2461" s="21">
        <f t="shared" ca="1" si="428"/>
        <v>22.2270554393981</v>
      </c>
      <c r="F2461" s="20" t="str">
        <f t="shared" ca="1" si="426"/>
        <v>No</v>
      </c>
      <c r="G2461" s="21">
        <f t="shared" ca="1" si="422"/>
        <v>0</v>
      </c>
      <c r="H2461" s="21">
        <f t="shared" ca="1" si="423"/>
        <v>7451.4471102333018</v>
      </c>
      <c r="I2461" s="21">
        <f t="shared" ca="1" si="418"/>
        <v>7455.2545197082272</v>
      </c>
      <c r="J2461" s="20">
        <f t="shared" ca="1" si="427"/>
        <v>6</v>
      </c>
      <c r="K2461" s="20">
        <f t="shared" ca="1" si="419"/>
        <v>5</v>
      </c>
      <c r="L2461" s="44">
        <f t="shared" ca="1" si="424"/>
        <v>5.5</v>
      </c>
    </row>
    <row r="2462" spans="1:12" x14ac:dyDescent="0.25">
      <c r="A2462" s="20">
        <v>2454</v>
      </c>
      <c r="B2462" s="21">
        <f t="shared" ca="1" si="420"/>
        <v>3.65434135763683</v>
      </c>
      <c r="C2462" s="21">
        <f t="shared" ca="1" si="425"/>
        <v>7432.8743961515402</v>
      </c>
      <c r="D2462" s="21">
        <f t="shared" ca="1" si="421"/>
        <v>1.3204329984168428</v>
      </c>
      <c r="E2462" s="21">
        <f t="shared" ca="1" si="428"/>
        <v>22.380123556687067</v>
      </c>
      <c r="F2462" s="20" t="str">
        <f t="shared" ca="1" si="426"/>
        <v>No</v>
      </c>
      <c r="G2462" s="21">
        <f t="shared" ca="1" si="422"/>
        <v>0</v>
      </c>
      <c r="H2462" s="21">
        <f t="shared" ca="1" si="423"/>
        <v>7455.2545197082272</v>
      </c>
      <c r="I2462" s="21">
        <f t="shared" ca="1" si="418"/>
        <v>7456.5749527066437</v>
      </c>
      <c r="J2462" s="20">
        <f t="shared" ca="1" si="427"/>
        <v>6</v>
      </c>
      <c r="K2462" s="20">
        <f t="shared" ca="1" si="419"/>
        <v>5</v>
      </c>
      <c r="L2462" s="44">
        <f t="shared" ca="1" si="424"/>
        <v>5.5</v>
      </c>
    </row>
    <row r="2463" spans="1:12" x14ac:dyDescent="0.25">
      <c r="A2463" s="20">
        <v>2455</v>
      </c>
      <c r="B2463" s="21">
        <f t="shared" ca="1" si="420"/>
        <v>0.71684731789699141</v>
      </c>
      <c r="C2463" s="21">
        <f t="shared" ca="1" si="425"/>
        <v>7433.5912434694374</v>
      </c>
      <c r="D2463" s="21">
        <f t="shared" ca="1" si="421"/>
        <v>0.25521044968408446</v>
      </c>
      <c r="E2463" s="21">
        <f t="shared" ca="1" si="428"/>
        <v>22.983709237206313</v>
      </c>
      <c r="F2463" s="20" t="str">
        <f t="shared" ca="1" si="426"/>
        <v>No</v>
      </c>
      <c r="G2463" s="21">
        <f t="shared" ca="1" si="422"/>
        <v>0</v>
      </c>
      <c r="H2463" s="21">
        <f t="shared" ca="1" si="423"/>
        <v>7456.5749527066437</v>
      </c>
      <c r="I2463" s="21">
        <f t="shared" ca="1" si="418"/>
        <v>7456.8301631563281</v>
      </c>
      <c r="J2463" s="20">
        <f t="shared" ca="1" si="427"/>
        <v>6</v>
      </c>
      <c r="K2463" s="20">
        <f t="shared" ca="1" si="419"/>
        <v>5</v>
      </c>
      <c r="L2463" s="44">
        <f t="shared" ca="1" si="424"/>
        <v>5.5</v>
      </c>
    </row>
    <row r="2464" spans="1:12" x14ac:dyDescent="0.25">
      <c r="A2464" s="20">
        <v>2456</v>
      </c>
      <c r="B2464" s="21">
        <f t="shared" ca="1" si="420"/>
        <v>0.2556960481527083</v>
      </c>
      <c r="C2464" s="21">
        <f t="shared" ca="1" si="425"/>
        <v>7433.8469395175898</v>
      </c>
      <c r="D2464" s="21">
        <f t="shared" ca="1" si="421"/>
        <v>0.55248385962885616</v>
      </c>
      <c r="E2464" s="21">
        <f t="shared" ca="1" si="428"/>
        <v>22.983223638738309</v>
      </c>
      <c r="F2464" s="20" t="str">
        <f t="shared" ca="1" si="426"/>
        <v>No</v>
      </c>
      <c r="G2464" s="21">
        <f t="shared" ca="1" si="422"/>
        <v>0</v>
      </c>
      <c r="H2464" s="21">
        <f t="shared" ca="1" si="423"/>
        <v>7456.8301631563281</v>
      </c>
      <c r="I2464" s="21">
        <f t="shared" ca="1" si="418"/>
        <v>7457.3826470159565</v>
      </c>
      <c r="J2464" s="20">
        <f t="shared" ca="1" si="427"/>
        <v>6</v>
      </c>
      <c r="K2464" s="20">
        <f t="shared" ca="1" si="419"/>
        <v>5</v>
      </c>
      <c r="L2464" s="44">
        <f t="shared" ca="1" si="424"/>
        <v>5.5</v>
      </c>
    </row>
    <row r="2465" spans="1:12" x14ac:dyDescent="0.25">
      <c r="A2465" s="20">
        <v>2457</v>
      </c>
      <c r="B2465" s="21">
        <f t="shared" ca="1" si="420"/>
        <v>7.5798971004994327</v>
      </c>
      <c r="C2465" s="21">
        <f t="shared" ca="1" si="425"/>
        <v>7441.4268366180895</v>
      </c>
      <c r="D2465" s="21">
        <f t="shared" ca="1" si="421"/>
        <v>1.0642493875591204</v>
      </c>
      <c r="E2465" s="21">
        <f t="shared" ca="1" si="428"/>
        <v>15.955810397867026</v>
      </c>
      <c r="F2465" s="20" t="str">
        <f t="shared" ca="1" si="426"/>
        <v>No</v>
      </c>
      <c r="G2465" s="21">
        <f t="shared" ca="1" si="422"/>
        <v>0</v>
      </c>
      <c r="H2465" s="21">
        <f t="shared" ca="1" si="423"/>
        <v>7457.3826470159565</v>
      </c>
      <c r="I2465" s="21">
        <f t="shared" ca="1" si="418"/>
        <v>7458.4468964035159</v>
      </c>
      <c r="J2465" s="20">
        <f t="shared" ca="1" si="427"/>
        <v>6</v>
      </c>
      <c r="K2465" s="20">
        <f t="shared" ca="1" si="419"/>
        <v>5</v>
      </c>
      <c r="L2465" s="44">
        <f t="shared" ca="1" si="424"/>
        <v>5.5</v>
      </c>
    </row>
    <row r="2466" spans="1:12" x14ac:dyDescent="0.25">
      <c r="A2466" s="20">
        <v>2458</v>
      </c>
      <c r="B2466" s="21">
        <f t="shared" ca="1" si="420"/>
        <v>2.8757042330563145</v>
      </c>
      <c r="C2466" s="21">
        <f t="shared" ca="1" si="425"/>
        <v>7444.3025408511457</v>
      </c>
      <c r="D2466" s="21">
        <f t="shared" ca="1" si="421"/>
        <v>0.20631433603146151</v>
      </c>
      <c r="E2466" s="21">
        <f t="shared" ca="1" si="428"/>
        <v>14.144355552370143</v>
      </c>
      <c r="F2466" s="20" t="str">
        <f t="shared" ca="1" si="426"/>
        <v>No</v>
      </c>
      <c r="G2466" s="21">
        <f t="shared" ca="1" si="422"/>
        <v>0</v>
      </c>
      <c r="H2466" s="21">
        <f t="shared" ca="1" si="423"/>
        <v>7458.4468964035159</v>
      </c>
      <c r="I2466" s="21">
        <f t="shared" ca="1" si="418"/>
        <v>7458.6532107395469</v>
      </c>
      <c r="J2466" s="20">
        <f t="shared" ca="1" si="427"/>
        <v>6</v>
      </c>
      <c r="K2466" s="20">
        <f t="shared" ca="1" si="419"/>
        <v>4</v>
      </c>
      <c r="L2466" s="44">
        <f t="shared" ca="1" si="424"/>
        <v>5</v>
      </c>
    </row>
    <row r="2467" spans="1:12" x14ac:dyDescent="0.25">
      <c r="A2467" s="20">
        <v>2459</v>
      </c>
      <c r="B2467" s="21">
        <f t="shared" ca="1" si="420"/>
        <v>2.0168097120034183</v>
      </c>
      <c r="C2467" s="21">
        <f t="shared" ca="1" si="425"/>
        <v>7446.3193505631489</v>
      </c>
      <c r="D2467" s="21">
        <f t="shared" ca="1" si="421"/>
        <v>0.4530132229153902</v>
      </c>
      <c r="E2467" s="21">
        <f t="shared" ca="1" si="428"/>
        <v>12.333860176398048</v>
      </c>
      <c r="F2467" s="20" t="str">
        <f t="shared" ca="1" si="426"/>
        <v>No</v>
      </c>
      <c r="G2467" s="21">
        <f t="shared" ca="1" si="422"/>
        <v>0</v>
      </c>
      <c r="H2467" s="21">
        <f t="shared" ca="1" si="423"/>
        <v>7458.6532107395469</v>
      </c>
      <c r="I2467" s="21">
        <f t="shared" ca="1" si="418"/>
        <v>7459.1062239624625</v>
      </c>
      <c r="J2467" s="20">
        <f t="shared" ca="1" si="427"/>
        <v>5</v>
      </c>
      <c r="K2467" s="20">
        <f t="shared" ca="1" si="419"/>
        <v>3</v>
      </c>
      <c r="L2467" s="44">
        <f t="shared" ca="1" si="424"/>
        <v>4</v>
      </c>
    </row>
    <row r="2468" spans="1:12" x14ac:dyDescent="0.25">
      <c r="A2468" s="20">
        <v>2460</v>
      </c>
      <c r="B2468" s="21">
        <f t="shared" ca="1" si="420"/>
        <v>1.4596859395018413</v>
      </c>
      <c r="C2468" s="21">
        <f t="shared" ca="1" si="425"/>
        <v>7447.7790365026503</v>
      </c>
      <c r="D2468" s="21">
        <f t="shared" ca="1" si="421"/>
        <v>3.3614590256642356</v>
      </c>
      <c r="E2468" s="21">
        <f t="shared" ca="1" si="428"/>
        <v>11.327187459812194</v>
      </c>
      <c r="F2468" s="20" t="str">
        <f t="shared" ca="1" si="426"/>
        <v>No</v>
      </c>
      <c r="G2468" s="21">
        <f t="shared" ca="1" si="422"/>
        <v>0</v>
      </c>
      <c r="H2468" s="21">
        <f t="shared" ca="1" si="423"/>
        <v>7459.1062239624625</v>
      </c>
      <c r="I2468" s="21">
        <f t="shared" ca="1" si="418"/>
        <v>7462.4676829881264</v>
      </c>
      <c r="J2468" s="20">
        <f t="shared" ca="1" si="427"/>
        <v>4</v>
      </c>
      <c r="K2468" s="20">
        <f t="shared" ca="1" si="419"/>
        <v>3</v>
      </c>
      <c r="L2468" s="44">
        <f t="shared" ca="1" si="424"/>
        <v>3.5</v>
      </c>
    </row>
    <row r="2469" spans="1:12" x14ac:dyDescent="0.25">
      <c r="A2469" s="20">
        <v>2461</v>
      </c>
      <c r="B2469" s="21">
        <f t="shared" ca="1" si="420"/>
        <v>3.8810662948621055</v>
      </c>
      <c r="C2469" s="21">
        <f t="shared" ca="1" si="425"/>
        <v>7451.6601027975121</v>
      </c>
      <c r="D2469" s="21">
        <f t="shared" ca="1" si="421"/>
        <v>3.9911605009611719</v>
      </c>
      <c r="E2469" s="21">
        <f t="shared" ca="1" si="428"/>
        <v>10.807580190614317</v>
      </c>
      <c r="F2469" s="20" t="str">
        <f t="shared" ca="1" si="426"/>
        <v>No</v>
      </c>
      <c r="G2469" s="21">
        <f t="shared" ca="1" si="422"/>
        <v>0</v>
      </c>
      <c r="H2469" s="21">
        <f t="shared" ca="1" si="423"/>
        <v>7462.4676829881264</v>
      </c>
      <c r="I2469" s="21">
        <f t="shared" ca="1" si="418"/>
        <v>7466.4588434890875</v>
      </c>
      <c r="J2469" s="20">
        <f t="shared" ca="1" si="427"/>
        <v>4</v>
      </c>
      <c r="K2469" s="20">
        <f t="shared" ca="1" si="419"/>
        <v>4</v>
      </c>
      <c r="L2469" s="44">
        <f t="shared" ca="1" si="424"/>
        <v>4</v>
      </c>
    </row>
    <row r="2470" spans="1:12" x14ac:dyDescent="0.25">
      <c r="A2470" s="20">
        <v>2462</v>
      </c>
      <c r="B2470" s="21">
        <f t="shared" ca="1" si="420"/>
        <v>0.63339384855807401</v>
      </c>
      <c r="C2470" s="21">
        <f t="shared" ca="1" si="425"/>
        <v>7452.2934966460698</v>
      </c>
      <c r="D2470" s="21">
        <f t="shared" ca="1" si="421"/>
        <v>3.0101479661389261</v>
      </c>
      <c r="E2470" s="21">
        <f t="shared" ca="1" si="428"/>
        <v>14.165346843017687</v>
      </c>
      <c r="F2470" s="20" t="str">
        <f t="shared" ca="1" si="426"/>
        <v>No</v>
      </c>
      <c r="G2470" s="21">
        <f t="shared" ca="1" si="422"/>
        <v>0</v>
      </c>
      <c r="H2470" s="21">
        <f t="shared" ca="1" si="423"/>
        <v>7466.4588434890875</v>
      </c>
      <c r="I2470" s="21">
        <f t="shared" ca="1" si="418"/>
        <v>7469.4689914552264</v>
      </c>
      <c r="J2470" s="20">
        <f t="shared" ca="1" si="427"/>
        <v>5</v>
      </c>
      <c r="K2470" s="20">
        <f t="shared" ca="1" si="419"/>
        <v>3</v>
      </c>
      <c r="L2470" s="44">
        <f t="shared" ca="1" si="424"/>
        <v>4</v>
      </c>
    </row>
    <row r="2471" spans="1:12" x14ac:dyDescent="0.25">
      <c r="A2471" s="20">
        <v>2463</v>
      </c>
      <c r="B2471" s="21">
        <f t="shared" ca="1" si="420"/>
        <v>8.3521094029778062</v>
      </c>
      <c r="C2471" s="21">
        <f t="shared" ca="1" si="425"/>
        <v>7460.6456060490473</v>
      </c>
      <c r="D2471" s="21">
        <f t="shared" ca="1" si="421"/>
        <v>1.2503828177642129</v>
      </c>
      <c r="E2471" s="21">
        <f t="shared" ca="1" si="428"/>
        <v>8.8233854061791135</v>
      </c>
      <c r="F2471" s="20" t="str">
        <f t="shared" ca="1" si="426"/>
        <v>No</v>
      </c>
      <c r="G2471" s="21">
        <f t="shared" ca="1" si="422"/>
        <v>0</v>
      </c>
      <c r="H2471" s="21">
        <f t="shared" ca="1" si="423"/>
        <v>7469.4689914552264</v>
      </c>
      <c r="I2471" s="21">
        <f t="shared" ca="1" si="418"/>
        <v>7470.7193742729905</v>
      </c>
      <c r="J2471" s="20">
        <f t="shared" ca="1" si="427"/>
        <v>4</v>
      </c>
      <c r="K2471" s="20">
        <f t="shared" ca="1" si="419"/>
        <v>3</v>
      </c>
      <c r="L2471" s="44">
        <f t="shared" ca="1" si="424"/>
        <v>3.5</v>
      </c>
    </row>
    <row r="2472" spans="1:12" x14ac:dyDescent="0.25">
      <c r="A2472" s="20">
        <v>2464</v>
      </c>
      <c r="B2472" s="21">
        <f t="shared" ca="1" si="420"/>
        <v>2.1083473947702522</v>
      </c>
      <c r="C2472" s="21">
        <f t="shared" ca="1" si="425"/>
        <v>7462.7539534438174</v>
      </c>
      <c r="D2472" s="21">
        <f t="shared" ca="1" si="421"/>
        <v>0.98208781617488827</v>
      </c>
      <c r="E2472" s="21">
        <f t="shared" ca="1" si="428"/>
        <v>7.9654208291731265</v>
      </c>
      <c r="F2472" s="20" t="str">
        <f t="shared" ca="1" si="426"/>
        <v>No</v>
      </c>
      <c r="G2472" s="21">
        <f t="shared" ca="1" si="422"/>
        <v>0</v>
      </c>
      <c r="H2472" s="21">
        <f t="shared" ca="1" si="423"/>
        <v>7470.7193742729905</v>
      </c>
      <c r="I2472" s="21">
        <f t="shared" ca="1" si="418"/>
        <v>7471.701462089165</v>
      </c>
      <c r="J2472" s="20">
        <f t="shared" ca="1" si="427"/>
        <v>4</v>
      </c>
      <c r="K2472" s="20">
        <f t="shared" ca="1" si="419"/>
        <v>2</v>
      </c>
      <c r="L2472" s="44">
        <f t="shared" ca="1" si="424"/>
        <v>3</v>
      </c>
    </row>
    <row r="2473" spans="1:12" x14ac:dyDescent="0.25">
      <c r="A2473" s="20">
        <v>2465</v>
      </c>
      <c r="B2473" s="21">
        <f t="shared" ca="1" si="420"/>
        <v>3.1369311037305856</v>
      </c>
      <c r="C2473" s="21">
        <f t="shared" ca="1" si="425"/>
        <v>7465.890884547548</v>
      </c>
      <c r="D2473" s="21">
        <f t="shared" ca="1" si="421"/>
        <v>9.5997114291528587E-2</v>
      </c>
      <c r="E2473" s="21">
        <f t="shared" ca="1" si="428"/>
        <v>5.8105775416170218</v>
      </c>
      <c r="F2473" s="20" t="str">
        <f t="shared" ca="1" si="426"/>
        <v>No</v>
      </c>
      <c r="G2473" s="21">
        <f t="shared" ca="1" si="422"/>
        <v>0</v>
      </c>
      <c r="H2473" s="21">
        <f t="shared" ca="1" si="423"/>
        <v>7471.701462089165</v>
      </c>
      <c r="I2473" s="21">
        <f t="shared" ca="1" si="418"/>
        <v>7471.7974592034561</v>
      </c>
      <c r="J2473" s="20">
        <f t="shared" ca="1" si="427"/>
        <v>3</v>
      </c>
      <c r="K2473" s="20">
        <f t="shared" ca="1" si="419"/>
        <v>1</v>
      </c>
      <c r="L2473" s="44">
        <f t="shared" ca="1" si="424"/>
        <v>2</v>
      </c>
    </row>
    <row r="2474" spans="1:12" x14ac:dyDescent="0.25">
      <c r="A2474" s="20">
        <v>2466</v>
      </c>
      <c r="B2474" s="21">
        <f t="shared" ca="1" si="420"/>
        <v>4.2557762068637928</v>
      </c>
      <c r="C2474" s="21">
        <f t="shared" ca="1" si="425"/>
        <v>7470.1466607544116</v>
      </c>
      <c r="D2474" s="21">
        <f t="shared" ca="1" si="421"/>
        <v>2.9287229756210289</v>
      </c>
      <c r="E2474" s="21">
        <f t="shared" ca="1" si="428"/>
        <v>1.6507984490444869</v>
      </c>
      <c r="F2474" s="20" t="str">
        <f t="shared" ca="1" si="426"/>
        <v>No</v>
      </c>
      <c r="G2474" s="21">
        <f t="shared" ca="1" si="422"/>
        <v>0</v>
      </c>
      <c r="H2474" s="21">
        <f t="shared" ca="1" si="423"/>
        <v>7471.7974592034561</v>
      </c>
      <c r="I2474" s="21">
        <f t="shared" ca="1" si="418"/>
        <v>7474.7261821790771</v>
      </c>
      <c r="J2474" s="20">
        <f t="shared" ca="1" si="427"/>
        <v>2</v>
      </c>
      <c r="K2474" s="20">
        <f t="shared" ca="1" si="419"/>
        <v>2</v>
      </c>
      <c r="L2474" s="44">
        <f t="shared" ca="1" si="424"/>
        <v>2</v>
      </c>
    </row>
    <row r="2475" spans="1:12" x14ac:dyDescent="0.25">
      <c r="A2475" s="20">
        <v>2467</v>
      </c>
      <c r="B2475" s="21">
        <f t="shared" ca="1" si="420"/>
        <v>2.8025474367555465</v>
      </c>
      <c r="C2475" s="21">
        <f t="shared" ca="1" si="425"/>
        <v>7472.9492081911676</v>
      </c>
      <c r="D2475" s="21">
        <f t="shared" ca="1" si="421"/>
        <v>0.72064860523717911</v>
      </c>
      <c r="E2475" s="21">
        <f t="shared" ca="1" si="428"/>
        <v>1.7769739879095141</v>
      </c>
      <c r="F2475" s="20" t="str">
        <f t="shared" ca="1" si="426"/>
        <v>No</v>
      </c>
      <c r="G2475" s="21">
        <f t="shared" ca="1" si="422"/>
        <v>0</v>
      </c>
      <c r="H2475" s="21">
        <f t="shared" ca="1" si="423"/>
        <v>7474.7261821790771</v>
      </c>
      <c r="I2475" s="21">
        <f t="shared" ca="1" si="418"/>
        <v>7475.4468307843144</v>
      </c>
      <c r="J2475" s="20">
        <f t="shared" ca="1" si="427"/>
        <v>3</v>
      </c>
      <c r="K2475" s="20">
        <f t="shared" ca="1" si="419"/>
        <v>2</v>
      </c>
      <c r="L2475" s="44">
        <f t="shared" ca="1" si="424"/>
        <v>2.5</v>
      </c>
    </row>
    <row r="2476" spans="1:12" x14ac:dyDescent="0.25">
      <c r="A2476" s="20">
        <v>2468</v>
      </c>
      <c r="B2476" s="21">
        <f t="shared" ca="1" si="420"/>
        <v>3.9847248226139997E-2</v>
      </c>
      <c r="C2476" s="21">
        <f t="shared" ca="1" si="425"/>
        <v>7472.9890554393942</v>
      </c>
      <c r="D2476" s="21">
        <f t="shared" ca="1" si="421"/>
        <v>0.79115824777279875</v>
      </c>
      <c r="E2476" s="21">
        <f t="shared" ca="1" si="428"/>
        <v>2.4577753449202646</v>
      </c>
      <c r="F2476" s="20" t="str">
        <f t="shared" ca="1" si="426"/>
        <v>No</v>
      </c>
      <c r="G2476" s="21">
        <f t="shared" ca="1" si="422"/>
        <v>0</v>
      </c>
      <c r="H2476" s="21">
        <f t="shared" ca="1" si="423"/>
        <v>7475.4468307843144</v>
      </c>
      <c r="I2476" s="21">
        <f t="shared" ca="1" si="418"/>
        <v>7476.2379890320872</v>
      </c>
      <c r="J2476" s="20">
        <f t="shared" ca="1" si="427"/>
        <v>3</v>
      </c>
      <c r="K2476" s="20">
        <f t="shared" ca="1" si="419"/>
        <v>1</v>
      </c>
      <c r="L2476" s="44">
        <f t="shared" ca="1" si="424"/>
        <v>2</v>
      </c>
    </row>
    <row r="2477" spans="1:12" x14ac:dyDescent="0.25">
      <c r="A2477" s="20">
        <v>2469</v>
      </c>
      <c r="B2477" s="21">
        <f t="shared" ca="1" si="420"/>
        <v>2.3172989570613587</v>
      </c>
      <c r="C2477" s="21">
        <f t="shared" ca="1" si="425"/>
        <v>7475.3063543964554</v>
      </c>
      <c r="D2477" s="21">
        <f t="shared" ca="1" si="421"/>
        <v>1.1065303721477255</v>
      </c>
      <c r="E2477" s="21">
        <f t="shared" ca="1" si="428"/>
        <v>0.93163463563178084</v>
      </c>
      <c r="F2477" s="20" t="str">
        <f t="shared" ca="1" si="426"/>
        <v>No</v>
      </c>
      <c r="G2477" s="21">
        <f t="shared" ca="1" si="422"/>
        <v>0</v>
      </c>
      <c r="H2477" s="21">
        <f t="shared" ca="1" si="423"/>
        <v>7476.2379890320872</v>
      </c>
      <c r="I2477" s="21">
        <f t="shared" ca="1" si="418"/>
        <v>7477.3445194042351</v>
      </c>
      <c r="J2477" s="20">
        <f t="shared" ca="1" si="427"/>
        <v>2</v>
      </c>
      <c r="K2477" s="20">
        <f t="shared" ca="1" si="419"/>
        <v>0</v>
      </c>
      <c r="L2477" s="44">
        <f t="shared" ca="1" si="424"/>
        <v>1</v>
      </c>
    </row>
    <row r="2478" spans="1:12" x14ac:dyDescent="0.25">
      <c r="A2478" s="20">
        <v>2470</v>
      </c>
      <c r="B2478" s="21">
        <f t="shared" ca="1" si="420"/>
        <v>3.1949869496211605</v>
      </c>
      <c r="C2478" s="21">
        <f t="shared" ca="1" si="425"/>
        <v>7478.5013413460765</v>
      </c>
      <c r="D2478" s="21">
        <f t="shared" ca="1" si="421"/>
        <v>9.4727984947866855</v>
      </c>
      <c r="E2478" s="21">
        <f t="shared" ca="1" si="428"/>
        <v>0</v>
      </c>
      <c r="F2478" s="20" t="str">
        <f t="shared" ca="1" si="426"/>
        <v>Yes</v>
      </c>
      <c r="G2478" s="21">
        <f t="shared" ca="1" si="422"/>
        <v>1.1568219418413719</v>
      </c>
      <c r="H2478" s="21">
        <f t="shared" ca="1" si="423"/>
        <v>7478.5013413460765</v>
      </c>
      <c r="I2478" s="21">
        <f t="shared" ca="1" si="418"/>
        <v>7487.9741398408632</v>
      </c>
      <c r="J2478" s="20">
        <f t="shared" ca="1" si="427"/>
        <v>0</v>
      </c>
      <c r="K2478" s="20">
        <f t="shared" ca="1" si="419"/>
        <v>2</v>
      </c>
      <c r="L2478" s="44">
        <f t="shared" ca="1" si="424"/>
        <v>1</v>
      </c>
    </row>
    <row r="2479" spans="1:12" x14ac:dyDescent="0.25">
      <c r="A2479" s="20">
        <v>2471</v>
      </c>
      <c r="B2479" s="21">
        <f t="shared" ca="1" si="420"/>
        <v>8.7543840823748091</v>
      </c>
      <c r="C2479" s="21">
        <f t="shared" ca="1" si="425"/>
        <v>7487.2557254284511</v>
      </c>
      <c r="D2479" s="21">
        <f t="shared" ca="1" si="421"/>
        <v>1.6019499873766547</v>
      </c>
      <c r="E2479" s="21">
        <f t="shared" ca="1" si="428"/>
        <v>0.71841441241213033</v>
      </c>
      <c r="F2479" s="20" t="str">
        <f t="shared" ca="1" si="426"/>
        <v>No</v>
      </c>
      <c r="G2479" s="21">
        <f t="shared" ca="1" si="422"/>
        <v>0</v>
      </c>
      <c r="H2479" s="21">
        <f t="shared" ca="1" si="423"/>
        <v>7487.9741398408632</v>
      </c>
      <c r="I2479" s="21">
        <f t="shared" ca="1" si="418"/>
        <v>7489.5760898282397</v>
      </c>
      <c r="J2479" s="20">
        <f t="shared" ca="1" si="427"/>
        <v>3</v>
      </c>
      <c r="K2479" s="20">
        <f t="shared" ca="1" si="419"/>
        <v>1</v>
      </c>
      <c r="L2479" s="44">
        <f t="shared" ca="1" si="424"/>
        <v>2</v>
      </c>
    </row>
    <row r="2480" spans="1:12" x14ac:dyDescent="0.25">
      <c r="A2480" s="20">
        <v>2472</v>
      </c>
      <c r="B2480" s="21">
        <f t="shared" ca="1" si="420"/>
        <v>0.61771432102798118</v>
      </c>
      <c r="C2480" s="21">
        <f t="shared" ca="1" si="425"/>
        <v>7487.8734397494791</v>
      </c>
      <c r="D2480" s="21">
        <f t="shared" ca="1" si="421"/>
        <v>1.266275408793536</v>
      </c>
      <c r="E2480" s="21">
        <f t="shared" ca="1" si="428"/>
        <v>1.7026500787605983</v>
      </c>
      <c r="F2480" s="20" t="str">
        <f t="shared" ca="1" si="426"/>
        <v>No</v>
      </c>
      <c r="G2480" s="21">
        <f t="shared" ca="1" si="422"/>
        <v>0</v>
      </c>
      <c r="H2480" s="21">
        <f t="shared" ca="1" si="423"/>
        <v>7489.5760898282397</v>
      </c>
      <c r="I2480" s="21">
        <f t="shared" ca="1" si="418"/>
        <v>7490.8423652370329</v>
      </c>
      <c r="J2480" s="20">
        <f t="shared" ca="1" si="427"/>
        <v>2</v>
      </c>
      <c r="K2480" s="20">
        <f t="shared" ca="1" si="419"/>
        <v>2</v>
      </c>
      <c r="L2480" s="44">
        <f t="shared" ca="1" si="424"/>
        <v>2</v>
      </c>
    </row>
    <row r="2481" spans="1:12" x14ac:dyDescent="0.25">
      <c r="A2481" s="20">
        <v>2473</v>
      </c>
      <c r="B2481" s="21">
        <f t="shared" ca="1" si="420"/>
        <v>2.3420878320278926</v>
      </c>
      <c r="C2481" s="21">
        <f t="shared" ca="1" si="425"/>
        <v>7490.2155275815066</v>
      </c>
      <c r="D2481" s="21">
        <f t="shared" ca="1" si="421"/>
        <v>1.4240009946094097</v>
      </c>
      <c r="E2481" s="21">
        <f t="shared" ca="1" si="428"/>
        <v>0.62683765552628756</v>
      </c>
      <c r="F2481" s="20" t="str">
        <f t="shared" ca="1" si="426"/>
        <v>No</v>
      </c>
      <c r="G2481" s="21">
        <f t="shared" ca="1" si="422"/>
        <v>0</v>
      </c>
      <c r="H2481" s="21">
        <f t="shared" ca="1" si="423"/>
        <v>7490.8423652370329</v>
      </c>
      <c r="I2481" s="21">
        <f t="shared" ca="1" si="418"/>
        <v>7492.2663662316427</v>
      </c>
      <c r="J2481" s="20">
        <f t="shared" ca="1" si="427"/>
        <v>3</v>
      </c>
      <c r="K2481" s="20">
        <f t="shared" ca="1" si="419"/>
        <v>1</v>
      </c>
      <c r="L2481" s="44">
        <f t="shared" ca="1" si="424"/>
        <v>2</v>
      </c>
    </row>
    <row r="2482" spans="1:12" x14ac:dyDescent="0.25">
      <c r="A2482" s="20">
        <v>2474</v>
      </c>
      <c r="B2482" s="21">
        <f t="shared" ca="1" si="420"/>
        <v>0.31079322395596604</v>
      </c>
      <c r="C2482" s="21">
        <f t="shared" ca="1" si="425"/>
        <v>7490.526320805463</v>
      </c>
      <c r="D2482" s="21">
        <f t="shared" ca="1" si="421"/>
        <v>1.7426911019896314</v>
      </c>
      <c r="E2482" s="21">
        <f t="shared" ca="1" si="428"/>
        <v>1.7400454261796767</v>
      </c>
      <c r="F2482" s="20" t="str">
        <f t="shared" ca="1" si="426"/>
        <v>No</v>
      </c>
      <c r="G2482" s="21">
        <f t="shared" ca="1" si="422"/>
        <v>0</v>
      </c>
      <c r="H2482" s="21">
        <f t="shared" ca="1" si="423"/>
        <v>7492.2663662316427</v>
      </c>
      <c r="I2482" s="21">
        <f t="shared" ca="1" si="418"/>
        <v>7494.009057333632</v>
      </c>
      <c r="J2482" s="20">
        <f t="shared" ca="1" si="427"/>
        <v>2</v>
      </c>
      <c r="K2482" s="20">
        <f t="shared" ca="1" si="419"/>
        <v>0</v>
      </c>
      <c r="L2482" s="44">
        <f t="shared" ca="1" si="424"/>
        <v>1</v>
      </c>
    </row>
    <row r="2483" spans="1:12" x14ac:dyDescent="0.25">
      <c r="A2483" s="20">
        <v>2475</v>
      </c>
      <c r="B2483" s="21">
        <f t="shared" ca="1" si="420"/>
        <v>3.9474840820244541</v>
      </c>
      <c r="C2483" s="21">
        <f t="shared" ca="1" si="425"/>
        <v>7494.4738048874879</v>
      </c>
      <c r="D2483" s="21">
        <f t="shared" ca="1" si="421"/>
        <v>1.0165051785471202</v>
      </c>
      <c r="E2483" s="21">
        <f t="shared" ca="1" si="428"/>
        <v>0</v>
      </c>
      <c r="F2483" s="20" t="str">
        <f t="shared" ca="1" si="426"/>
        <v>Yes</v>
      </c>
      <c r="G2483" s="21">
        <f t="shared" ca="1" si="422"/>
        <v>0.46474755385588651</v>
      </c>
      <c r="H2483" s="21">
        <f t="shared" ca="1" si="423"/>
        <v>7494.4738048874879</v>
      </c>
      <c r="I2483" s="21">
        <f t="shared" ca="1" si="418"/>
        <v>7495.4903100660349</v>
      </c>
      <c r="J2483" s="20">
        <f t="shared" ca="1" si="427"/>
        <v>0</v>
      </c>
      <c r="K2483" s="20">
        <f t="shared" ca="1" si="419"/>
        <v>0</v>
      </c>
      <c r="L2483" s="44">
        <f t="shared" ca="1" si="424"/>
        <v>0</v>
      </c>
    </row>
    <row r="2484" spans="1:12" x14ac:dyDescent="0.25">
      <c r="A2484" s="20">
        <v>2476</v>
      </c>
      <c r="B2484" s="21">
        <f t="shared" ca="1" si="420"/>
        <v>3.3161188401993766</v>
      </c>
      <c r="C2484" s="21">
        <f t="shared" ca="1" si="425"/>
        <v>7497.789923727687</v>
      </c>
      <c r="D2484" s="21">
        <f t="shared" ca="1" si="421"/>
        <v>9.5711610684310813</v>
      </c>
      <c r="E2484" s="21">
        <f t="shared" ca="1" si="428"/>
        <v>0</v>
      </c>
      <c r="F2484" s="20" t="str">
        <f t="shared" ca="1" si="426"/>
        <v>Yes</v>
      </c>
      <c r="G2484" s="21">
        <f t="shared" ca="1" si="422"/>
        <v>2.2996136616520744</v>
      </c>
      <c r="H2484" s="21">
        <f t="shared" ca="1" si="423"/>
        <v>7497.789923727687</v>
      </c>
      <c r="I2484" s="21">
        <f t="shared" ca="1" si="418"/>
        <v>7507.3610847961181</v>
      </c>
      <c r="J2484" s="20">
        <f t="shared" ca="1" si="427"/>
        <v>0</v>
      </c>
      <c r="K2484" s="20">
        <f t="shared" ca="1" si="419"/>
        <v>2</v>
      </c>
      <c r="L2484" s="44">
        <f t="shared" ca="1" si="424"/>
        <v>1</v>
      </c>
    </row>
    <row r="2485" spans="1:12" x14ac:dyDescent="0.25">
      <c r="A2485" s="20">
        <v>2477</v>
      </c>
      <c r="B2485" s="21">
        <f t="shared" ca="1" si="420"/>
        <v>4.8397642706626298</v>
      </c>
      <c r="C2485" s="21">
        <f t="shared" ca="1" si="425"/>
        <v>7502.6296879983493</v>
      </c>
      <c r="D2485" s="21">
        <f t="shared" ca="1" si="421"/>
        <v>1.9376094453862531</v>
      </c>
      <c r="E2485" s="21">
        <f t="shared" ca="1" si="428"/>
        <v>4.7313967977688662</v>
      </c>
      <c r="F2485" s="20" t="str">
        <f t="shared" ca="1" si="426"/>
        <v>No</v>
      </c>
      <c r="G2485" s="21">
        <f t="shared" ca="1" si="422"/>
        <v>0</v>
      </c>
      <c r="H2485" s="21">
        <f t="shared" ca="1" si="423"/>
        <v>7507.3610847961181</v>
      </c>
      <c r="I2485" s="21">
        <f t="shared" ca="1" si="418"/>
        <v>7509.2986942415046</v>
      </c>
      <c r="J2485" s="20">
        <f t="shared" ca="1" si="427"/>
        <v>3</v>
      </c>
      <c r="K2485" s="20">
        <f t="shared" ca="1" si="419"/>
        <v>2</v>
      </c>
      <c r="L2485" s="44">
        <f t="shared" ca="1" si="424"/>
        <v>2.5</v>
      </c>
    </row>
    <row r="2486" spans="1:12" x14ac:dyDescent="0.25">
      <c r="A2486" s="20">
        <v>2478</v>
      </c>
      <c r="B2486" s="21">
        <f t="shared" ca="1" si="420"/>
        <v>1.3878299863278523</v>
      </c>
      <c r="C2486" s="21">
        <f t="shared" ca="1" si="425"/>
        <v>7504.0175179846774</v>
      </c>
      <c r="D2486" s="21">
        <f t="shared" ca="1" si="421"/>
        <v>0.58242020754454815</v>
      </c>
      <c r="E2486" s="21">
        <f t="shared" ca="1" si="428"/>
        <v>5.2811762568271661</v>
      </c>
      <c r="F2486" s="20" t="str">
        <f t="shared" ca="1" si="426"/>
        <v>No</v>
      </c>
      <c r="G2486" s="21">
        <f t="shared" ca="1" si="422"/>
        <v>0</v>
      </c>
      <c r="H2486" s="21">
        <f t="shared" ca="1" si="423"/>
        <v>7509.2986942415046</v>
      </c>
      <c r="I2486" s="21">
        <f t="shared" ca="1" si="418"/>
        <v>7509.8811144490492</v>
      </c>
      <c r="J2486" s="20">
        <f t="shared" ca="1" si="427"/>
        <v>3</v>
      </c>
      <c r="K2486" s="20">
        <f t="shared" ca="1" si="419"/>
        <v>1</v>
      </c>
      <c r="L2486" s="44">
        <f t="shared" ca="1" si="424"/>
        <v>2</v>
      </c>
    </row>
    <row r="2487" spans="1:12" x14ac:dyDescent="0.25">
      <c r="A2487" s="20">
        <v>2479</v>
      </c>
      <c r="B2487" s="21">
        <f t="shared" ca="1" si="420"/>
        <v>3.9706485107450482</v>
      </c>
      <c r="C2487" s="21">
        <f t="shared" ca="1" si="425"/>
        <v>7507.9881664954228</v>
      </c>
      <c r="D2487" s="21">
        <f t="shared" ca="1" si="421"/>
        <v>0.77045652021229771</v>
      </c>
      <c r="E2487" s="21">
        <f t="shared" ca="1" si="428"/>
        <v>1.8929479536263898</v>
      </c>
      <c r="F2487" s="20" t="str">
        <f t="shared" ca="1" si="426"/>
        <v>No</v>
      </c>
      <c r="G2487" s="21">
        <f t="shared" ca="1" si="422"/>
        <v>0</v>
      </c>
      <c r="H2487" s="21">
        <f t="shared" ca="1" si="423"/>
        <v>7509.8811144490492</v>
      </c>
      <c r="I2487" s="21">
        <f t="shared" ca="1" si="418"/>
        <v>7510.6515709692612</v>
      </c>
      <c r="J2487" s="20">
        <f t="shared" ca="1" si="427"/>
        <v>2</v>
      </c>
      <c r="K2487" s="20">
        <f t="shared" ca="1" si="419"/>
        <v>0</v>
      </c>
      <c r="L2487" s="44">
        <f t="shared" ca="1" si="424"/>
        <v>1</v>
      </c>
    </row>
    <row r="2488" spans="1:12" x14ac:dyDescent="0.25">
      <c r="A2488" s="20">
        <v>2480</v>
      </c>
      <c r="B2488" s="21">
        <f t="shared" ca="1" si="420"/>
        <v>4.7177197316362367</v>
      </c>
      <c r="C2488" s="21">
        <f t="shared" ca="1" si="425"/>
        <v>7512.7058862270587</v>
      </c>
      <c r="D2488" s="21">
        <f t="shared" ca="1" si="421"/>
        <v>3.8857423192738429</v>
      </c>
      <c r="E2488" s="21">
        <f t="shared" ca="1" si="428"/>
        <v>0</v>
      </c>
      <c r="F2488" s="20" t="str">
        <f t="shared" ca="1" si="426"/>
        <v>Yes</v>
      </c>
      <c r="G2488" s="21">
        <f t="shared" ca="1" si="422"/>
        <v>2.0543152577974979</v>
      </c>
      <c r="H2488" s="21">
        <f t="shared" ca="1" si="423"/>
        <v>7512.7058862270587</v>
      </c>
      <c r="I2488" s="21">
        <f t="shared" ca="1" si="418"/>
        <v>7516.5916285463327</v>
      </c>
      <c r="J2488" s="20">
        <f t="shared" ca="1" si="427"/>
        <v>0</v>
      </c>
      <c r="K2488" s="20">
        <f t="shared" ca="1" si="419"/>
        <v>4</v>
      </c>
      <c r="L2488" s="44">
        <f t="shared" ca="1" si="424"/>
        <v>2</v>
      </c>
    </row>
    <row r="2489" spans="1:12" x14ac:dyDescent="0.25">
      <c r="A2489" s="20">
        <v>2481</v>
      </c>
      <c r="B2489" s="21">
        <f t="shared" ca="1" si="420"/>
        <v>5.2201145399039979E-2</v>
      </c>
      <c r="C2489" s="21">
        <f t="shared" ca="1" si="425"/>
        <v>7512.7580873724573</v>
      </c>
      <c r="D2489" s="21">
        <f t="shared" ca="1" si="421"/>
        <v>0.20373356959264918</v>
      </c>
      <c r="E2489" s="21">
        <f t="shared" ca="1" si="428"/>
        <v>3.8335411738753464</v>
      </c>
      <c r="F2489" s="20" t="str">
        <f t="shared" ca="1" si="426"/>
        <v>No</v>
      </c>
      <c r="G2489" s="21">
        <f t="shared" ca="1" si="422"/>
        <v>0</v>
      </c>
      <c r="H2489" s="21">
        <f t="shared" ca="1" si="423"/>
        <v>7516.5916285463327</v>
      </c>
      <c r="I2489" s="21">
        <f t="shared" ca="1" si="418"/>
        <v>7516.7953621159249</v>
      </c>
      <c r="J2489" s="20">
        <f t="shared" ca="1" si="427"/>
        <v>5</v>
      </c>
      <c r="K2489" s="20">
        <f t="shared" ca="1" si="419"/>
        <v>3</v>
      </c>
      <c r="L2489" s="44">
        <f t="shared" ca="1" si="424"/>
        <v>4</v>
      </c>
    </row>
    <row r="2490" spans="1:12" x14ac:dyDescent="0.25">
      <c r="A2490" s="20">
        <v>2482</v>
      </c>
      <c r="B2490" s="21">
        <f t="shared" ca="1" si="420"/>
        <v>2.8488882618132769</v>
      </c>
      <c r="C2490" s="21">
        <f t="shared" ca="1" si="425"/>
        <v>7515.6069756342704</v>
      </c>
      <c r="D2490" s="21">
        <f t="shared" ca="1" si="421"/>
        <v>0.51964467680829163</v>
      </c>
      <c r="E2490" s="21">
        <f t="shared" ca="1" si="428"/>
        <v>1.1883864816545611</v>
      </c>
      <c r="F2490" s="20" t="str">
        <f t="shared" ca="1" si="426"/>
        <v>No</v>
      </c>
      <c r="G2490" s="21">
        <f t="shared" ca="1" si="422"/>
        <v>0</v>
      </c>
      <c r="H2490" s="21">
        <f t="shared" ca="1" si="423"/>
        <v>7516.7953621159249</v>
      </c>
      <c r="I2490" s="21">
        <f t="shared" ca="1" si="418"/>
        <v>7517.3150067927336</v>
      </c>
      <c r="J2490" s="20">
        <f t="shared" ca="1" si="427"/>
        <v>4</v>
      </c>
      <c r="K2490" s="20">
        <f t="shared" ca="1" si="419"/>
        <v>3</v>
      </c>
      <c r="L2490" s="44">
        <f t="shared" ca="1" si="424"/>
        <v>3.5</v>
      </c>
    </row>
    <row r="2491" spans="1:12" x14ac:dyDescent="0.25">
      <c r="A2491" s="20">
        <v>2483</v>
      </c>
      <c r="B2491" s="21">
        <f t="shared" ca="1" si="420"/>
        <v>0.52067397857448061</v>
      </c>
      <c r="C2491" s="21">
        <f t="shared" ca="1" si="425"/>
        <v>7516.1276496128448</v>
      </c>
      <c r="D2491" s="21">
        <f t="shared" ca="1" si="421"/>
        <v>9.8019325680827288E-2</v>
      </c>
      <c r="E2491" s="21">
        <f t="shared" ca="1" si="428"/>
        <v>1.1873571798887497</v>
      </c>
      <c r="F2491" s="20" t="str">
        <f t="shared" ca="1" si="426"/>
        <v>No</v>
      </c>
      <c r="G2491" s="21">
        <f t="shared" ca="1" si="422"/>
        <v>0</v>
      </c>
      <c r="H2491" s="21">
        <f t="shared" ca="1" si="423"/>
        <v>7517.3150067927336</v>
      </c>
      <c r="I2491" s="21">
        <f t="shared" ca="1" si="418"/>
        <v>7517.4130261184146</v>
      </c>
      <c r="J2491" s="20">
        <f t="shared" ca="1" si="427"/>
        <v>4</v>
      </c>
      <c r="K2491" s="20">
        <f t="shared" ca="1" si="419"/>
        <v>2</v>
      </c>
      <c r="L2491" s="44">
        <f t="shared" ca="1" si="424"/>
        <v>3</v>
      </c>
    </row>
    <row r="2492" spans="1:12" x14ac:dyDescent="0.25">
      <c r="A2492" s="20">
        <v>2484</v>
      </c>
      <c r="B2492" s="21">
        <f t="shared" ca="1" si="420"/>
        <v>2.0508726361957583E-2</v>
      </c>
      <c r="C2492" s="21">
        <f t="shared" ca="1" si="425"/>
        <v>7516.1481583392069</v>
      </c>
      <c r="D2492" s="21">
        <f t="shared" ca="1" si="421"/>
        <v>1.3425981039963308</v>
      </c>
      <c r="E2492" s="21">
        <f t="shared" ca="1" si="428"/>
        <v>1.2648677792076342</v>
      </c>
      <c r="F2492" s="20" t="str">
        <f t="shared" ca="1" si="426"/>
        <v>No</v>
      </c>
      <c r="G2492" s="21">
        <f t="shared" ca="1" si="422"/>
        <v>0</v>
      </c>
      <c r="H2492" s="21">
        <f t="shared" ca="1" si="423"/>
        <v>7517.4130261184146</v>
      </c>
      <c r="I2492" s="21">
        <f t="shared" ca="1" si="418"/>
        <v>7518.7556242224109</v>
      </c>
      <c r="J2492" s="20">
        <f t="shared" ca="1" si="427"/>
        <v>3</v>
      </c>
      <c r="K2492" s="20">
        <f t="shared" ca="1" si="419"/>
        <v>2</v>
      </c>
      <c r="L2492" s="44">
        <f t="shared" ca="1" si="424"/>
        <v>2.5</v>
      </c>
    </row>
    <row r="2493" spans="1:12" x14ac:dyDescent="0.25">
      <c r="A2493" s="20">
        <v>2485</v>
      </c>
      <c r="B2493" s="21">
        <f t="shared" ca="1" si="420"/>
        <v>0.69927862369250149</v>
      </c>
      <c r="C2493" s="21">
        <f t="shared" ca="1" si="425"/>
        <v>7516.8474369628993</v>
      </c>
      <c r="D2493" s="21">
        <f t="shared" ca="1" si="421"/>
        <v>1.7528276707782704</v>
      </c>
      <c r="E2493" s="21">
        <f t="shared" ca="1" si="428"/>
        <v>1.9081872595115783</v>
      </c>
      <c r="F2493" s="20" t="str">
        <f t="shared" ca="1" si="426"/>
        <v>No</v>
      </c>
      <c r="G2493" s="21">
        <f t="shared" ca="1" si="422"/>
        <v>0</v>
      </c>
      <c r="H2493" s="21">
        <f t="shared" ca="1" si="423"/>
        <v>7518.7556242224109</v>
      </c>
      <c r="I2493" s="21">
        <f t="shared" ca="1" si="418"/>
        <v>7520.508451893189</v>
      </c>
      <c r="J2493" s="20">
        <f t="shared" ca="1" si="427"/>
        <v>3</v>
      </c>
      <c r="K2493" s="20">
        <f t="shared" ca="1" si="419"/>
        <v>4</v>
      </c>
      <c r="L2493" s="44">
        <f t="shared" ca="1" si="424"/>
        <v>3.5</v>
      </c>
    </row>
    <row r="2494" spans="1:12" x14ac:dyDescent="0.25">
      <c r="A2494" s="20">
        <v>2486</v>
      </c>
      <c r="B2494" s="21">
        <f t="shared" ca="1" si="420"/>
        <v>1.8675096369325552</v>
      </c>
      <c r="C2494" s="21">
        <f t="shared" ca="1" si="425"/>
        <v>7518.7149465998318</v>
      </c>
      <c r="D2494" s="21">
        <f t="shared" ca="1" si="421"/>
        <v>0.14941125152517828</v>
      </c>
      <c r="E2494" s="21">
        <f t="shared" ca="1" si="428"/>
        <v>1.7935052933571569</v>
      </c>
      <c r="F2494" s="20" t="str">
        <f t="shared" ca="1" si="426"/>
        <v>No</v>
      </c>
      <c r="G2494" s="21">
        <f t="shared" ca="1" si="422"/>
        <v>0</v>
      </c>
      <c r="H2494" s="21">
        <f t="shared" ca="1" si="423"/>
        <v>7520.508451893189</v>
      </c>
      <c r="I2494" s="21">
        <f t="shared" ca="1" si="418"/>
        <v>7520.6578631447137</v>
      </c>
      <c r="J2494" s="20">
        <f t="shared" ca="1" si="427"/>
        <v>5</v>
      </c>
      <c r="K2494" s="20">
        <f t="shared" ca="1" si="419"/>
        <v>3</v>
      </c>
      <c r="L2494" s="44">
        <f t="shared" ca="1" si="424"/>
        <v>4</v>
      </c>
    </row>
    <row r="2495" spans="1:12" x14ac:dyDescent="0.25">
      <c r="A2495" s="20">
        <v>2487</v>
      </c>
      <c r="B2495" s="21">
        <f t="shared" ca="1" si="420"/>
        <v>0.49425847725860239</v>
      </c>
      <c r="C2495" s="21">
        <f t="shared" ca="1" si="425"/>
        <v>7519.2092050770907</v>
      </c>
      <c r="D2495" s="21">
        <f t="shared" ca="1" si="421"/>
        <v>1.2085411826058616</v>
      </c>
      <c r="E2495" s="21">
        <f t="shared" ca="1" si="428"/>
        <v>1.4486580676230005</v>
      </c>
      <c r="F2495" s="20" t="str">
        <f t="shared" ca="1" si="426"/>
        <v>No</v>
      </c>
      <c r="G2495" s="21">
        <f t="shared" ca="1" si="422"/>
        <v>0</v>
      </c>
      <c r="H2495" s="21">
        <f t="shared" ca="1" si="423"/>
        <v>7520.6578631447137</v>
      </c>
      <c r="I2495" s="21">
        <f t="shared" ca="1" si="418"/>
        <v>7521.8664043273193</v>
      </c>
      <c r="J2495" s="20">
        <f t="shared" ca="1" si="427"/>
        <v>4</v>
      </c>
      <c r="K2495" s="20">
        <f t="shared" ca="1" si="419"/>
        <v>2</v>
      </c>
      <c r="L2495" s="44">
        <f t="shared" ca="1" si="424"/>
        <v>3</v>
      </c>
    </row>
    <row r="2496" spans="1:12" x14ac:dyDescent="0.25">
      <c r="A2496" s="20">
        <v>2488</v>
      </c>
      <c r="B2496" s="21">
        <f t="shared" ca="1" si="420"/>
        <v>0.24202597668673864</v>
      </c>
      <c r="C2496" s="21">
        <f t="shared" ca="1" si="425"/>
        <v>7519.4512310537775</v>
      </c>
      <c r="D2496" s="21">
        <f t="shared" ca="1" si="421"/>
        <v>2.0161656846659328</v>
      </c>
      <c r="E2496" s="21">
        <f t="shared" ca="1" si="428"/>
        <v>2.4151732735417681</v>
      </c>
      <c r="F2496" s="20" t="str">
        <f t="shared" ca="1" si="426"/>
        <v>No</v>
      </c>
      <c r="G2496" s="21">
        <f t="shared" ca="1" si="422"/>
        <v>0</v>
      </c>
      <c r="H2496" s="21">
        <f t="shared" ca="1" si="423"/>
        <v>7521.8664043273193</v>
      </c>
      <c r="I2496" s="21">
        <f t="shared" ca="1" si="418"/>
        <v>7523.8825700119851</v>
      </c>
      <c r="J2496" s="20">
        <f t="shared" ca="1" si="427"/>
        <v>3</v>
      </c>
      <c r="K2496" s="20">
        <f t="shared" ca="1" si="419"/>
        <v>1</v>
      </c>
      <c r="L2496" s="44">
        <f t="shared" ca="1" si="424"/>
        <v>2</v>
      </c>
    </row>
    <row r="2497" spans="1:12" x14ac:dyDescent="0.25">
      <c r="A2497" s="20">
        <v>2489</v>
      </c>
      <c r="B2497" s="21">
        <f t="shared" ca="1" si="420"/>
        <v>0.88576788063305889</v>
      </c>
      <c r="C2497" s="21">
        <f t="shared" ca="1" si="425"/>
        <v>7520.336998934411</v>
      </c>
      <c r="D2497" s="21">
        <f t="shared" ca="1" si="421"/>
        <v>3.4823746160250062</v>
      </c>
      <c r="E2497" s="21">
        <f t="shared" ca="1" si="428"/>
        <v>3.5455710775740954</v>
      </c>
      <c r="F2497" s="20" t="str">
        <f t="shared" ca="1" si="426"/>
        <v>No</v>
      </c>
      <c r="G2497" s="21">
        <f t="shared" ca="1" si="422"/>
        <v>0</v>
      </c>
      <c r="H2497" s="21">
        <f t="shared" ca="1" si="423"/>
        <v>7523.8825700119851</v>
      </c>
      <c r="I2497" s="21">
        <f t="shared" ca="1" si="418"/>
        <v>7527.3649446280097</v>
      </c>
      <c r="J2497" s="20">
        <f t="shared" ca="1" si="427"/>
        <v>2</v>
      </c>
      <c r="K2497" s="20">
        <f t="shared" ca="1" si="419"/>
        <v>0</v>
      </c>
      <c r="L2497" s="44">
        <f t="shared" ca="1" si="424"/>
        <v>1</v>
      </c>
    </row>
    <row r="2498" spans="1:12" x14ac:dyDescent="0.25">
      <c r="A2498" s="20">
        <v>2490</v>
      </c>
      <c r="B2498" s="21">
        <f t="shared" ca="1" si="420"/>
        <v>7.4520961892943589</v>
      </c>
      <c r="C2498" s="21">
        <f t="shared" ca="1" si="425"/>
        <v>7527.789095123705</v>
      </c>
      <c r="D2498" s="21">
        <f t="shared" ca="1" si="421"/>
        <v>2.3389403868657523</v>
      </c>
      <c r="E2498" s="21">
        <f t="shared" ca="1" si="428"/>
        <v>0</v>
      </c>
      <c r="F2498" s="20" t="str">
        <f t="shared" ca="1" si="426"/>
        <v>Yes</v>
      </c>
      <c r="G2498" s="21">
        <f t="shared" ca="1" si="422"/>
        <v>0.42415049569535768</v>
      </c>
      <c r="H2498" s="21">
        <f t="shared" ca="1" si="423"/>
        <v>7527.789095123705</v>
      </c>
      <c r="I2498" s="21">
        <f t="shared" ca="1" si="418"/>
        <v>7530.128035510571</v>
      </c>
      <c r="J2498" s="20">
        <f t="shared" ca="1" si="427"/>
        <v>0</v>
      </c>
      <c r="K2498" s="20">
        <f t="shared" ca="1" si="419"/>
        <v>2</v>
      </c>
      <c r="L2498" s="44">
        <f t="shared" ca="1" si="424"/>
        <v>1</v>
      </c>
    </row>
    <row r="2499" spans="1:12" x14ac:dyDescent="0.25">
      <c r="A2499" s="20">
        <v>2491</v>
      </c>
      <c r="B2499" s="21">
        <f t="shared" ca="1" si="420"/>
        <v>1.1090460764215955</v>
      </c>
      <c r="C2499" s="21">
        <f t="shared" ca="1" si="425"/>
        <v>7528.8981412001267</v>
      </c>
      <c r="D2499" s="21">
        <f t="shared" ca="1" si="421"/>
        <v>5.0602386507008417</v>
      </c>
      <c r="E2499" s="21">
        <f t="shared" ca="1" si="428"/>
        <v>1.2298943104442515</v>
      </c>
      <c r="F2499" s="20" t="str">
        <f t="shared" ca="1" si="426"/>
        <v>No</v>
      </c>
      <c r="G2499" s="21">
        <f t="shared" ca="1" si="422"/>
        <v>0</v>
      </c>
      <c r="H2499" s="21">
        <f t="shared" ca="1" si="423"/>
        <v>7530.128035510571</v>
      </c>
      <c r="I2499" s="21">
        <f t="shared" ca="1" si="418"/>
        <v>7535.1882741612717</v>
      </c>
      <c r="J2499" s="20">
        <f t="shared" ca="1" si="427"/>
        <v>3</v>
      </c>
      <c r="K2499" s="20">
        <f t="shared" ca="1" si="419"/>
        <v>5</v>
      </c>
      <c r="L2499" s="44">
        <f t="shared" ca="1" si="424"/>
        <v>4</v>
      </c>
    </row>
    <row r="2500" spans="1:12" x14ac:dyDescent="0.25">
      <c r="A2500" s="20">
        <v>2492</v>
      </c>
      <c r="B2500" s="21">
        <f t="shared" ca="1" si="420"/>
        <v>0.19971132862440552</v>
      </c>
      <c r="C2500" s="21">
        <f t="shared" ca="1" si="425"/>
        <v>7529.097852528751</v>
      </c>
      <c r="D2500" s="21">
        <f t="shared" ca="1" si="421"/>
        <v>1.134800887601179</v>
      </c>
      <c r="E2500" s="21">
        <f t="shared" ca="1" si="428"/>
        <v>6.0904216325207017</v>
      </c>
      <c r="F2500" s="20" t="str">
        <f t="shared" ca="1" si="426"/>
        <v>No</v>
      </c>
      <c r="G2500" s="21">
        <f t="shared" ca="1" si="422"/>
        <v>0</v>
      </c>
      <c r="H2500" s="21">
        <f t="shared" ca="1" si="423"/>
        <v>7535.1882741612717</v>
      </c>
      <c r="I2500" s="21">
        <f t="shared" ca="1" si="418"/>
        <v>7536.3230750488729</v>
      </c>
      <c r="J2500" s="20">
        <f t="shared" ca="1" si="427"/>
        <v>6</v>
      </c>
      <c r="K2500" s="20">
        <f t="shared" ca="1" si="419"/>
        <v>4</v>
      </c>
      <c r="L2500" s="44">
        <f t="shared" ca="1" si="424"/>
        <v>5</v>
      </c>
    </row>
    <row r="2501" spans="1:12" x14ac:dyDescent="0.25">
      <c r="A2501" s="20">
        <v>2493</v>
      </c>
      <c r="B2501" s="21">
        <f t="shared" ca="1" si="420"/>
        <v>1.582612738496731</v>
      </c>
      <c r="C2501" s="21">
        <f t="shared" ca="1" si="425"/>
        <v>7530.6804652672481</v>
      </c>
      <c r="D2501" s="21">
        <f t="shared" ca="1" si="421"/>
        <v>3.2254891320315213</v>
      </c>
      <c r="E2501" s="21">
        <f t="shared" ca="1" si="428"/>
        <v>5.642609781624742</v>
      </c>
      <c r="F2501" s="20" t="str">
        <f t="shared" ca="1" si="426"/>
        <v>No</v>
      </c>
      <c r="G2501" s="21">
        <f t="shared" ca="1" si="422"/>
        <v>0</v>
      </c>
      <c r="H2501" s="21">
        <f t="shared" ca="1" si="423"/>
        <v>7536.3230750488729</v>
      </c>
      <c r="I2501" s="21">
        <f t="shared" ca="1" si="418"/>
        <v>7539.5485641809046</v>
      </c>
      <c r="J2501" s="20">
        <f t="shared" ca="1" si="427"/>
        <v>5</v>
      </c>
      <c r="K2501" s="20">
        <f t="shared" ca="1" si="419"/>
        <v>3</v>
      </c>
      <c r="L2501" s="44">
        <f t="shared" ca="1" si="424"/>
        <v>4</v>
      </c>
    </row>
    <row r="2502" spans="1:12" x14ac:dyDescent="0.25">
      <c r="A2502" s="20">
        <v>2494</v>
      </c>
      <c r="B2502" s="21">
        <f t="shared" ca="1" si="420"/>
        <v>0.30335166031584665</v>
      </c>
      <c r="C2502" s="21">
        <f t="shared" ca="1" si="425"/>
        <v>7530.9838169275636</v>
      </c>
      <c r="D2502" s="21">
        <f t="shared" ca="1" si="421"/>
        <v>1.5732414972842819</v>
      </c>
      <c r="E2502" s="21">
        <f t="shared" ca="1" si="428"/>
        <v>8.5647472533410109</v>
      </c>
      <c r="F2502" s="20" t="str">
        <f t="shared" ca="1" si="426"/>
        <v>No</v>
      </c>
      <c r="G2502" s="21">
        <f t="shared" ca="1" si="422"/>
        <v>0</v>
      </c>
      <c r="H2502" s="21">
        <f t="shared" ca="1" si="423"/>
        <v>7539.5485641809046</v>
      </c>
      <c r="I2502" s="21">
        <f t="shared" ca="1" si="418"/>
        <v>7541.121805678189</v>
      </c>
      <c r="J2502" s="20">
        <f t="shared" ca="1" si="427"/>
        <v>4</v>
      </c>
      <c r="K2502" s="20">
        <f t="shared" ca="1" si="419"/>
        <v>3</v>
      </c>
      <c r="L2502" s="44">
        <f t="shared" ca="1" si="424"/>
        <v>3.5</v>
      </c>
    </row>
    <row r="2503" spans="1:12" x14ac:dyDescent="0.25">
      <c r="A2503" s="20">
        <v>2495</v>
      </c>
      <c r="B2503" s="21">
        <f t="shared" ca="1" si="420"/>
        <v>0.195893862355596</v>
      </c>
      <c r="C2503" s="21">
        <f t="shared" ca="1" si="425"/>
        <v>7531.1797107899192</v>
      </c>
      <c r="D2503" s="21">
        <f t="shared" ca="1" si="421"/>
        <v>5.7113477409975486</v>
      </c>
      <c r="E2503" s="21">
        <f t="shared" ca="1" si="428"/>
        <v>9.9420948882698212</v>
      </c>
      <c r="F2503" s="20" t="str">
        <f t="shared" ca="1" si="426"/>
        <v>No</v>
      </c>
      <c r="G2503" s="21">
        <f t="shared" ca="1" si="422"/>
        <v>0</v>
      </c>
      <c r="H2503" s="21">
        <f t="shared" ca="1" si="423"/>
        <v>7541.121805678189</v>
      </c>
      <c r="I2503" s="21">
        <f t="shared" ca="1" si="418"/>
        <v>7546.8331534191866</v>
      </c>
      <c r="J2503" s="20">
        <f t="shared" ca="1" si="427"/>
        <v>4</v>
      </c>
      <c r="K2503" s="20">
        <f t="shared" ca="1" si="419"/>
        <v>5</v>
      </c>
      <c r="L2503" s="44">
        <f t="shared" ca="1" si="424"/>
        <v>4.5</v>
      </c>
    </row>
    <row r="2504" spans="1:12" x14ac:dyDescent="0.25">
      <c r="A2504" s="20">
        <v>2496</v>
      </c>
      <c r="B2504" s="21">
        <f t="shared" ca="1" si="420"/>
        <v>2.9271234463927533</v>
      </c>
      <c r="C2504" s="21">
        <f t="shared" ca="1" si="425"/>
        <v>7534.1068342363124</v>
      </c>
      <c r="D2504" s="21">
        <f t="shared" ca="1" si="421"/>
        <v>0.65672005385841925</v>
      </c>
      <c r="E2504" s="21">
        <f t="shared" ca="1" si="428"/>
        <v>12.726319182874249</v>
      </c>
      <c r="F2504" s="20" t="str">
        <f t="shared" ca="1" si="426"/>
        <v>No</v>
      </c>
      <c r="G2504" s="21">
        <f t="shared" ca="1" si="422"/>
        <v>0</v>
      </c>
      <c r="H2504" s="21">
        <f t="shared" ca="1" si="423"/>
        <v>7546.8331534191866</v>
      </c>
      <c r="I2504" s="21">
        <f t="shared" ca="1" si="418"/>
        <v>7547.489873473045</v>
      </c>
      <c r="J2504" s="20">
        <f t="shared" ca="1" si="427"/>
        <v>6</v>
      </c>
      <c r="K2504" s="20">
        <f t="shared" ca="1" si="419"/>
        <v>5</v>
      </c>
      <c r="L2504" s="44">
        <f t="shared" ca="1" si="424"/>
        <v>5.5</v>
      </c>
    </row>
    <row r="2505" spans="1:12" x14ac:dyDescent="0.25">
      <c r="A2505" s="20">
        <v>2497</v>
      </c>
      <c r="B2505" s="21">
        <f t="shared" ca="1" si="420"/>
        <v>6.9339145385215284</v>
      </c>
      <c r="C2505" s="21">
        <f t="shared" ca="1" si="425"/>
        <v>7541.0407487748334</v>
      </c>
      <c r="D2505" s="21">
        <f t="shared" ca="1" si="421"/>
        <v>5.6281466384178422</v>
      </c>
      <c r="E2505" s="21">
        <f t="shared" ca="1" si="428"/>
        <v>6.4491246982115626</v>
      </c>
      <c r="F2505" s="20" t="str">
        <f t="shared" ca="1" si="426"/>
        <v>No</v>
      </c>
      <c r="G2505" s="21">
        <f t="shared" ca="1" si="422"/>
        <v>0</v>
      </c>
      <c r="H2505" s="21">
        <f t="shared" ca="1" si="423"/>
        <v>7547.489873473045</v>
      </c>
      <c r="I2505" s="21">
        <f t="shared" ref="I2505:I2568" ca="1" si="429">$H2505+$D2505</f>
        <v>7553.118020111463</v>
      </c>
      <c r="J2505" s="20">
        <f t="shared" ca="1" si="427"/>
        <v>6</v>
      </c>
      <c r="K2505" s="20">
        <f t="shared" ref="K2505:K2568" ca="1" si="430">IF($I2505&lt;=$C2506,0,IF($I2505&lt;=$C2507,1,IF($I2505&lt;=$C2508,2,IF($I2505&lt;=$C2509,3,IF($I2505&lt;=$C2510,4,5)))))</f>
        <v>4</v>
      </c>
      <c r="L2505" s="44">
        <f t="shared" ca="1" si="424"/>
        <v>5</v>
      </c>
    </row>
    <row r="2506" spans="1:12" x14ac:dyDescent="0.25">
      <c r="A2506" s="20">
        <v>2498</v>
      </c>
      <c r="B2506" s="21">
        <f t="shared" ref="B2506:B2569" ca="1" si="431">-LN(RAND())/$D$4</f>
        <v>0.23687817086949084</v>
      </c>
      <c r="C2506" s="21">
        <f t="shared" ca="1" si="425"/>
        <v>7541.2776269457027</v>
      </c>
      <c r="D2506" s="21">
        <f t="shared" ref="D2506:D2569" ca="1" si="432">-LN(RAND())/$D$6</f>
        <v>1.2430628562258232</v>
      </c>
      <c r="E2506" s="21">
        <f t="shared" ca="1" si="428"/>
        <v>11.840393165760361</v>
      </c>
      <c r="F2506" s="20" t="str">
        <f t="shared" ca="1" si="426"/>
        <v>No</v>
      </c>
      <c r="G2506" s="21">
        <f t="shared" ref="G2506:G2569" ca="1" si="433">IF($I2505&lt;=$C2506,$C2506-$I2505,0)</f>
        <v>0</v>
      </c>
      <c r="H2506" s="21">
        <f t="shared" ref="H2506:H2569" ca="1" si="434">IF($I2505&lt;=$C2506,$C2506,$I2505)</f>
        <v>7553.118020111463</v>
      </c>
      <c r="I2506" s="21">
        <f t="shared" ca="1" si="429"/>
        <v>7554.3610829676891</v>
      </c>
      <c r="J2506" s="20">
        <f t="shared" ca="1" si="427"/>
        <v>5</v>
      </c>
      <c r="K2506" s="20">
        <f t="shared" ca="1" si="430"/>
        <v>3</v>
      </c>
      <c r="L2506" s="44">
        <f t="shared" ref="L2506:L2569" ca="1" si="435">(J2506+K2506)/2</f>
        <v>4</v>
      </c>
    </row>
    <row r="2507" spans="1:12" x14ac:dyDescent="0.25">
      <c r="A2507" s="20">
        <v>2499</v>
      </c>
      <c r="B2507" s="21">
        <f t="shared" ca="1" si="431"/>
        <v>1.2089213609209621</v>
      </c>
      <c r="C2507" s="21">
        <f t="shared" ref="C2507:C2570" ca="1" si="436">$C2506+$B2507</f>
        <v>7542.4865483066233</v>
      </c>
      <c r="D2507" s="21">
        <f t="shared" ca="1" si="432"/>
        <v>5.4157329507270031</v>
      </c>
      <c r="E2507" s="21">
        <f t="shared" ca="1" si="428"/>
        <v>11.874534661065809</v>
      </c>
      <c r="F2507" s="20" t="str">
        <f t="shared" ref="F2507:F2570" ca="1" si="437">IF(E2507=0,"Yes","No")</f>
        <v>No</v>
      </c>
      <c r="G2507" s="21">
        <f t="shared" ca="1" si="433"/>
        <v>0</v>
      </c>
      <c r="H2507" s="21">
        <f t="shared" ca="1" si="434"/>
        <v>7554.3610829676891</v>
      </c>
      <c r="I2507" s="21">
        <f t="shared" ca="1" si="429"/>
        <v>7559.7768159184161</v>
      </c>
      <c r="J2507" s="20">
        <f t="shared" ref="J2507:J2570" ca="1" si="438">IF($I2506&lt;=$C2507,0,$K2506+1)</f>
        <v>4</v>
      </c>
      <c r="K2507" s="20">
        <f t="shared" ca="1" si="430"/>
        <v>3</v>
      </c>
      <c r="L2507" s="44">
        <f t="shared" ca="1" si="435"/>
        <v>3.5</v>
      </c>
    </row>
    <row r="2508" spans="1:12" x14ac:dyDescent="0.25">
      <c r="A2508" s="20">
        <v>2500</v>
      </c>
      <c r="B2508" s="21">
        <f t="shared" ca="1" si="431"/>
        <v>3.637341624622207</v>
      </c>
      <c r="C2508" s="21">
        <f t="shared" ca="1" si="436"/>
        <v>7546.1238899312457</v>
      </c>
      <c r="D2508" s="21">
        <f t="shared" ca="1" si="432"/>
        <v>0.38801814365491577</v>
      </c>
      <c r="E2508" s="21">
        <f t="shared" ref="E2508:E2571" ca="1" si="439">IF($I2507&lt;=$C2508,0,$I2507-$C2508)</f>
        <v>13.65292598717042</v>
      </c>
      <c r="F2508" s="20" t="str">
        <f t="shared" ca="1" si="437"/>
        <v>No</v>
      </c>
      <c r="G2508" s="21">
        <f t="shared" ca="1" si="433"/>
        <v>0</v>
      </c>
      <c r="H2508" s="21">
        <f t="shared" ca="1" si="434"/>
        <v>7559.7768159184161</v>
      </c>
      <c r="I2508" s="21">
        <f t="shared" ca="1" si="429"/>
        <v>7560.1648340620713</v>
      </c>
      <c r="J2508" s="20">
        <f t="shared" ca="1" si="438"/>
        <v>4</v>
      </c>
      <c r="K2508" s="20">
        <f t="shared" ca="1" si="430"/>
        <v>2</v>
      </c>
      <c r="L2508" s="44">
        <f t="shared" ca="1" si="435"/>
        <v>3</v>
      </c>
    </row>
    <row r="2509" spans="1:12" x14ac:dyDescent="0.25">
      <c r="A2509" s="20">
        <v>2501</v>
      </c>
      <c r="B2509" s="21">
        <f t="shared" ca="1" si="431"/>
        <v>0.63054457434748212</v>
      </c>
      <c r="C2509" s="21">
        <f t="shared" ca="1" si="436"/>
        <v>7546.7544345055931</v>
      </c>
      <c r="D2509" s="21">
        <f t="shared" ca="1" si="432"/>
        <v>3.5737322086957946</v>
      </c>
      <c r="E2509" s="21">
        <f t="shared" ca="1" si="439"/>
        <v>13.410399556478296</v>
      </c>
      <c r="F2509" s="20" t="str">
        <f t="shared" ca="1" si="437"/>
        <v>No</v>
      </c>
      <c r="G2509" s="21">
        <f t="shared" ca="1" si="433"/>
        <v>0</v>
      </c>
      <c r="H2509" s="21">
        <f t="shared" ca="1" si="434"/>
        <v>7560.1648340620713</v>
      </c>
      <c r="I2509" s="21">
        <f t="shared" ca="1" si="429"/>
        <v>7563.7385662707675</v>
      </c>
      <c r="J2509" s="20">
        <f t="shared" ca="1" si="438"/>
        <v>3</v>
      </c>
      <c r="K2509" s="20">
        <f t="shared" ca="1" si="430"/>
        <v>3</v>
      </c>
      <c r="L2509" s="44">
        <f t="shared" ca="1" si="435"/>
        <v>3</v>
      </c>
    </row>
    <row r="2510" spans="1:12" x14ac:dyDescent="0.25">
      <c r="A2510" s="20">
        <v>2502</v>
      </c>
      <c r="B2510" s="21">
        <f t="shared" ca="1" si="431"/>
        <v>11.819612036234348</v>
      </c>
      <c r="C2510" s="21">
        <f t="shared" ca="1" si="436"/>
        <v>7558.5740465418276</v>
      </c>
      <c r="D2510" s="21">
        <f t="shared" ca="1" si="432"/>
        <v>0.36561661352009306</v>
      </c>
      <c r="E2510" s="21">
        <f t="shared" ca="1" si="439"/>
        <v>5.1645197289399221</v>
      </c>
      <c r="F2510" s="20" t="str">
        <f t="shared" ca="1" si="437"/>
        <v>No</v>
      </c>
      <c r="G2510" s="21">
        <f t="shared" ca="1" si="433"/>
        <v>0</v>
      </c>
      <c r="H2510" s="21">
        <f t="shared" ca="1" si="434"/>
        <v>7563.7385662707675</v>
      </c>
      <c r="I2510" s="21">
        <f t="shared" ca="1" si="429"/>
        <v>7564.1041828842872</v>
      </c>
      <c r="J2510" s="20">
        <f t="shared" ca="1" si="438"/>
        <v>4</v>
      </c>
      <c r="K2510" s="20">
        <f t="shared" ca="1" si="430"/>
        <v>2</v>
      </c>
      <c r="L2510" s="44">
        <f t="shared" ca="1" si="435"/>
        <v>3</v>
      </c>
    </row>
    <row r="2511" spans="1:12" x14ac:dyDescent="0.25">
      <c r="A2511" s="20">
        <v>2503</v>
      </c>
      <c r="B2511" s="21">
        <f t="shared" ca="1" si="431"/>
        <v>1.6170613297949303</v>
      </c>
      <c r="C2511" s="21">
        <f t="shared" ca="1" si="436"/>
        <v>7560.1911078716221</v>
      </c>
      <c r="D2511" s="21">
        <f t="shared" ca="1" si="432"/>
        <v>2.1567072040678092</v>
      </c>
      <c r="E2511" s="21">
        <f t="shared" ca="1" si="439"/>
        <v>3.9130750126651037</v>
      </c>
      <c r="F2511" s="20" t="str">
        <f t="shared" ca="1" si="437"/>
        <v>No</v>
      </c>
      <c r="G2511" s="21">
        <f t="shared" ca="1" si="433"/>
        <v>0</v>
      </c>
      <c r="H2511" s="21">
        <f t="shared" ca="1" si="434"/>
        <v>7564.1041828842872</v>
      </c>
      <c r="I2511" s="21">
        <f t="shared" ca="1" si="429"/>
        <v>7566.2608900883552</v>
      </c>
      <c r="J2511" s="20">
        <f t="shared" ca="1" si="438"/>
        <v>3</v>
      </c>
      <c r="K2511" s="20">
        <f t="shared" ca="1" si="430"/>
        <v>2</v>
      </c>
      <c r="L2511" s="44">
        <f t="shared" ca="1" si="435"/>
        <v>2.5</v>
      </c>
    </row>
    <row r="2512" spans="1:12" x14ac:dyDescent="0.25">
      <c r="A2512" s="20">
        <v>2504</v>
      </c>
      <c r="B2512" s="21">
        <f t="shared" ca="1" si="431"/>
        <v>0.90553084340078316</v>
      </c>
      <c r="C2512" s="21">
        <f t="shared" ca="1" si="436"/>
        <v>7561.0966387150229</v>
      </c>
      <c r="D2512" s="21">
        <f t="shared" ca="1" si="432"/>
        <v>3.5722101777353492</v>
      </c>
      <c r="E2512" s="21">
        <f t="shared" ca="1" si="439"/>
        <v>5.164251373332263</v>
      </c>
      <c r="F2512" s="20" t="str">
        <f t="shared" ca="1" si="437"/>
        <v>No</v>
      </c>
      <c r="G2512" s="21">
        <f t="shared" ca="1" si="433"/>
        <v>0</v>
      </c>
      <c r="H2512" s="21">
        <f t="shared" ca="1" si="434"/>
        <v>7566.2608900883552</v>
      </c>
      <c r="I2512" s="21">
        <f t="shared" ca="1" si="429"/>
        <v>7569.8331002660907</v>
      </c>
      <c r="J2512" s="20">
        <f t="shared" ca="1" si="438"/>
        <v>3</v>
      </c>
      <c r="K2512" s="20">
        <f t="shared" ca="1" si="430"/>
        <v>3</v>
      </c>
      <c r="L2512" s="44">
        <f t="shared" ca="1" si="435"/>
        <v>3</v>
      </c>
    </row>
    <row r="2513" spans="1:12" x14ac:dyDescent="0.25">
      <c r="A2513" s="20">
        <v>2505</v>
      </c>
      <c r="B2513" s="21">
        <f t="shared" ca="1" si="431"/>
        <v>3.8599285175411358</v>
      </c>
      <c r="C2513" s="21">
        <f t="shared" ca="1" si="436"/>
        <v>7564.9565672325643</v>
      </c>
      <c r="D2513" s="21">
        <f t="shared" ca="1" si="432"/>
        <v>0.83039441499037803</v>
      </c>
      <c r="E2513" s="21">
        <f t="shared" ca="1" si="439"/>
        <v>4.876533033526357</v>
      </c>
      <c r="F2513" s="20" t="str">
        <f t="shared" ca="1" si="437"/>
        <v>No</v>
      </c>
      <c r="G2513" s="21">
        <f t="shared" ca="1" si="433"/>
        <v>0</v>
      </c>
      <c r="H2513" s="21">
        <f t="shared" ca="1" si="434"/>
        <v>7569.8331002660907</v>
      </c>
      <c r="I2513" s="21">
        <f t="shared" ca="1" si="429"/>
        <v>7570.6634946810809</v>
      </c>
      <c r="J2513" s="20">
        <f t="shared" ca="1" si="438"/>
        <v>4</v>
      </c>
      <c r="K2513" s="20">
        <f t="shared" ca="1" si="430"/>
        <v>2</v>
      </c>
      <c r="L2513" s="44">
        <f t="shared" ca="1" si="435"/>
        <v>3</v>
      </c>
    </row>
    <row r="2514" spans="1:12" x14ac:dyDescent="0.25">
      <c r="A2514" s="20">
        <v>2506</v>
      </c>
      <c r="B2514" s="21">
        <f t="shared" ca="1" si="431"/>
        <v>1.5834140455546175</v>
      </c>
      <c r="C2514" s="21">
        <f t="shared" ca="1" si="436"/>
        <v>7566.5399812781188</v>
      </c>
      <c r="D2514" s="21">
        <f t="shared" ca="1" si="432"/>
        <v>0.17248710336750364</v>
      </c>
      <c r="E2514" s="21">
        <f t="shared" ca="1" si="439"/>
        <v>4.1235134029620895</v>
      </c>
      <c r="F2514" s="20" t="str">
        <f t="shared" ca="1" si="437"/>
        <v>No</v>
      </c>
      <c r="G2514" s="21">
        <f t="shared" ca="1" si="433"/>
        <v>0</v>
      </c>
      <c r="H2514" s="21">
        <f t="shared" ca="1" si="434"/>
        <v>7570.6634946810809</v>
      </c>
      <c r="I2514" s="21">
        <f t="shared" ca="1" si="429"/>
        <v>7570.8359817844484</v>
      </c>
      <c r="J2514" s="20">
        <f t="shared" ca="1" si="438"/>
        <v>3</v>
      </c>
      <c r="K2514" s="20">
        <f t="shared" ca="1" si="430"/>
        <v>1</v>
      </c>
      <c r="L2514" s="44">
        <f t="shared" ca="1" si="435"/>
        <v>2</v>
      </c>
    </row>
    <row r="2515" spans="1:12" x14ac:dyDescent="0.25">
      <c r="A2515" s="20">
        <v>2507</v>
      </c>
      <c r="B2515" s="21">
        <f t="shared" ca="1" si="431"/>
        <v>3.2371650455055669</v>
      </c>
      <c r="C2515" s="21">
        <f t="shared" ca="1" si="436"/>
        <v>7569.777146323624</v>
      </c>
      <c r="D2515" s="21">
        <f t="shared" ca="1" si="432"/>
        <v>0.18223967059227214</v>
      </c>
      <c r="E2515" s="21">
        <f t="shared" ca="1" si="439"/>
        <v>1.0588354608244117</v>
      </c>
      <c r="F2515" s="20" t="str">
        <f t="shared" ca="1" si="437"/>
        <v>No</v>
      </c>
      <c r="G2515" s="21">
        <f t="shared" ca="1" si="433"/>
        <v>0</v>
      </c>
      <c r="H2515" s="21">
        <f t="shared" ca="1" si="434"/>
        <v>7570.8359817844484</v>
      </c>
      <c r="I2515" s="21">
        <f t="shared" ca="1" si="429"/>
        <v>7571.0182214550405</v>
      </c>
      <c r="J2515" s="20">
        <f t="shared" ca="1" si="438"/>
        <v>2</v>
      </c>
      <c r="K2515" s="20">
        <f t="shared" ca="1" si="430"/>
        <v>0</v>
      </c>
      <c r="L2515" s="44">
        <f t="shared" ca="1" si="435"/>
        <v>1</v>
      </c>
    </row>
    <row r="2516" spans="1:12" x14ac:dyDescent="0.25">
      <c r="A2516" s="20">
        <v>2508</v>
      </c>
      <c r="B2516" s="21">
        <f t="shared" ca="1" si="431"/>
        <v>1.8113997357087988</v>
      </c>
      <c r="C2516" s="21">
        <f t="shared" ca="1" si="436"/>
        <v>7571.5885460593327</v>
      </c>
      <c r="D2516" s="21">
        <f t="shared" ca="1" si="432"/>
        <v>1.5239979883456514</v>
      </c>
      <c r="E2516" s="21">
        <f t="shared" ca="1" si="439"/>
        <v>0</v>
      </c>
      <c r="F2516" s="20" t="str">
        <f t="shared" ca="1" si="437"/>
        <v>Yes</v>
      </c>
      <c r="G2516" s="21">
        <f t="shared" ca="1" si="433"/>
        <v>0.5703246042921819</v>
      </c>
      <c r="H2516" s="21">
        <f t="shared" ca="1" si="434"/>
        <v>7571.5885460593327</v>
      </c>
      <c r="I2516" s="21">
        <f t="shared" ca="1" si="429"/>
        <v>7573.1125440476781</v>
      </c>
      <c r="J2516" s="20">
        <f t="shared" ca="1" si="438"/>
        <v>0</v>
      </c>
      <c r="K2516" s="20">
        <f t="shared" ca="1" si="430"/>
        <v>1</v>
      </c>
      <c r="L2516" s="44">
        <f t="shared" ca="1" si="435"/>
        <v>0.5</v>
      </c>
    </row>
    <row r="2517" spans="1:12" x14ac:dyDescent="0.25">
      <c r="A2517" s="20">
        <v>2509</v>
      </c>
      <c r="B2517" s="21">
        <f t="shared" ca="1" si="431"/>
        <v>1.2050958351087886</v>
      </c>
      <c r="C2517" s="21">
        <f t="shared" ca="1" si="436"/>
        <v>7572.7936418944419</v>
      </c>
      <c r="D2517" s="21">
        <f t="shared" ca="1" si="432"/>
        <v>2.5727164017570634</v>
      </c>
      <c r="E2517" s="21">
        <f t="shared" ca="1" si="439"/>
        <v>0.31890215323619486</v>
      </c>
      <c r="F2517" s="20" t="str">
        <f t="shared" ca="1" si="437"/>
        <v>No</v>
      </c>
      <c r="G2517" s="21">
        <f t="shared" ca="1" si="433"/>
        <v>0</v>
      </c>
      <c r="H2517" s="21">
        <f t="shared" ca="1" si="434"/>
        <v>7573.1125440476781</v>
      </c>
      <c r="I2517" s="21">
        <f t="shared" ca="1" si="429"/>
        <v>7575.6852604494352</v>
      </c>
      <c r="J2517" s="20">
        <f t="shared" ca="1" si="438"/>
        <v>2</v>
      </c>
      <c r="K2517" s="20">
        <f t="shared" ca="1" si="430"/>
        <v>0</v>
      </c>
      <c r="L2517" s="44">
        <f t="shared" ca="1" si="435"/>
        <v>1</v>
      </c>
    </row>
    <row r="2518" spans="1:12" x14ac:dyDescent="0.25">
      <c r="A2518" s="20">
        <v>2510</v>
      </c>
      <c r="B2518" s="21">
        <f t="shared" ca="1" si="431"/>
        <v>3.2802527071655394</v>
      </c>
      <c r="C2518" s="21">
        <f t="shared" ca="1" si="436"/>
        <v>7576.0738946016072</v>
      </c>
      <c r="D2518" s="21">
        <f t="shared" ca="1" si="432"/>
        <v>1.3103929759882715</v>
      </c>
      <c r="E2518" s="21">
        <f t="shared" ca="1" si="439"/>
        <v>0</v>
      </c>
      <c r="F2518" s="20" t="str">
        <f t="shared" ca="1" si="437"/>
        <v>Yes</v>
      </c>
      <c r="G2518" s="21">
        <f t="shared" ca="1" si="433"/>
        <v>0.38863415217201691</v>
      </c>
      <c r="H2518" s="21">
        <f t="shared" ca="1" si="434"/>
        <v>7576.0738946016072</v>
      </c>
      <c r="I2518" s="21">
        <f t="shared" ca="1" si="429"/>
        <v>7577.3842875775954</v>
      </c>
      <c r="J2518" s="20">
        <f t="shared" ca="1" si="438"/>
        <v>0</v>
      </c>
      <c r="K2518" s="20">
        <f t="shared" ca="1" si="430"/>
        <v>1</v>
      </c>
      <c r="L2518" s="44">
        <f t="shared" ca="1" si="435"/>
        <v>0.5</v>
      </c>
    </row>
    <row r="2519" spans="1:12" x14ac:dyDescent="0.25">
      <c r="A2519" s="20">
        <v>2511</v>
      </c>
      <c r="B2519" s="21">
        <f t="shared" ca="1" si="431"/>
        <v>1.1642363193682281</v>
      </c>
      <c r="C2519" s="21">
        <f t="shared" ca="1" si="436"/>
        <v>7577.238130920975</v>
      </c>
      <c r="D2519" s="21">
        <f t="shared" ca="1" si="432"/>
        <v>0.82047460059753197</v>
      </c>
      <c r="E2519" s="21">
        <f t="shared" ca="1" si="439"/>
        <v>0.14615665662040556</v>
      </c>
      <c r="F2519" s="20" t="str">
        <f t="shared" ca="1" si="437"/>
        <v>No</v>
      </c>
      <c r="G2519" s="21">
        <f t="shared" ca="1" si="433"/>
        <v>0</v>
      </c>
      <c r="H2519" s="21">
        <f t="shared" ca="1" si="434"/>
        <v>7577.3842875775954</v>
      </c>
      <c r="I2519" s="21">
        <f t="shared" ca="1" si="429"/>
        <v>7578.2047621781931</v>
      </c>
      <c r="J2519" s="20">
        <f t="shared" ca="1" si="438"/>
        <v>2</v>
      </c>
      <c r="K2519" s="20">
        <f t="shared" ca="1" si="430"/>
        <v>1</v>
      </c>
      <c r="L2519" s="44">
        <f t="shared" ca="1" si="435"/>
        <v>1.5</v>
      </c>
    </row>
    <row r="2520" spans="1:12" x14ac:dyDescent="0.25">
      <c r="A2520" s="20">
        <v>2512</v>
      </c>
      <c r="B2520" s="21">
        <f t="shared" ca="1" si="431"/>
        <v>0.18753473874403112</v>
      </c>
      <c r="C2520" s="21">
        <f t="shared" ca="1" si="436"/>
        <v>7577.425665659719</v>
      </c>
      <c r="D2520" s="21">
        <f t="shared" ca="1" si="432"/>
        <v>0.32413852674461824</v>
      </c>
      <c r="E2520" s="21">
        <f t="shared" ca="1" si="439"/>
        <v>0.77909651847403438</v>
      </c>
      <c r="F2520" s="20" t="str">
        <f t="shared" ca="1" si="437"/>
        <v>No</v>
      </c>
      <c r="G2520" s="21">
        <f t="shared" ca="1" si="433"/>
        <v>0</v>
      </c>
      <c r="H2520" s="21">
        <f t="shared" ca="1" si="434"/>
        <v>7578.2047621781931</v>
      </c>
      <c r="I2520" s="21">
        <f t="shared" ca="1" si="429"/>
        <v>7578.5289007049378</v>
      </c>
      <c r="J2520" s="20">
        <f t="shared" ca="1" si="438"/>
        <v>2</v>
      </c>
      <c r="K2520" s="20">
        <f t="shared" ca="1" si="430"/>
        <v>0</v>
      </c>
      <c r="L2520" s="44">
        <f t="shared" ca="1" si="435"/>
        <v>1</v>
      </c>
    </row>
    <row r="2521" spans="1:12" x14ac:dyDescent="0.25">
      <c r="A2521" s="20">
        <v>2513</v>
      </c>
      <c r="B2521" s="21">
        <f t="shared" ca="1" si="431"/>
        <v>12.896086718193049</v>
      </c>
      <c r="C2521" s="21">
        <f t="shared" ca="1" si="436"/>
        <v>7590.3217523779122</v>
      </c>
      <c r="D2521" s="21">
        <f t="shared" ca="1" si="432"/>
        <v>0.45193872839374211</v>
      </c>
      <c r="E2521" s="21">
        <f t="shared" ca="1" si="439"/>
        <v>0</v>
      </c>
      <c r="F2521" s="20" t="str">
        <f t="shared" ca="1" si="437"/>
        <v>Yes</v>
      </c>
      <c r="G2521" s="21">
        <f t="shared" ca="1" si="433"/>
        <v>11.792851672974393</v>
      </c>
      <c r="H2521" s="21">
        <f t="shared" ca="1" si="434"/>
        <v>7590.3217523779122</v>
      </c>
      <c r="I2521" s="21">
        <f t="shared" ca="1" si="429"/>
        <v>7590.7736911063057</v>
      </c>
      <c r="J2521" s="20">
        <f t="shared" ca="1" si="438"/>
        <v>0</v>
      </c>
      <c r="K2521" s="20">
        <f t="shared" ca="1" si="430"/>
        <v>0</v>
      </c>
      <c r="L2521" s="44">
        <f t="shared" ca="1" si="435"/>
        <v>0</v>
      </c>
    </row>
    <row r="2522" spans="1:12" x14ac:dyDescent="0.25">
      <c r="A2522" s="20">
        <v>2514</v>
      </c>
      <c r="B2522" s="21">
        <f t="shared" ca="1" si="431"/>
        <v>7.0391682839519207</v>
      </c>
      <c r="C2522" s="21">
        <f t="shared" ca="1" si="436"/>
        <v>7597.3609206618639</v>
      </c>
      <c r="D2522" s="21">
        <f t="shared" ca="1" si="432"/>
        <v>2.9793015296908925</v>
      </c>
      <c r="E2522" s="21">
        <f t="shared" ca="1" si="439"/>
        <v>0</v>
      </c>
      <c r="F2522" s="20" t="str">
        <f t="shared" ca="1" si="437"/>
        <v>Yes</v>
      </c>
      <c r="G2522" s="21">
        <f t="shared" ca="1" si="433"/>
        <v>6.5872295555582241</v>
      </c>
      <c r="H2522" s="21">
        <f t="shared" ca="1" si="434"/>
        <v>7597.3609206618639</v>
      </c>
      <c r="I2522" s="21">
        <f t="shared" ca="1" si="429"/>
        <v>7600.3402221915549</v>
      </c>
      <c r="J2522" s="20">
        <f t="shared" ca="1" si="438"/>
        <v>0</v>
      </c>
      <c r="K2522" s="20">
        <f t="shared" ca="1" si="430"/>
        <v>0</v>
      </c>
      <c r="L2522" s="44">
        <f t="shared" ca="1" si="435"/>
        <v>0</v>
      </c>
    </row>
    <row r="2523" spans="1:12" x14ac:dyDescent="0.25">
      <c r="A2523" s="20">
        <v>2515</v>
      </c>
      <c r="B2523" s="21">
        <f t="shared" ca="1" si="431"/>
        <v>15.602338164415297</v>
      </c>
      <c r="C2523" s="21">
        <f t="shared" ca="1" si="436"/>
        <v>7612.9632588262793</v>
      </c>
      <c r="D2523" s="21">
        <f t="shared" ca="1" si="432"/>
        <v>0.81311127011405426</v>
      </c>
      <c r="E2523" s="21">
        <f t="shared" ca="1" si="439"/>
        <v>0</v>
      </c>
      <c r="F2523" s="20" t="str">
        <f t="shared" ca="1" si="437"/>
        <v>Yes</v>
      </c>
      <c r="G2523" s="21">
        <f t="shared" ca="1" si="433"/>
        <v>12.623036634724485</v>
      </c>
      <c r="H2523" s="21">
        <f t="shared" ca="1" si="434"/>
        <v>7612.9632588262793</v>
      </c>
      <c r="I2523" s="21">
        <f t="shared" ca="1" si="429"/>
        <v>7613.7763700963933</v>
      </c>
      <c r="J2523" s="20">
        <f t="shared" ca="1" si="438"/>
        <v>0</v>
      </c>
      <c r="K2523" s="20">
        <f t="shared" ca="1" si="430"/>
        <v>1</v>
      </c>
      <c r="L2523" s="44">
        <f t="shared" ca="1" si="435"/>
        <v>0.5</v>
      </c>
    </row>
    <row r="2524" spans="1:12" x14ac:dyDescent="0.25">
      <c r="A2524" s="20">
        <v>2516</v>
      </c>
      <c r="B2524" s="21">
        <f t="shared" ca="1" si="431"/>
        <v>0.64813806044090549</v>
      </c>
      <c r="C2524" s="21">
        <f t="shared" ca="1" si="436"/>
        <v>7613.6113968867203</v>
      </c>
      <c r="D2524" s="21">
        <f t="shared" ca="1" si="432"/>
        <v>3.670482447482494</v>
      </c>
      <c r="E2524" s="21">
        <f t="shared" ca="1" si="439"/>
        <v>0.16497320967300766</v>
      </c>
      <c r="F2524" s="20" t="str">
        <f t="shared" ca="1" si="437"/>
        <v>No</v>
      </c>
      <c r="G2524" s="21">
        <f t="shared" ca="1" si="433"/>
        <v>0</v>
      </c>
      <c r="H2524" s="21">
        <f t="shared" ca="1" si="434"/>
        <v>7613.7763700963933</v>
      </c>
      <c r="I2524" s="21">
        <f t="shared" ca="1" si="429"/>
        <v>7617.446852543876</v>
      </c>
      <c r="J2524" s="20">
        <f t="shared" ca="1" si="438"/>
        <v>2</v>
      </c>
      <c r="K2524" s="20">
        <f t="shared" ca="1" si="430"/>
        <v>1</v>
      </c>
      <c r="L2524" s="44">
        <f t="shared" ca="1" si="435"/>
        <v>1.5</v>
      </c>
    </row>
    <row r="2525" spans="1:12" x14ac:dyDescent="0.25">
      <c r="A2525" s="20">
        <v>2517</v>
      </c>
      <c r="B2525" s="21">
        <f t="shared" ca="1" si="431"/>
        <v>1.6193803066952506</v>
      </c>
      <c r="C2525" s="21">
        <f t="shared" ca="1" si="436"/>
        <v>7615.2307771934156</v>
      </c>
      <c r="D2525" s="21">
        <f t="shared" ca="1" si="432"/>
        <v>2.831730357880704</v>
      </c>
      <c r="E2525" s="21">
        <f t="shared" ca="1" si="439"/>
        <v>2.2160753504604145</v>
      </c>
      <c r="F2525" s="20" t="str">
        <f t="shared" ca="1" si="437"/>
        <v>No</v>
      </c>
      <c r="G2525" s="21">
        <f t="shared" ca="1" si="433"/>
        <v>0</v>
      </c>
      <c r="H2525" s="21">
        <f t="shared" ca="1" si="434"/>
        <v>7617.446852543876</v>
      </c>
      <c r="I2525" s="21">
        <f t="shared" ca="1" si="429"/>
        <v>7620.2785829017566</v>
      </c>
      <c r="J2525" s="20">
        <f t="shared" ca="1" si="438"/>
        <v>2</v>
      </c>
      <c r="K2525" s="20">
        <f t="shared" ca="1" si="430"/>
        <v>1</v>
      </c>
      <c r="L2525" s="44">
        <f t="shared" ca="1" si="435"/>
        <v>1.5</v>
      </c>
    </row>
    <row r="2526" spans="1:12" x14ac:dyDescent="0.25">
      <c r="A2526" s="20">
        <v>2518</v>
      </c>
      <c r="B2526" s="21">
        <f t="shared" ca="1" si="431"/>
        <v>4.3220658278296895</v>
      </c>
      <c r="C2526" s="21">
        <f t="shared" ca="1" si="436"/>
        <v>7619.5528430212453</v>
      </c>
      <c r="D2526" s="21">
        <f t="shared" ca="1" si="432"/>
        <v>5.7628727619734237</v>
      </c>
      <c r="E2526" s="21">
        <f t="shared" ca="1" si="439"/>
        <v>0.7257398805113553</v>
      </c>
      <c r="F2526" s="20" t="str">
        <f t="shared" ca="1" si="437"/>
        <v>No</v>
      </c>
      <c r="G2526" s="21">
        <f t="shared" ca="1" si="433"/>
        <v>0</v>
      </c>
      <c r="H2526" s="21">
        <f t="shared" ca="1" si="434"/>
        <v>7620.2785829017566</v>
      </c>
      <c r="I2526" s="21">
        <f t="shared" ca="1" si="429"/>
        <v>7626.0414556637297</v>
      </c>
      <c r="J2526" s="20">
        <f t="shared" ca="1" si="438"/>
        <v>2</v>
      </c>
      <c r="K2526" s="20">
        <f t="shared" ca="1" si="430"/>
        <v>1</v>
      </c>
      <c r="L2526" s="44">
        <f t="shared" ca="1" si="435"/>
        <v>1.5</v>
      </c>
    </row>
    <row r="2527" spans="1:12" x14ac:dyDescent="0.25">
      <c r="A2527" s="20">
        <v>2519</v>
      </c>
      <c r="B2527" s="21">
        <f t="shared" ca="1" si="431"/>
        <v>4.2712725931840074</v>
      </c>
      <c r="C2527" s="21">
        <f t="shared" ca="1" si="436"/>
        <v>7623.8241156144295</v>
      </c>
      <c r="D2527" s="21">
        <f t="shared" ca="1" si="432"/>
        <v>3.2155965255930994</v>
      </c>
      <c r="E2527" s="21">
        <f t="shared" ca="1" si="439"/>
        <v>2.2173400493002191</v>
      </c>
      <c r="F2527" s="20" t="str">
        <f t="shared" ca="1" si="437"/>
        <v>No</v>
      </c>
      <c r="G2527" s="21">
        <f t="shared" ca="1" si="433"/>
        <v>0</v>
      </c>
      <c r="H2527" s="21">
        <f t="shared" ca="1" si="434"/>
        <v>7626.0414556637297</v>
      </c>
      <c r="I2527" s="21">
        <f t="shared" ca="1" si="429"/>
        <v>7629.2570521893231</v>
      </c>
      <c r="J2527" s="20">
        <f t="shared" ca="1" si="438"/>
        <v>2</v>
      </c>
      <c r="K2527" s="20">
        <f t="shared" ca="1" si="430"/>
        <v>2</v>
      </c>
      <c r="L2527" s="44">
        <f t="shared" ca="1" si="435"/>
        <v>2</v>
      </c>
    </row>
    <row r="2528" spans="1:12" x14ac:dyDescent="0.25">
      <c r="A2528" s="20">
        <v>2520</v>
      </c>
      <c r="B2528" s="21">
        <f t="shared" ca="1" si="431"/>
        <v>3.9139676465907351</v>
      </c>
      <c r="C2528" s="21">
        <f t="shared" ca="1" si="436"/>
        <v>7627.7380832610206</v>
      </c>
      <c r="D2528" s="21">
        <f t="shared" ca="1" si="432"/>
        <v>0.18502907116144726</v>
      </c>
      <c r="E2528" s="21">
        <f t="shared" ca="1" si="439"/>
        <v>1.5189689283024563</v>
      </c>
      <c r="F2528" s="20" t="str">
        <f t="shared" ca="1" si="437"/>
        <v>No</v>
      </c>
      <c r="G2528" s="21">
        <f t="shared" ca="1" si="433"/>
        <v>0</v>
      </c>
      <c r="H2528" s="21">
        <f t="shared" ca="1" si="434"/>
        <v>7629.2570521893231</v>
      </c>
      <c r="I2528" s="21">
        <f t="shared" ca="1" si="429"/>
        <v>7629.4420812604849</v>
      </c>
      <c r="J2528" s="20">
        <f t="shared" ca="1" si="438"/>
        <v>3</v>
      </c>
      <c r="K2528" s="20">
        <f t="shared" ca="1" si="430"/>
        <v>1</v>
      </c>
      <c r="L2528" s="44">
        <f t="shared" ca="1" si="435"/>
        <v>2</v>
      </c>
    </row>
    <row r="2529" spans="1:12" x14ac:dyDescent="0.25">
      <c r="A2529" s="20">
        <v>2521</v>
      </c>
      <c r="B2529" s="21">
        <f t="shared" ca="1" si="431"/>
        <v>1.1083625441835547</v>
      </c>
      <c r="C2529" s="21">
        <f t="shared" ca="1" si="436"/>
        <v>7628.846445805204</v>
      </c>
      <c r="D2529" s="21">
        <f t="shared" ca="1" si="432"/>
        <v>0.58973198324279308</v>
      </c>
      <c r="E2529" s="21">
        <f t="shared" ca="1" si="439"/>
        <v>0.5956354552808989</v>
      </c>
      <c r="F2529" s="20" t="str">
        <f t="shared" ca="1" si="437"/>
        <v>No</v>
      </c>
      <c r="G2529" s="21">
        <f t="shared" ca="1" si="433"/>
        <v>0</v>
      </c>
      <c r="H2529" s="21">
        <f t="shared" ca="1" si="434"/>
        <v>7629.4420812604849</v>
      </c>
      <c r="I2529" s="21">
        <f t="shared" ca="1" si="429"/>
        <v>7630.0318132437278</v>
      </c>
      <c r="J2529" s="20">
        <f t="shared" ca="1" si="438"/>
        <v>2</v>
      </c>
      <c r="K2529" s="20">
        <f t="shared" ca="1" si="430"/>
        <v>1</v>
      </c>
      <c r="L2529" s="44">
        <f t="shared" ca="1" si="435"/>
        <v>1.5</v>
      </c>
    </row>
    <row r="2530" spans="1:12" x14ac:dyDescent="0.25">
      <c r="A2530" s="20">
        <v>2522</v>
      </c>
      <c r="B2530" s="21">
        <f t="shared" ca="1" si="431"/>
        <v>0.9118544091716595</v>
      </c>
      <c r="C2530" s="21">
        <f t="shared" ca="1" si="436"/>
        <v>7629.7583002143756</v>
      </c>
      <c r="D2530" s="21">
        <f t="shared" ca="1" si="432"/>
        <v>4.7100632187508227</v>
      </c>
      <c r="E2530" s="21">
        <f t="shared" ca="1" si="439"/>
        <v>0.27351302935221611</v>
      </c>
      <c r="F2530" s="20" t="str">
        <f t="shared" ca="1" si="437"/>
        <v>No</v>
      </c>
      <c r="G2530" s="21">
        <f t="shared" ca="1" si="433"/>
        <v>0</v>
      </c>
      <c r="H2530" s="21">
        <f t="shared" ca="1" si="434"/>
        <v>7630.0318132437278</v>
      </c>
      <c r="I2530" s="21">
        <f t="shared" ca="1" si="429"/>
        <v>7634.741876462479</v>
      </c>
      <c r="J2530" s="20">
        <f t="shared" ca="1" si="438"/>
        <v>2</v>
      </c>
      <c r="K2530" s="20">
        <f t="shared" ca="1" si="430"/>
        <v>3</v>
      </c>
      <c r="L2530" s="44">
        <f t="shared" ca="1" si="435"/>
        <v>2.5</v>
      </c>
    </row>
    <row r="2531" spans="1:12" x14ac:dyDescent="0.25">
      <c r="A2531" s="20">
        <v>2523</v>
      </c>
      <c r="B2531" s="21">
        <f t="shared" ca="1" si="431"/>
        <v>1.601430615836412</v>
      </c>
      <c r="C2531" s="21">
        <f t="shared" ca="1" si="436"/>
        <v>7631.3597308302124</v>
      </c>
      <c r="D2531" s="21">
        <f t="shared" ca="1" si="432"/>
        <v>3.7400527549800087</v>
      </c>
      <c r="E2531" s="21">
        <f t="shared" ca="1" si="439"/>
        <v>3.3821456322666563</v>
      </c>
      <c r="F2531" s="20" t="str">
        <f t="shared" ca="1" si="437"/>
        <v>No</v>
      </c>
      <c r="G2531" s="21">
        <f t="shared" ca="1" si="433"/>
        <v>0</v>
      </c>
      <c r="H2531" s="21">
        <f t="shared" ca="1" si="434"/>
        <v>7634.741876462479</v>
      </c>
      <c r="I2531" s="21">
        <f t="shared" ca="1" si="429"/>
        <v>7638.4819292174589</v>
      </c>
      <c r="J2531" s="20">
        <f t="shared" ca="1" si="438"/>
        <v>4</v>
      </c>
      <c r="K2531" s="20">
        <f t="shared" ca="1" si="430"/>
        <v>2</v>
      </c>
      <c r="L2531" s="44">
        <f t="shared" ca="1" si="435"/>
        <v>3</v>
      </c>
    </row>
    <row r="2532" spans="1:12" x14ac:dyDescent="0.25">
      <c r="A2532" s="20">
        <v>2524</v>
      </c>
      <c r="B2532" s="21">
        <f t="shared" ca="1" si="431"/>
        <v>0.66886395030480394</v>
      </c>
      <c r="C2532" s="21">
        <f t="shared" ca="1" si="436"/>
        <v>7632.0285947805169</v>
      </c>
      <c r="D2532" s="21">
        <f t="shared" ca="1" si="432"/>
        <v>0.24950830542788366</v>
      </c>
      <c r="E2532" s="21">
        <f t="shared" ca="1" si="439"/>
        <v>6.4533344369419865</v>
      </c>
      <c r="F2532" s="20" t="str">
        <f t="shared" ca="1" si="437"/>
        <v>No</v>
      </c>
      <c r="G2532" s="21">
        <f t="shared" ca="1" si="433"/>
        <v>0</v>
      </c>
      <c r="H2532" s="21">
        <f t="shared" ca="1" si="434"/>
        <v>7638.4819292174589</v>
      </c>
      <c r="I2532" s="21">
        <f t="shared" ca="1" si="429"/>
        <v>7638.7314375228871</v>
      </c>
      <c r="J2532" s="20">
        <f t="shared" ca="1" si="438"/>
        <v>3</v>
      </c>
      <c r="K2532" s="20">
        <f t="shared" ca="1" si="430"/>
        <v>1</v>
      </c>
      <c r="L2532" s="44">
        <f t="shared" ca="1" si="435"/>
        <v>2</v>
      </c>
    </row>
    <row r="2533" spans="1:12" x14ac:dyDescent="0.25">
      <c r="A2533" s="20">
        <v>2525</v>
      </c>
      <c r="B2533" s="21">
        <f t="shared" ca="1" si="431"/>
        <v>0.66705714068213606</v>
      </c>
      <c r="C2533" s="21">
        <f t="shared" ca="1" si="436"/>
        <v>7632.695651921199</v>
      </c>
      <c r="D2533" s="21">
        <f t="shared" ca="1" si="432"/>
        <v>2.2337473250956394</v>
      </c>
      <c r="E2533" s="21">
        <f t="shared" ca="1" si="439"/>
        <v>6.035785601688076</v>
      </c>
      <c r="F2533" s="20" t="str">
        <f t="shared" ca="1" si="437"/>
        <v>No</v>
      </c>
      <c r="G2533" s="21">
        <f t="shared" ca="1" si="433"/>
        <v>0</v>
      </c>
      <c r="H2533" s="21">
        <f t="shared" ca="1" si="434"/>
        <v>7638.7314375228871</v>
      </c>
      <c r="I2533" s="21">
        <f t="shared" ca="1" si="429"/>
        <v>7640.9651848479825</v>
      </c>
      <c r="J2533" s="20">
        <f t="shared" ca="1" si="438"/>
        <v>2</v>
      </c>
      <c r="K2533" s="20">
        <f t="shared" ca="1" si="430"/>
        <v>1</v>
      </c>
      <c r="L2533" s="44">
        <f t="shared" ca="1" si="435"/>
        <v>1.5</v>
      </c>
    </row>
    <row r="2534" spans="1:12" x14ac:dyDescent="0.25">
      <c r="A2534" s="20">
        <v>2526</v>
      </c>
      <c r="B2534" s="21">
        <f t="shared" ca="1" si="431"/>
        <v>6.586974233372989</v>
      </c>
      <c r="C2534" s="21">
        <f t="shared" ca="1" si="436"/>
        <v>7639.2826261545724</v>
      </c>
      <c r="D2534" s="21">
        <f t="shared" ca="1" si="432"/>
        <v>1.3941213214800199</v>
      </c>
      <c r="E2534" s="21">
        <f t="shared" ca="1" si="439"/>
        <v>1.6825586934101011</v>
      </c>
      <c r="F2534" s="20" t="str">
        <f t="shared" ca="1" si="437"/>
        <v>No</v>
      </c>
      <c r="G2534" s="21">
        <f t="shared" ca="1" si="433"/>
        <v>0</v>
      </c>
      <c r="H2534" s="21">
        <f t="shared" ca="1" si="434"/>
        <v>7640.9651848479825</v>
      </c>
      <c r="I2534" s="21">
        <f t="shared" ca="1" si="429"/>
        <v>7642.3593061694628</v>
      </c>
      <c r="J2534" s="20">
        <f t="shared" ca="1" si="438"/>
        <v>2</v>
      </c>
      <c r="K2534" s="20">
        <f t="shared" ca="1" si="430"/>
        <v>0</v>
      </c>
      <c r="L2534" s="44">
        <f t="shared" ca="1" si="435"/>
        <v>1</v>
      </c>
    </row>
    <row r="2535" spans="1:12" x14ac:dyDescent="0.25">
      <c r="A2535" s="20">
        <v>2527</v>
      </c>
      <c r="B2535" s="21">
        <f t="shared" ca="1" si="431"/>
        <v>3.8025923155006902</v>
      </c>
      <c r="C2535" s="21">
        <f t="shared" ca="1" si="436"/>
        <v>7643.0852184700734</v>
      </c>
      <c r="D2535" s="21">
        <f t="shared" ca="1" si="432"/>
        <v>2.6052922256903526</v>
      </c>
      <c r="E2535" s="21">
        <f t="shared" ca="1" si="439"/>
        <v>0</v>
      </c>
      <c r="F2535" s="20" t="str">
        <f t="shared" ca="1" si="437"/>
        <v>Yes</v>
      </c>
      <c r="G2535" s="21">
        <f t="shared" ca="1" si="433"/>
        <v>0.72591230061061651</v>
      </c>
      <c r="H2535" s="21">
        <f t="shared" ca="1" si="434"/>
        <v>7643.0852184700734</v>
      </c>
      <c r="I2535" s="21">
        <f t="shared" ca="1" si="429"/>
        <v>7645.6905106957638</v>
      </c>
      <c r="J2535" s="20">
        <f t="shared" ca="1" si="438"/>
        <v>0</v>
      </c>
      <c r="K2535" s="20">
        <f t="shared" ca="1" si="430"/>
        <v>1</v>
      </c>
      <c r="L2535" s="44">
        <f t="shared" ca="1" si="435"/>
        <v>0.5</v>
      </c>
    </row>
    <row r="2536" spans="1:12" x14ac:dyDescent="0.25">
      <c r="A2536" s="20">
        <v>2528</v>
      </c>
      <c r="B2536" s="21">
        <f t="shared" ca="1" si="431"/>
        <v>1.7991662076330537</v>
      </c>
      <c r="C2536" s="21">
        <f t="shared" ca="1" si="436"/>
        <v>7644.8843846777063</v>
      </c>
      <c r="D2536" s="21">
        <f t="shared" ca="1" si="432"/>
        <v>2.3682714489072367</v>
      </c>
      <c r="E2536" s="21">
        <f t="shared" ca="1" si="439"/>
        <v>0.80612601805751183</v>
      </c>
      <c r="F2536" s="20" t="str">
        <f t="shared" ca="1" si="437"/>
        <v>No</v>
      </c>
      <c r="G2536" s="21">
        <f t="shared" ca="1" si="433"/>
        <v>0</v>
      </c>
      <c r="H2536" s="21">
        <f t="shared" ca="1" si="434"/>
        <v>7645.6905106957638</v>
      </c>
      <c r="I2536" s="21">
        <f t="shared" ca="1" si="429"/>
        <v>7648.0587821446707</v>
      </c>
      <c r="J2536" s="20">
        <f t="shared" ca="1" si="438"/>
        <v>2</v>
      </c>
      <c r="K2536" s="20">
        <f t="shared" ca="1" si="430"/>
        <v>0</v>
      </c>
      <c r="L2536" s="44">
        <f t="shared" ca="1" si="435"/>
        <v>1</v>
      </c>
    </row>
    <row r="2537" spans="1:12" x14ac:dyDescent="0.25">
      <c r="A2537" s="20">
        <v>2529</v>
      </c>
      <c r="B2537" s="21">
        <f t="shared" ca="1" si="431"/>
        <v>4.5147647403045337</v>
      </c>
      <c r="C2537" s="21">
        <f t="shared" ca="1" si="436"/>
        <v>7649.3991494180109</v>
      </c>
      <c r="D2537" s="21">
        <f t="shared" ca="1" si="432"/>
        <v>7.0975621788048713</v>
      </c>
      <c r="E2537" s="21">
        <f t="shared" ca="1" si="439"/>
        <v>0</v>
      </c>
      <c r="F2537" s="20" t="str">
        <f t="shared" ca="1" si="437"/>
        <v>Yes</v>
      </c>
      <c r="G2537" s="21">
        <f t="shared" ca="1" si="433"/>
        <v>1.3403672733402345</v>
      </c>
      <c r="H2537" s="21">
        <f t="shared" ca="1" si="434"/>
        <v>7649.3991494180109</v>
      </c>
      <c r="I2537" s="21">
        <f t="shared" ca="1" si="429"/>
        <v>7656.4967115968157</v>
      </c>
      <c r="J2537" s="20">
        <f t="shared" ca="1" si="438"/>
        <v>0</v>
      </c>
      <c r="K2537" s="20">
        <f t="shared" ca="1" si="430"/>
        <v>2</v>
      </c>
      <c r="L2537" s="44">
        <f t="shared" ca="1" si="435"/>
        <v>1</v>
      </c>
    </row>
    <row r="2538" spans="1:12" x14ac:dyDescent="0.25">
      <c r="A2538" s="20">
        <v>2530</v>
      </c>
      <c r="B2538" s="21">
        <f t="shared" ca="1" si="431"/>
        <v>0.57651824582686473</v>
      </c>
      <c r="C2538" s="21">
        <f t="shared" ca="1" si="436"/>
        <v>7649.9756676638381</v>
      </c>
      <c r="D2538" s="21">
        <f t="shared" ca="1" si="432"/>
        <v>0.84994210654732449</v>
      </c>
      <c r="E2538" s="21">
        <f t="shared" ca="1" si="439"/>
        <v>6.5210439329775909</v>
      </c>
      <c r="F2538" s="20" t="str">
        <f t="shared" ca="1" si="437"/>
        <v>No</v>
      </c>
      <c r="G2538" s="21">
        <f t="shared" ca="1" si="433"/>
        <v>0</v>
      </c>
      <c r="H2538" s="21">
        <f t="shared" ca="1" si="434"/>
        <v>7656.4967115968157</v>
      </c>
      <c r="I2538" s="21">
        <f t="shared" ca="1" si="429"/>
        <v>7657.3466537033628</v>
      </c>
      <c r="J2538" s="20">
        <f t="shared" ca="1" si="438"/>
        <v>3</v>
      </c>
      <c r="K2538" s="20">
        <f t="shared" ca="1" si="430"/>
        <v>2</v>
      </c>
      <c r="L2538" s="44">
        <f t="shared" ca="1" si="435"/>
        <v>2.5</v>
      </c>
    </row>
    <row r="2539" spans="1:12" x14ac:dyDescent="0.25">
      <c r="A2539" s="20">
        <v>2531</v>
      </c>
      <c r="B2539" s="21">
        <f t="shared" ca="1" si="431"/>
        <v>4.5319129662209701</v>
      </c>
      <c r="C2539" s="21">
        <f t="shared" ca="1" si="436"/>
        <v>7654.5075806300592</v>
      </c>
      <c r="D2539" s="21">
        <f t="shared" ca="1" si="432"/>
        <v>2.2168611581042672</v>
      </c>
      <c r="E2539" s="21">
        <f t="shared" ca="1" si="439"/>
        <v>2.8390730733035525</v>
      </c>
      <c r="F2539" s="20" t="str">
        <f t="shared" ca="1" si="437"/>
        <v>No</v>
      </c>
      <c r="G2539" s="21">
        <f t="shared" ca="1" si="433"/>
        <v>0</v>
      </c>
      <c r="H2539" s="21">
        <f t="shared" ca="1" si="434"/>
        <v>7657.3466537033628</v>
      </c>
      <c r="I2539" s="21">
        <f t="shared" ca="1" si="429"/>
        <v>7659.5635148614674</v>
      </c>
      <c r="J2539" s="20">
        <f t="shared" ca="1" si="438"/>
        <v>3</v>
      </c>
      <c r="K2539" s="20">
        <f t="shared" ca="1" si="430"/>
        <v>1</v>
      </c>
      <c r="L2539" s="44">
        <f t="shared" ca="1" si="435"/>
        <v>2</v>
      </c>
    </row>
    <row r="2540" spans="1:12" x14ac:dyDescent="0.25">
      <c r="A2540" s="20">
        <v>2532</v>
      </c>
      <c r="B2540" s="21">
        <f t="shared" ca="1" si="431"/>
        <v>2.6049417643547712</v>
      </c>
      <c r="C2540" s="21">
        <f t="shared" ca="1" si="436"/>
        <v>7657.1125223944136</v>
      </c>
      <c r="D2540" s="21">
        <f t="shared" ca="1" si="432"/>
        <v>1.005785224741208</v>
      </c>
      <c r="E2540" s="21">
        <f t="shared" ca="1" si="439"/>
        <v>2.4509924670537657</v>
      </c>
      <c r="F2540" s="20" t="str">
        <f t="shared" ca="1" si="437"/>
        <v>No</v>
      </c>
      <c r="G2540" s="21">
        <f t="shared" ca="1" si="433"/>
        <v>0</v>
      </c>
      <c r="H2540" s="21">
        <f t="shared" ca="1" si="434"/>
        <v>7659.5635148614674</v>
      </c>
      <c r="I2540" s="21">
        <f t="shared" ca="1" si="429"/>
        <v>7660.5693000862084</v>
      </c>
      <c r="J2540" s="20">
        <f t="shared" ca="1" si="438"/>
        <v>2</v>
      </c>
      <c r="K2540" s="20">
        <f t="shared" ca="1" si="430"/>
        <v>0</v>
      </c>
      <c r="L2540" s="44">
        <f t="shared" ca="1" si="435"/>
        <v>1</v>
      </c>
    </row>
    <row r="2541" spans="1:12" x14ac:dyDescent="0.25">
      <c r="A2541" s="20">
        <v>2533</v>
      </c>
      <c r="B2541" s="21">
        <f t="shared" ca="1" si="431"/>
        <v>4.0815086755408752</v>
      </c>
      <c r="C2541" s="21">
        <f t="shared" ca="1" si="436"/>
        <v>7661.1940310699547</v>
      </c>
      <c r="D2541" s="21">
        <f t="shared" ca="1" si="432"/>
        <v>1.5472436890956389</v>
      </c>
      <c r="E2541" s="21">
        <f t="shared" ca="1" si="439"/>
        <v>0</v>
      </c>
      <c r="F2541" s="20" t="str">
        <f t="shared" ca="1" si="437"/>
        <v>Yes</v>
      </c>
      <c r="G2541" s="21">
        <f t="shared" ca="1" si="433"/>
        <v>0.62473098374630354</v>
      </c>
      <c r="H2541" s="21">
        <f t="shared" ca="1" si="434"/>
        <v>7661.1940310699547</v>
      </c>
      <c r="I2541" s="21">
        <f t="shared" ca="1" si="429"/>
        <v>7662.7412747590506</v>
      </c>
      <c r="J2541" s="20">
        <f t="shared" ca="1" si="438"/>
        <v>0</v>
      </c>
      <c r="K2541" s="20">
        <f t="shared" ca="1" si="430"/>
        <v>0</v>
      </c>
      <c r="L2541" s="44">
        <f t="shared" ca="1" si="435"/>
        <v>0</v>
      </c>
    </row>
    <row r="2542" spans="1:12" x14ac:dyDescent="0.25">
      <c r="A2542" s="20">
        <v>2534</v>
      </c>
      <c r="B2542" s="21">
        <f t="shared" ca="1" si="431"/>
        <v>4.7598952997190827</v>
      </c>
      <c r="C2542" s="21">
        <f t="shared" ca="1" si="436"/>
        <v>7665.9539263696734</v>
      </c>
      <c r="D2542" s="21">
        <f t="shared" ca="1" si="432"/>
        <v>1.513472018096204</v>
      </c>
      <c r="E2542" s="21">
        <f t="shared" ca="1" si="439"/>
        <v>0</v>
      </c>
      <c r="F2542" s="20" t="str">
        <f t="shared" ca="1" si="437"/>
        <v>Yes</v>
      </c>
      <c r="G2542" s="21">
        <f t="shared" ca="1" si="433"/>
        <v>3.2126516106227427</v>
      </c>
      <c r="H2542" s="21">
        <f t="shared" ca="1" si="434"/>
        <v>7665.9539263696734</v>
      </c>
      <c r="I2542" s="21">
        <f t="shared" ca="1" si="429"/>
        <v>7667.4673983877692</v>
      </c>
      <c r="J2542" s="20">
        <f t="shared" ca="1" si="438"/>
        <v>0</v>
      </c>
      <c r="K2542" s="20">
        <f t="shared" ca="1" si="430"/>
        <v>0</v>
      </c>
      <c r="L2542" s="44">
        <f t="shared" ca="1" si="435"/>
        <v>0</v>
      </c>
    </row>
    <row r="2543" spans="1:12" x14ac:dyDescent="0.25">
      <c r="A2543" s="20">
        <v>2535</v>
      </c>
      <c r="B2543" s="21">
        <f t="shared" ca="1" si="431"/>
        <v>18.104106239049706</v>
      </c>
      <c r="C2543" s="21">
        <f t="shared" ca="1" si="436"/>
        <v>7684.0580326087229</v>
      </c>
      <c r="D2543" s="21">
        <f t="shared" ca="1" si="432"/>
        <v>5.9138295047658804</v>
      </c>
      <c r="E2543" s="21">
        <f t="shared" ca="1" si="439"/>
        <v>0</v>
      </c>
      <c r="F2543" s="20" t="str">
        <f t="shared" ca="1" si="437"/>
        <v>Yes</v>
      </c>
      <c r="G2543" s="21">
        <f t="shared" ca="1" si="433"/>
        <v>16.590634220953689</v>
      </c>
      <c r="H2543" s="21">
        <f t="shared" ca="1" si="434"/>
        <v>7684.0580326087229</v>
      </c>
      <c r="I2543" s="21">
        <f t="shared" ca="1" si="429"/>
        <v>7689.9718621134889</v>
      </c>
      <c r="J2543" s="20">
        <f t="shared" ca="1" si="438"/>
        <v>0</v>
      </c>
      <c r="K2543" s="20">
        <f t="shared" ca="1" si="430"/>
        <v>2</v>
      </c>
      <c r="L2543" s="44">
        <f t="shared" ca="1" si="435"/>
        <v>1</v>
      </c>
    </row>
    <row r="2544" spans="1:12" x14ac:dyDescent="0.25">
      <c r="A2544" s="20">
        <v>2536</v>
      </c>
      <c r="B2544" s="21">
        <f t="shared" ca="1" si="431"/>
        <v>1.0023431574627204</v>
      </c>
      <c r="C2544" s="21">
        <f t="shared" ca="1" si="436"/>
        <v>7685.0603757661856</v>
      </c>
      <c r="D2544" s="21">
        <f t="shared" ca="1" si="432"/>
        <v>0.75809434952777432</v>
      </c>
      <c r="E2544" s="21">
        <f t="shared" ca="1" si="439"/>
        <v>4.9114863473032528</v>
      </c>
      <c r="F2544" s="20" t="str">
        <f t="shared" ca="1" si="437"/>
        <v>No</v>
      </c>
      <c r="G2544" s="21">
        <f t="shared" ca="1" si="433"/>
        <v>0</v>
      </c>
      <c r="H2544" s="21">
        <f t="shared" ca="1" si="434"/>
        <v>7689.9718621134889</v>
      </c>
      <c r="I2544" s="21">
        <f t="shared" ca="1" si="429"/>
        <v>7690.7299564630166</v>
      </c>
      <c r="J2544" s="20">
        <f t="shared" ca="1" si="438"/>
        <v>3</v>
      </c>
      <c r="K2544" s="20">
        <f t="shared" ca="1" si="430"/>
        <v>1</v>
      </c>
      <c r="L2544" s="44">
        <f t="shared" ca="1" si="435"/>
        <v>2</v>
      </c>
    </row>
    <row r="2545" spans="1:12" x14ac:dyDescent="0.25">
      <c r="A2545" s="20">
        <v>2537</v>
      </c>
      <c r="B2545" s="21">
        <f t="shared" ca="1" si="431"/>
        <v>3.4415183404667902</v>
      </c>
      <c r="C2545" s="21">
        <f t="shared" ca="1" si="436"/>
        <v>7688.5018941066528</v>
      </c>
      <c r="D2545" s="21">
        <f t="shared" ca="1" si="432"/>
        <v>4.056033504031876</v>
      </c>
      <c r="E2545" s="21">
        <f t="shared" ca="1" si="439"/>
        <v>2.2280623563638073</v>
      </c>
      <c r="F2545" s="20" t="str">
        <f t="shared" ca="1" si="437"/>
        <v>No</v>
      </c>
      <c r="G2545" s="21">
        <f t="shared" ca="1" si="433"/>
        <v>0</v>
      </c>
      <c r="H2545" s="21">
        <f t="shared" ca="1" si="434"/>
        <v>7690.7299564630166</v>
      </c>
      <c r="I2545" s="21">
        <f t="shared" ca="1" si="429"/>
        <v>7694.7859899670484</v>
      </c>
      <c r="J2545" s="20">
        <f t="shared" ca="1" si="438"/>
        <v>2</v>
      </c>
      <c r="K2545" s="20">
        <f t="shared" ca="1" si="430"/>
        <v>0</v>
      </c>
      <c r="L2545" s="44">
        <f t="shared" ca="1" si="435"/>
        <v>1</v>
      </c>
    </row>
    <row r="2546" spans="1:12" x14ac:dyDescent="0.25">
      <c r="A2546" s="20">
        <v>2538</v>
      </c>
      <c r="B2546" s="21">
        <f t="shared" ca="1" si="431"/>
        <v>7.1182496274857554</v>
      </c>
      <c r="C2546" s="21">
        <f t="shared" ca="1" si="436"/>
        <v>7695.6201437341388</v>
      </c>
      <c r="D2546" s="21">
        <f t="shared" ca="1" si="432"/>
        <v>0.38765848204914299</v>
      </c>
      <c r="E2546" s="21">
        <f t="shared" ca="1" si="439"/>
        <v>0</v>
      </c>
      <c r="F2546" s="20" t="str">
        <f t="shared" ca="1" si="437"/>
        <v>Yes</v>
      </c>
      <c r="G2546" s="21">
        <f t="shared" ca="1" si="433"/>
        <v>0.83415376709035627</v>
      </c>
      <c r="H2546" s="21">
        <f t="shared" ca="1" si="434"/>
        <v>7695.6201437341388</v>
      </c>
      <c r="I2546" s="21">
        <f t="shared" ca="1" si="429"/>
        <v>7696.0078022161879</v>
      </c>
      <c r="J2546" s="20">
        <f t="shared" ca="1" si="438"/>
        <v>0</v>
      </c>
      <c r="K2546" s="20">
        <f t="shared" ca="1" si="430"/>
        <v>0</v>
      </c>
      <c r="L2546" s="44">
        <f t="shared" ca="1" si="435"/>
        <v>0</v>
      </c>
    </row>
    <row r="2547" spans="1:12" x14ac:dyDescent="0.25">
      <c r="A2547" s="20">
        <v>2539</v>
      </c>
      <c r="B2547" s="21">
        <f t="shared" ca="1" si="431"/>
        <v>1.3505122159352507</v>
      </c>
      <c r="C2547" s="21">
        <f t="shared" ca="1" si="436"/>
        <v>7696.9706559500737</v>
      </c>
      <c r="D2547" s="21">
        <f t="shared" ca="1" si="432"/>
        <v>0.33245472212665445</v>
      </c>
      <c r="E2547" s="21">
        <f t="shared" ca="1" si="439"/>
        <v>0</v>
      </c>
      <c r="F2547" s="20" t="str">
        <f t="shared" ca="1" si="437"/>
        <v>Yes</v>
      </c>
      <c r="G2547" s="21">
        <f t="shared" ca="1" si="433"/>
        <v>0.96285373388582229</v>
      </c>
      <c r="H2547" s="21">
        <f t="shared" ca="1" si="434"/>
        <v>7696.9706559500737</v>
      </c>
      <c r="I2547" s="21">
        <f t="shared" ca="1" si="429"/>
        <v>7697.3031106722001</v>
      </c>
      <c r="J2547" s="20">
        <f t="shared" ca="1" si="438"/>
        <v>0</v>
      </c>
      <c r="K2547" s="20">
        <f t="shared" ca="1" si="430"/>
        <v>0</v>
      </c>
      <c r="L2547" s="44">
        <f t="shared" ca="1" si="435"/>
        <v>0</v>
      </c>
    </row>
    <row r="2548" spans="1:12" x14ac:dyDescent="0.25">
      <c r="A2548" s="20">
        <v>2540</v>
      </c>
      <c r="B2548" s="21">
        <f t="shared" ca="1" si="431"/>
        <v>3.0123129623346885</v>
      </c>
      <c r="C2548" s="21">
        <f t="shared" ca="1" si="436"/>
        <v>7699.9829689124081</v>
      </c>
      <c r="D2548" s="21">
        <f t="shared" ca="1" si="432"/>
        <v>0.13765403368560272</v>
      </c>
      <c r="E2548" s="21">
        <f t="shared" ca="1" si="439"/>
        <v>0</v>
      </c>
      <c r="F2548" s="20" t="str">
        <f t="shared" ca="1" si="437"/>
        <v>Yes</v>
      </c>
      <c r="G2548" s="21">
        <f t="shared" ca="1" si="433"/>
        <v>2.6798582402079774</v>
      </c>
      <c r="H2548" s="21">
        <f t="shared" ca="1" si="434"/>
        <v>7699.9829689124081</v>
      </c>
      <c r="I2548" s="21">
        <f t="shared" ca="1" si="429"/>
        <v>7700.120622946094</v>
      </c>
      <c r="J2548" s="20">
        <f t="shared" ca="1" si="438"/>
        <v>0</v>
      </c>
      <c r="K2548" s="20">
        <f t="shared" ca="1" si="430"/>
        <v>0</v>
      </c>
      <c r="L2548" s="44">
        <f t="shared" ca="1" si="435"/>
        <v>0</v>
      </c>
    </row>
    <row r="2549" spans="1:12" x14ac:dyDescent="0.25">
      <c r="A2549" s="20">
        <v>2541</v>
      </c>
      <c r="B2549" s="21">
        <f t="shared" ca="1" si="431"/>
        <v>12.678733620420765</v>
      </c>
      <c r="C2549" s="21">
        <f t="shared" ca="1" si="436"/>
        <v>7712.6617025328287</v>
      </c>
      <c r="D2549" s="21">
        <f t="shared" ca="1" si="432"/>
        <v>1.1477711917709743</v>
      </c>
      <c r="E2549" s="21">
        <f t="shared" ca="1" si="439"/>
        <v>0</v>
      </c>
      <c r="F2549" s="20" t="str">
        <f t="shared" ca="1" si="437"/>
        <v>Yes</v>
      </c>
      <c r="G2549" s="21">
        <f t="shared" ca="1" si="433"/>
        <v>12.541079586734668</v>
      </c>
      <c r="H2549" s="21">
        <f t="shared" ca="1" si="434"/>
        <v>7712.6617025328287</v>
      </c>
      <c r="I2549" s="21">
        <f t="shared" ca="1" si="429"/>
        <v>7713.8094737246001</v>
      </c>
      <c r="J2549" s="20">
        <f t="shared" ca="1" si="438"/>
        <v>0</v>
      </c>
      <c r="K2549" s="20">
        <f t="shared" ca="1" si="430"/>
        <v>1</v>
      </c>
      <c r="L2549" s="44">
        <f t="shared" ca="1" si="435"/>
        <v>0.5</v>
      </c>
    </row>
    <row r="2550" spans="1:12" x14ac:dyDescent="0.25">
      <c r="A2550" s="20">
        <v>2542</v>
      </c>
      <c r="B2550" s="21">
        <f t="shared" ca="1" si="431"/>
        <v>5.2899558319113096E-2</v>
      </c>
      <c r="C2550" s="21">
        <f t="shared" ca="1" si="436"/>
        <v>7712.7146020911478</v>
      </c>
      <c r="D2550" s="21">
        <f t="shared" ca="1" si="432"/>
        <v>1.5231929674444029</v>
      </c>
      <c r="E2550" s="21">
        <f t="shared" ca="1" si="439"/>
        <v>1.0948716334523851</v>
      </c>
      <c r="F2550" s="20" t="str">
        <f t="shared" ca="1" si="437"/>
        <v>No</v>
      </c>
      <c r="G2550" s="21">
        <f t="shared" ca="1" si="433"/>
        <v>0</v>
      </c>
      <c r="H2550" s="21">
        <f t="shared" ca="1" si="434"/>
        <v>7713.8094737246001</v>
      </c>
      <c r="I2550" s="21">
        <f t="shared" ca="1" si="429"/>
        <v>7715.3326666920448</v>
      </c>
      <c r="J2550" s="20">
        <f t="shared" ca="1" si="438"/>
        <v>2</v>
      </c>
      <c r="K2550" s="20">
        <f t="shared" ca="1" si="430"/>
        <v>2</v>
      </c>
      <c r="L2550" s="44">
        <f t="shared" ca="1" si="435"/>
        <v>2</v>
      </c>
    </row>
    <row r="2551" spans="1:12" x14ac:dyDescent="0.25">
      <c r="A2551" s="20">
        <v>2543</v>
      </c>
      <c r="B2551" s="21">
        <f t="shared" ca="1" si="431"/>
        <v>1.2216469664089957</v>
      </c>
      <c r="C2551" s="21">
        <f t="shared" ca="1" si="436"/>
        <v>7713.9362490575568</v>
      </c>
      <c r="D2551" s="21">
        <f t="shared" ca="1" si="432"/>
        <v>0.4617136174162158</v>
      </c>
      <c r="E2551" s="21">
        <f t="shared" ca="1" si="439"/>
        <v>1.3964176344879888</v>
      </c>
      <c r="F2551" s="20" t="str">
        <f t="shared" ca="1" si="437"/>
        <v>No</v>
      </c>
      <c r="G2551" s="21">
        <f t="shared" ca="1" si="433"/>
        <v>0</v>
      </c>
      <c r="H2551" s="21">
        <f t="shared" ca="1" si="434"/>
        <v>7715.3326666920448</v>
      </c>
      <c r="I2551" s="21">
        <f t="shared" ca="1" si="429"/>
        <v>7715.7943803094613</v>
      </c>
      <c r="J2551" s="20">
        <f t="shared" ca="1" si="438"/>
        <v>3</v>
      </c>
      <c r="K2551" s="20">
        <f t="shared" ca="1" si="430"/>
        <v>1</v>
      </c>
      <c r="L2551" s="44">
        <f t="shared" ca="1" si="435"/>
        <v>2</v>
      </c>
    </row>
    <row r="2552" spans="1:12" x14ac:dyDescent="0.25">
      <c r="A2552" s="20">
        <v>2544</v>
      </c>
      <c r="B2552" s="21">
        <f t="shared" ca="1" si="431"/>
        <v>0.89107903886231243</v>
      </c>
      <c r="C2552" s="21">
        <f t="shared" ca="1" si="436"/>
        <v>7714.8273280964195</v>
      </c>
      <c r="D2552" s="21">
        <f t="shared" ca="1" si="432"/>
        <v>2.3841580119030166</v>
      </c>
      <c r="E2552" s="21">
        <f t="shared" ca="1" si="439"/>
        <v>0.96705221304182487</v>
      </c>
      <c r="F2552" s="20" t="str">
        <f t="shared" ca="1" si="437"/>
        <v>No</v>
      </c>
      <c r="G2552" s="21">
        <f t="shared" ca="1" si="433"/>
        <v>0</v>
      </c>
      <c r="H2552" s="21">
        <f t="shared" ca="1" si="434"/>
        <v>7715.7943803094613</v>
      </c>
      <c r="I2552" s="21">
        <f t="shared" ca="1" si="429"/>
        <v>7718.1785383213646</v>
      </c>
      <c r="J2552" s="20">
        <f t="shared" ca="1" si="438"/>
        <v>2</v>
      </c>
      <c r="K2552" s="20">
        <f t="shared" ca="1" si="430"/>
        <v>2</v>
      </c>
      <c r="L2552" s="44">
        <f t="shared" ca="1" si="435"/>
        <v>2</v>
      </c>
    </row>
    <row r="2553" spans="1:12" x14ac:dyDescent="0.25">
      <c r="A2553" s="20">
        <v>2545</v>
      </c>
      <c r="B2553" s="21">
        <f t="shared" ca="1" si="431"/>
        <v>3.0449585354486794</v>
      </c>
      <c r="C2553" s="21">
        <f t="shared" ca="1" si="436"/>
        <v>7717.8722866318685</v>
      </c>
      <c r="D2553" s="21">
        <f t="shared" ca="1" si="432"/>
        <v>1.7826977736081995</v>
      </c>
      <c r="E2553" s="21">
        <f t="shared" ca="1" si="439"/>
        <v>0.3062516894960936</v>
      </c>
      <c r="F2553" s="20" t="str">
        <f t="shared" ca="1" si="437"/>
        <v>No</v>
      </c>
      <c r="G2553" s="21">
        <f t="shared" ca="1" si="433"/>
        <v>0</v>
      </c>
      <c r="H2553" s="21">
        <f t="shared" ca="1" si="434"/>
        <v>7718.1785383213646</v>
      </c>
      <c r="I2553" s="21">
        <f t="shared" ca="1" si="429"/>
        <v>7719.9612360949732</v>
      </c>
      <c r="J2553" s="20">
        <f t="shared" ca="1" si="438"/>
        <v>3</v>
      </c>
      <c r="K2553" s="20">
        <f t="shared" ca="1" si="430"/>
        <v>2</v>
      </c>
      <c r="L2553" s="44">
        <f t="shared" ca="1" si="435"/>
        <v>2.5</v>
      </c>
    </row>
    <row r="2554" spans="1:12" x14ac:dyDescent="0.25">
      <c r="A2554" s="20">
        <v>2546</v>
      </c>
      <c r="B2554" s="21">
        <f t="shared" ca="1" si="431"/>
        <v>0.24487468642245475</v>
      </c>
      <c r="C2554" s="21">
        <f t="shared" ca="1" si="436"/>
        <v>7718.1171613182905</v>
      </c>
      <c r="D2554" s="21">
        <f t="shared" ca="1" si="432"/>
        <v>1.0983660312477965</v>
      </c>
      <c r="E2554" s="21">
        <f t="shared" ca="1" si="439"/>
        <v>1.8440747766826462</v>
      </c>
      <c r="F2554" s="20" t="str">
        <f t="shared" ca="1" si="437"/>
        <v>No</v>
      </c>
      <c r="G2554" s="21">
        <f t="shared" ca="1" si="433"/>
        <v>0</v>
      </c>
      <c r="H2554" s="21">
        <f t="shared" ca="1" si="434"/>
        <v>7719.9612360949732</v>
      </c>
      <c r="I2554" s="21">
        <f t="shared" ca="1" si="429"/>
        <v>7721.0596021262209</v>
      </c>
      <c r="J2554" s="20">
        <f t="shared" ca="1" si="438"/>
        <v>3</v>
      </c>
      <c r="K2554" s="20">
        <f t="shared" ca="1" si="430"/>
        <v>1</v>
      </c>
      <c r="L2554" s="44">
        <f t="shared" ca="1" si="435"/>
        <v>2</v>
      </c>
    </row>
    <row r="2555" spans="1:12" x14ac:dyDescent="0.25">
      <c r="A2555" s="20">
        <v>2547</v>
      </c>
      <c r="B2555" s="21">
        <f t="shared" ca="1" si="431"/>
        <v>0.56838001608681654</v>
      </c>
      <c r="C2555" s="21">
        <f t="shared" ca="1" si="436"/>
        <v>7718.6855413343774</v>
      </c>
      <c r="D2555" s="21">
        <f t="shared" ca="1" si="432"/>
        <v>0.39613449576653703</v>
      </c>
      <c r="E2555" s="21">
        <f t="shared" ca="1" si="439"/>
        <v>2.3740607918434762</v>
      </c>
      <c r="F2555" s="20" t="str">
        <f t="shared" ca="1" si="437"/>
        <v>No</v>
      </c>
      <c r="G2555" s="21">
        <f t="shared" ca="1" si="433"/>
        <v>0</v>
      </c>
      <c r="H2555" s="21">
        <f t="shared" ca="1" si="434"/>
        <v>7721.0596021262209</v>
      </c>
      <c r="I2555" s="21">
        <f t="shared" ca="1" si="429"/>
        <v>7721.4557366219869</v>
      </c>
      <c r="J2555" s="20">
        <f t="shared" ca="1" si="438"/>
        <v>2</v>
      </c>
      <c r="K2555" s="20">
        <f t="shared" ca="1" si="430"/>
        <v>0</v>
      </c>
      <c r="L2555" s="44">
        <f t="shared" ca="1" si="435"/>
        <v>1</v>
      </c>
    </row>
    <row r="2556" spans="1:12" x14ac:dyDescent="0.25">
      <c r="A2556" s="20">
        <v>2548</v>
      </c>
      <c r="B2556" s="21">
        <f t="shared" ca="1" si="431"/>
        <v>4.6946142686857062</v>
      </c>
      <c r="C2556" s="21">
        <f t="shared" ca="1" si="436"/>
        <v>7723.380155603063</v>
      </c>
      <c r="D2556" s="21">
        <f t="shared" ca="1" si="432"/>
        <v>14.81990332845867</v>
      </c>
      <c r="E2556" s="21">
        <f t="shared" ca="1" si="439"/>
        <v>0</v>
      </c>
      <c r="F2556" s="20" t="str">
        <f t="shared" ca="1" si="437"/>
        <v>Yes</v>
      </c>
      <c r="G2556" s="21">
        <f t="shared" ca="1" si="433"/>
        <v>1.9244189810760872</v>
      </c>
      <c r="H2556" s="21">
        <f t="shared" ca="1" si="434"/>
        <v>7723.380155603063</v>
      </c>
      <c r="I2556" s="21">
        <f t="shared" ca="1" si="429"/>
        <v>7738.2000589315221</v>
      </c>
      <c r="J2556" s="20">
        <f t="shared" ca="1" si="438"/>
        <v>0</v>
      </c>
      <c r="K2556" s="20">
        <f t="shared" ca="1" si="430"/>
        <v>5</v>
      </c>
      <c r="L2556" s="44">
        <f t="shared" ca="1" si="435"/>
        <v>2.5</v>
      </c>
    </row>
    <row r="2557" spans="1:12" x14ac:dyDescent="0.25">
      <c r="A2557" s="20">
        <v>2549</v>
      </c>
      <c r="B2557" s="21">
        <f t="shared" ca="1" si="431"/>
        <v>0.35416835747515996</v>
      </c>
      <c r="C2557" s="21">
        <f t="shared" ca="1" si="436"/>
        <v>7723.7343239605379</v>
      </c>
      <c r="D2557" s="21">
        <f t="shared" ca="1" si="432"/>
        <v>0.79628321487074583</v>
      </c>
      <c r="E2557" s="21">
        <f t="shared" ca="1" si="439"/>
        <v>14.465734970984158</v>
      </c>
      <c r="F2557" s="20" t="str">
        <f t="shared" ca="1" si="437"/>
        <v>No</v>
      </c>
      <c r="G2557" s="21">
        <f t="shared" ca="1" si="433"/>
        <v>0</v>
      </c>
      <c r="H2557" s="21">
        <f t="shared" ca="1" si="434"/>
        <v>7738.2000589315221</v>
      </c>
      <c r="I2557" s="21">
        <f t="shared" ca="1" si="429"/>
        <v>7738.9963421463926</v>
      </c>
      <c r="J2557" s="20">
        <f t="shared" ca="1" si="438"/>
        <v>6</v>
      </c>
      <c r="K2557" s="20">
        <f t="shared" ca="1" si="430"/>
        <v>4</v>
      </c>
      <c r="L2557" s="44">
        <f t="shared" ca="1" si="435"/>
        <v>5</v>
      </c>
    </row>
    <row r="2558" spans="1:12" x14ac:dyDescent="0.25">
      <c r="A2558" s="20">
        <v>2550</v>
      </c>
      <c r="B2558" s="21">
        <f t="shared" ca="1" si="431"/>
        <v>4.12890960361523</v>
      </c>
      <c r="C2558" s="21">
        <f t="shared" ca="1" si="436"/>
        <v>7727.8632335641532</v>
      </c>
      <c r="D2558" s="21">
        <f t="shared" ca="1" si="432"/>
        <v>1.4710061425713723</v>
      </c>
      <c r="E2558" s="21">
        <f t="shared" ca="1" si="439"/>
        <v>11.133108582239402</v>
      </c>
      <c r="F2558" s="20" t="str">
        <f t="shared" ca="1" si="437"/>
        <v>No</v>
      </c>
      <c r="G2558" s="21">
        <f t="shared" ca="1" si="433"/>
        <v>0</v>
      </c>
      <c r="H2558" s="21">
        <f t="shared" ca="1" si="434"/>
        <v>7738.9963421463926</v>
      </c>
      <c r="I2558" s="21">
        <f t="shared" ca="1" si="429"/>
        <v>7740.4673482889639</v>
      </c>
      <c r="J2558" s="20">
        <f t="shared" ca="1" si="438"/>
        <v>5</v>
      </c>
      <c r="K2558" s="20">
        <f t="shared" ca="1" si="430"/>
        <v>3</v>
      </c>
      <c r="L2558" s="44">
        <f t="shared" ca="1" si="435"/>
        <v>4</v>
      </c>
    </row>
    <row r="2559" spans="1:12" x14ac:dyDescent="0.25">
      <c r="A2559" s="20">
        <v>2551</v>
      </c>
      <c r="B2559" s="21">
        <f t="shared" ca="1" si="431"/>
        <v>1.4514491947042931</v>
      </c>
      <c r="C2559" s="21">
        <f t="shared" ca="1" si="436"/>
        <v>7729.3146827588571</v>
      </c>
      <c r="D2559" s="21">
        <f t="shared" ca="1" si="432"/>
        <v>0.17510388262544113</v>
      </c>
      <c r="E2559" s="21">
        <f t="shared" ca="1" si="439"/>
        <v>11.152665530106788</v>
      </c>
      <c r="F2559" s="20" t="str">
        <f t="shared" ca="1" si="437"/>
        <v>No</v>
      </c>
      <c r="G2559" s="21">
        <f t="shared" ca="1" si="433"/>
        <v>0</v>
      </c>
      <c r="H2559" s="21">
        <f t="shared" ca="1" si="434"/>
        <v>7740.4673482889639</v>
      </c>
      <c r="I2559" s="21">
        <f t="shared" ca="1" si="429"/>
        <v>7740.642452171589</v>
      </c>
      <c r="J2559" s="20">
        <f t="shared" ca="1" si="438"/>
        <v>4</v>
      </c>
      <c r="K2559" s="20">
        <f t="shared" ca="1" si="430"/>
        <v>2</v>
      </c>
      <c r="L2559" s="44">
        <f t="shared" ca="1" si="435"/>
        <v>3</v>
      </c>
    </row>
    <row r="2560" spans="1:12" x14ac:dyDescent="0.25">
      <c r="A2560" s="20">
        <v>2552</v>
      </c>
      <c r="B2560" s="21">
        <f t="shared" ca="1" si="431"/>
        <v>3.4032239907594155</v>
      </c>
      <c r="C2560" s="21">
        <f t="shared" ca="1" si="436"/>
        <v>7732.7179067496163</v>
      </c>
      <c r="D2560" s="21">
        <f t="shared" ca="1" si="432"/>
        <v>2.3190960851527955</v>
      </c>
      <c r="E2560" s="21">
        <f t="shared" ca="1" si="439"/>
        <v>7.9245454219726525</v>
      </c>
      <c r="F2560" s="20" t="str">
        <f t="shared" ca="1" si="437"/>
        <v>No</v>
      </c>
      <c r="G2560" s="21">
        <f t="shared" ca="1" si="433"/>
        <v>0</v>
      </c>
      <c r="H2560" s="21">
        <f t="shared" ca="1" si="434"/>
        <v>7740.642452171589</v>
      </c>
      <c r="I2560" s="21">
        <f t="shared" ca="1" si="429"/>
        <v>7742.9615482567415</v>
      </c>
      <c r="J2560" s="20">
        <f t="shared" ca="1" si="438"/>
        <v>3</v>
      </c>
      <c r="K2560" s="20">
        <f t="shared" ca="1" si="430"/>
        <v>1</v>
      </c>
      <c r="L2560" s="44">
        <f t="shared" ca="1" si="435"/>
        <v>2</v>
      </c>
    </row>
    <row r="2561" spans="1:12" x14ac:dyDescent="0.25">
      <c r="A2561" s="20">
        <v>2553</v>
      </c>
      <c r="B2561" s="21">
        <f t="shared" ca="1" si="431"/>
        <v>1.9946416817655352</v>
      </c>
      <c r="C2561" s="21">
        <f t="shared" ca="1" si="436"/>
        <v>7734.7125484313819</v>
      </c>
      <c r="D2561" s="21">
        <f t="shared" ca="1" si="432"/>
        <v>4.1422137772801548</v>
      </c>
      <c r="E2561" s="21">
        <f t="shared" ca="1" si="439"/>
        <v>8.2489998253595331</v>
      </c>
      <c r="F2561" s="20" t="str">
        <f t="shared" ca="1" si="437"/>
        <v>No</v>
      </c>
      <c r="G2561" s="21">
        <f t="shared" ca="1" si="433"/>
        <v>0</v>
      </c>
      <c r="H2561" s="21">
        <f t="shared" ca="1" si="434"/>
        <v>7742.9615482567415</v>
      </c>
      <c r="I2561" s="21">
        <f t="shared" ca="1" si="429"/>
        <v>7747.1037620340212</v>
      </c>
      <c r="J2561" s="20">
        <f t="shared" ca="1" si="438"/>
        <v>2</v>
      </c>
      <c r="K2561" s="20">
        <f t="shared" ca="1" si="430"/>
        <v>1</v>
      </c>
      <c r="L2561" s="44">
        <f t="shared" ca="1" si="435"/>
        <v>1.5</v>
      </c>
    </row>
    <row r="2562" spans="1:12" x14ac:dyDescent="0.25">
      <c r="A2562" s="20">
        <v>2554</v>
      </c>
      <c r="B2562" s="21">
        <f t="shared" ca="1" si="431"/>
        <v>12.229219480977138</v>
      </c>
      <c r="C2562" s="21">
        <f t="shared" ca="1" si="436"/>
        <v>7746.941767912359</v>
      </c>
      <c r="D2562" s="21">
        <f t="shared" ca="1" si="432"/>
        <v>14.01165354706318</v>
      </c>
      <c r="E2562" s="21">
        <f t="shared" ca="1" si="439"/>
        <v>0.16199412166224647</v>
      </c>
      <c r="F2562" s="20" t="str">
        <f t="shared" ca="1" si="437"/>
        <v>No</v>
      </c>
      <c r="G2562" s="21">
        <f t="shared" ca="1" si="433"/>
        <v>0</v>
      </c>
      <c r="H2562" s="21">
        <f t="shared" ca="1" si="434"/>
        <v>7747.1037620340212</v>
      </c>
      <c r="I2562" s="21">
        <f t="shared" ca="1" si="429"/>
        <v>7761.1154155810846</v>
      </c>
      <c r="J2562" s="20">
        <f t="shared" ca="1" si="438"/>
        <v>2</v>
      </c>
      <c r="K2562" s="20">
        <f t="shared" ca="1" si="430"/>
        <v>2</v>
      </c>
      <c r="L2562" s="44">
        <f t="shared" ca="1" si="435"/>
        <v>2</v>
      </c>
    </row>
    <row r="2563" spans="1:12" x14ac:dyDescent="0.25">
      <c r="A2563" s="20">
        <v>2555</v>
      </c>
      <c r="B2563" s="21">
        <f t="shared" ca="1" si="431"/>
        <v>3.7399340195344668</v>
      </c>
      <c r="C2563" s="21">
        <f t="shared" ca="1" si="436"/>
        <v>7750.6817019318933</v>
      </c>
      <c r="D2563" s="21">
        <f t="shared" ca="1" si="432"/>
        <v>0.79671477413466885</v>
      </c>
      <c r="E2563" s="21">
        <f t="shared" ca="1" si="439"/>
        <v>10.433713649191304</v>
      </c>
      <c r="F2563" s="20" t="str">
        <f t="shared" ca="1" si="437"/>
        <v>No</v>
      </c>
      <c r="G2563" s="21">
        <f t="shared" ca="1" si="433"/>
        <v>0</v>
      </c>
      <c r="H2563" s="21">
        <f t="shared" ca="1" si="434"/>
        <v>7761.1154155810846</v>
      </c>
      <c r="I2563" s="21">
        <f t="shared" ca="1" si="429"/>
        <v>7761.9121303552192</v>
      </c>
      <c r="J2563" s="20">
        <f t="shared" ca="1" si="438"/>
        <v>3</v>
      </c>
      <c r="K2563" s="20">
        <f t="shared" ca="1" si="430"/>
        <v>1</v>
      </c>
      <c r="L2563" s="44">
        <f t="shared" ca="1" si="435"/>
        <v>2</v>
      </c>
    </row>
    <row r="2564" spans="1:12" x14ac:dyDescent="0.25">
      <c r="A2564" s="20">
        <v>2556</v>
      </c>
      <c r="B2564" s="21">
        <f t="shared" ca="1" si="431"/>
        <v>7.7184032715959239</v>
      </c>
      <c r="C2564" s="21">
        <f t="shared" ca="1" si="436"/>
        <v>7758.4001052034891</v>
      </c>
      <c r="D2564" s="21">
        <f t="shared" ca="1" si="432"/>
        <v>3.3517559115989903</v>
      </c>
      <c r="E2564" s="21">
        <f t="shared" ca="1" si="439"/>
        <v>3.5120251517300858</v>
      </c>
      <c r="F2564" s="20" t="str">
        <f t="shared" ca="1" si="437"/>
        <v>No</v>
      </c>
      <c r="G2564" s="21">
        <f t="shared" ca="1" si="433"/>
        <v>0</v>
      </c>
      <c r="H2564" s="21">
        <f t="shared" ca="1" si="434"/>
        <v>7761.9121303552192</v>
      </c>
      <c r="I2564" s="21">
        <f t="shared" ca="1" si="429"/>
        <v>7765.2638862668182</v>
      </c>
      <c r="J2564" s="20">
        <f t="shared" ca="1" si="438"/>
        <v>2</v>
      </c>
      <c r="K2564" s="20">
        <f t="shared" ca="1" si="430"/>
        <v>0</v>
      </c>
      <c r="L2564" s="44">
        <f t="shared" ca="1" si="435"/>
        <v>1</v>
      </c>
    </row>
    <row r="2565" spans="1:12" x14ac:dyDescent="0.25">
      <c r="A2565" s="20">
        <v>2557</v>
      </c>
      <c r="B2565" s="21">
        <f t="shared" ca="1" si="431"/>
        <v>7.1844513743925633</v>
      </c>
      <c r="C2565" s="21">
        <f t="shared" ca="1" si="436"/>
        <v>7765.5845565778818</v>
      </c>
      <c r="D2565" s="21">
        <f t="shared" ca="1" si="432"/>
        <v>8.8112042162541346</v>
      </c>
      <c r="E2565" s="21">
        <f t="shared" ca="1" si="439"/>
        <v>0</v>
      </c>
      <c r="F2565" s="20" t="str">
        <f t="shared" ca="1" si="437"/>
        <v>Yes</v>
      </c>
      <c r="G2565" s="21">
        <f t="shared" ca="1" si="433"/>
        <v>0.32067031106362265</v>
      </c>
      <c r="H2565" s="21">
        <f t="shared" ca="1" si="434"/>
        <v>7765.5845565778818</v>
      </c>
      <c r="I2565" s="21">
        <f t="shared" ca="1" si="429"/>
        <v>7774.3957607941356</v>
      </c>
      <c r="J2565" s="20">
        <f t="shared" ca="1" si="438"/>
        <v>0</v>
      </c>
      <c r="K2565" s="20">
        <f t="shared" ca="1" si="430"/>
        <v>0</v>
      </c>
      <c r="L2565" s="44">
        <f t="shared" ca="1" si="435"/>
        <v>0</v>
      </c>
    </row>
    <row r="2566" spans="1:12" x14ac:dyDescent="0.25">
      <c r="A2566" s="20">
        <v>2558</v>
      </c>
      <c r="B2566" s="21">
        <f t="shared" ca="1" si="431"/>
        <v>17.774791378495046</v>
      </c>
      <c r="C2566" s="21">
        <f t="shared" ca="1" si="436"/>
        <v>7783.359347956377</v>
      </c>
      <c r="D2566" s="21">
        <f t="shared" ca="1" si="432"/>
        <v>2.3588604090115424</v>
      </c>
      <c r="E2566" s="21">
        <f t="shared" ca="1" si="439"/>
        <v>0</v>
      </c>
      <c r="F2566" s="20" t="str">
        <f t="shared" ca="1" si="437"/>
        <v>Yes</v>
      </c>
      <c r="G2566" s="21">
        <f t="shared" ca="1" si="433"/>
        <v>8.9635871622413106</v>
      </c>
      <c r="H2566" s="21">
        <f t="shared" ca="1" si="434"/>
        <v>7783.359347956377</v>
      </c>
      <c r="I2566" s="21">
        <f t="shared" ca="1" si="429"/>
        <v>7785.7182083653888</v>
      </c>
      <c r="J2566" s="20">
        <f t="shared" ca="1" si="438"/>
        <v>0</v>
      </c>
      <c r="K2566" s="20">
        <f t="shared" ca="1" si="430"/>
        <v>1</v>
      </c>
      <c r="L2566" s="44">
        <f t="shared" ca="1" si="435"/>
        <v>0.5</v>
      </c>
    </row>
    <row r="2567" spans="1:12" x14ac:dyDescent="0.25">
      <c r="A2567" s="20">
        <v>2559</v>
      </c>
      <c r="B2567" s="21">
        <f t="shared" ca="1" si="431"/>
        <v>1.1008563564403318</v>
      </c>
      <c r="C2567" s="21">
        <f t="shared" ca="1" si="436"/>
        <v>7784.460204312817</v>
      </c>
      <c r="D2567" s="21">
        <f t="shared" ca="1" si="432"/>
        <v>1.5864552960690459</v>
      </c>
      <c r="E2567" s="21">
        <f t="shared" ca="1" si="439"/>
        <v>1.2580040525717777</v>
      </c>
      <c r="F2567" s="20" t="str">
        <f t="shared" ca="1" si="437"/>
        <v>No</v>
      </c>
      <c r="G2567" s="21">
        <f t="shared" ca="1" si="433"/>
        <v>0</v>
      </c>
      <c r="H2567" s="21">
        <f t="shared" ca="1" si="434"/>
        <v>7785.7182083653888</v>
      </c>
      <c r="I2567" s="21">
        <f t="shared" ca="1" si="429"/>
        <v>7787.3046636614581</v>
      </c>
      <c r="J2567" s="20">
        <f t="shared" ca="1" si="438"/>
        <v>2</v>
      </c>
      <c r="K2567" s="20">
        <f t="shared" ca="1" si="430"/>
        <v>1</v>
      </c>
      <c r="L2567" s="44">
        <f t="shared" ca="1" si="435"/>
        <v>1.5</v>
      </c>
    </row>
    <row r="2568" spans="1:12" x14ac:dyDescent="0.25">
      <c r="A2568" s="20">
        <v>2560</v>
      </c>
      <c r="B2568" s="21">
        <f t="shared" ca="1" si="431"/>
        <v>2.0767926891036854</v>
      </c>
      <c r="C2568" s="21">
        <f t="shared" ca="1" si="436"/>
        <v>7786.536997001921</v>
      </c>
      <c r="D2568" s="21">
        <f t="shared" ca="1" si="432"/>
        <v>1.150473733994541</v>
      </c>
      <c r="E2568" s="21">
        <f t="shared" ca="1" si="439"/>
        <v>0.76766665953709889</v>
      </c>
      <c r="F2568" s="20" t="str">
        <f t="shared" ca="1" si="437"/>
        <v>No</v>
      </c>
      <c r="G2568" s="21">
        <f t="shared" ca="1" si="433"/>
        <v>0</v>
      </c>
      <c r="H2568" s="21">
        <f t="shared" ca="1" si="434"/>
        <v>7787.3046636614581</v>
      </c>
      <c r="I2568" s="21">
        <f t="shared" ca="1" si="429"/>
        <v>7788.4551373954528</v>
      </c>
      <c r="J2568" s="20">
        <f t="shared" ca="1" si="438"/>
        <v>2</v>
      </c>
      <c r="K2568" s="20">
        <f t="shared" ca="1" si="430"/>
        <v>0</v>
      </c>
      <c r="L2568" s="44">
        <f t="shared" ca="1" si="435"/>
        <v>1</v>
      </c>
    </row>
    <row r="2569" spans="1:12" x14ac:dyDescent="0.25">
      <c r="A2569" s="20">
        <v>2561</v>
      </c>
      <c r="B2569" s="21">
        <f t="shared" ca="1" si="431"/>
        <v>3.3028061889025571</v>
      </c>
      <c r="C2569" s="21">
        <f t="shared" ca="1" si="436"/>
        <v>7789.8398031908237</v>
      </c>
      <c r="D2569" s="21">
        <f t="shared" ca="1" si="432"/>
        <v>4.1878317588723357</v>
      </c>
      <c r="E2569" s="21">
        <f t="shared" ca="1" si="439"/>
        <v>0</v>
      </c>
      <c r="F2569" s="20" t="str">
        <f t="shared" ca="1" si="437"/>
        <v>Yes</v>
      </c>
      <c r="G2569" s="21">
        <f t="shared" ca="1" si="433"/>
        <v>1.3846657953708927</v>
      </c>
      <c r="H2569" s="21">
        <f t="shared" ca="1" si="434"/>
        <v>7789.8398031908237</v>
      </c>
      <c r="I2569" s="21">
        <f t="shared" ref="I2569:I2632" ca="1" si="440">$H2569+$D2569</f>
        <v>7794.0276349496962</v>
      </c>
      <c r="J2569" s="20">
        <f t="shared" ca="1" si="438"/>
        <v>0</v>
      </c>
      <c r="K2569" s="20">
        <f t="shared" ref="K2569:K2632" ca="1" si="441">IF($I2569&lt;=$C2570,0,IF($I2569&lt;=$C2571,1,IF($I2569&lt;=$C2572,2,IF($I2569&lt;=$C2573,3,IF($I2569&lt;=$C2574,4,5)))))</f>
        <v>0</v>
      </c>
      <c r="L2569" s="44">
        <f t="shared" ca="1" si="435"/>
        <v>0</v>
      </c>
    </row>
    <row r="2570" spans="1:12" x14ac:dyDescent="0.25">
      <c r="A2570" s="20">
        <v>2562</v>
      </c>
      <c r="B2570" s="21">
        <f t="shared" ref="B2570:B2633" ca="1" si="442">-LN(RAND())/$D$4</f>
        <v>5.7756560828554884</v>
      </c>
      <c r="C2570" s="21">
        <f t="shared" ca="1" si="436"/>
        <v>7795.6154592736793</v>
      </c>
      <c r="D2570" s="21">
        <f t="shared" ref="D2570:D2633" ca="1" si="443">-LN(RAND())/$D$6</f>
        <v>1.1402565214554945</v>
      </c>
      <c r="E2570" s="21">
        <f t="shared" ca="1" si="439"/>
        <v>0</v>
      </c>
      <c r="F2570" s="20" t="str">
        <f t="shared" ca="1" si="437"/>
        <v>Yes</v>
      </c>
      <c r="G2570" s="21">
        <f t="shared" ref="G2570:G2633" ca="1" si="444">IF($I2569&lt;=$C2570,$C2570-$I2569,0)</f>
        <v>1.5878243239831136</v>
      </c>
      <c r="H2570" s="21">
        <f t="shared" ref="H2570:H2633" ca="1" si="445">IF($I2569&lt;=$C2570,$C2570,$I2569)</f>
        <v>7795.6154592736793</v>
      </c>
      <c r="I2570" s="21">
        <f t="shared" ca="1" si="440"/>
        <v>7796.7557157951351</v>
      </c>
      <c r="J2570" s="20">
        <f t="shared" ca="1" si="438"/>
        <v>0</v>
      </c>
      <c r="K2570" s="20">
        <f t="shared" ca="1" si="441"/>
        <v>0</v>
      </c>
      <c r="L2570" s="44">
        <f t="shared" ref="L2570:L2633" ca="1" si="446">(J2570+K2570)/2</f>
        <v>0</v>
      </c>
    </row>
    <row r="2571" spans="1:12" x14ac:dyDescent="0.25">
      <c r="A2571" s="20">
        <v>2563</v>
      </c>
      <c r="B2571" s="21">
        <f t="shared" ca="1" si="442"/>
        <v>6.5028648150671318</v>
      </c>
      <c r="C2571" s="21">
        <f t="shared" ref="C2571:C2634" ca="1" si="447">$C2570+$B2571</f>
        <v>7802.1183240887467</v>
      </c>
      <c r="D2571" s="21">
        <f t="shared" ca="1" si="443"/>
        <v>1.52406810426433</v>
      </c>
      <c r="E2571" s="21">
        <f t="shared" ca="1" si="439"/>
        <v>0</v>
      </c>
      <c r="F2571" s="20" t="str">
        <f t="shared" ref="F2571:F2634" ca="1" si="448">IF(E2571=0,"Yes","No")</f>
        <v>Yes</v>
      </c>
      <c r="G2571" s="21">
        <f t="shared" ca="1" si="444"/>
        <v>5.3626082936116291</v>
      </c>
      <c r="H2571" s="21">
        <f t="shared" ca="1" si="445"/>
        <v>7802.1183240887467</v>
      </c>
      <c r="I2571" s="21">
        <f t="shared" ca="1" si="440"/>
        <v>7803.6423921930109</v>
      </c>
      <c r="J2571" s="20">
        <f t="shared" ref="J2571:J2634" ca="1" si="449">IF($I2570&lt;=$C2571,0,$K2570+1)</f>
        <v>0</v>
      </c>
      <c r="K2571" s="20">
        <f t="shared" ca="1" si="441"/>
        <v>0</v>
      </c>
      <c r="L2571" s="44">
        <f t="shared" ca="1" si="446"/>
        <v>0</v>
      </c>
    </row>
    <row r="2572" spans="1:12" x14ac:dyDescent="0.25">
      <c r="A2572" s="20">
        <v>2564</v>
      </c>
      <c r="B2572" s="21">
        <f t="shared" ca="1" si="442"/>
        <v>7.7615253166473641</v>
      </c>
      <c r="C2572" s="21">
        <f t="shared" ca="1" si="447"/>
        <v>7809.8798494053945</v>
      </c>
      <c r="D2572" s="21">
        <f t="shared" ca="1" si="443"/>
        <v>0.58586276959107508</v>
      </c>
      <c r="E2572" s="21">
        <f t="shared" ref="E2572:E2635" ca="1" si="450">IF($I2571&lt;=$C2572,0,$I2571-$C2572)</f>
        <v>0</v>
      </c>
      <c r="F2572" s="20" t="str">
        <f t="shared" ca="1" si="448"/>
        <v>Yes</v>
      </c>
      <c r="G2572" s="21">
        <f t="shared" ca="1" si="444"/>
        <v>6.2374572123835605</v>
      </c>
      <c r="H2572" s="21">
        <f t="shared" ca="1" si="445"/>
        <v>7809.8798494053945</v>
      </c>
      <c r="I2572" s="21">
        <f t="shared" ca="1" si="440"/>
        <v>7810.4657121749851</v>
      </c>
      <c r="J2572" s="20">
        <f t="shared" ca="1" si="449"/>
        <v>0</v>
      </c>
      <c r="K2572" s="20">
        <f t="shared" ca="1" si="441"/>
        <v>0</v>
      </c>
      <c r="L2572" s="44">
        <f t="shared" ca="1" si="446"/>
        <v>0</v>
      </c>
    </row>
    <row r="2573" spans="1:12" x14ac:dyDescent="0.25">
      <c r="A2573" s="20">
        <v>2565</v>
      </c>
      <c r="B2573" s="21">
        <f t="shared" ca="1" si="442"/>
        <v>2.4166844347504122</v>
      </c>
      <c r="C2573" s="21">
        <f t="shared" ca="1" si="447"/>
        <v>7812.2965338401445</v>
      </c>
      <c r="D2573" s="21">
        <f t="shared" ca="1" si="443"/>
        <v>1.1281776653762663</v>
      </c>
      <c r="E2573" s="21">
        <f t="shared" ca="1" si="450"/>
        <v>0</v>
      </c>
      <c r="F2573" s="20" t="str">
        <f t="shared" ca="1" si="448"/>
        <v>Yes</v>
      </c>
      <c r="G2573" s="21">
        <f t="shared" ca="1" si="444"/>
        <v>1.8308216651594194</v>
      </c>
      <c r="H2573" s="21">
        <f t="shared" ca="1" si="445"/>
        <v>7812.2965338401445</v>
      </c>
      <c r="I2573" s="21">
        <f t="shared" ca="1" si="440"/>
        <v>7813.4247115055205</v>
      </c>
      <c r="J2573" s="20">
        <f t="shared" ca="1" si="449"/>
        <v>0</v>
      </c>
      <c r="K2573" s="20">
        <f t="shared" ca="1" si="441"/>
        <v>1</v>
      </c>
      <c r="L2573" s="44">
        <f t="shared" ca="1" si="446"/>
        <v>0.5</v>
      </c>
    </row>
    <row r="2574" spans="1:12" x14ac:dyDescent="0.25">
      <c r="A2574" s="20">
        <v>2566</v>
      </c>
      <c r="B2574" s="21">
        <f t="shared" ca="1" si="442"/>
        <v>0.76405214311887582</v>
      </c>
      <c r="C2574" s="21">
        <f t="shared" ca="1" si="447"/>
        <v>7813.0605859832631</v>
      </c>
      <c r="D2574" s="21">
        <f t="shared" ca="1" si="443"/>
        <v>7.8873656691183776</v>
      </c>
      <c r="E2574" s="21">
        <f t="shared" ca="1" si="450"/>
        <v>0.36412552225738182</v>
      </c>
      <c r="F2574" s="20" t="str">
        <f t="shared" ca="1" si="448"/>
        <v>No</v>
      </c>
      <c r="G2574" s="21">
        <f t="shared" ca="1" si="444"/>
        <v>0</v>
      </c>
      <c r="H2574" s="21">
        <f t="shared" ca="1" si="445"/>
        <v>7813.4247115055205</v>
      </c>
      <c r="I2574" s="21">
        <f t="shared" ca="1" si="440"/>
        <v>7821.3120771746389</v>
      </c>
      <c r="J2574" s="20">
        <f t="shared" ca="1" si="449"/>
        <v>2</v>
      </c>
      <c r="K2574" s="20">
        <f t="shared" ca="1" si="441"/>
        <v>1</v>
      </c>
      <c r="L2574" s="44">
        <f t="shared" ca="1" si="446"/>
        <v>1.5</v>
      </c>
    </row>
    <row r="2575" spans="1:12" x14ac:dyDescent="0.25">
      <c r="A2575" s="20">
        <v>2567</v>
      </c>
      <c r="B2575" s="21">
        <f t="shared" ca="1" si="442"/>
        <v>2.5440587680884499</v>
      </c>
      <c r="C2575" s="21">
        <f t="shared" ca="1" si="447"/>
        <v>7815.6046447513518</v>
      </c>
      <c r="D2575" s="21">
        <f t="shared" ca="1" si="443"/>
        <v>1.7955485116976326</v>
      </c>
      <c r="E2575" s="21">
        <f t="shared" ca="1" si="450"/>
        <v>5.7074324232871732</v>
      </c>
      <c r="F2575" s="20" t="str">
        <f t="shared" ca="1" si="448"/>
        <v>No</v>
      </c>
      <c r="G2575" s="21">
        <f t="shared" ca="1" si="444"/>
        <v>0</v>
      </c>
      <c r="H2575" s="21">
        <f t="shared" ca="1" si="445"/>
        <v>7821.3120771746389</v>
      </c>
      <c r="I2575" s="21">
        <f t="shared" ca="1" si="440"/>
        <v>7823.1076256863362</v>
      </c>
      <c r="J2575" s="20">
        <f t="shared" ca="1" si="449"/>
        <v>2</v>
      </c>
      <c r="K2575" s="20">
        <f t="shared" ca="1" si="441"/>
        <v>1</v>
      </c>
      <c r="L2575" s="44">
        <f t="shared" ca="1" si="446"/>
        <v>1.5</v>
      </c>
    </row>
    <row r="2576" spans="1:12" x14ac:dyDescent="0.25">
      <c r="A2576" s="20">
        <v>2568</v>
      </c>
      <c r="B2576" s="21">
        <f t="shared" ca="1" si="442"/>
        <v>5.7217769259574478</v>
      </c>
      <c r="C2576" s="21">
        <f t="shared" ca="1" si="447"/>
        <v>7821.3264216773096</v>
      </c>
      <c r="D2576" s="21">
        <f t="shared" ca="1" si="443"/>
        <v>0.81847194944379442</v>
      </c>
      <c r="E2576" s="21">
        <f t="shared" ca="1" si="450"/>
        <v>1.7812040090266237</v>
      </c>
      <c r="F2576" s="20" t="str">
        <f t="shared" ca="1" si="448"/>
        <v>No</v>
      </c>
      <c r="G2576" s="21">
        <f t="shared" ca="1" si="444"/>
        <v>0</v>
      </c>
      <c r="H2576" s="21">
        <f t="shared" ca="1" si="445"/>
        <v>7823.1076256863362</v>
      </c>
      <c r="I2576" s="21">
        <f t="shared" ca="1" si="440"/>
        <v>7823.92609763578</v>
      </c>
      <c r="J2576" s="20">
        <f t="shared" ca="1" si="449"/>
        <v>2</v>
      </c>
      <c r="K2576" s="20">
        <f t="shared" ca="1" si="441"/>
        <v>0</v>
      </c>
      <c r="L2576" s="44">
        <f t="shared" ca="1" si="446"/>
        <v>1</v>
      </c>
    </row>
    <row r="2577" spans="1:12" x14ac:dyDescent="0.25">
      <c r="A2577" s="20">
        <v>2569</v>
      </c>
      <c r="B2577" s="21">
        <f t="shared" ca="1" si="442"/>
        <v>6.1729030422002014</v>
      </c>
      <c r="C2577" s="21">
        <f t="shared" ca="1" si="447"/>
        <v>7827.4993247195098</v>
      </c>
      <c r="D2577" s="21">
        <f t="shared" ca="1" si="443"/>
        <v>2.8709721012302833</v>
      </c>
      <c r="E2577" s="21">
        <f t="shared" ca="1" si="450"/>
        <v>0</v>
      </c>
      <c r="F2577" s="20" t="str">
        <f t="shared" ca="1" si="448"/>
        <v>Yes</v>
      </c>
      <c r="G2577" s="21">
        <f t="shared" ca="1" si="444"/>
        <v>3.5732270837297619</v>
      </c>
      <c r="H2577" s="21">
        <f t="shared" ca="1" si="445"/>
        <v>7827.4993247195098</v>
      </c>
      <c r="I2577" s="21">
        <f t="shared" ca="1" si="440"/>
        <v>7830.3702968207399</v>
      </c>
      <c r="J2577" s="20">
        <f t="shared" ca="1" si="449"/>
        <v>0</v>
      </c>
      <c r="K2577" s="20">
        <f t="shared" ca="1" si="441"/>
        <v>1</v>
      </c>
      <c r="L2577" s="44">
        <f t="shared" ca="1" si="446"/>
        <v>0.5</v>
      </c>
    </row>
    <row r="2578" spans="1:12" x14ac:dyDescent="0.25">
      <c r="A2578" s="20">
        <v>2570</v>
      </c>
      <c r="B2578" s="21">
        <f t="shared" ca="1" si="442"/>
        <v>2.0540673321255007</v>
      </c>
      <c r="C2578" s="21">
        <f t="shared" ca="1" si="447"/>
        <v>7829.5533920516355</v>
      </c>
      <c r="D2578" s="21">
        <f t="shared" ca="1" si="443"/>
        <v>2.8695344359506314</v>
      </c>
      <c r="E2578" s="21">
        <f t="shared" ca="1" si="450"/>
        <v>0.81690476910443977</v>
      </c>
      <c r="F2578" s="20" t="str">
        <f t="shared" ca="1" si="448"/>
        <v>No</v>
      </c>
      <c r="G2578" s="21">
        <f t="shared" ca="1" si="444"/>
        <v>0</v>
      </c>
      <c r="H2578" s="21">
        <f t="shared" ca="1" si="445"/>
        <v>7830.3702968207399</v>
      </c>
      <c r="I2578" s="21">
        <f t="shared" ca="1" si="440"/>
        <v>7833.2398312566902</v>
      </c>
      <c r="J2578" s="20">
        <f t="shared" ca="1" si="449"/>
        <v>2</v>
      </c>
      <c r="K2578" s="20">
        <f t="shared" ca="1" si="441"/>
        <v>1</v>
      </c>
      <c r="L2578" s="44">
        <f t="shared" ca="1" si="446"/>
        <v>1.5</v>
      </c>
    </row>
    <row r="2579" spans="1:12" x14ac:dyDescent="0.25">
      <c r="A2579" s="20">
        <v>2571</v>
      </c>
      <c r="B2579" s="21">
        <f t="shared" ca="1" si="442"/>
        <v>2.3081769284285136</v>
      </c>
      <c r="C2579" s="21">
        <f t="shared" ca="1" si="447"/>
        <v>7831.8615689800636</v>
      </c>
      <c r="D2579" s="21">
        <f t="shared" ca="1" si="443"/>
        <v>2.0354450857443362</v>
      </c>
      <c r="E2579" s="21">
        <f t="shared" ca="1" si="450"/>
        <v>1.3782622766266286</v>
      </c>
      <c r="F2579" s="20" t="str">
        <f t="shared" ca="1" si="448"/>
        <v>No</v>
      </c>
      <c r="G2579" s="21">
        <f t="shared" ca="1" si="444"/>
        <v>0</v>
      </c>
      <c r="H2579" s="21">
        <f t="shared" ca="1" si="445"/>
        <v>7833.2398312566902</v>
      </c>
      <c r="I2579" s="21">
        <f t="shared" ca="1" si="440"/>
        <v>7835.2752763424342</v>
      </c>
      <c r="J2579" s="20">
        <f t="shared" ca="1" si="449"/>
        <v>2</v>
      </c>
      <c r="K2579" s="20">
        <f t="shared" ca="1" si="441"/>
        <v>0</v>
      </c>
      <c r="L2579" s="44">
        <f t="shared" ca="1" si="446"/>
        <v>1</v>
      </c>
    </row>
    <row r="2580" spans="1:12" x14ac:dyDescent="0.25">
      <c r="A2580" s="20">
        <v>2572</v>
      </c>
      <c r="B2580" s="21">
        <f t="shared" ca="1" si="442"/>
        <v>3.8804081179439143</v>
      </c>
      <c r="C2580" s="21">
        <f t="shared" ca="1" si="447"/>
        <v>7835.7419770980077</v>
      </c>
      <c r="D2580" s="21">
        <f t="shared" ca="1" si="443"/>
        <v>0.17716626983754791</v>
      </c>
      <c r="E2580" s="21">
        <f t="shared" ca="1" si="450"/>
        <v>0</v>
      </c>
      <c r="F2580" s="20" t="str">
        <f t="shared" ca="1" si="448"/>
        <v>Yes</v>
      </c>
      <c r="G2580" s="21">
        <f t="shared" ca="1" si="444"/>
        <v>0.46670075557358359</v>
      </c>
      <c r="H2580" s="21">
        <f t="shared" ca="1" si="445"/>
        <v>7835.7419770980077</v>
      </c>
      <c r="I2580" s="21">
        <f t="shared" ca="1" si="440"/>
        <v>7835.9191433678452</v>
      </c>
      <c r="J2580" s="20">
        <f t="shared" ca="1" si="449"/>
        <v>0</v>
      </c>
      <c r="K2580" s="20">
        <f t="shared" ca="1" si="441"/>
        <v>0</v>
      </c>
      <c r="L2580" s="44">
        <f t="shared" ca="1" si="446"/>
        <v>0</v>
      </c>
    </row>
    <row r="2581" spans="1:12" x14ac:dyDescent="0.25">
      <c r="A2581" s="20">
        <v>2573</v>
      </c>
      <c r="B2581" s="21">
        <f t="shared" ca="1" si="442"/>
        <v>3.4241441518711104</v>
      </c>
      <c r="C2581" s="21">
        <f t="shared" ca="1" si="447"/>
        <v>7839.1661212498784</v>
      </c>
      <c r="D2581" s="21">
        <f t="shared" ca="1" si="443"/>
        <v>1.5930287831105332</v>
      </c>
      <c r="E2581" s="21">
        <f t="shared" ca="1" si="450"/>
        <v>0</v>
      </c>
      <c r="F2581" s="20" t="str">
        <f t="shared" ca="1" si="448"/>
        <v>Yes</v>
      </c>
      <c r="G2581" s="21">
        <f t="shared" ca="1" si="444"/>
        <v>3.2469778820332067</v>
      </c>
      <c r="H2581" s="21">
        <f t="shared" ca="1" si="445"/>
        <v>7839.1661212498784</v>
      </c>
      <c r="I2581" s="21">
        <f t="shared" ca="1" si="440"/>
        <v>7840.7591500329891</v>
      </c>
      <c r="J2581" s="20">
        <f t="shared" ca="1" si="449"/>
        <v>0</v>
      </c>
      <c r="K2581" s="20">
        <f t="shared" ca="1" si="441"/>
        <v>0</v>
      </c>
      <c r="L2581" s="44">
        <f t="shared" ca="1" si="446"/>
        <v>0</v>
      </c>
    </row>
    <row r="2582" spans="1:12" x14ac:dyDescent="0.25">
      <c r="A2582" s="20">
        <v>2574</v>
      </c>
      <c r="B2582" s="21">
        <f t="shared" ca="1" si="442"/>
        <v>2.1428240118606507</v>
      </c>
      <c r="C2582" s="21">
        <f t="shared" ca="1" si="447"/>
        <v>7841.3089452617387</v>
      </c>
      <c r="D2582" s="21">
        <f t="shared" ca="1" si="443"/>
        <v>1.1563135131779769</v>
      </c>
      <c r="E2582" s="21">
        <f t="shared" ca="1" si="450"/>
        <v>0</v>
      </c>
      <c r="F2582" s="20" t="str">
        <f t="shared" ca="1" si="448"/>
        <v>Yes</v>
      </c>
      <c r="G2582" s="21">
        <f t="shared" ca="1" si="444"/>
        <v>0.54979522874964459</v>
      </c>
      <c r="H2582" s="21">
        <f t="shared" ca="1" si="445"/>
        <v>7841.3089452617387</v>
      </c>
      <c r="I2582" s="21">
        <f t="shared" ca="1" si="440"/>
        <v>7842.4652587749169</v>
      </c>
      <c r="J2582" s="20">
        <f t="shared" ca="1" si="449"/>
        <v>0</v>
      </c>
      <c r="K2582" s="20">
        <f t="shared" ca="1" si="441"/>
        <v>0</v>
      </c>
      <c r="L2582" s="44">
        <f t="shared" ca="1" si="446"/>
        <v>0</v>
      </c>
    </row>
    <row r="2583" spans="1:12" x14ac:dyDescent="0.25">
      <c r="A2583" s="20">
        <v>2575</v>
      </c>
      <c r="B2583" s="21">
        <f t="shared" ca="1" si="442"/>
        <v>1.1696603631347058</v>
      </c>
      <c r="C2583" s="21">
        <f t="shared" ca="1" si="447"/>
        <v>7842.4786056248731</v>
      </c>
      <c r="D2583" s="21">
        <f t="shared" ca="1" si="443"/>
        <v>0.60763868949166988</v>
      </c>
      <c r="E2583" s="21">
        <f t="shared" ca="1" si="450"/>
        <v>0</v>
      </c>
      <c r="F2583" s="20" t="str">
        <f t="shared" ca="1" si="448"/>
        <v>Yes</v>
      </c>
      <c r="G2583" s="21">
        <f t="shared" ca="1" si="444"/>
        <v>1.334684995617863E-2</v>
      </c>
      <c r="H2583" s="21">
        <f t="shared" ca="1" si="445"/>
        <v>7842.4786056248731</v>
      </c>
      <c r="I2583" s="21">
        <f t="shared" ca="1" si="440"/>
        <v>7843.0862443143651</v>
      </c>
      <c r="J2583" s="20">
        <f t="shared" ca="1" si="449"/>
        <v>0</v>
      </c>
      <c r="K2583" s="20">
        <f t="shared" ca="1" si="441"/>
        <v>0</v>
      </c>
      <c r="L2583" s="44">
        <f t="shared" ca="1" si="446"/>
        <v>0</v>
      </c>
    </row>
    <row r="2584" spans="1:12" x14ac:dyDescent="0.25">
      <c r="A2584" s="20">
        <v>2576</v>
      </c>
      <c r="B2584" s="21">
        <f t="shared" ca="1" si="442"/>
        <v>7.3006970173712107</v>
      </c>
      <c r="C2584" s="21">
        <f t="shared" ca="1" si="447"/>
        <v>7849.7793026422441</v>
      </c>
      <c r="D2584" s="21">
        <f t="shared" ca="1" si="443"/>
        <v>2.980161791864484</v>
      </c>
      <c r="E2584" s="21">
        <f t="shared" ca="1" si="450"/>
        <v>0</v>
      </c>
      <c r="F2584" s="20" t="str">
        <f t="shared" ca="1" si="448"/>
        <v>Yes</v>
      </c>
      <c r="G2584" s="21">
        <f t="shared" ca="1" si="444"/>
        <v>6.6930583278790436</v>
      </c>
      <c r="H2584" s="21">
        <f t="shared" ca="1" si="445"/>
        <v>7849.7793026422441</v>
      </c>
      <c r="I2584" s="21">
        <f t="shared" ca="1" si="440"/>
        <v>7852.7594644341088</v>
      </c>
      <c r="J2584" s="20">
        <f t="shared" ca="1" si="449"/>
        <v>0</v>
      </c>
      <c r="K2584" s="20">
        <f t="shared" ca="1" si="441"/>
        <v>1</v>
      </c>
      <c r="L2584" s="44">
        <f t="shared" ca="1" si="446"/>
        <v>0.5</v>
      </c>
    </row>
    <row r="2585" spans="1:12" x14ac:dyDescent="0.25">
      <c r="A2585" s="20">
        <v>2577</v>
      </c>
      <c r="B2585" s="21">
        <f t="shared" ca="1" si="442"/>
        <v>1.4886708847444183</v>
      </c>
      <c r="C2585" s="21">
        <f t="shared" ca="1" si="447"/>
        <v>7851.2679735269885</v>
      </c>
      <c r="D2585" s="21">
        <f t="shared" ca="1" si="443"/>
        <v>2.1822244156545132</v>
      </c>
      <c r="E2585" s="21">
        <f t="shared" ca="1" si="450"/>
        <v>1.491490907120351</v>
      </c>
      <c r="F2585" s="20" t="str">
        <f t="shared" ca="1" si="448"/>
        <v>No</v>
      </c>
      <c r="G2585" s="21">
        <f t="shared" ca="1" si="444"/>
        <v>0</v>
      </c>
      <c r="H2585" s="21">
        <f t="shared" ca="1" si="445"/>
        <v>7852.7594644341088</v>
      </c>
      <c r="I2585" s="21">
        <f t="shared" ca="1" si="440"/>
        <v>7854.9416888497635</v>
      </c>
      <c r="J2585" s="20">
        <f t="shared" ca="1" si="449"/>
        <v>2</v>
      </c>
      <c r="K2585" s="20">
        <f t="shared" ca="1" si="441"/>
        <v>1</v>
      </c>
      <c r="L2585" s="44">
        <f t="shared" ca="1" si="446"/>
        <v>1.5</v>
      </c>
    </row>
    <row r="2586" spans="1:12" x14ac:dyDescent="0.25">
      <c r="A2586" s="20">
        <v>2578</v>
      </c>
      <c r="B2586" s="21">
        <f t="shared" ca="1" si="442"/>
        <v>1.5566688957926513</v>
      </c>
      <c r="C2586" s="21">
        <f t="shared" ca="1" si="447"/>
        <v>7852.8246424227809</v>
      </c>
      <c r="D2586" s="21">
        <f t="shared" ca="1" si="443"/>
        <v>7.9264968249013217</v>
      </c>
      <c r="E2586" s="21">
        <f t="shared" ca="1" si="450"/>
        <v>2.117046426982597</v>
      </c>
      <c r="F2586" s="20" t="str">
        <f t="shared" ca="1" si="448"/>
        <v>No</v>
      </c>
      <c r="G2586" s="21">
        <f t="shared" ca="1" si="444"/>
        <v>0</v>
      </c>
      <c r="H2586" s="21">
        <f t="shared" ca="1" si="445"/>
        <v>7854.9416888497635</v>
      </c>
      <c r="I2586" s="21">
        <f t="shared" ca="1" si="440"/>
        <v>7862.8681856746653</v>
      </c>
      <c r="J2586" s="20">
        <f t="shared" ca="1" si="449"/>
        <v>2</v>
      </c>
      <c r="K2586" s="20">
        <f t="shared" ca="1" si="441"/>
        <v>2</v>
      </c>
      <c r="L2586" s="44">
        <f t="shared" ca="1" si="446"/>
        <v>2</v>
      </c>
    </row>
    <row r="2587" spans="1:12" x14ac:dyDescent="0.25">
      <c r="A2587" s="20">
        <v>2579</v>
      </c>
      <c r="B2587" s="21">
        <f t="shared" ca="1" si="442"/>
        <v>8.5014792009473048</v>
      </c>
      <c r="C2587" s="21">
        <f t="shared" ca="1" si="447"/>
        <v>7861.3261216237279</v>
      </c>
      <c r="D2587" s="21">
        <f t="shared" ca="1" si="443"/>
        <v>1.4381421469085067</v>
      </c>
      <c r="E2587" s="21">
        <f t="shared" ca="1" si="450"/>
        <v>1.5420640509373698</v>
      </c>
      <c r="F2587" s="20" t="str">
        <f t="shared" ca="1" si="448"/>
        <v>No</v>
      </c>
      <c r="G2587" s="21">
        <f t="shared" ca="1" si="444"/>
        <v>0</v>
      </c>
      <c r="H2587" s="21">
        <f t="shared" ca="1" si="445"/>
        <v>7862.8681856746653</v>
      </c>
      <c r="I2587" s="21">
        <f t="shared" ca="1" si="440"/>
        <v>7864.3063278215741</v>
      </c>
      <c r="J2587" s="20">
        <f t="shared" ca="1" si="449"/>
        <v>3</v>
      </c>
      <c r="K2587" s="20">
        <f t="shared" ca="1" si="441"/>
        <v>1</v>
      </c>
      <c r="L2587" s="44">
        <f t="shared" ca="1" si="446"/>
        <v>2</v>
      </c>
    </row>
    <row r="2588" spans="1:12" x14ac:dyDescent="0.25">
      <c r="A2588" s="20">
        <v>2580</v>
      </c>
      <c r="B2588" s="21">
        <f t="shared" ca="1" si="442"/>
        <v>1.2631864136648558</v>
      </c>
      <c r="C2588" s="21">
        <f t="shared" ca="1" si="447"/>
        <v>7862.5893080373926</v>
      </c>
      <c r="D2588" s="21">
        <f t="shared" ca="1" si="443"/>
        <v>0.80526378718101699</v>
      </c>
      <c r="E2588" s="21">
        <f t="shared" ca="1" si="450"/>
        <v>1.7170197841815025</v>
      </c>
      <c r="F2588" s="20" t="str">
        <f t="shared" ca="1" si="448"/>
        <v>No</v>
      </c>
      <c r="G2588" s="21">
        <f t="shared" ca="1" si="444"/>
        <v>0</v>
      </c>
      <c r="H2588" s="21">
        <f t="shared" ca="1" si="445"/>
        <v>7864.3063278215741</v>
      </c>
      <c r="I2588" s="21">
        <f t="shared" ca="1" si="440"/>
        <v>7865.1115916087547</v>
      </c>
      <c r="J2588" s="20">
        <f t="shared" ca="1" si="449"/>
        <v>2</v>
      </c>
      <c r="K2588" s="20">
        <f t="shared" ca="1" si="441"/>
        <v>0</v>
      </c>
      <c r="L2588" s="44">
        <f t="shared" ca="1" si="446"/>
        <v>1</v>
      </c>
    </row>
    <row r="2589" spans="1:12" x14ac:dyDescent="0.25">
      <c r="A2589" s="20">
        <v>2581</v>
      </c>
      <c r="B2589" s="21">
        <f t="shared" ca="1" si="442"/>
        <v>9.4489648869021927</v>
      </c>
      <c r="C2589" s="21">
        <f t="shared" ca="1" si="447"/>
        <v>7872.0382729242947</v>
      </c>
      <c r="D2589" s="21">
        <f t="shared" ca="1" si="443"/>
        <v>0.28238274201467761</v>
      </c>
      <c r="E2589" s="21">
        <f t="shared" ca="1" si="450"/>
        <v>0</v>
      </c>
      <c r="F2589" s="20" t="str">
        <f t="shared" ca="1" si="448"/>
        <v>Yes</v>
      </c>
      <c r="G2589" s="21">
        <f t="shared" ca="1" si="444"/>
        <v>6.9266813155400087</v>
      </c>
      <c r="H2589" s="21">
        <f t="shared" ca="1" si="445"/>
        <v>7872.0382729242947</v>
      </c>
      <c r="I2589" s="21">
        <f t="shared" ca="1" si="440"/>
        <v>7872.320655666309</v>
      </c>
      <c r="J2589" s="20">
        <f t="shared" ca="1" si="449"/>
        <v>0</v>
      </c>
      <c r="K2589" s="20">
        <f t="shared" ca="1" si="441"/>
        <v>0</v>
      </c>
      <c r="L2589" s="44">
        <f t="shared" ca="1" si="446"/>
        <v>0</v>
      </c>
    </row>
    <row r="2590" spans="1:12" x14ac:dyDescent="0.25">
      <c r="A2590" s="20">
        <v>2582</v>
      </c>
      <c r="B2590" s="21">
        <f t="shared" ca="1" si="442"/>
        <v>3.9750699554050222</v>
      </c>
      <c r="C2590" s="21">
        <f t="shared" ca="1" si="447"/>
        <v>7876.0133428796998</v>
      </c>
      <c r="D2590" s="21">
        <f t="shared" ca="1" si="443"/>
        <v>2.0169328919613831</v>
      </c>
      <c r="E2590" s="21">
        <f t="shared" ca="1" si="450"/>
        <v>0</v>
      </c>
      <c r="F2590" s="20" t="str">
        <f t="shared" ca="1" si="448"/>
        <v>Yes</v>
      </c>
      <c r="G2590" s="21">
        <f t="shared" ca="1" si="444"/>
        <v>3.6926872133908546</v>
      </c>
      <c r="H2590" s="21">
        <f t="shared" ca="1" si="445"/>
        <v>7876.0133428796998</v>
      </c>
      <c r="I2590" s="21">
        <f t="shared" ca="1" si="440"/>
        <v>7878.0302757716609</v>
      </c>
      <c r="J2590" s="20">
        <f t="shared" ca="1" si="449"/>
        <v>0</v>
      </c>
      <c r="K2590" s="20">
        <f t="shared" ca="1" si="441"/>
        <v>0</v>
      </c>
      <c r="L2590" s="44">
        <f t="shared" ca="1" si="446"/>
        <v>0</v>
      </c>
    </row>
    <row r="2591" spans="1:12" x14ac:dyDescent="0.25">
      <c r="A2591" s="20">
        <v>2583</v>
      </c>
      <c r="B2591" s="21">
        <f t="shared" ca="1" si="442"/>
        <v>3.4443474861482599</v>
      </c>
      <c r="C2591" s="21">
        <f t="shared" ca="1" si="447"/>
        <v>7879.4576903658481</v>
      </c>
      <c r="D2591" s="21">
        <f t="shared" ca="1" si="443"/>
        <v>3.1969428451840698</v>
      </c>
      <c r="E2591" s="21">
        <f t="shared" ca="1" si="450"/>
        <v>0</v>
      </c>
      <c r="F2591" s="20" t="str">
        <f t="shared" ca="1" si="448"/>
        <v>Yes</v>
      </c>
      <c r="G2591" s="21">
        <f t="shared" ca="1" si="444"/>
        <v>1.4274145941872121</v>
      </c>
      <c r="H2591" s="21">
        <f t="shared" ca="1" si="445"/>
        <v>7879.4576903658481</v>
      </c>
      <c r="I2591" s="21">
        <f t="shared" ca="1" si="440"/>
        <v>7882.654633211032</v>
      </c>
      <c r="J2591" s="20">
        <f t="shared" ca="1" si="449"/>
        <v>0</v>
      </c>
      <c r="K2591" s="20">
        <f t="shared" ca="1" si="441"/>
        <v>1</v>
      </c>
      <c r="L2591" s="44">
        <f t="shared" ca="1" si="446"/>
        <v>0.5</v>
      </c>
    </row>
    <row r="2592" spans="1:12" x14ac:dyDescent="0.25">
      <c r="A2592" s="20">
        <v>2584</v>
      </c>
      <c r="B2592" s="21">
        <f t="shared" ca="1" si="442"/>
        <v>3.0610312159971618</v>
      </c>
      <c r="C2592" s="21">
        <f t="shared" ca="1" si="447"/>
        <v>7882.5187215818451</v>
      </c>
      <c r="D2592" s="21">
        <f t="shared" ca="1" si="443"/>
        <v>2.3533642772754875</v>
      </c>
      <c r="E2592" s="21">
        <f t="shared" ca="1" si="450"/>
        <v>0.13591162918692135</v>
      </c>
      <c r="F2592" s="20" t="str">
        <f t="shared" ca="1" si="448"/>
        <v>No</v>
      </c>
      <c r="G2592" s="21">
        <f t="shared" ca="1" si="444"/>
        <v>0</v>
      </c>
      <c r="H2592" s="21">
        <f t="shared" ca="1" si="445"/>
        <v>7882.654633211032</v>
      </c>
      <c r="I2592" s="21">
        <f t="shared" ca="1" si="440"/>
        <v>7885.0079974883074</v>
      </c>
      <c r="J2592" s="20">
        <f t="shared" ca="1" si="449"/>
        <v>2</v>
      </c>
      <c r="K2592" s="20">
        <f t="shared" ca="1" si="441"/>
        <v>2</v>
      </c>
      <c r="L2592" s="44">
        <f t="shared" ca="1" si="446"/>
        <v>2</v>
      </c>
    </row>
    <row r="2593" spans="1:12" x14ac:dyDescent="0.25">
      <c r="A2593" s="20">
        <v>2585</v>
      </c>
      <c r="B2593" s="21">
        <f t="shared" ca="1" si="442"/>
        <v>0.45875464646627678</v>
      </c>
      <c r="C2593" s="21">
        <f t="shared" ca="1" si="447"/>
        <v>7882.9774762283114</v>
      </c>
      <c r="D2593" s="21">
        <f t="shared" ca="1" si="443"/>
        <v>9.9551985111817576</v>
      </c>
      <c r="E2593" s="21">
        <f t="shared" ca="1" si="450"/>
        <v>2.0305212599960214</v>
      </c>
      <c r="F2593" s="20" t="str">
        <f t="shared" ca="1" si="448"/>
        <v>No</v>
      </c>
      <c r="G2593" s="21">
        <f t="shared" ca="1" si="444"/>
        <v>0</v>
      </c>
      <c r="H2593" s="21">
        <f t="shared" ca="1" si="445"/>
        <v>7885.0079974883074</v>
      </c>
      <c r="I2593" s="21">
        <f t="shared" ca="1" si="440"/>
        <v>7894.9631959994895</v>
      </c>
      <c r="J2593" s="20">
        <f t="shared" ca="1" si="449"/>
        <v>3</v>
      </c>
      <c r="K2593" s="20">
        <f t="shared" ca="1" si="441"/>
        <v>4</v>
      </c>
      <c r="L2593" s="44">
        <f t="shared" ca="1" si="446"/>
        <v>3.5</v>
      </c>
    </row>
    <row r="2594" spans="1:12" x14ac:dyDescent="0.25">
      <c r="A2594" s="20">
        <v>2586</v>
      </c>
      <c r="B2594" s="21">
        <f t="shared" ca="1" si="442"/>
        <v>0.10566622064829843</v>
      </c>
      <c r="C2594" s="21">
        <f t="shared" ca="1" si="447"/>
        <v>7883.0831424489597</v>
      </c>
      <c r="D2594" s="21">
        <f t="shared" ca="1" si="443"/>
        <v>0.75373058059579179</v>
      </c>
      <c r="E2594" s="21">
        <f t="shared" ca="1" si="450"/>
        <v>11.880053550529738</v>
      </c>
      <c r="F2594" s="20" t="str">
        <f t="shared" ca="1" si="448"/>
        <v>No</v>
      </c>
      <c r="G2594" s="21">
        <f t="shared" ca="1" si="444"/>
        <v>0</v>
      </c>
      <c r="H2594" s="21">
        <f t="shared" ca="1" si="445"/>
        <v>7894.9631959994895</v>
      </c>
      <c r="I2594" s="21">
        <f t="shared" ca="1" si="440"/>
        <v>7895.7169265800849</v>
      </c>
      <c r="J2594" s="20">
        <f t="shared" ca="1" si="449"/>
        <v>5</v>
      </c>
      <c r="K2594" s="20">
        <f t="shared" ca="1" si="441"/>
        <v>3</v>
      </c>
      <c r="L2594" s="44">
        <f t="shared" ca="1" si="446"/>
        <v>4</v>
      </c>
    </row>
    <row r="2595" spans="1:12" x14ac:dyDescent="0.25">
      <c r="A2595" s="20">
        <v>2587</v>
      </c>
      <c r="B2595" s="21">
        <f t="shared" ca="1" si="442"/>
        <v>3.902384420521344</v>
      </c>
      <c r="C2595" s="21">
        <f t="shared" ca="1" si="447"/>
        <v>7886.985526869481</v>
      </c>
      <c r="D2595" s="21">
        <f t="shared" ca="1" si="443"/>
        <v>5.3015523995487053</v>
      </c>
      <c r="E2595" s="21">
        <f t="shared" ca="1" si="450"/>
        <v>8.7313997106039096</v>
      </c>
      <c r="F2595" s="20" t="str">
        <f t="shared" ca="1" si="448"/>
        <v>No</v>
      </c>
      <c r="G2595" s="21">
        <f t="shared" ca="1" si="444"/>
        <v>0</v>
      </c>
      <c r="H2595" s="21">
        <f t="shared" ca="1" si="445"/>
        <v>7895.7169265800849</v>
      </c>
      <c r="I2595" s="21">
        <f t="shared" ca="1" si="440"/>
        <v>7901.018478979634</v>
      </c>
      <c r="J2595" s="20">
        <f t="shared" ca="1" si="449"/>
        <v>4</v>
      </c>
      <c r="K2595" s="20">
        <f t="shared" ca="1" si="441"/>
        <v>3</v>
      </c>
      <c r="L2595" s="44">
        <f t="shared" ca="1" si="446"/>
        <v>3.5</v>
      </c>
    </row>
    <row r="2596" spans="1:12" x14ac:dyDescent="0.25">
      <c r="A2596" s="20">
        <v>2588</v>
      </c>
      <c r="B2596" s="21">
        <f t="shared" ca="1" si="442"/>
        <v>3.7610834016252168</v>
      </c>
      <c r="C2596" s="21">
        <f t="shared" ca="1" si="447"/>
        <v>7890.746610271106</v>
      </c>
      <c r="D2596" s="21">
        <f t="shared" ca="1" si="443"/>
        <v>1.1079679277491801</v>
      </c>
      <c r="E2596" s="21">
        <f t="shared" ca="1" si="450"/>
        <v>10.271868708528018</v>
      </c>
      <c r="F2596" s="20" t="str">
        <f t="shared" ca="1" si="448"/>
        <v>No</v>
      </c>
      <c r="G2596" s="21">
        <f t="shared" ca="1" si="444"/>
        <v>0</v>
      </c>
      <c r="H2596" s="21">
        <f t="shared" ca="1" si="445"/>
        <v>7901.018478979634</v>
      </c>
      <c r="I2596" s="21">
        <f t="shared" ca="1" si="440"/>
        <v>7902.1264469073831</v>
      </c>
      <c r="J2596" s="20">
        <f t="shared" ca="1" si="449"/>
        <v>4</v>
      </c>
      <c r="K2596" s="20">
        <f t="shared" ca="1" si="441"/>
        <v>2</v>
      </c>
      <c r="L2596" s="44">
        <f t="shared" ca="1" si="446"/>
        <v>3</v>
      </c>
    </row>
    <row r="2597" spans="1:12" x14ac:dyDescent="0.25">
      <c r="A2597" s="20">
        <v>2589</v>
      </c>
      <c r="B2597" s="21">
        <f t="shared" ca="1" si="442"/>
        <v>1.3133057954972964</v>
      </c>
      <c r="C2597" s="21">
        <f t="shared" ca="1" si="447"/>
        <v>7892.0599160666034</v>
      </c>
      <c r="D2597" s="21">
        <f t="shared" ca="1" si="443"/>
        <v>0.42323302186029288</v>
      </c>
      <c r="E2597" s="21">
        <f t="shared" ca="1" si="450"/>
        <v>10.066530840779706</v>
      </c>
      <c r="F2597" s="20" t="str">
        <f t="shared" ca="1" si="448"/>
        <v>No</v>
      </c>
      <c r="G2597" s="21">
        <f t="shared" ca="1" si="444"/>
        <v>0</v>
      </c>
      <c r="H2597" s="21">
        <f t="shared" ca="1" si="445"/>
        <v>7902.1264469073831</v>
      </c>
      <c r="I2597" s="21">
        <f t="shared" ca="1" si="440"/>
        <v>7902.5496799292432</v>
      </c>
      <c r="J2597" s="20">
        <f t="shared" ca="1" si="449"/>
        <v>3</v>
      </c>
      <c r="K2597" s="20">
        <f t="shared" ca="1" si="441"/>
        <v>1</v>
      </c>
      <c r="L2597" s="44">
        <f t="shared" ca="1" si="446"/>
        <v>2</v>
      </c>
    </row>
    <row r="2598" spans="1:12" x14ac:dyDescent="0.25">
      <c r="A2598" s="20">
        <v>2590</v>
      </c>
      <c r="B2598" s="21">
        <f t="shared" ca="1" si="442"/>
        <v>4.79793952265622</v>
      </c>
      <c r="C2598" s="21">
        <f t="shared" ca="1" si="447"/>
        <v>7896.85785558926</v>
      </c>
      <c r="D2598" s="21">
        <f t="shared" ca="1" si="443"/>
        <v>0.48545986797847329</v>
      </c>
      <c r="E2598" s="21">
        <f t="shared" ca="1" si="450"/>
        <v>5.6918243399832136</v>
      </c>
      <c r="F2598" s="20" t="str">
        <f t="shared" ca="1" si="448"/>
        <v>No</v>
      </c>
      <c r="G2598" s="21">
        <f t="shared" ca="1" si="444"/>
        <v>0</v>
      </c>
      <c r="H2598" s="21">
        <f t="shared" ca="1" si="445"/>
        <v>7902.5496799292432</v>
      </c>
      <c r="I2598" s="21">
        <f t="shared" ca="1" si="440"/>
        <v>7903.0351397972217</v>
      </c>
      <c r="J2598" s="20">
        <f t="shared" ca="1" si="449"/>
        <v>2</v>
      </c>
      <c r="K2598" s="20">
        <f t="shared" ca="1" si="441"/>
        <v>0</v>
      </c>
      <c r="L2598" s="44">
        <f t="shared" ca="1" si="446"/>
        <v>1</v>
      </c>
    </row>
    <row r="2599" spans="1:12" x14ac:dyDescent="0.25">
      <c r="A2599" s="20">
        <v>2591</v>
      </c>
      <c r="B2599" s="21">
        <f t="shared" ca="1" si="442"/>
        <v>9.2460787008981971</v>
      </c>
      <c r="C2599" s="21">
        <f t="shared" ca="1" si="447"/>
        <v>7906.1039342901586</v>
      </c>
      <c r="D2599" s="21">
        <f t="shared" ca="1" si="443"/>
        <v>0.4805091239842309</v>
      </c>
      <c r="E2599" s="21">
        <f t="shared" ca="1" si="450"/>
        <v>0</v>
      </c>
      <c r="F2599" s="20" t="str">
        <f t="shared" ca="1" si="448"/>
        <v>Yes</v>
      </c>
      <c r="G2599" s="21">
        <f t="shared" ca="1" si="444"/>
        <v>3.0687944929368314</v>
      </c>
      <c r="H2599" s="21">
        <f t="shared" ca="1" si="445"/>
        <v>7906.1039342901586</v>
      </c>
      <c r="I2599" s="21">
        <f t="shared" ca="1" si="440"/>
        <v>7906.5844434141427</v>
      </c>
      <c r="J2599" s="20">
        <f t="shared" ca="1" si="449"/>
        <v>0</v>
      </c>
      <c r="K2599" s="20">
        <f t="shared" ca="1" si="441"/>
        <v>0</v>
      </c>
      <c r="L2599" s="44">
        <f t="shared" ca="1" si="446"/>
        <v>0</v>
      </c>
    </row>
    <row r="2600" spans="1:12" x14ac:dyDescent="0.25">
      <c r="A2600" s="20">
        <v>2592</v>
      </c>
      <c r="B2600" s="21">
        <f t="shared" ca="1" si="442"/>
        <v>3.16785060377675</v>
      </c>
      <c r="C2600" s="21">
        <f t="shared" ca="1" si="447"/>
        <v>7909.2717848939355</v>
      </c>
      <c r="D2600" s="21">
        <f t="shared" ca="1" si="443"/>
        <v>3.8184994567736354</v>
      </c>
      <c r="E2600" s="21">
        <f t="shared" ca="1" si="450"/>
        <v>0</v>
      </c>
      <c r="F2600" s="20" t="str">
        <f t="shared" ca="1" si="448"/>
        <v>Yes</v>
      </c>
      <c r="G2600" s="21">
        <f t="shared" ca="1" si="444"/>
        <v>2.687341479792849</v>
      </c>
      <c r="H2600" s="21">
        <f t="shared" ca="1" si="445"/>
        <v>7909.2717848939355</v>
      </c>
      <c r="I2600" s="21">
        <f t="shared" ca="1" si="440"/>
        <v>7913.0902843507092</v>
      </c>
      <c r="J2600" s="20">
        <f t="shared" ca="1" si="449"/>
        <v>0</v>
      </c>
      <c r="K2600" s="20">
        <f t="shared" ca="1" si="441"/>
        <v>1</v>
      </c>
      <c r="L2600" s="44">
        <f t="shared" ca="1" si="446"/>
        <v>0.5</v>
      </c>
    </row>
    <row r="2601" spans="1:12" x14ac:dyDescent="0.25">
      <c r="A2601" s="20">
        <v>2593</v>
      </c>
      <c r="B2601" s="21">
        <f t="shared" ca="1" si="442"/>
        <v>1.0218119476383039</v>
      </c>
      <c r="C2601" s="21">
        <f t="shared" ca="1" si="447"/>
        <v>7910.2935968415741</v>
      </c>
      <c r="D2601" s="21">
        <f t="shared" ca="1" si="443"/>
        <v>9.2109251855522114</v>
      </c>
      <c r="E2601" s="21">
        <f t="shared" ca="1" si="450"/>
        <v>2.796687509135154</v>
      </c>
      <c r="F2601" s="20" t="str">
        <f t="shared" ca="1" si="448"/>
        <v>No</v>
      </c>
      <c r="G2601" s="21">
        <f t="shared" ca="1" si="444"/>
        <v>0</v>
      </c>
      <c r="H2601" s="21">
        <f t="shared" ca="1" si="445"/>
        <v>7913.0902843507092</v>
      </c>
      <c r="I2601" s="21">
        <f t="shared" ca="1" si="440"/>
        <v>7922.301209536261</v>
      </c>
      <c r="J2601" s="20">
        <f t="shared" ca="1" si="449"/>
        <v>2</v>
      </c>
      <c r="K2601" s="20">
        <f t="shared" ca="1" si="441"/>
        <v>3</v>
      </c>
      <c r="L2601" s="44">
        <f t="shared" ca="1" si="446"/>
        <v>2.5</v>
      </c>
    </row>
    <row r="2602" spans="1:12" x14ac:dyDescent="0.25">
      <c r="A2602" s="20">
        <v>2594</v>
      </c>
      <c r="B2602" s="21">
        <f t="shared" ca="1" si="442"/>
        <v>4.4546786932941984</v>
      </c>
      <c r="C2602" s="21">
        <f t="shared" ca="1" si="447"/>
        <v>7914.7482755348683</v>
      </c>
      <c r="D2602" s="21">
        <f t="shared" ca="1" si="443"/>
        <v>1.6787083647952865</v>
      </c>
      <c r="E2602" s="21">
        <f t="shared" ca="1" si="450"/>
        <v>7.552934001392714</v>
      </c>
      <c r="F2602" s="20" t="str">
        <f t="shared" ca="1" si="448"/>
        <v>No</v>
      </c>
      <c r="G2602" s="21">
        <f t="shared" ca="1" si="444"/>
        <v>0</v>
      </c>
      <c r="H2602" s="21">
        <f t="shared" ca="1" si="445"/>
        <v>7922.301209536261</v>
      </c>
      <c r="I2602" s="21">
        <f t="shared" ca="1" si="440"/>
        <v>7923.9799179010561</v>
      </c>
      <c r="J2602" s="20">
        <f t="shared" ca="1" si="449"/>
        <v>4</v>
      </c>
      <c r="K2602" s="20">
        <f t="shared" ca="1" si="441"/>
        <v>3</v>
      </c>
      <c r="L2602" s="44">
        <f t="shared" ca="1" si="446"/>
        <v>3.5</v>
      </c>
    </row>
    <row r="2603" spans="1:12" x14ac:dyDescent="0.25">
      <c r="A2603" s="20">
        <v>2595</v>
      </c>
      <c r="B2603" s="21">
        <f t="shared" ca="1" si="442"/>
        <v>0.75845463327299589</v>
      </c>
      <c r="C2603" s="21">
        <f t="shared" ca="1" si="447"/>
        <v>7915.5067301681411</v>
      </c>
      <c r="D2603" s="21">
        <f t="shared" ca="1" si="443"/>
        <v>5.6218303350996424</v>
      </c>
      <c r="E2603" s="21">
        <f t="shared" ca="1" si="450"/>
        <v>8.4731877329149938</v>
      </c>
      <c r="F2603" s="20" t="str">
        <f t="shared" ca="1" si="448"/>
        <v>No</v>
      </c>
      <c r="G2603" s="21">
        <f t="shared" ca="1" si="444"/>
        <v>0</v>
      </c>
      <c r="H2603" s="21">
        <f t="shared" ca="1" si="445"/>
        <v>7923.9799179010561</v>
      </c>
      <c r="I2603" s="21">
        <f t="shared" ca="1" si="440"/>
        <v>7929.6017482361558</v>
      </c>
      <c r="J2603" s="20">
        <f t="shared" ca="1" si="449"/>
        <v>4</v>
      </c>
      <c r="K2603" s="20">
        <f t="shared" ca="1" si="441"/>
        <v>3</v>
      </c>
      <c r="L2603" s="44">
        <f t="shared" ca="1" si="446"/>
        <v>3.5</v>
      </c>
    </row>
    <row r="2604" spans="1:12" x14ac:dyDescent="0.25">
      <c r="A2604" s="20">
        <v>2596</v>
      </c>
      <c r="B2604" s="21">
        <f t="shared" ca="1" si="442"/>
        <v>4.5532829106536417</v>
      </c>
      <c r="C2604" s="21">
        <f t="shared" ca="1" si="447"/>
        <v>7920.0600130787943</v>
      </c>
      <c r="D2604" s="21">
        <f t="shared" ca="1" si="443"/>
        <v>2.337639768517052</v>
      </c>
      <c r="E2604" s="21">
        <f t="shared" ca="1" si="450"/>
        <v>9.5417351573614724</v>
      </c>
      <c r="F2604" s="20" t="str">
        <f t="shared" ca="1" si="448"/>
        <v>No</v>
      </c>
      <c r="G2604" s="21">
        <f t="shared" ca="1" si="444"/>
        <v>0</v>
      </c>
      <c r="H2604" s="21">
        <f t="shared" ca="1" si="445"/>
        <v>7929.6017482361558</v>
      </c>
      <c r="I2604" s="21">
        <f t="shared" ca="1" si="440"/>
        <v>7931.9393880046728</v>
      </c>
      <c r="J2604" s="20">
        <f t="shared" ca="1" si="449"/>
        <v>4</v>
      </c>
      <c r="K2604" s="20">
        <f t="shared" ca="1" si="441"/>
        <v>2</v>
      </c>
      <c r="L2604" s="44">
        <f t="shared" ca="1" si="446"/>
        <v>3</v>
      </c>
    </row>
    <row r="2605" spans="1:12" x14ac:dyDescent="0.25">
      <c r="A2605" s="20">
        <v>2597</v>
      </c>
      <c r="B2605" s="21">
        <f t="shared" ca="1" si="442"/>
        <v>2.7429243988777898</v>
      </c>
      <c r="C2605" s="21">
        <f t="shared" ca="1" si="447"/>
        <v>7922.8029374776725</v>
      </c>
      <c r="D2605" s="21">
        <f t="shared" ca="1" si="443"/>
        <v>2.1727379330457266</v>
      </c>
      <c r="E2605" s="21">
        <f t="shared" ca="1" si="450"/>
        <v>9.1364505270003065</v>
      </c>
      <c r="F2605" s="20" t="str">
        <f t="shared" ca="1" si="448"/>
        <v>No</v>
      </c>
      <c r="G2605" s="21">
        <f t="shared" ca="1" si="444"/>
        <v>0</v>
      </c>
      <c r="H2605" s="21">
        <f t="shared" ca="1" si="445"/>
        <v>7931.9393880046728</v>
      </c>
      <c r="I2605" s="21">
        <f t="shared" ca="1" si="440"/>
        <v>7934.1121259377187</v>
      </c>
      <c r="J2605" s="20">
        <f t="shared" ca="1" si="449"/>
        <v>3</v>
      </c>
      <c r="K2605" s="20">
        <f t="shared" ca="1" si="441"/>
        <v>1</v>
      </c>
      <c r="L2605" s="44">
        <f t="shared" ca="1" si="446"/>
        <v>2</v>
      </c>
    </row>
    <row r="2606" spans="1:12" x14ac:dyDescent="0.25">
      <c r="A2606" s="20">
        <v>2598</v>
      </c>
      <c r="B2606" s="21">
        <f t="shared" ca="1" si="442"/>
        <v>3.5260863141636185</v>
      </c>
      <c r="C2606" s="21">
        <f t="shared" ca="1" si="447"/>
        <v>7926.3290237918363</v>
      </c>
      <c r="D2606" s="21">
        <f t="shared" ca="1" si="443"/>
        <v>6.4284470519532055</v>
      </c>
      <c r="E2606" s="21">
        <f t="shared" ca="1" si="450"/>
        <v>7.783102145882367</v>
      </c>
      <c r="F2606" s="20" t="str">
        <f t="shared" ca="1" si="448"/>
        <v>No</v>
      </c>
      <c r="G2606" s="21">
        <f t="shared" ca="1" si="444"/>
        <v>0</v>
      </c>
      <c r="H2606" s="21">
        <f t="shared" ca="1" si="445"/>
        <v>7934.1121259377187</v>
      </c>
      <c r="I2606" s="21">
        <f t="shared" ca="1" si="440"/>
        <v>7940.540572989672</v>
      </c>
      <c r="J2606" s="20">
        <f t="shared" ca="1" si="449"/>
        <v>2</v>
      </c>
      <c r="K2606" s="20">
        <f t="shared" ca="1" si="441"/>
        <v>2</v>
      </c>
      <c r="L2606" s="44">
        <f t="shared" ca="1" si="446"/>
        <v>2</v>
      </c>
    </row>
    <row r="2607" spans="1:12" x14ac:dyDescent="0.25">
      <c r="A2607" s="20">
        <v>2599</v>
      </c>
      <c r="B2607" s="21">
        <f t="shared" ca="1" si="442"/>
        <v>9.3492075929961089</v>
      </c>
      <c r="C2607" s="21">
        <f t="shared" ca="1" si="447"/>
        <v>7935.6782313848325</v>
      </c>
      <c r="D2607" s="21">
        <f t="shared" ca="1" si="443"/>
        <v>8.9938108543291938E-3</v>
      </c>
      <c r="E2607" s="21">
        <f t="shared" ca="1" si="450"/>
        <v>4.8623416048394574</v>
      </c>
      <c r="F2607" s="20" t="str">
        <f t="shared" ca="1" si="448"/>
        <v>No</v>
      </c>
      <c r="G2607" s="21">
        <f t="shared" ca="1" si="444"/>
        <v>0</v>
      </c>
      <c r="H2607" s="21">
        <f t="shared" ca="1" si="445"/>
        <v>7940.540572989672</v>
      </c>
      <c r="I2607" s="21">
        <f t="shared" ca="1" si="440"/>
        <v>7940.549566800526</v>
      </c>
      <c r="J2607" s="20">
        <f t="shared" ca="1" si="449"/>
        <v>3</v>
      </c>
      <c r="K2607" s="20">
        <f t="shared" ca="1" si="441"/>
        <v>1</v>
      </c>
      <c r="L2607" s="44">
        <f t="shared" ca="1" si="446"/>
        <v>2</v>
      </c>
    </row>
    <row r="2608" spans="1:12" x14ac:dyDescent="0.25">
      <c r="A2608" s="20">
        <v>2600</v>
      </c>
      <c r="B2608" s="21">
        <f t="shared" ca="1" si="442"/>
        <v>3.7145181340368403</v>
      </c>
      <c r="C2608" s="21">
        <f t="shared" ca="1" si="447"/>
        <v>7939.3927495188691</v>
      </c>
      <c r="D2608" s="21">
        <f t="shared" ca="1" si="443"/>
        <v>1.4206973249598864</v>
      </c>
      <c r="E2608" s="21">
        <f t="shared" ca="1" si="450"/>
        <v>1.1568172816569131</v>
      </c>
      <c r="F2608" s="20" t="str">
        <f t="shared" ca="1" si="448"/>
        <v>No</v>
      </c>
      <c r="G2608" s="21">
        <f t="shared" ca="1" si="444"/>
        <v>0</v>
      </c>
      <c r="H2608" s="21">
        <f t="shared" ca="1" si="445"/>
        <v>7940.549566800526</v>
      </c>
      <c r="I2608" s="21">
        <f t="shared" ca="1" si="440"/>
        <v>7941.9702641254862</v>
      </c>
      <c r="J2608" s="20">
        <f t="shared" ca="1" si="449"/>
        <v>2</v>
      </c>
      <c r="K2608" s="20">
        <f t="shared" ca="1" si="441"/>
        <v>0</v>
      </c>
      <c r="L2608" s="44">
        <f t="shared" ca="1" si="446"/>
        <v>1</v>
      </c>
    </row>
    <row r="2609" spans="1:12" x14ac:dyDescent="0.25">
      <c r="A2609" s="20">
        <v>2601</v>
      </c>
      <c r="B2609" s="21">
        <f t="shared" ca="1" si="442"/>
        <v>4.1761871491380598</v>
      </c>
      <c r="C2609" s="21">
        <f t="shared" ca="1" si="447"/>
        <v>7943.5689366680072</v>
      </c>
      <c r="D2609" s="21">
        <f t="shared" ca="1" si="443"/>
        <v>0.13542378752922046</v>
      </c>
      <c r="E2609" s="21">
        <f t="shared" ca="1" si="450"/>
        <v>0</v>
      </c>
      <c r="F2609" s="20" t="str">
        <f t="shared" ca="1" si="448"/>
        <v>Yes</v>
      </c>
      <c r="G2609" s="21">
        <f t="shared" ca="1" si="444"/>
        <v>1.5986725425209443</v>
      </c>
      <c r="H2609" s="21">
        <f t="shared" ca="1" si="445"/>
        <v>7943.5689366680072</v>
      </c>
      <c r="I2609" s="21">
        <f t="shared" ca="1" si="440"/>
        <v>7943.7043604555365</v>
      </c>
      <c r="J2609" s="20">
        <f t="shared" ca="1" si="449"/>
        <v>0</v>
      </c>
      <c r="K2609" s="20">
        <f t="shared" ca="1" si="441"/>
        <v>0</v>
      </c>
      <c r="L2609" s="44">
        <f t="shared" ca="1" si="446"/>
        <v>0</v>
      </c>
    </row>
    <row r="2610" spans="1:12" x14ac:dyDescent="0.25">
      <c r="A2610" s="20">
        <v>2602</v>
      </c>
      <c r="B2610" s="21">
        <f t="shared" ca="1" si="442"/>
        <v>6.0266628754131037</v>
      </c>
      <c r="C2610" s="21">
        <f t="shared" ca="1" si="447"/>
        <v>7949.5955995434206</v>
      </c>
      <c r="D2610" s="21">
        <f t="shared" ca="1" si="443"/>
        <v>1.6901599618158165</v>
      </c>
      <c r="E2610" s="21">
        <f t="shared" ca="1" si="450"/>
        <v>0</v>
      </c>
      <c r="F2610" s="20" t="str">
        <f t="shared" ca="1" si="448"/>
        <v>Yes</v>
      </c>
      <c r="G2610" s="21">
        <f t="shared" ca="1" si="444"/>
        <v>5.8912390878840597</v>
      </c>
      <c r="H2610" s="21">
        <f t="shared" ca="1" si="445"/>
        <v>7949.5955995434206</v>
      </c>
      <c r="I2610" s="21">
        <f t="shared" ca="1" si="440"/>
        <v>7951.2857595052365</v>
      </c>
      <c r="J2610" s="20">
        <f t="shared" ca="1" si="449"/>
        <v>0</v>
      </c>
      <c r="K2610" s="20">
        <f t="shared" ca="1" si="441"/>
        <v>1</v>
      </c>
      <c r="L2610" s="44">
        <f t="shared" ca="1" si="446"/>
        <v>0.5</v>
      </c>
    </row>
    <row r="2611" spans="1:12" x14ac:dyDescent="0.25">
      <c r="A2611" s="20">
        <v>2603</v>
      </c>
      <c r="B2611" s="21">
        <f t="shared" ca="1" si="442"/>
        <v>0.71369273435405334</v>
      </c>
      <c r="C2611" s="21">
        <f t="shared" ca="1" si="447"/>
        <v>7950.3092922777751</v>
      </c>
      <c r="D2611" s="21">
        <f t="shared" ca="1" si="443"/>
        <v>0.63009764986249384</v>
      </c>
      <c r="E2611" s="21">
        <f t="shared" ca="1" si="450"/>
        <v>0.97646722746139858</v>
      </c>
      <c r="F2611" s="20" t="str">
        <f t="shared" ca="1" si="448"/>
        <v>No</v>
      </c>
      <c r="G2611" s="21">
        <f t="shared" ca="1" si="444"/>
        <v>0</v>
      </c>
      <c r="H2611" s="21">
        <f t="shared" ca="1" si="445"/>
        <v>7951.2857595052365</v>
      </c>
      <c r="I2611" s="21">
        <f t="shared" ca="1" si="440"/>
        <v>7951.9158571550988</v>
      </c>
      <c r="J2611" s="20">
        <f t="shared" ca="1" si="449"/>
        <v>2</v>
      </c>
      <c r="K2611" s="20">
        <f t="shared" ca="1" si="441"/>
        <v>0</v>
      </c>
      <c r="L2611" s="44">
        <f t="shared" ca="1" si="446"/>
        <v>1</v>
      </c>
    </row>
    <row r="2612" spans="1:12" x14ac:dyDescent="0.25">
      <c r="A2612" s="20">
        <v>2604</v>
      </c>
      <c r="B2612" s="21">
        <f t="shared" ca="1" si="442"/>
        <v>5.8476493398178739</v>
      </c>
      <c r="C2612" s="21">
        <f t="shared" ca="1" si="447"/>
        <v>7956.1569416175926</v>
      </c>
      <c r="D2612" s="21">
        <f t="shared" ca="1" si="443"/>
        <v>4.6842966842102474</v>
      </c>
      <c r="E2612" s="21">
        <f t="shared" ca="1" si="450"/>
        <v>0</v>
      </c>
      <c r="F2612" s="20" t="str">
        <f t="shared" ca="1" si="448"/>
        <v>Yes</v>
      </c>
      <c r="G2612" s="21">
        <f t="shared" ca="1" si="444"/>
        <v>4.2410844624937454</v>
      </c>
      <c r="H2612" s="21">
        <f t="shared" ca="1" si="445"/>
        <v>7956.1569416175926</v>
      </c>
      <c r="I2612" s="21">
        <f t="shared" ca="1" si="440"/>
        <v>7960.8412383018031</v>
      </c>
      <c r="J2612" s="20">
        <f t="shared" ca="1" si="449"/>
        <v>0</v>
      </c>
      <c r="K2612" s="20">
        <f t="shared" ca="1" si="441"/>
        <v>0</v>
      </c>
      <c r="L2612" s="44">
        <f t="shared" ca="1" si="446"/>
        <v>0</v>
      </c>
    </row>
    <row r="2613" spans="1:12" x14ac:dyDescent="0.25">
      <c r="A2613" s="20">
        <v>2605</v>
      </c>
      <c r="B2613" s="21">
        <f t="shared" ca="1" si="442"/>
        <v>6.483799349581143</v>
      </c>
      <c r="C2613" s="21">
        <f t="shared" ca="1" si="447"/>
        <v>7962.6407409671738</v>
      </c>
      <c r="D2613" s="21">
        <f t="shared" ca="1" si="443"/>
        <v>2.1821241487072962</v>
      </c>
      <c r="E2613" s="21">
        <f t="shared" ca="1" si="450"/>
        <v>0</v>
      </c>
      <c r="F2613" s="20" t="str">
        <f t="shared" ca="1" si="448"/>
        <v>Yes</v>
      </c>
      <c r="G2613" s="21">
        <f t="shared" ca="1" si="444"/>
        <v>1.79950266537071</v>
      </c>
      <c r="H2613" s="21">
        <f t="shared" ca="1" si="445"/>
        <v>7962.6407409671738</v>
      </c>
      <c r="I2613" s="21">
        <f t="shared" ca="1" si="440"/>
        <v>7964.8228651158806</v>
      </c>
      <c r="J2613" s="20">
        <f t="shared" ca="1" si="449"/>
        <v>0</v>
      </c>
      <c r="K2613" s="20">
        <f t="shared" ca="1" si="441"/>
        <v>0</v>
      </c>
      <c r="L2613" s="44">
        <f t="shared" ca="1" si="446"/>
        <v>0</v>
      </c>
    </row>
    <row r="2614" spans="1:12" x14ac:dyDescent="0.25">
      <c r="A2614" s="20">
        <v>2606</v>
      </c>
      <c r="B2614" s="21">
        <f t="shared" ca="1" si="442"/>
        <v>3.9386033382557253</v>
      </c>
      <c r="C2614" s="21">
        <f t="shared" ca="1" si="447"/>
        <v>7966.5793443054299</v>
      </c>
      <c r="D2614" s="21">
        <f t="shared" ca="1" si="443"/>
        <v>2.3570391725474185</v>
      </c>
      <c r="E2614" s="21">
        <f t="shared" ca="1" si="450"/>
        <v>0</v>
      </c>
      <c r="F2614" s="20" t="str">
        <f t="shared" ca="1" si="448"/>
        <v>Yes</v>
      </c>
      <c r="G2614" s="21">
        <f t="shared" ca="1" si="444"/>
        <v>1.7564791895492817</v>
      </c>
      <c r="H2614" s="21">
        <f t="shared" ca="1" si="445"/>
        <v>7966.5793443054299</v>
      </c>
      <c r="I2614" s="21">
        <f t="shared" ca="1" si="440"/>
        <v>7968.936383477977</v>
      </c>
      <c r="J2614" s="20">
        <f t="shared" ca="1" si="449"/>
        <v>0</v>
      </c>
      <c r="K2614" s="20">
        <f t="shared" ca="1" si="441"/>
        <v>1</v>
      </c>
      <c r="L2614" s="44">
        <f t="shared" ca="1" si="446"/>
        <v>0.5</v>
      </c>
    </row>
    <row r="2615" spans="1:12" x14ac:dyDescent="0.25">
      <c r="A2615" s="20">
        <v>2607</v>
      </c>
      <c r="B2615" s="21">
        <f t="shared" ca="1" si="442"/>
        <v>1.3622747203846304</v>
      </c>
      <c r="C2615" s="21">
        <f t="shared" ca="1" si="447"/>
        <v>7967.9416190258144</v>
      </c>
      <c r="D2615" s="21">
        <f t="shared" ca="1" si="443"/>
        <v>1.8207994683814939</v>
      </c>
      <c r="E2615" s="21">
        <f t="shared" ca="1" si="450"/>
        <v>0.9947644521625989</v>
      </c>
      <c r="F2615" s="20" t="str">
        <f t="shared" ca="1" si="448"/>
        <v>No</v>
      </c>
      <c r="G2615" s="21">
        <f t="shared" ca="1" si="444"/>
        <v>0</v>
      </c>
      <c r="H2615" s="21">
        <f t="shared" ca="1" si="445"/>
        <v>7968.936383477977</v>
      </c>
      <c r="I2615" s="21">
        <f t="shared" ca="1" si="440"/>
        <v>7970.7571829463586</v>
      </c>
      <c r="J2615" s="20">
        <f t="shared" ca="1" si="449"/>
        <v>2</v>
      </c>
      <c r="K2615" s="20">
        <f t="shared" ca="1" si="441"/>
        <v>0</v>
      </c>
      <c r="L2615" s="44">
        <f t="shared" ca="1" si="446"/>
        <v>1</v>
      </c>
    </row>
    <row r="2616" spans="1:12" x14ac:dyDescent="0.25">
      <c r="A2616" s="20">
        <v>2608</v>
      </c>
      <c r="B2616" s="21">
        <f t="shared" ca="1" si="442"/>
        <v>3.5952631365083625</v>
      </c>
      <c r="C2616" s="21">
        <f t="shared" ca="1" si="447"/>
        <v>7971.5368821623224</v>
      </c>
      <c r="D2616" s="21">
        <f t="shared" ca="1" si="443"/>
        <v>2.4808413529011926</v>
      </c>
      <c r="E2616" s="21">
        <f t="shared" ca="1" si="450"/>
        <v>0</v>
      </c>
      <c r="F2616" s="20" t="str">
        <f t="shared" ca="1" si="448"/>
        <v>Yes</v>
      </c>
      <c r="G2616" s="21">
        <f t="shared" ca="1" si="444"/>
        <v>0.7796992159637739</v>
      </c>
      <c r="H2616" s="21">
        <f t="shared" ca="1" si="445"/>
        <v>7971.5368821623224</v>
      </c>
      <c r="I2616" s="21">
        <f t="shared" ca="1" si="440"/>
        <v>7974.0177235152232</v>
      </c>
      <c r="J2616" s="20">
        <f t="shared" ca="1" si="449"/>
        <v>0</v>
      </c>
      <c r="K2616" s="20">
        <f t="shared" ca="1" si="441"/>
        <v>1</v>
      </c>
      <c r="L2616" s="44">
        <f t="shared" ca="1" si="446"/>
        <v>0.5</v>
      </c>
    </row>
    <row r="2617" spans="1:12" x14ac:dyDescent="0.25">
      <c r="A2617" s="20">
        <v>2609</v>
      </c>
      <c r="B2617" s="21">
        <f t="shared" ca="1" si="442"/>
        <v>1.3545560708122677</v>
      </c>
      <c r="C2617" s="21">
        <f t="shared" ca="1" si="447"/>
        <v>7972.891438233135</v>
      </c>
      <c r="D2617" s="21">
        <f t="shared" ca="1" si="443"/>
        <v>0.82816328378268989</v>
      </c>
      <c r="E2617" s="21">
        <f t="shared" ca="1" si="450"/>
        <v>1.1262852820882472</v>
      </c>
      <c r="F2617" s="20" t="str">
        <f t="shared" ca="1" si="448"/>
        <v>No</v>
      </c>
      <c r="G2617" s="21">
        <f t="shared" ca="1" si="444"/>
        <v>0</v>
      </c>
      <c r="H2617" s="21">
        <f t="shared" ca="1" si="445"/>
        <v>7974.0177235152232</v>
      </c>
      <c r="I2617" s="21">
        <f t="shared" ca="1" si="440"/>
        <v>7974.8458867990057</v>
      </c>
      <c r="J2617" s="20">
        <f t="shared" ca="1" si="449"/>
        <v>2</v>
      </c>
      <c r="K2617" s="20">
        <f t="shared" ca="1" si="441"/>
        <v>0</v>
      </c>
      <c r="L2617" s="44">
        <f t="shared" ca="1" si="446"/>
        <v>1</v>
      </c>
    </row>
    <row r="2618" spans="1:12" x14ac:dyDescent="0.25">
      <c r="A2618" s="20">
        <v>2610</v>
      </c>
      <c r="B2618" s="21">
        <f t="shared" ca="1" si="442"/>
        <v>11.350033795937238</v>
      </c>
      <c r="C2618" s="21">
        <f t="shared" ca="1" si="447"/>
        <v>7984.2414720290726</v>
      </c>
      <c r="D2618" s="21">
        <f t="shared" ca="1" si="443"/>
        <v>1.4125312363116771</v>
      </c>
      <c r="E2618" s="21">
        <f t="shared" ca="1" si="450"/>
        <v>0</v>
      </c>
      <c r="F2618" s="20" t="str">
        <f t="shared" ca="1" si="448"/>
        <v>Yes</v>
      </c>
      <c r="G2618" s="21">
        <f t="shared" ca="1" si="444"/>
        <v>9.3955852300668994</v>
      </c>
      <c r="H2618" s="21">
        <f t="shared" ca="1" si="445"/>
        <v>7984.2414720290726</v>
      </c>
      <c r="I2618" s="21">
        <f t="shared" ca="1" si="440"/>
        <v>7985.6540032653838</v>
      </c>
      <c r="J2618" s="20">
        <f t="shared" ca="1" si="449"/>
        <v>0</v>
      </c>
      <c r="K2618" s="20">
        <f t="shared" ca="1" si="441"/>
        <v>0</v>
      </c>
      <c r="L2618" s="44">
        <f t="shared" ca="1" si="446"/>
        <v>0</v>
      </c>
    </row>
    <row r="2619" spans="1:12" x14ac:dyDescent="0.25">
      <c r="A2619" s="20">
        <v>2611</v>
      </c>
      <c r="B2619" s="21">
        <f t="shared" ca="1" si="442"/>
        <v>2.1569710651539991</v>
      </c>
      <c r="C2619" s="21">
        <f t="shared" ca="1" si="447"/>
        <v>7986.3984430942264</v>
      </c>
      <c r="D2619" s="21">
        <f t="shared" ca="1" si="443"/>
        <v>2.4178367279556054</v>
      </c>
      <c r="E2619" s="21">
        <f t="shared" ca="1" si="450"/>
        <v>0</v>
      </c>
      <c r="F2619" s="20" t="str">
        <f t="shared" ca="1" si="448"/>
        <v>Yes</v>
      </c>
      <c r="G2619" s="21">
        <f t="shared" ca="1" si="444"/>
        <v>0.7444398288425873</v>
      </c>
      <c r="H2619" s="21">
        <f t="shared" ca="1" si="445"/>
        <v>7986.3984430942264</v>
      </c>
      <c r="I2619" s="21">
        <f t="shared" ca="1" si="440"/>
        <v>7988.816279822182</v>
      </c>
      <c r="J2619" s="20">
        <f t="shared" ca="1" si="449"/>
        <v>0</v>
      </c>
      <c r="K2619" s="20">
        <f t="shared" ca="1" si="441"/>
        <v>2</v>
      </c>
      <c r="L2619" s="44">
        <f t="shared" ca="1" si="446"/>
        <v>1</v>
      </c>
    </row>
    <row r="2620" spans="1:12" x14ac:dyDescent="0.25">
      <c r="A2620" s="20">
        <v>2612</v>
      </c>
      <c r="B2620" s="21">
        <f t="shared" ca="1" si="442"/>
        <v>4.329396030700023E-2</v>
      </c>
      <c r="C2620" s="21">
        <f t="shared" ca="1" si="447"/>
        <v>7986.4417370545334</v>
      </c>
      <c r="D2620" s="21">
        <f t="shared" ca="1" si="443"/>
        <v>1.7190009910817095</v>
      </c>
      <c r="E2620" s="21">
        <f t="shared" ca="1" si="450"/>
        <v>2.3745427676485633</v>
      </c>
      <c r="F2620" s="20" t="str">
        <f t="shared" ca="1" si="448"/>
        <v>No</v>
      </c>
      <c r="G2620" s="21">
        <f t="shared" ca="1" si="444"/>
        <v>0</v>
      </c>
      <c r="H2620" s="21">
        <f t="shared" ca="1" si="445"/>
        <v>7988.816279822182</v>
      </c>
      <c r="I2620" s="21">
        <f t="shared" ca="1" si="440"/>
        <v>7990.5352808132639</v>
      </c>
      <c r="J2620" s="20">
        <f t="shared" ca="1" si="449"/>
        <v>3</v>
      </c>
      <c r="K2620" s="20">
        <f t="shared" ca="1" si="441"/>
        <v>3</v>
      </c>
      <c r="L2620" s="44">
        <f t="shared" ca="1" si="446"/>
        <v>3</v>
      </c>
    </row>
    <row r="2621" spans="1:12" x14ac:dyDescent="0.25">
      <c r="A2621" s="20">
        <v>2613</v>
      </c>
      <c r="B2621" s="21">
        <f t="shared" ca="1" si="442"/>
        <v>2.1438557362153228</v>
      </c>
      <c r="C2621" s="21">
        <f t="shared" ca="1" si="447"/>
        <v>7988.5855927907487</v>
      </c>
      <c r="D2621" s="21">
        <f t="shared" ca="1" si="443"/>
        <v>1.0831720638543301</v>
      </c>
      <c r="E2621" s="21">
        <f t="shared" ca="1" si="450"/>
        <v>1.9496880225151472</v>
      </c>
      <c r="F2621" s="20" t="str">
        <f t="shared" ca="1" si="448"/>
        <v>No</v>
      </c>
      <c r="G2621" s="21">
        <f t="shared" ca="1" si="444"/>
        <v>0</v>
      </c>
      <c r="H2621" s="21">
        <f t="shared" ca="1" si="445"/>
        <v>7990.5352808132639</v>
      </c>
      <c r="I2621" s="21">
        <f t="shared" ca="1" si="440"/>
        <v>7991.6184528771182</v>
      </c>
      <c r="J2621" s="20">
        <f t="shared" ca="1" si="449"/>
        <v>4</v>
      </c>
      <c r="K2621" s="20">
        <f t="shared" ca="1" si="441"/>
        <v>2</v>
      </c>
      <c r="L2621" s="44">
        <f t="shared" ca="1" si="446"/>
        <v>3</v>
      </c>
    </row>
    <row r="2622" spans="1:12" x14ac:dyDescent="0.25">
      <c r="A2622" s="20">
        <v>2614</v>
      </c>
      <c r="B2622" s="21">
        <f t="shared" ca="1" si="442"/>
        <v>0.85210539172259503</v>
      </c>
      <c r="C2622" s="21">
        <f t="shared" ca="1" si="447"/>
        <v>7989.4376981824716</v>
      </c>
      <c r="D2622" s="21">
        <f t="shared" ca="1" si="443"/>
        <v>5.976853005528536</v>
      </c>
      <c r="E2622" s="21">
        <f t="shared" ca="1" si="450"/>
        <v>2.1807546946465663</v>
      </c>
      <c r="F2622" s="20" t="str">
        <f t="shared" ca="1" si="448"/>
        <v>No</v>
      </c>
      <c r="G2622" s="21">
        <f t="shared" ca="1" si="444"/>
        <v>0</v>
      </c>
      <c r="H2622" s="21">
        <f t="shared" ca="1" si="445"/>
        <v>7991.6184528771182</v>
      </c>
      <c r="I2622" s="21">
        <f t="shared" ca="1" si="440"/>
        <v>7997.5953058826472</v>
      </c>
      <c r="J2622" s="20">
        <f t="shared" ca="1" si="449"/>
        <v>3</v>
      </c>
      <c r="K2622" s="20">
        <f t="shared" ca="1" si="441"/>
        <v>2</v>
      </c>
      <c r="L2622" s="44">
        <f t="shared" ca="1" si="446"/>
        <v>2.5</v>
      </c>
    </row>
    <row r="2623" spans="1:12" x14ac:dyDescent="0.25">
      <c r="A2623" s="20">
        <v>2615</v>
      </c>
      <c r="B2623" s="21">
        <f t="shared" ca="1" si="442"/>
        <v>0.8712136918635599</v>
      </c>
      <c r="C2623" s="21">
        <f t="shared" ca="1" si="447"/>
        <v>7990.3089118743355</v>
      </c>
      <c r="D2623" s="21">
        <f t="shared" ca="1" si="443"/>
        <v>0.18873298760924778</v>
      </c>
      <c r="E2623" s="21">
        <f t="shared" ca="1" si="450"/>
        <v>7.2863940083116177</v>
      </c>
      <c r="F2623" s="20" t="str">
        <f t="shared" ca="1" si="448"/>
        <v>No</v>
      </c>
      <c r="G2623" s="21">
        <f t="shared" ca="1" si="444"/>
        <v>0</v>
      </c>
      <c r="H2623" s="21">
        <f t="shared" ca="1" si="445"/>
        <v>7997.5953058826472</v>
      </c>
      <c r="I2623" s="21">
        <f t="shared" ca="1" si="440"/>
        <v>7997.7840388702562</v>
      </c>
      <c r="J2623" s="20">
        <f t="shared" ca="1" si="449"/>
        <v>3</v>
      </c>
      <c r="K2623" s="20">
        <f t="shared" ca="1" si="441"/>
        <v>1</v>
      </c>
      <c r="L2623" s="44">
        <f t="shared" ca="1" si="446"/>
        <v>2</v>
      </c>
    </row>
    <row r="2624" spans="1:12" x14ac:dyDescent="0.25">
      <c r="A2624" s="20">
        <v>2616</v>
      </c>
      <c r="B2624" s="21">
        <f t="shared" ca="1" si="442"/>
        <v>2.8589357493659588</v>
      </c>
      <c r="C2624" s="21">
        <f t="shared" ca="1" si="447"/>
        <v>7993.1678476237012</v>
      </c>
      <c r="D2624" s="21">
        <f t="shared" ca="1" si="443"/>
        <v>6.9796897461842455</v>
      </c>
      <c r="E2624" s="21">
        <f t="shared" ca="1" si="450"/>
        <v>4.6161912465549904</v>
      </c>
      <c r="F2624" s="20" t="str">
        <f t="shared" ca="1" si="448"/>
        <v>No</v>
      </c>
      <c r="G2624" s="21">
        <f t="shared" ca="1" si="444"/>
        <v>0</v>
      </c>
      <c r="H2624" s="21">
        <f t="shared" ca="1" si="445"/>
        <v>7997.7840388702562</v>
      </c>
      <c r="I2624" s="21">
        <f t="shared" ca="1" si="440"/>
        <v>8004.7637286164399</v>
      </c>
      <c r="J2624" s="20">
        <f t="shared" ca="1" si="449"/>
        <v>2</v>
      </c>
      <c r="K2624" s="20">
        <f t="shared" ca="1" si="441"/>
        <v>1</v>
      </c>
      <c r="L2624" s="44">
        <f t="shared" ca="1" si="446"/>
        <v>1.5</v>
      </c>
    </row>
    <row r="2625" spans="1:12" x14ac:dyDescent="0.25">
      <c r="A2625" s="20">
        <v>2617</v>
      </c>
      <c r="B2625" s="21">
        <f t="shared" ca="1" si="442"/>
        <v>9.0689187092526939</v>
      </c>
      <c r="C2625" s="21">
        <f t="shared" ca="1" si="447"/>
        <v>8002.2367663329542</v>
      </c>
      <c r="D2625" s="21">
        <f t="shared" ca="1" si="443"/>
        <v>1.5386919266388535</v>
      </c>
      <c r="E2625" s="21">
        <f t="shared" ca="1" si="450"/>
        <v>2.5269622834857728</v>
      </c>
      <c r="F2625" s="20" t="str">
        <f t="shared" ca="1" si="448"/>
        <v>No</v>
      </c>
      <c r="G2625" s="21">
        <f t="shared" ca="1" si="444"/>
        <v>0</v>
      </c>
      <c r="H2625" s="21">
        <f t="shared" ca="1" si="445"/>
        <v>8004.7637286164399</v>
      </c>
      <c r="I2625" s="21">
        <f t="shared" ca="1" si="440"/>
        <v>8006.3024205430784</v>
      </c>
      <c r="J2625" s="20">
        <f t="shared" ca="1" si="449"/>
        <v>2</v>
      </c>
      <c r="K2625" s="20">
        <f t="shared" ca="1" si="441"/>
        <v>1</v>
      </c>
      <c r="L2625" s="44">
        <f t="shared" ca="1" si="446"/>
        <v>1.5</v>
      </c>
    </row>
    <row r="2626" spans="1:12" x14ac:dyDescent="0.25">
      <c r="A2626" s="20">
        <v>2618</v>
      </c>
      <c r="B2626" s="21">
        <f t="shared" ca="1" si="442"/>
        <v>3.8881990120866092</v>
      </c>
      <c r="C2626" s="21">
        <f t="shared" ca="1" si="447"/>
        <v>8006.1249653450404</v>
      </c>
      <c r="D2626" s="21">
        <f t="shared" ca="1" si="443"/>
        <v>2.1710127906121075</v>
      </c>
      <c r="E2626" s="21">
        <f t="shared" ca="1" si="450"/>
        <v>0.17745519803793286</v>
      </c>
      <c r="F2626" s="20" t="str">
        <f t="shared" ca="1" si="448"/>
        <v>No</v>
      </c>
      <c r="G2626" s="21">
        <f t="shared" ca="1" si="444"/>
        <v>0</v>
      </c>
      <c r="H2626" s="21">
        <f t="shared" ca="1" si="445"/>
        <v>8006.3024205430784</v>
      </c>
      <c r="I2626" s="21">
        <f t="shared" ca="1" si="440"/>
        <v>8008.4734333336901</v>
      </c>
      <c r="J2626" s="20">
        <f t="shared" ca="1" si="449"/>
        <v>2</v>
      </c>
      <c r="K2626" s="20">
        <f t="shared" ca="1" si="441"/>
        <v>0</v>
      </c>
      <c r="L2626" s="44">
        <f t="shared" ca="1" si="446"/>
        <v>1</v>
      </c>
    </row>
    <row r="2627" spans="1:12" x14ac:dyDescent="0.25">
      <c r="A2627" s="20">
        <v>2619</v>
      </c>
      <c r="B2627" s="21">
        <f t="shared" ca="1" si="442"/>
        <v>3.0919138013773448</v>
      </c>
      <c r="C2627" s="21">
        <f t="shared" ca="1" si="447"/>
        <v>8009.2168791464173</v>
      </c>
      <c r="D2627" s="21">
        <f t="shared" ca="1" si="443"/>
        <v>7.0305697373020308</v>
      </c>
      <c r="E2627" s="21">
        <f t="shared" ca="1" si="450"/>
        <v>0</v>
      </c>
      <c r="F2627" s="20" t="str">
        <f t="shared" ca="1" si="448"/>
        <v>Yes</v>
      </c>
      <c r="G2627" s="21">
        <f t="shared" ca="1" si="444"/>
        <v>0.74344581272725918</v>
      </c>
      <c r="H2627" s="21">
        <f t="shared" ca="1" si="445"/>
        <v>8009.2168791464173</v>
      </c>
      <c r="I2627" s="21">
        <f t="shared" ca="1" si="440"/>
        <v>8016.2474488837197</v>
      </c>
      <c r="J2627" s="20">
        <f t="shared" ca="1" si="449"/>
        <v>0</v>
      </c>
      <c r="K2627" s="20">
        <f t="shared" ca="1" si="441"/>
        <v>2</v>
      </c>
      <c r="L2627" s="44">
        <f t="shared" ca="1" si="446"/>
        <v>1</v>
      </c>
    </row>
    <row r="2628" spans="1:12" x14ac:dyDescent="0.25">
      <c r="A2628" s="20">
        <v>2620</v>
      </c>
      <c r="B2628" s="21">
        <f t="shared" ca="1" si="442"/>
        <v>0.7160027673576741</v>
      </c>
      <c r="C2628" s="21">
        <f t="shared" ca="1" si="447"/>
        <v>8009.9328819137754</v>
      </c>
      <c r="D2628" s="21">
        <f t="shared" ca="1" si="443"/>
        <v>0.19001568999633281</v>
      </c>
      <c r="E2628" s="21">
        <f t="shared" ca="1" si="450"/>
        <v>6.3145669699442806</v>
      </c>
      <c r="F2628" s="20" t="str">
        <f t="shared" ca="1" si="448"/>
        <v>No</v>
      </c>
      <c r="G2628" s="21">
        <f t="shared" ca="1" si="444"/>
        <v>0</v>
      </c>
      <c r="H2628" s="21">
        <f t="shared" ca="1" si="445"/>
        <v>8016.2474488837197</v>
      </c>
      <c r="I2628" s="21">
        <f t="shared" ca="1" si="440"/>
        <v>8016.4374645737162</v>
      </c>
      <c r="J2628" s="20">
        <f t="shared" ca="1" si="449"/>
        <v>3</v>
      </c>
      <c r="K2628" s="20">
        <f t="shared" ca="1" si="441"/>
        <v>1</v>
      </c>
      <c r="L2628" s="44">
        <f t="shared" ca="1" si="446"/>
        <v>2</v>
      </c>
    </row>
    <row r="2629" spans="1:12" x14ac:dyDescent="0.25">
      <c r="A2629" s="20">
        <v>2621</v>
      </c>
      <c r="B2629" s="21">
        <f t="shared" ca="1" si="442"/>
        <v>3.1743350225714684</v>
      </c>
      <c r="C2629" s="21">
        <f t="shared" ca="1" si="447"/>
        <v>8013.107216936347</v>
      </c>
      <c r="D2629" s="21">
        <f t="shared" ca="1" si="443"/>
        <v>0.79988720217209541</v>
      </c>
      <c r="E2629" s="21">
        <f t="shared" ca="1" si="450"/>
        <v>3.3302476373692116</v>
      </c>
      <c r="F2629" s="20" t="str">
        <f t="shared" ca="1" si="448"/>
        <v>No</v>
      </c>
      <c r="G2629" s="21">
        <f t="shared" ca="1" si="444"/>
        <v>0</v>
      </c>
      <c r="H2629" s="21">
        <f t="shared" ca="1" si="445"/>
        <v>8016.4374645737162</v>
      </c>
      <c r="I2629" s="21">
        <f t="shared" ca="1" si="440"/>
        <v>8017.2373517758879</v>
      </c>
      <c r="J2629" s="20">
        <f t="shared" ca="1" si="449"/>
        <v>2</v>
      </c>
      <c r="K2629" s="20">
        <f t="shared" ca="1" si="441"/>
        <v>0</v>
      </c>
      <c r="L2629" s="44">
        <f t="shared" ca="1" si="446"/>
        <v>1</v>
      </c>
    </row>
    <row r="2630" spans="1:12" x14ac:dyDescent="0.25">
      <c r="A2630" s="20">
        <v>2622</v>
      </c>
      <c r="B2630" s="21">
        <f t="shared" ca="1" si="442"/>
        <v>5.9387270968454313</v>
      </c>
      <c r="C2630" s="21">
        <f t="shared" ca="1" si="447"/>
        <v>8019.0459440331924</v>
      </c>
      <c r="D2630" s="21">
        <f t="shared" ca="1" si="443"/>
        <v>5.9803384022620625</v>
      </c>
      <c r="E2630" s="21">
        <f t="shared" ca="1" si="450"/>
        <v>0</v>
      </c>
      <c r="F2630" s="20" t="str">
        <f t="shared" ca="1" si="448"/>
        <v>Yes</v>
      </c>
      <c r="G2630" s="21">
        <f t="shared" ca="1" si="444"/>
        <v>1.8085922573045536</v>
      </c>
      <c r="H2630" s="21">
        <f t="shared" ca="1" si="445"/>
        <v>8019.0459440331924</v>
      </c>
      <c r="I2630" s="21">
        <f t="shared" ca="1" si="440"/>
        <v>8025.026282435454</v>
      </c>
      <c r="J2630" s="20">
        <f t="shared" ca="1" si="449"/>
        <v>0</v>
      </c>
      <c r="K2630" s="20">
        <f t="shared" ca="1" si="441"/>
        <v>1</v>
      </c>
      <c r="L2630" s="44">
        <f t="shared" ca="1" si="446"/>
        <v>0.5</v>
      </c>
    </row>
    <row r="2631" spans="1:12" x14ac:dyDescent="0.25">
      <c r="A2631" s="20">
        <v>2623</v>
      </c>
      <c r="B2631" s="21">
        <f t="shared" ca="1" si="442"/>
        <v>3.7389372366652012</v>
      </c>
      <c r="C2631" s="21">
        <f t="shared" ca="1" si="447"/>
        <v>8022.7848812698576</v>
      </c>
      <c r="D2631" s="21">
        <f t="shared" ca="1" si="443"/>
        <v>12.735701844538154</v>
      </c>
      <c r="E2631" s="21">
        <f t="shared" ca="1" si="450"/>
        <v>2.2414011655964714</v>
      </c>
      <c r="F2631" s="20" t="str">
        <f t="shared" ca="1" si="448"/>
        <v>No</v>
      </c>
      <c r="G2631" s="21">
        <f t="shared" ca="1" si="444"/>
        <v>0</v>
      </c>
      <c r="H2631" s="21">
        <f t="shared" ca="1" si="445"/>
        <v>8025.026282435454</v>
      </c>
      <c r="I2631" s="21">
        <f t="shared" ca="1" si="440"/>
        <v>8037.7619842799922</v>
      </c>
      <c r="J2631" s="20">
        <f t="shared" ca="1" si="449"/>
        <v>2</v>
      </c>
      <c r="K2631" s="20">
        <f t="shared" ca="1" si="441"/>
        <v>5</v>
      </c>
      <c r="L2631" s="44">
        <f t="shared" ca="1" si="446"/>
        <v>3.5</v>
      </c>
    </row>
    <row r="2632" spans="1:12" x14ac:dyDescent="0.25">
      <c r="A2632" s="20">
        <v>2624</v>
      </c>
      <c r="B2632" s="21">
        <f t="shared" ca="1" si="442"/>
        <v>3.3587113339653221</v>
      </c>
      <c r="C2632" s="21">
        <f t="shared" ca="1" si="447"/>
        <v>8026.143592603823</v>
      </c>
      <c r="D2632" s="21">
        <f t="shared" ca="1" si="443"/>
        <v>2.214884990448078E-2</v>
      </c>
      <c r="E2632" s="21">
        <f t="shared" ca="1" si="450"/>
        <v>11.618391676169267</v>
      </c>
      <c r="F2632" s="20" t="str">
        <f t="shared" ca="1" si="448"/>
        <v>No</v>
      </c>
      <c r="G2632" s="21">
        <f t="shared" ca="1" si="444"/>
        <v>0</v>
      </c>
      <c r="H2632" s="21">
        <f t="shared" ca="1" si="445"/>
        <v>8037.7619842799922</v>
      </c>
      <c r="I2632" s="21">
        <f t="shared" ca="1" si="440"/>
        <v>8037.7841331298969</v>
      </c>
      <c r="J2632" s="20">
        <f t="shared" ca="1" si="449"/>
        <v>6</v>
      </c>
      <c r="K2632" s="20">
        <f t="shared" ca="1" si="441"/>
        <v>4</v>
      </c>
      <c r="L2632" s="44">
        <f t="shared" ca="1" si="446"/>
        <v>5</v>
      </c>
    </row>
    <row r="2633" spans="1:12" x14ac:dyDescent="0.25">
      <c r="A2633" s="20">
        <v>2625</v>
      </c>
      <c r="B2633" s="21">
        <f t="shared" ca="1" si="442"/>
        <v>0.7952518889888569</v>
      </c>
      <c r="C2633" s="21">
        <f t="shared" ca="1" si="447"/>
        <v>8026.9388444928118</v>
      </c>
      <c r="D2633" s="21">
        <f t="shared" ca="1" si="443"/>
        <v>1.2224976126225295</v>
      </c>
      <c r="E2633" s="21">
        <f t="shared" ca="1" si="450"/>
        <v>10.845288637085105</v>
      </c>
      <c r="F2633" s="20" t="str">
        <f t="shared" ca="1" si="448"/>
        <v>No</v>
      </c>
      <c r="G2633" s="21">
        <f t="shared" ca="1" si="444"/>
        <v>0</v>
      </c>
      <c r="H2633" s="21">
        <f t="shared" ca="1" si="445"/>
        <v>8037.7841331298969</v>
      </c>
      <c r="I2633" s="21">
        <f t="shared" ref="I2633:I2696" ca="1" si="451">$H2633+$D2633</f>
        <v>8039.0066307425195</v>
      </c>
      <c r="J2633" s="20">
        <f t="shared" ca="1" si="449"/>
        <v>5</v>
      </c>
      <c r="K2633" s="20">
        <f t="shared" ref="K2633:K2696" ca="1" si="452">IF($I2633&lt;=$C2634,0,IF($I2633&lt;=$C2635,1,IF($I2633&lt;=$C2636,2,IF($I2633&lt;=$C2637,3,IF($I2633&lt;=$C2638,4,5)))))</f>
        <v>3</v>
      </c>
      <c r="L2633" s="44">
        <f t="shared" ca="1" si="446"/>
        <v>4</v>
      </c>
    </row>
    <row r="2634" spans="1:12" x14ac:dyDescent="0.25">
      <c r="A2634" s="20">
        <v>2626</v>
      </c>
      <c r="B2634" s="21">
        <f t="shared" ref="B2634:B2697" ca="1" si="453">-LN(RAND())/$D$4</f>
        <v>1.4936280233986132</v>
      </c>
      <c r="C2634" s="21">
        <f t="shared" ca="1" si="447"/>
        <v>8028.4324725162105</v>
      </c>
      <c r="D2634" s="21">
        <f t="shared" ref="D2634:D2697" ca="1" si="454">-LN(RAND())/$D$6</f>
        <v>0.9487051345870875</v>
      </c>
      <c r="E2634" s="21">
        <f t="shared" ca="1" si="450"/>
        <v>10.574158226309009</v>
      </c>
      <c r="F2634" s="20" t="str">
        <f t="shared" ca="1" si="448"/>
        <v>No</v>
      </c>
      <c r="G2634" s="21">
        <f t="shared" ref="G2634:G2697" ca="1" si="455">IF($I2633&lt;=$C2634,$C2634-$I2633,0)</f>
        <v>0</v>
      </c>
      <c r="H2634" s="21">
        <f t="shared" ref="H2634:H2697" ca="1" si="456">IF($I2633&lt;=$C2634,$C2634,$I2633)</f>
        <v>8039.0066307425195</v>
      </c>
      <c r="I2634" s="21">
        <f t="shared" ca="1" si="451"/>
        <v>8039.9553358771063</v>
      </c>
      <c r="J2634" s="20">
        <f t="shared" ca="1" si="449"/>
        <v>4</v>
      </c>
      <c r="K2634" s="20">
        <f t="shared" ca="1" si="452"/>
        <v>2</v>
      </c>
      <c r="L2634" s="44">
        <f t="shared" ref="L2634:L2697" ca="1" si="457">(J2634+K2634)/2</f>
        <v>3</v>
      </c>
    </row>
    <row r="2635" spans="1:12" x14ac:dyDescent="0.25">
      <c r="A2635" s="20">
        <v>2627</v>
      </c>
      <c r="B2635" s="21">
        <f t="shared" ca="1" si="453"/>
        <v>6.7804713990735515</v>
      </c>
      <c r="C2635" s="21">
        <f t="shared" ref="C2635:C2698" ca="1" si="458">$C2634+$B2635</f>
        <v>8035.2129439152841</v>
      </c>
      <c r="D2635" s="21">
        <f t="shared" ca="1" si="454"/>
        <v>12.47808105816525</v>
      </c>
      <c r="E2635" s="21">
        <f t="shared" ca="1" si="450"/>
        <v>4.7423919618222499</v>
      </c>
      <c r="F2635" s="20" t="str">
        <f t="shared" ref="F2635:F2698" ca="1" si="459">IF(E2635=0,"Yes","No")</f>
        <v>No</v>
      </c>
      <c r="G2635" s="21">
        <f t="shared" ca="1" si="455"/>
        <v>0</v>
      </c>
      <c r="H2635" s="21">
        <f t="shared" ca="1" si="456"/>
        <v>8039.9553358771063</v>
      </c>
      <c r="I2635" s="21">
        <f t="shared" ca="1" si="451"/>
        <v>8052.4334169352715</v>
      </c>
      <c r="J2635" s="20">
        <f t="shared" ref="J2635:J2698" ca="1" si="460">IF($I2634&lt;=$C2635,0,$K2634+1)</f>
        <v>3</v>
      </c>
      <c r="K2635" s="20">
        <f t="shared" ca="1" si="452"/>
        <v>4</v>
      </c>
      <c r="L2635" s="44">
        <f t="shared" ca="1" si="457"/>
        <v>3.5</v>
      </c>
    </row>
    <row r="2636" spans="1:12" x14ac:dyDescent="0.25">
      <c r="A2636" s="20">
        <v>2628</v>
      </c>
      <c r="B2636" s="21">
        <f t="shared" ca="1" si="453"/>
        <v>0.44069783120567957</v>
      </c>
      <c r="C2636" s="21">
        <f t="shared" ca="1" si="458"/>
        <v>8035.6536417464895</v>
      </c>
      <c r="D2636" s="21">
        <f t="shared" ca="1" si="454"/>
        <v>2.0998088954866114</v>
      </c>
      <c r="E2636" s="21">
        <f t="shared" ref="E2636:E2699" ca="1" si="461">IF($I2635&lt;=$C2636,0,$I2635-$C2636)</f>
        <v>16.779775188781969</v>
      </c>
      <c r="F2636" s="20" t="str">
        <f t="shared" ca="1" si="459"/>
        <v>No</v>
      </c>
      <c r="G2636" s="21">
        <f t="shared" ca="1" si="455"/>
        <v>0</v>
      </c>
      <c r="H2636" s="21">
        <f t="shared" ca="1" si="456"/>
        <v>8052.4334169352715</v>
      </c>
      <c r="I2636" s="21">
        <f t="shared" ca="1" si="451"/>
        <v>8054.5332258307581</v>
      </c>
      <c r="J2636" s="20">
        <f t="shared" ca="1" si="460"/>
        <v>5</v>
      </c>
      <c r="K2636" s="20">
        <f t="shared" ca="1" si="452"/>
        <v>3</v>
      </c>
      <c r="L2636" s="44">
        <f t="shared" ca="1" si="457"/>
        <v>4</v>
      </c>
    </row>
    <row r="2637" spans="1:12" x14ac:dyDescent="0.25">
      <c r="A2637" s="20">
        <v>2629</v>
      </c>
      <c r="B2637" s="21">
        <f t="shared" ca="1" si="453"/>
        <v>12.090983925852125</v>
      </c>
      <c r="C2637" s="21">
        <f t="shared" ca="1" si="458"/>
        <v>8047.7446256723415</v>
      </c>
      <c r="D2637" s="21">
        <f t="shared" ca="1" si="454"/>
        <v>1.7966922391457554</v>
      </c>
      <c r="E2637" s="21">
        <f t="shared" ca="1" si="461"/>
        <v>6.788600158416557</v>
      </c>
      <c r="F2637" s="20" t="str">
        <f t="shared" ca="1" si="459"/>
        <v>No</v>
      </c>
      <c r="G2637" s="21">
        <f t="shared" ca="1" si="455"/>
        <v>0</v>
      </c>
      <c r="H2637" s="21">
        <f t="shared" ca="1" si="456"/>
        <v>8054.5332258307581</v>
      </c>
      <c r="I2637" s="21">
        <f t="shared" ca="1" si="451"/>
        <v>8056.3299180699041</v>
      </c>
      <c r="J2637" s="20">
        <f t="shared" ca="1" si="460"/>
        <v>4</v>
      </c>
      <c r="K2637" s="20">
        <f t="shared" ca="1" si="452"/>
        <v>3</v>
      </c>
      <c r="L2637" s="44">
        <f t="shared" ca="1" si="457"/>
        <v>3.5</v>
      </c>
    </row>
    <row r="2638" spans="1:12" x14ac:dyDescent="0.25">
      <c r="A2638" s="20">
        <v>2630</v>
      </c>
      <c r="B2638" s="21">
        <f t="shared" ca="1" si="453"/>
        <v>1.6151773677593577</v>
      </c>
      <c r="C2638" s="21">
        <f t="shared" ca="1" si="458"/>
        <v>8049.3598030401008</v>
      </c>
      <c r="D2638" s="21">
        <f t="shared" ca="1" si="454"/>
        <v>0.11968388057603606</v>
      </c>
      <c r="E2638" s="21">
        <f t="shared" ca="1" si="461"/>
        <v>6.9701150298033099</v>
      </c>
      <c r="F2638" s="20" t="str">
        <f t="shared" ca="1" si="459"/>
        <v>No</v>
      </c>
      <c r="G2638" s="21">
        <f t="shared" ca="1" si="455"/>
        <v>0</v>
      </c>
      <c r="H2638" s="21">
        <f t="shared" ca="1" si="456"/>
        <v>8056.3299180699041</v>
      </c>
      <c r="I2638" s="21">
        <f t="shared" ca="1" si="451"/>
        <v>8056.4496019504804</v>
      </c>
      <c r="J2638" s="20">
        <f t="shared" ca="1" si="460"/>
        <v>4</v>
      </c>
      <c r="K2638" s="20">
        <f t="shared" ca="1" si="452"/>
        <v>2</v>
      </c>
      <c r="L2638" s="44">
        <f t="shared" ca="1" si="457"/>
        <v>3</v>
      </c>
    </row>
    <row r="2639" spans="1:12" x14ac:dyDescent="0.25">
      <c r="A2639" s="20">
        <v>2631</v>
      </c>
      <c r="B2639" s="21">
        <f t="shared" ca="1" si="453"/>
        <v>1.9537942849250238</v>
      </c>
      <c r="C2639" s="21">
        <f t="shared" ca="1" si="458"/>
        <v>8051.3135973250255</v>
      </c>
      <c r="D2639" s="21">
        <f t="shared" ca="1" si="454"/>
        <v>5.4312492847015887</v>
      </c>
      <c r="E2639" s="21">
        <f t="shared" ca="1" si="461"/>
        <v>5.1360046254549161</v>
      </c>
      <c r="F2639" s="20" t="str">
        <f t="shared" ca="1" si="459"/>
        <v>No</v>
      </c>
      <c r="G2639" s="21">
        <f t="shared" ca="1" si="455"/>
        <v>0</v>
      </c>
      <c r="H2639" s="21">
        <f t="shared" ca="1" si="456"/>
        <v>8056.4496019504804</v>
      </c>
      <c r="I2639" s="21">
        <f t="shared" ca="1" si="451"/>
        <v>8061.8808512351816</v>
      </c>
      <c r="J2639" s="20">
        <f t="shared" ca="1" si="460"/>
        <v>3</v>
      </c>
      <c r="K2639" s="20">
        <f t="shared" ca="1" si="452"/>
        <v>5</v>
      </c>
      <c r="L2639" s="44">
        <f t="shared" ca="1" si="457"/>
        <v>4</v>
      </c>
    </row>
    <row r="2640" spans="1:12" x14ac:dyDescent="0.25">
      <c r="A2640" s="20">
        <v>2632</v>
      </c>
      <c r="B2640" s="21">
        <f t="shared" ca="1" si="453"/>
        <v>4.4773340840180431</v>
      </c>
      <c r="C2640" s="21">
        <f t="shared" ca="1" si="458"/>
        <v>8055.7909314090439</v>
      </c>
      <c r="D2640" s="21">
        <f t="shared" ca="1" si="454"/>
        <v>3.0805326569549409</v>
      </c>
      <c r="E2640" s="21">
        <f t="shared" ca="1" si="461"/>
        <v>6.0899198261377023</v>
      </c>
      <c r="F2640" s="20" t="str">
        <f t="shared" ca="1" si="459"/>
        <v>No</v>
      </c>
      <c r="G2640" s="21">
        <f t="shared" ca="1" si="455"/>
        <v>0</v>
      </c>
      <c r="H2640" s="21">
        <f t="shared" ca="1" si="456"/>
        <v>8061.8808512351816</v>
      </c>
      <c r="I2640" s="21">
        <f t="shared" ca="1" si="451"/>
        <v>8064.9613838921368</v>
      </c>
      <c r="J2640" s="20">
        <f t="shared" ca="1" si="460"/>
        <v>6</v>
      </c>
      <c r="K2640" s="20">
        <f t="shared" ca="1" si="452"/>
        <v>5</v>
      </c>
      <c r="L2640" s="44">
        <f t="shared" ca="1" si="457"/>
        <v>5.5</v>
      </c>
    </row>
    <row r="2641" spans="1:12" x14ac:dyDescent="0.25">
      <c r="A2641" s="20">
        <v>2633</v>
      </c>
      <c r="B2641" s="21">
        <f t="shared" ca="1" si="453"/>
        <v>1.9737655334141397</v>
      </c>
      <c r="C2641" s="21">
        <f t="shared" ca="1" si="458"/>
        <v>8057.7646969424577</v>
      </c>
      <c r="D2641" s="21">
        <f t="shared" ca="1" si="454"/>
        <v>1.3733606166832601</v>
      </c>
      <c r="E2641" s="21">
        <f t="shared" ca="1" si="461"/>
        <v>7.1966869496791332</v>
      </c>
      <c r="F2641" s="20" t="str">
        <f t="shared" ca="1" si="459"/>
        <v>No</v>
      </c>
      <c r="G2641" s="21">
        <f t="shared" ca="1" si="455"/>
        <v>0</v>
      </c>
      <c r="H2641" s="21">
        <f t="shared" ca="1" si="456"/>
        <v>8064.9613838921368</v>
      </c>
      <c r="I2641" s="21">
        <f t="shared" ca="1" si="451"/>
        <v>8066.3347445088202</v>
      </c>
      <c r="J2641" s="20">
        <f t="shared" ca="1" si="460"/>
        <v>6</v>
      </c>
      <c r="K2641" s="20">
        <f t="shared" ca="1" si="452"/>
        <v>5</v>
      </c>
      <c r="L2641" s="44">
        <f t="shared" ca="1" si="457"/>
        <v>5.5</v>
      </c>
    </row>
    <row r="2642" spans="1:12" x14ac:dyDescent="0.25">
      <c r="A2642" s="20">
        <v>2634</v>
      </c>
      <c r="B2642" s="21">
        <f t="shared" ca="1" si="453"/>
        <v>0.60731879354665319</v>
      </c>
      <c r="C2642" s="21">
        <f t="shared" ca="1" si="458"/>
        <v>8058.372015736004</v>
      </c>
      <c r="D2642" s="21">
        <f t="shared" ca="1" si="454"/>
        <v>1.9535427494406032</v>
      </c>
      <c r="E2642" s="21">
        <f t="shared" ca="1" si="461"/>
        <v>7.9627287728162628</v>
      </c>
      <c r="F2642" s="20" t="str">
        <f t="shared" ca="1" si="459"/>
        <v>No</v>
      </c>
      <c r="G2642" s="21">
        <f t="shared" ca="1" si="455"/>
        <v>0</v>
      </c>
      <c r="H2642" s="21">
        <f t="shared" ca="1" si="456"/>
        <v>8066.3347445088202</v>
      </c>
      <c r="I2642" s="21">
        <f t="shared" ca="1" si="451"/>
        <v>8068.2882872582604</v>
      </c>
      <c r="J2642" s="20">
        <f t="shared" ca="1" si="460"/>
        <v>6</v>
      </c>
      <c r="K2642" s="20">
        <f t="shared" ca="1" si="452"/>
        <v>5</v>
      </c>
      <c r="L2642" s="44">
        <f t="shared" ca="1" si="457"/>
        <v>5.5</v>
      </c>
    </row>
    <row r="2643" spans="1:12" x14ac:dyDescent="0.25">
      <c r="A2643" s="20">
        <v>2635</v>
      </c>
      <c r="B2643" s="21">
        <f t="shared" ca="1" si="453"/>
        <v>1.5264971170920714</v>
      </c>
      <c r="C2643" s="21">
        <f t="shared" ca="1" si="458"/>
        <v>8059.8985128530958</v>
      </c>
      <c r="D2643" s="21">
        <f t="shared" ca="1" si="454"/>
        <v>0.20050771059813102</v>
      </c>
      <c r="E2643" s="21">
        <f t="shared" ca="1" si="461"/>
        <v>8.3897744051646441</v>
      </c>
      <c r="F2643" s="20" t="str">
        <f t="shared" ca="1" si="459"/>
        <v>No</v>
      </c>
      <c r="G2643" s="21">
        <f t="shared" ca="1" si="455"/>
        <v>0</v>
      </c>
      <c r="H2643" s="21">
        <f t="shared" ca="1" si="456"/>
        <v>8068.2882872582604</v>
      </c>
      <c r="I2643" s="21">
        <f t="shared" ca="1" si="451"/>
        <v>8068.4887949688582</v>
      </c>
      <c r="J2643" s="20">
        <f t="shared" ca="1" si="460"/>
        <v>6</v>
      </c>
      <c r="K2643" s="20">
        <f t="shared" ca="1" si="452"/>
        <v>4</v>
      </c>
      <c r="L2643" s="44">
        <f t="shared" ca="1" si="457"/>
        <v>5</v>
      </c>
    </row>
    <row r="2644" spans="1:12" x14ac:dyDescent="0.25">
      <c r="A2644" s="20">
        <v>2636</v>
      </c>
      <c r="B2644" s="21">
        <f t="shared" ca="1" si="453"/>
        <v>0.97566953781174615</v>
      </c>
      <c r="C2644" s="21">
        <f t="shared" ca="1" si="458"/>
        <v>8060.8741823909077</v>
      </c>
      <c r="D2644" s="21">
        <f t="shared" ca="1" si="454"/>
        <v>1.1922568691377566</v>
      </c>
      <c r="E2644" s="21">
        <f t="shared" ca="1" si="461"/>
        <v>7.6146125779505383</v>
      </c>
      <c r="F2644" s="20" t="str">
        <f t="shared" ca="1" si="459"/>
        <v>No</v>
      </c>
      <c r="G2644" s="21">
        <f t="shared" ca="1" si="455"/>
        <v>0</v>
      </c>
      <c r="H2644" s="21">
        <f t="shared" ca="1" si="456"/>
        <v>8068.4887949688582</v>
      </c>
      <c r="I2644" s="21">
        <f t="shared" ca="1" si="451"/>
        <v>8069.6810518379962</v>
      </c>
      <c r="J2644" s="20">
        <f t="shared" ca="1" si="460"/>
        <v>5</v>
      </c>
      <c r="K2644" s="20">
        <f t="shared" ca="1" si="452"/>
        <v>3</v>
      </c>
      <c r="L2644" s="44">
        <f t="shared" ca="1" si="457"/>
        <v>4</v>
      </c>
    </row>
    <row r="2645" spans="1:12" x14ac:dyDescent="0.25">
      <c r="A2645" s="20">
        <v>2637</v>
      </c>
      <c r="B2645" s="21">
        <f t="shared" ca="1" si="453"/>
        <v>0.86411647547130299</v>
      </c>
      <c r="C2645" s="21">
        <f t="shared" ca="1" si="458"/>
        <v>8061.7382988663794</v>
      </c>
      <c r="D2645" s="21">
        <f t="shared" ca="1" si="454"/>
        <v>0.57701168959390725</v>
      </c>
      <c r="E2645" s="21">
        <f t="shared" ca="1" si="461"/>
        <v>7.9427529716167555</v>
      </c>
      <c r="F2645" s="20" t="str">
        <f t="shared" ca="1" si="459"/>
        <v>No</v>
      </c>
      <c r="G2645" s="21">
        <f t="shared" ca="1" si="455"/>
        <v>0</v>
      </c>
      <c r="H2645" s="21">
        <f t="shared" ca="1" si="456"/>
        <v>8069.6810518379962</v>
      </c>
      <c r="I2645" s="21">
        <f t="shared" ca="1" si="451"/>
        <v>8070.2580635275899</v>
      </c>
      <c r="J2645" s="20">
        <f t="shared" ca="1" si="460"/>
        <v>4</v>
      </c>
      <c r="K2645" s="20">
        <f t="shared" ca="1" si="452"/>
        <v>2</v>
      </c>
      <c r="L2645" s="44">
        <f t="shared" ca="1" si="457"/>
        <v>3</v>
      </c>
    </row>
    <row r="2646" spans="1:12" x14ac:dyDescent="0.25">
      <c r="A2646" s="20">
        <v>2638</v>
      </c>
      <c r="B2646" s="21">
        <f t="shared" ca="1" si="453"/>
        <v>1.3732348732072592</v>
      </c>
      <c r="C2646" s="21">
        <f t="shared" ca="1" si="458"/>
        <v>8063.1115337395868</v>
      </c>
      <c r="D2646" s="21">
        <f t="shared" ca="1" si="454"/>
        <v>1.0653337262897549</v>
      </c>
      <c r="E2646" s="21">
        <f t="shared" ca="1" si="461"/>
        <v>7.1465297880031358</v>
      </c>
      <c r="F2646" s="20" t="str">
        <f t="shared" ca="1" si="459"/>
        <v>No</v>
      </c>
      <c r="G2646" s="21">
        <f t="shared" ca="1" si="455"/>
        <v>0</v>
      </c>
      <c r="H2646" s="21">
        <f t="shared" ca="1" si="456"/>
        <v>8070.2580635275899</v>
      </c>
      <c r="I2646" s="21">
        <f t="shared" ca="1" si="451"/>
        <v>8071.3233972538801</v>
      </c>
      <c r="J2646" s="20">
        <f t="shared" ca="1" si="460"/>
        <v>3</v>
      </c>
      <c r="K2646" s="20">
        <f t="shared" ca="1" si="452"/>
        <v>1</v>
      </c>
      <c r="L2646" s="44">
        <f t="shared" ca="1" si="457"/>
        <v>2</v>
      </c>
    </row>
    <row r="2647" spans="1:12" x14ac:dyDescent="0.25">
      <c r="A2647" s="20">
        <v>2639</v>
      </c>
      <c r="B2647" s="21">
        <f t="shared" ca="1" si="453"/>
        <v>2.7981638579976704</v>
      </c>
      <c r="C2647" s="21">
        <f t="shared" ca="1" si="458"/>
        <v>8065.9096975975845</v>
      </c>
      <c r="D2647" s="21">
        <f t="shared" ca="1" si="454"/>
        <v>2.4432806299454448</v>
      </c>
      <c r="E2647" s="21">
        <f t="shared" ca="1" si="461"/>
        <v>5.4136996562956483</v>
      </c>
      <c r="F2647" s="20" t="str">
        <f t="shared" ca="1" si="459"/>
        <v>No</v>
      </c>
      <c r="G2647" s="21">
        <f t="shared" ca="1" si="455"/>
        <v>0</v>
      </c>
      <c r="H2647" s="21">
        <f t="shared" ca="1" si="456"/>
        <v>8071.3233972538801</v>
      </c>
      <c r="I2647" s="21">
        <f t="shared" ca="1" si="451"/>
        <v>8073.7666778838257</v>
      </c>
      <c r="J2647" s="20">
        <f t="shared" ca="1" si="460"/>
        <v>2</v>
      </c>
      <c r="K2647" s="20">
        <f t="shared" ca="1" si="452"/>
        <v>1</v>
      </c>
      <c r="L2647" s="44">
        <f t="shared" ca="1" si="457"/>
        <v>1.5</v>
      </c>
    </row>
    <row r="2648" spans="1:12" x14ac:dyDescent="0.25">
      <c r="A2648" s="20">
        <v>2640</v>
      </c>
      <c r="B2648" s="21">
        <f t="shared" ca="1" si="453"/>
        <v>5.4973091871550555</v>
      </c>
      <c r="C2648" s="21">
        <f t="shared" ca="1" si="458"/>
        <v>8071.4070067847397</v>
      </c>
      <c r="D2648" s="21">
        <f t="shared" ca="1" si="454"/>
        <v>1.4288778495204941</v>
      </c>
      <c r="E2648" s="21">
        <f t="shared" ca="1" si="461"/>
        <v>2.3596710990859719</v>
      </c>
      <c r="F2648" s="20" t="str">
        <f t="shared" ca="1" si="459"/>
        <v>No</v>
      </c>
      <c r="G2648" s="21">
        <f t="shared" ca="1" si="455"/>
        <v>0</v>
      </c>
      <c r="H2648" s="21">
        <f t="shared" ca="1" si="456"/>
        <v>8073.7666778838257</v>
      </c>
      <c r="I2648" s="21">
        <f t="shared" ca="1" si="451"/>
        <v>8075.1955557333458</v>
      </c>
      <c r="J2648" s="20">
        <f t="shared" ca="1" si="460"/>
        <v>2</v>
      </c>
      <c r="K2648" s="20">
        <f t="shared" ca="1" si="452"/>
        <v>1</v>
      </c>
      <c r="L2648" s="44">
        <f t="shared" ca="1" si="457"/>
        <v>1.5</v>
      </c>
    </row>
    <row r="2649" spans="1:12" x14ac:dyDescent="0.25">
      <c r="A2649" s="20">
        <v>2641</v>
      </c>
      <c r="B2649" s="21">
        <f t="shared" ca="1" si="453"/>
        <v>3.5770660709938493</v>
      </c>
      <c r="C2649" s="21">
        <f t="shared" ca="1" si="458"/>
        <v>8074.9840728557338</v>
      </c>
      <c r="D2649" s="21">
        <f t="shared" ca="1" si="454"/>
        <v>3.4613849753537429</v>
      </c>
      <c r="E2649" s="21">
        <f t="shared" ca="1" si="461"/>
        <v>0.2114828776120703</v>
      </c>
      <c r="F2649" s="20" t="str">
        <f t="shared" ca="1" si="459"/>
        <v>No</v>
      </c>
      <c r="G2649" s="21">
        <f t="shared" ca="1" si="455"/>
        <v>0</v>
      </c>
      <c r="H2649" s="21">
        <f t="shared" ca="1" si="456"/>
        <v>8075.1955557333458</v>
      </c>
      <c r="I2649" s="21">
        <f t="shared" ca="1" si="451"/>
        <v>8078.6569407086999</v>
      </c>
      <c r="J2649" s="20">
        <f t="shared" ca="1" si="460"/>
        <v>2</v>
      </c>
      <c r="K2649" s="20">
        <f t="shared" ca="1" si="452"/>
        <v>3</v>
      </c>
      <c r="L2649" s="44">
        <f t="shared" ca="1" si="457"/>
        <v>2.5</v>
      </c>
    </row>
    <row r="2650" spans="1:12" x14ac:dyDescent="0.25">
      <c r="A2650" s="20">
        <v>2642</v>
      </c>
      <c r="B2650" s="21">
        <f t="shared" ca="1" si="453"/>
        <v>0.96731925678517516</v>
      </c>
      <c r="C2650" s="21">
        <f t="shared" ca="1" si="458"/>
        <v>8075.951392112519</v>
      </c>
      <c r="D2650" s="21">
        <f t="shared" ca="1" si="454"/>
        <v>2.1872321048703021</v>
      </c>
      <c r="E2650" s="21">
        <f t="shared" ca="1" si="461"/>
        <v>2.7055485961809609</v>
      </c>
      <c r="F2650" s="20" t="str">
        <f t="shared" ca="1" si="459"/>
        <v>No</v>
      </c>
      <c r="G2650" s="21">
        <f t="shared" ca="1" si="455"/>
        <v>0</v>
      </c>
      <c r="H2650" s="21">
        <f t="shared" ca="1" si="456"/>
        <v>8078.6569407086999</v>
      </c>
      <c r="I2650" s="21">
        <f t="shared" ca="1" si="451"/>
        <v>8080.8441728135704</v>
      </c>
      <c r="J2650" s="20">
        <f t="shared" ca="1" si="460"/>
        <v>4</v>
      </c>
      <c r="K2650" s="20">
        <f t="shared" ca="1" si="452"/>
        <v>2</v>
      </c>
      <c r="L2650" s="44">
        <f t="shared" ca="1" si="457"/>
        <v>3</v>
      </c>
    </row>
    <row r="2651" spans="1:12" x14ac:dyDescent="0.25">
      <c r="A2651" s="20">
        <v>2643</v>
      </c>
      <c r="B2651" s="21">
        <f t="shared" ca="1" si="453"/>
        <v>2.2121793687454394</v>
      </c>
      <c r="C2651" s="21">
        <f t="shared" ca="1" si="458"/>
        <v>8078.1635714812646</v>
      </c>
      <c r="D2651" s="21">
        <f t="shared" ca="1" si="454"/>
        <v>0.97838940473274527</v>
      </c>
      <c r="E2651" s="21">
        <f t="shared" ca="1" si="461"/>
        <v>2.6806013323057414</v>
      </c>
      <c r="F2651" s="20" t="str">
        <f t="shared" ca="1" si="459"/>
        <v>No</v>
      </c>
      <c r="G2651" s="21">
        <f t="shared" ca="1" si="455"/>
        <v>0</v>
      </c>
      <c r="H2651" s="21">
        <f t="shared" ca="1" si="456"/>
        <v>8080.8441728135704</v>
      </c>
      <c r="I2651" s="21">
        <f t="shared" ca="1" si="451"/>
        <v>8081.8225622183027</v>
      </c>
      <c r="J2651" s="20">
        <f t="shared" ca="1" si="460"/>
        <v>3</v>
      </c>
      <c r="K2651" s="20">
        <f t="shared" ca="1" si="452"/>
        <v>1</v>
      </c>
      <c r="L2651" s="44">
        <f t="shared" ca="1" si="457"/>
        <v>2</v>
      </c>
    </row>
    <row r="2652" spans="1:12" x14ac:dyDescent="0.25">
      <c r="A2652" s="20">
        <v>2644</v>
      </c>
      <c r="B2652" s="21">
        <f t="shared" ca="1" si="453"/>
        <v>0.17241721952521288</v>
      </c>
      <c r="C2652" s="21">
        <f t="shared" ca="1" si="458"/>
        <v>8078.33598870079</v>
      </c>
      <c r="D2652" s="21">
        <f t="shared" ca="1" si="454"/>
        <v>0.33564364234795979</v>
      </c>
      <c r="E2652" s="21">
        <f t="shared" ca="1" si="461"/>
        <v>3.4865735175126247</v>
      </c>
      <c r="F2652" s="20" t="str">
        <f t="shared" ca="1" si="459"/>
        <v>No</v>
      </c>
      <c r="G2652" s="21">
        <f t="shared" ca="1" si="455"/>
        <v>0</v>
      </c>
      <c r="H2652" s="21">
        <f t="shared" ca="1" si="456"/>
        <v>8081.8225622183027</v>
      </c>
      <c r="I2652" s="21">
        <f t="shared" ca="1" si="451"/>
        <v>8082.1582058606509</v>
      </c>
      <c r="J2652" s="20">
        <f t="shared" ca="1" si="460"/>
        <v>2</v>
      </c>
      <c r="K2652" s="20">
        <f t="shared" ca="1" si="452"/>
        <v>0</v>
      </c>
      <c r="L2652" s="44">
        <f t="shared" ca="1" si="457"/>
        <v>1</v>
      </c>
    </row>
    <row r="2653" spans="1:12" x14ac:dyDescent="0.25">
      <c r="A2653" s="20">
        <v>2645</v>
      </c>
      <c r="B2653" s="21">
        <f t="shared" ca="1" si="453"/>
        <v>3.9984353798932561</v>
      </c>
      <c r="C2653" s="21">
        <f t="shared" ca="1" si="458"/>
        <v>8082.3344240806837</v>
      </c>
      <c r="D2653" s="21">
        <f t="shared" ca="1" si="454"/>
        <v>0.42408502998808834</v>
      </c>
      <c r="E2653" s="21">
        <f t="shared" ca="1" si="461"/>
        <v>0</v>
      </c>
      <c r="F2653" s="20" t="str">
        <f t="shared" ca="1" si="459"/>
        <v>Yes</v>
      </c>
      <c r="G2653" s="21">
        <f t="shared" ca="1" si="455"/>
        <v>0.17621822003275156</v>
      </c>
      <c r="H2653" s="21">
        <f t="shared" ca="1" si="456"/>
        <v>8082.3344240806837</v>
      </c>
      <c r="I2653" s="21">
        <f t="shared" ca="1" si="451"/>
        <v>8082.7585091106721</v>
      </c>
      <c r="J2653" s="20">
        <f t="shared" ca="1" si="460"/>
        <v>0</v>
      </c>
      <c r="K2653" s="20">
        <f t="shared" ca="1" si="452"/>
        <v>0</v>
      </c>
      <c r="L2653" s="44">
        <f t="shared" ca="1" si="457"/>
        <v>0</v>
      </c>
    </row>
    <row r="2654" spans="1:12" x14ac:dyDescent="0.25">
      <c r="A2654" s="20">
        <v>2646</v>
      </c>
      <c r="B2654" s="21">
        <f t="shared" ca="1" si="453"/>
        <v>10.843736546147136</v>
      </c>
      <c r="C2654" s="21">
        <f t="shared" ca="1" si="458"/>
        <v>8093.1781606268305</v>
      </c>
      <c r="D2654" s="21">
        <f t="shared" ca="1" si="454"/>
        <v>3.8959211048718503</v>
      </c>
      <c r="E2654" s="21">
        <f t="shared" ca="1" si="461"/>
        <v>0</v>
      </c>
      <c r="F2654" s="20" t="str">
        <f t="shared" ca="1" si="459"/>
        <v>Yes</v>
      </c>
      <c r="G2654" s="21">
        <f t="shared" ca="1" si="455"/>
        <v>10.41965151615841</v>
      </c>
      <c r="H2654" s="21">
        <f t="shared" ca="1" si="456"/>
        <v>8093.1781606268305</v>
      </c>
      <c r="I2654" s="21">
        <f t="shared" ca="1" si="451"/>
        <v>8097.0740817317028</v>
      </c>
      <c r="J2654" s="20">
        <f t="shared" ca="1" si="460"/>
        <v>0</v>
      </c>
      <c r="K2654" s="20">
        <f t="shared" ca="1" si="452"/>
        <v>1</v>
      </c>
      <c r="L2654" s="44">
        <f t="shared" ca="1" si="457"/>
        <v>0.5</v>
      </c>
    </row>
    <row r="2655" spans="1:12" x14ac:dyDescent="0.25">
      <c r="A2655" s="20">
        <v>2647</v>
      </c>
      <c r="B2655" s="21">
        <f t="shared" ca="1" si="453"/>
        <v>3.2299998242833361</v>
      </c>
      <c r="C2655" s="21">
        <f t="shared" ca="1" si="458"/>
        <v>8096.4081604511139</v>
      </c>
      <c r="D2655" s="21">
        <f t="shared" ca="1" si="454"/>
        <v>8.4638740361138094</v>
      </c>
      <c r="E2655" s="21">
        <f t="shared" ca="1" si="461"/>
        <v>0.66592128058891831</v>
      </c>
      <c r="F2655" s="20" t="str">
        <f t="shared" ca="1" si="459"/>
        <v>No</v>
      </c>
      <c r="G2655" s="21">
        <f t="shared" ca="1" si="455"/>
        <v>0</v>
      </c>
      <c r="H2655" s="21">
        <f t="shared" ca="1" si="456"/>
        <v>8097.0740817317028</v>
      </c>
      <c r="I2655" s="21">
        <f t="shared" ca="1" si="451"/>
        <v>8105.537955767817</v>
      </c>
      <c r="J2655" s="20">
        <f t="shared" ca="1" si="460"/>
        <v>2</v>
      </c>
      <c r="K2655" s="20">
        <f t="shared" ca="1" si="452"/>
        <v>2</v>
      </c>
      <c r="L2655" s="44">
        <f t="shared" ca="1" si="457"/>
        <v>2</v>
      </c>
    </row>
    <row r="2656" spans="1:12" x14ac:dyDescent="0.25">
      <c r="A2656" s="20">
        <v>2648</v>
      </c>
      <c r="B2656" s="21">
        <f t="shared" ca="1" si="453"/>
        <v>2.2003407485139794</v>
      </c>
      <c r="C2656" s="21">
        <f t="shared" ca="1" si="458"/>
        <v>8098.6085011996274</v>
      </c>
      <c r="D2656" s="21">
        <f t="shared" ca="1" si="454"/>
        <v>2.9684194679861213</v>
      </c>
      <c r="E2656" s="21">
        <f t="shared" ca="1" si="461"/>
        <v>6.9294545681896125</v>
      </c>
      <c r="F2656" s="20" t="str">
        <f t="shared" ca="1" si="459"/>
        <v>No</v>
      </c>
      <c r="G2656" s="21">
        <f t="shared" ca="1" si="455"/>
        <v>0</v>
      </c>
      <c r="H2656" s="21">
        <f t="shared" ca="1" si="456"/>
        <v>8105.537955767817</v>
      </c>
      <c r="I2656" s="21">
        <f t="shared" ca="1" si="451"/>
        <v>8108.5063752358028</v>
      </c>
      <c r="J2656" s="20">
        <f t="shared" ca="1" si="460"/>
        <v>3</v>
      </c>
      <c r="K2656" s="20">
        <f t="shared" ca="1" si="452"/>
        <v>1</v>
      </c>
      <c r="L2656" s="44">
        <f t="shared" ca="1" si="457"/>
        <v>2</v>
      </c>
    </row>
    <row r="2657" spans="1:12" x14ac:dyDescent="0.25">
      <c r="A2657" s="20">
        <v>2649</v>
      </c>
      <c r="B2657" s="21">
        <f t="shared" ca="1" si="453"/>
        <v>5.4141350873191634</v>
      </c>
      <c r="C2657" s="21">
        <f t="shared" ca="1" si="458"/>
        <v>8104.0226362869462</v>
      </c>
      <c r="D2657" s="21">
        <f t="shared" ca="1" si="454"/>
        <v>4.9737088646954648</v>
      </c>
      <c r="E2657" s="21">
        <f t="shared" ca="1" si="461"/>
        <v>4.4837389488566259</v>
      </c>
      <c r="F2657" s="20" t="str">
        <f t="shared" ca="1" si="459"/>
        <v>No</v>
      </c>
      <c r="G2657" s="21">
        <f t="shared" ca="1" si="455"/>
        <v>0</v>
      </c>
      <c r="H2657" s="21">
        <f t="shared" ca="1" si="456"/>
        <v>8108.5063752358028</v>
      </c>
      <c r="I2657" s="21">
        <f t="shared" ca="1" si="451"/>
        <v>8113.4800841004981</v>
      </c>
      <c r="J2657" s="20">
        <f t="shared" ca="1" si="460"/>
        <v>2</v>
      </c>
      <c r="K2657" s="20">
        <f t="shared" ca="1" si="452"/>
        <v>3</v>
      </c>
      <c r="L2657" s="44">
        <f t="shared" ca="1" si="457"/>
        <v>2.5</v>
      </c>
    </row>
    <row r="2658" spans="1:12" x14ac:dyDescent="0.25">
      <c r="A2658" s="20">
        <v>2650</v>
      </c>
      <c r="B2658" s="21">
        <f t="shared" ca="1" si="453"/>
        <v>7.6742699136242214</v>
      </c>
      <c r="C2658" s="21">
        <f t="shared" ca="1" si="458"/>
        <v>8111.6969062005701</v>
      </c>
      <c r="D2658" s="21">
        <f t="shared" ca="1" si="454"/>
        <v>4.2616239749400879</v>
      </c>
      <c r="E2658" s="21">
        <f t="shared" ca="1" si="461"/>
        <v>1.7831778999279777</v>
      </c>
      <c r="F2658" s="20" t="str">
        <f t="shared" ca="1" si="459"/>
        <v>No</v>
      </c>
      <c r="G2658" s="21">
        <f t="shared" ca="1" si="455"/>
        <v>0</v>
      </c>
      <c r="H2658" s="21">
        <f t="shared" ca="1" si="456"/>
        <v>8113.4800841004981</v>
      </c>
      <c r="I2658" s="21">
        <f t="shared" ca="1" si="451"/>
        <v>8117.7417080754385</v>
      </c>
      <c r="J2658" s="20">
        <f t="shared" ca="1" si="460"/>
        <v>4</v>
      </c>
      <c r="K2658" s="20">
        <f t="shared" ca="1" si="452"/>
        <v>3</v>
      </c>
      <c r="L2658" s="44">
        <f t="shared" ca="1" si="457"/>
        <v>3.5</v>
      </c>
    </row>
    <row r="2659" spans="1:12" x14ac:dyDescent="0.25">
      <c r="A2659" s="20">
        <v>2651</v>
      </c>
      <c r="B2659" s="21">
        <f t="shared" ca="1" si="453"/>
        <v>0.74001759075909068</v>
      </c>
      <c r="C2659" s="21">
        <f t="shared" ca="1" si="458"/>
        <v>8112.4369237913288</v>
      </c>
      <c r="D2659" s="21">
        <f t="shared" ca="1" si="454"/>
        <v>3.3555891847957313</v>
      </c>
      <c r="E2659" s="21">
        <f t="shared" ca="1" si="461"/>
        <v>5.3047842841097008</v>
      </c>
      <c r="F2659" s="20" t="str">
        <f t="shared" ca="1" si="459"/>
        <v>No</v>
      </c>
      <c r="G2659" s="21">
        <f t="shared" ca="1" si="455"/>
        <v>0</v>
      </c>
      <c r="H2659" s="21">
        <f t="shared" ca="1" si="456"/>
        <v>8117.7417080754385</v>
      </c>
      <c r="I2659" s="21">
        <f t="shared" ca="1" si="451"/>
        <v>8121.097297260234</v>
      </c>
      <c r="J2659" s="20">
        <f t="shared" ca="1" si="460"/>
        <v>4</v>
      </c>
      <c r="K2659" s="20">
        <f t="shared" ca="1" si="452"/>
        <v>3</v>
      </c>
      <c r="L2659" s="44">
        <f t="shared" ca="1" si="457"/>
        <v>3.5</v>
      </c>
    </row>
    <row r="2660" spans="1:12" x14ac:dyDescent="0.25">
      <c r="A2660" s="20">
        <v>2652</v>
      </c>
      <c r="B2660" s="21">
        <f t="shared" ca="1" si="453"/>
        <v>0.30142198430362444</v>
      </c>
      <c r="C2660" s="21">
        <f t="shared" ca="1" si="458"/>
        <v>8112.7383457756323</v>
      </c>
      <c r="D2660" s="21">
        <f t="shared" ca="1" si="454"/>
        <v>4.4243768425900116</v>
      </c>
      <c r="E2660" s="21">
        <f t="shared" ca="1" si="461"/>
        <v>8.3589514846016755</v>
      </c>
      <c r="F2660" s="20" t="str">
        <f t="shared" ca="1" si="459"/>
        <v>No</v>
      </c>
      <c r="G2660" s="21">
        <f t="shared" ca="1" si="455"/>
        <v>0</v>
      </c>
      <c r="H2660" s="21">
        <f t="shared" ca="1" si="456"/>
        <v>8121.097297260234</v>
      </c>
      <c r="I2660" s="21">
        <f t="shared" ca="1" si="451"/>
        <v>8125.5216741028244</v>
      </c>
      <c r="J2660" s="20">
        <f t="shared" ca="1" si="460"/>
        <v>4</v>
      </c>
      <c r="K2660" s="20">
        <f t="shared" ca="1" si="452"/>
        <v>4</v>
      </c>
      <c r="L2660" s="44">
        <f t="shared" ca="1" si="457"/>
        <v>4</v>
      </c>
    </row>
    <row r="2661" spans="1:12" x14ac:dyDescent="0.25">
      <c r="A2661" s="20">
        <v>2653</v>
      </c>
      <c r="B2661" s="21">
        <f t="shared" ca="1" si="453"/>
        <v>3.8704868317919137</v>
      </c>
      <c r="C2661" s="21">
        <f t="shared" ca="1" si="458"/>
        <v>8116.6088326074241</v>
      </c>
      <c r="D2661" s="21">
        <f t="shared" ca="1" si="454"/>
        <v>1.4228179671289605</v>
      </c>
      <c r="E2661" s="21">
        <f t="shared" ca="1" si="461"/>
        <v>8.9128414954002437</v>
      </c>
      <c r="F2661" s="20" t="str">
        <f t="shared" ca="1" si="459"/>
        <v>No</v>
      </c>
      <c r="G2661" s="21">
        <f t="shared" ca="1" si="455"/>
        <v>0</v>
      </c>
      <c r="H2661" s="21">
        <f t="shared" ca="1" si="456"/>
        <v>8125.5216741028244</v>
      </c>
      <c r="I2661" s="21">
        <f t="shared" ca="1" si="451"/>
        <v>8126.9444920699534</v>
      </c>
      <c r="J2661" s="20">
        <f t="shared" ca="1" si="460"/>
        <v>5</v>
      </c>
      <c r="K2661" s="20">
        <f t="shared" ca="1" si="452"/>
        <v>4</v>
      </c>
      <c r="L2661" s="44">
        <f t="shared" ca="1" si="457"/>
        <v>4.5</v>
      </c>
    </row>
    <row r="2662" spans="1:12" x14ac:dyDescent="0.25">
      <c r="A2662" s="20">
        <v>2654</v>
      </c>
      <c r="B2662" s="21">
        <f t="shared" ca="1" si="453"/>
        <v>2.0823320514411479</v>
      </c>
      <c r="C2662" s="21">
        <f t="shared" ca="1" si="458"/>
        <v>8118.6911646588651</v>
      </c>
      <c r="D2662" s="21">
        <f t="shared" ca="1" si="454"/>
        <v>1.4055113282021037</v>
      </c>
      <c r="E2662" s="21">
        <f t="shared" ca="1" si="461"/>
        <v>8.2533274110883212</v>
      </c>
      <c r="F2662" s="20" t="str">
        <f t="shared" ca="1" si="459"/>
        <v>No</v>
      </c>
      <c r="G2662" s="21">
        <f t="shared" ca="1" si="455"/>
        <v>0</v>
      </c>
      <c r="H2662" s="21">
        <f t="shared" ca="1" si="456"/>
        <v>8126.9444920699534</v>
      </c>
      <c r="I2662" s="21">
        <f t="shared" ca="1" si="451"/>
        <v>8128.3500033981554</v>
      </c>
      <c r="J2662" s="20">
        <f t="shared" ca="1" si="460"/>
        <v>5</v>
      </c>
      <c r="K2662" s="20">
        <f t="shared" ca="1" si="452"/>
        <v>4</v>
      </c>
      <c r="L2662" s="44">
        <f t="shared" ca="1" si="457"/>
        <v>4.5</v>
      </c>
    </row>
    <row r="2663" spans="1:12" x14ac:dyDescent="0.25">
      <c r="A2663" s="20">
        <v>2655</v>
      </c>
      <c r="B2663" s="21">
        <f t="shared" ca="1" si="453"/>
        <v>2.4158692684028682</v>
      </c>
      <c r="C2663" s="21">
        <f t="shared" ca="1" si="458"/>
        <v>8121.1070339272683</v>
      </c>
      <c r="D2663" s="21">
        <f t="shared" ca="1" si="454"/>
        <v>0.34433230010612453</v>
      </c>
      <c r="E2663" s="21">
        <f t="shared" ca="1" si="461"/>
        <v>7.2429694708871466</v>
      </c>
      <c r="F2663" s="20" t="str">
        <f t="shared" ca="1" si="459"/>
        <v>No</v>
      </c>
      <c r="G2663" s="21">
        <f t="shared" ca="1" si="455"/>
        <v>0</v>
      </c>
      <c r="H2663" s="21">
        <f t="shared" ca="1" si="456"/>
        <v>8128.3500033981554</v>
      </c>
      <c r="I2663" s="21">
        <f t="shared" ca="1" si="451"/>
        <v>8128.694335698262</v>
      </c>
      <c r="J2663" s="20">
        <f t="shared" ca="1" si="460"/>
        <v>5</v>
      </c>
      <c r="K2663" s="20">
        <f t="shared" ca="1" si="452"/>
        <v>3</v>
      </c>
      <c r="L2663" s="44">
        <f t="shared" ca="1" si="457"/>
        <v>4</v>
      </c>
    </row>
    <row r="2664" spans="1:12" x14ac:dyDescent="0.25">
      <c r="A2664" s="20">
        <v>2656</v>
      </c>
      <c r="B2664" s="21">
        <f t="shared" ca="1" si="453"/>
        <v>2.913356583600863</v>
      </c>
      <c r="C2664" s="21">
        <f t="shared" ca="1" si="458"/>
        <v>8124.0203905108692</v>
      </c>
      <c r="D2664" s="21">
        <f t="shared" ca="1" si="454"/>
        <v>0.10099041300223735</v>
      </c>
      <c r="E2664" s="21">
        <f t="shared" ca="1" si="461"/>
        <v>4.6739451873927464</v>
      </c>
      <c r="F2664" s="20" t="str">
        <f t="shared" ca="1" si="459"/>
        <v>No</v>
      </c>
      <c r="G2664" s="21">
        <f t="shared" ca="1" si="455"/>
        <v>0</v>
      </c>
      <c r="H2664" s="21">
        <f t="shared" ca="1" si="456"/>
        <v>8128.694335698262</v>
      </c>
      <c r="I2664" s="21">
        <f t="shared" ca="1" si="451"/>
        <v>8128.7953261112643</v>
      </c>
      <c r="J2664" s="20">
        <f t="shared" ca="1" si="460"/>
        <v>4</v>
      </c>
      <c r="K2664" s="20">
        <f t="shared" ca="1" si="452"/>
        <v>2</v>
      </c>
      <c r="L2664" s="44">
        <f t="shared" ca="1" si="457"/>
        <v>3</v>
      </c>
    </row>
    <row r="2665" spans="1:12" x14ac:dyDescent="0.25">
      <c r="A2665" s="20">
        <v>2657</v>
      </c>
      <c r="B2665" s="21">
        <f t="shared" ca="1" si="453"/>
        <v>2.7879230139432538</v>
      </c>
      <c r="C2665" s="21">
        <f t="shared" ca="1" si="458"/>
        <v>8126.8083135248125</v>
      </c>
      <c r="D2665" s="21">
        <f t="shared" ca="1" si="454"/>
        <v>0.13777687648522111</v>
      </c>
      <c r="E2665" s="21">
        <f t="shared" ca="1" si="461"/>
        <v>1.9870125864517831</v>
      </c>
      <c r="F2665" s="20" t="str">
        <f t="shared" ca="1" si="459"/>
        <v>No</v>
      </c>
      <c r="G2665" s="21">
        <f t="shared" ca="1" si="455"/>
        <v>0</v>
      </c>
      <c r="H2665" s="21">
        <f t="shared" ca="1" si="456"/>
        <v>8128.7953261112643</v>
      </c>
      <c r="I2665" s="21">
        <f t="shared" ca="1" si="451"/>
        <v>8128.9331029877494</v>
      </c>
      <c r="J2665" s="20">
        <f t="shared" ca="1" si="460"/>
        <v>3</v>
      </c>
      <c r="K2665" s="20">
        <f t="shared" ca="1" si="452"/>
        <v>1</v>
      </c>
      <c r="L2665" s="44">
        <f t="shared" ca="1" si="457"/>
        <v>2</v>
      </c>
    </row>
    <row r="2666" spans="1:12" x14ac:dyDescent="0.25">
      <c r="A2666" s="20">
        <v>2658</v>
      </c>
      <c r="B2666" s="21">
        <f t="shared" ca="1" si="453"/>
        <v>0.75738920636667906</v>
      </c>
      <c r="C2666" s="21">
        <f t="shared" ca="1" si="458"/>
        <v>8127.565702731179</v>
      </c>
      <c r="D2666" s="21">
        <f t="shared" ca="1" si="454"/>
        <v>2.3194279309125898</v>
      </c>
      <c r="E2666" s="21">
        <f t="shared" ca="1" si="461"/>
        <v>1.3674002565703631</v>
      </c>
      <c r="F2666" s="20" t="str">
        <f t="shared" ca="1" si="459"/>
        <v>No</v>
      </c>
      <c r="G2666" s="21">
        <f t="shared" ca="1" si="455"/>
        <v>0</v>
      </c>
      <c r="H2666" s="21">
        <f t="shared" ca="1" si="456"/>
        <v>8128.9331029877494</v>
      </c>
      <c r="I2666" s="21">
        <f t="shared" ca="1" si="451"/>
        <v>8131.2525309186622</v>
      </c>
      <c r="J2666" s="20">
        <f t="shared" ca="1" si="460"/>
        <v>2</v>
      </c>
      <c r="K2666" s="20">
        <f t="shared" ca="1" si="452"/>
        <v>1</v>
      </c>
      <c r="L2666" s="44">
        <f t="shared" ca="1" si="457"/>
        <v>1.5</v>
      </c>
    </row>
    <row r="2667" spans="1:12" x14ac:dyDescent="0.25">
      <c r="A2667" s="20">
        <v>2659</v>
      </c>
      <c r="B2667" s="21">
        <f t="shared" ca="1" si="453"/>
        <v>2.9505522928122891</v>
      </c>
      <c r="C2667" s="21">
        <f t="shared" ca="1" si="458"/>
        <v>8130.5162550239911</v>
      </c>
      <c r="D2667" s="21">
        <f t="shared" ca="1" si="454"/>
        <v>0.89959680343928161</v>
      </c>
      <c r="E2667" s="21">
        <f t="shared" ca="1" si="461"/>
        <v>0.73627589467105281</v>
      </c>
      <c r="F2667" s="20" t="str">
        <f t="shared" ca="1" si="459"/>
        <v>No</v>
      </c>
      <c r="G2667" s="21">
        <f t="shared" ca="1" si="455"/>
        <v>0</v>
      </c>
      <c r="H2667" s="21">
        <f t="shared" ca="1" si="456"/>
        <v>8131.2525309186622</v>
      </c>
      <c r="I2667" s="21">
        <f t="shared" ca="1" si="451"/>
        <v>8132.1521277221018</v>
      </c>
      <c r="J2667" s="20">
        <f t="shared" ca="1" si="460"/>
        <v>2</v>
      </c>
      <c r="K2667" s="20">
        <f t="shared" ca="1" si="452"/>
        <v>0</v>
      </c>
      <c r="L2667" s="44">
        <f t="shared" ca="1" si="457"/>
        <v>1</v>
      </c>
    </row>
    <row r="2668" spans="1:12" x14ac:dyDescent="0.25">
      <c r="A2668" s="20">
        <v>2660</v>
      </c>
      <c r="B2668" s="21">
        <f t="shared" ca="1" si="453"/>
        <v>2.3603139231807622</v>
      </c>
      <c r="C2668" s="21">
        <f t="shared" ca="1" si="458"/>
        <v>8132.876568947172</v>
      </c>
      <c r="D2668" s="21">
        <f t="shared" ca="1" si="454"/>
        <v>1.3355327315826253</v>
      </c>
      <c r="E2668" s="21">
        <f t="shared" ca="1" si="461"/>
        <v>0</v>
      </c>
      <c r="F2668" s="20" t="str">
        <f t="shared" ca="1" si="459"/>
        <v>Yes</v>
      </c>
      <c r="G2668" s="21">
        <f t="shared" ca="1" si="455"/>
        <v>0.72444122507022257</v>
      </c>
      <c r="H2668" s="21">
        <f t="shared" ca="1" si="456"/>
        <v>8132.876568947172</v>
      </c>
      <c r="I2668" s="21">
        <f t="shared" ca="1" si="451"/>
        <v>8134.2121016787551</v>
      </c>
      <c r="J2668" s="20">
        <f t="shared" ca="1" si="460"/>
        <v>0</v>
      </c>
      <c r="K2668" s="20">
        <f t="shared" ca="1" si="452"/>
        <v>0</v>
      </c>
      <c r="L2668" s="44">
        <f t="shared" ca="1" si="457"/>
        <v>0</v>
      </c>
    </row>
    <row r="2669" spans="1:12" x14ac:dyDescent="0.25">
      <c r="A2669" s="20">
        <v>2661</v>
      </c>
      <c r="B2669" s="21">
        <f t="shared" ca="1" si="453"/>
        <v>2.322160189679074</v>
      </c>
      <c r="C2669" s="21">
        <f t="shared" ca="1" si="458"/>
        <v>8135.1987291368514</v>
      </c>
      <c r="D2669" s="21">
        <f t="shared" ca="1" si="454"/>
        <v>3.3980186422436653</v>
      </c>
      <c r="E2669" s="21">
        <f t="shared" ca="1" si="461"/>
        <v>0</v>
      </c>
      <c r="F2669" s="20" t="str">
        <f t="shared" ca="1" si="459"/>
        <v>Yes</v>
      </c>
      <c r="G2669" s="21">
        <f t="shared" ca="1" si="455"/>
        <v>0.98662745809633634</v>
      </c>
      <c r="H2669" s="21">
        <f t="shared" ca="1" si="456"/>
        <v>8135.1987291368514</v>
      </c>
      <c r="I2669" s="21">
        <f t="shared" ca="1" si="451"/>
        <v>8138.5967477790955</v>
      </c>
      <c r="J2669" s="20">
        <f t="shared" ca="1" si="460"/>
        <v>0</v>
      </c>
      <c r="K2669" s="20">
        <f t="shared" ca="1" si="452"/>
        <v>1</v>
      </c>
      <c r="L2669" s="44">
        <f t="shared" ca="1" si="457"/>
        <v>0.5</v>
      </c>
    </row>
    <row r="2670" spans="1:12" x14ac:dyDescent="0.25">
      <c r="A2670" s="20">
        <v>2662</v>
      </c>
      <c r="B2670" s="21">
        <f t="shared" ca="1" si="453"/>
        <v>0.10439128482402737</v>
      </c>
      <c r="C2670" s="21">
        <f t="shared" ca="1" si="458"/>
        <v>8135.303120421675</v>
      </c>
      <c r="D2670" s="21">
        <f t="shared" ca="1" si="454"/>
        <v>4.2861199939571737</v>
      </c>
      <c r="E2670" s="21">
        <f t="shared" ca="1" si="461"/>
        <v>3.2936273574205188</v>
      </c>
      <c r="F2670" s="20" t="str">
        <f t="shared" ca="1" si="459"/>
        <v>No</v>
      </c>
      <c r="G2670" s="21">
        <f t="shared" ca="1" si="455"/>
        <v>0</v>
      </c>
      <c r="H2670" s="21">
        <f t="shared" ca="1" si="456"/>
        <v>8138.5967477790955</v>
      </c>
      <c r="I2670" s="21">
        <f t="shared" ca="1" si="451"/>
        <v>8142.8828677730526</v>
      </c>
      <c r="J2670" s="20">
        <f t="shared" ca="1" si="460"/>
        <v>2</v>
      </c>
      <c r="K2670" s="20">
        <f t="shared" ca="1" si="452"/>
        <v>2</v>
      </c>
      <c r="L2670" s="44">
        <f t="shared" ca="1" si="457"/>
        <v>2</v>
      </c>
    </row>
    <row r="2671" spans="1:12" x14ac:dyDescent="0.25">
      <c r="A2671" s="20">
        <v>2663</v>
      </c>
      <c r="B2671" s="21">
        <f t="shared" ca="1" si="453"/>
        <v>4.3146828337127827</v>
      </c>
      <c r="C2671" s="21">
        <f t="shared" ca="1" si="458"/>
        <v>8139.617803255388</v>
      </c>
      <c r="D2671" s="21">
        <f t="shared" ca="1" si="454"/>
        <v>0.21067963541085122</v>
      </c>
      <c r="E2671" s="21">
        <f t="shared" ca="1" si="461"/>
        <v>3.2650645176645412</v>
      </c>
      <c r="F2671" s="20" t="str">
        <f t="shared" ca="1" si="459"/>
        <v>No</v>
      </c>
      <c r="G2671" s="21">
        <f t="shared" ca="1" si="455"/>
        <v>0</v>
      </c>
      <c r="H2671" s="21">
        <f t="shared" ca="1" si="456"/>
        <v>8142.8828677730526</v>
      </c>
      <c r="I2671" s="21">
        <f t="shared" ca="1" si="451"/>
        <v>8143.0935474084636</v>
      </c>
      <c r="J2671" s="20">
        <f t="shared" ca="1" si="460"/>
        <v>3</v>
      </c>
      <c r="K2671" s="20">
        <f t="shared" ca="1" si="452"/>
        <v>1</v>
      </c>
      <c r="L2671" s="44">
        <f t="shared" ca="1" si="457"/>
        <v>2</v>
      </c>
    </row>
    <row r="2672" spans="1:12" x14ac:dyDescent="0.25">
      <c r="A2672" s="20">
        <v>2664</v>
      </c>
      <c r="B2672" s="21">
        <f t="shared" ca="1" si="453"/>
        <v>0.50795137616616459</v>
      </c>
      <c r="C2672" s="21">
        <f t="shared" ca="1" si="458"/>
        <v>8140.1257546315546</v>
      </c>
      <c r="D2672" s="21">
        <f t="shared" ca="1" si="454"/>
        <v>0.14470566867574997</v>
      </c>
      <c r="E2672" s="21">
        <f t="shared" ca="1" si="461"/>
        <v>2.9677927769089365</v>
      </c>
      <c r="F2672" s="20" t="str">
        <f t="shared" ca="1" si="459"/>
        <v>No</v>
      </c>
      <c r="G2672" s="21">
        <f t="shared" ca="1" si="455"/>
        <v>0</v>
      </c>
      <c r="H2672" s="21">
        <f t="shared" ca="1" si="456"/>
        <v>8143.0935474084636</v>
      </c>
      <c r="I2672" s="21">
        <f t="shared" ca="1" si="451"/>
        <v>8143.2382530771392</v>
      </c>
      <c r="J2672" s="20">
        <f t="shared" ca="1" si="460"/>
        <v>2</v>
      </c>
      <c r="K2672" s="20">
        <f t="shared" ca="1" si="452"/>
        <v>0</v>
      </c>
      <c r="L2672" s="44">
        <f t="shared" ca="1" si="457"/>
        <v>1</v>
      </c>
    </row>
    <row r="2673" spans="1:12" x14ac:dyDescent="0.25">
      <c r="A2673" s="20">
        <v>2665</v>
      </c>
      <c r="B2673" s="21">
        <f t="shared" ca="1" si="453"/>
        <v>19.295752379693425</v>
      </c>
      <c r="C2673" s="21">
        <f t="shared" ca="1" si="458"/>
        <v>8159.4215070112477</v>
      </c>
      <c r="D2673" s="21">
        <f t="shared" ca="1" si="454"/>
        <v>0.41650332121521277</v>
      </c>
      <c r="E2673" s="21">
        <f t="shared" ca="1" si="461"/>
        <v>0</v>
      </c>
      <c r="F2673" s="20" t="str">
        <f t="shared" ca="1" si="459"/>
        <v>Yes</v>
      </c>
      <c r="G2673" s="21">
        <f t="shared" ca="1" si="455"/>
        <v>16.183253934108507</v>
      </c>
      <c r="H2673" s="21">
        <f t="shared" ca="1" si="456"/>
        <v>8159.4215070112477</v>
      </c>
      <c r="I2673" s="21">
        <f t="shared" ca="1" si="451"/>
        <v>8159.8380103324625</v>
      </c>
      <c r="J2673" s="20">
        <f t="shared" ca="1" si="460"/>
        <v>0</v>
      </c>
      <c r="K2673" s="20">
        <f t="shared" ca="1" si="452"/>
        <v>0</v>
      </c>
      <c r="L2673" s="44">
        <f t="shared" ca="1" si="457"/>
        <v>0</v>
      </c>
    </row>
    <row r="2674" spans="1:12" x14ac:dyDescent="0.25">
      <c r="A2674" s="20">
        <v>2666</v>
      </c>
      <c r="B2674" s="21">
        <f t="shared" ca="1" si="453"/>
        <v>0.46059925190572465</v>
      </c>
      <c r="C2674" s="21">
        <f t="shared" ca="1" si="458"/>
        <v>8159.8821062631532</v>
      </c>
      <c r="D2674" s="21">
        <f t="shared" ca="1" si="454"/>
        <v>0.56553888644288641</v>
      </c>
      <c r="E2674" s="21">
        <f t="shared" ca="1" si="461"/>
        <v>0</v>
      </c>
      <c r="F2674" s="20" t="str">
        <f t="shared" ca="1" si="459"/>
        <v>Yes</v>
      </c>
      <c r="G2674" s="21">
        <f t="shared" ca="1" si="455"/>
        <v>4.4095930690673413E-2</v>
      </c>
      <c r="H2674" s="21">
        <f t="shared" ca="1" si="456"/>
        <v>8159.8821062631532</v>
      </c>
      <c r="I2674" s="21">
        <f t="shared" ca="1" si="451"/>
        <v>8160.4476451495957</v>
      </c>
      <c r="J2674" s="20">
        <f t="shared" ca="1" si="460"/>
        <v>0</v>
      </c>
      <c r="K2674" s="20">
        <f t="shared" ca="1" si="452"/>
        <v>0</v>
      </c>
      <c r="L2674" s="44">
        <f t="shared" ca="1" si="457"/>
        <v>0</v>
      </c>
    </row>
    <row r="2675" spans="1:12" x14ac:dyDescent="0.25">
      <c r="A2675" s="20">
        <v>2667</v>
      </c>
      <c r="B2675" s="21">
        <f t="shared" ca="1" si="453"/>
        <v>3.515298649689139</v>
      </c>
      <c r="C2675" s="21">
        <f t="shared" ca="1" si="458"/>
        <v>8163.3974049128419</v>
      </c>
      <c r="D2675" s="21">
        <f t="shared" ca="1" si="454"/>
        <v>1.5759551182233402</v>
      </c>
      <c r="E2675" s="21">
        <f t="shared" ca="1" si="461"/>
        <v>0</v>
      </c>
      <c r="F2675" s="20" t="str">
        <f t="shared" ca="1" si="459"/>
        <v>Yes</v>
      </c>
      <c r="G2675" s="21">
        <f t="shared" ca="1" si="455"/>
        <v>2.9497597632462202</v>
      </c>
      <c r="H2675" s="21">
        <f t="shared" ca="1" si="456"/>
        <v>8163.3974049128419</v>
      </c>
      <c r="I2675" s="21">
        <f t="shared" ca="1" si="451"/>
        <v>8164.9733600310656</v>
      </c>
      <c r="J2675" s="20">
        <f t="shared" ca="1" si="460"/>
        <v>0</v>
      </c>
      <c r="K2675" s="20">
        <f t="shared" ca="1" si="452"/>
        <v>0</v>
      </c>
      <c r="L2675" s="44">
        <f t="shared" ca="1" si="457"/>
        <v>0</v>
      </c>
    </row>
    <row r="2676" spans="1:12" x14ac:dyDescent="0.25">
      <c r="A2676" s="20">
        <v>2668</v>
      </c>
      <c r="B2676" s="21">
        <f t="shared" ca="1" si="453"/>
        <v>6.0772483484947344</v>
      </c>
      <c r="C2676" s="21">
        <f t="shared" ca="1" si="458"/>
        <v>8169.4746532613362</v>
      </c>
      <c r="D2676" s="21">
        <f t="shared" ca="1" si="454"/>
        <v>3.6917227730621263</v>
      </c>
      <c r="E2676" s="21">
        <f t="shared" ca="1" si="461"/>
        <v>0</v>
      </c>
      <c r="F2676" s="20" t="str">
        <f t="shared" ca="1" si="459"/>
        <v>Yes</v>
      </c>
      <c r="G2676" s="21">
        <f t="shared" ca="1" si="455"/>
        <v>4.5012932302706758</v>
      </c>
      <c r="H2676" s="21">
        <f t="shared" ca="1" si="456"/>
        <v>8169.4746532613362</v>
      </c>
      <c r="I2676" s="21">
        <f t="shared" ca="1" si="451"/>
        <v>8173.1663760343981</v>
      </c>
      <c r="J2676" s="20">
        <f t="shared" ca="1" si="460"/>
        <v>0</v>
      </c>
      <c r="K2676" s="20">
        <f t="shared" ca="1" si="452"/>
        <v>2</v>
      </c>
      <c r="L2676" s="44">
        <f t="shared" ca="1" si="457"/>
        <v>1</v>
      </c>
    </row>
    <row r="2677" spans="1:12" x14ac:dyDescent="0.25">
      <c r="A2677" s="20">
        <v>2669</v>
      </c>
      <c r="B2677" s="21">
        <f t="shared" ca="1" si="453"/>
        <v>2.4163758345398021</v>
      </c>
      <c r="C2677" s="21">
        <f t="shared" ca="1" si="458"/>
        <v>8171.8910290958756</v>
      </c>
      <c r="D2677" s="21">
        <f t="shared" ca="1" si="454"/>
        <v>3.5256607551553429</v>
      </c>
      <c r="E2677" s="21">
        <f t="shared" ca="1" si="461"/>
        <v>1.2753469385224889</v>
      </c>
      <c r="F2677" s="20" t="str">
        <f t="shared" ca="1" si="459"/>
        <v>No</v>
      </c>
      <c r="G2677" s="21">
        <f t="shared" ca="1" si="455"/>
        <v>0</v>
      </c>
      <c r="H2677" s="21">
        <f t="shared" ca="1" si="456"/>
        <v>8173.1663760343981</v>
      </c>
      <c r="I2677" s="21">
        <f t="shared" ca="1" si="451"/>
        <v>8176.6920367895536</v>
      </c>
      <c r="J2677" s="20">
        <f t="shared" ca="1" si="460"/>
        <v>3</v>
      </c>
      <c r="K2677" s="20">
        <f t="shared" ca="1" si="452"/>
        <v>1</v>
      </c>
      <c r="L2677" s="44">
        <f t="shared" ca="1" si="457"/>
        <v>2</v>
      </c>
    </row>
    <row r="2678" spans="1:12" x14ac:dyDescent="0.25">
      <c r="A2678" s="20">
        <v>2670</v>
      </c>
      <c r="B2678" s="21">
        <f t="shared" ca="1" si="453"/>
        <v>9.3754431346704373E-2</v>
      </c>
      <c r="C2678" s="21">
        <f t="shared" ca="1" si="458"/>
        <v>8171.9847835272221</v>
      </c>
      <c r="D2678" s="21">
        <f t="shared" ca="1" si="454"/>
        <v>1.457150600140299</v>
      </c>
      <c r="E2678" s="21">
        <f t="shared" ca="1" si="461"/>
        <v>4.7072532623315055</v>
      </c>
      <c r="F2678" s="20" t="str">
        <f t="shared" ca="1" si="459"/>
        <v>No</v>
      </c>
      <c r="G2678" s="21">
        <f t="shared" ca="1" si="455"/>
        <v>0</v>
      </c>
      <c r="H2678" s="21">
        <f t="shared" ca="1" si="456"/>
        <v>8176.6920367895536</v>
      </c>
      <c r="I2678" s="21">
        <f t="shared" ca="1" si="451"/>
        <v>8178.1491873896939</v>
      </c>
      <c r="J2678" s="20">
        <f t="shared" ca="1" si="460"/>
        <v>2</v>
      </c>
      <c r="K2678" s="20">
        <f t="shared" ca="1" si="452"/>
        <v>0</v>
      </c>
      <c r="L2678" s="44">
        <f t="shared" ca="1" si="457"/>
        <v>1</v>
      </c>
    </row>
    <row r="2679" spans="1:12" x14ac:dyDescent="0.25">
      <c r="A2679" s="20">
        <v>2671</v>
      </c>
      <c r="B2679" s="21">
        <f t="shared" ca="1" si="453"/>
        <v>12.559052270925802</v>
      </c>
      <c r="C2679" s="21">
        <f t="shared" ca="1" si="458"/>
        <v>8184.5438357981475</v>
      </c>
      <c r="D2679" s="21">
        <f t="shared" ca="1" si="454"/>
        <v>3.91816992941789</v>
      </c>
      <c r="E2679" s="21">
        <f t="shared" ca="1" si="461"/>
        <v>0</v>
      </c>
      <c r="F2679" s="20" t="str">
        <f t="shared" ca="1" si="459"/>
        <v>Yes</v>
      </c>
      <c r="G2679" s="21">
        <f t="shared" ca="1" si="455"/>
        <v>6.3946484084535768</v>
      </c>
      <c r="H2679" s="21">
        <f t="shared" ca="1" si="456"/>
        <v>8184.5438357981475</v>
      </c>
      <c r="I2679" s="21">
        <f t="shared" ca="1" si="451"/>
        <v>8188.4620057275652</v>
      </c>
      <c r="J2679" s="20">
        <f t="shared" ca="1" si="460"/>
        <v>0</v>
      </c>
      <c r="K2679" s="20">
        <f t="shared" ca="1" si="452"/>
        <v>1</v>
      </c>
      <c r="L2679" s="44">
        <f t="shared" ca="1" si="457"/>
        <v>0.5</v>
      </c>
    </row>
    <row r="2680" spans="1:12" x14ac:dyDescent="0.25">
      <c r="A2680" s="20">
        <v>2672</v>
      </c>
      <c r="B2680" s="21">
        <f t="shared" ca="1" si="453"/>
        <v>2.1043364587980302</v>
      </c>
      <c r="C2680" s="21">
        <f t="shared" ca="1" si="458"/>
        <v>8186.6481722569451</v>
      </c>
      <c r="D2680" s="21">
        <f t="shared" ca="1" si="454"/>
        <v>0.88070508454312746</v>
      </c>
      <c r="E2680" s="21">
        <f t="shared" ca="1" si="461"/>
        <v>1.8138334706200112</v>
      </c>
      <c r="F2680" s="20" t="str">
        <f t="shared" ca="1" si="459"/>
        <v>No</v>
      </c>
      <c r="G2680" s="21">
        <f t="shared" ca="1" si="455"/>
        <v>0</v>
      </c>
      <c r="H2680" s="21">
        <f t="shared" ca="1" si="456"/>
        <v>8188.4620057275652</v>
      </c>
      <c r="I2680" s="21">
        <f t="shared" ca="1" si="451"/>
        <v>8189.3427108121086</v>
      </c>
      <c r="J2680" s="20">
        <f t="shared" ca="1" si="460"/>
        <v>2</v>
      </c>
      <c r="K2680" s="20">
        <f t="shared" ca="1" si="452"/>
        <v>0</v>
      </c>
      <c r="L2680" s="44">
        <f t="shared" ca="1" si="457"/>
        <v>1</v>
      </c>
    </row>
    <row r="2681" spans="1:12" x14ac:dyDescent="0.25">
      <c r="A2681" s="20">
        <v>2673</v>
      </c>
      <c r="B2681" s="21">
        <f t="shared" ca="1" si="453"/>
        <v>3.4808295879394562</v>
      </c>
      <c r="C2681" s="21">
        <f t="shared" ca="1" si="458"/>
        <v>8190.1290018448844</v>
      </c>
      <c r="D2681" s="21">
        <f t="shared" ca="1" si="454"/>
        <v>2.5981176199418141</v>
      </c>
      <c r="E2681" s="21">
        <f t="shared" ca="1" si="461"/>
        <v>0</v>
      </c>
      <c r="F2681" s="20" t="str">
        <f t="shared" ca="1" si="459"/>
        <v>Yes</v>
      </c>
      <c r="G2681" s="21">
        <f t="shared" ca="1" si="455"/>
        <v>0.78629103277580725</v>
      </c>
      <c r="H2681" s="21">
        <f t="shared" ca="1" si="456"/>
        <v>8190.1290018448844</v>
      </c>
      <c r="I2681" s="21">
        <f t="shared" ca="1" si="451"/>
        <v>8192.7271194648256</v>
      </c>
      <c r="J2681" s="20">
        <f t="shared" ca="1" si="460"/>
        <v>0</v>
      </c>
      <c r="K2681" s="20">
        <f t="shared" ca="1" si="452"/>
        <v>0</v>
      </c>
      <c r="L2681" s="44">
        <f t="shared" ca="1" si="457"/>
        <v>0</v>
      </c>
    </row>
    <row r="2682" spans="1:12" x14ac:dyDescent="0.25">
      <c r="A2682" s="20">
        <v>2674</v>
      </c>
      <c r="B2682" s="21">
        <f t="shared" ca="1" si="453"/>
        <v>2.8645721186621937</v>
      </c>
      <c r="C2682" s="21">
        <f t="shared" ca="1" si="458"/>
        <v>8192.9935739635475</v>
      </c>
      <c r="D2682" s="21">
        <f t="shared" ca="1" si="454"/>
        <v>2.2459146377612638</v>
      </c>
      <c r="E2682" s="21">
        <f t="shared" ca="1" si="461"/>
        <v>0</v>
      </c>
      <c r="F2682" s="20" t="str">
        <f t="shared" ca="1" si="459"/>
        <v>Yes</v>
      </c>
      <c r="G2682" s="21">
        <f t="shared" ca="1" si="455"/>
        <v>0.26645449872194149</v>
      </c>
      <c r="H2682" s="21">
        <f t="shared" ca="1" si="456"/>
        <v>8192.9935739635475</v>
      </c>
      <c r="I2682" s="21">
        <f t="shared" ca="1" si="451"/>
        <v>8195.239488601308</v>
      </c>
      <c r="J2682" s="20">
        <f t="shared" ca="1" si="460"/>
        <v>0</v>
      </c>
      <c r="K2682" s="20">
        <f t="shared" ca="1" si="452"/>
        <v>1</v>
      </c>
      <c r="L2682" s="44">
        <f t="shared" ca="1" si="457"/>
        <v>0.5</v>
      </c>
    </row>
    <row r="2683" spans="1:12" x14ac:dyDescent="0.25">
      <c r="A2683" s="20">
        <v>2675</v>
      </c>
      <c r="B2683" s="21">
        <f t="shared" ca="1" si="453"/>
        <v>0.48681458413671808</v>
      </c>
      <c r="C2683" s="21">
        <f t="shared" ca="1" si="458"/>
        <v>8193.4803885476849</v>
      </c>
      <c r="D2683" s="21">
        <f t="shared" ca="1" si="454"/>
        <v>2.1314174523861875</v>
      </c>
      <c r="E2683" s="21">
        <f t="shared" ca="1" si="461"/>
        <v>1.7591000536231149</v>
      </c>
      <c r="F2683" s="20" t="str">
        <f t="shared" ca="1" si="459"/>
        <v>No</v>
      </c>
      <c r="G2683" s="21">
        <f t="shared" ca="1" si="455"/>
        <v>0</v>
      </c>
      <c r="H2683" s="21">
        <f t="shared" ca="1" si="456"/>
        <v>8195.239488601308</v>
      </c>
      <c r="I2683" s="21">
        <f t="shared" ca="1" si="451"/>
        <v>8197.3709060536949</v>
      </c>
      <c r="J2683" s="20">
        <f t="shared" ca="1" si="460"/>
        <v>2</v>
      </c>
      <c r="K2683" s="20">
        <f t="shared" ca="1" si="452"/>
        <v>1</v>
      </c>
      <c r="L2683" s="44">
        <f t="shared" ca="1" si="457"/>
        <v>1.5</v>
      </c>
    </row>
    <row r="2684" spans="1:12" x14ac:dyDescent="0.25">
      <c r="A2684" s="20">
        <v>2676</v>
      </c>
      <c r="B2684" s="21">
        <f t="shared" ca="1" si="453"/>
        <v>3.8795453045920025</v>
      </c>
      <c r="C2684" s="21">
        <f t="shared" ca="1" si="458"/>
        <v>8197.3599338522763</v>
      </c>
      <c r="D2684" s="21">
        <f t="shared" ca="1" si="454"/>
        <v>0.81663399252915325</v>
      </c>
      <c r="E2684" s="21">
        <f t="shared" ca="1" si="461"/>
        <v>1.0972201418553595E-2</v>
      </c>
      <c r="F2684" s="20" t="str">
        <f t="shared" ca="1" si="459"/>
        <v>No</v>
      </c>
      <c r="G2684" s="21">
        <f t="shared" ca="1" si="455"/>
        <v>0</v>
      </c>
      <c r="H2684" s="21">
        <f t="shared" ca="1" si="456"/>
        <v>8197.3709060536949</v>
      </c>
      <c r="I2684" s="21">
        <f t="shared" ca="1" si="451"/>
        <v>8198.1875400462231</v>
      </c>
      <c r="J2684" s="20">
        <f t="shared" ca="1" si="460"/>
        <v>2</v>
      </c>
      <c r="K2684" s="20">
        <f t="shared" ca="1" si="452"/>
        <v>0</v>
      </c>
      <c r="L2684" s="44">
        <f t="shared" ca="1" si="457"/>
        <v>1</v>
      </c>
    </row>
    <row r="2685" spans="1:12" x14ac:dyDescent="0.25">
      <c r="A2685" s="20">
        <v>2677</v>
      </c>
      <c r="B2685" s="21">
        <f t="shared" ca="1" si="453"/>
        <v>4.0978025022413958</v>
      </c>
      <c r="C2685" s="21">
        <f t="shared" ca="1" si="458"/>
        <v>8201.4577363545177</v>
      </c>
      <c r="D2685" s="21">
        <f t="shared" ca="1" si="454"/>
        <v>3.8750079558298594</v>
      </c>
      <c r="E2685" s="21">
        <f t="shared" ca="1" si="461"/>
        <v>0</v>
      </c>
      <c r="F2685" s="20" t="str">
        <f t="shared" ca="1" si="459"/>
        <v>Yes</v>
      </c>
      <c r="G2685" s="21">
        <f t="shared" ca="1" si="455"/>
        <v>3.270196308294544</v>
      </c>
      <c r="H2685" s="21">
        <f t="shared" ca="1" si="456"/>
        <v>8201.4577363545177</v>
      </c>
      <c r="I2685" s="21">
        <f t="shared" ca="1" si="451"/>
        <v>8205.3327443103481</v>
      </c>
      <c r="J2685" s="20">
        <f t="shared" ca="1" si="460"/>
        <v>0</v>
      </c>
      <c r="K2685" s="20">
        <f t="shared" ca="1" si="452"/>
        <v>0</v>
      </c>
      <c r="L2685" s="44">
        <f t="shared" ca="1" si="457"/>
        <v>0</v>
      </c>
    </row>
    <row r="2686" spans="1:12" x14ac:dyDescent="0.25">
      <c r="A2686" s="20">
        <v>2678</v>
      </c>
      <c r="B2686" s="21">
        <f t="shared" ca="1" si="453"/>
        <v>10.953610586855314</v>
      </c>
      <c r="C2686" s="21">
        <f t="shared" ca="1" si="458"/>
        <v>8212.4113469413733</v>
      </c>
      <c r="D2686" s="21">
        <f t="shared" ca="1" si="454"/>
        <v>0.82892252919459009</v>
      </c>
      <c r="E2686" s="21">
        <f t="shared" ca="1" si="461"/>
        <v>0</v>
      </c>
      <c r="F2686" s="20" t="str">
        <f t="shared" ca="1" si="459"/>
        <v>Yes</v>
      </c>
      <c r="G2686" s="21">
        <f t="shared" ca="1" si="455"/>
        <v>7.0786026310252055</v>
      </c>
      <c r="H2686" s="21">
        <f t="shared" ca="1" si="456"/>
        <v>8212.4113469413733</v>
      </c>
      <c r="I2686" s="21">
        <f t="shared" ca="1" si="451"/>
        <v>8213.240269470567</v>
      </c>
      <c r="J2686" s="20">
        <f t="shared" ca="1" si="460"/>
        <v>0</v>
      </c>
      <c r="K2686" s="20">
        <f t="shared" ca="1" si="452"/>
        <v>0</v>
      </c>
      <c r="L2686" s="44">
        <f t="shared" ca="1" si="457"/>
        <v>0</v>
      </c>
    </row>
    <row r="2687" spans="1:12" x14ac:dyDescent="0.25">
      <c r="A2687" s="20">
        <v>2679</v>
      </c>
      <c r="B2687" s="21">
        <f t="shared" ca="1" si="453"/>
        <v>0.98919778999500185</v>
      </c>
      <c r="C2687" s="21">
        <f t="shared" ca="1" si="458"/>
        <v>8213.4005447313684</v>
      </c>
      <c r="D2687" s="21">
        <f t="shared" ca="1" si="454"/>
        <v>4.1196060292945376</v>
      </c>
      <c r="E2687" s="21">
        <f t="shared" ca="1" si="461"/>
        <v>0</v>
      </c>
      <c r="F2687" s="20" t="str">
        <f t="shared" ca="1" si="459"/>
        <v>Yes</v>
      </c>
      <c r="G2687" s="21">
        <f t="shared" ca="1" si="455"/>
        <v>0.16027526080142707</v>
      </c>
      <c r="H2687" s="21">
        <f t="shared" ca="1" si="456"/>
        <v>8213.4005447313684</v>
      </c>
      <c r="I2687" s="21">
        <f t="shared" ca="1" si="451"/>
        <v>8217.5201507606635</v>
      </c>
      <c r="J2687" s="20">
        <f t="shared" ca="1" si="460"/>
        <v>0</v>
      </c>
      <c r="K2687" s="20">
        <f t="shared" ca="1" si="452"/>
        <v>0</v>
      </c>
      <c r="L2687" s="44">
        <f t="shared" ca="1" si="457"/>
        <v>0</v>
      </c>
    </row>
    <row r="2688" spans="1:12" x14ac:dyDescent="0.25">
      <c r="A2688" s="20">
        <v>2680</v>
      </c>
      <c r="B2688" s="21">
        <f t="shared" ca="1" si="453"/>
        <v>6.5542354064787451</v>
      </c>
      <c r="C2688" s="21">
        <f t="shared" ca="1" si="458"/>
        <v>8219.9547801378467</v>
      </c>
      <c r="D2688" s="21">
        <f t="shared" ca="1" si="454"/>
        <v>7.8159588064864033E-2</v>
      </c>
      <c r="E2688" s="21">
        <f t="shared" ca="1" si="461"/>
        <v>0</v>
      </c>
      <c r="F2688" s="20" t="str">
        <f t="shared" ca="1" si="459"/>
        <v>Yes</v>
      </c>
      <c r="G2688" s="21">
        <f t="shared" ca="1" si="455"/>
        <v>2.4346293771832279</v>
      </c>
      <c r="H2688" s="21">
        <f t="shared" ca="1" si="456"/>
        <v>8219.9547801378467</v>
      </c>
      <c r="I2688" s="21">
        <f t="shared" ca="1" si="451"/>
        <v>8220.032939725912</v>
      </c>
      <c r="J2688" s="20">
        <f t="shared" ca="1" si="460"/>
        <v>0</v>
      </c>
      <c r="K2688" s="20">
        <f t="shared" ca="1" si="452"/>
        <v>0</v>
      </c>
      <c r="L2688" s="44">
        <f t="shared" ca="1" si="457"/>
        <v>0</v>
      </c>
    </row>
    <row r="2689" spans="1:12" x14ac:dyDescent="0.25">
      <c r="A2689" s="20">
        <v>2681</v>
      </c>
      <c r="B2689" s="21">
        <f t="shared" ca="1" si="453"/>
        <v>1.6696733075899457</v>
      </c>
      <c r="C2689" s="21">
        <f t="shared" ca="1" si="458"/>
        <v>8221.6244534454363</v>
      </c>
      <c r="D2689" s="21">
        <f t="shared" ca="1" si="454"/>
        <v>1.7851699860706209</v>
      </c>
      <c r="E2689" s="21">
        <f t="shared" ca="1" si="461"/>
        <v>0</v>
      </c>
      <c r="F2689" s="20" t="str">
        <f t="shared" ca="1" si="459"/>
        <v>Yes</v>
      </c>
      <c r="G2689" s="21">
        <f t="shared" ca="1" si="455"/>
        <v>1.5915137195243005</v>
      </c>
      <c r="H2689" s="21">
        <f t="shared" ca="1" si="456"/>
        <v>8221.6244534454363</v>
      </c>
      <c r="I2689" s="21">
        <f t="shared" ca="1" si="451"/>
        <v>8223.4096234315075</v>
      </c>
      <c r="J2689" s="20">
        <f t="shared" ca="1" si="460"/>
        <v>0</v>
      </c>
      <c r="K2689" s="20">
        <f t="shared" ca="1" si="452"/>
        <v>0</v>
      </c>
      <c r="L2689" s="44">
        <f t="shared" ca="1" si="457"/>
        <v>0</v>
      </c>
    </row>
    <row r="2690" spans="1:12" x14ac:dyDescent="0.25">
      <c r="A2690" s="20">
        <v>2682</v>
      </c>
      <c r="B2690" s="21">
        <f t="shared" ca="1" si="453"/>
        <v>6.3617855041947067</v>
      </c>
      <c r="C2690" s="21">
        <f t="shared" ca="1" si="458"/>
        <v>8227.9862389496302</v>
      </c>
      <c r="D2690" s="21">
        <f t="shared" ca="1" si="454"/>
        <v>3.6722806274301738</v>
      </c>
      <c r="E2690" s="21">
        <f t="shared" ca="1" si="461"/>
        <v>0</v>
      </c>
      <c r="F2690" s="20" t="str">
        <f t="shared" ca="1" si="459"/>
        <v>Yes</v>
      </c>
      <c r="G2690" s="21">
        <f t="shared" ca="1" si="455"/>
        <v>4.5766155181227077</v>
      </c>
      <c r="H2690" s="21">
        <f t="shared" ca="1" si="456"/>
        <v>8227.9862389496302</v>
      </c>
      <c r="I2690" s="21">
        <f t="shared" ca="1" si="451"/>
        <v>8231.6585195770604</v>
      </c>
      <c r="J2690" s="20">
        <f t="shared" ca="1" si="460"/>
        <v>0</v>
      </c>
      <c r="K2690" s="20">
        <f t="shared" ca="1" si="452"/>
        <v>1</v>
      </c>
      <c r="L2690" s="44">
        <f t="shared" ca="1" si="457"/>
        <v>0.5</v>
      </c>
    </row>
    <row r="2691" spans="1:12" x14ac:dyDescent="0.25">
      <c r="A2691" s="20">
        <v>2683</v>
      </c>
      <c r="B2691" s="21">
        <f t="shared" ca="1" si="453"/>
        <v>3.1113056619169965</v>
      </c>
      <c r="C2691" s="21">
        <f t="shared" ca="1" si="458"/>
        <v>8231.0975446115481</v>
      </c>
      <c r="D2691" s="21">
        <f t="shared" ca="1" si="454"/>
        <v>1.5115241304273588</v>
      </c>
      <c r="E2691" s="21">
        <f t="shared" ca="1" si="461"/>
        <v>0.56097496551228687</v>
      </c>
      <c r="F2691" s="20" t="str">
        <f t="shared" ca="1" si="459"/>
        <v>No</v>
      </c>
      <c r="G2691" s="21">
        <f t="shared" ca="1" si="455"/>
        <v>0</v>
      </c>
      <c r="H2691" s="21">
        <f t="shared" ca="1" si="456"/>
        <v>8231.6585195770604</v>
      </c>
      <c r="I2691" s="21">
        <f t="shared" ca="1" si="451"/>
        <v>8233.1700437074869</v>
      </c>
      <c r="J2691" s="20">
        <f t="shared" ca="1" si="460"/>
        <v>2</v>
      </c>
      <c r="K2691" s="20">
        <f t="shared" ca="1" si="452"/>
        <v>2</v>
      </c>
      <c r="L2691" s="44">
        <f t="shared" ca="1" si="457"/>
        <v>2</v>
      </c>
    </row>
    <row r="2692" spans="1:12" x14ac:dyDescent="0.25">
      <c r="A2692" s="20">
        <v>2684</v>
      </c>
      <c r="B2692" s="21">
        <f t="shared" ca="1" si="453"/>
        <v>1.0210868427761155</v>
      </c>
      <c r="C2692" s="21">
        <f t="shared" ca="1" si="458"/>
        <v>8232.1186314543247</v>
      </c>
      <c r="D2692" s="21">
        <f t="shared" ca="1" si="454"/>
        <v>0.47552584422979594</v>
      </c>
      <c r="E2692" s="21">
        <f t="shared" ca="1" si="461"/>
        <v>1.0514122531621979</v>
      </c>
      <c r="F2692" s="20" t="str">
        <f t="shared" ca="1" si="459"/>
        <v>No</v>
      </c>
      <c r="G2692" s="21">
        <f t="shared" ca="1" si="455"/>
        <v>0</v>
      </c>
      <c r="H2692" s="21">
        <f t="shared" ca="1" si="456"/>
        <v>8233.1700437074869</v>
      </c>
      <c r="I2692" s="21">
        <f t="shared" ca="1" si="451"/>
        <v>8233.6455695517161</v>
      </c>
      <c r="J2692" s="20">
        <f t="shared" ca="1" si="460"/>
        <v>3</v>
      </c>
      <c r="K2692" s="20">
        <f t="shared" ca="1" si="452"/>
        <v>2</v>
      </c>
      <c r="L2692" s="44">
        <f t="shared" ca="1" si="457"/>
        <v>2.5</v>
      </c>
    </row>
    <row r="2693" spans="1:12" x14ac:dyDescent="0.25">
      <c r="A2693" s="20">
        <v>2685</v>
      </c>
      <c r="B2693" s="21">
        <f t="shared" ca="1" si="453"/>
        <v>0.32436124382436649</v>
      </c>
      <c r="C2693" s="21">
        <f t="shared" ca="1" si="458"/>
        <v>8232.4429926981484</v>
      </c>
      <c r="D2693" s="21">
        <f t="shared" ca="1" si="454"/>
        <v>0.1411294021881889</v>
      </c>
      <c r="E2693" s="21">
        <f t="shared" ca="1" si="461"/>
        <v>1.2025768535677344</v>
      </c>
      <c r="F2693" s="20" t="str">
        <f t="shared" ca="1" si="459"/>
        <v>No</v>
      </c>
      <c r="G2693" s="21">
        <f t="shared" ca="1" si="455"/>
        <v>0</v>
      </c>
      <c r="H2693" s="21">
        <f t="shared" ca="1" si="456"/>
        <v>8233.6455695517161</v>
      </c>
      <c r="I2693" s="21">
        <f t="shared" ca="1" si="451"/>
        <v>8233.7866989539034</v>
      </c>
      <c r="J2693" s="20">
        <f t="shared" ca="1" si="460"/>
        <v>3</v>
      </c>
      <c r="K2693" s="20">
        <f t="shared" ca="1" si="452"/>
        <v>1</v>
      </c>
      <c r="L2693" s="44">
        <f t="shared" ca="1" si="457"/>
        <v>2</v>
      </c>
    </row>
    <row r="2694" spans="1:12" x14ac:dyDescent="0.25">
      <c r="A2694" s="20">
        <v>2686</v>
      </c>
      <c r="B2694" s="21">
        <f t="shared" ca="1" si="453"/>
        <v>1.0901374488931022</v>
      </c>
      <c r="C2694" s="21">
        <f t="shared" ca="1" si="458"/>
        <v>8233.5331301470414</v>
      </c>
      <c r="D2694" s="21">
        <f t="shared" ca="1" si="454"/>
        <v>3.715651485988364</v>
      </c>
      <c r="E2694" s="21">
        <f t="shared" ca="1" si="461"/>
        <v>0.25356880686194927</v>
      </c>
      <c r="F2694" s="20" t="str">
        <f t="shared" ca="1" si="459"/>
        <v>No</v>
      </c>
      <c r="G2694" s="21">
        <f t="shared" ca="1" si="455"/>
        <v>0</v>
      </c>
      <c r="H2694" s="21">
        <f t="shared" ca="1" si="456"/>
        <v>8233.7866989539034</v>
      </c>
      <c r="I2694" s="21">
        <f t="shared" ca="1" si="451"/>
        <v>8237.5023504398923</v>
      </c>
      <c r="J2694" s="20">
        <f t="shared" ca="1" si="460"/>
        <v>2</v>
      </c>
      <c r="K2694" s="20">
        <f t="shared" ca="1" si="452"/>
        <v>0</v>
      </c>
      <c r="L2694" s="44">
        <f t="shared" ca="1" si="457"/>
        <v>1</v>
      </c>
    </row>
    <row r="2695" spans="1:12" x14ac:dyDescent="0.25">
      <c r="A2695" s="20">
        <v>2687</v>
      </c>
      <c r="B2695" s="21">
        <f t="shared" ca="1" si="453"/>
        <v>5.0315816334440129</v>
      </c>
      <c r="C2695" s="21">
        <f t="shared" ca="1" si="458"/>
        <v>8238.5647117804856</v>
      </c>
      <c r="D2695" s="21">
        <f t="shared" ca="1" si="454"/>
        <v>1.6340847014923845</v>
      </c>
      <c r="E2695" s="21">
        <f t="shared" ca="1" si="461"/>
        <v>0</v>
      </c>
      <c r="F2695" s="20" t="str">
        <f t="shared" ca="1" si="459"/>
        <v>Yes</v>
      </c>
      <c r="G2695" s="21">
        <f t="shared" ca="1" si="455"/>
        <v>1.0623613405932701</v>
      </c>
      <c r="H2695" s="21">
        <f t="shared" ca="1" si="456"/>
        <v>8238.5647117804856</v>
      </c>
      <c r="I2695" s="21">
        <f t="shared" ca="1" si="451"/>
        <v>8240.1987964819782</v>
      </c>
      <c r="J2695" s="20">
        <f t="shared" ca="1" si="460"/>
        <v>0</v>
      </c>
      <c r="K2695" s="20">
        <f t="shared" ca="1" si="452"/>
        <v>0</v>
      </c>
      <c r="L2695" s="44">
        <f t="shared" ca="1" si="457"/>
        <v>0</v>
      </c>
    </row>
    <row r="2696" spans="1:12" x14ac:dyDescent="0.25">
      <c r="A2696" s="20">
        <v>2688</v>
      </c>
      <c r="B2696" s="21">
        <f t="shared" ca="1" si="453"/>
        <v>3.7507321725416247</v>
      </c>
      <c r="C2696" s="21">
        <f t="shared" ca="1" si="458"/>
        <v>8242.3154439530281</v>
      </c>
      <c r="D2696" s="21">
        <f t="shared" ca="1" si="454"/>
        <v>2.3081405167949769</v>
      </c>
      <c r="E2696" s="21">
        <f t="shared" ca="1" si="461"/>
        <v>0</v>
      </c>
      <c r="F2696" s="20" t="str">
        <f t="shared" ca="1" si="459"/>
        <v>Yes</v>
      </c>
      <c r="G2696" s="21">
        <f t="shared" ca="1" si="455"/>
        <v>2.1166474710498733</v>
      </c>
      <c r="H2696" s="21">
        <f t="shared" ca="1" si="456"/>
        <v>8242.3154439530281</v>
      </c>
      <c r="I2696" s="21">
        <f t="shared" ca="1" si="451"/>
        <v>8244.6235844698222</v>
      </c>
      <c r="J2696" s="20">
        <f t="shared" ca="1" si="460"/>
        <v>0</v>
      </c>
      <c r="K2696" s="20">
        <f t="shared" ca="1" si="452"/>
        <v>1</v>
      </c>
      <c r="L2696" s="44">
        <f t="shared" ca="1" si="457"/>
        <v>0.5</v>
      </c>
    </row>
    <row r="2697" spans="1:12" x14ac:dyDescent="0.25">
      <c r="A2697" s="20">
        <v>2689</v>
      </c>
      <c r="B2697" s="21">
        <f t="shared" ca="1" si="453"/>
        <v>3.2208739908778358E-2</v>
      </c>
      <c r="C2697" s="21">
        <f t="shared" ca="1" si="458"/>
        <v>8242.3476526929371</v>
      </c>
      <c r="D2697" s="21">
        <f t="shared" ca="1" si="454"/>
        <v>1.9515768583438868</v>
      </c>
      <c r="E2697" s="21">
        <f t="shared" ca="1" si="461"/>
        <v>2.2759317768850451</v>
      </c>
      <c r="F2697" s="20" t="str">
        <f t="shared" ca="1" si="459"/>
        <v>No</v>
      </c>
      <c r="G2697" s="21">
        <f t="shared" ca="1" si="455"/>
        <v>0</v>
      </c>
      <c r="H2697" s="21">
        <f t="shared" ca="1" si="456"/>
        <v>8244.6235844698222</v>
      </c>
      <c r="I2697" s="21">
        <f t="shared" ref="I2697:I2760" ca="1" si="462">$H2697+$D2697</f>
        <v>8246.5751613281664</v>
      </c>
      <c r="J2697" s="20">
        <f t="shared" ca="1" si="460"/>
        <v>2</v>
      </c>
      <c r="K2697" s="20">
        <f t="shared" ref="K2697:K2760" ca="1" si="463">IF($I2697&lt;=$C2698,0,IF($I2697&lt;=$C2699,1,IF($I2697&lt;=$C2700,2,IF($I2697&lt;=$C2701,3,IF($I2697&lt;=$C2702,4,5)))))</f>
        <v>0</v>
      </c>
      <c r="L2697" s="44">
        <f t="shared" ca="1" si="457"/>
        <v>1</v>
      </c>
    </row>
    <row r="2698" spans="1:12" x14ac:dyDescent="0.25">
      <c r="A2698" s="20">
        <v>2690</v>
      </c>
      <c r="B2698" s="21">
        <f t="shared" ref="B2698:B2761" ca="1" si="464">-LN(RAND())/$D$4</f>
        <v>8.336420696406222</v>
      </c>
      <c r="C2698" s="21">
        <f t="shared" ca="1" si="458"/>
        <v>8250.6840733893441</v>
      </c>
      <c r="D2698" s="21">
        <f t="shared" ref="D2698:D2761" ca="1" si="465">-LN(RAND())/$D$6</f>
        <v>2.5681261291980428</v>
      </c>
      <c r="E2698" s="21">
        <f t="shared" ca="1" si="461"/>
        <v>0</v>
      </c>
      <c r="F2698" s="20" t="str">
        <f t="shared" ca="1" si="459"/>
        <v>Yes</v>
      </c>
      <c r="G2698" s="21">
        <f t="shared" ref="G2698:G2761" ca="1" si="466">IF($I2697&lt;=$C2698,$C2698-$I2697,0)</f>
        <v>4.1089120611777616</v>
      </c>
      <c r="H2698" s="21">
        <f t="shared" ref="H2698:H2761" ca="1" si="467">IF($I2697&lt;=$C2698,$C2698,$I2697)</f>
        <v>8250.6840733893441</v>
      </c>
      <c r="I2698" s="21">
        <f t="shared" ca="1" si="462"/>
        <v>8253.2521995185416</v>
      </c>
      <c r="J2698" s="20">
        <f t="shared" ca="1" si="460"/>
        <v>0</v>
      </c>
      <c r="K2698" s="20">
        <f t="shared" ca="1" si="463"/>
        <v>1</v>
      </c>
      <c r="L2698" s="44">
        <f t="shared" ref="L2698:L2761" ca="1" si="468">(J2698+K2698)/2</f>
        <v>0.5</v>
      </c>
    </row>
    <row r="2699" spans="1:12" x14ac:dyDescent="0.25">
      <c r="A2699" s="20">
        <v>2691</v>
      </c>
      <c r="B2699" s="21">
        <f t="shared" ca="1" si="464"/>
        <v>0.75512836683483642</v>
      </c>
      <c r="C2699" s="21">
        <f t="shared" ref="C2699:C2762" ca="1" si="469">$C2698+$B2699</f>
        <v>8251.4392017561786</v>
      </c>
      <c r="D2699" s="21">
        <f t="shared" ca="1" si="465"/>
        <v>8.566244450242003</v>
      </c>
      <c r="E2699" s="21">
        <f t="shared" ca="1" si="461"/>
        <v>1.8129977623630111</v>
      </c>
      <c r="F2699" s="20" t="str">
        <f t="shared" ref="F2699:F2762" ca="1" si="470">IF(E2699=0,"Yes","No")</f>
        <v>No</v>
      </c>
      <c r="G2699" s="21">
        <f t="shared" ca="1" si="466"/>
        <v>0</v>
      </c>
      <c r="H2699" s="21">
        <f t="shared" ca="1" si="467"/>
        <v>8253.2521995185416</v>
      </c>
      <c r="I2699" s="21">
        <f t="shared" ca="1" si="462"/>
        <v>8261.818443968783</v>
      </c>
      <c r="J2699" s="20">
        <f t="shared" ref="J2699:J2762" ca="1" si="471">IF($I2698&lt;=$C2699,0,$K2698+1)</f>
        <v>2</v>
      </c>
      <c r="K2699" s="20">
        <f t="shared" ca="1" si="463"/>
        <v>4</v>
      </c>
      <c r="L2699" s="44">
        <f t="shared" ca="1" si="468"/>
        <v>3</v>
      </c>
    </row>
    <row r="2700" spans="1:12" x14ac:dyDescent="0.25">
      <c r="A2700" s="20">
        <v>2692</v>
      </c>
      <c r="B2700" s="21">
        <f t="shared" ca="1" si="464"/>
        <v>2.1881965162381531</v>
      </c>
      <c r="C2700" s="21">
        <f t="shared" ca="1" si="469"/>
        <v>8253.627398272416</v>
      </c>
      <c r="D2700" s="21">
        <f t="shared" ca="1" si="465"/>
        <v>4.6393759207473879</v>
      </c>
      <c r="E2700" s="21">
        <f t="shared" ref="E2700:E2763" ca="1" si="472">IF($I2699&lt;=$C2700,0,$I2699-$C2700)</f>
        <v>8.1910456963669276</v>
      </c>
      <c r="F2700" s="20" t="str">
        <f t="shared" ca="1" si="470"/>
        <v>No</v>
      </c>
      <c r="G2700" s="21">
        <f t="shared" ca="1" si="466"/>
        <v>0</v>
      </c>
      <c r="H2700" s="21">
        <f t="shared" ca="1" si="467"/>
        <v>8261.818443968783</v>
      </c>
      <c r="I2700" s="21">
        <f t="shared" ca="1" si="462"/>
        <v>8266.4578198895306</v>
      </c>
      <c r="J2700" s="20">
        <f t="shared" ca="1" si="471"/>
        <v>5</v>
      </c>
      <c r="K2700" s="20">
        <f t="shared" ca="1" si="463"/>
        <v>3</v>
      </c>
      <c r="L2700" s="44">
        <f t="shared" ca="1" si="468"/>
        <v>4</v>
      </c>
    </row>
    <row r="2701" spans="1:12" x14ac:dyDescent="0.25">
      <c r="A2701" s="20">
        <v>2693</v>
      </c>
      <c r="B2701" s="21">
        <f t="shared" ca="1" si="464"/>
        <v>4.0775193802598073</v>
      </c>
      <c r="C2701" s="21">
        <f t="shared" ca="1" si="469"/>
        <v>8257.7049176526762</v>
      </c>
      <c r="D2701" s="21">
        <f t="shared" ca="1" si="465"/>
        <v>2.4737227387990979</v>
      </c>
      <c r="E2701" s="21">
        <f t="shared" ca="1" si="472"/>
        <v>8.7529022368544247</v>
      </c>
      <c r="F2701" s="20" t="str">
        <f t="shared" ca="1" si="470"/>
        <v>No</v>
      </c>
      <c r="G2701" s="21">
        <f t="shared" ca="1" si="466"/>
        <v>0</v>
      </c>
      <c r="H2701" s="21">
        <f t="shared" ca="1" si="467"/>
        <v>8266.4578198895306</v>
      </c>
      <c r="I2701" s="21">
        <f t="shared" ca="1" si="462"/>
        <v>8268.9315426283301</v>
      </c>
      <c r="J2701" s="20">
        <f t="shared" ca="1" si="471"/>
        <v>4</v>
      </c>
      <c r="K2701" s="20">
        <f t="shared" ca="1" si="463"/>
        <v>2</v>
      </c>
      <c r="L2701" s="44">
        <f t="shared" ca="1" si="468"/>
        <v>3</v>
      </c>
    </row>
    <row r="2702" spans="1:12" x14ac:dyDescent="0.25">
      <c r="A2702" s="20">
        <v>2694</v>
      </c>
      <c r="B2702" s="21">
        <f t="shared" ca="1" si="464"/>
        <v>2.0549167827803965</v>
      </c>
      <c r="C2702" s="21">
        <f t="shared" ca="1" si="469"/>
        <v>8259.7598344354574</v>
      </c>
      <c r="D2702" s="21">
        <f t="shared" ca="1" si="465"/>
        <v>2.0072250678273615</v>
      </c>
      <c r="E2702" s="21">
        <f t="shared" ca="1" si="472"/>
        <v>9.1717081928727566</v>
      </c>
      <c r="F2702" s="20" t="str">
        <f t="shared" ca="1" si="470"/>
        <v>No</v>
      </c>
      <c r="G2702" s="21">
        <f t="shared" ca="1" si="466"/>
        <v>0</v>
      </c>
      <c r="H2702" s="21">
        <f t="shared" ca="1" si="467"/>
        <v>8268.9315426283301</v>
      </c>
      <c r="I2702" s="21">
        <f t="shared" ca="1" si="462"/>
        <v>8270.9387676961578</v>
      </c>
      <c r="J2702" s="20">
        <f t="shared" ca="1" si="471"/>
        <v>3</v>
      </c>
      <c r="K2702" s="20">
        <f t="shared" ca="1" si="463"/>
        <v>2</v>
      </c>
      <c r="L2702" s="44">
        <f t="shared" ca="1" si="468"/>
        <v>2.5</v>
      </c>
    </row>
    <row r="2703" spans="1:12" x14ac:dyDescent="0.25">
      <c r="A2703" s="20">
        <v>2695</v>
      </c>
      <c r="B2703" s="21">
        <f t="shared" ca="1" si="464"/>
        <v>0.88000702089543126</v>
      </c>
      <c r="C2703" s="21">
        <f t="shared" ca="1" si="469"/>
        <v>8260.6398414563537</v>
      </c>
      <c r="D2703" s="21">
        <f t="shared" ca="1" si="465"/>
        <v>0.42997968120192448</v>
      </c>
      <c r="E2703" s="21">
        <f t="shared" ca="1" si="472"/>
        <v>10.298926239804132</v>
      </c>
      <c r="F2703" s="20" t="str">
        <f t="shared" ca="1" si="470"/>
        <v>No</v>
      </c>
      <c r="G2703" s="21">
        <f t="shared" ca="1" si="466"/>
        <v>0</v>
      </c>
      <c r="H2703" s="21">
        <f t="shared" ca="1" si="467"/>
        <v>8270.9387676961578</v>
      </c>
      <c r="I2703" s="21">
        <f t="shared" ca="1" si="462"/>
        <v>8271.3687473773589</v>
      </c>
      <c r="J2703" s="20">
        <f t="shared" ca="1" si="471"/>
        <v>3</v>
      </c>
      <c r="K2703" s="20">
        <f t="shared" ca="1" si="463"/>
        <v>1</v>
      </c>
      <c r="L2703" s="44">
        <f t="shared" ca="1" si="468"/>
        <v>2</v>
      </c>
    </row>
    <row r="2704" spans="1:12" x14ac:dyDescent="0.25">
      <c r="A2704" s="20">
        <v>2696</v>
      </c>
      <c r="B2704" s="21">
        <f t="shared" ca="1" si="464"/>
        <v>9.5552996198421543</v>
      </c>
      <c r="C2704" s="21">
        <f t="shared" ca="1" si="469"/>
        <v>8270.1951410761958</v>
      </c>
      <c r="D2704" s="21">
        <f t="shared" ca="1" si="465"/>
        <v>2.0462225585891094</v>
      </c>
      <c r="E2704" s="21">
        <f t="shared" ca="1" si="472"/>
        <v>1.1736063011630904</v>
      </c>
      <c r="F2704" s="20" t="str">
        <f t="shared" ca="1" si="470"/>
        <v>No</v>
      </c>
      <c r="G2704" s="21">
        <f t="shared" ca="1" si="466"/>
        <v>0</v>
      </c>
      <c r="H2704" s="21">
        <f t="shared" ca="1" si="467"/>
        <v>8271.3687473773589</v>
      </c>
      <c r="I2704" s="21">
        <f t="shared" ca="1" si="462"/>
        <v>8273.4149699359477</v>
      </c>
      <c r="J2704" s="20">
        <f t="shared" ca="1" si="471"/>
        <v>2</v>
      </c>
      <c r="K2704" s="20">
        <f t="shared" ca="1" si="463"/>
        <v>1</v>
      </c>
      <c r="L2704" s="44">
        <f t="shared" ca="1" si="468"/>
        <v>1.5</v>
      </c>
    </row>
    <row r="2705" spans="1:12" x14ac:dyDescent="0.25">
      <c r="A2705" s="20">
        <v>2697</v>
      </c>
      <c r="B2705" s="21">
        <f t="shared" ca="1" si="464"/>
        <v>2.9167709461502676</v>
      </c>
      <c r="C2705" s="21">
        <f t="shared" ca="1" si="469"/>
        <v>8273.1119120223466</v>
      </c>
      <c r="D2705" s="21">
        <f t="shared" ca="1" si="465"/>
        <v>0.11788609021605445</v>
      </c>
      <c r="E2705" s="21">
        <f t="shared" ca="1" si="472"/>
        <v>0.30305791360115109</v>
      </c>
      <c r="F2705" s="20" t="str">
        <f t="shared" ca="1" si="470"/>
        <v>No</v>
      </c>
      <c r="G2705" s="21">
        <f t="shared" ca="1" si="466"/>
        <v>0</v>
      </c>
      <c r="H2705" s="21">
        <f t="shared" ca="1" si="467"/>
        <v>8273.4149699359477</v>
      </c>
      <c r="I2705" s="21">
        <f t="shared" ca="1" si="462"/>
        <v>8273.5328560261642</v>
      </c>
      <c r="J2705" s="20">
        <f t="shared" ca="1" si="471"/>
        <v>2</v>
      </c>
      <c r="K2705" s="20">
        <f t="shared" ca="1" si="463"/>
        <v>0</v>
      </c>
      <c r="L2705" s="44">
        <f t="shared" ca="1" si="468"/>
        <v>1</v>
      </c>
    </row>
    <row r="2706" spans="1:12" x14ac:dyDescent="0.25">
      <c r="A2706" s="20">
        <v>2698</v>
      </c>
      <c r="B2706" s="21">
        <f t="shared" ca="1" si="464"/>
        <v>3.4323778777366538</v>
      </c>
      <c r="C2706" s="21">
        <f t="shared" ca="1" si="469"/>
        <v>8276.5442899000827</v>
      </c>
      <c r="D2706" s="21">
        <f t="shared" ca="1" si="465"/>
        <v>2.6830170593123572</v>
      </c>
      <c r="E2706" s="21">
        <f t="shared" ca="1" si="472"/>
        <v>0</v>
      </c>
      <c r="F2706" s="20" t="str">
        <f t="shared" ca="1" si="470"/>
        <v>Yes</v>
      </c>
      <c r="G2706" s="21">
        <f t="shared" ca="1" si="466"/>
        <v>3.0114338739185769</v>
      </c>
      <c r="H2706" s="21">
        <f t="shared" ca="1" si="467"/>
        <v>8276.5442899000827</v>
      </c>
      <c r="I2706" s="21">
        <f t="shared" ca="1" si="462"/>
        <v>8279.2273069593957</v>
      </c>
      <c r="J2706" s="20">
        <f t="shared" ca="1" si="471"/>
        <v>0</v>
      </c>
      <c r="K2706" s="20">
        <f t="shared" ca="1" si="463"/>
        <v>1</v>
      </c>
      <c r="L2706" s="44">
        <f t="shared" ca="1" si="468"/>
        <v>0.5</v>
      </c>
    </row>
    <row r="2707" spans="1:12" x14ac:dyDescent="0.25">
      <c r="A2707" s="20">
        <v>2699</v>
      </c>
      <c r="B2707" s="21">
        <f t="shared" ca="1" si="464"/>
        <v>0.13083874474031451</v>
      </c>
      <c r="C2707" s="21">
        <f t="shared" ca="1" si="469"/>
        <v>8276.6751286448234</v>
      </c>
      <c r="D2707" s="21">
        <f t="shared" ca="1" si="465"/>
        <v>1.2035518400129386</v>
      </c>
      <c r="E2707" s="21">
        <f t="shared" ca="1" si="472"/>
        <v>2.552178314572302</v>
      </c>
      <c r="F2707" s="20" t="str">
        <f t="shared" ca="1" si="470"/>
        <v>No</v>
      </c>
      <c r="G2707" s="21">
        <f t="shared" ca="1" si="466"/>
        <v>0</v>
      </c>
      <c r="H2707" s="21">
        <f t="shared" ca="1" si="467"/>
        <v>8279.2273069593957</v>
      </c>
      <c r="I2707" s="21">
        <f t="shared" ca="1" si="462"/>
        <v>8280.4308587994092</v>
      </c>
      <c r="J2707" s="20">
        <f t="shared" ca="1" si="471"/>
        <v>2</v>
      </c>
      <c r="K2707" s="20">
        <f t="shared" ca="1" si="463"/>
        <v>0</v>
      </c>
      <c r="L2707" s="44">
        <f t="shared" ca="1" si="468"/>
        <v>1</v>
      </c>
    </row>
    <row r="2708" spans="1:12" x14ac:dyDescent="0.25">
      <c r="A2708" s="20">
        <v>2700</v>
      </c>
      <c r="B2708" s="21">
        <f t="shared" ca="1" si="464"/>
        <v>4.3669220717632493</v>
      </c>
      <c r="C2708" s="21">
        <f t="shared" ca="1" si="469"/>
        <v>8281.0420507165873</v>
      </c>
      <c r="D2708" s="21">
        <f t="shared" ca="1" si="465"/>
        <v>0.60448269513115194</v>
      </c>
      <c r="E2708" s="21">
        <f t="shared" ca="1" si="472"/>
        <v>0</v>
      </c>
      <c r="F2708" s="20" t="str">
        <f t="shared" ca="1" si="470"/>
        <v>Yes</v>
      </c>
      <c r="G2708" s="21">
        <f t="shared" ca="1" si="466"/>
        <v>0.61119191717807553</v>
      </c>
      <c r="H2708" s="21">
        <f t="shared" ca="1" si="467"/>
        <v>8281.0420507165873</v>
      </c>
      <c r="I2708" s="21">
        <f t="shared" ca="1" si="462"/>
        <v>8281.6465334117183</v>
      </c>
      <c r="J2708" s="20">
        <f t="shared" ca="1" si="471"/>
        <v>0</v>
      </c>
      <c r="K2708" s="20">
        <f t="shared" ca="1" si="463"/>
        <v>0</v>
      </c>
      <c r="L2708" s="44">
        <f t="shared" ca="1" si="468"/>
        <v>0</v>
      </c>
    </row>
    <row r="2709" spans="1:12" x14ac:dyDescent="0.25">
      <c r="A2709" s="20">
        <v>2701</v>
      </c>
      <c r="B2709" s="21">
        <f t="shared" ca="1" si="464"/>
        <v>4.0176460197721822</v>
      </c>
      <c r="C2709" s="21">
        <f t="shared" ca="1" si="469"/>
        <v>8285.0596967363599</v>
      </c>
      <c r="D2709" s="21">
        <f t="shared" ca="1" si="465"/>
        <v>0.2077472451803096</v>
      </c>
      <c r="E2709" s="21">
        <f t="shared" ca="1" si="472"/>
        <v>0</v>
      </c>
      <c r="F2709" s="20" t="str">
        <f t="shared" ca="1" si="470"/>
        <v>Yes</v>
      </c>
      <c r="G2709" s="21">
        <f t="shared" ca="1" si="466"/>
        <v>3.4131633246415731</v>
      </c>
      <c r="H2709" s="21">
        <f t="shared" ca="1" si="467"/>
        <v>8285.0596967363599</v>
      </c>
      <c r="I2709" s="21">
        <f t="shared" ca="1" si="462"/>
        <v>8285.2674439815401</v>
      </c>
      <c r="J2709" s="20">
        <f t="shared" ca="1" si="471"/>
        <v>0</v>
      </c>
      <c r="K2709" s="20">
        <f t="shared" ca="1" si="463"/>
        <v>0</v>
      </c>
      <c r="L2709" s="44">
        <f t="shared" ca="1" si="468"/>
        <v>0</v>
      </c>
    </row>
    <row r="2710" spans="1:12" x14ac:dyDescent="0.25">
      <c r="A2710" s="20">
        <v>2702</v>
      </c>
      <c r="B2710" s="21">
        <f t="shared" ca="1" si="464"/>
        <v>1.2956623424509415</v>
      </c>
      <c r="C2710" s="21">
        <f t="shared" ca="1" si="469"/>
        <v>8286.3553590788106</v>
      </c>
      <c r="D2710" s="21">
        <f t="shared" ca="1" si="465"/>
        <v>2.143674589119442</v>
      </c>
      <c r="E2710" s="21">
        <f t="shared" ca="1" si="472"/>
        <v>0</v>
      </c>
      <c r="F2710" s="20" t="str">
        <f t="shared" ca="1" si="470"/>
        <v>Yes</v>
      </c>
      <c r="G2710" s="21">
        <f t="shared" ca="1" si="466"/>
        <v>1.0879150972705247</v>
      </c>
      <c r="H2710" s="21">
        <f t="shared" ca="1" si="467"/>
        <v>8286.3553590788106</v>
      </c>
      <c r="I2710" s="21">
        <f t="shared" ca="1" si="462"/>
        <v>8288.4990336679293</v>
      </c>
      <c r="J2710" s="20">
        <f t="shared" ca="1" si="471"/>
        <v>0</v>
      </c>
      <c r="K2710" s="20">
        <f t="shared" ca="1" si="463"/>
        <v>1</v>
      </c>
      <c r="L2710" s="44">
        <f t="shared" ca="1" si="468"/>
        <v>0.5</v>
      </c>
    </row>
    <row r="2711" spans="1:12" x14ac:dyDescent="0.25">
      <c r="A2711" s="20">
        <v>2703</v>
      </c>
      <c r="B2711" s="21">
        <f t="shared" ca="1" si="464"/>
        <v>8.4502797099142907E-2</v>
      </c>
      <c r="C2711" s="21">
        <f t="shared" ca="1" si="469"/>
        <v>8286.4398618759096</v>
      </c>
      <c r="D2711" s="21">
        <f t="shared" ca="1" si="465"/>
        <v>0.29423315533089284</v>
      </c>
      <c r="E2711" s="21">
        <f t="shared" ca="1" si="472"/>
        <v>2.059171792019697</v>
      </c>
      <c r="F2711" s="20" t="str">
        <f t="shared" ca="1" si="470"/>
        <v>No</v>
      </c>
      <c r="G2711" s="21">
        <f t="shared" ca="1" si="466"/>
        <v>0</v>
      </c>
      <c r="H2711" s="21">
        <f t="shared" ca="1" si="467"/>
        <v>8288.4990336679293</v>
      </c>
      <c r="I2711" s="21">
        <f t="shared" ca="1" si="462"/>
        <v>8288.7932668232606</v>
      </c>
      <c r="J2711" s="20">
        <f t="shared" ca="1" si="471"/>
        <v>2</v>
      </c>
      <c r="K2711" s="20">
        <f t="shared" ca="1" si="463"/>
        <v>0</v>
      </c>
      <c r="L2711" s="44">
        <f t="shared" ca="1" si="468"/>
        <v>1</v>
      </c>
    </row>
    <row r="2712" spans="1:12" x14ac:dyDescent="0.25">
      <c r="A2712" s="20">
        <v>2704</v>
      </c>
      <c r="B2712" s="21">
        <f t="shared" ca="1" si="464"/>
        <v>5.0035713504789516</v>
      </c>
      <c r="C2712" s="21">
        <f t="shared" ca="1" si="469"/>
        <v>8291.4434332263882</v>
      </c>
      <c r="D2712" s="21">
        <f t="shared" ca="1" si="465"/>
        <v>0.49183638003303182</v>
      </c>
      <c r="E2712" s="21">
        <f t="shared" ca="1" si="472"/>
        <v>0</v>
      </c>
      <c r="F2712" s="20" t="str">
        <f t="shared" ca="1" si="470"/>
        <v>Yes</v>
      </c>
      <c r="G2712" s="21">
        <f t="shared" ca="1" si="466"/>
        <v>2.6501664031275141</v>
      </c>
      <c r="H2712" s="21">
        <f t="shared" ca="1" si="467"/>
        <v>8291.4434332263882</v>
      </c>
      <c r="I2712" s="21">
        <f t="shared" ca="1" si="462"/>
        <v>8291.9352696064216</v>
      </c>
      <c r="J2712" s="20">
        <f t="shared" ca="1" si="471"/>
        <v>0</v>
      </c>
      <c r="K2712" s="20">
        <f t="shared" ca="1" si="463"/>
        <v>0</v>
      </c>
      <c r="L2712" s="44">
        <f t="shared" ca="1" si="468"/>
        <v>0</v>
      </c>
    </row>
    <row r="2713" spans="1:12" x14ac:dyDescent="0.25">
      <c r="A2713" s="20">
        <v>2705</v>
      </c>
      <c r="B2713" s="21">
        <f t="shared" ca="1" si="464"/>
        <v>1.4388906020617656</v>
      </c>
      <c r="C2713" s="21">
        <f t="shared" ca="1" si="469"/>
        <v>8292.8823238284494</v>
      </c>
      <c r="D2713" s="21">
        <f t="shared" ca="1" si="465"/>
        <v>0.87876487738630726</v>
      </c>
      <c r="E2713" s="21">
        <f t="shared" ca="1" si="472"/>
        <v>0</v>
      </c>
      <c r="F2713" s="20" t="str">
        <f t="shared" ca="1" si="470"/>
        <v>Yes</v>
      </c>
      <c r="G2713" s="21">
        <f t="shared" ca="1" si="466"/>
        <v>0.94705422202787304</v>
      </c>
      <c r="H2713" s="21">
        <f t="shared" ca="1" si="467"/>
        <v>8292.8823238284494</v>
      </c>
      <c r="I2713" s="21">
        <f t="shared" ca="1" si="462"/>
        <v>8293.7610887058363</v>
      </c>
      <c r="J2713" s="20">
        <f t="shared" ca="1" si="471"/>
        <v>0</v>
      </c>
      <c r="K2713" s="20">
        <f t="shared" ca="1" si="463"/>
        <v>1</v>
      </c>
      <c r="L2713" s="44">
        <f t="shared" ca="1" si="468"/>
        <v>0.5</v>
      </c>
    </row>
    <row r="2714" spans="1:12" x14ac:dyDescent="0.25">
      <c r="A2714" s="20">
        <v>2706</v>
      </c>
      <c r="B2714" s="21">
        <f t="shared" ca="1" si="464"/>
        <v>0.30852478679835987</v>
      </c>
      <c r="C2714" s="21">
        <f t="shared" ca="1" si="469"/>
        <v>8293.1908486152479</v>
      </c>
      <c r="D2714" s="21">
        <f t="shared" ca="1" si="465"/>
        <v>2.2199711211679642</v>
      </c>
      <c r="E2714" s="21">
        <f t="shared" ca="1" si="472"/>
        <v>0.5702400905884133</v>
      </c>
      <c r="F2714" s="20" t="str">
        <f t="shared" ca="1" si="470"/>
        <v>No</v>
      </c>
      <c r="G2714" s="21">
        <f t="shared" ca="1" si="466"/>
        <v>0</v>
      </c>
      <c r="H2714" s="21">
        <f t="shared" ca="1" si="467"/>
        <v>8293.7610887058363</v>
      </c>
      <c r="I2714" s="21">
        <f t="shared" ca="1" si="462"/>
        <v>8295.9810598270051</v>
      </c>
      <c r="J2714" s="20">
        <f t="shared" ca="1" si="471"/>
        <v>2</v>
      </c>
      <c r="K2714" s="20">
        <f t="shared" ca="1" si="463"/>
        <v>1</v>
      </c>
      <c r="L2714" s="44">
        <f t="shared" ca="1" si="468"/>
        <v>1.5</v>
      </c>
    </row>
    <row r="2715" spans="1:12" x14ac:dyDescent="0.25">
      <c r="A2715" s="20">
        <v>2707</v>
      </c>
      <c r="B2715" s="21">
        <f t="shared" ca="1" si="464"/>
        <v>1.140092025122915</v>
      </c>
      <c r="C2715" s="21">
        <f t="shared" ca="1" si="469"/>
        <v>8294.3309406403714</v>
      </c>
      <c r="D2715" s="21">
        <f t="shared" ca="1" si="465"/>
        <v>6.4258915231633809E-2</v>
      </c>
      <c r="E2715" s="21">
        <f t="shared" ca="1" si="472"/>
        <v>1.650119186633674</v>
      </c>
      <c r="F2715" s="20" t="str">
        <f t="shared" ca="1" si="470"/>
        <v>No</v>
      </c>
      <c r="G2715" s="21">
        <f t="shared" ca="1" si="466"/>
        <v>0</v>
      </c>
      <c r="H2715" s="21">
        <f t="shared" ca="1" si="467"/>
        <v>8295.9810598270051</v>
      </c>
      <c r="I2715" s="21">
        <f t="shared" ca="1" si="462"/>
        <v>8296.0453187422372</v>
      </c>
      <c r="J2715" s="20">
        <f t="shared" ca="1" si="471"/>
        <v>2</v>
      </c>
      <c r="K2715" s="20">
        <f t="shared" ca="1" si="463"/>
        <v>0</v>
      </c>
      <c r="L2715" s="44">
        <f t="shared" ca="1" si="468"/>
        <v>1</v>
      </c>
    </row>
    <row r="2716" spans="1:12" x14ac:dyDescent="0.25">
      <c r="A2716" s="20">
        <v>2708</v>
      </c>
      <c r="B2716" s="21">
        <f t="shared" ca="1" si="464"/>
        <v>3.2942321466162445</v>
      </c>
      <c r="C2716" s="21">
        <f t="shared" ca="1" si="469"/>
        <v>8297.6251727869876</v>
      </c>
      <c r="D2716" s="21">
        <f t="shared" ca="1" si="465"/>
        <v>6.3475985091488329E-2</v>
      </c>
      <c r="E2716" s="21">
        <f t="shared" ca="1" si="472"/>
        <v>0</v>
      </c>
      <c r="F2716" s="20" t="str">
        <f t="shared" ca="1" si="470"/>
        <v>Yes</v>
      </c>
      <c r="G2716" s="21">
        <f t="shared" ca="1" si="466"/>
        <v>1.579854044750391</v>
      </c>
      <c r="H2716" s="21">
        <f t="shared" ca="1" si="467"/>
        <v>8297.6251727869876</v>
      </c>
      <c r="I2716" s="21">
        <f t="shared" ca="1" si="462"/>
        <v>8297.6886487720785</v>
      </c>
      <c r="J2716" s="20">
        <f t="shared" ca="1" si="471"/>
        <v>0</v>
      </c>
      <c r="K2716" s="20">
        <f t="shared" ca="1" si="463"/>
        <v>0</v>
      </c>
      <c r="L2716" s="44">
        <f t="shared" ca="1" si="468"/>
        <v>0</v>
      </c>
    </row>
    <row r="2717" spans="1:12" x14ac:dyDescent="0.25">
      <c r="A2717" s="20">
        <v>2709</v>
      </c>
      <c r="B2717" s="21">
        <f t="shared" ca="1" si="464"/>
        <v>4.9049005990893262</v>
      </c>
      <c r="C2717" s="21">
        <f t="shared" ca="1" si="469"/>
        <v>8302.5300733860768</v>
      </c>
      <c r="D2717" s="21">
        <f t="shared" ca="1" si="465"/>
        <v>1.0787444806898834</v>
      </c>
      <c r="E2717" s="21">
        <f t="shared" ca="1" si="472"/>
        <v>0</v>
      </c>
      <c r="F2717" s="20" t="str">
        <f t="shared" ca="1" si="470"/>
        <v>Yes</v>
      </c>
      <c r="G2717" s="21">
        <f t="shared" ca="1" si="466"/>
        <v>4.8414246139982424</v>
      </c>
      <c r="H2717" s="21">
        <f t="shared" ca="1" si="467"/>
        <v>8302.5300733860768</v>
      </c>
      <c r="I2717" s="21">
        <f t="shared" ca="1" si="462"/>
        <v>8303.6088178667669</v>
      </c>
      <c r="J2717" s="20">
        <f t="shared" ca="1" si="471"/>
        <v>0</v>
      </c>
      <c r="K2717" s="20">
        <f t="shared" ca="1" si="463"/>
        <v>0</v>
      </c>
      <c r="L2717" s="44">
        <f t="shared" ca="1" si="468"/>
        <v>0</v>
      </c>
    </row>
    <row r="2718" spans="1:12" x14ac:dyDescent="0.25">
      <c r="A2718" s="20">
        <v>2710</v>
      </c>
      <c r="B2718" s="21">
        <f t="shared" ca="1" si="464"/>
        <v>1.8064068023377398</v>
      </c>
      <c r="C2718" s="21">
        <f t="shared" ca="1" si="469"/>
        <v>8304.3364801884145</v>
      </c>
      <c r="D2718" s="21">
        <f t="shared" ca="1" si="465"/>
        <v>5.2147265975828283</v>
      </c>
      <c r="E2718" s="21">
        <f t="shared" ca="1" si="472"/>
        <v>0</v>
      </c>
      <c r="F2718" s="20" t="str">
        <f t="shared" ca="1" si="470"/>
        <v>Yes</v>
      </c>
      <c r="G2718" s="21">
        <f t="shared" ca="1" si="466"/>
        <v>0.72766232164758549</v>
      </c>
      <c r="H2718" s="21">
        <f t="shared" ca="1" si="467"/>
        <v>8304.3364801884145</v>
      </c>
      <c r="I2718" s="21">
        <f t="shared" ca="1" si="462"/>
        <v>8309.5512067859981</v>
      </c>
      <c r="J2718" s="20">
        <f t="shared" ca="1" si="471"/>
        <v>0</v>
      </c>
      <c r="K2718" s="20">
        <f t="shared" ca="1" si="463"/>
        <v>2</v>
      </c>
      <c r="L2718" s="44">
        <f t="shared" ca="1" si="468"/>
        <v>1</v>
      </c>
    </row>
    <row r="2719" spans="1:12" x14ac:dyDescent="0.25">
      <c r="A2719" s="20">
        <v>2711</v>
      </c>
      <c r="B2719" s="21">
        <f t="shared" ca="1" si="464"/>
        <v>0.14575154231994578</v>
      </c>
      <c r="C2719" s="21">
        <f t="shared" ca="1" si="469"/>
        <v>8304.4822317307353</v>
      </c>
      <c r="D2719" s="21">
        <f t="shared" ca="1" si="465"/>
        <v>3.6729301293735497</v>
      </c>
      <c r="E2719" s="21">
        <f t="shared" ca="1" si="472"/>
        <v>5.0689750552628539</v>
      </c>
      <c r="F2719" s="20" t="str">
        <f t="shared" ca="1" si="470"/>
        <v>No</v>
      </c>
      <c r="G2719" s="21">
        <f t="shared" ca="1" si="466"/>
        <v>0</v>
      </c>
      <c r="H2719" s="21">
        <f t="shared" ca="1" si="467"/>
        <v>8309.5512067859981</v>
      </c>
      <c r="I2719" s="21">
        <f t="shared" ca="1" si="462"/>
        <v>8313.2241369153726</v>
      </c>
      <c r="J2719" s="20">
        <f t="shared" ca="1" si="471"/>
        <v>3</v>
      </c>
      <c r="K2719" s="20">
        <f t="shared" ca="1" si="463"/>
        <v>3</v>
      </c>
      <c r="L2719" s="44">
        <f t="shared" ca="1" si="468"/>
        <v>3</v>
      </c>
    </row>
    <row r="2720" spans="1:12" x14ac:dyDescent="0.25">
      <c r="A2720" s="20">
        <v>2712</v>
      </c>
      <c r="B2720" s="21">
        <f t="shared" ca="1" si="464"/>
        <v>4.6498016261246384</v>
      </c>
      <c r="C2720" s="21">
        <f t="shared" ca="1" si="469"/>
        <v>8309.1320333568601</v>
      </c>
      <c r="D2720" s="21">
        <f t="shared" ca="1" si="465"/>
        <v>0.43910155825365482</v>
      </c>
      <c r="E2720" s="21">
        <f t="shared" ca="1" si="472"/>
        <v>4.0921035585124628</v>
      </c>
      <c r="F2720" s="20" t="str">
        <f t="shared" ca="1" si="470"/>
        <v>No</v>
      </c>
      <c r="G2720" s="21">
        <f t="shared" ca="1" si="466"/>
        <v>0</v>
      </c>
      <c r="H2720" s="21">
        <f t="shared" ca="1" si="467"/>
        <v>8313.2241369153726</v>
      </c>
      <c r="I2720" s="21">
        <f t="shared" ca="1" si="462"/>
        <v>8313.6632384736258</v>
      </c>
      <c r="J2720" s="20">
        <f t="shared" ca="1" si="471"/>
        <v>4</v>
      </c>
      <c r="K2720" s="20">
        <f t="shared" ca="1" si="463"/>
        <v>2</v>
      </c>
      <c r="L2720" s="44">
        <f t="shared" ca="1" si="468"/>
        <v>3</v>
      </c>
    </row>
    <row r="2721" spans="1:12" x14ac:dyDescent="0.25">
      <c r="A2721" s="20">
        <v>2713</v>
      </c>
      <c r="B2721" s="21">
        <f t="shared" ca="1" si="464"/>
        <v>1.6021577949557306</v>
      </c>
      <c r="C2721" s="21">
        <f t="shared" ca="1" si="469"/>
        <v>8310.734191151816</v>
      </c>
      <c r="D2721" s="21">
        <f t="shared" ca="1" si="465"/>
        <v>1.6603849438265473E-2</v>
      </c>
      <c r="E2721" s="21">
        <f t="shared" ca="1" si="472"/>
        <v>2.9290473218097759</v>
      </c>
      <c r="F2721" s="20" t="str">
        <f t="shared" ca="1" si="470"/>
        <v>No</v>
      </c>
      <c r="G2721" s="21">
        <f t="shared" ca="1" si="466"/>
        <v>0</v>
      </c>
      <c r="H2721" s="21">
        <f t="shared" ca="1" si="467"/>
        <v>8313.6632384736258</v>
      </c>
      <c r="I2721" s="21">
        <f t="shared" ca="1" si="462"/>
        <v>8313.6798423230648</v>
      </c>
      <c r="J2721" s="20">
        <f t="shared" ca="1" si="471"/>
        <v>3</v>
      </c>
      <c r="K2721" s="20">
        <f t="shared" ca="1" si="463"/>
        <v>1</v>
      </c>
      <c r="L2721" s="44">
        <f t="shared" ca="1" si="468"/>
        <v>2</v>
      </c>
    </row>
    <row r="2722" spans="1:12" x14ac:dyDescent="0.25">
      <c r="A2722" s="20">
        <v>2714</v>
      </c>
      <c r="B2722" s="21">
        <f t="shared" ca="1" si="464"/>
        <v>1.276746549375017</v>
      </c>
      <c r="C2722" s="21">
        <f t="shared" ca="1" si="469"/>
        <v>8312.0109377011904</v>
      </c>
      <c r="D2722" s="21">
        <f t="shared" ca="1" si="465"/>
        <v>14.080856499948538</v>
      </c>
      <c r="E2722" s="21">
        <f t="shared" ca="1" si="472"/>
        <v>1.6689046218743897</v>
      </c>
      <c r="F2722" s="20" t="str">
        <f t="shared" ca="1" si="470"/>
        <v>No</v>
      </c>
      <c r="G2722" s="21">
        <f t="shared" ca="1" si="466"/>
        <v>0</v>
      </c>
      <c r="H2722" s="21">
        <f t="shared" ca="1" si="467"/>
        <v>8313.6798423230648</v>
      </c>
      <c r="I2722" s="21">
        <f t="shared" ca="1" si="462"/>
        <v>8327.7606988230127</v>
      </c>
      <c r="J2722" s="20">
        <f t="shared" ca="1" si="471"/>
        <v>2</v>
      </c>
      <c r="K2722" s="20">
        <f t="shared" ca="1" si="463"/>
        <v>3</v>
      </c>
      <c r="L2722" s="44">
        <f t="shared" ca="1" si="468"/>
        <v>2.5</v>
      </c>
    </row>
    <row r="2723" spans="1:12" x14ac:dyDescent="0.25">
      <c r="A2723" s="20">
        <v>2715</v>
      </c>
      <c r="B2723" s="21">
        <f t="shared" ca="1" si="464"/>
        <v>5.5321394530381056</v>
      </c>
      <c r="C2723" s="21">
        <f t="shared" ca="1" si="469"/>
        <v>8317.5430771542287</v>
      </c>
      <c r="D2723" s="21">
        <f t="shared" ca="1" si="465"/>
        <v>3.1253293033520917</v>
      </c>
      <c r="E2723" s="21">
        <f t="shared" ca="1" si="472"/>
        <v>10.217621668783977</v>
      </c>
      <c r="F2723" s="20" t="str">
        <f t="shared" ca="1" si="470"/>
        <v>No</v>
      </c>
      <c r="G2723" s="21">
        <f t="shared" ca="1" si="466"/>
        <v>0</v>
      </c>
      <c r="H2723" s="21">
        <f t="shared" ca="1" si="467"/>
        <v>8327.7606988230127</v>
      </c>
      <c r="I2723" s="21">
        <f t="shared" ca="1" si="462"/>
        <v>8330.8860281263642</v>
      </c>
      <c r="J2723" s="20">
        <f t="shared" ca="1" si="471"/>
        <v>4</v>
      </c>
      <c r="K2723" s="20">
        <f t="shared" ca="1" si="463"/>
        <v>2</v>
      </c>
      <c r="L2723" s="44">
        <f t="shared" ca="1" si="468"/>
        <v>3</v>
      </c>
    </row>
    <row r="2724" spans="1:12" x14ac:dyDescent="0.25">
      <c r="A2724" s="20">
        <v>2716</v>
      </c>
      <c r="B2724" s="21">
        <f t="shared" ca="1" si="464"/>
        <v>5.2139983173597768</v>
      </c>
      <c r="C2724" s="21">
        <f t="shared" ca="1" si="469"/>
        <v>8322.7570754715889</v>
      </c>
      <c r="D2724" s="21">
        <f t="shared" ca="1" si="465"/>
        <v>1.3873599637913228</v>
      </c>
      <c r="E2724" s="21">
        <f t="shared" ca="1" si="472"/>
        <v>8.1289526547752757</v>
      </c>
      <c r="F2724" s="20" t="str">
        <f t="shared" ca="1" si="470"/>
        <v>No</v>
      </c>
      <c r="G2724" s="21">
        <f t="shared" ca="1" si="466"/>
        <v>0</v>
      </c>
      <c r="H2724" s="21">
        <f t="shared" ca="1" si="467"/>
        <v>8330.8860281263642</v>
      </c>
      <c r="I2724" s="21">
        <f t="shared" ca="1" si="462"/>
        <v>8332.273388090156</v>
      </c>
      <c r="J2724" s="20">
        <f t="shared" ca="1" si="471"/>
        <v>3</v>
      </c>
      <c r="K2724" s="20">
        <f t="shared" ca="1" si="463"/>
        <v>1</v>
      </c>
      <c r="L2724" s="44">
        <f t="shared" ca="1" si="468"/>
        <v>2</v>
      </c>
    </row>
    <row r="2725" spans="1:12" x14ac:dyDescent="0.25">
      <c r="A2725" s="20">
        <v>2717</v>
      </c>
      <c r="B2725" s="21">
        <f t="shared" ca="1" si="464"/>
        <v>1.833800527596319</v>
      </c>
      <c r="C2725" s="21">
        <f t="shared" ca="1" si="469"/>
        <v>8324.5908759991853</v>
      </c>
      <c r="D2725" s="21">
        <f t="shared" ca="1" si="465"/>
        <v>0.94450322231277228</v>
      </c>
      <c r="E2725" s="21">
        <f t="shared" ca="1" si="472"/>
        <v>7.6825120909707039</v>
      </c>
      <c r="F2725" s="20" t="str">
        <f t="shared" ca="1" si="470"/>
        <v>No</v>
      </c>
      <c r="G2725" s="21">
        <f t="shared" ca="1" si="466"/>
        <v>0</v>
      </c>
      <c r="H2725" s="21">
        <f t="shared" ca="1" si="467"/>
        <v>8332.273388090156</v>
      </c>
      <c r="I2725" s="21">
        <f t="shared" ca="1" si="462"/>
        <v>8333.2178913124681</v>
      </c>
      <c r="J2725" s="20">
        <f t="shared" ca="1" si="471"/>
        <v>2</v>
      </c>
      <c r="K2725" s="20">
        <f t="shared" ca="1" si="463"/>
        <v>0</v>
      </c>
      <c r="L2725" s="44">
        <f t="shared" ca="1" si="468"/>
        <v>1</v>
      </c>
    </row>
    <row r="2726" spans="1:12" x14ac:dyDescent="0.25">
      <c r="A2726" s="20">
        <v>2718</v>
      </c>
      <c r="B2726" s="21">
        <f t="shared" ca="1" si="464"/>
        <v>9.1494609607817807</v>
      </c>
      <c r="C2726" s="21">
        <f t="shared" ca="1" si="469"/>
        <v>8333.740336959967</v>
      </c>
      <c r="D2726" s="21">
        <f t="shared" ca="1" si="465"/>
        <v>1.6725607116080348</v>
      </c>
      <c r="E2726" s="21">
        <f t="shared" ca="1" si="472"/>
        <v>0</v>
      </c>
      <c r="F2726" s="20" t="str">
        <f t="shared" ca="1" si="470"/>
        <v>Yes</v>
      </c>
      <c r="G2726" s="21">
        <f t="shared" ca="1" si="466"/>
        <v>0.52244564749889832</v>
      </c>
      <c r="H2726" s="21">
        <f t="shared" ca="1" si="467"/>
        <v>8333.740336959967</v>
      </c>
      <c r="I2726" s="21">
        <f t="shared" ca="1" si="462"/>
        <v>8335.4128976715747</v>
      </c>
      <c r="J2726" s="20">
        <f t="shared" ca="1" si="471"/>
        <v>0</v>
      </c>
      <c r="K2726" s="20">
        <f t="shared" ca="1" si="463"/>
        <v>0</v>
      </c>
      <c r="L2726" s="44">
        <f t="shared" ca="1" si="468"/>
        <v>0</v>
      </c>
    </row>
    <row r="2727" spans="1:12" x14ac:dyDescent="0.25">
      <c r="A2727" s="20">
        <v>2719</v>
      </c>
      <c r="B2727" s="21">
        <f t="shared" ca="1" si="464"/>
        <v>1.758143696317739</v>
      </c>
      <c r="C2727" s="21">
        <f t="shared" ca="1" si="469"/>
        <v>8335.4984806562843</v>
      </c>
      <c r="D2727" s="21">
        <f t="shared" ca="1" si="465"/>
        <v>0.91441475829982721</v>
      </c>
      <c r="E2727" s="21">
        <f t="shared" ca="1" si="472"/>
        <v>0</v>
      </c>
      <c r="F2727" s="20" t="str">
        <f t="shared" ca="1" si="470"/>
        <v>Yes</v>
      </c>
      <c r="G2727" s="21">
        <f t="shared" ca="1" si="466"/>
        <v>8.5582984709617449E-2</v>
      </c>
      <c r="H2727" s="21">
        <f t="shared" ca="1" si="467"/>
        <v>8335.4984806562843</v>
      </c>
      <c r="I2727" s="21">
        <f t="shared" ca="1" si="462"/>
        <v>8336.4128954145835</v>
      </c>
      <c r="J2727" s="20">
        <f t="shared" ca="1" si="471"/>
        <v>0</v>
      </c>
      <c r="K2727" s="20">
        <f t="shared" ca="1" si="463"/>
        <v>0</v>
      </c>
      <c r="L2727" s="44">
        <f t="shared" ca="1" si="468"/>
        <v>0</v>
      </c>
    </row>
    <row r="2728" spans="1:12" x14ac:dyDescent="0.25">
      <c r="A2728" s="20">
        <v>2720</v>
      </c>
      <c r="B2728" s="21">
        <f t="shared" ca="1" si="464"/>
        <v>2.9976468469594351</v>
      </c>
      <c r="C2728" s="21">
        <f t="shared" ca="1" si="469"/>
        <v>8338.4961275032438</v>
      </c>
      <c r="D2728" s="21">
        <f t="shared" ca="1" si="465"/>
        <v>2.387629000213868E-2</v>
      </c>
      <c r="E2728" s="21">
        <f t="shared" ca="1" si="472"/>
        <v>0</v>
      </c>
      <c r="F2728" s="20" t="str">
        <f t="shared" ca="1" si="470"/>
        <v>Yes</v>
      </c>
      <c r="G2728" s="21">
        <f t="shared" ca="1" si="466"/>
        <v>2.0832320886602247</v>
      </c>
      <c r="H2728" s="21">
        <f t="shared" ca="1" si="467"/>
        <v>8338.4961275032438</v>
      </c>
      <c r="I2728" s="21">
        <f t="shared" ca="1" si="462"/>
        <v>8338.5200037932464</v>
      </c>
      <c r="J2728" s="20">
        <f t="shared" ca="1" si="471"/>
        <v>0</v>
      </c>
      <c r="K2728" s="20">
        <f t="shared" ca="1" si="463"/>
        <v>0</v>
      </c>
      <c r="L2728" s="44">
        <f t="shared" ca="1" si="468"/>
        <v>0</v>
      </c>
    </row>
    <row r="2729" spans="1:12" x14ac:dyDescent="0.25">
      <c r="A2729" s="20">
        <v>2721</v>
      </c>
      <c r="B2729" s="21">
        <f t="shared" ca="1" si="464"/>
        <v>1.0651652686931117</v>
      </c>
      <c r="C2729" s="21">
        <f t="shared" ca="1" si="469"/>
        <v>8339.5612927719376</v>
      </c>
      <c r="D2729" s="21">
        <f t="shared" ca="1" si="465"/>
        <v>2.2126751022888018</v>
      </c>
      <c r="E2729" s="21">
        <f t="shared" ca="1" si="472"/>
        <v>0</v>
      </c>
      <c r="F2729" s="20" t="str">
        <f t="shared" ca="1" si="470"/>
        <v>Yes</v>
      </c>
      <c r="G2729" s="21">
        <f t="shared" ca="1" si="466"/>
        <v>1.0412889786912274</v>
      </c>
      <c r="H2729" s="21">
        <f t="shared" ca="1" si="467"/>
        <v>8339.5612927719376</v>
      </c>
      <c r="I2729" s="21">
        <f t="shared" ca="1" si="462"/>
        <v>8341.7739678742255</v>
      </c>
      <c r="J2729" s="20">
        <f t="shared" ca="1" si="471"/>
        <v>0</v>
      </c>
      <c r="K2729" s="20">
        <f t="shared" ca="1" si="463"/>
        <v>0</v>
      </c>
      <c r="L2729" s="44">
        <f t="shared" ca="1" si="468"/>
        <v>0</v>
      </c>
    </row>
    <row r="2730" spans="1:12" x14ac:dyDescent="0.25">
      <c r="A2730" s="20">
        <v>2722</v>
      </c>
      <c r="B2730" s="21">
        <f t="shared" ca="1" si="464"/>
        <v>5.6053127593647014</v>
      </c>
      <c r="C2730" s="21">
        <f t="shared" ca="1" si="469"/>
        <v>8345.1666055313017</v>
      </c>
      <c r="D2730" s="21">
        <f t="shared" ca="1" si="465"/>
        <v>11.623281041803539</v>
      </c>
      <c r="E2730" s="21">
        <f t="shared" ca="1" si="472"/>
        <v>0</v>
      </c>
      <c r="F2730" s="20" t="str">
        <f t="shared" ca="1" si="470"/>
        <v>Yes</v>
      </c>
      <c r="G2730" s="21">
        <f t="shared" ca="1" si="466"/>
        <v>3.3926376570761931</v>
      </c>
      <c r="H2730" s="21">
        <f t="shared" ca="1" si="467"/>
        <v>8345.1666055313017</v>
      </c>
      <c r="I2730" s="21">
        <f t="shared" ca="1" si="462"/>
        <v>8356.7898865731058</v>
      </c>
      <c r="J2730" s="20">
        <f t="shared" ca="1" si="471"/>
        <v>0</v>
      </c>
      <c r="K2730" s="20">
        <f t="shared" ca="1" si="463"/>
        <v>2</v>
      </c>
      <c r="L2730" s="44">
        <f t="shared" ca="1" si="468"/>
        <v>1</v>
      </c>
    </row>
    <row r="2731" spans="1:12" x14ac:dyDescent="0.25">
      <c r="A2731" s="20">
        <v>2723</v>
      </c>
      <c r="B2731" s="21">
        <f t="shared" ca="1" si="464"/>
        <v>2.2996725797913236</v>
      </c>
      <c r="C2731" s="21">
        <f t="shared" ca="1" si="469"/>
        <v>8347.4662781110928</v>
      </c>
      <c r="D2731" s="21">
        <f t="shared" ca="1" si="465"/>
        <v>0.39739437592361859</v>
      </c>
      <c r="E2731" s="21">
        <f t="shared" ca="1" si="472"/>
        <v>9.3236084620129986</v>
      </c>
      <c r="F2731" s="20" t="str">
        <f t="shared" ca="1" si="470"/>
        <v>No</v>
      </c>
      <c r="G2731" s="21">
        <f t="shared" ca="1" si="466"/>
        <v>0</v>
      </c>
      <c r="H2731" s="21">
        <f t="shared" ca="1" si="467"/>
        <v>8356.7898865731058</v>
      </c>
      <c r="I2731" s="21">
        <f t="shared" ca="1" si="462"/>
        <v>8357.1872809490287</v>
      </c>
      <c r="J2731" s="20">
        <f t="shared" ca="1" si="471"/>
        <v>3</v>
      </c>
      <c r="K2731" s="20">
        <f t="shared" ca="1" si="463"/>
        <v>1</v>
      </c>
      <c r="L2731" s="44">
        <f t="shared" ca="1" si="468"/>
        <v>2</v>
      </c>
    </row>
    <row r="2732" spans="1:12" x14ac:dyDescent="0.25">
      <c r="A2732" s="20">
        <v>2724</v>
      </c>
      <c r="B2732" s="21">
        <f t="shared" ca="1" si="464"/>
        <v>6.9846836299406618</v>
      </c>
      <c r="C2732" s="21">
        <f t="shared" ca="1" si="469"/>
        <v>8354.4509617410331</v>
      </c>
      <c r="D2732" s="21">
        <f t="shared" ca="1" si="465"/>
        <v>1.4471699969210454</v>
      </c>
      <c r="E2732" s="21">
        <f t="shared" ca="1" si="472"/>
        <v>2.7363192079956207</v>
      </c>
      <c r="F2732" s="20" t="str">
        <f t="shared" ca="1" si="470"/>
        <v>No</v>
      </c>
      <c r="G2732" s="21">
        <f t="shared" ca="1" si="466"/>
        <v>0</v>
      </c>
      <c r="H2732" s="21">
        <f t="shared" ca="1" si="467"/>
        <v>8357.1872809490287</v>
      </c>
      <c r="I2732" s="21">
        <f t="shared" ca="1" si="462"/>
        <v>8358.6344509459504</v>
      </c>
      <c r="J2732" s="20">
        <f t="shared" ca="1" si="471"/>
        <v>2</v>
      </c>
      <c r="K2732" s="20">
        <f t="shared" ca="1" si="463"/>
        <v>1</v>
      </c>
      <c r="L2732" s="44">
        <f t="shared" ca="1" si="468"/>
        <v>1.5</v>
      </c>
    </row>
    <row r="2733" spans="1:12" x14ac:dyDescent="0.25">
      <c r="A2733" s="20">
        <v>2725</v>
      </c>
      <c r="B2733" s="21">
        <f t="shared" ca="1" si="464"/>
        <v>2.9648096679267009</v>
      </c>
      <c r="C2733" s="21">
        <f t="shared" ca="1" si="469"/>
        <v>8357.4157714089597</v>
      </c>
      <c r="D2733" s="21">
        <f t="shared" ca="1" si="465"/>
        <v>3.2050321991754713</v>
      </c>
      <c r="E2733" s="21">
        <f t="shared" ca="1" si="472"/>
        <v>1.2186795369907486</v>
      </c>
      <c r="F2733" s="20" t="str">
        <f t="shared" ca="1" si="470"/>
        <v>No</v>
      </c>
      <c r="G2733" s="21">
        <f t="shared" ca="1" si="466"/>
        <v>0</v>
      </c>
      <c r="H2733" s="21">
        <f t="shared" ca="1" si="467"/>
        <v>8358.6344509459504</v>
      </c>
      <c r="I2733" s="21">
        <f t="shared" ca="1" si="462"/>
        <v>8361.839483145126</v>
      </c>
      <c r="J2733" s="20">
        <f t="shared" ca="1" si="471"/>
        <v>2</v>
      </c>
      <c r="K2733" s="20">
        <f t="shared" ca="1" si="463"/>
        <v>1</v>
      </c>
      <c r="L2733" s="44">
        <f t="shared" ca="1" si="468"/>
        <v>1.5</v>
      </c>
    </row>
    <row r="2734" spans="1:12" x14ac:dyDescent="0.25">
      <c r="A2734" s="20">
        <v>2726</v>
      </c>
      <c r="B2734" s="21">
        <f t="shared" ca="1" si="464"/>
        <v>3.5395361569938255</v>
      </c>
      <c r="C2734" s="21">
        <f t="shared" ca="1" si="469"/>
        <v>8360.9553075659533</v>
      </c>
      <c r="D2734" s="21">
        <f t="shared" ca="1" si="465"/>
        <v>0.45048086602004084</v>
      </c>
      <c r="E2734" s="21">
        <f t="shared" ca="1" si="472"/>
        <v>0.88417557917273371</v>
      </c>
      <c r="F2734" s="20" t="str">
        <f t="shared" ca="1" si="470"/>
        <v>No</v>
      </c>
      <c r="G2734" s="21">
        <f t="shared" ca="1" si="466"/>
        <v>0</v>
      </c>
      <c r="H2734" s="21">
        <f t="shared" ca="1" si="467"/>
        <v>8361.839483145126</v>
      </c>
      <c r="I2734" s="21">
        <f t="shared" ca="1" si="462"/>
        <v>8362.2899640111464</v>
      </c>
      <c r="J2734" s="20">
        <f t="shared" ca="1" si="471"/>
        <v>2</v>
      </c>
      <c r="K2734" s="20">
        <f t="shared" ca="1" si="463"/>
        <v>0</v>
      </c>
      <c r="L2734" s="44">
        <f t="shared" ca="1" si="468"/>
        <v>1</v>
      </c>
    </row>
    <row r="2735" spans="1:12" x14ac:dyDescent="0.25">
      <c r="A2735" s="20">
        <v>2727</v>
      </c>
      <c r="B2735" s="21">
        <f t="shared" ca="1" si="464"/>
        <v>1.5101043603377549</v>
      </c>
      <c r="C2735" s="21">
        <f t="shared" ca="1" si="469"/>
        <v>8362.4654119262905</v>
      </c>
      <c r="D2735" s="21">
        <f t="shared" ca="1" si="465"/>
        <v>3.7469973327149817</v>
      </c>
      <c r="E2735" s="21">
        <f t="shared" ca="1" si="472"/>
        <v>0</v>
      </c>
      <c r="F2735" s="20" t="str">
        <f t="shared" ca="1" si="470"/>
        <v>Yes</v>
      </c>
      <c r="G2735" s="21">
        <f t="shared" ca="1" si="466"/>
        <v>0.17544791514410463</v>
      </c>
      <c r="H2735" s="21">
        <f t="shared" ca="1" si="467"/>
        <v>8362.4654119262905</v>
      </c>
      <c r="I2735" s="21">
        <f t="shared" ca="1" si="462"/>
        <v>8366.2124092590057</v>
      </c>
      <c r="J2735" s="20">
        <f t="shared" ca="1" si="471"/>
        <v>0</v>
      </c>
      <c r="K2735" s="20">
        <f t="shared" ca="1" si="463"/>
        <v>1</v>
      </c>
      <c r="L2735" s="44">
        <f t="shared" ca="1" si="468"/>
        <v>0.5</v>
      </c>
    </row>
    <row r="2736" spans="1:12" x14ac:dyDescent="0.25">
      <c r="A2736" s="20">
        <v>2728</v>
      </c>
      <c r="B2736" s="21">
        <f t="shared" ca="1" si="464"/>
        <v>1.2943487457416261</v>
      </c>
      <c r="C2736" s="21">
        <f t="shared" ca="1" si="469"/>
        <v>8363.7597606720319</v>
      </c>
      <c r="D2736" s="21">
        <f t="shared" ca="1" si="465"/>
        <v>1.6540697461143206</v>
      </c>
      <c r="E2736" s="21">
        <f t="shared" ca="1" si="472"/>
        <v>2.4526485869737371</v>
      </c>
      <c r="F2736" s="20" t="str">
        <f t="shared" ca="1" si="470"/>
        <v>No</v>
      </c>
      <c r="G2736" s="21">
        <f t="shared" ca="1" si="466"/>
        <v>0</v>
      </c>
      <c r="H2736" s="21">
        <f t="shared" ca="1" si="467"/>
        <v>8366.2124092590057</v>
      </c>
      <c r="I2736" s="21">
        <f t="shared" ca="1" si="462"/>
        <v>8367.8664790051207</v>
      </c>
      <c r="J2736" s="20">
        <f t="shared" ca="1" si="471"/>
        <v>2</v>
      </c>
      <c r="K2736" s="20">
        <f t="shared" ca="1" si="463"/>
        <v>1</v>
      </c>
      <c r="L2736" s="44">
        <f t="shared" ca="1" si="468"/>
        <v>1.5</v>
      </c>
    </row>
    <row r="2737" spans="1:12" x14ac:dyDescent="0.25">
      <c r="A2737" s="20">
        <v>2729</v>
      </c>
      <c r="B2737" s="21">
        <f t="shared" ca="1" si="464"/>
        <v>2.6856627613976785</v>
      </c>
      <c r="C2737" s="21">
        <f t="shared" ca="1" si="469"/>
        <v>8366.4454234334298</v>
      </c>
      <c r="D2737" s="21">
        <f t="shared" ca="1" si="465"/>
        <v>0.13104319954556901</v>
      </c>
      <c r="E2737" s="21">
        <f t="shared" ca="1" si="472"/>
        <v>1.4210555716908857</v>
      </c>
      <c r="F2737" s="20" t="str">
        <f t="shared" ca="1" si="470"/>
        <v>No</v>
      </c>
      <c r="G2737" s="21">
        <f t="shared" ca="1" si="466"/>
        <v>0</v>
      </c>
      <c r="H2737" s="21">
        <f t="shared" ca="1" si="467"/>
        <v>8367.8664790051207</v>
      </c>
      <c r="I2737" s="21">
        <f t="shared" ca="1" si="462"/>
        <v>8367.9975222046669</v>
      </c>
      <c r="J2737" s="20">
        <f t="shared" ca="1" si="471"/>
        <v>2</v>
      </c>
      <c r="K2737" s="20">
        <f t="shared" ca="1" si="463"/>
        <v>0</v>
      </c>
      <c r="L2737" s="44">
        <f t="shared" ca="1" si="468"/>
        <v>1</v>
      </c>
    </row>
    <row r="2738" spans="1:12" x14ac:dyDescent="0.25">
      <c r="A2738" s="20">
        <v>2730</v>
      </c>
      <c r="B2738" s="21">
        <f t="shared" ca="1" si="464"/>
        <v>2.1642487825227121</v>
      </c>
      <c r="C2738" s="21">
        <f t="shared" ca="1" si="469"/>
        <v>8368.6096722159527</v>
      </c>
      <c r="D2738" s="21">
        <f t="shared" ca="1" si="465"/>
        <v>8.8252660333405153</v>
      </c>
      <c r="E2738" s="21">
        <f t="shared" ca="1" si="472"/>
        <v>0</v>
      </c>
      <c r="F2738" s="20" t="str">
        <f t="shared" ca="1" si="470"/>
        <v>Yes</v>
      </c>
      <c r="G2738" s="21">
        <f t="shared" ca="1" si="466"/>
        <v>0.61215001128584845</v>
      </c>
      <c r="H2738" s="21">
        <f t="shared" ca="1" si="467"/>
        <v>8368.6096722159527</v>
      </c>
      <c r="I2738" s="21">
        <f t="shared" ca="1" si="462"/>
        <v>8377.4349382492928</v>
      </c>
      <c r="J2738" s="20">
        <f t="shared" ca="1" si="471"/>
        <v>0</v>
      </c>
      <c r="K2738" s="20">
        <f t="shared" ca="1" si="463"/>
        <v>1</v>
      </c>
      <c r="L2738" s="44">
        <f t="shared" ca="1" si="468"/>
        <v>0.5</v>
      </c>
    </row>
    <row r="2739" spans="1:12" x14ac:dyDescent="0.25">
      <c r="A2739" s="20">
        <v>2731</v>
      </c>
      <c r="B2739" s="21">
        <f t="shared" ca="1" si="464"/>
        <v>8.5671291611347868</v>
      </c>
      <c r="C2739" s="21">
        <f t="shared" ca="1" si="469"/>
        <v>8377.176801377087</v>
      </c>
      <c r="D2739" s="21">
        <f t="shared" ca="1" si="465"/>
        <v>1.9883649380760831</v>
      </c>
      <c r="E2739" s="21">
        <f t="shared" ca="1" si="472"/>
        <v>0.25813687220579595</v>
      </c>
      <c r="F2739" s="20" t="str">
        <f t="shared" ca="1" si="470"/>
        <v>No</v>
      </c>
      <c r="G2739" s="21">
        <f t="shared" ca="1" si="466"/>
        <v>0</v>
      </c>
      <c r="H2739" s="21">
        <f t="shared" ca="1" si="467"/>
        <v>8377.4349382492928</v>
      </c>
      <c r="I2739" s="21">
        <f t="shared" ca="1" si="462"/>
        <v>8379.4233031873682</v>
      </c>
      <c r="J2739" s="20">
        <f t="shared" ca="1" si="471"/>
        <v>2</v>
      </c>
      <c r="K2739" s="20">
        <f t="shared" ca="1" si="463"/>
        <v>1</v>
      </c>
      <c r="L2739" s="44">
        <f t="shared" ca="1" si="468"/>
        <v>1.5</v>
      </c>
    </row>
    <row r="2740" spans="1:12" x14ac:dyDescent="0.25">
      <c r="A2740" s="20">
        <v>2732</v>
      </c>
      <c r="B2740" s="21">
        <f t="shared" ca="1" si="464"/>
        <v>0.668341223096373</v>
      </c>
      <c r="C2740" s="21">
        <f t="shared" ca="1" si="469"/>
        <v>8377.845142600183</v>
      </c>
      <c r="D2740" s="21">
        <f t="shared" ca="1" si="465"/>
        <v>1.3501255259107776</v>
      </c>
      <c r="E2740" s="21">
        <f t="shared" ca="1" si="472"/>
        <v>1.5781605871852662</v>
      </c>
      <c r="F2740" s="20" t="str">
        <f t="shared" ca="1" si="470"/>
        <v>No</v>
      </c>
      <c r="G2740" s="21">
        <f t="shared" ca="1" si="466"/>
        <v>0</v>
      </c>
      <c r="H2740" s="21">
        <f t="shared" ca="1" si="467"/>
        <v>8379.4233031873682</v>
      </c>
      <c r="I2740" s="21">
        <f t="shared" ca="1" si="462"/>
        <v>8380.7734287132789</v>
      </c>
      <c r="J2740" s="20">
        <f t="shared" ca="1" si="471"/>
        <v>2</v>
      </c>
      <c r="K2740" s="20">
        <f t="shared" ca="1" si="463"/>
        <v>2</v>
      </c>
      <c r="L2740" s="44">
        <f t="shared" ca="1" si="468"/>
        <v>2</v>
      </c>
    </row>
    <row r="2741" spans="1:12" x14ac:dyDescent="0.25">
      <c r="A2741" s="20">
        <v>2733</v>
      </c>
      <c r="B2741" s="21">
        <f t="shared" ca="1" si="464"/>
        <v>2.1984000513388096</v>
      </c>
      <c r="C2741" s="21">
        <f t="shared" ca="1" si="469"/>
        <v>8380.0435426515214</v>
      </c>
      <c r="D2741" s="21">
        <f t="shared" ca="1" si="465"/>
        <v>7.897939066188699</v>
      </c>
      <c r="E2741" s="21">
        <f t="shared" ca="1" si="472"/>
        <v>0.72988606175749737</v>
      </c>
      <c r="F2741" s="20" t="str">
        <f t="shared" ca="1" si="470"/>
        <v>No</v>
      </c>
      <c r="G2741" s="21">
        <f t="shared" ca="1" si="466"/>
        <v>0</v>
      </c>
      <c r="H2741" s="21">
        <f t="shared" ca="1" si="467"/>
        <v>8380.7734287132789</v>
      </c>
      <c r="I2741" s="21">
        <f t="shared" ca="1" si="462"/>
        <v>8388.6713677794669</v>
      </c>
      <c r="J2741" s="20">
        <f t="shared" ca="1" si="471"/>
        <v>3</v>
      </c>
      <c r="K2741" s="20">
        <f t="shared" ca="1" si="463"/>
        <v>3</v>
      </c>
      <c r="L2741" s="44">
        <f t="shared" ca="1" si="468"/>
        <v>3</v>
      </c>
    </row>
    <row r="2742" spans="1:12" x14ac:dyDescent="0.25">
      <c r="A2742" s="20">
        <v>2734</v>
      </c>
      <c r="B2742" s="21">
        <f t="shared" ca="1" si="464"/>
        <v>0.1364090368568753</v>
      </c>
      <c r="C2742" s="21">
        <f t="shared" ca="1" si="469"/>
        <v>8380.1799516883784</v>
      </c>
      <c r="D2742" s="21">
        <f t="shared" ca="1" si="465"/>
        <v>6.6185673178930715</v>
      </c>
      <c r="E2742" s="21">
        <f t="shared" ca="1" si="472"/>
        <v>8.4914160910884675</v>
      </c>
      <c r="F2742" s="20" t="str">
        <f t="shared" ca="1" si="470"/>
        <v>No</v>
      </c>
      <c r="G2742" s="21">
        <f t="shared" ca="1" si="466"/>
        <v>0</v>
      </c>
      <c r="H2742" s="21">
        <f t="shared" ca="1" si="467"/>
        <v>8388.6713677794669</v>
      </c>
      <c r="I2742" s="21">
        <f t="shared" ca="1" si="462"/>
        <v>8395.2899350973603</v>
      </c>
      <c r="J2742" s="20">
        <f t="shared" ca="1" si="471"/>
        <v>4</v>
      </c>
      <c r="K2742" s="20">
        <f t="shared" ca="1" si="463"/>
        <v>2</v>
      </c>
      <c r="L2742" s="44">
        <f t="shared" ca="1" si="468"/>
        <v>3</v>
      </c>
    </row>
    <row r="2743" spans="1:12" x14ac:dyDescent="0.25">
      <c r="A2743" s="20">
        <v>2735</v>
      </c>
      <c r="B2743" s="21">
        <f t="shared" ca="1" si="464"/>
        <v>2.5714744335354278</v>
      </c>
      <c r="C2743" s="21">
        <f t="shared" ca="1" si="469"/>
        <v>8382.751426121913</v>
      </c>
      <c r="D2743" s="21">
        <f t="shared" ca="1" si="465"/>
        <v>1.6004963201484874</v>
      </c>
      <c r="E2743" s="21">
        <f t="shared" ca="1" si="472"/>
        <v>12.538508975447257</v>
      </c>
      <c r="F2743" s="20" t="str">
        <f t="shared" ca="1" si="470"/>
        <v>No</v>
      </c>
      <c r="G2743" s="21">
        <f t="shared" ca="1" si="466"/>
        <v>0</v>
      </c>
      <c r="H2743" s="21">
        <f t="shared" ca="1" si="467"/>
        <v>8395.2899350973603</v>
      </c>
      <c r="I2743" s="21">
        <f t="shared" ca="1" si="462"/>
        <v>8396.8904314175088</v>
      </c>
      <c r="J2743" s="20">
        <f t="shared" ca="1" si="471"/>
        <v>3</v>
      </c>
      <c r="K2743" s="20">
        <f t="shared" ca="1" si="463"/>
        <v>1</v>
      </c>
      <c r="L2743" s="44">
        <f t="shared" ca="1" si="468"/>
        <v>2</v>
      </c>
    </row>
    <row r="2744" spans="1:12" x14ac:dyDescent="0.25">
      <c r="A2744" s="20">
        <v>2736</v>
      </c>
      <c r="B2744" s="21">
        <f t="shared" ca="1" si="464"/>
        <v>2.1166700778408076</v>
      </c>
      <c r="C2744" s="21">
        <f t="shared" ca="1" si="469"/>
        <v>8384.8680961997543</v>
      </c>
      <c r="D2744" s="21">
        <f t="shared" ca="1" si="465"/>
        <v>10.940723900620672</v>
      </c>
      <c r="E2744" s="21">
        <f t="shared" ca="1" si="472"/>
        <v>12.022335217754517</v>
      </c>
      <c r="F2744" s="20" t="str">
        <f t="shared" ca="1" si="470"/>
        <v>No</v>
      </c>
      <c r="G2744" s="21">
        <f t="shared" ca="1" si="466"/>
        <v>0</v>
      </c>
      <c r="H2744" s="21">
        <f t="shared" ca="1" si="467"/>
        <v>8396.8904314175088</v>
      </c>
      <c r="I2744" s="21">
        <f t="shared" ca="1" si="462"/>
        <v>8407.8311553181302</v>
      </c>
      <c r="J2744" s="20">
        <f t="shared" ca="1" si="471"/>
        <v>2</v>
      </c>
      <c r="K2744" s="20">
        <f t="shared" ca="1" si="463"/>
        <v>4</v>
      </c>
      <c r="L2744" s="44">
        <f t="shared" ca="1" si="468"/>
        <v>3</v>
      </c>
    </row>
    <row r="2745" spans="1:12" x14ac:dyDescent="0.25">
      <c r="A2745" s="20">
        <v>2737</v>
      </c>
      <c r="B2745" s="21">
        <f t="shared" ca="1" si="464"/>
        <v>12.53063643597894</v>
      </c>
      <c r="C2745" s="21">
        <f t="shared" ca="1" si="469"/>
        <v>8397.3987326357328</v>
      </c>
      <c r="D2745" s="21">
        <f t="shared" ca="1" si="465"/>
        <v>0.57289709045954251</v>
      </c>
      <c r="E2745" s="21">
        <f t="shared" ca="1" si="472"/>
        <v>10.432422682397373</v>
      </c>
      <c r="F2745" s="20" t="str">
        <f t="shared" ca="1" si="470"/>
        <v>No</v>
      </c>
      <c r="G2745" s="21">
        <f t="shared" ca="1" si="466"/>
        <v>0</v>
      </c>
      <c r="H2745" s="21">
        <f t="shared" ca="1" si="467"/>
        <v>8407.8311553181302</v>
      </c>
      <c r="I2745" s="21">
        <f t="shared" ca="1" si="462"/>
        <v>8408.4040524085904</v>
      </c>
      <c r="J2745" s="20">
        <f t="shared" ca="1" si="471"/>
        <v>5</v>
      </c>
      <c r="K2745" s="20">
        <f t="shared" ca="1" si="463"/>
        <v>4</v>
      </c>
      <c r="L2745" s="44">
        <f t="shared" ca="1" si="468"/>
        <v>4.5</v>
      </c>
    </row>
    <row r="2746" spans="1:12" x14ac:dyDescent="0.25">
      <c r="A2746" s="20">
        <v>2738</v>
      </c>
      <c r="B2746" s="21">
        <f t="shared" ca="1" si="464"/>
        <v>1.2173775365066077</v>
      </c>
      <c r="C2746" s="21">
        <f t="shared" ca="1" si="469"/>
        <v>8398.6161101722391</v>
      </c>
      <c r="D2746" s="21">
        <f t="shared" ca="1" si="465"/>
        <v>0.52238291208244259</v>
      </c>
      <c r="E2746" s="21">
        <f t="shared" ca="1" si="472"/>
        <v>9.7879422363512276</v>
      </c>
      <c r="F2746" s="20" t="str">
        <f t="shared" ca="1" si="470"/>
        <v>No</v>
      </c>
      <c r="G2746" s="21">
        <f t="shared" ca="1" si="466"/>
        <v>0</v>
      </c>
      <c r="H2746" s="21">
        <f t="shared" ca="1" si="467"/>
        <v>8408.4040524085904</v>
      </c>
      <c r="I2746" s="21">
        <f t="shared" ca="1" si="462"/>
        <v>8408.9264353206727</v>
      </c>
      <c r="J2746" s="20">
        <f t="shared" ca="1" si="471"/>
        <v>5</v>
      </c>
      <c r="K2746" s="20">
        <f t="shared" ca="1" si="463"/>
        <v>3</v>
      </c>
      <c r="L2746" s="44">
        <f t="shared" ca="1" si="468"/>
        <v>4</v>
      </c>
    </row>
    <row r="2747" spans="1:12" x14ac:dyDescent="0.25">
      <c r="A2747" s="20">
        <v>2739</v>
      </c>
      <c r="B2747" s="21">
        <f t="shared" ca="1" si="464"/>
        <v>4.3750183124644142</v>
      </c>
      <c r="C2747" s="21">
        <f t="shared" ca="1" si="469"/>
        <v>8402.9911284847039</v>
      </c>
      <c r="D2747" s="21">
        <f t="shared" ca="1" si="465"/>
        <v>5.1186861220757267</v>
      </c>
      <c r="E2747" s="21">
        <f t="shared" ca="1" si="472"/>
        <v>5.9353068359687313</v>
      </c>
      <c r="F2747" s="20" t="str">
        <f t="shared" ca="1" si="470"/>
        <v>No</v>
      </c>
      <c r="G2747" s="21">
        <f t="shared" ca="1" si="466"/>
        <v>0</v>
      </c>
      <c r="H2747" s="21">
        <f t="shared" ca="1" si="467"/>
        <v>8408.9264353206727</v>
      </c>
      <c r="I2747" s="21">
        <f t="shared" ca="1" si="462"/>
        <v>8414.0451214427485</v>
      </c>
      <c r="J2747" s="20">
        <f t="shared" ca="1" si="471"/>
        <v>4</v>
      </c>
      <c r="K2747" s="20">
        <f t="shared" ca="1" si="463"/>
        <v>4</v>
      </c>
      <c r="L2747" s="44">
        <f t="shared" ca="1" si="468"/>
        <v>4</v>
      </c>
    </row>
    <row r="2748" spans="1:12" x14ac:dyDescent="0.25">
      <c r="A2748" s="20">
        <v>2740</v>
      </c>
      <c r="B2748" s="21">
        <f t="shared" ca="1" si="464"/>
        <v>4.3301128848248363</v>
      </c>
      <c r="C2748" s="21">
        <f t="shared" ca="1" si="469"/>
        <v>8407.3212413695292</v>
      </c>
      <c r="D2748" s="21">
        <f t="shared" ca="1" si="465"/>
        <v>5.6691364265849158</v>
      </c>
      <c r="E2748" s="21">
        <f t="shared" ca="1" si="472"/>
        <v>6.723880073219334</v>
      </c>
      <c r="F2748" s="20" t="str">
        <f t="shared" ca="1" si="470"/>
        <v>No</v>
      </c>
      <c r="G2748" s="21">
        <f t="shared" ca="1" si="466"/>
        <v>0</v>
      </c>
      <c r="H2748" s="21">
        <f t="shared" ca="1" si="467"/>
        <v>8414.0451214427485</v>
      </c>
      <c r="I2748" s="21">
        <f t="shared" ca="1" si="462"/>
        <v>8419.7142578693329</v>
      </c>
      <c r="J2748" s="20">
        <f t="shared" ca="1" si="471"/>
        <v>5</v>
      </c>
      <c r="K2748" s="20">
        <f t="shared" ca="1" si="463"/>
        <v>5</v>
      </c>
      <c r="L2748" s="44">
        <f t="shared" ca="1" si="468"/>
        <v>5</v>
      </c>
    </row>
    <row r="2749" spans="1:12" x14ac:dyDescent="0.25">
      <c r="A2749" s="20">
        <v>2741</v>
      </c>
      <c r="B2749" s="21">
        <f t="shared" ca="1" si="464"/>
        <v>0.7292121465763961</v>
      </c>
      <c r="C2749" s="21">
        <f t="shared" ca="1" si="469"/>
        <v>8408.0504535161053</v>
      </c>
      <c r="D2749" s="21">
        <f t="shared" ca="1" si="465"/>
        <v>1.5290969996876269</v>
      </c>
      <c r="E2749" s="21">
        <f t="shared" ca="1" si="472"/>
        <v>11.663804353227533</v>
      </c>
      <c r="F2749" s="20" t="str">
        <f t="shared" ca="1" si="470"/>
        <v>No</v>
      </c>
      <c r="G2749" s="21">
        <f t="shared" ca="1" si="466"/>
        <v>0</v>
      </c>
      <c r="H2749" s="21">
        <f t="shared" ca="1" si="467"/>
        <v>8419.7142578693329</v>
      </c>
      <c r="I2749" s="21">
        <f t="shared" ca="1" si="462"/>
        <v>8421.2433548690205</v>
      </c>
      <c r="J2749" s="20">
        <f t="shared" ca="1" si="471"/>
        <v>6</v>
      </c>
      <c r="K2749" s="20">
        <f t="shared" ca="1" si="463"/>
        <v>5</v>
      </c>
      <c r="L2749" s="44">
        <f t="shared" ca="1" si="468"/>
        <v>5.5</v>
      </c>
    </row>
    <row r="2750" spans="1:12" x14ac:dyDescent="0.25">
      <c r="A2750" s="20">
        <v>2742</v>
      </c>
      <c r="B2750" s="21">
        <f t="shared" ca="1" si="464"/>
        <v>5.4825071734991244</v>
      </c>
      <c r="C2750" s="21">
        <f t="shared" ca="1" si="469"/>
        <v>8413.5329606896048</v>
      </c>
      <c r="D2750" s="21">
        <f t="shared" ca="1" si="465"/>
        <v>1.9750269503510853</v>
      </c>
      <c r="E2750" s="21">
        <f t="shared" ca="1" si="472"/>
        <v>7.7103941794157436</v>
      </c>
      <c r="F2750" s="20" t="str">
        <f t="shared" ca="1" si="470"/>
        <v>No</v>
      </c>
      <c r="G2750" s="21">
        <f t="shared" ca="1" si="466"/>
        <v>0</v>
      </c>
      <c r="H2750" s="21">
        <f t="shared" ca="1" si="467"/>
        <v>8421.2433548690205</v>
      </c>
      <c r="I2750" s="21">
        <f t="shared" ca="1" si="462"/>
        <v>8423.2183818193716</v>
      </c>
      <c r="J2750" s="20">
        <f t="shared" ca="1" si="471"/>
        <v>6</v>
      </c>
      <c r="K2750" s="20">
        <f t="shared" ca="1" si="463"/>
        <v>5</v>
      </c>
      <c r="L2750" s="44">
        <f t="shared" ca="1" si="468"/>
        <v>5.5</v>
      </c>
    </row>
    <row r="2751" spans="1:12" x14ac:dyDescent="0.25">
      <c r="A2751" s="20">
        <v>2743</v>
      </c>
      <c r="B2751" s="21">
        <f t="shared" ca="1" si="464"/>
        <v>0.40473606141864471</v>
      </c>
      <c r="C2751" s="21">
        <f t="shared" ca="1" si="469"/>
        <v>8413.9376967510234</v>
      </c>
      <c r="D2751" s="21">
        <f t="shared" ca="1" si="465"/>
        <v>1.2337619470468759</v>
      </c>
      <c r="E2751" s="21">
        <f t="shared" ca="1" si="472"/>
        <v>9.280685068348248</v>
      </c>
      <c r="F2751" s="20" t="str">
        <f t="shared" ca="1" si="470"/>
        <v>No</v>
      </c>
      <c r="G2751" s="21">
        <f t="shared" ca="1" si="466"/>
        <v>0</v>
      </c>
      <c r="H2751" s="21">
        <f t="shared" ca="1" si="467"/>
        <v>8423.2183818193716</v>
      </c>
      <c r="I2751" s="21">
        <f t="shared" ca="1" si="462"/>
        <v>8424.4521437664189</v>
      </c>
      <c r="J2751" s="20">
        <f t="shared" ca="1" si="471"/>
        <v>6</v>
      </c>
      <c r="K2751" s="20">
        <f t="shared" ca="1" si="463"/>
        <v>5</v>
      </c>
      <c r="L2751" s="44">
        <f t="shared" ca="1" si="468"/>
        <v>5.5</v>
      </c>
    </row>
    <row r="2752" spans="1:12" x14ac:dyDescent="0.25">
      <c r="A2752" s="20">
        <v>2744</v>
      </c>
      <c r="B2752" s="21">
        <f t="shared" ca="1" si="464"/>
        <v>0.84126724032715683</v>
      </c>
      <c r="C2752" s="21">
        <f t="shared" ca="1" si="469"/>
        <v>8414.7789639913499</v>
      </c>
      <c r="D2752" s="21">
        <f t="shared" ca="1" si="465"/>
        <v>7.4202407345220811</v>
      </c>
      <c r="E2752" s="21">
        <f t="shared" ca="1" si="472"/>
        <v>9.6731797750690021</v>
      </c>
      <c r="F2752" s="20" t="str">
        <f t="shared" ca="1" si="470"/>
        <v>No</v>
      </c>
      <c r="G2752" s="21">
        <f t="shared" ca="1" si="466"/>
        <v>0</v>
      </c>
      <c r="H2752" s="21">
        <f t="shared" ca="1" si="467"/>
        <v>8424.4521437664189</v>
      </c>
      <c r="I2752" s="21">
        <f t="shared" ca="1" si="462"/>
        <v>8431.8723845009408</v>
      </c>
      <c r="J2752" s="20">
        <f t="shared" ca="1" si="471"/>
        <v>6</v>
      </c>
      <c r="K2752" s="20">
        <f t="shared" ca="1" si="463"/>
        <v>5</v>
      </c>
      <c r="L2752" s="44">
        <f t="shared" ca="1" si="468"/>
        <v>5.5</v>
      </c>
    </row>
    <row r="2753" spans="1:12" x14ac:dyDescent="0.25">
      <c r="A2753" s="20">
        <v>2745</v>
      </c>
      <c r="B2753" s="21">
        <f t="shared" ca="1" si="464"/>
        <v>3.2144331487527551</v>
      </c>
      <c r="C2753" s="21">
        <f t="shared" ca="1" si="469"/>
        <v>8417.9933971401024</v>
      </c>
      <c r="D2753" s="21">
        <f t="shared" ca="1" si="465"/>
        <v>0.23624877475579625</v>
      </c>
      <c r="E2753" s="21">
        <f t="shared" ca="1" si="472"/>
        <v>13.878987360838437</v>
      </c>
      <c r="F2753" s="20" t="str">
        <f t="shared" ca="1" si="470"/>
        <v>No</v>
      </c>
      <c r="G2753" s="21">
        <f t="shared" ca="1" si="466"/>
        <v>0</v>
      </c>
      <c r="H2753" s="21">
        <f t="shared" ca="1" si="467"/>
        <v>8431.8723845009408</v>
      </c>
      <c r="I2753" s="21">
        <f t="shared" ca="1" si="462"/>
        <v>8432.1086332756968</v>
      </c>
      <c r="J2753" s="20">
        <f t="shared" ca="1" si="471"/>
        <v>6</v>
      </c>
      <c r="K2753" s="20">
        <f t="shared" ca="1" si="463"/>
        <v>5</v>
      </c>
      <c r="L2753" s="44">
        <f t="shared" ca="1" si="468"/>
        <v>5.5</v>
      </c>
    </row>
    <row r="2754" spans="1:12" x14ac:dyDescent="0.25">
      <c r="A2754" s="20">
        <v>2746</v>
      </c>
      <c r="B2754" s="21">
        <f t="shared" ca="1" si="464"/>
        <v>0.52901681992114336</v>
      </c>
      <c r="C2754" s="21">
        <f t="shared" ca="1" si="469"/>
        <v>8418.5224139600232</v>
      </c>
      <c r="D2754" s="21">
        <f t="shared" ca="1" si="465"/>
        <v>2.1904562424090193</v>
      </c>
      <c r="E2754" s="21">
        <f t="shared" ca="1" si="472"/>
        <v>13.586219315673588</v>
      </c>
      <c r="F2754" s="20" t="str">
        <f t="shared" ca="1" si="470"/>
        <v>No</v>
      </c>
      <c r="G2754" s="21">
        <f t="shared" ca="1" si="466"/>
        <v>0</v>
      </c>
      <c r="H2754" s="21">
        <f t="shared" ca="1" si="467"/>
        <v>8432.1086332756968</v>
      </c>
      <c r="I2754" s="21">
        <f t="shared" ca="1" si="462"/>
        <v>8434.2990895181065</v>
      </c>
      <c r="J2754" s="20">
        <f t="shared" ca="1" si="471"/>
        <v>6</v>
      </c>
      <c r="K2754" s="20">
        <f t="shared" ca="1" si="463"/>
        <v>5</v>
      </c>
      <c r="L2754" s="44">
        <f t="shared" ca="1" si="468"/>
        <v>5.5</v>
      </c>
    </row>
    <row r="2755" spans="1:12" x14ac:dyDescent="0.25">
      <c r="A2755" s="20">
        <v>2747</v>
      </c>
      <c r="B2755" s="21">
        <f t="shared" ca="1" si="464"/>
        <v>1.5559310482463711</v>
      </c>
      <c r="C2755" s="21">
        <f t="shared" ca="1" si="469"/>
        <v>8420.078345008269</v>
      </c>
      <c r="D2755" s="21">
        <f t="shared" ca="1" si="465"/>
        <v>1.7589062015730364E-2</v>
      </c>
      <c r="E2755" s="21">
        <f t="shared" ca="1" si="472"/>
        <v>14.220744509837459</v>
      </c>
      <c r="F2755" s="20" t="str">
        <f t="shared" ca="1" si="470"/>
        <v>No</v>
      </c>
      <c r="G2755" s="21">
        <f t="shared" ca="1" si="466"/>
        <v>0</v>
      </c>
      <c r="H2755" s="21">
        <f t="shared" ca="1" si="467"/>
        <v>8434.2990895181065</v>
      </c>
      <c r="I2755" s="21">
        <f t="shared" ca="1" si="462"/>
        <v>8434.3166785801222</v>
      </c>
      <c r="J2755" s="20">
        <f t="shared" ca="1" si="471"/>
        <v>6</v>
      </c>
      <c r="K2755" s="20">
        <f t="shared" ca="1" si="463"/>
        <v>5</v>
      </c>
      <c r="L2755" s="44">
        <f t="shared" ca="1" si="468"/>
        <v>5.5</v>
      </c>
    </row>
    <row r="2756" spans="1:12" x14ac:dyDescent="0.25">
      <c r="A2756" s="20">
        <v>2748</v>
      </c>
      <c r="B2756" s="21">
        <f t="shared" ca="1" si="464"/>
        <v>1.5804418462434788</v>
      </c>
      <c r="C2756" s="21">
        <f t="shared" ca="1" si="469"/>
        <v>8421.6587868545121</v>
      </c>
      <c r="D2756" s="21">
        <f t="shared" ca="1" si="465"/>
        <v>0.52460732006454092</v>
      </c>
      <c r="E2756" s="21">
        <f t="shared" ca="1" si="472"/>
        <v>12.65789172561017</v>
      </c>
      <c r="F2756" s="20" t="str">
        <f t="shared" ca="1" si="470"/>
        <v>No</v>
      </c>
      <c r="G2756" s="21">
        <f t="shared" ca="1" si="466"/>
        <v>0</v>
      </c>
      <c r="H2756" s="21">
        <f t="shared" ca="1" si="467"/>
        <v>8434.3166785801222</v>
      </c>
      <c r="I2756" s="21">
        <f t="shared" ca="1" si="462"/>
        <v>8434.8412859001874</v>
      </c>
      <c r="J2756" s="20">
        <f t="shared" ca="1" si="471"/>
        <v>6</v>
      </c>
      <c r="K2756" s="20">
        <f t="shared" ca="1" si="463"/>
        <v>5</v>
      </c>
      <c r="L2756" s="44">
        <f t="shared" ca="1" si="468"/>
        <v>5.5</v>
      </c>
    </row>
    <row r="2757" spans="1:12" x14ac:dyDescent="0.25">
      <c r="A2757" s="20">
        <v>2749</v>
      </c>
      <c r="B2757" s="21">
        <f t="shared" ca="1" si="464"/>
        <v>1.2965048440600122</v>
      </c>
      <c r="C2757" s="21">
        <f t="shared" ca="1" si="469"/>
        <v>8422.9552916985722</v>
      </c>
      <c r="D2757" s="21">
        <f t="shared" ca="1" si="465"/>
        <v>2.1337337111541612</v>
      </c>
      <c r="E2757" s="21">
        <f t="shared" ca="1" si="472"/>
        <v>11.885994201615176</v>
      </c>
      <c r="F2757" s="20" t="str">
        <f t="shared" ca="1" si="470"/>
        <v>No</v>
      </c>
      <c r="G2757" s="21">
        <f t="shared" ca="1" si="466"/>
        <v>0</v>
      </c>
      <c r="H2757" s="21">
        <f t="shared" ca="1" si="467"/>
        <v>8434.8412859001874</v>
      </c>
      <c r="I2757" s="21">
        <f t="shared" ca="1" si="462"/>
        <v>8436.9750196113418</v>
      </c>
      <c r="J2757" s="20">
        <f t="shared" ca="1" si="471"/>
        <v>6</v>
      </c>
      <c r="K2757" s="20">
        <f t="shared" ca="1" si="463"/>
        <v>5</v>
      </c>
      <c r="L2757" s="44">
        <f t="shared" ca="1" si="468"/>
        <v>5.5</v>
      </c>
    </row>
    <row r="2758" spans="1:12" x14ac:dyDescent="0.25">
      <c r="A2758" s="20">
        <v>2750</v>
      </c>
      <c r="B2758" s="21">
        <f t="shared" ca="1" si="464"/>
        <v>5.1141870684120194</v>
      </c>
      <c r="C2758" s="21">
        <f t="shared" ca="1" si="469"/>
        <v>8428.0694787669836</v>
      </c>
      <c r="D2758" s="21">
        <f t="shared" ca="1" si="465"/>
        <v>2.3176063812364358</v>
      </c>
      <c r="E2758" s="21">
        <f t="shared" ca="1" si="472"/>
        <v>8.9055408443582564</v>
      </c>
      <c r="F2758" s="20" t="str">
        <f t="shared" ca="1" si="470"/>
        <v>No</v>
      </c>
      <c r="G2758" s="21">
        <f t="shared" ca="1" si="466"/>
        <v>0</v>
      </c>
      <c r="H2758" s="21">
        <f t="shared" ca="1" si="467"/>
        <v>8436.9750196113418</v>
      </c>
      <c r="I2758" s="21">
        <f t="shared" ca="1" si="462"/>
        <v>8439.2926259925789</v>
      </c>
      <c r="J2758" s="20">
        <f t="shared" ca="1" si="471"/>
        <v>6</v>
      </c>
      <c r="K2758" s="20">
        <f t="shared" ca="1" si="463"/>
        <v>5</v>
      </c>
      <c r="L2758" s="44">
        <f t="shared" ca="1" si="468"/>
        <v>5.5</v>
      </c>
    </row>
    <row r="2759" spans="1:12" x14ac:dyDescent="0.25">
      <c r="A2759" s="20">
        <v>2751</v>
      </c>
      <c r="B2759" s="21">
        <f t="shared" ca="1" si="464"/>
        <v>0.79115573709971043</v>
      </c>
      <c r="C2759" s="21">
        <f t="shared" ca="1" si="469"/>
        <v>8428.8606345040826</v>
      </c>
      <c r="D2759" s="21">
        <f t="shared" ca="1" si="465"/>
        <v>4.1251023351369973</v>
      </c>
      <c r="E2759" s="21">
        <f t="shared" ca="1" si="472"/>
        <v>10.431991488496351</v>
      </c>
      <c r="F2759" s="20" t="str">
        <f t="shared" ca="1" si="470"/>
        <v>No</v>
      </c>
      <c r="G2759" s="21">
        <f t="shared" ca="1" si="466"/>
        <v>0</v>
      </c>
      <c r="H2759" s="21">
        <f t="shared" ca="1" si="467"/>
        <v>8439.2926259925789</v>
      </c>
      <c r="I2759" s="21">
        <f t="shared" ca="1" si="462"/>
        <v>8443.4177283277168</v>
      </c>
      <c r="J2759" s="20">
        <f t="shared" ca="1" si="471"/>
        <v>6</v>
      </c>
      <c r="K2759" s="20">
        <f t="shared" ca="1" si="463"/>
        <v>4</v>
      </c>
      <c r="L2759" s="44">
        <f t="shared" ca="1" si="468"/>
        <v>5</v>
      </c>
    </row>
    <row r="2760" spans="1:12" x14ac:dyDescent="0.25">
      <c r="A2760" s="20">
        <v>2752</v>
      </c>
      <c r="B2760" s="21">
        <f t="shared" ca="1" si="464"/>
        <v>0.75393099889035442</v>
      </c>
      <c r="C2760" s="21">
        <f t="shared" ca="1" si="469"/>
        <v>8429.6145655029723</v>
      </c>
      <c r="D2760" s="21">
        <f t="shared" ca="1" si="465"/>
        <v>3.1236543234397493E-2</v>
      </c>
      <c r="E2760" s="21">
        <f t="shared" ca="1" si="472"/>
        <v>13.803162824744504</v>
      </c>
      <c r="F2760" s="20" t="str">
        <f t="shared" ca="1" si="470"/>
        <v>No</v>
      </c>
      <c r="G2760" s="21">
        <f t="shared" ca="1" si="466"/>
        <v>0</v>
      </c>
      <c r="H2760" s="21">
        <f t="shared" ca="1" si="467"/>
        <v>8443.4177283277168</v>
      </c>
      <c r="I2760" s="21">
        <f t="shared" ca="1" si="462"/>
        <v>8443.4489648709514</v>
      </c>
      <c r="J2760" s="20">
        <f t="shared" ca="1" si="471"/>
        <v>5</v>
      </c>
      <c r="K2760" s="20">
        <f t="shared" ca="1" si="463"/>
        <v>3</v>
      </c>
      <c r="L2760" s="44">
        <f t="shared" ca="1" si="468"/>
        <v>4</v>
      </c>
    </row>
    <row r="2761" spans="1:12" x14ac:dyDescent="0.25">
      <c r="A2761" s="20">
        <v>2753</v>
      </c>
      <c r="B2761" s="21">
        <f t="shared" ca="1" si="464"/>
        <v>0.246293807599336</v>
      </c>
      <c r="C2761" s="21">
        <f t="shared" ca="1" si="469"/>
        <v>8429.860859310571</v>
      </c>
      <c r="D2761" s="21">
        <f t="shared" ca="1" si="465"/>
        <v>3.8078456112443462</v>
      </c>
      <c r="E2761" s="21">
        <f t="shared" ca="1" si="472"/>
        <v>13.588105560380427</v>
      </c>
      <c r="F2761" s="20" t="str">
        <f t="shared" ca="1" si="470"/>
        <v>No</v>
      </c>
      <c r="G2761" s="21">
        <f t="shared" ca="1" si="466"/>
        <v>0</v>
      </c>
      <c r="H2761" s="21">
        <f t="shared" ca="1" si="467"/>
        <v>8443.4489648709514</v>
      </c>
      <c r="I2761" s="21">
        <f t="shared" ref="I2761:I2824" ca="1" si="473">$H2761+$D2761</f>
        <v>8447.2568104821949</v>
      </c>
      <c r="J2761" s="20">
        <f t="shared" ca="1" si="471"/>
        <v>4</v>
      </c>
      <c r="K2761" s="20">
        <f t="shared" ref="K2761:K2824" ca="1" si="474">IF($I2761&lt;=$C2762,0,IF($I2761&lt;=$C2763,1,IF($I2761&lt;=$C2764,2,IF($I2761&lt;=$C2765,3,IF($I2761&lt;=$C2766,4,5)))))</f>
        <v>3</v>
      </c>
      <c r="L2761" s="44">
        <f t="shared" ca="1" si="468"/>
        <v>3.5</v>
      </c>
    </row>
    <row r="2762" spans="1:12" x14ac:dyDescent="0.25">
      <c r="A2762" s="20">
        <v>2754</v>
      </c>
      <c r="B2762" s="21">
        <f t="shared" ref="B2762:B2825" ca="1" si="475">-LN(RAND())/$D$4</f>
        <v>0.45097514002266476</v>
      </c>
      <c r="C2762" s="21">
        <f t="shared" ca="1" si="469"/>
        <v>8430.3118344505929</v>
      </c>
      <c r="D2762" s="21">
        <f t="shared" ref="D2762:D2825" ca="1" si="476">-LN(RAND())/$D$6</f>
        <v>2.7291182231504627</v>
      </c>
      <c r="E2762" s="21">
        <f t="shared" ca="1" si="472"/>
        <v>16.944976031601982</v>
      </c>
      <c r="F2762" s="20" t="str">
        <f t="shared" ca="1" si="470"/>
        <v>No</v>
      </c>
      <c r="G2762" s="21">
        <f t="shared" ref="G2762:G2825" ca="1" si="477">IF($I2761&lt;=$C2762,$C2762-$I2761,0)</f>
        <v>0</v>
      </c>
      <c r="H2762" s="21">
        <f t="shared" ref="H2762:H2825" ca="1" si="478">IF($I2761&lt;=$C2762,$C2762,$I2761)</f>
        <v>8447.2568104821949</v>
      </c>
      <c r="I2762" s="21">
        <f t="shared" ca="1" si="473"/>
        <v>8449.9859287053459</v>
      </c>
      <c r="J2762" s="20">
        <f t="shared" ca="1" si="471"/>
        <v>4</v>
      </c>
      <c r="K2762" s="20">
        <f t="shared" ca="1" si="474"/>
        <v>2</v>
      </c>
      <c r="L2762" s="44">
        <f t="shared" ref="L2762:L2825" ca="1" si="479">(J2762+K2762)/2</f>
        <v>3</v>
      </c>
    </row>
    <row r="2763" spans="1:12" x14ac:dyDescent="0.25">
      <c r="A2763" s="20">
        <v>2755</v>
      </c>
      <c r="B2763" s="21">
        <f t="shared" ca="1" si="475"/>
        <v>5.3856361631354099</v>
      </c>
      <c r="C2763" s="21">
        <f t="shared" ref="C2763:C2826" ca="1" si="480">$C2762+$B2763</f>
        <v>8435.697470613728</v>
      </c>
      <c r="D2763" s="21">
        <f t="shared" ca="1" si="476"/>
        <v>2.552654835311893</v>
      </c>
      <c r="E2763" s="21">
        <f t="shared" ca="1" si="472"/>
        <v>14.28845809161794</v>
      </c>
      <c r="F2763" s="20" t="str">
        <f t="shared" ref="F2763:F2826" ca="1" si="481">IF(E2763=0,"Yes","No")</f>
        <v>No</v>
      </c>
      <c r="G2763" s="21">
        <f t="shared" ca="1" si="477"/>
        <v>0</v>
      </c>
      <c r="H2763" s="21">
        <f t="shared" ca="1" si="478"/>
        <v>8449.9859287053459</v>
      </c>
      <c r="I2763" s="21">
        <f t="shared" ca="1" si="473"/>
        <v>8452.5385835406578</v>
      </c>
      <c r="J2763" s="20">
        <f t="shared" ref="J2763:J2826" ca="1" si="482">IF($I2762&lt;=$C2763,0,$K2762+1)</f>
        <v>3</v>
      </c>
      <c r="K2763" s="20">
        <f t="shared" ca="1" si="474"/>
        <v>2</v>
      </c>
      <c r="L2763" s="44">
        <f t="shared" ca="1" si="479"/>
        <v>2.5</v>
      </c>
    </row>
    <row r="2764" spans="1:12" x14ac:dyDescent="0.25">
      <c r="A2764" s="20">
        <v>2756</v>
      </c>
      <c r="B2764" s="21">
        <f t="shared" ca="1" si="475"/>
        <v>10.06748520397757</v>
      </c>
      <c r="C2764" s="21">
        <f t="shared" ca="1" si="480"/>
        <v>8445.7649558177054</v>
      </c>
      <c r="D2764" s="21">
        <f t="shared" ca="1" si="476"/>
        <v>0.21390538368888606</v>
      </c>
      <c r="E2764" s="21">
        <f t="shared" ref="E2764:E2827" ca="1" si="483">IF($I2763&lt;=$C2764,0,$I2763-$C2764)</f>
        <v>6.7736277229523694</v>
      </c>
      <c r="F2764" s="20" t="str">
        <f t="shared" ca="1" si="481"/>
        <v>No</v>
      </c>
      <c r="G2764" s="21">
        <f t="shared" ca="1" si="477"/>
        <v>0</v>
      </c>
      <c r="H2764" s="21">
        <f t="shared" ca="1" si="478"/>
        <v>8452.5385835406578</v>
      </c>
      <c r="I2764" s="21">
        <f t="shared" ca="1" si="473"/>
        <v>8452.7524889243468</v>
      </c>
      <c r="J2764" s="20">
        <f t="shared" ca="1" si="482"/>
        <v>3</v>
      </c>
      <c r="K2764" s="20">
        <f t="shared" ca="1" si="474"/>
        <v>1</v>
      </c>
      <c r="L2764" s="44">
        <f t="shared" ca="1" si="479"/>
        <v>2</v>
      </c>
    </row>
    <row r="2765" spans="1:12" x14ac:dyDescent="0.25">
      <c r="A2765" s="20">
        <v>2757</v>
      </c>
      <c r="B2765" s="21">
        <f t="shared" ca="1" si="475"/>
        <v>6.4786358102025163</v>
      </c>
      <c r="C2765" s="21">
        <f t="shared" ca="1" si="480"/>
        <v>8452.2435916279082</v>
      </c>
      <c r="D2765" s="21">
        <f t="shared" ca="1" si="476"/>
        <v>1.2656311637416784</v>
      </c>
      <c r="E2765" s="21">
        <f t="shared" ca="1" si="483"/>
        <v>0.50889729643859027</v>
      </c>
      <c r="F2765" s="20" t="str">
        <f t="shared" ca="1" si="481"/>
        <v>No</v>
      </c>
      <c r="G2765" s="21">
        <f t="shared" ca="1" si="477"/>
        <v>0</v>
      </c>
      <c r="H2765" s="21">
        <f t="shared" ca="1" si="478"/>
        <v>8452.7524889243468</v>
      </c>
      <c r="I2765" s="21">
        <f t="shared" ca="1" si="473"/>
        <v>8454.0181200880888</v>
      </c>
      <c r="J2765" s="20">
        <f t="shared" ca="1" si="482"/>
        <v>2</v>
      </c>
      <c r="K2765" s="20">
        <f t="shared" ca="1" si="474"/>
        <v>0</v>
      </c>
      <c r="L2765" s="44">
        <f t="shared" ca="1" si="479"/>
        <v>1</v>
      </c>
    </row>
    <row r="2766" spans="1:12" x14ac:dyDescent="0.25">
      <c r="A2766" s="20">
        <v>2758</v>
      </c>
      <c r="B2766" s="21">
        <f t="shared" ca="1" si="475"/>
        <v>2.1756682566817145</v>
      </c>
      <c r="C2766" s="21">
        <f t="shared" ca="1" si="480"/>
        <v>8454.4192598845893</v>
      </c>
      <c r="D2766" s="21">
        <f t="shared" ca="1" si="476"/>
        <v>3.5620126987736138</v>
      </c>
      <c r="E2766" s="21">
        <f t="shared" ca="1" si="483"/>
        <v>0</v>
      </c>
      <c r="F2766" s="20" t="str">
        <f t="shared" ca="1" si="481"/>
        <v>Yes</v>
      </c>
      <c r="G2766" s="21">
        <f t="shared" ca="1" si="477"/>
        <v>0.40113979650050169</v>
      </c>
      <c r="H2766" s="21">
        <f t="shared" ca="1" si="478"/>
        <v>8454.4192598845893</v>
      </c>
      <c r="I2766" s="21">
        <f t="shared" ca="1" si="473"/>
        <v>8457.9812725833635</v>
      </c>
      <c r="J2766" s="20">
        <f t="shared" ca="1" si="482"/>
        <v>0</v>
      </c>
      <c r="K2766" s="20">
        <f t="shared" ca="1" si="474"/>
        <v>0</v>
      </c>
      <c r="L2766" s="44">
        <f t="shared" ca="1" si="479"/>
        <v>0</v>
      </c>
    </row>
    <row r="2767" spans="1:12" x14ac:dyDescent="0.25">
      <c r="A2767" s="20">
        <v>2759</v>
      </c>
      <c r="B2767" s="21">
        <f t="shared" ca="1" si="475"/>
        <v>4.9798956388966351</v>
      </c>
      <c r="C2767" s="21">
        <f t="shared" ca="1" si="480"/>
        <v>8459.3991555234861</v>
      </c>
      <c r="D2767" s="21">
        <f t="shared" ca="1" si="476"/>
        <v>4.4384040020483102</v>
      </c>
      <c r="E2767" s="21">
        <f t="shared" ca="1" si="483"/>
        <v>0</v>
      </c>
      <c r="F2767" s="20" t="str">
        <f t="shared" ca="1" si="481"/>
        <v>Yes</v>
      </c>
      <c r="G2767" s="21">
        <f t="shared" ca="1" si="477"/>
        <v>1.4178829401225812</v>
      </c>
      <c r="H2767" s="21">
        <f t="shared" ca="1" si="478"/>
        <v>8459.3991555234861</v>
      </c>
      <c r="I2767" s="21">
        <f t="shared" ca="1" si="473"/>
        <v>8463.8375595255347</v>
      </c>
      <c r="J2767" s="20">
        <f t="shared" ca="1" si="482"/>
        <v>0</v>
      </c>
      <c r="K2767" s="20">
        <f t="shared" ca="1" si="474"/>
        <v>4</v>
      </c>
      <c r="L2767" s="44">
        <f t="shared" ca="1" si="479"/>
        <v>2</v>
      </c>
    </row>
    <row r="2768" spans="1:12" x14ac:dyDescent="0.25">
      <c r="A2768" s="20">
        <v>2760</v>
      </c>
      <c r="B2768" s="21">
        <f t="shared" ca="1" si="475"/>
        <v>0.22719235604006316</v>
      </c>
      <c r="C2768" s="21">
        <f t="shared" ca="1" si="480"/>
        <v>8459.6263478795263</v>
      </c>
      <c r="D2768" s="21">
        <f t="shared" ca="1" si="476"/>
        <v>0.74930984081299679</v>
      </c>
      <c r="E2768" s="21">
        <f t="shared" ca="1" si="483"/>
        <v>4.2112116460084508</v>
      </c>
      <c r="F2768" s="20" t="str">
        <f t="shared" ca="1" si="481"/>
        <v>No</v>
      </c>
      <c r="G2768" s="21">
        <f t="shared" ca="1" si="477"/>
        <v>0</v>
      </c>
      <c r="H2768" s="21">
        <f t="shared" ca="1" si="478"/>
        <v>8463.8375595255347</v>
      </c>
      <c r="I2768" s="21">
        <f t="shared" ca="1" si="473"/>
        <v>8464.5868693663469</v>
      </c>
      <c r="J2768" s="20">
        <f t="shared" ca="1" si="482"/>
        <v>5</v>
      </c>
      <c r="K2768" s="20">
        <f t="shared" ca="1" si="474"/>
        <v>3</v>
      </c>
      <c r="L2768" s="44">
        <f t="shared" ca="1" si="479"/>
        <v>4</v>
      </c>
    </row>
    <row r="2769" spans="1:12" x14ac:dyDescent="0.25">
      <c r="A2769" s="20">
        <v>2761</v>
      </c>
      <c r="B2769" s="21">
        <f t="shared" ca="1" si="475"/>
        <v>1.8842518954245697</v>
      </c>
      <c r="C2769" s="21">
        <f t="shared" ca="1" si="480"/>
        <v>8461.5105997749506</v>
      </c>
      <c r="D2769" s="21">
        <f t="shared" ca="1" si="476"/>
        <v>0.87240934899329059</v>
      </c>
      <c r="E2769" s="21">
        <f t="shared" ca="1" si="483"/>
        <v>3.0762695913963398</v>
      </c>
      <c r="F2769" s="20" t="str">
        <f t="shared" ca="1" si="481"/>
        <v>No</v>
      </c>
      <c r="G2769" s="21">
        <f t="shared" ca="1" si="477"/>
        <v>0</v>
      </c>
      <c r="H2769" s="21">
        <f t="shared" ca="1" si="478"/>
        <v>8464.5868693663469</v>
      </c>
      <c r="I2769" s="21">
        <f t="shared" ca="1" si="473"/>
        <v>8465.4592787153397</v>
      </c>
      <c r="J2769" s="20">
        <f t="shared" ca="1" si="482"/>
        <v>4</v>
      </c>
      <c r="K2769" s="20">
        <f t="shared" ca="1" si="474"/>
        <v>2</v>
      </c>
      <c r="L2769" s="44">
        <f t="shared" ca="1" si="479"/>
        <v>3</v>
      </c>
    </row>
    <row r="2770" spans="1:12" x14ac:dyDescent="0.25">
      <c r="A2770" s="20">
        <v>2762</v>
      </c>
      <c r="B2770" s="21">
        <f t="shared" ca="1" si="475"/>
        <v>1.2831247416276614</v>
      </c>
      <c r="C2770" s="21">
        <f t="shared" ca="1" si="480"/>
        <v>8462.7937245165776</v>
      </c>
      <c r="D2770" s="21">
        <f t="shared" ca="1" si="476"/>
        <v>7.410060910697772</v>
      </c>
      <c r="E2770" s="21">
        <f t="shared" ca="1" si="483"/>
        <v>2.6655541987620381</v>
      </c>
      <c r="F2770" s="20" t="str">
        <f t="shared" ca="1" si="481"/>
        <v>No</v>
      </c>
      <c r="G2770" s="21">
        <f t="shared" ca="1" si="477"/>
        <v>0</v>
      </c>
      <c r="H2770" s="21">
        <f t="shared" ca="1" si="478"/>
        <v>8465.4592787153397</v>
      </c>
      <c r="I2770" s="21">
        <f t="shared" ca="1" si="473"/>
        <v>8472.8693396260369</v>
      </c>
      <c r="J2770" s="20">
        <f t="shared" ca="1" si="482"/>
        <v>3</v>
      </c>
      <c r="K2770" s="20">
        <f t="shared" ca="1" si="474"/>
        <v>3</v>
      </c>
      <c r="L2770" s="44">
        <f t="shared" ca="1" si="479"/>
        <v>3</v>
      </c>
    </row>
    <row r="2771" spans="1:12" x14ac:dyDescent="0.25">
      <c r="A2771" s="20">
        <v>2763</v>
      </c>
      <c r="B2771" s="21">
        <f t="shared" ca="1" si="475"/>
        <v>0.71618692752843438</v>
      </c>
      <c r="C2771" s="21">
        <f t="shared" ca="1" si="480"/>
        <v>8463.5099114441055</v>
      </c>
      <c r="D2771" s="21">
        <f t="shared" ca="1" si="476"/>
        <v>1.7909224628882539</v>
      </c>
      <c r="E2771" s="21">
        <f t="shared" ca="1" si="483"/>
        <v>9.3594281819314347</v>
      </c>
      <c r="F2771" s="20" t="str">
        <f t="shared" ca="1" si="481"/>
        <v>No</v>
      </c>
      <c r="G2771" s="21">
        <f t="shared" ca="1" si="477"/>
        <v>0</v>
      </c>
      <c r="H2771" s="21">
        <f t="shared" ca="1" si="478"/>
        <v>8472.8693396260369</v>
      </c>
      <c r="I2771" s="21">
        <f t="shared" ca="1" si="473"/>
        <v>8474.6602620889244</v>
      </c>
      <c r="J2771" s="20">
        <f t="shared" ca="1" si="482"/>
        <v>4</v>
      </c>
      <c r="K2771" s="20">
        <f t="shared" ca="1" si="474"/>
        <v>2</v>
      </c>
      <c r="L2771" s="44">
        <f t="shared" ca="1" si="479"/>
        <v>3</v>
      </c>
    </row>
    <row r="2772" spans="1:12" x14ac:dyDescent="0.25">
      <c r="A2772" s="20">
        <v>2764</v>
      </c>
      <c r="B2772" s="21">
        <f t="shared" ca="1" si="475"/>
        <v>6.5711605179112178</v>
      </c>
      <c r="C2772" s="21">
        <f t="shared" ca="1" si="480"/>
        <v>8470.0810719620167</v>
      </c>
      <c r="D2772" s="21">
        <f t="shared" ca="1" si="476"/>
        <v>2.896644983079919</v>
      </c>
      <c r="E2772" s="21">
        <f t="shared" ca="1" si="483"/>
        <v>4.5791901269076334</v>
      </c>
      <c r="F2772" s="20" t="str">
        <f t="shared" ca="1" si="481"/>
        <v>No</v>
      </c>
      <c r="G2772" s="21">
        <f t="shared" ca="1" si="477"/>
        <v>0</v>
      </c>
      <c r="H2772" s="21">
        <f t="shared" ca="1" si="478"/>
        <v>8474.6602620889244</v>
      </c>
      <c r="I2772" s="21">
        <f t="shared" ca="1" si="473"/>
        <v>8477.5569070720048</v>
      </c>
      <c r="J2772" s="20">
        <f t="shared" ca="1" si="482"/>
        <v>3</v>
      </c>
      <c r="K2772" s="20">
        <f t="shared" ca="1" si="474"/>
        <v>1</v>
      </c>
      <c r="L2772" s="44">
        <f t="shared" ca="1" si="479"/>
        <v>2</v>
      </c>
    </row>
    <row r="2773" spans="1:12" x14ac:dyDescent="0.25">
      <c r="A2773" s="20">
        <v>2765</v>
      </c>
      <c r="B2773" s="21">
        <f t="shared" ca="1" si="475"/>
        <v>2.2445611253600504</v>
      </c>
      <c r="C2773" s="21">
        <f t="shared" ca="1" si="480"/>
        <v>8472.3256330873774</v>
      </c>
      <c r="D2773" s="21">
        <f t="shared" ca="1" si="476"/>
        <v>0.39898367338211982</v>
      </c>
      <c r="E2773" s="21">
        <f t="shared" ca="1" si="483"/>
        <v>5.2312739846274781</v>
      </c>
      <c r="F2773" s="20" t="str">
        <f t="shared" ca="1" si="481"/>
        <v>No</v>
      </c>
      <c r="G2773" s="21">
        <f t="shared" ca="1" si="477"/>
        <v>0</v>
      </c>
      <c r="H2773" s="21">
        <f t="shared" ca="1" si="478"/>
        <v>8477.5569070720048</v>
      </c>
      <c r="I2773" s="21">
        <f t="shared" ca="1" si="473"/>
        <v>8477.9558907453866</v>
      </c>
      <c r="J2773" s="20">
        <f t="shared" ca="1" si="482"/>
        <v>2</v>
      </c>
      <c r="K2773" s="20">
        <f t="shared" ca="1" si="474"/>
        <v>0</v>
      </c>
      <c r="L2773" s="44">
        <f t="shared" ca="1" si="479"/>
        <v>1</v>
      </c>
    </row>
    <row r="2774" spans="1:12" x14ac:dyDescent="0.25">
      <c r="A2774" s="20">
        <v>2766</v>
      </c>
      <c r="B2774" s="21">
        <f t="shared" ca="1" si="475"/>
        <v>7.2141102137896587</v>
      </c>
      <c r="C2774" s="21">
        <f t="shared" ca="1" si="480"/>
        <v>8479.5397433011676</v>
      </c>
      <c r="D2774" s="21">
        <f t="shared" ca="1" si="476"/>
        <v>1.4774595206991588</v>
      </c>
      <c r="E2774" s="21">
        <f t="shared" ca="1" si="483"/>
        <v>0</v>
      </c>
      <c r="F2774" s="20" t="str">
        <f t="shared" ca="1" si="481"/>
        <v>Yes</v>
      </c>
      <c r="G2774" s="21">
        <f t="shared" ca="1" si="477"/>
        <v>1.5838525557810499</v>
      </c>
      <c r="H2774" s="21">
        <f t="shared" ca="1" si="478"/>
        <v>8479.5397433011676</v>
      </c>
      <c r="I2774" s="21">
        <f t="shared" ca="1" si="473"/>
        <v>8481.0172028218676</v>
      </c>
      <c r="J2774" s="20">
        <f t="shared" ca="1" si="482"/>
        <v>0</v>
      </c>
      <c r="K2774" s="20">
        <f t="shared" ca="1" si="474"/>
        <v>2</v>
      </c>
      <c r="L2774" s="44">
        <f t="shared" ca="1" si="479"/>
        <v>1</v>
      </c>
    </row>
    <row r="2775" spans="1:12" x14ac:dyDescent="0.25">
      <c r="A2775" s="20">
        <v>2767</v>
      </c>
      <c r="B2775" s="21">
        <f t="shared" ca="1" si="475"/>
        <v>0.16365483747843462</v>
      </c>
      <c r="C2775" s="21">
        <f t="shared" ca="1" si="480"/>
        <v>8479.7033981386467</v>
      </c>
      <c r="D2775" s="21">
        <f t="shared" ca="1" si="476"/>
        <v>3.58749443580508</v>
      </c>
      <c r="E2775" s="21">
        <f t="shared" ca="1" si="483"/>
        <v>1.3138046832209511</v>
      </c>
      <c r="F2775" s="20" t="str">
        <f t="shared" ca="1" si="481"/>
        <v>No</v>
      </c>
      <c r="G2775" s="21">
        <f t="shared" ca="1" si="477"/>
        <v>0</v>
      </c>
      <c r="H2775" s="21">
        <f t="shared" ca="1" si="478"/>
        <v>8481.0172028218676</v>
      </c>
      <c r="I2775" s="21">
        <f t="shared" ca="1" si="473"/>
        <v>8484.6046972576733</v>
      </c>
      <c r="J2775" s="20">
        <f t="shared" ca="1" si="482"/>
        <v>3</v>
      </c>
      <c r="K2775" s="20">
        <f t="shared" ca="1" si="474"/>
        <v>1</v>
      </c>
      <c r="L2775" s="44">
        <f t="shared" ca="1" si="479"/>
        <v>2</v>
      </c>
    </row>
    <row r="2776" spans="1:12" x14ac:dyDescent="0.25">
      <c r="A2776" s="20">
        <v>2768</v>
      </c>
      <c r="B2776" s="21">
        <f t="shared" ca="1" si="475"/>
        <v>0.36739596077640607</v>
      </c>
      <c r="C2776" s="21">
        <f t="shared" ca="1" si="480"/>
        <v>8480.0707940994234</v>
      </c>
      <c r="D2776" s="21">
        <f t="shared" ca="1" si="476"/>
        <v>3.6694779038359369</v>
      </c>
      <c r="E2776" s="21">
        <f t="shared" ca="1" si="483"/>
        <v>4.5339031582498137</v>
      </c>
      <c r="F2776" s="20" t="str">
        <f t="shared" ca="1" si="481"/>
        <v>No</v>
      </c>
      <c r="G2776" s="21">
        <f t="shared" ca="1" si="477"/>
        <v>0</v>
      </c>
      <c r="H2776" s="21">
        <f t="shared" ca="1" si="478"/>
        <v>8484.6046972576733</v>
      </c>
      <c r="I2776" s="21">
        <f t="shared" ca="1" si="473"/>
        <v>8488.2741751615085</v>
      </c>
      <c r="J2776" s="20">
        <f t="shared" ca="1" si="482"/>
        <v>2</v>
      </c>
      <c r="K2776" s="20">
        <f t="shared" ca="1" si="474"/>
        <v>0</v>
      </c>
      <c r="L2776" s="44">
        <f t="shared" ca="1" si="479"/>
        <v>1</v>
      </c>
    </row>
    <row r="2777" spans="1:12" x14ac:dyDescent="0.25">
      <c r="A2777" s="20">
        <v>2769</v>
      </c>
      <c r="B2777" s="21">
        <f t="shared" ca="1" si="475"/>
        <v>8.2881179281901645</v>
      </c>
      <c r="C2777" s="21">
        <f t="shared" ca="1" si="480"/>
        <v>8488.3589120276138</v>
      </c>
      <c r="D2777" s="21">
        <f t="shared" ca="1" si="476"/>
        <v>3.1868666965272783</v>
      </c>
      <c r="E2777" s="21">
        <f t="shared" ca="1" si="483"/>
        <v>0</v>
      </c>
      <c r="F2777" s="20" t="str">
        <f t="shared" ca="1" si="481"/>
        <v>Yes</v>
      </c>
      <c r="G2777" s="21">
        <f t="shared" ca="1" si="477"/>
        <v>8.4736866105231456E-2</v>
      </c>
      <c r="H2777" s="21">
        <f t="shared" ca="1" si="478"/>
        <v>8488.3589120276138</v>
      </c>
      <c r="I2777" s="21">
        <f t="shared" ca="1" si="473"/>
        <v>8491.5457787241412</v>
      </c>
      <c r="J2777" s="20">
        <f t="shared" ca="1" si="482"/>
        <v>0</v>
      </c>
      <c r="K2777" s="20">
        <f t="shared" ca="1" si="474"/>
        <v>1</v>
      </c>
      <c r="L2777" s="44">
        <f t="shared" ca="1" si="479"/>
        <v>0.5</v>
      </c>
    </row>
    <row r="2778" spans="1:12" x14ac:dyDescent="0.25">
      <c r="A2778" s="20">
        <v>2770</v>
      </c>
      <c r="B2778" s="21">
        <f t="shared" ca="1" si="475"/>
        <v>2.8427665585630328</v>
      </c>
      <c r="C2778" s="21">
        <f t="shared" ca="1" si="480"/>
        <v>8491.2016785861761</v>
      </c>
      <c r="D2778" s="21">
        <f t="shared" ca="1" si="476"/>
        <v>0.53854099774827191</v>
      </c>
      <c r="E2778" s="21">
        <f t="shared" ca="1" si="483"/>
        <v>0.34410013796514249</v>
      </c>
      <c r="F2778" s="20" t="str">
        <f t="shared" ca="1" si="481"/>
        <v>No</v>
      </c>
      <c r="G2778" s="21">
        <f t="shared" ca="1" si="477"/>
        <v>0</v>
      </c>
      <c r="H2778" s="21">
        <f t="shared" ca="1" si="478"/>
        <v>8491.5457787241412</v>
      </c>
      <c r="I2778" s="21">
        <f t="shared" ca="1" si="473"/>
        <v>8492.0843197218892</v>
      </c>
      <c r="J2778" s="20">
        <f t="shared" ca="1" si="482"/>
        <v>2</v>
      </c>
      <c r="K2778" s="20">
        <f t="shared" ca="1" si="474"/>
        <v>0</v>
      </c>
      <c r="L2778" s="44">
        <f t="shared" ca="1" si="479"/>
        <v>1</v>
      </c>
    </row>
    <row r="2779" spans="1:12" x14ac:dyDescent="0.25">
      <c r="A2779" s="20">
        <v>2771</v>
      </c>
      <c r="B2779" s="21">
        <f t="shared" ca="1" si="475"/>
        <v>3.7548572487576406</v>
      </c>
      <c r="C2779" s="21">
        <f t="shared" ca="1" si="480"/>
        <v>8494.9565358349337</v>
      </c>
      <c r="D2779" s="21">
        <f t="shared" ca="1" si="476"/>
        <v>7.3414284144288811</v>
      </c>
      <c r="E2779" s="21">
        <f t="shared" ca="1" si="483"/>
        <v>0</v>
      </c>
      <c r="F2779" s="20" t="str">
        <f t="shared" ca="1" si="481"/>
        <v>Yes</v>
      </c>
      <c r="G2779" s="21">
        <f t="shared" ca="1" si="477"/>
        <v>2.8722161130444874</v>
      </c>
      <c r="H2779" s="21">
        <f t="shared" ca="1" si="478"/>
        <v>8494.9565358349337</v>
      </c>
      <c r="I2779" s="21">
        <f t="shared" ca="1" si="473"/>
        <v>8502.2979642493628</v>
      </c>
      <c r="J2779" s="20">
        <f t="shared" ca="1" si="482"/>
        <v>0</v>
      </c>
      <c r="K2779" s="20">
        <f t="shared" ca="1" si="474"/>
        <v>2</v>
      </c>
      <c r="L2779" s="44">
        <f t="shared" ca="1" si="479"/>
        <v>1</v>
      </c>
    </row>
    <row r="2780" spans="1:12" x14ac:dyDescent="0.25">
      <c r="A2780" s="20">
        <v>2772</v>
      </c>
      <c r="B2780" s="21">
        <f t="shared" ca="1" si="475"/>
        <v>0.80586532759668761</v>
      </c>
      <c r="C2780" s="21">
        <f t="shared" ca="1" si="480"/>
        <v>8495.7624011625303</v>
      </c>
      <c r="D2780" s="21">
        <f t="shared" ca="1" si="476"/>
        <v>3.5642073494413493</v>
      </c>
      <c r="E2780" s="21">
        <f t="shared" ca="1" si="483"/>
        <v>6.5355630868325534</v>
      </c>
      <c r="F2780" s="20" t="str">
        <f t="shared" ca="1" si="481"/>
        <v>No</v>
      </c>
      <c r="G2780" s="21">
        <f t="shared" ca="1" si="477"/>
        <v>0</v>
      </c>
      <c r="H2780" s="21">
        <f t="shared" ca="1" si="478"/>
        <v>8502.2979642493628</v>
      </c>
      <c r="I2780" s="21">
        <f t="shared" ca="1" si="473"/>
        <v>8505.8621715988047</v>
      </c>
      <c r="J2780" s="20">
        <f t="shared" ca="1" si="482"/>
        <v>3</v>
      </c>
      <c r="K2780" s="20">
        <f t="shared" ca="1" si="474"/>
        <v>4</v>
      </c>
      <c r="L2780" s="44">
        <f t="shared" ca="1" si="479"/>
        <v>3.5</v>
      </c>
    </row>
    <row r="2781" spans="1:12" x14ac:dyDescent="0.25">
      <c r="A2781" s="20">
        <v>2773</v>
      </c>
      <c r="B2781" s="21">
        <f t="shared" ca="1" si="475"/>
        <v>4.2799971835967119</v>
      </c>
      <c r="C2781" s="21">
        <f t="shared" ca="1" si="480"/>
        <v>8500.0423983461278</v>
      </c>
      <c r="D2781" s="21">
        <f t="shared" ca="1" si="476"/>
        <v>10.62979634068186</v>
      </c>
      <c r="E2781" s="21">
        <f t="shared" ca="1" si="483"/>
        <v>5.8197732526768959</v>
      </c>
      <c r="F2781" s="20" t="str">
        <f t="shared" ca="1" si="481"/>
        <v>No</v>
      </c>
      <c r="G2781" s="21">
        <f t="shared" ca="1" si="477"/>
        <v>0</v>
      </c>
      <c r="H2781" s="21">
        <f t="shared" ca="1" si="478"/>
        <v>8505.8621715988047</v>
      </c>
      <c r="I2781" s="21">
        <f t="shared" ca="1" si="473"/>
        <v>8516.4919679394861</v>
      </c>
      <c r="J2781" s="20">
        <f t="shared" ca="1" si="482"/>
        <v>5</v>
      </c>
      <c r="K2781" s="20">
        <f t="shared" ca="1" si="474"/>
        <v>5</v>
      </c>
      <c r="L2781" s="44">
        <f t="shared" ca="1" si="479"/>
        <v>5</v>
      </c>
    </row>
    <row r="2782" spans="1:12" x14ac:dyDescent="0.25">
      <c r="A2782" s="20">
        <v>2774</v>
      </c>
      <c r="B2782" s="21">
        <f t="shared" ca="1" si="475"/>
        <v>2.8941996084263835</v>
      </c>
      <c r="C2782" s="21">
        <f t="shared" ca="1" si="480"/>
        <v>8502.9365979545546</v>
      </c>
      <c r="D2782" s="21">
        <f t="shared" ca="1" si="476"/>
        <v>3.3679984582137794</v>
      </c>
      <c r="E2782" s="21">
        <f t="shared" ca="1" si="483"/>
        <v>13.555369984931531</v>
      </c>
      <c r="F2782" s="20" t="str">
        <f t="shared" ca="1" si="481"/>
        <v>No</v>
      </c>
      <c r="G2782" s="21">
        <f t="shared" ca="1" si="477"/>
        <v>0</v>
      </c>
      <c r="H2782" s="21">
        <f t="shared" ca="1" si="478"/>
        <v>8516.4919679394861</v>
      </c>
      <c r="I2782" s="21">
        <f t="shared" ca="1" si="473"/>
        <v>8519.8599663977002</v>
      </c>
      <c r="J2782" s="20">
        <f t="shared" ca="1" si="482"/>
        <v>6</v>
      </c>
      <c r="K2782" s="20">
        <f t="shared" ca="1" si="474"/>
        <v>5</v>
      </c>
      <c r="L2782" s="44">
        <f t="shared" ca="1" si="479"/>
        <v>5.5</v>
      </c>
    </row>
    <row r="2783" spans="1:12" x14ac:dyDescent="0.25">
      <c r="A2783" s="20">
        <v>2775</v>
      </c>
      <c r="B2783" s="21">
        <f t="shared" ca="1" si="475"/>
        <v>2.7035615466040519</v>
      </c>
      <c r="C2783" s="21">
        <f t="shared" ca="1" si="480"/>
        <v>8505.6401595011594</v>
      </c>
      <c r="D2783" s="21">
        <f t="shared" ca="1" si="476"/>
        <v>7.2350173852117781</v>
      </c>
      <c r="E2783" s="21">
        <f t="shared" ca="1" si="483"/>
        <v>14.219806896540831</v>
      </c>
      <c r="F2783" s="20" t="str">
        <f t="shared" ca="1" si="481"/>
        <v>No</v>
      </c>
      <c r="G2783" s="21">
        <f t="shared" ca="1" si="477"/>
        <v>0</v>
      </c>
      <c r="H2783" s="21">
        <f t="shared" ca="1" si="478"/>
        <v>8519.8599663977002</v>
      </c>
      <c r="I2783" s="21">
        <f t="shared" ca="1" si="473"/>
        <v>8527.0949837829121</v>
      </c>
      <c r="J2783" s="20">
        <f t="shared" ca="1" si="482"/>
        <v>6</v>
      </c>
      <c r="K2783" s="20">
        <f t="shared" ca="1" si="474"/>
        <v>5</v>
      </c>
      <c r="L2783" s="44">
        <f t="shared" ca="1" si="479"/>
        <v>5.5</v>
      </c>
    </row>
    <row r="2784" spans="1:12" x14ac:dyDescent="0.25">
      <c r="A2784" s="20">
        <v>2776</v>
      </c>
      <c r="B2784" s="21">
        <f t="shared" ca="1" si="475"/>
        <v>7.8406455776137404E-2</v>
      </c>
      <c r="C2784" s="21">
        <f t="shared" ca="1" si="480"/>
        <v>8505.718565956935</v>
      </c>
      <c r="D2784" s="21">
        <f t="shared" ca="1" si="476"/>
        <v>8.2281711110514397</v>
      </c>
      <c r="E2784" s="21">
        <f t="shared" ca="1" si="483"/>
        <v>21.376417825977114</v>
      </c>
      <c r="F2784" s="20" t="str">
        <f t="shared" ca="1" si="481"/>
        <v>No</v>
      </c>
      <c r="G2784" s="21">
        <f t="shared" ca="1" si="477"/>
        <v>0</v>
      </c>
      <c r="H2784" s="21">
        <f t="shared" ca="1" si="478"/>
        <v>8527.0949837829121</v>
      </c>
      <c r="I2784" s="21">
        <f t="shared" ca="1" si="473"/>
        <v>8535.3231548939639</v>
      </c>
      <c r="J2784" s="20">
        <f t="shared" ca="1" si="482"/>
        <v>6</v>
      </c>
      <c r="K2784" s="20">
        <f t="shared" ca="1" si="474"/>
        <v>5</v>
      </c>
      <c r="L2784" s="44">
        <f t="shared" ca="1" si="479"/>
        <v>5.5</v>
      </c>
    </row>
    <row r="2785" spans="1:12" x14ac:dyDescent="0.25">
      <c r="A2785" s="20">
        <v>2777</v>
      </c>
      <c r="B2785" s="21">
        <f t="shared" ca="1" si="475"/>
        <v>1.3303929418229936</v>
      </c>
      <c r="C2785" s="21">
        <f t="shared" ca="1" si="480"/>
        <v>8507.0489588987584</v>
      </c>
      <c r="D2785" s="21">
        <f t="shared" ca="1" si="476"/>
        <v>4.3973558060140423</v>
      </c>
      <c r="E2785" s="21">
        <f t="shared" ca="1" si="483"/>
        <v>28.274195995205446</v>
      </c>
      <c r="F2785" s="20" t="str">
        <f t="shared" ca="1" si="481"/>
        <v>No</v>
      </c>
      <c r="G2785" s="21">
        <f t="shared" ca="1" si="477"/>
        <v>0</v>
      </c>
      <c r="H2785" s="21">
        <f t="shared" ca="1" si="478"/>
        <v>8535.3231548939639</v>
      </c>
      <c r="I2785" s="21">
        <f t="shared" ca="1" si="473"/>
        <v>8539.7205106999772</v>
      </c>
      <c r="J2785" s="20">
        <f t="shared" ca="1" si="482"/>
        <v>6</v>
      </c>
      <c r="K2785" s="20">
        <f t="shared" ca="1" si="474"/>
        <v>5</v>
      </c>
      <c r="L2785" s="44">
        <f t="shared" ca="1" si="479"/>
        <v>5.5</v>
      </c>
    </row>
    <row r="2786" spans="1:12" x14ac:dyDescent="0.25">
      <c r="A2786" s="20">
        <v>2778</v>
      </c>
      <c r="B2786" s="21">
        <f t="shared" ca="1" si="475"/>
        <v>5.4560707416025576</v>
      </c>
      <c r="C2786" s="21">
        <f t="shared" ca="1" si="480"/>
        <v>8512.5050296403606</v>
      </c>
      <c r="D2786" s="21">
        <f t="shared" ca="1" si="476"/>
        <v>1.2993444996786685</v>
      </c>
      <c r="E2786" s="21">
        <f t="shared" ca="1" si="483"/>
        <v>27.21548105961665</v>
      </c>
      <c r="F2786" s="20" t="str">
        <f t="shared" ca="1" si="481"/>
        <v>No</v>
      </c>
      <c r="G2786" s="21">
        <f t="shared" ca="1" si="477"/>
        <v>0</v>
      </c>
      <c r="H2786" s="21">
        <f t="shared" ca="1" si="478"/>
        <v>8539.7205106999772</v>
      </c>
      <c r="I2786" s="21">
        <f t="shared" ca="1" si="473"/>
        <v>8541.0198551996564</v>
      </c>
      <c r="J2786" s="20">
        <f t="shared" ca="1" si="482"/>
        <v>6</v>
      </c>
      <c r="K2786" s="20">
        <f t="shared" ca="1" si="474"/>
        <v>5</v>
      </c>
      <c r="L2786" s="44">
        <f t="shared" ca="1" si="479"/>
        <v>5.5</v>
      </c>
    </row>
    <row r="2787" spans="1:12" x14ac:dyDescent="0.25">
      <c r="A2787" s="20">
        <v>2779</v>
      </c>
      <c r="B2787" s="21">
        <f t="shared" ca="1" si="475"/>
        <v>3.7103386816563093</v>
      </c>
      <c r="C2787" s="21">
        <f t="shared" ca="1" si="480"/>
        <v>8516.2153683220167</v>
      </c>
      <c r="D2787" s="21">
        <f t="shared" ca="1" si="476"/>
        <v>1.6445752706201524</v>
      </c>
      <c r="E2787" s="21">
        <f t="shared" ca="1" si="483"/>
        <v>24.804486877639647</v>
      </c>
      <c r="F2787" s="20" t="str">
        <f t="shared" ca="1" si="481"/>
        <v>No</v>
      </c>
      <c r="G2787" s="21">
        <f t="shared" ca="1" si="477"/>
        <v>0</v>
      </c>
      <c r="H2787" s="21">
        <f t="shared" ca="1" si="478"/>
        <v>8541.0198551996564</v>
      </c>
      <c r="I2787" s="21">
        <f t="shared" ca="1" si="473"/>
        <v>8542.6644304702768</v>
      </c>
      <c r="J2787" s="20">
        <f t="shared" ca="1" si="482"/>
        <v>6</v>
      </c>
      <c r="K2787" s="20">
        <f t="shared" ca="1" si="474"/>
        <v>5</v>
      </c>
      <c r="L2787" s="44">
        <f t="shared" ca="1" si="479"/>
        <v>5.5</v>
      </c>
    </row>
    <row r="2788" spans="1:12" x14ac:dyDescent="0.25">
      <c r="A2788" s="20">
        <v>2780</v>
      </c>
      <c r="B2788" s="21">
        <f t="shared" ca="1" si="475"/>
        <v>0.24518122898179157</v>
      </c>
      <c r="C2788" s="21">
        <f t="shared" ca="1" si="480"/>
        <v>8516.4605495509986</v>
      </c>
      <c r="D2788" s="21">
        <f t="shared" ca="1" si="476"/>
        <v>2.9067191583062844</v>
      </c>
      <c r="E2788" s="21">
        <f t="shared" ca="1" si="483"/>
        <v>26.203880919278163</v>
      </c>
      <c r="F2788" s="20" t="str">
        <f t="shared" ca="1" si="481"/>
        <v>No</v>
      </c>
      <c r="G2788" s="21">
        <f t="shared" ca="1" si="477"/>
        <v>0</v>
      </c>
      <c r="H2788" s="21">
        <f t="shared" ca="1" si="478"/>
        <v>8542.6644304702768</v>
      </c>
      <c r="I2788" s="21">
        <f t="shared" ca="1" si="473"/>
        <v>8545.571149628584</v>
      </c>
      <c r="J2788" s="20">
        <f t="shared" ca="1" si="482"/>
        <v>6</v>
      </c>
      <c r="K2788" s="20">
        <f t="shared" ca="1" si="474"/>
        <v>5</v>
      </c>
      <c r="L2788" s="44">
        <f t="shared" ca="1" si="479"/>
        <v>5.5</v>
      </c>
    </row>
    <row r="2789" spans="1:12" x14ac:dyDescent="0.25">
      <c r="A2789" s="20">
        <v>2781</v>
      </c>
      <c r="B2789" s="21">
        <f t="shared" ca="1" si="475"/>
        <v>3.580749942326956</v>
      </c>
      <c r="C2789" s="21">
        <f t="shared" ca="1" si="480"/>
        <v>8520.0412994933249</v>
      </c>
      <c r="D2789" s="21">
        <f t="shared" ca="1" si="476"/>
        <v>1.587519689012763</v>
      </c>
      <c r="E2789" s="21">
        <f t="shared" ca="1" si="483"/>
        <v>25.529850135259039</v>
      </c>
      <c r="F2789" s="20" t="str">
        <f t="shared" ca="1" si="481"/>
        <v>No</v>
      </c>
      <c r="G2789" s="21">
        <f t="shared" ca="1" si="477"/>
        <v>0</v>
      </c>
      <c r="H2789" s="21">
        <f t="shared" ca="1" si="478"/>
        <v>8545.571149628584</v>
      </c>
      <c r="I2789" s="21">
        <f t="shared" ca="1" si="473"/>
        <v>8547.1586693175959</v>
      </c>
      <c r="J2789" s="20">
        <f t="shared" ca="1" si="482"/>
        <v>6</v>
      </c>
      <c r="K2789" s="20">
        <f t="shared" ca="1" si="474"/>
        <v>5</v>
      </c>
      <c r="L2789" s="44">
        <f t="shared" ca="1" si="479"/>
        <v>5.5</v>
      </c>
    </row>
    <row r="2790" spans="1:12" x14ac:dyDescent="0.25">
      <c r="A2790" s="20">
        <v>2782</v>
      </c>
      <c r="B2790" s="21">
        <f t="shared" ca="1" si="475"/>
        <v>1.8788583261701284</v>
      </c>
      <c r="C2790" s="21">
        <f t="shared" ca="1" si="480"/>
        <v>8521.9201578194952</v>
      </c>
      <c r="D2790" s="21">
        <f t="shared" ca="1" si="476"/>
        <v>1.3815039884274285</v>
      </c>
      <c r="E2790" s="21">
        <f t="shared" ca="1" si="483"/>
        <v>25.238511498100706</v>
      </c>
      <c r="F2790" s="20" t="str">
        <f t="shared" ca="1" si="481"/>
        <v>No</v>
      </c>
      <c r="G2790" s="21">
        <f t="shared" ca="1" si="477"/>
        <v>0</v>
      </c>
      <c r="H2790" s="21">
        <f t="shared" ca="1" si="478"/>
        <v>8547.1586693175959</v>
      </c>
      <c r="I2790" s="21">
        <f t="shared" ca="1" si="473"/>
        <v>8548.5401733060226</v>
      </c>
      <c r="J2790" s="20">
        <f t="shared" ca="1" si="482"/>
        <v>6</v>
      </c>
      <c r="K2790" s="20">
        <f t="shared" ca="1" si="474"/>
        <v>5</v>
      </c>
      <c r="L2790" s="44">
        <f t="shared" ca="1" si="479"/>
        <v>5.5</v>
      </c>
    </row>
    <row r="2791" spans="1:12" x14ac:dyDescent="0.25">
      <c r="A2791" s="20">
        <v>2783</v>
      </c>
      <c r="B2791" s="21">
        <f t="shared" ca="1" si="475"/>
        <v>1.9889831716803921</v>
      </c>
      <c r="C2791" s="21">
        <f t="shared" ca="1" si="480"/>
        <v>8523.9091409911762</v>
      </c>
      <c r="D2791" s="21">
        <f t="shared" ca="1" si="476"/>
        <v>0.46453456241451291</v>
      </c>
      <c r="E2791" s="21">
        <f t="shared" ca="1" si="483"/>
        <v>24.631032314846379</v>
      </c>
      <c r="F2791" s="20" t="str">
        <f t="shared" ca="1" si="481"/>
        <v>No</v>
      </c>
      <c r="G2791" s="21">
        <f t="shared" ca="1" si="477"/>
        <v>0</v>
      </c>
      <c r="H2791" s="21">
        <f t="shared" ca="1" si="478"/>
        <v>8548.5401733060226</v>
      </c>
      <c r="I2791" s="21">
        <f t="shared" ca="1" si="473"/>
        <v>8549.0047078684365</v>
      </c>
      <c r="J2791" s="20">
        <f t="shared" ca="1" si="482"/>
        <v>6</v>
      </c>
      <c r="K2791" s="20">
        <f t="shared" ca="1" si="474"/>
        <v>5</v>
      </c>
      <c r="L2791" s="44">
        <f t="shared" ca="1" si="479"/>
        <v>5.5</v>
      </c>
    </row>
    <row r="2792" spans="1:12" x14ac:dyDescent="0.25">
      <c r="A2792" s="20">
        <v>2784</v>
      </c>
      <c r="B2792" s="21">
        <f t="shared" ca="1" si="475"/>
        <v>3.895908874284173</v>
      </c>
      <c r="C2792" s="21">
        <f t="shared" ca="1" si="480"/>
        <v>8527.8050498654611</v>
      </c>
      <c r="D2792" s="21">
        <f t="shared" ca="1" si="476"/>
        <v>1.0639058316409185</v>
      </c>
      <c r="E2792" s="21">
        <f t="shared" ca="1" si="483"/>
        <v>21.199658002975411</v>
      </c>
      <c r="F2792" s="20" t="str">
        <f t="shared" ca="1" si="481"/>
        <v>No</v>
      </c>
      <c r="G2792" s="21">
        <f t="shared" ca="1" si="477"/>
        <v>0</v>
      </c>
      <c r="H2792" s="21">
        <f t="shared" ca="1" si="478"/>
        <v>8549.0047078684365</v>
      </c>
      <c r="I2792" s="21">
        <f t="shared" ca="1" si="473"/>
        <v>8550.0686137000775</v>
      </c>
      <c r="J2792" s="20">
        <f t="shared" ca="1" si="482"/>
        <v>6</v>
      </c>
      <c r="K2792" s="20">
        <f t="shared" ca="1" si="474"/>
        <v>5</v>
      </c>
      <c r="L2792" s="44">
        <f t="shared" ca="1" si="479"/>
        <v>5.5</v>
      </c>
    </row>
    <row r="2793" spans="1:12" x14ac:dyDescent="0.25">
      <c r="A2793" s="20">
        <v>2785</v>
      </c>
      <c r="B2793" s="21">
        <f t="shared" ca="1" si="475"/>
        <v>0.71136207718715361</v>
      </c>
      <c r="C2793" s="21">
        <f t="shared" ca="1" si="480"/>
        <v>8528.5164119426481</v>
      </c>
      <c r="D2793" s="21">
        <f t="shared" ca="1" si="476"/>
        <v>4.6255345285185578</v>
      </c>
      <c r="E2793" s="21">
        <f t="shared" ca="1" si="483"/>
        <v>21.55220175742943</v>
      </c>
      <c r="F2793" s="20" t="str">
        <f t="shared" ca="1" si="481"/>
        <v>No</v>
      </c>
      <c r="G2793" s="21">
        <f t="shared" ca="1" si="477"/>
        <v>0</v>
      </c>
      <c r="H2793" s="21">
        <f t="shared" ca="1" si="478"/>
        <v>8550.0686137000775</v>
      </c>
      <c r="I2793" s="21">
        <f t="shared" ca="1" si="473"/>
        <v>8554.6941482285965</v>
      </c>
      <c r="J2793" s="20">
        <f t="shared" ca="1" si="482"/>
        <v>6</v>
      </c>
      <c r="K2793" s="20">
        <f t="shared" ca="1" si="474"/>
        <v>4</v>
      </c>
      <c r="L2793" s="44">
        <f t="shared" ca="1" si="479"/>
        <v>5</v>
      </c>
    </row>
    <row r="2794" spans="1:12" x14ac:dyDescent="0.25">
      <c r="A2794" s="20">
        <v>2786</v>
      </c>
      <c r="B2794" s="21">
        <f t="shared" ca="1" si="475"/>
        <v>0.63204352433755673</v>
      </c>
      <c r="C2794" s="21">
        <f t="shared" ca="1" si="480"/>
        <v>8529.148455466986</v>
      </c>
      <c r="D2794" s="21">
        <f t="shared" ca="1" si="476"/>
        <v>1.6596220879576029</v>
      </c>
      <c r="E2794" s="21">
        <f t="shared" ca="1" si="483"/>
        <v>25.545692761610553</v>
      </c>
      <c r="F2794" s="20" t="str">
        <f t="shared" ca="1" si="481"/>
        <v>No</v>
      </c>
      <c r="G2794" s="21">
        <f t="shared" ca="1" si="477"/>
        <v>0</v>
      </c>
      <c r="H2794" s="21">
        <f t="shared" ca="1" si="478"/>
        <v>8554.6941482285965</v>
      </c>
      <c r="I2794" s="21">
        <f t="shared" ca="1" si="473"/>
        <v>8556.3537703165548</v>
      </c>
      <c r="J2794" s="20">
        <f t="shared" ca="1" si="482"/>
        <v>5</v>
      </c>
      <c r="K2794" s="20">
        <f t="shared" ca="1" si="474"/>
        <v>5</v>
      </c>
      <c r="L2794" s="44">
        <f t="shared" ca="1" si="479"/>
        <v>5</v>
      </c>
    </row>
    <row r="2795" spans="1:12" x14ac:dyDescent="0.25">
      <c r="A2795" s="20">
        <v>2787</v>
      </c>
      <c r="B2795" s="21">
        <f t="shared" ca="1" si="475"/>
        <v>3.7914543876808038</v>
      </c>
      <c r="C2795" s="21">
        <f t="shared" ca="1" si="480"/>
        <v>8532.9399098546673</v>
      </c>
      <c r="D2795" s="21">
        <f t="shared" ca="1" si="476"/>
        <v>3.6121812400801181</v>
      </c>
      <c r="E2795" s="21">
        <f t="shared" ca="1" si="483"/>
        <v>23.413860461887452</v>
      </c>
      <c r="F2795" s="20" t="str">
        <f t="shared" ca="1" si="481"/>
        <v>No</v>
      </c>
      <c r="G2795" s="21">
        <f t="shared" ca="1" si="477"/>
        <v>0</v>
      </c>
      <c r="H2795" s="21">
        <f t="shared" ca="1" si="478"/>
        <v>8556.3537703165548</v>
      </c>
      <c r="I2795" s="21">
        <f t="shared" ca="1" si="473"/>
        <v>8559.9659515566345</v>
      </c>
      <c r="J2795" s="20">
        <f t="shared" ca="1" si="482"/>
        <v>6</v>
      </c>
      <c r="K2795" s="20">
        <f t="shared" ca="1" si="474"/>
        <v>5</v>
      </c>
      <c r="L2795" s="44">
        <f t="shared" ca="1" si="479"/>
        <v>5.5</v>
      </c>
    </row>
    <row r="2796" spans="1:12" x14ac:dyDescent="0.25">
      <c r="A2796" s="20">
        <v>2788</v>
      </c>
      <c r="B2796" s="21">
        <f t="shared" ca="1" si="475"/>
        <v>4.511265473208117</v>
      </c>
      <c r="C2796" s="21">
        <f t="shared" ca="1" si="480"/>
        <v>8537.4511753278748</v>
      </c>
      <c r="D2796" s="21">
        <f t="shared" ca="1" si="476"/>
        <v>11.248355601664382</v>
      </c>
      <c r="E2796" s="21">
        <f t="shared" ca="1" si="483"/>
        <v>22.514776228759729</v>
      </c>
      <c r="F2796" s="20" t="str">
        <f t="shared" ca="1" si="481"/>
        <v>No</v>
      </c>
      <c r="G2796" s="21">
        <f t="shared" ca="1" si="477"/>
        <v>0</v>
      </c>
      <c r="H2796" s="21">
        <f t="shared" ca="1" si="478"/>
        <v>8559.9659515566345</v>
      </c>
      <c r="I2796" s="21">
        <f t="shared" ca="1" si="473"/>
        <v>8571.2143071582996</v>
      </c>
      <c r="J2796" s="20">
        <f t="shared" ca="1" si="482"/>
        <v>6</v>
      </c>
      <c r="K2796" s="20">
        <f t="shared" ca="1" si="474"/>
        <v>5</v>
      </c>
      <c r="L2796" s="44">
        <f t="shared" ca="1" si="479"/>
        <v>5.5</v>
      </c>
    </row>
    <row r="2797" spans="1:12" x14ac:dyDescent="0.25">
      <c r="A2797" s="20">
        <v>2789</v>
      </c>
      <c r="B2797" s="21">
        <f t="shared" ca="1" si="475"/>
        <v>1.3488160401472065</v>
      </c>
      <c r="C2797" s="21">
        <f t="shared" ca="1" si="480"/>
        <v>8538.7999913680214</v>
      </c>
      <c r="D2797" s="21">
        <f t="shared" ca="1" si="476"/>
        <v>4.5647451826142014</v>
      </c>
      <c r="E2797" s="21">
        <f t="shared" ca="1" si="483"/>
        <v>32.414315790278124</v>
      </c>
      <c r="F2797" s="20" t="str">
        <f t="shared" ca="1" si="481"/>
        <v>No</v>
      </c>
      <c r="G2797" s="21">
        <f t="shared" ca="1" si="477"/>
        <v>0</v>
      </c>
      <c r="H2797" s="21">
        <f t="shared" ca="1" si="478"/>
        <v>8571.2143071582996</v>
      </c>
      <c r="I2797" s="21">
        <f t="shared" ca="1" si="473"/>
        <v>8575.779052340913</v>
      </c>
      <c r="J2797" s="20">
        <f t="shared" ca="1" si="482"/>
        <v>6</v>
      </c>
      <c r="K2797" s="20">
        <f t="shared" ca="1" si="474"/>
        <v>5</v>
      </c>
      <c r="L2797" s="44">
        <f t="shared" ca="1" si="479"/>
        <v>5.5</v>
      </c>
    </row>
    <row r="2798" spans="1:12" x14ac:dyDescent="0.25">
      <c r="A2798" s="20">
        <v>2790</v>
      </c>
      <c r="B2798" s="21">
        <f t="shared" ca="1" si="475"/>
        <v>16.398065834231563</v>
      </c>
      <c r="C2798" s="21">
        <f t="shared" ca="1" si="480"/>
        <v>8555.198057202253</v>
      </c>
      <c r="D2798" s="21">
        <f t="shared" ca="1" si="476"/>
        <v>1.010543993033008</v>
      </c>
      <c r="E2798" s="21">
        <f t="shared" ca="1" si="483"/>
        <v>20.580995138660001</v>
      </c>
      <c r="F2798" s="20" t="str">
        <f t="shared" ca="1" si="481"/>
        <v>No</v>
      </c>
      <c r="G2798" s="21">
        <f t="shared" ca="1" si="477"/>
        <v>0</v>
      </c>
      <c r="H2798" s="21">
        <f t="shared" ca="1" si="478"/>
        <v>8575.779052340913</v>
      </c>
      <c r="I2798" s="21">
        <f t="shared" ca="1" si="473"/>
        <v>8576.7895963339452</v>
      </c>
      <c r="J2798" s="20">
        <f t="shared" ca="1" si="482"/>
        <v>6</v>
      </c>
      <c r="K2798" s="20">
        <f t="shared" ca="1" si="474"/>
        <v>5</v>
      </c>
      <c r="L2798" s="44">
        <f t="shared" ca="1" si="479"/>
        <v>5.5</v>
      </c>
    </row>
    <row r="2799" spans="1:12" x14ac:dyDescent="0.25">
      <c r="A2799" s="20">
        <v>2791</v>
      </c>
      <c r="B2799" s="21">
        <f t="shared" ca="1" si="475"/>
        <v>0.16766373902897302</v>
      </c>
      <c r="C2799" s="21">
        <f t="shared" ca="1" si="480"/>
        <v>8555.3657209412813</v>
      </c>
      <c r="D2799" s="21">
        <f t="shared" ca="1" si="476"/>
        <v>1.4491432524721708</v>
      </c>
      <c r="E2799" s="21">
        <f t="shared" ca="1" si="483"/>
        <v>21.423875392663831</v>
      </c>
      <c r="F2799" s="20" t="str">
        <f t="shared" ca="1" si="481"/>
        <v>No</v>
      </c>
      <c r="G2799" s="21">
        <f t="shared" ca="1" si="477"/>
        <v>0</v>
      </c>
      <c r="H2799" s="21">
        <f t="shared" ca="1" si="478"/>
        <v>8576.7895963339452</v>
      </c>
      <c r="I2799" s="21">
        <f t="shared" ca="1" si="473"/>
        <v>8578.2387395864171</v>
      </c>
      <c r="J2799" s="20">
        <f t="shared" ca="1" si="482"/>
        <v>6</v>
      </c>
      <c r="K2799" s="20">
        <f t="shared" ca="1" si="474"/>
        <v>5</v>
      </c>
      <c r="L2799" s="44">
        <f t="shared" ca="1" si="479"/>
        <v>5.5</v>
      </c>
    </row>
    <row r="2800" spans="1:12" x14ac:dyDescent="0.25">
      <c r="A2800" s="20">
        <v>2792</v>
      </c>
      <c r="B2800" s="21">
        <f t="shared" ca="1" si="475"/>
        <v>3.303225871720247</v>
      </c>
      <c r="C2800" s="21">
        <f t="shared" ca="1" si="480"/>
        <v>8558.6689468130007</v>
      </c>
      <c r="D2800" s="21">
        <f t="shared" ca="1" si="476"/>
        <v>2.9782231536855162</v>
      </c>
      <c r="E2800" s="21">
        <f t="shared" ca="1" si="483"/>
        <v>19.569792773416339</v>
      </c>
      <c r="F2800" s="20" t="str">
        <f t="shared" ca="1" si="481"/>
        <v>No</v>
      </c>
      <c r="G2800" s="21">
        <f t="shared" ca="1" si="477"/>
        <v>0</v>
      </c>
      <c r="H2800" s="21">
        <f t="shared" ca="1" si="478"/>
        <v>8578.2387395864171</v>
      </c>
      <c r="I2800" s="21">
        <f t="shared" ca="1" si="473"/>
        <v>8581.2169627401017</v>
      </c>
      <c r="J2800" s="20">
        <f t="shared" ca="1" si="482"/>
        <v>6</v>
      </c>
      <c r="K2800" s="20">
        <f t="shared" ca="1" si="474"/>
        <v>5</v>
      </c>
      <c r="L2800" s="44">
        <f t="shared" ca="1" si="479"/>
        <v>5.5</v>
      </c>
    </row>
    <row r="2801" spans="1:12" x14ac:dyDescent="0.25">
      <c r="A2801" s="20">
        <v>2793</v>
      </c>
      <c r="B2801" s="21">
        <f t="shared" ca="1" si="475"/>
        <v>8.6701738905778285</v>
      </c>
      <c r="C2801" s="21">
        <f t="shared" ca="1" si="480"/>
        <v>8567.3391207035784</v>
      </c>
      <c r="D2801" s="21">
        <f t="shared" ca="1" si="476"/>
        <v>0.11722293755552514</v>
      </c>
      <c r="E2801" s="21">
        <f t="shared" ca="1" si="483"/>
        <v>13.877842036523361</v>
      </c>
      <c r="F2801" s="20" t="str">
        <f t="shared" ca="1" si="481"/>
        <v>No</v>
      </c>
      <c r="G2801" s="21">
        <f t="shared" ca="1" si="477"/>
        <v>0</v>
      </c>
      <c r="H2801" s="21">
        <f t="shared" ca="1" si="478"/>
        <v>8581.2169627401017</v>
      </c>
      <c r="I2801" s="21">
        <f t="shared" ca="1" si="473"/>
        <v>8581.3341856776569</v>
      </c>
      <c r="J2801" s="20">
        <f t="shared" ca="1" si="482"/>
        <v>6</v>
      </c>
      <c r="K2801" s="20">
        <f t="shared" ca="1" si="474"/>
        <v>5</v>
      </c>
      <c r="L2801" s="44">
        <f t="shared" ca="1" si="479"/>
        <v>5.5</v>
      </c>
    </row>
    <row r="2802" spans="1:12" x14ac:dyDescent="0.25">
      <c r="A2802" s="20">
        <v>2794</v>
      </c>
      <c r="B2802" s="21">
        <f t="shared" ca="1" si="475"/>
        <v>4.6768563480144749</v>
      </c>
      <c r="C2802" s="21">
        <f t="shared" ca="1" si="480"/>
        <v>8572.0159770515929</v>
      </c>
      <c r="D2802" s="21">
        <f t="shared" ca="1" si="476"/>
        <v>2.1927120984246753</v>
      </c>
      <c r="E2802" s="21">
        <f t="shared" ca="1" si="483"/>
        <v>9.3182086260640062</v>
      </c>
      <c r="F2802" s="20" t="str">
        <f t="shared" ca="1" si="481"/>
        <v>No</v>
      </c>
      <c r="G2802" s="21">
        <f t="shared" ca="1" si="477"/>
        <v>0</v>
      </c>
      <c r="H2802" s="21">
        <f t="shared" ca="1" si="478"/>
        <v>8581.3341856776569</v>
      </c>
      <c r="I2802" s="21">
        <f t="shared" ca="1" si="473"/>
        <v>8583.5268977760825</v>
      </c>
      <c r="J2802" s="20">
        <f t="shared" ca="1" si="482"/>
        <v>6</v>
      </c>
      <c r="K2802" s="20">
        <f t="shared" ca="1" si="474"/>
        <v>5</v>
      </c>
      <c r="L2802" s="44">
        <f t="shared" ca="1" si="479"/>
        <v>5.5</v>
      </c>
    </row>
    <row r="2803" spans="1:12" x14ac:dyDescent="0.25">
      <c r="A2803" s="20">
        <v>2795</v>
      </c>
      <c r="B2803" s="21">
        <f t="shared" ca="1" si="475"/>
        <v>1.6981142961494544</v>
      </c>
      <c r="C2803" s="21">
        <f t="shared" ca="1" si="480"/>
        <v>8573.7140913477415</v>
      </c>
      <c r="D2803" s="21">
        <f t="shared" ca="1" si="476"/>
        <v>1.6338096343965032</v>
      </c>
      <c r="E2803" s="21">
        <f t="shared" ca="1" si="483"/>
        <v>9.8128064283409913</v>
      </c>
      <c r="F2803" s="20" t="str">
        <f t="shared" ca="1" si="481"/>
        <v>No</v>
      </c>
      <c r="G2803" s="21">
        <f t="shared" ca="1" si="477"/>
        <v>0</v>
      </c>
      <c r="H2803" s="21">
        <f t="shared" ca="1" si="478"/>
        <v>8583.5268977760825</v>
      </c>
      <c r="I2803" s="21">
        <f t="shared" ca="1" si="473"/>
        <v>8585.1607074104795</v>
      </c>
      <c r="J2803" s="20">
        <f t="shared" ca="1" si="482"/>
        <v>6</v>
      </c>
      <c r="K2803" s="20">
        <f t="shared" ca="1" si="474"/>
        <v>5</v>
      </c>
      <c r="L2803" s="44">
        <f t="shared" ca="1" si="479"/>
        <v>5.5</v>
      </c>
    </row>
    <row r="2804" spans="1:12" x14ac:dyDescent="0.25">
      <c r="A2804" s="20">
        <v>2796</v>
      </c>
      <c r="B2804" s="21">
        <f t="shared" ca="1" si="475"/>
        <v>1.0400657138091405</v>
      </c>
      <c r="C2804" s="21">
        <f t="shared" ca="1" si="480"/>
        <v>8574.7541570615504</v>
      </c>
      <c r="D2804" s="21">
        <f t="shared" ca="1" si="476"/>
        <v>0.46593076152921498</v>
      </c>
      <c r="E2804" s="21">
        <f t="shared" ca="1" si="483"/>
        <v>10.406550348929159</v>
      </c>
      <c r="F2804" s="20" t="str">
        <f t="shared" ca="1" si="481"/>
        <v>No</v>
      </c>
      <c r="G2804" s="21">
        <f t="shared" ca="1" si="477"/>
        <v>0</v>
      </c>
      <c r="H2804" s="21">
        <f t="shared" ca="1" si="478"/>
        <v>8585.1607074104795</v>
      </c>
      <c r="I2804" s="21">
        <f t="shared" ca="1" si="473"/>
        <v>8585.6266381720088</v>
      </c>
      <c r="J2804" s="20">
        <f t="shared" ca="1" si="482"/>
        <v>6</v>
      </c>
      <c r="K2804" s="20">
        <f t="shared" ca="1" si="474"/>
        <v>5</v>
      </c>
      <c r="L2804" s="44">
        <f t="shared" ca="1" si="479"/>
        <v>5.5</v>
      </c>
    </row>
    <row r="2805" spans="1:12" x14ac:dyDescent="0.25">
      <c r="A2805" s="20">
        <v>2797</v>
      </c>
      <c r="B2805" s="21">
        <f t="shared" ca="1" si="475"/>
        <v>3.3995130235626938</v>
      </c>
      <c r="C2805" s="21">
        <f t="shared" ca="1" si="480"/>
        <v>8578.1536700851138</v>
      </c>
      <c r="D2805" s="21">
        <f t="shared" ca="1" si="476"/>
        <v>3.4690202277576647</v>
      </c>
      <c r="E2805" s="21">
        <f t="shared" ca="1" si="483"/>
        <v>7.4729680868949799</v>
      </c>
      <c r="F2805" s="20" t="str">
        <f t="shared" ca="1" si="481"/>
        <v>No</v>
      </c>
      <c r="G2805" s="21">
        <f t="shared" ca="1" si="477"/>
        <v>0</v>
      </c>
      <c r="H2805" s="21">
        <f t="shared" ca="1" si="478"/>
        <v>8585.6266381720088</v>
      </c>
      <c r="I2805" s="21">
        <f t="shared" ca="1" si="473"/>
        <v>8589.0956583997668</v>
      </c>
      <c r="J2805" s="20">
        <f t="shared" ca="1" si="482"/>
        <v>6</v>
      </c>
      <c r="K2805" s="20">
        <f t="shared" ca="1" si="474"/>
        <v>5</v>
      </c>
      <c r="L2805" s="44">
        <f t="shared" ca="1" si="479"/>
        <v>5.5</v>
      </c>
    </row>
    <row r="2806" spans="1:12" x14ac:dyDescent="0.25">
      <c r="A2806" s="20">
        <v>2798</v>
      </c>
      <c r="B2806" s="21">
        <f t="shared" ca="1" si="475"/>
        <v>2.3087250998684885</v>
      </c>
      <c r="C2806" s="21">
        <f t="shared" ca="1" si="480"/>
        <v>8580.4623951849826</v>
      </c>
      <c r="D2806" s="21">
        <f t="shared" ca="1" si="476"/>
        <v>0.38781048785050654</v>
      </c>
      <c r="E2806" s="21">
        <f t="shared" ca="1" si="483"/>
        <v>8.633263214784165</v>
      </c>
      <c r="F2806" s="20" t="str">
        <f t="shared" ca="1" si="481"/>
        <v>No</v>
      </c>
      <c r="G2806" s="21">
        <f t="shared" ca="1" si="477"/>
        <v>0</v>
      </c>
      <c r="H2806" s="21">
        <f t="shared" ca="1" si="478"/>
        <v>8589.0956583997668</v>
      </c>
      <c r="I2806" s="21">
        <f t="shared" ca="1" si="473"/>
        <v>8589.4834688876181</v>
      </c>
      <c r="J2806" s="20">
        <f t="shared" ca="1" si="482"/>
        <v>6</v>
      </c>
      <c r="K2806" s="20">
        <f t="shared" ca="1" si="474"/>
        <v>5</v>
      </c>
      <c r="L2806" s="44">
        <f t="shared" ca="1" si="479"/>
        <v>5.5</v>
      </c>
    </row>
    <row r="2807" spans="1:12" x14ac:dyDescent="0.25">
      <c r="A2807" s="20">
        <v>2799</v>
      </c>
      <c r="B2807" s="21">
        <f t="shared" ca="1" si="475"/>
        <v>0.81728444673978085</v>
      </c>
      <c r="C2807" s="21">
        <f t="shared" ca="1" si="480"/>
        <v>8581.2796796317216</v>
      </c>
      <c r="D2807" s="21">
        <f t="shared" ca="1" si="476"/>
        <v>0.45480490752160024</v>
      </c>
      <c r="E2807" s="21">
        <f t="shared" ca="1" si="483"/>
        <v>8.2037892558964813</v>
      </c>
      <c r="F2807" s="20" t="str">
        <f t="shared" ca="1" si="481"/>
        <v>No</v>
      </c>
      <c r="G2807" s="21">
        <f t="shared" ca="1" si="477"/>
        <v>0</v>
      </c>
      <c r="H2807" s="21">
        <f t="shared" ca="1" si="478"/>
        <v>8589.4834688876181</v>
      </c>
      <c r="I2807" s="21">
        <f t="shared" ca="1" si="473"/>
        <v>8589.93827379514</v>
      </c>
      <c r="J2807" s="20">
        <f t="shared" ca="1" si="482"/>
        <v>6</v>
      </c>
      <c r="K2807" s="20">
        <f t="shared" ca="1" si="474"/>
        <v>5</v>
      </c>
      <c r="L2807" s="44">
        <f t="shared" ca="1" si="479"/>
        <v>5.5</v>
      </c>
    </row>
    <row r="2808" spans="1:12" x14ac:dyDescent="0.25">
      <c r="A2808" s="20">
        <v>2800</v>
      </c>
      <c r="B2808" s="21">
        <f t="shared" ca="1" si="475"/>
        <v>0.93524518852953287</v>
      </c>
      <c r="C2808" s="21">
        <f t="shared" ca="1" si="480"/>
        <v>8582.2149248202513</v>
      </c>
      <c r="D2808" s="21">
        <f t="shared" ca="1" si="476"/>
        <v>0.35237820111945634</v>
      </c>
      <c r="E2808" s="21">
        <f t="shared" ca="1" si="483"/>
        <v>7.7233489748887223</v>
      </c>
      <c r="F2808" s="20" t="str">
        <f t="shared" ca="1" si="481"/>
        <v>No</v>
      </c>
      <c r="G2808" s="21">
        <f t="shared" ca="1" si="477"/>
        <v>0</v>
      </c>
      <c r="H2808" s="21">
        <f t="shared" ca="1" si="478"/>
        <v>8589.93827379514</v>
      </c>
      <c r="I2808" s="21">
        <f t="shared" ca="1" si="473"/>
        <v>8590.2906519962598</v>
      </c>
      <c r="J2808" s="20">
        <f t="shared" ca="1" si="482"/>
        <v>6</v>
      </c>
      <c r="K2808" s="20">
        <f t="shared" ca="1" si="474"/>
        <v>5</v>
      </c>
      <c r="L2808" s="44">
        <f t="shared" ca="1" si="479"/>
        <v>5.5</v>
      </c>
    </row>
    <row r="2809" spans="1:12" x14ac:dyDescent="0.25">
      <c r="A2809" s="20">
        <v>2801</v>
      </c>
      <c r="B2809" s="21">
        <f t="shared" ca="1" si="475"/>
        <v>2.0469806704969389</v>
      </c>
      <c r="C2809" s="21">
        <f t="shared" ca="1" si="480"/>
        <v>8584.2619054907482</v>
      </c>
      <c r="D2809" s="21">
        <f t="shared" ca="1" si="476"/>
        <v>0.76143860730546609</v>
      </c>
      <c r="E2809" s="21">
        <f t="shared" ca="1" si="483"/>
        <v>6.0287465055116627</v>
      </c>
      <c r="F2809" s="20" t="str">
        <f t="shared" ca="1" si="481"/>
        <v>No</v>
      </c>
      <c r="G2809" s="21">
        <f t="shared" ca="1" si="477"/>
        <v>0</v>
      </c>
      <c r="H2809" s="21">
        <f t="shared" ca="1" si="478"/>
        <v>8590.2906519962598</v>
      </c>
      <c r="I2809" s="21">
        <f t="shared" ca="1" si="473"/>
        <v>8591.0520906035654</v>
      </c>
      <c r="J2809" s="20">
        <f t="shared" ca="1" si="482"/>
        <v>6</v>
      </c>
      <c r="K2809" s="20">
        <f t="shared" ca="1" si="474"/>
        <v>4</v>
      </c>
      <c r="L2809" s="44">
        <f t="shared" ca="1" si="479"/>
        <v>5</v>
      </c>
    </row>
    <row r="2810" spans="1:12" x14ac:dyDescent="0.25">
      <c r="A2810" s="20">
        <v>2802</v>
      </c>
      <c r="B2810" s="21">
        <f t="shared" ca="1" si="475"/>
        <v>0.22445672023390975</v>
      </c>
      <c r="C2810" s="21">
        <f t="shared" ca="1" si="480"/>
        <v>8584.4863622109824</v>
      </c>
      <c r="D2810" s="21">
        <f t="shared" ca="1" si="476"/>
        <v>0.1138428294522681</v>
      </c>
      <c r="E2810" s="21">
        <f t="shared" ca="1" si="483"/>
        <v>6.5657283925829688</v>
      </c>
      <c r="F2810" s="20" t="str">
        <f t="shared" ca="1" si="481"/>
        <v>No</v>
      </c>
      <c r="G2810" s="21">
        <f t="shared" ca="1" si="477"/>
        <v>0</v>
      </c>
      <c r="H2810" s="21">
        <f t="shared" ca="1" si="478"/>
        <v>8591.0520906035654</v>
      </c>
      <c r="I2810" s="21">
        <f t="shared" ca="1" si="473"/>
        <v>8591.1659334330179</v>
      </c>
      <c r="J2810" s="20">
        <f t="shared" ca="1" si="482"/>
        <v>5</v>
      </c>
      <c r="K2810" s="20">
        <f t="shared" ca="1" si="474"/>
        <v>3</v>
      </c>
      <c r="L2810" s="44">
        <f t="shared" ca="1" si="479"/>
        <v>4</v>
      </c>
    </row>
    <row r="2811" spans="1:12" x14ac:dyDescent="0.25">
      <c r="A2811" s="20">
        <v>2803</v>
      </c>
      <c r="B2811" s="21">
        <f t="shared" ca="1" si="475"/>
        <v>0.59431191311095832</v>
      </c>
      <c r="C2811" s="21">
        <f t="shared" ca="1" si="480"/>
        <v>8585.080674124094</v>
      </c>
      <c r="D2811" s="21">
        <f t="shared" ca="1" si="476"/>
        <v>4.9486495925724068</v>
      </c>
      <c r="E2811" s="21">
        <f t="shared" ca="1" si="483"/>
        <v>6.0852593089239235</v>
      </c>
      <c r="F2811" s="20" t="str">
        <f t="shared" ca="1" si="481"/>
        <v>No</v>
      </c>
      <c r="G2811" s="21">
        <f t="shared" ca="1" si="477"/>
        <v>0</v>
      </c>
      <c r="H2811" s="21">
        <f t="shared" ca="1" si="478"/>
        <v>8591.1659334330179</v>
      </c>
      <c r="I2811" s="21">
        <f t="shared" ca="1" si="473"/>
        <v>8596.11458302559</v>
      </c>
      <c r="J2811" s="20">
        <f t="shared" ca="1" si="482"/>
        <v>4</v>
      </c>
      <c r="K2811" s="20">
        <f t="shared" ca="1" si="474"/>
        <v>2</v>
      </c>
      <c r="L2811" s="44">
        <f t="shared" ca="1" si="479"/>
        <v>3</v>
      </c>
    </row>
    <row r="2812" spans="1:12" x14ac:dyDescent="0.25">
      <c r="A2812" s="20">
        <v>2804</v>
      </c>
      <c r="B2812" s="21">
        <f t="shared" ca="1" si="475"/>
        <v>2.3118150448700674</v>
      </c>
      <c r="C2812" s="21">
        <f t="shared" ca="1" si="480"/>
        <v>8587.3924891689639</v>
      </c>
      <c r="D2812" s="21">
        <f t="shared" ca="1" si="476"/>
        <v>0.33317140760397823</v>
      </c>
      <c r="E2812" s="21">
        <f t="shared" ca="1" si="483"/>
        <v>8.7220938566260884</v>
      </c>
      <c r="F2812" s="20" t="str">
        <f t="shared" ca="1" si="481"/>
        <v>No</v>
      </c>
      <c r="G2812" s="21">
        <f t="shared" ca="1" si="477"/>
        <v>0</v>
      </c>
      <c r="H2812" s="21">
        <f t="shared" ca="1" si="478"/>
        <v>8596.11458302559</v>
      </c>
      <c r="I2812" s="21">
        <f t="shared" ca="1" si="473"/>
        <v>8596.4477544331949</v>
      </c>
      <c r="J2812" s="20">
        <f t="shared" ca="1" si="482"/>
        <v>3</v>
      </c>
      <c r="K2812" s="20">
        <f t="shared" ca="1" si="474"/>
        <v>1</v>
      </c>
      <c r="L2812" s="44">
        <f t="shared" ca="1" si="479"/>
        <v>2</v>
      </c>
    </row>
    <row r="2813" spans="1:12" x14ac:dyDescent="0.25">
      <c r="A2813" s="20">
        <v>2805</v>
      </c>
      <c r="B2813" s="21">
        <f t="shared" ca="1" si="475"/>
        <v>1.6059849917631901</v>
      </c>
      <c r="C2813" s="21">
        <f t="shared" ca="1" si="480"/>
        <v>8588.9984741607277</v>
      </c>
      <c r="D2813" s="21">
        <f t="shared" ca="1" si="476"/>
        <v>1.1029429895445584</v>
      </c>
      <c r="E2813" s="21">
        <f t="shared" ca="1" si="483"/>
        <v>7.4492802724671492</v>
      </c>
      <c r="F2813" s="20" t="str">
        <f t="shared" ca="1" si="481"/>
        <v>No</v>
      </c>
      <c r="G2813" s="21">
        <f t="shared" ca="1" si="477"/>
        <v>0</v>
      </c>
      <c r="H2813" s="21">
        <f t="shared" ca="1" si="478"/>
        <v>8596.4477544331949</v>
      </c>
      <c r="I2813" s="21">
        <f t="shared" ca="1" si="473"/>
        <v>8597.5506974227392</v>
      </c>
      <c r="J2813" s="20">
        <f t="shared" ca="1" si="482"/>
        <v>2</v>
      </c>
      <c r="K2813" s="20">
        <f t="shared" ca="1" si="474"/>
        <v>0</v>
      </c>
      <c r="L2813" s="44">
        <f t="shared" ca="1" si="479"/>
        <v>1</v>
      </c>
    </row>
    <row r="2814" spans="1:12" x14ac:dyDescent="0.25">
      <c r="A2814" s="20">
        <v>2806</v>
      </c>
      <c r="B2814" s="21">
        <f t="shared" ca="1" si="475"/>
        <v>8.9778402363323977</v>
      </c>
      <c r="C2814" s="21">
        <f t="shared" ca="1" si="480"/>
        <v>8597.9763143970595</v>
      </c>
      <c r="D2814" s="21">
        <f t="shared" ca="1" si="476"/>
        <v>3.4862422495913026</v>
      </c>
      <c r="E2814" s="21">
        <f t="shared" ca="1" si="483"/>
        <v>0</v>
      </c>
      <c r="F2814" s="20" t="str">
        <f t="shared" ca="1" si="481"/>
        <v>Yes</v>
      </c>
      <c r="G2814" s="21">
        <f t="shared" ca="1" si="477"/>
        <v>0.42561697432029177</v>
      </c>
      <c r="H2814" s="21">
        <f t="shared" ca="1" si="478"/>
        <v>8597.9763143970595</v>
      </c>
      <c r="I2814" s="21">
        <f t="shared" ca="1" si="473"/>
        <v>8601.4625566466511</v>
      </c>
      <c r="J2814" s="20">
        <f t="shared" ca="1" si="482"/>
        <v>0</v>
      </c>
      <c r="K2814" s="20">
        <f t="shared" ca="1" si="474"/>
        <v>1</v>
      </c>
      <c r="L2814" s="44">
        <f t="shared" ca="1" si="479"/>
        <v>0.5</v>
      </c>
    </row>
    <row r="2815" spans="1:12" x14ac:dyDescent="0.25">
      <c r="A2815" s="20">
        <v>2807</v>
      </c>
      <c r="B2815" s="21">
        <f t="shared" ca="1" si="475"/>
        <v>0.1612251107828839</v>
      </c>
      <c r="C2815" s="21">
        <f t="shared" ca="1" si="480"/>
        <v>8598.137539507843</v>
      </c>
      <c r="D2815" s="21">
        <f t="shared" ca="1" si="476"/>
        <v>1.8077945458757043</v>
      </c>
      <c r="E2815" s="21">
        <f t="shared" ca="1" si="483"/>
        <v>3.3250171388081071</v>
      </c>
      <c r="F2815" s="20" t="str">
        <f t="shared" ca="1" si="481"/>
        <v>No</v>
      </c>
      <c r="G2815" s="21">
        <f t="shared" ca="1" si="477"/>
        <v>0</v>
      </c>
      <c r="H2815" s="21">
        <f t="shared" ca="1" si="478"/>
        <v>8601.4625566466511</v>
      </c>
      <c r="I2815" s="21">
        <f t="shared" ca="1" si="473"/>
        <v>8603.2703511925265</v>
      </c>
      <c r="J2815" s="20">
        <f t="shared" ca="1" si="482"/>
        <v>2</v>
      </c>
      <c r="K2815" s="20">
        <f t="shared" ca="1" si="474"/>
        <v>0</v>
      </c>
      <c r="L2815" s="44">
        <f t="shared" ca="1" si="479"/>
        <v>1</v>
      </c>
    </row>
    <row r="2816" spans="1:12" x14ac:dyDescent="0.25">
      <c r="A2816" s="20">
        <v>2808</v>
      </c>
      <c r="B2816" s="21">
        <f t="shared" ca="1" si="475"/>
        <v>9.6560410536473142</v>
      </c>
      <c r="C2816" s="21">
        <f t="shared" ca="1" si="480"/>
        <v>8607.7935805614907</v>
      </c>
      <c r="D2816" s="21">
        <f t="shared" ca="1" si="476"/>
        <v>2.5021820939943704</v>
      </c>
      <c r="E2816" s="21">
        <f t="shared" ca="1" si="483"/>
        <v>0</v>
      </c>
      <c r="F2816" s="20" t="str">
        <f t="shared" ca="1" si="481"/>
        <v>Yes</v>
      </c>
      <c r="G2816" s="21">
        <f t="shared" ca="1" si="477"/>
        <v>4.5232293689641665</v>
      </c>
      <c r="H2816" s="21">
        <f t="shared" ca="1" si="478"/>
        <v>8607.7935805614907</v>
      </c>
      <c r="I2816" s="21">
        <f t="shared" ca="1" si="473"/>
        <v>8610.2957626554853</v>
      </c>
      <c r="J2816" s="20">
        <f t="shared" ca="1" si="482"/>
        <v>0</v>
      </c>
      <c r="K2816" s="20">
        <f t="shared" ca="1" si="474"/>
        <v>0</v>
      </c>
      <c r="L2816" s="44">
        <f t="shared" ca="1" si="479"/>
        <v>0</v>
      </c>
    </row>
    <row r="2817" spans="1:12" x14ac:dyDescent="0.25">
      <c r="A2817" s="20">
        <v>2809</v>
      </c>
      <c r="B2817" s="21">
        <f t="shared" ca="1" si="475"/>
        <v>2.9221298210260684</v>
      </c>
      <c r="C2817" s="21">
        <f t="shared" ca="1" si="480"/>
        <v>8610.7157103825175</v>
      </c>
      <c r="D2817" s="21">
        <f t="shared" ca="1" si="476"/>
        <v>3.2027006632332427</v>
      </c>
      <c r="E2817" s="21">
        <f t="shared" ca="1" si="483"/>
        <v>0</v>
      </c>
      <c r="F2817" s="20" t="str">
        <f t="shared" ca="1" si="481"/>
        <v>Yes</v>
      </c>
      <c r="G2817" s="21">
        <f t="shared" ca="1" si="477"/>
        <v>0.41994772703219496</v>
      </c>
      <c r="H2817" s="21">
        <f t="shared" ca="1" si="478"/>
        <v>8610.7157103825175</v>
      </c>
      <c r="I2817" s="21">
        <f t="shared" ca="1" si="473"/>
        <v>8613.91841104575</v>
      </c>
      <c r="J2817" s="20">
        <f t="shared" ca="1" si="482"/>
        <v>0</v>
      </c>
      <c r="K2817" s="20">
        <f t="shared" ca="1" si="474"/>
        <v>0</v>
      </c>
      <c r="L2817" s="44">
        <f t="shared" ca="1" si="479"/>
        <v>0</v>
      </c>
    </row>
    <row r="2818" spans="1:12" x14ac:dyDescent="0.25">
      <c r="A2818" s="20">
        <v>2810</v>
      </c>
      <c r="B2818" s="21">
        <f t="shared" ca="1" si="475"/>
        <v>7.7042750265361333</v>
      </c>
      <c r="C2818" s="21">
        <f t="shared" ca="1" si="480"/>
        <v>8618.419985409053</v>
      </c>
      <c r="D2818" s="21">
        <f t="shared" ca="1" si="476"/>
        <v>5.741609122445087E-2</v>
      </c>
      <c r="E2818" s="21">
        <f t="shared" ca="1" si="483"/>
        <v>0</v>
      </c>
      <c r="F2818" s="20" t="str">
        <f t="shared" ca="1" si="481"/>
        <v>Yes</v>
      </c>
      <c r="G2818" s="21">
        <f t="shared" ca="1" si="477"/>
        <v>4.501574363303007</v>
      </c>
      <c r="H2818" s="21">
        <f t="shared" ca="1" si="478"/>
        <v>8618.419985409053</v>
      </c>
      <c r="I2818" s="21">
        <f t="shared" ca="1" si="473"/>
        <v>8618.4774015002768</v>
      </c>
      <c r="J2818" s="20">
        <f t="shared" ca="1" si="482"/>
        <v>0</v>
      </c>
      <c r="K2818" s="20">
        <f t="shared" ca="1" si="474"/>
        <v>0</v>
      </c>
      <c r="L2818" s="44">
        <f t="shared" ca="1" si="479"/>
        <v>0</v>
      </c>
    </row>
    <row r="2819" spans="1:12" x14ac:dyDescent="0.25">
      <c r="A2819" s="20">
        <v>2811</v>
      </c>
      <c r="B2819" s="21">
        <f t="shared" ca="1" si="475"/>
        <v>10.001924953419222</v>
      </c>
      <c r="C2819" s="21">
        <f t="shared" ca="1" si="480"/>
        <v>8628.4219103624728</v>
      </c>
      <c r="D2819" s="21">
        <f t="shared" ca="1" si="476"/>
        <v>4.7778680161475</v>
      </c>
      <c r="E2819" s="21">
        <f t="shared" ca="1" si="483"/>
        <v>0</v>
      </c>
      <c r="F2819" s="20" t="str">
        <f t="shared" ca="1" si="481"/>
        <v>Yes</v>
      </c>
      <c r="G2819" s="21">
        <f t="shared" ca="1" si="477"/>
        <v>9.9445088621960167</v>
      </c>
      <c r="H2819" s="21">
        <f t="shared" ca="1" si="478"/>
        <v>8628.4219103624728</v>
      </c>
      <c r="I2819" s="21">
        <f t="shared" ca="1" si="473"/>
        <v>8633.199778378621</v>
      </c>
      <c r="J2819" s="20">
        <f t="shared" ca="1" si="482"/>
        <v>0</v>
      </c>
      <c r="K2819" s="20">
        <f t="shared" ca="1" si="474"/>
        <v>0</v>
      </c>
      <c r="L2819" s="44">
        <f t="shared" ca="1" si="479"/>
        <v>0</v>
      </c>
    </row>
    <row r="2820" spans="1:12" x14ac:dyDescent="0.25">
      <c r="A2820" s="20">
        <v>2812</v>
      </c>
      <c r="B2820" s="21">
        <f t="shared" ca="1" si="475"/>
        <v>8.0790576493335475</v>
      </c>
      <c r="C2820" s="21">
        <f t="shared" ca="1" si="480"/>
        <v>8636.5009680118055</v>
      </c>
      <c r="D2820" s="21">
        <f t="shared" ca="1" si="476"/>
        <v>1.322382814938559</v>
      </c>
      <c r="E2820" s="21">
        <f t="shared" ca="1" si="483"/>
        <v>0</v>
      </c>
      <c r="F2820" s="20" t="str">
        <f t="shared" ca="1" si="481"/>
        <v>Yes</v>
      </c>
      <c r="G2820" s="21">
        <f t="shared" ca="1" si="477"/>
        <v>3.3011896331845492</v>
      </c>
      <c r="H2820" s="21">
        <f t="shared" ca="1" si="478"/>
        <v>8636.5009680118055</v>
      </c>
      <c r="I2820" s="21">
        <f t="shared" ca="1" si="473"/>
        <v>8637.823350826744</v>
      </c>
      <c r="J2820" s="20">
        <f t="shared" ca="1" si="482"/>
        <v>0</v>
      </c>
      <c r="K2820" s="20">
        <f t="shared" ca="1" si="474"/>
        <v>0</v>
      </c>
      <c r="L2820" s="44">
        <f t="shared" ca="1" si="479"/>
        <v>0</v>
      </c>
    </row>
    <row r="2821" spans="1:12" x14ac:dyDescent="0.25">
      <c r="A2821" s="20">
        <v>2813</v>
      </c>
      <c r="B2821" s="21">
        <f t="shared" ca="1" si="475"/>
        <v>3.8874509461834235</v>
      </c>
      <c r="C2821" s="21">
        <f t="shared" ca="1" si="480"/>
        <v>8640.3884189579894</v>
      </c>
      <c r="D2821" s="21">
        <f t="shared" ca="1" si="476"/>
        <v>1.6763130640627704</v>
      </c>
      <c r="E2821" s="21">
        <f t="shared" ca="1" si="483"/>
        <v>0</v>
      </c>
      <c r="F2821" s="20" t="str">
        <f t="shared" ca="1" si="481"/>
        <v>Yes</v>
      </c>
      <c r="G2821" s="21">
        <f t="shared" ca="1" si="477"/>
        <v>2.5650681312454253</v>
      </c>
      <c r="H2821" s="21">
        <f t="shared" ca="1" si="478"/>
        <v>8640.3884189579894</v>
      </c>
      <c r="I2821" s="21">
        <f t="shared" ca="1" si="473"/>
        <v>8642.0647320220523</v>
      </c>
      <c r="J2821" s="20">
        <f t="shared" ca="1" si="482"/>
        <v>0</v>
      </c>
      <c r="K2821" s="20">
        <f t="shared" ca="1" si="474"/>
        <v>3</v>
      </c>
      <c r="L2821" s="44">
        <f t="shared" ca="1" si="479"/>
        <v>1.5</v>
      </c>
    </row>
    <row r="2822" spans="1:12" x14ac:dyDescent="0.25">
      <c r="A2822" s="20">
        <v>2814</v>
      </c>
      <c r="B2822" s="21">
        <f t="shared" ca="1" si="475"/>
        <v>0.62488138510858149</v>
      </c>
      <c r="C2822" s="21">
        <f t="shared" ca="1" si="480"/>
        <v>8641.0133003430983</v>
      </c>
      <c r="D2822" s="21">
        <f t="shared" ca="1" si="476"/>
        <v>0.59968255438504225</v>
      </c>
      <c r="E2822" s="21">
        <f t="shared" ca="1" si="483"/>
        <v>1.0514316789540317</v>
      </c>
      <c r="F2822" s="20" t="str">
        <f t="shared" ca="1" si="481"/>
        <v>No</v>
      </c>
      <c r="G2822" s="21">
        <f t="shared" ca="1" si="477"/>
        <v>0</v>
      </c>
      <c r="H2822" s="21">
        <f t="shared" ca="1" si="478"/>
        <v>8642.0647320220523</v>
      </c>
      <c r="I2822" s="21">
        <f t="shared" ca="1" si="473"/>
        <v>8642.6644145764367</v>
      </c>
      <c r="J2822" s="20">
        <f t="shared" ca="1" si="482"/>
        <v>4</v>
      </c>
      <c r="K2822" s="20">
        <f t="shared" ca="1" si="474"/>
        <v>2</v>
      </c>
      <c r="L2822" s="44">
        <f t="shared" ca="1" si="479"/>
        <v>3</v>
      </c>
    </row>
    <row r="2823" spans="1:12" x14ac:dyDescent="0.25">
      <c r="A2823" s="20">
        <v>2815</v>
      </c>
      <c r="B2823" s="21">
        <f t="shared" ca="1" si="475"/>
        <v>0.35591923534157249</v>
      </c>
      <c r="C2823" s="21">
        <f t="shared" ca="1" si="480"/>
        <v>8641.3692195784406</v>
      </c>
      <c r="D2823" s="21">
        <f t="shared" ca="1" si="476"/>
        <v>0.7932668683091515</v>
      </c>
      <c r="E2823" s="21">
        <f t="shared" ca="1" si="483"/>
        <v>1.2951949979960773</v>
      </c>
      <c r="F2823" s="20" t="str">
        <f t="shared" ca="1" si="481"/>
        <v>No</v>
      </c>
      <c r="G2823" s="21">
        <f t="shared" ca="1" si="477"/>
        <v>0</v>
      </c>
      <c r="H2823" s="21">
        <f t="shared" ca="1" si="478"/>
        <v>8642.6644145764367</v>
      </c>
      <c r="I2823" s="21">
        <f t="shared" ca="1" si="473"/>
        <v>8643.4576814447464</v>
      </c>
      <c r="J2823" s="20">
        <f t="shared" ca="1" si="482"/>
        <v>3</v>
      </c>
      <c r="K2823" s="20">
        <f t="shared" ca="1" si="474"/>
        <v>1</v>
      </c>
      <c r="L2823" s="44">
        <f t="shared" ca="1" si="479"/>
        <v>2</v>
      </c>
    </row>
    <row r="2824" spans="1:12" x14ac:dyDescent="0.25">
      <c r="A2824" s="20">
        <v>2816</v>
      </c>
      <c r="B2824" s="21">
        <f t="shared" ca="1" si="475"/>
        <v>0.49327265260235853</v>
      </c>
      <c r="C2824" s="21">
        <f t="shared" ca="1" si="480"/>
        <v>8641.8624922310428</v>
      </c>
      <c r="D2824" s="21">
        <f t="shared" ca="1" si="476"/>
        <v>1.9237819008391912</v>
      </c>
      <c r="E2824" s="21">
        <f t="shared" ca="1" si="483"/>
        <v>1.5951892137036339</v>
      </c>
      <c r="F2824" s="20" t="str">
        <f t="shared" ca="1" si="481"/>
        <v>No</v>
      </c>
      <c r="G2824" s="21">
        <f t="shared" ca="1" si="477"/>
        <v>0</v>
      </c>
      <c r="H2824" s="21">
        <f t="shared" ca="1" si="478"/>
        <v>8643.4576814447464</v>
      </c>
      <c r="I2824" s="21">
        <f t="shared" ca="1" si="473"/>
        <v>8645.3814633455859</v>
      </c>
      <c r="J2824" s="20">
        <f t="shared" ca="1" si="482"/>
        <v>2</v>
      </c>
      <c r="K2824" s="20">
        <f t="shared" ca="1" si="474"/>
        <v>3</v>
      </c>
      <c r="L2824" s="44">
        <f t="shared" ca="1" si="479"/>
        <v>2.5</v>
      </c>
    </row>
    <row r="2825" spans="1:12" x14ac:dyDescent="0.25">
      <c r="A2825" s="20">
        <v>2817</v>
      </c>
      <c r="B2825" s="21">
        <f t="shared" ca="1" si="475"/>
        <v>1.8430602858295471</v>
      </c>
      <c r="C2825" s="21">
        <f t="shared" ca="1" si="480"/>
        <v>8643.7055525168726</v>
      </c>
      <c r="D2825" s="21">
        <f t="shared" ca="1" si="476"/>
        <v>1.5202417704201037</v>
      </c>
      <c r="E2825" s="21">
        <f t="shared" ca="1" si="483"/>
        <v>1.6759108287133131</v>
      </c>
      <c r="F2825" s="20" t="str">
        <f t="shared" ca="1" si="481"/>
        <v>No</v>
      </c>
      <c r="G2825" s="21">
        <f t="shared" ca="1" si="477"/>
        <v>0</v>
      </c>
      <c r="H2825" s="21">
        <f t="shared" ca="1" si="478"/>
        <v>8645.3814633455859</v>
      </c>
      <c r="I2825" s="21">
        <f t="shared" ref="I2825:I2888" ca="1" si="484">$H2825+$D2825</f>
        <v>8646.9017051160063</v>
      </c>
      <c r="J2825" s="20">
        <f t="shared" ca="1" si="482"/>
        <v>4</v>
      </c>
      <c r="K2825" s="20">
        <f t="shared" ref="K2825:K2888" ca="1" si="485">IF($I2825&lt;=$C2826,0,IF($I2825&lt;=$C2827,1,IF($I2825&lt;=$C2828,2,IF($I2825&lt;=$C2829,3,IF($I2825&lt;=$C2830,4,5)))))</f>
        <v>4</v>
      </c>
      <c r="L2825" s="44">
        <f t="shared" ca="1" si="479"/>
        <v>4</v>
      </c>
    </row>
    <row r="2826" spans="1:12" x14ac:dyDescent="0.25">
      <c r="A2826" s="20">
        <v>2818</v>
      </c>
      <c r="B2826" s="21">
        <f t="shared" ref="B2826:B2889" ca="1" si="486">-LN(RAND())/$D$4</f>
        <v>1.2115762712178604</v>
      </c>
      <c r="C2826" s="21">
        <f t="shared" ca="1" si="480"/>
        <v>8644.9171287880908</v>
      </c>
      <c r="D2826" s="21">
        <f t="shared" ref="D2826:D2889" ca="1" si="487">-LN(RAND())/$D$6</f>
        <v>0.15776345364212777</v>
      </c>
      <c r="E2826" s="21">
        <f t="shared" ca="1" si="483"/>
        <v>1.9845763279154198</v>
      </c>
      <c r="F2826" s="20" t="str">
        <f t="shared" ca="1" si="481"/>
        <v>No</v>
      </c>
      <c r="G2826" s="21">
        <f t="shared" ref="G2826:G2889" ca="1" si="488">IF($I2825&lt;=$C2826,$C2826-$I2825,0)</f>
        <v>0</v>
      </c>
      <c r="H2826" s="21">
        <f t="shared" ref="H2826:H2889" ca="1" si="489">IF($I2825&lt;=$C2826,$C2826,$I2825)</f>
        <v>8646.9017051160063</v>
      </c>
      <c r="I2826" s="21">
        <f t="shared" ca="1" si="484"/>
        <v>8647.0594685696487</v>
      </c>
      <c r="J2826" s="20">
        <f t="shared" ca="1" si="482"/>
        <v>5</v>
      </c>
      <c r="K2826" s="20">
        <f t="shared" ca="1" si="485"/>
        <v>3</v>
      </c>
      <c r="L2826" s="44">
        <f t="shared" ref="L2826:L2889" ca="1" si="490">(J2826+K2826)/2</f>
        <v>4</v>
      </c>
    </row>
    <row r="2827" spans="1:12" x14ac:dyDescent="0.25">
      <c r="A2827" s="20">
        <v>2819</v>
      </c>
      <c r="B2827" s="21">
        <f t="shared" ca="1" si="486"/>
        <v>1.698328995747685E-2</v>
      </c>
      <c r="C2827" s="21">
        <f t="shared" ref="C2827:C2890" ca="1" si="491">$C2826+$B2827</f>
        <v>8644.9341120780482</v>
      </c>
      <c r="D2827" s="21">
        <f t="shared" ca="1" si="487"/>
        <v>1.2960332813745756</v>
      </c>
      <c r="E2827" s="21">
        <f t="shared" ca="1" si="483"/>
        <v>2.1253564916005416</v>
      </c>
      <c r="F2827" s="20" t="str">
        <f t="shared" ref="F2827:F2890" ca="1" si="492">IF(E2827=0,"Yes","No")</f>
        <v>No</v>
      </c>
      <c r="G2827" s="21">
        <f t="shared" ca="1" si="488"/>
        <v>0</v>
      </c>
      <c r="H2827" s="21">
        <f t="shared" ca="1" si="489"/>
        <v>8647.0594685696487</v>
      </c>
      <c r="I2827" s="21">
        <f t="shared" ca="1" si="484"/>
        <v>8648.3555018510233</v>
      </c>
      <c r="J2827" s="20">
        <f t="shared" ref="J2827:J2890" ca="1" si="493">IF($I2826&lt;=$C2827,0,$K2826+1)</f>
        <v>4</v>
      </c>
      <c r="K2827" s="20">
        <f t="shared" ca="1" si="485"/>
        <v>2</v>
      </c>
      <c r="L2827" s="44">
        <f t="shared" ca="1" si="490"/>
        <v>3</v>
      </c>
    </row>
    <row r="2828" spans="1:12" x14ac:dyDescent="0.25">
      <c r="A2828" s="20">
        <v>2820</v>
      </c>
      <c r="B2828" s="21">
        <f t="shared" ca="1" si="486"/>
        <v>0.90821826751949752</v>
      </c>
      <c r="C2828" s="21">
        <f t="shared" ca="1" si="491"/>
        <v>8645.8423303455675</v>
      </c>
      <c r="D2828" s="21">
        <f t="shared" ca="1" si="487"/>
        <v>2.1606786456906457</v>
      </c>
      <c r="E2828" s="21">
        <f t="shared" ref="E2828:E2891" ca="1" si="494">IF($I2827&lt;=$C2828,0,$I2827-$C2828)</f>
        <v>2.5131715054558299</v>
      </c>
      <c r="F2828" s="20" t="str">
        <f t="shared" ca="1" si="492"/>
        <v>No</v>
      </c>
      <c r="G2828" s="21">
        <f t="shared" ca="1" si="488"/>
        <v>0</v>
      </c>
      <c r="H2828" s="21">
        <f t="shared" ca="1" si="489"/>
        <v>8648.3555018510233</v>
      </c>
      <c r="I2828" s="21">
        <f t="shared" ca="1" si="484"/>
        <v>8650.5161804967138</v>
      </c>
      <c r="J2828" s="20">
        <f t="shared" ca="1" si="493"/>
        <v>3</v>
      </c>
      <c r="K2828" s="20">
        <f t="shared" ca="1" si="485"/>
        <v>2</v>
      </c>
      <c r="L2828" s="44">
        <f t="shared" ca="1" si="490"/>
        <v>2.5</v>
      </c>
    </row>
    <row r="2829" spans="1:12" x14ac:dyDescent="0.25">
      <c r="A2829" s="20">
        <v>2821</v>
      </c>
      <c r="B2829" s="21">
        <f t="shared" ca="1" si="486"/>
        <v>0.18688539353308936</v>
      </c>
      <c r="C2829" s="21">
        <f t="shared" ca="1" si="491"/>
        <v>8646.0292157391013</v>
      </c>
      <c r="D2829" s="21">
        <f t="shared" ca="1" si="487"/>
        <v>1.0240112765342364</v>
      </c>
      <c r="E2829" s="21">
        <f t="shared" ca="1" si="494"/>
        <v>4.4869647576124407</v>
      </c>
      <c r="F2829" s="20" t="str">
        <f t="shared" ca="1" si="492"/>
        <v>No</v>
      </c>
      <c r="G2829" s="21">
        <f t="shared" ca="1" si="488"/>
        <v>0</v>
      </c>
      <c r="H2829" s="21">
        <f t="shared" ca="1" si="489"/>
        <v>8650.5161804967138</v>
      </c>
      <c r="I2829" s="21">
        <f t="shared" ca="1" si="484"/>
        <v>8651.5401917732488</v>
      </c>
      <c r="J2829" s="20">
        <f t="shared" ca="1" si="493"/>
        <v>3</v>
      </c>
      <c r="K2829" s="20">
        <f t="shared" ca="1" si="485"/>
        <v>1</v>
      </c>
      <c r="L2829" s="44">
        <f t="shared" ca="1" si="490"/>
        <v>2</v>
      </c>
    </row>
    <row r="2830" spans="1:12" x14ac:dyDescent="0.25">
      <c r="A2830" s="20">
        <v>2822</v>
      </c>
      <c r="B2830" s="21">
        <f t="shared" ca="1" si="486"/>
        <v>4.3009947933846657</v>
      </c>
      <c r="C2830" s="21">
        <f t="shared" ca="1" si="491"/>
        <v>8650.3302105324856</v>
      </c>
      <c r="D2830" s="21">
        <f t="shared" ca="1" si="487"/>
        <v>0.41665900760052305</v>
      </c>
      <c r="E2830" s="21">
        <f t="shared" ca="1" si="494"/>
        <v>1.2099812407632271</v>
      </c>
      <c r="F2830" s="20" t="str">
        <f t="shared" ca="1" si="492"/>
        <v>No</v>
      </c>
      <c r="G2830" s="21">
        <f t="shared" ca="1" si="488"/>
        <v>0</v>
      </c>
      <c r="H2830" s="21">
        <f t="shared" ca="1" si="489"/>
        <v>8651.5401917732488</v>
      </c>
      <c r="I2830" s="21">
        <f t="shared" ca="1" si="484"/>
        <v>8651.956850780849</v>
      </c>
      <c r="J2830" s="20">
        <f t="shared" ca="1" si="493"/>
        <v>2</v>
      </c>
      <c r="K2830" s="20">
        <f t="shared" ca="1" si="485"/>
        <v>0</v>
      </c>
      <c r="L2830" s="44">
        <f t="shared" ca="1" si="490"/>
        <v>1</v>
      </c>
    </row>
    <row r="2831" spans="1:12" x14ac:dyDescent="0.25">
      <c r="A2831" s="20">
        <v>2823</v>
      </c>
      <c r="B2831" s="21">
        <f t="shared" ca="1" si="486"/>
        <v>3.2865640736390538</v>
      </c>
      <c r="C2831" s="21">
        <f t="shared" ca="1" si="491"/>
        <v>8653.6167746061237</v>
      </c>
      <c r="D2831" s="21">
        <f t="shared" ca="1" si="487"/>
        <v>1.0790942791126672</v>
      </c>
      <c r="E2831" s="21">
        <f t="shared" ca="1" si="494"/>
        <v>0</v>
      </c>
      <c r="F2831" s="20" t="str">
        <f t="shared" ca="1" si="492"/>
        <v>Yes</v>
      </c>
      <c r="G2831" s="21">
        <f t="shared" ca="1" si="488"/>
        <v>1.6599238252747455</v>
      </c>
      <c r="H2831" s="21">
        <f t="shared" ca="1" si="489"/>
        <v>8653.6167746061237</v>
      </c>
      <c r="I2831" s="21">
        <f t="shared" ca="1" si="484"/>
        <v>8654.6958688852355</v>
      </c>
      <c r="J2831" s="20">
        <f t="shared" ca="1" si="493"/>
        <v>0</v>
      </c>
      <c r="K2831" s="20">
        <f t="shared" ca="1" si="485"/>
        <v>1</v>
      </c>
      <c r="L2831" s="44">
        <f t="shared" ca="1" si="490"/>
        <v>0.5</v>
      </c>
    </row>
    <row r="2832" spans="1:12" x14ac:dyDescent="0.25">
      <c r="A2832" s="20">
        <v>2824</v>
      </c>
      <c r="B2832" s="21">
        <f t="shared" ca="1" si="486"/>
        <v>0.15731406206438334</v>
      </c>
      <c r="C2832" s="21">
        <f t="shared" ca="1" si="491"/>
        <v>8653.7740886681877</v>
      </c>
      <c r="D2832" s="21">
        <f t="shared" ca="1" si="487"/>
        <v>3.6379041327776864</v>
      </c>
      <c r="E2832" s="21">
        <f t="shared" ca="1" si="494"/>
        <v>0.92178021704785351</v>
      </c>
      <c r="F2832" s="20" t="str">
        <f t="shared" ca="1" si="492"/>
        <v>No</v>
      </c>
      <c r="G2832" s="21">
        <f t="shared" ca="1" si="488"/>
        <v>0</v>
      </c>
      <c r="H2832" s="21">
        <f t="shared" ca="1" si="489"/>
        <v>8654.6958688852355</v>
      </c>
      <c r="I2832" s="21">
        <f t="shared" ca="1" si="484"/>
        <v>8658.3337730180137</v>
      </c>
      <c r="J2832" s="20">
        <f t="shared" ca="1" si="493"/>
        <v>2</v>
      </c>
      <c r="K2832" s="20">
        <f t="shared" ca="1" si="485"/>
        <v>0</v>
      </c>
      <c r="L2832" s="44">
        <f t="shared" ca="1" si="490"/>
        <v>1</v>
      </c>
    </row>
    <row r="2833" spans="1:12" x14ac:dyDescent="0.25">
      <c r="A2833" s="20">
        <v>2825</v>
      </c>
      <c r="B2833" s="21">
        <f t="shared" ca="1" si="486"/>
        <v>4.647719620691932</v>
      </c>
      <c r="C2833" s="21">
        <f t="shared" ca="1" si="491"/>
        <v>8658.4218082888801</v>
      </c>
      <c r="D2833" s="21">
        <f t="shared" ca="1" si="487"/>
        <v>2.137602919146588</v>
      </c>
      <c r="E2833" s="21">
        <f t="shared" ca="1" si="494"/>
        <v>0</v>
      </c>
      <c r="F2833" s="20" t="str">
        <f t="shared" ca="1" si="492"/>
        <v>Yes</v>
      </c>
      <c r="G2833" s="21">
        <f t="shared" ca="1" si="488"/>
        <v>8.8035270866384963E-2</v>
      </c>
      <c r="H2833" s="21">
        <f t="shared" ca="1" si="489"/>
        <v>8658.4218082888801</v>
      </c>
      <c r="I2833" s="21">
        <f t="shared" ca="1" si="484"/>
        <v>8660.5594112080271</v>
      </c>
      <c r="J2833" s="20">
        <f t="shared" ca="1" si="493"/>
        <v>0</v>
      </c>
      <c r="K2833" s="20">
        <f t="shared" ca="1" si="485"/>
        <v>2</v>
      </c>
      <c r="L2833" s="44">
        <f t="shared" ca="1" si="490"/>
        <v>1</v>
      </c>
    </row>
    <row r="2834" spans="1:12" x14ac:dyDescent="0.25">
      <c r="A2834" s="20">
        <v>2826</v>
      </c>
      <c r="B2834" s="21">
        <f t="shared" ca="1" si="486"/>
        <v>0.90849565830217449</v>
      </c>
      <c r="C2834" s="21">
        <f t="shared" ca="1" si="491"/>
        <v>8659.330303947183</v>
      </c>
      <c r="D2834" s="21">
        <f t="shared" ca="1" si="487"/>
        <v>6.0043209907745831</v>
      </c>
      <c r="E2834" s="21">
        <f t="shared" ca="1" si="494"/>
        <v>1.2291072608441027</v>
      </c>
      <c r="F2834" s="20" t="str">
        <f t="shared" ca="1" si="492"/>
        <v>No</v>
      </c>
      <c r="G2834" s="21">
        <f t="shared" ca="1" si="488"/>
        <v>0</v>
      </c>
      <c r="H2834" s="21">
        <f t="shared" ca="1" si="489"/>
        <v>8660.5594112080271</v>
      </c>
      <c r="I2834" s="21">
        <f t="shared" ca="1" si="484"/>
        <v>8666.5637321988015</v>
      </c>
      <c r="J2834" s="20">
        <f t="shared" ca="1" si="493"/>
        <v>3</v>
      </c>
      <c r="K2834" s="20">
        <f t="shared" ca="1" si="485"/>
        <v>5</v>
      </c>
      <c r="L2834" s="44">
        <f t="shared" ca="1" si="490"/>
        <v>4</v>
      </c>
    </row>
    <row r="2835" spans="1:12" x14ac:dyDescent="0.25">
      <c r="A2835" s="20">
        <v>2827</v>
      </c>
      <c r="B2835" s="21">
        <f t="shared" ca="1" si="486"/>
        <v>0.82125379214975269</v>
      </c>
      <c r="C2835" s="21">
        <f t="shared" ca="1" si="491"/>
        <v>8660.1515577393329</v>
      </c>
      <c r="D2835" s="21">
        <f t="shared" ca="1" si="487"/>
        <v>0.9723080897231352</v>
      </c>
      <c r="E2835" s="21">
        <f t="shared" ca="1" si="494"/>
        <v>6.4121744594685879</v>
      </c>
      <c r="F2835" s="20" t="str">
        <f t="shared" ca="1" si="492"/>
        <v>No</v>
      </c>
      <c r="G2835" s="21">
        <f t="shared" ca="1" si="488"/>
        <v>0</v>
      </c>
      <c r="H2835" s="21">
        <f t="shared" ca="1" si="489"/>
        <v>8666.5637321988015</v>
      </c>
      <c r="I2835" s="21">
        <f t="shared" ca="1" si="484"/>
        <v>8667.5360402885253</v>
      </c>
      <c r="J2835" s="20">
        <f t="shared" ca="1" si="493"/>
        <v>6</v>
      </c>
      <c r="K2835" s="20">
        <f t="shared" ca="1" si="485"/>
        <v>5</v>
      </c>
      <c r="L2835" s="44">
        <f t="shared" ca="1" si="490"/>
        <v>5.5</v>
      </c>
    </row>
    <row r="2836" spans="1:12" x14ac:dyDescent="0.25">
      <c r="A2836" s="20">
        <v>2828</v>
      </c>
      <c r="B2836" s="21">
        <f t="shared" ca="1" si="486"/>
        <v>0.57565520577740503</v>
      </c>
      <c r="C2836" s="21">
        <f t="shared" ca="1" si="491"/>
        <v>8660.7272129451103</v>
      </c>
      <c r="D2836" s="21">
        <f t="shared" ca="1" si="487"/>
        <v>0.34084222587564567</v>
      </c>
      <c r="E2836" s="21">
        <f t="shared" ca="1" si="494"/>
        <v>6.8088273434150324</v>
      </c>
      <c r="F2836" s="20" t="str">
        <f t="shared" ca="1" si="492"/>
        <v>No</v>
      </c>
      <c r="G2836" s="21">
        <f t="shared" ca="1" si="488"/>
        <v>0</v>
      </c>
      <c r="H2836" s="21">
        <f t="shared" ca="1" si="489"/>
        <v>8667.5360402885253</v>
      </c>
      <c r="I2836" s="21">
        <f t="shared" ca="1" si="484"/>
        <v>8667.8768825144016</v>
      </c>
      <c r="J2836" s="20">
        <f t="shared" ca="1" si="493"/>
        <v>6</v>
      </c>
      <c r="K2836" s="20">
        <f t="shared" ca="1" si="485"/>
        <v>4</v>
      </c>
      <c r="L2836" s="44">
        <f t="shared" ca="1" si="490"/>
        <v>5</v>
      </c>
    </row>
    <row r="2837" spans="1:12" x14ac:dyDescent="0.25">
      <c r="A2837" s="20">
        <v>2829</v>
      </c>
      <c r="B2837" s="21">
        <f t="shared" ca="1" si="486"/>
        <v>9.4106168561183801E-4</v>
      </c>
      <c r="C2837" s="21">
        <f t="shared" ca="1" si="491"/>
        <v>8660.7281540067961</v>
      </c>
      <c r="D2837" s="21">
        <f t="shared" ca="1" si="487"/>
        <v>0.49644918189215875</v>
      </c>
      <c r="E2837" s="21">
        <f t="shared" ca="1" si="494"/>
        <v>7.1487285076054832</v>
      </c>
      <c r="F2837" s="20" t="str">
        <f t="shared" ca="1" si="492"/>
        <v>No</v>
      </c>
      <c r="G2837" s="21">
        <f t="shared" ca="1" si="488"/>
        <v>0</v>
      </c>
      <c r="H2837" s="21">
        <f t="shared" ca="1" si="489"/>
        <v>8667.8768825144016</v>
      </c>
      <c r="I2837" s="21">
        <f t="shared" ca="1" si="484"/>
        <v>8668.3733316962935</v>
      </c>
      <c r="J2837" s="20">
        <f t="shared" ca="1" si="493"/>
        <v>5</v>
      </c>
      <c r="K2837" s="20">
        <f t="shared" ca="1" si="485"/>
        <v>4</v>
      </c>
      <c r="L2837" s="44">
        <f t="shared" ca="1" si="490"/>
        <v>4.5</v>
      </c>
    </row>
    <row r="2838" spans="1:12" x14ac:dyDescent="0.25">
      <c r="A2838" s="20">
        <v>2830</v>
      </c>
      <c r="B2838" s="21">
        <f t="shared" ca="1" si="486"/>
        <v>2.7226448622938113</v>
      </c>
      <c r="C2838" s="21">
        <f t="shared" ca="1" si="491"/>
        <v>8663.4507988690893</v>
      </c>
      <c r="D2838" s="21">
        <f t="shared" ca="1" si="487"/>
        <v>2.0602188968424522</v>
      </c>
      <c r="E2838" s="21">
        <f t="shared" ca="1" si="494"/>
        <v>4.9225328272041224</v>
      </c>
      <c r="F2838" s="20" t="str">
        <f t="shared" ca="1" si="492"/>
        <v>No</v>
      </c>
      <c r="G2838" s="21">
        <f t="shared" ca="1" si="488"/>
        <v>0</v>
      </c>
      <c r="H2838" s="21">
        <f t="shared" ca="1" si="489"/>
        <v>8668.3733316962935</v>
      </c>
      <c r="I2838" s="21">
        <f t="shared" ca="1" si="484"/>
        <v>8670.4335505931358</v>
      </c>
      <c r="J2838" s="20">
        <f t="shared" ca="1" si="493"/>
        <v>5</v>
      </c>
      <c r="K2838" s="20">
        <f t="shared" ca="1" si="485"/>
        <v>3</v>
      </c>
      <c r="L2838" s="44">
        <f t="shared" ca="1" si="490"/>
        <v>4</v>
      </c>
    </row>
    <row r="2839" spans="1:12" x14ac:dyDescent="0.25">
      <c r="A2839" s="20">
        <v>2831</v>
      </c>
      <c r="B2839" s="21">
        <f t="shared" ca="1" si="486"/>
        <v>1.5763552498049904</v>
      </c>
      <c r="C2839" s="21">
        <f t="shared" ca="1" si="491"/>
        <v>8665.027154118894</v>
      </c>
      <c r="D2839" s="21">
        <f t="shared" ca="1" si="487"/>
        <v>6.6074971693699256</v>
      </c>
      <c r="E2839" s="21">
        <f t="shared" ca="1" si="494"/>
        <v>5.4063964742417738</v>
      </c>
      <c r="F2839" s="20" t="str">
        <f t="shared" ca="1" si="492"/>
        <v>No</v>
      </c>
      <c r="G2839" s="21">
        <f t="shared" ca="1" si="488"/>
        <v>0</v>
      </c>
      <c r="H2839" s="21">
        <f t="shared" ca="1" si="489"/>
        <v>8670.4335505931358</v>
      </c>
      <c r="I2839" s="21">
        <f t="shared" ca="1" si="484"/>
        <v>8677.0410477625064</v>
      </c>
      <c r="J2839" s="20">
        <f t="shared" ca="1" si="493"/>
        <v>4</v>
      </c>
      <c r="K2839" s="20">
        <f t="shared" ca="1" si="485"/>
        <v>5</v>
      </c>
      <c r="L2839" s="44">
        <f t="shared" ca="1" si="490"/>
        <v>4.5</v>
      </c>
    </row>
    <row r="2840" spans="1:12" x14ac:dyDescent="0.25">
      <c r="A2840" s="20">
        <v>2832</v>
      </c>
      <c r="B2840" s="21">
        <f t="shared" ca="1" si="486"/>
        <v>0.88385096191572421</v>
      </c>
      <c r="C2840" s="21">
        <f t="shared" ca="1" si="491"/>
        <v>8665.9110050808104</v>
      </c>
      <c r="D2840" s="21">
        <f t="shared" ca="1" si="487"/>
        <v>6.0544861296437222</v>
      </c>
      <c r="E2840" s="21">
        <f t="shared" ca="1" si="494"/>
        <v>11.130042681696068</v>
      </c>
      <c r="F2840" s="20" t="str">
        <f t="shared" ca="1" si="492"/>
        <v>No</v>
      </c>
      <c r="G2840" s="21">
        <f t="shared" ca="1" si="488"/>
        <v>0</v>
      </c>
      <c r="H2840" s="21">
        <f t="shared" ca="1" si="489"/>
        <v>8677.0410477625064</v>
      </c>
      <c r="I2840" s="21">
        <f t="shared" ca="1" si="484"/>
        <v>8683.0955338921503</v>
      </c>
      <c r="J2840" s="20">
        <f t="shared" ca="1" si="493"/>
        <v>6</v>
      </c>
      <c r="K2840" s="20">
        <f t="shared" ca="1" si="485"/>
        <v>5</v>
      </c>
      <c r="L2840" s="44">
        <f t="shared" ca="1" si="490"/>
        <v>5.5</v>
      </c>
    </row>
    <row r="2841" spans="1:12" x14ac:dyDescent="0.25">
      <c r="A2841" s="20">
        <v>2833</v>
      </c>
      <c r="B2841" s="21">
        <f t="shared" ca="1" si="486"/>
        <v>2.1971299632837451</v>
      </c>
      <c r="C2841" s="21">
        <f t="shared" ca="1" si="491"/>
        <v>8668.1081350440945</v>
      </c>
      <c r="D2841" s="21">
        <f t="shared" ca="1" si="487"/>
        <v>1.4622670312824806</v>
      </c>
      <c r="E2841" s="21">
        <f t="shared" ca="1" si="494"/>
        <v>14.987398848055818</v>
      </c>
      <c r="F2841" s="20" t="str">
        <f t="shared" ca="1" si="492"/>
        <v>No</v>
      </c>
      <c r="G2841" s="21">
        <f t="shared" ca="1" si="488"/>
        <v>0</v>
      </c>
      <c r="H2841" s="21">
        <f t="shared" ca="1" si="489"/>
        <v>8683.0955338921503</v>
      </c>
      <c r="I2841" s="21">
        <f t="shared" ca="1" si="484"/>
        <v>8684.5578009234323</v>
      </c>
      <c r="J2841" s="20">
        <f t="shared" ca="1" si="493"/>
        <v>6</v>
      </c>
      <c r="K2841" s="20">
        <f t="shared" ca="1" si="485"/>
        <v>4</v>
      </c>
      <c r="L2841" s="44">
        <f t="shared" ca="1" si="490"/>
        <v>5</v>
      </c>
    </row>
    <row r="2842" spans="1:12" x14ac:dyDescent="0.25">
      <c r="A2842" s="20">
        <v>2834</v>
      </c>
      <c r="B2842" s="21">
        <f t="shared" ca="1" si="486"/>
        <v>4.362956597174465</v>
      </c>
      <c r="C2842" s="21">
        <f t="shared" ca="1" si="491"/>
        <v>8672.4710916412696</v>
      </c>
      <c r="D2842" s="21">
        <f t="shared" ca="1" si="487"/>
        <v>0.66432019800063002</v>
      </c>
      <c r="E2842" s="21">
        <f t="shared" ca="1" si="494"/>
        <v>12.086709282162701</v>
      </c>
      <c r="F2842" s="20" t="str">
        <f t="shared" ca="1" si="492"/>
        <v>No</v>
      </c>
      <c r="G2842" s="21">
        <f t="shared" ca="1" si="488"/>
        <v>0</v>
      </c>
      <c r="H2842" s="21">
        <f t="shared" ca="1" si="489"/>
        <v>8684.5578009234323</v>
      </c>
      <c r="I2842" s="21">
        <f t="shared" ca="1" si="484"/>
        <v>8685.2221211214328</v>
      </c>
      <c r="J2842" s="20">
        <f t="shared" ca="1" si="493"/>
        <v>5</v>
      </c>
      <c r="K2842" s="20">
        <f t="shared" ca="1" si="485"/>
        <v>3</v>
      </c>
      <c r="L2842" s="44">
        <f t="shared" ca="1" si="490"/>
        <v>4</v>
      </c>
    </row>
    <row r="2843" spans="1:12" x14ac:dyDescent="0.25">
      <c r="A2843" s="20">
        <v>2835</v>
      </c>
      <c r="B2843" s="21">
        <f t="shared" ca="1" si="486"/>
        <v>3.5168834910772162</v>
      </c>
      <c r="C2843" s="21">
        <f t="shared" ca="1" si="491"/>
        <v>8675.987975132346</v>
      </c>
      <c r="D2843" s="21">
        <f t="shared" ca="1" si="487"/>
        <v>0.57647092363424934</v>
      </c>
      <c r="E2843" s="21">
        <f t="shared" ca="1" si="494"/>
        <v>9.2341459890867554</v>
      </c>
      <c r="F2843" s="20" t="str">
        <f t="shared" ca="1" si="492"/>
        <v>No</v>
      </c>
      <c r="G2843" s="21">
        <f t="shared" ca="1" si="488"/>
        <v>0</v>
      </c>
      <c r="H2843" s="21">
        <f t="shared" ca="1" si="489"/>
        <v>8685.2221211214328</v>
      </c>
      <c r="I2843" s="21">
        <f t="shared" ca="1" si="484"/>
        <v>8685.7985920450665</v>
      </c>
      <c r="J2843" s="20">
        <f t="shared" ca="1" si="493"/>
        <v>4</v>
      </c>
      <c r="K2843" s="20">
        <f t="shared" ca="1" si="485"/>
        <v>4</v>
      </c>
      <c r="L2843" s="44">
        <f t="shared" ca="1" si="490"/>
        <v>4</v>
      </c>
    </row>
    <row r="2844" spans="1:12" x14ac:dyDescent="0.25">
      <c r="A2844" s="20">
        <v>2836</v>
      </c>
      <c r="B2844" s="21">
        <f t="shared" ca="1" si="486"/>
        <v>1.004224807584289</v>
      </c>
      <c r="C2844" s="21">
        <f t="shared" ca="1" si="491"/>
        <v>8676.9921999399303</v>
      </c>
      <c r="D2844" s="21">
        <f t="shared" ca="1" si="487"/>
        <v>1.0545523700511112</v>
      </c>
      <c r="E2844" s="21">
        <f t="shared" ca="1" si="494"/>
        <v>8.8063921051361831</v>
      </c>
      <c r="F2844" s="20" t="str">
        <f t="shared" ca="1" si="492"/>
        <v>No</v>
      </c>
      <c r="G2844" s="21">
        <f t="shared" ca="1" si="488"/>
        <v>0</v>
      </c>
      <c r="H2844" s="21">
        <f t="shared" ca="1" si="489"/>
        <v>8685.7985920450665</v>
      </c>
      <c r="I2844" s="21">
        <f t="shared" ca="1" si="484"/>
        <v>8686.8531444151176</v>
      </c>
      <c r="J2844" s="20">
        <f t="shared" ca="1" si="493"/>
        <v>5</v>
      </c>
      <c r="K2844" s="20">
        <f t="shared" ca="1" si="485"/>
        <v>3</v>
      </c>
      <c r="L2844" s="44">
        <f t="shared" ca="1" si="490"/>
        <v>4</v>
      </c>
    </row>
    <row r="2845" spans="1:12" x14ac:dyDescent="0.25">
      <c r="A2845" s="20">
        <v>2837</v>
      </c>
      <c r="B2845" s="21">
        <f t="shared" ca="1" si="486"/>
        <v>2.9546681711110145</v>
      </c>
      <c r="C2845" s="21">
        <f t="shared" ca="1" si="491"/>
        <v>8679.9468681110411</v>
      </c>
      <c r="D2845" s="21">
        <f t="shared" ca="1" si="487"/>
        <v>4.1792958455296993</v>
      </c>
      <c r="E2845" s="21">
        <f t="shared" ca="1" si="494"/>
        <v>6.9062763040765276</v>
      </c>
      <c r="F2845" s="20" t="str">
        <f t="shared" ca="1" si="492"/>
        <v>No</v>
      </c>
      <c r="G2845" s="21">
        <f t="shared" ca="1" si="488"/>
        <v>0</v>
      </c>
      <c r="H2845" s="21">
        <f t="shared" ca="1" si="489"/>
        <v>8686.8531444151176</v>
      </c>
      <c r="I2845" s="21">
        <f t="shared" ca="1" si="484"/>
        <v>8691.0324402606475</v>
      </c>
      <c r="J2845" s="20">
        <f t="shared" ca="1" si="493"/>
        <v>4</v>
      </c>
      <c r="K2845" s="20">
        <f t="shared" ca="1" si="485"/>
        <v>3</v>
      </c>
      <c r="L2845" s="44">
        <f t="shared" ca="1" si="490"/>
        <v>3.5</v>
      </c>
    </row>
    <row r="2846" spans="1:12" x14ac:dyDescent="0.25">
      <c r="A2846" s="20">
        <v>2838</v>
      </c>
      <c r="B2846" s="21">
        <f t="shared" ca="1" si="486"/>
        <v>5.3055604033548516</v>
      </c>
      <c r="C2846" s="21">
        <f t="shared" ca="1" si="491"/>
        <v>8685.2524285143954</v>
      </c>
      <c r="D2846" s="21">
        <f t="shared" ca="1" si="487"/>
        <v>0.43148066610869135</v>
      </c>
      <c r="E2846" s="21">
        <f t="shared" ca="1" si="494"/>
        <v>5.7800117462520575</v>
      </c>
      <c r="F2846" s="20" t="str">
        <f t="shared" ca="1" si="492"/>
        <v>No</v>
      </c>
      <c r="G2846" s="21">
        <f t="shared" ca="1" si="488"/>
        <v>0</v>
      </c>
      <c r="H2846" s="21">
        <f t="shared" ca="1" si="489"/>
        <v>8691.0324402606475</v>
      </c>
      <c r="I2846" s="21">
        <f t="shared" ca="1" si="484"/>
        <v>8691.4639209267571</v>
      </c>
      <c r="J2846" s="20">
        <f t="shared" ca="1" si="493"/>
        <v>4</v>
      </c>
      <c r="K2846" s="20">
        <f t="shared" ca="1" si="485"/>
        <v>2</v>
      </c>
      <c r="L2846" s="44">
        <f t="shared" ca="1" si="490"/>
        <v>3</v>
      </c>
    </row>
    <row r="2847" spans="1:12" x14ac:dyDescent="0.25">
      <c r="A2847" s="20">
        <v>2839</v>
      </c>
      <c r="B2847" s="21">
        <f t="shared" ca="1" si="486"/>
        <v>0.54407935494246096</v>
      </c>
      <c r="C2847" s="21">
        <f t="shared" ca="1" si="491"/>
        <v>8685.7965078693378</v>
      </c>
      <c r="D2847" s="21">
        <f t="shared" ca="1" si="487"/>
        <v>12.345646393937253</v>
      </c>
      <c r="E2847" s="21">
        <f t="shared" ca="1" si="494"/>
        <v>5.6674130574192532</v>
      </c>
      <c r="F2847" s="20" t="str">
        <f t="shared" ca="1" si="492"/>
        <v>No</v>
      </c>
      <c r="G2847" s="21">
        <f t="shared" ca="1" si="488"/>
        <v>0</v>
      </c>
      <c r="H2847" s="21">
        <f t="shared" ca="1" si="489"/>
        <v>8691.4639209267571</v>
      </c>
      <c r="I2847" s="21">
        <f t="shared" ca="1" si="484"/>
        <v>8703.8095673206935</v>
      </c>
      <c r="J2847" s="20">
        <f t="shared" ca="1" si="493"/>
        <v>3</v>
      </c>
      <c r="K2847" s="20">
        <f t="shared" ca="1" si="485"/>
        <v>5</v>
      </c>
      <c r="L2847" s="44">
        <f t="shared" ca="1" si="490"/>
        <v>4</v>
      </c>
    </row>
    <row r="2848" spans="1:12" x14ac:dyDescent="0.25">
      <c r="A2848" s="20">
        <v>2840</v>
      </c>
      <c r="B2848" s="21">
        <f t="shared" ca="1" si="486"/>
        <v>2.159552270018203</v>
      </c>
      <c r="C2848" s="21">
        <f t="shared" ca="1" si="491"/>
        <v>8687.9560601393569</v>
      </c>
      <c r="D2848" s="21">
        <f t="shared" ca="1" si="487"/>
        <v>3.2045153277330316</v>
      </c>
      <c r="E2848" s="21">
        <f t="shared" ca="1" si="494"/>
        <v>15.853507181336681</v>
      </c>
      <c r="F2848" s="20" t="str">
        <f t="shared" ca="1" si="492"/>
        <v>No</v>
      </c>
      <c r="G2848" s="21">
        <f t="shared" ca="1" si="488"/>
        <v>0</v>
      </c>
      <c r="H2848" s="21">
        <f t="shared" ca="1" si="489"/>
        <v>8703.8095673206935</v>
      </c>
      <c r="I2848" s="21">
        <f t="shared" ca="1" si="484"/>
        <v>8707.0140826484258</v>
      </c>
      <c r="J2848" s="20">
        <f t="shared" ca="1" si="493"/>
        <v>6</v>
      </c>
      <c r="K2848" s="20">
        <f t="shared" ca="1" si="485"/>
        <v>5</v>
      </c>
      <c r="L2848" s="44">
        <f t="shared" ca="1" si="490"/>
        <v>5.5</v>
      </c>
    </row>
    <row r="2849" spans="1:12" x14ac:dyDescent="0.25">
      <c r="A2849" s="20">
        <v>2841</v>
      </c>
      <c r="B2849" s="21">
        <f t="shared" ca="1" si="486"/>
        <v>7.24568560603345</v>
      </c>
      <c r="C2849" s="21">
        <f t="shared" ca="1" si="491"/>
        <v>8695.2017457453894</v>
      </c>
      <c r="D2849" s="21">
        <f t="shared" ca="1" si="487"/>
        <v>11.756951707894292</v>
      </c>
      <c r="E2849" s="21">
        <f t="shared" ca="1" si="494"/>
        <v>11.812336903036339</v>
      </c>
      <c r="F2849" s="20" t="str">
        <f t="shared" ca="1" si="492"/>
        <v>No</v>
      </c>
      <c r="G2849" s="21">
        <f t="shared" ca="1" si="488"/>
        <v>0</v>
      </c>
      <c r="H2849" s="21">
        <f t="shared" ca="1" si="489"/>
        <v>8707.0140826484258</v>
      </c>
      <c r="I2849" s="21">
        <f t="shared" ca="1" si="484"/>
        <v>8718.7710343563194</v>
      </c>
      <c r="J2849" s="20">
        <f t="shared" ca="1" si="493"/>
        <v>6</v>
      </c>
      <c r="K2849" s="20">
        <f t="shared" ca="1" si="485"/>
        <v>5</v>
      </c>
      <c r="L2849" s="44">
        <f t="shared" ca="1" si="490"/>
        <v>5.5</v>
      </c>
    </row>
    <row r="2850" spans="1:12" x14ac:dyDescent="0.25">
      <c r="A2850" s="20">
        <v>2842</v>
      </c>
      <c r="B2850" s="21">
        <f t="shared" ca="1" si="486"/>
        <v>0.25967832986409101</v>
      </c>
      <c r="C2850" s="21">
        <f t="shared" ca="1" si="491"/>
        <v>8695.4614240752544</v>
      </c>
      <c r="D2850" s="21">
        <f t="shared" ca="1" si="487"/>
        <v>6.8063926119378699</v>
      </c>
      <c r="E2850" s="21">
        <f t="shared" ca="1" si="494"/>
        <v>23.309610281065034</v>
      </c>
      <c r="F2850" s="20" t="str">
        <f t="shared" ca="1" si="492"/>
        <v>No</v>
      </c>
      <c r="G2850" s="21">
        <f t="shared" ca="1" si="488"/>
        <v>0</v>
      </c>
      <c r="H2850" s="21">
        <f t="shared" ca="1" si="489"/>
        <v>8718.7710343563194</v>
      </c>
      <c r="I2850" s="21">
        <f t="shared" ca="1" si="484"/>
        <v>8725.577426968257</v>
      </c>
      <c r="J2850" s="20">
        <f t="shared" ca="1" si="493"/>
        <v>6</v>
      </c>
      <c r="K2850" s="20">
        <f t="shared" ca="1" si="485"/>
        <v>5</v>
      </c>
      <c r="L2850" s="44">
        <f t="shared" ca="1" si="490"/>
        <v>5.5</v>
      </c>
    </row>
    <row r="2851" spans="1:12" x14ac:dyDescent="0.25">
      <c r="A2851" s="20">
        <v>2843</v>
      </c>
      <c r="B2851" s="21">
        <f t="shared" ca="1" si="486"/>
        <v>0.28449864581541739</v>
      </c>
      <c r="C2851" s="21">
        <f t="shared" ca="1" si="491"/>
        <v>8695.7459227210693</v>
      </c>
      <c r="D2851" s="21">
        <f t="shared" ca="1" si="487"/>
        <v>8.0786113475395147E-2</v>
      </c>
      <c r="E2851" s="21">
        <f t="shared" ca="1" si="494"/>
        <v>29.831504247187695</v>
      </c>
      <c r="F2851" s="20" t="str">
        <f t="shared" ca="1" si="492"/>
        <v>No</v>
      </c>
      <c r="G2851" s="21">
        <f t="shared" ca="1" si="488"/>
        <v>0</v>
      </c>
      <c r="H2851" s="21">
        <f t="shared" ca="1" si="489"/>
        <v>8725.577426968257</v>
      </c>
      <c r="I2851" s="21">
        <f t="shared" ca="1" si="484"/>
        <v>8725.6582130817333</v>
      </c>
      <c r="J2851" s="20">
        <f t="shared" ca="1" si="493"/>
        <v>6</v>
      </c>
      <c r="K2851" s="20">
        <f t="shared" ca="1" si="485"/>
        <v>5</v>
      </c>
      <c r="L2851" s="44">
        <f t="shared" ca="1" si="490"/>
        <v>5.5</v>
      </c>
    </row>
    <row r="2852" spans="1:12" x14ac:dyDescent="0.25">
      <c r="A2852" s="20">
        <v>2844</v>
      </c>
      <c r="B2852" s="21">
        <f t="shared" ca="1" si="486"/>
        <v>7.5127874233772332</v>
      </c>
      <c r="C2852" s="21">
        <f t="shared" ca="1" si="491"/>
        <v>8703.258710144446</v>
      </c>
      <c r="D2852" s="21">
        <f t="shared" ca="1" si="487"/>
        <v>1.8571308929792509</v>
      </c>
      <c r="E2852" s="21">
        <f t="shared" ca="1" si="494"/>
        <v>22.399502937287252</v>
      </c>
      <c r="F2852" s="20" t="str">
        <f t="shared" ca="1" si="492"/>
        <v>No</v>
      </c>
      <c r="G2852" s="21">
        <f t="shared" ca="1" si="488"/>
        <v>0</v>
      </c>
      <c r="H2852" s="21">
        <f t="shared" ca="1" si="489"/>
        <v>8725.6582130817333</v>
      </c>
      <c r="I2852" s="21">
        <f t="shared" ca="1" si="484"/>
        <v>8727.5153439747119</v>
      </c>
      <c r="J2852" s="20">
        <f t="shared" ca="1" si="493"/>
        <v>6</v>
      </c>
      <c r="K2852" s="20">
        <f t="shared" ca="1" si="485"/>
        <v>5</v>
      </c>
      <c r="L2852" s="44">
        <f t="shared" ca="1" si="490"/>
        <v>5.5</v>
      </c>
    </row>
    <row r="2853" spans="1:12" x14ac:dyDescent="0.25">
      <c r="A2853" s="20">
        <v>2845</v>
      </c>
      <c r="B2853" s="21">
        <f t="shared" ca="1" si="486"/>
        <v>1.183543651030124</v>
      </c>
      <c r="C2853" s="21">
        <f t="shared" ca="1" si="491"/>
        <v>8704.4422537954761</v>
      </c>
      <c r="D2853" s="21">
        <f t="shared" ca="1" si="487"/>
        <v>7.1842684821010323</v>
      </c>
      <c r="E2853" s="21">
        <f t="shared" ca="1" si="494"/>
        <v>23.073090179235805</v>
      </c>
      <c r="F2853" s="20" t="str">
        <f t="shared" ca="1" si="492"/>
        <v>No</v>
      </c>
      <c r="G2853" s="21">
        <f t="shared" ca="1" si="488"/>
        <v>0</v>
      </c>
      <c r="H2853" s="21">
        <f t="shared" ca="1" si="489"/>
        <v>8727.5153439747119</v>
      </c>
      <c r="I2853" s="21">
        <f t="shared" ca="1" si="484"/>
        <v>8734.6996124568122</v>
      </c>
      <c r="J2853" s="20">
        <f t="shared" ca="1" si="493"/>
        <v>6</v>
      </c>
      <c r="K2853" s="20">
        <f t="shared" ca="1" si="485"/>
        <v>5</v>
      </c>
      <c r="L2853" s="44">
        <f t="shared" ca="1" si="490"/>
        <v>5.5</v>
      </c>
    </row>
    <row r="2854" spans="1:12" x14ac:dyDescent="0.25">
      <c r="A2854" s="20">
        <v>2846</v>
      </c>
      <c r="B2854" s="21">
        <f t="shared" ca="1" si="486"/>
        <v>0.92335604988560405</v>
      </c>
      <c r="C2854" s="21">
        <f t="shared" ca="1" si="491"/>
        <v>8705.3656098453612</v>
      </c>
      <c r="D2854" s="21">
        <f t="shared" ca="1" si="487"/>
        <v>0.10009423751618952</v>
      </c>
      <c r="E2854" s="21">
        <f t="shared" ca="1" si="494"/>
        <v>29.334002611451069</v>
      </c>
      <c r="F2854" s="20" t="str">
        <f t="shared" ca="1" si="492"/>
        <v>No</v>
      </c>
      <c r="G2854" s="21">
        <f t="shared" ca="1" si="488"/>
        <v>0</v>
      </c>
      <c r="H2854" s="21">
        <f t="shared" ca="1" si="489"/>
        <v>8734.6996124568122</v>
      </c>
      <c r="I2854" s="21">
        <f t="shared" ca="1" si="484"/>
        <v>8734.7997066943281</v>
      </c>
      <c r="J2854" s="20">
        <f t="shared" ca="1" si="493"/>
        <v>6</v>
      </c>
      <c r="K2854" s="20">
        <f t="shared" ca="1" si="485"/>
        <v>5</v>
      </c>
      <c r="L2854" s="44">
        <f t="shared" ca="1" si="490"/>
        <v>5.5</v>
      </c>
    </row>
    <row r="2855" spans="1:12" x14ac:dyDescent="0.25">
      <c r="A2855" s="20">
        <v>2847</v>
      </c>
      <c r="B2855" s="21">
        <f t="shared" ca="1" si="486"/>
        <v>1.1404823701998512</v>
      </c>
      <c r="C2855" s="21">
        <f t="shared" ca="1" si="491"/>
        <v>8706.5060922155608</v>
      </c>
      <c r="D2855" s="21">
        <f t="shared" ca="1" si="487"/>
        <v>1.5543794014724388</v>
      </c>
      <c r="E2855" s="21">
        <f t="shared" ca="1" si="494"/>
        <v>28.293614478767267</v>
      </c>
      <c r="F2855" s="20" t="str">
        <f t="shared" ca="1" si="492"/>
        <v>No</v>
      </c>
      <c r="G2855" s="21">
        <f t="shared" ca="1" si="488"/>
        <v>0</v>
      </c>
      <c r="H2855" s="21">
        <f t="shared" ca="1" si="489"/>
        <v>8734.7997066943281</v>
      </c>
      <c r="I2855" s="21">
        <f t="shared" ca="1" si="484"/>
        <v>8736.3540860958001</v>
      </c>
      <c r="J2855" s="20">
        <f t="shared" ca="1" si="493"/>
        <v>6</v>
      </c>
      <c r="K2855" s="20">
        <f t="shared" ca="1" si="485"/>
        <v>5</v>
      </c>
      <c r="L2855" s="44">
        <f t="shared" ca="1" si="490"/>
        <v>5.5</v>
      </c>
    </row>
    <row r="2856" spans="1:12" x14ac:dyDescent="0.25">
      <c r="A2856" s="20">
        <v>2848</v>
      </c>
      <c r="B2856" s="21">
        <f t="shared" ca="1" si="486"/>
        <v>6.4849777461301663</v>
      </c>
      <c r="C2856" s="21">
        <f t="shared" ca="1" si="491"/>
        <v>8712.9910699616903</v>
      </c>
      <c r="D2856" s="21">
        <f t="shared" ca="1" si="487"/>
        <v>2.9908828076863685</v>
      </c>
      <c r="E2856" s="21">
        <f t="shared" ca="1" si="494"/>
        <v>23.363016134109785</v>
      </c>
      <c r="F2856" s="20" t="str">
        <f t="shared" ca="1" si="492"/>
        <v>No</v>
      </c>
      <c r="G2856" s="21">
        <f t="shared" ca="1" si="488"/>
        <v>0</v>
      </c>
      <c r="H2856" s="21">
        <f t="shared" ca="1" si="489"/>
        <v>8736.3540860958001</v>
      </c>
      <c r="I2856" s="21">
        <f t="shared" ca="1" si="484"/>
        <v>8739.344968903486</v>
      </c>
      <c r="J2856" s="20">
        <f t="shared" ca="1" si="493"/>
        <v>6</v>
      </c>
      <c r="K2856" s="20">
        <f t="shared" ca="1" si="485"/>
        <v>5</v>
      </c>
      <c r="L2856" s="44">
        <f t="shared" ca="1" si="490"/>
        <v>5.5</v>
      </c>
    </row>
    <row r="2857" spans="1:12" x14ac:dyDescent="0.25">
      <c r="A2857" s="20">
        <v>2849</v>
      </c>
      <c r="B2857" s="21">
        <f t="shared" ca="1" si="486"/>
        <v>2.8693618633934084</v>
      </c>
      <c r="C2857" s="21">
        <f t="shared" ca="1" si="491"/>
        <v>8715.8604318250837</v>
      </c>
      <c r="D2857" s="21">
        <f t="shared" ca="1" si="487"/>
        <v>1.075165307180354</v>
      </c>
      <c r="E2857" s="21">
        <f t="shared" ca="1" si="494"/>
        <v>23.484537078402354</v>
      </c>
      <c r="F2857" s="20" t="str">
        <f t="shared" ca="1" si="492"/>
        <v>No</v>
      </c>
      <c r="G2857" s="21">
        <f t="shared" ca="1" si="488"/>
        <v>0</v>
      </c>
      <c r="H2857" s="21">
        <f t="shared" ca="1" si="489"/>
        <v>8739.344968903486</v>
      </c>
      <c r="I2857" s="21">
        <f t="shared" ca="1" si="484"/>
        <v>8740.4201342106662</v>
      </c>
      <c r="J2857" s="20">
        <f t="shared" ca="1" si="493"/>
        <v>6</v>
      </c>
      <c r="K2857" s="20">
        <f t="shared" ca="1" si="485"/>
        <v>5</v>
      </c>
      <c r="L2857" s="44">
        <f t="shared" ca="1" si="490"/>
        <v>5.5</v>
      </c>
    </row>
    <row r="2858" spans="1:12" x14ac:dyDescent="0.25">
      <c r="A2858" s="20">
        <v>2850</v>
      </c>
      <c r="B2858" s="21">
        <f t="shared" ca="1" si="486"/>
        <v>9.938976113020602E-2</v>
      </c>
      <c r="C2858" s="21">
        <f t="shared" ca="1" si="491"/>
        <v>8715.9598215862134</v>
      </c>
      <c r="D2858" s="21">
        <f t="shared" ca="1" si="487"/>
        <v>0.46392540011973155</v>
      </c>
      <c r="E2858" s="21">
        <f t="shared" ca="1" si="494"/>
        <v>24.460312624452854</v>
      </c>
      <c r="F2858" s="20" t="str">
        <f t="shared" ca="1" si="492"/>
        <v>No</v>
      </c>
      <c r="G2858" s="21">
        <f t="shared" ca="1" si="488"/>
        <v>0</v>
      </c>
      <c r="H2858" s="21">
        <f t="shared" ca="1" si="489"/>
        <v>8740.4201342106662</v>
      </c>
      <c r="I2858" s="21">
        <f t="shared" ca="1" si="484"/>
        <v>8740.8840596107857</v>
      </c>
      <c r="J2858" s="20">
        <f t="shared" ca="1" si="493"/>
        <v>6</v>
      </c>
      <c r="K2858" s="20">
        <f t="shared" ca="1" si="485"/>
        <v>5</v>
      </c>
      <c r="L2858" s="44">
        <f t="shared" ca="1" si="490"/>
        <v>5.5</v>
      </c>
    </row>
    <row r="2859" spans="1:12" x14ac:dyDescent="0.25">
      <c r="A2859" s="20">
        <v>2851</v>
      </c>
      <c r="B2859" s="21">
        <f t="shared" ca="1" si="486"/>
        <v>3.1271592666973484</v>
      </c>
      <c r="C2859" s="21">
        <f t="shared" ca="1" si="491"/>
        <v>8719.0869808529114</v>
      </c>
      <c r="D2859" s="21">
        <f t="shared" ca="1" si="487"/>
        <v>0.5453488135338731</v>
      </c>
      <c r="E2859" s="21">
        <f t="shared" ca="1" si="494"/>
        <v>21.79707875787426</v>
      </c>
      <c r="F2859" s="20" t="str">
        <f t="shared" ca="1" si="492"/>
        <v>No</v>
      </c>
      <c r="G2859" s="21">
        <f t="shared" ca="1" si="488"/>
        <v>0</v>
      </c>
      <c r="H2859" s="21">
        <f t="shared" ca="1" si="489"/>
        <v>8740.8840596107857</v>
      </c>
      <c r="I2859" s="21">
        <f t="shared" ca="1" si="484"/>
        <v>8741.4294084243193</v>
      </c>
      <c r="J2859" s="20">
        <f t="shared" ca="1" si="493"/>
        <v>6</v>
      </c>
      <c r="K2859" s="20">
        <f t="shared" ca="1" si="485"/>
        <v>4</v>
      </c>
      <c r="L2859" s="44">
        <f t="shared" ca="1" si="490"/>
        <v>5</v>
      </c>
    </row>
    <row r="2860" spans="1:12" x14ac:dyDescent="0.25">
      <c r="A2860" s="20">
        <v>2852</v>
      </c>
      <c r="B2860" s="21">
        <f t="shared" ca="1" si="486"/>
        <v>3.7375118463611923</v>
      </c>
      <c r="C2860" s="21">
        <f t="shared" ca="1" si="491"/>
        <v>8722.824492699272</v>
      </c>
      <c r="D2860" s="21">
        <f t="shared" ca="1" si="487"/>
        <v>1.8726033182256015E-2</v>
      </c>
      <c r="E2860" s="21">
        <f t="shared" ca="1" si="494"/>
        <v>18.604915725047249</v>
      </c>
      <c r="F2860" s="20" t="str">
        <f t="shared" ca="1" si="492"/>
        <v>No</v>
      </c>
      <c r="G2860" s="21">
        <f t="shared" ca="1" si="488"/>
        <v>0</v>
      </c>
      <c r="H2860" s="21">
        <f t="shared" ca="1" si="489"/>
        <v>8741.4294084243193</v>
      </c>
      <c r="I2860" s="21">
        <f t="shared" ca="1" si="484"/>
        <v>8741.4481344575015</v>
      </c>
      <c r="J2860" s="20">
        <f t="shared" ca="1" si="493"/>
        <v>5</v>
      </c>
      <c r="K2860" s="20">
        <f t="shared" ca="1" si="485"/>
        <v>3</v>
      </c>
      <c r="L2860" s="44">
        <f t="shared" ca="1" si="490"/>
        <v>4</v>
      </c>
    </row>
    <row r="2861" spans="1:12" x14ac:dyDescent="0.25">
      <c r="A2861" s="20">
        <v>2853</v>
      </c>
      <c r="B2861" s="21">
        <f t="shared" ca="1" si="486"/>
        <v>11.481197835860234</v>
      </c>
      <c r="C2861" s="21">
        <f t="shared" ca="1" si="491"/>
        <v>8734.3056905351314</v>
      </c>
      <c r="D2861" s="21">
        <f t="shared" ca="1" si="487"/>
        <v>3.4971698144174868</v>
      </c>
      <c r="E2861" s="21">
        <f t="shared" ca="1" si="494"/>
        <v>7.1424439223701484</v>
      </c>
      <c r="F2861" s="20" t="str">
        <f t="shared" ca="1" si="492"/>
        <v>No</v>
      </c>
      <c r="G2861" s="21">
        <f t="shared" ca="1" si="488"/>
        <v>0</v>
      </c>
      <c r="H2861" s="21">
        <f t="shared" ca="1" si="489"/>
        <v>8741.4481344575015</v>
      </c>
      <c r="I2861" s="21">
        <f t="shared" ca="1" si="484"/>
        <v>8744.9453042719197</v>
      </c>
      <c r="J2861" s="20">
        <f t="shared" ca="1" si="493"/>
        <v>4</v>
      </c>
      <c r="K2861" s="20">
        <f t="shared" ca="1" si="485"/>
        <v>4</v>
      </c>
      <c r="L2861" s="44">
        <f t="shared" ca="1" si="490"/>
        <v>4</v>
      </c>
    </row>
    <row r="2862" spans="1:12" x14ac:dyDescent="0.25">
      <c r="A2862" s="20">
        <v>2854</v>
      </c>
      <c r="B2862" s="21">
        <f t="shared" ca="1" si="486"/>
        <v>4.854524767399476</v>
      </c>
      <c r="C2862" s="21">
        <f t="shared" ca="1" si="491"/>
        <v>8739.1602153025306</v>
      </c>
      <c r="D2862" s="21">
        <f t="shared" ca="1" si="487"/>
        <v>1.8450929619728142</v>
      </c>
      <c r="E2862" s="21">
        <f t="shared" ca="1" si="494"/>
        <v>5.7850889693891077</v>
      </c>
      <c r="F2862" s="20" t="str">
        <f t="shared" ca="1" si="492"/>
        <v>No</v>
      </c>
      <c r="G2862" s="21">
        <f t="shared" ca="1" si="488"/>
        <v>0</v>
      </c>
      <c r="H2862" s="21">
        <f t="shared" ca="1" si="489"/>
        <v>8744.9453042719197</v>
      </c>
      <c r="I2862" s="21">
        <f t="shared" ca="1" si="484"/>
        <v>8746.7903972338918</v>
      </c>
      <c r="J2862" s="20">
        <f t="shared" ca="1" si="493"/>
        <v>5</v>
      </c>
      <c r="K2862" s="20">
        <f t="shared" ca="1" si="485"/>
        <v>4</v>
      </c>
      <c r="L2862" s="44">
        <f t="shared" ca="1" si="490"/>
        <v>4.5</v>
      </c>
    </row>
    <row r="2863" spans="1:12" x14ac:dyDescent="0.25">
      <c r="A2863" s="20">
        <v>2855</v>
      </c>
      <c r="B2863" s="21">
        <f t="shared" ca="1" si="486"/>
        <v>1.1415231093030975</v>
      </c>
      <c r="C2863" s="21">
        <f t="shared" ca="1" si="491"/>
        <v>8740.3017384118339</v>
      </c>
      <c r="D2863" s="21">
        <f t="shared" ca="1" si="487"/>
        <v>1.6259093503199209</v>
      </c>
      <c r="E2863" s="21">
        <f t="shared" ca="1" si="494"/>
        <v>6.4886588220579142</v>
      </c>
      <c r="F2863" s="20" t="str">
        <f t="shared" ca="1" si="492"/>
        <v>No</v>
      </c>
      <c r="G2863" s="21">
        <f t="shared" ca="1" si="488"/>
        <v>0</v>
      </c>
      <c r="H2863" s="21">
        <f t="shared" ca="1" si="489"/>
        <v>8746.7903972338918</v>
      </c>
      <c r="I2863" s="21">
        <f t="shared" ca="1" si="484"/>
        <v>8748.4163065842113</v>
      </c>
      <c r="J2863" s="20">
        <f t="shared" ca="1" si="493"/>
        <v>5</v>
      </c>
      <c r="K2863" s="20">
        <f t="shared" ca="1" si="485"/>
        <v>4</v>
      </c>
      <c r="L2863" s="44">
        <f t="shared" ca="1" si="490"/>
        <v>4.5</v>
      </c>
    </row>
    <row r="2864" spans="1:12" x14ac:dyDescent="0.25">
      <c r="A2864" s="20">
        <v>2856</v>
      </c>
      <c r="B2864" s="21">
        <f t="shared" ca="1" si="486"/>
        <v>2.9956704768183391</v>
      </c>
      <c r="C2864" s="21">
        <f t="shared" ca="1" si="491"/>
        <v>8743.2974088886531</v>
      </c>
      <c r="D2864" s="21">
        <f t="shared" ca="1" si="487"/>
        <v>0.15374218881526713</v>
      </c>
      <c r="E2864" s="21">
        <f t="shared" ca="1" si="494"/>
        <v>5.1188976955581893</v>
      </c>
      <c r="F2864" s="20" t="str">
        <f t="shared" ca="1" si="492"/>
        <v>No</v>
      </c>
      <c r="G2864" s="21">
        <f t="shared" ca="1" si="488"/>
        <v>0</v>
      </c>
      <c r="H2864" s="21">
        <f t="shared" ca="1" si="489"/>
        <v>8748.4163065842113</v>
      </c>
      <c r="I2864" s="21">
        <f t="shared" ca="1" si="484"/>
        <v>8748.5700487730264</v>
      </c>
      <c r="J2864" s="20">
        <f t="shared" ca="1" si="493"/>
        <v>5</v>
      </c>
      <c r="K2864" s="20">
        <f t="shared" ca="1" si="485"/>
        <v>3</v>
      </c>
      <c r="L2864" s="44">
        <f t="shared" ca="1" si="490"/>
        <v>4</v>
      </c>
    </row>
    <row r="2865" spans="1:12" x14ac:dyDescent="0.25">
      <c r="A2865" s="20">
        <v>2857</v>
      </c>
      <c r="B2865" s="21">
        <f t="shared" ca="1" si="486"/>
        <v>0.44876842704186903</v>
      </c>
      <c r="C2865" s="21">
        <f t="shared" ca="1" si="491"/>
        <v>8743.7461773156956</v>
      </c>
      <c r="D2865" s="21">
        <f t="shared" ca="1" si="487"/>
        <v>0.6891657435389088</v>
      </c>
      <c r="E2865" s="21">
        <f t="shared" ca="1" si="494"/>
        <v>4.8238714573308243</v>
      </c>
      <c r="F2865" s="20" t="str">
        <f t="shared" ca="1" si="492"/>
        <v>No</v>
      </c>
      <c r="G2865" s="21">
        <f t="shared" ca="1" si="488"/>
        <v>0</v>
      </c>
      <c r="H2865" s="21">
        <f t="shared" ca="1" si="489"/>
        <v>8748.5700487730264</v>
      </c>
      <c r="I2865" s="21">
        <f t="shared" ca="1" si="484"/>
        <v>8749.2592145165654</v>
      </c>
      <c r="J2865" s="20">
        <f t="shared" ca="1" si="493"/>
        <v>4</v>
      </c>
      <c r="K2865" s="20">
        <f t="shared" ca="1" si="485"/>
        <v>2</v>
      </c>
      <c r="L2865" s="44">
        <f t="shared" ca="1" si="490"/>
        <v>3</v>
      </c>
    </row>
    <row r="2866" spans="1:12" x14ac:dyDescent="0.25">
      <c r="A2866" s="20">
        <v>2858</v>
      </c>
      <c r="B2866" s="21">
        <f t="shared" ca="1" si="486"/>
        <v>2.5449705420674635</v>
      </c>
      <c r="C2866" s="21">
        <f t="shared" ca="1" si="491"/>
        <v>8746.2911478577626</v>
      </c>
      <c r="D2866" s="21">
        <f t="shared" ca="1" si="487"/>
        <v>11.322893492759668</v>
      </c>
      <c r="E2866" s="21">
        <f t="shared" ca="1" si="494"/>
        <v>2.9680666588028544</v>
      </c>
      <c r="F2866" s="20" t="str">
        <f t="shared" ca="1" si="492"/>
        <v>No</v>
      </c>
      <c r="G2866" s="21">
        <f t="shared" ca="1" si="488"/>
        <v>0</v>
      </c>
      <c r="H2866" s="21">
        <f t="shared" ca="1" si="489"/>
        <v>8749.2592145165654</v>
      </c>
      <c r="I2866" s="21">
        <f t="shared" ca="1" si="484"/>
        <v>8760.5821080093247</v>
      </c>
      <c r="J2866" s="20">
        <f t="shared" ca="1" si="493"/>
        <v>3</v>
      </c>
      <c r="K2866" s="20">
        <f t="shared" ca="1" si="485"/>
        <v>3</v>
      </c>
      <c r="L2866" s="44">
        <f t="shared" ca="1" si="490"/>
        <v>3</v>
      </c>
    </row>
    <row r="2867" spans="1:12" x14ac:dyDescent="0.25">
      <c r="A2867" s="20">
        <v>2859</v>
      </c>
      <c r="B2867" s="21">
        <f t="shared" ca="1" si="486"/>
        <v>2.0444699300571423</v>
      </c>
      <c r="C2867" s="21">
        <f t="shared" ca="1" si="491"/>
        <v>8748.3356177878195</v>
      </c>
      <c r="D2867" s="21">
        <f t="shared" ca="1" si="487"/>
        <v>7.47190386373628</v>
      </c>
      <c r="E2867" s="21">
        <f t="shared" ca="1" si="494"/>
        <v>12.246490221505155</v>
      </c>
      <c r="F2867" s="20" t="str">
        <f t="shared" ca="1" si="492"/>
        <v>No</v>
      </c>
      <c r="G2867" s="21">
        <f t="shared" ca="1" si="488"/>
        <v>0</v>
      </c>
      <c r="H2867" s="21">
        <f t="shared" ca="1" si="489"/>
        <v>8760.5821080093247</v>
      </c>
      <c r="I2867" s="21">
        <f t="shared" ca="1" si="484"/>
        <v>8768.0540118730605</v>
      </c>
      <c r="J2867" s="20">
        <f t="shared" ca="1" si="493"/>
        <v>4</v>
      </c>
      <c r="K2867" s="20">
        <f t="shared" ca="1" si="485"/>
        <v>3</v>
      </c>
      <c r="L2867" s="44">
        <f t="shared" ca="1" si="490"/>
        <v>3.5</v>
      </c>
    </row>
    <row r="2868" spans="1:12" x14ac:dyDescent="0.25">
      <c r="A2868" s="20">
        <v>2860</v>
      </c>
      <c r="B2868" s="21">
        <f t="shared" ca="1" si="486"/>
        <v>5.4627565657235388</v>
      </c>
      <c r="C2868" s="21">
        <f t="shared" ca="1" si="491"/>
        <v>8753.7983743535424</v>
      </c>
      <c r="D2868" s="21">
        <f t="shared" ca="1" si="487"/>
        <v>4.5106708757692218</v>
      </c>
      <c r="E2868" s="21">
        <f t="shared" ca="1" si="494"/>
        <v>14.255637519518132</v>
      </c>
      <c r="F2868" s="20" t="str">
        <f t="shared" ca="1" si="492"/>
        <v>No</v>
      </c>
      <c r="G2868" s="21">
        <f t="shared" ca="1" si="488"/>
        <v>0</v>
      </c>
      <c r="H2868" s="21">
        <f t="shared" ca="1" si="489"/>
        <v>8768.0540118730605</v>
      </c>
      <c r="I2868" s="21">
        <f t="shared" ca="1" si="484"/>
        <v>8772.564682748829</v>
      </c>
      <c r="J2868" s="20">
        <f t="shared" ca="1" si="493"/>
        <v>4</v>
      </c>
      <c r="K2868" s="20">
        <f t="shared" ca="1" si="485"/>
        <v>3</v>
      </c>
      <c r="L2868" s="44">
        <f t="shared" ca="1" si="490"/>
        <v>3.5</v>
      </c>
    </row>
    <row r="2869" spans="1:12" x14ac:dyDescent="0.25">
      <c r="A2869" s="20">
        <v>2861</v>
      </c>
      <c r="B2869" s="21">
        <f t="shared" ca="1" si="486"/>
        <v>3.9410049308621695</v>
      </c>
      <c r="C2869" s="21">
        <f t="shared" ca="1" si="491"/>
        <v>8757.739379284405</v>
      </c>
      <c r="D2869" s="21">
        <f t="shared" ca="1" si="487"/>
        <v>7.2888944183282396</v>
      </c>
      <c r="E2869" s="21">
        <f t="shared" ca="1" si="494"/>
        <v>14.825303464423996</v>
      </c>
      <c r="F2869" s="20" t="str">
        <f t="shared" ca="1" si="492"/>
        <v>No</v>
      </c>
      <c r="G2869" s="21">
        <f t="shared" ca="1" si="488"/>
        <v>0</v>
      </c>
      <c r="H2869" s="21">
        <f t="shared" ca="1" si="489"/>
        <v>8772.564682748829</v>
      </c>
      <c r="I2869" s="21">
        <f t="shared" ca="1" si="484"/>
        <v>8779.8535771671577</v>
      </c>
      <c r="J2869" s="20">
        <f t="shared" ca="1" si="493"/>
        <v>4</v>
      </c>
      <c r="K2869" s="20">
        <f t="shared" ca="1" si="485"/>
        <v>4</v>
      </c>
      <c r="L2869" s="44">
        <f t="shared" ca="1" si="490"/>
        <v>4</v>
      </c>
    </row>
    <row r="2870" spans="1:12" x14ac:dyDescent="0.25">
      <c r="A2870" s="20">
        <v>2862</v>
      </c>
      <c r="B2870" s="21">
        <f t="shared" ca="1" si="486"/>
        <v>9.2345203359814523</v>
      </c>
      <c r="C2870" s="21">
        <f t="shared" ca="1" si="491"/>
        <v>8766.9738996203869</v>
      </c>
      <c r="D2870" s="21">
        <f t="shared" ca="1" si="487"/>
        <v>0.83905844391881101</v>
      </c>
      <c r="E2870" s="21">
        <f t="shared" ca="1" si="494"/>
        <v>12.879677546770836</v>
      </c>
      <c r="F2870" s="20" t="str">
        <f t="shared" ca="1" si="492"/>
        <v>No</v>
      </c>
      <c r="G2870" s="21">
        <f t="shared" ca="1" si="488"/>
        <v>0</v>
      </c>
      <c r="H2870" s="21">
        <f t="shared" ca="1" si="489"/>
        <v>8779.8535771671577</v>
      </c>
      <c r="I2870" s="21">
        <f t="shared" ca="1" si="484"/>
        <v>8780.6926356110762</v>
      </c>
      <c r="J2870" s="20">
        <f t="shared" ca="1" si="493"/>
        <v>5</v>
      </c>
      <c r="K2870" s="20">
        <f t="shared" ca="1" si="485"/>
        <v>4</v>
      </c>
      <c r="L2870" s="44">
        <f t="shared" ca="1" si="490"/>
        <v>4.5</v>
      </c>
    </row>
    <row r="2871" spans="1:12" x14ac:dyDescent="0.25">
      <c r="A2871" s="20">
        <v>2863</v>
      </c>
      <c r="B2871" s="21">
        <f t="shared" ca="1" si="486"/>
        <v>4.4222680706734909</v>
      </c>
      <c r="C2871" s="21">
        <f t="shared" ca="1" si="491"/>
        <v>8771.3961676910603</v>
      </c>
      <c r="D2871" s="21">
        <f t="shared" ca="1" si="487"/>
        <v>1.2893415879671559</v>
      </c>
      <c r="E2871" s="21">
        <f t="shared" ca="1" si="494"/>
        <v>9.2964679200158571</v>
      </c>
      <c r="F2871" s="20" t="str">
        <f t="shared" ca="1" si="492"/>
        <v>No</v>
      </c>
      <c r="G2871" s="21">
        <f t="shared" ca="1" si="488"/>
        <v>0</v>
      </c>
      <c r="H2871" s="21">
        <f t="shared" ca="1" si="489"/>
        <v>8780.6926356110762</v>
      </c>
      <c r="I2871" s="21">
        <f t="shared" ca="1" si="484"/>
        <v>8781.9819771990442</v>
      </c>
      <c r="J2871" s="20">
        <f t="shared" ca="1" si="493"/>
        <v>5</v>
      </c>
      <c r="K2871" s="20">
        <f t="shared" ca="1" si="485"/>
        <v>3</v>
      </c>
      <c r="L2871" s="44">
        <f t="shared" ca="1" si="490"/>
        <v>4</v>
      </c>
    </row>
    <row r="2872" spans="1:12" x14ac:dyDescent="0.25">
      <c r="A2872" s="20">
        <v>2864</v>
      </c>
      <c r="B2872" s="21">
        <f t="shared" ca="1" si="486"/>
        <v>4.1246199393825398</v>
      </c>
      <c r="C2872" s="21">
        <f t="shared" ca="1" si="491"/>
        <v>8775.520787630443</v>
      </c>
      <c r="D2872" s="21">
        <f t="shared" ca="1" si="487"/>
        <v>0.7431423702048624</v>
      </c>
      <c r="E2872" s="21">
        <f t="shared" ca="1" si="494"/>
        <v>6.4611895686011849</v>
      </c>
      <c r="F2872" s="20" t="str">
        <f t="shared" ca="1" si="492"/>
        <v>No</v>
      </c>
      <c r="G2872" s="21">
        <f t="shared" ca="1" si="488"/>
        <v>0</v>
      </c>
      <c r="H2872" s="21">
        <f t="shared" ca="1" si="489"/>
        <v>8781.9819771990442</v>
      </c>
      <c r="I2872" s="21">
        <f t="shared" ca="1" si="484"/>
        <v>8782.7251195692497</v>
      </c>
      <c r="J2872" s="20">
        <f t="shared" ca="1" si="493"/>
        <v>4</v>
      </c>
      <c r="K2872" s="20">
        <f t="shared" ca="1" si="485"/>
        <v>2</v>
      </c>
      <c r="L2872" s="44">
        <f t="shared" ca="1" si="490"/>
        <v>3</v>
      </c>
    </row>
    <row r="2873" spans="1:12" x14ac:dyDescent="0.25">
      <c r="A2873" s="20">
        <v>2865</v>
      </c>
      <c r="B2873" s="21">
        <f t="shared" ca="1" si="486"/>
        <v>1.0064074540149524</v>
      </c>
      <c r="C2873" s="21">
        <f t="shared" ca="1" si="491"/>
        <v>8776.5271950844581</v>
      </c>
      <c r="D2873" s="21">
        <f t="shared" ca="1" si="487"/>
        <v>5.1302281311779989</v>
      </c>
      <c r="E2873" s="21">
        <f t="shared" ca="1" si="494"/>
        <v>6.1979244847916561</v>
      </c>
      <c r="F2873" s="20" t="str">
        <f t="shared" ca="1" si="492"/>
        <v>No</v>
      </c>
      <c r="G2873" s="21">
        <f t="shared" ca="1" si="488"/>
        <v>0</v>
      </c>
      <c r="H2873" s="21">
        <f t="shared" ca="1" si="489"/>
        <v>8782.7251195692497</v>
      </c>
      <c r="I2873" s="21">
        <f t="shared" ca="1" si="484"/>
        <v>8787.855347700428</v>
      </c>
      <c r="J2873" s="20">
        <f t="shared" ca="1" si="493"/>
        <v>3</v>
      </c>
      <c r="K2873" s="20">
        <f t="shared" ca="1" si="485"/>
        <v>2</v>
      </c>
      <c r="L2873" s="44">
        <f t="shared" ca="1" si="490"/>
        <v>2.5</v>
      </c>
    </row>
    <row r="2874" spans="1:12" x14ac:dyDescent="0.25">
      <c r="A2874" s="20">
        <v>2866</v>
      </c>
      <c r="B2874" s="21">
        <f t="shared" ca="1" si="486"/>
        <v>3.6210703676600366</v>
      </c>
      <c r="C2874" s="21">
        <f t="shared" ca="1" si="491"/>
        <v>8780.1482654521187</v>
      </c>
      <c r="D2874" s="21">
        <f t="shared" ca="1" si="487"/>
        <v>2.5455557788930343</v>
      </c>
      <c r="E2874" s="21">
        <f t="shared" ca="1" si="494"/>
        <v>7.7070822483092343</v>
      </c>
      <c r="F2874" s="20" t="str">
        <f t="shared" ca="1" si="492"/>
        <v>No</v>
      </c>
      <c r="G2874" s="21">
        <f t="shared" ca="1" si="488"/>
        <v>0</v>
      </c>
      <c r="H2874" s="21">
        <f t="shared" ca="1" si="489"/>
        <v>8787.855347700428</v>
      </c>
      <c r="I2874" s="21">
        <f t="shared" ca="1" si="484"/>
        <v>8790.4009034793216</v>
      </c>
      <c r="J2874" s="20">
        <f t="shared" ca="1" si="493"/>
        <v>3</v>
      </c>
      <c r="K2874" s="20">
        <f t="shared" ca="1" si="485"/>
        <v>2</v>
      </c>
      <c r="L2874" s="44">
        <f t="shared" ca="1" si="490"/>
        <v>2.5</v>
      </c>
    </row>
    <row r="2875" spans="1:12" x14ac:dyDescent="0.25">
      <c r="A2875" s="20">
        <v>2867</v>
      </c>
      <c r="B2875" s="21">
        <f t="shared" ca="1" si="486"/>
        <v>5.5668348532360188</v>
      </c>
      <c r="C2875" s="21">
        <f t="shared" ca="1" si="491"/>
        <v>8785.715100305355</v>
      </c>
      <c r="D2875" s="21">
        <f t="shared" ca="1" si="487"/>
        <v>8.8212844129820969</v>
      </c>
      <c r="E2875" s="21">
        <f t="shared" ca="1" si="494"/>
        <v>4.685803173966633</v>
      </c>
      <c r="F2875" s="20" t="str">
        <f t="shared" ca="1" si="492"/>
        <v>No</v>
      </c>
      <c r="G2875" s="21">
        <f t="shared" ca="1" si="488"/>
        <v>0</v>
      </c>
      <c r="H2875" s="21">
        <f t="shared" ca="1" si="489"/>
        <v>8790.4009034793216</v>
      </c>
      <c r="I2875" s="21">
        <f t="shared" ca="1" si="484"/>
        <v>8799.2221878923046</v>
      </c>
      <c r="J2875" s="20">
        <f t="shared" ca="1" si="493"/>
        <v>3</v>
      </c>
      <c r="K2875" s="20">
        <f t="shared" ca="1" si="485"/>
        <v>5</v>
      </c>
      <c r="L2875" s="44">
        <f t="shared" ca="1" si="490"/>
        <v>4</v>
      </c>
    </row>
    <row r="2876" spans="1:12" x14ac:dyDescent="0.25">
      <c r="A2876" s="20">
        <v>2868</v>
      </c>
      <c r="B2876" s="21">
        <f t="shared" ca="1" si="486"/>
        <v>3.0737206459455466</v>
      </c>
      <c r="C2876" s="21">
        <f t="shared" ca="1" si="491"/>
        <v>8788.7888209513003</v>
      </c>
      <c r="D2876" s="21">
        <f t="shared" ca="1" si="487"/>
        <v>1.6826759404265417</v>
      </c>
      <c r="E2876" s="21">
        <f t="shared" ca="1" si="494"/>
        <v>10.433366941004351</v>
      </c>
      <c r="F2876" s="20" t="str">
        <f t="shared" ca="1" si="492"/>
        <v>No</v>
      </c>
      <c r="G2876" s="21">
        <f t="shared" ca="1" si="488"/>
        <v>0</v>
      </c>
      <c r="H2876" s="21">
        <f t="shared" ca="1" si="489"/>
        <v>8799.2221878923046</v>
      </c>
      <c r="I2876" s="21">
        <f t="shared" ca="1" si="484"/>
        <v>8800.9048638327313</v>
      </c>
      <c r="J2876" s="20">
        <f t="shared" ca="1" si="493"/>
        <v>6</v>
      </c>
      <c r="K2876" s="20">
        <f t="shared" ca="1" si="485"/>
        <v>5</v>
      </c>
      <c r="L2876" s="44">
        <f t="shared" ca="1" si="490"/>
        <v>5.5</v>
      </c>
    </row>
    <row r="2877" spans="1:12" x14ac:dyDescent="0.25">
      <c r="A2877" s="20">
        <v>2869</v>
      </c>
      <c r="B2877" s="21">
        <f t="shared" ca="1" si="486"/>
        <v>2.2034509051758349</v>
      </c>
      <c r="C2877" s="21">
        <f t="shared" ca="1" si="491"/>
        <v>8790.9922718564758</v>
      </c>
      <c r="D2877" s="21">
        <f t="shared" ca="1" si="487"/>
        <v>9.3653970693992168</v>
      </c>
      <c r="E2877" s="21">
        <f t="shared" ca="1" si="494"/>
        <v>9.9125919762554986</v>
      </c>
      <c r="F2877" s="20" t="str">
        <f t="shared" ca="1" si="492"/>
        <v>No</v>
      </c>
      <c r="G2877" s="21">
        <f t="shared" ca="1" si="488"/>
        <v>0</v>
      </c>
      <c r="H2877" s="21">
        <f t="shared" ca="1" si="489"/>
        <v>8800.9048638327313</v>
      </c>
      <c r="I2877" s="21">
        <f t="shared" ca="1" si="484"/>
        <v>8810.2702609021308</v>
      </c>
      <c r="J2877" s="20">
        <f t="shared" ca="1" si="493"/>
        <v>6</v>
      </c>
      <c r="K2877" s="20">
        <f t="shared" ca="1" si="485"/>
        <v>5</v>
      </c>
      <c r="L2877" s="44">
        <f t="shared" ca="1" si="490"/>
        <v>5.5</v>
      </c>
    </row>
    <row r="2878" spans="1:12" x14ac:dyDescent="0.25">
      <c r="A2878" s="20">
        <v>2870</v>
      </c>
      <c r="B2878" s="21">
        <f t="shared" ca="1" si="486"/>
        <v>0.39521496176152093</v>
      </c>
      <c r="C2878" s="21">
        <f t="shared" ca="1" si="491"/>
        <v>8791.3874868182374</v>
      </c>
      <c r="D2878" s="21">
        <f t="shared" ca="1" si="487"/>
        <v>1.9741314279238005</v>
      </c>
      <c r="E2878" s="21">
        <f t="shared" ca="1" si="494"/>
        <v>18.88277408389331</v>
      </c>
      <c r="F2878" s="20" t="str">
        <f t="shared" ca="1" si="492"/>
        <v>No</v>
      </c>
      <c r="G2878" s="21">
        <f t="shared" ca="1" si="488"/>
        <v>0</v>
      </c>
      <c r="H2878" s="21">
        <f t="shared" ca="1" si="489"/>
        <v>8810.2702609021308</v>
      </c>
      <c r="I2878" s="21">
        <f t="shared" ca="1" si="484"/>
        <v>8812.2443923300543</v>
      </c>
      <c r="J2878" s="20">
        <f t="shared" ca="1" si="493"/>
        <v>6</v>
      </c>
      <c r="K2878" s="20">
        <f t="shared" ca="1" si="485"/>
        <v>5</v>
      </c>
      <c r="L2878" s="44">
        <f t="shared" ca="1" si="490"/>
        <v>5.5</v>
      </c>
    </row>
    <row r="2879" spans="1:12" x14ac:dyDescent="0.25">
      <c r="A2879" s="20">
        <v>2871</v>
      </c>
      <c r="B2879" s="21">
        <f t="shared" ca="1" si="486"/>
        <v>0.46708308686087491</v>
      </c>
      <c r="C2879" s="21">
        <f t="shared" ca="1" si="491"/>
        <v>8791.8545699050992</v>
      </c>
      <c r="D2879" s="21">
        <f t="shared" ca="1" si="487"/>
        <v>6.6894648174509257</v>
      </c>
      <c r="E2879" s="21">
        <f t="shared" ca="1" si="494"/>
        <v>20.389822424955128</v>
      </c>
      <c r="F2879" s="20" t="str">
        <f t="shared" ca="1" si="492"/>
        <v>No</v>
      </c>
      <c r="G2879" s="21">
        <f t="shared" ca="1" si="488"/>
        <v>0</v>
      </c>
      <c r="H2879" s="21">
        <f t="shared" ca="1" si="489"/>
        <v>8812.2443923300543</v>
      </c>
      <c r="I2879" s="21">
        <f t="shared" ca="1" si="484"/>
        <v>8818.9338571475055</v>
      </c>
      <c r="J2879" s="20">
        <f t="shared" ca="1" si="493"/>
        <v>6</v>
      </c>
      <c r="K2879" s="20">
        <f t="shared" ca="1" si="485"/>
        <v>5</v>
      </c>
      <c r="L2879" s="44">
        <f t="shared" ca="1" si="490"/>
        <v>5.5</v>
      </c>
    </row>
    <row r="2880" spans="1:12" x14ac:dyDescent="0.25">
      <c r="A2880" s="20">
        <v>2872</v>
      </c>
      <c r="B2880" s="21">
        <f t="shared" ca="1" si="486"/>
        <v>1.7416057950940991</v>
      </c>
      <c r="C2880" s="21">
        <f t="shared" ca="1" si="491"/>
        <v>8793.5961757001933</v>
      </c>
      <c r="D2880" s="21">
        <f t="shared" ca="1" si="487"/>
        <v>1.7501023285948769</v>
      </c>
      <c r="E2880" s="21">
        <f t="shared" ca="1" si="494"/>
        <v>25.337681447312207</v>
      </c>
      <c r="F2880" s="20" t="str">
        <f t="shared" ca="1" si="492"/>
        <v>No</v>
      </c>
      <c r="G2880" s="21">
        <f t="shared" ca="1" si="488"/>
        <v>0</v>
      </c>
      <c r="H2880" s="21">
        <f t="shared" ca="1" si="489"/>
        <v>8818.9338571475055</v>
      </c>
      <c r="I2880" s="21">
        <f t="shared" ca="1" si="484"/>
        <v>8820.6839594761004</v>
      </c>
      <c r="J2880" s="20">
        <f t="shared" ca="1" si="493"/>
        <v>6</v>
      </c>
      <c r="K2880" s="20">
        <f t="shared" ca="1" si="485"/>
        <v>5</v>
      </c>
      <c r="L2880" s="44">
        <f t="shared" ca="1" si="490"/>
        <v>5.5</v>
      </c>
    </row>
    <row r="2881" spans="1:12" x14ac:dyDescent="0.25">
      <c r="A2881" s="20">
        <v>2873</v>
      </c>
      <c r="B2881" s="21">
        <f t="shared" ca="1" si="486"/>
        <v>1.5147842824977953</v>
      </c>
      <c r="C2881" s="21">
        <f t="shared" ca="1" si="491"/>
        <v>8795.1109599826905</v>
      </c>
      <c r="D2881" s="21">
        <f t="shared" ca="1" si="487"/>
        <v>0.82408974445789052</v>
      </c>
      <c r="E2881" s="21">
        <f t="shared" ca="1" si="494"/>
        <v>25.572999493409952</v>
      </c>
      <c r="F2881" s="20" t="str">
        <f t="shared" ca="1" si="492"/>
        <v>No</v>
      </c>
      <c r="G2881" s="21">
        <f t="shared" ca="1" si="488"/>
        <v>0</v>
      </c>
      <c r="H2881" s="21">
        <f t="shared" ca="1" si="489"/>
        <v>8820.6839594761004</v>
      </c>
      <c r="I2881" s="21">
        <f t="shared" ca="1" si="484"/>
        <v>8821.508049220558</v>
      </c>
      <c r="J2881" s="20">
        <f t="shared" ca="1" si="493"/>
        <v>6</v>
      </c>
      <c r="K2881" s="20">
        <f t="shared" ca="1" si="485"/>
        <v>5</v>
      </c>
      <c r="L2881" s="44">
        <f t="shared" ca="1" si="490"/>
        <v>5.5</v>
      </c>
    </row>
    <row r="2882" spans="1:12" x14ac:dyDescent="0.25">
      <c r="A2882" s="20">
        <v>2874</v>
      </c>
      <c r="B2882" s="21">
        <f t="shared" ca="1" si="486"/>
        <v>1.6190347280155519</v>
      </c>
      <c r="C2882" s="21">
        <f t="shared" ca="1" si="491"/>
        <v>8796.7299947107058</v>
      </c>
      <c r="D2882" s="21">
        <f t="shared" ca="1" si="487"/>
        <v>0.58941760213053251</v>
      </c>
      <c r="E2882" s="21">
        <f t="shared" ca="1" si="494"/>
        <v>24.778054509852154</v>
      </c>
      <c r="F2882" s="20" t="str">
        <f t="shared" ca="1" si="492"/>
        <v>No</v>
      </c>
      <c r="G2882" s="21">
        <f t="shared" ca="1" si="488"/>
        <v>0</v>
      </c>
      <c r="H2882" s="21">
        <f t="shared" ca="1" si="489"/>
        <v>8821.508049220558</v>
      </c>
      <c r="I2882" s="21">
        <f t="shared" ca="1" si="484"/>
        <v>8822.0974668226881</v>
      </c>
      <c r="J2882" s="20">
        <f t="shared" ca="1" si="493"/>
        <v>6</v>
      </c>
      <c r="K2882" s="20">
        <f t="shared" ca="1" si="485"/>
        <v>5</v>
      </c>
      <c r="L2882" s="44">
        <f t="shared" ca="1" si="490"/>
        <v>5.5</v>
      </c>
    </row>
    <row r="2883" spans="1:12" x14ac:dyDescent="0.25">
      <c r="A2883" s="20">
        <v>2875</v>
      </c>
      <c r="B2883" s="21">
        <f t="shared" ca="1" si="486"/>
        <v>0.55980992300700139</v>
      </c>
      <c r="C2883" s="21">
        <f t="shared" ca="1" si="491"/>
        <v>8797.2898046337123</v>
      </c>
      <c r="D2883" s="21">
        <f t="shared" ca="1" si="487"/>
        <v>0.31718275162969528</v>
      </c>
      <c r="E2883" s="21">
        <f t="shared" ca="1" si="494"/>
        <v>24.807662188975883</v>
      </c>
      <c r="F2883" s="20" t="str">
        <f t="shared" ca="1" si="492"/>
        <v>No</v>
      </c>
      <c r="G2883" s="21">
        <f t="shared" ca="1" si="488"/>
        <v>0</v>
      </c>
      <c r="H2883" s="21">
        <f t="shared" ca="1" si="489"/>
        <v>8822.0974668226881</v>
      </c>
      <c r="I2883" s="21">
        <f t="shared" ca="1" si="484"/>
        <v>8822.4146495743171</v>
      </c>
      <c r="J2883" s="20">
        <f t="shared" ca="1" si="493"/>
        <v>6</v>
      </c>
      <c r="K2883" s="20">
        <f t="shared" ca="1" si="485"/>
        <v>5</v>
      </c>
      <c r="L2883" s="44">
        <f t="shared" ca="1" si="490"/>
        <v>5.5</v>
      </c>
    </row>
    <row r="2884" spans="1:12" x14ac:dyDescent="0.25">
      <c r="A2884" s="20">
        <v>2876</v>
      </c>
      <c r="B2884" s="21">
        <f t="shared" ca="1" si="486"/>
        <v>2.7948051106761396</v>
      </c>
      <c r="C2884" s="21">
        <f t="shared" ca="1" si="491"/>
        <v>8800.0846097443882</v>
      </c>
      <c r="D2884" s="21">
        <f t="shared" ca="1" si="487"/>
        <v>0.52370585122707591</v>
      </c>
      <c r="E2884" s="21">
        <f t="shared" ca="1" si="494"/>
        <v>22.330039829928864</v>
      </c>
      <c r="F2884" s="20" t="str">
        <f t="shared" ca="1" si="492"/>
        <v>No</v>
      </c>
      <c r="G2884" s="21">
        <f t="shared" ca="1" si="488"/>
        <v>0</v>
      </c>
      <c r="H2884" s="21">
        <f t="shared" ca="1" si="489"/>
        <v>8822.4146495743171</v>
      </c>
      <c r="I2884" s="21">
        <f t="shared" ca="1" si="484"/>
        <v>8822.9383554255437</v>
      </c>
      <c r="J2884" s="20">
        <f t="shared" ca="1" si="493"/>
        <v>6</v>
      </c>
      <c r="K2884" s="20">
        <f t="shared" ca="1" si="485"/>
        <v>5</v>
      </c>
      <c r="L2884" s="44">
        <f t="shared" ca="1" si="490"/>
        <v>5.5</v>
      </c>
    </row>
    <row r="2885" spans="1:12" x14ac:dyDescent="0.25">
      <c r="A2885" s="20">
        <v>2877</v>
      </c>
      <c r="B2885" s="21">
        <f t="shared" ca="1" si="486"/>
        <v>0.81508096795634977</v>
      </c>
      <c r="C2885" s="21">
        <f t="shared" ca="1" si="491"/>
        <v>8800.8996907123437</v>
      </c>
      <c r="D2885" s="21">
        <f t="shared" ca="1" si="487"/>
        <v>0.16024928800789309</v>
      </c>
      <c r="E2885" s="21">
        <f t="shared" ca="1" si="494"/>
        <v>22.038664713199978</v>
      </c>
      <c r="F2885" s="20" t="str">
        <f t="shared" ca="1" si="492"/>
        <v>No</v>
      </c>
      <c r="G2885" s="21">
        <f t="shared" ca="1" si="488"/>
        <v>0</v>
      </c>
      <c r="H2885" s="21">
        <f t="shared" ca="1" si="489"/>
        <v>8822.9383554255437</v>
      </c>
      <c r="I2885" s="21">
        <f t="shared" ca="1" si="484"/>
        <v>8823.098604713552</v>
      </c>
      <c r="J2885" s="20">
        <f t="shared" ca="1" si="493"/>
        <v>6</v>
      </c>
      <c r="K2885" s="20">
        <f t="shared" ca="1" si="485"/>
        <v>5</v>
      </c>
      <c r="L2885" s="44">
        <f t="shared" ca="1" si="490"/>
        <v>5.5</v>
      </c>
    </row>
    <row r="2886" spans="1:12" x14ac:dyDescent="0.25">
      <c r="A2886" s="20">
        <v>2878</v>
      </c>
      <c r="B2886" s="21">
        <f t="shared" ca="1" si="486"/>
        <v>6.9730479394795228</v>
      </c>
      <c r="C2886" s="21">
        <f t="shared" ca="1" si="491"/>
        <v>8807.872738651824</v>
      </c>
      <c r="D2886" s="21">
        <f t="shared" ca="1" si="487"/>
        <v>4.7870700760073222</v>
      </c>
      <c r="E2886" s="21">
        <f t="shared" ca="1" si="494"/>
        <v>15.225866061728084</v>
      </c>
      <c r="F2886" s="20" t="str">
        <f t="shared" ca="1" si="492"/>
        <v>No</v>
      </c>
      <c r="G2886" s="21">
        <f t="shared" ca="1" si="488"/>
        <v>0</v>
      </c>
      <c r="H2886" s="21">
        <f t="shared" ca="1" si="489"/>
        <v>8823.098604713552</v>
      </c>
      <c r="I2886" s="21">
        <f t="shared" ca="1" si="484"/>
        <v>8827.8856747895588</v>
      </c>
      <c r="J2886" s="20">
        <f t="shared" ca="1" si="493"/>
        <v>6</v>
      </c>
      <c r="K2886" s="20">
        <f t="shared" ca="1" si="485"/>
        <v>4</v>
      </c>
      <c r="L2886" s="44">
        <f t="shared" ca="1" si="490"/>
        <v>5</v>
      </c>
    </row>
    <row r="2887" spans="1:12" x14ac:dyDescent="0.25">
      <c r="A2887" s="20">
        <v>2879</v>
      </c>
      <c r="B2887" s="21">
        <f t="shared" ca="1" si="486"/>
        <v>0.96842797636294853</v>
      </c>
      <c r="C2887" s="21">
        <f t="shared" ca="1" si="491"/>
        <v>8808.8411666281863</v>
      </c>
      <c r="D2887" s="21">
        <f t="shared" ca="1" si="487"/>
        <v>1.9618453300975984</v>
      </c>
      <c r="E2887" s="21">
        <f t="shared" ca="1" si="494"/>
        <v>19.044508161372505</v>
      </c>
      <c r="F2887" s="20" t="str">
        <f t="shared" ca="1" si="492"/>
        <v>No</v>
      </c>
      <c r="G2887" s="21">
        <f t="shared" ca="1" si="488"/>
        <v>0</v>
      </c>
      <c r="H2887" s="21">
        <f t="shared" ca="1" si="489"/>
        <v>8827.8856747895588</v>
      </c>
      <c r="I2887" s="21">
        <f t="shared" ca="1" si="484"/>
        <v>8829.8475201196561</v>
      </c>
      <c r="J2887" s="20">
        <f t="shared" ca="1" si="493"/>
        <v>5</v>
      </c>
      <c r="K2887" s="20">
        <f t="shared" ca="1" si="485"/>
        <v>3</v>
      </c>
      <c r="L2887" s="44">
        <f t="shared" ca="1" si="490"/>
        <v>4</v>
      </c>
    </row>
    <row r="2888" spans="1:12" x14ac:dyDescent="0.25">
      <c r="A2888" s="20">
        <v>2880</v>
      </c>
      <c r="B2888" s="21">
        <f t="shared" ca="1" si="486"/>
        <v>0.96966202132645474</v>
      </c>
      <c r="C2888" s="21">
        <f t="shared" ca="1" si="491"/>
        <v>8809.8108286495135</v>
      </c>
      <c r="D2888" s="21">
        <f t="shared" ca="1" si="487"/>
        <v>0.80327681859193112</v>
      </c>
      <c r="E2888" s="21">
        <f t="shared" ca="1" si="494"/>
        <v>20.036691470142614</v>
      </c>
      <c r="F2888" s="20" t="str">
        <f t="shared" ca="1" si="492"/>
        <v>No</v>
      </c>
      <c r="G2888" s="21">
        <f t="shared" ca="1" si="488"/>
        <v>0</v>
      </c>
      <c r="H2888" s="21">
        <f t="shared" ca="1" si="489"/>
        <v>8829.8475201196561</v>
      </c>
      <c r="I2888" s="21">
        <f t="shared" ca="1" si="484"/>
        <v>8830.6507969382474</v>
      </c>
      <c r="J2888" s="20">
        <f t="shared" ca="1" si="493"/>
        <v>4</v>
      </c>
      <c r="K2888" s="20">
        <f t="shared" ca="1" si="485"/>
        <v>2</v>
      </c>
      <c r="L2888" s="44">
        <f t="shared" ca="1" si="490"/>
        <v>3</v>
      </c>
    </row>
    <row r="2889" spans="1:12" x14ac:dyDescent="0.25">
      <c r="A2889" s="20">
        <v>2881</v>
      </c>
      <c r="B2889" s="21">
        <f t="shared" ca="1" si="486"/>
        <v>6.7461820168020514</v>
      </c>
      <c r="C2889" s="21">
        <f t="shared" ca="1" si="491"/>
        <v>8816.5570106663163</v>
      </c>
      <c r="D2889" s="21">
        <f t="shared" ca="1" si="487"/>
        <v>1.384155623861776</v>
      </c>
      <c r="E2889" s="21">
        <f t="shared" ca="1" si="494"/>
        <v>14.093786271931094</v>
      </c>
      <c r="F2889" s="20" t="str">
        <f t="shared" ca="1" si="492"/>
        <v>No</v>
      </c>
      <c r="G2889" s="21">
        <f t="shared" ca="1" si="488"/>
        <v>0</v>
      </c>
      <c r="H2889" s="21">
        <f t="shared" ca="1" si="489"/>
        <v>8830.6507969382474</v>
      </c>
      <c r="I2889" s="21">
        <f t="shared" ref="I2889:I2952" ca="1" si="495">$H2889+$D2889</f>
        <v>8832.0349525621095</v>
      </c>
      <c r="J2889" s="20">
        <f t="shared" ca="1" si="493"/>
        <v>3</v>
      </c>
      <c r="K2889" s="20">
        <f t="shared" ref="K2889:K2952" ca="1" si="496">IF($I2889&lt;=$C2890,0,IF($I2889&lt;=$C2891,1,IF($I2889&lt;=$C2892,2,IF($I2889&lt;=$C2893,3,IF($I2889&lt;=$C2894,4,5)))))</f>
        <v>3</v>
      </c>
      <c r="L2889" s="44">
        <f t="shared" ca="1" si="490"/>
        <v>3</v>
      </c>
    </row>
    <row r="2890" spans="1:12" x14ac:dyDescent="0.25">
      <c r="A2890" s="20">
        <v>2882</v>
      </c>
      <c r="B2890" s="21">
        <f t="shared" ref="B2890:B2953" ca="1" si="497">-LN(RAND())/$D$4</f>
        <v>1.5409542697922969</v>
      </c>
      <c r="C2890" s="21">
        <f t="shared" ca="1" si="491"/>
        <v>8818.0979649361088</v>
      </c>
      <c r="D2890" s="21">
        <f t="shared" ref="D2890:D2953" ca="1" si="498">-LN(RAND())/$D$6</f>
        <v>0.68548817036980925</v>
      </c>
      <c r="E2890" s="21">
        <f t="shared" ca="1" si="494"/>
        <v>13.9369876260007</v>
      </c>
      <c r="F2890" s="20" t="str">
        <f t="shared" ca="1" si="492"/>
        <v>No</v>
      </c>
      <c r="G2890" s="21">
        <f t="shared" ref="G2890:G2953" ca="1" si="499">IF($I2889&lt;=$C2890,$C2890-$I2889,0)</f>
        <v>0</v>
      </c>
      <c r="H2890" s="21">
        <f t="shared" ref="H2890:H2953" ca="1" si="500">IF($I2889&lt;=$C2890,$C2890,$I2889)</f>
        <v>8832.0349525621095</v>
      </c>
      <c r="I2890" s="21">
        <f t="shared" ca="1" si="495"/>
        <v>8832.7204407324789</v>
      </c>
      <c r="J2890" s="20">
        <f t="shared" ca="1" si="493"/>
        <v>4</v>
      </c>
      <c r="K2890" s="20">
        <f t="shared" ca="1" si="496"/>
        <v>2</v>
      </c>
      <c r="L2890" s="44">
        <f t="shared" ref="L2890:L2953" ca="1" si="501">(J2890+K2890)/2</f>
        <v>3</v>
      </c>
    </row>
    <row r="2891" spans="1:12" x14ac:dyDescent="0.25">
      <c r="A2891" s="20">
        <v>2883</v>
      </c>
      <c r="B2891" s="21">
        <f t="shared" ca="1" si="497"/>
        <v>12.601872691535641</v>
      </c>
      <c r="C2891" s="21">
        <f t="shared" ref="C2891:C2954" ca="1" si="502">$C2890+$B2891</f>
        <v>8830.6998376276442</v>
      </c>
      <c r="D2891" s="21">
        <f t="shared" ca="1" si="498"/>
        <v>1.3520346244475927</v>
      </c>
      <c r="E2891" s="21">
        <f t="shared" ca="1" si="494"/>
        <v>2.0206031048346631</v>
      </c>
      <c r="F2891" s="20" t="str">
        <f t="shared" ref="F2891:F2954" ca="1" si="503">IF(E2891=0,"Yes","No")</f>
        <v>No</v>
      </c>
      <c r="G2891" s="21">
        <f t="shared" ca="1" si="499"/>
        <v>0</v>
      </c>
      <c r="H2891" s="21">
        <f t="shared" ca="1" si="500"/>
        <v>8832.7204407324789</v>
      </c>
      <c r="I2891" s="21">
        <f t="shared" ca="1" si="495"/>
        <v>8834.0724753569266</v>
      </c>
      <c r="J2891" s="20">
        <f t="shared" ref="J2891:J2954" ca="1" si="504">IF($I2890&lt;=$C2891,0,$K2890+1)</f>
        <v>3</v>
      </c>
      <c r="K2891" s="20">
        <f t="shared" ca="1" si="496"/>
        <v>1</v>
      </c>
      <c r="L2891" s="44">
        <f t="shared" ca="1" si="501"/>
        <v>2</v>
      </c>
    </row>
    <row r="2892" spans="1:12" x14ac:dyDescent="0.25">
      <c r="A2892" s="20">
        <v>2884</v>
      </c>
      <c r="B2892" s="21">
        <f t="shared" ca="1" si="497"/>
        <v>1.1449042795863239E-2</v>
      </c>
      <c r="C2892" s="21">
        <f t="shared" ca="1" si="502"/>
        <v>8830.7112866704392</v>
      </c>
      <c r="D2892" s="21">
        <f t="shared" ca="1" si="498"/>
        <v>1.8451381490061969</v>
      </c>
      <c r="E2892" s="21">
        <f t="shared" ref="E2892:E2955" ca="1" si="505">IF($I2891&lt;=$C2892,0,$I2891-$C2892)</f>
        <v>3.3611886864873668</v>
      </c>
      <c r="F2892" s="20" t="str">
        <f t="shared" ca="1" si="503"/>
        <v>No</v>
      </c>
      <c r="G2892" s="21">
        <f t="shared" ca="1" si="499"/>
        <v>0</v>
      </c>
      <c r="H2892" s="21">
        <f t="shared" ca="1" si="500"/>
        <v>8834.0724753569266</v>
      </c>
      <c r="I2892" s="21">
        <f t="shared" ca="1" si="495"/>
        <v>8835.9176135059333</v>
      </c>
      <c r="J2892" s="20">
        <f t="shared" ca="1" si="504"/>
        <v>2</v>
      </c>
      <c r="K2892" s="20">
        <f t="shared" ca="1" si="496"/>
        <v>2</v>
      </c>
      <c r="L2892" s="44">
        <f t="shared" ca="1" si="501"/>
        <v>2</v>
      </c>
    </row>
    <row r="2893" spans="1:12" x14ac:dyDescent="0.25">
      <c r="A2893" s="20">
        <v>2885</v>
      </c>
      <c r="B2893" s="21">
        <f t="shared" ca="1" si="497"/>
        <v>4.6960598957255231</v>
      </c>
      <c r="C2893" s="21">
        <f t="shared" ca="1" si="502"/>
        <v>8835.4073465661641</v>
      </c>
      <c r="D2893" s="21">
        <f t="shared" ca="1" si="498"/>
        <v>0.87429572586073501</v>
      </c>
      <c r="E2893" s="21">
        <f t="shared" ca="1" si="505"/>
        <v>0.51026693976928073</v>
      </c>
      <c r="F2893" s="20" t="str">
        <f t="shared" ca="1" si="503"/>
        <v>No</v>
      </c>
      <c r="G2893" s="21">
        <f t="shared" ca="1" si="499"/>
        <v>0</v>
      </c>
      <c r="H2893" s="21">
        <f t="shared" ca="1" si="500"/>
        <v>8835.9176135059333</v>
      </c>
      <c r="I2893" s="21">
        <f t="shared" ca="1" si="495"/>
        <v>8836.7919092317934</v>
      </c>
      <c r="J2893" s="20">
        <f t="shared" ca="1" si="504"/>
        <v>3</v>
      </c>
      <c r="K2893" s="20">
        <f t="shared" ca="1" si="496"/>
        <v>1</v>
      </c>
      <c r="L2893" s="44">
        <f t="shared" ca="1" si="501"/>
        <v>2</v>
      </c>
    </row>
    <row r="2894" spans="1:12" x14ac:dyDescent="0.25">
      <c r="A2894" s="20">
        <v>2886</v>
      </c>
      <c r="B2894" s="21">
        <f t="shared" ca="1" si="497"/>
        <v>0.37174380528493872</v>
      </c>
      <c r="C2894" s="21">
        <f t="shared" ca="1" si="502"/>
        <v>8835.7790903714485</v>
      </c>
      <c r="D2894" s="21">
        <f t="shared" ca="1" si="498"/>
        <v>1.3170496773114619</v>
      </c>
      <c r="E2894" s="21">
        <f t="shared" ca="1" si="505"/>
        <v>1.0128188603448507</v>
      </c>
      <c r="F2894" s="20" t="str">
        <f t="shared" ca="1" si="503"/>
        <v>No</v>
      </c>
      <c r="G2894" s="21">
        <f t="shared" ca="1" si="499"/>
        <v>0</v>
      </c>
      <c r="H2894" s="21">
        <f t="shared" ca="1" si="500"/>
        <v>8836.7919092317934</v>
      </c>
      <c r="I2894" s="21">
        <f t="shared" ca="1" si="495"/>
        <v>8838.1089589091043</v>
      </c>
      <c r="J2894" s="20">
        <f t="shared" ca="1" si="504"/>
        <v>2</v>
      </c>
      <c r="K2894" s="20">
        <f t="shared" ca="1" si="496"/>
        <v>0</v>
      </c>
      <c r="L2894" s="44">
        <f t="shared" ca="1" si="501"/>
        <v>1</v>
      </c>
    </row>
    <row r="2895" spans="1:12" x14ac:dyDescent="0.25">
      <c r="A2895" s="20">
        <v>2887</v>
      </c>
      <c r="B2895" s="21">
        <f t="shared" ca="1" si="497"/>
        <v>4.4271182126272937</v>
      </c>
      <c r="C2895" s="21">
        <f t="shared" ca="1" si="502"/>
        <v>8840.2062085840753</v>
      </c>
      <c r="D2895" s="21">
        <f t="shared" ca="1" si="498"/>
        <v>2.1037742745421673</v>
      </c>
      <c r="E2895" s="21">
        <f t="shared" ca="1" si="505"/>
        <v>0</v>
      </c>
      <c r="F2895" s="20" t="str">
        <f t="shared" ca="1" si="503"/>
        <v>Yes</v>
      </c>
      <c r="G2895" s="21">
        <f t="shared" ca="1" si="499"/>
        <v>2.0972496749709535</v>
      </c>
      <c r="H2895" s="21">
        <f t="shared" ca="1" si="500"/>
        <v>8840.2062085840753</v>
      </c>
      <c r="I2895" s="21">
        <f t="shared" ca="1" si="495"/>
        <v>8842.3099828586182</v>
      </c>
      <c r="J2895" s="20">
        <f t="shared" ca="1" si="504"/>
        <v>0</v>
      </c>
      <c r="K2895" s="20">
        <f t="shared" ca="1" si="496"/>
        <v>0</v>
      </c>
      <c r="L2895" s="44">
        <f t="shared" ca="1" si="501"/>
        <v>0</v>
      </c>
    </row>
    <row r="2896" spans="1:12" x14ac:dyDescent="0.25">
      <c r="A2896" s="20">
        <v>2888</v>
      </c>
      <c r="B2896" s="21">
        <f t="shared" ca="1" si="497"/>
        <v>4.8180687476628608</v>
      </c>
      <c r="C2896" s="21">
        <f t="shared" ca="1" si="502"/>
        <v>8845.0242773317386</v>
      </c>
      <c r="D2896" s="21">
        <f t="shared" ca="1" si="498"/>
        <v>3.2165047347286344</v>
      </c>
      <c r="E2896" s="21">
        <f t="shared" ca="1" si="505"/>
        <v>0</v>
      </c>
      <c r="F2896" s="20" t="str">
        <f t="shared" ca="1" si="503"/>
        <v>Yes</v>
      </c>
      <c r="G2896" s="21">
        <f t="shared" ca="1" si="499"/>
        <v>2.7142944731203897</v>
      </c>
      <c r="H2896" s="21">
        <f t="shared" ca="1" si="500"/>
        <v>8845.0242773317386</v>
      </c>
      <c r="I2896" s="21">
        <f t="shared" ca="1" si="495"/>
        <v>8848.2407820664666</v>
      </c>
      <c r="J2896" s="20">
        <f t="shared" ca="1" si="504"/>
        <v>0</v>
      </c>
      <c r="K2896" s="20">
        <f t="shared" ca="1" si="496"/>
        <v>1</v>
      </c>
      <c r="L2896" s="44">
        <f t="shared" ca="1" si="501"/>
        <v>0.5</v>
      </c>
    </row>
    <row r="2897" spans="1:12" x14ac:dyDescent="0.25">
      <c r="A2897" s="20">
        <v>2889</v>
      </c>
      <c r="B2897" s="21">
        <f t="shared" ca="1" si="497"/>
        <v>0.82714901060214685</v>
      </c>
      <c r="C2897" s="21">
        <f t="shared" ca="1" si="502"/>
        <v>8845.8514263423403</v>
      </c>
      <c r="D2897" s="21">
        <f t="shared" ca="1" si="498"/>
        <v>10.587812517642101</v>
      </c>
      <c r="E2897" s="21">
        <f t="shared" ca="1" si="505"/>
        <v>2.3893557241262897</v>
      </c>
      <c r="F2897" s="20" t="str">
        <f t="shared" ca="1" si="503"/>
        <v>No</v>
      </c>
      <c r="G2897" s="21">
        <f t="shared" ca="1" si="499"/>
        <v>0</v>
      </c>
      <c r="H2897" s="21">
        <f t="shared" ca="1" si="500"/>
        <v>8848.2407820664666</v>
      </c>
      <c r="I2897" s="21">
        <f t="shared" ca="1" si="495"/>
        <v>8858.8285945841089</v>
      </c>
      <c r="J2897" s="20">
        <f t="shared" ca="1" si="504"/>
        <v>2</v>
      </c>
      <c r="K2897" s="20">
        <f t="shared" ca="1" si="496"/>
        <v>2</v>
      </c>
      <c r="L2897" s="44">
        <f t="shared" ca="1" si="501"/>
        <v>2</v>
      </c>
    </row>
    <row r="2898" spans="1:12" x14ac:dyDescent="0.25">
      <c r="A2898" s="20">
        <v>2890</v>
      </c>
      <c r="B2898" s="21">
        <f t="shared" ca="1" si="497"/>
        <v>6.6972889708693124</v>
      </c>
      <c r="C2898" s="21">
        <f t="shared" ca="1" si="502"/>
        <v>8852.548715313209</v>
      </c>
      <c r="D2898" s="21">
        <f t="shared" ca="1" si="498"/>
        <v>2.7659293937204832</v>
      </c>
      <c r="E2898" s="21">
        <f t="shared" ca="1" si="505"/>
        <v>6.2798792708999827</v>
      </c>
      <c r="F2898" s="20" t="str">
        <f t="shared" ca="1" si="503"/>
        <v>No</v>
      </c>
      <c r="G2898" s="21">
        <f t="shared" ca="1" si="499"/>
        <v>0</v>
      </c>
      <c r="H2898" s="21">
        <f t="shared" ca="1" si="500"/>
        <v>8858.8285945841089</v>
      </c>
      <c r="I2898" s="21">
        <f t="shared" ca="1" si="495"/>
        <v>8861.5945239778302</v>
      </c>
      <c r="J2898" s="20">
        <f t="shared" ca="1" si="504"/>
        <v>3</v>
      </c>
      <c r="K2898" s="20">
        <f t="shared" ca="1" si="496"/>
        <v>1</v>
      </c>
      <c r="L2898" s="44">
        <f t="shared" ca="1" si="501"/>
        <v>2</v>
      </c>
    </row>
    <row r="2899" spans="1:12" x14ac:dyDescent="0.25">
      <c r="A2899" s="20">
        <v>2891</v>
      </c>
      <c r="B2899" s="21">
        <f t="shared" ca="1" si="497"/>
        <v>2.7481485771002805</v>
      </c>
      <c r="C2899" s="21">
        <f t="shared" ca="1" si="502"/>
        <v>8855.2968638903094</v>
      </c>
      <c r="D2899" s="21">
        <f t="shared" ca="1" si="498"/>
        <v>1.8904617243785427</v>
      </c>
      <c r="E2899" s="21">
        <f t="shared" ca="1" si="505"/>
        <v>6.2976600875208533</v>
      </c>
      <c r="F2899" s="20" t="str">
        <f t="shared" ca="1" si="503"/>
        <v>No</v>
      </c>
      <c r="G2899" s="21">
        <f t="shared" ca="1" si="499"/>
        <v>0</v>
      </c>
      <c r="H2899" s="21">
        <f t="shared" ca="1" si="500"/>
        <v>8861.5945239778302</v>
      </c>
      <c r="I2899" s="21">
        <f t="shared" ca="1" si="495"/>
        <v>8863.4849857022091</v>
      </c>
      <c r="J2899" s="20">
        <f t="shared" ca="1" si="504"/>
        <v>2</v>
      </c>
      <c r="K2899" s="20">
        <f t="shared" ca="1" si="496"/>
        <v>0</v>
      </c>
      <c r="L2899" s="44">
        <f t="shared" ca="1" si="501"/>
        <v>1</v>
      </c>
    </row>
    <row r="2900" spans="1:12" x14ac:dyDescent="0.25">
      <c r="A2900" s="20">
        <v>2892</v>
      </c>
      <c r="B2900" s="21">
        <f t="shared" ca="1" si="497"/>
        <v>10.654963951307485</v>
      </c>
      <c r="C2900" s="21">
        <f t="shared" ca="1" si="502"/>
        <v>8865.9518278416163</v>
      </c>
      <c r="D2900" s="21">
        <f t="shared" ca="1" si="498"/>
        <v>0.52455543702215657</v>
      </c>
      <c r="E2900" s="21">
        <f t="shared" ca="1" si="505"/>
        <v>0</v>
      </c>
      <c r="F2900" s="20" t="str">
        <f t="shared" ca="1" si="503"/>
        <v>Yes</v>
      </c>
      <c r="G2900" s="21">
        <f t="shared" ca="1" si="499"/>
        <v>2.4668421394071629</v>
      </c>
      <c r="H2900" s="21">
        <f t="shared" ca="1" si="500"/>
        <v>8865.9518278416163</v>
      </c>
      <c r="I2900" s="21">
        <f t="shared" ca="1" si="495"/>
        <v>8866.4763832786375</v>
      </c>
      <c r="J2900" s="20">
        <f t="shared" ca="1" si="504"/>
        <v>0</v>
      </c>
      <c r="K2900" s="20">
        <f t="shared" ca="1" si="496"/>
        <v>0</v>
      </c>
      <c r="L2900" s="44">
        <f t="shared" ca="1" si="501"/>
        <v>0</v>
      </c>
    </row>
    <row r="2901" spans="1:12" x14ac:dyDescent="0.25">
      <c r="A2901" s="20">
        <v>2893</v>
      </c>
      <c r="B2901" s="21">
        <f t="shared" ca="1" si="497"/>
        <v>5.2814214117075569</v>
      </c>
      <c r="C2901" s="21">
        <f t="shared" ca="1" si="502"/>
        <v>8871.2332492533242</v>
      </c>
      <c r="D2901" s="21">
        <f t="shared" ca="1" si="498"/>
        <v>4.0319414560208413</v>
      </c>
      <c r="E2901" s="21">
        <f t="shared" ca="1" si="505"/>
        <v>0</v>
      </c>
      <c r="F2901" s="20" t="str">
        <f t="shared" ca="1" si="503"/>
        <v>Yes</v>
      </c>
      <c r="G2901" s="21">
        <f t="shared" ca="1" si="499"/>
        <v>4.7568659746866615</v>
      </c>
      <c r="H2901" s="21">
        <f t="shared" ca="1" si="500"/>
        <v>8871.2332492533242</v>
      </c>
      <c r="I2901" s="21">
        <f t="shared" ca="1" si="495"/>
        <v>8875.2651907093459</v>
      </c>
      <c r="J2901" s="20">
        <f t="shared" ca="1" si="504"/>
        <v>0</v>
      </c>
      <c r="K2901" s="20">
        <f t="shared" ca="1" si="496"/>
        <v>2</v>
      </c>
      <c r="L2901" s="44">
        <f t="shared" ca="1" si="501"/>
        <v>1</v>
      </c>
    </row>
    <row r="2902" spans="1:12" x14ac:dyDescent="0.25">
      <c r="A2902" s="20">
        <v>2894</v>
      </c>
      <c r="B2902" s="21">
        <f t="shared" ca="1" si="497"/>
        <v>0.20205427346215321</v>
      </c>
      <c r="C2902" s="21">
        <f t="shared" ca="1" si="502"/>
        <v>8871.4353035267868</v>
      </c>
      <c r="D2902" s="21">
        <f t="shared" ca="1" si="498"/>
        <v>1.6996875672015057</v>
      </c>
      <c r="E2902" s="21">
        <f t="shared" ca="1" si="505"/>
        <v>3.829887182559105</v>
      </c>
      <c r="F2902" s="20" t="str">
        <f t="shared" ca="1" si="503"/>
        <v>No</v>
      </c>
      <c r="G2902" s="21">
        <f t="shared" ca="1" si="499"/>
        <v>0</v>
      </c>
      <c r="H2902" s="21">
        <f t="shared" ca="1" si="500"/>
        <v>8875.2651907093459</v>
      </c>
      <c r="I2902" s="21">
        <f t="shared" ca="1" si="495"/>
        <v>8876.9648782765471</v>
      </c>
      <c r="J2902" s="20">
        <f t="shared" ca="1" si="504"/>
        <v>3</v>
      </c>
      <c r="K2902" s="20">
        <f t="shared" ca="1" si="496"/>
        <v>1</v>
      </c>
      <c r="L2902" s="44">
        <f t="shared" ca="1" si="501"/>
        <v>2</v>
      </c>
    </row>
    <row r="2903" spans="1:12" x14ac:dyDescent="0.25">
      <c r="A2903" s="20">
        <v>2895</v>
      </c>
      <c r="B2903" s="21">
        <f t="shared" ca="1" si="497"/>
        <v>0.1096953689049826</v>
      </c>
      <c r="C2903" s="21">
        <f t="shared" ca="1" si="502"/>
        <v>8871.5449988956916</v>
      </c>
      <c r="D2903" s="21">
        <f t="shared" ca="1" si="498"/>
        <v>1.8505710081016042</v>
      </c>
      <c r="E2903" s="21">
        <f t="shared" ca="1" si="505"/>
        <v>5.419879380855491</v>
      </c>
      <c r="F2903" s="20" t="str">
        <f t="shared" ca="1" si="503"/>
        <v>No</v>
      </c>
      <c r="G2903" s="21">
        <f t="shared" ca="1" si="499"/>
        <v>0</v>
      </c>
      <c r="H2903" s="21">
        <f t="shared" ca="1" si="500"/>
        <v>8876.9648782765471</v>
      </c>
      <c r="I2903" s="21">
        <f t="shared" ca="1" si="495"/>
        <v>8878.8154492846479</v>
      </c>
      <c r="J2903" s="20">
        <f t="shared" ca="1" si="504"/>
        <v>2</v>
      </c>
      <c r="K2903" s="20">
        <f t="shared" ca="1" si="496"/>
        <v>0</v>
      </c>
      <c r="L2903" s="44">
        <f t="shared" ca="1" si="501"/>
        <v>1</v>
      </c>
    </row>
    <row r="2904" spans="1:12" x14ac:dyDescent="0.25">
      <c r="A2904" s="20">
        <v>2896</v>
      </c>
      <c r="B2904" s="21">
        <f t="shared" ca="1" si="497"/>
        <v>11.49768974689265</v>
      </c>
      <c r="C2904" s="21">
        <f t="shared" ca="1" si="502"/>
        <v>8883.0426886425848</v>
      </c>
      <c r="D2904" s="21">
        <f t="shared" ca="1" si="498"/>
        <v>0.63441535823553619</v>
      </c>
      <c r="E2904" s="21">
        <f t="shared" ca="1" si="505"/>
        <v>0</v>
      </c>
      <c r="F2904" s="20" t="str">
        <f t="shared" ca="1" si="503"/>
        <v>Yes</v>
      </c>
      <c r="G2904" s="21">
        <f t="shared" ca="1" si="499"/>
        <v>4.2272393579369236</v>
      </c>
      <c r="H2904" s="21">
        <f t="shared" ca="1" si="500"/>
        <v>8883.0426886425848</v>
      </c>
      <c r="I2904" s="21">
        <f t="shared" ca="1" si="495"/>
        <v>8883.6771040008207</v>
      </c>
      <c r="J2904" s="20">
        <f t="shared" ca="1" si="504"/>
        <v>0</v>
      </c>
      <c r="K2904" s="20">
        <f t="shared" ca="1" si="496"/>
        <v>0</v>
      </c>
      <c r="L2904" s="44">
        <f t="shared" ca="1" si="501"/>
        <v>0</v>
      </c>
    </row>
    <row r="2905" spans="1:12" x14ac:dyDescent="0.25">
      <c r="A2905" s="20">
        <v>2897</v>
      </c>
      <c r="B2905" s="21">
        <f t="shared" ca="1" si="497"/>
        <v>1.493688572936134</v>
      </c>
      <c r="C2905" s="21">
        <f t="shared" ca="1" si="502"/>
        <v>8884.5363772155215</v>
      </c>
      <c r="D2905" s="21">
        <f t="shared" ca="1" si="498"/>
        <v>0.16401340033158707</v>
      </c>
      <c r="E2905" s="21">
        <f t="shared" ca="1" si="505"/>
        <v>0</v>
      </c>
      <c r="F2905" s="20" t="str">
        <f t="shared" ca="1" si="503"/>
        <v>Yes</v>
      </c>
      <c r="G2905" s="21">
        <f t="shared" ca="1" si="499"/>
        <v>0.85927321470080642</v>
      </c>
      <c r="H2905" s="21">
        <f t="shared" ca="1" si="500"/>
        <v>8884.5363772155215</v>
      </c>
      <c r="I2905" s="21">
        <f t="shared" ca="1" si="495"/>
        <v>8884.7003906158534</v>
      </c>
      <c r="J2905" s="20">
        <f t="shared" ca="1" si="504"/>
        <v>0</v>
      </c>
      <c r="K2905" s="20">
        <f t="shared" ca="1" si="496"/>
        <v>0</v>
      </c>
      <c r="L2905" s="44">
        <f t="shared" ca="1" si="501"/>
        <v>0</v>
      </c>
    </row>
    <row r="2906" spans="1:12" x14ac:dyDescent="0.25">
      <c r="A2906" s="20">
        <v>2898</v>
      </c>
      <c r="B2906" s="21">
        <f t="shared" ca="1" si="497"/>
        <v>0.38582482947318714</v>
      </c>
      <c r="C2906" s="21">
        <f t="shared" ca="1" si="502"/>
        <v>8884.9222020449943</v>
      </c>
      <c r="D2906" s="21">
        <f t="shared" ca="1" si="498"/>
        <v>2.787038681441226</v>
      </c>
      <c r="E2906" s="21">
        <f t="shared" ca="1" si="505"/>
        <v>0</v>
      </c>
      <c r="F2906" s="20" t="str">
        <f t="shared" ca="1" si="503"/>
        <v>Yes</v>
      </c>
      <c r="G2906" s="21">
        <f t="shared" ca="1" si="499"/>
        <v>0.22181142914087104</v>
      </c>
      <c r="H2906" s="21">
        <f t="shared" ca="1" si="500"/>
        <v>8884.9222020449943</v>
      </c>
      <c r="I2906" s="21">
        <f t="shared" ca="1" si="495"/>
        <v>8887.7092407264354</v>
      </c>
      <c r="J2906" s="20">
        <f t="shared" ca="1" si="504"/>
        <v>0</v>
      </c>
      <c r="K2906" s="20">
        <f t="shared" ca="1" si="496"/>
        <v>2</v>
      </c>
      <c r="L2906" s="44">
        <f t="shared" ca="1" si="501"/>
        <v>1</v>
      </c>
    </row>
    <row r="2907" spans="1:12" x14ac:dyDescent="0.25">
      <c r="A2907" s="20">
        <v>2899</v>
      </c>
      <c r="B2907" s="21">
        <f t="shared" ca="1" si="497"/>
        <v>0.55989704351830338</v>
      </c>
      <c r="C2907" s="21">
        <f t="shared" ca="1" si="502"/>
        <v>8885.4820990885128</v>
      </c>
      <c r="D2907" s="21">
        <f t="shared" ca="1" si="498"/>
        <v>5.1948098282134803</v>
      </c>
      <c r="E2907" s="21">
        <f t="shared" ca="1" si="505"/>
        <v>2.2271416379226139</v>
      </c>
      <c r="F2907" s="20" t="str">
        <f t="shared" ca="1" si="503"/>
        <v>No</v>
      </c>
      <c r="G2907" s="21">
        <f t="shared" ca="1" si="499"/>
        <v>0</v>
      </c>
      <c r="H2907" s="21">
        <f t="shared" ca="1" si="500"/>
        <v>8887.7092407264354</v>
      </c>
      <c r="I2907" s="21">
        <f t="shared" ca="1" si="495"/>
        <v>8892.9040505546491</v>
      </c>
      <c r="J2907" s="20">
        <f t="shared" ca="1" si="504"/>
        <v>3</v>
      </c>
      <c r="K2907" s="20">
        <f t="shared" ca="1" si="496"/>
        <v>4</v>
      </c>
      <c r="L2907" s="44">
        <f t="shared" ca="1" si="501"/>
        <v>3.5</v>
      </c>
    </row>
    <row r="2908" spans="1:12" x14ac:dyDescent="0.25">
      <c r="A2908" s="20">
        <v>2900</v>
      </c>
      <c r="B2908" s="21">
        <f t="shared" ca="1" si="497"/>
        <v>0.25558707194585378</v>
      </c>
      <c r="C2908" s="21">
        <f t="shared" ca="1" si="502"/>
        <v>8885.7376861604589</v>
      </c>
      <c r="D2908" s="21">
        <f t="shared" ca="1" si="498"/>
        <v>0.69369625478223307</v>
      </c>
      <c r="E2908" s="21">
        <f t="shared" ca="1" si="505"/>
        <v>7.1663643941901682</v>
      </c>
      <c r="F2908" s="20" t="str">
        <f t="shared" ca="1" si="503"/>
        <v>No</v>
      </c>
      <c r="G2908" s="21">
        <f t="shared" ca="1" si="499"/>
        <v>0</v>
      </c>
      <c r="H2908" s="21">
        <f t="shared" ca="1" si="500"/>
        <v>8892.9040505546491</v>
      </c>
      <c r="I2908" s="21">
        <f t="shared" ca="1" si="495"/>
        <v>8893.5977468094316</v>
      </c>
      <c r="J2908" s="20">
        <f t="shared" ca="1" si="504"/>
        <v>5</v>
      </c>
      <c r="K2908" s="20">
        <f t="shared" ca="1" si="496"/>
        <v>3</v>
      </c>
      <c r="L2908" s="44">
        <f t="shared" ca="1" si="501"/>
        <v>4</v>
      </c>
    </row>
    <row r="2909" spans="1:12" x14ac:dyDescent="0.25">
      <c r="A2909" s="20">
        <v>2901</v>
      </c>
      <c r="B2909" s="21">
        <f t="shared" ca="1" si="497"/>
        <v>2.3606434135755654</v>
      </c>
      <c r="C2909" s="21">
        <f t="shared" ca="1" si="502"/>
        <v>8888.0983295740352</v>
      </c>
      <c r="D2909" s="21">
        <f t="shared" ca="1" si="498"/>
        <v>1.5579445481664338</v>
      </c>
      <c r="E2909" s="21">
        <f t="shared" ca="1" si="505"/>
        <v>5.4994172353963222</v>
      </c>
      <c r="F2909" s="20" t="str">
        <f t="shared" ca="1" si="503"/>
        <v>No</v>
      </c>
      <c r="G2909" s="21">
        <f t="shared" ca="1" si="499"/>
        <v>0</v>
      </c>
      <c r="H2909" s="21">
        <f t="shared" ca="1" si="500"/>
        <v>8893.5977468094316</v>
      </c>
      <c r="I2909" s="21">
        <f t="shared" ca="1" si="495"/>
        <v>8895.1556913575987</v>
      </c>
      <c r="J2909" s="20">
        <f t="shared" ca="1" si="504"/>
        <v>4</v>
      </c>
      <c r="K2909" s="20">
        <f t="shared" ca="1" si="496"/>
        <v>2</v>
      </c>
      <c r="L2909" s="44">
        <f t="shared" ca="1" si="501"/>
        <v>3</v>
      </c>
    </row>
    <row r="2910" spans="1:12" x14ac:dyDescent="0.25">
      <c r="A2910" s="20">
        <v>2902</v>
      </c>
      <c r="B2910" s="21">
        <f t="shared" ca="1" si="497"/>
        <v>1.2931607343682283</v>
      </c>
      <c r="C2910" s="21">
        <f t="shared" ca="1" si="502"/>
        <v>8889.3914903084042</v>
      </c>
      <c r="D2910" s="21">
        <f t="shared" ca="1" si="498"/>
        <v>1.195872051537398</v>
      </c>
      <c r="E2910" s="21">
        <f t="shared" ca="1" si="505"/>
        <v>5.7642010491945257</v>
      </c>
      <c r="F2910" s="20" t="str">
        <f t="shared" ca="1" si="503"/>
        <v>No</v>
      </c>
      <c r="G2910" s="21">
        <f t="shared" ca="1" si="499"/>
        <v>0</v>
      </c>
      <c r="H2910" s="21">
        <f t="shared" ca="1" si="500"/>
        <v>8895.1556913575987</v>
      </c>
      <c r="I2910" s="21">
        <f t="shared" ca="1" si="495"/>
        <v>8896.3515634091364</v>
      </c>
      <c r="J2910" s="20">
        <f t="shared" ca="1" si="504"/>
        <v>3</v>
      </c>
      <c r="K2910" s="20">
        <f t="shared" ca="1" si="496"/>
        <v>2</v>
      </c>
      <c r="L2910" s="44">
        <f t="shared" ca="1" si="501"/>
        <v>2.5</v>
      </c>
    </row>
    <row r="2911" spans="1:12" x14ac:dyDescent="0.25">
      <c r="A2911" s="20">
        <v>2903</v>
      </c>
      <c r="B2911" s="21">
        <f t="shared" ca="1" si="497"/>
        <v>0.68227336141531836</v>
      </c>
      <c r="C2911" s="21">
        <f t="shared" ca="1" si="502"/>
        <v>8890.0737636698195</v>
      </c>
      <c r="D2911" s="21">
        <f t="shared" ca="1" si="498"/>
        <v>3.6297593728474808</v>
      </c>
      <c r="E2911" s="21">
        <f t="shared" ca="1" si="505"/>
        <v>6.2777997393168334</v>
      </c>
      <c r="F2911" s="20" t="str">
        <f t="shared" ca="1" si="503"/>
        <v>No</v>
      </c>
      <c r="G2911" s="21">
        <f t="shared" ca="1" si="499"/>
        <v>0</v>
      </c>
      <c r="H2911" s="21">
        <f t="shared" ca="1" si="500"/>
        <v>8896.3515634091364</v>
      </c>
      <c r="I2911" s="21">
        <f t="shared" ca="1" si="495"/>
        <v>8899.9813227819832</v>
      </c>
      <c r="J2911" s="20">
        <f t="shared" ca="1" si="504"/>
        <v>3</v>
      </c>
      <c r="K2911" s="20">
        <f t="shared" ca="1" si="496"/>
        <v>1</v>
      </c>
      <c r="L2911" s="44">
        <f t="shared" ca="1" si="501"/>
        <v>2</v>
      </c>
    </row>
    <row r="2912" spans="1:12" x14ac:dyDescent="0.25">
      <c r="A2912" s="20">
        <v>2904</v>
      </c>
      <c r="B2912" s="21">
        <f t="shared" ca="1" si="497"/>
        <v>5.4430829505225731</v>
      </c>
      <c r="C2912" s="21">
        <f t="shared" ca="1" si="502"/>
        <v>8895.5168466203413</v>
      </c>
      <c r="D2912" s="21">
        <f t="shared" ca="1" si="498"/>
        <v>0.94860623328380167</v>
      </c>
      <c r="E2912" s="21">
        <f t="shared" ca="1" si="505"/>
        <v>4.4644761616418691</v>
      </c>
      <c r="F2912" s="20" t="str">
        <f t="shared" ca="1" si="503"/>
        <v>No</v>
      </c>
      <c r="G2912" s="21">
        <f t="shared" ca="1" si="499"/>
        <v>0</v>
      </c>
      <c r="H2912" s="21">
        <f t="shared" ca="1" si="500"/>
        <v>8899.9813227819832</v>
      </c>
      <c r="I2912" s="21">
        <f t="shared" ca="1" si="495"/>
        <v>8900.9299290152667</v>
      </c>
      <c r="J2912" s="20">
        <f t="shared" ca="1" si="504"/>
        <v>2</v>
      </c>
      <c r="K2912" s="20">
        <f t="shared" ca="1" si="496"/>
        <v>2</v>
      </c>
      <c r="L2912" s="44">
        <f t="shared" ca="1" si="501"/>
        <v>2</v>
      </c>
    </row>
    <row r="2913" spans="1:12" x14ac:dyDescent="0.25">
      <c r="A2913" s="20">
        <v>2905</v>
      </c>
      <c r="B2913" s="21">
        <f t="shared" ca="1" si="497"/>
        <v>4.9288816350760287</v>
      </c>
      <c r="C2913" s="21">
        <f t="shared" ca="1" si="502"/>
        <v>8900.4457282554176</v>
      </c>
      <c r="D2913" s="21">
        <f t="shared" ca="1" si="498"/>
        <v>5.0861187709244025</v>
      </c>
      <c r="E2913" s="21">
        <f t="shared" ca="1" si="505"/>
        <v>0.48420075984904543</v>
      </c>
      <c r="F2913" s="20" t="str">
        <f t="shared" ca="1" si="503"/>
        <v>No</v>
      </c>
      <c r="G2913" s="21">
        <f t="shared" ca="1" si="499"/>
        <v>0</v>
      </c>
      <c r="H2913" s="21">
        <f t="shared" ca="1" si="500"/>
        <v>8900.9299290152667</v>
      </c>
      <c r="I2913" s="21">
        <f t="shared" ca="1" si="495"/>
        <v>8906.0160477861918</v>
      </c>
      <c r="J2913" s="20">
        <f t="shared" ca="1" si="504"/>
        <v>3</v>
      </c>
      <c r="K2913" s="20">
        <f t="shared" ca="1" si="496"/>
        <v>3</v>
      </c>
      <c r="L2913" s="44">
        <f t="shared" ca="1" si="501"/>
        <v>3</v>
      </c>
    </row>
    <row r="2914" spans="1:12" x14ac:dyDescent="0.25">
      <c r="A2914" s="20">
        <v>2906</v>
      </c>
      <c r="B2914" s="21">
        <f t="shared" ca="1" si="497"/>
        <v>0.32803354840703469</v>
      </c>
      <c r="C2914" s="21">
        <f t="shared" ca="1" si="502"/>
        <v>8900.7737618038245</v>
      </c>
      <c r="D2914" s="21">
        <f t="shared" ca="1" si="498"/>
        <v>1.6728476989222136</v>
      </c>
      <c r="E2914" s="21">
        <f t="shared" ca="1" si="505"/>
        <v>5.2422859823673207</v>
      </c>
      <c r="F2914" s="20" t="str">
        <f t="shared" ca="1" si="503"/>
        <v>No</v>
      </c>
      <c r="G2914" s="21">
        <f t="shared" ca="1" si="499"/>
        <v>0</v>
      </c>
      <c r="H2914" s="21">
        <f t="shared" ca="1" si="500"/>
        <v>8906.0160477861918</v>
      </c>
      <c r="I2914" s="21">
        <f t="shared" ca="1" si="495"/>
        <v>8907.6888954851147</v>
      </c>
      <c r="J2914" s="20">
        <f t="shared" ca="1" si="504"/>
        <v>4</v>
      </c>
      <c r="K2914" s="20">
        <f t="shared" ca="1" si="496"/>
        <v>3</v>
      </c>
      <c r="L2914" s="44">
        <f t="shared" ca="1" si="501"/>
        <v>3.5</v>
      </c>
    </row>
    <row r="2915" spans="1:12" x14ac:dyDescent="0.25">
      <c r="A2915" s="20">
        <v>2907</v>
      </c>
      <c r="B2915" s="21">
        <f t="shared" ca="1" si="497"/>
        <v>1.097188841140518</v>
      </c>
      <c r="C2915" s="21">
        <f t="shared" ca="1" si="502"/>
        <v>8901.870950644965</v>
      </c>
      <c r="D2915" s="21">
        <f t="shared" ca="1" si="498"/>
        <v>2.9176976921135287</v>
      </c>
      <c r="E2915" s="21">
        <f t="shared" ca="1" si="505"/>
        <v>5.8179448401497211</v>
      </c>
      <c r="F2915" s="20" t="str">
        <f t="shared" ca="1" si="503"/>
        <v>No</v>
      </c>
      <c r="G2915" s="21">
        <f t="shared" ca="1" si="499"/>
        <v>0</v>
      </c>
      <c r="H2915" s="21">
        <f t="shared" ca="1" si="500"/>
        <v>8907.6888954851147</v>
      </c>
      <c r="I2915" s="21">
        <f t="shared" ca="1" si="495"/>
        <v>8910.6065931772282</v>
      </c>
      <c r="J2915" s="20">
        <f t="shared" ca="1" si="504"/>
        <v>4</v>
      </c>
      <c r="K2915" s="20">
        <f t="shared" ca="1" si="496"/>
        <v>4</v>
      </c>
      <c r="L2915" s="44">
        <f t="shared" ca="1" si="501"/>
        <v>4</v>
      </c>
    </row>
    <row r="2916" spans="1:12" x14ac:dyDescent="0.25">
      <c r="A2916" s="20">
        <v>2908</v>
      </c>
      <c r="B2916" s="21">
        <f t="shared" ca="1" si="497"/>
        <v>1.2477728255393674</v>
      </c>
      <c r="C2916" s="21">
        <f t="shared" ca="1" si="502"/>
        <v>8903.1187234705048</v>
      </c>
      <c r="D2916" s="21">
        <f t="shared" ca="1" si="498"/>
        <v>4.6165156127797147</v>
      </c>
      <c r="E2916" s="21">
        <f t="shared" ca="1" si="505"/>
        <v>7.4878697067233588</v>
      </c>
      <c r="F2916" s="20" t="str">
        <f t="shared" ca="1" si="503"/>
        <v>No</v>
      </c>
      <c r="G2916" s="21">
        <f t="shared" ca="1" si="499"/>
        <v>0</v>
      </c>
      <c r="H2916" s="21">
        <f t="shared" ca="1" si="500"/>
        <v>8910.6065931772282</v>
      </c>
      <c r="I2916" s="21">
        <f t="shared" ca="1" si="495"/>
        <v>8915.2231087900072</v>
      </c>
      <c r="J2916" s="20">
        <f t="shared" ca="1" si="504"/>
        <v>5</v>
      </c>
      <c r="K2916" s="20">
        <f t="shared" ca="1" si="496"/>
        <v>4</v>
      </c>
      <c r="L2916" s="44">
        <f t="shared" ca="1" si="501"/>
        <v>4.5</v>
      </c>
    </row>
    <row r="2917" spans="1:12" x14ac:dyDescent="0.25">
      <c r="A2917" s="20">
        <v>2909</v>
      </c>
      <c r="B2917" s="21">
        <f t="shared" ca="1" si="497"/>
        <v>3.3802185577800103</v>
      </c>
      <c r="C2917" s="21">
        <f t="shared" ca="1" si="502"/>
        <v>8906.4989420282855</v>
      </c>
      <c r="D2917" s="21">
        <f t="shared" ca="1" si="498"/>
        <v>0.99116839360584352</v>
      </c>
      <c r="E2917" s="21">
        <f t="shared" ca="1" si="505"/>
        <v>8.72416676172179</v>
      </c>
      <c r="F2917" s="20" t="str">
        <f t="shared" ca="1" si="503"/>
        <v>No</v>
      </c>
      <c r="G2917" s="21">
        <f t="shared" ca="1" si="499"/>
        <v>0</v>
      </c>
      <c r="H2917" s="21">
        <f t="shared" ca="1" si="500"/>
        <v>8915.2231087900072</v>
      </c>
      <c r="I2917" s="21">
        <f t="shared" ca="1" si="495"/>
        <v>8916.2142771836134</v>
      </c>
      <c r="J2917" s="20">
        <f t="shared" ca="1" si="504"/>
        <v>5</v>
      </c>
      <c r="K2917" s="20">
        <f t="shared" ca="1" si="496"/>
        <v>4</v>
      </c>
      <c r="L2917" s="44">
        <f t="shared" ca="1" si="501"/>
        <v>4.5</v>
      </c>
    </row>
    <row r="2918" spans="1:12" x14ac:dyDescent="0.25">
      <c r="A2918" s="20">
        <v>2910</v>
      </c>
      <c r="B2918" s="21">
        <f t="shared" ca="1" si="497"/>
        <v>1.6371018866497786</v>
      </c>
      <c r="C2918" s="21">
        <f t="shared" ca="1" si="502"/>
        <v>8908.1360439149357</v>
      </c>
      <c r="D2918" s="21">
        <f t="shared" ca="1" si="498"/>
        <v>0.55486423803205376</v>
      </c>
      <c r="E2918" s="21">
        <f t="shared" ca="1" si="505"/>
        <v>8.0782332686776499</v>
      </c>
      <c r="F2918" s="20" t="str">
        <f t="shared" ca="1" si="503"/>
        <v>No</v>
      </c>
      <c r="G2918" s="21">
        <f t="shared" ca="1" si="499"/>
        <v>0</v>
      </c>
      <c r="H2918" s="21">
        <f t="shared" ca="1" si="500"/>
        <v>8916.2142771836134</v>
      </c>
      <c r="I2918" s="21">
        <f t="shared" ca="1" si="495"/>
        <v>8916.7691414216461</v>
      </c>
      <c r="J2918" s="20">
        <f t="shared" ca="1" si="504"/>
        <v>5</v>
      </c>
      <c r="K2918" s="20">
        <f t="shared" ca="1" si="496"/>
        <v>3</v>
      </c>
      <c r="L2918" s="44">
        <f t="shared" ca="1" si="501"/>
        <v>4</v>
      </c>
    </row>
    <row r="2919" spans="1:12" x14ac:dyDescent="0.25">
      <c r="A2919" s="20">
        <v>2911</v>
      </c>
      <c r="B2919" s="21">
        <f t="shared" ca="1" si="497"/>
        <v>1.201207847378396</v>
      </c>
      <c r="C2919" s="21">
        <f t="shared" ca="1" si="502"/>
        <v>8909.3372517623138</v>
      </c>
      <c r="D2919" s="21">
        <f t="shared" ca="1" si="498"/>
        <v>0.64468607057522398</v>
      </c>
      <c r="E2919" s="21">
        <f t="shared" ca="1" si="505"/>
        <v>7.4318896593322279</v>
      </c>
      <c r="F2919" s="20" t="str">
        <f t="shared" ca="1" si="503"/>
        <v>No</v>
      </c>
      <c r="G2919" s="21">
        <f t="shared" ca="1" si="499"/>
        <v>0</v>
      </c>
      <c r="H2919" s="21">
        <f t="shared" ca="1" si="500"/>
        <v>8916.7691414216461</v>
      </c>
      <c r="I2919" s="21">
        <f t="shared" ca="1" si="495"/>
        <v>8917.4138274922207</v>
      </c>
      <c r="J2919" s="20">
        <f t="shared" ca="1" si="504"/>
        <v>4</v>
      </c>
      <c r="K2919" s="20">
        <f t="shared" ca="1" si="496"/>
        <v>2</v>
      </c>
      <c r="L2919" s="44">
        <f t="shared" ca="1" si="501"/>
        <v>3</v>
      </c>
    </row>
    <row r="2920" spans="1:12" x14ac:dyDescent="0.25">
      <c r="A2920" s="20">
        <v>2912</v>
      </c>
      <c r="B2920" s="21">
        <f t="shared" ca="1" si="497"/>
        <v>3.6020767395630879</v>
      </c>
      <c r="C2920" s="21">
        <f t="shared" ca="1" si="502"/>
        <v>8912.9393285018778</v>
      </c>
      <c r="D2920" s="21">
        <f t="shared" ca="1" si="498"/>
        <v>0.22839681898922648</v>
      </c>
      <c r="E2920" s="21">
        <f t="shared" ca="1" si="505"/>
        <v>4.4744989903429087</v>
      </c>
      <c r="F2920" s="20" t="str">
        <f t="shared" ca="1" si="503"/>
        <v>No</v>
      </c>
      <c r="G2920" s="21">
        <f t="shared" ca="1" si="499"/>
        <v>0</v>
      </c>
      <c r="H2920" s="21">
        <f t="shared" ca="1" si="500"/>
        <v>8917.4138274922207</v>
      </c>
      <c r="I2920" s="21">
        <f t="shared" ca="1" si="495"/>
        <v>8917.6422243112102</v>
      </c>
      <c r="J2920" s="20">
        <f t="shared" ca="1" si="504"/>
        <v>3</v>
      </c>
      <c r="K2920" s="20">
        <f t="shared" ca="1" si="496"/>
        <v>2</v>
      </c>
      <c r="L2920" s="44">
        <f t="shared" ca="1" si="501"/>
        <v>2.5</v>
      </c>
    </row>
    <row r="2921" spans="1:12" x14ac:dyDescent="0.25">
      <c r="A2921" s="20">
        <v>2913</v>
      </c>
      <c r="B2921" s="21">
        <f t="shared" ca="1" si="497"/>
        <v>2.8747435457663868</v>
      </c>
      <c r="C2921" s="21">
        <f t="shared" ca="1" si="502"/>
        <v>8915.814072047644</v>
      </c>
      <c r="D2921" s="21">
        <f t="shared" ca="1" si="498"/>
        <v>9.3556601438379683E-2</v>
      </c>
      <c r="E2921" s="21">
        <f t="shared" ca="1" si="505"/>
        <v>1.8281522635661531</v>
      </c>
      <c r="F2921" s="20" t="str">
        <f t="shared" ca="1" si="503"/>
        <v>No</v>
      </c>
      <c r="G2921" s="21">
        <f t="shared" ca="1" si="499"/>
        <v>0</v>
      </c>
      <c r="H2921" s="21">
        <f t="shared" ca="1" si="500"/>
        <v>8917.6422243112102</v>
      </c>
      <c r="I2921" s="21">
        <f t="shared" ca="1" si="495"/>
        <v>8917.7357809126479</v>
      </c>
      <c r="J2921" s="20">
        <f t="shared" ca="1" si="504"/>
        <v>3</v>
      </c>
      <c r="K2921" s="20">
        <f t="shared" ca="1" si="496"/>
        <v>1</v>
      </c>
      <c r="L2921" s="44">
        <f t="shared" ca="1" si="501"/>
        <v>2</v>
      </c>
    </row>
    <row r="2922" spans="1:12" x14ac:dyDescent="0.25">
      <c r="A2922" s="20">
        <v>2914</v>
      </c>
      <c r="B2922" s="21">
        <f t="shared" ca="1" si="497"/>
        <v>1.6286107124691067</v>
      </c>
      <c r="C2922" s="21">
        <f t="shared" ca="1" si="502"/>
        <v>8917.4426827601128</v>
      </c>
      <c r="D2922" s="21">
        <f t="shared" ca="1" si="498"/>
        <v>2.2093817688557014</v>
      </c>
      <c r="E2922" s="21">
        <f t="shared" ca="1" si="505"/>
        <v>0.29309815253509441</v>
      </c>
      <c r="F2922" s="20" t="str">
        <f t="shared" ca="1" si="503"/>
        <v>No</v>
      </c>
      <c r="G2922" s="21">
        <f t="shared" ca="1" si="499"/>
        <v>0</v>
      </c>
      <c r="H2922" s="21">
        <f t="shared" ca="1" si="500"/>
        <v>8917.7357809126479</v>
      </c>
      <c r="I2922" s="21">
        <f t="shared" ca="1" si="495"/>
        <v>8919.9451626815044</v>
      </c>
      <c r="J2922" s="20">
        <f t="shared" ca="1" si="504"/>
        <v>2</v>
      </c>
      <c r="K2922" s="20">
        <f t="shared" ca="1" si="496"/>
        <v>1</v>
      </c>
      <c r="L2922" s="44">
        <f t="shared" ca="1" si="501"/>
        <v>1.5</v>
      </c>
    </row>
    <row r="2923" spans="1:12" x14ac:dyDescent="0.25">
      <c r="A2923" s="20">
        <v>2915</v>
      </c>
      <c r="B2923" s="21">
        <f t="shared" ca="1" si="497"/>
        <v>2.3976395372153529</v>
      </c>
      <c r="C2923" s="21">
        <f t="shared" ca="1" si="502"/>
        <v>8919.8403222973284</v>
      </c>
      <c r="D2923" s="21">
        <f t="shared" ca="1" si="498"/>
        <v>2.3646217497368172</v>
      </c>
      <c r="E2923" s="21">
        <f t="shared" ca="1" si="505"/>
        <v>0.1048403841759864</v>
      </c>
      <c r="F2923" s="20" t="str">
        <f t="shared" ca="1" si="503"/>
        <v>No</v>
      </c>
      <c r="G2923" s="21">
        <f t="shared" ca="1" si="499"/>
        <v>0</v>
      </c>
      <c r="H2923" s="21">
        <f t="shared" ca="1" si="500"/>
        <v>8919.9451626815044</v>
      </c>
      <c r="I2923" s="21">
        <f t="shared" ca="1" si="495"/>
        <v>8922.3097844312415</v>
      </c>
      <c r="J2923" s="20">
        <f t="shared" ca="1" si="504"/>
        <v>2</v>
      </c>
      <c r="K2923" s="20">
        <f t="shared" ca="1" si="496"/>
        <v>0</v>
      </c>
      <c r="L2923" s="44">
        <f t="shared" ca="1" si="501"/>
        <v>1</v>
      </c>
    </row>
    <row r="2924" spans="1:12" x14ac:dyDescent="0.25">
      <c r="A2924" s="20">
        <v>2916</v>
      </c>
      <c r="B2924" s="21">
        <f t="shared" ca="1" si="497"/>
        <v>2.8066881943293902</v>
      </c>
      <c r="C2924" s="21">
        <f t="shared" ca="1" si="502"/>
        <v>8922.6470104916571</v>
      </c>
      <c r="D2924" s="21">
        <f t="shared" ca="1" si="498"/>
        <v>0.23248618403170637</v>
      </c>
      <c r="E2924" s="21">
        <f t="shared" ca="1" si="505"/>
        <v>0</v>
      </c>
      <c r="F2924" s="20" t="str">
        <f t="shared" ca="1" si="503"/>
        <v>Yes</v>
      </c>
      <c r="G2924" s="21">
        <f t="shared" ca="1" si="499"/>
        <v>0.33722606041555991</v>
      </c>
      <c r="H2924" s="21">
        <f t="shared" ca="1" si="500"/>
        <v>8922.6470104916571</v>
      </c>
      <c r="I2924" s="21">
        <f t="shared" ca="1" si="495"/>
        <v>8922.8794966756886</v>
      </c>
      <c r="J2924" s="20">
        <f t="shared" ca="1" si="504"/>
        <v>0</v>
      </c>
      <c r="K2924" s="20">
        <f t="shared" ca="1" si="496"/>
        <v>0</v>
      </c>
      <c r="L2924" s="44">
        <f t="shared" ca="1" si="501"/>
        <v>0</v>
      </c>
    </row>
    <row r="2925" spans="1:12" x14ac:dyDescent="0.25">
      <c r="A2925" s="20">
        <v>2917</v>
      </c>
      <c r="B2925" s="21">
        <f t="shared" ca="1" si="497"/>
        <v>5.9834670477449139</v>
      </c>
      <c r="C2925" s="21">
        <f t="shared" ca="1" si="502"/>
        <v>8928.6304775394019</v>
      </c>
      <c r="D2925" s="21">
        <f t="shared" ca="1" si="498"/>
        <v>0.35216141941722068</v>
      </c>
      <c r="E2925" s="21">
        <f t="shared" ca="1" si="505"/>
        <v>0</v>
      </c>
      <c r="F2925" s="20" t="str">
        <f t="shared" ca="1" si="503"/>
        <v>Yes</v>
      </c>
      <c r="G2925" s="21">
        <f t="shared" ca="1" si="499"/>
        <v>5.7509808637132664</v>
      </c>
      <c r="H2925" s="21">
        <f t="shared" ca="1" si="500"/>
        <v>8928.6304775394019</v>
      </c>
      <c r="I2925" s="21">
        <f t="shared" ca="1" si="495"/>
        <v>8928.9826389588197</v>
      </c>
      <c r="J2925" s="20">
        <f t="shared" ca="1" si="504"/>
        <v>0</v>
      </c>
      <c r="K2925" s="20">
        <f t="shared" ca="1" si="496"/>
        <v>0</v>
      </c>
      <c r="L2925" s="44">
        <f t="shared" ca="1" si="501"/>
        <v>0</v>
      </c>
    </row>
    <row r="2926" spans="1:12" x14ac:dyDescent="0.25">
      <c r="A2926" s="20">
        <v>2918</v>
      </c>
      <c r="B2926" s="21">
        <f t="shared" ca="1" si="497"/>
        <v>3.029429719596346</v>
      </c>
      <c r="C2926" s="21">
        <f t="shared" ca="1" si="502"/>
        <v>8931.6599072589979</v>
      </c>
      <c r="D2926" s="21">
        <f t="shared" ca="1" si="498"/>
        <v>0.50844446935072574</v>
      </c>
      <c r="E2926" s="21">
        <f t="shared" ca="1" si="505"/>
        <v>0</v>
      </c>
      <c r="F2926" s="20" t="str">
        <f t="shared" ca="1" si="503"/>
        <v>Yes</v>
      </c>
      <c r="G2926" s="21">
        <f t="shared" ca="1" si="499"/>
        <v>2.6772683001781843</v>
      </c>
      <c r="H2926" s="21">
        <f t="shared" ca="1" si="500"/>
        <v>8931.6599072589979</v>
      </c>
      <c r="I2926" s="21">
        <f t="shared" ca="1" si="495"/>
        <v>8932.1683517283491</v>
      </c>
      <c r="J2926" s="20">
        <f t="shared" ca="1" si="504"/>
        <v>0</v>
      </c>
      <c r="K2926" s="20">
        <f t="shared" ca="1" si="496"/>
        <v>0</v>
      </c>
      <c r="L2926" s="44">
        <f t="shared" ca="1" si="501"/>
        <v>0</v>
      </c>
    </row>
    <row r="2927" spans="1:12" x14ac:dyDescent="0.25">
      <c r="A2927" s="20">
        <v>2919</v>
      </c>
      <c r="B2927" s="21">
        <f t="shared" ca="1" si="497"/>
        <v>3.6677393342773796</v>
      </c>
      <c r="C2927" s="21">
        <f t="shared" ca="1" si="502"/>
        <v>8935.3276465932759</v>
      </c>
      <c r="D2927" s="21">
        <f t="shared" ca="1" si="498"/>
        <v>0.2605753313122342</v>
      </c>
      <c r="E2927" s="21">
        <f t="shared" ca="1" si="505"/>
        <v>0</v>
      </c>
      <c r="F2927" s="20" t="str">
        <f t="shared" ca="1" si="503"/>
        <v>Yes</v>
      </c>
      <c r="G2927" s="21">
        <f t="shared" ca="1" si="499"/>
        <v>3.1592948649267782</v>
      </c>
      <c r="H2927" s="21">
        <f t="shared" ca="1" si="500"/>
        <v>8935.3276465932759</v>
      </c>
      <c r="I2927" s="21">
        <f t="shared" ca="1" si="495"/>
        <v>8935.5882219245887</v>
      </c>
      <c r="J2927" s="20">
        <f t="shared" ca="1" si="504"/>
        <v>0</v>
      </c>
      <c r="K2927" s="20">
        <f t="shared" ca="1" si="496"/>
        <v>0</v>
      </c>
      <c r="L2927" s="44">
        <f t="shared" ca="1" si="501"/>
        <v>0</v>
      </c>
    </row>
    <row r="2928" spans="1:12" x14ac:dyDescent="0.25">
      <c r="A2928" s="20">
        <v>2920</v>
      </c>
      <c r="B2928" s="21">
        <f t="shared" ca="1" si="497"/>
        <v>1.218792703183645</v>
      </c>
      <c r="C2928" s="21">
        <f t="shared" ca="1" si="502"/>
        <v>8936.5464392964586</v>
      </c>
      <c r="D2928" s="21">
        <f t="shared" ca="1" si="498"/>
        <v>4.6996680196255847</v>
      </c>
      <c r="E2928" s="21">
        <f t="shared" ca="1" si="505"/>
        <v>0</v>
      </c>
      <c r="F2928" s="20" t="str">
        <f t="shared" ca="1" si="503"/>
        <v>Yes</v>
      </c>
      <c r="G2928" s="21">
        <f t="shared" ca="1" si="499"/>
        <v>0.9582173718699778</v>
      </c>
      <c r="H2928" s="21">
        <f t="shared" ca="1" si="500"/>
        <v>8936.5464392964586</v>
      </c>
      <c r="I2928" s="21">
        <f t="shared" ca="1" si="495"/>
        <v>8941.2461073160848</v>
      </c>
      <c r="J2928" s="20">
        <f t="shared" ca="1" si="504"/>
        <v>0</v>
      </c>
      <c r="K2928" s="20">
        <f t="shared" ca="1" si="496"/>
        <v>3</v>
      </c>
      <c r="L2928" s="44">
        <f t="shared" ca="1" si="501"/>
        <v>1.5</v>
      </c>
    </row>
    <row r="2929" spans="1:12" x14ac:dyDescent="0.25">
      <c r="A2929" s="20">
        <v>2921</v>
      </c>
      <c r="B2929" s="21">
        <f t="shared" ca="1" si="497"/>
        <v>0.38414696851116087</v>
      </c>
      <c r="C2929" s="21">
        <f t="shared" ca="1" si="502"/>
        <v>8936.930586264969</v>
      </c>
      <c r="D2929" s="21">
        <f t="shared" ca="1" si="498"/>
        <v>9.6231336885400331</v>
      </c>
      <c r="E2929" s="21">
        <f t="shared" ca="1" si="505"/>
        <v>4.3155210511158657</v>
      </c>
      <c r="F2929" s="20" t="str">
        <f t="shared" ca="1" si="503"/>
        <v>No</v>
      </c>
      <c r="G2929" s="21">
        <f t="shared" ca="1" si="499"/>
        <v>0</v>
      </c>
      <c r="H2929" s="21">
        <f t="shared" ca="1" si="500"/>
        <v>8941.2461073160848</v>
      </c>
      <c r="I2929" s="21">
        <f t="shared" ca="1" si="495"/>
        <v>8950.8692410046242</v>
      </c>
      <c r="J2929" s="20">
        <f t="shared" ca="1" si="504"/>
        <v>4</v>
      </c>
      <c r="K2929" s="20">
        <f t="shared" ca="1" si="496"/>
        <v>4</v>
      </c>
      <c r="L2929" s="44">
        <f t="shared" ca="1" si="501"/>
        <v>4</v>
      </c>
    </row>
    <row r="2930" spans="1:12" x14ac:dyDescent="0.25">
      <c r="A2930" s="20">
        <v>2922</v>
      </c>
      <c r="B2930" s="21">
        <f t="shared" ca="1" si="497"/>
        <v>3.8675470218962991</v>
      </c>
      <c r="C2930" s="21">
        <f t="shared" ca="1" si="502"/>
        <v>8940.7981332868658</v>
      </c>
      <c r="D2930" s="21">
        <f t="shared" ca="1" si="498"/>
        <v>0.19042534765044547</v>
      </c>
      <c r="E2930" s="21">
        <f t="shared" ca="1" si="505"/>
        <v>10.071107717758423</v>
      </c>
      <c r="F2930" s="20" t="str">
        <f t="shared" ca="1" si="503"/>
        <v>No</v>
      </c>
      <c r="G2930" s="21">
        <f t="shared" ca="1" si="499"/>
        <v>0</v>
      </c>
      <c r="H2930" s="21">
        <f t="shared" ca="1" si="500"/>
        <v>8950.8692410046242</v>
      </c>
      <c r="I2930" s="21">
        <f t="shared" ca="1" si="495"/>
        <v>8951.0596663522738</v>
      </c>
      <c r="J2930" s="20">
        <f t="shared" ca="1" si="504"/>
        <v>5</v>
      </c>
      <c r="K2930" s="20">
        <f t="shared" ca="1" si="496"/>
        <v>3</v>
      </c>
      <c r="L2930" s="44">
        <f t="shared" ca="1" si="501"/>
        <v>4</v>
      </c>
    </row>
    <row r="2931" spans="1:12" x14ac:dyDescent="0.25">
      <c r="A2931" s="20">
        <v>2923</v>
      </c>
      <c r="B2931" s="21">
        <f t="shared" ca="1" si="497"/>
        <v>8.0730025697230479E-2</v>
      </c>
      <c r="C2931" s="21">
        <f t="shared" ca="1" si="502"/>
        <v>8940.8788633125623</v>
      </c>
      <c r="D2931" s="21">
        <f t="shared" ca="1" si="498"/>
        <v>3.8051825343713532</v>
      </c>
      <c r="E2931" s="21">
        <f t="shared" ca="1" si="505"/>
        <v>10.180803039711463</v>
      </c>
      <c r="F2931" s="20" t="str">
        <f t="shared" ca="1" si="503"/>
        <v>No</v>
      </c>
      <c r="G2931" s="21">
        <f t="shared" ca="1" si="499"/>
        <v>0</v>
      </c>
      <c r="H2931" s="21">
        <f t="shared" ca="1" si="500"/>
        <v>8951.0596663522738</v>
      </c>
      <c r="I2931" s="21">
        <f t="shared" ca="1" si="495"/>
        <v>8954.8648488866456</v>
      </c>
      <c r="J2931" s="20">
        <f t="shared" ca="1" si="504"/>
        <v>4</v>
      </c>
      <c r="K2931" s="20">
        <f t="shared" ca="1" si="496"/>
        <v>3</v>
      </c>
      <c r="L2931" s="44">
        <f t="shared" ca="1" si="501"/>
        <v>3.5</v>
      </c>
    </row>
    <row r="2932" spans="1:12" x14ac:dyDescent="0.25">
      <c r="A2932" s="20">
        <v>2924</v>
      </c>
      <c r="B2932" s="21">
        <f t="shared" ca="1" si="497"/>
        <v>3.1135050853305541</v>
      </c>
      <c r="C2932" s="21">
        <f t="shared" ca="1" si="502"/>
        <v>8943.9923683978923</v>
      </c>
      <c r="D2932" s="21">
        <f t="shared" ca="1" si="498"/>
        <v>0.86279456428392742</v>
      </c>
      <c r="E2932" s="21">
        <f t="shared" ca="1" si="505"/>
        <v>10.872480488753354</v>
      </c>
      <c r="F2932" s="20" t="str">
        <f t="shared" ca="1" si="503"/>
        <v>No</v>
      </c>
      <c r="G2932" s="21">
        <f t="shared" ca="1" si="499"/>
        <v>0</v>
      </c>
      <c r="H2932" s="21">
        <f t="shared" ca="1" si="500"/>
        <v>8954.8648488866456</v>
      </c>
      <c r="I2932" s="21">
        <f t="shared" ca="1" si="495"/>
        <v>8955.7276434509295</v>
      </c>
      <c r="J2932" s="20">
        <f t="shared" ca="1" si="504"/>
        <v>4</v>
      </c>
      <c r="K2932" s="20">
        <f t="shared" ca="1" si="496"/>
        <v>2</v>
      </c>
      <c r="L2932" s="44">
        <f t="shared" ca="1" si="501"/>
        <v>3</v>
      </c>
    </row>
    <row r="2933" spans="1:12" x14ac:dyDescent="0.25">
      <c r="A2933" s="20">
        <v>2925</v>
      </c>
      <c r="B2933" s="21">
        <f t="shared" ca="1" si="497"/>
        <v>0.9924567875666962</v>
      </c>
      <c r="C2933" s="21">
        <f t="shared" ca="1" si="502"/>
        <v>8944.9848251854582</v>
      </c>
      <c r="D2933" s="21">
        <f t="shared" ca="1" si="498"/>
        <v>1.4265714258471496</v>
      </c>
      <c r="E2933" s="21">
        <f t="shared" ca="1" si="505"/>
        <v>10.742818265471215</v>
      </c>
      <c r="F2933" s="20" t="str">
        <f t="shared" ca="1" si="503"/>
        <v>No</v>
      </c>
      <c r="G2933" s="21">
        <f t="shared" ca="1" si="499"/>
        <v>0</v>
      </c>
      <c r="H2933" s="21">
        <f t="shared" ca="1" si="500"/>
        <v>8955.7276434509295</v>
      </c>
      <c r="I2933" s="21">
        <f t="shared" ca="1" si="495"/>
        <v>8957.1542148767767</v>
      </c>
      <c r="J2933" s="20">
        <f t="shared" ca="1" si="504"/>
        <v>3</v>
      </c>
      <c r="K2933" s="20">
        <f t="shared" ca="1" si="496"/>
        <v>3</v>
      </c>
      <c r="L2933" s="44">
        <f t="shared" ca="1" si="501"/>
        <v>3</v>
      </c>
    </row>
    <row r="2934" spans="1:12" x14ac:dyDescent="0.25">
      <c r="A2934" s="20">
        <v>2926</v>
      </c>
      <c r="B2934" s="21">
        <f t="shared" ca="1" si="497"/>
        <v>6.5720293632915716</v>
      </c>
      <c r="C2934" s="21">
        <f t="shared" ca="1" si="502"/>
        <v>8951.5568545487495</v>
      </c>
      <c r="D2934" s="21">
        <f t="shared" ca="1" si="498"/>
        <v>1.7871089601073953</v>
      </c>
      <c r="E2934" s="21">
        <f t="shared" ca="1" si="505"/>
        <v>5.5973603280272073</v>
      </c>
      <c r="F2934" s="20" t="str">
        <f t="shared" ca="1" si="503"/>
        <v>No</v>
      </c>
      <c r="G2934" s="21">
        <f t="shared" ca="1" si="499"/>
        <v>0</v>
      </c>
      <c r="H2934" s="21">
        <f t="shared" ca="1" si="500"/>
        <v>8957.1542148767767</v>
      </c>
      <c r="I2934" s="21">
        <f t="shared" ca="1" si="495"/>
        <v>8958.9413238368834</v>
      </c>
      <c r="J2934" s="20">
        <f t="shared" ca="1" si="504"/>
        <v>4</v>
      </c>
      <c r="K2934" s="20">
        <f t="shared" ca="1" si="496"/>
        <v>3</v>
      </c>
      <c r="L2934" s="44">
        <f t="shared" ca="1" si="501"/>
        <v>3.5</v>
      </c>
    </row>
    <row r="2935" spans="1:12" x14ac:dyDescent="0.25">
      <c r="A2935" s="20">
        <v>2927</v>
      </c>
      <c r="B2935" s="21">
        <f t="shared" ca="1" si="497"/>
        <v>5.0429646557492491</v>
      </c>
      <c r="C2935" s="21">
        <f t="shared" ca="1" si="502"/>
        <v>8956.599819204499</v>
      </c>
      <c r="D2935" s="21">
        <f t="shared" ca="1" si="498"/>
        <v>8.9026557152795149</v>
      </c>
      <c r="E2935" s="21">
        <f t="shared" ca="1" si="505"/>
        <v>2.3415046323843853</v>
      </c>
      <c r="F2935" s="20" t="str">
        <f t="shared" ca="1" si="503"/>
        <v>No</v>
      </c>
      <c r="G2935" s="21">
        <f t="shared" ca="1" si="499"/>
        <v>0</v>
      </c>
      <c r="H2935" s="21">
        <f t="shared" ca="1" si="500"/>
        <v>8958.9413238368834</v>
      </c>
      <c r="I2935" s="21">
        <f t="shared" ca="1" si="495"/>
        <v>8967.8439795521626</v>
      </c>
      <c r="J2935" s="20">
        <f t="shared" ca="1" si="504"/>
        <v>4</v>
      </c>
      <c r="K2935" s="20">
        <f t="shared" ca="1" si="496"/>
        <v>5</v>
      </c>
      <c r="L2935" s="44">
        <f t="shared" ca="1" si="501"/>
        <v>4.5</v>
      </c>
    </row>
    <row r="2936" spans="1:12" x14ac:dyDescent="0.25">
      <c r="A2936" s="20">
        <v>2928</v>
      </c>
      <c r="B2936" s="21">
        <f t="shared" ca="1" si="497"/>
        <v>0.27663686523276015</v>
      </c>
      <c r="C2936" s="21">
        <f t="shared" ca="1" si="502"/>
        <v>8956.8764560697309</v>
      </c>
      <c r="D2936" s="21">
        <f t="shared" ca="1" si="498"/>
        <v>0.67446916906571253</v>
      </c>
      <c r="E2936" s="21">
        <f t="shared" ca="1" si="505"/>
        <v>10.967523482431716</v>
      </c>
      <c r="F2936" s="20" t="str">
        <f t="shared" ca="1" si="503"/>
        <v>No</v>
      </c>
      <c r="G2936" s="21">
        <f t="shared" ca="1" si="499"/>
        <v>0</v>
      </c>
      <c r="H2936" s="21">
        <f t="shared" ca="1" si="500"/>
        <v>8967.8439795521626</v>
      </c>
      <c r="I2936" s="21">
        <f t="shared" ca="1" si="495"/>
        <v>8968.5184487212282</v>
      </c>
      <c r="J2936" s="20">
        <f t="shared" ca="1" si="504"/>
        <v>6</v>
      </c>
      <c r="K2936" s="20">
        <f t="shared" ca="1" si="496"/>
        <v>5</v>
      </c>
      <c r="L2936" s="44">
        <f t="shared" ca="1" si="501"/>
        <v>5.5</v>
      </c>
    </row>
    <row r="2937" spans="1:12" x14ac:dyDescent="0.25">
      <c r="A2937" s="20">
        <v>2929</v>
      </c>
      <c r="B2937" s="21">
        <f t="shared" ca="1" si="497"/>
        <v>1.6764176982317471</v>
      </c>
      <c r="C2937" s="21">
        <f t="shared" ca="1" si="502"/>
        <v>8958.5528737679633</v>
      </c>
      <c r="D2937" s="21">
        <f t="shared" ca="1" si="498"/>
        <v>0.63382757185682659</v>
      </c>
      <c r="E2937" s="21">
        <f t="shared" ca="1" si="505"/>
        <v>9.965574953264877</v>
      </c>
      <c r="F2937" s="20" t="str">
        <f t="shared" ca="1" si="503"/>
        <v>No</v>
      </c>
      <c r="G2937" s="21">
        <f t="shared" ca="1" si="499"/>
        <v>0</v>
      </c>
      <c r="H2937" s="21">
        <f t="shared" ca="1" si="500"/>
        <v>8968.5184487212282</v>
      </c>
      <c r="I2937" s="21">
        <f t="shared" ca="1" si="495"/>
        <v>8969.1522762930854</v>
      </c>
      <c r="J2937" s="20">
        <f t="shared" ca="1" si="504"/>
        <v>6</v>
      </c>
      <c r="K2937" s="20">
        <f t="shared" ca="1" si="496"/>
        <v>5</v>
      </c>
      <c r="L2937" s="44">
        <f t="shared" ca="1" si="501"/>
        <v>5.5</v>
      </c>
    </row>
    <row r="2938" spans="1:12" x14ac:dyDescent="0.25">
      <c r="A2938" s="20">
        <v>2930</v>
      </c>
      <c r="B2938" s="21">
        <f t="shared" ca="1" si="497"/>
        <v>0.52473619319612785</v>
      </c>
      <c r="C2938" s="21">
        <f t="shared" ca="1" si="502"/>
        <v>8959.0776099611594</v>
      </c>
      <c r="D2938" s="21">
        <f t="shared" ca="1" si="498"/>
        <v>1.1901459327834789</v>
      </c>
      <c r="E2938" s="21">
        <f t="shared" ca="1" si="505"/>
        <v>10.074666331925982</v>
      </c>
      <c r="F2938" s="20" t="str">
        <f t="shared" ca="1" si="503"/>
        <v>No</v>
      </c>
      <c r="G2938" s="21">
        <f t="shared" ca="1" si="499"/>
        <v>0</v>
      </c>
      <c r="H2938" s="21">
        <f t="shared" ca="1" si="500"/>
        <v>8969.1522762930854</v>
      </c>
      <c r="I2938" s="21">
        <f t="shared" ca="1" si="495"/>
        <v>8970.3424222258691</v>
      </c>
      <c r="J2938" s="20">
        <f t="shared" ca="1" si="504"/>
        <v>6</v>
      </c>
      <c r="K2938" s="20">
        <f t="shared" ca="1" si="496"/>
        <v>5</v>
      </c>
      <c r="L2938" s="44">
        <f t="shared" ca="1" si="501"/>
        <v>5.5</v>
      </c>
    </row>
    <row r="2939" spans="1:12" x14ac:dyDescent="0.25">
      <c r="A2939" s="20">
        <v>2931</v>
      </c>
      <c r="B2939" s="21">
        <f t="shared" ca="1" si="497"/>
        <v>0.14658195197737786</v>
      </c>
      <c r="C2939" s="21">
        <f t="shared" ca="1" si="502"/>
        <v>8959.2241919131375</v>
      </c>
      <c r="D2939" s="21">
        <f t="shared" ca="1" si="498"/>
        <v>2.2312343289995802</v>
      </c>
      <c r="E2939" s="21">
        <f t="shared" ca="1" si="505"/>
        <v>11.118230312731612</v>
      </c>
      <c r="F2939" s="20" t="str">
        <f t="shared" ca="1" si="503"/>
        <v>No</v>
      </c>
      <c r="G2939" s="21">
        <f t="shared" ca="1" si="499"/>
        <v>0</v>
      </c>
      <c r="H2939" s="21">
        <f t="shared" ca="1" si="500"/>
        <v>8970.3424222258691</v>
      </c>
      <c r="I2939" s="21">
        <f t="shared" ca="1" si="495"/>
        <v>8972.5736565548686</v>
      </c>
      <c r="J2939" s="20">
        <f t="shared" ca="1" si="504"/>
        <v>6</v>
      </c>
      <c r="K2939" s="20">
        <f t="shared" ca="1" si="496"/>
        <v>5</v>
      </c>
      <c r="L2939" s="44">
        <f t="shared" ca="1" si="501"/>
        <v>5.5</v>
      </c>
    </row>
    <row r="2940" spans="1:12" x14ac:dyDescent="0.25">
      <c r="A2940" s="20">
        <v>2932</v>
      </c>
      <c r="B2940" s="21">
        <f t="shared" ca="1" si="497"/>
        <v>1.4956496280310985</v>
      </c>
      <c r="C2940" s="21">
        <f t="shared" ca="1" si="502"/>
        <v>8960.7198415411694</v>
      </c>
      <c r="D2940" s="21">
        <f t="shared" ca="1" si="498"/>
        <v>5.1132232881670348</v>
      </c>
      <c r="E2940" s="21">
        <f t="shared" ca="1" si="505"/>
        <v>11.853815013699204</v>
      </c>
      <c r="F2940" s="20" t="str">
        <f t="shared" ca="1" si="503"/>
        <v>No</v>
      </c>
      <c r="G2940" s="21">
        <f t="shared" ca="1" si="499"/>
        <v>0</v>
      </c>
      <c r="H2940" s="21">
        <f t="shared" ca="1" si="500"/>
        <v>8972.5736565548686</v>
      </c>
      <c r="I2940" s="21">
        <f t="shared" ca="1" si="495"/>
        <v>8977.6868798430351</v>
      </c>
      <c r="J2940" s="20">
        <f t="shared" ca="1" si="504"/>
        <v>6</v>
      </c>
      <c r="K2940" s="20">
        <f t="shared" ca="1" si="496"/>
        <v>5</v>
      </c>
      <c r="L2940" s="44">
        <f t="shared" ca="1" si="501"/>
        <v>5.5</v>
      </c>
    </row>
    <row r="2941" spans="1:12" x14ac:dyDescent="0.25">
      <c r="A2941" s="20">
        <v>2933</v>
      </c>
      <c r="B2941" s="21">
        <f t="shared" ca="1" si="497"/>
        <v>0.49428880415010751</v>
      </c>
      <c r="C2941" s="21">
        <f t="shared" ca="1" si="502"/>
        <v>8961.2141303453191</v>
      </c>
      <c r="D2941" s="21">
        <f t="shared" ca="1" si="498"/>
        <v>2.8810222800548351</v>
      </c>
      <c r="E2941" s="21">
        <f t="shared" ca="1" si="505"/>
        <v>16.472749497715995</v>
      </c>
      <c r="F2941" s="20" t="str">
        <f t="shared" ca="1" si="503"/>
        <v>No</v>
      </c>
      <c r="G2941" s="21">
        <f t="shared" ca="1" si="499"/>
        <v>0</v>
      </c>
      <c r="H2941" s="21">
        <f t="shared" ca="1" si="500"/>
        <v>8977.6868798430351</v>
      </c>
      <c r="I2941" s="21">
        <f t="shared" ca="1" si="495"/>
        <v>8980.5679021230899</v>
      </c>
      <c r="J2941" s="20">
        <f t="shared" ca="1" si="504"/>
        <v>6</v>
      </c>
      <c r="K2941" s="20">
        <f t="shared" ca="1" si="496"/>
        <v>5</v>
      </c>
      <c r="L2941" s="44">
        <f t="shared" ca="1" si="501"/>
        <v>5.5</v>
      </c>
    </row>
    <row r="2942" spans="1:12" x14ac:dyDescent="0.25">
      <c r="A2942" s="20">
        <v>2934</v>
      </c>
      <c r="B2942" s="21">
        <f t="shared" ca="1" si="497"/>
        <v>0.1223565143526061</v>
      </c>
      <c r="C2942" s="21">
        <f t="shared" ca="1" si="502"/>
        <v>8961.3364868596709</v>
      </c>
      <c r="D2942" s="21">
        <f t="shared" ca="1" si="498"/>
        <v>3.1061903877893631</v>
      </c>
      <c r="E2942" s="21">
        <f t="shared" ca="1" si="505"/>
        <v>19.231415263418967</v>
      </c>
      <c r="F2942" s="20" t="str">
        <f t="shared" ca="1" si="503"/>
        <v>No</v>
      </c>
      <c r="G2942" s="21">
        <f t="shared" ca="1" si="499"/>
        <v>0</v>
      </c>
      <c r="H2942" s="21">
        <f t="shared" ca="1" si="500"/>
        <v>8980.5679021230899</v>
      </c>
      <c r="I2942" s="21">
        <f t="shared" ca="1" si="495"/>
        <v>8983.6740925108788</v>
      </c>
      <c r="J2942" s="20">
        <f t="shared" ca="1" si="504"/>
        <v>6</v>
      </c>
      <c r="K2942" s="20">
        <f t="shared" ca="1" si="496"/>
        <v>5</v>
      </c>
      <c r="L2942" s="44">
        <f t="shared" ca="1" si="501"/>
        <v>5.5</v>
      </c>
    </row>
    <row r="2943" spans="1:12" x14ac:dyDescent="0.25">
      <c r="A2943" s="20">
        <v>2935</v>
      </c>
      <c r="B2943" s="21">
        <f t="shared" ca="1" si="497"/>
        <v>2.0644335279164134</v>
      </c>
      <c r="C2943" s="21">
        <f t="shared" ca="1" si="502"/>
        <v>8963.4009203875867</v>
      </c>
      <c r="D2943" s="21">
        <f t="shared" ca="1" si="498"/>
        <v>0.35622549618500865</v>
      </c>
      <c r="E2943" s="21">
        <f t="shared" ca="1" si="505"/>
        <v>20.27317212329217</v>
      </c>
      <c r="F2943" s="20" t="str">
        <f t="shared" ca="1" si="503"/>
        <v>No</v>
      </c>
      <c r="G2943" s="21">
        <f t="shared" ca="1" si="499"/>
        <v>0</v>
      </c>
      <c r="H2943" s="21">
        <f t="shared" ca="1" si="500"/>
        <v>8983.6740925108788</v>
      </c>
      <c r="I2943" s="21">
        <f t="shared" ca="1" si="495"/>
        <v>8984.0303180070641</v>
      </c>
      <c r="J2943" s="20">
        <f t="shared" ca="1" si="504"/>
        <v>6</v>
      </c>
      <c r="K2943" s="20">
        <f t="shared" ca="1" si="496"/>
        <v>5</v>
      </c>
      <c r="L2943" s="44">
        <f t="shared" ca="1" si="501"/>
        <v>5.5</v>
      </c>
    </row>
    <row r="2944" spans="1:12" x14ac:dyDescent="0.25">
      <c r="A2944" s="20">
        <v>2936</v>
      </c>
      <c r="B2944" s="21">
        <f t="shared" ca="1" si="497"/>
        <v>5.6036311468625071</v>
      </c>
      <c r="C2944" s="21">
        <f t="shared" ca="1" si="502"/>
        <v>8969.00455153445</v>
      </c>
      <c r="D2944" s="21">
        <f t="shared" ca="1" si="498"/>
        <v>2.255582861780594</v>
      </c>
      <c r="E2944" s="21">
        <f t="shared" ca="1" si="505"/>
        <v>15.025766472614123</v>
      </c>
      <c r="F2944" s="20" t="str">
        <f t="shared" ca="1" si="503"/>
        <v>No</v>
      </c>
      <c r="G2944" s="21">
        <f t="shared" ca="1" si="499"/>
        <v>0</v>
      </c>
      <c r="H2944" s="21">
        <f t="shared" ca="1" si="500"/>
        <v>8984.0303180070641</v>
      </c>
      <c r="I2944" s="21">
        <f t="shared" ca="1" si="495"/>
        <v>8986.2859008688447</v>
      </c>
      <c r="J2944" s="20">
        <f t="shared" ca="1" si="504"/>
        <v>6</v>
      </c>
      <c r="K2944" s="20">
        <f t="shared" ca="1" si="496"/>
        <v>4</v>
      </c>
      <c r="L2944" s="44">
        <f t="shared" ca="1" si="501"/>
        <v>5</v>
      </c>
    </row>
    <row r="2945" spans="1:12" x14ac:dyDescent="0.25">
      <c r="A2945" s="20">
        <v>2937</v>
      </c>
      <c r="B2945" s="21">
        <f t="shared" ca="1" si="497"/>
        <v>0.24764447245275184</v>
      </c>
      <c r="C2945" s="21">
        <f t="shared" ca="1" si="502"/>
        <v>8969.2521960069025</v>
      </c>
      <c r="D2945" s="21">
        <f t="shared" ca="1" si="498"/>
        <v>0.18326378744717334</v>
      </c>
      <c r="E2945" s="21">
        <f t="shared" ca="1" si="505"/>
        <v>17.033704861942169</v>
      </c>
      <c r="F2945" s="20" t="str">
        <f t="shared" ca="1" si="503"/>
        <v>No</v>
      </c>
      <c r="G2945" s="21">
        <f t="shared" ca="1" si="499"/>
        <v>0</v>
      </c>
      <c r="H2945" s="21">
        <f t="shared" ca="1" si="500"/>
        <v>8986.2859008688447</v>
      </c>
      <c r="I2945" s="21">
        <f t="shared" ca="1" si="495"/>
        <v>8986.4691646562915</v>
      </c>
      <c r="J2945" s="20">
        <f t="shared" ca="1" si="504"/>
        <v>5</v>
      </c>
      <c r="K2945" s="20">
        <f t="shared" ca="1" si="496"/>
        <v>3</v>
      </c>
      <c r="L2945" s="44">
        <f t="shared" ca="1" si="501"/>
        <v>4</v>
      </c>
    </row>
    <row r="2946" spans="1:12" x14ac:dyDescent="0.25">
      <c r="A2946" s="20">
        <v>2938</v>
      </c>
      <c r="B2946" s="21">
        <f t="shared" ca="1" si="497"/>
        <v>6.6551362827591193E-2</v>
      </c>
      <c r="C2946" s="21">
        <f t="shared" ca="1" si="502"/>
        <v>8969.3187473697308</v>
      </c>
      <c r="D2946" s="21">
        <f t="shared" ca="1" si="498"/>
        <v>4.0459421782916278</v>
      </c>
      <c r="E2946" s="21">
        <f t="shared" ca="1" si="505"/>
        <v>17.150417286560696</v>
      </c>
      <c r="F2946" s="20" t="str">
        <f t="shared" ca="1" si="503"/>
        <v>No</v>
      </c>
      <c r="G2946" s="21">
        <f t="shared" ca="1" si="499"/>
        <v>0</v>
      </c>
      <c r="H2946" s="21">
        <f t="shared" ca="1" si="500"/>
        <v>8986.4691646562915</v>
      </c>
      <c r="I2946" s="21">
        <f t="shared" ca="1" si="495"/>
        <v>8990.515106834584</v>
      </c>
      <c r="J2946" s="20">
        <f t="shared" ca="1" si="504"/>
        <v>4</v>
      </c>
      <c r="K2946" s="20">
        <f t="shared" ca="1" si="496"/>
        <v>2</v>
      </c>
      <c r="L2946" s="44">
        <f t="shared" ca="1" si="501"/>
        <v>3</v>
      </c>
    </row>
    <row r="2947" spans="1:12" x14ac:dyDescent="0.25">
      <c r="A2947" s="20">
        <v>2939</v>
      </c>
      <c r="B2947" s="21">
        <f t="shared" ca="1" si="497"/>
        <v>11.52894573200096</v>
      </c>
      <c r="C2947" s="21">
        <f t="shared" ca="1" si="502"/>
        <v>8980.8476931017321</v>
      </c>
      <c r="D2947" s="21">
        <f t="shared" ca="1" si="498"/>
        <v>0.77750431759953642</v>
      </c>
      <c r="E2947" s="21">
        <f t="shared" ca="1" si="505"/>
        <v>9.6674137328518555</v>
      </c>
      <c r="F2947" s="20" t="str">
        <f t="shared" ca="1" si="503"/>
        <v>No</v>
      </c>
      <c r="G2947" s="21">
        <f t="shared" ca="1" si="499"/>
        <v>0</v>
      </c>
      <c r="H2947" s="21">
        <f t="shared" ca="1" si="500"/>
        <v>8990.515106834584</v>
      </c>
      <c r="I2947" s="21">
        <f t="shared" ca="1" si="495"/>
        <v>8991.2926111521829</v>
      </c>
      <c r="J2947" s="20">
        <f t="shared" ca="1" si="504"/>
        <v>3</v>
      </c>
      <c r="K2947" s="20">
        <f t="shared" ca="1" si="496"/>
        <v>1</v>
      </c>
      <c r="L2947" s="44">
        <f t="shared" ca="1" si="501"/>
        <v>2</v>
      </c>
    </row>
    <row r="2948" spans="1:12" x14ac:dyDescent="0.25">
      <c r="A2948" s="20">
        <v>2940</v>
      </c>
      <c r="B2948" s="21">
        <f t="shared" ca="1" si="497"/>
        <v>2.7665598078036076</v>
      </c>
      <c r="C2948" s="21">
        <f t="shared" ca="1" si="502"/>
        <v>8983.6142529095359</v>
      </c>
      <c r="D2948" s="21">
        <f t="shared" ca="1" si="498"/>
        <v>11.615771751106127</v>
      </c>
      <c r="E2948" s="21">
        <f t="shared" ca="1" si="505"/>
        <v>7.6783582426469366</v>
      </c>
      <c r="F2948" s="20" t="str">
        <f t="shared" ca="1" si="503"/>
        <v>No</v>
      </c>
      <c r="G2948" s="21">
        <f t="shared" ca="1" si="499"/>
        <v>0</v>
      </c>
      <c r="H2948" s="21">
        <f t="shared" ca="1" si="500"/>
        <v>8991.2926111521829</v>
      </c>
      <c r="I2948" s="21">
        <f t="shared" ca="1" si="495"/>
        <v>9002.9083829032897</v>
      </c>
      <c r="J2948" s="20">
        <f t="shared" ca="1" si="504"/>
        <v>2</v>
      </c>
      <c r="K2948" s="20">
        <f t="shared" ca="1" si="496"/>
        <v>2</v>
      </c>
      <c r="L2948" s="44">
        <f t="shared" ca="1" si="501"/>
        <v>2</v>
      </c>
    </row>
    <row r="2949" spans="1:12" x14ac:dyDescent="0.25">
      <c r="A2949" s="20">
        <v>2941</v>
      </c>
      <c r="B2949" s="21">
        <f t="shared" ca="1" si="497"/>
        <v>14.452870246429734</v>
      </c>
      <c r="C2949" s="21">
        <f t="shared" ca="1" si="502"/>
        <v>8998.0671231559663</v>
      </c>
      <c r="D2949" s="21">
        <f t="shared" ca="1" si="498"/>
        <v>2.3535016114482321</v>
      </c>
      <c r="E2949" s="21">
        <f t="shared" ca="1" si="505"/>
        <v>4.84125974732342</v>
      </c>
      <c r="F2949" s="20" t="str">
        <f t="shared" ca="1" si="503"/>
        <v>No</v>
      </c>
      <c r="G2949" s="21">
        <f t="shared" ca="1" si="499"/>
        <v>0</v>
      </c>
      <c r="H2949" s="21">
        <f t="shared" ca="1" si="500"/>
        <v>9002.9083829032897</v>
      </c>
      <c r="I2949" s="21">
        <f t="shared" ca="1" si="495"/>
        <v>9005.2618845147372</v>
      </c>
      <c r="J2949" s="20">
        <f t="shared" ca="1" si="504"/>
        <v>3</v>
      </c>
      <c r="K2949" s="20">
        <f t="shared" ca="1" si="496"/>
        <v>1</v>
      </c>
      <c r="L2949" s="44">
        <f t="shared" ca="1" si="501"/>
        <v>2</v>
      </c>
    </row>
    <row r="2950" spans="1:12" x14ac:dyDescent="0.25">
      <c r="A2950" s="20">
        <v>2942</v>
      </c>
      <c r="B2950" s="21">
        <f t="shared" ca="1" si="497"/>
        <v>3.5862806475700451</v>
      </c>
      <c r="C2950" s="21">
        <f t="shared" ca="1" si="502"/>
        <v>9001.653403803537</v>
      </c>
      <c r="D2950" s="21">
        <f t="shared" ca="1" si="498"/>
        <v>4.0872551646499584</v>
      </c>
      <c r="E2950" s="21">
        <f t="shared" ca="1" si="505"/>
        <v>3.6084807112001727</v>
      </c>
      <c r="F2950" s="20" t="str">
        <f t="shared" ca="1" si="503"/>
        <v>No</v>
      </c>
      <c r="G2950" s="21">
        <f t="shared" ca="1" si="499"/>
        <v>0</v>
      </c>
      <c r="H2950" s="21">
        <f t="shared" ca="1" si="500"/>
        <v>9005.2618845147372</v>
      </c>
      <c r="I2950" s="21">
        <f t="shared" ca="1" si="495"/>
        <v>9009.349139679387</v>
      </c>
      <c r="J2950" s="20">
        <f t="shared" ca="1" si="504"/>
        <v>2</v>
      </c>
      <c r="K2950" s="20">
        <f t="shared" ca="1" si="496"/>
        <v>0</v>
      </c>
      <c r="L2950" s="44">
        <f t="shared" ca="1" si="501"/>
        <v>1</v>
      </c>
    </row>
    <row r="2951" spans="1:12" x14ac:dyDescent="0.25">
      <c r="A2951" s="20">
        <v>2943</v>
      </c>
      <c r="B2951" s="21">
        <f t="shared" ca="1" si="497"/>
        <v>18.475785144618275</v>
      </c>
      <c r="C2951" s="21">
        <f t="shared" ca="1" si="502"/>
        <v>9020.1291889481545</v>
      </c>
      <c r="D2951" s="21">
        <f t="shared" ca="1" si="498"/>
        <v>0.65050015199010747</v>
      </c>
      <c r="E2951" s="21">
        <f t="shared" ca="1" si="505"/>
        <v>0</v>
      </c>
      <c r="F2951" s="20" t="str">
        <f t="shared" ca="1" si="503"/>
        <v>Yes</v>
      </c>
      <c r="G2951" s="21">
        <f t="shared" ca="1" si="499"/>
        <v>10.78004926876747</v>
      </c>
      <c r="H2951" s="21">
        <f t="shared" ca="1" si="500"/>
        <v>9020.1291889481545</v>
      </c>
      <c r="I2951" s="21">
        <f t="shared" ca="1" si="495"/>
        <v>9020.7796891001453</v>
      </c>
      <c r="J2951" s="20">
        <f t="shared" ca="1" si="504"/>
        <v>0</v>
      </c>
      <c r="K2951" s="20">
        <f t="shared" ca="1" si="496"/>
        <v>0</v>
      </c>
      <c r="L2951" s="44">
        <f t="shared" ca="1" si="501"/>
        <v>0</v>
      </c>
    </row>
    <row r="2952" spans="1:12" x14ac:dyDescent="0.25">
      <c r="A2952" s="20">
        <v>2944</v>
      </c>
      <c r="B2952" s="21">
        <f t="shared" ca="1" si="497"/>
        <v>9.498921401957535</v>
      </c>
      <c r="C2952" s="21">
        <f t="shared" ca="1" si="502"/>
        <v>9029.6281103501115</v>
      </c>
      <c r="D2952" s="21">
        <f t="shared" ca="1" si="498"/>
        <v>2.5320868144117323</v>
      </c>
      <c r="E2952" s="21">
        <f t="shared" ca="1" si="505"/>
        <v>0</v>
      </c>
      <c r="F2952" s="20" t="str">
        <f t="shared" ca="1" si="503"/>
        <v>Yes</v>
      </c>
      <c r="G2952" s="21">
        <f t="shared" ca="1" si="499"/>
        <v>8.8484212499661226</v>
      </c>
      <c r="H2952" s="21">
        <f t="shared" ca="1" si="500"/>
        <v>9029.6281103501115</v>
      </c>
      <c r="I2952" s="21">
        <f t="shared" ca="1" si="495"/>
        <v>9032.1601971645232</v>
      </c>
      <c r="J2952" s="20">
        <f t="shared" ca="1" si="504"/>
        <v>0</v>
      </c>
      <c r="K2952" s="20">
        <f t="shared" ca="1" si="496"/>
        <v>1</v>
      </c>
      <c r="L2952" s="44">
        <f t="shared" ca="1" si="501"/>
        <v>0.5</v>
      </c>
    </row>
    <row r="2953" spans="1:12" x14ac:dyDescent="0.25">
      <c r="A2953" s="20">
        <v>2945</v>
      </c>
      <c r="B2953" s="21">
        <f t="shared" ca="1" si="497"/>
        <v>1.7625615083975761</v>
      </c>
      <c r="C2953" s="21">
        <f t="shared" ca="1" si="502"/>
        <v>9031.3906718585094</v>
      </c>
      <c r="D2953" s="21">
        <f t="shared" ca="1" si="498"/>
        <v>1.2487809098350748</v>
      </c>
      <c r="E2953" s="21">
        <f t="shared" ca="1" si="505"/>
        <v>0.76952530601374747</v>
      </c>
      <c r="F2953" s="20" t="str">
        <f t="shared" ca="1" si="503"/>
        <v>No</v>
      </c>
      <c r="G2953" s="21">
        <f t="shared" ca="1" si="499"/>
        <v>0</v>
      </c>
      <c r="H2953" s="21">
        <f t="shared" ca="1" si="500"/>
        <v>9032.1601971645232</v>
      </c>
      <c r="I2953" s="21">
        <f t="shared" ref="I2953:I3016" ca="1" si="506">$H2953+$D2953</f>
        <v>9033.4089780743579</v>
      </c>
      <c r="J2953" s="20">
        <f t="shared" ca="1" si="504"/>
        <v>2</v>
      </c>
      <c r="K2953" s="20">
        <f t="shared" ref="K2953:K3016" ca="1" si="507">IF($I2953&lt;=$C2954,0,IF($I2953&lt;=$C2955,1,IF($I2953&lt;=$C2956,2,IF($I2953&lt;=$C2957,3,IF($I2953&lt;=$C2958,4,5)))))</f>
        <v>0</v>
      </c>
      <c r="L2953" s="44">
        <f t="shared" ca="1" si="501"/>
        <v>1</v>
      </c>
    </row>
    <row r="2954" spans="1:12" x14ac:dyDescent="0.25">
      <c r="A2954" s="20">
        <v>2946</v>
      </c>
      <c r="B2954" s="21">
        <f t="shared" ref="B2954:B3017" ca="1" si="508">-LN(RAND())/$D$4</f>
        <v>5.0668851087505269</v>
      </c>
      <c r="C2954" s="21">
        <f t="shared" ca="1" si="502"/>
        <v>9036.4575569672597</v>
      </c>
      <c r="D2954" s="21">
        <f t="shared" ref="D2954:D3017" ca="1" si="509">-LN(RAND())/$D$6</f>
        <v>6.3233048416240782</v>
      </c>
      <c r="E2954" s="21">
        <f t="shared" ca="1" si="505"/>
        <v>0</v>
      </c>
      <c r="F2954" s="20" t="str">
        <f t="shared" ca="1" si="503"/>
        <v>Yes</v>
      </c>
      <c r="G2954" s="21">
        <f t="shared" ref="G2954:G3017" ca="1" si="510">IF($I2953&lt;=$C2954,$C2954-$I2953,0)</f>
        <v>3.0485788929017872</v>
      </c>
      <c r="H2954" s="21">
        <f t="shared" ref="H2954:H3017" ca="1" si="511">IF($I2953&lt;=$C2954,$C2954,$I2953)</f>
        <v>9036.4575569672597</v>
      </c>
      <c r="I2954" s="21">
        <f t="shared" ca="1" si="506"/>
        <v>9042.7808618088839</v>
      </c>
      <c r="J2954" s="20">
        <f t="shared" ca="1" si="504"/>
        <v>0</v>
      </c>
      <c r="K2954" s="20">
        <f t="shared" ca="1" si="507"/>
        <v>5</v>
      </c>
      <c r="L2954" s="44">
        <f t="shared" ref="L2954:L3017" ca="1" si="512">(J2954+K2954)/2</f>
        <v>2.5</v>
      </c>
    </row>
    <row r="2955" spans="1:12" x14ac:dyDescent="0.25">
      <c r="A2955" s="20">
        <v>2947</v>
      </c>
      <c r="B2955" s="21">
        <f t="shared" ca="1" si="508"/>
        <v>0.55060111398218625</v>
      </c>
      <c r="C2955" s="21">
        <f t="shared" ref="C2955:C3018" ca="1" si="513">$C2954+$B2955</f>
        <v>9037.0081580812421</v>
      </c>
      <c r="D2955" s="21">
        <f t="shared" ca="1" si="509"/>
        <v>0.35686044589852844</v>
      </c>
      <c r="E2955" s="21">
        <f t="shared" ca="1" si="505"/>
        <v>5.7727037276417832</v>
      </c>
      <c r="F2955" s="20" t="str">
        <f t="shared" ref="F2955:F3018" ca="1" si="514">IF(E2955=0,"Yes","No")</f>
        <v>No</v>
      </c>
      <c r="G2955" s="21">
        <f t="shared" ca="1" si="510"/>
        <v>0</v>
      </c>
      <c r="H2955" s="21">
        <f t="shared" ca="1" si="511"/>
        <v>9042.7808618088839</v>
      </c>
      <c r="I2955" s="21">
        <f t="shared" ca="1" si="506"/>
        <v>9043.1377222547817</v>
      </c>
      <c r="J2955" s="20">
        <f t="shared" ref="J2955:J3018" ca="1" si="515">IF($I2954&lt;=$C2955,0,$K2954+1)</f>
        <v>6</v>
      </c>
      <c r="K2955" s="20">
        <f t="shared" ca="1" si="507"/>
        <v>5</v>
      </c>
      <c r="L2955" s="44">
        <f t="shared" ca="1" si="512"/>
        <v>5.5</v>
      </c>
    </row>
    <row r="2956" spans="1:12" x14ac:dyDescent="0.25">
      <c r="A2956" s="20">
        <v>2948</v>
      </c>
      <c r="B2956" s="21">
        <f t="shared" ca="1" si="508"/>
        <v>1.1061509583771674</v>
      </c>
      <c r="C2956" s="21">
        <f t="shared" ca="1" si="513"/>
        <v>9038.1143090396199</v>
      </c>
      <c r="D2956" s="21">
        <f t="shared" ca="1" si="509"/>
        <v>0.42123187377788612</v>
      </c>
      <c r="E2956" s="21">
        <f t="shared" ref="E2956:E3019" ca="1" si="516">IF($I2955&lt;=$C2956,0,$I2955-$C2956)</f>
        <v>5.0234132151617814</v>
      </c>
      <c r="F2956" s="20" t="str">
        <f t="shared" ca="1" si="514"/>
        <v>No</v>
      </c>
      <c r="G2956" s="21">
        <f t="shared" ca="1" si="510"/>
        <v>0</v>
      </c>
      <c r="H2956" s="21">
        <f t="shared" ca="1" si="511"/>
        <v>9043.1377222547817</v>
      </c>
      <c r="I2956" s="21">
        <f t="shared" ca="1" si="506"/>
        <v>9043.558954128559</v>
      </c>
      <c r="J2956" s="20">
        <f t="shared" ca="1" si="515"/>
        <v>6</v>
      </c>
      <c r="K2956" s="20">
        <f t="shared" ca="1" si="507"/>
        <v>4</v>
      </c>
      <c r="L2956" s="44">
        <f t="shared" ca="1" si="512"/>
        <v>5</v>
      </c>
    </row>
    <row r="2957" spans="1:12" x14ac:dyDescent="0.25">
      <c r="A2957" s="20">
        <v>2949</v>
      </c>
      <c r="B2957" s="21">
        <f t="shared" ca="1" si="508"/>
        <v>0.79508829570382311</v>
      </c>
      <c r="C2957" s="21">
        <f t="shared" ca="1" si="513"/>
        <v>9038.9093973353229</v>
      </c>
      <c r="D2957" s="21">
        <f t="shared" ca="1" si="509"/>
        <v>1.9603047286876167E-2</v>
      </c>
      <c r="E2957" s="21">
        <f t="shared" ca="1" si="516"/>
        <v>4.6495567932361155</v>
      </c>
      <c r="F2957" s="20" t="str">
        <f t="shared" ca="1" si="514"/>
        <v>No</v>
      </c>
      <c r="G2957" s="21">
        <f t="shared" ca="1" si="510"/>
        <v>0</v>
      </c>
      <c r="H2957" s="21">
        <f t="shared" ca="1" si="511"/>
        <v>9043.558954128559</v>
      </c>
      <c r="I2957" s="21">
        <f t="shared" ca="1" si="506"/>
        <v>9043.5785571758461</v>
      </c>
      <c r="J2957" s="20">
        <f t="shared" ca="1" si="515"/>
        <v>5</v>
      </c>
      <c r="K2957" s="20">
        <f t="shared" ca="1" si="507"/>
        <v>3</v>
      </c>
      <c r="L2957" s="44">
        <f t="shared" ca="1" si="512"/>
        <v>4</v>
      </c>
    </row>
    <row r="2958" spans="1:12" x14ac:dyDescent="0.25">
      <c r="A2958" s="20">
        <v>2950</v>
      </c>
      <c r="B2958" s="21">
        <f t="shared" ca="1" si="508"/>
        <v>0.77422469827145524</v>
      </c>
      <c r="C2958" s="21">
        <f t="shared" ca="1" si="513"/>
        <v>9039.6836220335936</v>
      </c>
      <c r="D2958" s="21">
        <f t="shared" ca="1" si="509"/>
        <v>4.4203585347476873</v>
      </c>
      <c r="E2958" s="21">
        <f t="shared" ca="1" si="516"/>
        <v>3.8949351422525069</v>
      </c>
      <c r="F2958" s="20" t="str">
        <f t="shared" ca="1" si="514"/>
        <v>No</v>
      </c>
      <c r="G2958" s="21">
        <f t="shared" ca="1" si="510"/>
        <v>0</v>
      </c>
      <c r="H2958" s="21">
        <f t="shared" ca="1" si="511"/>
        <v>9043.5785571758461</v>
      </c>
      <c r="I2958" s="21">
        <f t="shared" ca="1" si="506"/>
        <v>9047.9989157105938</v>
      </c>
      <c r="J2958" s="20">
        <f t="shared" ca="1" si="515"/>
        <v>4</v>
      </c>
      <c r="K2958" s="20">
        <f t="shared" ca="1" si="507"/>
        <v>4</v>
      </c>
      <c r="L2958" s="44">
        <f t="shared" ca="1" si="512"/>
        <v>4</v>
      </c>
    </row>
    <row r="2959" spans="1:12" x14ac:dyDescent="0.25">
      <c r="A2959" s="20">
        <v>2951</v>
      </c>
      <c r="B2959" s="21">
        <f t="shared" ca="1" si="508"/>
        <v>3.7737554868521879E-2</v>
      </c>
      <c r="C2959" s="21">
        <f t="shared" ca="1" si="513"/>
        <v>9039.7213595884623</v>
      </c>
      <c r="D2959" s="21">
        <f t="shared" ca="1" si="509"/>
        <v>3.4367871683789946</v>
      </c>
      <c r="E2959" s="21">
        <f t="shared" ca="1" si="516"/>
        <v>8.2775561221315002</v>
      </c>
      <c r="F2959" s="20" t="str">
        <f t="shared" ca="1" si="514"/>
        <v>No</v>
      </c>
      <c r="G2959" s="21">
        <f t="shared" ca="1" si="510"/>
        <v>0</v>
      </c>
      <c r="H2959" s="21">
        <f t="shared" ca="1" si="511"/>
        <v>9047.9989157105938</v>
      </c>
      <c r="I2959" s="21">
        <f t="shared" ca="1" si="506"/>
        <v>9051.4357028789727</v>
      </c>
      <c r="J2959" s="20">
        <f t="shared" ca="1" si="515"/>
        <v>5</v>
      </c>
      <c r="K2959" s="20">
        <f t="shared" ca="1" si="507"/>
        <v>4</v>
      </c>
      <c r="L2959" s="44">
        <f t="shared" ca="1" si="512"/>
        <v>4.5</v>
      </c>
    </row>
    <row r="2960" spans="1:12" x14ac:dyDescent="0.25">
      <c r="A2960" s="20">
        <v>2952</v>
      </c>
      <c r="B2960" s="21">
        <f t="shared" ca="1" si="508"/>
        <v>0.4912411186121422</v>
      </c>
      <c r="C2960" s="21">
        <f t="shared" ca="1" si="513"/>
        <v>9040.2126007070747</v>
      </c>
      <c r="D2960" s="21">
        <f t="shared" ca="1" si="509"/>
        <v>3.1997431826034171</v>
      </c>
      <c r="E2960" s="21">
        <f t="shared" ca="1" si="516"/>
        <v>11.223102171898063</v>
      </c>
      <c r="F2960" s="20" t="str">
        <f t="shared" ca="1" si="514"/>
        <v>No</v>
      </c>
      <c r="G2960" s="21">
        <f t="shared" ca="1" si="510"/>
        <v>0</v>
      </c>
      <c r="H2960" s="21">
        <f t="shared" ca="1" si="511"/>
        <v>9051.4357028789727</v>
      </c>
      <c r="I2960" s="21">
        <f t="shared" ca="1" si="506"/>
        <v>9054.6354460615767</v>
      </c>
      <c r="J2960" s="20">
        <f t="shared" ca="1" si="515"/>
        <v>5</v>
      </c>
      <c r="K2960" s="20">
        <f t="shared" ca="1" si="507"/>
        <v>4</v>
      </c>
      <c r="L2960" s="44">
        <f t="shared" ca="1" si="512"/>
        <v>4.5</v>
      </c>
    </row>
    <row r="2961" spans="1:12" x14ac:dyDescent="0.25">
      <c r="A2961" s="20">
        <v>2953</v>
      </c>
      <c r="B2961" s="21">
        <f t="shared" ca="1" si="508"/>
        <v>3.5256002510461162</v>
      </c>
      <c r="C2961" s="21">
        <f t="shared" ca="1" si="513"/>
        <v>9043.7382009581215</v>
      </c>
      <c r="D2961" s="21">
        <f t="shared" ca="1" si="509"/>
        <v>5.6358689872442378</v>
      </c>
      <c r="E2961" s="21">
        <f t="shared" ca="1" si="516"/>
        <v>10.897245103455134</v>
      </c>
      <c r="F2961" s="20" t="str">
        <f t="shared" ca="1" si="514"/>
        <v>No</v>
      </c>
      <c r="G2961" s="21">
        <f t="shared" ca="1" si="510"/>
        <v>0</v>
      </c>
      <c r="H2961" s="21">
        <f t="shared" ca="1" si="511"/>
        <v>9054.6354460615767</v>
      </c>
      <c r="I2961" s="21">
        <f t="shared" ca="1" si="506"/>
        <v>9060.2713150488216</v>
      </c>
      <c r="J2961" s="20">
        <f t="shared" ca="1" si="515"/>
        <v>5</v>
      </c>
      <c r="K2961" s="20">
        <f t="shared" ca="1" si="507"/>
        <v>3</v>
      </c>
      <c r="L2961" s="44">
        <f t="shared" ca="1" si="512"/>
        <v>4</v>
      </c>
    </row>
    <row r="2962" spans="1:12" x14ac:dyDescent="0.25">
      <c r="A2962" s="20">
        <v>2954</v>
      </c>
      <c r="B2962" s="21">
        <f t="shared" ca="1" si="508"/>
        <v>3.5620931446134017</v>
      </c>
      <c r="C2962" s="21">
        <f t="shared" ca="1" si="513"/>
        <v>9047.3002941027353</v>
      </c>
      <c r="D2962" s="21">
        <f t="shared" ca="1" si="509"/>
        <v>1.6726044046190081</v>
      </c>
      <c r="E2962" s="21">
        <f t="shared" ca="1" si="516"/>
        <v>12.971020946086355</v>
      </c>
      <c r="F2962" s="20" t="str">
        <f t="shared" ca="1" si="514"/>
        <v>No</v>
      </c>
      <c r="G2962" s="21">
        <f t="shared" ca="1" si="510"/>
        <v>0</v>
      </c>
      <c r="H2962" s="21">
        <f t="shared" ca="1" si="511"/>
        <v>9060.2713150488216</v>
      </c>
      <c r="I2962" s="21">
        <f t="shared" ca="1" si="506"/>
        <v>9061.9439194534407</v>
      </c>
      <c r="J2962" s="20">
        <f t="shared" ca="1" si="515"/>
        <v>4</v>
      </c>
      <c r="K2962" s="20">
        <f t="shared" ca="1" si="507"/>
        <v>2</v>
      </c>
      <c r="L2962" s="44">
        <f t="shared" ca="1" si="512"/>
        <v>3</v>
      </c>
    </row>
    <row r="2963" spans="1:12" x14ac:dyDescent="0.25">
      <c r="A2963" s="20">
        <v>2955</v>
      </c>
      <c r="B2963" s="21">
        <f t="shared" ca="1" si="508"/>
        <v>2.617088215931064</v>
      </c>
      <c r="C2963" s="21">
        <f t="shared" ca="1" si="513"/>
        <v>9049.9173823186666</v>
      </c>
      <c r="D2963" s="21">
        <f t="shared" ca="1" si="509"/>
        <v>6.5631610639761035</v>
      </c>
      <c r="E2963" s="21">
        <f t="shared" ca="1" si="516"/>
        <v>12.026537134774117</v>
      </c>
      <c r="F2963" s="20" t="str">
        <f t="shared" ca="1" si="514"/>
        <v>No</v>
      </c>
      <c r="G2963" s="21">
        <f t="shared" ca="1" si="510"/>
        <v>0</v>
      </c>
      <c r="H2963" s="21">
        <f t="shared" ca="1" si="511"/>
        <v>9061.9439194534407</v>
      </c>
      <c r="I2963" s="21">
        <f t="shared" ca="1" si="506"/>
        <v>9068.5070805174164</v>
      </c>
      <c r="J2963" s="20">
        <f t="shared" ca="1" si="515"/>
        <v>3</v>
      </c>
      <c r="K2963" s="20">
        <f t="shared" ca="1" si="507"/>
        <v>2</v>
      </c>
      <c r="L2963" s="44">
        <f t="shared" ca="1" si="512"/>
        <v>2.5</v>
      </c>
    </row>
    <row r="2964" spans="1:12" x14ac:dyDescent="0.25">
      <c r="A2964" s="20">
        <v>2956</v>
      </c>
      <c r="B2964" s="21">
        <f t="shared" ca="1" si="508"/>
        <v>2.8975896354755837</v>
      </c>
      <c r="C2964" s="21">
        <f t="shared" ca="1" si="513"/>
        <v>9052.8149719541416</v>
      </c>
      <c r="D2964" s="21">
        <f t="shared" ca="1" si="509"/>
        <v>0.18844157524303407</v>
      </c>
      <c r="E2964" s="21">
        <f t="shared" ca="1" si="516"/>
        <v>15.692108563274815</v>
      </c>
      <c r="F2964" s="20" t="str">
        <f t="shared" ca="1" si="514"/>
        <v>No</v>
      </c>
      <c r="G2964" s="21">
        <f t="shared" ca="1" si="510"/>
        <v>0</v>
      </c>
      <c r="H2964" s="21">
        <f t="shared" ca="1" si="511"/>
        <v>9068.5070805174164</v>
      </c>
      <c r="I2964" s="21">
        <f t="shared" ca="1" si="506"/>
        <v>9068.6955220926593</v>
      </c>
      <c r="J2964" s="20">
        <f t="shared" ca="1" si="515"/>
        <v>3</v>
      </c>
      <c r="K2964" s="20">
        <f t="shared" ca="1" si="507"/>
        <v>1</v>
      </c>
      <c r="L2964" s="44">
        <f t="shared" ca="1" si="512"/>
        <v>2</v>
      </c>
    </row>
    <row r="2965" spans="1:12" x14ac:dyDescent="0.25">
      <c r="A2965" s="20">
        <v>2957</v>
      </c>
      <c r="B2965" s="21">
        <f t="shared" ca="1" si="508"/>
        <v>13.194676251465777</v>
      </c>
      <c r="C2965" s="21">
        <f t="shared" ca="1" si="513"/>
        <v>9066.0096482056069</v>
      </c>
      <c r="D2965" s="21">
        <f t="shared" ca="1" si="509"/>
        <v>0.4933121956486417</v>
      </c>
      <c r="E2965" s="21">
        <f t="shared" ca="1" si="516"/>
        <v>2.6858738870523666</v>
      </c>
      <c r="F2965" s="20" t="str">
        <f t="shared" ca="1" si="514"/>
        <v>No</v>
      </c>
      <c r="G2965" s="21">
        <f t="shared" ca="1" si="510"/>
        <v>0</v>
      </c>
      <c r="H2965" s="21">
        <f t="shared" ca="1" si="511"/>
        <v>9068.6955220926593</v>
      </c>
      <c r="I2965" s="21">
        <f t="shared" ca="1" si="506"/>
        <v>9069.1888342883085</v>
      </c>
      <c r="J2965" s="20">
        <f t="shared" ca="1" si="515"/>
        <v>2</v>
      </c>
      <c r="K2965" s="20">
        <f t="shared" ca="1" si="507"/>
        <v>2</v>
      </c>
      <c r="L2965" s="44">
        <f t="shared" ca="1" si="512"/>
        <v>2</v>
      </c>
    </row>
    <row r="2966" spans="1:12" x14ac:dyDescent="0.25">
      <c r="A2966" s="20">
        <v>2958</v>
      </c>
      <c r="B2966" s="21">
        <f t="shared" ca="1" si="508"/>
        <v>2.8016913984291074</v>
      </c>
      <c r="C2966" s="21">
        <f t="shared" ca="1" si="513"/>
        <v>9068.8113396040353</v>
      </c>
      <c r="D2966" s="21">
        <f t="shared" ca="1" si="509"/>
        <v>0.12139481988166161</v>
      </c>
      <c r="E2966" s="21">
        <f t="shared" ca="1" si="516"/>
        <v>0.37749468427318789</v>
      </c>
      <c r="F2966" s="20" t="str">
        <f t="shared" ca="1" si="514"/>
        <v>No</v>
      </c>
      <c r="G2966" s="21">
        <f t="shared" ca="1" si="510"/>
        <v>0</v>
      </c>
      <c r="H2966" s="21">
        <f t="shared" ca="1" si="511"/>
        <v>9069.1888342883085</v>
      </c>
      <c r="I2966" s="21">
        <f t="shared" ca="1" si="506"/>
        <v>9069.3102291081905</v>
      </c>
      <c r="J2966" s="20">
        <f t="shared" ca="1" si="515"/>
        <v>3</v>
      </c>
      <c r="K2966" s="20">
        <f t="shared" ca="1" si="507"/>
        <v>1</v>
      </c>
      <c r="L2966" s="44">
        <f t="shared" ca="1" si="512"/>
        <v>2</v>
      </c>
    </row>
    <row r="2967" spans="1:12" x14ac:dyDescent="0.25">
      <c r="A2967" s="20">
        <v>2959</v>
      </c>
      <c r="B2967" s="21">
        <f t="shared" ca="1" si="508"/>
        <v>0.32417288383747339</v>
      </c>
      <c r="C2967" s="21">
        <f t="shared" ca="1" si="513"/>
        <v>9069.1355124878719</v>
      </c>
      <c r="D2967" s="21">
        <f t="shared" ca="1" si="509"/>
        <v>5.9187417210023838</v>
      </c>
      <c r="E2967" s="21">
        <f t="shared" ca="1" si="516"/>
        <v>0.17471662031857704</v>
      </c>
      <c r="F2967" s="20" t="str">
        <f t="shared" ca="1" si="514"/>
        <v>No</v>
      </c>
      <c r="G2967" s="21">
        <f t="shared" ca="1" si="510"/>
        <v>0</v>
      </c>
      <c r="H2967" s="21">
        <f t="shared" ca="1" si="511"/>
        <v>9069.3102291081905</v>
      </c>
      <c r="I2967" s="21">
        <f t="shared" ca="1" si="506"/>
        <v>9075.2289708291937</v>
      </c>
      <c r="J2967" s="20">
        <f t="shared" ca="1" si="515"/>
        <v>2</v>
      </c>
      <c r="K2967" s="20">
        <f t="shared" ca="1" si="507"/>
        <v>2</v>
      </c>
      <c r="L2967" s="44">
        <f t="shared" ca="1" si="512"/>
        <v>2</v>
      </c>
    </row>
    <row r="2968" spans="1:12" x14ac:dyDescent="0.25">
      <c r="A2968" s="20">
        <v>2960</v>
      </c>
      <c r="B2968" s="21">
        <f t="shared" ca="1" si="508"/>
        <v>0.92639368789731369</v>
      </c>
      <c r="C2968" s="21">
        <f t="shared" ca="1" si="513"/>
        <v>9070.0619061757698</v>
      </c>
      <c r="D2968" s="21">
        <f t="shared" ca="1" si="509"/>
        <v>1.9832089802137134</v>
      </c>
      <c r="E2968" s="21">
        <f t="shared" ca="1" si="516"/>
        <v>5.1670646534239495</v>
      </c>
      <c r="F2968" s="20" t="str">
        <f t="shared" ca="1" si="514"/>
        <v>No</v>
      </c>
      <c r="G2968" s="21">
        <f t="shared" ca="1" si="510"/>
        <v>0</v>
      </c>
      <c r="H2968" s="21">
        <f t="shared" ca="1" si="511"/>
        <v>9075.2289708291937</v>
      </c>
      <c r="I2968" s="21">
        <f t="shared" ca="1" si="506"/>
        <v>9077.2121798094067</v>
      </c>
      <c r="J2968" s="20">
        <f t="shared" ca="1" si="515"/>
        <v>3</v>
      </c>
      <c r="K2968" s="20">
        <f t="shared" ca="1" si="507"/>
        <v>1</v>
      </c>
      <c r="L2968" s="44">
        <f t="shared" ca="1" si="512"/>
        <v>2</v>
      </c>
    </row>
    <row r="2969" spans="1:12" x14ac:dyDescent="0.25">
      <c r="A2969" s="20">
        <v>2961</v>
      </c>
      <c r="B2969" s="21">
        <f t="shared" ca="1" si="508"/>
        <v>4.3969544839405001</v>
      </c>
      <c r="C2969" s="21">
        <f t="shared" ca="1" si="513"/>
        <v>9074.4588606597099</v>
      </c>
      <c r="D2969" s="21">
        <f t="shared" ca="1" si="509"/>
        <v>3.1307010946494351</v>
      </c>
      <c r="E2969" s="21">
        <f t="shared" ca="1" si="516"/>
        <v>2.7533191496968357</v>
      </c>
      <c r="F2969" s="20" t="str">
        <f t="shared" ca="1" si="514"/>
        <v>No</v>
      </c>
      <c r="G2969" s="21">
        <f t="shared" ca="1" si="510"/>
        <v>0</v>
      </c>
      <c r="H2969" s="21">
        <f t="shared" ca="1" si="511"/>
        <v>9077.2121798094067</v>
      </c>
      <c r="I2969" s="21">
        <f t="shared" ca="1" si="506"/>
        <v>9080.3428809040561</v>
      </c>
      <c r="J2969" s="20">
        <f t="shared" ca="1" si="515"/>
        <v>2</v>
      </c>
      <c r="K2969" s="20">
        <f t="shared" ca="1" si="507"/>
        <v>0</v>
      </c>
      <c r="L2969" s="44">
        <f t="shared" ca="1" si="512"/>
        <v>1</v>
      </c>
    </row>
    <row r="2970" spans="1:12" x14ac:dyDescent="0.25">
      <c r="A2970" s="20">
        <v>2962</v>
      </c>
      <c r="B2970" s="21">
        <f t="shared" ca="1" si="508"/>
        <v>17.846909087599389</v>
      </c>
      <c r="C2970" s="21">
        <f t="shared" ca="1" si="513"/>
        <v>9092.3057697473087</v>
      </c>
      <c r="D2970" s="21">
        <f t="shared" ca="1" si="509"/>
        <v>1.7124883236137163</v>
      </c>
      <c r="E2970" s="21">
        <f t="shared" ca="1" si="516"/>
        <v>0</v>
      </c>
      <c r="F2970" s="20" t="str">
        <f t="shared" ca="1" si="514"/>
        <v>Yes</v>
      </c>
      <c r="G2970" s="21">
        <f t="shared" ca="1" si="510"/>
        <v>11.962888843252586</v>
      </c>
      <c r="H2970" s="21">
        <f t="shared" ca="1" si="511"/>
        <v>9092.3057697473087</v>
      </c>
      <c r="I2970" s="21">
        <f t="shared" ca="1" si="506"/>
        <v>9094.0182580709225</v>
      </c>
      <c r="J2970" s="20">
        <f t="shared" ca="1" si="515"/>
        <v>0</v>
      </c>
      <c r="K2970" s="20">
        <f t="shared" ca="1" si="507"/>
        <v>1</v>
      </c>
      <c r="L2970" s="44">
        <f t="shared" ca="1" si="512"/>
        <v>0.5</v>
      </c>
    </row>
    <row r="2971" spans="1:12" x14ac:dyDescent="0.25">
      <c r="A2971" s="20">
        <v>2963</v>
      </c>
      <c r="B2971" s="21">
        <f t="shared" ca="1" si="508"/>
        <v>1.5854165045612316</v>
      </c>
      <c r="C2971" s="21">
        <f t="shared" ca="1" si="513"/>
        <v>9093.8911862518707</v>
      </c>
      <c r="D2971" s="21">
        <f t="shared" ca="1" si="509"/>
        <v>1.424963089718257</v>
      </c>
      <c r="E2971" s="21">
        <f t="shared" ca="1" si="516"/>
        <v>0.12707181905170728</v>
      </c>
      <c r="F2971" s="20" t="str">
        <f t="shared" ca="1" si="514"/>
        <v>No</v>
      </c>
      <c r="G2971" s="21">
        <f t="shared" ca="1" si="510"/>
        <v>0</v>
      </c>
      <c r="H2971" s="21">
        <f t="shared" ca="1" si="511"/>
        <v>9094.0182580709225</v>
      </c>
      <c r="I2971" s="21">
        <f t="shared" ca="1" si="506"/>
        <v>9095.44322116064</v>
      </c>
      <c r="J2971" s="20">
        <f t="shared" ca="1" si="515"/>
        <v>2</v>
      </c>
      <c r="K2971" s="20">
        <f t="shared" ca="1" si="507"/>
        <v>1</v>
      </c>
      <c r="L2971" s="44">
        <f t="shared" ca="1" si="512"/>
        <v>1.5</v>
      </c>
    </row>
    <row r="2972" spans="1:12" x14ac:dyDescent="0.25">
      <c r="A2972" s="20">
        <v>2964</v>
      </c>
      <c r="B2972" s="21">
        <f t="shared" ca="1" si="508"/>
        <v>1.1225321823910011</v>
      </c>
      <c r="C2972" s="21">
        <f t="shared" ca="1" si="513"/>
        <v>9095.013718434262</v>
      </c>
      <c r="D2972" s="21">
        <f t="shared" ca="1" si="509"/>
        <v>0.24128399413181045</v>
      </c>
      <c r="E2972" s="21">
        <f t="shared" ca="1" si="516"/>
        <v>0.42950272637790476</v>
      </c>
      <c r="F2972" s="20" t="str">
        <f t="shared" ca="1" si="514"/>
        <v>No</v>
      </c>
      <c r="G2972" s="21">
        <f t="shared" ca="1" si="510"/>
        <v>0</v>
      </c>
      <c r="H2972" s="21">
        <f t="shared" ca="1" si="511"/>
        <v>9095.44322116064</v>
      </c>
      <c r="I2972" s="21">
        <f t="shared" ca="1" si="506"/>
        <v>9095.6845051547716</v>
      </c>
      <c r="J2972" s="20">
        <f t="shared" ca="1" si="515"/>
        <v>2</v>
      </c>
      <c r="K2972" s="20">
        <f t="shared" ca="1" si="507"/>
        <v>0</v>
      </c>
      <c r="L2972" s="44">
        <f t="shared" ca="1" si="512"/>
        <v>1</v>
      </c>
    </row>
    <row r="2973" spans="1:12" x14ac:dyDescent="0.25">
      <c r="A2973" s="20">
        <v>2965</v>
      </c>
      <c r="B2973" s="21">
        <f t="shared" ca="1" si="508"/>
        <v>1.2505389376850542</v>
      </c>
      <c r="C2973" s="21">
        <f t="shared" ca="1" si="513"/>
        <v>9096.2642573719477</v>
      </c>
      <c r="D2973" s="21">
        <f t="shared" ca="1" si="509"/>
        <v>0.78484905353500944</v>
      </c>
      <c r="E2973" s="21">
        <f t="shared" ca="1" si="516"/>
        <v>0</v>
      </c>
      <c r="F2973" s="20" t="str">
        <f t="shared" ca="1" si="514"/>
        <v>Yes</v>
      </c>
      <c r="G2973" s="21">
        <f t="shared" ca="1" si="510"/>
        <v>0.57975221717606473</v>
      </c>
      <c r="H2973" s="21">
        <f t="shared" ca="1" si="511"/>
        <v>9096.2642573719477</v>
      </c>
      <c r="I2973" s="21">
        <f t="shared" ca="1" si="506"/>
        <v>9097.049106425482</v>
      </c>
      <c r="J2973" s="20">
        <f t="shared" ca="1" si="515"/>
        <v>0</v>
      </c>
      <c r="K2973" s="20">
        <f t="shared" ca="1" si="507"/>
        <v>0</v>
      </c>
      <c r="L2973" s="44">
        <f t="shared" ca="1" si="512"/>
        <v>0</v>
      </c>
    </row>
    <row r="2974" spans="1:12" x14ac:dyDescent="0.25">
      <c r="A2974" s="20">
        <v>2966</v>
      </c>
      <c r="B2974" s="21">
        <f t="shared" ca="1" si="508"/>
        <v>1.7469586184014643</v>
      </c>
      <c r="C2974" s="21">
        <f t="shared" ca="1" si="513"/>
        <v>9098.0112159903492</v>
      </c>
      <c r="D2974" s="21">
        <f t="shared" ca="1" si="509"/>
        <v>1.5151249446039734</v>
      </c>
      <c r="E2974" s="21">
        <f t="shared" ca="1" si="516"/>
        <v>0</v>
      </c>
      <c r="F2974" s="20" t="str">
        <f t="shared" ca="1" si="514"/>
        <v>Yes</v>
      </c>
      <c r="G2974" s="21">
        <f t="shared" ca="1" si="510"/>
        <v>0.96210956486720534</v>
      </c>
      <c r="H2974" s="21">
        <f t="shared" ca="1" si="511"/>
        <v>9098.0112159903492</v>
      </c>
      <c r="I2974" s="21">
        <f t="shared" ca="1" si="506"/>
        <v>9099.5263409349536</v>
      </c>
      <c r="J2974" s="20">
        <f t="shared" ca="1" si="515"/>
        <v>0</v>
      </c>
      <c r="K2974" s="20">
        <f t="shared" ca="1" si="507"/>
        <v>0</v>
      </c>
      <c r="L2974" s="44">
        <f t="shared" ca="1" si="512"/>
        <v>0</v>
      </c>
    </row>
    <row r="2975" spans="1:12" x14ac:dyDescent="0.25">
      <c r="A2975" s="20">
        <v>2967</v>
      </c>
      <c r="B2975" s="21">
        <f t="shared" ca="1" si="508"/>
        <v>4.2781248710106441</v>
      </c>
      <c r="C2975" s="21">
        <f t="shared" ca="1" si="513"/>
        <v>9102.28934086136</v>
      </c>
      <c r="D2975" s="21">
        <f t="shared" ca="1" si="509"/>
        <v>0.9338638476326907</v>
      </c>
      <c r="E2975" s="21">
        <f t="shared" ca="1" si="516"/>
        <v>0</v>
      </c>
      <c r="F2975" s="20" t="str">
        <f t="shared" ca="1" si="514"/>
        <v>Yes</v>
      </c>
      <c r="G2975" s="21">
        <f t="shared" ca="1" si="510"/>
        <v>2.7629999264063372</v>
      </c>
      <c r="H2975" s="21">
        <f t="shared" ca="1" si="511"/>
        <v>9102.28934086136</v>
      </c>
      <c r="I2975" s="21">
        <f t="shared" ca="1" si="506"/>
        <v>9103.2232047089929</v>
      </c>
      <c r="J2975" s="20">
        <f t="shared" ca="1" si="515"/>
        <v>0</v>
      </c>
      <c r="K2975" s="20">
        <f t="shared" ca="1" si="507"/>
        <v>1</v>
      </c>
      <c r="L2975" s="44">
        <f t="shared" ca="1" si="512"/>
        <v>0.5</v>
      </c>
    </row>
    <row r="2976" spans="1:12" x14ac:dyDescent="0.25">
      <c r="A2976" s="20">
        <v>2968</v>
      </c>
      <c r="B2976" s="21">
        <f t="shared" ca="1" si="508"/>
        <v>0.35610345025681439</v>
      </c>
      <c r="C2976" s="21">
        <f t="shared" ca="1" si="513"/>
        <v>9102.6454443116163</v>
      </c>
      <c r="D2976" s="21">
        <f t="shared" ca="1" si="509"/>
        <v>1.1653642890090623</v>
      </c>
      <c r="E2976" s="21">
        <f t="shared" ca="1" si="516"/>
        <v>0.57776039737655083</v>
      </c>
      <c r="F2976" s="20" t="str">
        <f t="shared" ca="1" si="514"/>
        <v>No</v>
      </c>
      <c r="G2976" s="21">
        <f t="shared" ca="1" si="510"/>
        <v>0</v>
      </c>
      <c r="H2976" s="21">
        <f t="shared" ca="1" si="511"/>
        <v>9103.2232047089929</v>
      </c>
      <c r="I2976" s="21">
        <f t="shared" ca="1" si="506"/>
        <v>9104.3885689980016</v>
      </c>
      <c r="J2976" s="20">
        <f t="shared" ca="1" si="515"/>
        <v>2</v>
      </c>
      <c r="K2976" s="20">
        <f t="shared" ca="1" si="507"/>
        <v>0</v>
      </c>
      <c r="L2976" s="44">
        <f t="shared" ca="1" si="512"/>
        <v>1</v>
      </c>
    </row>
    <row r="2977" spans="1:12" x14ac:dyDescent="0.25">
      <c r="A2977" s="20">
        <v>2969</v>
      </c>
      <c r="B2977" s="21">
        <f t="shared" ca="1" si="508"/>
        <v>11.63531544632427</v>
      </c>
      <c r="C2977" s="21">
        <f t="shared" ca="1" si="513"/>
        <v>9114.2807597579413</v>
      </c>
      <c r="D2977" s="21">
        <f t="shared" ca="1" si="509"/>
        <v>1.6494172966906344</v>
      </c>
      <c r="E2977" s="21">
        <f t="shared" ca="1" si="516"/>
        <v>0</v>
      </c>
      <c r="F2977" s="20" t="str">
        <f t="shared" ca="1" si="514"/>
        <v>Yes</v>
      </c>
      <c r="G2977" s="21">
        <f t="shared" ca="1" si="510"/>
        <v>9.8921907599396945</v>
      </c>
      <c r="H2977" s="21">
        <f t="shared" ca="1" si="511"/>
        <v>9114.2807597579413</v>
      </c>
      <c r="I2977" s="21">
        <f t="shared" ca="1" si="506"/>
        <v>9115.9301770546317</v>
      </c>
      <c r="J2977" s="20">
        <f t="shared" ca="1" si="515"/>
        <v>0</v>
      </c>
      <c r="K2977" s="20">
        <f t="shared" ca="1" si="507"/>
        <v>0</v>
      </c>
      <c r="L2977" s="44">
        <f t="shared" ca="1" si="512"/>
        <v>0</v>
      </c>
    </row>
    <row r="2978" spans="1:12" x14ac:dyDescent="0.25">
      <c r="A2978" s="20">
        <v>2970</v>
      </c>
      <c r="B2978" s="21">
        <f t="shared" ca="1" si="508"/>
        <v>2.6730022503689912</v>
      </c>
      <c r="C2978" s="21">
        <f t="shared" ca="1" si="513"/>
        <v>9116.9537620083102</v>
      </c>
      <c r="D2978" s="21">
        <f t="shared" ca="1" si="509"/>
        <v>3.3968062440217999</v>
      </c>
      <c r="E2978" s="21">
        <f t="shared" ca="1" si="516"/>
        <v>0</v>
      </c>
      <c r="F2978" s="20" t="str">
        <f t="shared" ca="1" si="514"/>
        <v>Yes</v>
      </c>
      <c r="G2978" s="21">
        <f t="shared" ca="1" si="510"/>
        <v>1.0235849536784372</v>
      </c>
      <c r="H2978" s="21">
        <f t="shared" ca="1" si="511"/>
        <v>9116.9537620083102</v>
      </c>
      <c r="I2978" s="21">
        <f t="shared" ca="1" si="506"/>
        <v>9120.3505682523319</v>
      </c>
      <c r="J2978" s="20">
        <f t="shared" ca="1" si="515"/>
        <v>0</v>
      </c>
      <c r="K2978" s="20">
        <f t="shared" ca="1" si="507"/>
        <v>1</v>
      </c>
      <c r="L2978" s="44">
        <f t="shared" ca="1" si="512"/>
        <v>0.5</v>
      </c>
    </row>
    <row r="2979" spans="1:12" x14ac:dyDescent="0.25">
      <c r="A2979" s="20">
        <v>2971</v>
      </c>
      <c r="B2979" s="21">
        <f t="shared" ca="1" si="508"/>
        <v>1.0526562348122601</v>
      </c>
      <c r="C2979" s="21">
        <f t="shared" ca="1" si="513"/>
        <v>9118.0064182431215</v>
      </c>
      <c r="D2979" s="21">
        <f t="shared" ca="1" si="509"/>
        <v>0.96602600519863524</v>
      </c>
      <c r="E2979" s="21">
        <f t="shared" ca="1" si="516"/>
        <v>2.3441500092103524</v>
      </c>
      <c r="F2979" s="20" t="str">
        <f t="shared" ca="1" si="514"/>
        <v>No</v>
      </c>
      <c r="G2979" s="21">
        <f t="shared" ca="1" si="510"/>
        <v>0</v>
      </c>
      <c r="H2979" s="21">
        <f t="shared" ca="1" si="511"/>
        <v>9120.3505682523319</v>
      </c>
      <c r="I2979" s="21">
        <f t="shared" ca="1" si="506"/>
        <v>9121.3165942575306</v>
      </c>
      <c r="J2979" s="20">
        <f t="shared" ca="1" si="515"/>
        <v>2</v>
      </c>
      <c r="K2979" s="20">
        <f t="shared" ca="1" si="507"/>
        <v>1</v>
      </c>
      <c r="L2979" s="44">
        <f t="shared" ca="1" si="512"/>
        <v>1.5</v>
      </c>
    </row>
    <row r="2980" spans="1:12" x14ac:dyDescent="0.25">
      <c r="A2980" s="20">
        <v>2972</v>
      </c>
      <c r="B2980" s="21">
        <f t="shared" ca="1" si="508"/>
        <v>2.4336897010913692</v>
      </c>
      <c r="C2980" s="21">
        <f t="shared" ca="1" si="513"/>
        <v>9120.4401079442123</v>
      </c>
      <c r="D2980" s="21">
        <f t="shared" ca="1" si="509"/>
        <v>0.20536715373869779</v>
      </c>
      <c r="E2980" s="21">
        <f t="shared" ca="1" si="516"/>
        <v>0.87648631331830984</v>
      </c>
      <c r="F2980" s="20" t="str">
        <f t="shared" ca="1" si="514"/>
        <v>No</v>
      </c>
      <c r="G2980" s="21">
        <f t="shared" ca="1" si="510"/>
        <v>0</v>
      </c>
      <c r="H2980" s="21">
        <f t="shared" ca="1" si="511"/>
        <v>9121.3165942575306</v>
      </c>
      <c r="I2980" s="21">
        <f t="shared" ca="1" si="506"/>
        <v>9121.5219614112684</v>
      </c>
      <c r="J2980" s="20">
        <f t="shared" ca="1" si="515"/>
        <v>2</v>
      </c>
      <c r="K2980" s="20">
        <f t="shared" ca="1" si="507"/>
        <v>0</v>
      </c>
      <c r="L2980" s="44">
        <f t="shared" ca="1" si="512"/>
        <v>1</v>
      </c>
    </row>
    <row r="2981" spans="1:12" x14ac:dyDescent="0.25">
      <c r="A2981" s="20">
        <v>2973</v>
      </c>
      <c r="B2981" s="21">
        <f t="shared" ca="1" si="508"/>
        <v>3.533157140538183</v>
      </c>
      <c r="C2981" s="21">
        <f t="shared" ca="1" si="513"/>
        <v>9123.9732650847509</v>
      </c>
      <c r="D2981" s="21">
        <f t="shared" ca="1" si="509"/>
        <v>6.5327039235245241</v>
      </c>
      <c r="E2981" s="21">
        <f t="shared" ca="1" si="516"/>
        <v>0</v>
      </c>
      <c r="F2981" s="20" t="str">
        <f t="shared" ca="1" si="514"/>
        <v>Yes</v>
      </c>
      <c r="G2981" s="21">
        <f t="shared" ca="1" si="510"/>
        <v>2.4513036734824709</v>
      </c>
      <c r="H2981" s="21">
        <f t="shared" ca="1" si="511"/>
        <v>9123.9732650847509</v>
      </c>
      <c r="I2981" s="21">
        <f t="shared" ca="1" si="506"/>
        <v>9130.5059690082762</v>
      </c>
      <c r="J2981" s="20">
        <f t="shared" ca="1" si="515"/>
        <v>0</v>
      </c>
      <c r="K2981" s="20">
        <f t="shared" ca="1" si="507"/>
        <v>0</v>
      </c>
      <c r="L2981" s="44">
        <f t="shared" ca="1" si="512"/>
        <v>0</v>
      </c>
    </row>
    <row r="2982" spans="1:12" x14ac:dyDescent="0.25">
      <c r="A2982" s="20">
        <v>2974</v>
      </c>
      <c r="B2982" s="21">
        <f t="shared" ca="1" si="508"/>
        <v>8.1097192979119033</v>
      </c>
      <c r="C2982" s="21">
        <f t="shared" ca="1" si="513"/>
        <v>9132.0829843826632</v>
      </c>
      <c r="D2982" s="21">
        <f t="shared" ca="1" si="509"/>
        <v>2.4537455700575816E-2</v>
      </c>
      <c r="E2982" s="21">
        <f t="shared" ca="1" si="516"/>
        <v>0</v>
      </c>
      <c r="F2982" s="20" t="str">
        <f t="shared" ca="1" si="514"/>
        <v>Yes</v>
      </c>
      <c r="G2982" s="21">
        <f t="shared" ca="1" si="510"/>
        <v>1.5770153743869741</v>
      </c>
      <c r="H2982" s="21">
        <f t="shared" ca="1" si="511"/>
        <v>9132.0829843826632</v>
      </c>
      <c r="I2982" s="21">
        <f t="shared" ca="1" si="506"/>
        <v>9132.107521838363</v>
      </c>
      <c r="J2982" s="20">
        <f t="shared" ca="1" si="515"/>
        <v>0</v>
      </c>
      <c r="K2982" s="20">
        <f t="shared" ca="1" si="507"/>
        <v>1</v>
      </c>
      <c r="L2982" s="44">
        <f t="shared" ca="1" si="512"/>
        <v>0.5</v>
      </c>
    </row>
    <row r="2983" spans="1:12" x14ac:dyDescent="0.25">
      <c r="A2983" s="20">
        <v>2975</v>
      </c>
      <c r="B2983" s="21">
        <f t="shared" ca="1" si="508"/>
        <v>7.0862383407064083E-3</v>
      </c>
      <c r="C2983" s="21">
        <f t="shared" ca="1" si="513"/>
        <v>9132.0900706210032</v>
      </c>
      <c r="D2983" s="21">
        <f t="shared" ca="1" si="509"/>
        <v>3.1590788586725873</v>
      </c>
      <c r="E2983" s="21">
        <f t="shared" ca="1" si="516"/>
        <v>1.745121735984867E-2</v>
      </c>
      <c r="F2983" s="20" t="str">
        <f t="shared" ca="1" si="514"/>
        <v>No</v>
      </c>
      <c r="G2983" s="21">
        <f t="shared" ca="1" si="510"/>
        <v>0</v>
      </c>
      <c r="H2983" s="21">
        <f t="shared" ca="1" si="511"/>
        <v>9132.107521838363</v>
      </c>
      <c r="I2983" s="21">
        <f t="shared" ca="1" si="506"/>
        <v>9135.2666006970358</v>
      </c>
      <c r="J2983" s="20">
        <f t="shared" ca="1" si="515"/>
        <v>2</v>
      </c>
      <c r="K2983" s="20">
        <f t="shared" ca="1" si="507"/>
        <v>2</v>
      </c>
      <c r="L2983" s="44">
        <f t="shared" ca="1" si="512"/>
        <v>2</v>
      </c>
    </row>
    <row r="2984" spans="1:12" x14ac:dyDescent="0.25">
      <c r="A2984" s="20">
        <v>2976</v>
      </c>
      <c r="B2984" s="21">
        <f t="shared" ca="1" si="508"/>
        <v>0.19933611663720835</v>
      </c>
      <c r="C2984" s="21">
        <f t="shared" ca="1" si="513"/>
        <v>9132.2894067376401</v>
      </c>
      <c r="D2984" s="21">
        <f t="shared" ca="1" si="509"/>
        <v>0.95403948861591781</v>
      </c>
      <c r="E2984" s="21">
        <f t="shared" ca="1" si="516"/>
        <v>2.9771939593956631</v>
      </c>
      <c r="F2984" s="20" t="str">
        <f t="shared" ca="1" si="514"/>
        <v>No</v>
      </c>
      <c r="G2984" s="21">
        <f t="shared" ca="1" si="510"/>
        <v>0</v>
      </c>
      <c r="H2984" s="21">
        <f t="shared" ca="1" si="511"/>
        <v>9135.2666006970358</v>
      </c>
      <c r="I2984" s="21">
        <f t="shared" ca="1" si="506"/>
        <v>9136.2206401856511</v>
      </c>
      <c r="J2984" s="20">
        <f t="shared" ca="1" si="515"/>
        <v>3</v>
      </c>
      <c r="K2984" s="20">
        <f t="shared" ca="1" si="507"/>
        <v>1</v>
      </c>
      <c r="L2984" s="44">
        <f t="shared" ca="1" si="512"/>
        <v>2</v>
      </c>
    </row>
    <row r="2985" spans="1:12" x14ac:dyDescent="0.25">
      <c r="A2985" s="20">
        <v>2977</v>
      </c>
      <c r="B2985" s="21">
        <f t="shared" ca="1" si="508"/>
        <v>1.3065989538952441</v>
      </c>
      <c r="C2985" s="21">
        <f t="shared" ca="1" si="513"/>
        <v>9133.5960056915355</v>
      </c>
      <c r="D2985" s="21">
        <f t="shared" ca="1" si="509"/>
        <v>8.3618081452049644</v>
      </c>
      <c r="E2985" s="21">
        <f t="shared" ca="1" si="516"/>
        <v>2.6246344941155257</v>
      </c>
      <c r="F2985" s="20" t="str">
        <f t="shared" ca="1" si="514"/>
        <v>No</v>
      </c>
      <c r="G2985" s="21">
        <f t="shared" ca="1" si="510"/>
        <v>0</v>
      </c>
      <c r="H2985" s="21">
        <f t="shared" ca="1" si="511"/>
        <v>9136.2206401856511</v>
      </c>
      <c r="I2985" s="21">
        <f t="shared" ca="1" si="506"/>
        <v>9144.5824483308552</v>
      </c>
      <c r="J2985" s="20">
        <f t="shared" ca="1" si="515"/>
        <v>2</v>
      </c>
      <c r="K2985" s="20">
        <f t="shared" ca="1" si="507"/>
        <v>3</v>
      </c>
      <c r="L2985" s="44">
        <f t="shared" ca="1" si="512"/>
        <v>2.5</v>
      </c>
    </row>
    <row r="2986" spans="1:12" x14ac:dyDescent="0.25">
      <c r="A2986" s="20">
        <v>2978</v>
      </c>
      <c r="B2986" s="21">
        <f t="shared" ca="1" si="508"/>
        <v>3.0973062168073038</v>
      </c>
      <c r="C2986" s="21">
        <f t="shared" ca="1" si="513"/>
        <v>9136.6933119083424</v>
      </c>
      <c r="D2986" s="21">
        <f t="shared" ca="1" si="509"/>
        <v>3.6371205486187894</v>
      </c>
      <c r="E2986" s="21">
        <f t="shared" ca="1" si="516"/>
        <v>7.88913642251282</v>
      </c>
      <c r="F2986" s="20" t="str">
        <f t="shared" ca="1" si="514"/>
        <v>No</v>
      </c>
      <c r="G2986" s="21">
        <f t="shared" ca="1" si="510"/>
        <v>0</v>
      </c>
      <c r="H2986" s="21">
        <f t="shared" ca="1" si="511"/>
        <v>9144.5824483308552</v>
      </c>
      <c r="I2986" s="21">
        <f t="shared" ca="1" si="506"/>
        <v>9148.2195688794745</v>
      </c>
      <c r="J2986" s="20">
        <f t="shared" ca="1" si="515"/>
        <v>4</v>
      </c>
      <c r="K2986" s="20">
        <f t="shared" ca="1" si="507"/>
        <v>4</v>
      </c>
      <c r="L2986" s="44">
        <f t="shared" ca="1" si="512"/>
        <v>4</v>
      </c>
    </row>
    <row r="2987" spans="1:12" x14ac:dyDescent="0.25">
      <c r="A2987" s="20">
        <v>2979</v>
      </c>
      <c r="B2987" s="21">
        <f t="shared" ca="1" si="508"/>
        <v>4.7297353851875812</v>
      </c>
      <c r="C2987" s="21">
        <f t="shared" ca="1" si="513"/>
        <v>9141.4230472935305</v>
      </c>
      <c r="D2987" s="21">
        <f t="shared" ca="1" si="509"/>
        <v>2.999009945339862</v>
      </c>
      <c r="E2987" s="21">
        <f t="shared" ca="1" si="516"/>
        <v>6.7965215859439922</v>
      </c>
      <c r="F2987" s="20" t="str">
        <f t="shared" ca="1" si="514"/>
        <v>No</v>
      </c>
      <c r="G2987" s="21">
        <f t="shared" ca="1" si="510"/>
        <v>0</v>
      </c>
      <c r="H2987" s="21">
        <f t="shared" ca="1" si="511"/>
        <v>9148.2195688794745</v>
      </c>
      <c r="I2987" s="21">
        <f t="shared" ca="1" si="506"/>
        <v>9151.2185788248153</v>
      </c>
      <c r="J2987" s="20">
        <f t="shared" ca="1" si="515"/>
        <v>5</v>
      </c>
      <c r="K2987" s="20">
        <f t="shared" ca="1" si="507"/>
        <v>3</v>
      </c>
      <c r="L2987" s="44">
        <f t="shared" ca="1" si="512"/>
        <v>4</v>
      </c>
    </row>
    <row r="2988" spans="1:12" x14ac:dyDescent="0.25">
      <c r="A2988" s="20">
        <v>2980</v>
      </c>
      <c r="B2988" s="21">
        <f t="shared" ca="1" si="508"/>
        <v>1.3207219304966524</v>
      </c>
      <c r="C2988" s="21">
        <f t="shared" ca="1" si="513"/>
        <v>9142.7437692240273</v>
      </c>
      <c r="D2988" s="21">
        <f t="shared" ca="1" si="509"/>
        <v>2.7793283824880888</v>
      </c>
      <c r="E2988" s="21">
        <f t="shared" ca="1" si="516"/>
        <v>8.4748096007879212</v>
      </c>
      <c r="F2988" s="20" t="str">
        <f t="shared" ca="1" si="514"/>
        <v>No</v>
      </c>
      <c r="G2988" s="21">
        <f t="shared" ca="1" si="510"/>
        <v>0</v>
      </c>
      <c r="H2988" s="21">
        <f t="shared" ca="1" si="511"/>
        <v>9151.2185788248153</v>
      </c>
      <c r="I2988" s="21">
        <f t="shared" ca="1" si="506"/>
        <v>9153.9979072073038</v>
      </c>
      <c r="J2988" s="20">
        <f t="shared" ca="1" si="515"/>
        <v>4</v>
      </c>
      <c r="K2988" s="20">
        <f t="shared" ca="1" si="507"/>
        <v>3</v>
      </c>
      <c r="L2988" s="44">
        <f t="shared" ca="1" si="512"/>
        <v>3.5</v>
      </c>
    </row>
    <row r="2989" spans="1:12" x14ac:dyDescent="0.25">
      <c r="A2989" s="20">
        <v>2981</v>
      </c>
      <c r="B2989" s="21">
        <f t="shared" ca="1" si="508"/>
        <v>2.4625248378568299</v>
      </c>
      <c r="C2989" s="21">
        <f t="shared" ca="1" si="513"/>
        <v>9145.2062940618835</v>
      </c>
      <c r="D2989" s="21">
        <f t="shared" ca="1" si="509"/>
        <v>0.71716338310583161</v>
      </c>
      <c r="E2989" s="21">
        <f t="shared" ca="1" si="516"/>
        <v>8.7916131454203423</v>
      </c>
      <c r="F2989" s="20" t="str">
        <f t="shared" ca="1" si="514"/>
        <v>No</v>
      </c>
      <c r="G2989" s="21">
        <f t="shared" ca="1" si="510"/>
        <v>0</v>
      </c>
      <c r="H2989" s="21">
        <f t="shared" ca="1" si="511"/>
        <v>9153.9979072073038</v>
      </c>
      <c r="I2989" s="21">
        <f t="shared" ca="1" si="506"/>
        <v>9154.7150705904096</v>
      </c>
      <c r="J2989" s="20">
        <f t="shared" ca="1" si="515"/>
        <v>4</v>
      </c>
      <c r="K2989" s="20">
        <f t="shared" ca="1" si="507"/>
        <v>2</v>
      </c>
      <c r="L2989" s="44">
        <f t="shared" ca="1" si="512"/>
        <v>3</v>
      </c>
    </row>
    <row r="2990" spans="1:12" x14ac:dyDescent="0.25">
      <c r="A2990" s="20">
        <v>2982</v>
      </c>
      <c r="B2990" s="21">
        <f t="shared" ca="1" si="508"/>
        <v>1.2762612737541592</v>
      </c>
      <c r="C2990" s="21">
        <f t="shared" ca="1" si="513"/>
        <v>9146.4825553356368</v>
      </c>
      <c r="D2990" s="21">
        <f t="shared" ca="1" si="509"/>
        <v>5.2128974951420854</v>
      </c>
      <c r="E2990" s="21">
        <f t="shared" ca="1" si="516"/>
        <v>8.2325152547728067</v>
      </c>
      <c r="F2990" s="20" t="str">
        <f t="shared" ca="1" si="514"/>
        <v>No</v>
      </c>
      <c r="G2990" s="21">
        <f t="shared" ca="1" si="510"/>
        <v>0</v>
      </c>
      <c r="H2990" s="21">
        <f t="shared" ca="1" si="511"/>
        <v>9154.7150705904096</v>
      </c>
      <c r="I2990" s="21">
        <f t="shared" ca="1" si="506"/>
        <v>9159.9279680855525</v>
      </c>
      <c r="J2990" s="20">
        <f t="shared" ca="1" si="515"/>
        <v>3</v>
      </c>
      <c r="K2990" s="20">
        <f t="shared" ca="1" si="507"/>
        <v>1</v>
      </c>
      <c r="L2990" s="44">
        <f t="shared" ca="1" si="512"/>
        <v>2</v>
      </c>
    </row>
    <row r="2991" spans="1:12" x14ac:dyDescent="0.25">
      <c r="A2991" s="20">
        <v>2983</v>
      </c>
      <c r="B2991" s="21">
        <f t="shared" ca="1" si="508"/>
        <v>7.1857336471104372</v>
      </c>
      <c r="C2991" s="21">
        <f t="shared" ca="1" si="513"/>
        <v>9153.668288982748</v>
      </c>
      <c r="D2991" s="21">
        <f t="shared" ca="1" si="509"/>
        <v>2.5790399136623474</v>
      </c>
      <c r="E2991" s="21">
        <f t="shared" ca="1" si="516"/>
        <v>6.2596791028045118</v>
      </c>
      <c r="F2991" s="20" t="str">
        <f t="shared" ca="1" si="514"/>
        <v>No</v>
      </c>
      <c r="G2991" s="21">
        <f t="shared" ca="1" si="510"/>
        <v>0</v>
      </c>
      <c r="H2991" s="21">
        <f t="shared" ca="1" si="511"/>
        <v>9159.9279680855525</v>
      </c>
      <c r="I2991" s="21">
        <f t="shared" ca="1" si="506"/>
        <v>9162.5070079992147</v>
      </c>
      <c r="J2991" s="20">
        <f t="shared" ca="1" si="515"/>
        <v>2</v>
      </c>
      <c r="K2991" s="20">
        <f t="shared" ca="1" si="507"/>
        <v>0</v>
      </c>
      <c r="L2991" s="44">
        <f t="shared" ca="1" si="512"/>
        <v>1</v>
      </c>
    </row>
    <row r="2992" spans="1:12" x14ac:dyDescent="0.25">
      <c r="A2992" s="20">
        <v>2984</v>
      </c>
      <c r="B2992" s="21">
        <f t="shared" ca="1" si="508"/>
        <v>10.831235458098893</v>
      </c>
      <c r="C2992" s="21">
        <f t="shared" ca="1" si="513"/>
        <v>9164.4995244408474</v>
      </c>
      <c r="D2992" s="21">
        <f t="shared" ca="1" si="509"/>
        <v>0.74127243492571693</v>
      </c>
      <c r="E2992" s="21">
        <f t="shared" ca="1" si="516"/>
        <v>0</v>
      </c>
      <c r="F2992" s="20" t="str">
        <f t="shared" ca="1" si="514"/>
        <v>Yes</v>
      </c>
      <c r="G2992" s="21">
        <f t="shared" ca="1" si="510"/>
        <v>1.9925164416326879</v>
      </c>
      <c r="H2992" s="21">
        <f t="shared" ca="1" si="511"/>
        <v>9164.4995244408474</v>
      </c>
      <c r="I2992" s="21">
        <f t="shared" ca="1" si="506"/>
        <v>9165.2407968757725</v>
      </c>
      <c r="J2992" s="20">
        <f t="shared" ca="1" si="515"/>
        <v>0</v>
      </c>
      <c r="K2992" s="20">
        <f t="shared" ca="1" si="507"/>
        <v>1</v>
      </c>
      <c r="L2992" s="44">
        <f t="shared" ca="1" si="512"/>
        <v>0.5</v>
      </c>
    </row>
    <row r="2993" spans="1:12" x14ac:dyDescent="0.25">
      <c r="A2993" s="20">
        <v>2985</v>
      </c>
      <c r="B2993" s="21">
        <f t="shared" ca="1" si="508"/>
        <v>9.1262326407704028E-2</v>
      </c>
      <c r="C2993" s="21">
        <f t="shared" ca="1" si="513"/>
        <v>9164.5907867672558</v>
      </c>
      <c r="D2993" s="21">
        <f t="shared" ca="1" si="509"/>
        <v>2.0325713171541722</v>
      </c>
      <c r="E2993" s="21">
        <f t="shared" ca="1" si="516"/>
        <v>0.65001010851665342</v>
      </c>
      <c r="F2993" s="20" t="str">
        <f t="shared" ca="1" si="514"/>
        <v>No</v>
      </c>
      <c r="G2993" s="21">
        <f t="shared" ca="1" si="510"/>
        <v>0</v>
      </c>
      <c r="H2993" s="21">
        <f t="shared" ca="1" si="511"/>
        <v>9165.2407968757725</v>
      </c>
      <c r="I2993" s="21">
        <f t="shared" ca="1" si="506"/>
        <v>9167.2733681929258</v>
      </c>
      <c r="J2993" s="20">
        <f t="shared" ca="1" si="515"/>
        <v>2</v>
      </c>
      <c r="K2993" s="20">
        <f t="shared" ca="1" si="507"/>
        <v>0</v>
      </c>
      <c r="L2993" s="44">
        <f t="shared" ca="1" si="512"/>
        <v>1</v>
      </c>
    </row>
    <row r="2994" spans="1:12" x14ac:dyDescent="0.25">
      <c r="A2994" s="20">
        <v>2986</v>
      </c>
      <c r="B2994" s="21">
        <f t="shared" ca="1" si="508"/>
        <v>3.0412547099031468</v>
      </c>
      <c r="C2994" s="21">
        <f t="shared" ca="1" si="513"/>
        <v>9167.6320414771599</v>
      </c>
      <c r="D2994" s="21">
        <f t="shared" ca="1" si="509"/>
        <v>4.9306795212802994</v>
      </c>
      <c r="E2994" s="21">
        <f t="shared" ca="1" si="516"/>
        <v>0</v>
      </c>
      <c r="F2994" s="20" t="str">
        <f t="shared" ca="1" si="514"/>
        <v>Yes</v>
      </c>
      <c r="G2994" s="21">
        <f t="shared" ca="1" si="510"/>
        <v>0.35867328423410072</v>
      </c>
      <c r="H2994" s="21">
        <f t="shared" ca="1" si="511"/>
        <v>9167.6320414771599</v>
      </c>
      <c r="I2994" s="21">
        <f t="shared" ca="1" si="506"/>
        <v>9172.5627209984395</v>
      </c>
      <c r="J2994" s="20">
        <f t="shared" ca="1" si="515"/>
        <v>0</v>
      </c>
      <c r="K2994" s="20">
        <f t="shared" ca="1" si="507"/>
        <v>0</v>
      </c>
      <c r="L2994" s="44">
        <f t="shared" ca="1" si="512"/>
        <v>0</v>
      </c>
    </row>
    <row r="2995" spans="1:12" x14ac:dyDescent="0.25">
      <c r="A2995" s="20">
        <v>2987</v>
      </c>
      <c r="B2995" s="21">
        <f t="shared" ca="1" si="508"/>
        <v>6.7837857669636739</v>
      </c>
      <c r="C2995" s="21">
        <f t="shared" ca="1" si="513"/>
        <v>9174.4158272441236</v>
      </c>
      <c r="D2995" s="21">
        <f t="shared" ca="1" si="509"/>
        <v>0.35050514418508877</v>
      </c>
      <c r="E2995" s="21">
        <f t="shared" ca="1" si="516"/>
        <v>0</v>
      </c>
      <c r="F2995" s="20" t="str">
        <f t="shared" ca="1" si="514"/>
        <v>Yes</v>
      </c>
      <c r="G2995" s="21">
        <f t="shared" ca="1" si="510"/>
        <v>1.8531062456841028</v>
      </c>
      <c r="H2995" s="21">
        <f t="shared" ca="1" si="511"/>
        <v>9174.4158272441236</v>
      </c>
      <c r="I2995" s="21">
        <f t="shared" ca="1" si="506"/>
        <v>9174.766332388308</v>
      </c>
      <c r="J2995" s="20">
        <f t="shared" ca="1" si="515"/>
        <v>0</v>
      </c>
      <c r="K2995" s="20">
        <f t="shared" ca="1" si="507"/>
        <v>0</v>
      </c>
      <c r="L2995" s="44">
        <f t="shared" ca="1" si="512"/>
        <v>0</v>
      </c>
    </row>
    <row r="2996" spans="1:12" x14ac:dyDescent="0.25">
      <c r="A2996" s="20">
        <v>2988</v>
      </c>
      <c r="B2996" s="21">
        <f t="shared" ca="1" si="508"/>
        <v>5.242110844918904</v>
      </c>
      <c r="C2996" s="21">
        <f t="shared" ca="1" si="513"/>
        <v>9179.6579380890435</v>
      </c>
      <c r="D2996" s="21">
        <f t="shared" ca="1" si="509"/>
        <v>2.2977905402756371</v>
      </c>
      <c r="E2996" s="21">
        <f t="shared" ca="1" si="516"/>
        <v>0</v>
      </c>
      <c r="F2996" s="20" t="str">
        <f t="shared" ca="1" si="514"/>
        <v>Yes</v>
      </c>
      <c r="G2996" s="21">
        <f t="shared" ca="1" si="510"/>
        <v>4.8916057007354539</v>
      </c>
      <c r="H2996" s="21">
        <f t="shared" ca="1" si="511"/>
        <v>9179.6579380890435</v>
      </c>
      <c r="I2996" s="21">
        <f t="shared" ca="1" si="506"/>
        <v>9181.9557286293184</v>
      </c>
      <c r="J2996" s="20">
        <f t="shared" ca="1" si="515"/>
        <v>0</v>
      </c>
      <c r="K2996" s="20">
        <f t="shared" ca="1" si="507"/>
        <v>0</v>
      </c>
      <c r="L2996" s="44">
        <f t="shared" ca="1" si="512"/>
        <v>0</v>
      </c>
    </row>
    <row r="2997" spans="1:12" x14ac:dyDescent="0.25">
      <c r="A2997" s="20">
        <v>2989</v>
      </c>
      <c r="B2997" s="21">
        <f t="shared" ca="1" si="508"/>
        <v>3.4443801117095538</v>
      </c>
      <c r="C2997" s="21">
        <f t="shared" ca="1" si="513"/>
        <v>9183.1023182007539</v>
      </c>
      <c r="D2997" s="21">
        <f t="shared" ca="1" si="509"/>
        <v>0.14555046992244655</v>
      </c>
      <c r="E2997" s="21">
        <f t="shared" ca="1" si="516"/>
        <v>0</v>
      </c>
      <c r="F2997" s="20" t="str">
        <f t="shared" ca="1" si="514"/>
        <v>Yes</v>
      </c>
      <c r="G2997" s="21">
        <f t="shared" ca="1" si="510"/>
        <v>1.1465895714354701</v>
      </c>
      <c r="H2997" s="21">
        <f t="shared" ca="1" si="511"/>
        <v>9183.1023182007539</v>
      </c>
      <c r="I2997" s="21">
        <f t="shared" ca="1" si="506"/>
        <v>9183.2478686706763</v>
      </c>
      <c r="J2997" s="20">
        <f t="shared" ca="1" si="515"/>
        <v>0</v>
      </c>
      <c r="K2997" s="20">
        <f t="shared" ca="1" si="507"/>
        <v>0</v>
      </c>
      <c r="L2997" s="44">
        <f t="shared" ca="1" si="512"/>
        <v>0</v>
      </c>
    </row>
    <row r="2998" spans="1:12" x14ac:dyDescent="0.25">
      <c r="A2998" s="20">
        <v>2990</v>
      </c>
      <c r="B2998" s="21">
        <f t="shared" ca="1" si="508"/>
        <v>2.200195504958935</v>
      </c>
      <c r="C2998" s="21">
        <f t="shared" ca="1" si="513"/>
        <v>9185.302513705712</v>
      </c>
      <c r="D2998" s="21">
        <f t="shared" ca="1" si="509"/>
        <v>0.17634352089207489</v>
      </c>
      <c r="E2998" s="21">
        <f t="shared" ca="1" si="516"/>
        <v>0</v>
      </c>
      <c r="F2998" s="20" t="str">
        <f t="shared" ca="1" si="514"/>
        <v>Yes</v>
      </c>
      <c r="G2998" s="21">
        <f t="shared" ca="1" si="510"/>
        <v>2.054645035035719</v>
      </c>
      <c r="H2998" s="21">
        <f t="shared" ca="1" si="511"/>
        <v>9185.302513705712</v>
      </c>
      <c r="I2998" s="21">
        <f t="shared" ca="1" si="506"/>
        <v>9185.4788572266043</v>
      </c>
      <c r="J2998" s="20">
        <f t="shared" ca="1" si="515"/>
        <v>0</v>
      </c>
      <c r="K2998" s="20">
        <f t="shared" ca="1" si="507"/>
        <v>0</v>
      </c>
      <c r="L2998" s="44">
        <f t="shared" ca="1" si="512"/>
        <v>0</v>
      </c>
    </row>
    <row r="2999" spans="1:12" x14ac:dyDescent="0.25">
      <c r="A2999" s="20">
        <v>2991</v>
      </c>
      <c r="B2999" s="21">
        <f t="shared" ca="1" si="508"/>
        <v>0.21768321696161747</v>
      </c>
      <c r="C2999" s="21">
        <f t="shared" ca="1" si="513"/>
        <v>9185.5201969226728</v>
      </c>
      <c r="D2999" s="21">
        <f t="shared" ca="1" si="509"/>
        <v>0.29295416719659256</v>
      </c>
      <c r="E2999" s="21">
        <f t="shared" ca="1" si="516"/>
        <v>0</v>
      </c>
      <c r="F2999" s="20" t="str">
        <f t="shared" ca="1" si="514"/>
        <v>Yes</v>
      </c>
      <c r="G2999" s="21">
        <f t="shared" ca="1" si="510"/>
        <v>4.1339696068462217E-2</v>
      </c>
      <c r="H2999" s="21">
        <f t="shared" ca="1" si="511"/>
        <v>9185.5201969226728</v>
      </c>
      <c r="I2999" s="21">
        <f t="shared" ca="1" si="506"/>
        <v>9185.8131510898693</v>
      </c>
      <c r="J2999" s="20">
        <f t="shared" ca="1" si="515"/>
        <v>0</v>
      </c>
      <c r="K2999" s="20">
        <f t="shared" ca="1" si="507"/>
        <v>1</v>
      </c>
      <c r="L2999" s="44">
        <f t="shared" ca="1" si="512"/>
        <v>0.5</v>
      </c>
    </row>
    <row r="3000" spans="1:12" x14ac:dyDescent="0.25">
      <c r="A3000" s="20">
        <v>2992</v>
      </c>
      <c r="B3000" s="21">
        <f t="shared" ca="1" si="508"/>
        <v>0.27862799507601377</v>
      </c>
      <c r="C3000" s="21">
        <f t="shared" ca="1" si="513"/>
        <v>9185.7988249177488</v>
      </c>
      <c r="D3000" s="21">
        <f t="shared" ca="1" si="509"/>
        <v>2.6434075992757515</v>
      </c>
      <c r="E3000" s="21">
        <f t="shared" ca="1" si="516"/>
        <v>1.432617212049081E-2</v>
      </c>
      <c r="F3000" s="20" t="str">
        <f t="shared" ca="1" si="514"/>
        <v>No</v>
      </c>
      <c r="G3000" s="21">
        <f t="shared" ca="1" si="510"/>
        <v>0</v>
      </c>
      <c r="H3000" s="21">
        <f t="shared" ca="1" si="511"/>
        <v>9185.8131510898693</v>
      </c>
      <c r="I3000" s="21">
        <f t="shared" ca="1" si="506"/>
        <v>9188.4565586891458</v>
      </c>
      <c r="J3000" s="20">
        <f t="shared" ca="1" si="515"/>
        <v>2</v>
      </c>
      <c r="K3000" s="20">
        <f t="shared" ca="1" si="507"/>
        <v>1</v>
      </c>
      <c r="L3000" s="44">
        <f t="shared" ca="1" si="512"/>
        <v>1.5</v>
      </c>
    </row>
    <row r="3001" spans="1:12" x14ac:dyDescent="0.25">
      <c r="A3001" s="20">
        <v>2993</v>
      </c>
      <c r="B3001" s="21">
        <f t="shared" ca="1" si="508"/>
        <v>0.69310234669487203</v>
      </c>
      <c r="C3001" s="21">
        <f t="shared" ca="1" si="513"/>
        <v>9186.4919272644438</v>
      </c>
      <c r="D3001" s="21">
        <f t="shared" ca="1" si="509"/>
        <v>4.1452147491640101</v>
      </c>
      <c r="E3001" s="21">
        <f t="shared" ca="1" si="516"/>
        <v>1.96463142470202</v>
      </c>
      <c r="F3001" s="20" t="str">
        <f t="shared" ca="1" si="514"/>
        <v>No</v>
      </c>
      <c r="G3001" s="21">
        <f t="shared" ca="1" si="510"/>
        <v>0</v>
      </c>
      <c r="H3001" s="21">
        <f t="shared" ca="1" si="511"/>
        <v>9188.4565586891458</v>
      </c>
      <c r="I3001" s="21">
        <f t="shared" ca="1" si="506"/>
        <v>9192.6017734383095</v>
      </c>
      <c r="J3001" s="20">
        <f t="shared" ca="1" si="515"/>
        <v>2</v>
      </c>
      <c r="K3001" s="20">
        <f t="shared" ca="1" si="507"/>
        <v>1</v>
      </c>
      <c r="L3001" s="44">
        <f t="shared" ca="1" si="512"/>
        <v>1.5</v>
      </c>
    </row>
    <row r="3002" spans="1:12" x14ac:dyDescent="0.25">
      <c r="A3002" s="20">
        <v>2994</v>
      </c>
      <c r="B3002" s="21">
        <f t="shared" ca="1" si="508"/>
        <v>5.6353300719350656</v>
      </c>
      <c r="C3002" s="21">
        <f t="shared" ca="1" si="513"/>
        <v>9192.1272573363785</v>
      </c>
      <c r="D3002" s="21">
        <f t="shared" ca="1" si="509"/>
        <v>0.26695554405049793</v>
      </c>
      <c r="E3002" s="21">
        <f t="shared" ca="1" si="516"/>
        <v>0.47451610193093074</v>
      </c>
      <c r="F3002" s="20" t="str">
        <f t="shared" ca="1" si="514"/>
        <v>No</v>
      </c>
      <c r="G3002" s="21">
        <f t="shared" ca="1" si="510"/>
        <v>0</v>
      </c>
      <c r="H3002" s="21">
        <f t="shared" ca="1" si="511"/>
        <v>9192.6017734383095</v>
      </c>
      <c r="I3002" s="21">
        <f t="shared" ca="1" si="506"/>
        <v>9192.8687289823592</v>
      </c>
      <c r="J3002" s="20">
        <f t="shared" ca="1" si="515"/>
        <v>2</v>
      </c>
      <c r="K3002" s="20">
        <f t="shared" ca="1" si="507"/>
        <v>1</v>
      </c>
      <c r="L3002" s="44">
        <f t="shared" ca="1" si="512"/>
        <v>1.5</v>
      </c>
    </row>
    <row r="3003" spans="1:12" x14ac:dyDescent="0.25">
      <c r="A3003" s="20">
        <v>2995</v>
      </c>
      <c r="B3003" s="21">
        <f t="shared" ca="1" si="508"/>
        <v>0.70953595185772933</v>
      </c>
      <c r="C3003" s="21">
        <f t="shared" ca="1" si="513"/>
        <v>9192.8367932882356</v>
      </c>
      <c r="D3003" s="21">
        <f t="shared" ca="1" si="509"/>
        <v>9.8274794580918687</v>
      </c>
      <c r="E3003" s="21">
        <f t="shared" ca="1" si="516"/>
        <v>3.1935694123603753E-2</v>
      </c>
      <c r="F3003" s="20" t="str">
        <f t="shared" ca="1" si="514"/>
        <v>No</v>
      </c>
      <c r="G3003" s="21">
        <f t="shared" ca="1" si="510"/>
        <v>0</v>
      </c>
      <c r="H3003" s="21">
        <f t="shared" ca="1" si="511"/>
        <v>9192.8687289823592</v>
      </c>
      <c r="I3003" s="21">
        <f t="shared" ca="1" si="506"/>
        <v>9202.6962084404513</v>
      </c>
      <c r="J3003" s="20">
        <f t="shared" ca="1" si="515"/>
        <v>2</v>
      </c>
      <c r="K3003" s="20">
        <f t="shared" ca="1" si="507"/>
        <v>3</v>
      </c>
      <c r="L3003" s="44">
        <f t="shared" ca="1" si="512"/>
        <v>2.5</v>
      </c>
    </row>
    <row r="3004" spans="1:12" x14ac:dyDescent="0.25">
      <c r="A3004" s="20">
        <v>2996</v>
      </c>
      <c r="B3004" s="21">
        <f t="shared" ca="1" si="508"/>
        <v>2.3895048687056293</v>
      </c>
      <c r="C3004" s="21">
        <f t="shared" ca="1" si="513"/>
        <v>9195.226298156942</v>
      </c>
      <c r="D3004" s="21">
        <f t="shared" ca="1" si="509"/>
        <v>1.2845164182791726</v>
      </c>
      <c r="E3004" s="21">
        <f t="shared" ca="1" si="516"/>
        <v>7.4699102835093072</v>
      </c>
      <c r="F3004" s="20" t="str">
        <f t="shared" ca="1" si="514"/>
        <v>No</v>
      </c>
      <c r="G3004" s="21">
        <f t="shared" ca="1" si="510"/>
        <v>0</v>
      </c>
      <c r="H3004" s="21">
        <f t="shared" ca="1" si="511"/>
        <v>9202.6962084404513</v>
      </c>
      <c r="I3004" s="21">
        <f t="shared" ca="1" si="506"/>
        <v>9203.9807248587313</v>
      </c>
      <c r="J3004" s="20">
        <f t="shared" ca="1" si="515"/>
        <v>4</v>
      </c>
      <c r="K3004" s="20">
        <f t="shared" ca="1" si="507"/>
        <v>2</v>
      </c>
      <c r="L3004" s="44">
        <f t="shared" ca="1" si="512"/>
        <v>3</v>
      </c>
    </row>
    <row r="3005" spans="1:12" x14ac:dyDescent="0.25">
      <c r="A3005" s="20">
        <v>2997</v>
      </c>
      <c r="B3005" s="21">
        <f t="shared" ca="1" si="508"/>
        <v>5.6336279206688156</v>
      </c>
      <c r="C3005" s="21">
        <f t="shared" ca="1" si="513"/>
        <v>9200.85992607761</v>
      </c>
      <c r="D3005" s="21">
        <f t="shared" ca="1" si="509"/>
        <v>0.6588864453762735</v>
      </c>
      <c r="E3005" s="21">
        <f t="shared" ca="1" si="516"/>
        <v>3.1207987811212661</v>
      </c>
      <c r="F3005" s="20" t="str">
        <f t="shared" ca="1" si="514"/>
        <v>No</v>
      </c>
      <c r="G3005" s="21">
        <f t="shared" ca="1" si="510"/>
        <v>0</v>
      </c>
      <c r="H3005" s="21">
        <f t="shared" ca="1" si="511"/>
        <v>9203.9807248587313</v>
      </c>
      <c r="I3005" s="21">
        <f t="shared" ca="1" si="506"/>
        <v>9204.6396113041083</v>
      </c>
      <c r="J3005" s="20">
        <f t="shared" ca="1" si="515"/>
        <v>3</v>
      </c>
      <c r="K3005" s="20">
        <f t="shared" ca="1" si="507"/>
        <v>1</v>
      </c>
      <c r="L3005" s="44">
        <f t="shared" ca="1" si="512"/>
        <v>2</v>
      </c>
    </row>
    <row r="3006" spans="1:12" x14ac:dyDescent="0.25">
      <c r="A3006" s="20">
        <v>2998</v>
      </c>
      <c r="B3006" s="21">
        <f t="shared" ca="1" si="508"/>
        <v>1.5046795867951708</v>
      </c>
      <c r="C3006" s="21">
        <f t="shared" ca="1" si="513"/>
        <v>9202.3646056644047</v>
      </c>
      <c r="D3006" s="21">
        <f t="shared" ca="1" si="509"/>
        <v>1.5094562475609521</v>
      </c>
      <c r="E3006" s="21">
        <f t="shared" ca="1" si="516"/>
        <v>2.2750056397035223</v>
      </c>
      <c r="F3006" s="20" t="str">
        <f t="shared" ca="1" si="514"/>
        <v>No</v>
      </c>
      <c r="G3006" s="21">
        <f t="shared" ca="1" si="510"/>
        <v>0</v>
      </c>
      <c r="H3006" s="21">
        <f t="shared" ca="1" si="511"/>
        <v>9204.6396113041083</v>
      </c>
      <c r="I3006" s="21">
        <f t="shared" ca="1" si="506"/>
        <v>9206.1490675516688</v>
      </c>
      <c r="J3006" s="20">
        <f t="shared" ca="1" si="515"/>
        <v>2</v>
      </c>
      <c r="K3006" s="20">
        <f t="shared" ca="1" si="507"/>
        <v>0</v>
      </c>
      <c r="L3006" s="44">
        <f t="shared" ca="1" si="512"/>
        <v>1</v>
      </c>
    </row>
    <row r="3007" spans="1:12" x14ac:dyDescent="0.25">
      <c r="A3007" s="20">
        <v>2999</v>
      </c>
      <c r="B3007" s="21">
        <f t="shared" ca="1" si="508"/>
        <v>4.1438691045137563</v>
      </c>
      <c r="C3007" s="21">
        <f t="shared" ca="1" si="513"/>
        <v>9206.5084747689179</v>
      </c>
      <c r="D3007" s="21">
        <f t="shared" ca="1" si="509"/>
        <v>1.879930771040258</v>
      </c>
      <c r="E3007" s="21">
        <f t="shared" ca="1" si="516"/>
        <v>0</v>
      </c>
      <c r="F3007" s="20" t="str">
        <f t="shared" ca="1" si="514"/>
        <v>Yes</v>
      </c>
      <c r="G3007" s="21">
        <f t="shared" ca="1" si="510"/>
        <v>0.35940721724909963</v>
      </c>
      <c r="H3007" s="21">
        <f t="shared" ca="1" si="511"/>
        <v>9206.5084747689179</v>
      </c>
      <c r="I3007" s="21">
        <f t="shared" ca="1" si="506"/>
        <v>9208.3884055399576</v>
      </c>
      <c r="J3007" s="20">
        <f t="shared" ca="1" si="515"/>
        <v>0</v>
      </c>
      <c r="K3007" s="20">
        <f t="shared" ca="1" si="507"/>
        <v>4</v>
      </c>
      <c r="L3007" s="44">
        <f t="shared" ca="1" si="512"/>
        <v>2</v>
      </c>
    </row>
    <row r="3008" spans="1:12" x14ac:dyDescent="0.25">
      <c r="A3008" s="20">
        <v>3000</v>
      </c>
      <c r="B3008" s="21">
        <f t="shared" ca="1" si="508"/>
        <v>0.22600086115423806</v>
      </c>
      <c r="C3008" s="21">
        <f t="shared" ca="1" si="513"/>
        <v>9206.7344756300718</v>
      </c>
      <c r="D3008" s="21">
        <f t="shared" ca="1" si="509"/>
        <v>2.2122037568847004</v>
      </c>
      <c r="E3008" s="21">
        <f t="shared" ca="1" si="516"/>
        <v>1.6539299098858464</v>
      </c>
      <c r="F3008" s="20" t="str">
        <f t="shared" ca="1" si="514"/>
        <v>No</v>
      </c>
      <c r="G3008" s="21">
        <f t="shared" ca="1" si="510"/>
        <v>0</v>
      </c>
      <c r="H3008" s="21">
        <f t="shared" ca="1" si="511"/>
        <v>9208.3884055399576</v>
      </c>
      <c r="I3008" s="21">
        <f t="shared" ca="1" si="506"/>
        <v>9210.6006092968419</v>
      </c>
      <c r="J3008" s="20">
        <f t="shared" ca="1" si="515"/>
        <v>5</v>
      </c>
      <c r="K3008" s="20">
        <f t="shared" ca="1" si="507"/>
        <v>4</v>
      </c>
      <c r="L3008" s="44">
        <f t="shared" ca="1" si="512"/>
        <v>4.5</v>
      </c>
    </row>
    <row r="3009" spans="1:12" x14ac:dyDescent="0.25">
      <c r="A3009" s="20">
        <v>3001</v>
      </c>
      <c r="B3009" s="21">
        <f t="shared" ca="1" si="508"/>
        <v>0.49936505155477179</v>
      </c>
      <c r="C3009" s="21">
        <f t="shared" ca="1" si="513"/>
        <v>9207.233840681627</v>
      </c>
      <c r="D3009" s="21">
        <f t="shared" ca="1" si="509"/>
        <v>3.8621584811543022</v>
      </c>
      <c r="E3009" s="21">
        <f t="shared" ca="1" si="516"/>
        <v>3.3667686152148235</v>
      </c>
      <c r="F3009" s="20" t="str">
        <f t="shared" ca="1" si="514"/>
        <v>No</v>
      </c>
      <c r="G3009" s="21">
        <f t="shared" ca="1" si="510"/>
        <v>0</v>
      </c>
      <c r="H3009" s="21">
        <f t="shared" ca="1" si="511"/>
        <v>9210.6006092968419</v>
      </c>
      <c r="I3009" s="21">
        <f t="shared" ca="1" si="506"/>
        <v>9214.4627677779954</v>
      </c>
      <c r="J3009" s="20">
        <f t="shared" ca="1" si="515"/>
        <v>5</v>
      </c>
      <c r="K3009" s="20">
        <f t="shared" ca="1" si="507"/>
        <v>5</v>
      </c>
      <c r="L3009" s="44">
        <f t="shared" ca="1" si="512"/>
        <v>5</v>
      </c>
    </row>
    <row r="3010" spans="1:12" x14ac:dyDescent="0.25">
      <c r="A3010" s="20">
        <v>3002</v>
      </c>
      <c r="B3010" s="21">
        <f t="shared" ca="1" si="508"/>
        <v>0.27431808385722384</v>
      </c>
      <c r="C3010" s="21">
        <f t="shared" ca="1" si="513"/>
        <v>9207.508158765484</v>
      </c>
      <c r="D3010" s="21">
        <f t="shared" ca="1" si="509"/>
        <v>3.9885038527989192</v>
      </c>
      <c r="E3010" s="21">
        <f t="shared" ca="1" si="516"/>
        <v>6.9546090125113551</v>
      </c>
      <c r="F3010" s="20" t="str">
        <f t="shared" ca="1" si="514"/>
        <v>No</v>
      </c>
      <c r="G3010" s="21">
        <f t="shared" ca="1" si="510"/>
        <v>0</v>
      </c>
      <c r="H3010" s="21">
        <f t="shared" ca="1" si="511"/>
        <v>9214.4627677779954</v>
      </c>
      <c r="I3010" s="21">
        <f t="shared" ca="1" si="506"/>
        <v>9218.4512716307945</v>
      </c>
      <c r="J3010" s="20">
        <f t="shared" ca="1" si="515"/>
        <v>6</v>
      </c>
      <c r="K3010" s="20">
        <f t="shared" ca="1" si="507"/>
        <v>5</v>
      </c>
      <c r="L3010" s="44">
        <f t="shared" ca="1" si="512"/>
        <v>5.5</v>
      </c>
    </row>
    <row r="3011" spans="1:12" x14ac:dyDescent="0.25">
      <c r="A3011" s="20">
        <v>3003</v>
      </c>
      <c r="B3011" s="21">
        <f t="shared" ca="1" si="508"/>
        <v>0.71597938517357895</v>
      </c>
      <c r="C3011" s="21">
        <f t="shared" ca="1" si="513"/>
        <v>9208.2241381506574</v>
      </c>
      <c r="D3011" s="21">
        <f t="shared" ca="1" si="509"/>
        <v>7.0821129793348199</v>
      </c>
      <c r="E3011" s="21">
        <f t="shared" ca="1" si="516"/>
        <v>10.227133480137127</v>
      </c>
      <c r="F3011" s="20" t="str">
        <f t="shared" ca="1" si="514"/>
        <v>No</v>
      </c>
      <c r="G3011" s="21">
        <f t="shared" ca="1" si="510"/>
        <v>0</v>
      </c>
      <c r="H3011" s="21">
        <f t="shared" ca="1" si="511"/>
        <v>9218.4512716307945</v>
      </c>
      <c r="I3011" s="21">
        <f t="shared" ca="1" si="506"/>
        <v>9225.5333846101294</v>
      </c>
      <c r="J3011" s="20">
        <f t="shared" ca="1" si="515"/>
        <v>6</v>
      </c>
      <c r="K3011" s="20">
        <f t="shared" ca="1" si="507"/>
        <v>5</v>
      </c>
      <c r="L3011" s="44">
        <f t="shared" ca="1" si="512"/>
        <v>5.5</v>
      </c>
    </row>
    <row r="3012" spans="1:12" x14ac:dyDescent="0.25">
      <c r="A3012" s="20">
        <v>3004</v>
      </c>
      <c r="B3012" s="21">
        <f t="shared" ca="1" si="508"/>
        <v>0.27831006853661094</v>
      </c>
      <c r="C3012" s="21">
        <f t="shared" ca="1" si="513"/>
        <v>9208.5024482191948</v>
      </c>
      <c r="D3012" s="21">
        <f t="shared" ca="1" si="509"/>
        <v>0.91223470077907265</v>
      </c>
      <c r="E3012" s="21">
        <f t="shared" ca="1" si="516"/>
        <v>17.030936390934585</v>
      </c>
      <c r="F3012" s="20" t="str">
        <f t="shared" ca="1" si="514"/>
        <v>No</v>
      </c>
      <c r="G3012" s="21">
        <f t="shared" ca="1" si="510"/>
        <v>0</v>
      </c>
      <c r="H3012" s="21">
        <f t="shared" ca="1" si="511"/>
        <v>9225.5333846101294</v>
      </c>
      <c r="I3012" s="21">
        <f t="shared" ca="1" si="506"/>
        <v>9226.445619310909</v>
      </c>
      <c r="J3012" s="20">
        <f t="shared" ca="1" si="515"/>
        <v>6</v>
      </c>
      <c r="K3012" s="20">
        <f t="shared" ca="1" si="507"/>
        <v>5</v>
      </c>
      <c r="L3012" s="44">
        <f t="shared" ca="1" si="512"/>
        <v>5.5</v>
      </c>
    </row>
    <row r="3013" spans="1:12" x14ac:dyDescent="0.25">
      <c r="A3013" s="20">
        <v>3005</v>
      </c>
      <c r="B3013" s="21">
        <f t="shared" ca="1" si="508"/>
        <v>3.1273356075116512</v>
      </c>
      <c r="C3013" s="21">
        <f t="shared" ca="1" si="513"/>
        <v>9211.6297838267055</v>
      </c>
      <c r="D3013" s="21">
        <f t="shared" ca="1" si="509"/>
        <v>5.5127554606795499</v>
      </c>
      <c r="E3013" s="21">
        <f t="shared" ca="1" si="516"/>
        <v>14.81583548420349</v>
      </c>
      <c r="F3013" s="20" t="str">
        <f t="shared" ca="1" si="514"/>
        <v>No</v>
      </c>
      <c r="G3013" s="21">
        <f t="shared" ca="1" si="510"/>
        <v>0</v>
      </c>
      <c r="H3013" s="21">
        <f t="shared" ca="1" si="511"/>
        <v>9226.445619310909</v>
      </c>
      <c r="I3013" s="21">
        <f t="shared" ca="1" si="506"/>
        <v>9231.9583747715878</v>
      </c>
      <c r="J3013" s="20">
        <f t="shared" ca="1" si="515"/>
        <v>6</v>
      </c>
      <c r="K3013" s="20">
        <f t="shared" ca="1" si="507"/>
        <v>5</v>
      </c>
      <c r="L3013" s="44">
        <f t="shared" ca="1" si="512"/>
        <v>5.5</v>
      </c>
    </row>
    <row r="3014" spans="1:12" x14ac:dyDescent="0.25">
      <c r="A3014" s="20">
        <v>3006</v>
      </c>
      <c r="B3014" s="21">
        <f t="shared" ca="1" si="508"/>
        <v>2.2013827098279481</v>
      </c>
      <c r="C3014" s="21">
        <f t="shared" ca="1" si="513"/>
        <v>9213.8311665365327</v>
      </c>
      <c r="D3014" s="21">
        <f t="shared" ca="1" si="509"/>
        <v>5.7864250110192561</v>
      </c>
      <c r="E3014" s="21">
        <f t="shared" ca="1" si="516"/>
        <v>18.12720823505515</v>
      </c>
      <c r="F3014" s="20" t="str">
        <f t="shared" ca="1" si="514"/>
        <v>No</v>
      </c>
      <c r="G3014" s="21">
        <f t="shared" ca="1" si="510"/>
        <v>0</v>
      </c>
      <c r="H3014" s="21">
        <f t="shared" ca="1" si="511"/>
        <v>9231.9583747715878</v>
      </c>
      <c r="I3014" s="21">
        <f t="shared" ca="1" si="506"/>
        <v>9237.7447997826075</v>
      </c>
      <c r="J3014" s="20">
        <f t="shared" ca="1" si="515"/>
        <v>6</v>
      </c>
      <c r="K3014" s="20">
        <f t="shared" ca="1" si="507"/>
        <v>5</v>
      </c>
      <c r="L3014" s="44">
        <f t="shared" ca="1" si="512"/>
        <v>5.5</v>
      </c>
    </row>
    <row r="3015" spans="1:12" x14ac:dyDescent="0.25">
      <c r="A3015" s="20">
        <v>3007</v>
      </c>
      <c r="B3015" s="21">
        <f t="shared" ca="1" si="508"/>
        <v>0.61951183821037248</v>
      </c>
      <c r="C3015" s="21">
        <f t="shared" ca="1" si="513"/>
        <v>9214.4506783747438</v>
      </c>
      <c r="D3015" s="21">
        <f t="shared" ca="1" si="509"/>
        <v>4.7451741503434661</v>
      </c>
      <c r="E3015" s="21">
        <f t="shared" ca="1" si="516"/>
        <v>23.294121407863713</v>
      </c>
      <c r="F3015" s="20" t="str">
        <f t="shared" ca="1" si="514"/>
        <v>No</v>
      </c>
      <c r="G3015" s="21">
        <f t="shared" ca="1" si="510"/>
        <v>0</v>
      </c>
      <c r="H3015" s="21">
        <f t="shared" ca="1" si="511"/>
        <v>9237.7447997826075</v>
      </c>
      <c r="I3015" s="21">
        <f t="shared" ca="1" si="506"/>
        <v>9242.4899739329503</v>
      </c>
      <c r="J3015" s="20">
        <f t="shared" ca="1" si="515"/>
        <v>6</v>
      </c>
      <c r="K3015" s="20">
        <f t="shared" ca="1" si="507"/>
        <v>5</v>
      </c>
      <c r="L3015" s="44">
        <f t="shared" ca="1" si="512"/>
        <v>5.5</v>
      </c>
    </row>
    <row r="3016" spans="1:12" x14ac:dyDescent="0.25">
      <c r="A3016" s="20">
        <v>3008</v>
      </c>
      <c r="B3016" s="21">
        <f t="shared" ca="1" si="508"/>
        <v>3.924737355036287</v>
      </c>
      <c r="C3016" s="21">
        <f t="shared" ca="1" si="513"/>
        <v>9218.3754157297808</v>
      </c>
      <c r="D3016" s="21">
        <f t="shared" ca="1" si="509"/>
        <v>0.79480571399228872</v>
      </c>
      <c r="E3016" s="21">
        <f t="shared" ca="1" si="516"/>
        <v>24.114558203169508</v>
      </c>
      <c r="F3016" s="20" t="str">
        <f t="shared" ca="1" si="514"/>
        <v>No</v>
      </c>
      <c r="G3016" s="21">
        <f t="shared" ca="1" si="510"/>
        <v>0</v>
      </c>
      <c r="H3016" s="21">
        <f t="shared" ca="1" si="511"/>
        <v>9242.4899739329503</v>
      </c>
      <c r="I3016" s="21">
        <f t="shared" ca="1" si="506"/>
        <v>9243.2847796469432</v>
      </c>
      <c r="J3016" s="20">
        <f t="shared" ca="1" si="515"/>
        <v>6</v>
      </c>
      <c r="K3016" s="20">
        <f t="shared" ca="1" si="507"/>
        <v>5</v>
      </c>
      <c r="L3016" s="44">
        <f t="shared" ca="1" si="512"/>
        <v>5.5</v>
      </c>
    </row>
    <row r="3017" spans="1:12" x14ac:dyDescent="0.25">
      <c r="A3017" s="20">
        <v>3009</v>
      </c>
      <c r="B3017" s="21">
        <f t="shared" ca="1" si="508"/>
        <v>2.7101655359594941</v>
      </c>
      <c r="C3017" s="21">
        <f t="shared" ca="1" si="513"/>
        <v>9221.085581265741</v>
      </c>
      <c r="D3017" s="21">
        <f t="shared" ca="1" si="509"/>
        <v>0.50168597404005888</v>
      </c>
      <c r="E3017" s="21">
        <f t="shared" ca="1" si="516"/>
        <v>22.199198381202223</v>
      </c>
      <c r="F3017" s="20" t="str">
        <f t="shared" ca="1" si="514"/>
        <v>No</v>
      </c>
      <c r="G3017" s="21">
        <f t="shared" ca="1" si="510"/>
        <v>0</v>
      </c>
      <c r="H3017" s="21">
        <f t="shared" ca="1" si="511"/>
        <v>9243.2847796469432</v>
      </c>
      <c r="I3017" s="21">
        <f t="shared" ref="I3017:I3080" ca="1" si="517">$H3017+$D3017</f>
        <v>9243.786465620984</v>
      </c>
      <c r="J3017" s="20">
        <f t="shared" ca="1" si="515"/>
        <v>6</v>
      </c>
      <c r="K3017" s="20">
        <f t="shared" ref="K3017:K3080" ca="1" si="518">IF($I3017&lt;=$C3018,0,IF($I3017&lt;=$C3019,1,IF($I3017&lt;=$C3020,2,IF($I3017&lt;=$C3021,3,IF($I3017&lt;=$C3022,4,5)))))</f>
        <v>5</v>
      </c>
      <c r="L3017" s="44">
        <f t="shared" ca="1" si="512"/>
        <v>5.5</v>
      </c>
    </row>
    <row r="3018" spans="1:12" x14ac:dyDescent="0.25">
      <c r="A3018" s="20">
        <v>3010</v>
      </c>
      <c r="B3018" s="21">
        <f t="shared" ref="B3018:B3081" ca="1" si="519">-LN(RAND())/$D$4</f>
        <v>1.0387378814179289</v>
      </c>
      <c r="C3018" s="21">
        <f t="shared" ca="1" si="513"/>
        <v>9222.1243191471585</v>
      </c>
      <c r="D3018" s="21">
        <f t="shared" ref="D3018:D3081" ca="1" si="520">-LN(RAND())/$D$6</f>
        <v>4.1592909977667043</v>
      </c>
      <c r="E3018" s="21">
        <f t="shared" ca="1" si="516"/>
        <v>21.662146473825487</v>
      </c>
      <c r="F3018" s="20" t="str">
        <f t="shared" ca="1" si="514"/>
        <v>No</v>
      </c>
      <c r="G3018" s="21">
        <f t="shared" ref="G3018:G3081" ca="1" si="521">IF($I3017&lt;=$C3018,$C3018-$I3017,0)</f>
        <v>0</v>
      </c>
      <c r="H3018" s="21">
        <f t="shared" ref="H3018:H3081" ca="1" si="522">IF($I3017&lt;=$C3018,$C3018,$I3017)</f>
        <v>9243.786465620984</v>
      </c>
      <c r="I3018" s="21">
        <f t="shared" ca="1" si="517"/>
        <v>9247.9457566187502</v>
      </c>
      <c r="J3018" s="20">
        <f t="shared" ca="1" si="515"/>
        <v>6</v>
      </c>
      <c r="K3018" s="20">
        <f t="shared" ca="1" si="518"/>
        <v>4</v>
      </c>
      <c r="L3018" s="44">
        <f t="shared" ref="L3018:L3081" ca="1" si="523">(J3018+K3018)/2</f>
        <v>5</v>
      </c>
    </row>
    <row r="3019" spans="1:12" x14ac:dyDescent="0.25">
      <c r="A3019" s="20">
        <v>3011</v>
      </c>
      <c r="B3019" s="21">
        <f t="shared" ca="1" si="519"/>
        <v>6.3620429853302047</v>
      </c>
      <c r="C3019" s="21">
        <f t="shared" ref="C3019:C3082" ca="1" si="524">$C3018+$B3019</f>
        <v>9228.4863621324894</v>
      </c>
      <c r="D3019" s="21">
        <f t="shared" ca="1" si="520"/>
        <v>0.99127599642173192</v>
      </c>
      <c r="E3019" s="21">
        <f t="shared" ca="1" si="516"/>
        <v>19.459394486260862</v>
      </c>
      <c r="F3019" s="20" t="str">
        <f t="shared" ref="F3019:F3082" ca="1" si="525">IF(E3019=0,"Yes","No")</f>
        <v>No</v>
      </c>
      <c r="G3019" s="21">
        <f t="shared" ca="1" si="521"/>
        <v>0</v>
      </c>
      <c r="H3019" s="21">
        <f t="shared" ca="1" si="522"/>
        <v>9247.9457566187502</v>
      </c>
      <c r="I3019" s="21">
        <f t="shared" ca="1" si="517"/>
        <v>9248.9370326151711</v>
      </c>
      <c r="J3019" s="20">
        <f t="shared" ref="J3019:J3082" ca="1" si="526">IF($I3018&lt;=$C3019,0,$K3018+1)</f>
        <v>5</v>
      </c>
      <c r="K3019" s="20">
        <f t="shared" ca="1" si="518"/>
        <v>3</v>
      </c>
      <c r="L3019" s="44">
        <f t="shared" ca="1" si="523"/>
        <v>4</v>
      </c>
    </row>
    <row r="3020" spans="1:12" x14ac:dyDescent="0.25">
      <c r="A3020" s="20">
        <v>3012</v>
      </c>
      <c r="B3020" s="21">
        <f t="shared" ca="1" si="519"/>
        <v>9.1191053387801748</v>
      </c>
      <c r="C3020" s="21">
        <f t="shared" ca="1" si="524"/>
        <v>9237.6054674712705</v>
      </c>
      <c r="D3020" s="21">
        <f t="shared" ca="1" si="520"/>
        <v>4.7396133828661952E-2</v>
      </c>
      <c r="E3020" s="21">
        <f t="shared" ref="E3020:E3083" ca="1" si="527">IF($I3019&lt;=$C3020,0,$I3019-$C3020)</f>
        <v>11.331565143900661</v>
      </c>
      <c r="F3020" s="20" t="str">
        <f t="shared" ca="1" si="525"/>
        <v>No</v>
      </c>
      <c r="G3020" s="21">
        <f t="shared" ca="1" si="521"/>
        <v>0</v>
      </c>
      <c r="H3020" s="21">
        <f t="shared" ca="1" si="522"/>
        <v>9248.9370326151711</v>
      </c>
      <c r="I3020" s="21">
        <f t="shared" ca="1" si="517"/>
        <v>9248.9844287489996</v>
      </c>
      <c r="J3020" s="20">
        <f t="shared" ca="1" si="526"/>
        <v>4</v>
      </c>
      <c r="K3020" s="20">
        <f t="shared" ca="1" si="518"/>
        <v>2</v>
      </c>
      <c r="L3020" s="44">
        <f t="shared" ca="1" si="523"/>
        <v>3</v>
      </c>
    </row>
    <row r="3021" spans="1:12" x14ac:dyDescent="0.25">
      <c r="A3021" s="20">
        <v>3013</v>
      </c>
      <c r="B3021" s="21">
        <f t="shared" ca="1" si="519"/>
        <v>4.2587020180870301</v>
      </c>
      <c r="C3021" s="21">
        <f t="shared" ca="1" si="524"/>
        <v>9241.8641694893577</v>
      </c>
      <c r="D3021" s="21">
        <f t="shared" ca="1" si="520"/>
        <v>0.31646592006913865</v>
      </c>
      <c r="E3021" s="21">
        <f t="shared" ca="1" si="527"/>
        <v>7.1202592596418981</v>
      </c>
      <c r="F3021" s="20" t="str">
        <f t="shared" ca="1" si="525"/>
        <v>No</v>
      </c>
      <c r="G3021" s="21">
        <f t="shared" ca="1" si="521"/>
        <v>0</v>
      </c>
      <c r="H3021" s="21">
        <f t="shared" ca="1" si="522"/>
        <v>9248.9844287489996</v>
      </c>
      <c r="I3021" s="21">
        <f t="shared" ca="1" si="517"/>
        <v>9249.3008946690679</v>
      </c>
      <c r="J3021" s="20">
        <f t="shared" ca="1" si="526"/>
        <v>3</v>
      </c>
      <c r="K3021" s="20">
        <f t="shared" ca="1" si="518"/>
        <v>1</v>
      </c>
      <c r="L3021" s="44">
        <f t="shared" ca="1" si="523"/>
        <v>2</v>
      </c>
    </row>
    <row r="3022" spans="1:12" x14ac:dyDescent="0.25">
      <c r="A3022" s="20">
        <v>3014</v>
      </c>
      <c r="B3022" s="21">
        <f t="shared" ca="1" si="519"/>
        <v>0.42588886184266145</v>
      </c>
      <c r="C3022" s="21">
        <f t="shared" ca="1" si="524"/>
        <v>9242.2900583512001</v>
      </c>
      <c r="D3022" s="21">
        <f t="shared" ca="1" si="520"/>
        <v>0.75770383188886214</v>
      </c>
      <c r="E3022" s="21">
        <f t="shared" ca="1" si="527"/>
        <v>7.0108363178678701</v>
      </c>
      <c r="F3022" s="20" t="str">
        <f t="shared" ca="1" si="525"/>
        <v>No</v>
      </c>
      <c r="G3022" s="21">
        <f t="shared" ca="1" si="521"/>
        <v>0</v>
      </c>
      <c r="H3022" s="21">
        <f t="shared" ca="1" si="522"/>
        <v>9249.3008946690679</v>
      </c>
      <c r="I3022" s="21">
        <f t="shared" ca="1" si="517"/>
        <v>9250.0585985009566</v>
      </c>
      <c r="J3022" s="20">
        <f t="shared" ca="1" si="526"/>
        <v>2</v>
      </c>
      <c r="K3022" s="20">
        <f t="shared" ca="1" si="518"/>
        <v>0</v>
      </c>
      <c r="L3022" s="44">
        <f t="shared" ca="1" si="523"/>
        <v>1</v>
      </c>
    </row>
    <row r="3023" spans="1:12" x14ac:dyDescent="0.25">
      <c r="A3023" s="20">
        <v>3015</v>
      </c>
      <c r="B3023" s="21">
        <f t="shared" ca="1" si="519"/>
        <v>9.1020106653398756</v>
      </c>
      <c r="C3023" s="21">
        <f t="shared" ca="1" si="524"/>
        <v>9251.3920690165396</v>
      </c>
      <c r="D3023" s="21">
        <f t="shared" ca="1" si="520"/>
        <v>0.11657553429764421</v>
      </c>
      <c r="E3023" s="21">
        <f t="shared" ca="1" si="527"/>
        <v>0</v>
      </c>
      <c r="F3023" s="20" t="str">
        <f t="shared" ca="1" si="525"/>
        <v>Yes</v>
      </c>
      <c r="G3023" s="21">
        <f t="shared" ca="1" si="521"/>
        <v>1.3334705155830306</v>
      </c>
      <c r="H3023" s="21">
        <f t="shared" ca="1" si="522"/>
        <v>9251.3920690165396</v>
      </c>
      <c r="I3023" s="21">
        <f t="shared" ca="1" si="517"/>
        <v>9251.5086445508368</v>
      </c>
      <c r="J3023" s="20">
        <f t="shared" ca="1" si="526"/>
        <v>0</v>
      </c>
      <c r="K3023" s="20">
        <f t="shared" ca="1" si="518"/>
        <v>0</v>
      </c>
      <c r="L3023" s="44">
        <f t="shared" ca="1" si="523"/>
        <v>0</v>
      </c>
    </row>
    <row r="3024" spans="1:12" x14ac:dyDescent="0.25">
      <c r="A3024" s="20">
        <v>3016</v>
      </c>
      <c r="B3024" s="21">
        <f t="shared" ca="1" si="519"/>
        <v>1.7865278614826905</v>
      </c>
      <c r="C3024" s="21">
        <f t="shared" ca="1" si="524"/>
        <v>9253.1785968780223</v>
      </c>
      <c r="D3024" s="21">
        <f t="shared" ca="1" si="520"/>
        <v>0.6470257694541468</v>
      </c>
      <c r="E3024" s="21">
        <f t="shared" ca="1" si="527"/>
        <v>0</v>
      </c>
      <c r="F3024" s="20" t="str">
        <f t="shared" ca="1" si="525"/>
        <v>Yes</v>
      </c>
      <c r="G3024" s="21">
        <f t="shared" ca="1" si="521"/>
        <v>1.6699523271854559</v>
      </c>
      <c r="H3024" s="21">
        <f t="shared" ca="1" si="522"/>
        <v>9253.1785968780223</v>
      </c>
      <c r="I3024" s="21">
        <f t="shared" ca="1" si="517"/>
        <v>9253.8256226474768</v>
      </c>
      <c r="J3024" s="20">
        <f t="shared" ca="1" si="526"/>
        <v>0</v>
      </c>
      <c r="K3024" s="20">
        <f t="shared" ca="1" si="518"/>
        <v>0</v>
      </c>
      <c r="L3024" s="44">
        <f t="shared" ca="1" si="523"/>
        <v>0</v>
      </c>
    </row>
    <row r="3025" spans="1:12" x14ac:dyDescent="0.25">
      <c r="A3025" s="20">
        <v>3017</v>
      </c>
      <c r="B3025" s="21">
        <f t="shared" ca="1" si="519"/>
        <v>6.4657760496975358</v>
      </c>
      <c r="C3025" s="21">
        <f t="shared" ca="1" si="524"/>
        <v>9259.6443729277198</v>
      </c>
      <c r="D3025" s="21">
        <f t="shared" ca="1" si="520"/>
        <v>2.6621602549738399</v>
      </c>
      <c r="E3025" s="21">
        <f t="shared" ca="1" si="527"/>
        <v>0</v>
      </c>
      <c r="F3025" s="20" t="str">
        <f t="shared" ca="1" si="525"/>
        <v>Yes</v>
      </c>
      <c r="G3025" s="21">
        <f t="shared" ca="1" si="521"/>
        <v>5.8187502802429663</v>
      </c>
      <c r="H3025" s="21">
        <f t="shared" ca="1" si="522"/>
        <v>9259.6443729277198</v>
      </c>
      <c r="I3025" s="21">
        <f t="shared" ca="1" si="517"/>
        <v>9262.3065331826929</v>
      </c>
      <c r="J3025" s="20">
        <f t="shared" ca="1" si="526"/>
        <v>0</v>
      </c>
      <c r="K3025" s="20">
        <f t="shared" ca="1" si="518"/>
        <v>1</v>
      </c>
      <c r="L3025" s="44">
        <f t="shared" ca="1" si="523"/>
        <v>0.5</v>
      </c>
    </row>
    <row r="3026" spans="1:12" x14ac:dyDescent="0.25">
      <c r="A3026" s="20">
        <v>3018</v>
      </c>
      <c r="B3026" s="21">
        <f t="shared" ca="1" si="519"/>
        <v>0.42033127319402119</v>
      </c>
      <c r="C3026" s="21">
        <f t="shared" ca="1" si="524"/>
        <v>9260.0647042009132</v>
      </c>
      <c r="D3026" s="21">
        <f t="shared" ca="1" si="520"/>
        <v>0.40810238014474765</v>
      </c>
      <c r="E3026" s="21">
        <f t="shared" ca="1" si="527"/>
        <v>2.2418289817796904</v>
      </c>
      <c r="F3026" s="20" t="str">
        <f t="shared" ca="1" si="525"/>
        <v>No</v>
      </c>
      <c r="G3026" s="21">
        <f t="shared" ca="1" si="521"/>
        <v>0</v>
      </c>
      <c r="H3026" s="21">
        <f t="shared" ca="1" si="522"/>
        <v>9262.3065331826929</v>
      </c>
      <c r="I3026" s="21">
        <f t="shared" ca="1" si="517"/>
        <v>9262.7146355628374</v>
      </c>
      <c r="J3026" s="20">
        <f t="shared" ca="1" si="526"/>
        <v>2</v>
      </c>
      <c r="K3026" s="20">
        <f t="shared" ca="1" si="518"/>
        <v>0</v>
      </c>
      <c r="L3026" s="44">
        <f t="shared" ca="1" si="523"/>
        <v>1</v>
      </c>
    </row>
    <row r="3027" spans="1:12" x14ac:dyDescent="0.25">
      <c r="A3027" s="20">
        <v>3019</v>
      </c>
      <c r="B3027" s="21">
        <f t="shared" ca="1" si="519"/>
        <v>2.9675593332731247</v>
      </c>
      <c r="C3027" s="21">
        <f t="shared" ca="1" si="524"/>
        <v>9263.0322635341854</v>
      </c>
      <c r="D3027" s="21">
        <f t="shared" ca="1" si="520"/>
        <v>1.1871608566701968</v>
      </c>
      <c r="E3027" s="21">
        <f t="shared" ca="1" si="527"/>
        <v>0</v>
      </c>
      <c r="F3027" s="20" t="str">
        <f t="shared" ca="1" si="525"/>
        <v>Yes</v>
      </c>
      <c r="G3027" s="21">
        <f t="shared" ca="1" si="521"/>
        <v>0.31762797134797438</v>
      </c>
      <c r="H3027" s="21">
        <f t="shared" ca="1" si="522"/>
        <v>9263.0322635341854</v>
      </c>
      <c r="I3027" s="21">
        <f t="shared" ca="1" si="517"/>
        <v>9264.2194243908561</v>
      </c>
      <c r="J3027" s="20">
        <f t="shared" ca="1" si="526"/>
        <v>0</v>
      </c>
      <c r="K3027" s="20">
        <f t="shared" ca="1" si="518"/>
        <v>0</v>
      </c>
      <c r="L3027" s="44">
        <f t="shared" ca="1" si="523"/>
        <v>0</v>
      </c>
    </row>
    <row r="3028" spans="1:12" x14ac:dyDescent="0.25">
      <c r="A3028" s="20">
        <v>3020</v>
      </c>
      <c r="B3028" s="21">
        <f t="shared" ca="1" si="519"/>
        <v>2.7367491411230929</v>
      </c>
      <c r="C3028" s="21">
        <f t="shared" ca="1" si="524"/>
        <v>9265.7690126753077</v>
      </c>
      <c r="D3028" s="21">
        <f t="shared" ca="1" si="520"/>
        <v>8.9675616972752046</v>
      </c>
      <c r="E3028" s="21">
        <f t="shared" ca="1" si="527"/>
        <v>0</v>
      </c>
      <c r="F3028" s="20" t="str">
        <f t="shared" ca="1" si="525"/>
        <v>Yes</v>
      </c>
      <c r="G3028" s="21">
        <f t="shared" ca="1" si="521"/>
        <v>1.5495882844516018</v>
      </c>
      <c r="H3028" s="21">
        <f t="shared" ca="1" si="522"/>
        <v>9265.7690126753077</v>
      </c>
      <c r="I3028" s="21">
        <f t="shared" ca="1" si="517"/>
        <v>9274.7365743725823</v>
      </c>
      <c r="J3028" s="20">
        <f t="shared" ca="1" si="526"/>
        <v>0</v>
      </c>
      <c r="K3028" s="20">
        <f t="shared" ca="1" si="518"/>
        <v>5</v>
      </c>
      <c r="L3028" s="44">
        <f t="shared" ca="1" si="523"/>
        <v>2.5</v>
      </c>
    </row>
    <row r="3029" spans="1:12" x14ac:dyDescent="0.25">
      <c r="A3029" s="20">
        <v>3021</v>
      </c>
      <c r="B3029" s="21">
        <f t="shared" ca="1" si="519"/>
        <v>1.0756570816820537</v>
      </c>
      <c r="C3029" s="21">
        <f t="shared" ca="1" si="524"/>
        <v>9266.8446697569907</v>
      </c>
      <c r="D3029" s="21">
        <f t="shared" ca="1" si="520"/>
        <v>2.9376525895411336</v>
      </c>
      <c r="E3029" s="21">
        <f t="shared" ca="1" si="527"/>
        <v>7.8919046155915566</v>
      </c>
      <c r="F3029" s="20" t="str">
        <f t="shared" ca="1" si="525"/>
        <v>No</v>
      </c>
      <c r="G3029" s="21">
        <f t="shared" ca="1" si="521"/>
        <v>0</v>
      </c>
      <c r="H3029" s="21">
        <f t="shared" ca="1" si="522"/>
        <v>9274.7365743725823</v>
      </c>
      <c r="I3029" s="21">
        <f t="shared" ca="1" si="517"/>
        <v>9277.6742269621227</v>
      </c>
      <c r="J3029" s="20">
        <f t="shared" ca="1" si="526"/>
        <v>6</v>
      </c>
      <c r="K3029" s="20">
        <f t="shared" ca="1" si="518"/>
        <v>5</v>
      </c>
      <c r="L3029" s="44">
        <f t="shared" ca="1" si="523"/>
        <v>5.5</v>
      </c>
    </row>
    <row r="3030" spans="1:12" x14ac:dyDescent="0.25">
      <c r="A3030" s="20">
        <v>3022</v>
      </c>
      <c r="B3030" s="21">
        <f t="shared" ca="1" si="519"/>
        <v>1.9836134273206454</v>
      </c>
      <c r="C3030" s="21">
        <f t="shared" ca="1" si="524"/>
        <v>9268.8282831843117</v>
      </c>
      <c r="D3030" s="21">
        <f t="shared" ca="1" si="520"/>
        <v>0.38832605990011926</v>
      </c>
      <c r="E3030" s="21">
        <f t="shared" ca="1" si="527"/>
        <v>8.8459437778110441</v>
      </c>
      <c r="F3030" s="20" t="str">
        <f t="shared" ca="1" si="525"/>
        <v>No</v>
      </c>
      <c r="G3030" s="21">
        <f t="shared" ca="1" si="521"/>
        <v>0</v>
      </c>
      <c r="H3030" s="21">
        <f t="shared" ca="1" si="522"/>
        <v>9277.6742269621227</v>
      </c>
      <c r="I3030" s="21">
        <f t="shared" ca="1" si="517"/>
        <v>9278.0625530220223</v>
      </c>
      <c r="J3030" s="20">
        <f t="shared" ca="1" si="526"/>
        <v>6</v>
      </c>
      <c r="K3030" s="20">
        <f t="shared" ca="1" si="518"/>
        <v>4</v>
      </c>
      <c r="L3030" s="44">
        <f t="shared" ca="1" si="523"/>
        <v>5</v>
      </c>
    </row>
    <row r="3031" spans="1:12" x14ac:dyDescent="0.25">
      <c r="A3031" s="20">
        <v>3023</v>
      </c>
      <c r="B3031" s="21">
        <f t="shared" ca="1" si="519"/>
        <v>1.5371018184333411</v>
      </c>
      <c r="C3031" s="21">
        <f t="shared" ca="1" si="524"/>
        <v>9270.3653850027458</v>
      </c>
      <c r="D3031" s="21">
        <f t="shared" ca="1" si="520"/>
        <v>7.9762735555015807</v>
      </c>
      <c r="E3031" s="21">
        <f t="shared" ca="1" si="527"/>
        <v>7.6971680192764325</v>
      </c>
      <c r="F3031" s="20" t="str">
        <f t="shared" ca="1" si="525"/>
        <v>No</v>
      </c>
      <c r="G3031" s="21">
        <f t="shared" ca="1" si="521"/>
        <v>0</v>
      </c>
      <c r="H3031" s="21">
        <f t="shared" ca="1" si="522"/>
        <v>9278.0625530220223</v>
      </c>
      <c r="I3031" s="21">
        <f t="shared" ca="1" si="517"/>
        <v>9286.0388265775237</v>
      </c>
      <c r="J3031" s="20">
        <f t="shared" ca="1" si="526"/>
        <v>5</v>
      </c>
      <c r="K3031" s="20">
        <f t="shared" ca="1" si="518"/>
        <v>5</v>
      </c>
      <c r="L3031" s="44">
        <f t="shared" ca="1" si="523"/>
        <v>5</v>
      </c>
    </row>
    <row r="3032" spans="1:12" x14ac:dyDescent="0.25">
      <c r="A3032" s="20">
        <v>3024</v>
      </c>
      <c r="B3032" s="21">
        <f t="shared" ca="1" si="519"/>
        <v>0.94608976505407161</v>
      </c>
      <c r="C3032" s="21">
        <f t="shared" ca="1" si="524"/>
        <v>9271.3114747677992</v>
      </c>
      <c r="D3032" s="21">
        <f t="shared" ca="1" si="520"/>
        <v>1.6326924755216192</v>
      </c>
      <c r="E3032" s="21">
        <f t="shared" ca="1" si="527"/>
        <v>14.727351809724496</v>
      </c>
      <c r="F3032" s="20" t="str">
        <f t="shared" ca="1" si="525"/>
        <v>No</v>
      </c>
      <c r="G3032" s="21">
        <f t="shared" ca="1" si="521"/>
        <v>0</v>
      </c>
      <c r="H3032" s="21">
        <f t="shared" ca="1" si="522"/>
        <v>9286.0388265775237</v>
      </c>
      <c r="I3032" s="21">
        <f t="shared" ca="1" si="517"/>
        <v>9287.6715190530449</v>
      </c>
      <c r="J3032" s="20">
        <f t="shared" ca="1" si="526"/>
        <v>6</v>
      </c>
      <c r="K3032" s="20">
        <f t="shared" ca="1" si="518"/>
        <v>5</v>
      </c>
      <c r="L3032" s="44">
        <f t="shared" ca="1" si="523"/>
        <v>5.5</v>
      </c>
    </row>
    <row r="3033" spans="1:12" x14ac:dyDescent="0.25">
      <c r="A3033" s="20">
        <v>3025</v>
      </c>
      <c r="B3033" s="21">
        <f t="shared" ca="1" si="519"/>
        <v>2.981292171793362</v>
      </c>
      <c r="C3033" s="21">
        <f t="shared" ca="1" si="524"/>
        <v>9274.2927669395922</v>
      </c>
      <c r="D3033" s="21">
        <f t="shared" ca="1" si="520"/>
        <v>1.7194511967827113</v>
      </c>
      <c r="E3033" s="21">
        <f t="shared" ca="1" si="527"/>
        <v>13.37875211345272</v>
      </c>
      <c r="F3033" s="20" t="str">
        <f t="shared" ca="1" si="525"/>
        <v>No</v>
      </c>
      <c r="G3033" s="21">
        <f t="shared" ca="1" si="521"/>
        <v>0</v>
      </c>
      <c r="H3033" s="21">
        <f t="shared" ca="1" si="522"/>
        <v>9287.6715190530449</v>
      </c>
      <c r="I3033" s="21">
        <f t="shared" ca="1" si="517"/>
        <v>9289.3909702498277</v>
      </c>
      <c r="J3033" s="20">
        <f t="shared" ca="1" si="526"/>
        <v>6</v>
      </c>
      <c r="K3033" s="20">
        <f t="shared" ca="1" si="518"/>
        <v>5</v>
      </c>
      <c r="L3033" s="44">
        <f t="shared" ca="1" si="523"/>
        <v>5.5</v>
      </c>
    </row>
    <row r="3034" spans="1:12" x14ac:dyDescent="0.25">
      <c r="A3034" s="20">
        <v>3026</v>
      </c>
      <c r="B3034" s="21">
        <f t="shared" ca="1" si="519"/>
        <v>1.9424925454003001</v>
      </c>
      <c r="C3034" s="21">
        <f t="shared" ca="1" si="524"/>
        <v>9276.2352594849926</v>
      </c>
      <c r="D3034" s="21">
        <f t="shared" ca="1" si="520"/>
        <v>1.5071019707246613</v>
      </c>
      <c r="E3034" s="21">
        <f t="shared" ca="1" si="527"/>
        <v>13.155710764835021</v>
      </c>
      <c r="F3034" s="20" t="str">
        <f t="shared" ca="1" si="525"/>
        <v>No</v>
      </c>
      <c r="G3034" s="21">
        <f t="shared" ca="1" si="521"/>
        <v>0</v>
      </c>
      <c r="H3034" s="21">
        <f t="shared" ca="1" si="522"/>
        <v>9289.3909702498277</v>
      </c>
      <c r="I3034" s="21">
        <f t="shared" ca="1" si="517"/>
        <v>9290.8980722205524</v>
      </c>
      <c r="J3034" s="20">
        <f t="shared" ca="1" si="526"/>
        <v>6</v>
      </c>
      <c r="K3034" s="20">
        <f t="shared" ca="1" si="518"/>
        <v>5</v>
      </c>
      <c r="L3034" s="44">
        <f t="shared" ca="1" si="523"/>
        <v>5.5</v>
      </c>
    </row>
    <row r="3035" spans="1:12" x14ac:dyDescent="0.25">
      <c r="A3035" s="20">
        <v>3027</v>
      </c>
      <c r="B3035" s="21">
        <f t="shared" ca="1" si="519"/>
        <v>1.8959821130846286</v>
      </c>
      <c r="C3035" s="21">
        <f t="shared" ca="1" si="524"/>
        <v>9278.1312415980774</v>
      </c>
      <c r="D3035" s="21">
        <f t="shared" ca="1" si="520"/>
        <v>1.531165883894865</v>
      </c>
      <c r="E3035" s="21">
        <f t="shared" ca="1" si="527"/>
        <v>12.766830622475027</v>
      </c>
      <c r="F3035" s="20" t="str">
        <f t="shared" ca="1" si="525"/>
        <v>No</v>
      </c>
      <c r="G3035" s="21">
        <f t="shared" ca="1" si="521"/>
        <v>0</v>
      </c>
      <c r="H3035" s="21">
        <f t="shared" ca="1" si="522"/>
        <v>9290.8980722205524</v>
      </c>
      <c r="I3035" s="21">
        <f t="shared" ca="1" si="517"/>
        <v>9292.429238104447</v>
      </c>
      <c r="J3035" s="20">
        <f t="shared" ca="1" si="526"/>
        <v>6</v>
      </c>
      <c r="K3035" s="20">
        <f t="shared" ca="1" si="518"/>
        <v>4</v>
      </c>
      <c r="L3035" s="44">
        <f t="shared" ca="1" si="523"/>
        <v>5</v>
      </c>
    </row>
    <row r="3036" spans="1:12" x14ac:dyDescent="0.25">
      <c r="A3036" s="20">
        <v>3028</v>
      </c>
      <c r="B3036" s="21">
        <f t="shared" ca="1" si="519"/>
        <v>0.74898254073772197</v>
      </c>
      <c r="C3036" s="21">
        <f t="shared" ca="1" si="524"/>
        <v>9278.8802241388148</v>
      </c>
      <c r="D3036" s="21">
        <f t="shared" ca="1" si="520"/>
        <v>0.16112140828115853</v>
      </c>
      <c r="E3036" s="21">
        <f t="shared" ca="1" si="527"/>
        <v>13.549013965632184</v>
      </c>
      <c r="F3036" s="20" t="str">
        <f t="shared" ca="1" si="525"/>
        <v>No</v>
      </c>
      <c r="G3036" s="21">
        <f t="shared" ca="1" si="521"/>
        <v>0</v>
      </c>
      <c r="H3036" s="21">
        <f t="shared" ca="1" si="522"/>
        <v>9292.429238104447</v>
      </c>
      <c r="I3036" s="21">
        <f t="shared" ca="1" si="517"/>
        <v>9292.5903595127274</v>
      </c>
      <c r="J3036" s="20">
        <f t="shared" ca="1" si="526"/>
        <v>5</v>
      </c>
      <c r="K3036" s="20">
        <f t="shared" ca="1" si="518"/>
        <v>3</v>
      </c>
      <c r="L3036" s="44">
        <f t="shared" ca="1" si="523"/>
        <v>4</v>
      </c>
    </row>
    <row r="3037" spans="1:12" x14ac:dyDescent="0.25">
      <c r="A3037" s="20">
        <v>3029</v>
      </c>
      <c r="B3037" s="21">
        <f t="shared" ca="1" si="519"/>
        <v>1.085016639900134</v>
      </c>
      <c r="C3037" s="21">
        <f t="shared" ca="1" si="524"/>
        <v>9279.9652407787144</v>
      </c>
      <c r="D3037" s="21">
        <f t="shared" ca="1" si="520"/>
        <v>6.2157925609369551</v>
      </c>
      <c r="E3037" s="21">
        <f t="shared" ca="1" si="527"/>
        <v>12.625118734013085</v>
      </c>
      <c r="F3037" s="20" t="str">
        <f t="shared" ca="1" si="525"/>
        <v>No</v>
      </c>
      <c r="G3037" s="21">
        <f t="shared" ca="1" si="521"/>
        <v>0</v>
      </c>
      <c r="H3037" s="21">
        <f t="shared" ca="1" si="522"/>
        <v>9292.5903595127274</v>
      </c>
      <c r="I3037" s="21">
        <f t="shared" ca="1" si="517"/>
        <v>9298.8061520736646</v>
      </c>
      <c r="J3037" s="20">
        <f t="shared" ca="1" si="526"/>
        <v>4</v>
      </c>
      <c r="K3037" s="20">
        <f t="shared" ca="1" si="518"/>
        <v>5</v>
      </c>
      <c r="L3037" s="44">
        <f t="shared" ca="1" si="523"/>
        <v>4.5</v>
      </c>
    </row>
    <row r="3038" spans="1:12" x14ac:dyDescent="0.25">
      <c r="A3038" s="20">
        <v>3030</v>
      </c>
      <c r="B3038" s="21">
        <f t="shared" ca="1" si="519"/>
        <v>8.5613596940461978</v>
      </c>
      <c r="C3038" s="21">
        <f t="shared" ca="1" si="524"/>
        <v>9288.52660047276</v>
      </c>
      <c r="D3038" s="21">
        <f t="shared" ca="1" si="520"/>
        <v>4.3626931028552347</v>
      </c>
      <c r="E3038" s="21">
        <f t="shared" ca="1" si="527"/>
        <v>10.279551600904597</v>
      </c>
      <c r="F3038" s="20" t="str">
        <f t="shared" ca="1" si="525"/>
        <v>No</v>
      </c>
      <c r="G3038" s="21">
        <f t="shared" ca="1" si="521"/>
        <v>0</v>
      </c>
      <c r="H3038" s="21">
        <f t="shared" ca="1" si="522"/>
        <v>9298.8061520736646</v>
      </c>
      <c r="I3038" s="21">
        <f t="shared" ca="1" si="517"/>
        <v>9303.1688451765203</v>
      </c>
      <c r="J3038" s="20">
        <f t="shared" ca="1" si="526"/>
        <v>6</v>
      </c>
      <c r="K3038" s="20">
        <f t="shared" ca="1" si="518"/>
        <v>5</v>
      </c>
      <c r="L3038" s="44">
        <f t="shared" ca="1" si="523"/>
        <v>5.5</v>
      </c>
    </row>
    <row r="3039" spans="1:12" x14ac:dyDescent="0.25">
      <c r="A3039" s="20">
        <v>3031</v>
      </c>
      <c r="B3039" s="21">
        <f t="shared" ca="1" si="519"/>
        <v>0.84701423383164454</v>
      </c>
      <c r="C3039" s="21">
        <f t="shared" ca="1" si="524"/>
        <v>9289.373614706592</v>
      </c>
      <c r="D3039" s="21">
        <f t="shared" ca="1" si="520"/>
        <v>0.5591648867021024</v>
      </c>
      <c r="E3039" s="21">
        <f t="shared" ca="1" si="527"/>
        <v>13.795230469928356</v>
      </c>
      <c r="F3039" s="20" t="str">
        <f t="shared" ca="1" si="525"/>
        <v>No</v>
      </c>
      <c r="G3039" s="21">
        <f t="shared" ca="1" si="521"/>
        <v>0</v>
      </c>
      <c r="H3039" s="21">
        <f t="shared" ca="1" si="522"/>
        <v>9303.1688451765203</v>
      </c>
      <c r="I3039" s="21">
        <f t="shared" ca="1" si="517"/>
        <v>9303.7280100632233</v>
      </c>
      <c r="J3039" s="20">
        <f t="shared" ca="1" si="526"/>
        <v>6</v>
      </c>
      <c r="K3039" s="20">
        <f t="shared" ca="1" si="518"/>
        <v>5</v>
      </c>
      <c r="L3039" s="44">
        <f t="shared" ca="1" si="523"/>
        <v>5.5</v>
      </c>
    </row>
    <row r="3040" spans="1:12" x14ac:dyDescent="0.25">
      <c r="A3040" s="20">
        <v>3032</v>
      </c>
      <c r="B3040" s="21">
        <f t="shared" ca="1" si="519"/>
        <v>3.2511740248875389</v>
      </c>
      <c r="C3040" s="21">
        <f t="shared" ca="1" si="524"/>
        <v>9292.6247887314803</v>
      </c>
      <c r="D3040" s="21">
        <f t="shared" ca="1" si="520"/>
        <v>2.0172157651212457</v>
      </c>
      <c r="E3040" s="21">
        <f t="shared" ca="1" si="527"/>
        <v>11.103221331743043</v>
      </c>
      <c r="F3040" s="20" t="str">
        <f t="shared" ca="1" si="525"/>
        <v>No</v>
      </c>
      <c r="G3040" s="21">
        <f t="shared" ca="1" si="521"/>
        <v>0</v>
      </c>
      <c r="H3040" s="21">
        <f t="shared" ca="1" si="522"/>
        <v>9303.7280100632233</v>
      </c>
      <c r="I3040" s="21">
        <f t="shared" ca="1" si="517"/>
        <v>9305.7452258283447</v>
      </c>
      <c r="J3040" s="20">
        <f t="shared" ca="1" si="526"/>
        <v>6</v>
      </c>
      <c r="K3040" s="20">
        <f t="shared" ca="1" si="518"/>
        <v>5</v>
      </c>
      <c r="L3040" s="44">
        <f t="shared" ca="1" si="523"/>
        <v>5.5</v>
      </c>
    </row>
    <row r="3041" spans="1:12" x14ac:dyDescent="0.25">
      <c r="A3041" s="20">
        <v>3033</v>
      </c>
      <c r="B3041" s="21">
        <f t="shared" ca="1" si="519"/>
        <v>0.15252695759785517</v>
      </c>
      <c r="C3041" s="21">
        <f t="shared" ca="1" si="524"/>
        <v>9292.777315689078</v>
      </c>
      <c r="D3041" s="21">
        <f t="shared" ca="1" si="520"/>
        <v>7.4597332210820353</v>
      </c>
      <c r="E3041" s="21">
        <f t="shared" ca="1" si="527"/>
        <v>12.967910139266678</v>
      </c>
      <c r="F3041" s="20" t="str">
        <f t="shared" ca="1" si="525"/>
        <v>No</v>
      </c>
      <c r="G3041" s="21">
        <f t="shared" ca="1" si="521"/>
        <v>0</v>
      </c>
      <c r="H3041" s="21">
        <f t="shared" ca="1" si="522"/>
        <v>9305.7452258283447</v>
      </c>
      <c r="I3041" s="21">
        <f t="shared" ca="1" si="517"/>
        <v>9313.2049590494262</v>
      </c>
      <c r="J3041" s="20">
        <f t="shared" ca="1" si="526"/>
        <v>6</v>
      </c>
      <c r="K3041" s="20">
        <f t="shared" ca="1" si="518"/>
        <v>5</v>
      </c>
      <c r="L3041" s="44">
        <f t="shared" ca="1" si="523"/>
        <v>5.5</v>
      </c>
    </row>
    <row r="3042" spans="1:12" x14ac:dyDescent="0.25">
      <c r="A3042" s="20">
        <v>3034</v>
      </c>
      <c r="B3042" s="21">
        <f t="shared" ca="1" si="519"/>
        <v>0.47331180347617624</v>
      </c>
      <c r="C3042" s="21">
        <f t="shared" ca="1" si="524"/>
        <v>9293.2506274925545</v>
      </c>
      <c r="D3042" s="21">
        <f t="shared" ca="1" si="520"/>
        <v>0.87417595923906311</v>
      </c>
      <c r="E3042" s="21">
        <f t="shared" ca="1" si="527"/>
        <v>19.954331556871693</v>
      </c>
      <c r="F3042" s="20" t="str">
        <f t="shared" ca="1" si="525"/>
        <v>No</v>
      </c>
      <c r="G3042" s="21">
        <f t="shared" ca="1" si="521"/>
        <v>0</v>
      </c>
      <c r="H3042" s="21">
        <f t="shared" ca="1" si="522"/>
        <v>9313.2049590494262</v>
      </c>
      <c r="I3042" s="21">
        <f t="shared" ca="1" si="517"/>
        <v>9314.0791350086656</v>
      </c>
      <c r="J3042" s="20">
        <f t="shared" ca="1" si="526"/>
        <v>6</v>
      </c>
      <c r="K3042" s="20">
        <f t="shared" ca="1" si="518"/>
        <v>5</v>
      </c>
      <c r="L3042" s="44">
        <f t="shared" ca="1" si="523"/>
        <v>5.5</v>
      </c>
    </row>
    <row r="3043" spans="1:12" x14ac:dyDescent="0.25">
      <c r="A3043" s="20">
        <v>3035</v>
      </c>
      <c r="B3043" s="21">
        <f t="shared" ca="1" si="519"/>
        <v>1.8208954485912154</v>
      </c>
      <c r="C3043" s="21">
        <f t="shared" ca="1" si="524"/>
        <v>9295.0715229411453</v>
      </c>
      <c r="D3043" s="21">
        <f t="shared" ca="1" si="520"/>
        <v>2.1191693263831106</v>
      </c>
      <c r="E3043" s="21">
        <f t="shared" ca="1" si="527"/>
        <v>19.007612067520313</v>
      </c>
      <c r="F3043" s="20" t="str">
        <f t="shared" ca="1" si="525"/>
        <v>No</v>
      </c>
      <c r="G3043" s="21">
        <f t="shared" ca="1" si="521"/>
        <v>0</v>
      </c>
      <c r="H3043" s="21">
        <f t="shared" ca="1" si="522"/>
        <v>9314.0791350086656</v>
      </c>
      <c r="I3043" s="21">
        <f t="shared" ca="1" si="517"/>
        <v>9316.1983043350483</v>
      </c>
      <c r="J3043" s="20">
        <f t="shared" ca="1" si="526"/>
        <v>6</v>
      </c>
      <c r="K3043" s="20">
        <f t="shared" ca="1" si="518"/>
        <v>5</v>
      </c>
      <c r="L3043" s="44">
        <f t="shared" ca="1" si="523"/>
        <v>5.5</v>
      </c>
    </row>
    <row r="3044" spans="1:12" x14ac:dyDescent="0.25">
      <c r="A3044" s="20">
        <v>3036</v>
      </c>
      <c r="B3044" s="21">
        <f t="shared" ca="1" si="519"/>
        <v>1.0610886011458092</v>
      </c>
      <c r="C3044" s="21">
        <f t="shared" ca="1" si="524"/>
        <v>9296.1326115422908</v>
      </c>
      <c r="D3044" s="21">
        <f t="shared" ca="1" si="520"/>
        <v>0.22222265406040881</v>
      </c>
      <c r="E3044" s="21">
        <f t="shared" ca="1" si="527"/>
        <v>20.065692792757545</v>
      </c>
      <c r="F3044" s="20" t="str">
        <f t="shared" ca="1" si="525"/>
        <v>No</v>
      </c>
      <c r="G3044" s="21">
        <f t="shared" ca="1" si="521"/>
        <v>0</v>
      </c>
      <c r="H3044" s="21">
        <f t="shared" ca="1" si="522"/>
        <v>9316.1983043350483</v>
      </c>
      <c r="I3044" s="21">
        <f t="shared" ca="1" si="517"/>
        <v>9316.4205269891081</v>
      </c>
      <c r="J3044" s="20">
        <f t="shared" ca="1" si="526"/>
        <v>6</v>
      </c>
      <c r="K3044" s="20">
        <f t="shared" ca="1" si="518"/>
        <v>5</v>
      </c>
      <c r="L3044" s="44">
        <f t="shared" ca="1" si="523"/>
        <v>5.5</v>
      </c>
    </row>
    <row r="3045" spans="1:12" x14ac:dyDescent="0.25">
      <c r="A3045" s="20">
        <v>3037</v>
      </c>
      <c r="B3045" s="21">
        <f t="shared" ca="1" si="519"/>
        <v>3.8909177887654613</v>
      </c>
      <c r="C3045" s="21">
        <f t="shared" ca="1" si="524"/>
        <v>9300.0235293310561</v>
      </c>
      <c r="D3045" s="21">
        <f t="shared" ca="1" si="520"/>
        <v>1.859451247465403</v>
      </c>
      <c r="E3045" s="21">
        <f t="shared" ca="1" si="527"/>
        <v>16.396997658051987</v>
      </c>
      <c r="F3045" s="20" t="str">
        <f t="shared" ca="1" si="525"/>
        <v>No</v>
      </c>
      <c r="G3045" s="21">
        <f t="shared" ca="1" si="521"/>
        <v>0</v>
      </c>
      <c r="H3045" s="21">
        <f t="shared" ca="1" si="522"/>
        <v>9316.4205269891081</v>
      </c>
      <c r="I3045" s="21">
        <f t="shared" ca="1" si="517"/>
        <v>9318.2799782365728</v>
      </c>
      <c r="J3045" s="20">
        <f t="shared" ca="1" si="526"/>
        <v>6</v>
      </c>
      <c r="K3045" s="20">
        <f t="shared" ca="1" si="518"/>
        <v>5</v>
      </c>
      <c r="L3045" s="44">
        <f t="shared" ca="1" si="523"/>
        <v>5.5</v>
      </c>
    </row>
    <row r="3046" spans="1:12" x14ac:dyDescent="0.25">
      <c r="A3046" s="20">
        <v>3038</v>
      </c>
      <c r="B3046" s="21">
        <f t="shared" ca="1" si="519"/>
        <v>0.2140261379873703</v>
      </c>
      <c r="C3046" s="21">
        <f t="shared" ca="1" si="524"/>
        <v>9300.2375554690443</v>
      </c>
      <c r="D3046" s="21">
        <f t="shared" ca="1" si="520"/>
        <v>2.2208373660005796</v>
      </c>
      <c r="E3046" s="21">
        <f t="shared" ca="1" si="527"/>
        <v>18.042422767528478</v>
      </c>
      <c r="F3046" s="20" t="str">
        <f t="shared" ca="1" si="525"/>
        <v>No</v>
      </c>
      <c r="G3046" s="21">
        <f t="shared" ca="1" si="521"/>
        <v>0</v>
      </c>
      <c r="H3046" s="21">
        <f t="shared" ca="1" si="522"/>
        <v>9318.2799782365728</v>
      </c>
      <c r="I3046" s="21">
        <f t="shared" ca="1" si="517"/>
        <v>9320.5008156025742</v>
      </c>
      <c r="J3046" s="20">
        <f t="shared" ca="1" si="526"/>
        <v>6</v>
      </c>
      <c r="K3046" s="20">
        <f t="shared" ca="1" si="518"/>
        <v>4</v>
      </c>
      <c r="L3046" s="44">
        <f t="shared" ca="1" si="523"/>
        <v>5</v>
      </c>
    </row>
    <row r="3047" spans="1:12" x14ac:dyDescent="0.25">
      <c r="A3047" s="20">
        <v>3039</v>
      </c>
      <c r="B3047" s="21">
        <f t="shared" ca="1" si="519"/>
        <v>5.0046864124853458</v>
      </c>
      <c r="C3047" s="21">
        <f t="shared" ca="1" si="524"/>
        <v>9305.2422418815295</v>
      </c>
      <c r="D3047" s="21">
        <f t="shared" ca="1" si="520"/>
        <v>2.5497465414262335</v>
      </c>
      <c r="E3047" s="21">
        <f t="shared" ca="1" si="527"/>
        <v>15.258573721044741</v>
      </c>
      <c r="F3047" s="20" t="str">
        <f t="shared" ca="1" si="525"/>
        <v>No</v>
      </c>
      <c r="G3047" s="21">
        <f t="shared" ca="1" si="521"/>
        <v>0</v>
      </c>
      <c r="H3047" s="21">
        <f t="shared" ca="1" si="522"/>
        <v>9320.5008156025742</v>
      </c>
      <c r="I3047" s="21">
        <f t="shared" ca="1" si="517"/>
        <v>9323.0505621440007</v>
      </c>
      <c r="J3047" s="20">
        <f t="shared" ca="1" si="526"/>
        <v>5</v>
      </c>
      <c r="K3047" s="20">
        <f t="shared" ca="1" si="518"/>
        <v>3</v>
      </c>
      <c r="L3047" s="44">
        <f t="shared" ca="1" si="523"/>
        <v>4</v>
      </c>
    </row>
    <row r="3048" spans="1:12" x14ac:dyDescent="0.25">
      <c r="A3048" s="20">
        <v>3040</v>
      </c>
      <c r="B3048" s="21">
        <f t="shared" ca="1" si="519"/>
        <v>4.605038516813206</v>
      </c>
      <c r="C3048" s="21">
        <f t="shared" ca="1" si="524"/>
        <v>9309.8472803983423</v>
      </c>
      <c r="D3048" s="21">
        <f t="shared" ca="1" si="520"/>
        <v>0.40355209279768461</v>
      </c>
      <c r="E3048" s="21">
        <f t="shared" ca="1" si="527"/>
        <v>13.203281745658387</v>
      </c>
      <c r="F3048" s="20" t="str">
        <f t="shared" ca="1" si="525"/>
        <v>No</v>
      </c>
      <c r="G3048" s="21">
        <f t="shared" ca="1" si="521"/>
        <v>0</v>
      </c>
      <c r="H3048" s="21">
        <f t="shared" ca="1" si="522"/>
        <v>9323.0505621440007</v>
      </c>
      <c r="I3048" s="21">
        <f t="shared" ca="1" si="517"/>
        <v>9323.454114236798</v>
      </c>
      <c r="J3048" s="20">
        <f t="shared" ca="1" si="526"/>
        <v>4</v>
      </c>
      <c r="K3048" s="20">
        <f t="shared" ca="1" si="518"/>
        <v>2</v>
      </c>
      <c r="L3048" s="44">
        <f t="shared" ca="1" si="523"/>
        <v>3</v>
      </c>
    </row>
    <row r="3049" spans="1:12" x14ac:dyDescent="0.25">
      <c r="A3049" s="20">
        <v>3041</v>
      </c>
      <c r="B3049" s="21">
        <f t="shared" ca="1" si="519"/>
        <v>4.4382058739323504</v>
      </c>
      <c r="C3049" s="21">
        <f t="shared" ca="1" si="524"/>
        <v>9314.2854862722743</v>
      </c>
      <c r="D3049" s="21">
        <f t="shared" ca="1" si="520"/>
        <v>9.3557616067731484</v>
      </c>
      <c r="E3049" s="21">
        <f t="shared" ca="1" si="527"/>
        <v>9.1686279645236937</v>
      </c>
      <c r="F3049" s="20" t="str">
        <f t="shared" ca="1" si="525"/>
        <v>No</v>
      </c>
      <c r="G3049" s="21">
        <f t="shared" ca="1" si="521"/>
        <v>0</v>
      </c>
      <c r="H3049" s="21">
        <f t="shared" ca="1" si="522"/>
        <v>9323.454114236798</v>
      </c>
      <c r="I3049" s="21">
        <f t="shared" ca="1" si="517"/>
        <v>9332.8098758435717</v>
      </c>
      <c r="J3049" s="20">
        <f t="shared" ca="1" si="526"/>
        <v>3</v>
      </c>
      <c r="K3049" s="20">
        <f t="shared" ca="1" si="518"/>
        <v>4</v>
      </c>
      <c r="L3049" s="44">
        <f t="shared" ca="1" si="523"/>
        <v>3.5</v>
      </c>
    </row>
    <row r="3050" spans="1:12" x14ac:dyDescent="0.25">
      <c r="A3050" s="20">
        <v>3042</v>
      </c>
      <c r="B3050" s="21">
        <f t="shared" ca="1" si="519"/>
        <v>1.5073125261799118</v>
      </c>
      <c r="C3050" s="21">
        <f t="shared" ca="1" si="524"/>
        <v>9315.7927987984549</v>
      </c>
      <c r="D3050" s="21">
        <f t="shared" ca="1" si="520"/>
        <v>8.4426549004128528</v>
      </c>
      <c r="E3050" s="21">
        <f t="shared" ca="1" si="527"/>
        <v>17.017077045116821</v>
      </c>
      <c r="F3050" s="20" t="str">
        <f t="shared" ca="1" si="525"/>
        <v>No</v>
      </c>
      <c r="G3050" s="21">
        <f t="shared" ca="1" si="521"/>
        <v>0</v>
      </c>
      <c r="H3050" s="21">
        <f t="shared" ca="1" si="522"/>
        <v>9332.8098758435717</v>
      </c>
      <c r="I3050" s="21">
        <f t="shared" ca="1" si="517"/>
        <v>9341.2525307439846</v>
      </c>
      <c r="J3050" s="20">
        <f t="shared" ca="1" si="526"/>
        <v>5</v>
      </c>
      <c r="K3050" s="20">
        <f t="shared" ca="1" si="518"/>
        <v>5</v>
      </c>
      <c r="L3050" s="44">
        <f t="shared" ca="1" si="523"/>
        <v>5</v>
      </c>
    </row>
    <row r="3051" spans="1:12" x14ac:dyDescent="0.25">
      <c r="A3051" s="20">
        <v>3043</v>
      </c>
      <c r="B3051" s="21">
        <f t="shared" ca="1" si="519"/>
        <v>7.8777034167692932</v>
      </c>
      <c r="C3051" s="21">
        <f t="shared" ca="1" si="524"/>
        <v>9323.6705022152237</v>
      </c>
      <c r="D3051" s="21">
        <f t="shared" ca="1" si="520"/>
        <v>5.6401150750213453</v>
      </c>
      <c r="E3051" s="21">
        <f t="shared" ca="1" si="527"/>
        <v>17.582028528760929</v>
      </c>
      <c r="F3051" s="20" t="str">
        <f t="shared" ca="1" si="525"/>
        <v>No</v>
      </c>
      <c r="G3051" s="21">
        <f t="shared" ca="1" si="521"/>
        <v>0</v>
      </c>
      <c r="H3051" s="21">
        <f t="shared" ca="1" si="522"/>
        <v>9341.2525307439846</v>
      </c>
      <c r="I3051" s="21">
        <f t="shared" ca="1" si="517"/>
        <v>9346.8926458190053</v>
      </c>
      <c r="J3051" s="20">
        <f t="shared" ca="1" si="526"/>
        <v>6</v>
      </c>
      <c r="K3051" s="20">
        <f t="shared" ca="1" si="518"/>
        <v>5</v>
      </c>
      <c r="L3051" s="44">
        <f t="shared" ca="1" si="523"/>
        <v>5.5</v>
      </c>
    </row>
    <row r="3052" spans="1:12" x14ac:dyDescent="0.25">
      <c r="A3052" s="20">
        <v>3044</v>
      </c>
      <c r="B3052" s="21">
        <f t="shared" ca="1" si="519"/>
        <v>3.3968734030656202</v>
      </c>
      <c r="C3052" s="21">
        <f t="shared" ca="1" si="524"/>
        <v>9327.0673756182896</v>
      </c>
      <c r="D3052" s="21">
        <f t="shared" ca="1" si="520"/>
        <v>1.9911016664845582</v>
      </c>
      <c r="E3052" s="21">
        <f t="shared" ca="1" si="527"/>
        <v>19.82527020071575</v>
      </c>
      <c r="F3052" s="20" t="str">
        <f t="shared" ca="1" si="525"/>
        <v>No</v>
      </c>
      <c r="G3052" s="21">
        <f t="shared" ca="1" si="521"/>
        <v>0</v>
      </c>
      <c r="H3052" s="21">
        <f t="shared" ca="1" si="522"/>
        <v>9346.8926458190053</v>
      </c>
      <c r="I3052" s="21">
        <f t="shared" ca="1" si="517"/>
        <v>9348.8837474854899</v>
      </c>
      <c r="J3052" s="20">
        <f t="shared" ca="1" si="526"/>
        <v>6</v>
      </c>
      <c r="K3052" s="20">
        <f t="shared" ca="1" si="518"/>
        <v>5</v>
      </c>
      <c r="L3052" s="44">
        <f t="shared" ca="1" si="523"/>
        <v>5.5</v>
      </c>
    </row>
    <row r="3053" spans="1:12" x14ac:dyDescent="0.25">
      <c r="A3053" s="20">
        <v>3045</v>
      </c>
      <c r="B3053" s="21">
        <f t="shared" ca="1" si="519"/>
        <v>4.0480449104515595</v>
      </c>
      <c r="C3053" s="21">
        <f t="shared" ca="1" si="524"/>
        <v>9331.1154205287403</v>
      </c>
      <c r="D3053" s="21">
        <f t="shared" ca="1" si="520"/>
        <v>0.36681093566199313</v>
      </c>
      <c r="E3053" s="21">
        <f t="shared" ca="1" si="527"/>
        <v>17.768326956749661</v>
      </c>
      <c r="F3053" s="20" t="str">
        <f t="shared" ca="1" si="525"/>
        <v>No</v>
      </c>
      <c r="G3053" s="21">
        <f t="shared" ca="1" si="521"/>
        <v>0</v>
      </c>
      <c r="H3053" s="21">
        <f t="shared" ca="1" si="522"/>
        <v>9348.8837474854899</v>
      </c>
      <c r="I3053" s="21">
        <f t="shared" ca="1" si="517"/>
        <v>9349.2505584211522</v>
      </c>
      <c r="J3053" s="20">
        <f t="shared" ca="1" si="526"/>
        <v>6</v>
      </c>
      <c r="K3053" s="20">
        <f t="shared" ca="1" si="518"/>
        <v>5</v>
      </c>
      <c r="L3053" s="44">
        <f t="shared" ca="1" si="523"/>
        <v>5.5</v>
      </c>
    </row>
    <row r="3054" spans="1:12" x14ac:dyDescent="0.25">
      <c r="A3054" s="20">
        <v>3046</v>
      </c>
      <c r="B3054" s="21">
        <f t="shared" ca="1" si="519"/>
        <v>3.7385749519909925</v>
      </c>
      <c r="C3054" s="21">
        <f t="shared" ca="1" si="524"/>
        <v>9334.8539954807311</v>
      </c>
      <c r="D3054" s="21">
        <f t="shared" ca="1" si="520"/>
        <v>0.86721915725948739</v>
      </c>
      <c r="E3054" s="21">
        <f t="shared" ca="1" si="527"/>
        <v>14.396562940421063</v>
      </c>
      <c r="F3054" s="20" t="str">
        <f t="shared" ca="1" si="525"/>
        <v>No</v>
      </c>
      <c r="G3054" s="21">
        <f t="shared" ca="1" si="521"/>
        <v>0</v>
      </c>
      <c r="H3054" s="21">
        <f t="shared" ca="1" si="522"/>
        <v>9349.2505584211522</v>
      </c>
      <c r="I3054" s="21">
        <f t="shared" ca="1" si="517"/>
        <v>9350.1177775784108</v>
      </c>
      <c r="J3054" s="20">
        <f t="shared" ca="1" si="526"/>
        <v>6</v>
      </c>
      <c r="K3054" s="20">
        <f t="shared" ca="1" si="518"/>
        <v>5</v>
      </c>
      <c r="L3054" s="44">
        <f t="shared" ca="1" si="523"/>
        <v>5.5</v>
      </c>
    </row>
    <row r="3055" spans="1:12" x14ac:dyDescent="0.25">
      <c r="A3055" s="20">
        <v>3047</v>
      </c>
      <c r="B3055" s="21">
        <f t="shared" ca="1" si="519"/>
        <v>4.2745118511701801</v>
      </c>
      <c r="C3055" s="21">
        <f t="shared" ca="1" si="524"/>
        <v>9339.1285073319013</v>
      </c>
      <c r="D3055" s="21">
        <f t="shared" ca="1" si="520"/>
        <v>1.9751228534925087</v>
      </c>
      <c r="E3055" s="21">
        <f t="shared" ca="1" si="527"/>
        <v>10.989270246509477</v>
      </c>
      <c r="F3055" s="20" t="str">
        <f t="shared" ca="1" si="525"/>
        <v>No</v>
      </c>
      <c r="G3055" s="21">
        <f t="shared" ca="1" si="521"/>
        <v>0</v>
      </c>
      <c r="H3055" s="21">
        <f t="shared" ca="1" si="522"/>
        <v>9350.1177775784108</v>
      </c>
      <c r="I3055" s="21">
        <f t="shared" ca="1" si="517"/>
        <v>9352.0929004319041</v>
      </c>
      <c r="J3055" s="20">
        <f t="shared" ca="1" si="526"/>
        <v>6</v>
      </c>
      <c r="K3055" s="20">
        <f t="shared" ca="1" si="518"/>
        <v>5</v>
      </c>
      <c r="L3055" s="44">
        <f t="shared" ca="1" si="523"/>
        <v>5.5</v>
      </c>
    </row>
    <row r="3056" spans="1:12" x14ac:dyDescent="0.25">
      <c r="A3056" s="20">
        <v>3048</v>
      </c>
      <c r="B3056" s="21">
        <f t="shared" ca="1" si="519"/>
        <v>1.6639354995895479</v>
      </c>
      <c r="C3056" s="21">
        <f t="shared" ca="1" si="524"/>
        <v>9340.7924428314909</v>
      </c>
      <c r="D3056" s="21">
        <f t="shared" ca="1" si="520"/>
        <v>1.1127227381233409</v>
      </c>
      <c r="E3056" s="21">
        <f t="shared" ca="1" si="527"/>
        <v>11.30045760041321</v>
      </c>
      <c r="F3056" s="20" t="str">
        <f t="shared" ca="1" si="525"/>
        <v>No</v>
      </c>
      <c r="G3056" s="21">
        <f t="shared" ca="1" si="521"/>
        <v>0</v>
      </c>
      <c r="H3056" s="21">
        <f t="shared" ca="1" si="522"/>
        <v>9352.0929004319041</v>
      </c>
      <c r="I3056" s="21">
        <f t="shared" ca="1" si="517"/>
        <v>9353.205623170028</v>
      </c>
      <c r="J3056" s="20">
        <f t="shared" ca="1" si="526"/>
        <v>6</v>
      </c>
      <c r="K3056" s="20">
        <f t="shared" ca="1" si="518"/>
        <v>5</v>
      </c>
      <c r="L3056" s="44">
        <f t="shared" ca="1" si="523"/>
        <v>5.5</v>
      </c>
    </row>
    <row r="3057" spans="1:12" x14ac:dyDescent="0.25">
      <c r="A3057" s="20">
        <v>3049</v>
      </c>
      <c r="B3057" s="21">
        <f t="shared" ca="1" si="519"/>
        <v>1.5013726010977702</v>
      </c>
      <c r="C3057" s="21">
        <f t="shared" ca="1" si="524"/>
        <v>9342.2938154325893</v>
      </c>
      <c r="D3057" s="21">
        <f t="shared" ca="1" si="520"/>
        <v>0.48791854452183653</v>
      </c>
      <c r="E3057" s="21">
        <f t="shared" ca="1" si="527"/>
        <v>10.911807737438721</v>
      </c>
      <c r="F3057" s="20" t="str">
        <f t="shared" ca="1" si="525"/>
        <v>No</v>
      </c>
      <c r="G3057" s="21">
        <f t="shared" ca="1" si="521"/>
        <v>0</v>
      </c>
      <c r="H3057" s="21">
        <f t="shared" ca="1" si="522"/>
        <v>9353.205623170028</v>
      </c>
      <c r="I3057" s="21">
        <f t="shared" ca="1" si="517"/>
        <v>9353.6935417145505</v>
      </c>
      <c r="J3057" s="20">
        <f t="shared" ca="1" si="526"/>
        <v>6</v>
      </c>
      <c r="K3057" s="20">
        <f t="shared" ca="1" si="518"/>
        <v>5</v>
      </c>
      <c r="L3057" s="44">
        <f t="shared" ca="1" si="523"/>
        <v>5.5</v>
      </c>
    </row>
    <row r="3058" spans="1:12" x14ac:dyDescent="0.25">
      <c r="A3058" s="20">
        <v>3050</v>
      </c>
      <c r="B3058" s="21">
        <f t="shared" ca="1" si="519"/>
        <v>0.32268914255048936</v>
      </c>
      <c r="C3058" s="21">
        <f t="shared" ca="1" si="524"/>
        <v>9342.6165045751404</v>
      </c>
      <c r="D3058" s="21">
        <f t="shared" ca="1" si="520"/>
        <v>7.343793514790288E-2</v>
      </c>
      <c r="E3058" s="21">
        <f t="shared" ca="1" si="527"/>
        <v>11.077037139410095</v>
      </c>
      <c r="F3058" s="20" t="str">
        <f t="shared" ca="1" si="525"/>
        <v>No</v>
      </c>
      <c r="G3058" s="21">
        <f t="shared" ca="1" si="521"/>
        <v>0</v>
      </c>
      <c r="H3058" s="21">
        <f t="shared" ca="1" si="522"/>
        <v>9353.6935417145505</v>
      </c>
      <c r="I3058" s="21">
        <f t="shared" ca="1" si="517"/>
        <v>9353.7669796496975</v>
      </c>
      <c r="J3058" s="20">
        <f t="shared" ca="1" si="526"/>
        <v>6</v>
      </c>
      <c r="K3058" s="20">
        <f t="shared" ca="1" si="518"/>
        <v>5</v>
      </c>
      <c r="L3058" s="44">
        <f t="shared" ca="1" si="523"/>
        <v>5.5</v>
      </c>
    </row>
    <row r="3059" spans="1:12" x14ac:dyDescent="0.25">
      <c r="A3059" s="20">
        <v>3051</v>
      </c>
      <c r="B3059" s="21">
        <f t="shared" ca="1" si="519"/>
        <v>1.8196317274076184</v>
      </c>
      <c r="C3059" s="21">
        <f t="shared" ca="1" si="524"/>
        <v>9344.4361363025473</v>
      </c>
      <c r="D3059" s="21">
        <f t="shared" ca="1" si="520"/>
        <v>3.4102127073105515</v>
      </c>
      <c r="E3059" s="21">
        <f t="shared" ca="1" si="527"/>
        <v>9.3308433471502212</v>
      </c>
      <c r="F3059" s="20" t="str">
        <f t="shared" ca="1" si="525"/>
        <v>No</v>
      </c>
      <c r="G3059" s="21">
        <f t="shared" ca="1" si="521"/>
        <v>0</v>
      </c>
      <c r="H3059" s="21">
        <f t="shared" ca="1" si="522"/>
        <v>9353.7669796496975</v>
      </c>
      <c r="I3059" s="21">
        <f t="shared" ca="1" si="517"/>
        <v>9357.1771923570086</v>
      </c>
      <c r="J3059" s="20">
        <f t="shared" ca="1" si="526"/>
        <v>6</v>
      </c>
      <c r="K3059" s="20">
        <f t="shared" ca="1" si="518"/>
        <v>5</v>
      </c>
      <c r="L3059" s="44">
        <f t="shared" ca="1" si="523"/>
        <v>5.5</v>
      </c>
    </row>
    <row r="3060" spans="1:12" x14ac:dyDescent="0.25">
      <c r="A3060" s="20">
        <v>3052</v>
      </c>
      <c r="B3060" s="21">
        <f t="shared" ca="1" si="519"/>
        <v>1.4588507485507232</v>
      </c>
      <c r="C3060" s="21">
        <f t="shared" ca="1" si="524"/>
        <v>9345.8949870510987</v>
      </c>
      <c r="D3060" s="21">
        <f t="shared" ca="1" si="520"/>
        <v>0.27796015725053924</v>
      </c>
      <c r="E3060" s="21">
        <f t="shared" ca="1" si="527"/>
        <v>11.282205305909883</v>
      </c>
      <c r="F3060" s="20" t="str">
        <f t="shared" ca="1" si="525"/>
        <v>No</v>
      </c>
      <c r="G3060" s="21">
        <f t="shared" ca="1" si="521"/>
        <v>0</v>
      </c>
      <c r="H3060" s="21">
        <f t="shared" ca="1" si="522"/>
        <v>9357.1771923570086</v>
      </c>
      <c r="I3060" s="21">
        <f t="shared" ca="1" si="517"/>
        <v>9357.4551525142597</v>
      </c>
      <c r="J3060" s="20">
        <f t="shared" ca="1" si="526"/>
        <v>6</v>
      </c>
      <c r="K3060" s="20">
        <f t="shared" ca="1" si="518"/>
        <v>5</v>
      </c>
      <c r="L3060" s="44">
        <f t="shared" ca="1" si="523"/>
        <v>5.5</v>
      </c>
    </row>
    <row r="3061" spans="1:12" x14ac:dyDescent="0.25">
      <c r="A3061" s="20">
        <v>3053</v>
      </c>
      <c r="B3061" s="21">
        <f t="shared" ca="1" si="519"/>
        <v>1.2369404473600512</v>
      </c>
      <c r="C3061" s="21">
        <f t="shared" ca="1" si="524"/>
        <v>9347.131927498458</v>
      </c>
      <c r="D3061" s="21">
        <f t="shared" ca="1" si="520"/>
        <v>0.12489116427251236</v>
      </c>
      <c r="E3061" s="21">
        <f t="shared" ca="1" si="527"/>
        <v>10.323225015801654</v>
      </c>
      <c r="F3061" s="20" t="str">
        <f t="shared" ca="1" si="525"/>
        <v>No</v>
      </c>
      <c r="G3061" s="21">
        <f t="shared" ca="1" si="521"/>
        <v>0</v>
      </c>
      <c r="H3061" s="21">
        <f t="shared" ca="1" si="522"/>
        <v>9357.4551525142597</v>
      </c>
      <c r="I3061" s="21">
        <f t="shared" ca="1" si="517"/>
        <v>9357.5800436785321</v>
      </c>
      <c r="J3061" s="20">
        <f t="shared" ca="1" si="526"/>
        <v>6</v>
      </c>
      <c r="K3061" s="20">
        <f t="shared" ca="1" si="518"/>
        <v>5</v>
      </c>
      <c r="L3061" s="44">
        <f t="shared" ca="1" si="523"/>
        <v>5.5</v>
      </c>
    </row>
    <row r="3062" spans="1:12" x14ac:dyDescent="0.25">
      <c r="A3062" s="20">
        <v>3054</v>
      </c>
      <c r="B3062" s="21">
        <f t="shared" ca="1" si="519"/>
        <v>0.91263308151062428</v>
      </c>
      <c r="C3062" s="21">
        <f t="shared" ca="1" si="524"/>
        <v>9348.0445605799687</v>
      </c>
      <c r="D3062" s="21">
        <f t="shared" ca="1" si="520"/>
        <v>3.5948486956634267</v>
      </c>
      <c r="E3062" s="21">
        <f t="shared" ca="1" si="527"/>
        <v>9.535483098563418</v>
      </c>
      <c r="F3062" s="20" t="str">
        <f t="shared" ca="1" si="525"/>
        <v>No</v>
      </c>
      <c r="G3062" s="21">
        <f t="shared" ca="1" si="521"/>
        <v>0</v>
      </c>
      <c r="H3062" s="21">
        <f t="shared" ca="1" si="522"/>
        <v>9357.5800436785321</v>
      </c>
      <c r="I3062" s="21">
        <f t="shared" ca="1" si="517"/>
        <v>9361.1748923741961</v>
      </c>
      <c r="J3062" s="20">
        <f t="shared" ca="1" si="526"/>
        <v>6</v>
      </c>
      <c r="K3062" s="20">
        <f t="shared" ca="1" si="518"/>
        <v>5</v>
      </c>
      <c r="L3062" s="44">
        <f t="shared" ca="1" si="523"/>
        <v>5.5</v>
      </c>
    </row>
    <row r="3063" spans="1:12" x14ac:dyDescent="0.25">
      <c r="A3063" s="20">
        <v>3055</v>
      </c>
      <c r="B3063" s="21">
        <f t="shared" ca="1" si="519"/>
        <v>0.12572740948365635</v>
      </c>
      <c r="C3063" s="21">
        <f t="shared" ca="1" si="524"/>
        <v>9348.1702879894528</v>
      </c>
      <c r="D3063" s="21">
        <f t="shared" ca="1" si="520"/>
        <v>2.9956520633912946</v>
      </c>
      <c r="E3063" s="21">
        <f t="shared" ca="1" si="527"/>
        <v>13.004604384743288</v>
      </c>
      <c r="F3063" s="20" t="str">
        <f t="shared" ca="1" si="525"/>
        <v>No</v>
      </c>
      <c r="G3063" s="21">
        <f t="shared" ca="1" si="521"/>
        <v>0</v>
      </c>
      <c r="H3063" s="21">
        <f t="shared" ca="1" si="522"/>
        <v>9361.1748923741961</v>
      </c>
      <c r="I3063" s="21">
        <f t="shared" ca="1" si="517"/>
        <v>9364.1705444375875</v>
      </c>
      <c r="J3063" s="20">
        <f t="shared" ca="1" si="526"/>
        <v>6</v>
      </c>
      <c r="K3063" s="20">
        <f t="shared" ca="1" si="518"/>
        <v>5</v>
      </c>
      <c r="L3063" s="44">
        <f t="shared" ca="1" si="523"/>
        <v>5.5</v>
      </c>
    </row>
    <row r="3064" spans="1:12" x14ac:dyDescent="0.25">
      <c r="A3064" s="20">
        <v>3056</v>
      </c>
      <c r="B3064" s="21">
        <f t="shared" ca="1" si="519"/>
        <v>4.839383452360499</v>
      </c>
      <c r="C3064" s="21">
        <f t="shared" ca="1" si="524"/>
        <v>9353.0096714418141</v>
      </c>
      <c r="D3064" s="21">
        <f t="shared" ca="1" si="520"/>
        <v>3.771116746200899</v>
      </c>
      <c r="E3064" s="21">
        <f t="shared" ca="1" si="527"/>
        <v>11.160872995773389</v>
      </c>
      <c r="F3064" s="20" t="str">
        <f t="shared" ca="1" si="525"/>
        <v>No</v>
      </c>
      <c r="G3064" s="21">
        <f t="shared" ca="1" si="521"/>
        <v>0</v>
      </c>
      <c r="H3064" s="21">
        <f t="shared" ca="1" si="522"/>
        <v>9364.1705444375875</v>
      </c>
      <c r="I3064" s="21">
        <f t="shared" ca="1" si="517"/>
        <v>9367.9416611837878</v>
      </c>
      <c r="J3064" s="20">
        <f t="shared" ca="1" si="526"/>
        <v>6</v>
      </c>
      <c r="K3064" s="20">
        <f t="shared" ca="1" si="518"/>
        <v>5</v>
      </c>
      <c r="L3064" s="44">
        <f t="shared" ca="1" si="523"/>
        <v>5.5</v>
      </c>
    </row>
    <row r="3065" spans="1:12" x14ac:dyDescent="0.25">
      <c r="A3065" s="20">
        <v>3057</v>
      </c>
      <c r="B3065" s="21">
        <f t="shared" ca="1" si="519"/>
        <v>2.5275373743776464</v>
      </c>
      <c r="C3065" s="21">
        <f t="shared" ca="1" si="524"/>
        <v>9355.5372088161912</v>
      </c>
      <c r="D3065" s="21">
        <f t="shared" ca="1" si="520"/>
        <v>1.6951605509623173</v>
      </c>
      <c r="E3065" s="21">
        <f t="shared" ca="1" si="527"/>
        <v>12.404452367596605</v>
      </c>
      <c r="F3065" s="20" t="str">
        <f t="shared" ca="1" si="525"/>
        <v>No</v>
      </c>
      <c r="G3065" s="21">
        <f t="shared" ca="1" si="521"/>
        <v>0</v>
      </c>
      <c r="H3065" s="21">
        <f t="shared" ca="1" si="522"/>
        <v>9367.9416611837878</v>
      </c>
      <c r="I3065" s="21">
        <f t="shared" ca="1" si="517"/>
        <v>9369.6368217347499</v>
      </c>
      <c r="J3065" s="20">
        <f t="shared" ca="1" si="526"/>
        <v>6</v>
      </c>
      <c r="K3065" s="20">
        <f t="shared" ca="1" si="518"/>
        <v>5</v>
      </c>
      <c r="L3065" s="44">
        <f t="shared" ca="1" si="523"/>
        <v>5.5</v>
      </c>
    </row>
    <row r="3066" spans="1:12" x14ac:dyDescent="0.25">
      <c r="A3066" s="20">
        <v>3058</v>
      </c>
      <c r="B3066" s="21">
        <f t="shared" ca="1" si="519"/>
        <v>0.79387319774318987</v>
      </c>
      <c r="C3066" s="21">
        <f t="shared" ca="1" si="524"/>
        <v>9356.3310820139341</v>
      </c>
      <c r="D3066" s="21">
        <f t="shared" ca="1" si="520"/>
        <v>0.70653594859965496</v>
      </c>
      <c r="E3066" s="21">
        <f t="shared" ca="1" si="527"/>
        <v>13.305739720815836</v>
      </c>
      <c r="F3066" s="20" t="str">
        <f t="shared" ca="1" si="525"/>
        <v>No</v>
      </c>
      <c r="G3066" s="21">
        <f t="shared" ca="1" si="521"/>
        <v>0</v>
      </c>
      <c r="H3066" s="21">
        <f t="shared" ca="1" si="522"/>
        <v>9369.6368217347499</v>
      </c>
      <c r="I3066" s="21">
        <f t="shared" ca="1" si="517"/>
        <v>9370.3433576833504</v>
      </c>
      <c r="J3066" s="20">
        <f t="shared" ca="1" si="526"/>
        <v>6</v>
      </c>
      <c r="K3066" s="20">
        <f t="shared" ca="1" si="518"/>
        <v>5</v>
      </c>
      <c r="L3066" s="44">
        <f t="shared" ca="1" si="523"/>
        <v>5.5</v>
      </c>
    </row>
    <row r="3067" spans="1:12" x14ac:dyDescent="0.25">
      <c r="A3067" s="20">
        <v>3059</v>
      </c>
      <c r="B3067" s="21">
        <f t="shared" ca="1" si="519"/>
        <v>1.038244634738243</v>
      </c>
      <c r="C3067" s="21">
        <f t="shared" ca="1" si="524"/>
        <v>9357.3693266486716</v>
      </c>
      <c r="D3067" s="21">
        <f t="shared" ca="1" si="520"/>
        <v>5.1160590265351212E-2</v>
      </c>
      <c r="E3067" s="21">
        <f t="shared" ca="1" si="527"/>
        <v>12.974031034678774</v>
      </c>
      <c r="F3067" s="20" t="str">
        <f t="shared" ca="1" si="525"/>
        <v>No</v>
      </c>
      <c r="G3067" s="21">
        <f t="shared" ca="1" si="521"/>
        <v>0</v>
      </c>
      <c r="H3067" s="21">
        <f t="shared" ca="1" si="522"/>
        <v>9370.3433576833504</v>
      </c>
      <c r="I3067" s="21">
        <f t="shared" ca="1" si="517"/>
        <v>9370.3945182736152</v>
      </c>
      <c r="J3067" s="20">
        <f t="shared" ca="1" si="526"/>
        <v>6</v>
      </c>
      <c r="K3067" s="20">
        <f t="shared" ca="1" si="518"/>
        <v>5</v>
      </c>
      <c r="L3067" s="44">
        <f t="shared" ca="1" si="523"/>
        <v>5.5</v>
      </c>
    </row>
    <row r="3068" spans="1:12" x14ac:dyDescent="0.25">
      <c r="A3068" s="20">
        <v>3060</v>
      </c>
      <c r="B3068" s="21">
        <f t="shared" ca="1" si="519"/>
        <v>4.1865287131942663</v>
      </c>
      <c r="C3068" s="21">
        <f t="shared" ca="1" si="524"/>
        <v>9361.5558553618666</v>
      </c>
      <c r="D3068" s="21">
        <f t="shared" ca="1" si="520"/>
        <v>2.4695628205651721</v>
      </c>
      <c r="E3068" s="21">
        <f t="shared" ca="1" si="527"/>
        <v>8.8386629117485427</v>
      </c>
      <c r="F3068" s="20" t="str">
        <f t="shared" ca="1" si="525"/>
        <v>No</v>
      </c>
      <c r="G3068" s="21">
        <f t="shared" ca="1" si="521"/>
        <v>0</v>
      </c>
      <c r="H3068" s="21">
        <f t="shared" ca="1" si="522"/>
        <v>9370.3945182736152</v>
      </c>
      <c r="I3068" s="21">
        <f t="shared" ca="1" si="517"/>
        <v>9372.8640810941797</v>
      </c>
      <c r="J3068" s="20">
        <f t="shared" ca="1" si="526"/>
        <v>6</v>
      </c>
      <c r="K3068" s="20">
        <f t="shared" ca="1" si="518"/>
        <v>5</v>
      </c>
      <c r="L3068" s="44">
        <f t="shared" ca="1" si="523"/>
        <v>5.5</v>
      </c>
    </row>
    <row r="3069" spans="1:12" x14ac:dyDescent="0.25">
      <c r="A3069" s="20">
        <v>3061</v>
      </c>
      <c r="B3069" s="21">
        <f t="shared" ca="1" si="519"/>
        <v>0.12459673211619324</v>
      </c>
      <c r="C3069" s="21">
        <f t="shared" ca="1" si="524"/>
        <v>9361.6804520939822</v>
      </c>
      <c r="D3069" s="21">
        <f t="shared" ca="1" si="520"/>
        <v>1.0491739977832899</v>
      </c>
      <c r="E3069" s="21">
        <f t="shared" ca="1" si="527"/>
        <v>11.18362900019747</v>
      </c>
      <c r="F3069" s="20" t="str">
        <f t="shared" ca="1" si="525"/>
        <v>No</v>
      </c>
      <c r="G3069" s="21">
        <f t="shared" ca="1" si="521"/>
        <v>0</v>
      </c>
      <c r="H3069" s="21">
        <f t="shared" ca="1" si="522"/>
        <v>9372.8640810941797</v>
      </c>
      <c r="I3069" s="21">
        <f t="shared" ca="1" si="517"/>
        <v>9373.9132550919621</v>
      </c>
      <c r="J3069" s="20">
        <f t="shared" ca="1" si="526"/>
        <v>6</v>
      </c>
      <c r="K3069" s="20">
        <f t="shared" ca="1" si="518"/>
        <v>5</v>
      </c>
      <c r="L3069" s="44">
        <f t="shared" ca="1" si="523"/>
        <v>5.5</v>
      </c>
    </row>
    <row r="3070" spans="1:12" x14ac:dyDescent="0.25">
      <c r="A3070" s="20">
        <v>3062</v>
      </c>
      <c r="B3070" s="21">
        <f t="shared" ca="1" si="519"/>
        <v>0.54827379158798462</v>
      </c>
      <c r="C3070" s="21">
        <f t="shared" ca="1" si="524"/>
        <v>9362.2287258855704</v>
      </c>
      <c r="D3070" s="21">
        <f t="shared" ca="1" si="520"/>
        <v>3.164774965115396</v>
      </c>
      <c r="E3070" s="21">
        <f t="shared" ca="1" si="527"/>
        <v>11.684529206391744</v>
      </c>
      <c r="F3070" s="20" t="str">
        <f t="shared" ca="1" si="525"/>
        <v>No</v>
      </c>
      <c r="G3070" s="21">
        <f t="shared" ca="1" si="521"/>
        <v>0</v>
      </c>
      <c r="H3070" s="21">
        <f t="shared" ca="1" si="522"/>
        <v>9373.9132550919621</v>
      </c>
      <c r="I3070" s="21">
        <f t="shared" ca="1" si="517"/>
        <v>9377.0780300570768</v>
      </c>
      <c r="J3070" s="20">
        <f t="shared" ca="1" si="526"/>
        <v>6</v>
      </c>
      <c r="K3070" s="20">
        <f t="shared" ca="1" si="518"/>
        <v>4</v>
      </c>
      <c r="L3070" s="44">
        <f t="shared" ca="1" si="523"/>
        <v>5</v>
      </c>
    </row>
    <row r="3071" spans="1:12" x14ac:dyDescent="0.25">
      <c r="A3071" s="20">
        <v>3063</v>
      </c>
      <c r="B3071" s="21">
        <f t="shared" ca="1" si="519"/>
        <v>0.82690489221462116</v>
      </c>
      <c r="C3071" s="21">
        <f t="shared" ca="1" si="524"/>
        <v>9363.0556307777842</v>
      </c>
      <c r="D3071" s="21">
        <f t="shared" ca="1" si="520"/>
        <v>2.1936015781320934</v>
      </c>
      <c r="E3071" s="21">
        <f t="shared" ca="1" si="527"/>
        <v>14.022399279292586</v>
      </c>
      <c r="F3071" s="20" t="str">
        <f t="shared" ca="1" si="525"/>
        <v>No</v>
      </c>
      <c r="G3071" s="21">
        <f t="shared" ca="1" si="521"/>
        <v>0</v>
      </c>
      <c r="H3071" s="21">
        <f t="shared" ca="1" si="522"/>
        <v>9377.0780300570768</v>
      </c>
      <c r="I3071" s="21">
        <f t="shared" ca="1" si="517"/>
        <v>9379.2716316352089</v>
      </c>
      <c r="J3071" s="20">
        <f t="shared" ca="1" si="526"/>
        <v>5</v>
      </c>
      <c r="K3071" s="20">
        <f t="shared" ca="1" si="518"/>
        <v>3</v>
      </c>
      <c r="L3071" s="44">
        <f t="shared" ca="1" si="523"/>
        <v>4</v>
      </c>
    </row>
    <row r="3072" spans="1:12" x14ac:dyDescent="0.25">
      <c r="A3072" s="20">
        <v>3064</v>
      </c>
      <c r="B3072" s="21">
        <f t="shared" ca="1" si="519"/>
        <v>6.6381025613632696E-2</v>
      </c>
      <c r="C3072" s="21">
        <f t="shared" ca="1" si="524"/>
        <v>9363.122011803398</v>
      </c>
      <c r="D3072" s="21">
        <f t="shared" ca="1" si="520"/>
        <v>2.8390968089535895</v>
      </c>
      <c r="E3072" s="21">
        <f t="shared" ca="1" si="527"/>
        <v>16.149619831810924</v>
      </c>
      <c r="F3072" s="20" t="str">
        <f t="shared" ca="1" si="525"/>
        <v>No</v>
      </c>
      <c r="G3072" s="21">
        <f t="shared" ca="1" si="521"/>
        <v>0</v>
      </c>
      <c r="H3072" s="21">
        <f t="shared" ca="1" si="522"/>
        <v>9379.2716316352089</v>
      </c>
      <c r="I3072" s="21">
        <f t="shared" ca="1" si="517"/>
        <v>9382.1107284441623</v>
      </c>
      <c r="J3072" s="20">
        <f t="shared" ca="1" si="526"/>
        <v>4</v>
      </c>
      <c r="K3072" s="20">
        <f t="shared" ca="1" si="518"/>
        <v>4</v>
      </c>
      <c r="L3072" s="44">
        <f t="shared" ca="1" si="523"/>
        <v>4</v>
      </c>
    </row>
    <row r="3073" spans="1:12" x14ac:dyDescent="0.25">
      <c r="A3073" s="20">
        <v>3065</v>
      </c>
      <c r="B3073" s="21">
        <f t="shared" ca="1" si="519"/>
        <v>6.8438592594853729</v>
      </c>
      <c r="C3073" s="21">
        <f t="shared" ca="1" si="524"/>
        <v>9369.9658710628828</v>
      </c>
      <c r="D3073" s="21">
        <f t="shared" ca="1" si="520"/>
        <v>5.2417448905164266</v>
      </c>
      <c r="E3073" s="21">
        <f t="shared" ca="1" si="527"/>
        <v>12.144857381279508</v>
      </c>
      <c r="F3073" s="20" t="str">
        <f t="shared" ca="1" si="525"/>
        <v>No</v>
      </c>
      <c r="G3073" s="21">
        <f t="shared" ca="1" si="521"/>
        <v>0</v>
      </c>
      <c r="H3073" s="21">
        <f t="shared" ca="1" si="522"/>
        <v>9382.1107284441623</v>
      </c>
      <c r="I3073" s="21">
        <f t="shared" ca="1" si="517"/>
        <v>9387.3524733346785</v>
      </c>
      <c r="J3073" s="20">
        <f t="shared" ca="1" si="526"/>
        <v>5</v>
      </c>
      <c r="K3073" s="20">
        <f t="shared" ca="1" si="518"/>
        <v>5</v>
      </c>
      <c r="L3073" s="44">
        <f t="shared" ca="1" si="523"/>
        <v>5</v>
      </c>
    </row>
    <row r="3074" spans="1:12" x14ac:dyDescent="0.25">
      <c r="A3074" s="20">
        <v>3066</v>
      </c>
      <c r="B3074" s="21">
        <f t="shared" ca="1" si="519"/>
        <v>1.8254562829951519</v>
      </c>
      <c r="C3074" s="21">
        <f t="shared" ca="1" si="524"/>
        <v>9371.791327345878</v>
      </c>
      <c r="D3074" s="21">
        <f t="shared" ca="1" si="520"/>
        <v>4.3275219291361022E-2</v>
      </c>
      <c r="E3074" s="21">
        <f t="shared" ca="1" si="527"/>
        <v>15.56114598880049</v>
      </c>
      <c r="F3074" s="20" t="str">
        <f t="shared" ca="1" si="525"/>
        <v>No</v>
      </c>
      <c r="G3074" s="21">
        <f t="shared" ca="1" si="521"/>
        <v>0</v>
      </c>
      <c r="H3074" s="21">
        <f t="shared" ca="1" si="522"/>
        <v>9387.3524733346785</v>
      </c>
      <c r="I3074" s="21">
        <f t="shared" ca="1" si="517"/>
        <v>9387.3957485539704</v>
      </c>
      <c r="J3074" s="20">
        <f t="shared" ca="1" si="526"/>
        <v>6</v>
      </c>
      <c r="K3074" s="20">
        <f t="shared" ca="1" si="518"/>
        <v>5</v>
      </c>
      <c r="L3074" s="44">
        <f t="shared" ca="1" si="523"/>
        <v>5.5</v>
      </c>
    </row>
    <row r="3075" spans="1:12" x14ac:dyDescent="0.25">
      <c r="A3075" s="20">
        <v>3067</v>
      </c>
      <c r="B3075" s="21">
        <f t="shared" ca="1" si="519"/>
        <v>8.438298066271658</v>
      </c>
      <c r="C3075" s="21">
        <f t="shared" ca="1" si="524"/>
        <v>9380.2296254121502</v>
      </c>
      <c r="D3075" s="21">
        <f t="shared" ca="1" si="520"/>
        <v>2.8646694161780815</v>
      </c>
      <c r="E3075" s="21">
        <f t="shared" ca="1" si="527"/>
        <v>7.1661231418202078</v>
      </c>
      <c r="F3075" s="20" t="str">
        <f t="shared" ca="1" si="525"/>
        <v>No</v>
      </c>
      <c r="G3075" s="21">
        <f t="shared" ca="1" si="521"/>
        <v>0</v>
      </c>
      <c r="H3075" s="21">
        <f t="shared" ca="1" si="522"/>
        <v>9387.3957485539704</v>
      </c>
      <c r="I3075" s="21">
        <f t="shared" ca="1" si="517"/>
        <v>9390.2604179701484</v>
      </c>
      <c r="J3075" s="20">
        <f t="shared" ca="1" si="526"/>
        <v>6</v>
      </c>
      <c r="K3075" s="20">
        <f t="shared" ca="1" si="518"/>
        <v>4</v>
      </c>
      <c r="L3075" s="44">
        <f t="shared" ca="1" si="523"/>
        <v>5</v>
      </c>
    </row>
    <row r="3076" spans="1:12" x14ac:dyDescent="0.25">
      <c r="A3076" s="20">
        <v>3068</v>
      </c>
      <c r="B3076" s="21">
        <f t="shared" ca="1" si="519"/>
        <v>0.58424410550475547</v>
      </c>
      <c r="C3076" s="21">
        <f t="shared" ca="1" si="524"/>
        <v>9380.8138695176549</v>
      </c>
      <c r="D3076" s="21">
        <f t="shared" ca="1" si="520"/>
        <v>8.8371337802439882</v>
      </c>
      <c r="E3076" s="21">
        <f t="shared" ca="1" si="527"/>
        <v>9.4465484524935164</v>
      </c>
      <c r="F3076" s="20" t="str">
        <f t="shared" ca="1" si="525"/>
        <v>No</v>
      </c>
      <c r="G3076" s="21">
        <f t="shared" ca="1" si="521"/>
        <v>0</v>
      </c>
      <c r="H3076" s="21">
        <f t="shared" ca="1" si="522"/>
        <v>9390.2604179701484</v>
      </c>
      <c r="I3076" s="21">
        <f t="shared" ca="1" si="517"/>
        <v>9399.0975517503921</v>
      </c>
      <c r="J3076" s="20">
        <f t="shared" ca="1" si="526"/>
        <v>5</v>
      </c>
      <c r="K3076" s="20">
        <f t="shared" ca="1" si="518"/>
        <v>5</v>
      </c>
      <c r="L3076" s="44">
        <f t="shared" ca="1" si="523"/>
        <v>5</v>
      </c>
    </row>
    <row r="3077" spans="1:12" x14ac:dyDescent="0.25">
      <c r="A3077" s="20">
        <v>3069</v>
      </c>
      <c r="B3077" s="21">
        <f t="shared" ca="1" si="519"/>
        <v>2.5583001201849429</v>
      </c>
      <c r="C3077" s="21">
        <f t="shared" ca="1" si="524"/>
        <v>9383.3721696378398</v>
      </c>
      <c r="D3077" s="21">
        <f t="shared" ca="1" si="520"/>
        <v>2.8810992052994808</v>
      </c>
      <c r="E3077" s="21">
        <f t="shared" ca="1" si="527"/>
        <v>15.725382112552325</v>
      </c>
      <c r="F3077" s="20" t="str">
        <f t="shared" ca="1" si="525"/>
        <v>No</v>
      </c>
      <c r="G3077" s="21">
        <f t="shared" ca="1" si="521"/>
        <v>0</v>
      </c>
      <c r="H3077" s="21">
        <f t="shared" ca="1" si="522"/>
        <v>9399.0975517503921</v>
      </c>
      <c r="I3077" s="21">
        <f t="shared" ca="1" si="517"/>
        <v>9401.9786509556907</v>
      </c>
      <c r="J3077" s="20">
        <f t="shared" ca="1" si="526"/>
        <v>6</v>
      </c>
      <c r="K3077" s="20">
        <f t="shared" ca="1" si="518"/>
        <v>5</v>
      </c>
      <c r="L3077" s="44">
        <f t="shared" ca="1" si="523"/>
        <v>5.5</v>
      </c>
    </row>
    <row r="3078" spans="1:12" x14ac:dyDescent="0.25">
      <c r="A3078" s="20">
        <v>3070</v>
      </c>
      <c r="B3078" s="21">
        <f t="shared" ca="1" si="519"/>
        <v>1.1378456313828076</v>
      </c>
      <c r="C3078" s="21">
        <f t="shared" ca="1" si="524"/>
        <v>9384.510015269223</v>
      </c>
      <c r="D3078" s="21">
        <f t="shared" ca="1" si="520"/>
        <v>2.598685974067628</v>
      </c>
      <c r="E3078" s="21">
        <f t="shared" ca="1" si="527"/>
        <v>17.468635686467678</v>
      </c>
      <c r="F3078" s="20" t="str">
        <f t="shared" ca="1" si="525"/>
        <v>No</v>
      </c>
      <c r="G3078" s="21">
        <f t="shared" ca="1" si="521"/>
        <v>0</v>
      </c>
      <c r="H3078" s="21">
        <f t="shared" ca="1" si="522"/>
        <v>9401.9786509556907</v>
      </c>
      <c r="I3078" s="21">
        <f t="shared" ca="1" si="517"/>
        <v>9404.5773369297585</v>
      </c>
      <c r="J3078" s="20">
        <f t="shared" ca="1" si="526"/>
        <v>6</v>
      </c>
      <c r="K3078" s="20">
        <f t="shared" ca="1" si="518"/>
        <v>4</v>
      </c>
      <c r="L3078" s="44">
        <f t="shared" ca="1" si="523"/>
        <v>5</v>
      </c>
    </row>
    <row r="3079" spans="1:12" x14ac:dyDescent="0.25">
      <c r="A3079" s="20">
        <v>3071</v>
      </c>
      <c r="B3079" s="21">
        <f t="shared" ca="1" si="519"/>
        <v>1.2449339098307035</v>
      </c>
      <c r="C3079" s="21">
        <f t="shared" ca="1" si="524"/>
        <v>9385.7549491790542</v>
      </c>
      <c r="D3079" s="21">
        <f t="shared" ca="1" si="520"/>
        <v>0.40422477528712586</v>
      </c>
      <c r="E3079" s="21">
        <f t="shared" ca="1" si="527"/>
        <v>18.822387750704365</v>
      </c>
      <c r="F3079" s="20" t="str">
        <f t="shared" ca="1" si="525"/>
        <v>No</v>
      </c>
      <c r="G3079" s="21">
        <f t="shared" ca="1" si="521"/>
        <v>0</v>
      </c>
      <c r="H3079" s="21">
        <f t="shared" ca="1" si="522"/>
        <v>9404.5773369297585</v>
      </c>
      <c r="I3079" s="21">
        <f t="shared" ca="1" si="517"/>
        <v>9404.9815617050463</v>
      </c>
      <c r="J3079" s="20">
        <f t="shared" ca="1" si="526"/>
        <v>5</v>
      </c>
      <c r="K3079" s="20">
        <f t="shared" ca="1" si="518"/>
        <v>3</v>
      </c>
      <c r="L3079" s="44">
        <f t="shared" ca="1" si="523"/>
        <v>4</v>
      </c>
    </row>
    <row r="3080" spans="1:12" x14ac:dyDescent="0.25">
      <c r="A3080" s="20">
        <v>3072</v>
      </c>
      <c r="B3080" s="21">
        <f t="shared" ca="1" si="519"/>
        <v>6.2228973795189457</v>
      </c>
      <c r="C3080" s="21">
        <f t="shared" ca="1" si="524"/>
        <v>9391.9778465585732</v>
      </c>
      <c r="D3080" s="21">
        <f t="shared" ca="1" si="520"/>
        <v>5.6427788714870575</v>
      </c>
      <c r="E3080" s="21">
        <f t="shared" ca="1" si="527"/>
        <v>13.003715146473041</v>
      </c>
      <c r="F3080" s="20" t="str">
        <f t="shared" ca="1" si="525"/>
        <v>No</v>
      </c>
      <c r="G3080" s="21">
        <f t="shared" ca="1" si="521"/>
        <v>0</v>
      </c>
      <c r="H3080" s="21">
        <f t="shared" ca="1" si="522"/>
        <v>9404.9815617050463</v>
      </c>
      <c r="I3080" s="21">
        <f t="shared" ca="1" si="517"/>
        <v>9410.6243405765326</v>
      </c>
      <c r="J3080" s="20">
        <f t="shared" ca="1" si="526"/>
        <v>4</v>
      </c>
      <c r="K3080" s="20">
        <f t="shared" ca="1" si="518"/>
        <v>3</v>
      </c>
      <c r="L3080" s="44">
        <f t="shared" ca="1" si="523"/>
        <v>3.5</v>
      </c>
    </row>
    <row r="3081" spans="1:12" x14ac:dyDescent="0.25">
      <c r="A3081" s="20">
        <v>3073</v>
      </c>
      <c r="B3081" s="21">
        <f t="shared" ca="1" si="519"/>
        <v>3.4893513952267159</v>
      </c>
      <c r="C3081" s="21">
        <f t="shared" ca="1" si="524"/>
        <v>9395.4671979537998</v>
      </c>
      <c r="D3081" s="21">
        <f t="shared" ca="1" si="520"/>
        <v>4.7923262260572859</v>
      </c>
      <c r="E3081" s="21">
        <f t="shared" ca="1" si="527"/>
        <v>15.157142622732863</v>
      </c>
      <c r="F3081" s="20" t="str">
        <f t="shared" ca="1" si="525"/>
        <v>No</v>
      </c>
      <c r="G3081" s="21">
        <f t="shared" ca="1" si="521"/>
        <v>0</v>
      </c>
      <c r="H3081" s="21">
        <f t="shared" ca="1" si="522"/>
        <v>9410.6243405765326</v>
      </c>
      <c r="I3081" s="21">
        <f t="shared" ref="I3081:I3144" ca="1" si="528">$H3081+$D3081</f>
        <v>9415.41666680259</v>
      </c>
      <c r="J3081" s="20">
        <f t="shared" ca="1" si="526"/>
        <v>4</v>
      </c>
      <c r="K3081" s="20">
        <f t="shared" ref="K3081:K3144" ca="1" si="529">IF($I3081&lt;=$C3082,0,IF($I3081&lt;=$C3083,1,IF($I3081&lt;=$C3084,2,IF($I3081&lt;=$C3085,3,IF($I3081&lt;=$C3086,4,5)))))</f>
        <v>4</v>
      </c>
      <c r="L3081" s="44">
        <f t="shared" ca="1" si="523"/>
        <v>4</v>
      </c>
    </row>
    <row r="3082" spans="1:12" x14ac:dyDescent="0.25">
      <c r="A3082" s="20">
        <v>3074</v>
      </c>
      <c r="B3082" s="21">
        <f t="shared" ref="B3082:B3145" ca="1" si="530">-LN(RAND())/$D$4</f>
        <v>4.1904613344022144</v>
      </c>
      <c r="C3082" s="21">
        <f t="shared" ca="1" si="524"/>
        <v>9399.6576592882011</v>
      </c>
      <c r="D3082" s="21">
        <f t="shared" ref="D3082:D3145" ca="1" si="531">-LN(RAND())/$D$6</f>
        <v>2.7041624085432638</v>
      </c>
      <c r="E3082" s="21">
        <f t="shared" ca="1" si="527"/>
        <v>15.759007514388941</v>
      </c>
      <c r="F3082" s="20" t="str">
        <f t="shared" ca="1" si="525"/>
        <v>No</v>
      </c>
      <c r="G3082" s="21">
        <f t="shared" ref="G3082:G3145" ca="1" si="532">IF($I3081&lt;=$C3082,$C3082-$I3081,0)</f>
        <v>0</v>
      </c>
      <c r="H3082" s="21">
        <f t="shared" ref="H3082:H3145" ca="1" si="533">IF($I3081&lt;=$C3082,$C3082,$I3081)</f>
        <v>9415.41666680259</v>
      </c>
      <c r="I3082" s="21">
        <f t="shared" ca="1" si="528"/>
        <v>9418.1208292111332</v>
      </c>
      <c r="J3082" s="20">
        <f t="shared" ca="1" si="526"/>
        <v>5</v>
      </c>
      <c r="K3082" s="20">
        <f t="shared" ca="1" si="529"/>
        <v>4</v>
      </c>
      <c r="L3082" s="44">
        <f t="shared" ref="L3082:L3145" ca="1" si="534">(J3082+K3082)/2</f>
        <v>4.5</v>
      </c>
    </row>
    <row r="3083" spans="1:12" x14ac:dyDescent="0.25">
      <c r="A3083" s="20">
        <v>3075</v>
      </c>
      <c r="B3083" s="21">
        <f t="shared" ca="1" si="530"/>
        <v>8.1796251382855445</v>
      </c>
      <c r="C3083" s="21">
        <f t="shared" ref="C3083:C3146" ca="1" si="535">$C3082+$B3083</f>
        <v>9407.8372844264868</v>
      </c>
      <c r="D3083" s="21">
        <f t="shared" ca="1" si="531"/>
        <v>0.76648010115765774</v>
      </c>
      <c r="E3083" s="21">
        <f t="shared" ca="1" si="527"/>
        <v>10.283544784646438</v>
      </c>
      <c r="F3083" s="20" t="str">
        <f t="shared" ref="F3083:F3146" ca="1" si="536">IF(E3083=0,"Yes","No")</f>
        <v>No</v>
      </c>
      <c r="G3083" s="21">
        <f t="shared" ca="1" si="532"/>
        <v>0</v>
      </c>
      <c r="H3083" s="21">
        <f t="shared" ca="1" si="533"/>
        <v>9418.1208292111332</v>
      </c>
      <c r="I3083" s="21">
        <f t="shared" ca="1" si="528"/>
        <v>9418.8873093122911</v>
      </c>
      <c r="J3083" s="20">
        <f t="shared" ref="J3083:J3146" ca="1" si="537">IF($I3082&lt;=$C3083,0,$K3082+1)</f>
        <v>5</v>
      </c>
      <c r="K3083" s="20">
        <f t="shared" ca="1" si="529"/>
        <v>3</v>
      </c>
      <c r="L3083" s="44">
        <f t="shared" ca="1" si="534"/>
        <v>4</v>
      </c>
    </row>
    <row r="3084" spans="1:12" x14ac:dyDescent="0.25">
      <c r="A3084" s="20">
        <v>3076</v>
      </c>
      <c r="B3084" s="21">
        <f t="shared" ca="1" si="530"/>
        <v>4.4308112563040156</v>
      </c>
      <c r="C3084" s="21">
        <f t="shared" ca="1" si="535"/>
        <v>9412.2680956827917</v>
      </c>
      <c r="D3084" s="21">
        <f t="shared" ca="1" si="531"/>
        <v>1.2953270480304617</v>
      </c>
      <c r="E3084" s="21">
        <f t="shared" ref="E3084:E3147" ca="1" si="538">IF($I3083&lt;=$C3084,0,$I3083-$C3084)</f>
        <v>6.619213629499427</v>
      </c>
      <c r="F3084" s="20" t="str">
        <f t="shared" ca="1" si="536"/>
        <v>No</v>
      </c>
      <c r="G3084" s="21">
        <f t="shared" ca="1" si="532"/>
        <v>0</v>
      </c>
      <c r="H3084" s="21">
        <f t="shared" ca="1" si="533"/>
        <v>9418.8873093122911</v>
      </c>
      <c r="I3084" s="21">
        <f t="shared" ca="1" si="528"/>
        <v>9420.1826363603213</v>
      </c>
      <c r="J3084" s="20">
        <f t="shared" ca="1" si="537"/>
        <v>4</v>
      </c>
      <c r="K3084" s="20">
        <f t="shared" ca="1" si="529"/>
        <v>3</v>
      </c>
      <c r="L3084" s="44">
        <f t="shared" ca="1" si="534"/>
        <v>3.5</v>
      </c>
    </row>
    <row r="3085" spans="1:12" x14ac:dyDescent="0.25">
      <c r="A3085" s="20">
        <v>3077</v>
      </c>
      <c r="B3085" s="21">
        <f t="shared" ca="1" si="530"/>
        <v>2.6066323077963998</v>
      </c>
      <c r="C3085" s="21">
        <f t="shared" ca="1" si="535"/>
        <v>9414.8747279905874</v>
      </c>
      <c r="D3085" s="21">
        <f t="shared" ca="1" si="531"/>
        <v>1.5305946601810618</v>
      </c>
      <c r="E3085" s="21">
        <f t="shared" ca="1" si="538"/>
        <v>5.3079083697339229</v>
      </c>
      <c r="F3085" s="20" t="str">
        <f t="shared" ca="1" si="536"/>
        <v>No</v>
      </c>
      <c r="G3085" s="21">
        <f t="shared" ca="1" si="532"/>
        <v>0</v>
      </c>
      <c r="H3085" s="21">
        <f t="shared" ca="1" si="533"/>
        <v>9420.1826363603213</v>
      </c>
      <c r="I3085" s="21">
        <f t="shared" ca="1" si="528"/>
        <v>9421.7132310205016</v>
      </c>
      <c r="J3085" s="20">
        <f t="shared" ca="1" si="537"/>
        <v>4</v>
      </c>
      <c r="K3085" s="20">
        <f t="shared" ca="1" si="529"/>
        <v>4</v>
      </c>
      <c r="L3085" s="44">
        <f t="shared" ca="1" si="534"/>
        <v>4</v>
      </c>
    </row>
    <row r="3086" spans="1:12" x14ac:dyDescent="0.25">
      <c r="A3086" s="20">
        <v>3078</v>
      </c>
      <c r="B3086" s="21">
        <f t="shared" ca="1" si="530"/>
        <v>1.9304630267744245</v>
      </c>
      <c r="C3086" s="21">
        <f t="shared" ca="1" si="535"/>
        <v>9416.8051910173617</v>
      </c>
      <c r="D3086" s="21">
        <f t="shared" ca="1" si="531"/>
        <v>6.6352149132839182</v>
      </c>
      <c r="E3086" s="21">
        <f t="shared" ca="1" si="538"/>
        <v>4.9080400031398312</v>
      </c>
      <c r="F3086" s="20" t="str">
        <f t="shared" ca="1" si="536"/>
        <v>No</v>
      </c>
      <c r="G3086" s="21">
        <f t="shared" ca="1" si="532"/>
        <v>0</v>
      </c>
      <c r="H3086" s="21">
        <f t="shared" ca="1" si="533"/>
        <v>9421.7132310205016</v>
      </c>
      <c r="I3086" s="21">
        <f t="shared" ca="1" si="528"/>
        <v>9428.3484459337851</v>
      </c>
      <c r="J3086" s="20">
        <f t="shared" ca="1" si="537"/>
        <v>5</v>
      </c>
      <c r="K3086" s="20">
        <f t="shared" ca="1" si="529"/>
        <v>5</v>
      </c>
      <c r="L3086" s="44">
        <f t="shared" ca="1" si="534"/>
        <v>5</v>
      </c>
    </row>
    <row r="3087" spans="1:12" x14ac:dyDescent="0.25">
      <c r="A3087" s="20">
        <v>3079</v>
      </c>
      <c r="B3087" s="21">
        <f t="shared" ca="1" si="530"/>
        <v>2.8972648605835167</v>
      </c>
      <c r="C3087" s="21">
        <f t="shared" ca="1" si="535"/>
        <v>9419.7024558779449</v>
      </c>
      <c r="D3087" s="21">
        <f t="shared" ca="1" si="531"/>
        <v>6.3272201862423882</v>
      </c>
      <c r="E3087" s="21">
        <f t="shared" ca="1" si="538"/>
        <v>8.6459900558402296</v>
      </c>
      <c r="F3087" s="20" t="str">
        <f t="shared" ca="1" si="536"/>
        <v>No</v>
      </c>
      <c r="G3087" s="21">
        <f t="shared" ca="1" si="532"/>
        <v>0</v>
      </c>
      <c r="H3087" s="21">
        <f t="shared" ca="1" si="533"/>
        <v>9428.3484459337851</v>
      </c>
      <c r="I3087" s="21">
        <f t="shared" ca="1" si="528"/>
        <v>9434.675666120027</v>
      </c>
      <c r="J3087" s="20">
        <f t="shared" ca="1" si="537"/>
        <v>6</v>
      </c>
      <c r="K3087" s="20">
        <f t="shared" ca="1" si="529"/>
        <v>5</v>
      </c>
      <c r="L3087" s="44">
        <f t="shared" ca="1" si="534"/>
        <v>5.5</v>
      </c>
    </row>
    <row r="3088" spans="1:12" x14ac:dyDescent="0.25">
      <c r="A3088" s="20">
        <v>3080</v>
      </c>
      <c r="B3088" s="21">
        <f t="shared" ca="1" si="530"/>
        <v>1.100334990789908</v>
      </c>
      <c r="C3088" s="21">
        <f t="shared" ca="1" si="535"/>
        <v>9420.8027908687345</v>
      </c>
      <c r="D3088" s="21">
        <f t="shared" ca="1" si="531"/>
        <v>4.080039729757134</v>
      </c>
      <c r="E3088" s="21">
        <f t="shared" ca="1" si="538"/>
        <v>13.872875251292498</v>
      </c>
      <c r="F3088" s="20" t="str">
        <f t="shared" ca="1" si="536"/>
        <v>No</v>
      </c>
      <c r="G3088" s="21">
        <f t="shared" ca="1" si="532"/>
        <v>0</v>
      </c>
      <c r="H3088" s="21">
        <f t="shared" ca="1" si="533"/>
        <v>9434.675666120027</v>
      </c>
      <c r="I3088" s="21">
        <f t="shared" ca="1" si="528"/>
        <v>9438.7557058497841</v>
      </c>
      <c r="J3088" s="20">
        <f t="shared" ca="1" si="537"/>
        <v>6</v>
      </c>
      <c r="K3088" s="20">
        <f t="shared" ca="1" si="529"/>
        <v>5</v>
      </c>
      <c r="L3088" s="44">
        <f t="shared" ca="1" si="534"/>
        <v>5.5</v>
      </c>
    </row>
    <row r="3089" spans="1:12" x14ac:dyDescent="0.25">
      <c r="A3089" s="20">
        <v>3081</v>
      </c>
      <c r="B3089" s="21">
        <f t="shared" ca="1" si="530"/>
        <v>0.80314297556152248</v>
      </c>
      <c r="C3089" s="21">
        <f t="shared" ca="1" si="535"/>
        <v>9421.6059338442956</v>
      </c>
      <c r="D3089" s="21">
        <f t="shared" ca="1" si="531"/>
        <v>3.8631667712773181</v>
      </c>
      <c r="E3089" s="21">
        <f t="shared" ca="1" si="538"/>
        <v>17.149772005488558</v>
      </c>
      <c r="F3089" s="20" t="str">
        <f t="shared" ca="1" si="536"/>
        <v>No</v>
      </c>
      <c r="G3089" s="21">
        <f t="shared" ca="1" si="532"/>
        <v>0</v>
      </c>
      <c r="H3089" s="21">
        <f t="shared" ca="1" si="533"/>
        <v>9438.7557058497841</v>
      </c>
      <c r="I3089" s="21">
        <f t="shared" ca="1" si="528"/>
        <v>9442.6188726210621</v>
      </c>
      <c r="J3089" s="20">
        <f t="shared" ca="1" si="537"/>
        <v>6</v>
      </c>
      <c r="K3089" s="20">
        <f t="shared" ca="1" si="529"/>
        <v>5</v>
      </c>
      <c r="L3089" s="44">
        <f t="shared" ca="1" si="534"/>
        <v>5.5</v>
      </c>
    </row>
    <row r="3090" spans="1:12" x14ac:dyDescent="0.25">
      <c r="A3090" s="20">
        <v>3082</v>
      </c>
      <c r="B3090" s="21">
        <f t="shared" ca="1" si="530"/>
        <v>1.0356333742036032</v>
      </c>
      <c r="C3090" s="21">
        <f t="shared" ca="1" si="535"/>
        <v>9422.6415672184994</v>
      </c>
      <c r="D3090" s="21">
        <f t="shared" ca="1" si="531"/>
        <v>2.0981513537680443</v>
      </c>
      <c r="E3090" s="21">
        <f t="shared" ca="1" si="538"/>
        <v>19.977305402562706</v>
      </c>
      <c r="F3090" s="20" t="str">
        <f t="shared" ca="1" si="536"/>
        <v>No</v>
      </c>
      <c r="G3090" s="21">
        <f t="shared" ca="1" si="532"/>
        <v>0</v>
      </c>
      <c r="H3090" s="21">
        <f t="shared" ca="1" si="533"/>
        <v>9442.6188726210621</v>
      </c>
      <c r="I3090" s="21">
        <f t="shared" ca="1" si="528"/>
        <v>9444.7170239748302</v>
      </c>
      <c r="J3090" s="20">
        <f t="shared" ca="1" si="537"/>
        <v>6</v>
      </c>
      <c r="K3090" s="20">
        <f t="shared" ca="1" si="529"/>
        <v>5</v>
      </c>
      <c r="L3090" s="44">
        <f t="shared" ca="1" si="534"/>
        <v>5.5</v>
      </c>
    </row>
    <row r="3091" spans="1:12" x14ac:dyDescent="0.25">
      <c r="A3091" s="20">
        <v>3083</v>
      </c>
      <c r="B3091" s="21">
        <f t="shared" ca="1" si="530"/>
        <v>3.9693031393488094</v>
      </c>
      <c r="C3091" s="21">
        <f t="shared" ca="1" si="535"/>
        <v>9426.6108703578484</v>
      </c>
      <c r="D3091" s="21">
        <f t="shared" ca="1" si="531"/>
        <v>6.477104241944696</v>
      </c>
      <c r="E3091" s="21">
        <f t="shared" ca="1" si="538"/>
        <v>18.106153616981828</v>
      </c>
      <c r="F3091" s="20" t="str">
        <f t="shared" ca="1" si="536"/>
        <v>No</v>
      </c>
      <c r="G3091" s="21">
        <f t="shared" ca="1" si="532"/>
        <v>0</v>
      </c>
      <c r="H3091" s="21">
        <f t="shared" ca="1" si="533"/>
        <v>9444.7170239748302</v>
      </c>
      <c r="I3091" s="21">
        <f t="shared" ca="1" si="528"/>
        <v>9451.1941282167754</v>
      </c>
      <c r="J3091" s="20">
        <f t="shared" ca="1" si="537"/>
        <v>6</v>
      </c>
      <c r="K3091" s="20">
        <f t="shared" ca="1" si="529"/>
        <v>5</v>
      </c>
      <c r="L3091" s="44">
        <f t="shared" ca="1" si="534"/>
        <v>5.5</v>
      </c>
    </row>
    <row r="3092" spans="1:12" x14ac:dyDescent="0.25">
      <c r="A3092" s="20">
        <v>3084</v>
      </c>
      <c r="B3092" s="21">
        <f t="shared" ca="1" si="530"/>
        <v>1.5015255796493769</v>
      </c>
      <c r="C3092" s="21">
        <f t="shared" ca="1" si="535"/>
        <v>9428.1123959374981</v>
      </c>
      <c r="D3092" s="21">
        <f t="shared" ca="1" si="531"/>
        <v>0.66470596244557323</v>
      </c>
      <c r="E3092" s="21">
        <f t="shared" ca="1" si="538"/>
        <v>23.081732279277276</v>
      </c>
      <c r="F3092" s="20" t="str">
        <f t="shared" ca="1" si="536"/>
        <v>No</v>
      </c>
      <c r="G3092" s="21">
        <f t="shared" ca="1" si="532"/>
        <v>0</v>
      </c>
      <c r="H3092" s="21">
        <f t="shared" ca="1" si="533"/>
        <v>9451.1941282167754</v>
      </c>
      <c r="I3092" s="21">
        <f t="shared" ca="1" si="528"/>
        <v>9451.8588341792201</v>
      </c>
      <c r="J3092" s="20">
        <f t="shared" ca="1" si="537"/>
        <v>6</v>
      </c>
      <c r="K3092" s="20">
        <f t="shared" ca="1" si="529"/>
        <v>5</v>
      </c>
      <c r="L3092" s="44">
        <f t="shared" ca="1" si="534"/>
        <v>5.5</v>
      </c>
    </row>
    <row r="3093" spans="1:12" x14ac:dyDescent="0.25">
      <c r="A3093" s="20">
        <v>3085</v>
      </c>
      <c r="B3093" s="21">
        <f t="shared" ca="1" si="530"/>
        <v>0.27178210963169586</v>
      </c>
      <c r="C3093" s="21">
        <f t="shared" ca="1" si="535"/>
        <v>9428.3841780471303</v>
      </c>
      <c r="D3093" s="21">
        <f t="shared" ca="1" si="531"/>
        <v>1.7008015080018575</v>
      </c>
      <c r="E3093" s="21">
        <f t="shared" ca="1" si="538"/>
        <v>23.474656132089876</v>
      </c>
      <c r="F3093" s="20" t="str">
        <f t="shared" ca="1" si="536"/>
        <v>No</v>
      </c>
      <c r="G3093" s="21">
        <f t="shared" ca="1" si="532"/>
        <v>0</v>
      </c>
      <c r="H3093" s="21">
        <f t="shared" ca="1" si="533"/>
        <v>9451.8588341792201</v>
      </c>
      <c r="I3093" s="21">
        <f t="shared" ca="1" si="528"/>
        <v>9453.5596356872211</v>
      </c>
      <c r="J3093" s="20">
        <f t="shared" ca="1" si="537"/>
        <v>6</v>
      </c>
      <c r="K3093" s="20">
        <f t="shared" ca="1" si="529"/>
        <v>5</v>
      </c>
      <c r="L3093" s="44">
        <f t="shared" ca="1" si="534"/>
        <v>5.5</v>
      </c>
    </row>
    <row r="3094" spans="1:12" x14ac:dyDescent="0.25">
      <c r="A3094" s="20">
        <v>3086</v>
      </c>
      <c r="B3094" s="21">
        <f t="shared" ca="1" si="530"/>
        <v>1.3187309012953774</v>
      </c>
      <c r="C3094" s="21">
        <f t="shared" ca="1" si="535"/>
        <v>9429.7029089484258</v>
      </c>
      <c r="D3094" s="21">
        <f t="shared" ca="1" si="531"/>
        <v>4.5078472450774809</v>
      </c>
      <c r="E3094" s="21">
        <f t="shared" ca="1" si="538"/>
        <v>23.85672673879526</v>
      </c>
      <c r="F3094" s="20" t="str">
        <f t="shared" ca="1" si="536"/>
        <v>No</v>
      </c>
      <c r="G3094" s="21">
        <f t="shared" ca="1" si="532"/>
        <v>0</v>
      </c>
      <c r="H3094" s="21">
        <f t="shared" ca="1" si="533"/>
        <v>9453.5596356872211</v>
      </c>
      <c r="I3094" s="21">
        <f t="shared" ca="1" si="528"/>
        <v>9458.0674829322979</v>
      </c>
      <c r="J3094" s="20">
        <f t="shared" ca="1" si="537"/>
        <v>6</v>
      </c>
      <c r="K3094" s="20">
        <f t="shared" ca="1" si="529"/>
        <v>5</v>
      </c>
      <c r="L3094" s="44">
        <f t="shared" ca="1" si="534"/>
        <v>5.5</v>
      </c>
    </row>
    <row r="3095" spans="1:12" x14ac:dyDescent="0.25">
      <c r="A3095" s="20">
        <v>3087</v>
      </c>
      <c r="B3095" s="21">
        <f t="shared" ca="1" si="530"/>
        <v>1.6348746813067003</v>
      </c>
      <c r="C3095" s="21">
        <f t="shared" ca="1" si="535"/>
        <v>9431.3377836297332</v>
      </c>
      <c r="D3095" s="21">
        <f t="shared" ca="1" si="531"/>
        <v>1.1229530321806818</v>
      </c>
      <c r="E3095" s="21">
        <f t="shared" ca="1" si="538"/>
        <v>26.729699302564768</v>
      </c>
      <c r="F3095" s="20" t="str">
        <f t="shared" ca="1" si="536"/>
        <v>No</v>
      </c>
      <c r="G3095" s="21">
        <f t="shared" ca="1" si="532"/>
        <v>0</v>
      </c>
      <c r="H3095" s="21">
        <f t="shared" ca="1" si="533"/>
        <v>9458.0674829322979</v>
      </c>
      <c r="I3095" s="21">
        <f t="shared" ca="1" si="528"/>
        <v>9459.1904359644777</v>
      </c>
      <c r="J3095" s="20">
        <f t="shared" ca="1" si="537"/>
        <v>6</v>
      </c>
      <c r="K3095" s="20">
        <f t="shared" ca="1" si="529"/>
        <v>5</v>
      </c>
      <c r="L3095" s="44">
        <f t="shared" ca="1" si="534"/>
        <v>5.5</v>
      </c>
    </row>
    <row r="3096" spans="1:12" x14ac:dyDescent="0.25">
      <c r="A3096" s="20">
        <v>3088</v>
      </c>
      <c r="B3096" s="21">
        <f t="shared" ca="1" si="530"/>
        <v>0.66016988082204686</v>
      </c>
      <c r="C3096" s="21">
        <f t="shared" ca="1" si="535"/>
        <v>9431.9979535105558</v>
      </c>
      <c r="D3096" s="21">
        <f t="shared" ca="1" si="531"/>
        <v>2.2226019174772698</v>
      </c>
      <c r="E3096" s="21">
        <f t="shared" ca="1" si="538"/>
        <v>27.192482453921912</v>
      </c>
      <c r="F3096" s="20" t="str">
        <f t="shared" ca="1" si="536"/>
        <v>No</v>
      </c>
      <c r="G3096" s="21">
        <f t="shared" ca="1" si="532"/>
        <v>0</v>
      </c>
      <c r="H3096" s="21">
        <f t="shared" ca="1" si="533"/>
        <v>9459.1904359644777</v>
      </c>
      <c r="I3096" s="21">
        <f t="shared" ca="1" si="528"/>
        <v>9461.4130378819555</v>
      </c>
      <c r="J3096" s="20">
        <f t="shared" ca="1" si="537"/>
        <v>6</v>
      </c>
      <c r="K3096" s="20">
        <f t="shared" ca="1" si="529"/>
        <v>5</v>
      </c>
      <c r="L3096" s="44">
        <f t="shared" ca="1" si="534"/>
        <v>5.5</v>
      </c>
    </row>
    <row r="3097" spans="1:12" x14ac:dyDescent="0.25">
      <c r="A3097" s="20">
        <v>3089</v>
      </c>
      <c r="B3097" s="21">
        <f t="shared" ca="1" si="530"/>
        <v>1.1166581532453812</v>
      </c>
      <c r="C3097" s="21">
        <f t="shared" ca="1" si="535"/>
        <v>9433.114611663801</v>
      </c>
      <c r="D3097" s="21">
        <f t="shared" ca="1" si="531"/>
        <v>0.18532248968261422</v>
      </c>
      <c r="E3097" s="21">
        <f t="shared" ca="1" si="538"/>
        <v>28.298426218154418</v>
      </c>
      <c r="F3097" s="20" t="str">
        <f t="shared" ca="1" si="536"/>
        <v>No</v>
      </c>
      <c r="G3097" s="21">
        <f t="shared" ca="1" si="532"/>
        <v>0</v>
      </c>
      <c r="H3097" s="21">
        <f t="shared" ca="1" si="533"/>
        <v>9461.4130378819555</v>
      </c>
      <c r="I3097" s="21">
        <f t="shared" ca="1" si="528"/>
        <v>9461.5983603716377</v>
      </c>
      <c r="J3097" s="20">
        <f t="shared" ca="1" si="537"/>
        <v>6</v>
      </c>
      <c r="K3097" s="20">
        <f t="shared" ca="1" si="529"/>
        <v>5</v>
      </c>
      <c r="L3097" s="44">
        <f t="shared" ca="1" si="534"/>
        <v>5.5</v>
      </c>
    </row>
    <row r="3098" spans="1:12" x14ac:dyDescent="0.25">
      <c r="A3098" s="20">
        <v>3090</v>
      </c>
      <c r="B3098" s="21">
        <f t="shared" ca="1" si="530"/>
        <v>1.1449296185445141</v>
      </c>
      <c r="C3098" s="21">
        <f t="shared" ca="1" si="535"/>
        <v>9434.2595412823448</v>
      </c>
      <c r="D3098" s="21">
        <f t="shared" ca="1" si="531"/>
        <v>2.5069027505208261</v>
      </c>
      <c r="E3098" s="21">
        <f t="shared" ca="1" si="538"/>
        <v>27.338819089292883</v>
      </c>
      <c r="F3098" s="20" t="str">
        <f t="shared" ca="1" si="536"/>
        <v>No</v>
      </c>
      <c r="G3098" s="21">
        <f t="shared" ca="1" si="532"/>
        <v>0</v>
      </c>
      <c r="H3098" s="21">
        <f t="shared" ca="1" si="533"/>
        <v>9461.5983603716377</v>
      </c>
      <c r="I3098" s="21">
        <f t="shared" ca="1" si="528"/>
        <v>9464.1052631221592</v>
      </c>
      <c r="J3098" s="20">
        <f t="shared" ca="1" si="537"/>
        <v>6</v>
      </c>
      <c r="K3098" s="20">
        <f t="shared" ca="1" si="529"/>
        <v>5</v>
      </c>
      <c r="L3098" s="44">
        <f t="shared" ca="1" si="534"/>
        <v>5.5</v>
      </c>
    </row>
    <row r="3099" spans="1:12" x14ac:dyDescent="0.25">
      <c r="A3099" s="20">
        <v>3091</v>
      </c>
      <c r="B3099" s="21">
        <f t="shared" ca="1" si="530"/>
        <v>1.5421169379531552</v>
      </c>
      <c r="C3099" s="21">
        <f t="shared" ca="1" si="535"/>
        <v>9435.8016582202981</v>
      </c>
      <c r="D3099" s="21">
        <f t="shared" ca="1" si="531"/>
        <v>1.4328518047438315E-4</v>
      </c>
      <c r="E3099" s="21">
        <f t="shared" ca="1" si="538"/>
        <v>28.303604901861036</v>
      </c>
      <c r="F3099" s="20" t="str">
        <f t="shared" ca="1" si="536"/>
        <v>No</v>
      </c>
      <c r="G3099" s="21">
        <f t="shared" ca="1" si="532"/>
        <v>0</v>
      </c>
      <c r="H3099" s="21">
        <f t="shared" ca="1" si="533"/>
        <v>9464.1052631221592</v>
      </c>
      <c r="I3099" s="21">
        <f t="shared" ca="1" si="528"/>
        <v>9464.1054064073396</v>
      </c>
      <c r="J3099" s="20">
        <f t="shared" ca="1" si="537"/>
        <v>6</v>
      </c>
      <c r="K3099" s="20">
        <f t="shared" ca="1" si="529"/>
        <v>5</v>
      </c>
      <c r="L3099" s="44">
        <f t="shared" ca="1" si="534"/>
        <v>5.5</v>
      </c>
    </row>
    <row r="3100" spans="1:12" x14ac:dyDescent="0.25">
      <c r="A3100" s="20">
        <v>3092</v>
      </c>
      <c r="B3100" s="21">
        <f t="shared" ca="1" si="530"/>
        <v>4.8278377543522843</v>
      </c>
      <c r="C3100" s="21">
        <f t="shared" ca="1" si="535"/>
        <v>9440.6294959746501</v>
      </c>
      <c r="D3100" s="21">
        <f t="shared" ca="1" si="531"/>
        <v>1.9492818936070626</v>
      </c>
      <c r="E3100" s="21">
        <f t="shared" ca="1" si="538"/>
        <v>23.475910432689489</v>
      </c>
      <c r="F3100" s="20" t="str">
        <f t="shared" ca="1" si="536"/>
        <v>No</v>
      </c>
      <c r="G3100" s="21">
        <f t="shared" ca="1" si="532"/>
        <v>0</v>
      </c>
      <c r="H3100" s="21">
        <f t="shared" ca="1" si="533"/>
        <v>9464.1054064073396</v>
      </c>
      <c r="I3100" s="21">
        <f t="shared" ca="1" si="528"/>
        <v>9466.0546883009465</v>
      </c>
      <c r="J3100" s="20">
        <f t="shared" ca="1" si="537"/>
        <v>6</v>
      </c>
      <c r="K3100" s="20">
        <f t="shared" ca="1" si="529"/>
        <v>5</v>
      </c>
      <c r="L3100" s="44">
        <f t="shared" ca="1" si="534"/>
        <v>5.5</v>
      </c>
    </row>
    <row r="3101" spans="1:12" x14ac:dyDescent="0.25">
      <c r="A3101" s="20">
        <v>3093</v>
      </c>
      <c r="B3101" s="21">
        <f t="shared" ca="1" si="530"/>
        <v>0.38850120019978718</v>
      </c>
      <c r="C3101" s="21">
        <f t="shared" ca="1" si="535"/>
        <v>9441.0179971748494</v>
      </c>
      <c r="D3101" s="21">
        <f t="shared" ca="1" si="531"/>
        <v>3.0950465080424538</v>
      </c>
      <c r="E3101" s="21">
        <f t="shared" ca="1" si="538"/>
        <v>25.036691126097139</v>
      </c>
      <c r="F3101" s="20" t="str">
        <f t="shared" ca="1" si="536"/>
        <v>No</v>
      </c>
      <c r="G3101" s="21">
        <f t="shared" ca="1" si="532"/>
        <v>0</v>
      </c>
      <c r="H3101" s="21">
        <f t="shared" ca="1" si="533"/>
        <v>9466.0546883009465</v>
      </c>
      <c r="I3101" s="21">
        <f t="shared" ca="1" si="528"/>
        <v>9469.1497348089888</v>
      </c>
      <c r="J3101" s="20">
        <f t="shared" ca="1" si="537"/>
        <v>6</v>
      </c>
      <c r="K3101" s="20">
        <f t="shared" ca="1" si="529"/>
        <v>5</v>
      </c>
      <c r="L3101" s="44">
        <f t="shared" ca="1" si="534"/>
        <v>5.5</v>
      </c>
    </row>
    <row r="3102" spans="1:12" x14ac:dyDescent="0.25">
      <c r="A3102" s="20">
        <v>3094</v>
      </c>
      <c r="B3102" s="21">
        <f t="shared" ca="1" si="530"/>
        <v>5.9729610967515629</v>
      </c>
      <c r="C3102" s="21">
        <f t="shared" ca="1" si="535"/>
        <v>9446.9909582716009</v>
      </c>
      <c r="D3102" s="21">
        <f t="shared" ca="1" si="531"/>
        <v>3.5654826568424474</v>
      </c>
      <c r="E3102" s="21">
        <f t="shared" ca="1" si="538"/>
        <v>22.158776537387894</v>
      </c>
      <c r="F3102" s="20" t="str">
        <f t="shared" ca="1" si="536"/>
        <v>No</v>
      </c>
      <c r="G3102" s="21">
        <f t="shared" ca="1" si="532"/>
        <v>0</v>
      </c>
      <c r="H3102" s="21">
        <f t="shared" ca="1" si="533"/>
        <v>9469.1497348089888</v>
      </c>
      <c r="I3102" s="21">
        <f t="shared" ca="1" si="528"/>
        <v>9472.7152174658313</v>
      </c>
      <c r="J3102" s="20">
        <f t="shared" ca="1" si="537"/>
        <v>6</v>
      </c>
      <c r="K3102" s="20">
        <f t="shared" ca="1" si="529"/>
        <v>5</v>
      </c>
      <c r="L3102" s="44">
        <f t="shared" ca="1" si="534"/>
        <v>5.5</v>
      </c>
    </row>
    <row r="3103" spans="1:12" x14ac:dyDescent="0.25">
      <c r="A3103" s="20">
        <v>3095</v>
      </c>
      <c r="B3103" s="21">
        <f t="shared" ca="1" si="530"/>
        <v>1.1019757160757127</v>
      </c>
      <c r="C3103" s="21">
        <f t="shared" ca="1" si="535"/>
        <v>9448.0929339876766</v>
      </c>
      <c r="D3103" s="21">
        <f t="shared" ca="1" si="531"/>
        <v>4.8606107546554407</v>
      </c>
      <c r="E3103" s="21">
        <f t="shared" ca="1" si="538"/>
        <v>24.622283478154714</v>
      </c>
      <c r="F3103" s="20" t="str">
        <f t="shared" ca="1" si="536"/>
        <v>No</v>
      </c>
      <c r="G3103" s="21">
        <f t="shared" ca="1" si="532"/>
        <v>0</v>
      </c>
      <c r="H3103" s="21">
        <f t="shared" ca="1" si="533"/>
        <v>9472.7152174658313</v>
      </c>
      <c r="I3103" s="21">
        <f t="shared" ca="1" si="528"/>
        <v>9477.5758282204861</v>
      </c>
      <c r="J3103" s="20">
        <f t="shared" ca="1" si="537"/>
        <v>6</v>
      </c>
      <c r="K3103" s="20">
        <f t="shared" ca="1" si="529"/>
        <v>5</v>
      </c>
      <c r="L3103" s="44">
        <f t="shared" ca="1" si="534"/>
        <v>5.5</v>
      </c>
    </row>
    <row r="3104" spans="1:12" x14ac:dyDescent="0.25">
      <c r="A3104" s="20">
        <v>3096</v>
      </c>
      <c r="B3104" s="21">
        <f t="shared" ca="1" si="530"/>
        <v>0.49037680957293861</v>
      </c>
      <c r="C3104" s="21">
        <f t="shared" ca="1" si="535"/>
        <v>9448.5833107972503</v>
      </c>
      <c r="D3104" s="21">
        <f t="shared" ca="1" si="531"/>
        <v>0.24654069199501161</v>
      </c>
      <c r="E3104" s="21">
        <f t="shared" ca="1" si="538"/>
        <v>28.992517423235768</v>
      </c>
      <c r="F3104" s="20" t="str">
        <f t="shared" ca="1" si="536"/>
        <v>No</v>
      </c>
      <c r="G3104" s="21">
        <f t="shared" ca="1" si="532"/>
        <v>0</v>
      </c>
      <c r="H3104" s="21">
        <f t="shared" ca="1" si="533"/>
        <v>9477.5758282204861</v>
      </c>
      <c r="I3104" s="21">
        <f t="shared" ca="1" si="528"/>
        <v>9477.8223689124807</v>
      </c>
      <c r="J3104" s="20">
        <f t="shared" ca="1" si="537"/>
        <v>6</v>
      </c>
      <c r="K3104" s="20">
        <f t="shared" ca="1" si="529"/>
        <v>4</v>
      </c>
      <c r="L3104" s="44">
        <f t="shared" ca="1" si="534"/>
        <v>5</v>
      </c>
    </row>
    <row r="3105" spans="1:12" x14ac:dyDescent="0.25">
      <c r="A3105" s="20">
        <v>3097</v>
      </c>
      <c r="B3105" s="21">
        <f t="shared" ca="1" si="530"/>
        <v>10.215415893854473</v>
      </c>
      <c r="C3105" s="21">
        <f t="shared" ca="1" si="535"/>
        <v>9458.7987266911041</v>
      </c>
      <c r="D3105" s="21">
        <f t="shared" ca="1" si="531"/>
        <v>0.27451778052581827</v>
      </c>
      <c r="E3105" s="21">
        <f t="shared" ca="1" si="538"/>
        <v>19.023642221376576</v>
      </c>
      <c r="F3105" s="20" t="str">
        <f t="shared" ca="1" si="536"/>
        <v>No</v>
      </c>
      <c r="G3105" s="21">
        <f t="shared" ca="1" si="532"/>
        <v>0</v>
      </c>
      <c r="H3105" s="21">
        <f t="shared" ca="1" si="533"/>
        <v>9477.8223689124807</v>
      </c>
      <c r="I3105" s="21">
        <f t="shared" ca="1" si="528"/>
        <v>9478.096886693007</v>
      </c>
      <c r="J3105" s="20">
        <f t="shared" ca="1" si="537"/>
        <v>5</v>
      </c>
      <c r="K3105" s="20">
        <f t="shared" ca="1" si="529"/>
        <v>3</v>
      </c>
      <c r="L3105" s="44">
        <f t="shared" ca="1" si="534"/>
        <v>4</v>
      </c>
    </row>
    <row r="3106" spans="1:12" x14ac:dyDescent="0.25">
      <c r="A3106" s="20">
        <v>3098</v>
      </c>
      <c r="B3106" s="21">
        <f t="shared" ca="1" si="530"/>
        <v>6.4549680853982156</v>
      </c>
      <c r="C3106" s="21">
        <f t="shared" ca="1" si="535"/>
        <v>9465.253694776502</v>
      </c>
      <c r="D3106" s="21">
        <f t="shared" ca="1" si="531"/>
        <v>0.80127693459181037</v>
      </c>
      <c r="E3106" s="21">
        <f t="shared" ca="1" si="538"/>
        <v>12.84319191650502</v>
      </c>
      <c r="F3106" s="20" t="str">
        <f t="shared" ca="1" si="536"/>
        <v>No</v>
      </c>
      <c r="G3106" s="21">
        <f t="shared" ca="1" si="532"/>
        <v>0</v>
      </c>
      <c r="H3106" s="21">
        <f t="shared" ca="1" si="533"/>
        <v>9478.096886693007</v>
      </c>
      <c r="I3106" s="21">
        <f t="shared" ca="1" si="528"/>
        <v>9478.8981636275985</v>
      </c>
      <c r="J3106" s="20">
        <f t="shared" ca="1" si="537"/>
        <v>4</v>
      </c>
      <c r="K3106" s="20">
        <f t="shared" ca="1" si="529"/>
        <v>2</v>
      </c>
      <c r="L3106" s="44">
        <f t="shared" ca="1" si="534"/>
        <v>3</v>
      </c>
    </row>
    <row r="3107" spans="1:12" x14ac:dyDescent="0.25">
      <c r="A3107" s="20">
        <v>3099</v>
      </c>
      <c r="B3107" s="21">
        <f t="shared" ca="1" si="530"/>
        <v>0.35573381782493074</v>
      </c>
      <c r="C3107" s="21">
        <f t="shared" ca="1" si="535"/>
        <v>9465.6094285943273</v>
      </c>
      <c r="D3107" s="21">
        <f t="shared" ca="1" si="531"/>
        <v>1.9249587450624419</v>
      </c>
      <c r="E3107" s="21">
        <f t="shared" ca="1" si="538"/>
        <v>13.288735033271223</v>
      </c>
      <c r="F3107" s="20" t="str">
        <f t="shared" ca="1" si="536"/>
        <v>No</v>
      </c>
      <c r="G3107" s="21">
        <f t="shared" ca="1" si="532"/>
        <v>0</v>
      </c>
      <c r="H3107" s="21">
        <f t="shared" ca="1" si="533"/>
        <v>9478.8981636275985</v>
      </c>
      <c r="I3107" s="21">
        <f t="shared" ca="1" si="528"/>
        <v>9480.8231223726616</v>
      </c>
      <c r="J3107" s="20">
        <f t="shared" ca="1" si="537"/>
        <v>3</v>
      </c>
      <c r="K3107" s="20">
        <f t="shared" ca="1" si="529"/>
        <v>2</v>
      </c>
      <c r="L3107" s="44">
        <f t="shared" ca="1" si="534"/>
        <v>2.5</v>
      </c>
    </row>
    <row r="3108" spans="1:12" x14ac:dyDescent="0.25">
      <c r="A3108" s="20">
        <v>3100</v>
      </c>
      <c r="B3108" s="21">
        <f t="shared" ca="1" si="530"/>
        <v>6.8755169561234561</v>
      </c>
      <c r="C3108" s="21">
        <f t="shared" ca="1" si="535"/>
        <v>9472.48494555045</v>
      </c>
      <c r="D3108" s="21">
        <f t="shared" ca="1" si="531"/>
        <v>1.1962198200558634</v>
      </c>
      <c r="E3108" s="21">
        <f t="shared" ca="1" si="538"/>
        <v>8.3381768222116079</v>
      </c>
      <c r="F3108" s="20" t="str">
        <f t="shared" ca="1" si="536"/>
        <v>No</v>
      </c>
      <c r="G3108" s="21">
        <f t="shared" ca="1" si="532"/>
        <v>0</v>
      </c>
      <c r="H3108" s="21">
        <f t="shared" ca="1" si="533"/>
        <v>9480.8231223726616</v>
      </c>
      <c r="I3108" s="21">
        <f t="shared" ca="1" si="528"/>
        <v>9482.0193421927179</v>
      </c>
      <c r="J3108" s="20">
        <f t="shared" ca="1" si="537"/>
        <v>3</v>
      </c>
      <c r="K3108" s="20">
        <f t="shared" ca="1" si="529"/>
        <v>1</v>
      </c>
      <c r="L3108" s="44">
        <f t="shared" ca="1" si="534"/>
        <v>2</v>
      </c>
    </row>
    <row r="3109" spans="1:12" x14ac:dyDescent="0.25">
      <c r="A3109" s="20">
        <v>3101</v>
      </c>
      <c r="B3109" s="21">
        <f t="shared" ca="1" si="530"/>
        <v>7.9102922416780572</v>
      </c>
      <c r="C3109" s="21">
        <f t="shared" ca="1" si="535"/>
        <v>9480.3952377921287</v>
      </c>
      <c r="D3109" s="21">
        <f t="shared" ca="1" si="531"/>
        <v>2.3494052431022974</v>
      </c>
      <c r="E3109" s="21">
        <f t="shared" ca="1" si="538"/>
        <v>1.6241044005892036</v>
      </c>
      <c r="F3109" s="20" t="str">
        <f t="shared" ca="1" si="536"/>
        <v>No</v>
      </c>
      <c r="G3109" s="21">
        <f t="shared" ca="1" si="532"/>
        <v>0</v>
      </c>
      <c r="H3109" s="21">
        <f t="shared" ca="1" si="533"/>
        <v>9482.0193421927179</v>
      </c>
      <c r="I3109" s="21">
        <f t="shared" ca="1" si="528"/>
        <v>9484.3687474358194</v>
      </c>
      <c r="J3109" s="20">
        <f t="shared" ca="1" si="537"/>
        <v>2</v>
      </c>
      <c r="K3109" s="20">
        <f t="shared" ca="1" si="529"/>
        <v>2</v>
      </c>
      <c r="L3109" s="44">
        <f t="shared" ca="1" si="534"/>
        <v>2</v>
      </c>
    </row>
    <row r="3110" spans="1:12" x14ac:dyDescent="0.25">
      <c r="A3110" s="20">
        <v>3102</v>
      </c>
      <c r="B3110" s="21">
        <f t="shared" ca="1" si="530"/>
        <v>2.9689629062601322</v>
      </c>
      <c r="C3110" s="21">
        <f t="shared" ca="1" si="535"/>
        <v>9483.3642006983882</v>
      </c>
      <c r="D3110" s="21">
        <f t="shared" ca="1" si="531"/>
        <v>2.5044321622921211</v>
      </c>
      <c r="E3110" s="21">
        <f t="shared" ca="1" si="538"/>
        <v>1.0045467374311556</v>
      </c>
      <c r="F3110" s="20" t="str">
        <f t="shared" ca="1" si="536"/>
        <v>No</v>
      </c>
      <c r="G3110" s="21">
        <f t="shared" ca="1" si="532"/>
        <v>0</v>
      </c>
      <c r="H3110" s="21">
        <f t="shared" ca="1" si="533"/>
        <v>9484.3687474358194</v>
      </c>
      <c r="I3110" s="21">
        <f t="shared" ca="1" si="528"/>
        <v>9486.8731795981112</v>
      </c>
      <c r="J3110" s="20">
        <f t="shared" ca="1" si="537"/>
        <v>3</v>
      </c>
      <c r="K3110" s="20">
        <f t="shared" ca="1" si="529"/>
        <v>4</v>
      </c>
      <c r="L3110" s="44">
        <f t="shared" ca="1" si="534"/>
        <v>3.5</v>
      </c>
    </row>
    <row r="3111" spans="1:12" x14ac:dyDescent="0.25">
      <c r="A3111" s="20">
        <v>3103</v>
      </c>
      <c r="B3111" s="21">
        <f t="shared" ca="1" si="530"/>
        <v>0.35987513399263737</v>
      </c>
      <c r="C3111" s="21">
        <f t="shared" ca="1" si="535"/>
        <v>9483.7240758323805</v>
      </c>
      <c r="D3111" s="21">
        <f t="shared" ca="1" si="531"/>
        <v>1.511913991665045</v>
      </c>
      <c r="E3111" s="21">
        <f t="shared" ca="1" si="538"/>
        <v>3.1491037657306151</v>
      </c>
      <c r="F3111" s="20" t="str">
        <f t="shared" ca="1" si="536"/>
        <v>No</v>
      </c>
      <c r="G3111" s="21">
        <f t="shared" ca="1" si="532"/>
        <v>0</v>
      </c>
      <c r="H3111" s="21">
        <f t="shared" ca="1" si="533"/>
        <v>9486.8731795981112</v>
      </c>
      <c r="I3111" s="21">
        <f t="shared" ca="1" si="528"/>
        <v>9488.3850935897754</v>
      </c>
      <c r="J3111" s="20">
        <f t="shared" ca="1" si="537"/>
        <v>5</v>
      </c>
      <c r="K3111" s="20">
        <f t="shared" ca="1" si="529"/>
        <v>4</v>
      </c>
      <c r="L3111" s="44">
        <f t="shared" ca="1" si="534"/>
        <v>4.5</v>
      </c>
    </row>
    <row r="3112" spans="1:12" x14ac:dyDescent="0.25">
      <c r="A3112" s="20">
        <v>3104</v>
      </c>
      <c r="B3112" s="21">
        <f t="shared" ca="1" si="530"/>
        <v>2.2531688107695187</v>
      </c>
      <c r="C3112" s="21">
        <f t="shared" ca="1" si="535"/>
        <v>9485.9772446431507</v>
      </c>
      <c r="D3112" s="21">
        <f t="shared" ca="1" si="531"/>
        <v>6.9108672627487389</v>
      </c>
      <c r="E3112" s="21">
        <f t="shared" ca="1" si="538"/>
        <v>2.4078489466246538</v>
      </c>
      <c r="F3112" s="20" t="str">
        <f t="shared" ca="1" si="536"/>
        <v>No</v>
      </c>
      <c r="G3112" s="21">
        <f t="shared" ca="1" si="532"/>
        <v>0</v>
      </c>
      <c r="H3112" s="21">
        <f t="shared" ca="1" si="533"/>
        <v>9488.3850935897754</v>
      </c>
      <c r="I3112" s="21">
        <f t="shared" ca="1" si="528"/>
        <v>9495.2959608525234</v>
      </c>
      <c r="J3112" s="20">
        <f t="shared" ca="1" si="537"/>
        <v>5</v>
      </c>
      <c r="K3112" s="20">
        <f t="shared" ca="1" si="529"/>
        <v>3</v>
      </c>
      <c r="L3112" s="44">
        <f t="shared" ca="1" si="534"/>
        <v>4</v>
      </c>
    </row>
    <row r="3113" spans="1:12" x14ac:dyDescent="0.25">
      <c r="A3113" s="20">
        <v>3105</v>
      </c>
      <c r="B3113" s="21">
        <f t="shared" ca="1" si="530"/>
        <v>0.18937192174569251</v>
      </c>
      <c r="C3113" s="21">
        <f t="shared" ca="1" si="535"/>
        <v>9486.1666165648967</v>
      </c>
      <c r="D3113" s="21">
        <f t="shared" ca="1" si="531"/>
        <v>6.9747759256403682E-2</v>
      </c>
      <c r="E3113" s="21">
        <f t="shared" ca="1" si="538"/>
        <v>9.1293442876267363</v>
      </c>
      <c r="F3113" s="20" t="str">
        <f t="shared" ca="1" si="536"/>
        <v>No</v>
      </c>
      <c r="G3113" s="21">
        <f t="shared" ca="1" si="532"/>
        <v>0</v>
      </c>
      <c r="H3113" s="21">
        <f t="shared" ca="1" si="533"/>
        <v>9495.2959608525234</v>
      </c>
      <c r="I3113" s="21">
        <f t="shared" ca="1" si="528"/>
        <v>9495.3657086117801</v>
      </c>
      <c r="J3113" s="20">
        <f t="shared" ca="1" si="537"/>
        <v>4</v>
      </c>
      <c r="K3113" s="20">
        <f t="shared" ca="1" si="529"/>
        <v>2</v>
      </c>
      <c r="L3113" s="44">
        <f t="shared" ca="1" si="534"/>
        <v>3</v>
      </c>
    </row>
    <row r="3114" spans="1:12" x14ac:dyDescent="0.25">
      <c r="A3114" s="20">
        <v>3106</v>
      </c>
      <c r="B3114" s="21">
        <f t="shared" ca="1" si="530"/>
        <v>7.2188956661358425E-2</v>
      </c>
      <c r="C3114" s="21">
        <f t="shared" ca="1" si="535"/>
        <v>9486.2388055215579</v>
      </c>
      <c r="D3114" s="21">
        <f t="shared" ca="1" si="531"/>
        <v>0.31815138525274494</v>
      </c>
      <c r="E3114" s="21">
        <f t="shared" ca="1" si="538"/>
        <v>9.1269030902221857</v>
      </c>
      <c r="F3114" s="20" t="str">
        <f t="shared" ca="1" si="536"/>
        <v>No</v>
      </c>
      <c r="G3114" s="21">
        <f t="shared" ca="1" si="532"/>
        <v>0</v>
      </c>
      <c r="H3114" s="21">
        <f t="shared" ca="1" si="533"/>
        <v>9495.3657086117801</v>
      </c>
      <c r="I3114" s="21">
        <f t="shared" ca="1" si="528"/>
        <v>9495.6838599970324</v>
      </c>
      <c r="J3114" s="20">
        <f t="shared" ca="1" si="537"/>
        <v>3</v>
      </c>
      <c r="K3114" s="20">
        <f t="shared" ca="1" si="529"/>
        <v>1</v>
      </c>
      <c r="L3114" s="44">
        <f t="shared" ca="1" si="534"/>
        <v>2</v>
      </c>
    </row>
    <row r="3115" spans="1:12" x14ac:dyDescent="0.25">
      <c r="A3115" s="20">
        <v>3107</v>
      </c>
      <c r="B3115" s="21">
        <f t="shared" ca="1" si="530"/>
        <v>1.8481380444435662</v>
      </c>
      <c r="C3115" s="21">
        <f t="shared" ca="1" si="535"/>
        <v>9488.0869435660006</v>
      </c>
      <c r="D3115" s="21">
        <f t="shared" ca="1" si="531"/>
        <v>4.3607669934555879</v>
      </c>
      <c r="E3115" s="21">
        <f t="shared" ca="1" si="538"/>
        <v>7.5969164310317865</v>
      </c>
      <c r="F3115" s="20" t="str">
        <f t="shared" ca="1" si="536"/>
        <v>No</v>
      </c>
      <c r="G3115" s="21">
        <f t="shared" ca="1" si="532"/>
        <v>0</v>
      </c>
      <c r="H3115" s="21">
        <f t="shared" ca="1" si="533"/>
        <v>9495.6838599970324</v>
      </c>
      <c r="I3115" s="21">
        <f t="shared" ca="1" si="528"/>
        <v>9500.0446269904878</v>
      </c>
      <c r="J3115" s="20">
        <f t="shared" ca="1" si="537"/>
        <v>2</v>
      </c>
      <c r="K3115" s="20">
        <f t="shared" ca="1" si="529"/>
        <v>2</v>
      </c>
      <c r="L3115" s="44">
        <f t="shared" ca="1" si="534"/>
        <v>2</v>
      </c>
    </row>
    <row r="3116" spans="1:12" x14ac:dyDescent="0.25">
      <c r="A3116" s="20">
        <v>3108</v>
      </c>
      <c r="B3116" s="21">
        <f t="shared" ca="1" si="530"/>
        <v>8.4349431970602957</v>
      </c>
      <c r="C3116" s="21">
        <f t="shared" ca="1" si="535"/>
        <v>9496.521886763061</v>
      </c>
      <c r="D3116" s="21">
        <f t="shared" ca="1" si="531"/>
        <v>0.92656809544061769</v>
      </c>
      <c r="E3116" s="21">
        <f t="shared" ca="1" si="538"/>
        <v>3.5227402274267661</v>
      </c>
      <c r="F3116" s="20" t="str">
        <f t="shared" ca="1" si="536"/>
        <v>No</v>
      </c>
      <c r="G3116" s="21">
        <f t="shared" ca="1" si="532"/>
        <v>0</v>
      </c>
      <c r="H3116" s="21">
        <f t="shared" ca="1" si="533"/>
        <v>9500.0446269904878</v>
      </c>
      <c r="I3116" s="21">
        <f t="shared" ca="1" si="528"/>
        <v>9500.9711950859291</v>
      </c>
      <c r="J3116" s="20">
        <f t="shared" ca="1" si="537"/>
        <v>3</v>
      </c>
      <c r="K3116" s="20">
        <f t="shared" ca="1" si="529"/>
        <v>1</v>
      </c>
      <c r="L3116" s="44">
        <f t="shared" ca="1" si="534"/>
        <v>2</v>
      </c>
    </row>
    <row r="3117" spans="1:12" x14ac:dyDescent="0.25">
      <c r="A3117" s="20">
        <v>3109</v>
      </c>
      <c r="B3117" s="21">
        <f t="shared" ca="1" si="530"/>
        <v>1.7604911399994745</v>
      </c>
      <c r="C3117" s="21">
        <f t="shared" ca="1" si="535"/>
        <v>9498.2823779030605</v>
      </c>
      <c r="D3117" s="21">
        <f t="shared" ca="1" si="531"/>
        <v>0.42624128084162971</v>
      </c>
      <c r="E3117" s="21">
        <f t="shared" ca="1" si="538"/>
        <v>2.6888171828686609</v>
      </c>
      <c r="F3117" s="20" t="str">
        <f t="shared" ca="1" si="536"/>
        <v>No</v>
      </c>
      <c r="G3117" s="21">
        <f t="shared" ca="1" si="532"/>
        <v>0</v>
      </c>
      <c r="H3117" s="21">
        <f t="shared" ca="1" si="533"/>
        <v>9500.9711950859291</v>
      </c>
      <c r="I3117" s="21">
        <f t="shared" ca="1" si="528"/>
        <v>9501.3974363667712</v>
      </c>
      <c r="J3117" s="20">
        <f t="shared" ca="1" si="537"/>
        <v>2</v>
      </c>
      <c r="K3117" s="20">
        <f t="shared" ca="1" si="529"/>
        <v>0</v>
      </c>
      <c r="L3117" s="44">
        <f t="shared" ca="1" si="534"/>
        <v>1</v>
      </c>
    </row>
    <row r="3118" spans="1:12" x14ac:dyDescent="0.25">
      <c r="A3118" s="20">
        <v>3110</v>
      </c>
      <c r="B3118" s="21">
        <f t="shared" ca="1" si="530"/>
        <v>3.8643628851638732</v>
      </c>
      <c r="C3118" s="21">
        <f t="shared" ca="1" si="535"/>
        <v>9502.1467407882246</v>
      </c>
      <c r="D3118" s="21">
        <f t="shared" ca="1" si="531"/>
        <v>6.7366181707118375</v>
      </c>
      <c r="E3118" s="21">
        <f t="shared" ca="1" si="538"/>
        <v>0</v>
      </c>
      <c r="F3118" s="20" t="str">
        <f t="shared" ca="1" si="536"/>
        <v>Yes</v>
      </c>
      <c r="G3118" s="21">
        <f t="shared" ca="1" si="532"/>
        <v>0.74930442145341658</v>
      </c>
      <c r="H3118" s="21">
        <f t="shared" ca="1" si="533"/>
        <v>9502.1467407882246</v>
      </c>
      <c r="I3118" s="21">
        <f t="shared" ca="1" si="528"/>
        <v>9508.8833589589358</v>
      </c>
      <c r="J3118" s="20">
        <f t="shared" ca="1" si="537"/>
        <v>0</v>
      </c>
      <c r="K3118" s="20">
        <f t="shared" ca="1" si="529"/>
        <v>1</v>
      </c>
      <c r="L3118" s="44">
        <f t="shared" ca="1" si="534"/>
        <v>0.5</v>
      </c>
    </row>
    <row r="3119" spans="1:12" x14ac:dyDescent="0.25">
      <c r="A3119" s="20">
        <v>3111</v>
      </c>
      <c r="B3119" s="21">
        <f t="shared" ca="1" si="530"/>
        <v>5.2242999988539189</v>
      </c>
      <c r="C3119" s="21">
        <f t="shared" ca="1" si="535"/>
        <v>9507.3710407870785</v>
      </c>
      <c r="D3119" s="21">
        <f t="shared" ca="1" si="531"/>
        <v>3.2177030426298692</v>
      </c>
      <c r="E3119" s="21">
        <f t="shared" ca="1" si="538"/>
        <v>1.5123181718572596</v>
      </c>
      <c r="F3119" s="20" t="str">
        <f t="shared" ca="1" si="536"/>
        <v>No</v>
      </c>
      <c r="G3119" s="21">
        <f t="shared" ca="1" si="532"/>
        <v>0</v>
      </c>
      <c r="H3119" s="21">
        <f t="shared" ca="1" si="533"/>
        <v>9508.8833589589358</v>
      </c>
      <c r="I3119" s="21">
        <f t="shared" ca="1" si="528"/>
        <v>9512.1010620015659</v>
      </c>
      <c r="J3119" s="20">
        <f t="shared" ca="1" si="537"/>
        <v>2</v>
      </c>
      <c r="K3119" s="20">
        <f t="shared" ca="1" si="529"/>
        <v>1</v>
      </c>
      <c r="L3119" s="44">
        <f t="shared" ca="1" si="534"/>
        <v>1.5</v>
      </c>
    </row>
    <row r="3120" spans="1:12" x14ac:dyDescent="0.25">
      <c r="A3120" s="20">
        <v>3112</v>
      </c>
      <c r="B3120" s="21">
        <f t="shared" ca="1" si="530"/>
        <v>3.0320468647353689</v>
      </c>
      <c r="C3120" s="21">
        <f t="shared" ca="1" si="535"/>
        <v>9510.4030876518136</v>
      </c>
      <c r="D3120" s="21">
        <f t="shared" ca="1" si="531"/>
        <v>10.835802783923834</v>
      </c>
      <c r="E3120" s="21">
        <f t="shared" ca="1" si="538"/>
        <v>1.6979743497522577</v>
      </c>
      <c r="F3120" s="20" t="str">
        <f t="shared" ca="1" si="536"/>
        <v>No</v>
      </c>
      <c r="G3120" s="21">
        <f t="shared" ca="1" si="532"/>
        <v>0</v>
      </c>
      <c r="H3120" s="21">
        <f t="shared" ca="1" si="533"/>
        <v>9512.1010620015659</v>
      </c>
      <c r="I3120" s="21">
        <f t="shared" ca="1" si="528"/>
        <v>9522.9368647854899</v>
      </c>
      <c r="J3120" s="20">
        <f t="shared" ca="1" si="537"/>
        <v>2</v>
      </c>
      <c r="K3120" s="20">
        <f t="shared" ca="1" si="529"/>
        <v>2</v>
      </c>
      <c r="L3120" s="44">
        <f t="shared" ca="1" si="534"/>
        <v>2</v>
      </c>
    </row>
    <row r="3121" spans="1:12" x14ac:dyDescent="0.25">
      <c r="A3121" s="20">
        <v>3113</v>
      </c>
      <c r="B3121" s="21">
        <f t="shared" ca="1" si="530"/>
        <v>5.2625169495865789</v>
      </c>
      <c r="C3121" s="21">
        <f t="shared" ca="1" si="535"/>
        <v>9515.6656046013995</v>
      </c>
      <c r="D3121" s="21">
        <f t="shared" ca="1" si="531"/>
        <v>4.8459159335404722</v>
      </c>
      <c r="E3121" s="21">
        <f t="shared" ca="1" si="538"/>
        <v>7.2712601840903517</v>
      </c>
      <c r="F3121" s="20" t="str">
        <f t="shared" ca="1" si="536"/>
        <v>No</v>
      </c>
      <c r="G3121" s="21">
        <f t="shared" ca="1" si="532"/>
        <v>0</v>
      </c>
      <c r="H3121" s="21">
        <f t="shared" ca="1" si="533"/>
        <v>9522.9368647854899</v>
      </c>
      <c r="I3121" s="21">
        <f t="shared" ca="1" si="528"/>
        <v>9527.7827807190297</v>
      </c>
      <c r="J3121" s="20">
        <f t="shared" ca="1" si="537"/>
        <v>3</v>
      </c>
      <c r="K3121" s="20">
        <f t="shared" ca="1" si="529"/>
        <v>4</v>
      </c>
      <c r="L3121" s="44">
        <f t="shared" ca="1" si="534"/>
        <v>3.5</v>
      </c>
    </row>
    <row r="3122" spans="1:12" x14ac:dyDescent="0.25">
      <c r="A3122" s="20">
        <v>3114</v>
      </c>
      <c r="B3122" s="21">
        <f t="shared" ca="1" si="530"/>
        <v>1.9380645187865642</v>
      </c>
      <c r="C3122" s="21">
        <f t="shared" ca="1" si="535"/>
        <v>9517.6036691201862</v>
      </c>
      <c r="D3122" s="21">
        <f t="shared" ca="1" si="531"/>
        <v>4.3915628225314292</v>
      </c>
      <c r="E3122" s="21">
        <f t="shared" ca="1" si="538"/>
        <v>10.179111598843519</v>
      </c>
      <c r="F3122" s="20" t="str">
        <f t="shared" ca="1" si="536"/>
        <v>No</v>
      </c>
      <c r="G3122" s="21">
        <f t="shared" ca="1" si="532"/>
        <v>0</v>
      </c>
      <c r="H3122" s="21">
        <f t="shared" ca="1" si="533"/>
        <v>9527.7827807190297</v>
      </c>
      <c r="I3122" s="21">
        <f t="shared" ca="1" si="528"/>
        <v>9532.174343541561</v>
      </c>
      <c r="J3122" s="20">
        <f t="shared" ca="1" si="537"/>
        <v>5</v>
      </c>
      <c r="K3122" s="20">
        <f t="shared" ca="1" si="529"/>
        <v>5</v>
      </c>
      <c r="L3122" s="44">
        <f t="shared" ca="1" si="534"/>
        <v>5</v>
      </c>
    </row>
    <row r="3123" spans="1:12" x14ac:dyDescent="0.25">
      <c r="A3123" s="20">
        <v>3115</v>
      </c>
      <c r="B3123" s="21">
        <f t="shared" ca="1" si="530"/>
        <v>5.8685423272883304</v>
      </c>
      <c r="C3123" s="21">
        <f t="shared" ca="1" si="535"/>
        <v>9523.4722114474753</v>
      </c>
      <c r="D3123" s="21">
        <f t="shared" ca="1" si="531"/>
        <v>4.0085845126427539</v>
      </c>
      <c r="E3123" s="21">
        <f t="shared" ca="1" si="538"/>
        <v>8.7021320940857549</v>
      </c>
      <c r="F3123" s="20" t="str">
        <f t="shared" ca="1" si="536"/>
        <v>No</v>
      </c>
      <c r="G3123" s="21">
        <f t="shared" ca="1" si="532"/>
        <v>0</v>
      </c>
      <c r="H3123" s="21">
        <f t="shared" ca="1" si="533"/>
        <v>9532.174343541561</v>
      </c>
      <c r="I3123" s="21">
        <f t="shared" ca="1" si="528"/>
        <v>9536.1829280542042</v>
      </c>
      <c r="J3123" s="20">
        <f t="shared" ca="1" si="537"/>
        <v>6</v>
      </c>
      <c r="K3123" s="20">
        <f t="shared" ca="1" si="529"/>
        <v>4</v>
      </c>
      <c r="L3123" s="44">
        <f t="shared" ca="1" si="534"/>
        <v>5</v>
      </c>
    </row>
    <row r="3124" spans="1:12" x14ac:dyDescent="0.25">
      <c r="A3124" s="20">
        <v>3116</v>
      </c>
      <c r="B3124" s="21">
        <f t="shared" ca="1" si="530"/>
        <v>0.52822397036188895</v>
      </c>
      <c r="C3124" s="21">
        <f t="shared" ca="1" si="535"/>
        <v>9524.0004354178363</v>
      </c>
      <c r="D3124" s="21">
        <f t="shared" ca="1" si="531"/>
        <v>1.4617955272596639</v>
      </c>
      <c r="E3124" s="21">
        <f t="shared" ca="1" si="538"/>
        <v>12.182492636367897</v>
      </c>
      <c r="F3124" s="20" t="str">
        <f t="shared" ca="1" si="536"/>
        <v>No</v>
      </c>
      <c r="G3124" s="21">
        <f t="shared" ca="1" si="532"/>
        <v>0</v>
      </c>
      <c r="H3124" s="21">
        <f t="shared" ca="1" si="533"/>
        <v>9536.1829280542042</v>
      </c>
      <c r="I3124" s="21">
        <f t="shared" ca="1" si="528"/>
        <v>9537.644723581463</v>
      </c>
      <c r="J3124" s="20">
        <f t="shared" ca="1" si="537"/>
        <v>5</v>
      </c>
      <c r="K3124" s="20">
        <f t="shared" ca="1" si="529"/>
        <v>3</v>
      </c>
      <c r="L3124" s="44">
        <f t="shared" ca="1" si="534"/>
        <v>4</v>
      </c>
    </row>
    <row r="3125" spans="1:12" x14ac:dyDescent="0.25">
      <c r="A3125" s="20">
        <v>3117</v>
      </c>
      <c r="B3125" s="21">
        <f t="shared" ca="1" si="530"/>
        <v>0.33773552728315354</v>
      </c>
      <c r="C3125" s="21">
        <f t="shared" ca="1" si="535"/>
        <v>9524.3381709451187</v>
      </c>
      <c r="D3125" s="21">
        <f t="shared" ca="1" si="531"/>
        <v>0.50379365822844546</v>
      </c>
      <c r="E3125" s="21">
        <f t="shared" ca="1" si="538"/>
        <v>13.30655263634435</v>
      </c>
      <c r="F3125" s="20" t="str">
        <f t="shared" ca="1" si="536"/>
        <v>No</v>
      </c>
      <c r="G3125" s="21">
        <f t="shared" ca="1" si="532"/>
        <v>0</v>
      </c>
      <c r="H3125" s="21">
        <f t="shared" ca="1" si="533"/>
        <v>9537.644723581463</v>
      </c>
      <c r="I3125" s="21">
        <f t="shared" ca="1" si="528"/>
        <v>9538.1485172396915</v>
      </c>
      <c r="J3125" s="20">
        <f t="shared" ca="1" si="537"/>
        <v>4</v>
      </c>
      <c r="K3125" s="20">
        <f t="shared" ca="1" si="529"/>
        <v>2</v>
      </c>
      <c r="L3125" s="44">
        <f t="shared" ca="1" si="534"/>
        <v>3</v>
      </c>
    </row>
    <row r="3126" spans="1:12" x14ac:dyDescent="0.25">
      <c r="A3126" s="20">
        <v>3118</v>
      </c>
      <c r="B3126" s="21">
        <f t="shared" ca="1" si="530"/>
        <v>6.4015823870005626</v>
      </c>
      <c r="C3126" s="21">
        <f t="shared" ca="1" si="535"/>
        <v>9530.73975333212</v>
      </c>
      <c r="D3126" s="21">
        <f t="shared" ca="1" si="531"/>
        <v>0.23549684233485529</v>
      </c>
      <c r="E3126" s="21">
        <f t="shared" ca="1" si="538"/>
        <v>7.4087639075714833</v>
      </c>
      <c r="F3126" s="20" t="str">
        <f t="shared" ca="1" si="536"/>
        <v>No</v>
      </c>
      <c r="G3126" s="21">
        <f t="shared" ca="1" si="532"/>
        <v>0</v>
      </c>
      <c r="H3126" s="21">
        <f t="shared" ca="1" si="533"/>
        <v>9538.1485172396915</v>
      </c>
      <c r="I3126" s="21">
        <f t="shared" ca="1" si="528"/>
        <v>9538.3840140820266</v>
      </c>
      <c r="J3126" s="20">
        <f t="shared" ca="1" si="537"/>
        <v>3</v>
      </c>
      <c r="K3126" s="20">
        <f t="shared" ca="1" si="529"/>
        <v>1</v>
      </c>
      <c r="L3126" s="44">
        <f t="shared" ca="1" si="534"/>
        <v>2</v>
      </c>
    </row>
    <row r="3127" spans="1:12" x14ac:dyDescent="0.25">
      <c r="A3127" s="20">
        <v>3119</v>
      </c>
      <c r="B3127" s="21">
        <f t="shared" ca="1" si="530"/>
        <v>0.46240443393644248</v>
      </c>
      <c r="C3127" s="21">
        <f t="shared" ca="1" si="535"/>
        <v>9531.2021577660562</v>
      </c>
      <c r="D3127" s="21">
        <f t="shared" ca="1" si="531"/>
        <v>2.8818132889171313</v>
      </c>
      <c r="E3127" s="21">
        <f t="shared" ca="1" si="538"/>
        <v>7.1818563159704354</v>
      </c>
      <c r="F3127" s="20" t="str">
        <f t="shared" ca="1" si="536"/>
        <v>No</v>
      </c>
      <c r="G3127" s="21">
        <f t="shared" ca="1" si="532"/>
        <v>0</v>
      </c>
      <c r="H3127" s="21">
        <f t="shared" ca="1" si="533"/>
        <v>9538.3840140820266</v>
      </c>
      <c r="I3127" s="21">
        <f t="shared" ca="1" si="528"/>
        <v>9541.265827370944</v>
      </c>
      <c r="J3127" s="20">
        <f t="shared" ca="1" si="537"/>
        <v>2</v>
      </c>
      <c r="K3127" s="20">
        <f t="shared" ca="1" si="529"/>
        <v>2</v>
      </c>
      <c r="L3127" s="44">
        <f t="shared" ca="1" si="534"/>
        <v>2</v>
      </c>
    </row>
    <row r="3128" spans="1:12" x14ac:dyDescent="0.25">
      <c r="A3128" s="20">
        <v>3120</v>
      </c>
      <c r="B3128" s="21">
        <f t="shared" ca="1" si="530"/>
        <v>8.1107167692124982</v>
      </c>
      <c r="C3128" s="21">
        <f t="shared" ca="1" si="535"/>
        <v>9539.3128745352678</v>
      </c>
      <c r="D3128" s="21">
        <f t="shared" ca="1" si="531"/>
        <v>4.0709752245375102</v>
      </c>
      <c r="E3128" s="21">
        <f t="shared" ca="1" si="538"/>
        <v>1.9529528356761148</v>
      </c>
      <c r="F3128" s="20" t="str">
        <f t="shared" ca="1" si="536"/>
        <v>No</v>
      </c>
      <c r="G3128" s="21">
        <f t="shared" ca="1" si="532"/>
        <v>0</v>
      </c>
      <c r="H3128" s="21">
        <f t="shared" ca="1" si="533"/>
        <v>9541.265827370944</v>
      </c>
      <c r="I3128" s="21">
        <f t="shared" ca="1" si="528"/>
        <v>9545.3368025954824</v>
      </c>
      <c r="J3128" s="20">
        <f t="shared" ca="1" si="537"/>
        <v>3</v>
      </c>
      <c r="K3128" s="20">
        <f t="shared" ca="1" si="529"/>
        <v>3</v>
      </c>
      <c r="L3128" s="44">
        <f t="shared" ca="1" si="534"/>
        <v>3</v>
      </c>
    </row>
    <row r="3129" spans="1:12" x14ac:dyDescent="0.25">
      <c r="A3129" s="20">
        <v>3121</v>
      </c>
      <c r="B3129" s="21">
        <f t="shared" ca="1" si="530"/>
        <v>1.79870120481155</v>
      </c>
      <c r="C3129" s="21">
        <f t="shared" ca="1" si="535"/>
        <v>9541.1115757400803</v>
      </c>
      <c r="D3129" s="21">
        <f t="shared" ca="1" si="531"/>
        <v>2.568435509238717</v>
      </c>
      <c r="E3129" s="21">
        <f t="shared" ca="1" si="538"/>
        <v>4.2252268554020702</v>
      </c>
      <c r="F3129" s="20" t="str">
        <f t="shared" ca="1" si="536"/>
        <v>No</v>
      </c>
      <c r="G3129" s="21">
        <f t="shared" ca="1" si="532"/>
        <v>0</v>
      </c>
      <c r="H3129" s="21">
        <f t="shared" ca="1" si="533"/>
        <v>9545.3368025954824</v>
      </c>
      <c r="I3129" s="21">
        <f t="shared" ca="1" si="528"/>
        <v>9547.9052381047204</v>
      </c>
      <c r="J3129" s="20">
        <f t="shared" ca="1" si="537"/>
        <v>4</v>
      </c>
      <c r="K3129" s="20">
        <f t="shared" ca="1" si="529"/>
        <v>3</v>
      </c>
      <c r="L3129" s="44">
        <f t="shared" ca="1" si="534"/>
        <v>3.5</v>
      </c>
    </row>
    <row r="3130" spans="1:12" x14ac:dyDescent="0.25">
      <c r="A3130" s="20">
        <v>3122</v>
      </c>
      <c r="B3130" s="21">
        <f t="shared" ca="1" si="530"/>
        <v>2.1367901593353547</v>
      </c>
      <c r="C3130" s="21">
        <f t="shared" ca="1" si="535"/>
        <v>9543.2483658994151</v>
      </c>
      <c r="D3130" s="21">
        <f t="shared" ca="1" si="531"/>
        <v>1.6027823520000606</v>
      </c>
      <c r="E3130" s="21">
        <f t="shared" ca="1" si="538"/>
        <v>4.6568722053052625</v>
      </c>
      <c r="F3130" s="20" t="str">
        <f t="shared" ca="1" si="536"/>
        <v>No</v>
      </c>
      <c r="G3130" s="21">
        <f t="shared" ca="1" si="532"/>
        <v>0</v>
      </c>
      <c r="H3130" s="21">
        <f t="shared" ca="1" si="533"/>
        <v>9547.9052381047204</v>
      </c>
      <c r="I3130" s="21">
        <f t="shared" ca="1" si="528"/>
        <v>9549.5080204567203</v>
      </c>
      <c r="J3130" s="20">
        <f t="shared" ca="1" si="537"/>
        <v>4</v>
      </c>
      <c r="K3130" s="20">
        <f t="shared" ca="1" si="529"/>
        <v>3</v>
      </c>
      <c r="L3130" s="44">
        <f t="shared" ca="1" si="534"/>
        <v>3.5</v>
      </c>
    </row>
    <row r="3131" spans="1:12" x14ac:dyDescent="0.25">
      <c r="A3131" s="20">
        <v>3123</v>
      </c>
      <c r="B3131" s="21">
        <f t="shared" ca="1" si="530"/>
        <v>1.7866063772066025</v>
      </c>
      <c r="C3131" s="21">
        <f t="shared" ca="1" si="535"/>
        <v>9545.0349722766223</v>
      </c>
      <c r="D3131" s="21">
        <f t="shared" ca="1" si="531"/>
        <v>0.19170382926894777</v>
      </c>
      <c r="E3131" s="21">
        <f t="shared" ca="1" si="538"/>
        <v>4.473048180097976</v>
      </c>
      <c r="F3131" s="20" t="str">
        <f t="shared" ca="1" si="536"/>
        <v>No</v>
      </c>
      <c r="G3131" s="21">
        <f t="shared" ca="1" si="532"/>
        <v>0</v>
      </c>
      <c r="H3131" s="21">
        <f t="shared" ca="1" si="533"/>
        <v>9549.5080204567203</v>
      </c>
      <c r="I3131" s="21">
        <f t="shared" ca="1" si="528"/>
        <v>9549.6997242859889</v>
      </c>
      <c r="J3131" s="20">
        <f t="shared" ca="1" si="537"/>
        <v>4</v>
      </c>
      <c r="K3131" s="20">
        <f t="shared" ca="1" si="529"/>
        <v>2</v>
      </c>
      <c r="L3131" s="44">
        <f t="shared" ca="1" si="534"/>
        <v>3</v>
      </c>
    </row>
    <row r="3132" spans="1:12" x14ac:dyDescent="0.25">
      <c r="A3132" s="20">
        <v>3124</v>
      </c>
      <c r="B3132" s="21">
        <f t="shared" ca="1" si="530"/>
        <v>1.4528133048662228</v>
      </c>
      <c r="C3132" s="21">
        <f t="shared" ca="1" si="535"/>
        <v>9546.4877855814884</v>
      </c>
      <c r="D3132" s="21">
        <f t="shared" ca="1" si="531"/>
        <v>2.1618445949381644</v>
      </c>
      <c r="E3132" s="21">
        <f t="shared" ca="1" si="538"/>
        <v>3.211938704500426</v>
      </c>
      <c r="F3132" s="20" t="str">
        <f t="shared" ca="1" si="536"/>
        <v>No</v>
      </c>
      <c r="G3132" s="21">
        <f t="shared" ca="1" si="532"/>
        <v>0</v>
      </c>
      <c r="H3132" s="21">
        <f t="shared" ca="1" si="533"/>
        <v>9549.6997242859889</v>
      </c>
      <c r="I3132" s="21">
        <f t="shared" ca="1" si="528"/>
        <v>9551.8615688809277</v>
      </c>
      <c r="J3132" s="20">
        <f t="shared" ca="1" si="537"/>
        <v>3</v>
      </c>
      <c r="K3132" s="20">
        <f t="shared" ca="1" si="529"/>
        <v>1</v>
      </c>
      <c r="L3132" s="44">
        <f t="shared" ca="1" si="534"/>
        <v>2</v>
      </c>
    </row>
    <row r="3133" spans="1:12" x14ac:dyDescent="0.25">
      <c r="A3133" s="20">
        <v>3125</v>
      </c>
      <c r="B3133" s="21">
        <f t="shared" ca="1" si="530"/>
        <v>3.01936472555392</v>
      </c>
      <c r="C3133" s="21">
        <f t="shared" ca="1" si="535"/>
        <v>9549.507150307043</v>
      </c>
      <c r="D3133" s="21">
        <f t="shared" ca="1" si="531"/>
        <v>0.48496075521995086</v>
      </c>
      <c r="E3133" s="21">
        <f t="shared" ca="1" si="538"/>
        <v>2.3544185738846863</v>
      </c>
      <c r="F3133" s="20" t="str">
        <f t="shared" ca="1" si="536"/>
        <v>No</v>
      </c>
      <c r="G3133" s="21">
        <f t="shared" ca="1" si="532"/>
        <v>0</v>
      </c>
      <c r="H3133" s="21">
        <f t="shared" ca="1" si="533"/>
        <v>9551.8615688809277</v>
      </c>
      <c r="I3133" s="21">
        <f t="shared" ca="1" si="528"/>
        <v>9552.3465296361483</v>
      </c>
      <c r="J3133" s="20">
        <f t="shared" ca="1" si="537"/>
        <v>2</v>
      </c>
      <c r="K3133" s="20">
        <f t="shared" ca="1" si="529"/>
        <v>0</v>
      </c>
      <c r="L3133" s="44">
        <f t="shared" ca="1" si="534"/>
        <v>1</v>
      </c>
    </row>
    <row r="3134" spans="1:12" x14ac:dyDescent="0.25">
      <c r="A3134" s="20">
        <v>3126</v>
      </c>
      <c r="B3134" s="21">
        <f t="shared" ca="1" si="530"/>
        <v>4.8244553874006124</v>
      </c>
      <c r="C3134" s="21">
        <f t="shared" ca="1" si="535"/>
        <v>9554.3316056944441</v>
      </c>
      <c r="D3134" s="21">
        <f t="shared" ca="1" si="531"/>
        <v>0.7253262338424773</v>
      </c>
      <c r="E3134" s="21">
        <f t="shared" ca="1" si="538"/>
        <v>0</v>
      </c>
      <c r="F3134" s="20" t="str">
        <f t="shared" ca="1" si="536"/>
        <v>Yes</v>
      </c>
      <c r="G3134" s="21">
        <f t="shared" ca="1" si="532"/>
        <v>1.9850760582958173</v>
      </c>
      <c r="H3134" s="21">
        <f t="shared" ca="1" si="533"/>
        <v>9554.3316056944441</v>
      </c>
      <c r="I3134" s="21">
        <f t="shared" ca="1" si="528"/>
        <v>9555.0569319282858</v>
      </c>
      <c r="J3134" s="20">
        <f t="shared" ca="1" si="537"/>
        <v>0</v>
      </c>
      <c r="K3134" s="20">
        <f t="shared" ca="1" si="529"/>
        <v>0</v>
      </c>
      <c r="L3134" s="44">
        <f t="shared" ca="1" si="534"/>
        <v>0</v>
      </c>
    </row>
    <row r="3135" spans="1:12" x14ac:dyDescent="0.25">
      <c r="A3135" s="20">
        <v>3127</v>
      </c>
      <c r="B3135" s="21">
        <f t="shared" ca="1" si="530"/>
        <v>5.4766121098776717</v>
      </c>
      <c r="C3135" s="21">
        <f t="shared" ca="1" si="535"/>
        <v>9559.8082178043223</v>
      </c>
      <c r="D3135" s="21">
        <f t="shared" ca="1" si="531"/>
        <v>0.77981356188468587</v>
      </c>
      <c r="E3135" s="21">
        <f t="shared" ca="1" si="538"/>
        <v>0</v>
      </c>
      <c r="F3135" s="20" t="str">
        <f t="shared" ca="1" si="536"/>
        <v>Yes</v>
      </c>
      <c r="G3135" s="21">
        <f t="shared" ca="1" si="532"/>
        <v>4.7512858760364907</v>
      </c>
      <c r="H3135" s="21">
        <f t="shared" ca="1" si="533"/>
        <v>9559.8082178043223</v>
      </c>
      <c r="I3135" s="21">
        <f t="shared" ca="1" si="528"/>
        <v>9560.5880313662074</v>
      </c>
      <c r="J3135" s="20">
        <f t="shared" ca="1" si="537"/>
        <v>0</v>
      </c>
      <c r="K3135" s="20">
        <f t="shared" ca="1" si="529"/>
        <v>0</v>
      </c>
      <c r="L3135" s="44">
        <f t="shared" ca="1" si="534"/>
        <v>0</v>
      </c>
    </row>
    <row r="3136" spans="1:12" x14ac:dyDescent="0.25">
      <c r="A3136" s="20">
        <v>3128</v>
      </c>
      <c r="B3136" s="21">
        <f t="shared" ca="1" si="530"/>
        <v>2.0293771177020754</v>
      </c>
      <c r="C3136" s="21">
        <f t="shared" ca="1" si="535"/>
        <v>9561.8375949220244</v>
      </c>
      <c r="D3136" s="21">
        <f t="shared" ca="1" si="531"/>
        <v>0.82374771815560055</v>
      </c>
      <c r="E3136" s="21">
        <f t="shared" ca="1" si="538"/>
        <v>0</v>
      </c>
      <c r="F3136" s="20" t="str">
        <f t="shared" ca="1" si="536"/>
        <v>Yes</v>
      </c>
      <c r="G3136" s="21">
        <f t="shared" ca="1" si="532"/>
        <v>1.2495635558170761</v>
      </c>
      <c r="H3136" s="21">
        <f t="shared" ca="1" si="533"/>
        <v>9561.8375949220244</v>
      </c>
      <c r="I3136" s="21">
        <f t="shared" ca="1" si="528"/>
        <v>9562.66134264018</v>
      </c>
      <c r="J3136" s="20">
        <f t="shared" ca="1" si="537"/>
        <v>0</v>
      </c>
      <c r="K3136" s="20">
        <f t="shared" ca="1" si="529"/>
        <v>1</v>
      </c>
      <c r="L3136" s="44">
        <f t="shared" ca="1" si="534"/>
        <v>0.5</v>
      </c>
    </row>
    <row r="3137" spans="1:12" x14ac:dyDescent="0.25">
      <c r="A3137" s="20">
        <v>3129</v>
      </c>
      <c r="B3137" s="21">
        <f t="shared" ca="1" si="530"/>
        <v>0.58193601587063026</v>
      </c>
      <c r="C3137" s="21">
        <f t="shared" ca="1" si="535"/>
        <v>9562.4195309378956</v>
      </c>
      <c r="D3137" s="21">
        <f t="shared" ca="1" si="531"/>
        <v>2.1145739126492042</v>
      </c>
      <c r="E3137" s="21">
        <f t="shared" ca="1" si="538"/>
        <v>0.24181170228439441</v>
      </c>
      <c r="F3137" s="20" t="str">
        <f t="shared" ca="1" si="536"/>
        <v>No</v>
      </c>
      <c r="G3137" s="21">
        <f t="shared" ca="1" si="532"/>
        <v>0</v>
      </c>
      <c r="H3137" s="21">
        <f t="shared" ca="1" si="533"/>
        <v>9562.66134264018</v>
      </c>
      <c r="I3137" s="21">
        <f t="shared" ca="1" si="528"/>
        <v>9564.7759165528296</v>
      </c>
      <c r="J3137" s="20">
        <f t="shared" ca="1" si="537"/>
        <v>2</v>
      </c>
      <c r="K3137" s="20">
        <f t="shared" ca="1" si="529"/>
        <v>0</v>
      </c>
      <c r="L3137" s="44">
        <f t="shared" ca="1" si="534"/>
        <v>1</v>
      </c>
    </row>
    <row r="3138" spans="1:12" x14ac:dyDescent="0.25">
      <c r="A3138" s="20">
        <v>3130</v>
      </c>
      <c r="B3138" s="21">
        <f t="shared" ca="1" si="530"/>
        <v>2.3800706817822119</v>
      </c>
      <c r="C3138" s="21">
        <f t="shared" ca="1" si="535"/>
        <v>9564.7996016196776</v>
      </c>
      <c r="D3138" s="21">
        <f t="shared" ca="1" si="531"/>
        <v>1.102543711313656</v>
      </c>
      <c r="E3138" s="21">
        <f t="shared" ca="1" si="538"/>
        <v>0</v>
      </c>
      <c r="F3138" s="20" t="str">
        <f t="shared" ca="1" si="536"/>
        <v>Yes</v>
      </c>
      <c r="G3138" s="21">
        <f t="shared" ca="1" si="532"/>
        <v>2.3685066847974667E-2</v>
      </c>
      <c r="H3138" s="21">
        <f t="shared" ca="1" si="533"/>
        <v>9564.7996016196776</v>
      </c>
      <c r="I3138" s="21">
        <f t="shared" ca="1" si="528"/>
        <v>9565.9021453309906</v>
      </c>
      <c r="J3138" s="20">
        <f t="shared" ca="1" si="537"/>
        <v>0</v>
      </c>
      <c r="K3138" s="20">
        <f t="shared" ca="1" si="529"/>
        <v>0</v>
      </c>
      <c r="L3138" s="44">
        <f t="shared" ca="1" si="534"/>
        <v>0</v>
      </c>
    </row>
    <row r="3139" spans="1:12" x14ac:dyDescent="0.25">
      <c r="A3139" s="20">
        <v>3131</v>
      </c>
      <c r="B3139" s="21">
        <f t="shared" ca="1" si="530"/>
        <v>3.8404511427700636</v>
      </c>
      <c r="C3139" s="21">
        <f t="shared" ca="1" si="535"/>
        <v>9568.6400527624482</v>
      </c>
      <c r="D3139" s="21">
        <f t="shared" ca="1" si="531"/>
        <v>5.3446139710517491</v>
      </c>
      <c r="E3139" s="21">
        <f t="shared" ca="1" si="538"/>
        <v>0</v>
      </c>
      <c r="F3139" s="20" t="str">
        <f t="shared" ca="1" si="536"/>
        <v>Yes</v>
      </c>
      <c r="G3139" s="21">
        <f t="shared" ca="1" si="532"/>
        <v>2.7379074314576428</v>
      </c>
      <c r="H3139" s="21">
        <f t="shared" ca="1" si="533"/>
        <v>9568.6400527624482</v>
      </c>
      <c r="I3139" s="21">
        <f t="shared" ca="1" si="528"/>
        <v>9573.9846667335005</v>
      </c>
      <c r="J3139" s="20">
        <f t="shared" ca="1" si="537"/>
        <v>0</v>
      </c>
      <c r="K3139" s="20">
        <f t="shared" ca="1" si="529"/>
        <v>1</v>
      </c>
      <c r="L3139" s="44">
        <f t="shared" ca="1" si="534"/>
        <v>0.5</v>
      </c>
    </row>
    <row r="3140" spans="1:12" x14ac:dyDescent="0.25">
      <c r="A3140" s="20">
        <v>3132</v>
      </c>
      <c r="B3140" s="21">
        <f t="shared" ca="1" si="530"/>
        <v>1.5238944948970909</v>
      </c>
      <c r="C3140" s="21">
        <f t="shared" ca="1" si="535"/>
        <v>9570.1639472573461</v>
      </c>
      <c r="D3140" s="21">
        <f t="shared" ca="1" si="531"/>
        <v>1.570862946895492</v>
      </c>
      <c r="E3140" s="21">
        <f t="shared" ca="1" si="538"/>
        <v>3.8207194761544088</v>
      </c>
      <c r="F3140" s="20" t="str">
        <f t="shared" ca="1" si="536"/>
        <v>No</v>
      </c>
      <c r="G3140" s="21">
        <f t="shared" ca="1" si="532"/>
        <v>0</v>
      </c>
      <c r="H3140" s="21">
        <f t="shared" ca="1" si="533"/>
        <v>9573.9846667335005</v>
      </c>
      <c r="I3140" s="21">
        <f t="shared" ca="1" si="528"/>
        <v>9575.5555296803959</v>
      </c>
      <c r="J3140" s="20">
        <f t="shared" ca="1" si="537"/>
        <v>2</v>
      </c>
      <c r="K3140" s="20">
        <f t="shared" ca="1" si="529"/>
        <v>1</v>
      </c>
      <c r="L3140" s="44">
        <f t="shared" ca="1" si="534"/>
        <v>1.5</v>
      </c>
    </row>
    <row r="3141" spans="1:12" x14ac:dyDescent="0.25">
      <c r="A3141" s="20">
        <v>3133</v>
      </c>
      <c r="B3141" s="21">
        <f t="shared" ca="1" si="530"/>
        <v>4.5699452423527296</v>
      </c>
      <c r="C3141" s="21">
        <f t="shared" ca="1" si="535"/>
        <v>9574.7338924996984</v>
      </c>
      <c r="D3141" s="21">
        <f t="shared" ca="1" si="531"/>
        <v>0.41323803206199994</v>
      </c>
      <c r="E3141" s="21">
        <f t="shared" ca="1" si="538"/>
        <v>0.82163718069750757</v>
      </c>
      <c r="F3141" s="20" t="str">
        <f t="shared" ca="1" si="536"/>
        <v>No</v>
      </c>
      <c r="G3141" s="21">
        <f t="shared" ca="1" si="532"/>
        <v>0</v>
      </c>
      <c r="H3141" s="21">
        <f t="shared" ca="1" si="533"/>
        <v>9575.5555296803959</v>
      </c>
      <c r="I3141" s="21">
        <f t="shared" ca="1" si="528"/>
        <v>9575.9687677124584</v>
      </c>
      <c r="J3141" s="20">
        <f t="shared" ca="1" si="537"/>
        <v>2</v>
      </c>
      <c r="K3141" s="20">
        <f t="shared" ca="1" si="529"/>
        <v>0</v>
      </c>
      <c r="L3141" s="44">
        <f t="shared" ca="1" si="534"/>
        <v>1</v>
      </c>
    </row>
    <row r="3142" spans="1:12" x14ac:dyDescent="0.25">
      <c r="A3142" s="20">
        <v>3134</v>
      </c>
      <c r="B3142" s="21">
        <f t="shared" ca="1" si="530"/>
        <v>2.2412566815292081</v>
      </c>
      <c r="C3142" s="21">
        <f t="shared" ca="1" si="535"/>
        <v>9576.9751491812276</v>
      </c>
      <c r="D3142" s="21">
        <f t="shared" ca="1" si="531"/>
        <v>6.1116862822534745</v>
      </c>
      <c r="E3142" s="21">
        <f t="shared" ca="1" si="538"/>
        <v>0</v>
      </c>
      <c r="F3142" s="20" t="str">
        <f t="shared" ca="1" si="536"/>
        <v>Yes</v>
      </c>
      <c r="G3142" s="21">
        <f t="shared" ca="1" si="532"/>
        <v>1.0063814687691774</v>
      </c>
      <c r="H3142" s="21">
        <f t="shared" ca="1" si="533"/>
        <v>9576.9751491812276</v>
      </c>
      <c r="I3142" s="21">
        <f t="shared" ca="1" si="528"/>
        <v>9583.0868354634804</v>
      </c>
      <c r="J3142" s="20">
        <f t="shared" ca="1" si="537"/>
        <v>0</v>
      </c>
      <c r="K3142" s="20">
        <f t="shared" ca="1" si="529"/>
        <v>1</v>
      </c>
      <c r="L3142" s="44">
        <f t="shared" ca="1" si="534"/>
        <v>0.5</v>
      </c>
    </row>
    <row r="3143" spans="1:12" x14ac:dyDescent="0.25">
      <c r="A3143" s="20">
        <v>3135</v>
      </c>
      <c r="B3143" s="21">
        <f t="shared" ca="1" si="530"/>
        <v>0.65667419106093639</v>
      </c>
      <c r="C3143" s="21">
        <f t="shared" ca="1" si="535"/>
        <v>9577.6318233722886</v>
      </c>
      <c r="D3143" s="21">
        <f t="shared" ca="1" si="531"/>
        <v>2.6491208509481399</v>
      </c>
      <c r="E3143" s="21">
        <f t="shared" ca="1" si="538"/>
        <v>5.4550120911917475</v>
      </c>
      <c r="F3143" s="20" t="str">
        <f t="shared" ca="1" si="536"/>
        <v>No</v>
      </c>
      <c r="G3143" s="21">
        <f t="shared" ca="1" si="532"/>
        <v>0</v>
      </c>
      <c r="H3143" s="21">
        <f t="shared" ca="1" si="533"/>
        <v>9583.0868354634804</v>
      </c>
      <c r="I3143" s="21">
        <f t="shared" ca="1" si="528"/>
        <v>9585.7359563144291</v>
      </c>
      <c r="J3143" s="20">
        <f t="shared" ca="1" si="537"/>
        <v>2</v>
      </c>
      <c r="K3143" s="20">
        <f t="shared" ca="1" si="529"/>
        <v>0</v>
      </c>
      <c r="L3143" s="44">
        <f t="shared" ca="1" si="534"/>
        <v>1</v>
      </c>
    </row>
    <row r="3144" spans="1:12" x14ac:dyDescent="0.25">
      <c r="A3144" s="20">
        <v>3136</v>
      </c>
      <c r="B3144" s="21">
        <f t="shared" ca="1" si="530"/>
        <v>8.1403575278763611</v>
      </c>
      <c r="C3144" s="21">
        <f t="shared" ca="1" si="535"/>
        <v>9585.772180900165</v>
      </c>
      <c r="D3144" s="21">
        <f t="shared" ca="1" si="531"/>
        <v>1.235709575613597</v>
      </c>
      <c r="E3144" s="21">
        <f t="shared" ca="1" si="538"/>
        <v>0</v>
      </c>
      <c r="F3144" s="20" t="str">
        <f t="shared" ca="1" si="536"/>
        <v>Yes</v>
      </c>
      <c r="G3144" s="21">
        <f t="shared" ca="1" si="532"/>
        <v>3.6224585735908477E-2</v>
      </c>
      <c r="H3144" s="21">
        <f t="shared" ca="1" si="533"/>
        <v>9585.772180900165</v>
      </c>
      <c r="I3144" s="21">
        <f t="shared" ca="1" si="528"/>
        <v>9587.0078904757793</v>
      </c>
      <c r="J3144" s="20">
        <f t="shared" ca="1" si="537"/>
        <v>0</v>
      </c>
      <c r="K3144" s="20">
        <f t="shared" ca="1" si="529"/>
        <v>1</v>
      </c>
      <c r="L3144" s="44">
        <f t="shared" ca="1" si="534"/>
        <v>0.5</v>
      </c>
    </row>
    <row r="3145" spans="1:12" x14ac:dyDescent="0.25">
      <c r="A3145" s="20">
        <v>3137</v>
      </c>
      <c r="B3145" s="21">
        <f t="shared" ca="1" si="530"/>
        <v>0.50773581085255182</v>
      </c>
      <c r="C3145" s="21">
        <f t="shared" ca="1" si="535"/>
        <v>9586.279916711017</v>
      </c>
      <c r="D3145" s="21">
        <f t="shared" ca="1" si="531"/>
        <v>4.8366452815899441</v>
      </c>
      <c r="E3145" s="21">
        <f t="shared" ca="1" si="538"/>
        <v>0.72797376476228237</v>
      </c>
      <c r="F3145" s="20" t="str">
        <f t="shared" ca="1" si="536"/>
        <v>No</v>
      </c>
      <c r="G3145" s="21">
        <f t="shared" ca="1" si="532"/>
        <v>0</v>
      </c>
      <c r="H3145" s="21">
        <f t="shared" ca="1" si="533"/>
        <v>9587.0078904757793</v>
      </c>
      <c r="I3145" s="21">
        <f t="shared" ref="I3145:I3208" ca="1" si="539">$H3145+$D3145</f>
        <v>9591.8445357573692</v>
      </c>
      <c r="J3145" s="20">
        <f t="shared" ca="1" si="537"/>
        <v>2</v>
      </c>
      <c r="K3145" s="20">
        <f t="shared" ref="K3145:K3208" ca="1" si="540">IF($I3145&lt;=$C3146,0,IF($I3145&lt;=$C3147,1,IF($I3145&lt;=$C3148,2,IF($I3145&lt;=$C3149,3,IF($I3145&lt;=$C3150,4,5)))))</f>
        <v>1</v>
      </c>
      <c r="L3145" s="44">
        <f t="shared" ca="1" si="534"/>
        <v>1.5</v>
      </c>
    </row>
    <row r="3146" spans="1:12" x14ac:dyDescent="0.25">
      <c r="A3146" s="20">
        <v>3138</v>
      </c>
      <c r="B3146" s="21">
        <f t="shared" ref="B3146:B3209" ca="1" si="541">-LN(RAND())/$D$4</f>
        <v>2.2729929193638356</v>
      </c>
      <c r="C3146" s="21">
        <f t="shared" ca="1" si="535"/>
        <v>9588.5529096303817</v>
      </c>
      <c r="D3146" s="21">
        <f t="shared" ref="D3146:D3209" ca="1" si="542">-LN(RAND())/$D$6</f>
        <v>1.444823940589214</v>
      </c>
      <c r="E3146" s="21">
        <f t="shared" ca="1" si="538"/>
        <v>3.2916261269874667</v>
      </c>
      <c r="F3146" s="20" t="str">
        <f t="shared" ca="1" si="536"/>
        <v>No</v>
      </c>
      <c r="G3146" s="21">
        <f t="shared" ref="G3146:G3209" ca="1" si="543">IF($I3145&lt;=$C3146,$C3146-$I3145,0)</f>
        <v>0</v>
      </c>
      <c r="H3146" s="21">
        <f t="shared" ref="H3146:H3209" ca="1" si="544">IF($I3145&lt;=$C3146,$C3146,$I3145)</f>
        <v>9591.8445357573692</v>
      </c>
      <c r="I3146" s="21">
        <f t="shared" ca="1" si="539"/>
        <v>9593.2893596979575</v>
      </c>
      <c r="J3146" s="20">
        <f t="shared" ca="1" si="537"/>
        <v>2</v>
      </c>
      <c r="K3146" s="20">
        <f t="shared" ca="1" si="540"/>
        <v>1</v>
      </c>
      <c r="L3146" s="44">
        <f t="shared" ref="L3146:L3209" ca="1" si="545">(J3146+K3146)/2</f>
        <v>1.5</v>
      </c>
    </row>
    <row r="3147" spans="1:12" x14ac:dyDescent="0.25">
      <c r="A3147" s="20">
        <v>3139</v>
      </c>
      <c r="B3147" s="21">
        <f t="shared" ca="1" si="541"/>
        <v>3.4548425803167437</v>
      </c>
      <c r="C3147" s="21">
        <f t="shared" ref="C3147:C3210" ca="1" si="546">$C3146+$B3147</f>
        <v>9592.0077522106985</v>
      </c>
      <c r="D3147" s="21">
        <f t="shared" ca="1" si="542"/>
        <v>8.2852690125861965</v>
      </c>
      <c r="E3147" s="21">
        <f t="shared" ca="1" si="538"/>
        <v>1.2816074872589525</v>
      </c>
      <c r="F3147" s="20" t="str">
        <f t="shared" ref="F3147:F3210" ca="1" si="547">IF(E3147=0,"Yes","No")</f>
        <v>No</v>
      </c>
      <c r="G3147" s="21">
        <f t="shared" ca="1" si="543"/>
        <v>0</v>
      </c>
      <c r="H3147" s="21">
        <f t="shared" ca="1" si="544"/>
        <v>9593.2893596979575</v>
      </c>
      <c r="I3147" s="21">
        <f t="shared" ca="1" si="539"/>
        <v>9601.574628710543</v>
      </c>
      <c r="J3147" s="20">
        <f t="shared" ref="J3147:J3210" ca="1" si="548">IF($I3146&lt;=$C3147,0,$K3146+1)</f>
        <v>2</v>
      </c>
      <c r="K3147" s="20">
        <f t="shared" ca="1" si="540"/>
        <v>5</v>
      </c>
      <c r="L3147" s="44">
        <f t="shared" ca="1" si="545"/>
        <v>3.5</v>
      </c>
    </row>
    <row r="3148" spans="1:12" x14ac:dyDescent="0.25">
      <c r="A3148" s="20">
        <v>3140</v>
      </c>
      <c r="B3148" s="21">
        <f t="shared" ca="1" si="541"/>
        <v>2.2758519631540204</v>
      </c>
      <c r="C3148" s="21">
        <f t="shared" ca="1" si="546"/>
        <v>9594.2836041738519</v>
      </c>
      <c r="D3148" s="21">
        <f t="shared" ca="1" si="542"/>
        <v>3.1580501957481548</v>
      </c>
      <c r="E3148" s="21">
        <f t="shared" ref="E3148:E3211" ca="1" si="549">IF($I3147&lt;=$C3148,0,$I3147-$C3148)</f>
        <v>7.2910245366911113</v>
      </c>
      <c r="F3148" s="20" t="str">
        <f t="shared" ca="1" si="547"/>
        <v>No</v>
      </c>
      <c r="G3148" s="21">
        <f t="shared" ca="1" si="543"/>
        <v>0</v>
      </c>
      <c r="H3148" s="21">
        <f t="shared" ca="1" si="544"/>
        <v>9601.574628710543</v>
      </c>
      <c r="I3148" s="21">
        <f t="shared" ca="1" si="539"/>
        <v>9604.7326789062918</v>
      </c>
      <c r="J3148" s="20">
        <f t="shared" ca="1" si="548"/>
        <v>6</v>
      </c>
      <c r="K3148" s="20">
        <f t="shared" ca="1" si="540"/>
        <v>5</v>
      </c>
      <c r="L3148" s="44">
        <f t="shared" ca="1" si="545"/>
        <v>5.5</v>
      </c>
    </row>
    <row r="3149" spans="1:12" x14ac:dyDescent="0.25">
      <c r="A3149" s="20">
        <v>3141</v>
      </c>
      <c r="B3149" s="21">
        <f t="shared" ca="1" si="541"/>
        <v>0.5292696234833506</v>
      </c>
      <c r="C3149" s="21">
        <f t="shared" ca="1" si="546"/>
        <v>9594.8128737973348</v>
      </c>
      <c r="D3149" s="21">
        <f t="shared" ca="1" si="542"/>
        <v>0.23116190182384028</v>
      </c>
      <c r="E3149" s="21">
        <f t="shared" ca="1" si="549"/>
        <v>9.9198051089570072</v>
      </c>
      <c r="F3149" s="20" t="str">
        <f t="shared" ca="1" si="547"/>
        <v>No</v>
      </c>
      <c r="G3149" s="21">
        <f t="shared" ca="1" si="543"/>
        <v>0</v>
      </c>
      <c r="H3149" s="21">
        <f t="shared" ca="1" si="544"/>
        <v>9604.7326789062918</v>
      </c>
      <c r="I3149" s="21">
        <f t="shared" ca="1" si="539"/>
        <v>9604.9638408081155</v>
      </c>
      <c r="J3149" s="20">
        <f t="shared" ca="1" si="548"/>
        <v>6</v>
      </c>
      <c r="K3149" s="20">
        <f t="shared" ca="1" si="540"/>
        <v>4</v>
      </c>
      <c r="L3149" s="44">
        <f t="shared" ca="1" si="545"/>
        <v>5</v>
      </c>
    </row>
    <row r="3150" spans="1:12" x14ac:dyDescent="0.25">
      <c r="A3150" s="20">
        <v>3142</v>
      </c>
      <c r="B3150" s="21">
        <f t="shared" ca="1" si="541"/>
        <v>2.3546027800991647</v>
      </c>
      <c r="C3150" s="21">
        <f t="shared" ca="1" si="546"/>
        <v>9597.1674765774333</v>
      </c>
      <c r="D3150" s="21">
        <f t="shared" ca="1" si="542"/>
        <v>4.5786893381647982</v>
      </c>
      <c r="E3150" s="21">
        <f t="shared" ca="1" si="549"/>
        <v>7.7963642306822294</v>
      </c>
      <c r="F3150" s="20" t="str">
        <f t="shared" ca="1" si="547"/>
        <v>No</v>
      </c>
      <c r="G3150" s="21">
        <f t="shared" ca="1" si="543"/>
        <v>0</v>
      </c>
      <c r="H3150" s="21">
        <f t="shared" ca="1" si="544"/>
        <v>9604.9638408081155</v>
      </c>
      <c r="I3150" s="21">
        <f t="shared" ca="1" si="539"/>
        <v>9609.5425301462801</v>
      </c>
      <c r="J3150" s="20">
        <f t="shared" ca="1" si="548"/>
        <v>5</v>
      </c>
      <c r="K3150" s="20">
        <f t="shared" ca="1" si="540"/>
        <v>5</v>
      </c>
      <c r="L3150" s="44">
        <f t="shared" ca="1" si="545"/>
        <v>5</v>
      </c>
    </row>
    <row r="3151" spans="1:12" x14ac:dyDescent="0.25">
      <c r="A3151" s="20">
        <v>3143</v>
      </c>
      <c r="B3151" s="21">
        <f t="shared" ca="1" si="541"/>
        <v>1.0577726457665038</v>
      </c>
      <c r="C3151" s="21">
        <f t="shared" ca="1" si="546"/>
        <v>9598.2252492232001</v>
      </c>
      <c r="D3151" s="21">
        <f t="shared" ca="1" si="542"/>
        <v>3.3637114283988256</v>
      </c>
      <c r="E3151" s="21">
        <f t="shared" ca="1" si="549"/>
        <v>11.317280923080034</v>
      </c>
      <c r="F3151" s="20" t="str">
        <f t="shared" ca="1" si="547"/>
        <v>No</v>
      </c>
      <c r="G3151" s="21">
        <f t="shared" ca="1" si="543"/>
        <v>0</v>
      </c>
      <c r="H3151" s="21">
        <f t="shared" ca="1" si="544"/>
        <v>9609.5425301462801</v>
      </c>
      <c r="I3151" s="21">
        <f t="shared" ca="1" si="539"/>
        <v>9612.9062415746794</v>
      </c>
      <c r="J3151" s="20">
        <f t="shared" ca="1" si="548"/>
        <v>6</v>
      </c>
      <c r="K3151" s="20">
        <f t="shared" ca="1" si="540"/>
        <v>4</v>
      </c>
      <c r="L3151" s="44">
        <f t="shared" ca="1" si="545"/>
        <v>5</v>
      </c>
    </row>
    <row r="3152" spans="1:12" x14ac:dyDescent="0.25">
      <c r="A3152" s="20">
        <v>3144</v>
      </c>
      <c r="B3152" s="21">
        <f t="shared" ca="1" si="541"/>
        <v>1.0656423918525897</v>
      </c>
      <c r="C3152" s="21">
        <f t="shared" ca="1" si="546"/>
        <v>9599.2908916150518</v>
      </c>
      <c r="D3152" s="21">
        <f t="shared" ca="1" si="542"/>
        <v>0.1977291513365437</v>
      </c>
      <c r="E3152" s="21">
        <f t="shared" ca="1" si="549"/>
        <v>13.615349959627565</v>
      </c>
      <c r="F3152" s="20" t="str">
        <f t="shared" ca="1" si="547"/>
        <v>No</v>
      </c>
      <c r="G3152" s="21">
        <f t="shared" ca="1" si="543"/>
        <v>0</v>
      </c>
      <c r="H3152" s="21">
        <f t="shared" ca="1" si="544"/>
        <v>9612.9062415746794</v>
      </c>
      <c r="I3152" s="21">
        <f t="shared" ca="1" si="539"/>
        <v>9613.1039707260152</v>
      </c>
      <c r="J3152" s="20">
        <f t="shared" ca="1" si="548"/>
        <v>5</v>
      </c>
      <c r="K3152" s="20">
        <f t="shared" ca="1" si="540"/>
        <v>4</v>
      </c>
      <c r="L3152" s="44">
        <f t="shared" ca="1" si="545"/>
        <v>4.5</v>
      </c>
    </row>
    <row r="3153" spans="1:12" x14ac:dyDescent="0.25">
      <c r="A3153" s="20">
        <v>3145</v>
      </c>
      <c r="B3153" s="21">
        <f t="shared" ca="1" si="541"/>
        <v>0.58332343586020419</v>
      </c>
      <c r="C3153" s="21">
        <f t="shared" ca="1" si="546"/>
        <v>9599.8742150509115</v>
      </c>
      <c r="D3153" s="21">
        <f t="shared" ca="1" si="542"/>
        <v>2.2085907141036616</v>
      </c>
      <c r="E3153" s="21">
        <f t="shared" ca="1" si="549"/>
        <v>13.229755675103661</v>
      </c>
      <c r="F3153" s="20" t="str">
        <f t="shared" ca="1" si="547"/>
        <v>No</v>
      </c>
      <c r="G3153" s="21">
        <f t="shared" ca="1" si="543"/>
        <v>0</v>
      </c>
      <c r="H3153" s="21">
        <f t="shared" ca="1" si="544"/>
        <v>9613.1039707260152</v>
      </c>
      <c r="I3153" s="21">
        <f t="shared" ca="1" si="539"/>
        <v>9615.3125614401197</v>
      </c>
      <c r="J3153" s="20">
        <f t="shared" ca="1" si="548"/>
        <v>5</v>
      </c>
      <c r="K3153" s="20">
        <f t="shared" ca="1" si="540"/>
        <v>3</v>
      </c>
      <c r="L3153" s="44">
        <f t="shared" ca="1" si="545"/>
        <v>4</v>
      </c>
    </row>
    <row r="3154" spans="1:12" x14ac:dyDescent="0.25">
      <c r="A3154" s="20">
        <v>3146</v>
      </c>
      <c r="B3154" s="21">
        <f t="shared" ca="1" si="541"/>
        <v>7.8515452348223684</v>
      </c>
      <c r="C3154" s="21">
        <f t="shared" ca="1" si="546"/>
        <v>9607.7257602857335</v>
      </c>
      <c r="D3154" s="21">
        <f t="shared" ca="1" si="542"/>
        <v>2.031470987095334</v>
      </c>
      <c r="E3154" s="21">
        <f t="shared" ca="1" si="549"/>
        <v>7.586801154386194</v>
      </c>
      <c r="F3154" s="20" t="str">
        <f t="shared" ca="1" si="547"/>
        <v>No</v>
      </c>
      <c r="G3154" s="21">
        <f t="shared" ca="1" si="543"/>
        <v>0</v>
      </c>
      <c r="H3154" s="21">
        <f t="shared" ca="1" si="544"/>
        <v>9615.3125614401197</v>
      </c>
      <c r="I3154" s="21">
        <f t="shared" ca="1" si="539"/>
        <v>9617.3440324272142</v>
      </c>
      <c r="J3154" s="20">
        <f t="shared" ca="1" si="548"/>
        <v>4</v>
      </c>
      <c r="K3154" s="20">
        <f t="shared" ca="1" si="540"/>
        <v>4</v>
      </c>
      <c r="L3154" s="44">
        <f t="shared" ca="1" si="545"/>
        <v>4</v>
      </c>
    </row>
    <row r="3155" spans="1:12" x14ac:dyDescent="0.25">
      <c r="A3155" s="20">
        <v>3147</v>
      </c>
      <c r="B3155" s="21">
        <f t="shared" ca="1" si="541"/>
        <v>0.31783637301086953</v>
      </c>
      <c r="C3155" s="21">
        <f t="shared" ca="1" si="546"/>
        <v>9608.0435966587447</v>
      </c>
      <c r="D3155" s="21">
        <f t="shared" ca="1" si="542"/>
        <v>9.7612300710990987E-2</v>
      </c>
      <c r="E3155" s="21">
        <f t="shared" ca="1" si="549"/>
        <v>9.3004357684694696</v>
      </c>
      <c r="F3155" s="20" t="str">
        <f t="shared" ca="1" si="547"/>
        <v>No</v>
      </c>
      <c r="G3155" s="21">
        <f t="shared" ca="1" si="543"/>
        <v>0</v>
      </c>
      <c r="H3155" s="21">
        <f t="shared" ca="1" si="544"/>
        <v>9617.3440324272142</v>
      </c>
      <c r="I3155" s="21">
        <f t="shared" ca="1" si="539"/>
        <v>9617.4416447279254</v>
      </c>
      <c r="J3155" s="20">
        <f t="shared" ca="1" si="548"/>
        <v>5</v>
      </c>
      <c r="K3155" s="20">
        <f t="shared" ca="1" si="540"/>
        <v>3</v>
      </c>
      <c r="L3155" s="44">
        <f t="shared" ca="1" si="545"/>
        <v>4</v>
      </c>
    </row>
    <row r="3156" spans="1:12" x14ac:dyDescent="0.25">
      <c r="A3156" s="20">
        <v>3148</v>
      </c>
      <c r="B3156" s="21">
        <f t="shared" ca="1" si="541"/>
        <v>4.9973392794562761</v>
      </c>
      <c r="C3156" s="21">
        <f t="shared" ca="1" si="546"/>
        <v>9613.0409359382011</v>
      </c>
      <c r="D3156" s="21">
        <f t="shared" ca="1" si="542"/>
        <v>0.1938847743899938</v>
      </c>
      <c r="E3156" s="21">
        <f t="shared" ca="1" si="549"/>
        <v>4.4007087897243764</v>
      </c>
      <c r="F3156" s="20" t="str">
        <f t="shared" ca="1" si="547"/>
        <v>No</v>
      </c>
      <c r="G3156" s="21">
        <f t="shared" ca="1" si="543"/>
        <v>0</v>
      </c>
      <c r="H3156" s="21">
        <f t="shared" ca="1" si="544"/>
        <v>9617.4416447279254</v>
      </c>
      <c r="I3156" s="21">
        <f t="shared" ca="1" si="539"/>
        <v>9617.635529502315</v>
      </c>
      <c r="J3156" s="20">
        <f t="shared" ca="1" si="548"/>
        <v>4</v>
      </c>
      <c r="K3156" s="20">
        <f t="shared" ca="1" si="540"/>
        <v>2</v>
      </c>
      <c r="L3156" s="44">
        <f t="shared" ca="1" si="545"/>
        <v>3</v>
      </c>
    </row>
    <row r="3157" spans="1:12" x14ac:dyDescent="0.25">
      <c r="A3157" s="20">
        <v>3149</v>
      </c>
      <c r="B3157" s="21">
        <f t="shared" ca="1" si="541"/>
        <v>2.6874985248575198</v>
      </c>
      <c r="C3157" s="21">
        <f t="shared" ca="1" si="546"/>
        <v>9615.7284344630589</v>
      </c>
      <c r="D3157" s="21">
        <f t="shared" ca="1" si="542"/>
        <v>3.8291128204051366</v>
      </c>
      <c r="E3157" s="21">
        <f t="shared" ca="1" si="549"/>
        <v>1.9070950392560917</v>
      </c>
      <c r="F3157" s="20" t="str">
        <f t="shared" ca="1" si="547"/>
        <v>No</v>
      </c>
      <c r="G3157" s="21">
        <f t="shared" ca="1" si="543"/>
        <v>0</v>
      </c>
      <c r="H3157" s="21">
        <f t="shared" ca="1" si="544"/>
        <v>9617.635529502315</v>
      </c>
      <c r="I3157" s="21">
        <f t="shared" ca="1" si="539"/>
        <v>9621.4646423227205</v>
      </c>
      <c r="J3157" s="20">
        <f t="shared" ca="1" si="548"/>
        <v>3</v>
      </c>
      <c r="K3157" s="20">
        <f t="shared" ca="1" si="540"/>
        <v>3</v>
      </c>
      <c r="L3157" s="44">
        <f t="shared" ca="1" si="545"/>
        <v>3</v>
      </c>
    </row>
    <row r="3158" spans="1:12" x14ac:dyDescent="0.25">
      <c r="A3158" s="20">
        <v>3150</v>
      </c>
      <c r="B3158" s="21">
        <f t="shared" ca="1" si="541"/>
        <v>0.27332282287129123</v>
      </c>
      <c r="C3158" s="21">
        <f t="shared" ca="1" si="546"/>
        <v>9616.0017572859306</v>
      </c>
      <c r="D3158" s="21">
        <f t="shared" ca="1" si="542"/>
        <v>6.2569482695559009E-2</v>
      </c>
      <c r="E3158" s="21">
        <f t="shared" ca="1" si="549"/>
        <v>5.4628850367898849</v>
      </c>
      <c r="F3158" s="20" t="str">
        <f t="shared" ca="1" si="547"/>
        <v>No</v>
      </c>
      <c r="G3158" s="21">
        <f t="shared" ca="1" si="543"/>
        <v>0</v>
      </c>
      <c r="H3158" s="21">
        <f t="shared" ca="1" si="544"/>
        <v>9621.4646423227205</v>
      </c>
      <c r="I3158" s="21">
        <f t="shared" ca="1" si="539"/>
        <v>9621.5272118054163</v>
      </c>
      <c r="J3158" s="20">
        <f t="shared" ca="1" si="548"/>
        <v>4</v>
      </c>
      <c r="K3158" s="20">
        <f t="shared" ca="1" si="540"/>
        <v>2</v>
      </c>
      <c r="L3158" s="44">
        <f t="shared" ca="1" si="545"/>
        <v>3</v>
      </c>
    </row>
    <row r="3159" spans="1:12" x14ac:dyDescent="0.25">
      <c r="A3159" s="20">
        <v>3151</v>
      </c>
      <c r="B3159" s="21">
        <f t="shared" ca="1" si="541"/>
        <v>4.4681783515933029</v>
      </c>
      <c r="C3159" s="21">
        <f t="shared" ca="1" si="546"/>
        <v>9620.469935637524</v>
      </c>
      <c r="D3159" s="21">
        <f t="shared" ca="1" si="542"/>
        <v>1.2952687815175326</v>
      </c>
      <c r="E3159" s="21">
        <f t="shared" ca="1" si="549"/>
        <v>1.0572761678922689</v>
      </c>
      <c r="F3159" s="20" t="str">
        <f t="shared" ca="1" si="547"/>
        <v>No</v>
      </c>
      <c r="G3159" s="21">
        <f t="shared" ca="1" si="543"/>
        <v>0</v>
      </c>
      <c r="H3159" s="21">
        <f t="shared" ca="1" si="544"/>
        <v>9621.5272118054163</v>
      </c>
      <c r="I3159" s="21">
        <f t="shared" ca="1" si="539"/>
        <v>9622.822480586934</v>
      </c>
      <c r="J3159" s="20">
        <f t="shared" ca="1" si="548"/>
        <v>3</v>
      </c>
      <c r="K3159" s="20">
        <f t="shared" ca="1" si="540"/>
        <v>1</v>
      </c>
      <c r="L3159" s="44">
        <f t="shared" ca="1" si="545"/>
        <v>2</v>
      </c>
    </row>
    <row r="3160" spans="1:12" x14ac:dyDescent="0.25">
      <c r="A3160" s="20">
        <v>3152</v>
      </c>
      <c r="B3160" s="21">
        <f t="shared" ca="1" si="541"/>
        <v>0.1332783420096022</v>
      </c>
      <c r="C3160" s="21">
        <f t="shared" ca="1" si="546"/>
        <v>9620.6032139795334</v>
      </c>
      <c r="D3160" s="21">
        <f t="shared" ca="1" si="542"/>
        <v>1.4787178594735799</v>
      </c>
      <c r="E3160" s="21">
        <f t="shared" ca="1" si="549"/>
        <v>2.2192666074006411</v>
      </c>
      <c r="F3160" s="20" t="str">
        <f t="shared" ca="1" si="547"/>
        <v>No</v>
      </c>
      <c r="G3160" s="21">
        <f t="shared" ca="1" si="543"/>
        <v>0</v>
      </c>
      <c r="H3160" s="21">
        <f t="shared" ca="1" si="544"/>
        <v>9622.822480586934</v>
      </c>
      <c r="I3160" s="21">
        <f t="shared" ca="1" si="539"/>
        <v>9624.3011984464083</v>
      </c>
      <c r="J3160" s="20">
        <f t="shared" ca="1" si="548"/>
        <v>2</v>
      </c>
      <c r="K3160" s="20">
        <f t="shared" ca="1" si="540"/>
        <v>0</v>
      </c>
      <c r="L3160" s="44">
        <f t="shared" ca="1" si="545"/>
        <v>1</v>
      </c>
    </row>
    <row r="3161" spans="1:12" x14ac:dyDescent="0.25">
      <c r="A3161" s="20">
        <v>3153</v>
      </c>
      <c r="B3161" s="21">
        <f t="shared" ca="1" si="541"/>
        <v>18.618933619672749</v>
      </c>
      <c r="C3161" s="21">
        <f t="shared" ca="1" si="546"/>
        <v>9639.2221475992064</v>
      </c>
      <c r="D3161" s="21">
        <f t="shared" ca="1" si="542"/>
        <v>1.5780732091139922</v>
      </c>
      <c r="E3161" s="21">
        <f t="shared" ca="1" si="549"/>
        <v>0</v>
      </c>
      <c r="F3161" s="20" t="str">
        <f t="shared" ca="1" si="547"/>
        <v>Yes</v>
      </c>
      <c r="G3161" s="21">
        <f t="shared" ca="1" si="543"/>
        <v>14.92094915279813</v>
      </c>
      <c r="H3161" s="21">
        <f t="shared" ca="1" si="544"/>
        <v>9639.2221475992064</v>
      </c>
      <c r="I3161" s="21">
        <f t="shared" ca="1" si="539"/>
        <v>9640.8002208083199</v>
      </c>
      <c r="J3161" s="20">
        <f t="shared" ca="1" si="548"/>
        <v>0</v>
      </c>
      <c r="K3161" s="20">
        <f t="shared" ca="1" si="540"/>
        <v>1</v>
      </c>
      <c r="L3161" s="44">
        <f t="shared" ca="1" si="545"/>
        <v>0.5</v>
      </c>
    </row>
    <row r="3162" spans="1:12" x14ac:dyDescent="0.25">
      <c r="A3162" s="20">
        <v>3154</v>
      </c>
      <c r="B3162" s="21">
        <f t="shared" ca="1" si="541"/>
        <v>0.83611214174826864</v>
      </c>
      <c r="C3162" s="21">
        <f t="shared" ca="1" si="546"/>
        <v>9640.0582597409539</v>
      </c>
      <c r="D3162" s="21">
        <f t="shared" ca="1" si="542"/>
        <v>0.24775833970401495</v>
      </c>
      <c r="E3162" s="21">
        <f t="shared" ca="1" si="549"/>
        <v>0.74196106736599177</v>
      </c>
      <c r="F3162" s="20" t="str">
        <f t="shared" ca="1" si="547"/>
        <v>No</v>
      </c>
      <c r="G3162" s="21">
        <f t="shared" ca="1" si="543"/>
        <v>0</v>
      </c>
      <c r="H3162" s="21">
        <f t="shared" ca="1" si="544"/>
        <v>9640.8002208083199</v>
      </c>
      <c r="I3162" s="21">
        <f t="shared" ca="1" si="539"/>
        <v>9641.0479791480248</v>
      </c>
      <c r="J3162" s="20">
        <f t="shared" ca="1" si="548"/>
        <v>2</v>
      </c>
      <c r="K3162" s="20">
        <f t="shared" ca="1" si="540"/>
        <v>0</v>
      </c>
      <c r="L3162" s="44">
        <f t="shared" ca="1" si="545"/>
        <v>1</v>
      </c>
    </row>
    <row r="3163" spans="1:12" x14ac:dyDescent="0.25">
      <c r="A3163" s="20">
        <v>3155</v>
      </c>
      <c r="B3163" s="21">
        <f t="shared" ca="1" si="541"/>
        <v>4.7149601266324135</v>
      </c>
      <c r="C3163" s="21">
        <f t="shared" ca="1" si="546"/>
        <v>9644.7732198675858</v>
      </c>
      <c r="D3163" s="21">
        <f t="shared" ca="1" si="542"/>
        <v>1.6033828718198655</v>
      </c>
      <c r="E3163" s="21">
        <f t="shared" ca="1" si="549"/>
        <v>0</v>
      </c>
      <c r="F3163" s="20" t="str">
        <f t="shared" ca="1" si="547"/>
        <v>Yes</v>
      </c>
      <c r="G3163" s="21">
        <f t="shared" ca="1" si="543"/>
        <v>3.7252407195610431</v>
      </c>
      <c r="H3163" s="21">
        <f t="shared" ca="1" si="544"/>
        <v>9644.7732198675858</v>
      </c>
      <c r="I3163" s="21">
        <f t="shared" ca="1" si="539"/>
        <v>9646.3766027394049</v>
      </c>
      <c r="J3163" s="20">
        <f t="shared" ca="1" si="548"/>
        <v>0</v>
      </c>
      <c r="K3163" s="20">
        <f t="shared" ca="1" si="540"/>
        <v>1</v>
      </c>
      <c r="L3163" s="44">
        <f t="shared" ca="1" si="545"/>
        <v>0.5</v>
      </c>
    </row>
    <row r="3164" spans="1:12" x14ac:dyDescent="0.25">
      <c r="A3164" s="20">
        <v>3156</v>
      </c>
      <c r="B3164" s="21">
        <f t="shared" ca="1" si="541"/>
        <v>1.5129796814125271</v>
      </c>
      <c r="C3164" s="21">
        <f t="shared" ca="1" si="546"/>
        <v>9646.2861995489984</v>
      </c>
      <c r="D3164" s="21">
        <f t="shared" ca="1" si="542"/>
        <v>2.9499478244261548</v>
      </c>
      <c r="E3164" s="21">
        <f t="shared" ca="1" si="549"/>
        <v>9.0403190406505018E-2</v>
      </c>
      <c r="F3164" s="20" t="str">
        <f t="shared" ca="1" si="547"/>
        <v>No</v>
      </c>
      <c r="G3164" s="21">
        <f t="shared" ca="1" si="543"/>
        <v>0</v>
      </c>
      <c r="H3164" s="21">
        <f t="shared" ca="1" si="544"/>
        <v>9646.3766027394049</v>
      </c>
      <c r="I3164" s="21">
        <f t="shared" ca="1" si="539"/>
        <v>9649.3265505638319</v>
      </c>
      <c r="J3164" s="20">
        <f t="shared" ca="1" si="548"/>
        <v>2</v>
      </c>
      <c r="K3164" s="20">
        <f t="shared" ca="1" si="540"/>
        <v>1</v>
      </c>
      <c r="L3164" s="44">
        <f t="shared" ca="1" si="545"/>
        <v>1.5</v>
      </c>
    </row>
    <row r="3165" spans="1:12" x14ac:dyDescent="0.25">
      <c r="A3165" s="20">
        <v>3157</v>
      </c>
      <c r="B3165" s="21">
        <f t="shared" ca="1" si="541"/>
        <v>2.3833642280003078</v>
      </c>
      <c r="C3165" s="21">
        <f t="shared" ca="1" si="546"/>
        <v>9648.669563776999</v>
      </c>
      <c r="D3165" s="21">
        <f t="shared" ca="1" si="542"/>
        <v>4.7704180212149705</v>
      </c>
      <c r="E3165" s="21">
        <f t="shared" ca="1" si="549"/>
        <v>0.6569867868329311</v>
      </c>
      <c r="F3165" s="20" t="str">
        <f t="shared" ca="1" si="547"/>
        <v>No</v>
      </c>
      <c r="G3165" s="21">
        <f t="shared" ca="1" si="543"/>
        <v>0</v>
      </c>
      <c r="H3165" s="21">
        <f t="shared" ca="1" si="544"/>
        <v>9649.3265505638319</v>
      </c>
      <c r="I3165" s="21">
        <f t="shared" ca="1" si="539"/>
        <v>9654.0969685850469</v>
      </c>
      <c r="J3165" s="20">
        <f t="shared" ca="1" si="548"/>
        <v>2</v>
      </c>
      <c r="K3165" s="20">
        <f t="shared" ca="1" si="540"/>
        <v>3</v>
      </c>
      <c r="L3165" s="44">
        <f t="shared" ca="1" si="545"/>
        <v>2.5</v>
      </c>
    </row>
    <row r="3166" spans="1:12" x14ac:dyDescent="0.25">
      <c r="A3166" s="20">
        <v>3158</v>
      </c>
      <c r="B3166" s="21">
        <f t="shared" ca="1" si="541"/>
        <v>1.840621332443324</v>
      </c>
      <c r="C3166" s="21">
        <f t="shared" ca="1" si="546"/>
        <v>9650.5101851094423</v>
      </c>
      <c r="D3166" s="21">
        <f t="shared" ca="1" si="542"/>
        <v>4.0099355803193217E-2</v>
      </c>
      <c r="E3166" s="21">
        <f t="shared" ca="1" si="549"/>
        <v>3.586783475604534</v>
      </c>
      <c r="F3166" s="20" t="str">
        <f t="shared" ca="1" si="547"/>
        <v>No</v>
      </c>
      <c r="G3166" s="21">
        <f t="shared" ca="1" si="543"/>
        <v>0</v>
      </c>
      <c r="H3166" s="21">
        <f t="shared" ca="1" si="544"/>
        <v>9654.0969685850469</v>
      </c>
      <c r="I3166" s="21">
        <f t="shared" ca="1" si="539"/>
        <v>9654.1370679408501</v>
      </c>
      <c r="J3166" s="20">
        <f t="shared" ca="1" si="548"/>
        <v>4</v>
      </c>
      <c r="K3166" s="20">
        <f t="shared" ca="1" si="540"/>
        <v>2</v>
      </c>
      <c r="L3166" s="44">
        <f t="shared" ca="1" si="545"/>
        <v>3</v>
      </c>
    </row>
    <row r="3167" spans="1:12" x14ac:dyDescent="0.25">
      <c r="A3167" s="20">
        <v>3159</v>
      </c>
      <c r="B3167" s="21">
        <f t="shared" ca="1" si="541"/>
        <v>0.6702261891231035</v>
      </c>
      <c r="C3167" s="21">
        <f t="shared" ca="1" si="546"/>
        <v>9651.1804112985646</v>
      </c>
      <c r="D3167" s="21">
        <f t="shared" ca="1" si="542"/>
        <v>4.0998022678550532</v>
      </c>
      <c r="E3167" s="21">
        <f t="shared" ca="1" si="549"/>
        <v>2.9566566422854521</v>
      </c>
      <c r="F3167" s="20" t="str">
        <f t="shared" ca="1" si="547"/>
        <v>No</v>
      </c>
      <c r="G3167" s="21">
        <f t="shared" ca="1" si="543"/>
        <v>0</v>
      </c>
      <c r="H3167" s="21">
        <f t="shared" ca="1" si="544"/>
        <v>9654.1370679408501</v>
      </c>
      <c r="I3167" s="21">
        <f t="shared" ca="1" si="539"/>
        <v>9658.236870208706</v>
      </c>
      <c r="J3167" s="20">
        <f t="shared" ca="1" si="548"/>
        <v>3</v>
      </c>
      <c r="K3167" s="20">
        <f t="shared" ca="1" si="540"/>
        <v>1</v>
      </c>
      <c r="L3167" s="44">
        <f t="shared" ca="1" si="545"/>
        <v>2</v>
      </c>
    </row>
    <row r="3168" spans="1:12" x14ac:dyDescent="0.25">
      <c r="A3168" s="20">
        <v>3160</v>
      </c>
      <c r="B3168" s="21">
        <f t="shared" ca="1" si="541"/>
        <v>1.8608474852738206</v>
      </c>
      <c r="C3168" s="21">
        <f t="shared" ca="1" si="546"/>
        <v>9653.0412587838382</v>
      </c>
      <c r="D3168" s="21">
        <f t="shared" ca="1" si="542"/>
        <v>3.0376022928819992</v>
      </c>
      <c r="E3168" s="21">
        <f t="shared" ca="1" si="549"/>
        <v>5.1956114248678205</v>
      </c>
      <c r="F3168" s="20" t="str">
        <f t="shared" ca="1" si="547"/>
        <v>No</v>
      </c>
      <c r="G3168" s="21">
        <f t="shared" ca="1" si="543"/>
        <v>0</v>
      </c>
      <c r="H3168" s="21">
        <f t="shared" ca="1" si="544"/>
        <v>9658.236870208706</v>
      </c>
      <c r="I3168" s="21">
        <f t="shared" ca="1" si="539"/>
        <v>9661.2744725015873</v>
      </c>
      <c r="J3168" s="20">
        <f t="shared" ca="1" si="548"/>
        <v>2</v>
      </c>
      <c r="K3168" s="20">
        <f t="shared" ca="1" si="540"/>
        <v>0</v>
      </c>
      <c r="L3168" s="44">
        <f t="shared" ca="1" si="545"/>
        <v>1</v>
      </c>
    </row>
    <row r="3169" spans="1:12" x14ac:dyDescent="0.25">
      <c r="A3169" s="20">
        <v>3161</v>
      </c>
      <c r="B3169" s="21">
        <f t="shared" ca="1" si="541"/>
        <v>19.233042284541025</v>
      </c>
      <c r="C3169" s="21">
        <f t="shared" ca="1" si="546"/>
        <v>9672.2743010683789</v>
      </c>
      <c r="D3169" s="21">
        <f t="shared" ca="1" si="542"/>
        <v>0.26048870511912287</v>
      </c>
      <c r="E3169" s="21">
        <f t="shared" ca="1" si="549"/>
        <v>0</v>
      </c>
      <c r="F3169" s="20" t="str">
        <f t="shared" ca="1" si="547"/>
        <v>Yes</v>
      </c>
      <c r="G3169" s="21">
        <f t="shared" ca="1" si="543"/>
        <v>10.999828566791621</v>
      </c>
      <c r="H3169" s="21">
        <f t="shared" ca="1" si="544"/>
        <v>9672.2743010683789</v>
      </c>
      <c r="I3169" s="21">
        <f t="shared" ca="1" si="539"/>
        <v>9672.5347897734973</v>
      </c>
      <c r="J3169" s="20">
        <f t="shared" ca="1" si="548"/>
        <v>0</v>
      </c>
      <c r="K3169" s="20">
        <f t="shared" ca="1" si="540"/>
        <v>0</v>
      </c>
      <c r="L3169" s="44">
        <f t="shared" ca="1" si="545"/>
        <v>0</v>
      </c>
    </row>
    <row r="3170" spans="1:12" x14ac:dyDescent="0.25">
      <c r="A3170" s="20">
        <v>3162</v>
      </c>
      <c r="B3170" s="21">
        <f t="shared" ca="1" si="541"/>
        <v>2.5116944884605044</v>
      </c>
      <c r="C3170" s="21">
        <f t="shared" ca="1" si="546"/>
        <v>9674.7859955568401</v>
      </c>
      <c r="D3170" s="21">
        <f t="shared" ca="1" si="542"/>
        <v>3.5529229344551339</v>
      </c>
      <c r="E3170" s="21">
        <f t="shared" ca="1" si="549"/>
        <v>0</v>
      </c>
      <c r="F3170" s="20" t="str">
        <f t="shared" ca="1" si="547"/>
        <v>Yes</v>
      </c>
      <c r="G3170" s="21">
        <f t="shared" ca="1" si="543"/>
        <v>2.2512057833428116</v>
      </c>
      <c r="H3170" s="21">
        <f t="shared" ca="1" si="544"/>
        <v>9674.7859955568401</v>
      </c>
      <c r="I3170" s="21">
        <f t="shared" ca="1" si="539"/>
        <v>9678.3389184912958</v>
      </c>
      <c r="J3170" s="20">
        <f t="shared" ca="1" si="548"/>
        <v>0</v>
      </c>
      <c r="K3170" s="20">
        <f t="shared" ca="1" si="540"/>
        <v>0</v>
      </c>
      <c r="L3170" s="44">
        <f t="shared" ca="1" si="545"/>
        <v>0</v>
      </c>
    </row>
    <row r="3171" spans="1:12" x14ac:dyDescent="0.25">
      <c r="A3171" s="20">
        <v>3163</v>
      </c>
      <c r="B3171" s="21">
        <f t="shared" ca="1" si="541"/>
        <v>5.4506488547672882</v>
      </c>
      <c r="C3171" s="21">
        <f t="shared" ca="1" si="546"/>
        <v>9680.2366444116069</v>
      </c>
      <c r="D3171" s="21">
        <f t="shared" ca="1" si="542"/>
        <v>1.9198075232027694</v>
      </c>
      <c r="E3171" s="21">
        <f t="shared" ca="1" si="549"/>
        <v>0</v>
      </c>
      <c r="F3171" s="20" t="str">
        <f t="shared" ca="1" si="547"/>
        <v>Yes</v>
      </c>
      <c r="G3171" s="21">
        <f t="shared" ca="1" si="543"/>
        <v>1.8977259203111316</v>
      </c>
      <c r="H3171" s="21">
        <f t="shared" ca="1" si="544"/>
        <v>9680.2366444116069</v>
      </c>
      <c r="I3171" s="21">
        <f t="shared" ca="1" si="539"/>
        <v>9682.1564519348103</v>
      </c>
      <c r="J3171" s="20">
        <f t="shared" ca="1" si="548"/>
        <v>0</v>
      </c>
      <c r="K3171" s="20">
        <f t="shared" ca="1" si="540"/>
        <v>1</v>
      </c>
      <c r="L3171" s="44">
        <f t="shared" ca="1" si="545"/>
        <v>0.5</v>
      </c>
    </row>
    <row r="3172" spans="1:12" x14ac:dyDescent="0.25">
      <c r="A3172" s="20">
        <v>3164</v>
      </c>
      <c r="B3172" s="21">
        <f t="shared" ca="1" si="541"/>
        <v>0.70115743500024186</v>
      </c>
      <c r="C3172" s="21">
        <f t="shared" ca="1" si="546"/>
        <v>9680.9378018466068</v>
      </c>
      <c r="D3172" s="21">
        <f t="shared" ca="1" si="542"/>
        <v>6.3788131952245637</v>
      </c>
      <c r="E3172" s="21">
        <f t="shared" ca="1" si="549"/>
        <v>1.2186500882035034</v>
      </c>
      <c r="F3172" s="20" t="str">
        <f t="shared" ca="1" si="547"/>
        <v>No</v>
      </c>
      <c r="G3172" s="21">
        <f t="shared" ca="1" si="543"/>
        <v>0</v>
      </c>
      <c r="H3172" s="21">
        <f t="shared" ca="1" si="544"/>
        <v>9682.1564519348103</v>
      </c>
      <c r="I3172" s="21">
        <f t="shared" ca="1" si="539"/>
        <v>9688.5352651300345</v>
      </c>
      <c r="J3172" s="20">
        <f t="shared" ca="1" si="548"/>
        <v>2</v>
      </c>
      <c r="K3172" s="20">
        <f t="shared" ca="1" si="540"/>
        <v>1</v>
      </c>
      <c r="L3172" s="44">
        <f t="shared" ca="1" si="545"/>
        <v>1.5</v>
      </c>
    </row>
    <row r="3173" spans="1:12" x14ac:dyDescent="0.25">
      <c r="A3173" s="20">
        <v>3165</v>
      </c>
      <c r="B3173" s="21">
        <f t="shared" ca="1" si="541"/>
        <v>1.8189300307845133</v>
      </c>
      <c r="C3173" s="21">
        <f t="shared" ca="1" si="546"/>
        <v>9682.7567318773908</v>
      </c>
      <c r="D3173" s="21">
        <f t="shared" ca="1" si="542"/>
        <v>0.17281023741848833</v>
      </c>
      <c r="E3173" s="21">
        <f t="shared" ca="1" si="549"/>
        <v>5.7785332526436832</v>
      </c>
      <c r="F3173" s="20" t="str">
        <f t="shared" ca="1" si="547"/>
        <v>No</v>
      </c>
      <c r="G3173" s="21">
        <f t="shared" ca="1" si="543"/>
        <v>0</v>
      </c>
      <c r="H3173" s="21">
        <f t="shared" ca="1" si="544"/>
        <v>9688.5352651300345</v>
      </c>
      <c r="I3173" s="21">
        <f t="shared" ca="1" si="539"/>
        <v>9688.7080753674527</v>
      </c>
      <c r="J3173" s="20">
        <f t="shared" ca="1" si="548"/>
        <v>2</v>
      </c>
      <c r="K3173" s="20">
        <f t="shared" ca="1" si="540"/>
        <v>0</v>
      </c>
      <c r="L3173" s="44">
        <f t="shared" ca="1" si="545"/>
        <v>1</v>
      </c>
    </row>
    <row r="3174" spans="1:12" x14ac:dyDescent="0.25">
      <c r="A3174" s="20">
        <v>3166</v>
      </c>
      <c r="B3174" s="21">
        <f t="shared" ca="1" si="541"/>
        <v>7.7396894095686823</v>
      </c>
      <c r="C3174" s="21">
        <f t="shared" ca="1" si="546"/>
        <v>9690.49642128696</v>
      </c>
      <c r="D3174" s="21">
        <f t="shared" ca="1" si="542"/>
        <v>0.35925359343063706</v>
      </c>
      <c r="E3174" s="21">
        <f t="shared" ca="1" si="549"/>
        <v>0</v>
      </c>
      <c r="F3174" s="20" t="str">
        <f t="shared" ca="1" si="547"/>
        <v>Yes</v>
      </c>
      <c r="G3174" s="21">
        <f t="shared" ca="1" si="543"/>
        <v>1.7883459195072646</v>
      </c>
      <c r="H3174" s="21">
        <f t="shared" ca="1" si="544"/>
        <v>9690.49642128696</v>
      </c>
      <c r="I3174" s="21">
        <f t="shared" ca="1" si="539"/>
        <v>9690.8556748803912</v>
      </c>
      <c r="J3174" s="20">
        <f t="shared" ca="1" si="548"/>
        <v>0</v>
      </c>
      <c r="K3174" s="20">
        <f t="shared" ca="1" si="540"/>
        <v>0</v>
      </c>
      <c r="L3174" s="44">
        <f t="shared" ca="1" si="545"/>
        <v>0</v>
      </c>
    </row>
    <row r="3175" spans="1:12" x14ac:dyDescent="0.25">
      <c r="A3175" s="20">
        <v>3167</v>
      </c>
      <c r="B3175" s="21">
        <f t="shared" ca="1" si="541"/>
        <v>3.1437927859809283</v>
      </c>
      <c r="C3175" s="21">
        <f t="shared" ca="1" si="546"/>
        <v>9693.6402140729406</v>
      </c>
      <c r="D3175" s="21">
        <f t="shared" ca="1" si="542"/>
        <v>7.7722393569539125</v>
      </c>
      <c r="E3175" s="21">
        <f t="shared" ca="1" si="549"/>
        <v>0</v>
      </c>
      <c r="F3175" s="20" t="str">
        <f t="shared" ca="1" si="547"/>
        <v>Yes</v>
      </c>
      <c r="G3175" s="21">
        <f t="shared" ca="1" si="543"/>
        <v>2.7845391925493459</v>
      </c>
      <c r="H3175" s="21">
        <f t="shared" ca="1" si="544"/>
        <v>9693.6402140729406</v>
      </c>
      <c r="I3175" s="21">
        <f t="shared" ca="1" si="539"/>
        <v>9701.4124534298953</v>
      </c>
      <c r="J3175" s="20">
        <f t="shared" ca="1" si="548"/>
        <v>0</v>
      </c>
      <c r="K3175" s="20">
        <f t="shared" ca="1" si="540"/>
        <v>2</v>
      </c>
      <c r="L3175" s="44">
        <f t="shared" ca="1" si="545"/>
        <v>1</v>
      </c>
    </row>
    <row r="3176" spans="1:12" x14ac:dyDescent="0.25">
      <c r="A3176" s="20">
        <v>3168</v>
      </c>
      <c r="B3176" s="21">
        <f t="shared" ca="1" si="541"/>
        <v>6.9208377139438797</v>
      </c>
      <c r="C3176" s="21">
        <f t="shared" ca="1" si="546"/>
        <v>9700.5610517868845</v>
      </c>
      <c r="D3176" s="21">
        <f t="shared" ca="1" si="542"/>
        <v>0.57002155130322529</v>
      </c>
      <c r="E3176" s="21">
        <f t="shared" ca="1" si="549"/>
        <v>0.85140164301083132</v>
      </c>
      <c r="F3176" s="20" t="str">
        <f t="shared" ca="1" si="547"/>
        <v>No</v>
      </c>
      <c r="G3176" s="21">
        <f t="shared" ca="1" si="543"/>
        <v>0</v>
      </c>
      <c r="H3176" s="21">
        <f t="shared" ca="1" si="544"/>
        <v>9701.4124534298953</v>
      </c>
      <c r="I3176" s="21">
        <f t="shared" ca="1" si="539"/>
        <v>9701.9824749811978</v>
      </c>
      <c r="J3176" s="20">
        <f t="shared" ca="1" si="548"/>
        <v>3</v>
      </c>
      <c r="K3176" s="20">
        <f t="shared" ca="1" si="540"/>
        <v>2</v>
      </c>
      <c r="L3176" s="44">
        <f t="shared" ca="1" si="545"/>
        <v>2.5</v>
      </c>
    </row>
    <row r="3177" spans="1:12" x14ac:dyDescent="0.25">
      <c r="A3177" s="20">
        <v>3169</v>
      </c>
      <c r="B3177" s="21">
        <f t="shared" ca="1" si="541"/>
        <v>0.64346932014410529</v>
      </c>
      <c r="C3177" s="21">
        <f t="shared" ca="1" si="546"/>
        <v>9701.204521107029</v>
      </c>
      <c r="D3177" s="21">
        <f t="shared" ca="1" si="542"/>
        <v>5.9512074959358285</v>
      </c>
      <c r="E3177" s="21">
        <f t="shared" ca="1" si="549"/>
        <v>0.77795387416881567</v>
      </c>
      <c r="F3177" s="20" t="str">
        <f t="shared" ca="1" si="547"/>
        <v>No</v>
      </c>
      <c r="G3177" s="21">
        <f t="shared" ca="1" si="543"/>
        <v>0</v>
      </c>
      <c r="H3177" s="21">
        <f t="shared" ca="1" si="544"/>
        <v>9701.9824749811978</v>
      </c>
      <c r="I3177" s="21">
        <f t="shared" ca="1" si="539"/>
        <v>9707.9336824771344</v>
      </c>
      <c r="J3177" s="20">
        <f t="shared" ca="1" si="548"/>
        <v>3</v>
      </c>
      <c r="K3177" s="20">
        <f t="shared" ca="1" si="540"/>
        <v>3</v>
      </c>
      <c r="L3177" s="44">
        <f t="shared" ca="1" si="545"/>
        <v>3</v>
      </c>
    </row>
    <row r="3178" spans="1:12" x14ac:dyDescent="0.25">
      <c r="A3178" s="20">
        <v>3170</v>
      </c>
      <c r="B3178" s="21">
        <f t="shared" ca="1" si="541"/>
        <v>0.59611037274798218</v>
      </c>
      <c r="C3178" s="21">
        <f t="shared" ca="1" si="546"/>
        <v>9701.8006314797767</v>
      </c>
      <c r="D3178" s="21">
        <f t="shared" ca="1" si="542"/>
        <v>9.0961135857847459</v>
      </c>
      <c r="E3178" s="21">
        <f t="shared" ca="1" si="549"/>
        <v>6.1330509973577136</v>
      </c>
      <c r="F3178" s="20" t="str">
        <f t="shared" ca="1" si="547"/>
        <v>No</v>
      </c>
      <c r="G3178" s="21">
        <f t="shared" ca="1" si="543"/>
        <v>0</v>
      </c>
      <c r="H3178" s="21">
        <f t="shared" ca="1" si="544"/>
        <v>9707.9336824771344</v>
      </c>
      <c r="I3178" s="21">
        <f t="shared" ca="1" si="539"/>
        <v>9717.0297960629196</v>
      </c>
      <c r="J3178" s="20">
        <f t="shared" ca="1" si="548"/>
        <v>4</v>
      </c>
      <c r="K3178" s="20">
        <f t="shared" ca="1" si="540"/>
        <v>5</v>
      </c>
      <c r="L3178" s="44">
        <f t="shared" ca="1" si="545"/>
        <v>4.5</v>
      </c>
    </row>
    <row r="3179" spans="1:12" x14ac:dyDescent="0.25">
      <c r="A3179" s="20">
        <v>3171</v>
      </c>
      <c r="B3179" s="21">
        <f t="shared" ca="1" si="541"/>
        <v>1.1506369334360598</v>
      </c>
      <c r="C3179" s="21">
        <f t="shared" ca="1" si="546"/>
        <v>9702.9512684132133</v>
      </c>
      <c r="D3179" s="21">
        <f t="shared" ca="1" si="542"/>
        <v>3.2096561495205642</v>
      </c>
      <c r="E3179" s="21">
        <f t="shared" ca="1" si="549"/>
        <v>14.078527649706302</v>
      </c>
      <c r="F3179" s="20" t="str">
        <f t="shared" ca="1" si="547"/>
        <v>No</v>
      </c>
      <c r="G3179" s="21">
        <f t="shared" ca="1" si="543"/>
        <v>0</v>
      </c>
      <c r="H3179" s="21">
        <f t="shared" ca="1" si="544"/>
        <v>9717.0297960629196</v>
      </c>
      <c r="I3179" s="21">
        <f t="shared" ca="1" si="539"/>
        <v>9720.2394522124396</v>
      </c>
      <c r="J3179" s="20">
        <f t="shared" ca="1" si="548"/>
        <v>6</v>
      </c>
      <c r="K3179" s="20">
        <f t="shared" ca="1" si="540"/>
        <v>5</v>
      </c>
      <c r="L3179" s="44">
        <f t="shared" ca="1" si="545"/>
        <v>5.5</v>
      </c>
    </row>
    <row r="3180" spans="1:12" x14ac:dyDescent="0.25">
      <c r="A3180" s="20">
        <v>3172</v>
      </c>
      <c r="B3180" s="21">
        <f t="shared" ca="1" si="541"/>
        <v>1.0581941280723766</v>
      </c>
      <c r="C3180" s="21">
        <f t="shared" ca="1" si="546"/>
        <v>9704.0094625412858</v>
      </c>
      <c r="D3180" s="21">
        <f t="shared" ca="1" si="542"/>
        <v>5.6975474554363146</v>
      </c>
      <c r="E3180" s="21">
        <f t="shared" ca="1" si="549"/>
        <v>16.229989671153817</v>
      </c>
      <c r="F3180" s="20" t="str">
        <f t="shared" ca="1" si="547"/>
        <v>No</v>
      </c>
      <c r="G3180" s="21">
        <f t="shared" ca="1" si="543"/>
        <v>0</v>
      </c>
      <c r="H3180" s="21">
        <f t="shared" ca="1" si="544"/>
        <v>9720.2394522124396</v>
      </c>
      <c r="I3180" s="21">
        <f t="shared" ca="1" si="539"/>
        <v>9725.9369996678761</v>
      </c>
      <c r="J3180" s="20">
        <f t="shared" ca="1" si="548"/>
        <v>6</v>
      </c>
      <c r="K3180" s="20">
        <f t="shared" ca="1" si="540"/>
        <v>5</v>
      </c>
      <c r="L3180" s="44">
        <f t="shared" ca="1" si="545"/>
        <v>5.5</v>
      </c>
    </row>
    <row r="3181" spans="1:12" x14ac:dyDescent="0.25">
      <c r="A3181" s="20">
        <v>3173</v>
      </c>
      <c r="B3181" s="21">
        <f t="shared" ca="1" si="541"/>
        <v>6.3438074470928543</v>
      </c>
      <c r="C3181" s="21">
        <f t="shared" ca="1" si="546"/>
        <v>9710.3532699883781</v>
      </c>
      <c r="D3181" s="21">
        <f t="shared" ca="1" si="542"/>
        <v>1.4413113179729347</v>
      </c>
      <c r="E3181" s="21">
        <f t="shared" ca="1" si="549"/>
        <v>15.583729679497992</v>
      </c>
      <c r="F3181" s="20" t="str">
        <f t="shared" ca="1" si="547"/>
        <v>No</v>
      </c>
      <c r="G3181" s="21">
        <f t="shared" ca="1" si="543"/>
        <v>0</v>
      </c>
      <c r="H3181" s="21">
        <f t="shared" ca="1" si="544"/>
        <v>9725.9369996678761</v>
      </c>
      <c r="I3181" s="21">
        <f t="shared" ca="1" si="539"/>
        <v>9727.3783109858487</v>
      </c>
      <c r="J3181" s="20">
        <f t="shared" ca="1" si="548"/>
        <v>6</v>
      </c>
      <c r="K3181" s="20">
        <f t="shared" ca="1" si="540"/>
        <v>5</v>
      </c>
      <c r="L3181" s="44">
        <f t="shared" ca="1" si="545"/>
        <v>5.5</v>
      </c>
    </row>
    <row r="3182" spans="1:12" x14ac:dyDescent="0.25">
      <c r="A3182" s="20">
        <v>3174</v>
      </c>
      <c r="B3182" s="21">
        <f t="shared" ca="1" si="541"/>
        <v>6.973359250004485E-2</v>
      </c>
      <c r="C3182" s="21">
        <f t="shared" ca="1" si="546"/>
        <v>9710.4230035808778</v>
      </c>
      <c r="D3182" s="21">
        <f t="shared" ca="1" si="542"/>
        <v>1.7882700368224205</v>
      </c>
      <c r="E3182" s="21">
        <f t="shared" ca="1" si="549"/>
        <v>16.955307404970881</v>
      </c>
      <c r="F3182" s="20" t="str">
        <f t="shared" ca="1" si="547"/>
        <v>No</v>
      </c>
      <c r="G3182" s="21">
        <f t="shared" ca="1" si="543"/>
        <v>0</v>
      </c>
      <c r="H3182" s="21">
        <f t="shared" ca="1" si="544"/>
        <v>9727.3783109858487</v>
      </c>
      <c r="I3182" s="21">
        <f t="shared" ca="1" si="539"/>
        <v>9729.1665810226714</v>
      </c>
      <c r="J3182" s="20">
        <f t="shared" ca="1" si="548"/>
        <v>6</v>
      </c>
      <c r="K3182" s="20">
        <f t="shared" ca="1" si="540"/>
        <v>5</v>
      </c>
      <c r="L3182" s="44">
        <f t="shared" ca="1" si="545"/>
        <v>5.5</v>
      </c>
    </row>
    <row r="3183" spans="1:12" x14ac:dyDescent="0.25">
      <c r="A3183" s="20">
        <v>3175</v>
      </c>
      <c r="B3183" s="21">
        <f t="shared" ca="1" si="541"/>
        <v>1.2060175503879127</v>
      </c>
      <c r="C3183" s="21">
        <f t="shared" ca="1" si="546"/>
        <v>9711.6290211312662</v>
      </c>
      <c r="D3183" s="21">
        <f t="shared" ca="1" si="542"/>
        <v>1.5462652003399768</v>
      </c>
      <c r="E3183" s="21">
        <f t="shared" ca="1" si="549"/>
        <v>17.537559891405181</v>
      </c>
      <c r="F3183" s="20" t="str">
        <f t="shared" ca="1" si="547"/>
        <v>No</v>
      </c>
      <c r="G3183" s="21">
        <f t="shared" ca="1" si="543"/>
        <v>0</v>
      </c>
      <c r="H3183" s="21">
        <f t="shared" ca="1" si="544"/>
        <v>9729.1665810226714</v>
      </c>
      <c r="I3183" s="21">
        <f t="shared" ca="1" si="539"/>
        <v>9730.7128462230121</v>
      </c>
      <c r="J3183" s="20">
        <f t="shared" ca="1" si="548"/>
        <v>6</v>
      </c>
      <c r="K3183" s="20">
        <f t="shared" ca="1" si="540"/>
        <v>5</v>
      </c>
      <c r="L3183" s="44">
        <f t="shared" ca="1" si="545"/>
        <v>5.5</v>
      </c>
    </row>
    <row r="3184" spans="1:12" x14ac:dyDescent="0.25">
      <c r="A3184" s="20">
        <v>3176</v>
      </c>
      <c r="B3184" s="21">
        <f t="shared" ca="1" si="541"/>
        <v>3.3003534606714533</v>
      </c>
      <c r="C3184" s="21">
        <f t="shared" ca="1" si="546"/>
        <v>9714.9293745919385</v>
      </c>
      <c r="D3184" s="21">
        <f t="shared" ca="1" si="542"/>
        <v>11.45452996716282</v>
      </c>
      <c r="E3184" s="21">
        <f t="shared" ca="1" si="549"/>
        <v>15.783471631073553</v>
      </c>
      <c r="F3184" s="20" t="str">
        <f t="shared" ca="1" si="547"/>
        <v>No</v>
      </c>
      <c r="G3184" s="21">
        <f t="shared" ca="1" si="543"/>
        <v>0</v>
      </c>
      <c r="H3184" s="21">
        <f t="shared" ca="1" si="544"/>
        <v>9730.7128462230121</v>
      </c>
      <c r="I3184" s="21">
        <f t="shared" ca="1" si="539"/>
        <v>9742.1673761901748</v>
      </c>
      <c r="J3184" s="20">
        <f t="shared" ca="1" si="548"/>
        <v>6</v>
      </c>
      <c r="K3184" s="20">
        <f t="shared" ca="1" si="540"/>
        <v>5</v>
      </c>
      <c r="L3184" s="44">
        <f t="shared" ca="1" si="545"/>
        <v>5.5</v>
      </c>
    </row>
    <row r="3185" spans="1:12" x14ac:dyDescent="0.25">
      <c r="A3185" s="20">
        <v>3177</v>
      </c>
      <c r="B3185" s="21">
        <f t="shared" ca="1" si="541"/>
        <v>0.6628812965726727</v>
      </c>
      <c r="C3185" s="21">
        <f t="shared" ca="1" si="546"/>
        <v>9715.5922558885104</v>
      </c>
      <c r="D3185" s="21">
        <f t="shared" ca="1" si="542"/>
        <v>0.10656896381313384</v>
      </c>
      <c r="E3185" s="21">
        <f t="shared" ca="1" si="549"/>
        <v>26.575120301664356</v>
      </c>
      <c r="F3185" s="20" t="str">
        <f t="shared" ca="1" si="547"/>
        <v>No</v>
      </c>
      <c r="G3185" s="21">
        <f t="shared" ca="1" si="543"/>
        <v>0</v>
      </c>
      <c r="H3185" s="21">
        <f t="shared" ca="1" si="544"/>
        <v>9742.1673761901748</v>
      </c>
      <c r="I3185" s="21">
        <f t="shared" ca="1" si="539"/>
        <v>9742.2739451539874</v>
      </c>
      <c r="J3185" s="20">
        <f t="shared" ca="1" si="548"/>
        <v>6</v>
      </c>
      <c r="K3185" s="20">
        <f t="shared" ca="1" si="540"/>
        <v>4</v>
      </c>
      <c r="L3185" s="44">
        <f t="shared" ca="1" si="545"/>
        <v>5</v>
      </c>
    </row>
    <row r="3186" spans="1:12" x14ac:dyDescent="0.25">
      <c r="A3186" s="20">
        <v>3178</v>
      </c>
      <c r="B3186" s="21">
        <f t="shared" ca="1" si="541"/>
        <v>1.6900886711175889</v>
      </c>
      <c r="C3186" s="21">
        <f t="shared" ca="1" si="546"/>
        <v>9717.2823445596277</v>
      </c>
      <c r="D3186" s="21">
        <f t="shared" ca="1" si="542"/>
        <v>0.89732457026407864</v>
      </c>
      <c r="E3186" s="21">
        <f t="shared" ca="1" si="549"/>
        <v>24.991600594359625</v>
      </c>
      <c r="F3186" s="20" t="str">
        <f t="shared" ca="1" si="547"/>
        <v>No</v>
      </c>
      <c r="G3186" s="21">
        <f t="shared" ca="1" si="543"/>
        <v>0</v>
      </c>
      <c r="H3186" s="21">
        <f t="shared" ca="1" si="544"/>
        <v>9742.2739451539874</v>
      </c>
      <c r="I3186" s="21">
        <f t="shared" ca="1" si="539"/>
        <v>9743.171269724251</v>
      </c>
      <c r="J3186" s="20">
        <f t="shared" ca="1" si="548"/>
        <v>5</v>
      </c>
      <c r="K3186" s="20">
        <f t="shared" ca="1" si="540"/>
        <v>3</v>
      </c>
      <c r="L3186" s="44">
        <f t="shared" ca="1" si="545"/>
        <v>4</v>
      </c>
    </row>
    <row r="3187" spans="1:12" x14ac:dyDescent="0.25">
      <c r="A3187" s="20">
        <v>3179</v>
      </c>
      <c r="B3187" s="21">
        <f t="shared" ca="1" si="541"/>
        <v>6.5746617800172418</v>
      </c>
      <c r="C3187" s="21">
        <f t="shared" ca="1" si="546"/>
        <v>9723.8570063396455</v>
      </c>
      <c r="D3187" s="21">
        <f t="shared" ca="1" si="542"/>
        <v>1.1530866162075157</v>
      </c>
      <c r="E3187" s="21">
        <f t="shared" ca="1" si="549"/>
        <v>19.314263384605511</v>
      </c>
      <c r="F3187" s="20" t="str">
        <f t="shared" ca="1" si="547"/>
        <v>No</v>
      </c>
      <c r="G3187" s="21">
        <f t="shared" ca="1" si="543"/>
        <v>0</v>
      </c>
      <c r="H3187" s="21">
        <f t="shared" ca="1" si="544"/>
        <v>9743.171269724251</v>
      </c>
      <c r="I3187" s="21">
        <f t="shared" ca="1" si="539"/>
        <v>9744.3243563404594</v>
      </c>
      <c r="J3187" s="20">
        <f t="shared" ca="1" si="548"/>
        <v>4</v>
      </c>
      <c r="K3187" s="20">
        <f t="shared" ca="1" si="540"/>
        <v>2</v>
      </c>
      <c r="L3187" s="44">
        <f t="shared" ca="1" si="545"/>
        <v>3</v>
      </c>
    </row>
    <row r="3188" spans="1:12" x14ac:dyDescent="0.25">
      <c r="A3188" s="20">
        <v>3180</v>
      </c>
      <c r="B3188" s="21">
        <f t="shared" ca="1" si="541"/>
        <v>3.7633484031705171</v>
      </c>
      <c r="C3188" s="21">
        <f t="shared" ca="1" si="546"/>
        <v>9727.6203547428158</v>
      </c>
      <c r="D3188" s="21">
        <f t="shared" ca="1" si="542"/>
        <v>1.3133253646299539</v>
      </c>
      <c r="E3188" s="21">
        <f t="shared" ca="1" si="549"/>
        <v>16.704001597643582</v>
      </c>
      <c r="F3188" s="20" t="str">
        <f t="shared" ca="1" si="547"/>
        <v>No</v>
      </c>
      <c r="G3188" s="21">
        <f t="shared" ca="1" si="543"/>
        <v>0</v>
      </c>
      <c r="H3188" s="21">
        <f t="shared" ca="1" si="544"/>
        <v>9744.3243563404594</v>
      </c>
      <c r="I3188" s="21">
        <f t="shared" ca="1" si="539"/>
        <v>9745.6376817050896</v>
      </c>
      <c r="J3188" s="20">
        <f t="shared" ca="1" si="548"/>
        <v>3</v>
      </c>
      <c r="K3188" s="20">
        <f t="shared" ca="1" si="540"/>
        <v>1</v>
      </c>
      <c r="L3188" s="44">
        <f t="shared" ca="1" si="545"/>
        <v>2</v>
      </c>
    </row>
    <row r="3189" spans="1:12" x14ac:dyDescent="0.25">
      <c r="A3189" s="20">
        <v>3181</v>
      </c>
      <c r="B3189" s="21">
        <f t="shared" ca="1" si="541"/>
        <v>2.6436956480981184</v>
      </c>
      <c r="C3189" s="21">
        <f t="shared" ca="1" si="546"/>
        <v>9730.2640503909133</v>
      </c>
      <c r="D3189" s="21">
        <f t="shared" ca="1" si="542"/>
        <v>1.6555242641074963</v>
      </c>
      <c r="E3189" s="21">
        <f t="shared" ca="1" si="549"/>
        <v>15.373631314176237</v>
      </c>
      <c r="F3189" s="20" t="str">
        <f t="shared" ca="1" si="547"/>
        <v>No</v>
      </c>
      <c r="G3189" s="21">
        <f t="shared" ca="1" si="543"/>
        <v>0</v>
      </c>
      <c r="H3189" s="21">
        <f t="shared" ca="1" si="544"/>
        <v>9745.6376817050896</v>
      </c>
      <c r="I3189" s="21">
        <f t="shared" ca="1" si="539"/>
        <v>9747.2932059691975</v>
      </c>
      <c r="J3189" s="20">
        <f t="shared" ca="1" si="548"/>
        <v>2</v>
      </c>
      <c r="K3189" s="20">
        <f t="shared" ca="1" si="540"/>
        <v>0</v>
      </c>
      <c r="L3189" s="44">
        <f t="shared" ca="1" si="545"/>
        <v>1</v>
      </c>
    </row>
    <row r="3190" spans="1:12" x14ac:dyDescent="0.25">
      <c r="A3190" s="20">
        <v>3182</v>
      </c>
      <c r="B3190" s="21">
        <f t="shared" ca="1" si="541"/>
        <v>24.380859017930128</v>
      </c>
      <c r="C3190" s="21">
        <f t="shared" ca="1" si="546"/>
        <v>9754.6449094088439</v>
      </c>
      <c r="D3190" s="21">
        <f t="shared" ca="1" si="542"/>
        <v>6.0846881891771138</v>
      </c>
      <c r="E3190" s="21">
        <f t="shared" ca="1" si="549"/>
        <v>0</v>
      </c>
      <c r="F3190" s="20" t="str">
        <f t="shared" ca="1" si="547"/>
        <v>Yes</v>
      </c>
      <c r="G3190" s="21">
        <f t="shared" ca="1" si="543"/>
        <v>7.3517034396463714</v>
      </c>
      <c r="H3190" s="21">
        <f t="shared" ca="1" si="544"/>
        <v>9754.6449094088439</v>
      </c>
      <c r="I3190" s="21">
        <f t="shared" ca="1" si="539"/>
        <v>9760.7295975980214</v>
      </c>
      <c r="J3190" s="20">
        <f t="shared" ca="1" si="548"/>
        <v>0</v>
      </c>
      <c r="K3190" s="20">
        <f t="shared" ca="1" si="540"/>
        <v>1</v>
      </c>
      <c r="L3190" s="44">
        <f t="shared" ca="1" si="545"/>
        <v>0.5</v>
      </c>
    </row>
    <row r="3191" spans="1:12" x14ac:dyDescent="0.25">
      <c r="A3191" s="20">
        <v>3183</v>
      </c>
      <c r="B3191" s="21">
        <f t="shared" ca="1" si="541"/>
        <v>0.276371256331434</v>
      </c>
      <c r="C3191" s="21">
        <f t="shared" ca="1" si="546"/>
        <v>9754.9212806651758</v>
      </c>
      <c r="D3191" s="21">
        <f t="shared" ca="1" si="542"/>
        <v>0.71520086931484594</v>
      </c>
      <c r="E3191" s="21">
        <f t="shared" ca="1" si="549"/>
        <v>5.8083169328456279</v>
      </c>
      <c r="F3191" s="20" t="str">
        <f t="shared" ca="1" si="547"/>
        <v>No</v>
      </c>
      <c r="G3191" s="21">
        <f t="shared" ca="1" si="543"/>
        <v>0</v>
      </c>
      <c r="H3191" s="21">
        <f t="shared" ca="1" si="544"/>
        <v>9760.7295975980214</v>
      </c>
      <c r="I3191" s="21">
        <f t="shared" ca="1" si="539"/>
        <v>9761.444798467337</v>
      </c>
      <c r="J3191" s="20">
        <f t="shared" ca="1" si="548"/>
        <v>2</v>
      </c>
      <c r="K3191" s="20">
        <f t="shared" ca="1" si="540"/>
        <v>0</v>
      </c>
      <c r="L3191" s="44">
        <f t="shared" ca="1" si="545"/>
        <v>1</v>
      </c>
    </row>
    <row r="3192" spans="1:12" x14ac:dyDescent="0.25">
      <c r="A3192" s="20">
        <v>3184</v>
      </c>
      <c r="B3192" s="21">
        <f t="shared" ca="1" si="541"/>
        <v>19.604142069227752</v>
      </c>
      <c r="C3192" s="21">
        <f t="shared" ca="1" si="546"/>
        <v>9774.525422734403</v>
      </c>
      <c r="D3192" s="21">
        <f t="shared" ca="1" si="542"/>
        <v>0.1976898907043608</v>
      </c>
      <c r="E3192" s="21">
        <f t="shared" ca="1" si="549"/>
        <v>0</v>
      </c>
      <c r="F3192" s="20" t="str">
        <f t="shared" ca="1" si="547"/>
        <v>Yes</v>
      </c>
      <c r="G3192" s="21">
        <f t="shared" ca="1" si="543"/>
        <v>13.080624267066014</v>
      </c>
      <c r="H3192" s="21">
        <f t="shared" ca="1" si="544"/>
        <v>9774.525422734403</v>
      </c>
      <c r="I3192" s="21">
        <f t="shared" ca="1" si="539"/>
        <v>9774.7231126251081</v>
      </c>
      <c r="J3192" s="20">
        <f t="shared" ca="1" si="548"/>
        <v>0</v>
      </c>
      <c r="K3192" s="20">
        <f t="shared" ca="1" si="540"/>
        <v>0</v>
      </c>
      <c r="L3192" s="44">
        <f t="shared" ca="1" si="545"/>
        <v>0</v>
      </c>
    </row>
    <row r="3193" spans="1:12" x14ac:dyDescent="0.25">
      <c r="A3193" s="20">
        <v>3185</v>
      </c>
      <c r="B3193" s="21">
        <f t="shared" ca="1" si="541"/>
        <v>1.3153762777845743</v>
      </c>
      <c r="C3193" s="21">
        <f t="shared" ca="1" si="546"/>
        <v>9775.8407990121868</v>
      </c>
      <c r="D3193" s="21">
        <f t="shared" ca="1" si="542"/>
        <v>5.8679562425212994</v>
      </c>
      <c r="E3193" s="21">
        <f t="shared" ca="1" si="549"/>
        <v>0</v>
      </c>
      <c r="F3193" s="20" t="str">
        <f t="shared" ca="1" si="547"/>
        <v>Yes</v>
      </c>
      <c r="G3193" s="21">
        <f t="shared" ca="1" si="543"/>
        <v>1.1176863870787201</v>
      </c>
      <c r="H3193" s="21">
        <f t="shared" ca="1" si="544"/>
        <v>9775.8407990121868</v>
      </c>
      <c r="I3193" s="21">
        <f t="shared" ca="1" si="539"/>
        <v>9781.7087552547073</v>
      </c>
      <c r="J3193" s="20">
        <f t="shared" ca="1" si="548"/>
        <v>0</v>
      </c>
      <c r="K3193" s="20">
        <f t="shared" ca="1" si="540"/>
        <v>2</v>
      </c>
      <c r="L3193" s="44">
        <f t="shared" ca="1" si="545"/>
        <v>1</v>
      </c>
    </row>
    <row r="3194" spans="1:12" x14ac:dyDescent="0.25">
      <c r="A3194" s="20">
        <v>3186</v>
      </c>
      <c r="B3194" s="21">
        <f t="shared" ca="1" si="541"/>
        <v>1.5743413326487548</v>
      </c>
      <c r="C3194" s="21">
        <f t="shared" ca="1" si="546"/>
        <v>9777.4151403448359</v>
      </c>
      <c r="D3194" s="21">
        <f t="shared" ca="1" si="542"/>
        <v>4.7055370944207535</v>
      </c>
      <c r="E3194" s="21">
        <f t="shared" ca="1" si="549"/>
        <v>4.293614909871394</v>
      </c>
      <c r="F3194" s="20" t="str">
        <f t="shared" ca="1" si="547"/>
        <v>No</v>
      </c>
      <c r="G3194" s="21">
        <f t="shared" ca="1" si="543"/>
        <v>0</v>
      </c>
      <c r="H3194" s="21">
        <f t="shared" ca="1" si="544"/>
        <v>9781.7087552547073</v>
      </c>
      <c r="I3194" s="21">
        <f t="shared" ca="1" si="539"/>
        <v>9786.4142923491272</v>
      </c>
      <c r="J3194" s="20">
        <f t="shared" ca="1" si="548"/>
        <v>3</v>
      </c>
      <c r="K3194" s="20">
        <f t="shared" ca="1" si="540"/>
        <v>2</v>
      </c>
      <c r="L3194" s="44">
        <f t="shared" ca="1" si="545"/>
        <v>2.5</v>
      </c>
    </row>
    <row r="3195" spans="1:12" x14ac:dyDescent="0.25">
      <c r="A3195" s="20">
        <v>3187</v>
      </c>
      <c r="B3195" s="21">
        <f t="shared" ca="1" si="541"/>
        <v>3.9037119803940787</v>
      </c>
      <c r="C3195" s="21">
        <f t="shared" ca="1" si="546"/>
        <v>9781.3188523252302</v>
      </c>
      <c r="D3195" s="21">
        <f t="shared" ca="1" si="542"/>
        <v>0.39336873002046668</v>
      </c>
      <c r="E3195" s="21">
        <f t="shared" ca="1" si="549"/>
        <v>5.0954400238970265</v>
      </c>
      <c r="F3195" s="20" t="str">
        <f t="shared" ca="1" si="547"/>
        <v>No</v>
      </c>
      <c r="G3195" s="21">
        <f t="shared" ca="1" si="543"/>
        <v>0</v>
      </c>
      <c r="H3195" s="21">
        <f t="shared" ca="1" si="544"/>
        <v>9786.4142923491272</v>
      </c>
      <c r="I3195" s="21">
        <f t="shared" ca="1" si="539"/>
        <v>9786.8076610791468</v>
      </c>
      <c r="J3195" s="20">
        <f t="shared" ca="1" si="548"/>
        <v>3</v>
      </c>
      <c r="K3195" s="20">
        <f t="shared" ca="1" si="540"/>
        <v>1</v>
      </c>
      <c r="L3195" s="44">
        <f t="shared" ca="1" si="545"/>
        <v>2</v>
      </c>
    </row>
    <row r="3196" spans="1:12" x14ac:dyDescent="0.25">
      <c r="A3196" s="20">
        <v>3188</v>
      </c>
      <c r="B3196" s="21">
        <f t="shared" ca="1" si="541"/>
        <v>4.1941564451870939</v>
      </c>
      <c r="C3196" s="21">
        <f t="shared" ca="1" si="546"/>
        <v>9785.5130087704165</v>
      </c>
      <c r="D3196" s="21">
        <f t="shared" ca="1" si="542"/>
        <v>1.5519295216580138</v>
      </c>
      <c r="E3196" s="21">
        <f t="shared" ca="1" si="549"/>
        <v>1.2946523087302921</v>
      </c>
      <c r="F3196" s="20" t="str">
        <f t="shared" ca="1" si="547"/>
        <v>No</v>
      </c>
      <c r="G3196" s="21">
        <f t="shared" ca="1" si="543"/>
        <v>0</v>
      </c>
      <c r="H3196" s="21">
        <f t="shared" ca="1" si="544"/>
        <v>9786.8076610791468</v>
      </c>
      <c r="I3196" s="21">
        <f t="shared" ca="1" si="539"/>
        <v>9788.3595906008049</v>
      </c>
      <c r="J3196" s="20">
        <f t="shared" ca="1" si="548"/>
        <v>2</v>
      </c>
      <c r="K3196" s="20">
        <f t="shared" ca="1" si="540"/>
        <v>0</v>
      </c>
      <c r="L3196" s="44">
        <f t="shared" ca="1" si="545"/>
        <v>1</v>
      </c>
    </row>
    <row r="3197" spans="1:12" x14ac:dyDescent="0.25">
      <c r="A3197" s="20">
        <v>3189</v>
      </c>
      <c r="B3197" s="21">
        <f t="shared" ca="1" si="541"/>
        <v>5.187101493858659</v>
      </c>
      <c r="C3197" s="21">
        <f t="shared" ca="1" si="546"/>
        <v>9790.7001102642753</v>
      </c>
      <c r="D3197" s="21">
        <f t="shared" ca="1" si="542"/>
        <v>1.8573618906967051</v>
      </c>
      <c r="E3197" s="21">
        <f t="shared" ca="1" si="549"/>
        <v>0</v>
      </c>
      <c r="F3197" s="20" t="str">
        <f t="shared" ca="1" si="547"/>
        <v>Yes</v>
      </c>
      <c r="G3197" s="21">
        <f t="shared" ca="1" si="543"/>
        <v>2.3405196634703316</v>
      </c>
      <c r="H3197" s="21">
        <f t="shared" ca="1" si="544"/>
        <v>9790.7001102642753</v>
      </c>
      <c r="I3197" s="21">
        <f t="shared" ca="1" si="539"/>
        <v>9792.5574721549729</v>
      </c>
      <c r="J3197" s="20">
        <f t="shared" ca="1" si="548"/>
        <v>0</v>
      </c>
      <c r="K3197" s="20">
        <f t="shared" ca="1" si="540"/>
        <v>0</v>
      </c>
      <c r="L3197" s="44">
        <f t="shared" ca="1" si="545"/>
        <v>0</v>
      </c>
    </row>
    <row r="3198" spans="1:12" x14ac:dyDescent="0.25">
      <c r="A3198" s="20">
        <v>3190</v>
      </c>
      <c r="B3198" s="21">
        <f t="shared" ca="1" si="541"/>
        <v>3.5708397003641199</v>
      </c>
      <c r="C3198" s="21">
        <f t="shared" ca="1" si="546"/>
        <v>9794.2709499646389</v>
      </c>
      <c r="D3198" s="21">
        <f t="shared" ca="1" si="542"/>
        <v>0.57770453728793802</v>
      </c>
      <c r="E3198" s="21">
        <f t="shared" ca="1" si="549"/>
        <v>0</v>
      </c>
      <c r="F3198" s="20" t="str">
        <f t="shared" ca="1" si="547"/>
        <v>Yes</v>
      </c>
      <c r="G3198" s="21">
        <f t="shared" ca="1" si="543"/>
        <v>1.7134778096660739</v>
      </c>
      <c r="H3198" s="21">
        <f t="shared" ca="1" si="544"/>
        <v>9794.2709499646389</v>
      </c>
      <c r="I3198" s="21">
        <f t="shared" ca="1" si="539"/>
        <v>9794.8486545019277</v>
      </c>
      <c r="J3198" s="20">
        <f t="shared" ca="1" si="548"/>
        <v>0</v>
      </c>
      <c r="K3198" s="20">
        <f t="shared" ca="1" si="540"/>
        <v>0</v>
      </c>
      <c r="L3198" s="44">
        <f t="shared" ca="1" si="545"/>
        <v>0</v>
      </c>
    </row>
    <row r="3199" spans="1:12" x14ac:dyDescent="0.25">
      <c r="A3199" s="20">
        <v>3191</v>
      </c>
      <c r="B3199" s="21">
        <f t="shared" ca="1" si="541"/>
        <v>6.64820017291495</v>
      </c>
      <c r="C3199" s="21">
        <f t="shared" ca="1" si="546"/>
        <v>9800.9191501375535</v>
      </c>
      <c r="D3199" s="21">
        <f t="shared" ca="1" si="542"/>
        <v>4.3748854940616226</v>
      </c>
      <c r="E3199" s="21">
        <f t="shared" ca="1" si="549"/>
        <v>0</v>
      </c>
      <c r="F3199" s="20" t="str">
        <f t="shared" ca="1" si="547"/>
        <v>Yes</v>
      </c>
      <c r="G3199" s="21">
        <f t="shared" ca="1" si="543"/>
        <v>6.0704956356257753</v>
      </c>
      <c r="H3199" s="21">
        <f t="shared" ca="1" si="544"/>
        <v>9800.9191501375535</v>
      </c>
      <c r="I3199" s="21">
        <f t="shared" ca="1" si="539"/>
        <v>9805.2940356316158</v>
      </c>
      <c r="J3199" s="20">
        <f t="shared" ca="1" si="548"/>
        <v>0</v>
      </c>
      <c r="K3199" s="20">
        <f t="shared" ca="1" si="540"/>
        <v>5</v>
      </c>
      <c r="L3199" s="44">
        <f t="shared" ca="1" si="545"/>
        <v>2.5</v>
      </c>
    </row>
    <row r="3200" spans="1:12" x14ac:dyDescent="0.25">
      <c r="A3200" s="20">
        <v>3192</v>
      </c>
      <c r="B3200" s="21">
        <f t="shared" ca="1" si="541"/>
        <v>0.90052377059937283</v>
      </c>
      <c r="C3200" s="21">
        <f t="shared" ca="1" si="546"/>
        <v>9801.8196739081523</v>
      </c>
      <c r="D3200" s="21">
        <f t="shared" ca="1" si="542"/>
        <v>1.7926341783573454</v>
      </c>
      <c r="E3200" s="21">
        <f t="shared" ca="1" si="549"/>
        <v>3.4743617234635167</v>
      </c>
      <c r="F3200" s="20" t="str">
        <f t="shared" ca="1" si="547"/>
        <v>No</v>
      </c>
      <c r="G3200" s="21">
        <f t="shared" ca="1" si="543"/>
        <v>0</v>
      </c>
      <c r="H3200" s="21">
        <f t="shared" ca="1" si="544"/>
        <v>9805.2940356316158</v>
      </c>
      <c r="I3200" s="21">
        <f t="shared" ca="1" si="539"/>
        <v>9807.0866698099726</v>
      </c>
      <c r="J3200" s="20">
        <f t="shared" ca="1" si="548"/>
        <v>6</v>
      </c>
      <c r="K3200" s="20">
        <f t="shared" ca="1" si="540"/>
        <v>5</v>
      </c>
      <c r="L3200" s="44">
        <f t="shared" ca="1" si="545"/>
        <v>5.5</v>
      </c>
    </row>
    <row r="3201" spans="1:12" x14ac:dyDescent="0.25">
      <c r="A3201" s="20">
        <v>3193</v>
      </c>
      <c r="B3201" s="21">
        <f t="shared" ca="1" si="541"/>
        <v>0.41925132721378028</v>
      </c>
      <c r="C3201" s="21">
        <f t="shared" ca="1" si="546"/>
        <v>9802.238925235366</v>
      </c>
      <c r="D3201" s="21">
        <f t="shared" ca="1" si="542"/>
        <v>1.1590437471870041</v>
      </c>
      <c r="E3201" s="21">
        <f t="shared" ca="1" si="549"/>
        <v>4.8477445746066223</v>
      </c>
      <c r="F3201" s="20" t="str">
        <f t="shared" ca="1" si="547"/>
        <v>No</v>
      </c>
      <c r="G3201" s="21">
        <f t="shared" ca="1" si="543"/>
        <v>0</v>
      </c>
      <c r="H3201" s="21">
        <f t="shared" ca="1" si="544"/>
        <v>9807.0866698099726</v>
      </c>
      <c r="I3201" s="21">
        <f t="shared" ca="1" si="539"/>
        <v>9808.2457135571603</v>
      </c>
      <c r="J3201" s="20">
        <f t="shared" ca="1" si="548"/>
        <v>6</v>
      </c>
      <c r="K3201" s="20">
        <f t="shared" ca="1" si="540"/>
        <v>5</v>
      </c>
      <c r="L3201" s="44">
        <f t="shared" ca="1" si="545"/>
        <v>5.5</v>
      </c>
    </row>
    <row r="3202" spans="1:12" x14ac:dyDescent="0.25">
      <c r="A3202" s="20">
        <v>3194</v>
      </c>
      <c r="B3202" s="21">
        <f t="shared" ca="1" si="541"/>
        <v>5.1616762103049253E-2</v>
      </c>
      <c r="C3202" s="21">
        <f t="shared" ca="1" si="546"/>
        <v>9802.2905419974686</v>
      </c>
      <c r="D3202" s="21">
        <f t="shared" ca="1" si="542"/>
        <v>0.3368864615784094</v>
      </c>
      <c r="E3202" s="21">
        <f t="shared" ca="1" si="549"/>
        <v>5.9551715596917347</v>
      </c>
      <c r="F3202" s="20" t="str">
        <f t="shared" ca="1" si="547"/>
        <v>No</v>
      </c>
      <c r="G3202" s="21">
        <f t="shared" ca="1" si="543"/>
        <v>0</v>
      </c>
      <c r="H3202" s="21">
        <f t="shared" ca="1" si="544"/>
        <v>9808.2457135571603</v>
      </c>
      <c r="I3202" s="21">
        <f t="shared" ca="1" si="539"/>
        <v>9808.582600018739</v>
      </c>
      <c r="J3202" s="20">
        <f t="shared" ca="1" si="548"/>
        <v>6</v>
      </c>
      <c r="K3202" s="20">
        <f t="shared" ca="1" si="540"/>
        <v>5</v>
      </c>
      <c r="L3202" s="44">
        <f t="shared" ca="1" si="545"/>
        <v>5.5</v>
      </c>
    </row>
    <row r="3203" spans="1:12" x14ac:dyDescent="0.25">
      <c r="A3203" s="20">
        <v>3195</v>
      </c>
      <c r="B3203" s="21">
        <f t="shared" ca="1" si="541"/>
        <v>0.41743918562687266</v>
      </c>
      <c r="C3203" s="21">
        <f t="shared" ca="1" si="546"/>
        <v>9802.7079811830954</v>
      </c>
      <c r="D3203" s="21">
        <f t="shared" ca="1" si="542"/>
        <v>5.0913379009524178</v>
      </c>
      <c r="E3203" s="21">
        <f t="shared" ca="1" si="549"/>
        <v>5.8746188356435596</v>
      </c>
      <c r="F3203" s="20" t="str">
        <f t="shared" ca="1" si="547"/>
        <v>No</v>
      </c>
      <c r="G3203" s="21">
        <f t="shared" ca="1" si="543"/>
        <v>0</v>
      </c>
      <c r="H3203" s="21">
        <f t="shared" ca="1" si="544"/>
        <v>9808.582600018739</v>
      </c>
      <c r="I3203" s="21">
        <f t="shared" ca="1" si="539"/>
        <v>9813.6739379196915</v>
      </c>
      <c r="J3203" s="20">
        <f t="shared" ca="1" si="548"/>
        <v>6</v>
      </c>
      <c r="K3203" s="20">
        <f t="shared" ca="1" si="540"/>
        <v>5</v>
      </c>
      <c r="L3203" s="44">
        <f t="shared" ca="1" si="545"/>
        <v>5.5</v>
      </c>
    </row>
    <row r="3204" spans="1:12" x14ac:dyDescent="0.25">
      <c r="A3204" s="20">
        <v>3196</v>
      </c>
      <c r="B3204" s="21">
        <f t="shared" ca="1" si="541"/>
        <v>0.69114537890945915</v>
      </c>
      <c r="C3204" s="21">
        <f t="shared" ca="1" si="546"/>
        <v>9803.3991265620043</v>
      </c>
      <c r="D3204" s="21">
        <f t="shared" ca="1" si="542"/>
        <v>0.82956431769184003</v>
      </c>
      <c r="E3204" s="21">
        <f t="shared" ca="1" si="549"/>
        <v>10.274811357687213</v>
      </c>
      <c r="F3204" s="20" t="str">
        <f t="shared" ca="1" si="547"/>
        <v>No</v>
      </c>
      <c r="G3204" s="21">
        <f t="shared" ca="1" si="543"/>
        <v>0</v>
      </c>
      <c r="H3204" s="21">
        <f t="shared" ca="1" si="544"/>
        <v>9813.6739379196915</v>
      </c>
      <c r="I3204" s="21">
        <f t="shared" ca="1" si="539"/>
        <v>9814.5035022373831</v>
      </c>
      <c r="J3204" s="20">
        <f t="shared" ca="1" si="548"/>
        <v>6</v>
      </c>
      <c r="K3204" s="20">
        <f t="shared" ca="1" si="540"/>
        <v>5</v>
      </c>
      <c r="L3204" s="44">
        <f t="shared" ca="1" si="545"/>
        <v>5.5</v>
      </c>
    </row>
    <row r="3205" spans="1:12" x14ac:dyDescent="0.25">
      <c r="A3205" s="20">
        <v>3197</v>
      </c>
      <c r="B3205" s="21">
        <f t="shared" ca="1" si="541"/>
        <v>3.5518739695596468</v>
      </c>
      <c r="C3205" s="21">
        <f t="shared" ca="1" si="546"/>
        <v>9806.9510005315642</v>
      </c>
      <c r="D3205" s="21">
        <f t="shared" ca="1" si="542"/>
        <v>4.2077870402405662</v>
      </c>
      <c r="E3205" s="21">
        <f t="shared" ca="1" si="549"/>
        <v>7.5525017058189405</v>
      </c>
      <c r="F3205" s="20" t="str">
        <f t="shared" ca="1" si="547"/>
        <v>No</v>
      </c>
      <c r="G3205" s="21">
        <f t="shared" ca="1" si="543"/>
        <v>0</v>
      </c>
      <c r="H3205" s="21">
        <f t="shared" ca="1" si="544"/>
        <v>9814.5035022373831</v>
      </c>
      <c r="I3205" s="21">
        <f t="shared" ca="1" si="539"/>
        <v>9818.711289277624</v>
      </c>
      <c r="J3205" s="20">
        <f t="shared" ca="1" si="548"/>
        <v>6</v>
      </c>
      <c r="K3205" s="20">
        <f t="shared" ca="1" si="540"/>
        <v>4</v>
      </c>
      <c r="L3205" s="44">
        <f t="shared" ca="1" si="545"/>
        <v>5</v>
      </c>
    </row>
    <row r="3206" spans="1:12" x14ac:dyDescent="0.25">
      <c r="A3206" s="20">
        <v>3198</v>
      </c>
      <c r="B3206" s="21">
        <f t="shared" ca="1" si="541"/>
        <v>0.70526089804364778</v>
      </c>
      <c r="C3206" s="21">
        <f t="shared" ca="1" si="546"/>
        <v>9807.6562614296072</v>
      </c>
      <c r="D3206" s="21">
        <f t="shared" ca="1" si="542"/>
        <v>3.2252627574722386</v>
      </c>
      <c r="E3206" s="21">
        <f t="shared" ca="1" si="549"/>
        <v>11.055027848016834</v>
      </c>
      <c r="F3206" s="20" t="str">
        <f t="shared" ca="1" si="547"/>
        <v>No</v>
      </c>
      <c r="G3206" s="21">
        <f t="shared" ca="1" si="543"/>
        <v>0</v>
      </c>
      <c r="H3206" s="21">
        <f t="shared" ca="1" si="544"/>
        <v>9818.711289277624</v>
      </c>
      <c r="I3206" s="21">
        <f t="shared" ca="1" si="539"/>
        <v>9821.9365520350966</v>
      </c>
      <c r="J3206" s="20">
        <f t="shared" ca="1" si="548"/>
        <v>5</v>
      </c>
      <c r="K3206" s="20">
        <f t="shared" ca="1" si="540"/>
        <v>4</v>
      </c>
      <c r="L3206" s="44">
        <f t="shared" ca="1" si="545"/>
        <v>4.5</v>
      </c>
    </row>
    <row r="3207" spans="1:12" x14ac:dyDescent="0.25">
      <c r="A3207" s="20">
        <v>3199</v>
      </c>
      <c r="B3207" s="21">
        <f t="shared" ca="1" si="541"/>
        <v>0.72191681457515389</v>
      </c>
      <c r="C3207" s="21">
        <f t="shared" ca="1" si="546"/>
        <v>9808.378178244182</v>
      </c>
      <c r="D3207" s="21">
        <f t="shared" ca="1" si="542"/>
        <v>8.1201090077111043E-2</v>
      </c>
      <c r="E3207" s="21">
        <f t="shared" ca="1" si="549"/>
        <v>13.558373790914629</v>
      </c>
      <c r="F3207" s="20" t="str">
        <f t="shared" ca="1" si="547"/>
        <v>No</v>
      </c>
      <c r="G3207" s="21">
        <f t="shared" ca="1" si="543"/>
        <v>0</v>
      </c>
      <c r="H3207" s="21">
        <f t="shared" ca="1" si="544"/>
        <v>9821.9365520350966</v>
      </c>
      <c r="I3207" s="21">
        <f t="shared" ca="1" si="539"/>
        <v>9822.0177531251738</v>
      </c>
      <c r="J3207" s="20">
        <f t="shared" ca="1" si="548"/>
        <v>5</v>
      </c>
      <c r="K3207" s="20">
        <f t="shared" ca="1" si="540"/>
        <v>3</v>
      </c>
      <c r="L3207" s="44">
        <f t="shared" ca="1" si="545"/>
        <v>4</v>
      </c>
    </row>
    <row r="3208" spans="1:12" x14ac:dyDescent="0.25">
      <c r="A3208" s="20">
        <v>3200</v>
      </c>
      <c r="B3208" s="21">
        <f t="shared" ca="1" si="541"/>
        <v>3.7708120799709095E-2</v>
      </c>
      <c r="C3208" s="21">
        <f t="shared" ca="1" si="546"/>
        <v>9808.4158863649809</v>
      </c>
      <c r="D3208" s="21">
        <f t="shared" ca="1" si="542"/>
        <v>4.1678085156942588</v>
      </c>
      <c r="E3208" s="21">
        <f t="shared" ca="1" si="549"/>
        <v>13.601866760192934</v>
      </c>
      <c r="F3208" s="20" t="str">
        <f t="shared" ca="1" si="547"/>
        <v>No</v>
      </c>
      <c r="G3208" s="21">
        <f t="shared" ca="1" si="543"/>
        <v>0</v>
      </c>
      <c r="H3208" s="21">
        <f t="shared" ca="1" si="544"/>
        <v>9822.0177531251738</v>
      </c>
      <c r="I3208" s="21">
        <f t="shared" ca="1" si="539"/>
        <v>9826.1855616408684</v>
      </c>
      <c r="J3208" s="20">
        <f t="shared" ca="1" si="548"/>
        <v>4</v>
      </c>
      <c r="K3208" s="20">
        <f t="shared" ca="1" si="540"/>
        <v>3</v>
      </c>
      <c r="L3208" s="44">
        <f t="shared" ca="1" si="545"/>
        <v>3.5</v>
      </c>
    </row>
    <row r="3209" spans="1:12" x14ac:dyDescent="0.25">
      <c r="A3209" s="20">
        <v>3201</v>
      </c>
      <c r="B3209" s="21">
        <f t="shared" ca="1" si="541"/>
        <v>3.7339289698603992</v>
      </c>
      <c r="C3209" s="21">
        <f t="shared" ca="1" si="546"/>
        <v>9812.1498153348421</v>
      </c>
      <c r="D3209" s="21">
        <f t="shared" ca="1" si="542"/>
        <v>9.3467773796918152</v>
      </c>
      <c r="E3209" s="21">
        <f t="shared" ca="1" si="549"/>
        <v>14.03574630602634</v>
      </c>
      <c r="F3209" s="20" t="str">
        <f t="shared" ca="1" si="547"/>
        <v>No</v>
      </c>
      <c r="G3209" s="21">
        <f t="shared" ca="1" si="543"/>
        <v>0</v>
      </c>
      <c r="H3209" s="21">
        <f t="shared" ca="1" si="544"/>
        <v>9826.1855616408684</v>
      </c>
      <c r="I3209" s="21">
        <f t="shared" ref="I3209:I3272" ca="1" si="550">$H3209+$D3209</f>
        <v>9835.5323390205594</v>
      </c>
      <c r="J3209" s="20">
        <f t="shared" ca="1" si="548"/>
        <v>4</v>
      </c>
      <c r="K3209" s="20">
        <f t="shared" ref="K3209:K3272" ca="1" si="551">IF($I3209&lt;=$C3210,0,IF($I3209&lt;=$C3211,1,IF($I3209&lt;=$C3212,2,IF($I3209&lt;=$C3213,3,IF($I3209&lt;=$C3214,4,5)))))</f>
        <v>4</v>
      </c>
      <c r="L3209" s="44">
        <f t="shared" ca="1" si="545"/>
        <v>4</v>
      </c>
    </row>
    <row r="3210" spans="1:12" x14ac:dyDescent="0.25">
      <c r="A3210" s="20">
        <v>3202</v>
      </c>
      <c r="B3210" s="21">
        <f t="shared" ref="B3210:B3273" ca="1" si="552">-LN(RAND())/$D$4</f>
        <v>8.3684984760384893</v>
      </c>
      <c r="C3210" s="21">
        <f t="shared" ca="1" si="546"/>
        <v>9820.5183138108805</v>
      </c>
      <c r="D3210" s="21">
        <f t="shared" ref="D3210:D3273" ca="1" si="553">-LN(RAND())/$D$6</f>
        <v>1.0688970730464344</v>
      </c>
      <c r="E3210" s="21">
        <f t="shared" ca="1" si="549"/>
        <v>15.014025209678948</v>
      </c>
      <c r="F3210" s="20" t="str">
        <f t="shared" ca="1" si="547"/>
        <v>No</v>
      </c>
      <c r="G3210" s="21">
        <f t="shared" ref="G3210:G3273" ca="1" si="554">IF($I3209&lt;=$C3210,$C3210-$I3209,0)</f>
        <v>0</v>
      </c>
      <c r="H3210" s="21">
        <f t="shared" ref="H3210:H3273" ca="1" si="555">IF($I3209&lt;=$C3210,$C3210,$I3209)</f>
        <v>9835.5323390205594</v>
      </c>
      <c r="I3210" s="21">
        <f t="shared" ca="1" si="550"/>
        <v>9836.6012360936056</v>
      </c>
      <c r="J3210" s="20">
        <f t="shared" ca="1" si="548"/>
        <v>5</v>
      </c>
      <c r="K3210" s="20">
        <f t="shared" ca="1" si="551"/>
        <v>3</v>
      </c>
      <c r="L3210" s="44">
        <f t="shared" ref="L3210:L3273" ca="1" si="556">(J3210+K3210)/2</f>
        <v>4</v>
      </c>
    </row>
    <row r="3211" spans="1:12" x14ac:dyDescent="0.25">
      <c r="A3211" s="20">
        <v>3203</v>
      </c>
      <c r="B3211" s="21">
        <f t="shared" ca="1" si="552"/>
        <v>2.1343862574538517</v>
      </c>
      <c r="C3211" s="21">
        <f t="shared" ref="C3211:C3274" ca="1" si="557">$C3210+$B3211</f>
        <v>9822.6527000683345</v>
      </c>
      <c r="D3211" s="21">
        <f t="shared" ca="1" si="553"/>
        <v>1.0297751038450884</v>
      </c>
      <c r="E3211" s="21">
        <f t="shared" ca="1" si="549"/>
        <v>13.948536025271096</v>
      </c>
      <c r="F3211" s="20" t="str">
        <f t="shared" ref="F3211:F3274" ca="1" si="558">IF(E3211=0,"Yes","No")</f>
        <v>No</v>
      </c>
      <c r="G3211" s="21">
        <f t="shared" ca="1" si="554"/>
        <v>0</v>
      </c>
      <c r="H3211" s="21">
        <f t="shared" ca="1" si="555"/>
        <v>9836.6012360936056</v>
      </c>
      <c r="I3211" s="21">
        <f t="shared" ca="1" si="550"/>
        <v>9837.6310111974508</v>
      </c>
      <c r="J3211" s="20">
        <f t="shared" ref="J3211:J3274" ca="1" si="559">IF($I3210&lt;=$C3211,0,$K3210+1)</f>
        <v>4</v>
      </c>
      <c r="K3211" s="20">
        <f t="shared" ca="1" si="551"/>
        <v>2</v>
      </c>
      <c r="L3211" s="44">
        <f t="shared" ca="1" si="556"/>
        <v>3</v>
      </c>
    </row>
    <row r="3212" spans="1:12" x14ac:dyDescent="0.25">
      <c r="A3212" s="20">
        <v>3204</v>
      </c>
      <c r="B3212" s="21">
        <f t="shared" ca="1" si="552"/>
        <v>9.0137325145866107</v>
      </c>
      <c r="C3212" s="21">
        <f t="shared" ca="1" si="557"/>
        <v>9831.6664325829206</v>
      </c>
      <c r="D3212" s="21">
        <f t="shared" ca="1" si="553"/>
        <v>0.47756185681648416</v>
      </c>
      <c r="E3212" s="21">
        <f t="shared" ref="E3212:E3275" ca="1" si="560">IF($I3211&lt;=$C3212,0,$I3211-$C3212)</f>
        <v>5.9645786145301827</v>
      </c>
      <c r="F3212" s="20" t="str">
        <f t="shared" ca="1" si="558"/>
        <v>No</v>
      </c>
      <c r="G3212" s="21">
        <f t="shared" ca="1" si="554"/>
        <v>0</v>
      </c>
      <c r="H3212" s="21">
        <f t="shared" ca="1" si="555"/>
        <v>9837.6310111974508</v>
      </c>
      <c r="I3212" s="21">
        <f t="shared" ca="1" si="550"/>
        <v>9838.1085730542673</v>
      </c>
      <c r="J3212" s="20">
        <f t="shared" ca="1" si="559"/>
        <v>3</v>
      </c>
      <c r="K3212" s="20">
        <f t="shared" ca="1" si="551"/>
        <v>1</v>
      </c>
      <c r="L3212" s="44">
        <f t="shared" ca="1" si="556"/>
        <v>2</v>
      </c>
    </row>
    <row r="3213" spans="1:12" x14ac:dyDescent="0.25">
      <c r="A3213" s="20">
        <v>3205</v>
      </c>
      <c r="B3213" s="21">
        <f t="shared" ca="1" si="552"/>
        <v>1.4674813737704995</v>
      </c>
      <c r="C3213" s="21">
        <f t="shared" ca="1" si="557"/>
        <v>9833.1339139566917</v>
      </c>
      <c r="D3213" s="21">
        <f t="shared" ca="1" si="553"/>
        <v>0.41896048418697462</v>
      </c>
      <c r="E3213" s="21">
        <f t="shared" ca="1" si="560"/>
        <v>4.974659097575568</v>
      </c>
      <c r="F3213" s="20" t="str">
        <f t="shared" ca="1" si="558"/>
        <v>No</v>
      </c>
      <c r="G3213" s="21">
        <f t="shared" ca="1" si="554"/>
        <v>0</v>
      </c>
      <c r="H3213" s="21">
        <f t="shared" ca="1" si="555"/>
        <v>9838.1085730542673</v>
      </c>
      <c r="I3213" s="21">
        <f t="shared" ca="1" si="550"/>
        <v>9838.527533538454</v>
      </c>
      <c r="J3213" s="20">
        <f t="shared" ca="1" si="559"/>
        <v>2</v>
      </c>
      <c r="K3213" s="20">
        <f t="shared" ca="1" si="551"/>
        <v>0</v>
      </c>
      <c r="L3213" s="44">
        <f t="shared" ca="1" si="556"/>
        <v>1</v>
      </c>
    </row>
    <row r="3214" spans="1:12" x14ac:dyDescent="0.25">
      <c r="A3214" s="20">
        <v>3206</v>
      </c>
      <c r="B3214" s="21">
        <f t="shared" ca="1" si="552"/>
        <v>6.6903763549982864</v>
      </c>
      <c r="C3214" s="21">
        <f t="shared" ca="1" si="557"/>
        <v>9839.8242903116898</v>
      </c>
      <c r="D3214" s="21">
        <f t="shared" ca="1" si="553"/>
        <v>1.5452920875605063</v>
      </c>
      <c r="E3214" s="21">
        <f t="shared" ca="1" si="560"/>
        <v>0</v>
      </c>
      <c r="F3214" s="20" t="str">
        <f t="shared" ca="1" si="558"/>
        <v>Yes</v>
      </c>
      <c r="G3214" s="21">
        <f t="shared" ca="1" si="554"/>
        <v>1.2967567732357566</v>
      </c>
      <c r="H3214" s="21">
        <f t="shared" ca="1" si="555"/>
        <v>9839.8242903116898</v>
      </c>
      <c r="I3214" s="21">
        <f t="shared" ca="1" si="550"/>
        <v>9841.3695823992512</v>
      </c>
      <c r="J3214" s="20">
        <f t="shared" ca="1" si="559"/>
        <v>0</v>
      </c>
      <c r="K3214" s="20">
        <f t="shared" ca="1" si="551"/>
        <v>1</v>
      </c>
      <c r="L3214" s="44">
        <f t="shared" ca="1" si="556"/>
        <v>0.5</v>
      </c>
    </row>
    <row r="3215" spans="1:12" x14ac:dyDescent="0.25">
      <c r="A3215" s="20">
        <v>3207</v>
      </c>
      <c r="B3215" s="21">
        <f t="shared" ca="1" si="552"/>
        <v>0.42858787228948719</v>
      </c>
      <c r="C3215" s="21">
        <f t="shared" ca="1" si="557"/>
        <v>9840.2528781839792</v>
      </c>
      <c r="D3215" s="21">
        <f t="shared" ca="1" si="553"/>
        <v>7.3679283794857939</v>
      </c>
      <c r="E3215" s="21">
        <f t="shared" ca="1" si="560"/>
        <v>1.1167042152719659</v>
      </c>
      <c r="F3215" s="20" t="str">
        <f t="shared" ca="1" si="558"/>
        <v>No</v>
      </c>
      <c r="G3215" s="21">
        <f t="shared" ca="1" si="554"/>
        <v>0</v>
      </c>
      <c r="H3215" s="21">
        <f t="shared" ca="1" si="555"/>
        <v>9841.3695823992512</v>
      </c>
      <c r="I3215" s="21">
        <f t="shared" ca="1" si="550"/>
        <v>9848.7375107787375</v>
      </c>
      <c r="J3215" s="20">
        <f t="shared" ca="1" si="559"/>
        <v>2</v>
      </c>
      <c r="K3215" s="20">
        <f t="shared" ca="1" si="551"/>
        <v>0</v>
      </c>
      <c r="L3215" s="44">
        <f t="shared" ca="1" si="556"/>
        <v>1</v>
      </c>
    </row>
    <row r="3216" spans="1:12" x14ac:dyDescent="0.25">
      <c r="A3216" s="20">
        <v>3208</v>
      </c>
      <c r="B3216" s="21">
        <f t="shared" ca="1" si="552"/>
        <v>10.287745892515888</v>
      </c>
      <c r="C3216" s="21">
        <f t="shared" ca="1" si="557"/>
        <v>9850.5406240764951</v>
      </c>
      <c r="D3216" s="21">
        <f t="shared" ca="1" si="553"/>
        <v>7.1955434141431507</v>
      </c>
      <c r="E3216" s="21">
        <f t="shared" ca="1" si="560"/>
        <v>0</v>
      </c>
      <c r="F3216" s="20" t="str">
        <f t="shared" ca="1" si="558"/>
        <v>Yes</v>
      </c>
      <c r="G3216" s="21">
        <f t="shared" ca="1" si="554"/>
        <v>1.8031132977575908</v>
      </c>
      <c r="H3216" s="21">
        <f t="shared" ca="1" si="555"/>
        <v>9850.5406240764951</v>
      </c>
      <c r="I3216" s="21">
        <f t="shared" ca="1" si="550"/>
        <v>9857.7361674906388</v>
      </c>
      <c r="J3216" s="20">
        <f t="shared" ca="1" si="559"/>
        <v>0</v>
      </c>
      <c r="K3216" s="20">
        <f t="shared" ca="1" si="551"/>
        <v>1</v>
      </c>
      <c r="L3216" s="44">
        <f t="shared" ca="1" si="556"/>
        <v>0.5</v>
      </c>
    </row>
    <row r="3217" spans="1:12" x14ac:dyDescent="0.25">
      <c r="A3217" s="20">
        <v>3209</v>
      </c>
      <c r="B3217" s="21">
        <f t="shared" ca="1" si="552"/>
        <v>6.0015484713711071</v>
      </c>
      <c r="C3217" s="21">
        <f t="shared" ca="1" si="557"/>
        <v>9856.5421725478664</v>
      </c>
      <c r="D3217" s="21">
        <f t="shared" ca="1" si="553"/>
        <v>2.174232796216919E-2</v>
      </c>
      <c r="E3217" s="21">
        <f t="shared" ca="1" si="560"/>
        <v>1.1939949427724059</v>
      </c>
      <c r="F3217" s="20" t="str">
        <f t="shared" ca="1" si="558"/>
        <v>No</v>
      </c>
      <c r="G3217" s="21">
        <f t="shared" ca="1" si="554"/>
        <v>0</v>
      </c>
      <c r="H3217" s="21">
        <f t="shared" ca="1" si="555"/>
        <v>9857.7361674906388</v>
      </c>
      <c r="I3217" s="21">
        <f t="shared" ca="1" si="550"/>
        <v>9857.7579098186015</v>
      </c>
      <c r="J3217" s="20">
        <f t="shared" ca="1" si="559"/>
        <v>2</v>
      </c>
      <c r="K3217" s="20">
        <f t="shared" ca="1" si="551"/>
        <v>0</v>
      </c>
      <c r="L3217" s="44">
        <f t="shared" ca="1" si="556"/>
        <v>1</v>
      </c>
    </row>
    <row r="3218" spans="1:12" x14ac:dyDescent="0.25">
      <c r="A3218" s="20">
        <v>3210</v>
      </c>
      <c r="B3218" s="21">
        <f t="shared" ca="1" si="552"/>
        <v>3.6817030357508802</v>
      </c>
      <c r="C3218" s="21">
        <f t="shared" ca="1" si="557"/>
        <v>9860.223875583617</v>
      </c>
      <c r="D3218" s="21">
        <f t="shared" ca="1" si="553"/>
        <v>0.49040988360796361</v>
      </c>
      <c r="E3218" s="21">
        <f t="shared" ca="1" si="560"/>
        <v>0</v>
      </c>
      <c r="F3218" s="20" t="str">
        <f t="shared" ca="1" si="558"/>
        <v>Yes</v>
      </c>
      <c r="G3218" s="21">
        <f t="shared" ca="1" si="554"/>
        <v>2.4659657650154259</v>
      </c>
      <c r="H3218" s="21">
        <f t="shared" ca="1" si="555"/>
        <v>9860.223875583617</v>
      </c>
      <c r="I3218" s="21">
        <f t="shared" ca="1" si="550"/>
        <v>9860.7142854672256</v>
      </c>
      <c r="J3218" s="20">
        <f t="shared" ca="1" si="559"/>
        <v>0</v>
      </c>
      <c r="K3218" s="20">
        <f t="shared" ca="1" si="551"/>
        <v>0</v>
      </c>
      <c r="L3218" s="44">
        <f t="shared" ca="1" si="556"/>
        <v>0</v>
      </c>
    </row>
    <row r="3219" spans="1:12" x14ac:dyDescent="0.25">
      <c r="A3219" s="20">
        <v>3211</v>
      </c>
      <c r="B3219" s="21">
        <f t="shared" ca="1" si="552"/>
        <v>2.0607188659992119</v>
      </c>
      <c r="C3219" s="21">
        <f t="shared" ca="1" si="557"/>
        <v>9862.2845944496166</v>
      </c>
      <c r="D3219" s="21">
        <f t="shared" ca="1" si="553"/>
        <v>2.6326124721733155</v>
      </c>
      <c r="E3219" s="21">
        <f t="shared" ca="1" si="560"/>
        <v>0</v>
      </c>
      <c r="F3219" s="20" t="str">
        <f t="shared" ca="1" si="558"/>
        <v>Yes</v>
      </c>
      <c r="G3219" s="21">
        <f t="shared" ca="1" si="554"/>
        <v>1.5703089823909977</v>
      </c>
      <c r="H3219" s="21">
        <f t="shared" ca="1" si="555"/>
        <v>9862.2845944496166</v>
      </c>
      <c r="I3219" s="21">
        <f t="shared" ca="1" si="550"/>
        <v>9864.9172069217893</v>
      </c>
      <c r="J3219" s="20">
        <f t="shared" ca="1" si="559"/>
        <v>0</v>
      </c>
      <c r="K3219" s="20">
        <f t="shared" ca="1" si="551"/>
        <v>1</v>
      </c>
      <c r="L3219" s="44">
        <f t="shared" ca="1" si="556"/>
        <v>0.5</v>
      </c>
    </row>
    <row r="3220" spans="1:12" x14ac:dyDescent="0.25">
      <c r="A3220" s="20">
        <v>3212</v>
      </c>
      <c r="B3220" s="21">
        <f t="shared" ca="1" si="552"/>
        <v>0.28025303552111558</v>
      </c>
      <c r="C3220" s="21">
        <f t="shared" ca="1" si="557"/>
        <v>9862.5648474851369</v>
      </c>
      <c r="D3220" s="21">
        <f t="shared" ca="1" si="553"/>
        <v>0.51447141029669108</v>
      </c>
      <c r="E3220" s="21">
        <f t="shared" ca="1" si="560"/>
        <v>2.3523594366524776</v>
      </c>
      <c r="F3220" s="20" t="str">
        <f t="shared" ca="1" si="558"/>
        <v>No</v>
      </c>
      <c r="G3220" s="21">
        <f t="shared" ca="1" si="554"/>
        <v>0</v>
      </c>
      <c r="H3220" s="21">
        <f t="shared" ca="1" si="555"/>
        <v>9864.9172069217893</v>
      </c>
      <c r="I3220" s="21">
        <f t="shared" ca="1" si="550"/>
        <v>9865.4316783320864</v>
      </c>
      <c r="J3220" s="20">
        <f t="shared" ca="1" si="559"/>
        <v>2</v>
      </c>
      <c r="K3220" s="20">
        <f t="shared" ca="1" si="551"/>
        <v>0</v>
      </c>
      <c r="L3220" s="44">
        <f t="shared" ca="1" si="556"/>
        <v>1</v>
      </c>
    </row>
    <row r="3221" spans="1:12" x14ac:dyDescent="0.25">
      <c r="A3221" s="20">
        <v>3213</v>
      </c>
      <c r="B3221" s="21">
        <f t="shared" ca="1" si="552"/>
        <v>4.3515462112550489</v>
      </c>
      <c r="C3221" s="21">
        <f t="shared" ca="1" si="557"/>
        <v>9866.9163936963923</v>
      </c>
      <c r="D3221" s="21">
        <f t="shared" ca="1" si="553"/>
        <v>0.58569082415021179</v>
      </c>
      <c r="E3221" s="21">
        <f t="shared" ca="1" si="560"/>
        <v>0</v>
      </c>
      <c r="F3221" s="20" t="str">
        <f t="shared" ca="1" si="558"/>
        <v>Yes</v>
      </c>
      <c r="G3221" s="21">
        <f t="shared" ca="1" si="554"/>
        <v>1.4847153643058846</v>
      </c>
      <c r="H3221" s="21">
        <f t="shared" ca="1" si="555"/>
        <v>9866.9163936963923</v>
      </c>
      <c r="I3221" s="21">
        <f t="shared" ca="1" si="550"/>
        <v>9867.5020845205418</v>
      </c>
      <c r="J3221" s="20">
        <f t="shared" ca="1" si="559"/>
        <v>0</v>
      </c>
      <c r="K3221" s="20">
        <f t="shared" ca="1" si="551"/>
        <v>0</v>
      </c>
      <c r="L3221" s="44">
        <f t="shared" ca="1" si="556"/>
        <v>0</v>
      </c>
    </row>
    <row r="3222" spans="1:12" x14ac:dyDescent="0.25">
      <c r="A3222" s="20">
        <v>3214</v>
      </c>
      <c r="B3222" s="21">
        <f t="shared" ca="1" si="552"/>
        <v>1.2904841203751487</v>
      </c>
      <c r="C3222" s="21">
        <f t="shared" ca="1" si="557"/>
        <v>9868.2068778167668</v>
      </c>
      <c r="D3222" s="21">
        <f t="shared" ca="1" si="553"/>
        <v>1.5938766712540922</v>
      </c>
      <c r="E3222" s="21">
        <f t="shared" ca="1" si="560"/>
        <v>0</v>
      </c>
      <c r="F3222" s="20" t="str">
        <f t="shared" ca="1" si="558"/>
        <v>Yes</v>
      </c>
      <c r="G3222" s="21">
        <f t="shared" ca="1" si="554"/>
        <v>0.70479329622503428</v>
      </c>
      <c r="H3222" s="21">
        <f t="shared" ca="1" si="555"/>
        <v>9868.2068778167668</v>
      </c>
      <c r="I3222" s="21">
        <f t="shared" ca="1" si="550"/>
        <v>9869.8007544880202</v>
      </c>
      <c r="J3222" s="20">
        <f t="shared" ca="1" si="559"/>
        <v>0</v>
      </c>
      <c r="K3222" s="20">
        <f t="shared" ca="1" si="551"/>
        <v>1</v>
      </c>
      <c r="L3222" s="44">
        <f t="shared" ca="1" si="556"/>
        <v>0.5</v>
      </c>
    </row>
    <row r="3223" spans="1:12" x14ac:dyDescent="0.25">
      <c r="A3223" s="20">
        <v>3215</v>
      </c>
      <c r="B3223" s="21">
        <f t="shared" ca="1" si="552"/>
        <v>1.4362686580725934</v>
      </c>
      <c r="C3223" s="21">
        <f t="shared" ca="1" si="557"/>
        <v>9869.6431464748403</v>
      </c>
      <c r="D3223" s="21">
        <f t="shared" ca="1" si="553"/>
        <v>0.60368023802417725</v>
      </c>
      <c r="E3223" s="21">
        <f t="shared" ca="1" si="560"/>
        <v>0.15760801317992446</v>
      </c>
      <c r="F3223" s="20" t="str">
        <f t="shared" ca="1" si="558"/>
        <v>No</v>
      </c>
      <c r="G3223" s="21">
        <f t="shared" ca="1" si="554"/>
        <v>0</v>
      </c>
      <c r="H3223" s="21">
        <f t="shared" ca="1" si="555"/>
        <v>9869.8007544880202</v>
      </c>
      <c r="I3223" s="21">
        <f t="shared" ca="1" si="550"/>
        <v>9870.4044347260442</v>
      </c>
      <c r="J3223" s="20">
        <f t="shared" ca="1" si="559"/>
        <v>2</v>
      </c>
      <c r="K3223" s="20">
        <f t="shared" ca="1" si="551"/>
        <v>0</v>
      </c>
      <c r="L3223" s="44">
        <f t="shared" ca="1" si="556"/>
        <v>1</v>
      </c>
    </row>
    <row r="3224" spans="1:12" x14ac:dyDescent="0.25">
      <c r="A3224" s="20">
        <v>3216</v>
      </c>
      <c r="B3224" s="21">
        <f t="shared" ca="1" si="552"/>
        <v>9.9553880944776267</v>
      </c>
      <c r="C3224" s="21">
        <f t="shared" ca="1" si="557"/>
        <v>9879.5985345693171</v>
      </c>
      <c r="D3224" s="21">
        <f t="shared" ca="1" si="553"/>
        <v>0.83445277344561475</v>
      </c>
      <c r="E3224" s="21">
        <f t="shared" ca="1" si="560"/>
        <v>0</v>
      </c>
      <c r="F3224" s="20" t="str">
        <f t="shared" ca="1" si="558"/>
        <v>Yes</v>
      </c>
      <c r="G3224" s="21">
        <f t="shared" ca="1" si="554"/>
        <v>9.194099843272852</v>
      </c>
      <c r="H3224" s="21">
        <f t="shared" ca="1" si="555"/>
        <v>9879.5985345693171</v>
      </c>
      <c r="I3224" s="21">
        <f t="shared" ca="1" si="550"/>
        <v>9880.4329873427632</v>
      </c>
      <c r="J3224" s="20">
        <f t="shared" ca="1" si="559"/>
        <v>0</v>
      </c>
      <c r="K3224" s="20">
        <f t="shared" ca="1" si="551"/>
        <v>0</v>
      </c>
      <c r="L3224" s="44">
        <f t="shared" ca="1" si="556"/>
        <v>0</v>
      </c>
    </row>
    <row r="3225" spans="1:12" x14ac:dyDescent="0.25">
      <c r="A3225" s="20">
        <v>3217</v>
      </c>
      <c r="B3225" s="21">
        <f t="shared" ca="1" si="552"/>
        <v>1.5779962513486321</v>
      </c>
      <c r="C3225" s="21">
        <f t="shared" ca="1" si="557"/>
        <v>9881.176530820665</v>
      </c>
      <c r="D3225" s="21">
        <f t="shared" ca="1" si="553"/>
        <v>0.63588192787135234</v>
      </c>
      <c r="E3225" s="21">
        <f t="shared" ca="1" si="560"/>
        <v>0</v>
      </c>
      <c r="F3225" s="20" t="str">
        <f t="shared" ca="1" si="558"/>
        <v>Yes</v>
      </c>
      <c r="G3225" s="21">
        <f t="shared" ca="1" si="554"/>
        <v>0.74354347790176689</v>
      </c>
      <c r="H3225" s="21">
        <f t="shared" ca="1" si="555"/>
        <v>9881.176530820665</v>
      </c>
      <c r="I3225" s="21">
        <f t="shared" ca="1" si="550"/>
        <v>9881.8124127485371</v>
      </c>
      <c r="J3225" s="20">
        <f t="shared" ca="1" si="559"/>
        <v>0</v>
      </c>
      <c r="K3225" s="20">
        <f t="shared" ca="1" si="551"/>
        <v>0</v>
      </c>
      <c r="L3225" s="44">
        <f t="shared" ca="1" si="556"/>
        <v>0</v>
      </c>
    </row>
    <row r="3226" spans="1:12" x14ac:dyDescent="0.25">
      <c r="A3226" s="20">
        <v>3218</v>
      </c>
      <c r="B3226" s="21">
        <f t="shared" ca="1" si="552"/>
        <v>3.4047972197711336</v>
      </c>
      <c r="C3226" s="21">
        <f t="shared" ca="1" si="557"/>
        <v>9884.5813280404363</v>
      </c>
      <c r="D3226" s="21">
        <f t="shared" ca="1" si="553"/>
        <v>1.2523280784192461</v>
      </c>
      <c r="E3226" s="21">
        <f t="shared" ca="1" si="560"/>
        <v>0</v>
      </c>
      <c r="F3226" s="20" t="str">
        <f t="shared" ca="1" si="558"/>
        <v>Yes</v>
      </c>
      <c r="G3226" s="21">
        <f t="shared" ca="1" si="554"/>
        <v>2.7689152918992477</v>
      </c>
      <c r="H3226" s="21">
        <f t="shared" ca="1" si="555"/>
        <v>9884.5813280404363</v>
      </c>
      <c r="I3226" s="21">
        <f t="shared" ca="1" si="550"/>
        <v>9885.8336561188553</v>
      </c>
      <c r="J3226" s="20">
        <f t="shared" ca="1" si="559"/>
        <v>0</v>
      </c>
      <c r="K3226" s="20">
        <f t="shared" ca="1" si="551"/>
        <v>0</v>
      </c>
      <c r="L3226" s="44">
        <f t="shared" ca="1" si="556"/>
        <v>0</v>
      </c>
    </row>
    <row r="3227" spans="1:12" x14ac:dyDescent="0.25">
      <c r="A3227" s="20">
        <v>3219</v>
      </c>
      <c r="B3227" s="21">
        <f t="shared" ca="1" si="552"/>
        <v>6.0443833170111692</v>
      </c>
      <c r="C3227" s="21">
        <f t="shared" ca="1" si="557"/>
        <v>9890.6257113574484</v>
      </c>
      <c r="D3227" s="21">
        <f t="shared" ca="1" si="553"/>
        <v>0.5522784877050444</v>
      </c>
      <c r="E3227" s="21">
        <f t="shared" ca="1" si="560"/>
        <v>0</v>
      </c>
      <c r="F3227" s="20" t="str">
        <f t="shared" ca="1" si="558"/>
        <v>Yes</v>
      </c>
      <c r="G3227" s="21">
        <f t="shared" ca="1" si="554"/>
        <v>4.7920552385930932</v>
      </c>
      <c r="H3227" s="21">
        <f t="shared" ca="1" si="555"/>
        <v>9890.6257113574484</v>
      </c>
      <c r="I3227" s="21">
        <f t="shared" ca="1" si="550"/>
        <v>9891.1779898451532</v>
      </c>
      <c r="J3227" s="20">
        <f t="shared" ca="1" si="559"/>
        <v>0</v>
      </c>
      <c r="K3227" s="20">
        <f t="shared" ca="1" si="551"/>
        <v>0</v>
      </c>
      <c r="L3227" s="44">
        <f t="shared" ca="1" si="556"/>
        <v>0</v>
      </c>
    </row>
    <row r="3228" spans="1:12" x14ac:dyDescent="0.25">
      <c r="A3228" s="20">
        <v>3220</v>
      </c>
      <c r="B3228" s="21">
        <f t="shared" ca="1" si="552"/>
        <v>1.2901771824937647</v>
      </c>
      <c r="C3228" s="21">
        <f t="shared" ca="1" si="557"/>
        <v>9891.9158885399429</v>
      </c>
      <c r="D3228" s="21">
        <f t="shared" ca="1" si="553"/>
        <v>0.5807267622177722</v>
      </c>
      <c r="E3228" s="21">
        <f t="shared" ca="1" si="560"/>
        <v>0</v>
      </c>
      <c r="F3228" s="20" t="str">
        <f t="shared" ca="1" si="558"/>
        <v>Yes</v>
      </c>
      <c r="G3228" s="21">
        <f t="shared" ca="1" si="554"/>
        <v>0.73789869478969194</v>
      </c>
      <c r="H3228" s="21">
        <f t="shared" ca="1" si="555"/>
        <v>9891.9158885399429</v>
      </c>
      <c r="I3228" s="21">
        <f t="shared" ca="1" si="550"/>
        <v>9892.4966153021614</v>
      </c>
      <c r="J3228" s="20">
        <f t="shared" ca="1" si="559"/>
        <v>0</v>
      </c>
      <c r="K3228" s="20">
        <f t="shared" ca="1" si="551"/>
        <v>0</v>
      </c>
      <c r="L3228" s="44">
        <f t="shared" ca="1" si="556"/>
        <v>0</v>
      </c>
    </row>
    <row r="3229" spans="1:12" x14ac:dyDescent="0.25">
      <c r="A3229" s="20">
        <v>3221</v>
      </c>
      <c r="B3229" s="21">
        <f t="shared" ca="1" si="552"/>
        <v>5.0136306162714197</v>
      </c>
      <c r="C3229" s="21">
        <f t="shared" ca="1" si="557"/>
        <v>9896.9295191562142</v>
      </c>
      <c r="D3229" s="21">
        <f t="shared" ca="1" si="553"/>
        <v>0.84933794707262655</v>
      </c>
      <c r="E3229" s="21">
        <f t="shared" ca="1" si="560"/>
        <v>0</v>
      </c>
      <c r="F3229" s="20" t="str">
        <f t="shared" ca="1" si="558"/>
        <v>Yes</v>
      </c>
      <c r="G3229" s="21">
        <f t="shared" ca="1" si="554"/>
        <v>4.4329038540527108</v>
      </c>
      <c r="H3229" s="21">
        <f t="shared" ca="1" si="555"/>
        <v>9896.9295191562142</v>
      </c>
      <c r="I3229" s="21">
        <f t="shared" ca="1" si="550"/>
        <v>9897.778857103287</v>
      </c>
      <c r="J3229" s="20">
        <f t="shared" ca="1" si="559"/>
        <v>0</v>
      </c>
      <c r="K3229" s="20">
        <f t="shared" ca="1" si="551"/>
        <v>1</v>
      </c>
      <c r="L3229" s="44">
        <f t="shared" ca="1" si="556"/>
        <v>0.5</v>
      </c>
    </row>
    <row r="3230" spans="1:12" x14ac:dyDescent="0.25">
      <c r="A3230" s="20">
        <v>3222</v>
      </c>
      <c r="B3230" s="21">
        <f t="shared" ca="1" si="552"/>
        <v>0.84876825184543236</v>
      </c>
      <c r="C3230" s="21">
        <f t="shared" ca="1" si="557"/>
        <v>9897.7782874080604</v>
      </c>
      <c r="D3230" s="21">
        <f t="shared" ca="1" si="553"/>
        <v>1.3369406384056473</v>
      </c>
      <c r="E3230" s="21">
        <f t="shared" ca="1" si="560"/>
        <v>5.6969522665895056E-4</v>
      </c>
      <c r="F3230" s="20" t="str">
        <f t="shared" ca="1" si="558"/>
        <v>No</v>
      </c>
      <c r="G3230" s="21">
        <f t="shared" ca="1" si="554"/>
        <v>0</v>
      </c>
      <c r="H3230" s="21">
        <f t="shared" ca="1" si="555"/>
        <v>9897.778857103287</v>
      </c>
      <c r="I3230" s="21">
        <f t="shared" ca="1" si="550"/>
        <v>9899.1157977416933</v>
      </c>
      <c r="J3230" s="20">
        <f t="shared" ca="1" si="559"/>
        <v>2</v>
      </c>
      <c r="K3230" s="20">
        <f t="shared" ca="1" si="551"/>
        <v>0</v>
      </c>
      <c r="L3230" s="44">
        <f t="shared" ca="1" si="556"/>
        <v>1</v>
      </c>
    </row>
    <row r="3231" spans="1:12" x14ac:dyDescent="0.25">
      <c r="A3231" s="20">
        <v>3223</v>
      </c>
      <c r="B3231" s="21">
        <f t="shared" ca="1" si="552"/>
        <v>6.1223446428285957</v>
      </c>
      <c r="C3231" s="21">
        <f t="shared" ca="1" si="557"/>
        <v>9903.9006320508888</v>
      </c>
      <c r="D3231" s="21">
        <f t="shared" ca="1" si="553"/>
        <v>2.1549980643008624</v>
      </c>
      <c r="E3231" s="21">
        <f t="shared" ca="1" si="560"/>
        <v>0</v>
      </c>
      <c r="F3231" s="20" t="str">
        <f t="shared" ca="1" si="558"/>
        <v>Yes</v>
      </c>
      <c r="G3231" s="21">
        <f t="shared" ca="1" si="554"/>
        <v>4.784834309195503</v>
      </c>
      <c r="H3231" s="21">
        <f t="shared" ca="1" si="555"/>
        <v>9903.9006320508888</v>
      </c>
      <c r="I3231" s="21">
        <f t="shared" ca="1" si="550"/>
        <v>9906.0556301151901</v>
      </c>
      <c r="J3231" s="20">
        <f t="shared" ca="1" si="559"/>
        <v>0</v>
      </c>
      <c r="K3231" s="20">
        <f t="shared" ca="1" si="551"/>
        <v>0</v>
      </c>
      <c r="L3231" s="44">
        <f t="shared" ca="1" si="556"/>
        <v>0</v>
      </c>
    </row>
    <row r="3232" spans="1:12" x14ac:dyDescent="0.25">
      <c r="A3232" s="20">
        <v>3224</v>
      </c>
      <c r="B3232" s="21">
        <f t="shared" ca="1" si="552"/>
        <v>4.2417314582305083</v>
      </c>
      <c r="C3232" s="21">
        <f t="shared" ca="1" si="557"/>
        <v>9908.1423635091196</v>
      </c>
      <c r="D3232" s="21">
        <f t="shared" ca="1" si="553"/>
        <v>0.78929110077446407</v>
      </c>
      <c r="E3232" s="21">
        <f t="shared" ca="1" si="560"/>
        <v>0</v>
      </c>
      <c r="F3232" s="20" t="str">
        <f t="shared" ca="1" si="558"/>
        <v>Yes</v>
      </c>
      <c r="G3232" s="21">
        <f t="shared" ca="1" si="554"/>
        <v>2.0867333939295349</v>
      </c>
      <c r="H3232" s="21">
        <f t="shared" ca="1" si="555"/>
        <v>9908.1423635091196</v>
      </c>
      <c r="I3232" s="21">
        <f t="shared" ca="1" si="550"/>
        <v>9908.9316546098944</v>
      </c>
      <c r="J3232" s="20">
        <f t="shared" ca="1" si="559"/>
        <v>0</v>
      </c>
      <c r="K3232" s="20">
        <f t="shared" ca="1" si="551"/>
        <v>0</v>
      </c>
      <c r="L3232" s="44">
        <f t="shared" ca="1" si="556"/>
        <v>0</v>
      </c>
    </row>
    <row r="3233" spans="1:12" x14ac:dyDescent="0.25">
      <c r="A3233" s="20">
        <v>3225</v>
      </c>
      <c r="B3233" s="21">
        <f t="shared" ca="1" si="552"/>
        <v>4.786152412866195</v>
      </c>
      <c r="C3233" s="21">
        <f t="shared" ca="1" si="557"/>
        <v>9912.9285159219853</v>
      </c>
      <c r="D3233" s="21">
        <f t="shared" ca="1" si="553"/>
        <v>0.86462236965684292</v>
      </c>
      <c r="E3233" s="21">
        <f t="shared" ca="1" si="560"/>
        <v>0</v>
      </c>
      <c r="F3233" s="20" t="str">
        <f t="shared" ca="1" si="558"/>
        <v>Yes</v>
      </c>
      <c r="G3233" s="21">
        <f t="shared" ca="1" si="554"/>
        <v>3.996861312090914</v>
      </c>
      <c r="H3233" s="21">
        <f t="shared" ca="1" si="555"/>
        <v>9912.9285159219853</v>
      </c>
      <c r="I3233" s="21">
        <f t="shared" ca="1" si="550"/>
        <v>9913.7931382916413</v>
      </c>
      <c r="J3233" s="20">
        <f t="shared" ca="1" si="559"/>
        <v>0</v>
      </c>
      <c r="K3233" s="20">
        <f t="shared" ca="1" si="551"/>
        <v>0</v>
      </c>
      <c r="L3233" s="44">
        <f t="shared" ca="1" si="556"/>
        <v>0</v>
      </c>
    </row>
    <row r="3234" spans="1:12" x14ac:dyDescent="0.25">
      <c r="A3234" s="20">
        <v>3226</v>
      </c>
      <c r="B3234" s="21">
        <f t="shared" ca="1" si="552"/>
        <v>4.0775035336832035</v>
      </c>
      <c r="C3234" s="21">
        <f t="shared" ca="1" si="557"/>
        <v>9917.0060194556681</v>
      </c>
      <c r="D3234" s="21">
        <f t="shared" ca="1" si="553"/>
        <v>0.18146715150181889</v>
      </c>
      <c r="E3234" s="21">
        <f t="shared" ca="1" si="560"/>
        <v>0</v>
      </c>
      <c r="F3234" s="20" t="str">
        <f t="shared" ca="1" si="558"/>
        <v>Yes</v>
      </c>
      <c r="G3234" s="21">
        <f t="shared" ca="1" si="554"/>
        <v>3.2128811640268395</v>
      </c>
      <c r="H3234" s="21">
        <f t="shared" ca="1" si="555"/>
        <v>9917.0060194556681</v>
      </c>
      <c r="I3234" s="21">
        <f t="shared" ca="1" si="550"/>
        <v>9917.1874866071703</v>
      </c>
      <c r="J3234" s="20">
        <f t="shared" ca="1" si="559"/>
        <v>0</v>
      </c>
      <c r="K3234" s="20">
        <f t="shared" ca="1" si="551"/>
        <v>0</v>
      </c>
      <c r="L3234" s="44">
        <f t="shared" ca="1" si="556"/>
        <v>0</v>
      </c>
    </row>
    <row r="3235" spans="1:12" x14ac:dyDescent="0.25">
      <c r="A3235" s="20">
        <v>3227</v>
      </c>
      <c r="B3235" s="21">
        <f t="shared" ca="1" si="552"/>
        <v>2.6319111989449202</v>
      </c>
      <c r="C3235" s="21">
        <f t="shared" ca="1" si="557"/>
        <v>9919.6379306546132</v>
      </c>
      <c r="D3235" s="21">
        <f t="shared" ca="1" si="553"/>
        <v>0.23210111859912586</v>
      </c>
      <c r="E3235" s="21">
        <f t="shared" ca="1" si="560"/>
        <v>0</v>
      </c>
      <c r="F3235" s="20" t="str">
        <f t="shared" ca="1" si="558"/>
        <v>Yes</v>
      </c>
      <c r="G3235" s="21">
        <f t="shared" ca="1" si="554"/>
        <v>2.450444047442943</v>
      </c>
      <c r="H3235" s="21">
        <f t="shared" ca="1" si="555"/>
        <v>9919.6379306546132</v>
      </c>
      <c r="I3235" s="21">
        <f t="shared" ca="1" si="550"/>
        <v>9919.8700317732128</v>
      </c>
      <c r="J3235" s="20">
        <f t="shared" ca="1" si="559"/>
        <v>0</v>
      </c>
      <c r="K3235" s="20">
        <f t="shared" ca="1" si="551"/>
        <v>0</v>
      </c>
      <c r="L3235" s="44">
        <f t="shared" ca="1" si="556"/>
        <v>0</v>
      </c>
    </row>
    <row r="3236" spans="1:12" x14ac:dyDescent="0.25">
      <c r="A3236" s="20">
        <v>3228</v>
      </c>
      <c r="B3236" s="21">
        <f t="shared" ca="1" si="552"/>
        <v>8.4785305502705377</v>
      </c>
      <c r="C3236" s="21">
        <f t="shared" ca="1" si="557"/>
        <v>9928.1164612048833</v>
      </c>
      <c r="D3236" s="21">
        <f t="shared" ca="1" si="553"/>
        <v>1.2709785476325899</v>
      </c>
      <c r="E3236" s="21">
        <f t="shared" ca="1" si="560"/>
        <v>0</v>
      </c>
      <c r="F3236" s="20" t="str">
        <f t="shared" ca="1" si="558"/>
        <v>Yes</v>
      </c>
      <c r="G3236" s="21">
        <f t="shared" ca="1" si="554"/>
        <v>8.2464294316705491</v>
      </c>
      <c r="H3236" s="21">
        <f t="shared" ca="1" si="555"/>
        <v>9928.1164612048833</v>
      </c>
      <c r="I3236" s="21">
        <f t="shared" ca="1" si="550"/>
        <v>9929.387439752516</v>
      </c>
      <c r="J3236" s="20">
        <f t="shared" ca="1" si="559"/>
        <v>0</v>
      </c>
      <c r="K3236" s="20">
        <f t="shared" ca="1" si="551"/>
        <v>2</v>
      </c>
      <c r="L3236" s="44">
        <f t="shared" ca="1" si="556"/>
        <v>1</v>
      </c>
    </row>
    <row r="3237" spans="1:12" x14ac:dyDescent="0.25">
      <c r="A3237" s="20">
        <v>3229</v>
      </c>
      <c r="B3237" s="21">
        <f t="shared" ca="1" si="552"/>
        <v>0.10331901865020478</v>
      </c>
      <c r="C3237" s="21">
        <f t="shared" ca="1" si="557"/>
        <v>9928.2197802235332</v>
      </c>
      <c r="D3237" s="21">
        <f t="shared" ca="1" si="553"/>
        <v>2.6052566041257532</v>
      </c>
      <c r="E3237" s="21">
        <f t="shared" ca="1" si="560"/>
        <v>1.1676595289827674</v>
      </c>
      <c r="F3237" s="20" t="str">
        <f t="shared" ca="1" si="558"/>
        <v>No</v>
      </c>
      <c r="G3237" s="21">
        <f t="shared" ca="1" si="554"/>
        <v>0</v>
      </c>
      <c r="H3237" s="21">
        <f t="shared" ca="1" si="555"/>
        <v>9929.387439752516</v>
      </c>
      <c r="I3237" s="21">
        <f t="shared" ca="1" si="550"/>
        <v>9931.9926963566413</v>
      </c>
      <c r="J3237" s="20">
        <f t="shared" ca="1" si="559"/>
        <v>3</v>
      </c>
      <c r="K3237" s="20">
        <f t="shared" ca="1" si="551"/>
        <v>4</v>
      </c>
      <c r="L3237" s="44">
        <f t="shared" ca="1" si="556"/>
        <v>3.5</v>
      </c>
    </row>
    <row r="3238" spans="1:12" x14ac:dyDescent="0.25">
      <c r="A3238" s="20">
        <v>3230</v>
      </c>
      <c r="B3238" s="21">
        <f t="shared" ca="1" si="552"/>
        <v>0.75852949623327148</v>
      </c>
      <c r="C3238" s="21">
        <f t="shared" ca="1" si="557"/>
        <v>9928.9783097197669</v>
      </c>
      <c r="D3238" s="21">
        <f t="shared" ca="1" si="553"/>
        <v>0.69781330768988215</v>
      </c>
      <c r="E3238" s="21">
        <f t="shared" ca="1" si="560"/>
        <v>3.0143866368744057</v>
      </c>
      <c r="F3238" s="20" t="str">
        <f t="shared" ca="1" si="558"/>
        <v>No</v>
      </c>
      <c r="G3238" s="21">
        <f t="shared" ca="1" si="554"/>
        <v>0</v>
      </c>
      <c r="H3238" s="21">
        <f t="shared" ca="1" si="555"/>
        <v>9931.9926963566413</v>
      </c>
      <c r="I3238" s="21">
        <f t="shared" ca="1" si="550"/>
        <v>9932.6905096643313</v>
      </c>
      <c r="J3238" s="20">
        <f t="shared" ca="1" si="559"/>
        <v>5</v>
      </c>
      <c r="K3238" s="20">
        <f t="shared" ca="1" si="551"/>
        <v>3</v>
      </c>
      <c r="L3238" s="44">
        <f t="shared" ca="1" si="556"/>
        <v>4</v>
      </c>
    </row>
    <row r="3239" spans="1:12" x14ac:dyDescent="0.25">
      <c r="A3239" s="20">
        <v>3231</v>
      </c>
      <c r="B3239" s="21">
        <f t="shared" ca="1" si="552"/>
        <v>0.57951811980041634</v>
      </c>
      <c r="C3239" s="21">
        <f t="shared" ca="1" si="557"/>
        <v>9929.5578278395678</v>
      </c>
      <c r="D3239" s="21">
        <f t="shared" ca="1" si="553"/>
        <v>3.9407730299768233</v>
      </c>
      <c r="E3239" s="21">
        <f t="shared" ca="1" si="560"/>
        <v>3.1326818247634947</v>
      </c>
      <c r="F3239" s="20" t="str">
        <f t="shared" ca="1" si="558"/>
        <v>No</v>
      </c>
      <c r="G3239" s="21">
        <f t="shared" ca="1" si="554"/>
        <v>0</v>
      </c>
      <c r="H3239" s="21">
        <f t="shared" ca="1" si="555"/>
        <v>9932.6905096643313</v>
      </c>
      <c r="I3239" s="21">
        <f t="shared" ca="1" si="550"/>
        <v>9936.6312826943085</v>
      </c>
      <c r="J3239" s="20">
        <f t="shared" ca="1" si="559"/>
        <v>4</v>
      </c>
      <c r="K3239" s="20">
        <f t="shared" ca="1" si="551"/>
        <v>3</v>
      </c>
      <c r="L3239" s="44">
        <f t="shared" ca="1" si="556"/>
        <v>3.5</v>
      </c>
    </row>
    <row r="3240" spans="1:12" x14ac:dyDescent="0.25">
      <c r="A3240" s="20">
        <v>3232</v>
      </c>
      <c r="B3240" s="21">
        <f t="shared" ca="1" si="552"/>
        <v>1.2255466459418276</v>
      </c>
      <c r="C3240" s="21">
        <f t="shared" ca="1" si="557"/>
        <v>9930.7833744855088</v>
      </c>
      <c r="D3240" s="21">
        <f t="shared" ca="1" si="553"/>
        <v>1.8557589527799796</v>
      </c>
      <c r="E3240" s="21">
        <f t="shared" ca="1" si="560"/>
        <v>5.8479082087997085</v>
      </c>
      <c r="F3240" s="20" t="str">
        <f t="shared" ca="1" si="558"/>
        <v>No</v>
      </c>
      <c r="G3240" s="21">
        <f t="shared" ca="1" si="554"/>
        <v>0</v>
      </c>
      <c r="H3240" s="21">
        <f t="shared" ca="1" si="555"/>
        <v>9936.6312826943085</v>
      </c>
      <c r="I3240" s="21">
        <f t="shared" ca="1" si="550"/>
        <v>9938.4870416470876</v>
      </c>
      <c r="J3240" s="20">
        <f t="shared" ca="1" si="559"/>
        <v>4</v>
      </c>
      <c r="K3240" s="20">
        <f t="shared" ca="1" si="551"/>
        <v>3</v>
      </c>
      <c r="L3240" s="44">
        <f t="shared" ca="1" si="556"/>
        <v>3.5</v>
      </c>
    </row>
    <row r="3241" spans="1:12" x14ac:dyDescent="0.25">
      <c r="A3241" s="20">
        <v>3233</v>
      </c>
      <c r="B3241" s="21">
        <f t="shared" ca="1" si="552"/>
        <v>0.62433819635226351</v>
      </c>
      <c r="C3241" s="21">
        <f t="shared" ca="1" si="557"/>
        <v>9931.4077126818611</v>
      </c>
      <c r="D3241" s="21">
        <f t="shared" ca="1" si="553"/>
        <v>1.7889716230193131</v>
      </c>
      <c r="E3241" s="21">
        <f t="shared" ca="1" si="560"/>
        <v>7.079328965226523</v>
      </c>
      <c r="F3241" s="20" t="str">
        <f t="shared" ca="1" si="558"/>
        <v>No</v>
      </c>
      <c r="G3241" s="21">
        <f t="shared" ca="1" si="554"/>
        <v>0</v>
      </c>
      <c r="H3241" s="21">
        <f t="shared" ca="1" si="555"/>
        <v>9938.4870416470876</v>
      </c>
      <c r="I3241" s="21">
        <f t="shared" ca="1" si="550"/>
        <v>9940.2760132701078</v>
      </c>
      <c r="J3241" s="20">
        <f t="shared" ca="1" si="559"/>
        <v>4</v>
      </c>
      <c r="K3241" s="20">
        <f t="shared" ca="1" si="551"/>
        <v>2</v>
      </c>
      <c r="L3241" s="44">
        <f t="shared" ca="1" si="556"/>
        <v>3</v>
      </c>
    </row>
    <row r="3242" spans="1:12" x14ac:dyDescent="0.25">
      <c r="A3242" s="20">
        <v>3234</v>
      </c>
      <c r="B3242" s="21">
        <f t="shared" ca="1" si="552"/>
        <v>5.1891434291180651</v>
      </c>
      <c r="C3242" s="21">
        <f t="shared" ca="1" si="557"/>
        <v>9936.5968561109785</v>
      </c>
      <c r="D3242" s="21">
        <f t="shared" ca="1" si="553"/>
        <v>1.5658405953381307</v>
      </c>
      <c r="E3242" s="21">
        <f t="shared" ca="1" si="560"/>
        <v>3.6791571591293177</v>
      </c>
      <c r="F3242" s="20" t="str">
        <f t="shared" ca="1" si="558"/>
        <v>No</v>
      </c>
      <c r="G3242" s="21">
        <f t="shared" ca="1" si="554"/>
        <v>0</v>
      </c>
      <c r="H3242" s="21">
        <f t="shared" ca="1" si="555"/>
        <v>9940.2760132701078</v>
      </c>
      <c r="I3242" s="21">
        <f t="shared" ca="1" si="550"/>
        <v>9941.841853865446</v>
      </c>
      <c r="J3242" s="20">
        <f t="shared" ca="1" si="559"/>
        <v>3</v>
      </c>
      <c r="K3242" s="20">
        <f t="shared" ca="1" si="551"/>
        <v>1</v>
      </c>
      <c r="L3242" s="44">
        <f t="shared" ca="1" si="556"/>
        <v>2</v>
      </c>
    </row>
    <row r="3243" spans="1:12" x14ac:dyDescent="0.25">
      <c r="A3243" s="20">
        <v>3235</v>
      </c>
      <c r="B3243" s="21">
        <f t="shared" ca="1" si="552"/>
        <v>0.83481863301878911</v>
      </c>
      <c r="C3243" s="21">
        <f t="shared" ca="1" si="557"/>
        <v>9937.4316747439971</v>
      </c>
      <c r="D3243" s="21">
        <f t="shared" ca="1" si="553"/>
        <v>1.3190780698841003</v>
      </c>
      <c r="E3243" s="21">
        <f t="shared" ca="1" si="560"/>
        <v>4.4101791214488912</v>
      </c>
      <c r="F3243" s="20" t="str">
        <f t="shared" ca="1" si="558"/>
        <v>No</v>
      </c>
      <c r="G3243" s="21">
        <f t="shared" ca="1" si="554"/>
        <v>0</v>
      </c>
      <c r="H3243" s="21">
        <f t="shared" ca="1" si="555"/>
        <v>9941.841853865446</v>
      </c>
      <c r="I3243" s="21">
        <f t="shared" ca="1" si="550"/>
        <v>9943.1609319353302</v>
      </c>
      <c r="J3243" s="20">
        <f t="shared" ca="1" si="559"/>
        <v>2</v>
      </c>
      <c r="K3243" s="20">
        <f t="shared" ca="1" si="551"/>
        <v>0</v>
      </c>
      <c r="L3243" s="44">
        <f t="shared" ca="1" si="556"/>
        <v>1</v>
      </c>
    </row>
    <row r="3244" spans="1:12" x14ac:dyDescent="0.25">
      <c r="A3244" s="20">
        <v>3236</v>
      </c>
      <c r="B3244" s="21">
        <f t="shared" ca="1" si="552"/>
        <v>9.2601608374575353</v>
      </c>
      <c r="C3244" s="21">
        <f t="shared" ca="1" si="557"/>
        <v>9946.6918355814541</v>
      </c>
      <c r="D3244" s="21">
        <f t="shared" ca="1" si="553"/>
        <v>1.071801075966186</v>
      </c>
      <c r="E3244" s="21">
        <f t="shared" ca="1" si="560"/>
        <v>0</v>
      </c>
      <c r="F3244" s="20" t="str">
        <f t="shared" ca="1" si="558"/>
        <v>Yes</v>
      </c>
      <c r="G3244" s="21">
        <f t="shared" ca="1" si="554"/>
        <v>3.5309036461239884</v>
      </c>
      <c r="H3244" s="21">
        <f t="shared" ca="1" si="555"/>
        <v>9946.6918355814541</v>
      </c>
      <c r="I3244" s="21">
        <f t="shared" ca="1" si="550"/>
        <v>9947.7636366574206</v>
      </c>
      <c r="J3244" s="20">
        <f t="shared" ca="1" si="559"/>
        <v>0</v>
      </c>
      <c r="K3244" s="20">
        <f t="shared" ca="1" si="551"/>
        <v>2</v>
      </c>
      <c r="L3244" s="44">
        <f t="shared" ca="1" si="556"/>
        <v>1</v>
      </c>
    </row>
    <row r="3245" spans="1:12" x14ac:dyDescent="0.25">
      <c r="A3245" s="20">
        <v>3237</v>
      </c>
      <c r="B3245" s="21">
        <f t="shared" ca="1" si="552"/>
        <v>0.72997422050201388</v>
      </c>
      <c r="C3245" s="21">
        <f t="shared" ca="1" si="557"/>
        <v>9947.4218098019555</v>
      </c>
      <c r="D3245" s="21">
        <f t="shared" ca="1" si="553"/>
        <v>7.2102596634127565</v>
      </c>
      <c r="E3245" s="21">
        <f t="shared" ca="1" si="560"/>
        <v>0.34182685546511493</v>
      </c>
      <c r="F3245" s="20" t="str">
        <f t="shared" ca="1" si="558"/>
        <v>No</v>
      </c>
      <c r="G3245" s="21">
        <f t="shared" ca="1" si="554"/>
        <v>0</v>
      </c>
      <c r="H3245" s="21">
        <f t="shared" ca="1" si="555"/>
        <v>9947.7636366574206</v>
      </c>
      <c r="I3245" s="21">
        <f t="shared" ca="1" si="550"/>
        <v>9954.9738963208329</v>
      </c>
      <c r="J3245" s="20">
        <f t="shared" ca="1" si="559"/>
        <v>3</v>
      </c>
      <c r="K3245" s="20">
        <f t="shared" ca="1" si="551"/>
        <v>2</v>
      </c>
      <c r="L3245" s="44">
        <f t="shared" ca="1" si="556"/>
        <v>2.5</v>
      </c>
    </row>
    <row r="3246" spans="1:12" x14ac:dyDescent="0.25">
      <c r="A3246" s="20">
        <v>3238</v>
      </c>
      <c r="B3246" s="21">
        <f t="shared" ca="1" si="552"/>
        <v>0.25271529227392259</v>
      </c>
      <c r="C3246" s="21">
        <f t="shared" ca="1" si="557"/>
        <v>9947.6745250942295</v>
      </c>
      <c r="D3246" s="21">
        <f t="shared" ca="1" si="553"/>
        <v>1.8571317984678084</v>
      </c>
      <c r="E3246" s="21">
        <f t="shared" ca="1" si="560"/>
        <v>7.2993712266033981</v>
      </c>
      <c r="F3246" s="20" t="str">
        <f t="shared" ca="1" si="558"/>
        <v>No</v>
      </c>
      <c r="G3246" s="21">
        <f t="shared" ca="1" si="554"/>
        <v>0</v>
      </c>
      <c r="H3246" s="21">
        <f t="shared" ca="1" si="555"/>
        <v>9954.9738963208329</v>
      </c>
      <c r="I3246" s="21">
        <f t="shared" ca="1" si="550"/>
        <v>9956.8310281193008</v>
      </c>
      <c r="J3246" s="20">
        <f t="shared" ca="1" si="559"/>
        <v>3</v>
      </c>
      <c r="K3246" s="20">
        <f t="shared" ca="1" si="551"/>
        <v>3</v>
      </c>
      <c r="L3246" s="44">
        <f t="shared" ca="1" si="556"/>
        <v>3</v>
      </c>
    </row>
    <row r="3247" spans="1:12" x14ac:dyDescent="0.25">
      <c r="A3247" s="20">
        <v>3239</v>
      </c>
      <c r="B3247" s="21">
        <f t="shared" ca="1" si="552"/>
        <v>5.6046717448591519</v>
      </c>
      <c r="C3247" s="21">
        <f t="shared" ca="1" si="557"/>
        <v>9953.2791968390884</v>
      </c>
      <c r="D3247" s="21">
        <f t="shared" ca="1" si="553"/>
        <v>2.1298775936822754</v>
      </c>
      <c r="E3247" s="21">
        <f t="shared" ca="1" si="560"/>
        <v>3.5518312802123546</v>
      </c>
      <c r="F3247" s="20" t="str">
        <f t="shared" ca="1" si="558"/>
        <v>No</v>
      </c>
      <c r="G3247" s="21">
        <f t="shared" ca="1" si="554"/>
        <v>0</v>
      </c>
      <c r="H3247" s="21">
        <f t="shared" ca="1" si="555"/>
        <v>9956.8310281193008</v>
      </c>
      <c r="I3247" s="21">
        <f t="shared" ca="1" si="550"/>
        <v>9958.9609057129837</v>
      </c>
      <c r="J3247" s="20">
        <f t="shared" ca="1" si="559"/>
        <v>4</v>
      </c>
      <c r="K3247" s="20">
        <f t="shared" ca="1" si="551"/>
        <v>2</v>
      </c>
      <c r="L3247" s="44">
        <f t="shared" ca="1" si="556"/>
        <v>3</v>
      </c>
    </row>
    <row r="3248" spans="1:12" x14ac:dyDescent="0.25">
      <c r="A3248" s="20">
        <v>3240</v>
      </c>
      <c r="B3248" s="21">
        <f t="shared" ca="1" si="552"/>
        <v>2.4642423438312617</v>
      </c>
      <c r="C3248" s="21">
        <f t="shared" ca="1" si="557"/>
        <v>9955.7434391829192</v>
      </c>
      <c r="D3248" s="21">
        <f t="shared" ca="1" si="553"/>
        <v>1.7252748771201982</v>
      </c>
      <c r="E3248" s="21">
        <f t="shared" ca="1" si="560"/>
        <v>3.2174665300644847</v>
      </c>
      <c r="F3248" s="20" t="str">
        <f t="shared" ca="1" si="558"/>
        <v>No</v>
      </c>
      <c r="G3248" s="21">
        <f t="shared" ca="1" si="554"/>
        <v>0</v>
      </c>
      <c r="H3248" s="21">
        <f t="shared" ca="1" si="555"/>
        <v>9958.9609057129837</v>
      </c>
      <c r="I3248" s="21">
        <f t="shared" ca="1" si="550"/>
        <v>9960.6861805901044</v>
      </c>
      <c r="J3248" s="20">
        <f t="shared" ca="1" si="559"/>
        <v>3</v>
      </c>
      <c r="K3248" s="20">
        <f t="shared" ca="1" si="551"/>
        <v>1</v>
      </c>
      <c r="L3248" s="44">
        <f t="shared" ca="1" si="556"/>
        <v>2</v>
      </c>
    </row>
    <row r="3249" spans="1:12" x14ac:dyDescent="0.25">
      <c r="A3249" s="20">
        <v>3241</v>
      </c>
      <c r="B3249" s="21">
        <f t="shared" ca="1" si="552"/>
        <v>0.82512866991479883</v>
      </c>
      <c r="C3249" s="21">
        <f t="shared" ca="1" si="557"/>
        <v>9956.5685678528334</v>
      </c>
      <c r="D3249" s="21">
        <f t="shared" ca="1" si="553"/>
        <v>1.3428806447303476</v>
      </c>
      <c r="E3249" s="21">
        <f t="shared" ca="1" si="560"/>
        <v>4.1176127372709743</v>
      </c>
      <c r="F3249" s="20" t="str">
        <f t="shared" ca="1" si="558"/>
        <v>No</v>
      </c>
      <c r="G3249" s="21">
        <f t="shared" ca="1" si="554"/>
        <v>0</v>
      </c>
      <c r="H3249" s="21">
        <f t="shared" ca="1" si="555"/>
        <v>9960.6861805901044</v>
      </c>
      <c r="I3249" s="21">
        <f t="shared" ca="1" si="550"/>
        <v>9962.0290612348344</v>
      </c>
      <c r="J3249" s="20">
        <f t="shared" ca="1" si="559"/>
        <v>2</v>
      </c>
      <c r="K3249" s="20">
        <f t="shared" ca="1" si="551"/>
        <v>2</v>
      </c>
      <c r="L3249" s="44">
        <f t="shared" ca="1" si="556"/>
        <v>2</v>
      </c>
    </row>
    <row r="3250" spans="1:12" x14ac:dyDescent="0.25">
      <c r="A3250" s="20">
        <v>3242</v>
      </c>
      <c r="B3250" s="21">
        <f t="shared" ca="1" si="552"/>
        <v>4.590561662978522</v>
      </c>
      <c r="C3250" s="21">
        <f t="shared" ca="1" si="557"/>
        <v>9961.1591295158123</v>
      </c>
      <c r="D3250" s="21">
        <f t="shared" ca="1" si="553"/>
        <v>3.4682432296746666</v>
      </c>
      <c r="E3250" s="21">
        <f t="shared" ca="1" si="560"/>
        <v>0.86993171902213362</v>
      </c>
      <c r="F3250" s="20" t="str">
        <f t="shared" ca="1" si="558"/>
        <v>No</v>
      </c>
      <c r="G3250" s="21">
        <f t="shared" ca="1" si="554"/>
        <v>0</v>
      </c>
      <c r="H3250" s="21">
        <f t="shared" ca="1" si="555"/>
        <v>9962.0290612348344</v>
      </c>
      <c r="I3250" s="21">
        <f t="shared" ca="1" si="550"/>
        <v>9965.4973044645085</v>
      </c>
      <c r="J3250" s="20">
        <f t="shared" ca="1" si="559"/>
        <v>3</v>
      </c>
      <c r="K3250" s="20">
        <f t="shared" ca="1" si="551"/>
        <v>3</v>
      </c>
      <c r="L3250" s="44">
        <f t="shared" ca="1" si="556"/>
        <v>3</v>
      </c>
    </row>
    <row r="3251" spans="1:12" x14ac:dyDescent="0.25">
      <c r="A3251" s="20">
        <v>3243</v>
      </c>
      <c r="B3251" s="21">
        <f t="shared" ca="1" si="552"/>
        <v>0.64851620960947354</v>
      </c>
      <c r="C3251" s="21">
        <f t="shared" ca="1" si="557"/>
        <v>9961.807645725421</v>
      </c>
      <c r="D3251" s="21">
        <f t="shared" ca="1" si="553"/>
        <v>6.3918108379989347E-2</v>
      </c>
      <c r="E3251" s="21">
        <f t="shared" ca="1" si="560"/>
        <v>3.6896587390874629</v>
      </c>
      <c r="F3251" s="20" t="str">
        <f t="shared" ca="1" si="558"/>
        <v>No</v>
      </c>
      <c r="G3251" s="21">
        <f t="shared" ca="1" si="554"/>
        <v>0</v>
      </c>
      <c r="H3251" s="21">
        <f t="shared" ca="1" si="555"/>
        <v>9965.4973044645085</v>
      </c>
      <c r="I3251" s="21">
        <f t="shared" ca="1" si="550"/>
        <v>9965.5612225728892</v>
      </c>
      <c r="J3251" s="20">
        <f t="shared" ca="1" si="559"/>
        <v>4</v>
      </c>
      <c r="K3251" s="20">
        <f t="shared" ca="1" si="551"/>
        <v>2</v>
      </c>
      <c r="L3251" s="44">
        <f t="shared" ca="1" si="556"/>
        <v>3</v>
      </c>
    </row>
    <row r="3252" spans="1:12" x14ac:dyDescent="0.25">
      <c r="A3252" s="20">
        <v>3244</v>
      </c>
      <c r="B3252" s="21">
        <f t="shared" ca="1" si="552"/>
        <v>1.1935066746801994</v>
      </c>
      <c r="C3252" s="21">
        <f t="shared" ca="1" si="557"/>
        <v>9963.001152400102</v>
      </c>
      <c r="D3252" s="21">
        <f t="shared" ca="1" si="553"/>
        <v>2.2904767510698973</v>
      </c>
      <c r="E3252" s="21">
        <f t="shared" ca="1" si="560"/>
        <v>2.5600701727871638</v>
      </c>
      <c r="F3252" s="20" t="str">
        <f t="shared" ca="1" si="558"/>
        <v>No</v>
      </c>
      <c r="G3252" s="21">
        <f t="shared" ca="1" si="554"/>
        <v>0</v>
      </c>
      <c r="H3252" s="21">
        <f t="shared" ca="1" si="555"/>
        <v>9965.5612225728892</v>
      </c>
      <c r="I3252" s="21">
        <f t="shared" ca="1" si="550"/>
        <v>9967.8516993239591</v>
      </c>
      <c r="J3252" s="20">
        <f t="shared" ca="1" si="559"/>
        <v>3</v>
      </c>
      <c r="K3252" s="20">
        <f t="shared" ca="1" si="551"/>
        <v>1</v>
      </c>
      <c r="L3252" s="44">
        <f t="shared" ca="1" si="556"/>
        <v>2</v>
      </c>
    </row>
    <row r="3253" spans="1:12" x14ac:dyDescent="0.25">
      <c r="A3253" s="20">
        <v>3245</v>
      </c>
      <c r="B3253" s="21">
        <f t="shared" ca="1" si="552"/>
        <v>1.3928513087528234</v>
      </c>
      <c r="C3253" s="21">
        <f t="shared" ca="1" si="557"/>
        <v>9964.3940037088541</v>
      </c>
      <c r="D3253" s="21">
        <f t="shared" ca="1" si="553"/>
        <v>3.9134116718948975</v>
      </c>
      <c r="E3253" s="21">
        <f t="shared" ca="1" si="560"/>
        <v>3.4576956151049671</v>
      </c>
      <c r="F3253" s="20" t="str">
        <f t="shared" ca="1" si="558"/>
        <v>No</v>
      </c>
      <c r="G3253" s="21">
        <f t="shared" ca="1" si="554"/>
        <v>0</v>
      </c>
      <c r="H3253" s="21">
        <f t="shared" ca="1" si="555"/>
        <v>9967.8516993239591</v>
      </c>
      <c r="I3253" s="21">
        <f t="shared" ca="1" si="550"/>
        <v>9971.7651109958533</v>
      </c>
      <c r="J3253" s="20">
        <f t="shared" ca="1" si="559"/>
        <v>2</v>
      </c>
      <c r="K3253" s="20">
        <f t="shared" ca="1" si="551"/>
        <v>4</v>
      </c>
      <c r="L3253" s="44">
        <f t="shared" ca="1" si="556"/>
        <v>3</v>
      </c>
    </row>
    <row r="3254" spans="1:12" x14ac:dyDescent="0.25">
      <c r="A3254" s="20">
        <v>3246</v>
      </c>
      <c r="B3254" s="21">
        <f t="shared" ca="1" si="552"/>
        <v>6.2462736505129612</v>
      </c>
      <c r="C3254" s="21">
        <f t="shared" ca="1" si="557"/>
        <v>9970.6402773593672</v>
      </c>
      <c r="D3254" s="21">
        <f t="shared" ca="1" si="553"/>
        <v>3.7281297504823372</v>
      </c>
      <c r="E3254" s="21">
        <f t="shared" ca="1" si="560"/>
        <v>1.1248336364860734</v>
      </c>
      <c r="F3254" s="20" t="str">
        <f t="shared" ca="1" si="558"/>
        <v>No</v>
      </c>
      <c r="G3254" s="21">
        <f t="shared" ca="1" si="554"/>
        <v>0</v>
      </c>
      <c r="H3254" s="21">
        <f t="shared" ca="1" si="555"/>
        <v>9971.7651109958533</v>
      </c>
      <c r="I3254" s="21">
        <f t="shared" ca="1" si="550"/>
        <v>9975.4932407463348</v>
      </c>
      <c r="J3254" s="20">
        <f t="shared" ca="1" si="559"/>
        <v>5</v>
      </c>
      <c r="K3254" s="20">
        <f t="shared" ca="1" si="551"/>
        <v>3</v>
      </c>
      <c r="L3254" s="44">
        <f t="shared" ca="1" si="556"/>
        <v>4</v>
      </c>
    </row>
    <row r="3255" spans="1:12" x14ac:dyDescent="0.25">
      <c r="A3255" s="20">
        <v>3247</v>
      </c>
      <c r="B3255" s="21">
        <f t="shared" ca="1" si="552"/>
        <v>4.5140451586728234E-2</v>
      </c>
      <c r="C3255" s="21">
        <f t="shared" ca="1" si="557"/>
        <v>9970.6854178109534</v>
      </c>
      <c r="D3255" s="21">
        <f t="shared" ca="1" si="553"/>
        <v>4.2727629974577299</v>
      </c>
      <c r="E3255" s="21">
        <f t="shared" ca="1" si="560"/>
        <v>4.8078229353814095</v>
      </c>
      <c r="F3255" s="20" t="str">
        <f t="shared" ca="1" si="558"/>
        <v>No</v>
      </c>
      <c r="G3255" s="21">
        <f t="shared" ca="1" si="554"/>
        <v>0</v>
      </c>
      <c r="H3255" s="21">
        <f t="shared" ca="1" si="555"/>
        <v>9975.4932407463348</v>
      </c>
      <c r="I3255" s="21">
        <f t="shared" ca="1" si="550"/>
        <v>9979.7660037437927</v>
      </c>
      <c r="J3255" s="20">
        <f t="shared" ca="1" si="559"/>
        <v>4</v>
      </c>
      <c r="K3255" s="20">
        <f t="shared" ca="1" si="551"/>
        <v>5</v>
      </c>
      <c r="L3255" s="44">
        <f t="shared" ca="1" si="556"/>
        <v>4.5</v>
      </c>
    </row>
    <row r="3256" spans="1:12" x14ac:dyDescent="0.25">
      <c r="A3256" s="20">
        <v>3248</v>
      </c>
      <c r="B3256" s="21">
        <f t="shared" ca="1" si="552"/>
        <v>0.1223467817771354</v>
      </c>
      <c r="C3256" s="21">
        <f t="shared" ca="1" si="557"/>
        <v>9970.8077645927297</v>
      </c>
      <c r="D3256" s="21">
        <f t="shared" ca="1" si="553"/>
        <v>1.8000933620763082</v>
      </c>
      <c r="E3256" s="21">
        <f t="shared" ca="1" si="560"/>
        <v>8.9582391510630259</v>
      </c>
      <c r="F3256" s="20" t="str">
        <f t="shared" ca="1" si="558"/>
        <v>No</v>
      </c>
      <c r="G3256" s="21">
        <f t="shared" ca="1" si="554"/>
        <v>0</v>
      </c>
      <c r="H3256" s="21">
        <f t="shared" ca="1" si="555"/>
        <v>9979.7660037437927</v>
      </c>
      <c r="I3256" s="21">
        <f t="shared" ca="1" si="550"/>
        <v>9981.5660971058696</v>
      </c>
      <c r="J3256" s="20">
        <f t="shared" ca="1" si="559"/>
        <v>6</v>
      </c>
      <c r="K3256" s="20">
        <f t="shared" ca="1" si="551"/>
        <v>4</v>
      </c>
      <c r="L3256" s="44">
        <f t="shared" ca="1" si="556"/>
        <v>5</v>
      </c>
    </row>
    <row r="3257" spans="1:12" x14ac:dyDescent="0.25">
      <c r="A3257" s="20">
        <v>3249</v>
      </c>
      <c r="B3257" s="21">
        <f t="shared" ca="1" si="552"/>
        <v>0.27313305320205328</v>
      </c>
      <c r="C3257" s="21">
        <f t="shared" ca="1" si="557"/>
        <v>9971.0808976459321</v>
      </c>
      <c r="D3257" s="21">
        <f t="shared" ca="1" si="553"/>
        <v>2.5735725550294277</v>
      </c>
      <c r="E3257" s="21">
        <f t="shared" ca="1" si="560"/>
        <v>10.485199459937576</v>
      </c>
      <c r="F3257" s="20" t="str">
        <f t="shared" ca="1" si="558"/>
        <v>No</v>
      </c>
      <c r="G3257" s="21">
        <f t="shared" ca="1" si="554"/>
        <v>0</v>
      </c>
      <c r="H3257" s="21">
        <f t="shared" ca="1" si="555"/>
        <v>9981.5660971058696</v>
      </c>
      <c r="I3257" s="21">
        <f t="shared" ca="1" si="550"/>
        <v>9984.139669660899</v>
      </c>
      <c r="J3257" s="20">
        <f t="shared" ca="1" si="559"/>
        <v>5</v>
      </c>
      <c r="K3257" s="20">
        <f t="shared" ca="1" si="551"/>
        <v>5</v>
      </c>
      <c r="L3257" s="44">
        <f t="shared" ca="1" si="556"/>
        <v>5</v>
      </c>
    </row>
    <row r="3258" spans="1:12" x14ac:dyDescent="0.25">
      <c r="A3258" s="20">
        <v>3250</v>
      </c>
      <c r="B3258" s="21">
        <f t="shared" ca="1" si="552"/>
        <v>6.0355623885363539</v>
      </c>
      <c r="C3258" s="21">
        <f t="shared" ca="1" si="557"/>
        <v>9977.1164600344691</v>
      </c>
      <c r="D3258" s="21">
        <f t="shared" ca="1" si="553"/>
        <v>1.1707420101542843</v>
      </c>
      <c r="E3258" s="21">
        <f t="shared" ca="1" si="560"/>
        <v>7.0232096264298889</v>
      </c>
      <c r="F3258" s="20" t="str">
        <f t="shared" ca="1" si="558"/>
        <v>No</v>
      </c>
      <c r="G3258" s="21">
        <f t="shared" ca="1" si="554"/>
        <v>0</v>
      </c>
      <c r="H3258" s="21">
        <f t="shared" ca="1" si="555"/>
        <v>9984.139669660899</v>
      </c>
      <c r="I3258" s="21">
        <f t="shared" ca="1" si="550"/>
        <v>9985.3104116710529</v>
      </c>
      <c r="J3258" s="20">
        <f t="shared" ca="1" si="559"/>
        <v>6</v>
      </c>
      <c r="K3258" s="20">
        <f t="shared" ca="1" si="551"/>
        <v>5</v>
      </c>
      <c r="L3258" s="44">
        <f t="shared" ca="1" si="556"/>
        <v>5.5</v>
      </c>
    </row>
    <row r="3259" spans="1:12" x14ac:dyDescent="0.25">
      <c r="A3259" s="20">
        <v>3251</v>
      </c>
      <c r="B3259" s="21">
        <f t="shared" ca="1" si="552"/>
        <v>0.63872697706141901</v>
      </c>
      <c r="C3259" s="21">
        <f t="shared" ca="1" si="557"/>
        <v>9977.7551870115312</v>
      </c>
      <c r="D3259" s="21">
        <f t="shared" ca="1" si="553"/>
        <v>3.3634322458050541</v>
      </c>
      <c r="E3259" s="21">
        <f t="shared" ca="1" si="560"/>
        <v>7.5552246595216275</v>
      </c>
      <c r="F3259" s="20" t="str">
        <f t="shared" ca="1" si="558"/>
        <v>No</v>
      </c>
      <c r="G3259" s="21">
        <f t="shared" ca="1" si="554"/>
        <v>0</v>
      </c>
      <c r="H3259" s="21">
        <f t="shared" ca="1" si="555"/>
        <v>9985.3104116710529</v>
      </c>
      <c r="I3259" s="21">
        <f t="shared" ca="1" si="550"/>
        <v>9988.6738439168585</v>
      </c>
      <c r="J3259" s="20">
        <f t="shared" ca="1" si="559"/>
        <v>6</v>
      </c>
      <c r="K3259" s="20">
        <f t="shared" ca="1" si="551"/>
        <v>5</v>
      </c>
      <c r="L3259" s="44">
        <f t="shared" ca="1" si="556"/>
        <v>5.5</v>
      </c>
    </row>
    <row r="3260" spans="1:12" x14ac:dyDescent="0.25">
      <c r="A3260" s="20">
        <v>3252</v>
      </c>
      <c r="B3260" s="21">
        <f t="shared" ca="1" si="552"/>
        <v>1.141425033210983</v>
      </c>
      <c r="C3260" s="21">
        <f t="shared" ca="1" si="557"/>
        <v>9978.8966120447421</v>
      </c>
      <c r="D3260" s="21">
        <f t="shared" ca="1" si="553"/>
        <v>1.0165693713313724</v>
      </c>
      <c r="E3260" s="21">
        <f t="shared" ca="1" si="560"/>
        <v>9.7772318721163174</v>
      </c>
      <c r="F3260" s="20" t="str">
        <f t="shared" ca="1" si="558"/>
        <v>No</v>
      </c>
      <c r="G3260" s="21">
        <f t="shared" ca="1" si="554"/>
        <v>0</v>
      </c>
      <c r="H3260" s="21">
        <f t="shared" ca="1" si="555"/>
        <v>9988.6738439168585</v>
      </c>
      <c r="I3260" s="21">
        <f t="shared" ca="1" si="550"/>
        <v>9989.69041328819</v>
      </c>
      <c r="J3260" s="20">
        <f t="shared" ca="1" si="559"/>
        <v>6</v>
      </c>
      <c r="K3260" s="20">
        <f t="shared" ca="1" si="551"/>
        <v>5</v>
      </c>
      <c r="L3260" s="44">
        <f t="shared" ca="1" si="556"/>
        <v>5.5</v>
      </c>
    </row>
    <row r="3261" spans="1:12" x14ac:dyDescent="0.25">
      <c r="A3261" s="20">
        <v>3253</v>
      </c>
      <c r="B3261" s="21">
        <f t="shared" ca="1" si="552"/>
        <v>4.3544094357288738</v>
      </c>
      <c r="C3261" s="21">
        <f t="shared" ca="1" si="557"/>
        <v>9983.2510214804715</v>
      </c>
      <c r="D3261" s="21">
        <f t="shared" ca="1" si="553"/>
        <v>0.49898228909362297</v>
      </c>
      <c r="E3261" s="21">
        <f t="shared" ca="1" si="560"/>
        <v>6.4393918077184935</v>
      </c>
      <c r="F3261" s="20" t="str">
        <f t="shared" ca="1" si="558"/>
        <v>No</v>
      </c>
      <c r="G3261" s="21">
        <f t="shared" ca="1" si="554"/>
        <v>0</v>
      </c>
      <c r="H3261" s="21">
        <f t="shared" ca="1" si="555"/>
        <v>9989.69041328819</v>
      </c>
      <c r="I3261" s="21">
        <f t="shared" ca="1" si="550"/>
        <v>9990.189395577283</v>
      </c>
      <c r="J3261" s="20">
        <f t="shared" ca="1" si="559"/>
        <v>6</v>
      </c>
      <c r="K3261" s="20">
        <f t="shared" ca="1" si="551"/>
        <v>4</v>
      </c>
      <c r="L3261" s="44">
        <f t="shared" ca="1" si="556"/>
        <v>5</v>
      </c>
    </row>
    <row r="3262" spans="1:12" x14ac:dyDescent="0.25">
      <c r="A3262" s="20">
        <v>3254</v>
      </c>
      <c r="B3262" s="21">
        <f t="shared" ca="1" si="552"/>
        <v>0.2388350859875161</v>
      </c>
      <c r="C3262" s="21">
        <f t="shared" ca="1" si="557"/>
        <v>9983.4898565664589</v>
      </c>
      <c r="D3262" s="21">
        <f t="shared" ca="1" si="553"/>
        <v>2.6452929257616975</v>
      </c>
      <c r="E3262" s="21">
        <f t="shared" ca="1" si="560"/>
        <v>6.6995390108240827</v>
      </c>
      <c r="F3262" s="20" t="str">
        <f t="shared" ca="1" si="558"/>
        <v>No</v>
      </c>
      <c r="G3262" s="21">
        <f t="shared" ca="1" si="554"/>
        <v>0</v>
      </c>
      <c r="H3262" s="21">
        <f t="shared" ca="1" si="555"/>
        <v>9990.189395577283</v>
      </c>
      <c r="I3262" s="21">
        <f t="shared" ca="1" si="550"/>
        <v>9992.8346885030442</v>
      </c>
      <c r="J3262" s="20">
        <f t="shared" ca="1" si="559"/>
        <v>5</v>
      </c>
      <c r="K3262" s="20">
        <f t="shared" ca="1" si="551"/>
        <v>4</v>
      </c>
      <c r="L3262" s="44">
        <f t="shared" ca="1" si="556"/>
        <v>4.5</v>
      </c>
    </row>
    <row r="3263" spans="1:12" x14ac:dyDescent="0.25">
      <c r="A3263" s="20">
        <v>3255</v>
      </c>
      <c r="B3263" s="21">
        <f t="shared" ca="1" si="552"/>
        <v>1.5135971034351017</v>
      </c>
      <c r="C3263" s="21">
        <f t="shared" ca="1" si="557"/>
        <v>9985.0034536698931</v>
      </c>
      <c r="D3263" s="21">
        <f t="shared" ca="1" si="553"/>
        <v>8.6005387582530073</v>
      </c>
      <c r="E3263" s="21">
        <f t="shared" ca="1" si="560"/>
        <v>7.8312348331510293</v>
      </c>
      <c r="F3263" s="20" t="str">
        <f t="shared" ca="1" si="558"/>
        <v>No</v>
      </c>
      <c r="G3263" s="21">
        <f t="shared" ca="1" si="554"/>
        <v>0</v>
      </c>
      <c r="H3263" s="21">
        <f t="shared" ca="1" si="555"/>
        <v>9992.8346885030442</v>
      </c>
      <c r="I3263" s="21">
        <f t="shared" ca="1" si="550"/>
        <v>10001.435227261298</v>
      </c>
      <c r="J3263" s="20">
        <f t="shared" ca="1" si="559"/>
        <v>5</v>
      </c>
      <c r="K3263" s="20">
        <f t="shared" ca="1" si="551"/>
        <v>5</v>
      </c>
      <c r="L3263" s="44">
        <f t="shared" ca="1" si="556"/>
        <v>5</v>
      </c>
    </row>
    <row r="3264" spans="1:12" x14ac:dyDescent="0.25">
      <c r="A3264" s="20">
        <v>3256</v>
      </c>
      <c r="B3264" s="21">
        <f t="shared" ca="1" si="552"/>
        <v>3.0496809805455181</v>
      </c>
      <c r="C3264" s="21">
        <f t="shared" ca="1" si="557"/>
        <v>9988.0531346504395</v>
      </c>
      <c r="D3264" s="21">
        <f t="shared" ca="1" si="553"/>
        <v>0.35707835104231866</v>
      </c>
      <c r="E3264" s="21">
        <f t="shared" ca="1" si="560"/>
        <v>13.382092610858308</v>
      </c>
      <c r="F3264" s="20" t="str">
        <f t="shared" ca="1" si="558"/>
        <v>No</v>
      </c>
      <c r="G3264" s="21">
        <f t="shared" ca="1" si="554"/>
        <v>0</v>
      </c>
      <c r="H3264" s="21">
        <f t="shared" ca="1" si="555"/>
        <v>10001.435227261298</v>
      </c>
      <c r="I3264" s="21">
        <f t="shared" ca="1" si="550"/>
        <v>10001.79230561234</v>
      </c>
      <c r="J3264" s="20">
        <f t="shared" ca="1" si="559"/>
        <v>6</v>
      </c>
      <c r="K3264" s="20">
        <f t="shared" ca="1" si="551"/>
        <v>5</v>
      </c>
      <c r="L3264" s="44">
        <f t="shared" ca="1" si="556"/>
        <v>5.5</v>
      </c>
    </row>
    <row r="3265" spans="1:12" x14ac:dyDescent="0.25">
      <c r="A3265" s="20">
        <v>3257</v>
      </c>
      <c r="B3265" s="21">
        <f t="shared" ca="1" si="552"/>
        <v>1.0918679861800002</v>
      </c>
      <c r="C3265" s="21">
        <f t="shared" ca="1" si="557"/>
        <v>9989.1450026366201</v>
      </c>
      <c r="D3265" s="21">
        <f t="shared" ca="1" si="553"/>
        <v>5.6709557599892007</v>
      </c>
      <c r="E3265" s="21">
        <f t="shared" ca="1" si="560"/>
        <v>12.647302975719867</v>
      </c>
      <c r="F3265" s="20" t="str">
        <f t="shared" ca="1" si="558"/>
        <v>No</v>
      </c>
      <c r="G3265" s="21">
        <f t="shared" ca="1" si="554"/>
        <v>0</v>
      </c>
      <c r="H3265" s="21">
        <f t="shared" ca="1" si="555"/>
        <v>10001.79230561234</v>
      </c>
      <c r="I3265" s="21">
        <f t="shared" ca="1" si="550"/>
        <v>10007.46326137233</v>
      </c>
      <c r="J3265" s="20">
        <f t="shared" ca="1" si="559"/>
        <v>6</v>
      </c>
      <c r="K3265" s="20">
        <f t="shared" ca="1" si="551"/>
        <v>5</v>
      </c>
      <c r="L3265" s="44">
        <f t="shared" ca="1" si="556"/>
        <v>5.5</v>
      </c>
    </row>
    <row r="3266" spans="1:12" x14ac:dyDescent="0.25">
      <c r="A3266" s="20">
        <v>3258</v>
      </c>
      <c r="B3266" s="21">
        <f t="shared" ca="1" si="552"/>
        <v>2.9603087606795726</v>
      </c>
      <c r="C3266" s="21">
        <f t="shared" ca="1" si="557"/>
        <v>9992.1053113972994</v>
      </c>
      <c r="D3266" s="21">
        <f t="shared" ca="1" si="553"/>
        <v>1.0286190659357892</v>
      </c>
      <c r="E3266" s="21">
        <f t="shared" ca="1" si="560"/>
        <v>15.357949975030351</v>
      </c>
      <c r="F3266" s="20" t="str">
        <f t="shared" ca="1" si="558"/>
        <v>No</v>
      </c>
      <c r="G3266" s="21">
        <f t="shared" ca="1" si="554"/>
        <v>0</v>
      </c>
      <c r="H3266" s="21">
        <f t="shared" ca="1" si="555"/>
        <v>10007.46326137233</v>
      </c>
      <c r="I3266" s="21">
        <f t="shared" ca="1" si="550"/>
        <v>10008.491880438265</v>
      </c>
      <c r="J3266" s="20">
        <f t="shared" ca="1" si="559"/>
        <v>6</v>
      </c>
      <c r="K3266" s="20">
        <f t="shared" ca="1" si="551"/>
        <v>5</v>
      </c>
      <c r="L3266" s="44">
        <f t="shared" ca="1" si="556"/>
        <v>5.5</v>
      </c>
    </row>
    <row r="3267" spans="1:12" x14ac:dyDescent="0.25">
      <c r="A3267" s="20">
        <v>3259</v>
      </c>
      <c r="B3267" s="21">
        <f t="shared" ca="1" si="552"/>
        <v>5.2267486734303015</v>
      </c>
      <c r="C3267" s="21">
        <f t="shared" ca="1" si="557"/>
        <v>9997.3320600707302</v>
      </c>
      <c r="D3267" s="21">
        <f t="shared" ca="1" si="553"/>
        <v>0.49695010954045832</v>
      </c>
      <c r="E3267" s="21">
        <f t="shared" ca="1" si="560"/>
        <v>11.159820367534849</v>
      </c>
      <c r="F3267" s="20" t="str">
        <f t="shared" ca="1" si="558"/>
        <v>No</v>
      </c>
      <c r="G3267" s="21">
        <f t="shared" ca="1" si="554"/>
        <v>0</v>
      </c>
      <c r="H3267" s="21">
        <f t="shared" ca="1" si="555"/>
        <v>10008.491880438265</v>
      </c>
      <c r="I3267" s="21">
        <f t="shared" ca="1" si="550"/>
        <v>10008.988830547805</v>
      </c>
      <c r="J3267" s="20">
        <f t="shared" ca="1" si="559"/>
        <v>6</v>
      </c>
      <c r="K3267" s="20">
        <f t="shared" ca="1" si="551"/>
        <v>5</v>
      </c>
      <c r="L3267" s="44">
        <f t="shared" ca="1" si="556"/>
        <v>5.5</v>
      </c>
    </row>
    <row r="3268" spans="1:12" x14ac:dyDescent="0.25">
      <c r="A3268" s="20">
        <v>3260</v>
      </c>
      <c r="B3268" s="21">
        <f t="shared" ca="1" si="552"/>
        <v>0.26221305249121729</v>
      </c>
      <c r="C3268" s="21">
        <f t="shared" ca="1" si="557"/>
        <v>9997.5942731232208</v>
      </c>
      <c r="D3268" s="21">
        <f t="shared" ca="1" si="553"/>
        <v>3.0027213621968349</v>
      </c>
      <c r="E3268" s="21">
        <f t="shared" ca="1" si="560"/>
        <v>11.394557424584491</v>
      </c>
      <c r="F3268" s="20" t="str">
        <f t="shared" ca="1" si="558"/>
        <v>No</v>
      </c>
      <c r="G3268" s="21">
        <f t="shared" ca="1" si="554"/>
        <v>0</v>
      </c>
      <c r="H3268" s="21">
        <f t="shared" ca="1" si="555"/>
        <v>10008.988830547805</v>
      </c>
      <c r="I3268" s="21">
        <f t="shared" ca="1" si="550"/>
        <v>10011.991551910001</v>
      </c>
      <c r="J3268" s="20">
        <f t="shared" ca="1" si="559"/>
        <v>6</v>
      </c>
      <c r="K3268" s="20">
        <f t="shared" ca="1" si="551"/>
        <v>5</v>
      </c>
      <c r="L3268" s="44">
        <f t="shared" ca="1" si="556"/>
        <v>5.5</v>
      </c>
    </row>
    <row r="3269" spans="1:12" x14ac:dyDescent="0.25">
      <c r="A3269" s="20">
        <v>3261</v>
      </c>
      <c r="B3269" s="21">
        <f t="shared" ca="1" si="552"/>
        <v>2.4436634036454912</v>
      </c>
      <c r="C3269" s="21">
        <f t="shared" ca="1" si="557"/>
        <v>10000.037936526865</v>
      </c>
      <c r="D3269" s="21">
        <f t="shared" ca="1" si="553"/>
        <v>1.6337076046041183</v>
      </c>
      <c r="E3269" s="21">
        <f t="shared" ca="1" si="560"/>
        <v>11.953615383135912</v>
      </c>
      <c r="F3269" s="20" t="str">
        <f t="shared" ca="1" si="558"/>
        <v>No</v>
      </c>
      <c r="G3269" s="21">
        <f t="shared" ca="1" si="554"/>
        <v>0</v>
      </c>
      <c r="H3269" s="21">
        <f t="shared" ca="1" si="555"/>
        <v>10011.991551910001</v>
      </c>
      <c r="I3269" s="21">
        <f t="shared" ca="1" si="550"/>
        <v>10013.625259514605</v>
      </c>
      <c r="J3269" s="20">
        <f t="shared" ca="1" si="559"/>
        <v>6</v>
      </c>
      <c r="K3269" s="20">
        <f t="shared" ca="1" si="551"/>
        <v>5</v>
      </c>
      <c r="L3269" s="44">
        <f t="shared" ca="1" si="556"/>
        <v>5.5</v>
      </c>
    </row>
    <row r="3270" spans="1:12" x14ac:dyDescent="0.25">
      <c r="A3270" s="20">
        <v>3262</v>
      </c>
      <c r="B3270" s="21">
        <f t="shared" ca="1" si="552"/>
        <v>4.3297028998832738</v>
      </c>
      <c r="C3270" s="21">
        <f t="shared" ca="1" si="557"/>
        <v>10004.36763942675</v>
      </c>
      <c r="D3270" s="21">
        <f t="shared" ca="1" si="553"/>
        <v>0.8562800825111424</v>
      </c>
      <c r="E3270" s="21">
        <f t="shared" ca="1" si="560"/>
        <v>9.2576200878556847</v>
      </c>
      <c r="F3270" s="20" t="str">
        <f t="shared" ca="1" si="558"/>
        <v>No</v>
      </c>
      <c r="G3270" s="21">
        <f t="shared" ca="1" si="554"/>
        <v>0</v>
      </c>
      <c r="H3270" s="21">
        <f t="shared" ca="1" si="555"/>
        <v>10013.625259514605</v>
      </c>
      <c r="I3270" s="21">
        <f t="shared" ca="1" si="550"/>
        <v>10014.481539597116</v>
      </c>
      <c r="J3270" s="20">
        <f t="shared" ca="1" si="559"/>
        <v>6</v>
      </c>
      <c r="K3270" s="20">
        <f t="shared" ca="1" si="551"/>
        <v>5</v>
      </c>
      <c r="L3270" s="44">
        <f t="shared" ca="1" si="556"/>
        <v>5.5</v>
      </c>
    </row>
    <row r="3271" spans="1:12" x14ac:dyDescent="0.25">
      <c r="A3271" s="20">
        <v>3263</v>
      </c>
      <c r="B3271" s="21">
        <f t="shared" ca="1" si="552"/>
        <v>0.81007053435646725</v>
      </c>
      <c r="C3271" s="21">
        <f t="shared" ca="1" si="557"/>
        <v>10005.177709961106</v>
      </c>
      <c r="D3271" s="21">
        <f t="shared" ca="1" si="553"/>
        <v>2.5113416920776874</v>
      </c>
      <c r="E3271" s="21">
        <f t="shared" ca="1" si="560"/>
        <v>9.3038296360100503</v>
      </c>
      <c r="F3271" s="20" t="str">
        <f t="shared" ca="1" si="558"/>
        <v>No</v>
      </c>
      <c r="G3271" s="21">
        <f t="shared" ca="1" si="554"/>
        <v>0</v>
      </c>
      <c r="H3271" s="21">
        <f t="shared" ca="1" si="555"/>
        <v>10014.481539597116</v>
      </c>
      <c r="I3271" s="21">
        <f t="shared" ca="1" si="550"/>
        <v>10016.992881289194</v>
      </c>
      <c r="J3271" s="20">
        <f t="shared" ca="1" si="559"/>
        <v>6</v>
      </c>
      <c r="K3271" s="20">
        <f t="shared" ca="1" si="551"/>
        <v>5</v>
      </c>
      <c r="L3271" s="44">
        <f t="shared" ca="1" si="556"/>
        <v>5.5</v>
      </c>
    </row>
    <row r="3272" spans="1:12" x14ac:dyDescent="0.25">
      <c r="A3272" s="20">
        <v>3264</v>
      </c>
      <c r="B3272" s="21">
        <f t="shared" ca="1" si="552"/>
        <v>0.19042931465471194</v>
      </c>
      <c r="C3272" s="21">
        <f t="shared" ca="1" si="557"/>
        <v>10005.368139275761</v>
      </c>
      <c r="D3272" s="21">
        <f t="shared" ca="1" si="553"/>
        <v>7.2147378503127655</v>
      </c>
      <c r="E3272" s="21">
        <f t="shared" ca="1" si="560"/>
        <v>11.624742013433206</v>
      </c>
      <c r="F3272" s="20" t="str">
        <f t="shared" ca="1" si="558"/>
        <v>No</v>
      </c>
      <c r="G3272" s="21">
        <f t="shared" ca="1" si="554"/>
        <v>0</v>
      </c>
      <c r="H3272" s="21">
        <f t="shared" ca="1" si="555"/>
        <v>10016.992881289194</v>
      </c>
      <c r="I3272" s="21">
        <f t="shared" ca="1" si="550"/>
        <v>10024.207619139506</v>
      </c>
      <c r="J3272" s="20">
        <f t="shared" ca="1" si="559"/>
        <v>6</v>
      </c>
      <c r="K3272" s="20">
        <f t="shared" ca="1" si="551"/>
        <v>5</v>
      </c>
      <c r="L3272" s="44">
        <f t="shared" ca="1" si="556"/>
        <v>5.5</v>
      </c>
    </row>
    <row r="3273" spans="1:12" x14ac:dyDescent="0.25">
      <c r="A3273" s="20">
        <v>3265</v>
      </c>
      <c r="B3273" s="21">
        <f t="shared" ca="1" si="552"/>
        <v>1.5973947556215149E-2</v>
      </c>
      <c r="C3273" s="21">
        <f t="shared" ca="1" si="557"/>
        <v>10005.384113223317</v>
      </c>
      <c r="D3273" s="21">
        <f t="shared" ca="1" si="553"/>
        <v>3.4840693623781269</v>
      </c>
      <c r="E3273" s="21">
        <f t="shared" ca="1" si="560"/>
        <v>18.823505916188878</v>
      </c>
      <c r="F3273" s="20" t="str">
        <f t="shared" ca="1" si="558"/>
        <v>No</v>
      </c>
      <c r="G3273" s="21">
        <f t="shared" ca="1" si="554"/>
        <v>0</v>
      </c>
      <c r="H3273" s="21">
        <f t="shared" ca="1" si="555"/>
        <v>10024.207619139506</v>
      </c>
      <c r="I3273" s="21">
        <f t="shared" ref="I3273:I3336" ca="1" si="561">$H3273+$D3273</f>
        <v>10027.691688501884</v>
      </c>
      <c r="J3273" s="20">
        <f t="shared" ca="1" si="559"/>
        <v>6</v>
      </c>
      <c r="K3273" s="20">
        <f t="shared" ref="K3273:K3336" ca="1" si="562">IF($I3273&lt;=$C3274,0,IF($I3273&lt;=$C3275,1,IF($I3273&lt;=$C3276,2,IF($I3273&lt;=$C3277,3,IF($I3273&lt;=$C3278,4,5)))))</f>
        <v>5</v>
      </c>
      <c r="L3273" s="44">
        <f t="shared" ca="1" si="556"/>
        <v>5.5</v>
      </c>
    </row>
    <row r="3274" spans="1:12" x14ac:dyDescent="0.25">
      <c r="A3274" s="20">
        <v>3266</v>
      </c>
      <c r="B3274" s="21">
        <f t="shared" ref="B3274:B3337" ca="1" si="563">-LN(RAND())/$D$4</f>
        <v>1.799923869538524</v>
      </c>
      <c r="C3274" s="21">
        <f t="shared" ca="1" si="557"/>
        <v>10007.184037092857</v>
      </c>
      <c r="D3274" s="21">
        <f t="shared" ref="D3274:D3337" ca="1" si="564">-LN(RAND())/$D$6</f>
        <v>0.44165365053642336</v>
      </c>
      <c r="E3274" s="21">
        <f t="shared" ca="1" si="560"/>
        <v>20.507651409026948</v>
      </c>
      <c r="F3274" s="20" t="str">
        <f t="shared" ca="1" si="558"/>
        <v>No</v>
      </c>
      <c r="G3274" s="21">
        <f t="shared" ref="G3274:G3337" ca="1" si="565">IF($I3273&lt;=$C3274,$C3274-$I3273,0)</f>
        <v>0</v>
      </c>
      <c r="H3274" s="21">
        <f t="shared" ref="H3274:H3337" ca="1" si="566">IF($I3273&lt;=$C3274,$C3274,$I3273)</f>
        <v>10027.691688501884</v>
      </c>
      <c r="I3274" s="21">
        <f t="shared" ca="1" si="561"/>
        <v>10028.13334215242</v>
      </c>
      <c r="J3274" s="20">
        <f t="shared" ca="1" si="559"/>
        <v>6</v>
      </c>
      <c r="K3274" s="20">
        <f t="shared" ca="1" si="562"/>
        <v>5</v>
      </c>
      <c r="L3274" s="44">
        <f t="shared" ref="L3274:L3337" ca="1" si="567">(J3274+K3274)/2</f>
        <v>5.5</v>
      </c>
    </row>
    <row r="3275" spans="1:12" x14ac:dyDescent="0.25">
      <c r="A3275" s="20">
        <v>3267</v>
      </c>
      <c r="B3275" s="21">
        <f t="shared" ca="1" si="563"/>
        <v>4.0683591567185386</v>
      </c>
      <c r="C3275" s="21">
        <f t="shared" ref="C3275:C3338" ca="1" si="568">$C3274+$B3275</f>
        <v>10011.252396249574</v>
      </c>
      <c r="D3275" s="21">
        <f t="shared" ca="1" si="564"/>
        <v>0.46406740612789255</v>
      </c>
      <c r="E3275" s="21">
        <f t="shared" ca="1" si="560"/>
        <v>16.880945902845269</v>
      </c>
      <c r="F3275" s="20" t="str">
        <f t="shared" ref="F3275:F3338" ca="1" si="569">IF(E3275=0,"Yes","No")</f>
        <v>No</v>
      </c>
      <c r="G3275" s="21">
        <f t="shared" ca="1" si="565"/>
        <v>0</v>
      </c>
      <c r="H3275" s="21">
        <f t="shared" ca="1" si="566"/>
        <v>10028.13334215242</v>
      </c>
      <c r="I3275" s="21">
        <f t="shared" ca="1" si="561"/>
        <v>10028.597409558548</v>
      </c>
      <c r="J3275" s="20">
        <f t="shared" ref="J3275:J3338" ca="1" si="570">IF($I3274&lt;=$C3275,0,$K3274+1)</f>
        <v>6</v>
      </c>
      <c r="K3275" s="20">
        <f t="shared" ca="1" si="562"/>
        <v>5</v>
      </c>
      <c r="L3275" s="44">
        <f t="shared" ca="1" si="567"/>
        <v>5.5</v>
      </c>
    </row>
    <row r="3276" spans="1:12" x14ac:dyDescent="0.25">
      <c r="A3276" s="20">
        <v>3268</v>
      </c>
      <c r="B3276" s="21">
        <f t="shared" ca="1" si="563"/>
        <v>3.8093510785578357</v>
      </c>
      <c r="C3276" s="21">
        <f t="shared" ca="1" si="568"/>
        <v>10015.061747328133</v>
      </c>
      <c r="D3276" s="21">
        <f t="shared" ca="1" si="564"/>
        <v>3.4295721197241722</v>
      </c>
      <c r="E3276" s="21">
        <f t="shared" ref="E3276:E3339" ca="1" si="571">IF($I3275&lt;=$C3276,0,$I3275-$C3276)</f>
        <v>13.535662230415255</v>
      </c>
      <c r="F3276" s="20" t="str">
        <f t="shared" ca="1" si="569"/>
        <v>No</v>
      </c>
      <c r="G3276" s="21">
        <f t="shared" ca="1" si="565"/>
        <v>0</v>
      </c>
      <c r="H3276" s="21">
        <f t="shared" ca="1" si="566"/>
        <v>10028.597409558548</v>
      </c>
      <c r="I3276" s="21">
        <f t="shared" ca="1" si="561"/>
        <v>10032.026981678273</v>
      </c>
      <c r="J3276" s="20">
        <f t="shared" ca="1" si="570"/>
        <v>6</v>
      </c>
      <c r="K3276" s="20">
        <f t="shared" ca="1" si="562"/>
        <v>5</v>
      </c>
      <c r="L3276" s="44">
        <f t="shared" ca="1" si="567"/>
        <v>5.5</v>
      </c>
    </row>
    <row r="3277" spans="1:12" x14ac:dyDescent="0.25">
      <c r="A3277" s="20">
        <v>3269</v>
      </c>
      <c r="B3277" s="21">
        <f t="shared" ca="1" si="563"/>
        <v>0.83257965820475255</v>
      </c>
      <c r="C3277" s="21">
        <f t="shared" ca="1" si="568"/>
        <v>10015.894326986338</v>
      </c>
      <c r="D3277" s="21">
        <f t="shared" ca="1" si="564"/>
        <v>1.9655697837062125</v>
      </c>
      <c r="E3277" s="21">
        <f t="shared" ca="1" si="571"/>
        <v>16.132654691935386</v>
      </c>
      <c r="F3277" s="20" t="str">
        <f t="shared" ca="1" si="569"/>
        <v>No</v>
      </c>
      <c r="G3277" s="21">
        <f t="shared" ca="1" si="565"/>
        <v>0</v>
      </c>
      <c r="H3277" s="21">
        <f t="shared" ca="1" si="566"/>
        <v>10032.026981678273</v>
      </c>
      <c r="I3277" s="21">
        <f t="shared" ca="1" si="561"/>
        <v>10033.992551461979</v>
      </c>
      <c r="J3277" s="20">
        <f t="shared" ca="1" si="570"/>
        <v>6</v>
      </c>
      <c r="K3277" s="20">
        <f t="shared" ca="1" si="562"/>
        <v>5</v>
      </c>
      <c r="L3277" s="44">
        <f t="shared" ca="1" si="567"/>
        <v>5.5</v>
      </c>
    </row>
    <row r="3278" spans="1:12" x14ac:dyDescent="0.25">
      <c r="A3278" s="20">
        <v>3270</v>
      </c>
      <c r="B3278" s="21">
        <f t="shared" ca="1" si="563"/>
        <v>0.14549650243482082</v>
      </c>
      <c r="C3278" s="21">
        <f t="shared" ca="1" si="568"/>
        <v>10016.039823488773</v>
      </c>
      <c r="D3278" s="21">
        <f t="shared" ca="1" si="564"/>
        <v>0.74912651576341915</v>
      </c>
      <c r="E3278" s="21">
        <f t="shared" ca="1" si="571"/>
        <v>17.952727973206493</v>
      </c>
      <c r="F3278" s="20" t="str">
        <f t="shared" ca="1" si="569"/>
        <v>No</v>
      </c>
      <c r="G3278" s="21">
        <f t="shared" ca="1" si="565"/>
        <v>0</v>
      </c>
      <c r="H3278" s="21">
        <f t="shared" ca="1" si="566"/>
        <v>10033.992551461979</v>
      </c>
      <c r="I3278" s="21">
        <f t="shared" ca="1" si="561"/>
        <v>10034.741677977743</v>
      </c>
      <c r="J3278" s="20">
        <f t="shared" ca="1" si="570"/>
        <v>6</v>
      </c>
      <c r="K3278" s="20">
        <f t="shared" ca="1" si="562"/>
        <v>5</v>
      </c>
      <c r="L3278" s="44">
        <f t="shared" ca="1" si="567"/>
        <v>5.5</v>
      </c>
    </row>
    <row r="3279" spans="1:12" x14ac:dyDescent="0.25">
      <c r="A3279" s="20">
        <v>3271</v>
      </c>
      <c r="B3279" s="21">
        <f t="shared" ca="1" si="563"/>
        <v>0.20257369156301916</v>
      </c>
      <c r="C3279" s="21">
        <f t="shared" ca="1" si="568"/>
        <v>10016.242397180336</v>
      </c>
      <c r="D3279" s="21">
        <f t="shared" ca="1" si="564"/>
        <v>1.0526587791830655</v>
      </c>
      <c r="E3279" s="21">
        <f t="shared" ca="1" si="571"/>
        <v>18.499280797406755</v>
      </c>
      <c r="F3279" s="20" t="str">
        <f t="shared" ca="1" si="569"/>
        <v>No</v>
      </c>
      <c r="G3279" s="21">
        <f t="shared" ca="1" si="565"/>
        <v>0</v>
      </c>
      <c r="H3279" s="21">
        <f t="shared" ca="1" si="566"/>
        <v>10034.741677977743</v>
      </c>
      <c r="I3279" s="21">
        <f t="shared" ca="1" si="561"/>
        <v>10035.794336756926</v>
      </c>
      <c r="J3279" s="20">
        <f t="shared" ca="1" si="570"/>
        <v>6</v>
      </c>
      <c r="K3279" s="20">
        <f t="shared" ca="1" si="562"/>
        <v>5</v>
      </c>
      <c r="L3279" s="44">
        <f t="shared" ca="1" si="567"/>
        <v>5.5</v>
      </c>
    </row>
    <row r="3280" spans="1:12" x14ac:dyDescent="0.25">
      <c r="A3280" s="20">
        <v>3272</v>
      </c>
      <c r="B3280" s="21">
        <f t="shared" ca="1" si="563"/>
        <v>0.88855526220702119</v>
      </c>
      <c r="C3280" s="21">
        <f t="shared" ca="1" si="568"/>
        <v>10017.130952442543</v>
      </c>
      <c r="D3280" s="21">
        <f t="shared" ca="1" si="564"/>
        <v>2.4033731389194308</v>
      </c>
      <c r="E3280" s="21">
        <f t="shared" ca="1" si="571"/>
        <v>18.663384314382711</v>
      </c>
      <c r="F3280" s="20" t="str">
        <f t="shared" ca="1" si="569"/>
        <v>No</v>
      </c>
      <c r="G3280" s="21">
        <f t="shared" ca="1" si="565"/>
        <v>0</v>
      </c>
      <c r="H3280" s="21">
        <f t="shared" ca="1" si="566"/>
        <v>10035.794336756926</v>
      </c>
      <c r="I3280" s="21">
        <f t="shared" ca="1" si="561"/>
        <v>10038.197709895845</v>
      </c>
      <c r="J3280" s="20">
        <f t="shared" ca="1" si="570"/>
        <v>6</v>
      </c>
      <c r="K3280" s="20">
        <f t="shared" ca="1" si="562"/>
        <v>5</v>
      </c>
      <c r="L3280" s="44">
        <f t="shared" ca="1" si="567"/>
        <v>5.5</v>
      </c>
    </row>
    <row r="3281" spans="1:12" x14ac:dyDescent="0.25">
      <c r="A3281" s="20">
        <v>3273</v>
      </c>
      <c r="B3281" s="21">
        <f t="shared" ca="1" si="563"/>
        <v>2.4261793504563007</v>
      </c>
      <c r="C3281" s="21">
        <f t="shared" ca="1" si="568"/>
        <v>10019.557131792999</v>
      </c>
      <c r="D3281" s="21">
        <f t="shared" ca="1" si="564"/>
        <v>0.86572531957858201</v>
      </c>
      <c r="E3281" s="21">
        <f t="shared" ca="1" si="571"/>
        <v>18.640578102846121</v>
      </c>
      <c r="F3281" s="20" t="str">
        <f t="shared" ca="1" si="569"/>
        <v>No</v>
      </c>
      <c r="G3281" s="21">
        <f t="shared" ca="1" si="565"/>
        <v>0</v>
      </c>
      <c r="H3281" s="21">
        <f t="shared" ca="1" si="566"/>
        <v>10038.197709895845</v>
      </c>
      <c r="I3281" s="21">
        <f t="shared" ca="1" si="561"/>
        <v>10039.063435215423</v>
      </c>
      <c r="J3281" s="20">
        <f t="shared" ca="1" si="570"/>
        <v>6</v>
      </c>
      <c r="K3281" s="20">
        <f t="shared" ca="1" si="562"/>
        <v>5</v>
      </c>
      <c r="L3281" s="44">
        <f t="shared" ca="1" si="567"/>
        <v>5.5</v>
      </c>
    </row>
    <row r="3282" spans="1:12" x14ac:dyDescent="0.25">
      <c r="A3282" s="20">
        <v>3274</v>
      </c>
      <c r="B3282" s="21">
        <f t="shared" ca="1" si="563"/>
        <v>1.7407396723668109</v>
      </c>
      <c r="C3282" s="21">
        <f t="shared" ca="1" si="568"/>
        <v>10021.297871465365</v>
      </c>
      <c r="D3282" s="21">
        <f t="shared" ca="1" si="564"/>
        <v>1.0796729426879732</v>
      </c>
      <c r="E3282" s="21">
        <f t="shared" ca="1" si="571"/>
        <v>17.765563750057481</v>
      </c>
      <c r="F3282" s="20" t="str">
        <f t="shared" ca="1" si="569"/>
        <v>No</v>
      </c>
      <c r="G3282" s="21">
        <f t="shared" ca="1" si="565"/>
        <v>0</v>
      </c>
      <c r="H3282" s="21">
        <f t="shared" ca="1" si="566"/>
        <v>10039.063435215423</v>
      </c>
      <c r="I3282" s="21">
        <f t="shared" ca="1" si="561"/>
        <v>10040.14310815811</v>
      </c>
      <c r="J3282" s="20">
        <f t="shared" ca="1" si="570"/>
        <v>6</v>
      </c>
      <c r="K3282" s="20">
        <f t="shared" ca="1" si="562"/>
        <v>5</v>
      </c>
      <c r="L3282" s="44">
        <f t="shared" ca="1" si="567"/>
        <v>5.5</v>
      </c>
    </row>
    <row r="3283" spans="1:12" x14ac:dyDescent="0.25">
      <c r="A3283" s="20">
        <v>3275</v>
      </c>
      <c r="B3283" s="21">
        <f t="shared" ca="1" si="563"/>
        <v>4.2326359176714847</v>
      </c>
      <c r="C3283" s="21">
        <f t="shared" ca="1" si="568"/>
        <v>10025.530507383037</v>
      </c>
      <c r="D3283" s="21">
        <f t="shared" ca="1" si="564"/>
        <v>1.0734216688222771</v>
      </c>
      <c r="E3283" s="21">
        <f t="shared" ca="1" si="571"/>
        <v>14.612600775073588</v>
      </c>
      <c r="F3283" s="20" t="str">
        <f t="shared" ca="1" si="569"/>
        <v>No</v>
      </c>
      <c r="G3283" s="21">
        <f t="shared" ca="1" si="565"/>
        <v>0</v>
      </c>
      <c r="H3283" s="21">
        <f t="shared" ca="1" si="566"/>
        <v>10040.14310815811</v>
      </c>
      <c r="I3283" s="21">
        <f t="shared" ca="1" si="561"/>
        <v>10041.216529826932</v>
      </c>
      <c r="J3283" s="20">
        <f t="shared" ca="1" si="570"/>
        <v>6</v>
      </c>
      <c r="K3283" s="20">
        <f t="shared" ca="1" si="562"/>
        <v>5</v>
      </c>
      <c r="L3283" s="44">
        <f t="shared" ca="1" si="567"/>
        <v>5.5</v>
      </c>
    </row>
    <row r="3284" spans="1:12" x14ac:dyDescent="0.25">
      <c r="A3284" s="20">
        <v>3276</v>
      </c>
      <c r="B3284" s="21">
        <f t="shared" ca="1" si="563"/>
        <v>3.4059341581709233</v>
      </c>
      <c r="C3284" s="21">
        <f t="shared" ca="1" si="568"/>
        <v>10028.936441541207</v>
      </c>
      <c r="D3284" s="21">
        <f t="shared" ca="1" si="564"/>
        <v>3.6240091824546914</v>
      </c>
      <c r="E3284" s="21">
        <f t="shared" ca="1" si="571"/>
        <v>12.28008828572456</v>
      </c>
      <c r="F3284" s="20" t="str">
        <f t="shared" ca="1" si="569"/>
        <v>No</v>
      </c>
      <c r="G3284" s="21">
        <f t="shared" ca="1" si="565"/>
        <v>0</v>
      </c>
      <c r="H3284" s="21">
        <f t="shared" ca="1" si="566"/>
        <v>10041.216529826932</v>
      </c>
      <c r="I3284" s="21">
        <f t="shared" ca="1" si="561"/>
        <v>10044.840539009387</v>
      </c>
      <c r="J3284" s="20">
        <f t="shared" ca="1" si="570"/>
        <v>6</v>
      </c>
      <c r="K3284" s="20">
        <f t="shared" ca="1" si="562"/>
        <v>5</v>
      </c>
      <c r="L3284" s="44">
        <f t="shared" ca="1" si="567"/>
        <v>5.5</v>
      </c>
    </row>
    <row r="3285" spans="1:12" x14ac:dyDescent="0.25">
      <c r="A3285" s="20">
        <v>3277</v>
      </c>
      <c r="B3285" s="21">
        <f t="shared" ca="1" si="563"/>
        <v>1.888953200874097</v>
      </c>
      <c r="C3285" s="21">
        <f t="shared" ca="1" si="568"/>
        <v>10030.825394742082</v>
      </c>
      <c r="D3285" s="21">
        <f t="shared" ca="1" si="564"/>
        <v>1.0191649965035399</v>
      </c>
      <c r="E3285" s="21">
        <f t="shared" ca="1" si="571"/>
        <v>14.015144267305004</v>
      </c>
      <c r="F3285" s="20" t="str">
        <f t="shared" ca="1" si="569"/>
        <v>No</v>
      </c>
      <c r="G3285" s="21">
        <f t="shared" ca="1" si="565"/>
        <v>0</v>
      </c>
      <c r="H3285" s="21">
        <f t="shared" ca="1" si="566"/>
        <v>10044.840539009387</v>
      </c>
      <c r="I3285" s="21">
        <f t="shared" ca="1" si="561"/>
        <v>10045.85970400589</v>
      </c>
      <c r="J3285" s="20">
        <f t="shared" ca="1" si="570"/>
        <v>6</v>
      </c>
      <c r="K3285" s="20">
        <f t="shared" ca="1" si="562"/>
        <v>5</v>
      </c>
      <c r="L3285" s="44">
        <f t="shared" ca="1" si="567"/>
        <v>5.5</v>
      </c>
    </row>
    <row r="3286" spans="1:12" x14ac:dyDescent="0.25">
      <c r="A3286" s="20">
        <v>3278</v>
      </c>
      <c r="B3286" s="21">
        <f t="shared" ca="1" si="563"/>
        <v>2.3997091511427358</v>
      </c>
      <c r="C3286" s="21">
        <f t="shared" ca="1" si="568"/>
        <v>10033.225103893225</v>
      </c>
      <c r="D3286" s="21">
        <f t="shared" ca="1" si="564"/>
        <v>2.826417616800414</v>
      </c>
      <c r="E3286" s="21">
        <f t="shared" ca="1" si="571"/>
        <v>12.634600112665794</v>
      </c>
      <c r="F3286" s="20" t="str">
        <f t="shared" ca="1" si="569"/>
        <v>No</v>
      </c>
      <c r="G3286" s="21">
        <f t="shared" ca="1" si="565"/>
        <v>0</v>
      </c>
      <c r="H3286" s="21">
        <f t="shared" ca="1" si="566"/>
        <v>10045.85970400589</v>
      </c>
      <c r="I3286" s="21">
        <f t="shared" ca="1" si="561"/>
        <v>10048.68612162269</v>
      </c>
      <c r="J3286" s="20">
        <f t="shared" ca="1" si="570"/>
        <v>6</v>
      </c>
      <c r="K3286" s="20">
        <f t="shared" ca="1" si="562"/>
        <v>5</v>
      </c>
      <c r="L3286" s="44">
        <f t="shared" ca="1" si="567"/>
        <v>5.5</v>
      </c>
    </row>
    <row r="3287" spans="1:12" x14ac:dyDescent="0.25">
      <c r="A3287" s="20">
        <v>3279</v>
      </c>
      <c r="B3287" s="21">
        <f t="shared" ca="1" si="563"/>
        <v>0.77362908870541036</v>
      </c>
      <c r="C3287" s="21">
        <f t="shared" ca="1" si="568"/>
        <v>10033.998732981931</v>
      </c>
      <c r="D3287" s="21">
        <f t="shared" ca="1" si="564"/>
        <v>4.2864372669007871</v>
      </c>
      <c r="E3287" s="21">
        <f t="shared" ca="1" si="571"/>
        <v>14.687388640759309</v>
      </c>
      <c r="F3287" s="20" t="str">
        <f t="shared" ca="1" si="569"/>
        <v>No</v>
      </c>
      <c r="G3287" s="21">
        <f t="shared" ca="1" si="565"/>
        <v>0</v>
      </c>
      <c r="H3287" s="21">
        <f t="shared" ca="1" si="566"/>
        <v>10048.68612162269</v>
      </c>
      <c r="I3287" s="21">
        <f t="shared" ca="1" si="561"/>
        <v>10052.972558889591</v>
      </c>
      <c r="J3287" s="20">
        <f t="shared" ca="1" si="570"/>
        <v>6</v>
      </c>
      <c r="K3287" s="20">
        <f t="shared" ca="1" si="562"/>
        <v>5</v>
      </c>
      <c r="L3287" s="44">
        <f t="shared" ca="1" si="567"/>
        <v>5.5</v>
      </c>
    </row>
    <row r="3288" spans="1:12" x14ac:dyDescent="0.25">
      <c r="A3288" s="20">
        <v>3280</v>
      </c>
      <c r="B3288" s="21">
        <f t="shared" ca="1" si="563"/>
        <v>3.7298850409111566</v>
      </c>
      <c r="C3288" s="21">
        <f t="shared" ca="1" si="568"/>
        <v>10037.728618022842</v>
      </c>
      <c r="D3288" s="21">
        <f t="shared" ca="1" si="564"/>
        <v>0.8953569749157908</v>
      </c>
      <c r="E3288" s="21">
        <f t="shared" ca="1" si="571"/>
        <v>15.243940866748744</v>
      </c>
      <c r="F3288" s="20" t="str">
        <f t="shared" ca="1" si="569"/>
        <v>No</v>
      </c>
      <c r="G3288" s="21">
        <f t="shared" ca="1" si="565"/>
        <v>0</v>
      </c>
      <c r="H3288" s="21">
        <f t="shared" ca="1" si="566"/>
        <v>10052.972558889591</v>
      </c>
      <c r="I3288" s="21">
        <f t="shared" ca="1" si="561"/>
        <v>10053.867915864506</v>
      </c>
      <c r="J3288" s="20">
        <f t="shared" ca="1" si="570"/>
        <v>6</v>
      </c>
      <c r="K3288" s="20">
        <f t="shared" ca="1" si="562"/>
        <v>5</v>
      </c>
      <c r="L3288" s="44">
        <f t="shared" ca="1" si="567"/>
        <v>5.5</v>
      </c>
    </row>
    <row r="3289" spans="1:12" x14ac:dyDescent="0.25">
      <c r="A3289" s="20">
        <v>3281</v>
      </c>
      <c r="B3289" s="21">
        <f t="shared" ca="1" si="563"/>
        <v>1.3536963717481656</v>
      </c>
      <c r="C3289" s="21">
        <f t="shared" ca="1" si="568"/>
        <v>10039.082314394591</v>
      </c>
      <c r="D3289" s="21">
        <f t="shared" ca="1" si="564"/>
        <v>0.41826817738406968</v>
      </c>
      <c r="E3289" s="21">
        <f t="shared" ca="1" si="571"/>
        <v>14.785601469915491</v>
      </c>
      <c r="F3289" s="20" t="str">
        <f t="shared" ca="1" si="569"/>
        <v>No</v>
      </c>
      <c r="G3289" s="21">
        <f t="shared" ca="1" si="565"/>
        <v>0</v>
      </c>
      <c r="H3289" s="21">
        <f t="shared" ca="1" si="566"/>
        <v>10053.867915864506</v>
      </c>
      <c r="I3289" s="21">
        <f t="shared" ca="1" si="561"/>
        <v>10054.28618404189</v>
      </c>
      <c r="J3289" s="20">
        <f t="shared" ca="1" si="570"/>
        <v>6</v>
      </c>
      <c r="K3289" s="20">
        <f t="shared" ca="1" si="562"/>
        <v>5</v>
      </c>
      <c r="L3289" s="44">
        <f t="shared" ca="1" si="567"/>
        <v>5.5</v>
      </c>
    </row>
    <row r="3290" spans="1:12" x14ac:dyDescent="0.25">
      <c r="A3290" s="20">
        <v>3282</v>
      </c>
      <c r="B3290" s="21">
        <f t="shared" ca="1" si="563"/>
        <v>0.73410347429569855</v>
      </c>
      <c r="C3290" s="21">
        <f t="shared" ca="1" si="568"/>
        <v>10039.816417868886</v>
      </c>
      <c r="D3290" s="21">
        <f t="shared" ca="1" si="564"/>
        <v>0.19172827048086358</v>
      </c>
      <c r="E3290" s="21">
        <f t="shared" ca="1" si="571"/>
        <v>14.469766173004246</v>
      </c>
      <c r="F3290" s="20" t="str">
        <f t="shared" ca="1" si="569"/>
        <v>No</v>
      </c>
      <c r="G3290" s="21">
        <f t="shared" ca="1" si="565"/>
        <v>0</v>
      </c>
      <c r="H3290" s="21">
        <f t="shared" ca="1" si="566"/>
        <v>10054.28618404189</v>
      </c>
      <c r="I3290" s="21">
        <f t="shared" ca="1" si="561"/>
        <v>10054.477912312372</v>
      </c>
      <c r="J3290" s="20">
        <f t="shared" ca="1" si="570"/>
        <v>6</v>
      </c>
      <c r="K3290" s="20">
        <f t="shared" ca="1" si="562"/>
        <v>5</v>
      </c>
      <c r="L3290" s="44">
        <f t="shared" ca="1" si="567"/>
        <v>5.5</v>
      </c>
    </row>
    <row r="3291" spans="1:12" x14ac:dyDescent="0.25">
      <c r="A3291" s="20">
        <v>3283</v>
      </c>
      <c r="B3291" s="21">
        <f t="shared" ca="1" si="563"/>
        <v>5.7992173705318875</v>
      </c>
      <c r="C3291" s="21">
        <f t="shared" ca="1" si="568"/>
        <v>10045.615635239417</v>
      </c>
      <c r="D3291" s="21">
        <f t="shared" ca="1" si="564"/>
        <v>0.67173362673251247</v>
      </c>
      <c r="E3291" s="21">
        <f t="shared" ca="1" si="571"/>
        <v>8.8622770729543845</v>
      </c>
      <c r="F3291" s="20" t="str">
        <f t="shared" ca="1" si="569"/>
        <v>No</v>
      </c>
      <c r="G3291" s="21">
        <f t="shared" ca="1" si="565"/>
        <v>0</v>
      </c>
      <c r="H3291" s="21">
        <f t="shared" ca="1" si="566"/>
        <v>10054.477912312372</v>
      </c>
      <c r="I3291" s="21">
        <f t="shared" ca="1" si="561"/>
        <v>10055.149645939104</v>
      </c>
      <c r="J3291" s="20">
        <f t="shared" ca="1" si="570"/>
        <v>6</v>
      </c>
      <c r="K3291" s="20">
        <f t="shared" ca="1" si="562"/>
        <v>5</v>
      </c>
      <c r="L3291" s="44">
        <f t="shared" ca="1" si="567"/>
        <v>5.5</v>
      </c>
    </row>
    <row r="3292" spans="1:12" x14ac:dyDescent="0.25">
      <c r="A3292" s="20">
        <v>3284</v>
      </c>
      <c r="B3292" s="21">
        <f t="shared" ca="1" si="563"/>
        <v>1.7083578112445057</v>
      </c>
      <c r="C3292" s="21">
        <f t="shared" ca="1" si="568"/>
        <v>10047.323993050662</v>
      </c>
      <c r="D3292" s="21">
        <f t="shared" ca="1" si="564"/>
        <v>0.70865466581657455</v>
      </c>
      <c r="E3292" s="21">
        <f t="shared" ca="1" si="571"/>
        <v>7.8256528884412546</v>
      </c>
      <c r="F3292" s="20" t="str">
        <f t="shared" ca="1" si="569"/>
        <v>No</v>
      </c>
      <c r="G3292" s="21">
        <f t="shared" ca="1" si="565"/>
        <v>0</v>
      </c>
      <c r="H3292" s="21">
        <f t="shared" ca="1" si="566"/>
        <v>10055.149645939104</v>
      </c>
      <c r="I3292" s="21">
        <f t="shared" ca="1" si="561"/>
        <v>10055.858300604921</v>
      </c>
      <c r="J3292" s="20">
        <f t="shared" ca="1" si="570"/>
        <v>6</v>
      </c>
      <c r="K3292" s="20">
        <f t="shared" ca="1" si="562"/>
        <v>5</v>
      </c>
      <c r="L3292" s="44">
        <f t="shared" ca="1" si="567"/>
        <v>5.5</v>
      </c>
    </row>
    <row r="3293" spans="1:12" x14ac:dyDescent="0.25">
      <c r="A3293" s="20">
        <v>3285</v>
      </c>
      <c r="B3293" s="21">
        <f t="shared" ca="1" si="563"/>
        <v>1.6882799568486946</v>
      </c>
      <c r="C3293" s="21">
        <f t="shared" ca="1" si="568"/>
        <v>10049.012273007511</v>
      </c>
      <c r="D3293" s="21">
        <f t="shared" ca="1" si="564"/>
        <v>2.5058485861411661</v>
      </c>
      <c r="E3293" s="21">
        <f t="shared" ca="1" si="571"/>
        <v>6.8460275974102842</v>
      </c>
      <c r="F3293" s="20" t="str">
        <f t="shared" ca="1" si="569"/>
        <v>No</v>
      </c>
      <c r="G3293" s="21">
        <f t="shared" ca="1" si="565"/>
        <v>0</v>
      </c>
      <c r="H3293" s="21">
        <f t="shared" ca="1" si="566"/>
        <v>10055.858300604921</v>
      </c>
      <c r="I3293" s="21">
        <f t="shared" ca="1" si="561"/>
        <v>10058.364149191062</v>
      </c>
      <c r="J3293" s="20">
        <f t="shared" ca="1" si="570"/>
        <v>6</v>
      </c>
      <c r="K3293" s="20">
        <f t="shared" ca="1" si="562"/>
        <v>5</v>
      </c>
      <c r="L3293" s="44">
        <f t="shared" ca="1" si="567"/>
        <v>5.5</v>
      </c>
    </row>
    <row r="3294" spans="1:12" x14ac:dyDescent="0.25">
      <c r="A3294" s="20">
        <v>3286</v>
      </c>
      <c r="B3294" s="21">
        <f t="shared" ca="1" si="563"/>
        <v>1.7559558276748162</v>
      </c>
      <c r="C3294" s="21">
        <f t="shared" ca="1" si="568"/>
        <v>10050.768228835186</v>
      </c>
      <c r="D3294" s="21">
        <f t="shared" ca="1" si="564"/>
        <v>1.2586059096204743</v>
      </c>
      <c r="E3294" s="21">
        <f t="shared" ca="1" si="571"/>
        <v>7.5959203558759327</v>
      </c>
      <c r="F3294" s="20" t="str">
        <f t="shared" ca="1" si="569"/>
        <v>No</v>
      </c>
      <c r="G3294" s="21">
        <f t="shared" ca="1" si="565"/>
        <v>0</v>
      </c>
      <c r="H3294" s="21">
        <f t="shared" ca="1" si="566"/>
        <v>10058.364149191062</v>
      </c>
      <c r="I3294" s="21">
        <f t="shared" ca="1" si="561"/>
        <v>10059.622755100683</v>
      </c>
      <c r="J3294" s="20">
        <f t="shared" ca="1" si="570"/>
        <v>6</v>
      </c>
      <c r="K3294" s="20">
        <f t="shared" ca="1" si="562"/>
        <v>5</v>
      </c>
      <c r="L3294" s="44">
        <f t="shared" ca="1" si="567"/>
        <v>5.5</v>
      </c>
    </row>
    <row r="3295" spans="1:12" x14ac:dyDescent="0.25">
      <c r="A3295" s="20">
        <v>3287</v>
      </c>
      <c r="B3295" s="21">
        <f t="shared" ca="1" si="563"/>
        <v>1.9463733716431963</v>
      </c>
      <c r="C3295" s="21">
        <f t="shared" ca="1" si="568"/>
        <v>10052.71460220683</v>
      </c>
      <c r="D3295" s="21">
        <f t="shared" ca="1" si="564"/>
        <v>1.8127683281596429</v>
      </c>
      <c r="E3295" s="21">
        <f t="shared" ca="1" si="571"/>
        <v>6.9081528938531847</v>
      </c>
      <c r="F3295" s="20" t="str">
        <f t="shared" ca="1" si="569"/>
        <v>No</v>
      </c>
      <c r="G3295" s="21">
        <f t="shared" ca="1" si="565"/>
        <v>0</v>
      </c>
      <c r="H3295" s="21">
        <f t="shared" ca="1" si="566"/>
        <v>10059.622755100683</v>
      </c>
      <c r="I3295" s="21">
        <f t="shared" ca="1" si="561"/>
        <v>10061.435523428843</v>
      </c>
      <c r="J3295" s="20">
        <f t="shared" ca="1" si="570"/>
        <v>6</v>
      </c>
      <c r="K3295" s="20">
        <f t="shared" ca="1" si="562"/>
        <v>5</v>
      </c>
      <c r="L3295" s="44">
        <f t="shared" ca="1" si="567"/>
        <v>5.5</v>
      </c>
    </row>
    <row r="3296" spans="1:12" x14ac:dyDescent="0.25">
      <c r="A3296" s="20">
        <v>3288</v>
      </c>
      <c r="B3296" s="21">
        <f t="shared" ca="1" si="563"/>
        <v>0.38096828953593526</v>
      </c>
      <c r="C3296" s="21">
        <f t="shared" ca="1" si="568"/>
        <v>10053.095570496365</v>
      </c>
      <c r="D3296" s="21">
        <f t="shared" ca="1" si="564"/>
        <v>0.78123182169551297</v>
      </c>
      <c r="E3296" s="21">
        <f t="shared" ca="1" si="571"/>
        <v>8.3399529324778996</v>
      </c>
      <c r="F3296" s="20" t="str">
        <f t="shared" ca="1" si="569"/>
        <v>No</v>
      </c>
      <c r="G3296" s="21">
        <f t="shared" ca="1" si="565"/>
        <v>0</v>
      </c>
      <c r="H3296" s="21">
        <f t="shared" ca="1" si="566"/>
        <v>10061.435523428843</v>
      </c>
      <c r="I3296" s="21">
        <f t="shared" ca="1" si="561"/>
        <v>10062.216755250538</v>
      </c>
      <c r="J3296" s="20">
        <f t="shared" ca="1" si="570"/>
        <v>6</v>
      </c>
      <c r="K3296" s="20">
        <f t="shared" ca="1" si="562"/>
        <v>5</v>
      </c>
      <c r="L3296" s="44">
        <f t="shared" ca="1" si="567"/>
        <v>5.5</v>
      </c>
    </row>
    <row r="3297" spans="1:12" x14ac:dyDescent="0.25">
      <c r="A3297" s="20">
        <v>3289</v>
      </c>
      <c r="B3297" s="21">
        <f t="shared" ca="1" si="563"/>
        <v>2.7293385675309728E-2</v>
      </c>
      <c r="C3297" s="21">
        <f t="shared" ca="1" si="568"/>
        <v>10053.122863882041</v>
      </c>
      <c r="D3297" s="21">
        <f t="shared" ca="1" si="564"/>
        <v>4.104426353965402</v>
      </c>
      <c r="E3297" s="21">
        <f t="shared" ca="1" si="571"/>
        <v>9.0938913684967702</v>
      </c>
      <c r="F3297" s="20" t="str">
        <f t="shared" ca="1" si="569"/>
        <v>No</v>
      </c>
      <c r="G3297" s="21">
        <f t="shared" ca="1" si="565"/>
        <v>0</v>
      </c>
      <c r="H3297" s="21">
        <f t="shared" ca="1" si="566"/>
        <v>10062.216755250538</v>
      </c>
      <c r="I3297" s="21">
        <f t="shared" ca="1" si="561"/>
        <v>10066.321181604504</v>
      </c>
      <c r="J3297" s="20">
        <f t="shared" ca="1" si="570"/>
        <v>6</v>
      </c>
      <c r="K3297" s="20">
        <f t="shared" ca="1" si="562"/>
        <v>5</v>
      </c>
      <c r="L3297" s="44">
        <f t="shared" ca="1" si="567"/>
        <v>5.5</v>
      </c>
    </row>
    <row r="3298" spans="1:12" x14ac:dyDescent="0.25">
      <c r="A3298" s="20">
        <v>3290</v>
      </c>
      <c r="B3298" s="21">
        <f t="shared" ca="1" si="563"/>
        <v>1.5353985502032008</v>
      </c>
      <c r="C3298" s="21">
        <f t="shared" ca="1" si="568"/>
        <v>10054.658262432244</v>
      </c>
      <c r="D3298" s="21">
        <f t="shared" ca="1" si="564"/>
        <v>4.6365081518259839</v>
      </c>
      <c r="E3298" s="21">
        <f t="shared" ca="1" si="571"/>
        <v>11.662919172260445</v>
      </c>
      <c r="F3298" s="20" t="str">
        <f t="shared" ca="1" si="569"/>
        <v>No</v>
      </c>
      <c r="G3298" s="21">
        <f t="shared" ca="1" si="565"/>
        <v>0</v>
      </c>
      <c r="H3298" s="21">
        <f t="shared" ca="1" si="566"/>
        <v>10066.321181604504</v>
      </c>
      <c r="I3298" s="21">
        <f t="shared" ca="1" si="561"/>
        <v>10070.957689756329</v>
      </c>
      <c r="J3298" s="20">
        <f t="shared" ca="1" si="570"/>
        <v>6</v>
      </c>
      <c r="K3298" s="20">
        <f t="shared" ca="1" si="562"/>
        <v>5</v>
      </c>
      <c r="L3298" s="44">
        <f t="shared" ca="1" si="567"/>
        <v>5.5</v>
      </c>
    </row>
    <row r="3299" spans="1:12" x14ac:dyDescent="0.25">
      <c r="A3299" s="20">
        <v>3291</v>
      </c>
      <c r="B3299" s="21">
        <f t="shared" ca="1" si="563"/>
        <v>2.6550843976146448</v>
      </c>
      <c r="C3299" s="21">
        <f t="shared" ca="1" si="568"/>
        <v>10057.313346829858</v>
      </c>
      <c r="D3299" s="21">
        <f t="shared" ca="1" si="564"/>
        <v>0.73170340238910425</v>
      </c>
      <c r="E3299" s="21">
        <f t="shared" ca="1" si="571"/>
        <v>13.644342926470927</v>
      </c>
      <c r="F3299" s="20" t="str">
        <f t="shared" ca="1" si="569"/>
        <v>No</v>
      </c>
      <c r="G3299" s="21">
        <f t="shared" ca="1" si="565"/>
        <v>0</v>
      </c>
      <c r="H3299" s="21">
        <f t="shared" ca="1" si="566"/>
        <v>10070.957689756329</v>
      </c>
      <c r="I3299" s="21">
        <f t="shared" ca="1" si="561"/>
        <v>10071.689393158718</v>
      </c>
      <c r="J3299" s="20">
        <f t="shared" ca="1" si="570"/>
        <v>6</v>
      </c>
      <c r="K3299" s="20">
        <f t="shared" ca="1" si="562"/>
        <v>5</v>
      </c>
      <c r="L3299" s="44">
        <f t="shared" ca="1" si="567"/>
        <v>5.5</v>
      </c>
    </row>
    <row r="3300" spans="1:12" x14ac:dyDescent="0.25">
      <c r="A3300" s="20">
        <v>3292</v>
      </c>
      <c r="B3300" s="21">
        <f t="shared" ca="1" si="563"/>
        <v>2.7190516944571081</v>
      </c>
      <c r="C3300" s="21">
        <f t="shared" ca="1" si="568"/>
        <v>10060.032398524316</v>
      </c>
      <c r="D3300" s="21">
        <f t="shared" ca="1" si="564"/>
        <v>0.5079606733728772</v>
      </c>
      <c r="E3300" s="21">
        <f t="shared" ca="1" si="571"/>
        <v>11.656994634402508</v>
      </c>
      <c r="F3300" s="20" t="str">
        <f t="shared" ca="1" si="569"/>
        <v>No</v>
      </c>
      <c r="G3300" s="21">
        <f t="shared" ca="1" si="565"/>
        <v>0</v>
      </c>
      <c r="H3300" s="21">
        <f t="shared" ca="1" si="566"/>
        <v>10071.689393158718</v>
      </c>
      <c r="I3300" s="21">
        <f t="shared" ca="1" si="561"/>
        <v>10072.197353832091</v>
      </c>
      <c r="J3300" s="20">
        <f t="shared" ca="1" si="570"/>
        <v>6</v>
      </c>
      <c r="K3300" s="20">
        <f t="shared" ca="1" si="562"/>
        <v>4</v>
      </c>
      <c r="L3300" s="44">
        <f t="shared" ca="1" si="567"/>
        <v>5</v>
      </c>
    </row>
    <row r="3301" spans="1:12" x14ac:dyDescent="0.25">
      <c r="A3301" s="20">
        <v>3293</v>
      </c>
      <c r="B3301" s="21">
        <f t="shared" ca="1" si="563"/>
        <v>0.15969011047647391</v>
      </c>
      <c r="C3301" s="21">
        <f t="shared" ca="1" si="568"/>
        <v>10060.192088634793</v>
      </c>
      <c r="D3301" s="21">
        <f t="shared" ca="1" si="564"/>
        <v>0.58668134055997434</v>
      </c>
      <c r="E3301" s="21">
        <f t="shared" ca="1" si="571"/>
        <v>12.005265197298286</v>
      </c>
      <c r="F3301" s="20" t="str">
        <f t="shared" ca="1" si="569"/>
        <v>No</v>
      </c>
      <c r="G3301" s="21">
        <f t="shared" ca="1" si="565"/>
        <v>0</v>
      </c>
      <c r="H3301" s="21">
        <f t="shared" ca="1" si="566"/>
        <v>10072.197353832091</v>
      </c>
      <c r="I3301" s="21">
        <f t="shared" ca="1" si="561"/>
        <v>10072.78403517265</v>
      </c>
      <c r="J3301" s="20">
        <f t="shared" ca="1" si="570"/>
        <v>5</v>
      </c>
      <c r="K3301" s="20">
        <f t="shared" ca="1" si="562"/>
        <v>3</v>
      </c>
      <c r="L3301" s="44">
        <f t="shared" ca="1" si="567"/>
        <v>4</v>
      </c>
    </row>
    <row r="3302" spans="1:12" x14ac:dyDescent="0.25">
      <c r="A3302" s="20">
        <v>3294</v>
      </c>
      <c r="B3302" s="21">
        <f t="shared" ca="1" si="563"/>
        <v>1.3662285179443427</v>
      </c>
      <c r="C3302" s="21">
        <f t="shared" ca="1" si="568"/>
        <v>10061.558317152736</v>
      </c>
      <c r="D3302" s="21">
        <f t="shared" ca="1" si="564"/>
        <v>0.55911066695577138</v>
      </c>
      <c r="E3302" s="21">
        <f t="shared" ca="1" si="571"/>
        <v>11.225718019913984</v>
      </c>
      <c r="F3302" s="20" t="str">
        <f t="shared" ca="1" si="569"/>
        <v>No</v>
      </c>
      <c r="G3302" s="21">
        <f t="shared" ca="1" si="565"/>
        <v>0</v>
      </c>
      <c r="H3302" s="21">
        <f t="shared" ca="1" si="566"/>
        <v>10072.78403517265</v>
      </c>
      <c r="I3302" s="21">
        <f t="shared" ca="1" si="561"/>
        <v>10073.343145839606</v>
      </c>
      <c r="J3302" s="20">
        <f t="shared" ca="1" si="570"/>
        <v>4</v>
      </c>
      <c r="K3302" s="20">
        <f t="shared" ca="1" si="562"/>
        <v>2</v>
      </c>
      <c r="L3302" s="44">
        <f t="shared" ca="1" si="567"/>
        <v>3</v>
      </c>
    </row>
    <row r="3303" spans="1:12" x14ac:dyDescent="0.25">
      <c r="A3303" s="20">
        <v>3295</v>
      </c>
      <c r="B3303" s="21">
        <f t="shared" ca="1" si="563"/>
        <v>1.5670833370134221</v>
      </c>
      <c r="C3303" s="21">
        <f t="shared" ca="1" si="568"/>
        <v>10063.125400489749</v>
      </c>
      <c r="D3303" s="21">
        <f t="shared" ca="1" si="564"/>
        <v>1.1484720714926917</v>
      </c>
      <c r="E3303" s="21">
        <f t="shared" ca="1" si="571"/>
        <v>10.217745349857069</v>
      </c>
      <c r="F3303" s="20" t="str">
        <f t="shared" ca="1" si="569"/>
        <v>No</v>
      </c>
      <c r="G3303" s="21">
        <f t="shared" ca="1" si="565"/>
        <v>0</v>
      </c>
      <c r="H3303" s="21">
        <f t="shared" ca="1" si="566"/>
        <v>10073.343145839606</v>
      </c>
      <c r="I3303" s="21">
        <f t="shared" ca="1" si="561"/>
        <v>10074.491617911099</v>
      </c>
      <c r="J3303" s="20">
        <f t="shared" ca="1" si="570"/>
        <v>3</v>
      </c>
      <c r="K3303" s="20">
        <f t="shared" ca="1" si="562"/>
        <v>1</v>
      </c>
      <c r="L3303" s="44">
        <f t="shared" ca="1" si="567"/>
        <v>2</v>
      </c>
    </row>
    <row r="3304" spans="1:12" x14ac:dyDescent="0.25">
      <c r="A3304" s="20">
        <v>3296</v>
      </c>
      <c r="B3304" s="21">
        <f t="shared" ca="1" si="563"/>
        <v>5.2480088394632798</v>
      </c>
      <c r="C3304" s="21">
        <f t="shared" ca="1" si="568"/>
        <v>10068.373409329213</v>
      </c>
      <c r="D3304" s="21">
        <f t="shared" ca="1" si="564"/>
        <v>2.6033833444721277</v>
      </c>
      <c r="E3304" s="21">
        <f t="shared" ca="1" si="571"/>
        <v>6.118208581885483</v>
      </c>
      <c r="F3304" s="20" t="str">
        <f t="shared" ca="1" si="569"/>
        <v>No</v>
      </c>
      <c r="G3304" s="21">
        <f t="shared" ca="1" si="565"/>
        <v>0</v>
      </c>
      <c r="H3304" s="21">
        <f t="shared" ca="1" si="566"/>
        <v>10074.491617911099</v>
      </c>
      <c r="I3304" s="21">
        <f t="shared" ca="1" si="561"/>
        <v>10077.095001255571</v>
      </c>
      <c r="J3304" s="20">
        <f t="shared" ca="1" si="570"/>
        <v>2</v>
      </c>
      <c r="K3304" s="20">
        <f t="shared" ca="1" si="562"/>
        <v>0</v>
      </c>
      <c r="L3304" s="44">
        <f t="shared" ca="1" si="567"/>
        <v>1</v>
      </c>
    </row>
    <row r="3305" spans="1:12" x14ac:dyDescent="0.25">
      <c r="A3305" s="20">
        <v>3297</v>
      </c>
      <c r="B3305" s="21">
        <f t="shared" ca="1" si="563"/>
        <v>11.851769138426478</v>
      </c>
      <c r="C3305" s="21">
        <f t="shared" ca="1" si="568"/>
        <v>10080.225178467639</v>
      </c>
      <c r="D3305" s="21">
        <f t="shared" ca="1" si="564"/>
        <v>1.204268634017692</v>
      </c>
      <c r="E3305" s="21">
        <f t="shared" ca="1" si="571"/>
        <v>0</v>
      </c>
      <c r="F3305" s="20" t="str">
        <f t="shared" ca="1" si="569"/>
        <v>Yes</v>
      </c>
      <c r="G3305" s="21">
        <f t="shared" ca="1" si="565"/>
        <v>3.1301772120677924</v>
      </c>
      <c r="H3305" s="21">
        <f t="shared" ca="1" si="566"/>
        <v>10080.225178467639</v>
      </c>
      <c r="I3305" s="21">
        <f t="shared" ca="1" si="561"/>
        <v>10081.429447101656</v>
      </c>
      <c r="J3305" s="20">
        <f t="shared" ca="1" si="570"/>
        <v>0</v>
      </c>
      <c r="K3305" s="20">
        <f t="shared" ca="1" si="562"/>
        <v>0</v>
      </c>
      <c r="L3305" s="44">
        <f t="shared" ca="1" si="567"/>
        <v>0</v>
      </c>
    </row>
    <row r="3306" spans="1:12" x14ac:dyDescent="0.25">
      <c r="A3306" s="20">
        <v>3298</v>
      </c>
      <c r="B3306" s="21">
        <f t="shared" ca="1" si="563"/>
        <v>2.6037192796509649</v>
      </c>
      <c r="C3306" s="21">
        <f t="shared" ca="1" si="568"/>
        <v>10082.828897747289</v>
      </c>
      <c r="D3306" s="21">
        <f t="shared" ca="1" si="564"/>
        <v>3.0033963593454532E-2</v>
      </c>
      <c r="E3306" s="21">
        <f t="shared" ca="1" si="571"/>
        <v>0</v>
      </c>
      <c r="F3306" s="20" t="str">
        <f t="shared" ca="1" si="569"/>
        <v>Yes</v>
      </c>
      <c r="G3306" s="21">
        <f t="shared" ca="1" si="565"/>
        <v>1.3994506456328963</v>
      </c>
      <c r="H3306" s="21">
        <f t="shared" ca="1" si="566"/>
        <v>10082.828897747289</v>
      </c>
      <c r="I3306" s="21">
        <f t="shared" ca="1" si="561"/>
        <v>10082.858931710884</v>
      </c>
      <c r="J3306" s="20">
        <f t="shared" ca="1" si="570"/>
        <v>0</v>
      </c>
      <c r="K3306" s="20">
        <f t="shared" ca="1" si="562"/>
        <v>0</v>
      </c>
      <c r="L3306" s="44">
        <f t="shared" ca="1" si="567"/>
        <v>0</v>
      </c>
    </row>
    <row r="3307" spans="1:12" x14ac:dyDescent="0.25">
      <c r="A3307" s="20">
        <v>3299</v>
      </c>
      <c r="B3307" s="21">
        <f t="shared" ca="1" si="563"/>
        <v>0.73197702377026219</v>
      </c>
      <c r="C3307" s="21">
        <f t="shared" ca="1" si="568"/>
        <v>10083.560874771059</v>
      </c>
      <c r="D3307" s="21">
        <f t="shared" ca="1" si="564"/>
        <v>1.2632712675731912</v>
      </c>
      <c r="E3307" s="21">
        <f t="shared" ca="1" si="571"/>
        <v>0</v>
      </c>
      <c r="F3307" s="20" t="str">
        <f t="shared" ca="1" si="569"/>
        <v>Yes</v>
      </c>
      <c r="G3307" s="21">
        <f t="shared" ca="1" si="565"/>
        <v>0.70194306017583585</v>
      </c>
      <c r="H3307" s="21">
        <f t="shared" ca="1" si="566"/>
        <v>10083.560874771059</v>
      </c>
      <c r="I3307" s="21">
        <f t="shared" ca="1" si="561"/>
        <v>10084.824146038633</v>
      </c>
      <c r="J3307" s="20">
        <f t="shared" ca="1" si="570"/>
        <v>0</v>
      </c>
      <c r="K3307" s="20">
        <f t="shared" ca="1" si="562"/>
        <v>2</v>
      </c>
      <c r="L3307" s="44">
        <f t="shared" ca="1" si="567"/>
        <v>1</v>
      </c>
    </row>
    <row r="3308" spans="1:12" x14ac:dyDescent="0.25">
      <c r="A3308" s="20">
        <v>3300</v>
      </c>
      <c r="B3308" s="21">
        <f t="shared" ca="1" si="563"/>
        <v>0.21397055723024996</v>
      </c>
      <c r="C3308" s="21">
        <f t="shared" ca="1" si="568"/>
        <v>10083.774845328289</v>
      </c>
      <c r="D3308" s="21">
        <f t="shared" ca="1" si="564"/>
        <v>2.3971845014662865</v>
      </c>
      <c r="E3308" s="21">
        <f t="shared" ca="1" si="571"/>
        <v>1.0493007103432319</v>
      </c>
      <c r="F3308" s="20" t="str">
        <f t="shared" ca="1" si="569"/>
        <v>No</v>
      </c>
      <c r="G3308" s="21">
        <f t="shared" ca="1" si="565"/>
        <v>0</v>
      </c>
      <c r="H3308" s="21">
        <f t="shared" ca="1" si="566"/>
        <v>10084.824146038633</v>
      </c>
      <c r="I3308" s="21">
        <f t="shared" ca="1" si="561"/>
        <v>10087.221330540098</v>
      </c>
      <c r="J3308" s="20">
        <f t="shared" ca="1" si="570"/>
        <v>3</v>
      </c>
      <c r="K3308" s="20">
        <f t="shared" ca="1" si="562"/>
        <v>3</v>
      </c>
      <c r="L3308" s="44">
        <f t="shared" ca="1" si="567"/>
        <v>3</v>
      </c>
    </row>
    <row r="3309" spans="1:12" x14ac:dyDescent="0.25">
      <c r="A3309" s="20">
        <v>3301</v>
      </c>
      <c r="B3309" s="21">
        <f t="shared" ca="1" si="563"/>
        <v>0.73913021619399255</v>
      </c>
      <c r="C3309" s="21">
        <f t="shared" ca="1" si="568"/>
        <v>10084.513975544483</v>
      </c>
      <c r="D3309" s="21">
        <f t="shared" ca="1" si="564"/>
        <v>1.4199621961043576</v>
      </c>
      <c r="E3309" s="21">
        <f t="shared" ca="1" si="571"/>
        <v>2.7073549956148781</v>
      </c>
      <c r="F3309" s="20" t="str">
        <f t="shared" ca="1" si="569"/>
        <v>No</v>
      </c>
      <c r="G3309" s="21">
        <f t="shared" ca="1" si="565"/>
        <v>0</v>
      </c>
      <c r="H3309" s="21">
        <f t="shared" ca="1" si="566"/>
        <v>10087.221330540098</v>
      </c>
      <c r="I3309" s="21">
        <f t="shared" ca="1" si="561"/>
        <v>10088.641292736203</v>
      </c>
      <c r="J3309" s="20">
        <f t="shared" ca="1" si="570"/>
        <v>4</v>
      </c>
      <c r="K3309" s="20">
        <f t="shared" ca="1" si="562"/>
        <v>3</v>
      </c>
      <c r="L3309" s="44">
        <f t="shared" ca="1" si="567"/>
        <v>3.5</v>
      </c>
    </row>
    <row r="3310" spans="1:12" x14ac:dyDescent="0.25">
      <c r="A3310" s="20">
        <v>3302</v>
      </c>
      <c r="B3310" s="21">
        <f t="shared" ca="1" si="563"/>
        <v>2.0882579869956683</v>
      </c>
      <c r="C3310" s="21">
        <f t="shared" ca="1" si="568"/>
        <v>10086.602233531479</v>
      </c>
      <c r="D3310" s="21">
        <f t="shared" ca="1" si="564"/>
        <v>2.0415467993088248</v>
      </c>
      <c r="E3310" s="21">
        <f t="shared" ca="1" si="571"/>
        <v>2.0390592047242535</v>
      </c>
      <c r="F3310" s="20" t="str">
        <f t="shared" ca="1" si="569"/>
        <v>No</v>
      </c>
      <c r="G3310" s="21">
        <f t="shared" ca="1" si="565"/>
        <v>0</v>
      </c>
      <c r="H3310" s="21">
        <f t="shared" ca="1" si="566"/>
        <v>10088.641292736203</v>
      </c>
      <c r="I3310" s="21">
        <f t="shared" ca="1" si="561"/>
        <v>10090.682839535511</v>
      </c>
      <c r="J3310" s="20">
        <f t="shared" ca="1" si="570"/>
        <v>4</v>
      </c>
      <c r="K3310" s="20">
        <f t="shared" ca="1" si="562"/>
        <v>3</v>
      </c>
      <c r="L3310" s="44">
        <f t="shared" ca="1" si="567"/>
        <v>3.5</v>
      </c>
    </row>
    <row r="3311" spans="1:12" x14ac:dyDescent="0.25">
      <c r="A3311" s="20">
        <v>3303</v>
      </c>
      <c r="B3311" s="21">
        <f t="shared" ca="1" si="563"/>
        <v>0.38467842374162009</v>
      </c>
      <c r="C3311" s="21">
        <f t="shared" ca="1" si="568"/>
        <v>10086.98691195522</v>
      </c>
      <c r="D3311" s="21">
        <f t="shared" ca="1" si="564"/>
        <v>5.1974685588937408</v>
      </c>
      <c r="E3311" s="21">
        <f t="shared" ca="1" si="571"/>
        <v>3.695927580291027</v>
      </c>
      <c r="F3311" s="20" t="str">
        <f t="shared" ca="1" si="569"/>
        <v>No</v>
      </c>
      <c r="G3311" s="21">
        <f t="shared" ca="1" si="565"/>
        <v>0</v>
      </c>
      <c r="H3311" s="21">
        <f t="shared" ca="1" si="566"/>
        <v>10090.682839535511</v>
      </c>
      <c r="I3311" s="21">
        <f t="shared" ca="1" si="561"/>
        <v>10095.880308094405</v>
      </c>
      <c r="J3311" s="20">
        <f t="shared" ca="1" si="570"/>
        <v>4</v>
      </c>
      <c r="K3311" s="20">
        <f t="shared" ca="1" si="562"/>
        <v>3</v>
      </c>
      <c r="L3311" s="44">
        <f t="shared" ca="1" si="567"/>
        <v>3.5</v>
      </c>
    </row>
    <row r="3312" spans="1:12" x14ac:dyDescent="0.25">
      <c r="A3312" s="20">
        <v>3304</v>
      </c>
      <c r="B3312" s="21">
        <f t="shared" ca="1" si="563"/>
        <v>0.59760766519449948</v>
      </c>
      <c r="C3312" s="21">
        <f t="shared" ca="1" si="568"/>
        <v>10087.584519620415</v>
      </c>
      <c r="D3312" s="21">
        <f t="shared" ca="1" si="564"/>
        <v>10.856582112454538</v>
      </c>
      <c r="E3312" s="21">
        <f t="shared" ca="1" si="571"/>
        <v>8.2957884739898873</v>
      </c>
      <c r="F3312" s="20" t="str">
        <f t="shared" ca="1" si="569"/>
        <v>No</v>
      </c>
      <c r="G3312" s="21">
        <f t="shared" ca="1" si="565"/>
        <v>0</v>
      </c>
      <c r="H3312" s="21">
        <f t="shared" ca="1" si="566"/>
        <v>10095.880308094405</v>
      </c>
      <c r="I3312" s="21">
        <f t="shared" ca="1" si="561"/>
        <v>10106.736890206859</v>
      </c>
      <c r="J3312" s="20">
        <f t="shared" ca="1" si="570"/>
        <v>4</v>
      </c>
      <c r="K3312" s="20">
        <f t="shared" ca="1" si="562"/>
        <v>5</v>
      </c>
      <c r="L3312" s="44">
        <f t="shared" ca="1" si="567"/>
        <v>4.5</v>
      </c>
    </row>
    <row r="3313" spans="1:12" x14ac:dyDescent="0.25">
      <c r="A3313" s="20">
        <v>3305</v>
      </c>
      <c r="B3313" s="21">
        <f t="shared" ca="1" si="563"/>
        <v>3.0607308504923867</v>
      </c>
      <c r="C3313" s="21">
        <f t="shared" ca="1" si="568"/>
        <v>10090.645250470909</v>
      </c>
      <c r="D3313" s="21">
        <f t="shared" ca="1" si="564"/>
        <v>0.43245001379570774</v>
      </c>
      <c r="E3313" s="21">
        <f t="shared" ca="1" si="571"/>
        <v>16.091639735950594</v>
      </c>
      <c r="F3313" s="20" t="str">
        <f t="shared" ca="1" si="569"/>
        <v>No</v>
      </c>
      <c r="G3313" s="21">
        <f t="shared" ca="1" si="565"/>
        <v>0</v>
      </c>
      <c r="H3313" s="21">
        <f t="shared" ca="1" si="566"/>
        <v>10106.736890206859</v>
      </c>
      <c r="I3313" s="21">
        <f t="shared" ca="1" si="561"/>
        <v>10107.169340220655</v>
      </c>
      <c r="J3313" s="20">
        <f t="shared" ca="1" si="570"/>
        <v>6</v>
      </c>
      <c r="K3313" s="20">
        <f t="shared" ca="1" si="562"/>
        <v>5</v>
      </c>
      <c r="L3313" s="44">
        <f t="shared" ca="1" si="567"/>
        <v>5.5</v>
      </c>
    </row>
    <row r="3314" spans="1:12" x14ac:dyDescent="0.25">
      <c r="A3314" s="20">
        <v>3306</v>
      </c>
      <c r="B3314" s="21">
        <f t="shared" ca="1" si="563"/>
        <v>0.72706226563368581</v>
      </c>
      <c r="C3314" s="21">
        <f t="shared" ca="1" si="568"/>
        <v>10091.372312736543</v>
      </c>
      <c r="D3314" s="21">
        <f t="shared" ca="1" si="564"/>
        <v>3.7722212057351392</v>
      </c>
      <c r="E3314" s="21">
        <f t="shared" ca="1" si="571"/>
        <v>15.797027484111823</v>
      </c>
      <c r="F3314" s="20" t="str">
        <f t="shared" ca="1" si="569"/>
        <v>No</v>
      </c>
      <c r="G3314" s="21">
        <f t="shared" ca="1" si="565"/>
        <v>0</v>
      </c>
      <c r="H3314" s="21">
        <f t="shared" ca="1" si="566"/>
        <v>10107.169340220655</v>
      </c>
      <c r="I3314" s="21">
        <f t="shared" ca="1" si="561"/>
        <v>10110.941561426389</v>
      </c>
      <c r="J3314" s="20">
        <f t="shared" ca="1" si="570"/>
        <v>6</v>
      </c>
      <c r="K3314" s="20">
        <f t="shared" ca="1" si="562"/>
        <v>5</v>
      </c>
      <c r="L3314" s="44">
        <f t="shared" ca="1" si="567"/>
        <v>5.5</v>
      </c>
    </row>
    <row r="3315" spans="1:12" x14ac:dyDescent="0.25">
      <c r="A3315" s="20">
        <v>3307</v>
      </c>
      <c r="B3315" s="21">
        <f t="shared" ca="1" si="563"/>
        <v>6.7588613187654554</v>
      </c>
      <c r="C3315" s="21">
        <f t="shared" ca="1" si="568"/>
        <v>10098.131174055308</v>
      </c>
      <c r="D3315" s="21">
        <f t="shared" ca="1" si="564"/>
        <v>11.054939477064929</v>
      </c>
      <c r="E3315" s="21">
        <f t="shared" ca="1" si="571"/>
        <v>12.810387371080651</v>
      </c>
      <c r="F3315" s="20" t="str">
        <f t="shared" ca="1" si="569"/>
        <v>No</v>
      </c>
      <c r="G3315" s="21">
        <f t="shared" ca="1" si="565"/>
        <v>0</v>
      </c>
      <c r="H3315" s="21">
        <f t="shared" ca="1" si="566"/>
        <v>10110.941561426389</v>
      </c>
      <c r="I3315" s="21">
        <f t="shared" ca="1" si="561"/>
        <v>10121.996500903453</v>
      </c>
      <c r="J3315" s="20">
        <f t="shared" ca="1" si="570"/>
        <v>6</v>
      </c>
      <c r="K3315" s="20">
        <f t="shared" ca="1" si="562"/>
        <v>5</v>
      </c>
      <c r="L3315" s="44">
        <f t="shared" ca="1" si="567"/>
        <v>5.5</v>
      </c>
    </row>
    <row r="3316" spans="1:12" x14ac:dyDescent="0.25">
      <c r="A3316" s="20">
        <v>3308</v>
      </c>
      <c r="B3316" s="21">
        <f t="shared" ca="1" si="563"/>
        <v>3.0010611700686742</v>
      </c>
      <c r="C3316" s="21">
        <f t="shared" ca="1" si="568"/>
        <v>10101.132235225377</v>
      </c>
      <c r="D3316" s="21">
        <f t="shared" ca="1" si="564"/>
        <v>1.043168394011575</v>
      </c>
      <c r="E3316" s="21">
        <f t="shared" ca="1" si="571"/>
        <v>20.864265678075753</v>
      </c>
      <c r="F3316" s="20" t="str">
        <f t="shared" ca="1" si="569"/>
        <v>No</v>
      </c>
      <c r="G3316" s="21">
        <f t="shared" ca="1" si="565"/>
        <v>0</v>
      </c>
      <c r="H3316" s="21">
        <f t="shared" ca="1" si="566"/>
        <v>10121.996500903453</v>
      </c>
      <c r="I3316" s="21">
        <f t="shared" ca="1" si="561"/>
        <v>10123.039669297465</v>
      </c>
      <c r="J3316" s="20">
        <f t="shared" ca="1" si="570"/>
        <v>6</v>
      </c>
      <c r="K3316" s="20">
        <f t="shared" ca="1" si="562"/>
        <v>5</v>
      </c>
      <c r="L3316" s="44">
        <f t="shared" ca="1" si="567"/>
        <v>5.5</v>
      </c>
    </row>
    <row r="3317" spans="1:12" x14ac:dyDescent="0.25">
      <c r="A3317" s="20">
        <v>3309</v>
      </c>
      <c r="B3317" s="21">
        <f t="shared" ca="1" si="563"/>
        <v>0.64778100324053633</v>
      </c>
      <c r="C3317" s="21">
        <f t="shared" ca="1" si="568"/>
        <v>10101.780016228618</v>
      </c>
      <c r="D3317" s="21">
        <f t="shared" ca="1" si="564"/>
        <v>0.54988289702715998</v>
      </c>
      <c r="E3317" s="21">
        <f t="shared" ca="1" si="571"/>
        <v>21.259653068846092</v>
      </c>
      <c r="F3317" s="20" t="str">
        <f t="shared" ca="1" si="569"/>
        <v>No</v>
      </c>
      <c r="G3317" s="21">
        <f t="shared" ca="1" si="565"/>
        <v>0</v>
      </c>
      <c r="H3317" s="21">
        <f t="shared" ca="1" si="566"/>
        <v>10123.039669297465</v>
      </c>
      <c r="I3317" s="21">
        <f t="shared" ca="1" si="561"/>
        <v>10123.589552194491</v>
      </c>
      <c r="J3317" s="20">
        <f t="shared" ca="1" si="570"/>
        <v>6</v>
      </c>
      <c r="K3317" s="20">
        <f t="shared" ca="1" si="562"/>
        <v>5</v>
      </c>
      <c r="L3317" s="44">
        <f t="shared" ca="1" si="567"/>
        <v>5.5</v>
      </c>
    </row>
    <row r="3318" spans="1:12" x14ac:dyDescent="0.25">
      <c r="A3318" s="20">
        <v>3310</v>
      </c>
      <c r="B3318" s="21">
        <f t="shared" ca="1" si="563"/>
        <v>3.5667499767228459</v>
      </c>
      <c r="C3318" s="21">
        <f t="shared" ca="1" si="568"/>
        <v>10105.346766205341</v>
      </c>
      <c r="D3318" s="21">
        <f t="shared" ca="1" si="564"/>
        <v>3.2250959898547165</v>
      </c>
      <c r="E3318" s="21">
        <f t="shared" ca="1" si="571"/>
        <v>18.242785989150434</v>
      </c>
      <c r="F3318" s="20" t="str">
        <f t="shared" ca="1" si="569"/>
        <v>No</v>
      </c>
      <c r="G3318" s="21">
        <f t="shared" ca="1" si="565"/>
        <v>0</v>
      </c>
      <c r="H3318" s="21">
        <f t="shared" ca="1" si="566"/>
        <v>10123.589552194491</v>
      </c>
      <c r="I3318" s="21">
        <f t="shared" ca="1" si="561"/>
        <v>10126.814648184347</v>
      </c>
      <c r="J3318" s="20">
        <f t="shared" ca="1" si="570"/>
        <v>6</v>
      </c>
      <c r="K3318" s="20">
        <f t="shared" ca="1" si="562"/>
        <v>5</v>
      </c>
      <c r="L3318" s="44">
        <f t="shared" ca="1" si="567"/>
        <v>5.5</v>
      </c>
    </row>
    <row r="3319" spans="1:12" x14ac:dyDescent="0.25">
      <c r="A3319" s="20">
        <v>3311</v>
      </c>
      <c r="B3319" s="21">
        <f t="shared" ca="1" si="563"/>
        <v>6.758754589172089E-2</v>
      </c>
      <c r="C3319" s="21">
        <f t="shared" ca="1" si="568"/>
        <v>10105.414353751232</v>
      </c>
      <c r="D3319" s="21">
        <f t="shared" ca="1" si="564"/>
        <v>2.5601555024052507</v>
      </c>
      <c r="E3319" s="21">
        <f t="shared" ca="1" si="571"/>
        <v>21.40029443311505</v>
      </c>
      <c r="F3319" s="20" t="str">
        <f t="shared" ca="1" si="569"/>
        <v>No</v>
      </c>
      <c r="G3319" s="21">
        <f t="shared" ca="1" si="565"/>
        <v>0</v>
      </c>
      <c r="H3319" s="21">
        <f t="shared" ca="1" si="566"/>
        <v>10126.814648184347</v>
      </c>
      <c r="I3319" s="21">
        <f t="shared" ca="1" si="561"/>
        <v>10129.374803686753</v>
      </c>
      <c r="J3319" s="20">
        <f t="shared" ca="1" si="570"/>
        <v>6</v>
      </c>
      <c r="K3319" s="20">
        <f t="shared" ca="1" si="562"/>
        <v>5</v>
      </c>
      <c r="L3319" s="44">
        <f t="shared" ca="1" si="567"/>
        <v>5.5</v>
      </c>
    </row>
    <row r="3320" spans="1:12" x14ac:dyDescent="0.25">
      <c r="A3320" s="20">
        <v>3312</v>
      </c>
      <c r="B3320" s="21">
        <f t="shared" ca="1" si="563"/>
        <v>7.6469258728381861</v>
      </c>
      <c r="C3320" s="21">
        <f t="shared" ca="1" si="568"/>
        <v>10113.061279624069</v>
      </c>
      <c r="D3320" s="21">
        <f t="shared" ca="1" si="564"/>
        <v>0.60228761608824133</v>
      </c>
      <c r="E3320" s="21">
        <f t="shared" ca="1" si="571"/>
        <v>16.313524062683427</v>
      </c>
      <c r="F3320" s="20" t="str">
        <f t="shared" ca="1" si="569"/>
        <v>No</v>
      </c>
      <c r="G3320" s="21">
        <f t="shared" ca="1" si="565"/>
        <v>0</v>
      </c>
      <c r="H3320" s="21">
        <f t="shared" ca="1" si="566"/>
        <v>10129.374803686753</v>
      </c>
      <c r="I3320" s="21">
        <f t="shared" ca="1" si="561"/>
        <v>10129.977091302841</v>
      </c>
      <c r="J3320" s="20">
        <f t="shared" ca="1" si="570"/>
        <v>6</v>
      </c>
      <c r="K3320" s="20">
        <f t="shared" ca="1" si="562"/>
        <v>5</v>
      </c>
      <c r="L3320" s="44">
        <f t="shared" ca="1" si="567"/>
        <v>5.5</v>
      </c>
    </row>
    <row r="3321" spans="1:12" x14ac:dyDescent="0.25">
      <c r="A3321" s="20">
        <v>3313</v>
      </c>
      <c r="B3321" s="21">
        <f t="shared" ca="1" si="563"/>
        <v>1.5950489019568679</v>
      </c>
      <c r="C3321" s="21">
        <f t="shared" ca="1" si="568"/>
        <v>10114.656328526025</v>
      </c>
      <c r="D3321" s="21">
        <f t="shared" ca="1" si="564"/>
        <v>1.0312292076249603</v>
      </c>
      <c r="E3321" s="21">
        <f t="shared" ca="1" si="571"/>
        <v>15.320762776815172</v>
      </c>
      <c r="F3321" s="20" t="str">
        <f t="shared" ca="1" si="569"/>
        <v>No</v>
      </c>
      <c r="G3321" s="21">
        <f t="shared" ca="1" si="565"/>
        <v>0</v>
      </c>
      <c r="H3321" s="21">
        <f t="shared" ca="1" si="566"/>
        <v>10129.977091302841</v>
      </c>
      <c r="I3321" s="21">
        <f t="shared" ca="1" si="561"/>
        <v>10131.008320510466</v>
      </c>
      <c r="J3321" s="20">
        <f t="shared" ca="1" si="570"/>
        <v>6</v>
      </c>
      <c r="K3321" s="20">
        <f t="shared" ca="1" si="562"/>
        <v>5</v>
      </c>
      <c r="L3321" s="44">
        <f t="shared" ca="1" si="567"/>
        <v>5.5</v>
      </c>
    </row>
    <row r="3322" spans="1:12" x14ac:dyDescent="0.25">
      <c r="A3322" s="20">
        <v>3314</v>
      </c>
      <c r="B3322" s="21">
        <f t="shared" ca="1" si="563"/>
        <v>1.309039718228314</v>
      </c>
      <c r="C3322" s="21">
        <f t="shared" ca="1" si="568"/>
        <v>10115.965368244253</v>
      </c>
      <c r="D3322" s="21">
        <f t="shared" ca="1" si="564"/>
        <v>0.65618293086343848</v>
      </c>
      <c r="E3322" s="21">
        <f t="shared" ca="1" si="571"/>
        <v>15.042952266212524</v>
      </c>
      <c r="F3322" s="20" t="str">
        <f t="shared" ca="1" si="569"/>
        <v>No</v>
      </c>
      <c r="G3322" s="21">
        <f t="shared" ca="1" si="565"/>
        <v>0</v>
      </c>
      <c r="H3322" s="21">
        <f t="shared" ca="1" si="566"/>
        <v>10131.008320510466</v>
      </c>
      <c r="I3322" s="21">
        <f t="shared" ca="1" si="561"/>
        <v>10131.664503441329</v>
      </c>
      <c r="J3322" s="20">
        <f t="shared" ca="1" si="570"/>
        <v>6</v>
      </c>
      <c r="K3322" s="20">
        <f t="shared" ca="1" si="562"/>
        <v>5</v>
      </c>
      <c r="L3322" s="44">
        <f t="shared" ca="1" si="567"/>
        <v>5.5</v>
      </c>
    </row>
    <row r="3323" spans="1:12" x14ac:dyDescent="0.25">
      <c r="A3323" s="20">
        <v>3315</v>
      </c>
      <c r="B3323" s="21">
        <f t="shared" ca="1" si="563"/>
        <v>2.3640063520442656</v>
      </c>
      <c r="C3323" s="21">
        <f t="shared" ca="1" si="568"/>
        <v>10118.329374596296</v>
      </c>
      <c r="D3323" s="21">
        <f t="shared" ca="1" si="564"/>
        <v>2.315849442395864</v>
      </c>
      <c r="E3323" s="21">
        <f t="shared" ca="1" si="571"/>
        <v>13.335128845032159</v>
      </c>
      <c r="F3323" s="20" t="str">
        <f t="shared" ca="1" si="569"/>
        <v>No</v>
      </c>
      <c r="G3323" s="21">
        <f t="shared" ca="1" si="565"/>
        <v>0</v>
      </c>
      <c r="H3323" s="21">
        <f t="shared" ca="1" si="566"/>
        <v>10131.664503441329</v>
      </c>
      <c r="I3323" s="21">
        <f t="shared" ca="1" si="561"/>
        <v>10133.980352883724</v>
      </c>
      <c r="J3323" s="20">
        <f t="shared" ca="1" si="570"/>
        <v>6</v>
      </c>
      <c r="K3323" s="20">
        <f t="shared" ca="1" si="562"/>
        <v>5</v>
      </c>
      <c r="L3323" s="44">
        <f t="shared" ca="1" si="567"/>
        <v>5.5</v>
      </c>
    </row>
    <row r="3324" spans="1:12" x14ac:dyDescent="0.25">
      <c r="A3324" s="20">
        <v>3316</v>
      </c>
      <c r="B3324" s="21">
        <f t="shared" ca="1" si="563"/>
        <v>1.147780532668627</v>
      </c>
      <c r="C3324" s="21">
        <f t="shared" ca="1" si="568"/>
        <v>10119.477155128965</v>
      </c>
      <c r="D3324" s="21">
        <f t="shared" ca="1" si="564"/>
        <v>0.44716101768899941</v>
      </c>
      <c r="E3324" s="21">
        <f t="shared" ca="1" si="571"/>
        <v>14.50319775475873</v>
      </c>
      <c r="F3324" s="20" t="str">
        <f t="shared" ca="1" si="569"/>
        <v>No</v>
      </c>
      <c r="G3324" s="21">
        <f t="shared" ca="1" si="565"/>
        <v>0</v>
      </c>
      <c r="H3324" s="21">
        <f t="shared" ca="1" si="566"/>
        <v>10133.980352883724</v>
      </c>
      <c r="I3324" s="21">
        <f t="shared" ca="1" si="561"/>
        <v>10134.427513901413</v>
      </c>
      <c r="J3324" s="20">
        <f t="shared" ca="1" si="570"/>
        <v>6</v>
      </c>
      <c r="K3324" s="20">
        <f t="shared" ca="1" si="562"/>
        <v>5</v>
      </c>
      <c r="L3324" s="44">
        <f t="shared" ca="1" si="567"/>
        <v>5.5</v>
      </c>
    </row>
    <row r="3325" spans="1:12" x14ac:dyDescent="0.25">
      <c r="A3325" s="20">
        <v>3317</v>
      </c>
      <c r="B3325" s="21">
        <f t="shared" ca="1" si="563"/>
        <v>0.70159300792388757</v>
      </c>
      <c r="C3325" s="21">
        <f t="shared" ca="1" si="568"/>
        <v>10120.178748136888</v>
      </c>
      <c r="D3325" s="21">
        <f t="shared" ca="1" si="564"/>
        <v>5.4253625280494794E-2</v>
      </c>
      <c r="E3325" s="21">
        <f t="shared" ca="1" si="571"/>
        <v>14.24876576452516</v>
      </c>
      <c r="F3325" s="20" t="str">
        <f t="shared" ca="1" si="569"/>
        <v>No</v>
      </c>
      <c r="G3325" s="21">
        <f t="shared" ca="1" si="565"/>
        <v>0</v>
      </c>
      <c r="H3325" s="21">
        <f t="shared" ca="1" si="566"/>
        <v>10134.427513901413</v>
      </c>
      <c r="I3325" s="21">
        <f t="shared" ca="1" si="561"/>
        <v>10134.481767526693</v>
      </c>
      <c r="J3325" s="20">
        <f t="shared" ca="1" si="570"/>
        <v>6</v>
      </c>
      <c r="K3325" s="20">
        <f t="shared" ca="1" si="562"/>
        <v>5</v>
      </c>
      <c r="L3325" s="44">
        <f t="shared" ca="1" si="567"/>
        <v>5.5</v>
      </c>
    </row>
    <row r="3326" spans="1:12" x14ac:dyDescent="0.25">
      <c r="A3326" s="20">
        <v>3318</v>
      </c>
      <c r="B3326" s="21">
        <f t="shared" ca="1" si="563"/>
        <v>2.0154792339003809</v>
      </c>
      <c r="C3326" s="21">
        <f t="shared" ca="1" si="568"/>
        <v>10122.194227370788</v>
      </c>
      <c r="D3326" s="21">
        <f t="shared" ca="1" si="564"/>
        <v>0.77625748140638395</v>
      </c>
      <c r="E3326" s="21">
        <f t="shared" ca="1" si="571"/>
        <v>12.287540155904935</v>
      </c>
      <c r="F3326" s="20" t="str">
        <f t="shared" ca="1" si="569"/>
        <v>No</v>
      </c>
      <c r="G3326" s="21">
        <f t="shared" ca="1" si="565"/>
        <v>0</v>
      </c>
      <c r="H3326" s="21">
        <f t="shared" ca="1" si="566"/>
        <v>10134.481767526693</v>
      </c>
      <c r="I3326" s="21">
        <f t="shared" ca="1" si="561"/>
        <v>10135.258025008099</v>
      </c>
      <c r="J3326" s="20">
        <f t="shared" ca="1" si="570"/>
        <v>6</v>
      </c>
      <c r="K3326" s="20">
        <f t="shared" ca="1" si="562"/>
        <v>5</v>
      </c>
      <c r="L3326" s="44">
        <f t="shared" ca="1" si="567"/>
        <v>5.5</v>
      </c>
    </row>
    <row r="3327" spans="1:12" x14ac:dyDescent="0.25">
      <c r="A3327" s="20">
        <v>3319</v>
      </c>
      <c r="B3327" s="21">
        <f t="shared" ca="1" si="563"/>
        <v>3.4915262715460713</v>
      </c>
      <c r="C3327" s="21">
        <f t="shared" ca="1" si="568"/>
        <v>10125.685753642334</v>
      </c>
      <c r="D3327" s="21">
        <f t="shared" ca="1" si="564"/>
        <v>1.8470818850501713</v>
      </c>
      <c r="E3327" s="21">
        <f t="shared" ca="1" si="571"/>
        <v>9.5722713657651184</v>
      </c>
      <c r="F3327" s="20" t="str">
        <f t="shared" ca="1" si="569"/>
        <v>No</v>
      </c>
      <c r="G3327" s="21">
        <f t="shared" ca="1" si="565"/>
        <v>0</v>
      </c>
      <c r="H3327" s="21">
        <f t="shared" ca="1" si="566"/>
        <v>10135.258025008099</v>
      </c>
      <c r="I3327" s="21">
        <f t="shared" ca="1" si="561"/>
        <v>10137.10510689315</v>
      </c>
      <c r="J3327" s="20">
        <f t="shared" ca="1" si="570"/>
        <v>6</v>
      </c>
      <c r="K3327" s="20">
        <f t="shared" ca="1" si="562"/>
        <v>5</v>
      </c>
      <c r="L3327" s="44">
        <f t="shared" ca="1" si="567"/>
        <v>5.5</v>
      </c>
    </row>
    <row r="3328" spans="1:12" x14ac:dyDescent="0.25">
      <c r="A3328" s="20">
        <v>3320</v>
      </c>
      <c r="B3328" s="21">
        <f t="shared" ca="1" si="563"/>
        <v>1.1838879680386496</v>
      </c>
      <c r="C3328" s="21">
        <f t="shared" ca="1" si="568"/>
        <v>10126.869641610372</v>
      </c>
      <c r="D3328" s="21">
        <f t="shared" ca="1" si="564"/>
        <v>0.3984288194950093</v>
      </c>
      <c r="E3328" s="21">
        <f t="shared" ca="1" si="571"/>
        <v>10.235465282778023</v>
      </c>
      <c r="F3328" s="20" t="str">
        <f t="shared" ca="1" si="569"/>
        <v>No</v>
      </c>
      <c r="G3328" s="21">
        <f t="shared" ca="1" si="565"/>
        <v>0</v>
      </c>
      <c r="H3328" s="21">
        <f t="shared" ca="1" si="566"/>
        <v>10137.10510689315</v>
      </c>
      <c r="I3328" s="21">
        <f t="shared" ca="1" si="561"/>
        <v>10137.503535712645</v>
      </c>
      <c r="J3328" s="20">
        <f t="shared" ca="1" si="570"/>
        <v>6</v>
      </c>
      <c r="K3328" s="20">
        <f t="shared" ca="1" si="562"/>
        <v>5</v>
      </c>
      <c r="L3328" s="44">
        <f t="shared" ca="1" si="567"/>
        <v>5.5</v>
      </c>
    </row>
    <row r="3329" spans="1:12" x14ac:dyDescent="0.25">
      <c r="A3329" s="20">
        <v>3321</v>
      </c>
      <c r="B3329" s="21">
        <f t="shared" ca="1" si="563"/>
        <v>0.8386180104884482</v>
      </c>
      <c r="C3329" s="21">
        <f t="shared" ca="1" si="568"/>
        <v>10127.70825962086</v>
      </c>
      <c r="D3329" s="21">
        <f t="shared" ca="1" si="564"/>
        <v>1.0402417730976572</v>
      </c>
      <c r="E3329" s="21">
        <f t="shared" ca="1" si="571"/>
        <v>9.7952760917851265</v>
      </c>
      <c r="F3329" s="20" t="str">
        <f t="shared" ca="1" si="569"/>
        <v>No</v>
      </c>
      <c r="G3329" s="21">
        <f t="shared" ca="1" si="565"/>
        <v>0</v>
      </c>
      <c r="H3329" s="21">
        <f t="shared" ca="1" si="566"/>
        <v>10137.503535712645</v>
      </c>
      <c r="I3329" s="21">
        <f t="shared" ca="1" si="561"/>
        <v>10138.543777485744</v>
      </c>
      <c r="J3329" s="20">
        <f t="shared" ca="1" si="570"/>
        <v>6</v>
      </c>
      <c r="K3329" s="20">
        <f t="shared" ca="1" si="562"/>
        <v>5</v>
      </c>
      <c r="L3329" s="44">
        <f t="shared" ca="1" si="567"/>
        <v>5.5</v>
      </c>
    </row>
    <row r="3330" spans="1:12" x14ac:dyDescent="0.25">
      <c r="A3330" s="20">
        <v>3322</v>
      </c>
      <c r="B3330" s="21">
        <f t="shared" ca="1" si="563"/>
        <v>1.8011963398491917</v>
      </c>
      <c r="C3330" s="21">
        <f t="shared" ca="1" si="568"/>
        <v>10129.50945596071</v>
      </c>
      <c r="D3330" s="21">
        <f t="shared" ca="1" si="564"/>
        <v>1.0770569219910289</v>
      </c>
      <c r="E3330" s="21">
        <f t="shared" ca="1" si="571"/>
        <v>9.0343215250341018</v>
      </c>
      <c r="F3330" s="20" t="str">
        <f t="shared" ca="1" si="569"/>
        <v>No</v>
      </c>
      <c r="G3330" s="21">
        <f t="shared" ca="1" si="565"/>
        <v>0</v>
      </c>
      <c r="H3330" s="21">
        <f t="shared" ca="1" si="566"/>
        <v>10138.543777485744</v>
      </c>
      <c r="I3330" s="21">
        <f t="shared" ca="1" si="561"/>
        <v>10139.620834407735</v>
      </c>
      <c r="J3330" s="20">
        <f t="shared" ca="1" si="570"/>
        <v>6</v>
      </c>
      <c r="K3330" s="20">
        <f t="shared" ca="1" si="562"/>
        <v>5</v>
      </c>
      <c r="L3330" s="44">
        <f t="shared" ca="1" si="567"/>
        <v>5.5</v>
      </c>
    </row>
    <row r="3331" spans="1:12" x14ac:dyDescent="0.25">
      <c r="A3331" s="20">
        <v>3323</v>
      </c>
      <c r="B3331" s="21">
        <f t="shared" ca="1" si="563"/>
        <v>8.4205148189351625E-2</v>
      </c>
      <c r="C3331" s="21">
        <f t="shared" ca="1" si="568"/>
        <v>10129.593661108898</v>
      </c>
      <c r="D3331" s="21">
        <f t="shared" ca="1" si="564"/>
        <v>0.27147873553201435</v>
      </c>
      <c r="E3331" s="21">
        <f t="shared" ca="1" si="571"/>
        <v>10.027173298836715</v>
      </c>
      <c r="F3331" s="20" t="str">
        <f t="shared" ca="1" si="569"/>
        <v>No</v>
      </c>
      <c r="G3331" s="21">
        <f t="shared" ca="1" si="565"/>
        <v>0</v>
      </c>
      <c r="H3331" s="21">
        <f t="shared" ca="1" si="566"/>
        <v>10139.620834407735</v>
      </c>
      <c r="I3331" s="21">
        <f t="shared" ca="1" si="561"/>
        <v>10139.892313143268</v>
      </c>
      <c r="J3331" s="20">
        <f t="shared" ca="1" si="570"/>
        <v>6</v>
      </c>
      <c r="K3331" s="20">
        <f t="shared" ca="1" si="562"/>
        <v>4</v>
      </c>
      <c r="L3331" s="44">
        <f t="shared" ca="1" si="567"/>
        <v>5</v>
      </c>
    </row>
    <row r="3332" spans="1:12" x14ac:dyDescent="0.25">
      <c r="A3332" s="20">
        <v>3324</v>
      </c>
      <c r="B3332" s="21">
        <f t="shared" ca="1" si="563"/>
        <v>0.42628615145896692</v>
      </c>
      <c r="C3332" s="21">
        <f t="shared" ca="1" si="568"/>
        <v>10130.019947260358</v>
      </c>
      <c r="D3332" s="21">
        <f t="shared" ca="1" si="564"/>
        <v>0.23092869702454921</v>
      </c>
      <c r="E3332" s="21">
        <f t="shared" ca="1" si="571"/>
        <v>9.8723658829094347</v>
      </c>
      <c r="F3332" s="20" t="str">
        <f t="shared" ca="1" si="569"/>
        <v>No</v>
      </c>
      <c r="G3332" s="21">
        <f t="shared" ca="1" si="565"/>
        <v>0</v>
      </c>
      <c r="H3332" s="21">
        <f t="shared" ca="1" si="566"/>
        <v>10139.892313143268</v>
      </c>
      <c r="I3332" s="21">
        <f t="shared" ca="1" si="561"/>
        <v>10140.123241840292</v>
      </c>
      <c r="J3332" s="20">
        <f t="shared" ca="1" si="570"/>
        <v>5</v>
      </c>
      <c r="K3332" s="20">
        <f t="shared" ca="1" si="562"/>
        <v>3</v>
      </c>
      <c r="L3332" s="44">
        <f t="shared" ca="1" si="567"/>
        <v>4</v>
      </c>
    </row>
    <row r="3333" spans="1:12" x14ac:dyDescent="0.25">
      <c r="A3333" s="20">
        <v>3325</v>
      </c>
      <c r="B3333" s="21">
        <f t="shared" ca="1" si="563"/>
        <v>4.0927154187791907E-2</v>
      </c>
      <c r="C3333" s="21">
        <f t="shared" ca="1" si="568"/>
        <v>10130.060874414547</v>
      </c>
      <c r="D3333" s="21">
        <f t="shared" ca="1" si="564"/>
        <v>3.3972491306120221</v>
      </c>
      <c r="E3333" s="21">
        <f t="shared" ca="1" si="571"/>
        <v>10.062367425745833</v>
      </c>
      <c r="F3333" s="20" t="str">
        <f t="shared" ca="1" si="569"/>
        <v>No</v>
      </c>
      <c r="G3333" s="21">
        <f t="shared" ca="1" si="565"/>
        <v>0</v>
      </c>
      <c r="H3333" s="21">
        <f t="shared" ca="1" si="566"/>
        <v>10140.123241840292</v>
      </c>
      <c r="I3333" s="21">
        <f t="shared" ca="1" si="561"/>
        <v>10143.520490970905</v>
      </c>
      <c r="J3333" s="20">
        <f t="shared" ca="1" si="570"/>
        <v>4</v>
      </c>
      <c r="K3333" s="20">
        <f t="shared" ca="1" si="562"/>
        <v>3</v>
      </c>
      <c r="L3333" s="44">
        <f t="shared" ca="1" si="567"/>
        <v>3.5</v>
      </c>
    </row>
    <row r="3334" spans="1:12" x14ac:dyDescent="0.25">
      <c r="A3334" s="20">
        <v>3326</v>
      </c>
      <c r="B3334" s="21">
        <f t="shared" ca="1" si="563"/>
        <v>0.41708757449392925</v>
      </c>
      <c r="C3334" s="21">
        <f t="shared" ca="1" si="568"/>
        <v>10130.47796198904</v>
      </c>
      <c r="D3334" s="21">
        <f t="shared" ca="1" si="564"/>
        <v>4.3529046654754096</v>
      </c>
      <c r="E3334" s="21">
        <f t="shared" ca="1" si="571"/>
        <v>13.042528981864962</v>
      </c>
      <c r="F3334" s="20" t="str">
        <f t="shared" ca="1" si="569"/>
        <v>No</v>
      </c>
      <c r="G3334" s="21">
        <f t="shared" ca="1" si="565"/>
        <v>0</v>
      </c>
      <c r="H3334" s="21">
        <f t="shared" ca="1" si="566"/>
        <v>10143.520490970905</v>
      </c>
      <c r="I3334" s="21">
        <f t="shared" ca="1" si="561"/>
        <v>10147.873395636379</v>
      </c>
      <c r="J3334" s="20">
        <f t="shared" ca="1" si="570"/>
        <v>4</v>
      </c>
      <c r="K3334" s="20">
        <f t="shared" ca="1" si="562"/>
        <v>4</v>
      </c>
      <c r="L3334" s="44">
        <f t="shared" ca="1" si="567"/>
        <v>4</v>
      </c>
    </row>
    <row r="3335" spans="1:12" x14ac:dyDescent="0.25">
      <c r="A3335" s="20">
        <v>3327</v>
      </c>
      <c r="B3335" s="21">
        <f t="shared" ca="1" si="563"/>
        <v>4.8462492821783689</v>
      </c>
      <c r="C3335" s="21">
        <f t="shared" ca="1" si="568"/>
        <v>10135.324211271218</v>
      </c>
      <c r="D3335" s="21">
        <f t="shared" ca="1" si="564"/>
        <v>0.72330944988416135</v>
      </c>
      <c r="E3335" s="21">
        <f t="shared" ca="1" si="571"/>
        <v>12.549184365161636</v>
      </c>
      <c r="F3335" s="20" t="str">
        <f t="shared" ca="1" si="569"/>
        <v>No</v>
      </c>
      <c r="G3335" s="21">
        <f t="shared" ca="1" si="565"/>
        <v>0</v>
      </c>
      <c r="H3335" s="21">
        <f t="shared" ca="1" si="566"/>
        <v>10147.873395636379</v>
      </c>
      <c r="I3335" s="21">
        <f t="shared" ca="1" si="561"/>
        <v>10148.596705086264</v>
      </c>
      <c r="J3335" s="20">
        <f t="shared" ca="1" si="570"/>
        <v>5</v>
      </c>
      <c r="K3335" s="20">
        <f t="shared" ca="1" si="562"/>
        <v>3</v>
      </c>
      <c r="L3335" s="44">
        <f t="shared" ca="1" si="567"/>
        <v>4</v>
      </c>
    </row>
    <row r="3336" spans="1:12" x14ac:dyDescent="0.25">
      <c r="A3336" s="20">
        <v>3328</v>
      </c>
      <c r="B3336" s="21">
        <f t="shared" ca="1" si="563"/>
        <v>7.8950110060852223</v>
      </c>
      <c r="C3336" s="21">
        <f t="shared" ca="1" si="568"/>
        <v>10143.219222277303</v>
      </c>
      <c r="D3336" s="21">
        <f t="shared" ca="1" si="564"/>
        <v>16.185052163234463</v>
      </c>
      <c r="E3336" s="21">
        <f t="shared" ca="1" si="571"/>
        <v>5.3774828089608491</v>
      </c>
      <c r="F3336" s="20" t="str">
        <f t="shared" ca="1" si="569"/>
        <v>No</v>
      </c>
      <c r="G3336" s="21">
        <f t="shared" ca="1" si="565"/>
        <v>0</v>
      </c>
      <c r="H3336" s="21">
        <f t="shared" ca="1" si="566"/>
        <v>10148.596705086264</v>
      </c>
      <c r="I3336" s="21">
        <f t="shared" ca="1" si="561"/>
        <v>10164.781757249499</v>
      </c>
      <c r="J3336" s="20">
        <f t="shared" ca="1" si="570"/>
        <v>4</v>
      </c>
      <c r="K3336" s="20">
        <f t="shared" ca="1" si="562"/>
        <v>5</v>
      </c>
      <c r="L3336" s="44">
        <f t="shared" ca="1" si="567"/>
        <v>4.5</v>
      </c>
    </row>
    <row r="3337" spans="1:12" x14ac:dyDescent="0.25">
      <c r="A3337" s="20">
        <v>3329</v>
      </c>
      <c r="B3337" s="21">
        <f t="shared" ca="1" si="563"/>
        <v>0.91535443226899516</v>
      </c>
      <c r="C3337" s="21">
        <f t="shared" ca="1" si="568"/>
        <v>10144.134576709572</v>
      </c>
      <c r="D3337" s="21">
        <f t="shared" ca="1" si="564"/>
        <v>0.57483505207182728</v>
      </c>
      <c r="E3337" s="21">
        <f t="shared" ca="1" si="571"/>
        <v>20.647180539926921</v>
      </c>
      <c r="F3337" s="20" t="str">
        <f t="shared" ca="1" si="569"/>
        <v>No</v>
      </c>
      <c r="G3337" s="21">
        <f t="shared" ca="1" si="565"/>
        <v>0</v>
      </c>
      <c r="H3337" s="21">
        <f t="shared" ca="1" si="566"/>
        <v>10164.781757249499</v>
      </c>
      <c r="I3337" s="21">
        <f t="shared" ref="I3337:I3400" ca="1" si="572">$H3337+$D3337</f>
        <v>10165.35659230157</v>
      </c>
      <c r="J3337" s="20">
        <f t="shared" ca="1" si="570"/>
        <v>6</v>
      </c>
      <c r="K3337" s="20">
        <f t="shared" ref="K3337:K3400" ca="1" si="573">IF($I3337&lt;=$C3338,0,IF($I3337&lt;=$C3339,1,IF($I3337&lt;=$C3340,2,IF($I3337&lt;=$C3341,3,IF($I3337&lt;=$C3342,4,5)))))</f>
        <v>5</v>
      </c>
      <c r="L3337" s="44">
        <f t="shared" ca="1" si="567"/>
        <v>5.5</v>
      </c>
    </row>
    <row r="3338" spans="1:12" x14ac:dyDescent="0.25">
      <c r="A3338" s="20">
        <v>3330</v>
      </c>
      <c r="B3338" s="21">
        <f t="shared" ref="B3338:B3401" ca="1" si="574">-LN(RAND())/$D$4</f>
        <v>1.1450132768067744</v>
      </c>
      <c r="C3338" s="21">
        <f t="shared" ca="1" si="568"/>
        <v>10145.279589986378</v>
      </c>
      <c r="D3338" s="21">
        <f t="shared" ref="D3338:D3401" ca="1" si="575">-LN(RAND())/$D$6</f>
        <v>6.8973064673920559E-2</v>
      </c>
      <c r="E3338" s="21">
        <f t="shared" ca="1" si="571"/>
        <v>20.077002315192658</v>
      </c>
      <c r="F3338" s="20" t="str">
        <f t="shared" ca="1" si="569"/>
        <v>No</v>
      </c>
      <c r="G3338" s="21">
        <f t="shared" ref="G3338:G3401" ca="1" si="576">IF($I3337&lt;=$C3338,$C3338-$I3337,0)</f>
        <v>0</v>
      </c>
      <c r="H3338" s="21">
        <f t="shared" ref="H3338:H3401" ca="1" si="577">IF($I3337&lt;=$C3338,$C3338,$I3337)</f>
        <v>10165.35659230157</v>
      </c>
      <c r="I3338" s="21">
        <f t="shared" ca="1" si="572"/>
        <v>10165.425565366244</v>
      </c>
      <c r="J3338" s="20">
        <f t="shared" ca="1" si="570"/>
        <v>6</v>
      </c>
      <c r="K3338" s="20">
        <f t="shared" ca="1" si="573"/>
        <v>5</v>
      </c>
      <c r="L3338" s="44">
        <f t="shared" ref="L3338:L3401" ca="1" si="578">(J3338+K3338)/2</f>
        <v>5.5</v>
      </c>
    </row>
    <row r="3339" spans="1:12" x14ac:dyDescent="0.25">
      <c r="A3339" s="20">
        <v>3331</v>
      </c>
      <c r="B3339" s="21">
        <f t="shared" ca="1" si="574"/>
        <v>4.3095993667316845</v>
      </c>
      <c r="C3339" s="21">
        <f t="shared" ref="C3339:C3402" ca="1" si="579">$C3338+$B3339</f>
        <v>10149.58918935311</v>
      </c>
      <c r="D3339" s="21">
        <f t="shared" ca="1" si="575"/>
        <v>3.7425458576773232</v>
      </c>
      <c r="E3339" s="21">
        <f t="shared" ca="1" si="571"/>
        <v>15.836376013134213</v>
      </c>
      <c r="F3339" s="20" t="str">
        <f t="shared" ref="F3339:F3402" ca="1" si="580">IF(E3339=0,"Yes","No")</f>
        <v>No</v>
      </c>
      <c r="G3339" s="21">
        <f t="shared" ca="1" si="576"/>
        <v>0</v>
      </c>
      <c r="H3339" s="21">
        <f t="shared" ca="1" si="577"/>
        <v>10165.425565366244</v>
      </c>
      <c r="I3339" s="21">
        <f t="shared" ca="1" si="572"/>
        <v>10169.168111223922</v>
      </c>
      <c r="J3339" s="20">
        <f t="shared" ref="J3339:J3402" ca="1" si="581">IF($I3338&lt;=$C3339,0,$K3338+1)</f>
        <v>6</v>
      </c>
      <c r="K3339" s="20">
        <f t="shared" ca="1" si="573"/>
        <v>5</v>
      </c>
      <c r="L3339" s="44">
        <f t="shared" ca="1" si="578"/>
        <v>5.5</v>
      </c>
    </row>
    <row r="3340" spans="1:12" x14ac:dyDescent="0.25">
      <c r="A3340" s="20">
        <v>3332</v>
      </c>
      <c r="B3340" s="21">
        <f t="shared" ca="1" si="574"/>
        <v>3.0933998659318287</v>
      </c>
      <c r="C3340" s="21">
        <f t="shared" ca="1" si="579"/>
        <v>10152.682589219041</v>
      </c>
      <c r="D3340" s="21">
        <f t="shared" ca="1" si="575"/>
        <v>1.5905651278066851E-2</v>
      </c>
      <c r="E3340" s="21">
        <f t="shared" ref="E3340:E3403" ca="1" si="582">IF($I3339&lt;=$C3340,0,$I3339-$C3340)</f>
        <v>16.485522004881204</v>
      </c>
      <c r="F3340" s="20" t="str">
        <f t="shared" ca="1" si="580"/>
        <v>No</v>
      </c>
      <c r="G3340" s="21">
        <f t="shared" ca="1" si="576"/>
        <v>0</v>
      </c>
      <c r="H3340" s="21">
        <f t="shared" ca="1" si="577"/>
        <v>10169.168111223922</v>
      </c>
      <c r="I3340" s="21">
        <f t="shared" ca="1" si="572"/>
        <v>10169.184016875201</v>
      </c>
      <c r="J3340" s="20">
        <f t="shared" ca="1" si="581"/>
        <v>6</v>
      </c>
      <c r="K3340" s="20">
        <f t="shared" ca="1" si="573"/>
        <v>5</v>
      </c>
      <c r="L3340" s="44">
        <f t="shared" ca="1" si="578"/>
        <v>5.5</v>
      </c>
    </row>
    <row r="3341" spans="1:12" x14ac:dyDescent="0.25">
      <c r="A3341" s="20">
        <v>3333</v>
      </c>
      <c r="B3341" s="21">
        <f t="shared" ca="1" si="574"/>
        <v>2.0252092589638924</v>
      </c>
      <c r="C3341" s="21">
        <f t="shared" ca="1" si="579"/>
        <v>10154.707798478004</v>
      </c>
      <c r="D3341" s="21">
        <f t="shared" ca="1" si="575"/>
        <v>0.45194041949874653</v>
      </c>
      <c r="E3341" s="21">
        <f t="shared" ca="1" si="582"/>
        <v>14.476218397196135</v>
      </c>
      <c r="F3341" s="20" t="str">
        <f t="shared" ca="1" si="580"/>
        <v>No</v>
      </c>
      <c r="G3341" s="21">
        <f t="shared" ca="1" si="576"/>
        <v>0</v>
      </c>
      <c r="H3341" s="21">
        <f t="shared" ca="1" si="577"/>
        <v>10169.184016875201</v>
      </c>
      <c r="I3341" s="21">
        <f t="shared" ca="1" si="572"/>
        <v>10169.635957294699</v>
      </c>
      <c r="J3341" s="20">
        <f t="shared" ca="1" si="581"/>
        <v>6</v>
      </c>
      <c r="K3341" s="20">
        <f t="shared" ca="1" si="573"/>
        <v>5</v>
      </c>
      <c r="L3341" s="44">
        <f t="shared" ca="1" si="578"/>
        <v>5.5</v>
      </c>
    </row>
    <row r="3342" spans="1:12" x14ac:dyDescent="0.25">
      <c r="A3342" s="20">
        <v>3334</v>
      </c>
      <c r="B3342" s="21">
        <f t="shared" ca="1" si="574"/>
        <v>5.2039143295482591</v>
      </c>
      <c r="C3342" s="21">
        <f t="shared" ca="1" si="579"/>
        <v>10159.911712807552</v>
      </c>
      <c r="D3342" s="21">
        <f t="shared" ca="1" si="575"/>
        <v>1.8662605076409673</v>
      </c>
      <c r="E3342" s="21">
        <f t="shared" ca="1" si="582"/>
        <v>9.7242444871462794</v>
      </c>
      <c r="F3342" s="20" t="str">
        <f t="shared" ca="1" si="580"/>
        <v>No</v>
      </c>
      <c r="G3342" s="21">
        <f t="shared" ca="1" si="576"/>
        <v>0</v>
      </c>
      <c r="H3342" s="21">
        <f t="shared" ca="1" si="577"/>
        <v>10169.635957294699</v>
      </c>
      <c r="I3342" s="21">
        <f t="shared" ca="1" si="572"/>
        <v>10171.502217802339</v>
      </c>
      <c r="J3342" s="20">
        <f t="shared" ca="1" si="581"/>
        <v>6</v>
      </c>
      <c r="K3342" s="20">
        <f t="shared" ca="1" si="573"/>
        <v>4</v>
      </c>
      <c r="L3342" s="44">
        <f t="shared" ca="1" si="578"/>
        <v>5</v>
      </c>
    </row>
    <row r="3343" spans="1:12" x14ac:dyDescent="0.25">
      <c r="A3343" s="20">
        <v>3335</v>
      </c>
      <c r="B3343" s="21">
        <f t="shared" ca="1" si="574"/>
        <v>2.6672289270973848</v>
      </c>
      <c r="C3343" s="21">
        <f t="shared" ca="1" si="579"/>
        <v>10162.57894173465</v>
      </c>
      <c r="D3343" s="21">
        <f t="shared" ca="1" si="575"/>
        <v>11.72692864131869</v>
      </c>
      <c r="E3343" s="21">
        <f t="shared" ca="1" si="582"/>
        <v>8.923276067689585</v>
      </c>
      <c r="F3343" s="20" t="str">
        <f t="shared" ca="1" si="580"/>
        <v>No</v>
      </c>
      <c r="G3343" s="21">
        <f t="shared" ca="1" si="576"/>
        <v>0</v>
      </c>
      <c r="H3343" s="21">
        <f t="shared" ca="1" si="577"/>
        <v>10171.502217802339</v>
      </c>
      <c r="I3343" s="21">
        <f t="shared" ca="1" si="572"/>
        <v>10183.229146443658</v>
      </c>
      <c r="J3343" s="20">
        <f t="shared" ca="1" si="581"/>
        <v>5</v>
      </c>
      <c r="K3343" s="20">
        <f t="shared" ca="1" si="573"/>
        <v>5</v>
      </c>
      <c r="L3343" s="44">
        <f t="shared" ca="1" si="578"/>
        <v>5</v>
      </c>
    </row>
    <row r="3344" spans="1:12" x14ac:dyDescent="0.25">
      <c r="A3344" s="20">
        <v>3336</v>
      </c>
      <c r="B3344" s="21">
        <f t="shared" ca="1" si="574"/>
        <v>0.56404003727598873</v>
      </c>
      <c r="C3344" s="21">
        <f t="shared" ca="1" si="579"/>
        <v>10163.142981771925</v>
      </c>
      <c r="D3344" s="21">
        <f t="shared" ca="1" si="575"/>
        <v>1.0644149158389373</v>
      </c>
      <c r="E3344" s="21">
        <f t="shared" ca="1" si="582"/>
        <v>20.086164671733059</v>
      </c>
      <c r="F3344" s="20" t="str">
        <f t="shared" ca="1" si="580"/>
        <v>No</v>
      </c>
      <c r="G3344" s="21">
        <f t="shared" ca="1" si="576"/>
        <v>0</v>
      </c>
      <c r="H3344" s="21">
        <f t="shared" ca="1" si="577"/>
        <v>10183.229146443658</v>
      </c>
      <c r="I3344" s="21">
        <f t="shared" ca="1" si="572"/>
        <v>10184.293561359498</v>
      </c>
      <c r="J3344" s="20">
        <f t="shared" ca="1" si="581"/>
        <v>6</v>
      </c>
      <c r="K3344" s="20">
        <f t="shared" ca="1" si="573"/>
        <v>5</v>
      </c>
      <c r="L3344" s="44">
        <f t="shared" ca="1" si="578"/>
        <v>5.5</v>
      </c>
    </row>
    <row r="3345" spans="1:12" x14ac:dyDescent="0.25">
      <c r="A3345" s="20">
        <v>3337</v>
      </c>
      <c r="B3345" s="21">
        <f t="shared" ca="1" si="574"/>
        <v>4.4888797205437241</v>
      </c>
      <c r="C3345" s="21">
        <f t="shared" ca="1" si="579"/>
        <v>10167.631861492469</v>
      </c>
      <c r="D3345" s="21">
        <f t="shared" ca="1" si="575"/>
        <v>4.9634413726599727</v>
      </c>
      <c r="E3345" s="21">
        <f t="shared" ca="1" si="582"/>
        <v>16.661699867028801</v>
      </c>
      <c r="F3345" s="20" t="str">
        <f t="shared" ca="1" si="580"/>
        <v>No</v>
      </c>
      <c r="G3345" s="21">
        <f t="shared" ca="1" si="576"/>
        <v>0</v>
      </c>
      <c r="H3345" s="21">
        <f t="shared" ca="1" si="577"/>
        <v>10184.293561359498</v>
      </c>
      <c r="I3345" s="21">
        <f t="shared" ca="1" si="572"/>
        <v>10189.257002732158</v>
      </c>
      <c r="J3345" s="20">
        <f t="shared" ca="1" si="581"/>
        <v>6</v>
      </c>
      <c r="K3345" s="20">
        <f t="shared" ca="1" si="573"/>
        <v>5</v>
      </c>
      <c r="L3345" s="44">
        <f t="shared" ca="1" si="578"/>
        <v>5.5</v>
      </c>
    </row>
    <row r="3346" spans="1:12" x14ac:dyDescent="0.25">
      <c r="A3346" s="20">
        <v>3338</v>
      </c>
      <c r="B3346" s="21">
        <f t="shared" ca="1" si="574"/>
        <v>1.7463596369323486</v>
      </c>
      <c r="C3346" s="21">
        <f t="shared" ca="1" si="579"/>
        <v>10169.378221129402</v>
      </c>
      <c r="D3346" s="21">
        <f t="shared" ca="1" si="575"/>
        <v>6.6942102380550859</v>
      </c>
      <c r="E3346" s="21">
        <f t="shared" ca="1" si="582"/>
        <v>19.878781602756135</v>
      </c>
      <c r="F3346" s="20" t="str">
        <f t="shared" ca="1" si="580"/>
        <v>No</v>
      </c>
      <c r="G3346" s="21">
        <f t="shared" ca="1" si="576"/>
        <v>0</v>
      </c>
      <c r="H3346" s="21">
        <f t="shared" ca="1" si="577"/>
        <v>10189.257002732158</v>
      </c>
      <c r="I3346" s="21">
        <f t="shared" ca="1" si="572"/>
        <v>10195.951212970213</v>
      </c>
      <c r="J3346" s="20">
        <f t="shared" ca="1" si="581"/>
        <v>6</v>
      </c>
      <c r="K3346" s="20">
        <f t="shared" ca="1" si="573"/>
        <v>5</v>
      </c>
      <c r="L3346" s="44">
        <f t="shared" ca="1" si="578"/>
        <v>5.5</v>
      </c>
    </row>
    <row r="3347" spans="1:12" x14ac:dyDescent="0.25">
      <c r="A3347" s="20">
        <v>3339</v>
      </c>
      <c r="B3347" s="21">
        <f t="shared" ca="1" si="574"/>
        <v>4.2174770931066154</v>
      </c>
      <c r="C3347" s="21">
        <f t="shared" ca="1" si="579"/>
        <v>10173.595698222509</v>
      </c>
      <c r="D3347" s="21">
        <f t="shared" ca="1" si="575"/>
        <v>0.59428862814108763</v>
      </c>
      <c r="E3347" s="21">
        <f t="shared" ca="1" si="582"/>
        <v>22.355514747703637</v>
      </c>
      <c r="F3347" s="20" t="str">
        <f t="shared" ca="1" si="580"/>
        <v>No</v>
      </c>
      <c r="G3347" s="21">
        <f t="shared" ca="1" si="576"/>
        <v>0</v>
      </c>
      <c r="H3347" s="21">
        <f t="shared" ca="1" si="577"/>
        <v>10195.951212970213</v>
      </c>
      <c r="I3347" s="21">
        <f t="shared" ca="1" si="572"/>
        <v>10196.545501598353</v>
      </c>
      <c r="J3347" s="20">
        <f t="shared" ca="1" si="581"/>
        <v>6</v>
      </c>
      <c r="K3347" s="20">
        <f t="shared" ca="1" si="573"/>
        <v>5</v>
      </c>
      <c r="L3347" s="44">
        <f t="shared" ca="1" si="578"/>
        <v>5.5</v>
      </c>
    </row>
    <row r="3348" spans="1:12" x14ac:dyDescent="0.25">
      <c r="A3348" s="20">
        <v>3340</v>
      </c>
      <c r="B3348" s="21">
        <f t="shared" ca="1" si="574"/>
        <v>1.7352663350055253</v>
      </c>
      <c r="C3348" s="21">
        <f t="shared" ca="1" si="579"/>
        <v>10175.330964557514</v>
      </c>
      <c r="D3348" s="21">
        <f t="shared" ca="1" si="575"/>
        <v>1.4017174903274445</v>
      </c>
      <c r="E3348" s="21">
        <f t="shared" ca="1" si="582"/>
        <v>21.214537040839787</v>
      </c>
      <c r="F3348" s="20" t="str">
        <f t="shared" ca="1" si="580"/>
        <v>No</v>
      </c>
      <c r="G3348" s="21">
        <f t="shared" ca="1" si="576"/>
        <v>0</v>
      </c>
      <c r="H3348" s="21">
        <f t="shared" ca="1" si="577"/>
        <v>10196.545501598353</v>
      </c>
      <c r="I3348" s="21">
        <f t="shared" ca="1" si="572"/>
        <v>10197.947219088681</v>
      </c>
      <c r="J3348" s="20">
        <f t="shared" ca="1" si="581"/>
        <v>6</v>
      </c>
      <c r="K3348" s="20">
        <f t="shared" ca="1" si="573"/>
        <v>5</v>
      </c>
      <c r="L3348" s="44">
        <f t="shared" ca="1" si="578"/>
        <v>5.5</v>
      </c>
    </row>
    <row r="3349" spans="1:12" x14ac:dyDescent="0.25">
      <c r="A3349" s="20">
        <v>3341</v>
      </c>
      <c r="B3349" s="21">
        <f t="shared" ca="1" si="574"/>
        <v>1.0500142381459656</v>
      </c>
      <c r="C3349" s="21">
        <f t="shared" ca="1" si="579"/>
        <v>10176.38097879566</v>
      </c>
      <c r="D3349" s="21">
        <f t="shared" ca="1" si="575"/>
        <v>0.85869931565598712</v>
      </c>
      <c r="E3349" s="21">
        <f t="shared" ca="1" si="582"/>
        <v>21.56624029302111</v>
      </c>
      <c r="F3349" s="20" t="str">
        <f t="shared" ca="1" si="580"/>
        <v>No</v>
      </c>
      <c r="G3349" s="21">
        <f t="shared" ca="1" si="576"/>
        <v>0</v>
      </c>
      <c r="H3349" s="21">
        <f t="shared" ca="1" si="577"/>
        <v>10197.947219088681</v>
      </c>
      <c r="I3349" s="21">
        <f t="shared" ca="1" si="572"/>
        <v>10198.805918404338</v>
      </c>
      <c r="J3349" s="20">
        <f t="shared" ca="1" si="581"/>
        <v>6</v>
      </c>
      <c r="K3349" s="20">
        <f t="shared" ca="1" si="573"/>
        <v>5</v>
      </c>
      <c r="L3349" s="44">
        <f t="shared" ca="1" si="578"/>
        <v>5.5</v>
      </c>
    </row>
    <row r="3350" spans="1:12" x14ac:dyDescent="0.25">
      <c r="A3350" s="20">
        <v>3342</v>
      </c>
      <c r="B3350" s="21">
        <f t="shared" ca="1" si="574"/>
        <v>0.30655257414296599</v>
      </c>
      <c r="C3350" s="21">
        <f t="shared" ca="1" si="579"/>
        <v>10176.687531369802</v>
      </c>
      <c r="D3350" s="21">
        <f t="shared" ca="1" si="575"/>
        <v>5.2965071101375321</v>
      </c>
      <c r="E3350" s="21">
        <f t="shared" ca="1" si="582"/>
        <v>22.118387034535772</v>
      </c>
      <c r="F3350" s="20" t="str">
        <f t="shared" ca="1" si="580"/>
        <v>No</v>
      </c>
      <c r="G3350" s="21">
        <f t="shared" ca="1" si="576"/>
        <v>0</v>
      </c>
      <c r="H3350" s="21">
        <f t="shared" ca="1" si="577"/>
        <v>10198.805918404338</v>
      </c>
      <c r="I3350" s="21">
        <f t="shared" ca="1" si="572"/>
        <v>10204.102425514475</v>
      </c>
      <c r="J3350" s="20">
        <f t="shared" ca="1" si="581"/>
        <v>6</v>
      </c>
      <c r="K3350" s="20">
        <f t="shared" ca="1" si="573"/>
        <v>5</v>
      </c>
      <c r="L3350" s="44">
        <f t="shared" ca="1" si="578"/>
        <v>5.5</v>
      </c>
    </row>
    <row r="3351" spans="1:12" x14ac:dyDescent="0.25">
      <c r="A3351" s="20">
        <v>3343</v>
      </c>
      <c r="B3351" s="21">
        <f t="shared" ca="1" si="574"/>
        <v>0.30241447791129289</v>
      </c>
      <c r="C3351" s="21">
        <f t="shared" ca="1" si="579"/>
        <v>10176.989945847714</v>
      </c>
      <c r="D3351" s="21">
        <f t="shared" ca="1" si="575"/>
        <v>1.2139855045625108</v>
      </c>
      <c r="E3351" s="21">
        <f t="shared" ca="1" si="582"/>
        <v>27.112479666760919</v>
      </c>
      <c r="F3351" s="20" t="str">
        <f t="shared" ca="1" si="580"/>
        <v>No</v>
      </c>
      <c r="G3351" s="21">
        <f t="shared" ca="1" si="576"/>
        <v>0</v>
      </c>
      <c r="H3351" s="21">
        <f t="shared" ca="1" si="577"/>
        <v>10204.102425514475</v>
      </c>
      <c r="I3351" s="21">
        <f t="shared" ca="1" si="572"/>
        <v>10205.316411019037</v>
      </c>
      <c r="J3351" s="20">
        <f t="shared" ca="1" si="581"/>
        <v>6</v>
      </c>
      <c r="K3351" s="20">
        <f t="shared" ca="1" si="573"/>
        <v>5</v>
      </c>
      <c r="L3351" s="44">
        <f t="shared" ca="1" si="578"/>
        <v>5.5</v>
      </c>
    </row>
    <row r="3352" spans="1:12" x14ac:dyDescent="0.25">
      <c r="A3352" s="20">
        <v>3344</v>
      </c>
      <c r="B3352" s="21">
        <f t="shared" ca="1" si="574"/>
        <v>0.61049385076190732</v>
      </c>
      <c r="C3352" s="21">
        <f t="shared" ca="1" si="579"/>
        <v>10177.600439698475</v>
      </c>
      <c r="D3352" s="21">
        <f t="shared" ca="1" si="575"/>
        <v>0.87970775033439208</v>
      </c>
      <c r="E3352" s="21">
        <f t="shared" ca="1" si="582"/>
        <v>27.715971320561948</v>
      </c>
      <c r="F3352" s="20" t="str">
        <f t="shared" ca="1" si="580"/>
        <v>No</v>
      </c>
      <c r="G3352" s="21">
        <f t="shared" ca="1" si="576"/>
        <v>0</v>
      </c>
      <c r="H3352" s="21">
        <f t="shared" ca="1" si="577"/>
        <v>10205.316411019037</v>
      </c>
      <c r="I3352" s="21">
        <f t="shared" ca="1" si="572"/>
        <v>10206.196118769372</v>
      </c>
      <c r="J3352" s="20">
        <f t="shared" ca="1" si="581"/>
        <v>6</v>
      </c>
      <c r="K3352" s="20">
        <f t="shared" ca="1" si="573"/>
        <v>5</v>
      </c>
      <c r="L3352" s="44">
        <f t="shared" ca="1" si="578"/>
        <v>5.5</v>
      </c>
    </row>
    <row r="3353" spans="1:12" x14ac:dyDescent="0.25">
      <c r="A3353" s="20">
        <v>3345</v>
      </c>
      <c r="B3353" s="21">
        <f t="shared" ca="1" si="574"/>
        <v>4.5269829472942922E-3</v>
      </c>
      <c r="C3353" s="21">
        <f t="shared" ca="1" si="579"/>
        <v>10177.604966681423</v>
      </c>
      <c r="D3353" s="21">
        <f t="shared" ca="1" si="575"/>
        <v>1.5939109999322965</v>
      </c>
      <c r="E3353" s="21">
        <f t="shared" ca="1" si="582"/>
        <v>28.591152087949013</v>
      </c>
      <c r="F3353" s="20" t="str">
        <f t="shared" ca="1" si="580"/>
        <v>No</v>
      </c>
      <c r="G3353" s="21">
        <f t="shared" ca="1" si="576"/>
        <v>0</v>
      </c>
      <c r="H3353" s="21">
        <f t="shared" ca="1" si="577"/>
        <v>10206.196118769372</v>
      </c>
      <c r="I3353" s="21">
        <f t="shared" ca="1" si="572"/>
        <v>10207.790029769305</v>
      </c>
      <c r="J3353" s="20">
        <f t="shared" ca="1" si="581"/>
        <v>6</v>
      </c>
      <c r="K3353" s="20">
        <f t="shared" ca="1" si="573"/>
        <v>5</v>
      </c>
      <c r="L3353" s="44">
        <f t="shared" ca="1" si="578"/>
        <v>5.5</v>
      </c>
    </row>
    <row r="3354" spans="1:12" x14ac:dyDescent="0.25">
      <c r="A3354" s="20">
        <v>3346</v>
      </c>
      <c r="B3354" s="21">
        <f t="shared" ca="1" si="574"/>
        <v>2.1169266327240988</v>
      </c>
      <c r="C3354" s="21">
        <f t="shared" ca="1" si="579"/>
        <v>10179.721893314147</v>
      </c>
      <c r="D3354" s="21">
        <f t="shared" ca="1" si="575"/>
        <v>0.50299121735053964</v>
      </c>
      <c r="E3354" s="21">
        <f t="shared" ca="1" si="582"/>
        <v>28.06813645515831</v>
      </c>
      <c r="F3354" s="20" t="str">
        <f t="shared" ca="1" si="580"/>
        <v>No</v>
      </c>
      <c r="G3354" s="21">
        <f t="shared" ca="1" si="576"/>
        <v>0</v>
      </c>
      <c r="H3354" s="21">
        <f t="shared" ca="1" si="577"/>
        <v>10207.790029769305</v>
      </c>
      <c r="I3354" s="21">
        <f t="shared" ca="1" si="572"/>
        <v>10208.293020986655</v>
      </c>
      <c r="J3354" s="20">
        <f t="shared" ca="1" si="581"/>
        <v>6</v>
      </c>
      <c r="K3354" s="20">
        <f t="shared" ca="1" si="573"/>
        <v>5</v>
      </c>
      <c r="L3354" s="44">
        <f t="shared" ca="1" si="578"/>
        <v>5.5</v>
      </c>
    </row>
    <row r="3355" spans="1:12" x14ac:dyDescent="0.25">
      <c r="A3355" s="20">
        <v>3347</v>
      </c>
      <c r="B3355" s="21">
        <f t="shared" ca="1" si="574"/>
        <v>4.1743984685547835</v>
      </c>
      <c r="C3355" s="21">
        <f t="shared" ca="1" si="579"/>
        <v>10183.896291782701</v>
      </c>
      <c r="D3355" s="21">
        <f t="shared" ca="1" si="575"/>
        <v>0.13371017408709276</v>
      </c>
      <c r="E3355" s="21">
        <f t="shared" ca="1" si="582"/>
        <v>24.396729203954237</v>
      </c>
      <c r="F3355" s="20" t="str">
        <f t="shared" ca="1" si="580"/>
        <v>No</v>
      </c>
      <c r="G3355" s="21">
        <f t="shared" ca="1" si="576"/>
        <v>0</v>
      </c>
      <c r="H3355" s="21">
        <f t="shared" ca="1" si="577"/>
        <v>10208.293020986655</v>
      </c>
      <c r="I3355" s="21">
        <f t="shared" ca="1" si="572"/>
        <v>10208.426731160742</v>
      </c>
      <c r="J3355" s="20">
        <f t="shared" ca="1" si="581"/>
        <v>6</v>
      </c>
      <c r="K3355" s="20">
        <f t="shared" ca="1" si="573"/>
        <v>5</v>
      </c>
      <c r="L3355" s="44">
        <f t="shared" ca="1" si="578"/>
        <v>5.5</v>
      </c>
    </row>
    <row r="3356" spans="1:12" x14ac:dyDescent="0.25">
      <c r="A3356" s="20">
        <v>3348</v>
      </c>
      <c r="B3356" s="21">
        <f t="shared" ca="1" si="574"/>
        <v>0.15076379517595259</v>
      </c>
      <c r="C3356" s="21">
        <f t="shared" ca="1" si="579"/>
        <v>10184.047055577877</v>
      </c>
      <c r="D3356" s="21">
        <f t="shared" ca="1" si="575"/>
        <v>8.9162897604814297</v>
      </c>
      <c r="E3356" s="21">
        <f t="shared" ca="1" si="582"/>
        <v>24.379675582864365</v>
      </c>
      <c r="F3356" s="20" t="str">
        <f t="shared" ca="1" si="580"/>
        <v>No</v>
      </c>
      <c r="G3356" s="21">
        <f t="shared" ca="1" si="576"/>
        <v>0</v>
      </c>
      <c r="H3356" s="21">
        <f t="shared" ca="1" si="577"/>
        <v>10208.426731160742</v>
      </c>
      <c r="I3356" s="21">
        <f t="shared" ca="1" si="572"/>
        <v>10217.343020921224</v>
      </c>
      <c r="J3356" s="20">
        <f t="shared" ca="1" si="581"/>
        <v>6</v>
      </c>
      <c r="K3356" s="20">
        <f t="shared" ca="1" si="573"/>
        <v>5</v>
      </c>
      <c r="L3356" s="44">
        <f t="shared" ca="1" si="578"/>
        <v>5.5</v>
      </c>
    </row>
    <row r="3357" spans="1:12" x14ac:dyDescent="0.25">
      <c r="A3357" s="20">
        <v>3349</v>
      </c>
      <c r="B3357" s="21">
        <f t="shared" ca="1" si="574"/>
        <v>3.1915490837108274</v>
      </c>
      <c r="C3357" s="21">
        <f t="shared" ca="1" si="579"/>
        <v>10187.238604661588</v>
      </c>
      <c r="D3357" s="21">
        <f t="shared" ca="1" si="575"/>
        <v>0.55024415312743402</v>
      </c>
      <c r="E3357" s="21">
        <f t="shared" ca="1" si="582"/>
        <v>30.1044162596354</v>
      </c>
      <c r="F3357" s="20" t="str">
        <f t="shared" ca="1" si="580"/>
        <v>No</v>
      </c>
      <c r="G3357" s="21">
        <f t="shared" ca="1" si="576"/>
        <v>0</v>
      </c>
      <c r="H3357" s="21">
        <f t="shared" ca="1" si="577"/>
        <v>10217.343020921224</v>
      </c>
      <c r="I3357" s="21">
        <f t="shared" ca="1" si="572"/>
        <v>10217.893265074352</v>
      </c>
      <c r="J3357" s="20">
        <f t="shared" ca="1" si="581"/>
        <v>6</v>
      </c>
      <c r="K3357" s="20">
        <f t="shared" ca="1" si="573"/>
        <v>5</v>
      </c>
      <c r="L3357" s="44">
        <f t="shared" ca="1" si="578"/>
        <v>5.5</v>
      </c>
    </row>
    <row r="3358" spans="1:12" x14ac:dyDescent="0.25">
      <c r="A3358" s="20">
        <v>3350</v>
      </c>
      <c r="B3358" s="21">
        <f t="shared" ca="1" si="574"/>
        <v>3.0899456124814368</v>
      </c>
      <c r="C3358" s="21">
        <f t="shared" ca="1" si="579"/>
        <v>10190.328550274069</v>
      </c>
      <c r="D3358" s="21">
        <f t="shared" ca="1" si="575"/>
        <v>1.0177610087123405</v>
      </c>
      <c r="E3358" s="21">
        <f t="shared" ca="1" si="582"/>
        <v>27.564714800282673</v>
      </c>
      <c r="F3358" s="20" t="str">
        <f t="shared" ca="1" si="580"/>
        <v>No</v>
      </c>
      <c r="G3358" s="21">
        <f t="shared" ca="1" si="576"/>
        <v>0</v>
      </c>
      <c r="H3358" s="21">
        <f t="shared" ca="1" si="577"/>
        <v>10217.893265074352</v>
      </c>
      <c r="I3358" s="21">
        <f t="shared" ca="1" si="572"/>
        <v>10218.911026083064</v>
      </c>
      <c r="J3358" s="20">
        <f t="shared" ca="1" si="581"/>
        <v>6</v>
      </c>
      <c r="K3358" s="20">
        <f t="shared" ca="1" si="573"/>
        <v>5</v>
      </c>
      <c r="L3358" s="44">
        <f t="shared" ca="1" si="578"/>
        <v>5.5</v>
      </c>
    </row>
    <row r="3359" spans="1:12" x14ac:dyDescent="0.25">
      <c r="A3359" s="20">
        <v>3351</v>
      </c>
      <c r="B3359" s="21">
        <f t="shared" ca="1" si="574"/>
        <v>0.83828201156519977</v>
      </c>
      <c r="C3359" s="21">
        <f t="shared" ca="1" si="579"/>
        <v>10191.166832285635</v>
      </c>
      <c r="D3359" s="21">
        <f t="shared" ca="1" si="575"/>
        <v>6.1779695914987149</v>
      </c>
      <c r="E3359" s="21">
        <f t="shared" ca="1" si="582"/>
        <v>27.744193797429034</v>
      </c>
      <c r="F3359" s="20" t="str">
        <f t="shared" ca="1" si="580"/>
        <v>No</v>
      </c>
      <c r="G3359" s="21">
        <f t="shared" ca="1" si="576"/>
        <v>0</v>
      </c>
      <c r="H3359" s="21">
        <f t="shared" ca="1" si="577"/>
        <v>10218.911026083064</v>
      </c>
      <c r="I3359" s="21">
        <f t="shared" ca="1" si="572"/>
        <v>10225.088995674563</v>
      </c>
      <c r="J3359" s="20">
        <f t="shared" ca="1" si="581"/>
        <v>6</v>
      </c>
      <c r="K3359" s="20">
        <f t="shared" ca="1" si="573"/>
        <v>5</v>
      </c>
      <c r="L3359" s="44">
        <f t="shared" ca="1" si="578"/>
        <v>5.5</v>
      </c>
    </row>
    <row r="3360" spans="1:12" x14ac:dyDescent="0.25">
      <c r="A3360" s="20">
        <v>3352</v>
      </c>
      <c r="B3360" s="21">
        <f t="shared" ca="1" si="574"/>
        <v>0.70482052322311761</v>
      </c>
      <c r="C3360" s="21">
        <f t="shared" ca="1" si="579"/>
        <v>10191.871652808857</v>
      </c>
      <c r="D3360" s="21">
        <f t="shared" ca="1" si="575"/>
        <v>3.0088110529160104</v>
      </c>
      <c r="E3360" s="21">
        <f t="shared" ca="1" si="582"/>
        <v>33.217342865706087</v>
      </c>
      <c r="F3360" s="20" t="str">
        <f t="shared" ca="1" si="580"/>
        <v>No</v>
      </c>
      <c r="G3360" s="21">
        <f t="shared" ca="1" si="576"/>
        <v>0</v>
      </c>
      <c r="H3360" s="21">
        <f t="shared" ca="1" si="577"/>
        <v>10225.088995674563</v>
      </c>
      <c r="I3360" s="21">
        <f t="shared" ca="1" si="572"/>
        <v>10228.097806727479</v>
      </c>
      <c r="J3360" s="20">
        <f t="shared" ca="1" si="581"/>
        <v>6</v>
      </c>
      <c r="K3360" s="20">
        <f t="shared" ca="1" si="573"/>
        <v>5</v>
      </c>
      <c r="L3360" s="44">
        <f t="shared" ca="1" si="578"/>
        <v>5.5</v>
      </c>
    </row>
    <row r="3361" spans="1:12" x14ac:dyDescent="0.25">
      <c r="A3361" s="20">
        <v>3353</v>
      </c>
      <c r="B3361" s="21">
        <f t="shared" ca="1" si="574"/>
        <v>3.0016093189023438</v>
      </c>
      <c r="C3361" s="21">
        <f t="shared" ca="1" si="579"/>
        <v>10194.87326212776</v>
      </c>
      <c r="D3361" s="21">
        <f t="shared" ca="1" si="575"/>
        <v>2.9915315723190474</v>
      </c>
      <c r="E3361" s="21">
        <f t="shared" ca="1" si="582"/>
        <v>33.224544599719593</v>
      </c>
      <c r="F3361" s="20" t="str">
        <f t="shared" ca="1" si="580"/>
        <v>No</v>
      </c>
      <c r="G3361" s="21">
        <f t="shared" ca="1" si="576"/>
        <v>0</v>
      </c>
      <c r="H3361" s="21">
        <f t="shared" ca="1" si="577"/>
        <v>10228.097806727479</v>
      </c>
      <c r="I3361" s="21">
        <f t="shared" ca="1" si="572"/>
        <v>10231.089338299798</v>
      </c>
      <c r="J3361" s="20">
        <f t="shared" ca="1" si="581"/>
        <v>6</v>
      </c>
      <c r="K3361" s="20">
        <f t="shared" ca="1" si="573"/>
        <v>5</v>
      </c>
      <c r="L3361" s="44">
        <f t="shared" ca="1" si="578"/>
        <v>5.5</v>
      </c>
    </row>
    <row r="3362" spans="1:12" x14ac:dyDescent="0.25">
      <c r="A3362" s="20">
        <v>3354</v>
      </c>
      <c r="B3362" s="21">
        <f t="shared" ca="1" si="574"/>
        <v>1.465857589282072</v>
      </c>
      <c r="C3362" s="21">
        <f t="shared" ca="1" si="579"/>
        <v>10196.339119717042</v>
      </c>
      <c r="D3362" s="21">
        <f t="shared" ca="1" si="575"/>
        <v>1.5547633952872737</v>
      </c>
      <c r="E3362" s="21">
        <f t="shared" ca="1" si="582"/>
        <v>34.750218582756133</v>
      </c>
      <c r="F3362" s="20" t="str">
        <f t="shared" ca="1" si="580"/>
        <v>No</v>
      </c>
      <c r="G3362" s="21">
        <f t="shared" ca="1" si="576"/>
        <v>0</v>
      </c>
      <c r="H3362" s="21">
        <f t="shared" ca="1" si="577"/>
        <v>10231.089338299798</v>
      </c>
      <c r="I3362" s="21">
        <f t="shared" ca="1" si="572"/>
        <v>10232.644101695085</v>
      </c>
      <c r="J3362" s="20">
        <f t="shared" ca="1" si="581"/>
        <v>6</v>
      </c>
      <c r="K3362" s="20">
        <f t="shared" ca="1" si="573"/>
        <v>5</v>
      </c>
      <c r="L3362" s="44">
        <f t="shared" ca="1" si="578"/>
        <v>5.5</v>
      </c>
    </row>
    <row r="3363" spans="1:12" x14ac:dyDescent="0.25">
      <c r="A3363" s="20">
        <v>3355</v>
      </c>
      <c r="B3363" s="21">
        <f t="shared" ca="1" si="574"/>
        <v>0.44761974016316292</v>
      </c>
      <c r="C3363" s="21">
        <f t="shared" ca="1" si="579"/>
        <v>10196.786739457206</v>
      </c>
      <c r="D3363" s="21">
        <f t="shared" ca="1" si="575"/>
        <v>1.6817794592092021</v>
      </c>
      <c r="E3363" s="21">
        <f t="shared" ca="1" si="582"/>
        <v>35.857362237878988</v>
      </c>
      <c r="F3363" s="20" t="str">
        <f t="shared" ca="1" si="580"/>
        <v>No</v>
      </c>
      <c r="G3363" s="21">
        <f t="shared" ca="1" si="576"/>
        <v>0</v>
      </c>
      <c r="H3363" s="21">
        <f t="shared" ca="1" si="577"/>
        <v>10232.644101695085</v>
      </c>
      <c r="I3363" s="21">
        <f t="shared" ca="1" si="572"/>
        <v>10234.325881154295</v>
      </c>
      <c r="J3363" s="20">
        <f t="shared" ca="1" si="581"/>
        <v>6</v>
      </c>
      <c r="K3363" s="20">
        <f t="shared" ca="1" si="573"/>
        <v>5</v>
      </c>
      <c r="L3363" s="44">
        <f t="shared" ca="1" si="578"/>
        <v>5.5</v>
      </c>
    </row>
    <row r="3364" spans="1:12" x14ac:dyDescent="0.25">
      <c r="A3364" s="20">
        <v>3356</v>
      </c>
      <c r="B3364" s="21">
        <f t="shared" ca="1" si="574"/>
        <v>6.9363234547822392</v>
      </c>
      <c r="C3364" s="21">
        <f t="shared" ca="1" si="579"/>
        <v>10203.723062911988</v>
      </c>
      <c r="D3364" s="21">
        <f t="shared" ca="1" si="575"/>
        <v>1.352902520841206</v>
      </c>
      <c r="E3364" s="21">
        <f t="shared" ca="1" si="582"/>
        <v>30.602818242306967</v>
      </c>
      <c r="F3364" s="20" t="str">
        <f t="shared" ca="1" si="580"/>
        <v>No</v>
      </c>
      <c r="G3364" s="21">
        <f t="shared" ca="1" si="576"/>
        <v>0</v>
      </c>
      <c r="H3364" s="21">
        <f t="shared" ca="1" si="577"/>
        <v>10234.325881154295</v>
      </c>
      <c r="I3364" s="21">
        <f t="shared" ca="1" si="572"/>
        <v>10235.678783675135</v>
      </c>
      <c r="J3364" s="20">
        <f t="shared" ca="1" si="581"/>
        <v>6</v>
      </c>
      <c r="K3364" s="20">
        <f t="shared" ca="1" si="573"/>
        <v>5</v>
      </c>
      <c r="L3364" s="44">
        <f t="shared" ca="1" si="578"/>
        <v>5.5</v>
      </c>
    </row>
    <row r="3365" spans="1:12" x14ac:dyDescent="0.25">
      <c r="A3365" s="20">
        <v>3357</v>
      </c>
      <c r="B3365" s="21">
        <f t="shared" ca="1" si="574"/>
        <v>1.2905943935788124</v>
      </c>
      <c r="C3365" s="21">
        <f t="shared" ca="1" si="579"/>
        <v>10205.013657305566</v>
      </c>
      <c r="D3365" s="21">
        <f t="shared" ca="1" si="575"/>
        <v>0.22151698781628085</v>
      </c>
      <c r="E3365" s="21">
        <f t="shared" ca="1" si="582"/>
        <v>30.665126369569407</v>
      </c>
      <c r="F3365" s="20" t="str">
        <f t="shared" ca="1" si="580"/>
        <v>No</v>
      </c>
      <c r="G3365" s="21">
        <f t="shared" ca="1" si="576"/>
        <v>0</v>
      </c>
      <c r="H3365" s="21">
        <f t="shared" ca="1" si="577"/>
        <v>10235.678783675135</v>
      </c>
      <c r="I3365" s="21">
        <f t="shared" ca="1" si="572"/>
        <v>10235.900300662952</v>
      </c>
      <c r="J3365" s="20">
        <f t="shared" ca="1" si="581"/>
        <v>6</v>
      </c>
      <c r="K3365" s="20">
        <f t="shared" ca="1" si="573"/>
        <v>5</v>
      </c>
      <c r="L3365" s="44">
        <f t="shared" ca="1" si="578"/>
        <v>5.5</v>
      </c>
    </row>
    <row r="3366" spans="1:12" x14ac:dyDescent="0.25">
      <c r="A3366" s="20">
        <v>3358</v>
      </c>
      <c r="B3366" s="21">
        <f t="shared" ca="1" si="574"/>
        <v>0.59250853531826708</v>
      </c>
      <c r="C3366" s="21">
        <f t="shared" ca="1" si="579"/>
        <v>10205.606165840883</v>
      </c>
      <c r="D3366" s="21">
        <f t="shared" ca="1" si="575"/>
        <v>0.1416797628995991</v>
      </c>
      <c r="E3366" s="21">
        <f t="shared" ca="1" si="582"/>
        <v>30.294134822068372</v>
      </c>
      <c r="F3366" s="20" t="str">
        <f t="shared" ca="1" si="580"/>
        <v>No</v>
      </c>
      <c r="G3366" s="21">
        <f t="shared" ca="1" si="576"/>
        <v>0</v>
      </c>
      <c r="H3366" s="21">
        <f t="shared" ca="1" si="577"/>
        <v>10235.900300662952</v>
      </c>
      <c r="I3366" s="21">
        <f t="shared" ca="1" si="572"/>
        <v>10236.041980425851</v>
      </c>
      <c r="J3366" s="20">
        <f t="shared" ca="1" si="581"/>
        <v>6</v>
      </c>
      <c r="K3366" s="20">
        <f t="shared" ca="1" si="573"/>
        <v>5</v>
      </c>
      <c r="L3366" s="44">
        <f t="shared" ca="1" si="578"/>
        <v>5.5</v>
      </c>
    </row>
    <row r="3367" spans="1:12" x14ac:dyDescent="0.25">
      <c r="A3367" s="20">
        <v>3359</v>
      </c>
      <c r="B3367" s="21">
        <f t="shared" ca="1" si="574"/>
        <v>17.128259373551249</v>
      </c>
      <c r="C3367" s="21">
        <f t="shared" ca="1" si="579"/>
        <v>10222.734425214434</v>
      </c>
      <c r="D3367" s="21">
        <f t="shared" ca="1" si="575"/>
        <v>0.128767411220022</v>
      </c>
      <c r="E3367" s="21">
        <f t="shared" ca="1" si="582"/>
        <v>13.307555211416911</v>
      </c>
      <c r="F3367" s="20" t="str">
        <f t="shared" ca="1" si="580"/>
        <v>No</v>
      </c>
      <c r="G3367" s="21">
        <f t="shared" ca="1" si="576"/>
        <v>0</v>
      </c>
      <c r="H3367" s="21">
        <f t="shared" ca="1" si="577"/>
        <v>10236.041980425851</v>
      </c>
      <c r="I3367" s="21">
        <f t="shared" ca="1" si="572"/>
        <v>10236.170747837072</v>
      </c>
      <c r="J3367" s="20">
        <f t="shared" ca="1" si="581"/>
        <v>6</v>
      </c>
      <c r="K3367" s="20">
        <f t="shared" ca="1" si="573"/>
        <v>5</v>
      </c>
      <c r="L3367" s="44">
        <f t="shared" ca="1" si="578"/>
        <v>5.5</v>
      </c>
    </row>
    <row r="3368" spans="1:12" x14ac:dyDescent="0.25">
      <c r="A3368" s="20">
        <v>3360</v>
      </c>
      <c r="B3368" s="21">
        <f t="shared" ca="1" si="574"/>
        <v>2.9998298713350358</v>
      </c>
      <c r="C3368" s="21">
        <f t="shared" ca="1" si="579"/>
        <v>10225.734255085768</v>
      </c>
      <c r="D3368" s="21">
        <f t="shared" ca="1" si="575"/>
        <v>4.8929108099219318</v>
      </c>
      <c r="E3368" s="21">
        <f t="shared" ca="1" si="582"/>
        <v>10.436492751303376</v>
      </c>
      <c r="F3368" s="20" t="str">
        <f t="shared" ca="1" si="580"/>
        <v>No</v>
      </c>
      <c r="G3368" s="21">
        <f t="shared" ca="1" si="576"/>
        <v>0</v>
      </c>
      <c r="H3368" s="21">
        <f t="shared" ca="1" si="577"/>
        <v>10236.170747837072</v>
      </c>
      <c r="I3368" s="21">
        <f t="shared" ca="1" si="572"/>
        <v>10241.063658646994</v>
      </c>
      <c r="J3368" s="20">
        <f t="shared" ca="1" si="581"/>
        <v>6</v>
      </c>
      <c r="K3368" s="20">
        <f t="shared" ca="1" si="573"/>
        <v>5</v>
      </c>
      <c r="L3368" s="44">
        <f t="shared" ca="1" si="578"/>
        <v>5.5</v>
      </c>
    </row>
    <row r="3369" spans="1:12" x14ac:dyDescent="0.25">
      <c r="A3369" s="20">
        <v>3361</v>
      </c>
      <c r="B3369" s="21">
        <f t="shared" ca="1" si="574"/>
        <v>1.4124670748570096</v>
      </c>
      <c r="C3369" s="21">
        <f t="shared" ca="1" si="579"/>
        <v>10227.146722160625</v>
      </c>
      <c r="D3369" s="21">
        <f t="shared" ca="1" si="575"/>
        <v>1.4646130517192861</v>
      </c>
      <c r="E3369" s="21">
        <f t="shared" ca="1" si="582"/>
        <v>13.916936486368286</v>
      </c>
      <c r="F3369" s="20" t="str">
        <f t="shared" ca="1" si="580"/>
        <v>No</v>
      </c>
      <c r="G3369" s="21">
        <f t="shared" ca="1" si="576"/>
        <v>0</v>
      </c>
      <c r="H3369" s="21">
        <f t="shared" ca="1" si="577"/>
        <v>10241.063658646994</v>
      </c>
      <c r="I3369" s="21">
        <f t="shared" ca="1" si="572"/>
        <v>10242.528271698713</v>
      </c>
      <c r="J3369" s="20">
        <f t="shared" ca="1" si="581"/>
        <v>6</v>
      </c>
      <c r="K3369" s="20">
        <f t="shared" ca="1" si="573"/>
        <v>5</v>
      </c>
      <c r="L3369" s="44">
        <f t="shared" ca="1" si="578"/>
        <v>5.5</v>
      </c>
    </row>
    <row r="3370" spans="1:12" x14ac:dyDescent="0.25">
      <c r="A3370" s="20">
        <v>3362</v>
      </c>
      <c r="B3370" s="21">
        <f t="shared" ca="1" si="574"/>
        <v>2.6582585825832483</v>
      </c>
      <c r="C3370" s="21">
        <f t="shared" ca="1" si="579"/>
        <v>10229.804980743209</v>
      </c>
      <c r="D3370" s="21">
        <f t="shared" ca="1" si="575"/>
        <v>2.2483456690170547</v>
      </c>
      <c r="E3370" s="21">
        <f t="shared" ca="1" si="582"/>
        <v>12.723290955504126</v>
      </c>
      <c r="F3370" s="20" t="str">
        <f t="shared" ca="1" si="580"/>
        <v>No</v>
      </c>
      <c r="G3370" s="21">
        <f t="shared" ca="1" si="576"/>
        <v>0</v>
      </c>
      <c r="H3370" s="21">
        <f t="shared" ca="1" si="577"/>
        <v>10242.528271698713</v>
      </c>
      <c r="I3370" s="21">
        <f t="shared" ca="1" si="572"/>
        <v>10244.77661736773</v>
      </c>
      <c r="J3370" s="20">
        <f t="shared" ca="1" si="581"/>
        <v>6</v>
      </c>
      <c r="K3370" s="20">
        <f t="shared" ca="1" si="573"/>
        <v>5</v>
      </c>
      <c r="L3370" s="44">
        <f t="shared" ca="1" si="578"/>
        <v>5.5</v>
      </c>
    </row>
    <row r="3371" spans="1:12" x14ac:dyDescent="0.25">
      <c r="A3371" s="20">
        <v>3363</v>
      </c>
      <c r="B3371" s="21">
        <f t="shared" ca="1" si="574"/>
        <v>1.0422992493019188</v>
      </c>
      <c r="C3371" s="21">
        <f t="shared" ca="1" si="579"/>
        <v>10230.847279992511</v>
      </c>
      <c r="D3371" s="21">
        <f t="shared" ca="1" si="575"/>
        <v>0.25548928583327424</v>
      </c>
      <c r="E3371" s="21">
        <f t="shared" ca="1" si="582"/>
        <v>13.929337375218893</v>
      </c>
      <c r="F3371" s="20" t="str">
        <f t="shared" ca="1" si="580"/>
        <v>No</v>
      </c>
      <c r="G3371" s="21">
        <f t="shared" ca="1" si="576"/>
        <v>0</v>
      </c>
      <c r="H3371" s="21">
        <f t="shared" ca="1" si="577"/>
        <v>10244.77661736773</v>
      </c>
      <c r="I3371" s="21">
        <f t="shared" ca="1" si="572"/>
        <v>10245.032106653563</v>
      </c>
      <c r="J3371" s="20">
        <f t="shared" ca="1" si="581"/>
        <v>6</v>
      </c>
      <c r="K3371" s="20">
        <f t="shared" ca="1" si="573"/>
        <v>5</v>
      </c>
      <c r="L3371" s="44">
        <f t="shared" ca="1" si="578"/>
        <v>5.5</v>
      </c>
    </row>
    <row r="3372" spans="1:12" x14ac:dyDescent="0.25">
      <c r="A3372" s="20">
        <v>3364</v>
      </c>
      <c r="B3372" s="21">
        <f t="shared" ca="1" si="574"/>
        <v>2.2328727727088218</v>
      </c>
      <c r="C3372" s="21">
        <f t="shared" ca="1" si="579"/>
        <v>10233.08015276522</v>
      </c>
      <c r="D3372" s="21">
        <f t="shared" ca="1" si="575"/>
        <v>1.8644764754381238</v>
      </c>
      <c r="E3372" s="21">
        <f t="shared" ca="1" si="582"/>
        <v>11.951953888343269</v>
      </c>
      <c r="F3372" s="20" t="str">
        <f t="shared" ca="1" si="580"/>
        <v>No</v>
      </c>
      <c r="G3372" s="21">
        <f t="shared" ca="1" si="576"/>
        <v>0</v>
      </c>
      <c r="H3372" s="21">
        <f t="shared" ca="1" si="577"/>
        <v>10245.032106653563</v>
      </c>
      <c r="I3372" s="21">
        <f t="shared" ca="1" si="572"/>
        <v>10246.896583129002</v>
      </c>
      <c r="J3372" s="20">
        <f t="shared" ca="1" si="581"/>
        <v>6</v>
      </c>
      <c r="K3372" s="20">
        <f t="shared" ca="1" si="573"/>
        <v>5</v>
      </c>
      <c r="L3372" s="44">
        <f t="shared" ca="1" si="578"/>
        <v>5.5</v>
      </c>
    </row>
    <row r="3373" spans="1:12" x14ac:dyDescent="0.25">
      <c r="A3373" s="20">
        <v>3365</v>
      </c>
      <c r="B3373" s="21">
        <f t="shared" ca="1" si="574"/>
        <v>2.4177505409515727</v>
      </c>
      <c r="C3373" s="21">
        <f t="shared" ca="1" si="579"/>
        <v>10235.497903306172</v>
      </c>
      <c r="D3373" s="21">
        <f t="shared" ca="1" si="575"/>
        <v>4.6653325823413319</v>
      </c>
      <c r="E3373" s="21">
        <f t="shared" ca="1" si="582"/>
        <v>11.398679822830672</v>
      </c>
      <c r="F3373" s="20" t="str">
        <f t="shared" ca="1" si="580"/>
        <v>No</v>
      </c>
      <c r="G3373" s="21">
        <f t="shared" ca="1" si="576"/>
        <v>0</v>
      </c>
      <c r="H3373" s="21">
        <f t="shared" ca="1" si="577"/>
        <v>10246.896583129002</v>
      </c>
      <c r="I3373" s="21">
        <f t="shared" ca="1" si="572"/>
        <v>10251.561915711343</v>
      </c>
      <c r="J3373" s="20">
        <f t="shared" ca="1" si="581"/>
        <v>6</v>
      </c>
      <c r="K3373" s="20">
        <f t="shared" ca="1" si="573"/>
        <v>5</v>
      </c>
      <c r="L3373" s="44">
        <f t="shared" ca="1" si="578"/>
        <v>5.5</v>
      </c>
    </row>
    <row r="3374" spans="1:12" x14ac:dyDescent="0.25">
      <c r="A3374" s="20">
        <v>3366</v>
      </c>
      <c r="B3374" s="21">
        <f t="shared" ca="1" si="574"/>
        <v>7.6163432463338274E-2</v>
      </c>
      <c r="C3374" s="21">
        <f t="shared" ca="1" si="579"/>
        <v>10235.574066738634</v>
      </c>
      <c r="D3374" s="21">
        <f t="shared" ca="1" si="575"/>
        <v>2.136980727697106</v>
      </c>
      <c r="E3374" s="21">
        <f t="shared" ca="1" si="582"/>
        <v>15.987848972708889</v>
      </c>
      <c r="F3374" s="20" t="str">
        <f t="shared" ca="1" si="580"/>
        <v>No</v>
      </c>
      <c r="G3374" s="21">
        <f t="shared" ca="1" si="576"/>
        <v>0</v>
      </c>
      <c r="H3374" s="21">
        <f t="shared" ca="1" si="577"/>
        <v>10251.561915711343</v>
      </c>
      <c r="I3374" s="21">
        <f t="shared" ca="1" si="572"/>
        <v>10253.69889643904</v>
      </c>
      <c r="J3374" s="20">
        <f t="shared" ca="1" si="581"/>
        <v>6</v>
      </c>
      <c r="K3374" s="20">
        <f t="shared" ca="1" si="573"/>
        <v>5</v>
      </c>
      <c r="L3374" s="44">
        <f t="shared" ca="1" si="578"/>
        <v>5.5</v>
      </c>
    </row>
    <row r="3375" spans="1:12" x14ac:dyDescent="0.25">
      <c r="A3375" s="20">
        <v>3367</v>
      </c>
      <c r="B3375" s="21">
        <f t="shared" ca="1" si="574"/>
        <v>5.0144922999782251</v>
      </c>
      <c r="C3375" s="21">
        <f t="shared" ca="1" si="579"/>
        <v>10240.588559038613</v>
      </c>
      <c r="D3375" s="21">
        <f t="shared" ca="1" si="575"/>
        <v>3.3721994291683788</v>
      </c>
      <c r="E3375" s="21">
        <f t="shared" ca="1" si="582"/>
        <v>13.110337400426943</v>
      </c>
      <c r="F3375" s="20" t="str">
        <f t="shared" ca="1" si="580"/>
        <v>No</v>
      </c>
      <c r="G3375" s="21">
        <f t="shared" ca="1" si="576"/>
        <v>0</v>
      </c>
      <c r="H3375" s="21">
        <f t="shared" ca="1" si="577"/>
        <v>10253.69889643904</v>
      </c>
      <c r="I3375" s="21">
        <f t="shared" ca="1" si="572"/>
        <v>10257.071095868208</v>
      </c>
      <c r="J3375" s="20">
        <f t="shared" ca="1" si="581"/>
        <v>6</v>
      </c>
      <c r="K3375" s="20">
        <f t="shared" ca="1" si="573"/>
        <v>5</v>
      </c>
      <c r="L3375" s="44">
        <f t="shared" ca="1" si="578"/>
        <v>5.5</v>
      </c>
    </row>
    <row r="3376" spans="1:12" x14ac:dyDescent="0.25">
      <c r="A3376" s="20">
        <v>3368</v>
      </c>
      <c r="B3376" s="21">
        <f t="shared" ca="1" si="574"/>
        <v>0.71629744963114128</v>
      </c>
      <c r="C3376" s="21">
        <f t="shared" ca="1" si="579"/>
        <v>10241.304856488245</v>
      </c>
      <c r="D3376" s="21">
        <f t="shared" ca="1" si="575"/>
        <v>4.0626118652290764</v>
      </c>
      <c r="E3376" s="21">
        <f t="shared" ca="1" si="582"/>
        <v>15.766239379963736</v>
      </c>
      <c r="F3376" s="20" t="str">
        <f t="shared" ca="1" si="580"/>
        <v>No</v>
      </c>
      <c r="G3376" s="21">
        <f t="shared" ca="1" si="576"/>
        <v>0</v>
      </c>
      <c r="H3376" s="21">
        <f t="shared" ca="1" si="577"/>
        <v>10257.071095868208</v>
      </c>
      <c r="I3376" s="21">
        <f t="shared" ca="1" si="572"/>
        <v>10261.133707733437</v>
      </c>
      <c r="J3376" s="20">
        <f t="shared" ca="1" si="581"/>
        <v>6</v>
      </c>
      <c r="K3376" s="20">
        <f t="shared" ca="1" si="573"/>
        <v>5</v>
      </c>
      <c r="L3376" s="44">
        <f t="shared" ca="1" si="578"/>
        <v>5.5</v>
      </c>
    </row>
    <row r="3377" spans="1:12" x14ac:dyDescent="0.25">
      <c r="A3377" s="20">
        <v>3369</v>
      </c>
      <c r="B3377" s="21">
        <f t="shared" ca="1" si="574"/>
        <v>3.5974274047738293</v>
      </c>
      <c r="C3377" s="21">
        <f t="shared" ca="1" si="579"/>
        <v>10244.902283893018</v>
      </c>
      <c r="D3377" s="21">
        <f t="shared" ca="1" si="575"/>
        <v>1.8956338467617169</v>
      </c>
      <c r="E3377" s="21">
        <f t="shared" ca="1" si="582"/>
        <v>16.231423840419666</v>
      </c>
      <c r="F3377" s="20" t="str">
        <f t="shared" ca="1" si="580"/>
        <v>No</v>
      </c>
      <c r="G3377" s="21">
        <f t="shared" ca="1" si="576"/>
        <v>0</v>
      </c>
      <c r="H3377" s="21">
        <f t="shared" ca="1" si="577"/>
        <v>10261.133707733437</v>
      </c>
      <c r="I3377" s="21">
        <f t="shared" ca="1" si="572"/>
        <v>10263.029341580199</v>
      </c>
      <c r="J3377" s="20">
        <f t="shared" ca="1" si="581"/>
        <v>6</v>
      </c>
      <c r="K3377" s="20">
        <f t="shared" ca="1" si="573"/>
        <v>5</v>
      </c>
      <c r="L3377" s="44">
        <f t="shared" ca="1" si="578"/>
        <v>5.5</v>
      </c>
    </row>
    <row r="3378" spans="1:12" x14ac:dyDescent="0.25">
      <c r="A3378" s="20">
        <v>3370</v>
      </c>
      <c r="B3378" s="21">
        <f t="shared" ca="1" si="574"/>
        <v>5.4317905823420993</v>
      </c>
      <c r="C3378" s="21">
        <f t="shared" ca="1" si="579"/>
        <v>10250.33407447536</v>
      </c>
      <c r="D3378" s="21">
        <f t="shared" ca="1" si="575"/>
        <v>0.54503004588269677</v>
      </c>
      <c r="E3378" s="21">
        <f t="shared" ca="1" si="582"/>
        <v>12.695267104838422</v>
      </c>
      <c r="F3378" s="20" t="str">
        <f t="shared" ca="1" si="580"/>
        <v>No</v>
      </c>
      <c r="G3378" s="21">
        <f t="shared" ca="1" si="576"/>
        <v>0</v>
      </c>
      <c r="H3378" s="21">
        <f t="shared" ca="1" si="577"/>
        <v>10263.029341580199</v>
      </c>
      <c r="I3378" s="21">
        <f t="shared" ca="1" si="572"/>
        <v>10263.574371626082</v>
      </c>
      <c r="J3378" s="20">
        <f t="shared" ca="1" si="581"/>
        <v>6</v>
      </c>
      <c r="K3378" s="20">
        <f t="shared" ca="1" si="573"/>
        <v>5</v>
      </c>
      <c r="L3378" s="44">
        <f t="shared" ca="1" si="578"/>
        <v>5.5</v>
      </c>
    </row>
    <row r="3379" spans="1:12" x14ac:dyDescent="0.25">
      <c r="A3379" s="20">
        <v>3371</v>
      </c>
      <c r="B3379" s="21">
        <f t="shared" ca="1" si="574"/>
        <v>1.3243768410387193</v>
      </c>
      <c r="C3379" s="21">
        <f t="shared" ca="1" si="579"/>
        <v>10251.6584513164</v>
      </c>
      <c r="D3379" s="21">
        <f t="shared" ca="1" si="575"/>
        <v>2.0798151027955294</v>
      </c>
      <c r="E3379" s="21">
        <f t="shared" ca="1" si="582"/>
        <v>11.915920309682406</v>
      </c>
      <c r="F3379" s="20" t="str">
        <f t="shared" ca="1" si="580"/>
        <v>No</v>
      </c>
      <c r="G3379" s="21">
        <f t="shared" ca="1" si="576"/>
        <v>0</v>
      </c>
      <c r="H3379" s="21">
        <f t="shared" ca="1" si="577"/>
        <v>10263.574371626082</v>
      </c>
      <c r="I3379" s="21">
        <f t="shared" ca="1" si="572"/>
        <v>10265.654186728878</v>
      </c>
      <c r="J3379" s="20">
        <f t="shared" ca="1" si="581"/>
        <v>6</v>
      </c>
      <c r="K3379" s="20">
        <f t="shared" ca="1" si="573"/>
        <v>5</v>
      </c>
      <c r="L3379" s="44">
        <f t="shared" ca="1" si="578"/>
        <v>5.5</v>
      </c>
    </row>
    <row r="3380" spans="1:12" x14ac:dyDescent="0.25">
      <c r="A3380" s="20">
        <v>3372</v>
      </c>
      <c r="B3380" s="21">
        <f t="shared" ca="1" si="574"/>
        <v>0.63463324536045018</v>
      </c>
      <c r="C3380" s="21">
        <f t="shared" ca="1" si="579"/>
        <v>10252.293084561761</v>
      </c>
      <c r="D3380" s="21">
        <f t="shared" ca="1" si="575"/>
        <v>4.7723403776440581</v>
      </c>
      <c r="E3380" s="21">
        <f t="shared" ca="1" si="582"/>
        <v>13.361102167116769</v>
      </c>
      <c r="F3380" s="20" t="str">
        <f t="shared" ca="1" si="580"/>
        <v>No</v>
      </c>
      <c r="G3380" s="21">
        <f t="shared" ca="1" si="576"/>
        <v>0</v>
      </c>
      <c r="H3380" s="21">
        <f t="shared" ca="1" si="577"/>
        <v>10265.654186728878</v>
      </c>
      <c r="I3380" s="21">
        <f t="shared" ca="1" si="572"/>
        <v>10270.426527106521</v>
      </c>
      <c r="J3380" s="20">
        <f t="shared" ca="1" si="581"/>
        <v>6</v>
      </c>
      <c r="K3380" s="20">
        <f t="shared" ca="1" si="573"/>
        <v>5</v>
      </c>
      <c r="L3380" s="44">
        <f t="shared" ca="1" si="578"/>
        <v>5.5</v>
      </c>
    </row>
    <row r="3381" spans="1:12" x14ac:dyDescent="0.25">
      <c r="A3381" s="20">
        <v>3373</v>
      </c>
      <c r="B3381" s="21">
        <f t="shared" ca="1" si="574"/>
        <v>1.9225860865958417</v>
      </c>
      <c r="C3381" s="21">
        <f t="shared" ca="1" si="579"/>
        <v>10254.215670648357</v>
      </c>
      <c r="D3381" s="21">
        <f t="shared" ca="1" si="575"/>
        <v>0.70724092109858816</v>
      </c>
      <c r="E3381" s="21">
        <f t="shared" ca="1" si="582"/>
        <v>16.210856458164926</v>
      </c>
      <c r="F3381" s="20" t="str">
        <f t="shared" ca="1" si="580"/>
        <v>No</v>
      </c>
      <c r="G3381" s="21">
        <f t="shared" ca="1" si="576"/>
        <v>0</v>
      </c>
      <c r="H3381" s="21">
        <f t="shared" ca="1" si="577"/>
        <v>10270.426527106521</v>
      </c>
      <c r="I3381" s="21">
        <f t="shared" ca="1" si="572"/>
        <v>10271.133768027619</v>
      </c>
      <c r="J3381" s="20">
        <f t="shared" ca="1" si="581"/>
        <v>6</v>
      </c>
      <c r="K3381" s="20">
        <f t="shared" ca="1" si="573"/>
        <v>5</v>
      </c>
      <c r="L3381" s="44">
        <f t="shared" ca="1" si="578"/>
        <v>5.5</v>
      </c>
    </row>
    <row r="3382" spans="1:12" x14ac:dyDescent="0.25">
      <c r="A3382" s="20">
        <v>3374</v>
      </c>
      <c r="B3382" s="21">
        <f t="shared" ca="1" si="574"/>
        <v>1.7061945561419036</v>
      </c>
      <c r="C3382" s="21">
        <f t="shared" ca="1" si="579"/>
        <v>10255.921865204498</v>
      </c>
      <c r="D3382" s="21">
        <f t="shared" ca="1" si="575"/>
        <v>0.39396268531536954</v>
      </c>
      <c r="E3382" s="21">
        <f t="shared" ca="1" si="582"/>
        <v>15.211902823120909</v>
      </c>
      <c r="F3382" s="20" t="str">
        <f t="shared" ca="1" si="580"/>
        <v>No</v>
      </c>
      <c r="G3382" s="21">
        <f t="shared" ca="1" si="576"/>
        <v>0</v>
      </c>
      <c r="H3382" s="21">
        <f t="shared" ca="1" si="577"/>
        <v>10271.133768027619</v>
      </c>
      <c r="I3382" s="21">
        <f t="shared" ca="1" si="572"/>
        <v>10271.527730712934</v>
      </c>
      <c r="J3382" s="20">
        <f t="shared" ca="1" si="581"/>
        <v>6</v>
      </c>
      <c r="K3382" s="20">
        <f t="shared" ca="1" si="573"/>
        <v>4</v>
      </c>
      <c r="L3382" s="44">
        <f t="shared" ca="1" si="578"/>
        <v>5</v>
      </c>
    </row>
    <row r="3383" spans="1:12" x14ac:dyDescent="0.25">
      <c r="A3383" s="20">
        <v>3375</v>
      </c>
      <c r="B3383" s="21">
        <f t="shared" ca="1" si="574"/>
        <v>2.6112158816592013</v>
      </c>
      <c r="C3383" s="21">
        <f t="shared" ca="1" si="579"/>
        <v>10258.533081086158</v>
      </c>
      <c r="D3383" s="21">
        <f t="shared" ca="1" si="575"/>
        <v>0.64662550760366155</v>
      </c>
      <c r="E3383" s="21">
        <f t="shared" ca="1" si="582"/>
        <v>12.994649626776663</v>
      </c>
      <c r="F3383" s="20" t="str">
        <f t="shared" ca="1" si="580"/>
        <v>No</v>
      </c>
      <c r="G3383" s="21">
        <f t="shared" ca="1" si="576"/>
        <v>0</v>
      </c>
      <c r="H3383" s="21">
        <f t="shared" ca="1" si="577"/>
        <v>10271.527730712934</v>
      </c>
      <c r="I3383" s="21">
        <f t="shared" ca="1" si="572"/>
        <v>10272.174356220537</v>
      </c>
      <c r="J3383" s="20">
        <f t="shared" ca="1" si="581"/>
        <v>5</v>
      </c>
      <c r="K3383" s="20">
        <f t="shared" ca="1" si="573"/>
        <v>3</v>
      </c>
      <c r="L3383" s="44">
        <f t="shared" ca="1" si="578"/>
        <v>4</v>
      </c>
    </row>
    <row r="3384" spans="1:12" x14ac:dyDescent="0.25">
      <c r="A3384" s="20">
        <v>3376</v>
      </c>
      <c r="B3384" s="21">
        <f t="shared" ca="1" si="574"/>
        <v>5.6400826261485122</v>
      </c>
      <c r="C3384" s="21">
        <f t="shared" ca="1" si="579"/>
        <v>10264.173163712307</v>
      </c>
      <c r="D3384" s="21">
        <f t="shared" ca="1" si="575"/>
        <v>1.3817180601782511</v>
      </c>
      <c r="E3384" s="21">
        <f t="shared" ca="1" si="582"/>
        <v>8.0011925082308153</v>
      </c>
      <c r="F3384" s="20" t="str">
        <f t="shared" ca="1" si="580"/>
        <v>No</v>
      </c>
      <c r="G3384" s="21">
        <f t="shared" ca="1" si="576"/>
        <v>0</v>
      </c>
      <c r="H3384" s="21">
        <f t="shared" ca="1" si="577"/>
        <v>10272.174356220537</v>
      </c>
      <c r="I3384" s="21">
        <f t="shared" ca="1" si="572"/>
        <v>10273.556074280716</v>
      </c>
      <c r="J3384" s="20">
        <f t="shared" ca="1" si="581"/>
        <v>4</v>
      </c>
      <c r="K3384" s="20">
        <f t="shared" ca="1" si="573"/>
        <v>2</v>
      </c>
      <c r="L3384" s="44">
        <f t="shared" ca="1" si="578"/>
        <v>3</v>
      </c>
    </row>
    <row r="3385" spans="1:12" x14ac:dyDescent="0.25">
      <c r="A3385" s="20">
        <v>3377</v>
      </c>
      <c r="B3385" s="21">
        <f t="shared" ca="1" si="574"/>
        <v>2.5915584588803404</v>
      </c>
      <c r="C3385" s="21">
        <f t="shared" ca="1" si="579"/>
        <v>10266.764722171187</v>
      </c>
      <c r="D3385" s="21">
        <f t="shared" ca="1" si="575"/>
        <v>6.9719317023106724</v>
      </c>
      <c r="E3385" s="21">
        <f t="shared" ca="1" si="582"/>
        <v>6.7913521095288161</v>
      </c>
      <c r="F3385" s="20" t="str">
        <f t="shared" ca="1" si="580"/>
        <v>No</v>
      </c>
      <c r="G3385" s="21">
        <f t="shared" ca="1" si="576"/>
        <v>0</v>
      </c>
      <c r="H3385" s="21">
        <f t="shared" ca="1" si="577"/>
        <v>10273.556074280716</v>
      </c>
      <c r="I3385" s="21">
        <f t="shared" ca="1" si="572"/>
        <v>10280.528005983026</v>
      </c>
      <c r="J3385" s="20">
        <f t="shared" ca="1" si="581"/>
        <v>3</v>
      </c>
      <c r="K3385" s="20">
        <f t="shared" ca="1" si="573"/>
        <v>3</v>
      </c>
      <c r="L3385" s="44">
        <f t="shared" ca="1" si="578"/>
        <v>3</v>
      </c>
    </row>
    <row r="3386" spans="1:12" x14ac:dyDescent="0.25">
      <c r="A3386" s="20">
        <v>3378</v>
      </c>
      <c r="B3386" s="21">
        <f t="shared" ca="1" si="574"/>
        <v>2.485752293336279</v>
      </c>
      <c r="C3386" s="21">
        <f t="shared" ca="1" si="579"/>
        <v>10269.250474464523</v>
      </c>
      <c r="D3386" s="21">
        <f t="shared" ca="1" si="575"/>
        <v>1.9048949028689226</v>
      </c>
      <c r="E3386" s="21">
        <f t="shared" ca="1" si="582"/>
        <v>11.277531518502656</v>
      </c>
      <c r="F3386" s="20" t="str">
        <f t="shared" ca="1" si="580"/>
        <v>No</v>
      </c>
      <c r="G3386" s="21">
        <f t="shared" ca="1" si="576"/>
        <v>0</v>
      </c>
      <c r="H3386" s="21">
        <f t="shared" ca="1" si="577"/>
        <v>10280.528005983026</v>
      </c>
      <c r="I3386" s="21">
        <f t="shared" ca="1" si="572"/>
        <v>10282.432900885895</v>
      </c>
      <c r="J3386" s="20">
        <f t="shared" ca="1" si="581"/>
        <v>4</v>
      </c>
      <c r="K3386" s="20">
        <f t="shared" ca="1" si="573"/>
        <v>2</v>
      </c>
      <c r="L3386" s="44">
        <f t="shared" ca="1" si="578"/>
        <v>3</v>
      </c>
    </row>
    <row r="3387" spans="1:12" x14ac:dyDescent="0.25">
      <c r="A3387" s="20">
        <v>3379</v>
      </c>
      <c r="B3387" s="21">
        <f t="shared" ca="1" si="574"/>
        <v>6.9221921329539189</v>
      </c>
      <c r="C3387" s="21">
        <f t="shared" ca="1" si="579"/>
        <v>10276.172666597477</v>
      </c>
      <c r="D3387" s="21">
        <f t="shared" ca="1" si="575"/>
        <v>7.5763960292901888</v>
      </c>
      <c r="E3387" s="21">
        <f t="shared" ca="1" si="582"/>
        <v>6.2602342884183599</v>
      </c>
      <c r="F3387" s="20" t="str">
        <f t="shared" ca="1" si="580"/>
        <v>No</v>
      </c>
      <c r="G3387" s="21">
        <f t="shared" ca="1" si="576"/>
        <v>0</v>
      </c>
      <c r="H3387" s="21">
        <f t="shared" ca="1" si="577"/>
        <v>10282.432900885895</v>
      </c>
      <c r="I3387" s="21">
        <f t="shared" ca="1" si="572"/>
        <v>10290.009296915185</v>
      </c>
      <c r="J3387" s="20">
        <f t="shared" ca="1" si="581"/>
        <v>3</v>
      </c>
      <c r="K3387" s="20">
        <f t="shared" ca="1" si="573"/>
        <v>2</v>
      </c>
      <c r="L3387" s="44">
        <f t="shared" ca="1" si="578"/>
        <v>2.5</v>
      </c>
    </row>
    <row r="3388" spans="1:12" x14ac:dyDescent="0.25">
      <c r="A3388" s="20">
        <v>3380</v>
      </c>
      <c r="B3388" s="21">
        <f t="shared" ca="1" si="574"/>
        <v>3.8503246805546789</v>
      </c>
      <c r="C3388" s="21">
        <f t="shared" ca="1" si="579"/>
        <v>10280.022991278031</v>
      </c>
      <c r="D3388" s="21">
        <f t="shared" ca="1" si="575"/>
        <v>11.789174274980926</v>
      </c>
      <c r="E3388" s="21">
        <f t="shared" ca="1" si="582"/>
        <v>9.9863056371541461</v>
      </c>
      <c r="F3388" s="20" t="str">
        <f t="shared" ca="1" si="580"/>
        <v>No</v>
      </c>
      <c r="G3388" s="21">
        <f t="shared" ca="1" si="576"/>
        <v>0</v>
      </c>
      <c r="H3388" s="21">
        <f t="shared" ca="1" si="577"/>
        <v>10290.009296915185</v>
      </c>
      <c r="I3388" s="21">
        <f t="shared" ca="1" si="572"/>
        <v>10301.798471190166</v>
      </c>
      <c r="J3388" s="20">
        <f t="shared" ca="1" si="581"/>
        <v>3</v>
      </c>
      <c r="K3388" s="20">
        <f t="shared" ca="1" si="573"/>
        <v>5</v>
      </c>
      <c r="L3388" s="44">
        <f t="shared" ca="1" si="578"/>
        <v>4</v>
      </c>
    </row>
    <row r="3389" spans="1:12" x14ac:dyDescent="0.25">
      <c r="A3389" s="20">
        <v>3381</v>
      </c>
      <c r="B3389" s="21">
        <f t="shared" ca="1" si="574"/>
        <v>5.3269185913860424</v>
      </c>
      <c r="C3389" s="21">
        <f t="shared" ca="1" si="579"/>
        <v>10285.349909869417</v>
      </c>
      <c r="D3389" s="21">
        <f t="shared" ca="1" si="575"/>
        <v>2.6235214741748445</v>
      </c>
      <c r="E3389" s="21">
        <f t="shared" ca="1" si="582"/>
        <v>16.448561320748922</v>
      </c>
      <c r="F3389" s="20" t="str">
        <f t="shared" ca="1" si="580"/>
        <v>No</v>
      </c>
      <c r="G3389" s="21">
        <f t="shared" ca="1" si="576"/>
        <v>0</v>
      </c>
      <c r="H3389" s="21">
        <f t="shared" ca="1" si="577"/>
        <v>10301.798471190166</v>
      </c>
      <c r="I3389" s="21">
        <f t="shared" ca="1" si="572"/>
        <v>10304.421992664342</v>
      </c>
      <c r="J3389" s="20">
        <f t="shared" ca="1" si="581"/>
        <v>6</v>
      </c>
      <c r="K3389" s="20">
        <f t="shared" ca="1" si="573"/>
        <v>4</v>
      </c>
      <c r="L3389" s="44">
        <f t="shared" ca="1" si="578"/>
        <v>5</v>
      </c>
    </row>
    <row r="3390" spans="1:12" x14ac:dyDescent="0.25">
      <c r="A3390" s="20">
        <v>3382</v>
      </c>
      <c r="B3390" s="21">
        <f t="shared" ca="1" si="574"/>
        <v>6.2941437137120948</v>
      </c>
      <c r="C3390" s="21">
        <f t="shared" ca="1" si="579"/>
        <v>10291.64405358313</v>
      </c>
      <c r="D3390" s="21">
        <f t="shared" ca="1" si="575"/>
        <v>2.6423716204495831</v>
      </c>
      <c r="E3390" s="21">
        <f t="shared" ca="1" si="582"/>
        <v>12.777939081212025</v>
      </c>
      <c r="F3390" s="20" t="str">
        <f t="shared" ca="1" si="580"/>
        <v>No</v>
      </c>
      <c r="G3390" s="21">
        <f t="shared" ca="1" si="576"/>
        <v>0</v>
      </c>
      <c r="H3390" s="21">
        <f t="shared" ca="1" si="577"/>
        <v>10304.421992664342</v>
      </c>
      <c r="I3390" s="21">
        <f t="shared" ca="1" si="572"/>
        <v>10307.064364284792</v>
      </c>
      <c r="J3390" s="20">
        <f t="shared" ca="1" si="581"/>
        <v>5</v>
      </c>
      <c r="K3390" s="20">
        <f t="shared" ca="1" si="573"/>
        <v>5</v>
      </c>
      <c r="L3390" s="44">
        <f t="shared" ca="1" si="578"/>
        <v>5</v>
      </c>
    </row>
    <row r="3391" spans="1:12" x14ac:dyDescent="0.25">
      <c r="A3391" s="20">
        <v>3383</v>
      </c>
      <c r="B3391" s="21">
        <f t="shared" ca="1" si="574"/>
        <v>3.332672611591708</v>
      </c>
      <c r="C3391" s="21">
        <f t="shared" ca="1" si="579"/>
        <v>10294.976726194722</v>
      </c>
      <c r="D3391" s="21">
        <f t="shared" ca="1" si="575"/>
        <v>4.4491394228054357</v>
      </c>
      <c r="E3391" s="21">
        <f t="shared" ca="1" si="582"/>
        <v>12.087638090069959</v>
      </c>
      <c r="F3391" s="20" t="str">
        <f t="shared" ca="1" si="580"/>
        <v>No</v>
      </c>
      <c r="G3391" s="21">
        <f t="shared" ca="1" si="576"/>
        <v>0</v>
      </c>
      <c r="H3391" s="21">
        <f t="shared" ca="1" si="577"/>
        <v>10307.064364284792</v>
      </c>
      <c r="I3391" s="21">
        <f t="shared" ca="1" si="572"/>
        <v>10311.513503707598</v>
      </c>
      <c r="J3391" s="20">
        <f t="shared" ca="1" si="581"/>
        <v>6</v>
      </c>
      <c r="K3391" s="20">
        <f t="shared" ca="1" si="573"/>
        <v>5</v>
      </c>
      <c r="L3391" s="44">
        <f t="shared" ca="1" si="578"/>
        <v>5.5</v>
      </c>
    </row>
    <row r="3392" spans="1:12" x14ac:dyDescent="0.25">
      <c r="A3392" s="20">
        <v>3384</v>
      </c>
      <c r="B3392" s="21">
        <f t="shared" ca="1" si="574"/>
        <v>2.05932330034216</v>
      </c>
      <c r="C3392" s="21">
        <f t="shared" ca="1" si="579"/>
        <v>10297.036049495064</v>
      </c>
      <c r="D3392" s="21">
        <f t="shared" ca="1" si="575"/>
        <v>6.9037872534290852</v>
      </c>
      <c r="E3392" s="21">
        <f t="shared" ca="1" si="582"/>
        <v>14.477454212534212</v>
      </c>
      <c r="F3392" s="20" t="str">
        <f t="shared" ca="1" si="580"/>
        <v>No</v>
      </c>
      <c r="G3392" s="21">
        <f t="shared" ca="1" si="576"/>
        <v>0</v>
      </c>
      <c r="H3392" s="21">
        <f t="shared" ca="1" si="577"/>
        <v>10311.513503707598</v>
      </c>
      <c r="I3392" s="21">
        <f t="shared" ca="1" si="572"/>
        <v>10318.417290961028</v>
      </c>
      <c r="J3392" s="20">
        <f t="shared" ca="1" si="581"/>
        <v>6</v>
      </c>
      <c r="K3392" s="20">
        <f t="shared" ca="1" si="573"/>
        <v>5</v>
      </c>
      <c r="L3392" s="44">
        <f t="shared" ca="1" si="578"/>
        <v>5.5</v>
      </c>
    </row>
    <row r="3393" spans="1:12" x14ac:dyDescent="0.25">
      <c r="A3393" s="20">
        <v>3385</v>
      </c>
      <c r="B3393" s="21">
        <f t="shared" ca="1" si="574"/>
        <v>1.1949750109001624</v>
      </c>
      <c r="C3393" s="21">
        <f t="shared" ca="1" si="579"/>
        <v>10298.231024505963</v>
      </c>
      <c r="D3393" s="21">
        <f t="shared" ca="1" si="575"/>
        <v>6.240830283409398</v>
      </c>
      <c r="E3393" s="21">
        <f t="shared" ca="1" si="582"/>
        <v>20.186266455064469</v>
      </c>
      <c r="F3393" s="20" t="str">
        <f t="shared" ca="1" si="580"/>
        <v>No</v>
      </c>
      <c r="G3393" s="21">
        <f t="shared" ca="1" si="576"/>
        <v>0</v>
      </c>
      <c r="H3393" s="21">
        <f t="shared" ca="1" si="577"/>
        <v>10318.417290961028</v>
      </c>
      <c r="I3393" s="21">
        <f t="shared" ca="1" si="572"/>
        <v>10324.658121244438</v>
      </c>
      <c r="J3393" s="20">
        <f t="shared" ca="1" si="581"/>
        <v>6</v>
      </c>
      <c r="K3393" s="20">
        <f t="shared" ca="1" si="573"/>
        <v>5</v>
      </c>
      <c r="L3393" s="44">
        <f t="shared" ca="1" si="578"/>
        <v>5.5</v>
      </c>
    </row>
    <row r="3394" spans="1:12" x14ac:dyDescent="0.25">
      <c r="A3394" s="20">
        <v>3386</v>
      </c>
      <c r="B3394" s="21">
        <f t="shared" ca="1" si="574"/>
        <v>7.8130279675664243</v>
      </c>
      <c r="C3394" s="21">
        <f t="shared" ca="1" si="579"/>
        <v>10306.04405247353</v>
      </c>
      <c r="D3394" s="21">
        <f t="shared" ca="1" si="575"/>
        <v>6.7139611802726469</v>
      </c>
      <c r="E3394" s="21">
        <f t="shared" ca="1" si="582"/>
        <v>18.614068770908489</v>
      </c>
      <c r="F3394" s="20" t="str">
        <f t="shared" ca="1" si="580"/>
        <v>No</v>
      </c>
      <c r="G3394" s="21">
        <f t="shared" ca="1" si="576"/>
        <v>0</v>
      </c>
      <c r="H3394" s="21">
        <f t="shared" ca="1" si="577"/>
        <v>10324.658121244438</v>
      </c>
      <c r="I3394" s="21">
        <f t="shared" ca="1" si="572"/>
        <v>10331.37208242471</v>
      </c>
      <c r="J3394" s="20">
        <f t="shared" ca="1" si="581"/>
        <v>6</v>
      </c>
      <c r="K3394" s="20">
        <f t="shared" ca="1" si="573"/>
        <v>5</v>
      </c>
      <c r="L3394" s="44">
        <f t="shared" ca="1" si="578"/>
        <v>5.5</v>
      </c>
    </row>
    <row r="3395" spans="1:12" x14ac:dyDescent="0.25">
      <c r="A3395" s="20">
        <v>3387</v>
      </c>
      <c r="B3395" s="21">
        <f t="shared" ca="1" si="574"/>
        <v>0.89314401968647816</v>
      </c>
      <c r="C3395" s="21">
        <f t="shared" ca="1" si="579"/>
        <v>10306.937196493216</v>
      </c>
      <c r="D3395" s="21">
        <f t="shared" ca="1" si="575"/>
        <v>0.10753314853488587</v>
      </c>
      <c r="E3395" s="21">
        <f t="shared" ca="1" si="582"/>
        <v>24.434885931494136</v>
      </c>
      <c r="F3395" s="20" t="str">
        <f t="shared" ca="1" si="580"/>
        <v>No</v>
      </c>
      <c r="G3395" s="21">
        <f t="shared" ca="1" si="576"/>
        <v>0</v>
      </c>
      <c r="H3395" s="21">
        <f t="shared" ca="1" si="577"/>
        <v>10331.37208242471</v>
      </c>
      <c r="I3395" s="21">
        <f t="shared" ca="1" si="572"/>
        <v>10331.479615573246</v>
      </c>
      <c r="J3395" s="20">
        <f t="shared" ca="1" si="581"/>
        <v>6</v>
      </c>
      <c r="K3395" s="20">
        <f t="shared" ca="1" si="573"/>
        <v>5</v>
      </c>
      <c r="L3395" s="44">
        <f t="shared" ca="1" si="578"/>
        <v>5.5</v>
      </c>
    </row>
    <row r="3396" spans="1:12" x14ac:dyDescent="0.25">
      <c r="A3396" s="20">
        <v>3388</v>
      </c>
      <c r="B3396" s="21">
        <f t="shared" ca="1" si="574"/>
        <v>0.5037467258737599</v>
      </c>
      <c r="C3396" s="21">
        <f t="shared" ca="1" si="579"/>
        <v>10307.44094321909</v>
      </c>
      <c r="D3396" s="21">
        <f t="shared" ca="1" si="575"/>
        <v>2.9208268237671868</v>
      </c>
      <c r="E3396" s="21">
        <f t="shared" ca="1" si="582"/>
        <v>24.038672354156006</v>
      </c>
      <c r="F3396" s="20" t="str">
        <f t="shared" ca="1" si="580"/>
        <v>No</v>
      </c>
      <c r="G3396" s="21">
        <f t="shared" ca="1" si="576"/>
        <v>0</v>
      </c>
      <c r="H3396" s="21">
        <f t="shared" ca="1" si="577"/>
        <v>10331.479615573246</v>
      </c>
      <c r="I3396" s="21">
        <f t="shared" ca="1" si="572"/>
        <v>10334.400442397013</v>
      </c>
      <c r="J3396" s="20">
        <f t="shared" ca="1" si="581"/>
        <v>6</v>
      </c>
      <c r="K3396" s="20">
        <f t="shared" ca="1" si="573"/>
        <v>5</v>
      </c>
      <c r="L3396" s="44">
        <f t="shared" ca="1" si="578"/>
        <v>5.5</v>
      </c>
    </row>
    <row r="3397" spans="1:12" x14ac:dyDescent="0.25">
      <c r="A3397" s="20">
        <v>3389</v>
      </c>
      <c r="B3397" s="21">
        <f t="shared" ca="1" si="574"/>
        <v>5.824145051508224</v>
      </c>
      <c r="C3397" s="21">
        <f t="shared" ca="1" si="579"/>
        <v>10313.265088270598</v>
      </c>
      <c r="D3397" s="21">
        <f t="shared" ca="1" si="575"/>
        <v>0.91259580420418007</v>
      </c>
      <c r="E3397" s="21">
        <f t="shared" ca="1" si="582"/>
        <v>21.135354126414313</v>
      </c>
      <c r="F3397" s="20" t="str">
        <f t="shared" ca="1" si="580"/>
        <v>No</v>
      </c>
      <c r="G3397" s="21">
        <f t="shared" ca="1" si="576"/>
        <v>0</v>
      </c>
      <c r="H3397" s="21">
        <f t="shared" ca="1" si="577"/>
        <v>10334.400442397013</v>
      </c>
      <c r="I3397" s="21">
        <f t="shared" ca="1" si="572"/>
        <v>10335.313038201217</v>
      </c>
      <c r="J3397" s="20">
        <f t="shared" ca="1" si="581"/>
        <v>6</v>
      </c>
      <c r="K3397" s="20">
        <f t="shared" ca="1" si="573"/>
        <v>5</v>
      </c>
      <c r="L3397" s="44">
        <f t="shared" ca="1" si="578"/>
        <v>5.5</v>
      </c>
    </row>
    <row r="3398" spans="1:12" x14ac:dyDescent="0.25">
      <c r="A3398" s="20">
        <v>3390</v>
      </c>
      <c r="B3398" s="21">
        <f t="shared" ca="1" si="574"/>
        <v>4.9970246613193359</v>
      </c>
      <c r="C3398" s="21">
        <f t="shared" ca="1" si="579"/>
        <v>10318.262112931918</v>
      </c>
      <c r="D3398" s="21">
        <f t="shared" ca="1" si="575"/>
        <v>0.89479560553202575</v>
      </c>
      <c r="E3398" s="21">
        <f t="shared" ca="1" si="582"/>
        <v>17.050925269299114</v>
      </c>
      <c r="F3398" s="20" t="str">
        <f t="shared" ca="1" si="580"/>
        <v>No</v>
      </c>
      <c r="G3398" s="21">
        <f t="shared" ca="1" si="576"/>
        <v>0</v>
      </c>
      <c r="H3398" s="21">
        <f t="shared" ca="1" si="577"/>
        <v>10335.313038201217</v>
      </c>
      <c r="I3398" s="21">
        <f t="shared" ca="1" si="572"/>
        <v>10336.207833806749</v>
      </c>
      <c r="J3398" s="20">
        <f t="shared" ca="1" si="581"/>
        <v>6</v>
      </c>
      <c r="K3398" s="20">
        <f t="shared" ca="1" si="573"/>
        <v>5</v>
      </c>
      <c r="L3398" s="44">
        <f t="shared" ca="1" si="578"/>
        <v>5.5</v>
      </c>
    </row>
    <row r="3399" spans="1:12" x14ac:dyDescent="0.25">
      <c r="A3399" s="20">
        <v>3391</v>
      </c>
      <c r="B3399" s="21">
        <f t="shared" ca="1" si="574"/>
        <v>1.1274910421923059</v>
      </c>
      <c r="C3399" s="21">
        <f t="shared" ca="1" si="579"/>
        <v>10319.38960397411</v>
      </c>
      <c r="D3399" s="21">
        <f t="shared" ca="1" si="575"/>
        <v>0.36172267721078244</v>
      </c>
      <c r="E3399" s="21">
        <f t="shared" ca="1" si="582"/>
        <v>16.81822983263919</v>
      </c>
      <c r="F3399" s="20" t="str">
        <f t="shared" ca="1" si="580"/>
        <v>No</v>
      </c>
      <c r="G3399" s="21">
        <f t="shared" ca="1" si="576"/>
        <v>0</v>
      </c>
      <c r="H3399" s="21">
        <f t="shared" ca="1" si="577"/>
        <v>10336.207833806749</v>
      </c>
      <c r="I3399" s="21">
        <f t="shared" ca="1" si="572"/>
        <v>10336.569556483961</v>
      </c>
      <c r="J3399" s="20">
        <f t="shared" ca="1" si="581"/>
        <v>6</v>
      </c>
      <c r="K3399" s="20">
        <f t="shared" ca="1" si="573"/>
        <v>5</v>
      </c>
      <c r="L3399" s="44">
        <f t="shared" ca="1" si="578"/>
        <v>5.5</v>
      </c>
    </row>
    <row r="3400" spans="1:12" x14ac:dyDescent="0.25">
      <c r="A3400" s="20">
        <v>3392</v>
      </c>
      <c r="B3400" s="21">
        <f t="shared" ca="1" si="574"/>
        <v>1.8854869749128893</v>
      </c>
      <c r="C3400" s="21">
        <f t="shared" ca="1" si="579"/>
        <v>10321.275090949022</v>
      </c>
      <c r="D3400" s="21">
        <f t="shared" ca="1" si="575"/>
        <v>1.5971480352541712</v>
      </c>
      <c r="E3400" s="21">
        <f t="shared" ca="1" si="582"/>
        <v>15.294465534938354</v>
      </c>
      <c r="F3400" s="20" t="str">
        <f t="shared" ca="1" si="580"/>
        <v>No</v>
      </c>
      <c r="G3400" s="21">
        <f t="shared" ca="1" si="576"/>
        <v>0</v>
      </c>
      <c r="H3400" s="21">
        <f t="shared" ca="1" si="577"/>
        <v>10336.569556483961</v>
      </c>
      <c r="I3400" s="21">
        <f t="shared" ca="1" si="572"/>
        <v>10338.166704519215</v>
      </c>
      <c r="J3400" s="20">
        <f t="shared" ca="1" si="581"/>
        <v>6</v>
      </c>
      <c r="K3400" s="20">
        <f t="shared" ca="1" si="573"/>
        <v>5</v>
      </c>
      <c r="L3400" s="44">
        <f t="shared" ca="1" si="578"/>
        <v>5.5</v>
      </c>
    </row>
    <row r="3401" spans="1:12" x14ac:dyDescent="0.25">
      <c r="A3401" s="20">
        <v>3393</v>
      </c>
      <c r="B3401" s="21">
        <f t="shared" ca="1" si="574"/>
        <v>1.6782487927265373</v>
      </c>
      <c r="C3401" s="21">
        <f t="shared" ca="1" si="579"/>
        <v>10322.953339741749</v>
      </c>
      <c r="D3401" s="21">
        <f t="shared" ca="1" si="575"/>
        <v>0.1637893316864017</v>
      </c>
      <c r="E3401" s="21">
        <f t="shared" ca="1" si="582"/>
        <v>15.213364777466268</v>
      </c>
      <c r="F3401" s="20" t="str">
        <f t="shared" ca="1" si="580"/>
        <v>No</v>
      </c>
      <c r="G3401" s="21">
        <f t="shared" ca="1" si="576"/>
        <v>0</v>
      </c>
      <c r="H3401" s="21">
        <f t="shared" ca="1" si="577"/>
        <v>10338.166704519215</v>
      </c>
      <c r="I3401" s="21">
        <f t="shared" ref="I3401:I3464" ca="1" si="583">$H3401+$D3401</f>
        <v>10338.330493850901</v>
      </c>
      <c r="J3401" s="20">
        <f t="shared" ca="1" si="581"/>
        <v>6</v>
      </c>
      <c r="K3401" s="20">
        <f t="shared" ref="K3401:K3464" ca="1" si="584">IF($I3401&lt;=$C3402,0,IF($I3401&lt;=$C3403,1,IF($I3401&lt;=$C3404,2,IF($I3401&lt;=$C3405,3,IF($I3401&lt;=$C3406,4,5)))))</f>
        <v>4</v>
      </c>
      <c r="L3401" s="44">
        <f t="shared" ca="1" si="578"/>
        <v>5</v>
      </c>
    </row>
    <row r="3402" spans="1:12" x14ac:dyDescent="0.25">
      <c r="A3402" s="20">
        <v>3394</v>
      </c>
      <c r="B3402" s="21">
        <f t="shared" ref="B3402:B3465" ca="1" si="585">-LN(RAND())/$D$4</f>
        <v>1.7388006758224042</v>
      </c>
      <c r="C3402" s="21">
        <f t="shared" ca="1" si="579"/>
        <v>10324.692140417572</v>
      </c>
      <c r="D3402" s="21">
        <f t="shared" ref="D3402:D3465" ca="1" si="586">-LN(RAND())/$D$6</f>
        <v>1.2311682734566003</v>
      </c>
      <c r="E3402" s="21">
        <f t="shared" ca="1" si="582"/>
        <v>13.63835343332903</v>
      </c>
      <c r="F3402" s="20" t="str">
        <f t="shared" ca="1" si="580"/>
        <v>No</v>
      </c>
      <c r="G3402" s="21">
        <f t="shared" ref="G3402:G3465" ca="1" si="587">IF($I3401&lt;=$C3402,$C3402-$I3401,0)</f>
        <v>0</v>
      </c>
      <c r="H3402" s="21">
        <f t="shared" ref="H3402:H3465" ca="1" si="588">IF($I3401&lt;=$C3402,$C3402,$I3401)</f>
        <v>10338.330493850901</v>
      </c>
      <c r="I3402" s="21">
        <f t="shared" ca="1" si="583"/>
        <v>10339.561662124357</v>
      </c>
      <c r="J3402" s="20">
        <f t="shared" ca="1" si="581"/>
        <v>5</v>
      </c>
      <c r="K3402" s="20">
        <f t="shared" ca="1" si="584"/>
        <v>4</v>
      </c>
      <c r="L3402" s="44">
        <f t="shared" ref="L3402:L3465" ca="1" si="589">(J3402+K3402)/2</f>
        <v>4.5</v>
      </c>
    </row>
    <row r="3403" spans="1:12" x14ac:dyDescent="0.25">
      <c r="A3403" s="20">
        <v>3395</v>
      </c>
      <c r="B3403" s="21">
        <f t="shared" ca="1" si="585"/>
        <v>1.3726968379679432</v>
      </c>
      <c r="C3403" s="21">
        <f t="shared" ref="C3403:C3466" ca="1" si="590">$C3402+$B3403</f>
        <v>10326.064837255541</v>
      </c>
      <c r="D3403" s="21">
        <f t="shared" ca="1" si="586"/>
        <v>1.4756241618234025</v>
      </c>
      <c r="E3403" s="21">
        <f t="shared" ca="1" si="582"/>
        <v>13.496824868816475</v>
      </c>
      <c r="F3403" s="20" t="str">
        <f t="shared" ref="F3403:F3466" ca="1" si="591">IF(E3403=0,"Yes","No")</f>
        <v>No</v>
      </c>
      <c r="G3403" s="21">
        <f t="shared" ca="1" si="587"/>
        <v>0</v>
      </c>
      <c r="H3403" s="21">
        <f t="shared" ca="1" si="588"/>
        <v>10339.561662124357</v>
      </c>
      <c r="I3403" s="21">
        <f t="shared" ca="1" si="583"/>
        <v>10341.03728628618</v>
      </c>
      <c r="J3403" s="20">
        <f t="shared" ref="J3403:J3466" ca="1" si="592">IF($I3402&lt;=$C3403,0,$K3402+1)</f>
        <v>5</v>
      </c>
      <c r="K3403" s="20">
        <f t="shared" ca="1" si="584"/>
        <v>3</v>
      </c>
      <c r="L3403" s="44">
        <f t="shared" ca="1" si="589"/>
        <v>4</v>
      </c>
    </row>
    <row r="3404" spans="1:12" x14ac:dyDescent="0.25">
      <c r="A3404" s="20">
        <v>3396</v>
      </c>
      <c r="B3404" s="21">
        <f t="shared" ca="1" si="585"/>
        <v>3.9007596578599224</v>
      </c>
      <c r="C3404" s="21">
        <f t="shared" ca="1" si="590"/>
        <v>10329.9655969134</v>
      </c>
      <c r="D3404" s="21">
        <f t="shared" ca="1" si="586"/>
        <v>2.891029623368695</v>
      </c>
      <c r="E3404" s="21">
        <f t="shared" ref="E3404:E3467" ca="1" si="593">IF($I3403&lt;=$C3404,0,$I3403-$C3404)</f>
        <v>11.071689372780384</v>
      </c>
      <c r="F3404" s="20" t="str">
        <f t="shared" ca="1" si="591"/>
        <v>No</v>
      </c>
      <c r="G3404" s="21">
        <f t="shared" ca="1" si="587"/>
        <v>0</v>
      </c>
      <c r="H3404" s="21">
        <f t="shared" ca="1" si="588"/>
        <v>10341.03728628618</v>
      </c>
      <c r="I3404" s="21">
        <f t="shared" ca="1" si="583"/>
        <v>10343.928315909548</v>
      </c>
      <c r="J3404" s="20">
        <f t="shared" ca="1" si="592"/>
        <v>4</v>
      </c>
      <c r="K3404" s="20">
        <f t="shared" ca="1" si="584"/>
        <v>4</v>
      </c>
      <c r="L3404" s="44">
        <f t="shared" ca="1" si="589"/>
        <v>4</v>
      </c>
    </row>
    <row r="3405" spans="1:12" x14ac:dyDescent="0.25">
      <c r="A3405" s="20">
        <v>3397</v>
      </c>
      <c r="B3405" s="21">
        <f t="shared" ca="1" si="585"/>
        <v>6.9556932937440505</v>
      </c>
      <c r="C3405" s="21">
        <f t="shared" ca="1" si="590"/>
        <v>10336.921290207145</v>
      </c>
      <c r="D3405" s="21">
        <f t="shared" ca="1" si="586"/>
        <v>11.093621548843675</v>
      </c>
      <c r="E3405" s="21">
        <f t="shared" ca="1" si="593"/>
        <v>7.0070257024035527</v>
      </c>
      <c r="F3405" s="20" t="str">
        <f t="shared" ca="1" si="591"/>
        <v>No</v>
      </c>
      <c r="G3405" s="21">
        <f t="shared" ca="1" si="587"/>
        <v>0</v>
      </c>
      <c r="H3405" s="21">
        <f t="shared" ca="1" si="588"/>
        <v>10343.928315909548</v>
      </c>
      <c r="I3405" s="21">
        <f t="shared" ca="1" si="583"/>
        <v>10355.021937458392</v>
      </c>
      <c r="J3405" s="20">
        <f t="shared" ca="1" si="592"/>
        <v>5</v>
      </c>
      <c r="K3405" s="20">
        <f t="shared" ca="1" si="584"/>
        <v>5</v>
      </c>
      <c r="L3405" s="44">
        <f t="shared" ca="1" si="589"/>
        <v>5</v>
      </c>
    </row>
    <row r="3406" spans="1:12" x14ac:dyDescent="0.25">
      <c r="A3406" s="20">
        <v>3398</v>
      </c>
      <c r="B3406" s="21">
        <f t="shared" ca="1" si="585"/>
        <v>1.6291660151581091</v>
      </c>
      <c r="C3406" s="21">
        <f t="shared" ca="1" si="590"/>
        <v>10338.550456222303</v>
      </c>
      <c r="D3406" s="21">
        <f t="shared" ca="1" si="586"/>
        <v>0.72057962996226421</v>
      </c>
      <c r="E3406" s="21">
        <f t="shared" ca="1" si="593"/>
        <v>16.471481236088948</v>
      </c>
      <c r="F3406" s="20" t="str">
        <f t="shared" ca="1" si="591"/>
        <v>No</v>
      </c>
      <c r="G3406" s="21">
        <f t="shared" ca="1" si="587"/>
        <v>0</v>
      </c>
      <c r="H3406" s="21">
        <f t="shared" ca="1" si="588"/>
        <v>10355.021937458392</v>
      </c>
      <c r="I3406" s="21">
        <f t="shared" ca="1" si="583"/>
        <v>10355.742517088354</v>
      </c>
      <c r="J3406" s="20">
        <f t="shared" ca="1" si="592"/>
        <v>6</v>
      </c>
      <c r="K3406" s="20">
        <f t="shared" ca="1" si="584"/>
        <v>5</v>
      </c>
      <c r="L3406" s="44">
        <f t="shared" ca="1" si="589"/>
        <v>5.5</v>
      </c>
    </row>
    <row r="3407" spans="1:12" x14ac:dyDescent="0.25">
      <c r="A3407" s="20">
        <v>3399</v>
      </c>
      <c r="B3407" s="21">
        <f t="shared" ca="1" si="585"/>
        <v>3.2138936865531447</v>
      </c>
      <c r="C3407" s="21">
        <f t="shared" ca="1" si="590"/>
        <v>10341.764349908857</v>
      </c>
      <c r="D3407" s="21">
        <f t="shared" ca="1" si="586"/>
        <v>0.67638330822907389</v>
      </c>
      <c r="E3407" s="21">
        <f t="shared" ca="1" si="593"/>
        <v>13.978167179497177</v>
      </c>
      <c r="F3407" s="20" t="str">
        <f t="shared" ca="1" si="591"/>
        <v>No</v>
      </c>
      <c r="G3407" s="21">
        <f t="shared" ca="1" si="587"/>
        <v>0</v>
      </c>
      <c r="H3407" s="21">
        <f t="shared" ca="1" si="588"/>
        <v>10355.742517088354</v>
      </c>
      <c r="I3407" s="21">
        <f t="shared" ca="1" si="583"/>
        <v>10356.418900396584</v>
      </c>
      <c r="J3407" s="20">
        <f t="shared" ca="1" si="592"/>
        <v>6</v>
      </c>
      <c r="K3407" s="20">
        <f t="shared" ca="1" si="584"/>
        <v>4</v>
      </c>
      <c r="L3407" s="44">
        <f t="shared" ca="1" si="589"/>
        <v>5</v>
      </c>
    </row>
    <row r="3408" spans="1:12" x14ac:dyDescent="0.25">
      <c r="A3408" s="20">
        <v>3400</v>
      </c>
      <c r="B3408" s="21">
        <f t="shared" ca="1" si="585"/>
        <v>1.274148857351191</v>
      </c>
      <c r="C3408" s="21">
        <f t="shared" ca="1" si="590"/>
        <v>10343.038498766209</v>
      </c>
      <c r="D3408" s="21">
        <f t="shared" ca="1" si="586"/>
        <v>1.1643813543125932</v>
      </c>
      <c r="E3408" s="21">
        <f t="shared" ca="1" si="593"/>
        <v>13.380401630374763</v>
      </c>
      <c r="F3408" s="20" t="str">
        <f t="shared" ca="1" si="591"/>
        <v>No</v>
      </c>
      <c r="G3408" s="21">
        <f t="shared" ca="1" si="587"/>
        <v>0</v>
      </c>
      <c r="H3408" s="21">
        <f t="shared" ca="1" si="588"/>
        <v>10356.418900396584</v>
      </c>
      <c r="I3408" s="21">
        <f t="shared" ca="1" si="583"/>
        <v>10357.583281750896</v>
      </c>
      <c r="J3408" s="20">
        <f t="shared" ca="1" si="592"/>
        <v>5</v>
      </c>
      <c r="K3408" s="20">
        <f t="shared" ca="1" si="584"/>
        <v>3</v>
      </c>
      <c r="L3408" s="44">
        <f t="shared" ca="1" si="589"/>
        <v>4</v>
      </c>
    </row>
    <row r="3409" spans="1:12" x14ac:dyDescent="0.25">
      <c r="A3409" s="20">
        <v>3401</v>
      </c>
      <c r="B3409" s="21">
        <f t="shared" ca="1" si="585"/>
        <v>3.5479419158237211</v>
      </c>
      <c r="C3409" s="21">
        <f t="shared" ca="1" si="590"/>
        <v>10346.586440682033</v>
      </c>
      <c r="D3409" s="21">
        <f t="shared" ca="1" si="586"/>
        <v>2.9783421142418613</v>
      </c>
      <c r="E3409" s="21">
        <f t="shared" ca="1" si="593"/>
        <v>10.996841068863432</v>
      </c>
      <c r="F3409" s="20" t="str">
        <f t="shared" ca="1" si="591"/>
        <v>No</v>
      </c>
      <c r="G3409" s="21">
        <f t="shared" ca="1" si="587"/>
        <v>0</v>
      </c>
      <c r="H3409" s="21">
        <f t="shared" ca="1" si="588"/>
        <v>10357.583281750896</v>
      </c>
      <c r="I3409" s="21">
        <f t="shared" ca="1" si="583"/>
        <v>10360.561623865138</v>
      </c>
      <c r="J3409" s="20">
        <f t="shared" ca="1" si="592"/>
        <v>4</v>
      </c>
      <c r="K3409" s="20">
        <f t="shared" ca="1" si="584"/>
        <v>4</v>
      </c>
      <c r="L3409" s="44">
        <f t="shared" ca="1" si="589"/>
        <v>4</v>
      </c>
    </row>
    <row r="3410" spans="1:12" x14ac:dyDescent="0.25">
      <c r="A3410" s="20">
        <v>3402</v>
      </c>
      <c r="B3410" s="21">
        <f t="shared" ca="1" si="585"/>
        <v>2.3624560893148132</v>
      </c>
      <c r="C3410" s="21">
        <f t="shared" ca="1" si="590"/>
        <v>10348.948896771348</v>
      </c>
      <c r="D3410" s="21">
        <f t="shared" ca="1" si="586"/>
        <v>2.2126896101182512</v>
      </c>
      <c r="E3410" s="21">
        <f t="shared" ca="1" si="593"/>
        <v>11.612727093790454</v>
      </c>
      <c r="F3410" s="20" t="str">
        <f t="shared" ca="1" si="591"/>
        <v>No</v>
      </c>
      <c r="G3410" s="21">
        <f t="shared" ca="1" si="587"/>
        <v>0</v>
      </c>
      <c r="H3410" s="21">
        <f t="shared" ca="1" si="588"/>
        <v>10360.561623865138</v>
      </c>
      <c r="I3410" s="21">
        <f t="shared" ca="1" si="583"/>
        <v>10362.774313475256</v>
      </c>
      <c r="J3410" s="20">
        <f t="shared" ca="1" si="592"/>
        <v>5</v>
      </c>
      <c r="K3410" s="20">
        <f t="shared" ca="1" si="584"/>
        <v>3</v>
      </c>
      <c r="L3410" s="44">
        <f t="shared" ca="1" si="589"/>
        <v>4</v>
      </c>
    </row>
    <row r="3411" spans="1:12" x14ac:dyDescent="0.25">
      <c r="A3411" s="20">
        <v>3403</v>
      </c>
      <c r="B3411" s="21">
        <f t="shared" ca="1" si="585"/>
        <v>3.9401473823731301</v>
      </c>
      <c r="C3411" s="21">
        <f t="shared" ca="1" si="590"/>
        <v>10352.889044153721</v>
      </c>
      <c r="D3411" s="21">
        <f t="shared" ca="1" si="586"/>
        <v>8.9296559190349338</v>
      </c>
      <c r="E3411" s="21">
        <f t="shared" ca="1" si="593"/>
        <v>9.8852693215358158</v>
      </c>
      <c r="F3411" s="20" t="str">
        <f t="shared" ca="1" si="591"/>
        <v>No</v>
      </c>
      <c r="G3411" s="21">
        <f t="shared" ca="1" si="587"/>
        <v>0</v>
      </c>
      <c r="H3411" s="21">
        <f t="shared" ca="1" si="588"/>
        <v>10362.774313475256</v>
      </c>
      <c r="I3411" s="21">
        <f t="shared" ca="1" si="583"/>
        <v>10371.703969394292</v>
      </c>
      <c r="J3411" s="20">
        <f t="shared" ca="1" si="592"/>
        <v>4</v>
      </c>
      <c r="K3411" s="20">
        <f t="shared" ca="1" si="584"/>
        <v>5</v>
      </c>
      <c r="L3411" s="44">
        <f t="shared" ca="1" si="589"/>
        <v>4.5</v>
      </c>
    </row>
    <row r="3412" spans="1:12" x14ac:dyDescent="0.25">
      <c r="A3412" s="20">
        <v>3404</v>
      </c>
      <c r="B3412" s="21">
        <f t="shared" ca="1" si="585"/>
        <v>5.5820442535394763</v>
      </c>
      <c r="C3412" s="21">
        <f t="shared" ca="1" si="590"/>
        <v>10358.471088407259</v>
      </c>
      <c r="D3412" s="21">
        <f t="shared" ca="1" si="586"/>
        <v>1.5930105527445504</v>
      </c>
      <c r="E3412" s="21">
        <f t="shared" ca="1" si="593"/>
        <v>13.232880987032331</v>
      </c>
      <c r="F3412" s="20" t="str">
        <f t="shared" ca="1" si="591"/>
        <v>No</v>
      </c>
      <c r="G3412" s="21">
        <f t="shared" ca="1" si="587"/>
        <v>0</v>
      </c>
      <c r="H3412" s="21">
        <f t="shared" ca="1" si="588"/>
        <v>10371.703969394292</v>
      </c>
      <c r="I3412" s="21">
        <f t="shared" ca="1" si="583"/>
        <v>10373.296979947036</v>
      </c>
      <c r="J3412" s="20">
        <f t="shared" ca="1" si="592"/>
        <v>6</v>
      </c>
      <c r="K3412" s="20">
        <f t="shared" ca="1" si="584"/>
        <v>5</v>
      </c>
      <c r="L3412" s="44">
        <f t="shared" ca="1" si="589"/>
        <v>5.5</v>
      </c>
    </row>
    <row r="3413" spans="1:12" x14ac:dyDescent="0.25">
      <c r="A3413" s="20">
        <v>3405</v>
      </c>
      <c r="B3413" s="21">
        <f t="shared" ca="1" si="585"/>
        <v>1.8788590550558517</v>
      </c>
      <c r="C3413" s="21">
        <f t="shared" ca="1" si="590"/>
        <v>10360.349947462315</v>
      </c>
      <c r="D3413" s="21">
        <f t="shared" ca="1" si="586"/>
        <v>4.0017423667059502</v>
      </c>
      <c r="E3413" s="21">
        <f t="shared" ca="1" si="593"/>
        <v>12.947032484720694</v>
      </c>
      <c r="F3413" s="20" t="str">
        <f t="shared" ca="1" si="591"/>
        <v>No</v>
      </c>
      <c r="G3413" s="21">
        <f t="shared" ca="1" si="587"/>
        <v>0</v>
      </c>
      <c r="H3413" s="21">
        <f t="shared" ca="1" si="588"/>
        <v>10373.296979947036</v>
      </c>
      <c r="I3413" s="21">
        <f t="shared" ca="1" si="583"/>
        <v>10377.298722313742</v>
      </c>
      <c r="J3413" s="20">
        <f t="shared" ca="1" si="592"/>
        <v>6</v>
      </c>
      <c r="K3413" s="20">
        <f t="shared" ca="1" si="584"/>
        <v>5</v>
      </c>
      <c r="L3413" s="44">
        <f t="shared" ca="1" si="589"/>
        <v>5.5</v>
      </c>
    </row>
    <row r="3414" spans="1:12" x14ac:dyDescent="0.25">
      <c r="A3414" s="20">
        <v>3406</v>
      </c>
      <c r="B3414" s="21">
        <f t="shared" ca="1" si="585"/>
        <v>3.515912077352302</v>
      </c>
      <c r="C3414" s="21">
        <f t="shared" ca="1" si="590"/>
        <v>10363.865859539666</v>
      </c>
      <c r="D3414" s="21">
        <f t="shared" ca="1" si="586"/>
        <v>0.3424029427437526</v>
      </c>
      <c r="E3414" s="21">
        <f t="shared" ca="1" si="593"/>
        <v>13.432862774076057</v>
      </c>
      <c r="F3414" s="20" t="str">
        <f t="shared" ca="1" si="591"/>
        <v>No</v>
      </c>
      <c r="G3414" s="21">
        <f t="shared" ca="1" si="587"/>
        <v>0</v>
      </c>
      <c r="H3414" s="21">
        <f t="shared" ca="1" si="588"/>
        <v>10377.298722313742</v>
      </c>
      <c r="I3414" s="21">
        <f t="shared" ca="1" si="583"/>
        <v>10377.641125256487</v>
      </c>
      <c r="J3414" s="20">
        <f t="shared" ca="1" si="592"/>
        <v>6</v>
      </c>
      <c r="K3414" s="20">
        <f t="shared" ca="1" si="584"/>
        <v>5</v>
      </c>
      <c r="L3414" s="44">
        <f t="shared" ca="1" si="589"/>
        <v>5.5</v>
      </c>
    </row>
    <row r="3415" spans="1:12" x14ac:dyDescent="0.25">
      <c r="A3415" s="20">
        <v>3407</v>
      </c>
      <c r="B3415" s="21">
        <f t="shared" ca="1" si="585"/>
        <v>0.38748967596079376</v>
      </c>
      <c r="C3415" s="21">
        <f t="shared" ca="1" si="590"/>
        <v>10364.253349215627</v>
      </c>
      <c r="D3415" s="21">
        <f t="shared" ca="1" si="586"/>
        <v>1.6839909219480067</v>
      </c>
      <c r="E3415" s="21">
        <f t="shared" ca="1" si="593"/>
        <v>13.387776040859535</v>
      </c>
      <c r="F3415" s="20" t="str">
        <f t="shared" ca="1" si="591"/>
        <v>No</v>
      </c>
      <c r="G3415" s="21">
        <f t="shared" ca="1" si="587"/>
        <v>0</v>
      </c>
      <c r="H3415" s="21">
        <f t="shared" ca="1" si="588"/>
        <v>10377.641125256487</v>
      </c>
      <c r="I3415" s="21">
        <f t="shared" ca="1" si="583"/>
        <v>10379.325116178436</v>
      </c>
      <c r="J3415" s="20">
        <f t="shared" ca="1" si="592"/>
        <v>6</v>
      </c>
      <c r="K3415" s="20">
        <f t="shared" ca="1" si="584"/>
        <v>5</v>
      </c>
      <c r="L3415" s="44">
        <f t="shared" ca="1" si="589"/>
        <v>5.5</v>
      </c>
    </row>
    <row r="3416" spans="1:12" x14ac:dyDescent="0.25">
      <c r="A3416" s="20">
        <v>3408</v>
      </c>
      <c r="B3416" s="21">
        <f t="shared" ca="1" si="585"/>
        <v>5.8321860156884018</v>
      </c>
      <c r="C3416" s="21">
        <f t="shared" ca="1" si="590"/>
        <v>10370.085535231316</v>
      </c>
      <c r="D3416" s="21">
        <f t="shared" ca="1" si="586"/>
        <v>0.93483143089968523</v>
      </c>
      <c r="E3416" s="21">
        <f t="shared" ca="1" si="593"/>
        <v>9.2395809471199755</v>
      </c>
      <c r="F3416" s="20" t="str">
        <f t="shared" ca="1" si="591"/>
        <v>No</v>
      </c>
      <c r="G3416" s="21">
        <f t="shared" ca="1" si="587"/>
        <v>0</v>
      </c>
      <c r="H3416" s="21">
        <f t="shared" ca="1" si="588"/>
        <v>10379.325116178436</v>
      </c>
      <c r="I3416" s="21">
        <f t="shared" ca="1" si="583"/>
        <v>10380.259947609335</v>
      </c>
      <c r="J3416" s="20">
        <f t="shared" ca="1" si="592"/>
        <v>6</v>
      </c>
      <c r="K3416" s="20">
        <f t="shared" ca="1" si="584"/>
        <v>4</v>
      </c>
      <c r="L3416" s="44">
        <f t="shared" ca="1" si="589"/>
        <v>5</v>
      </c>
    </row>
    <row r="3417" spans="1:12" x14ac:dyDescent="0.25">
      <c r="A3417" s="20">
        <v>3409</v>
      </c>
      <c r="B3417" s="21">
        <f t="shared" ca="1" si="585"/>
        <v>1.8195108248927987</v>
      </c>
      <c r="C3417" s="21">
        <f t="shared" ca="1" si="590"/>
        <v>10371.905046056208</v>
      </c>
      <c r="D3417" s="21">
        <f t="shared" ca="1" si="586"/>
        <v>2.6011049437517912</v>
      </c>
      <c r="E3417" s="21">
        <f t="shared" ca="1" si="593"/>
        <v>8.354901553126183</v>
      </c>
      <c r="F3417" s="20" t="str">
        <f t="shared" ca="1" si="591"/>
        <v>No</v>
      </c>
      <c r="G3417" s="21">
        <f t="shared" ca="1" si="587"/>
        <v>0</v>
      </c>
      <c r="H3417" s="21">
        <f t="shared" ca="1" si="588"/>
        <v>10380.259947609335</v>
      </c>
      <c r="I3417" s="21">
        <f t="shared" ca="1" si="583"/>
        <v>10382.861052553086</v>
      </c>
      <c r="J3417" s="20">
        <f t="shared" ca="1" si="592"/>
        <v>5</v>
      </c>
      <c r="K3417" s="20">
        <f t="shared" ca="1" si="584"/>
        <v>3</v>
      </c>
      <c r="L3417" s="44">
        <f t="shared" ca="1" si="589"/>
        <v>4</v>
      </c>
    </row>
    <row r="3418" spans="1:12" x14ac:dyDescent="0.25">
      <c r="A3418" s="20">
        <v>3410</v>
      </c>
      <c r="B3418" s="21">
        <f t="shared" ca="1" si="585"/>
        <v>2.8812122932928035</v>
      </c>
      <c r="C3418" s="21">
        <f t="shared" ca="1" si="590"/>
        <v>10374.786258349501</v>
      </c>
      <c r="D3418" s="21">
        <f t="shared" ca="1" si="586"/>
        <v>6.4969778571349774</v>
      </c>
      <c r="E3418" s="21">
        <f t="shared" ca="1" si="593"/>
        <v>8.0747942035850429</v>
      </c>
      <c r="F3418" s="20" t="str">
        <f t="shared" ca="1" si="591"/>
        <v>No</v>
      </c>
      <c r="G3418" s="21">
        <f t="shared" ca="1" si="587"/>
        <v>0</v>
      </c>
      <c r="H3418" s="21">
        <f t="shared" ca="1" si="588"/>
        <v>10382.861052553086</v>
      </c>
      <c r="I3418" s="21">
        <f t="shared" ca="1" si="583"/>
        <v>10389.358030410222</v>
      </c>
      <c r="J3418" s="20">
        <f t="shared" ca="1" si="592"/>
        <v>4</v>
      </c>
      <c r="K3418" s="20">
        <f t="shared" ca="1" si="584"/>
        <v>4</v>
      </c>
      <c r="L3418" s="44">
        <f t="shared" ca="1" si="589"/>
        <v>4</v>
      </c>
    </row>
    <row r="3419" spans="1:12" x14ac:dyDescent="0.25">
      <c r="A3419" s="20">
        <v>3411</v>
      </c>
      <c r="B3419" s="21">
        <f t="shared" ca="1" si="585"/>
        <v>0.87525063832296857</v>
      </c>
      <c r="C3419" s="21">
        <f t="shared" ca="1" si="590"/>
        <v>10375.661508987823</v>
      </c>
      <c r="D3419" s="21">
        <f t="shared" ca="1" si="586"/>
        <v>2.9818985379449012</v>
      </c>
      <c r="E3419" s="21">
        <f t="shared" ca="1" si="593"/>
        <v>13.696521422398291</v>
      </c>
      <c r="F3419" s="20" t="str">
        <f t="shared" ca="1" si="591"/>
        <v>No</v>
      </c>
      <c r="G3419" s="21">
        <f t="shared" ca="1" si="587"/>
        <v>0</v>
      </c>
      <c r="H3419" s="21">
        <f t="shared" ca="1" si="588"/>
        <v>10389.358030410222</v>
      </c>
      <c r="I3419" s="21">
        <f t="shared" ca="1" si="583"/>
        <v>10392.339928948166</v>
      </c>
      <c r="J3419" s="20">
        <f t="shared" ca="1" si="592"/>
        <v>5</v>
      </c>
      <c r="K3419" s="20">
        <f t="shared" ca="1" si="584"/>
        <v>4</v>
      </c>
      <c r="L3419" s="44">
        <f t="shared" ca="1" si="589"/>
        <v>4.5</v>
      </c>
    </row>
    <row r="3420" spans="1:12" x14ac:dyDescent="0.25">
      <c r="A3420" s="20">
        <v>3412</v>
      </c>
      <c r="B3420" s="21">
        <f t="shared" ca="1" si="585"/>
        <v>1.5649170825945984</v>
      </c>
      <c r="C3420" s="21">
        <f t="shared" ca="1" si="590"/>
        <v>10377.226426070418</v>
      </c>
      <c r="D3420" s="21">
        <f t="shared" ca="1" si="586"/>
        <v>0.23257365455640572</v>
      </c>
      <c r="E3420" s="21">
        <f t="shared" ca="1" si="593"/>
        <v>15.113502877748033</v>
      </c>
      <c r="F3420" s="20" t="str">
        <f t="shared" ca="1" si="591"/>
        <v>No</v>
      </c>
      <c r="G3420" s="21">
        <f t="shared" ca="1" si="587"/>
        <v>0</v>
      </c>
      <c r="H3420" s="21">
        <f t="shared" ca="1" si="588"/>
        <v>10392.339928948166</v>
      </c>
      <c r="I3420" s="21">
        <f t="shared" ca="1" si="583"/>
        <v>10392.572502602723</v>
      </c>
      <c r="J3420" s="20">
        <f t="shared" ca="1" si="592"/>
        <v>5</v>
      </c>
      <c r="K3420" s="20">
        <f t="shared" ca="1" si="584"/>
        <v>3</v>
      </c>
      <c r="L3420" s="44">
        <f t="shared" ca="1" si="589"/>
        <v>4</v>
      </c>
    </row>
    <row r="3421" spans="1:12" x14ac:dyDescent="0.25">
      <c r="A3421" s="20">
        <v>3413</v>
      </c>
      <c r="B3421" s="21">
        <f t="shared" ca="1" si="585"/>
        <v>7.6843945854352249</v>
      </c>
      <c r="C3421" s="21">
        <f t="shared" ca="1" si="590"/>
        <v>10384.910820655852</v>
      </c>
      <c r="D3421" s="21">
        <f t="shared" ca="1" si="586"/>
        <v>2.276525123217382</v>
      </c>
      <c r="E3421" s="21">
        <f t="shared" ca="1" si="593"/>
        <v>7.6616819468708854</v>
      </c>
      <c r="F3421" s="20" t="str">
        <f t="shared" ca="1" si="591"/>
        <v>No</v>
      </c>
      <c r="G3421" s="21">
        <f t="shared" ca="1" si="587"/>
        <v>0</v>
      </c>
      <c r="H3421" s="21">
        <f t="shared" ca="1" si="588"/>
        <v>10392.572502602723</v>
      </c>
      <c r="I3421" s="21">
        <f t="shared" ca="1" si="583"/>
        <v>10394.849027725941</v>
      </c>
      <c r="J3421" s="20">
        <f t="shared" ca="1" si="592"/>
        <v>4</v>
      </c>
      <c r="K3421" s="20">
        <f t="shared" ca="1" si="584"/>
        <v>5</v>
      </c>
      <c r="L3421" s="44">
        <f t="shared" ca="1" si="589"/>
        <v>4.5</v>
      </c>
    </row>
    <row r="3422" spans="1:12" x14ac:dyDescent="0.25">
      <c r="A3422" s="20">
        <v>3414</v>
      </c>
      <c r="B3422" s="21">
        <f t="shared" ca="1" si="585"/>
        <v>0.34979564250213724</v>
      </c>
      <c r="C3422" s="21">
        <f t="shared" ca="1" si="590"/>
        <v>10385.260616298354</v>
      </c>
      <c r="D3422" s="21">
        <f t="shared" ca="1" si="586"/>
        <v>2.796104737372485</v>
      </c>
      <c r="E3422" s="21">
        <f t="shared" ca="1" si="593"/>
        <v>9.5884114275868342</v>
      </c>
      <c r="F3422" s="20" t="str">
        <f t="shared" ca="1" si="591"/>
        <v>No</v>
      </c>
      <c r="G3422" s="21">
        <f t="shared" ca="1" si="587"/>
        <v>0</v>
      </c>
      <c r="H3422" s="21">
        <f t="shared" ca="1" si="588"/>
        <v>10394.849027725941</v>
      </c>
      <c r="I3422" s="21">
        <f t="shared" ca="1" si="583"/>
        <v>10397.645132463313</v>
      </c>
      <c r="J3422" s="20">
        <f t="shared" ca="1" si="592"/>
        <v>6</v>
      </c>
      <c r="K3422" s="20">
        <f t="shared" ca="1" si="584"/>
        <v>5</v>
      </c>
      <c r="L3422" s="44">
        <f t="shared" ca="1" si="589"/>
        <v>5.5</v>
      </c>
    </row>
    <row r="3423" spans="1:12" x14ac:dyDescent="0.25">
      <c r="A3423" s="20">
        <v>3415</v>
      </c>
      <c r="B3423" s="21">
        <f t="shared" ca="1" si="585"/>
        <v>4.5010924922738917</v>
      </c>
      <c r="C3423" s="21">
        <f t="shared" ca="1" si="590"/>
        <v>10389.761708790627</v>
      </c>
      <c r="D3423" s="21">
        <f t="shared" ca="1" si="586"/>
        <v>3.4842865282776216</v>
      </c>
      <c r="E3423" s="21">
        <f t="shared" ca="1" si="593"/>
        <v>7.8834236726852396</v>
      </c>
      <c r="F3423" s="20" t="str">
        <f t="shared" ca="1" si="591"/>
        <v>No</v>
      </c>
      <c r="G3423" s="21">
        <f t="shared" ca="1" si="587"/>
        <v>0</v>
      </c>
      <c r="H3423" s="21">
        <f t="shared" ca="1" si="588"/>
        <v>10397.645132463313</v>
      </c>
      <c r="I3423" s="21">
        <f t="shared" ca="1" si="583"/>
        <v>10401.12941899159</v>
      </c>
      <c r="J3423" s="20">
        <f t="shared" ca="1" si="592"/>
        <v>6</v>
      </c>
      <c r="K3423" s="20">
        <f t="shared" ca="1" si="584"/>
        <v>5</v>
      </c>
      <c r="L3423" s="44">
        <f t="shared" ca="1" si="589"/>
        <v>5.5</v>
      </c>
    </row>
    <row r="3424" spans="1:12" x14ac:dyDescent="0.25">
      <c r="A3424" s="20">
        <v>3416</v>
      </c>
      <c r="B3424" s="21">
        <f t="shared" ca="1" si="585"/>
        <v>3.2868291522575523</v>
      </c>
      <c r="C3424" s="21">
        <f t="shared" ca="1" si="590"/>
        <v>10393.048537942885</v>
      </c>
      <c r="D3424" s="21">
        <f t="shared" ca="1" si="586"/>
        <v>7.9654737088210512E-2</v>
      </c>
      <c r="E3424" s="21">
        <f t="shared" ca="1" si="593"/>
        <v>8.0808810487051232</v>
      </c>
      <c r="F3424" s="20" t="str">
        <f t="shared" ca="1" si="591"/>
        <v>No</v>
      </c>
      <c r="G3424" s="21">
        <f t="shared" ca="1" si="587"/>
        <v>0</v>
      </c>
      <c r="H3424" s="21">
        <f t="shared" ca="1" si="588"/>
        <v>10401.12941899159</v>
      </c>
      <c r="I3424" s="21">
        <f t="shared" ca="1" si="583"/>
        <v>10401.209073728678</v>
      </c>
      <c r="J3424" s="20">
        <f t="shared" ca="1" si="592"/>
        <v>6</v>
      </c>
      <c r="K3424" s="20">
        <f t="shared" ca="1" si="584"/>
        <v>4</v>
      </c>
      <c r="L3424" s="44">
        <f t="shared" ca="1" si="589"/>
        <v>5</v>
      </c>
    </row>
    <row r="3425" spans="1:12" x14ac:dyDescent="0.25">
      <c r="A3425" s="20">
        <v>3417</v>
      </c>
      <c r="B3425" s="21">
        <f t="shared" ca="1" si="585"/>
        <v>0.26309505259403676</v>
      </c>
      <c r="C3425" s="21">
        <f t="shared" ca="1" si="590"/>
        <v>10393.311632995479</v>
      </c>
      <c r="D3425" s="21">
        <f t="shared" ca="1" si="586"/>
        <v>0.82408019743729422</v>
      </c>
      <c r="E3425" s="21">
        <f t="shared" ca="1" si="593"/>
        <v>7.8974407331988914</v>
      </c>
      <c r="F3425" s="20" t="str">
        <f t="shared" ca="1" si="591"/>
        <v>No</v>
      </c>
      <c r="G3425" s="21">
        <f t="shared" ca="1" si="587"/>
        <v>0</v>
      </c>
      <c r="H3425" s="21">
        <f t="shared" ca="1" si="588"/>
        <v>10401.209073728678</v>
      </c>
      <c r="I3425" s="21">
        <f t="shared" ca="1" si="583"/>
        <v>10402.033153926115</v>
      </c>
      <c r="J3425" s="20">
        <f t="shared" ca="1" si="592"/>
        <v>5</v>
      </c>
      <c r="K3425" s="20">
        <f t="shared" ca="1" si="584"/>
        <v>3</v>
      </c>
      <c r="L3425" s="44">
        <f t="shared" ca="1" si="589"/>
        <v>4</v>
      </c>
    </row>
    <row r="3426" spans="1:12" x14ac:dyDescent="0.25">
      <c r="A3426" s="20">
        <v>3418</v>
      </c>
      <c r="B3426" s="21">
        <f t="shared" ca="1" si="585"/>
        <v>0.58373045771119314</v>
      </c>
      <c r="C3426" s="21">
        <f t="shared" ca="1" si="590"/>
        <v>10393.89536345319</v>
      </c>
      <c r="D3426" s="21">
        <f t="shared" ca="1" si="586"/>
        <v>9.7432292620915124</v>
      </c>
      <c r="E3426" s="21">
        <f t="shared" ca="1" si="593"/>
        <v>8.1377904729251895</v>
      </c>
      <c r="F3426" s="20" t="str">
        <f t="shared" ca="1" si="591"/>
        <v>No</v>
      </c>
      <c r="G3426" s="21">
        <f t="shared" ca="1" si="587"/>
        <v>0</v>
      </c>
      <c r="H3426" s="21">
        <f t="shared" ca="1" si="588"/>
        <v>10402.033153926115</v>
      </c>
      <c r="I3426" s="21">
        <f t="shared" ca="1" si="583"/>
        <v>10411.776383188206</v>
      </c>
      <c r="J3426" s="20">
        <f t="shared" ca="1" si="592"/>
        <v>4</v>
      </c>
      <c r="K3426" s="20">
        <f t="shared" ca="1" si="584"/>
        <v>3</v>
      </c>
      <c r="L3426" s="44">
        <f t="shared" ca="1" si="589"/>
        <v>3.5</v>
      </c>
    </row>
    <row r="3427" spans="1:12" x14ac:dyDescent="0.25">
      <c r="A3427" s="20">
        <v>3419</v>
      </c>
      <c r="B3427" s="21">
        <f t="shared" ca="1" si="585"/>
        <v>2.6308794332897198</v>
      </c>
      <c r="C3427" s="21">
        <f t="shared" ca="1" si="590"/>
        <v>10396.526242886479</v>
      </c>
      <c r="D3427" s="21">
        <f t="shared" ca="1" si="586"/>
        <v>3.45245182148442</v>
      </c>
      <c r="E3427" s="21">
        <f t="shared" ca="1" si="593"/>
        <v>15.250140301726788</v>
      </c>
      <c r="F3427" s="20" t="str">
        <f t="shared" ca="1" si="591"/>
        <v>No</v>
      </c>
      <c r="G3427" s="21">
        <f t="shared" ca="1" si="587"/>
        <v>0</v>
      </c>
      <c r="H3427" s="21">
        <f t="shared" ca="1" si="588"/>
        <v>10411.776383188206</v>
      </c>
      <c r="I3427" s="21">
        <f t="shared" ca="1" si="583"/>
        <v>10415.22883500969</v>
      </c>
      <c r="J3427" s="20">
        <f t="shared" ca="1" si="592"/>
        <v>4</v>
      </c>
      <c r="K3427" s="20">
        <f t="shared" ca="1" si="584"/>
        <v>3</v>
      </c>
      <c r="L3427" s="44">
        <f t="shared" ca="1" si="589"/>
        <v>3.5</v>
      </c>
    </row>
    <row r="3428" spans="1:12" x14ac:dyDescent="0.25">
      <c r="A3428" s="20">
        <v>3420</v>
      </c>
      <c r="B3428" s="21">
        <f t="shared" ca="1" si="585"/>
        <v>3.2522706492590459</v>
      </c>
      <c r="C3428" s="21">
        <f t="shared" ca="1" si="590"/>
        <v>10399.778513535737</v>
      </c>
      <c r="D3428" s="21">
        <f t="shared" ca="1" si="586"/>
        <v>0.17873992483573276</v>
      </c>
      <c r="E3428" s="21">
        <f t="shared" ca="1" si="593"/>
        <v>15.450321473952499</v>
      </c>
      <c r="F3428" s="20" t="str">
        <f t="shared" ca="1" si="591"/>
        <v>No</v>
      </c>
      <c r="G3428" s="21">
        <f t="shared" ca="1" si="587"/>
        <v>0</v>
      </c>
      <c r="H3428" s="21">
        <f t="shared" ca="1" si="588"/>
        <v>10415.22883500969</v>
      </c>
      <c r="I3428" s="21">
        <f t="shared" ca="1" si="583"/>
        <v>10415.407574934525</v>
      </c>
      <c r="J3428" s="20">
        <f t="shared" ca="1" si="592"/>
        <v>4</v>
      </c>
      <c r="K3428" s="20">
        <f t="shared" ca="1" si="584"/>
        <v>2</v>
      </c>
      <c r="L3428" s="44">
        <f t="shared" ca="1" si="589"/>
        <v>3</v>
      </c>
    </row>
    <row r="3429" spans="1:12" x14ac:dyDescent="0.25">
      <c r="A3429" s="20">
        <v>3421</v>
      </c>
      <c r="B3429" s="21">
        <f t="shared" ca="1" si="585"/>
        <v>11.800614310167671</v>
      </c>
      <c r="C3429" s="21">
        <f t="shared" ca="1" si="590"/>
        <v>10411.579127845906</v>
      </c>
      <c r="D3429" s="21">
        <f t="shared" ca="1" si="586"/>
        <v>7.0176194511182022</v>
      </c>
      <c r="E3429" s="21">
        <f t="shared" ca="1" si="593"/>
        <v>3.8284470886192139</v>
      </c>
      <c r="F3429" s="20" t="str">
        <f t="shared" ca="1" si="591"/>
        <v>No</v>
      </c>
      <c r="G3429" s="21">
        <f t="shared" ca="1" si="587"/>
        <v>0</v>
      </c>
      <c r="H3429" s="21">
        <f t="shared" ca="1" si="588"/>
        <v>10415.407574934525</v>
      </c>
      <c r="I3429" s="21">
        <f t="shared" ca="1" si="583"/>
        <v>10422.425194385643</v>
      </c>
      <c r="J3429" s="20">
        <f t="shared" ca="1" si="592"/>
        <v>3</v>
      </c>
      <c r="K3429" s="20">
        <f t="shared" ca="1" si="584"/>
        <v>1</v>
      </c>
      <c r="L3429" s="44">
        <f t="shared" ca="1" si="589"/>
        <v>2</v>
      </c>
    </row>
    <row r="3430" spans="1:12" x14ac:dyDescent="0.25">
      <c r="A3430" s="20">
        <v>3422</v>
      </c>
      <c r="B3430" s="21">
        <f t="shared" ca="1" si="585"/>
        <v>0.39415862169497751</v>
      </c>
      <c r="C3430" s="21">
        <f t="shared" ca="1" si="590"/>
        <v>10411.973286467601</v>
      </c>
      <c r="D3430" s="21">
        <f t="shared" ca="1" si="586"/>
        <v>2.6103956054468322</v>
      </c>
      <c r="E3430" s="21">
        <f t="shared" ca="1" si="593"/>
        <v>10.451907918042707</v>
      </c>
      <c r="F3430" s="20" t="str">
        <f t="shared" ca="1" si="591"/>
        <v>No</v>
      </c>
      <c r="G3430" s="21">
        <f t="shared" ca="1" si="587"/>
        <v>0</v>
      </c>
      <c r="H3430" s="21">
        <f t="shared" ca="1" si="588"/>
        <v>10422.425194385643</v>
      </c>
      <c r="I3430" s="21">
        <f t="shared" ca="1" si="583"/>
        <v>10425.03558999109</v>
      </c>
      <c r="J3430" s="20">
        <f t="shared" ca="1" si="592"/>
        <v>2</v>
      </c>
      <c r="K3430" s="20">
        <f t="shared" ca="1" si="584"/>
        <v>3</v>
      </c>
      <c r="L3430" s="44">
        <f t="shared" ca="1" si="589"/>
        <v>2.5</v>
      </c>
    </row>
    <row r="3431" spans="1:12" x14ac:dyDescent="0.25">
      <c r="A3431" s="20">
        <v>3423</v>
      </c>
      <c r="B3431" s="21">
        <f t="shared" ca="1" si="585"/>
        <v>10.541693034297523</v>
      </c>
      <c r="C3431" s="21">
        <f t="shared" ca="1" si="590"/>
        <v>10422.514979501899</v>
      </c>
      <c r="D3431" s="21">
        <f t="shared" ca="1" si="586"/>
        <v>6.6599224998822287E-2</v>
      </c>
      <c r="E3431" s="21">
        <f t="shared" ca="1" si="593"/>
        <v>2.5206104891913128</v>
      </c>
      <c r="F3431" s="20" t="str">
        <f t="shared" ca="1" si="591"/>
        <v>No</v>
      </c>
      <c r="G3431" s="21">
        <f t="shared" ca="1" si="587"/>
        <v>0</v>
      </c>
      <c r="H3431" s="21">
        <f t="shared" ca="1" si="588"/>
        <v>10425.03558999109</v>
      </c>
      <c r="I3431" s="21">
        <f t="shared" ca="1" si="583"/>
        <v>10425.10218921609</v>
      </c>
      <c r="J3431" s="20">
        <f t="shared" ca="1" si="592"/>
        <v>4</v>
      </c>
      <c r="K3431" s="20">
        <f t="shared" ca="1" si="584"/>
        <v>2</v>
      </c>
      <c r="L3431" s="44">
        <f t="shared" ca="1" si="589"/>
        <v>3</v>
      </c>
    </row>
    <row r="3432" spans="1:12" x14ac:dyDescent="0.25">
      <c r="A3432" s="20">
        <v>3424</v>
      </c>
      <c r="B3432" s="21">
        <f t="shared" ca="1" si="585"/>
        <v>0.47562869670219604</v>
      </c>
      <c r="C3432" s="21">
        <f t="shared" ca="1" si="590"/>
        <v>10422.990608198601</v>
      </c>
      <c r="D3432" s="21">
        <f t="shared" ca="1" si="586"/>
        <v>1.0232008833484472</v>
      </c>
      <c r="E3432" s="21">
        <f t="shared" ca="1" si="593"/>
        <v>2.1115810174887883</v>
      </c>
      <c r="F3432" s="20" t="str">
        <f t="shared" ca="1" si="591"/>
        <v>No</v>
      </c>
      <c r="G3432" s="21">
        <f t="shared" ca="1" si="587"/>
        <v>0</v>
      </c>
      <c r="H3432" s="21">
        <f t="shared" ca="1" si="588"/>
        <v>10425.10218921609</v>
      </c>
      <c r="I3432" s="21">
        <f t="shared" ca="1" si="583"/>
        <v>10426.125390099438</v>
      </c>
      <c r="J3432" s="20">
        <f t="shared" ca="1" si="592"/>
        <v>3</v>
      </c>
      <c r="K3432" s="20">
        <f t="shared" ca="1" si="584"/>
        <v>2</v>
      </c>
      <c r="L3432" s="44">
        <f t="shared" ca="1" si="589"/>
        <v>2.5</v>
      </c>
    </row>
    <row r="3433" spans="1:12" x14ac:dyDescent="0.25">
      <c r="A3433" s="20">
        <v>3425</v>
      </c>
      <c r="B3433" s="21">
        <f t="shared" ca="1" si="585"/>
        <v>0.93820406560132652</v>
      </c>
      <c r="C3433" s="21">
        <f t="shared" ca="1" si="590"/>
        <v>10423.928812264203</v>
      </c>
      <c r="D3433" s="21">
        <f t="shared" ca="1" si="586"/>
        <v>0.88065696573134356</v>
      </c>
      <c r="E3433" s="21">
        <f t="shared" ca="1" si="593"/>
        <v>2.1965778352350753</v>
      </c>
      <c r="F3433" s="20" t="str">
        <f t="shared" ca="1" si="591"/>
        <v>No</v>
      </c>
      <c r="G3433" s="21">
        <f t="shared" ca="1" si="587"/>
        <v>0</v>
      </c>
      <c r="H3433" s="21">
        <f t="shared" ca="1" si="588"/>
        <v>10426.125390099438</v>
      </c>
      <c r="I3433" s="21">
        <f t="shared" ca="1" si="583"/>
        <v>10427.00604706517</v>
      </c>
      <c r="J3433" s="20">
        <f t="shared" ca="1" si="592"/>
        <v>3</v>
      </c>
      <c r="K3433" s="20">
        <f t="shared" ca="1" si="584"/>
        <v>1</v>
      </c>
      <c r="L3433" s="44">
        <f t="shared" ca="1" si="589"/>
        <v>2</v>
      </c>
    </row>
    <row r="3434" spans="1:12" x14ac:dyDescent="0.25">
      <c r="A3434" s="20">
        <v>3426</v>
      </c>
      <c r="B3434" s="21">
        <f t="shared" ca="1" si="585"/>
        <v>1.4288240132847105</v>
      </c>
      <c r="C3434" s="21">
        <f t="shared" ca="1" si="590"/>
        <v>10425.357636277487</v>
      </c>
      <c r="D3434" s="21">
        <f t="shared" ca="1" si="586"/>
        <v>2.5211017706217977</v>
      </c>
      <c r="E3434" s="21">
        <f t="shared" ca="1" si="593"/>
        <v>1.6484107876822236</v>
      </c>
      <c r="F3434" s="20" t="str">
        <f t="shared" ca="1" si="591"/>
        <v>No</v>
      </c>
      <c r="G3434" s="21">
        <f t="shared" ca="1" si="587"/>
        <v>0</v>
      </c>
      <c r="H3434" s="21">
        <f t="shared" ca="1" si="588"/>
        <v>10427.00604706517</v>
      </c>
      <c r="I3434" s="21">
        <f t="shared" ca="1" si="583"/>
        <v>10429.527148835792</v>
      </c>
      <c r="J3434" s="20">
        <f t="shared" ca="1" si="592"/>
        <v>2</v>
      </c>
      <c r="K3434" s="20">
        <f t="shared" ca="1" si="584"/>
        <v>1</v>
      </c>
      <c r="L3434" s="44">
        <f t="shared" ca="1" si="589"/>
        <v>1.5</v>
      </c>
    </row>
    <row r="3435" spans="1:12" x14ac:dyDescent="0.25">
      <c r="A3435" s="20">
        <v>3427</v>
      </c>
      <c r="B3435" s="21">
        <f t="shared" ca="1" si="585"/>
        <v>2.3116449958381788</v>
      </c>
      <c r="C3435" s="21">
        <f t="shared" ca="1" si="590"/>
        <v>10427.669281273325</v>
      </c>
      <c r="D3435" s="21">
        <f t="shared" ca="1" si="586"/>
        <v>2.6720238608837596</v>
      </c>
      <c r="E3435" s="21">
        <f t="shared" ca="1" si="593"/>
        <v>1.8578675624667085</v>
      </c>
      <c r="F3435" s="20" t="str">
        <f t="shared" ca="1" si="591"/>
        <v>No</v>
      </c>
      <c r="G3435" s="21">
        <f t="shared" ca="1" si="587"/>
        <v>0</v>
      </c>
      <c r="H3435" s="21">
        <f t="shared" ca="1" si="588"/>
        <v>10429.527148835792</v>
      </c>
      <c r="I3435" s="21">
        <f t="shared" ca="1" si="583"/>
        <v>10432.199172696675</v>
      </c>
      <c r="J3435" s="20">
        <f t="shared" ca="1" si="592"/>
        <v>2</v>
      </c>
      <c r="K3435" s="20">
        <f t="shared" ca="1" si="584"/>
        <v>2</v>
      </c>
      <c r="L3435" s="44">
        <f t="shared" ca="1" si="589"/>
        <v>2</v>
      </c>
    </row>
    <row r="3436" spans="1:12" x14ac:dyDescent="0.25">
      <c r="A3436" s="20">
        <v>3428</v>
      </c>
      <c r="B3436" s="21">
        <f t="shared" ca="1" si="585"/>
        <v>2.6554284969733555</v>
      </c>
      <c r="C3436" s="21">
        <f t="shared" ca="1" si="590"/>
        <v>10430.324709770299</v>
      </c>
      <c r="D3436" s="21">
        <f t="shared" ca="1" si="586"/>
        <v>1.9117578543572056</v>
      </c>
      <c r="E3436" s="21">
        <f t="shared" ca="1" si="593"/>
        <v>1.8744629263765091</v>
      </c>
      <c r="F3436" s="20" t="str">
        <f t="shared" ca="1" si="591"/>
        <v>No</v>
      </c>
      <c r="G3436" s="21">
        <f t="shared" ca="1" si="587"/>
        <v>0</v>
      </c>
      <c r="H3436" s="21">
        <f t="shared" ca="1" si="588"/>
        <v>10432.199172696675</v>
      </c>
      <c r="I3436" s="21">
        <f t="shared" ca="1" si="583"/>
        <v>10434.110930551033</v>
      </c>
      <c r="J3436" s="20">
        <f t="shared" ca="1" si="592"/>
        <v>3</v>
      </c>
      <c r="K3436" s="20">
        <f t="shared" ca="1" si="584"/>
        <v>2</v>
      </c>
      <c r="L3436" s="44">
        <f t="shared" ca="1" si="589"/>
        <v>2.5</v>
      </c>
    </row>
    <row r="3437" spans="1:12" x14ac:dyDescent="0.25">
      <c r="A3437" s="20">
        <v>3429</v>
      </c>
      <c r="B3437" s="21">
        <f t="shared" ca="1" si="585"/>
        <v>4.4475190653448064E-2</v>
      </c>
      <c r="C3437" s="21">
        <f t="shared" ca="1" si="590"/>
        <v>10430.369184960953</v>
      </c>
      <c r="D3437" s="21">
        <f t="shared" ca="1" si="586"/>
        <v>0.58148160453414055</v>
      </c>
      <c r="E3437" s="21">
        <f t="shared" ca="1" si="593"/>
        <v>3.7417455900795176</v>
      </c>
      <c r="F3437" s="20" t="str">
        <f t="shared" ca="1" si="591"/>
        <v>No</v>
      </c>
      <c r="G3437" s="21">
        <f t="shared" ca="1" si="587"/>
        <v>0</v>
      </c>
      <c r="H3437" s="21">
        <f t="shared" ca="1" si="588"/>
        <v>10434.110930551033</v>
      </c>
      <c r="I3437" s="21">
        <f t="shared" ca="1" si="583"/>
        <v>10434.692412155568</v>
      </c>
      <c r="J3437" s="20">
        <f t="shared" ca="1" si="592"/>
        <v>3</v>
      </c>
      <c r="K3437" s="20">
        <f t="shared" ca="1" si="584"/>
        <v>2</v>
      </c>
      <c r="L3437" s="44">
        <f t="shared" ca="1" si="589"/>
        <v>2.5</v>
      </c>
    </row>
    <row r="3438" spans="1:12" x14ac:dyDescent="0.25">
      <c r="A3438" s="20">
        <v>3430</v>
      </c>
      <c r="B3438" s="21">
        <f t="shared" ca="1" si="585"/>
        <v>3.5080298864583348</v>
      </c>
      <c r="C3438" s="21">
        <f t="shared" ca="1" si="590"/>
        <v>10433.877214847411</v>
      </c>
      <c r="D3438" s="21">
        <f t="shared" ca="1" si="586"/>
        <v>4.7596363740232723</v>
      </c>
      <c r="E3438" s="21">
        <f t="shared" ca="1" si="593"/>
        <v>0.8151973081567121</v>
      </c>
      <c r="F3438" s="20" t="str">
        <f t="shared" ca="1" si="591"/>
        <v>No</v>
      </c>
      <c r="G3438" s="21">
        <f t="shared" ca="1" si="587"/>
        <v>0</v>
      </c>
      <c r="H3438" s="21">
        <f t="shared" ca="1" si="588"/>
        <v>10434.692412155568</v>
      </c>
      <c r="I3438" s="21">
        <f t="shared" ca="1" si="583"/>
        <v>10439.452048529591</v>
      </c>
      <c r="J3438" s="20">
        <f t="shared" ca="1" si="592"/>
        <v>3</v>
      </c>
      <c r="K3438" s="20">
        <f t="shared" ca="1" si="584"/>
        <v>2</v>
      </c>
      <c r="L3438" s="44">
        <f t="shared" ca="1" si="589"/>
        <v>2.5</v>
      </c>
    </row>
    <row r="3439" spans="1:12" x14ac:dyDescent="0.25">
      <c r="A3439" s="20">
        <v>3431</v>
      </c>
      <c r="B3439" s="21">
        <f t="shared" ca="1" si="585"/>
        <v>0.66586388842476485</v>
      </c>
      <c r="C3439" s="21">
        <f t="shared" ca="1" si="590"/>
        <v>10434.543078735836</v>
      </c>
      <c r="D3439" s="21">
        <f t="shared" ca="1" si="586"/>
        <v>0.38309949457493969</v>
      </c>
      <c r="E3439" s="21">
        <f t="shared" ca="1" si="593"/>
        <v>4.9089697937542951</v>
      </c>
      <c r="F3439" s="20" t="str">
        <f t="shared" ca="1" si="591"/>
        <v>No</v>
      </c>
      <c r="G3439" s="21">
        <f t="shared" ca="1" si="587"/>
        <v>0</v>
      </c>
      <c r="H3439" s="21">
        <f t="shared" ca="1" si="588"/>
        <v>10439.452048529591</v>
      </c>
      <c r="I3439" s="21">
        <f t="shared" ca="1" si="583"/>
        <v>10439.835148024165</v>
      </c>
      <c r="J3439" s="20">
        <f t="shared" ca="1" si="592"/>
        <v>3</v>
      </c>
      <c r="K3439" s="20">
        <f t="shared" ca="1" si="584"/>
        <v>2</v>
      </c>
      <c r="L3439" s="44">
        <f t="shared" ca="1" si="589"/>
        <v>2.5</v>
      </c>
    </row>
    <row r="3440" spans="1:12" x14ac:dyDescent="0.25">
      <c r="A3440" s="20">
        <v>3432</v>
      </c>
      <c r="B3440" s="21">
        <f t="shared" ca="1" si="585"/>
        <v>2.2732878378661412</v>
      </c>
      <c r="C3440" s="21">
        <f t="shared" ca="1" si="590"/>
        <v>10436.816366573703</v>
      </c>
      <c r="D3440" s="21">
        <f t="shared" ca="1" si="586"/>
        <v>1.5511834883567579</v>
      </c>
      <c r="E3440" s="21">
        <f t="shared" ca="1" si="593"/>
        <v>3.0187814504624839</v>
      </c>
      <c r="F3440" s="20" t="str">
        <f t="shared" ca="1" si="591"/>
        <v>No</v>
      </c>
      <c r="G3440" s="21">
        <f t="shared" ca="1" si="587"/>
        <v>0</v>
      </c>
      <c r="H3440" s="21">
        <f t="shared" ca="1" si="588"/>
        <v>10439.835148024165</v>
      </c>
      <c r="I3440" s="21">
        <f t="shared" ca="1" si="583"/>
        <v>10441.386331512522</v>
      </c>
      <c r="J3440" s="20">
        <f t="shared" ca="1" si="592"/>
        <v>3</v>
      </c>
      <c r="K3440" s="20">
        <f t="shared" ca="1" si="584"/>
        <v>1</v>
      </c>
      <c r="L3440" s="44">
        <f t="shared" ca="1" si="589"/>
        <v>2</v>
      </c>
    </row>
    <row r="3441" spans="1:12" x14ac:dyDescent="0.25">
      <c r="A3441" s="20">
        <v>3433</v>
      </c>
      <c r="B3441" s="21">
        <f t="shared" ca="1" si="585"/>
        <v>2.9158593850071055</v>
      </c>
      <c r="C3441" s="21">
        <f t="shared" ca="1" si="590"/>
        <v>10439.732225958711</v>
      </c>
      <c r="D3441" s="21">
        <f t="shared" ca="1" si="586"/>
        <v>1.8390867402095172</v>
      </c>
      <c r="E3441" s="21">
        <f t="shared" ca="1" si="593"/>
        <v>1.6541055538109504</v>
      </c>
      <c r="F3441" s="20" t="str">
        <f t="shared" ca="1" si="591"/>
        <v>No</v>
      </c>
      <c r="G3441" s="21">
        <f t="shared" ca="1" si="587"/>
        <v>0</v>
      </c>
      <c r="H3441" s="21">
        <f t="shared" ca="1" si="588"/>
        <v>10441.386331512522</v>
      </c>
      <c r="I3441" s="21">
        <f t="shared" ca="1" si="583"/>
        <v>10443.225418252732</v>
      </c>
      <c r="J3441" s="20">
        <f t="shared" ca="1" si="592"/>
        <v>2</v>
      </c>
      <c r="K3441" s="20">
        <f t="shared" ca="1" si="584"/>
        <v>2</v>
      </c>
      <c r="L3441" s="44">
        <f t="shared" ca="1" si="589"/>
        <v>2</v>
      </c>
    </row>
    <row r="3442" spans="1:12" x14ac:dyDescent="0.25">
      <c r="A3442" s="20">
        <v>3434</v>
      </c>
      <c r="B3442" s="21">
        <f t="shared" ca="1" si="585"/>
        <v>1.7941041991897189</v>
      </c>
      <c r="C3442" s="21">
        <f t="shared" ca="1" si="590"/>
        <v>10441.5263301579</v>
      </c>
      <c r="D3442" s="21">
        <f t="shared" ca="1" si="586"/>
        <v>0.43253661945710897</v>
      </c>
      <c r="E3442" s="21">
        <f t="shared" ca="1" si="593"/>
        <v>1.6990880948324047</v>
      </c>
      <c r="F3442" s="20" t="str">
        <f t="shared" ca="1" si="591"/>
        <v>No</v>
      </c>
      <c r="G3442" s="21">
        <f t="shared" ca="1" si="587"/>
        <v>0</v>
      </c>
      <c r="H3442" s="21">
        <f t="shared" ca="1" si="588"/>
        <v>10443.225418252732</v>
      </c>
      <c r="I3442" s="21">
        <f t="shared" ca="1" si="583"/>
        <v>10443.657954872189</v>
      </c>
      <c r="J3442" s="20">
        <f t="shared" ca="1" si="592"/>
        <v>3</v>
      </c>
      <c r="K3442" s="20">
        <f t="shared" ca="1" si="584"/>
        <v>1</v>
      </c>
      <c r="L3442" s="44">
        <f t="shared" ca="1" si="589"/>
        <v>2</v>
      </c>
    </row>
    <row r="3443" spans="1:12" x14ac:dyDescent="0.25">
      <c r="A3443" s="20">
        <v>3435</v>
      </c>
      <c r="B3443" s="21">
        <f t="shared" ca="1" si="585"/>
        <v>0.36638085410547044</v>
      </c>
      <c r="C3443" s="21">
        <f t="shared" ca="1" si="590"/>
        <v>10441.892711012006</v>
      </c>
      <c r="D3443" s="21">
        <f t="shared" ca="1" si="586"/>
        <v>0.68623185495676198</v>
      </c>
      <c r="E3443" s="21">
        <f t="shared" ca="1" si="593"/>
        <v>1.7652438601835456</v>
      </c>
      <c r="F3443" s="20" t="str">
        <f t="shared" ca="1" si="591"/>
        <v>No</v>
      </c>
      <c r="G3443" s="21">
        <f t="shared" ca="1" si="587"/>
        <v>0</v>
      </c>
      <c r="H3443" s="21">
        <f t="shared" ca="1" si="588"/>
        <v>10443.657954872189</v>
      </c>
      <c r="I3443" s="21">
        <f t="shared" ca="1" si="583"/>
        <v>10444.344186727147</v>
      </c>
      <c r="J3443" s="20">
        <f t="shared" ca="1" si="592"/>
        <v>2</v>
      </c>
      <c r="K3443" s="20">
        <f t="shared" ca="1" si="584"/>
        <v>0</v>
      </c>
      <c r="L3443" s="44">
        <f t="shared" ca="1" si="589"/>
        <v>1</v>
      </c>
    </row>
    <row r="3444" spans="1:12" x14ac:dyDescent="0.25">
      <c r="A3444" s="20">
        <v>3436</v>
      </c>
      <c r="B3444" s="21">
        <f t="shared" ca="1" si="585"/>
        <v>6.174868919578139</v>
      </c>
      <c r="C3444" s="21">
        <f t="shared" ca="1" si="590"/>
        <v>10448.067579931583</v>
      </c>
      <c r="D3444" s="21">
        <f t="shared" ca="1" si="586"/>
        <v>1.8533347518650949</v>
      </c>
      <c r="E3444" s="21">
        <f t="shared" ca="1" si="593"/>
        <v>0</v>
      </c>
      <c r="F3444" s="20" t="str">
        <f t="shared" ca="1" si="591"/>
        <v>Yes</v>
      </c>
      <c r="G3444" s="21">
        <f t="shared" ca="1" si="587"/>
        <v>3.7233932044364337</v>
      </c>
      <c r="H3444" s="21">
        <f t="shared" ca="1" si="588"/>
        <v>10448.067579931583</v>
      </c>
      <c r="I3444" s="21">
        <f t="shared" ca="1" si="583"/>
        <v>10449.920914683449</v>
      </c>
      <c r="J3444" s="20">
        <f t="shared" ca="1" si="592"/>
        <v>0</v>
      </c>
      <c r="K3444" s="20">
        <f t="shared" ca="1" si="584"/>
        <v>1</v>
      </c>
      <c r="L3444" s="44">
        <f t="shared" ca="1" si="589"/>
        <v>0.5</v>
      </c>
    </row>
    <row r="3445" spans="1:12" x14ac:dyDescent="0.25">
      <c r="A3445" s="20">
        <v>3437</v>
      </c>
      <c r="B3445" s="21">
        <f t="shared" ca="1" si="585"/>
        <v>1.1581904238428335</v>
      </c>
      <c r="C3445" s="21">
        <f t="shared" ca="1" si="590"/>
        <v>10449.225770355426</v>
      </c>
      <c r="D3445" s="21">
        <f t="shared" ca="1" si="586"/>
        <v>0.14350680741676683</v>
      </c>
      <c r="E3445" s="21">
        <f t="shared" ca="1" si="593"/>
        <v>0.69514432802316151</v>
      </c>
      <c r="F3445" s="20" t="str">
        <f t="shared" ca="1" si="591"/>
        <v>No</v>
      </c>
      <c r="G3445" s="21">
        <f t="shared" ca="1" si="587"/>
        <v>0</v>
      </c>
      <c r="H3445" s="21">
        <f t="shared" ca="1" si="588"/>
        <v>10449.920914683449</v>
      </c>
      <c r="I3445" s="21">
        <f t="shared" ca="1" si="583"/>
        <v>10450.064421490866</v>
      </c>
      <c r="J3445" s="20">
        <f t="shared" ca="1" si="592"/>
        <v>2</v>
      </c>
      <c r="K3445" s="20">
        <f t="shared" ca="1" si="584"/>
        <v>0</v>
      </c>
      <c r="L3445" s="44">
        <f t="shared" ca="1" si="589"/>
        <v>1</v>
      </c>
    </row>
    <row r="3446" spans="1:12" x14ac:dyDescent="0.25">
      <c r="A3446" s="20">
        <v>3438</v>
      </c>
      <c r="B3446" s="21">
        <f t="shared" ca="1" si="585"/>
        <v>2.9125471796352582</v>
      </c>
      <c r="C3446" s="21">
        <f t="shared" ca="1" si="590"/>
        <v>10452.138317535062</v>
      </c>
      <c r="D3446" s="21">
        <f t="shared" ca="1" si="586"/>
        <v>17.572104770731496</v>
      </c>
      <c r="E3446" s="21">
        <f t="shared" ca="1" si="593"/>
        <v>0</v>
      </c>
      <c r="F3446" s="20" t="str">
        <f t="shared" ca="1" si="591"/>
        <v>Yes</v>
      </c>
      <c r="G3446" s="21">
        <f t="shared" ca="1" si="587"/>
        <v>2.0738960441958625</v>
      </c>
      <c r="H3446" s="21">
        <f t="shared" ca="1" si="588"/>
        <v>10452.138317535062</v>
      </c>
      <c r="I3446" s="21">
        <f t="shared" ca="1" si="583"/>
        <v>10469.710422305794</v>
      </c>
      <c r="J3446" s="20">
        <f t="shared" ca="1" si="592"/>
        <v>0</v>
      </c>
      <c r="K3446" s="20">
        <f t="shared" ca="1" si="584"/>
        <v>5</v>
      </c>
      <c r="L3446" s="44">
        <f t="shared" ca="1" si="589"/>
        <v>2.5</v>
      </c>
    </row>
    <row r="3447" spans="1:12" x14ac:dyDescent="0.25">
      <c r="A3447" s="20">
        <v>3439</v>
      </c>
      <c r="B3447" s="21">
        <f t="shared" ca="1" si="585"/>
        <v>2.6048044443819798</v>
      </c>
      <c r="C3447" s="21">
        <f t="shared" ca="1" si="590"/>
        <v>10454.743121979443</v>
      </c>
      <c r="D3447" s="21">
        <f t="shared" ca="1" si="586"/>
        <v>5.6112699989611929</v>
      </c>
      <c r="E3447" s="21">
        <f t="shared" ca="1" si="593"/>
        <v>14.967300326350596</v>
      </c>
      <c r="F3447" s="20" t="str">
        <f t="shared" ca="1" si="591"/>
        <v>No</v>
      </c>
      <c r="G3447" s="21">
        <f t="shared" ca="1" si="587"/>
        <v>0</v>
      </c>
      <c r="H3447" s="21">
        <f t="shared" ca="1" si="588"/>
        <v>10469.710422305794</v>
      </c>
      <c r="I3447" s="21">
        <f t="shared" ca="1" si="583"/>
        <v>10475.321692304755</v>
      </c>
      <c r="J3447" s="20">
        <f t="shared" ca="1" si="592"/>
        <v>6</v>
      </c>
      <c r="K3447" s="20">
        <f t="shared" ca="1" si="584"/>
        <v>5</v>
      </c>
      <c r="L3447" s="44">
        <f t="shared" ca="1" si="589"/>
        <v>5.5</v>
      </c>
    </row>
    <row r="3448" spans="1:12" x14ac:dyDescent="0.25">
      <c r="A3448" s="20">
        <v>3440</v>
      </c>
      <c r="B3448" s="21">
        <f t="shared" ca="1" si="585"/>
        <v>5.0027614539856398</v>
      </c>
      <c r="C3448" s="21">
        <f t="shared" ca="1" si="590"/>
        <v>10459.745883433428</v>
      </c>
      <c r="D3448" s="21">
        <f t="shared" ca="1" si="586"/>
        <v>0.86536623776536903</v>
      </c>
      <c r="E3448" s="21">
        <f t="shared" ca="1" si="593"/>
        <v>15.575808871326444</v>
      </c>
      <c r="F3448" s="20" t="str">
        <f t="shared" ca="1" si="591"/>
        <v>No</v>
      </c>
      <c r="G3448" s="21">
        <f t="shared" ca="1" si="587"/>
        <v>0</v>
      </c>
      <c r="H3448" s="21">
        <f t="shared" ca="1" si="588"/>
        <v>10475.321692304755</v>
      </c>
      <c r="I3448" s="21">
        <f t="shared" ca="1" si="583"/>
        <v>10476.18705854252</v>
      </c>
      <c r="J3448" s="20">
        <f t="shared" ca="1" si="592"/>
        <v>6</v>
      </c>
      <c r="K3448" s="20">
        <f t="shared" ca="1" si="584"/>
        <v>5</v>
      </c>
      <c r="L3448" s="44">
        <f t="shared" ca="1" si="589"/>
        <v>5.5</v>
      </c>
    </row>
    <row r="3449" spans="1:12" x14ac:dyDescent="0.25">
      <c r="A3449" s="20">
        <v>3441</v>
      </c>
      <c r="B3449" s="21">
        <f t="shared" ca="1" si="585"/>
        <v>3.6159329729339627</v>
      </c>
      <c r="C3449" s="21">
        <f t="shared" ca="1" si="590"/>
        <v>10463.361816406363</v>
      </c>
      <c r="D3449" s="21">
        <f t="shared" ca="1" si="586"/>
        <v>1.5378117997290925</v>
      </c>
      <c r="E3449" s="21">
        <f t="shared" ca="1" si="593"/>
        <v>12.825242136157613</v>
      </c>
      <c r="F3449" s="20" t="str">
        <f t="shared" ca="1" si="591"/>
        <v>No</v>
      </c>
      <c r="G3449" s="21">
        <f t="shared" ca="1" si="587"/>
        <v>0</v>
      </c>
      <c r="H3449" s="21">
        <f t="shared" ca="1" si="588"/>
        <v>10476.18705854252</v>
      </c>
      <c r="I3449" s="21">
        <f t="shared" ca="1" si="583"/>
        <v>10477.72487034225</v>
      </c>
      <c r="J3449" s="20">
        <f t="shared" ca="1" si="592"/>
        <v>6</v>
      </c>
      <c r="K3449" s="20">
        <f t="shared" ca="1" si="584"/>
        <v>5</v>
      </c>
      <c r="L3449" s="44">
        <f t="shared" ca="1" si="589"/>
        <v>5.5</v>
      </c>
    </row>
    <row r="3450" spans="1:12" x14ac:dyDescent="0.25">
      <c r="A3450" s="20">
        <v>3442</v>
      </c>
      <c r="B3450" s="21">
        <f t="shared" ca="1" si="585"/>
        <v>0.30719202068478157</v>
      </c>
      <c r="C3450" s="21">
        <f t="shared" ca="1" si="590"/>
        <v>10463.669008427047</v>
      </c>
      <c r="D3450" s="21">
        <f t="shared" ca="1" si="586"/>
        <v>1.9378124142116411</v>
      </c>
      <c r="E3450" s="21">
        <f t="shared" ca="1" si="593"/>
        <v>14.055861915203423</v>
      </c>
      <c r="F3450" s="20" t="str">
        <f t="shared" ca="1" si="591"/>
        <v>No</v>
      </c>
      <c r="G3450" s="21">
        <f t="shared" ca="1" si="587"/>
        <v>0</v>
      </c>
      <c r="H3450" s="21">
        <f t="shared" ca="1" si="588"/>
        <v>10477.72487034225</v>
      </c>
      <c r="I3450" s="21">
        <f t="shared" ca="1" si="583"/>
        <v>10479.662682756461</v>
      </c>
      <c r="J3450" s="20">
        <f t="shared" ca="1" si="592"/>
        <v>6</v>
      </c>
      <c r="K3450" s="20">
        <f t="shared" ca="1" si="584"/>
        <v>5</v>
      </c>
      <c r="L3450" s="44">
        <f t="shared" ca="1" si="589"/>
        <v>5.5</v>
      </c>
    </row>
    <row r="3451" spans="1:12" x14ac:dyDescent="0.25">
      <c r="A3451" s="20">
        <v>3443</v>
      </c>
      <c r="B3451" s="21">
        <f t="shared" ca="1" si="585"/>
        <v>8.9613236375150868E-2</v>
      </c>
      <c r="C3451" s="21">
        <f t="shared" ca="1" si="590"/>
        <v>10463.758621663423</v>
      </c>
      <c r="D3451" s="21">
        <f t="shared" ca="1" si="586"/>
        <v>3.9546642140408297</v>
      </c>
      <c r="E3451" s="21">
        <f t="shared" ca="1" si="593"/>
        <v>15.904061093038763</v>
      </c>
      <c r="F3451" s="20" t="str">
        <f t="shared" ca="1" si="591"/>
        <v>No</v>
      </c>
      <c r="G3451" s="21">
        <f t="shared" ca="1" si="587"/>
        <v>0</v>
      </c>
      <c r="H3451" s="21">
        <f t="shared" ca="1" si="588"/>
        <v>10479.662682756461</v>
      </c>
      <c r="I3451" s="21">
        <f t="shared" ca="1" si="583"/>
        <v>10483.617346970503</v>
      </c>
      <c r="J3451" s="20">
        <f t="shared" ca="1" si="592"/>
        <v>6</v>
      </c>
      <c r="K3451" s="20">
        <f t="shared" ca="1" si="584"/>
        <v>5</v>
      </c>
      <c r="L3451" s="44">
        <f t="shared" ca="1" si="589"/>
        <v>5.5</v>
      </c>
    </row>
    <row r="3452" spans="1:12" x14ac:dyDescent="0.25">
      <c r="A3452" s="20">
        <v>3444</v>
      </c>
      <c r="B3452" s="21">
        <f t="shared" ca="1" si="585"/>
        <v>3.3387114534991604</v>
      </c>
      <c r="C3452" s="21">
        <f t="shared" ca="1" si="590"/>
        <v>10467.097333116923</v>
      </c>
      <c r="D3452" s="21">
        <f t="shared" ca="1" si="586"/>
        <v>1.4285812041808366</v>
      </c>
      <c r="E3452" s="21">
        <f t="shared" ca="1" si="593"/>
        <v>16.520013853580167</v>
      </c>
      <c r="F3452" s="20" t="str">
        <f t="shared" ca="1" si="591"/>
        <v>No</v>
      </c>
      <c r="G3452" s="21">
        <f t="shared" ca="1" si="587"/>
        <v>0</v>
      </c>
      <c r="H3452" s="21">
        <f t="shared" ca="1" si="588"/>
        <v>10483.617346970503</v>
      </c>
      <c r="I3452" s="21">
        <f t="shared" ca="1" si="583"/>
        <v>10485.045928174684</v>
      </c>
      <c r="J3452" s="20">
        <f t="shared" ca="1" si="592"/>
        <v>6</v>
      </c>
      <c r="K3452" s="20">
        <f t="shared" ca="1" si="584"/>
        <v>4</v>
      </c>
      <c r="L3452" s="44">
        <f t="shared" ca="1" si="589"/>
        <v>5</v>
      </c>
    </row>
    <row r="3453" spans="1:12" x14ac:dyDescent="0.25">
      <c r="A3453" s="20">
        <v>3445</v>
      </c>
      <c r="B3453" s="21">
        <f t="shared" ca="1" si="585"/>
        <v>4.6583377633329892</v>
      </c>
      <c r="C3453" s="21">
        <f t="shared" ca="1" si="590"/>
        <v>10471.755670880255</v>
      </c>
      <c r="D3453" s="21">
        <f t="shared" ca="1" si="586"/>
        <v>8.5897440912055831</v>
      </c>
      <c r="E3453" s="21">
        <f t="shared" ca="1" si="593"/>
        <v>13.290257294429466</v>
      </c>
      <c r="F3453" s="20" t="str">
        <f t="shared" ca="1" si="591"/>
        <v>No</v>
      </c>
      <c r="G3453" s="21">
        <f t="shared" ca="1" si="587"/>
        <v>0</v>
      </c>
      <c r="H3453" s="21">
        <f t="shared" ca="1" si="588"/>
        <v>10485.045928174684</v>
      </c>
      <c r="I3453" s="21">
        <f t="shared" ca="1" si="583"/>
        <v>10493.635672265889</v>
      </c>
      <c r="J3453" s="20">
        <f t="shared" ca="1" si="592"/>
        <v>5</v>
      </c>
      <c r="K3453" s="20">
        <f t="shared" ca="1" si="584"/>
        <v>5</v>
      </c>
      <c r="L3453" s="44">
        <f t="shared" ca="1" si="589"/>
        <v>5</v>
      </c>
    </row>
    <row r="3454" spans="1:12" x14ac:dyDescent="0.25">
      <c r="A3454" s="20">
        <v>3446</v>
      </c>
      <c r="B3454" s="21">
        <f t="shared" ca="1" si="585"/>
        <v>0.69102135451200153</v>
      </c>
      <c r="C3454" s="21">
        <f t="shared" ca="1" si="590"/>
        <v>10472.446692234767</v>
      </c>
      <c r="D3454" s="21">
        <f t="shared" ca="1" si="586"/>
        <v>0.75948668554244481</v>
      </c>
      <c r="E3454" s="21">
        <f t="shared" ca="1" si="593"/>
        <v>21.188980031121901</v>
      </c>
      <c r="F3454" s="20" t="str">
        <f t="shared" ca="1" si="591"/>
        <v>No</v>
      </c>
      <c r="G3454" s="21">
        <f t="shared" ca="1" si="587"/>
        <v>0</v>
      </c>
      <c r="H3454" s="21">
        <f t="shared" ca="1" si="588"/>
        <v>10493.635672265889</v>
      </c>
      <c r="I3454" s="21">
        <f t="shared" ca="1" si="583"/>
        <v>10494.395158951431</v>
      </c>
      <c r="J3454" s="20">
        <f t="shared" ca="1" si="592"/>
        <v>6</v>
      </c>
      <c r="K3454" s="20">
        <f t="shared" ca="1" si="584"/>
        <v>5</v>
      </c>
      <c r="L3454" s="44">
        <f t="shared" ca="1" si="589"/>
        <v>5.5</v>
      </c>
    </row>
    <row r="3455" spans="1:12" x14ac:dyDescent="0.25">
      <c r="A3455" s="20">
        <v>3447</v>
      </c>
      <c r="B3455" s="21">
        <f t="shared" ca="1" si="585"/>
        <v>3.1307642193520557</v>
      </c>
      <c r="C3455" s="21">
        <f t="shared" ca="1" si="590"/>
        <v>10475.577456454119</v>
      </c>
      <c r="D3455" s="21">
        <f t="shared" ca="1" si="586"/>
        <v>0.48187549896663173</v>
      </c>
      <c r="E3455" s="21">
        <f t="shared" ca="1" si="593"/>
        <v>18.817702497311984</v>
      </c>
      <c r="F3455" s="20" t="str">
        <f t="shared" ca="1" si="591"/>
        <v>No</v>
      </c>
      <c r="G3455" s="21">
        <f t="shared" ca="1" si="587"/>
        <v>0</v>
      </c>
      <c r="H3455" s="21">
        <f t="shared" ca="1" si="588"/>
        <v>10494.395158951431</v>
      </c>
      <c r="I3455" s="21">
        <f t="shared" ca="1" si="583"/>
        <v>10494.877034450397</v>
      </c>
      <c r="J3455" s="20">
        <f t="shared" ca="1" si="592"/>
        <v>6</v>
      </c>
      <c r="K3455" s="20">
        <f t="shared" ca="1" si="584"/>
        <v>4</v>
      </c>
      <c r="L3455" s="44">
        <f t="shared" ca="1" si="589"/>
        <v>5</v>
      </c>
    </row>
    <row r="3456" spans="1:12" x14ac:dyDescent="0.25">
      <c r="A3456" s="20">
        <v>3448</v>
      </c>
      <c r="B3456" s="21">
        <f t="shared" ca="1" si="585"/>
        <v>2.7813137170799762</v>
      </c>
      <c r="C3456" s="21">
        <f t="shared" ca="1" si="590"/>
        <v>10478.358770171199</v>
      </c>
      <c r="D3456" s="21">
        <f t="shared" ca="1" si="586"/>
        <v>2.8216112183762965</v>
      </c>
      <c r="E3456" s="21">
        <f t="shared" ca="1" si="593"/>
        <v>16.518264279198775</v>
      </c>
      <c r="F3456" s="20" t="str">
        <f t="shared" ca="1" si="591"/>
        <v>No</v>
      </c>
      <c r="G3456" s="21">
        <f t="shared" ca="1" si="587"/>
        <v>0</v>
      </c>
      <c r="H3456" s="21">
        <f t="shared" ca="1" si="588"/>
        <v>10494.877034450397</v>
      </c>
      <c r="I3456" s="21">
        <f t="shared" ca="1" si="583"/>
        <v>10497.698645668774</v>
      </c>
      <c r="J3456" s="20">
        <f t="shared" ca="1" si="592"/>
        <v>5</v>
      </c>
      <c r="K3456" s="20">
        <f t="shared" ca="1" si="584"/>
        <v>3</v>
      </c>
      <c r="L3456" s="44">
        <f t="shared" ca="1" si="589"/>
        <v>4</v>
      </c>
    </row>
    <row r="3457" spans="1:12" x14ac:dyDescent="0.25">
      <c r="A3457" s="20">
        <v>3449</v>
      </c>
      <c r="B3457" s="21">
        <f t="shared" ca="1" si="585"/>
        <v>10.848883960730815</v>
      </c>
      <c r="C3457" s="21">
        <f t="shared" ca="1" si="590"/>
        <v>10489.207654131929</v>
      </c>
      <c r="D3457" s="21">
        <f t="shared" ca="1" si="586"/>
        <v>1.8507851867500029</v>
      </c>
      <c r="E3457" s="21">
        <f t="shared" ca="1" si="593"/>
        <v>8.4909915368443762</v>
      </c>
      <c r="F3457" s="20" t="str">
        <f t="shared" ca="1" si="591"/>
        <v>No</v>
      </c>
      <c r="G3457" s="21">
        <f t="shared" ca="1" si="587"/>
        <v>0</v>
      </c>
      <c r="H3457" s="21">
        <f t="shared" ca="1" si="588"/>
        <v>10497.698645668774</v>
      </c>
      <c r="I3457" s="21">
        <f t="shared" ca="1" si="583"/>
        <v>10499.549430855524</v>
      </c>
      <c r="J3457" s="20">
        <f t="shared" ca="1" si="592"/>
        <v>4</v>
      </c>
      <c r="K3457" s="20">
        <f t="shared" ca="1" si="584"/>
        <v>2</v>
      </c>
      <c r="L3457" s="44">
        <f t="shared" ca="1" si="589"/>
        <v>3</v>
      </c>
    </row>
    <row r="3458" spans="1:12" x14ac:dyDescent="0.25">
      <c r="A3458" s="20">
        <v>3450</v>
      </c>
      <c r="B3458" s="21">
        <f t="shared" ca="1" si="585"/>
        <v>0.94122857920620751</v>
      </c>
      <c r="C3458" s="21">
        <f t="shared" ca="1" si="590"/>
        <v>10490.148882711135</v>
      </c>
      <c r="D3458" s="21">
        <f t="shared" ca="1" si="586"/>
        <v>4.1830203845809315</v>
      </c>
      <c r="E3458" s="21">
        <f t="shared" ca="1" si="593"/>
        <v>9.4005481443891767</v>
      </c>
      <c r="F3458" s="20" t="str">
        <f t="shared" ca="1" si="591"/>
        <v>No</v>
      </c>
      <c r="G3458" s="21">
        <f t="shared" ca="1" si="587"/>
        <v>0</v>
      </c>
      <c r="H3458" s="21">
        <f t="shared" ca="1" si="588"/>
        <v>10499.549430855524</v>
      </c>
      <c r="I3458" s="21">
        <f t="shared" ca="1" si="583"/>
        <v>10503.732451240105</v>
      </c>
      <c r="J3458" s="20">
        <f t="shared" ca="1" si="592"/>
        <v>3</v>
      </c>
      <c r="K3458" s="20">
        <f t="shared" ca="1" si="584"/>
        <v>3</v>
      </c>
      <c r="L3458" s="44">
        <f t="shared" ca="1" si="589"/>
        <v>3</v>
      </c>
    </row>
    <row r="3459" spans="1:12" x14ac:dyDescent="0.25">
      <c r="A3459" s="20">
        <v>3451</v>
      </c>
      <c r="B3459" s="21">
        <f t="shared" ca="1" si="585"/>
        <v>2.6629250498464896</v>
      </c>
      <c r="C3459" s="21">
        <f t="shared" ca="1" si="590"/>
        <v>10492.811807760982</v>
      </c>
      <c r="D3459" s="21">
        <f t="shared" ca="1" si="586"/>
        <v>0.54860390837489981</v>
      </c>
      <c r="E3459" s="21">
        <f t="shared" ca="1" si="593"/>
        <v>10.9206434791231</v>
      </c>
      <c r="F3459" s="20" t="str">
        <f t="shared" ca="1" si="591"/>
        <v>No</v>
      </c>
      <c r="G3459" s="21">
        <f t="shared" ca="1" si="587"/>
        <v>0</v>
      </c>
      <c r="H3459" s="21">
        <f t="shared" ca="1" si="588"/>
        <v>10503.732451240105</v>
      </c>
      <c r="I3459" s="21">
        <f t="shared" ca="1" si="583"/>
        <v>10504.28105514848</v>
      </c>
      <c r="J3459" s="20">
        <f t="shared" ca="1" si="592"/>
        <v>4</v>
      </c>
      <c r="K3459" s="20">
        <f t="shared" ca="1" si="584"/>
        <v>2</v>
      </c>
      <c r="L3459" s="44">
        <f t="shared" ca="1" si="589"/>
        <v>3</v>
      </c>
    </row>
    <row r="3460" spans="1:12" x14ac:dyDescent="0.25">
      <c r="A3460" s="20">
        <v>3452</v>
      </c>
      <c r="B3460" s="21">
        <f t="shared" ca="1" si="585"/>
        <v>8.9021193950745321</v>
      </c>
      <c r="C3460" s="21">
        <f t="shared" ca="1" si="590"/>
        <v>10501.713927156055</v>
      </c>
      <c r="D3460" s="21">
        <f t="shared" ca="1" si="586"/>
        <v>0.90672791279541121</v>
      </c>
      <c r="E3460" s="21">
        <f t="shared" ca="1" si="593"/>
        <v>2.5671279924245027</v>
      </c>
      <c r="F3460" s="20" t="str">
        <f t="shared" ca="1" si="591"/>
        <v>No</v>
      </c>
      <c r="G3460" s="21">
        <f t="shared" ca="1" si="587"/>
        <v>0</v>
      </c>
      <c r="H3460" s="21">
        <f t="shared" ca="1" si="588"/>
        <v>10504.28105514848</v>
      </c>
      <c r="I3460" s="21">
        <f t="shared" ca="1" si="583"/>
        <v>10505.187783061276</v>
      </c>
      <c r="J3460" s="20">
        <f t="shared" ca="1" si="592"/>
        <v>3</v>
      </c>
      <c r="K3460" s="20">
        <f t="shared" ca="1" si="584"/>
        <v>1</v>
      </c>
      <c r="L3460" s="44">
        <f t="shared" ca="1" si="589"/>
        <v>2</v>
      </c>
    </row>
    <row r="3461" spans="1:12" x14ac:dyDescent="0.25">
      <c r="A3461" s="20">
        <v>3453</v>
      </c>
      <c r="B3461" s="21">
        <f t="shared" ca="1" si="585"/>
        <v>0.3648158965959602</v>
      </c>
      <c r="C3461" s="21">
        <f t="shared" ca="1" si="590"/>
        <v>10502.078743052651</v>
      </c>
      <c r="D3461" s="21">
        <f t="shared" ca="1" si="586"/>
        <v>2.6889077854480501</v>
      </c>
      <c r="E3461" s="21">
        <f t="shared" ca="1" si="593"/>
        <v>3.1090400086250156</v>
      </c>
      <c r="F3461" s="20" t="str">
        <f t="shared" ca="1" si="591"/>
        <v>No</v>
      </c>
      <c r="G3461" s="21">
        <f t="shared" ca="1" si="587"/>
        <v>0</v>
      </c>
      <c r="H3461" s="21">
        <f t="shared" ca="1" si="588"/>
        <v>10505.187783061276</v>
      </c>
      <c r="I3461" s="21">
        <f t="shared" ca="1" si="583"/>
        <v>10507.876690846724</v>
      </c>
      <c r="J3461" s="20">
        <f t="shared" ca="1" si="592"/>
        <v>2</v>
      </c>
      <c r="K3461" s="20">
        <f t="shared" ca="1" si="584"/>
        <v>0</v>
      </c>
      <c r="L3461" s="44">
        <f t="shared" ca="1" si="589"/>
        <v>1</v>
      </c>
    </row>
    <row r="3462" spans="1:12" x14ac:dyDescent="0.25">
      <c r="A3462" s="20">
        <v>3454</v>
      </c>
      <c r="B3462" s="21">
        <f t="shared" ca="1" si="585"/>
        <v>5.8825353802711966</v>
      </c>
      <c r="C3462" s="21">
        <f t="shared" ca="1" si="590"/>
        <v>10507.961278432922</v>
      </c>
      <c r="D3462" s="21">
        <f t="shared" ca="1" si="586"/>
        <v>2.5491275992805531</v>
      </c>
      <c r="E3462" s="21">
        <f t="shared" ca="1" si="593"/>
        <v>0</v>
      </c>
      <c r="F3462" s="20" t="str">
        <f t="shared" ca="1" si="591"/>
        <v>Yes</v>
      </c>
      <c r="G3462" s="21">
        <f t="shared" ca="1" si="587"/>
        <v>8.4587586197812925E-2</v>
      </c>
      <c r="H3462" s="21">
        <f t="shared" ca="1" si="588"/>
        <v>10507.961278432922</v>
      </c>
      <c r="I3462" s="21">
        <f t="shared" ca="1" si="583"/>
        <v>10510.510406032203</v>
      </c>
      <c r="J3462" s="20">
        <f t="shared" ca="1" si="592"/>
        <v>0</v>
      </c>
      <c r="K3462" s="20">
        <f t="shared" ca="1" si="584"/>
        <v>2</v>
      </c>
      <c r="L3462" s="44">
        <f t="shared" ca="1" si="589"/>
        <v>1</v>
      </c>
    </row>
    <row r="3463" spans="1:12" x14ac:dyDescent="0.25">
      <c r="A3463" s="20">
        <v>3455</v>
      </c>
      <c r="B3463" s="21">
        <f t="shared" ca="1" si="585"/>
        <v>1.0618726088188635</v>
      </c>
      <c r="C3463" s="21">
        <f t="shared" ca="1" si="590"/>
        <v>10509.023151041742</v>
      </c>
      <c r="D3463" s="21">
        <f t="shared" ca="1" si="586"/>
        <v>0.19287512291698214</v>
      </c>
      <c r="E3463" s="21">
        <f t="shared" ca="1" si="593"/>
        <v>1.4872549904612242</v>
      </c>
      <c r="F3463" s="20" t="str">
        <f t="shared" ca="1" si="591"/>
        <v>No</v>
      </c>
      <c r="G3463" s="21">
        <f t="shared" ca="1" si="587"/>
        <v>0</v>
      </c>
      <c r="H3463" s="21">
        <f t="shared" ca="1" si="588"/>
        <v>10510.510406032203</v>
      </c>
      <c r="I3463" s="21">
        <f t="shared" ca="1" si="583"/>
        <v>10510.70328115512</v>
      </c>
      <c r="J3463" s="20">
        <f t="shared" ca="1" si="592"/>
        <v>3</v>
      </c>
      <c r="K3463" s="20">
        <f t="shared" ca="1" si="584"/>
        <v>1</v>
      </c>
      <c r="L3463" s="44">
        <f t="shared" ca="1" si="589"/>
        <v>2</v>
      </c>
    </row>
    <row r="3464" spans="1:12" x14ac:dyDescent="0.25">
      <c r="A3464" s="20">
        <v>3456</v>
      </c>
      <c r="B3464" s="21">
        <f t="shared" ca="1" si="585"/>
        <v>1.0803744908326234</v>
      </c>
      <c r="C3464" s="21">
        <f t="shared" ca="1" si="590"/>
        <v>10510.103525532575</v>
      </c>
      <c r="D3464" s="21">
        <f t="shared" ca="1" si="586"/>
        <v>0.29929279318825885</v>
      </c>
      <c r="E3464" s="21">
        <f t="shared" ca="1" si="593"/>
        <v>0.59975562254476245</v>
      </c>
      <c r="F3464" s="20" t="str">
        <f t="shared" ca="1" si="591"/>
        <v>No</v>
      </c>
      <c r="G3464" s="21">
        <f t="shared" ca="1" si="587"/>
        <v>0</v>
      </c>
      <c r="H3464" s="21">
        <f t="shared" ca="1" si="588"/>
        <v>10510.70328115512</v>
      </c>
      <c r="I3464" s="21">
        <f t="shared" ca="1" si="583"/>
        <v>10511.002573948308</v>
      </c>
      <c r="J3464" s="20">
        <f t="shared" ca="1" si="592"/>
        <v>2</v>
      </c>
      <c r="K3464" s="20">
        <f t="shared" ca="1" si="584"/>
        <v>0</v>
      </c>
      <c r="L3464" s="44">
        <f t="shared" ca="1" si="589"/>
        <v>1</v>
      </c>
    </row>
    <row r="3465" spans="1:12" x14ac:dyDescent="0.25">
      <c r="A3465" s="20">
        <v>3457</v>
      </c>
      <c r="B3465" s="21">
        <f t="shared" ca="1" si="585"/>
        <v>6.3405494215423568</v>
      </c>
      <c r="C3465" s="21">
        <f t="shared" ca="1" si="590"/>
        <v>10516.444074954117</v>
      </c>
      <c r="D3465" s="21">
        <f t="shared" ca="1" si="586"/>
        <v>4.6456124354593209</v>
      </c>
      <c r="E3465" s="21">
        <f t="shared" ca="1" si="593"/>
        <v>0</v>
      </c>
      <c r="F3465" s="20" t="str">
        <f t="shared" ca="1" si="591"/>
        <v>Yes</v>
      </c>
      <c r="G3465" s="21">
        <f t="shared" ca="1" si="587"/>
        <v>5.4415010058091866</v>
      </c>
      <c r="H3465" s="21">
        <f t="shared" ca="1" si="588"/>
        <v>10516.444074954117</v>
      </c>
      <c r="I3465" s="21">
        <f t="shared" ref="I3465:I3528" ca="1" si="594">$H3465+$D3465</f>
        <v>10521.089687389576</v>
      </c>
      <c r="J3465" s="20">
        <f t="shared" ca="1" si="592"/>
        <v>0</v>
      </c>
      <c r="K3465" s="20">
        <f t="shared" ref="K3465:K3528" ca="1" si="595">IF($I3465&lt;=$C3466,0,IF($I3465&lt;=$C3467,1,IF($I3465&lt;=$C3468,2,IF($I3465&lt;=$C3469,3,IF($I3465&lt;=$C3470,4,5)))))</f>
        <v>1</v>
      </c>
      <c r="L3465" s="44">
        <f t="shared" ca="1" si="589"/>
        <v>0.5</v>
      </c>
    </row>
    <row r="3466" spans="1:12" x14ac:dyDescent="0.25">
      <c r="A3466" s="20">
        <v>3458</v>
      </c>
      <c r="B3466" s="21">
        <f t="shared" ref="B3466:B3529" ca="1" si="596">-LN(RAND())/$D$4</f>
        <v>4.3705345458939071</v>
      </c>
      <c r="C3466" s="21">
        <f t="shared" ca="1" si="590"/>
        <v>10520.814609500012</v>
      </c>
      <c r="D3466" s="21">
        <f t="shared" ref="D3466:D3529" ca="1" si="597">-LN(RAND())/$D$6</f>
        <v>5.4652549591294504</v>
      </c>
      <c r="E3466" s="21">
        <f t="shared" ca="1" si="593"/>
        <v>0.27507788956427248</v>
      </c>
      <c r="F3466" s="20" t="str">
        <f t="shared" ca="1" si="591"/>
        <v>No</v>
      </c>
      <c r="G3466" s="21">
        <f t="shared" ref="G3466:G3529" ca="1" si="598">IF($I3465&lt;=$C3466,$C3466-$I3465,0)</f>
        <v>0</v>
      </c>
      <c r="H3466" s="21">
        <f t="shared" ref="H3466:H3529" ca="1" si="599">IF($I3465&lt;=$C3466,$C3466,$I3465)</f>
        <v>10521.089687389576</v>
      </c>
      <c r="I3466" s="21">
        <f t="shared" ca="1" si="594"/>
        <v>10526.554942348706</v>
      </c>
      <c r="J3466" s="20">
        <f t="shared" ca="1" si="592"/>
        <v>2</v>
      </c>
      <c r="K3466" s="20">
        <f t="shared" ca="1" si="595"/>
        <v>2</v>
      </c>
      <c r="L3466" s="44">
        <f t="shared" ref="L3466:L3529" ca="1" si="600">(J3466+K3466)/2</f>
        <v>2</v>
      </c>
    </row>
    <row r="3467" spans="1:12" x14ac:dyDescent="0.25">
      <c r="A3467" s="20">
        <v>3459</v>
      </c>
      <c r="B3467" s="21">
        <f t="shared" ca="1" si="596"/>
        <v>1.0628880731671062</v>
      </c>
      <c r="C3467" s="21">
        <f t="shared" ref="C3467:C3530" ca="1" si="601">$C3466+$B3467</f>
        <v>10521.877497573179</v>
      </c>
      <c r="D3467" s="21">
        <f t="shared" ca="1" si="597"/>
        <v>0.16361251953171554</v>
      </c>
      <c r="E3467" s="21">
        <f t="shared" ca="1" si="593"/>
        <v>4.6774447755269648</v>
      </c>
      <c r="F3467" s="20" t="str">
        <f t="shared" ref="F3467:F3530" ca="1" si="602">IF(E3467=0,"Yes","No")</f>
        <v>No</v>
      </c>
      <c r="G3467" s="21">
        <f t="shared" ca="1" si="598"/>
        <v>0</v>
      </c>
      <c r="H3467" s="21">
        <f t="shared" ca="1" si="599"/>
        <v>10526.554942348706</v>
      </c>
      <c r="I3467" s="21">
        <f t="shared" ca="1" si="594"/>
        <v>10526.718554868237</v>
      </c>
      <c r="J3467" s="20">
        <f t="shared" ref="J3467:J3530" ca="1" si="603">IF($I3466&lt;=$C3467,0,$K3466+1)</f>
        <v>3</v>
      </c>
      <c r="K3467" s="20">
        <f t="shared" ca="1" si="595"/>
        <v>1</v>
      </c>
      <c r="L3467" s="44">
        <f t="shared" ca="1" si="600"/>
        <v>2</v>
      </c>
    </row>
    <row r="3468" spans="1:12" x14ac:dyDescent="0.25">
      <c r="A3468" s="20">
        <v>3460</v>
      </c>
      <c r="B3468" s="21">
        <f t="shared" ca="1" si="596"/>
        <v>2.8521425115509338</v>
      </c>
      <c r="C3468" s="21">
        <f t="shared" ca="1" si="601"/>
        <v>10524.72964008473</v>
      </c>
      <c r="D3468" s="21">
        <f t="shared" ca="1" si="597"/>
        <v>2.1079173288530519</v>
      </c>
      <c r="E3468" s="21">
        <f t="shared" ref="E3468:E3531" ca="1" si="604">IF($I3467&lt;=$C3468,0,$I3467-$C3468)</f>
        <v>1.9889147835074255</v>
      </c>
      <c r="F3468" s="20" t="str">
        <f t="shared" ca="1" si="602"/>
        <v>No</v>
      </c>
      <c r="G3468" s="21">
        <f t="shared" ca="1" si="598"/>
        <v>0</v>
      </c>
      <c r="H3468" s="21">
        <f t="shared" ca="1" si="599"/>
        <v>10526.718554868237</v>
      </c>
      <c r="I3468" s="21">
        <f t="shared" ca="1" si="594"/>
        <v>10528.82647219709</v>
      </c>
      <c r="J3468" s="20">
        <f t="shared" ca="1" si="603"/>
        <v>2</v>
      </c>
      <c r="K3468" s="20">
        <f t="shared" ca="1" si="595"/>
        <v>0</v>
      </c>
      <c r="L3468" s="44">
        <f t="shared" ca="1" si="600"/>
        <v>1</v>
      </c>
    </row>
    <row r="3469" spans="1:12" x14ac:dyDescent="0.25">
      <c r="A3469" s="20">
        <v>3461</v>
      </c>
      <c r="B3469" s="21">
        <f t="shared" ca="1" si="596"/>
        <v>7.506355801564303</v>
      </c>
      <c r="C3469" s="21">
        <f t="shared" ca="1" si="601"/>
        <v>10532.235995886294</v>
      </c>
      <c r="D3469" s="21">
        <f t="shared" ca="1" si="597"/>
        <v>3.0855382023149485</v>
      </c>
      <c r="E3469" s="21">
        <f t="shared" ca="1" si="604"/>
        <v>0</v>
      </c>
      <c r="F3469" s="20" t="str">
        <f t="shared" ca="1" si="602"/>
        <v>Yes</v>
      </c>
      <c r="G3469" s="21">
        <f t="shared" ca="1" si="598"/>
        <v>3.409523689204434</v>
      </c>
      <c r="H3469" s="21">
        <f t="shared" ca="1" si="599"/>
        <v>10532.235995886294</v>
      </c>
      <c r="I3469" s="21">
        <f t="shared" ca="1" si="594"/>
        <v>10535.321534088609</v>
      </c>
      <c r="J3469" s="20">
        <f t="shared" ca="1" si="603"/>
        <v>0</v>
      </c>
      <c r="K3469" s="20">
        <f t="shared" ca="1" si="595"/>
        <v>2</v>
      </c>
      <c r="L3469" s="44">
        <f t="shared" ca="1" si="600"/>
        <v>1</v>
      </c>
    </row>
    <row r="3470" spans="1:12" x14ac:dyDescent="0.25">
      <c r="A3470" s="20">
        <v>3462</v>
      </c>
      <c r="B3470" s="21">
        <f t="shared" ca="1" si="596"/>
        <v>2.087340179670933</v>
      </c>
      <c r="C3470" s="21">
        <f t="shared" ca="1" si="601"/>
        <v>10534.323336065965</v>
      </c>
      <c r="D3470" s="21">
        <f t="shared" ca="1" si="597"/>
        <v>1.2905086889720407</v>
      </c>
      <c r="E3470" s="21">
        <f t="shared" ca="1" si="604"/>
        <v>0.9981980226439191</v>
      </c>
      <c r="F3470" s="20" t="str">
        <f t="shared" ca="1" si="602"/>
        <v>No</v>
      </c>
      <c r="G3470" s="21">
        <f t="shared" ca="1" si="598"/>
        <v>0</v>
      </c>
      <c r="H3470" s="21">
        <f t="shared" ca="1" si="599"/>
        <v>10535.321534088609</v>
      </c>
      <c r="I3470" s="21">
        <f t="shared" ca="1" si="594"/>
        <v>10536.61204277758</v>
      </c>
      <c r="J3470" s="20">
        <f t="shared" ca="1" si="603"/>
        <v>3</v>
      </c>
      <c r="K3470" s="20">
        <f t="shared" ca="1" si="595"/>
        <v>1</v>
      </c>
      <c r="L3470" s="44">
        <f t="shared" ca="1" si="600"/>
        <v>2</v>
      </c>
    </row>
    <row r="3471" spans="1:12" x14ac:dyDescent="0.25">
      <c r="A3471" s="20">
        <v>3463</v>
      </c>
      <c r="B3471" s="21">
        <f t="shared" ca="1" si="596"/>
        <v>0.39537867217529926</v>
      </c>
      <c r="C3471" s="21">
        <f t="shared" ca="1" si="601"/>
        <v>10534.718714738141</v>
      </c>
      <c r="D3471" s="21">
        <f t="shared" ca="1" si="597"/>
        <v>0.19919824621875748</v>
      </c>
      <c r="E3471" s="21">
        <f t="shared" ca="1" si="604"/>
        <v>1.8933280394394387</v>
      </c>
      <c r="F3471" s="20" t="str">
        <f t="shared" ca="1" si="602"/>
        <v>No</v>
      </c>
      <c r="G3471" s="21">
        <f t="shared" ca="1" si="598"/>
        <v>0</v>
      </c>
      <c r="H3471" s="21">
        <f t="shared" ca="1" si="599"/>
        <v>10536.61204277758</v>
      </c>
      <c r="I3471" s="21">
        <f t="shared" ca="1" si="594"/>
        <v>10536.811241023799</v>
      </c>
      <c r="J3471" s="20">
        <f t="shared" ca="1" si="603"/>
        <v>2</v>
      </c>
      <c r="K3471" s="20">
        <f t="shared" ca="1" si="595"/>
        <v>0</v>
      </c>
      <c r="L3471" s="44">
        <f t="shared" ca="1" si="600"/>
        <v>1</v>
      </c>
    </row>
    <row r="3472" spans="1:12" x14ac:dyDescent="0.25">
      <c r="A3472" s="20">
        <v>3464</v>
      </c>
      <c r="B3472" s="21">
        <f t="shared" ca="1" si="596"/>
        <v>5.2783547704672973</v>
      </c>
      <c r="C3472" s="21">
        <f t="shared" ca="1" si="601"/>
        <v>10539.997069508609</v>
      </c>
      <c r="D3472" s="21">
        <f t="shared" ca="1" si="597"/>
        <v>0.85477748797542896</v>
      </c>
      <c r="E3472" s="21">
        <f t="shared" ca="1" si="604"/>
        <v>0</v>
      </c>
      <c r="F3472" s="20" t="str">
        <f t="shared" ca="1" si="602"/>
        <v>Yes</v>
      </c>
      <c r="G3472" s="21">
        <f t="shared" ca="1" si="598"/>
        <v>3.1858284848094627</v>
      </c>
      <c r="H3472" s="21">
        <f t="shared" ca="1" si="599"/>
        <v>10539.997069508609</v>
      </c>
      <c r="I3472" s="21">
        <f t="shared" ca="1" si="594"/>
        <v>10540.851846996584</v>
      </c>
      <c r="J3472" s="20">
        <f t="shared" ca="1" si="603"/>
        <v>0</v>
      </c>
      <c r="K3472" s="20">
        <f t="shared" ca="1" si="595"/>
        <v>0</v>
      </c>
      <c r="L3472" s="44">
        <f t="shared" ca="1" si="600"/>
        <v>0</v>
      </c>
    </row>
    <row r="3473" spans="1:12" x14ac:dyDescent="0.25">
      <c r="A3473" s="20">
        <v>3465</v>
      </c>
      <c r="B3473" s="21">
        <f t="shared" ca="1" si="596"/>
        <v>4.3612578385811167</v>
      </c>
      <c r="C3473" s="21">
        <f t="shared" ca="1" si="601"/>
        <v>10544.35832734719</v>
      </c>
      <c r="D3473" s="21">
        <f t="shared" ca="1" si="597"/>
        <v>8.3035171544246502</v>
      </c>
      <c r="E3473" s="21">
        <f t="shared" ca="1" si="604"/>
        <v>0</v>
      </c>
      <c r="F3473" s="20" t="str">
        <f t="shared" ca="1" si="602"/>
        <v>Yes</v>
      </c>
      <c r="G3473" s="21">
        <f t="shared" ca="1" si="598"/>
        <v>3.50648035060658</v>
      </c>
      <c r="H3473" s="21">
        <f t="shared" ca="1" si="599"/>
        <v>10544.35832734719</v>
      </c>
      <c r="I3473" s="21">
        <f t="shared" ca="1" si="594"/>
        <v>10552.661844501616</v>
      </c>
      <c r="J3473" s="20">
        <f t="shared" ca="1" si="603"/>
        <v>0</v>
      </c>
      <c r="K3473" s="20">
        <f t="shared" ca="1" si="595"/>
        <v>2</v>
      </c>
      <c r="L3473" s="44">
        <f t="shared" ca="1" si="600"/>
        <v>1</v>
      </c>
    </row>
    <row r="3474" spans="1:12" x14ac:dyDescent="0.25">
      <c r="A3474" s="20">
        <v>3466</v>
      </c>
      <c r="B3474" s="21">
        <f t="shared" ca="1" si="596"/>
        <v>0.34631381238216685</v>
      </c>
      <c r="C3474" s="21">
        <f t="shared" ca="1" si="601"/>
        <v>10544.704641159573</v>
      </c>
      <c r="D3474" s="21">
        <f t="shared" ca="1" si="597"/>
        <v>2.8246540761929122</v>
      </c>
      <c r="E3474" s="21">
        <f t="shared" ca="1" si="604"/>
        <v>7.9572033420427033</v>
      </c>
      <c r="F3474" s="20" t="str">
        <f t="shared" ca="1" si="602"/>
        <v>No</v>
      </c>
      <c r="G3474" s="21">
        <f t="shared" ca="1" si="598"/>
        <v>0</v>
      </c>
      <c r="H3474" s="21">
        <f t="shared" ca="1" si="599"/>
        <v>10552.661844501616</v>
      </c>
      <c r="I3474" s="21">
        <f t="shared" ca="1" si="594"/>
        <v>10555.486498577808</v>
      </c>
      <c r="J3474" s="20">
        <f t="shared" ca="1" si="603"/>
        <v>3</v>
      </c>
      <c r="K3474" s="20">
        <f t="shared" ca="1" si="595"/>
        <v>3</v>
      </c>
      <c r="L3474" s="44">
        <f t="shared" ca="1" si="600"/>
        <v>3</v>
      </c>
    </row>
    <row r="3475" spans="1:12" x14ac:dyDescent="0.25">
      <c r="A3475" s="20">
        <v>3467</v>
      </c>
      <c r="B3475" s="21">
        <f t="shared" ca="1" si="596"/>
        <v>3.3691034638187412</v>
      </c>
      <c r="C3475" s="21">
        <f t="shared" ca="1" si="601"/>
        <v>10548.073744623392</v>
      </c>
      <c r="D3475" s="21">
        <f t="shared" ca="1" si="597"/>
        <v>7.4449081479306933</v>
      </c>
      <c r="E3475" s="21">
        <f t="shared" ca="1" si="604"/>
        <v>7.4127539544151659</v>
      </c>
      <c r="F3475" s="20" t="str">
        <f t="shared" ca="1" si="602"/>
        <v>No</v>
      </c>
      <c r="G3475" s="21">
        <f t="shared" ca="1" si="598"/>
        <v>0</v>
      </c>
      <c r="H3475" s="21">
        <f t="shared" ca="1" si="599"/>
        <v>10555.486498577808</v>
      </c>
      <c r="I3475" s="21">
        <f t="shared" ca="1" si="594"/>
        <v>10562.931406725738</v>
      </c>
      <c r="J3475" s="20">
        <f t="shared" ca="1" si="603"/>
        <v>4</v>
      </c>
      <c r="K3475" s="20">
        <f t="shared" ca="1" si="595"/>
        <v>4</v>
      </c>
      <c r="L3475" s="44">
        <f t="shared" ca="1" si="600"/>
        <v>4</v>
      </c>
    </row>
    <row r="3476" spans="1:12" x14ac:dyDescent="0.25">
      <c r="A3476" s="20">
        <v>3468</v>
      </c>
      <c r="B3476" s="21">
        <f t="shared" ca="1" si="596"/>
        <v>5.2353063185248763</v>
      </c>
      <c r="C3476" s="21">
        <f t="shared" ca="1" si="601"/>
        <v>10553.309050941918</v>
      </c>
      <c r="D3476" s="21">
        <f t="shared" ca="1" si="597"/>
        <v>3.7481192354988515</v>
      </c>
      <c r="E3476" s="21">
        <f t="shared" ca="1" si="604"/>
        <v>9.6223557838202396</v>
      </c>
      <c r="F3476" s="20" t="str">
        <f t="shared" ca="1" si="602"/>
        <v>No</v>
      </c>
      <c r="G3476" s="21">
        <f t="shared" ca="1" si="598"/>
        <v>0</v>
      </c>
      <c r="H3476" s="21">
        <f t="shared" ca="1" si="599"/>
        <v>10562.931406725738</v>
      </c>
      <c r="I3476" s="21">
        <f t="shared" ca="1" si="594"/>
        <v>10566.679525961237</v>
      </c>
      <c r="J3476" s="20">
        <f t="shared" ca="1" si="603"/>
        <v>5</v>
      </c>
      <c r="K3476" s="20">
        <f t="shared" ca="1" si="595"/>
        <v>4</v>
      </c>
      <c r="L3476" s="44">
        <f t="shared" ca="1" si="600"/>
        <v>4.5</v>
      </c>
    </row>
    <row r="3477" spans="1:12" x14ac:dyDescent="0.25">
      <c r="A3477" s="20">
        <v>3469</v>
      </c>
      <c r="B3477" s="21">
        <f t="shared" ca="1" si="596"/>
        <v>1.7328119102683426</v>
      </c>
      <c r="C3477" s="21">
        <f t="shared" ca="1" si="601"/>
        <v>10555.041862852186</v>
      </c>
      <c r="D3477" s="21">
        <f t="shared" ca="1" si="597"/>
        <v>1.5676307220829366</v>
      </c>
      <c r="E3477" s="21">
        <f t="shared" ca="1" si="604"/>
        <v>11.637663109051573</v>
      </c>
      <c r="F3477" s="20" t="str">
        <f t="shared" ca="1" si="602"/>
        <v>No</v>
      </c>
      <c r="G3477" s="21">
        <f t="shared" ca="1" si="598"/>
        <v>0</v>
      </c>
      <c r="H3477" s="21">
        <f t="shared" ca="1" si="599"/>
        <v>10566.679525961237</v>
      </c>
      <c r="I3477" s="21">
        <f t="shared" ca="1" si="594"/>
        <v>10568.247156683321</v>
      </c>
      <c r="J3477" s="20">
        <f t="shared" ca="1" si="603"/>
        <v>5</v>
      </c>
      <c r="K3477" s="20">
        <f t="shared" ca="1" si="595"/>
        <v>3</v>
      </c>
      <c r="L3477" s="44">
        <f t="shared" ca="1" si="600"/>
        <v>4</v>
      </c>
    </row>
    <row r="3478" spans="1:12" x14ac:dyDescent="0.25">
      <c r="A3478" s="20">
        <v>3470</v>
      </c>
      <c r="B3478" s="21">
        <f t="shared" ca="1" si="596"/>
        <v>4.2599685620546888</v>
      </c>
      <c r="C3478" s="21">
        <f t="shared" ca="1" si="601"/>
        <v>10559.301831414241</v>
      </c>
      <c r="D3478" s="21">
        <f t="shared" ca="1" si="597"/>
        <v>1.1552832065230292</v>
      </c>
      <c r="E3478" s="21">
        <f t="shared" ca="1" si="604"/>
        <v>8.9453252690800582</v>
      </c>
      <c r="F3478" s="20" t="str">
        <f t="shared" ca="1" si="602"/>
        <v>No</v>
      </c>
      <c r="G3478" s="21">
        <f t="shared" ca="1" si="598"/>
        <v>0</v>
      </c>
      <c r="H3478" s="21">
        <f t="shared" ca="1" si="599"/>
        <v>10568.247156683321</v>
      </c>
      <c r="I3478" s="21">
        <f t="shared" ca="1" si="594"/>
        <v>10569.402439889844</v>
      </c>
      <c r="J3478" s="20">
        <f t="shared" ca="1" si="603"/>
        <v>4</v>
      </c>
      <c r="K3478" s="20">
        <f t="shared" ca="1" si="595"/>
        <v>4</v>
      </c>
      <c r="L3478" s="44">
        <f t="shared" ca="1" si="600"/>
        <v>4</v>
      </c>
    </row>
    <row r="3479" spans="1:12" x14ac:dyDescent="0.25">
      <c r="A3479" s="20">
        <v>3471</v>
      </c>
      <c r="B3479" s="21">
        <f t="shared" ca="1" si="596"/>
        <v>3.3788817219915677</v>
      </c>
      <c r="C3479" s="21">
        <f t="shared" ca="1" si="601"/>
        <v>10562.680713136233</v>
      </c>
      <c r="D3479" s="21">
        <f t="shared" ca="1" si="597"/>
        <v>3.4230672477425008</v>
      </c>
      <c r="E3479" s="21">
        <f t="shared" ca="1" si="604"/>
        <v>6.7217267536107101</v>
      </c>
      <c r="F3479" s="20" t="str">
        <f t="shared" ca="1" si="602"/>
        <v>No</v>
      </c>
      <c r="G3479" s="21">
        <f t="shared" ca="1" si="598"/>
        <v>0</v>
      </c>
      <c r="H3479" s="21">
        <f t="shared" ca="1" si="599"/>
        <v>10569.402439889844</v>
      </c>
      <c r="I3479" s="21">
        <f t="shared" ca="1" si="594"/>
        <v>10572.825507137586</v>
      </c>
      <c r="J3479" s="20">
        <f t="shared" ca="1" si="603"/>
        <v>5</v>
      </c>
      <c r="K3479" s="20">
        <f t="shared" ca="1" si="595"/>
        <v>3</v>
      </c>
      <c r="L3479" s="44">
        <f t="shared" ca="1" si="600"/>
        <v>4</v>
      </c>
    </row>
    <row r="3480" spans="1:12" x14ac:dyDescent="0.25">
      <c r="A3480" s="20">
        <v>3472</v>
      </c>
      <c r="B3480" s="21">
        <f t="shared" ca="1" si="596"/>
        <v>2.9262850267027933</v>
      </c>
      <c r="C3480" s="21">
        <f t="shared" ca="1" si="601"/>
        <v>10565.606998162935</v>
      </c>
      <c r="D3480" s="21">
        <f t="shared" ca="1" si="597"/>
        <v>0.62681057215442548</v>
      </c>
      <c r="E3480" s="21">
        <f t="shared" ca="1" si="604"/>
        <v>7.2185089746508311</v>
      </c>
      <c r="F3480" s="20" t="str">
        <f t="shared" ca="1" si="602"/>
        <v>No</v>
      </c>
      <c r="G3480" s="21">
        <f t="shared" ca="1" si="598"/>
        <v>0</v>
      </c>
      <c r="H3480" s="21">
        <f t="shared" ca="1" si="599"/>
        <v>10572.825507137586</v>
      </c>
      <c r="I3480" s="21">
        <f t="shared" ca="1" si="594"/>
        <v>10573.45231770974</v>
      </c>
      <c r="J3480" s="20">
        <f t="shared" ca="1" si="603"/>
        <v>4</v>
      </c>
      <c r="K3480" s="20">
        <f t="shared" ca="1" si="595"/>
        <v>3</v>
      </c>
      <c r="L3480" s="44">
        <f t="shared" ca="1" si="600"/>
        <v>3.5</v>
      </c>
    </row>
    <row r="3481" spans="1:12" x14ac:dyDescent="0.25">
      <c r="A3481" s="20">
        <v>3473</v>
      </c>
      <c r="B3481" s="21">
        <f t="shared" ca="1" si="596"/>
        <v>2.9018222512999201</v>
      </c>
      <c r="C3481" s="21">
        <f t="shared" ca="1" si="601"/>
        <v>10568.508820414236</v>
      </c>
      <c r="D3481" s="21">
        <f t="shared" ca="1" si="597"/>
        <v>3.5335283429592095</v>
      </c>
      <c r="E3481" s="21">
        <f t="shared" ca="1" si="604"/>
        <v>4.9434972955041303</v>
      </c>
      <c r="F3481" s="20" t="str">
        <f t="shared" ca="1" si="602"/>
        <v>No</v>
      </c>
      <c r="G3481" s="21">
        <f t="shared" ca="1" si="598"/>
        <v>0</v>
      </c>
      <c r="H3481" s="21">
        <f t="shared" ca="1" si="599"/>
        <v>10573.45231770974</v>
      </c>
      <c r="I3481" s="21">
        <f t="shared" ca="1" si="594"/>
        <v>10576.985846052699</v>
      </c>
      <c r="J3481" s="20">
        <f t="shared" ca="1" si="603"/>
        <v>4</v>
      </c>
      <c r="K3481" s="20">
        <f t="shared" ca="1" si="595"/>
        <v>2</v>
      </c>
      <c r="L3481" s="44">
        <f t="shared" ca="1" si="600"/>
        <v>3</v>
      </c>
    </row>
    <row r="3482" spans="1:12" x14ac:dyDescent="0.25">
      <c r="A3482" s="20">
        <v>3474</v>
      </c>
      <c r="B3482" s="21">
        <f t="shared" ca="1" si="596"/>
        <v>0.47986871639420436</v>
      </c>
      <c r="C3482" s="21">
        <f t="shared" ca="1" si="601"/>
        <v>10568.988689130631</v>
      </c>
      <c r="D3482" s="21">
        <f t="shared" ca="1" si="597"/>
        <v>1.7270872818796335</v>
      </c>
      <c r="E3482" s="21">
        <f t="shared" ca="1" si="604"/>
        <v>7.9971569220688252</v>
      </c>
      <c r="F3482" s="20" t="str">
        <f t="shared" ca="1" si="602"/>
        <v>No</v>
      </c>
      <c r="G3482" s="21">
        <f t="shared" ca="1" si="598"/>
        <v>0</v>
      </c>
      <c r="H3482" s="21">
        <f t="shared" ca="1" si="599"/>
        <v>10576.985846052699</v>
      </c>
      <c r="I3482" s="21">
        <f t="shared" ca="1" si="594"/>
        <v>10578.712933334578</v>
      </c>
      <c r="J3482" s="20">
        <f t="shared" ca="1" si="603"/>
        <v>3</v>
      </c>
      <c r="K3482" s="20">
        <f t="shared" ca="1" si="595"/>
        <v>2</v>
      </c>
      <c r="L3482" s="44">
        <f t="shared" ca="1" si="600"/>
        <v>2.5</v>
      </c>
    </row>
    <row r="3483" spans="1:12" x14ac:dyDescent="0.25">
      <c r="A3483" s="20">
        <v>3475</v>
      </c>
      <c r="B3483" s="21">
        <f t="shared" ca="1" si="596"/>
        <v>4.3323983926419611</v>
      </c>
      <c r="C3483" s="21">
        <f t="shared" ca="1" si="601"/>
        <v>10573.321087523273</v>
      </c>
      <c r="D3483" s="21">
        <f t="shared" ca="1" si="597"/>
        <v>4.7342611623595481E-2</v>
      </c>
      <c r="E3483" s="21">
        <f t="shared" ca="1" si="604"/>
        <v>5.3918458113057568</v>
      </c>
      <c r="F3483" s="20" t="str">
        <f t="shared" ca="1" si="602"/>
        <v>No</v>
      </c>
      <c r="G3483" s="21">
        <f t="shared" ca="1" si="598"/>
        <v>0</v>
      </c>
      <c r="H3483" s="21">
        <f t="shared" ca="1" si="599"/>
        <v>10578.712933334578</v>
      </c>
      <c r="I3483" s="21">
        <f t="shared" ca="1" si="594"/>
        <v>10578.760275946202</v>
      </c>
      <c r="J3483" s="20">
        <f t="shared" ca="1" si="603"/>
        <v>3</v>
      </c>
      <c r="K3483" s="20">
        <f t="shared" ca="1" si="595"/>
        <v>1</v>
      </c>
      <c r="L3483" s="44">
        <f t="shared" ca="1" si="600"/>
        <v>2</v>
      </c>
    </row>
    <row r="3484" spans="1:12" x14ac:dyDescent="0.25">
      <c r="A3484" s="20">
        <v>3476</v>
      </c>
      <c r="B3484" s="21">
        <f t="shared" ca="1" si="596"/>
        <v>5.0518167115696713</v>
      </c>
      <c r="C3484" s="21">
        <f t="shared" ca="1" si="601"/>
        <v>10578.372904234842</v>
      </c>
      <c r="D3484" s="21">
        <f t="shared" ca="1" si="597"/>
        <v>1.2395959747233387</v>
      </c>
      <c r="E3484" s="21">
        <f t="shared" ca="1" si="604"/>
        <v>0.38737171136017423</v>
      </c>
      <c r="F3484" s="20" t="str">
        <f t="shared" ca="1" si="602"/>
        <v>No</v>
      </c>
      <c r="G3484" s="21">
        <f t="shared" ca="1" si="598"/>
        <v>0</v>
      </c>
      <c r="H3484" s="21">
        <f t="shared" ca="1" si="599"/>
        <v>10578.760275946202</v>
      </c>
      <c r="I3484" s="21">
        <f t="shared" ca="1" si="594"/>
        <v>10579.999871920925</v>
      </c>
      <c r="J3484" s="20">
        <f t="shared" ca="1" si="603"/>
        <v>2</v>
      </c>
      <c r="K3484" s="20">
        <f t="shared" ca="1" si="595"/>
        <v>2</v>
      </c>
      <c r="L3484" s="44">
        <f t="shared" ca="1" si="600"/>
        <v>2</v>
      </c>
    </row>
    <row r="3485" spans="1:12" x14ac:dyDescent="0.25">
      <c r="A3485" s="20">
        <v>3477</v>
      </c>
      <c r="B3485" s="21">
        <f t="shared" ca="1" si="596"/>
        <v>0.53498053487958674</v>
      </c>
      <c r="C3485" s="21">
        <f t="shared" ca="1" si="601"/>
        <v>10578.907884769722</v>
      </c>
      <c r="D3485" s="21">
        <f t="shared" ca="1" si="597"/>
        <v>1.0217837774963763</v>
      </c>
      <c r="E3485" s="21">
        <f t="shared" ca="1" si="604"/>
        <v>1.0919871512032842</v>
      </c>
      <c r="F3485" s="20" t="str">
        <f t="shared" ca="1" si="602"/>
        <v>No</v>
      </c>
      <c r="G3485" s="21">
        <f t="shared" ca="1" si="598"/>
        <v>0</v>
      </c>
      <c r="H3485" s="21">
        <f t="shared" ca="1" si="599"/>
        <v>10579.999871920925</v>
      </c>
      <c r="I3485" s="21">
        <f t="shared" ca="1" si="594"/>
        <v>10581.021655698421</v>
      </c>
      <c r="J3485" s="20">
        <f t="shared" ca="1" si="603"/>
        <v>3</v>
      </c>
      <c r="K3485" s="20">
        <f t="shared" ca="1" si="595"/>
        <v>2</v>
      </c>
      <c r="L3485" s="44">
        <f t="shared" ca="1" si="600"/>
        <v>2.5</v>
      </c>
    </row>
    <row r="3486" spans="1:12" x14ac:dyDescent="0.25">
      <c r="A3486" s="20">
        <v>3478</v>
      </c>
      <c r="B3486" s="21">
        <f t="shared" ca="1" si="596"/>
        <v>0.89021180429149405</v>
      </c>
      <c r="C3486" s="21">
        <f t="shared" ca="1" si="601"/>
        <v>10579.798096574013</v>
      </c>
      <c r="D3486" s="21">
        <f t="shared" ca="1" si="597"/>
        <v>1.9301969240392547</v>
      </c>
      <c r="E3486" s="21">
        <f t="shared" ca="1" si="604"/>
        <v>1.2235591244079842</v>
      </c>
      <c r="F3486" s="20" t="str">
        <f t="shared" ca="1" si="602"/>
        <v>No</v>
      </c>
      <c r="G3486" s="21">
        <f t="shared" ca="1" si="598"/>
        <v>0</v>
      </c>
      <c r="H3486" s="21">
        <f t="shared" ca="1" si="599"/>
        <v>10581.021655698421</v>
      </c>
      <c r="I3486" s="21">
        <f t="shared" ca="1" si="594"/>
        <v>10582.95185262246</v>
      </c>
      <c r="J3486" s="20">
        <f t="shared" ca="1" si="603"/>
        <v>3</v>
      </c>
      <c r="K3486" s="20">
        <f t="shared" ca="1" si="595"/>
        <v>2</v>
      </c>
      <c r="L3486" s="44">
        <f t="shared" ca="1" si="600"/>
        <v>2.5</v>
      </c>
    </row>
    <row r="3487" spans="1:12" x14ac:dyDescent="0.25">
      <c r="A3487" s="20">
        <v>3479</v>
      </c>
      <c r="B3487" s="21">
        <f t="shared" ca="1" si="596"/>
        <v>0.92026884484392957</v>
      </c>
      <c r="C3487" s="21">
        <f t="shared" ca="1" si="601"/>
        <v>10580.718365418858</v>
      </c>
      <c r="D3487" s="21">
        <f t="shared" ca="1" si="597"/>
        <v>1.3194405204723971</v>
      </c>
      <c r="E3487" s="21">
        <f t="shared" ca="1" si="604"/>
        <v>2.2334872036026354</v>
      </c>
      <c r="F3487" s="20" t="str">
        <f t="shared" ca="1" si="602"/>
        <v>No</v>
      </c>
      <c r="G3487" s="21">
        <f t="shared" ca="1" si="598"/>
        <v>0</v>
      </c>
      <c r="H3487" s="21">
        <f t="shared" ca="1" si="599"/>
        <v>10582.95185262246</v>
      </c>
      <c r="I3487" s="21">
        <f t="shared" ca="1" si="594"/>
        <v>10584.271293142932</v>
      </c>
      <c r="J3487" s="20">
        <f t="shared" ca="1" si="603"/>
        <v>3</v>
      </c>
      <c r="K3487" s="20">
        <f t="shared" ca="1" si="595"/>
        <v>1</v>
      </c>
      <c r="L3487" s="44">
        <f t="shared" ca="1" si="600"/>
        <v>2</v>
      </c>
    </row>
    <row r="3488" spans="1:12" x14ac:dyDescent="0.25">
      <c r="A3488" s="20">
        <v>3480</v>
      </c>
      <c r="B3488" s="21">
        <f t="shared" ca="1" si="596"/>
        <v>0.61872777362656117</v>
      </c>
      <c r="C3488" s="21">
        <f t="shared" ca="1" si="601"/>
        <v>10581.337093192484</v>
      </c>
      <c r="D3488" s="21">
        <f t="shared" ca="1" si="597"/>
        <v>2.6549693284346465</v>
      </c>
      <c r="E3488" s="21">
        <f t="shared" ca="1" si="604"/>
        <v>2.9341999504486012</v>
      </c>
      <c r="F3488" s="20" t="str">
        <f t="shared" ca="1" si="602"/>
        <v>No</v>
      </c>
      <c r="G3488" s="21">
        <f t="shared" ca="1" si="598"/>
        <v>0</v>
      </c>
      <c r="H3488" s="21">
        <f t="shared" ca="1" si="599"/>
        <v>10584.271293142932</v>
      </c>
      <c r="I3488" s="21">
        <f t="shared" ca="1" si="594"/>
        <v>10586.926262471366</v>
      </c>
      <c r="J3488" s="20">
        <f t="shared" ca="1" si="603"/>
        <v>2</v>
      </c>
      <c r="K3488" s="20">
        <f t="shared" ca="1" si="595"/>
        <v>1</v>
      </c>
      <c r="L3488" s="44">
        <f t="shared" ca="1" si="600"/>
        <v>1.5</v>
      </c>
    </row>
    <row r="3489" spans="1:12" x14ac:dyDescent="0.25">
      <c r="A3489" s="20">
        <v>3481</v>
      </c>
      <c r="B3489" s="21">
        <f t="shared" ca="1" si="596"/>
        <v>4.6081406011489836</v>
      </c>
      <c r="C3489" s="21">
        <f t="shared" ca="1" si="601"/>
        <v>10585.945233793633</v>
      </c>
      <c r="D3489" s="21">
        <f t="shared" ca="1" si="597"/>
        <v>1.8368427234604503</v>
      </c>
      <c r="E3489" s="21">
        <f t="shared" ca="1" si="604"/>
        <v>0.98102867773377511</v>
      </c>
      <c r="F3489" s="20" t="str">
        <f t="shared" ca="1" si="602"/>
        <v>No</v>
      </c>
      <c r="G3489" s="21">
        <f t="shared" ca="1" si="598"/>
        <v>0</v>
      </c>
      <c r="H3489" s="21">
        <f t="shared" ca="1" si="599"/>
        <v>10586.926262471366</v>
      </c>
      <c r="I3489" s="21">
        <f t="shared" ca="1" si="594"/>
        <v>10588.763105194826</v>
      </c>
      <c r="J3489" s="20">
        <f t="shared" ca="1" si="603"/>
        <v>2</v>
      </c>
      <c r="K3489" s="20">
        <f t="shared" ca="1" si="595"/>
        <v>0</v>
      </c>
      <c r="L3489" s="44">
        <f t="shared" ca="1" si="600"/>
        <v>1</v>
      </c>
    </row>
    <row r="3490" spans="1:12" x14ac:dyDescent="0.25">
      <c r="A3490" s="20">
        <v>3482</v>
      </c>
      <c r="B3490" s="21">
        <f t="shared" ca="1" si="596"/>
        <v>4.9445076131417531</v>
      </c>
      <c r="C3490" s="21">
        <f t="shared" ca="1" si="601"/>
        <v>10590.889741406774</v>
      </c>
      <c r="D3490" s="21">
        <f t="shared" ca="1" si="597"/>
        <v>0.59246473960368617</v>
      </c>
      <c r="E3490" s="21">
        <f t="shared" ca="1" si="604"/>
        <v>0</v>
      </c>
      <c r="F3490" s="20" t="str">
        <f t="shared" ca="1" si="602"/>
        <v>Yes</v>
      </c>
      <c r="G3490" s="21">
        <f t="shared" ca="1" si="598"/>
        <v>2.126636211947698</v>
      </c>
      <c r="H3490" s="21">
        <f t="shared" ca="1" si="599"/>
        <v>10590.889741406774</v>
      </c>
      <c r="I3490" s="21">
        <f t="shared" ca="1" si="594"/>
        <v>10591.482206146378</v>
      </c>
      <c r="J3490" s="20">
        <f t="shared" ca="1" si="603"/>
        <v>0</v>
      </c>
      <c r="K3490" s="20">
        <f t="shared" ca="1" si="595"/>
        <v>2</v>
      </c>
      <c r="L3490" s="44">
        <f t="shared" ca="1" si="600"/>
        <v>1</v>
      </c>
    </row>
    <row r="3491" spans="1:12" x14ac:dyDescent="0.25">
      <c r="A3491" s="20">
        <v>3483</v>
      </c>
      <c r="B3491" s="21">
        <f t="shared" ca="1" si="596"/>
        <v>0.43848864738655796</v>
      </c>
      <c r="C3491" s="21">
        <f t="shared" ca="1" si="601"/>
        <v>10591.328230054161</v>
      </c>
      <c r="D3491" s="21">
        <f t="shared" ca="1" si="597"/>
        <v>1.7065749880422234</v>
      </c>
      <c r="E3491" s="21">
        <f t="shared" ca="1" si="604"/>
        <v>0.153976092216908</v>
      </c>
      <c r="F3491" s="20" t="str">
        <f t="shared" ca="1" si="602"/>
        <v>No</v>
      </c>
      <c r="G3491" s="21">
        <f t="shared" ca="1" si="598"/>
        <v>0</v>
      </c>
      <c r="H3491" s="21">
        <f t="shared" ca="1" si="599"/>
        <v>10591.482206146378</v>
      </c>
      <c r="I3491" s="21">
        <f t="shared" ca="1" si="594"/>
        <v>10593.18878113442</v>
      </c>
      <c r="J3491" s="20">
        <f t="shared" ca="1" si="603"/>
        <v>3</v>
      </c>
      <c r="K3491" s="20">
        <f t="shared" ca="1" si="595"/>
        <v>1</v>
      </c>
      <c r="L3491" s="44">
        <f t="shared" ca="1" si="600"/>
        <v>2</v>
      </c>
    </row>
    <row r="3492" spans="1:12" x14ac:dyDescent="0.25">
      <c r="A3492" s="20">
        <v>3484</v>
      </c>
      <c r="B3492" s="21">
        <f t="shared" ca="1" si="596"/>
        <v>3.4205845114809569E-3</v>
      </c>
      <c r="C3492" s="21">
        <f t="shared" ca="1" si="601"/>
        <v>10591.331650638673</v>
      </c>
      <c r="D3492" s="21">
        <f t="shared" ca="1" si="597"/>
        <v>4.7867614998882617</v>
      </c>
      <c r="E3492" s="21">
        <f t="shared" ca="1" si="604"/>
        <v>1.8571304957476968</v>
      </c>
      <c r="F3492" s="20" t="str">
        <f t="shared" ca="1" si="602"/>
        <v>No</v>
      </c>
      <c r="G3492" s="21">
        <f t="shared" ca="1" si="598"/>
        <v>0</v>
      </c>
      <c r="H3492" s="21">
        <f t="shared" ca="1" si="599"/>
        <v>10593.18878113442</v>
      </c>
      <c r="I3492" s="21">
        <f t="shared" ca="1" si="594"/>
        <v>10597.975542634309</v>
      </c>
      <c r="J3492" s="20">
        <f t="shared" ca="1" si="603"/>
        <v>2</v>
      </c>
      <c r="K3492" s="20">
        <f t="shared" ca="1" si="595"/>
        <v>0</v>
      </c>
      <c r="L3492" s="44">
        <f t="shared" ca="1" si="600"/>
        <v>1</v>
      </c>
    </row>
    <row r="3493" spans="1:12" x14ac:dyDescent="0.25">
      <c r="A3493" s="20">
        <v>3485</v>
      </c>
      <c r="B3493" s="21">
        <f t="shared" ca="1" si="596"/>
        <v>7.6008215144904767</v>
      </c>
      <c r="C3493" s="21">
        <f t="shared" ca="1" si="601"/>
        <v>10598.932472153163</v>
      </c>
      <c r="D3493" s="21">
        <f t="shared" ca="1" si="597"/>
        <v>1.3330326426547958</v>
      </c>
      <c r="E3493" s="21">
        <f t="shared" ca="1" si="604"/>
        <v>0</v>
      </c>
      <c r="F3493" s="20" t="str">
        <f t="shared" ca="1" si="602"/>
        <v>Yes</v>
      </c>
      <c r="G3493" s="21">
        <f t="shared" ca="1" si="598"/>
        <v>0.95692951885393995</v>
      </c>
      <c r="H3493" s="21">
        <f t="shared" ca="1" si="599"/>
        <v>10598.932472153163</v>
      </c>
      <c r="I3493" s="21">
        <f t="shared" ca="1" si="594"/>
        <v>10600.265504795818</v>
      </c>
      <c r="J3493" s="20">
        <f t="shared" ca="1" si="603"/>
        <v>0</v>
      </c>
      <c r="K3493" s="20">
        <f t="shared" ca="1" si="595"/>
        <v>2</v>
      </c>
      <c r="L3493" s="44">
        <f t="shared" ca="1" si="600"/>
        <v>1</v>
      </c>
    </row>
    <row r="3494" spans="1:12" x14ac:dyDescent="0.25">
      <c r="A3494" s="20">
        <v>3486</v>
      </c>
      <c r="B3494" s="21">
        <f t="shared" ca="1" si="596"/>
        <v>0.20490939221211552</v>
      </c>
      <c r="C3494" s="21">
        <f t="shared" ca="1" si="601"/>
        <v>10599.137381545375</v>
      </c>
      <c r="D3494" s="21">
        <f t="shared" ca="1" si="597"/>
        <v>3.1146917473376101</v>
      </c>
      <c r="E3494" s="21">
        <f t="shared" ca="1" si="604"/>
        <v>1.1281232504425134</v>
      </c>
      <c r="F3494" s="20" t="str">
        <f t="shared" ca="1" si="602"/>
        <v>No</v>
      </c>
      <c r="G3494" s="21">
        <f t="shared" ca="1" si="598"/>
        <v>0</v>
      </c>
      <c r="H3494" s="21">
        <f t="shared" ca="1" si="599"/>
        <v>10600.265504795818</v>
      </c>
      <c r="I3494" s="21">
        <f t="shared" ca="1" si="594"/>
        <v>10603.380196543156</v>
      </c>
      <c r="J3494" s="20">
        <f t="shared" ca="1" si="603"/>
        <v>3</v>
      </c>
      <c r="K3494" s="20">
        <f t="shared" ca="1" si="595"/>
        <v>1</v>
      </c>
      <c r="L3494" s="44">
        <f t="shared" ca="1" si="600"/>
        <v>2</v>
      </c>
    </row>
    <row r="3495" spans="1:12" x14ac:dyDescent="0.25">
      <c r="A3495" s="20">
        <v>3487</v>
      </c>
      <c r="B3495" s="21">
        <f t="shared" ca="1" si="596"/>
        <v>1.0742319419915587</v>
      </c>
      <c r="C3495" s="21">
        <f t="shared" ca="1" si="601"/>
        <v>10600.211613487367</v>
      </c>
      <c r="D3495" s="21">
        <f t="shared" ca="1" si="597"/>
        <v>4.731064731028833</v>
      </c>
      <c r="E3495" s="21">
        <f t="shared" ca="1" si="604"/>
        <v>3.1685830557889858</v>
      </c>
      <c r="F3495" s="20" t="str">
        <f t="shared" ca="1" si="602"/>
        <v>No</v>
      </c>
      <c r="G3495" s="21">
        <f t="shared" ca="1" si="598"/>
        <v>0</v>
      </c>
      <c r="H3495" s="21">
        <f t="shared" ca="1" si="599"/>
        <v>10603.380196543156</v>
      </c>
      <c r="I3495" s="21">
        <f t="shared" ca="1" si="594"/>
        <v>10608.111261274185</v>
      </c>
      <c r="J3495" s="20">
        <f t="shared" ca="1" si="603"/>
        <v>2</v>
      </c>
      <c r="K3495" s="20">
        <f t="shared" ca="1" si="595"/>
        <v>2</v>
      </c>
      <c r="L3495" s="44">
        <f t="shared" ca="1" si="600"/>
        <v>2</v>
      </c>
    </row>
    <row r="3496" spans="1:12" x14ac:dyDescent="0.25">
      <c r="A3496" s="20">
        <v>3488</v>
      </c>
      <c r="B3496" s="21">
        <f t="shared" ca="1" si="596"/>
        <v>6.313586139157084</v>
      </c>
      <c r="C3496" s="21">
        <f t="shared" ca="1" si="601"/>
        <v>10606.525199626523</v>
      </c>
      <c r="D3496" s="21">
        <f t="shared" ca="1" si="597"/>
        <v>5.7096974738594763</v>
      </c>
      <c r="E3496" s="21">
        <f t="shared" ca="1" si="604"/>
        <v>1.5860616476620635</v>
      </c>
      <c r="F3496" s="20" t="str">
        <f t="shared" ca="1" si="602"/>
        <v>No</v>
      </c>
      <c r="G3496" s="21">
        <f t="shared" ca="1" si="598"/>
        <v>0</v>
      </c>
      <c r="H3496" s="21">
        <f t="shared" ca="1" si="599"/>
        <v>10608.111261274185</v>
      </c>
      <c r="I3496" s="21">
        <f t="shared" ca="1" si="594"/>
        <v>10613.820958748045</v>
      </c>
      <c r="J3496" s="20">
        <f t="shared" ca="1" si="603"/>
        <v>3</v>
      </c>
      <c r="K3496" s="20">
        <f t="shared" ca="1" si="595"/>
        <v>2</v>
      </c>
      <c r="L3496" s="44">
        <f t="shared" ca="1" si="600"/>
        <v>2.5</v>
      </c>
    </row>
    <row r="3497" spans="1:12" x14ac:dyDescent="0.25">
      <c r="A3497" s="20">
        <v>3489</v>
      </c>
      <c r="B3497" s="21">
        <f t="shared" ca="1" si="596"/>
        <v>1.4297293541807237</v>
      </c>
      <c r="C3497" s="21">
        <f t="shared" ca="1" si="601"/>
        <v>10607.954928980704</v>
      </c>
      <c r="D3497" s="21">
        <f t="shared" ca="1" si="597"/>
        <v>0.24144218438971926</v>
      </c>
      <c r="E3497" s="21">
        <f t="shared" ca="1" si="604"/>
        <v>5.8660297673413879</v>
      </c>
      <c r="F3497" s="20" t="str">
        <f t="shared" ca="1" si="602"/>
        <v>No</v>
      </c>
      <c r="G3497" s="21">
        <f t="shared" ca="1" si="598"/>
        <v>0</v>
      </c>
      <c r="H3497" s="21">
        <f t="shared" ca="1" si="599"/>
        <v>10613.820958748045</v>
      </c>
      <c r="I3497" s="21">
        <f t="shared" ca="1" si="594"/>
        <v>10614.062400932435</v>
      </c>
      <c r="J3497" s="20">
        <f t="shared" ca="1" si="603"/>
        <v>3</v>
      </c>
      <c r="K3497" s="20">
        <f t="shared" ca="1" si="595"/>
        <v>2</v>
      </c>
      <c r="L3497" s="44">
        <f t="shared" ca="1" si="600"/>
        <v>2.5</v>
      </c>
    </row>
    <row r="3498" spans="1:12" x14ac:dyDescent="0.25">
      <c r="A3498" s="20">
        <v>3490</v>
      </c>
      <c r="B3498" s="21">
        <f t="shared" ca="1" si="596"/>
        <v>3.1456968858893419</v>
      </c>
      <c r="C3498" s="21">
        <f t="shared" ca="1" si="601"/>
        <v>10611.100625866593</v>
      </c>
      <c r="D3498" s="21">
        <f t="shared" ca="1" si="597"/>
        <v>2.7354938217052736</v>
      </c>
      <c r="E3498" s="21">
        <f t="shared" ca="1" si="604"/>
        <v>2.9617750658417208</v>
      </c>
      <c r="F3498" s="20" t="str">
        <f t="shared" ca="1" si="602"/>
        <v>No</v>
      </c>
      <c r="G3498" s="21">
        <f t="shared" ca="1" si="598"/>
        <v>0</v>
      </c>
      <c r="H3498" s="21">
        <f t="shared" ca="1" si="599"/>
        <v>10614.062400932435</v>
      </c>
      <c r="I3498" s="21">
        <f t="shared" ca="1" si="594"/>
        <v>10616.79789475414</v>
      </c>
      <c r="J3498" s="20">
        <f t="shared" ca="1" si="603"/>
        <v>3</v>
      </c>
      <c r="K3498" s="20">
        <f t="shared" ca="1" si="595"/>
        <v>1</v>
      </c>
      <c r="L3498" s="44">
        <f t="shared" ca="1" si="600"/>
        <v>2</v>
      </c>
    </row>
    <row r="3499" spans="1:12" x14ac:dyDescent="0.25">
      <c r="A3499" s="20">
        <v>3491</v>
      </c>
      <c r="B3499" s="21">
        <f t="shared" ca="1" si="596"/>
        <v>2.8447168929842706</v>
      </c>
      <c r="C3499" s="21">
        <f t="shared" ca="1" si="601"/>
        <v>10613.945342759578</v>
      </c>
      <c r="D3499" s="21">
        <f t="shared" ca="1" si="597"/>
        <v>1.6175096385382115</v>
      </c>
      <c r="E3499" s="21">
        <f t="shared" ca="1" si="604"/>
        <v>2.8525519945615088</v>
      </c>
      <c r="F3499" s="20" t="str">
        <f t="shared" ca="1" si="602"/>
        <v>No</v>
      </c>
      <c r="G3499" s="21">
        <f t="shared" ca="1" si="598"/>
        <v>0</v>
      </c>
      <c r="H3499" s="21">
        <f t="shared" ca="1" si="599"/>
        <v>10616.79789475414</v>
      </c>
      <c r="I3499" s="21">
        <f t="shared" ca="1" si="594"/>
        <v>10618.415404392677</v>
      </c>
      <c r="J3499" s="20">
        <f t="shared" ca="1" si="603"/>
        <v>2</v>
      </c>
      <c r="K3499" s="20">
        <f t="shared" ca="1" si="595"/>
        <v>0</v>
      </c>
      <c r="L3499" s="44">
        <f t="shared" ca="1" si="600"/>
        <v>1</v>
      </c>
    </row>
    <row r="3500" spans="1:12" x14ac:dyDescent="0.25">
      <c r="A3500" s="20">
        <v>3492</v>
      </c>
      <c r="B3500" s="21">
        <f t="shared" ca="1" si="596"/>
        <v>4.8097189857621441</v>
      </c>
      <c r="C3500" s="21">
        <f t="shared" ca="1" si="601"/>
        <v>10618.75506174534</v>
      </c>
      <c r="D3500" s="21">
        <f t="shared" ca="1" si="597"/>
        <v>4.1903301393697312</v>
      </c>
      <c r="E3500" s="21">
        <f t="shared" ca="1" si="604"/>
        <v>0</v>
      </c>
      <c r="F3500" s="20" t="str">
        <f t="shared" ca="1" si="602"/>
        <v>Yes</v>
      </c>
      <c r="G3500" s="21">
        <f t="shared" ca="1" si="598"/>
        <v>0.33965735266247066</v>
      </c>
      <c r="H3500" s="21">
        <f t="shared" ca="1" si="599"/>
        <v>10618.75506174534</v>
      </c>
      <c r="I3500" s="21">
        <f t="shared" ca="1" si="594"/>
        <v>10622.94539188471</v>
      </c>
      <c r="J3500" s="20">
        <f t="shared" ca="1" si="603"/>
        <v>0</v>
      </c>
      <c r="K3500" s="20">
        <f t="shared" ca="1" si="595"/>
        <v>3</v>
      </c>
      <c r="L3500" s="44">
        <f t="shared" ca="1" si="600"/>
        <v>1.5</v>
      </c>
    </row>
    <row r="3501" spans="1:12" x14ac:dyDescent="0.25">
      <c r="A3501" s="20">
        <v>3493</v>
      </c>
      <c r="B3501" s="21">
        <f t="shared" ca="1" si="596"/>
        <v>0.95990127878742937</v>
      </c>
      <c r="C3501" s="21">
        <f t="shared" ca="1" si="601"/>
        <v>10619.714963024127</v>
      </c>
      <c r="D3501" s="21">
        <f t="shared" ca="1" si="597"/>
        <v>0.95707804694255016</v>
      </c>
      <c r="E3501" s="21">
        <f t="shared" ca="1" si="604"/>
        <v>3.2304288605828333</v>
      </c>
      <c r="F3501" s="20" t="str">
        <f t="shared" ca="1" si="602"/>
        <v>No</v>
      </c>
      <c r="G3501" s="21">
        <f t="shared" ca="1" si="598"/>
        <v>0</v>
      </c>
      <c r="H3501" s="21">
        <f t="shared" ca="1" si="599"/>
        <v>10622.94539188471</v>
      </c>
      <c r="I3501" s="21">
        <f t="shared" ca="1" si="594"/>
        <v>10623.902469931652</v>
      </c>
      <c r="J3501" s="20">
        <f t="shared" ca="1" si="603"/>
        <v>4</v>
      </c>
      <c r="K3501" s="20">
        <f t="shared" ca="1" si="595"/>
        <v>2</v>
      </c>
      <c r="L3501" s="44">
        <f t="shared" ca="1" si="600"/>
        <v>3</v>
      </c>
    </row>
    <row r="3502" spans="1:12" x14ac:dyDescent="0.25">
      <c r="A3502" s="20">
        <v>3494</v>
      </c>
      <c r="B3502" s="21">
        <f t="shared" ca="1" si="596"/>
        <v>0.6893942813302002</v>
      </c>
      <c r="C3502" s="21">
        <f t="shared" ca="1" si="601"/>
        <v>10620.404357305457</v>
      </c>
      <c r="D3502" s="21">
        <f t="shared" ca="1" si="597"/>
        <v>2.5373365212677843</v>
      </c>
      <c r="E3502" s="21">
        <f t="shared" ca="1" si="604"/>
        <v>3.4981126261955069</v>
      </c>
      <c r="F3502" s="20" t="str">
        <f t="shared" ca="1" si="602"/>
        <v>No</v>
      </c>
      <c r="G3502" s="21">
        <f t="shared" ca="1" si="598"/>
        <v>0</v>
      </c>
      <c r="H3502" s="21">
        <f t="shared" ca="1" si="599"/>
        <v>10623.902469931652</v>
      </c>
      <c r="I3502" s="21">
        <f t="shared" ca="1" si="594"/>
        <v>10626.43980645292</v>
      </c>
      <c r="J3502" s="20">
        <f t="shared" ca="1" si="603"/>
        <v>3</v>
      </c>
      <c r="K3502" s="20">
        <f t="shared" ca="1" si="595"/>
        <v>3</v>
      </c>
      <c r="L3502" s="44">
        <f t="shared" ca="1" si="600"/>
        <v>3</v>
      </c>
    </row>
    <row r="3503" spans="1:12" x14ac:dyDescent="0.25">
      <c r="A3503" s="20">
        <v>3495</v>
      </c>
      <c r="B3503" s="21">
        <f t="shared" ca="1" si="596"/>
        <v>1.9840318103101307</v>
      </c>
      <c r="C3503" s="21">
        <f t="shared" ca="1" si="601"/>
        <v>10622.388389115767</v>
      </c>
      <c r="D3503" s="21">
        <f t="shared" ca="1" si="597"/>
        <v>0.81282279175775218</v>
      </c>
      <c r="E3503" s="21">
        <f t="shared" ca="1" si="604"/>
        <v>4.0514173371520883</v>
      </c>
      <c r="F3503" s="20" t="str">
        <f t="shared" ca="1" si="602"/>
        <v>No</v>
      </c>
      <c r="G3503" s="21">
        <f t="shared" ca="1" si="598"/>
        <v>0</v>
      </c>
      <c r="H3503" s="21">
        <f t="shared" ca="1" si="599"/>
        <v>10626.43980645292</v>
      </c>
      <c r="I3503" s="21">
        <f t="shared" ca="1" si="594"/>
        <v>10627.252629244676</v>
      </c>
      <c r="J3503" s="20">
        <f t="shared" ca="1" si="603"/>
        <v>4</v>
      </c>
      <c r="K3503" s="20">
        <f t="shared" ca="1" si="595"/>
        <v>3</v>
      </c>
      <c r="L3503" s="44">
        <f t="shared" ca="1" si="600"/>
        <v>3.5</v>
      </c>
    </row>
    <row r="3504" spans="1:12" x14ac:dyDescent="0.25">
      <c r="A3504" s="20">
        <v>3496</v>
      </c>
      <c r="B3504" s="21">
        <f t="shared" ca="1" si="596"/>
        <v>1.6545413314925019</v>
      </c>
      <c r="C3504" s="21">
        <f t="shared" ca="1" si="601"/>
        <v>10624.04293044726</v>
      </c>
      <c r="D3504" s="21">
        <f t="shared" ca="1" si="597"/>
        <v>5.3817555778295896</v>
      </c>
      <c r="E3504" s="21">
        <f t="shared" ca="1" si="604"/>
        <v>3.2096987974164222</v>
      </c>
      <c r="F3504" s="20" t="str">
        <f t="shared" ca="1" si="602"/>
        <v>No</v>
      </c>
      <c r="G3504" s="21">
        <f t="shared" ca="1" si="598"/>
        <v>0</v>
      </c>
      <c r="H3504" s="21">
        <f t="shared" ca="1" si="599"/>
        <v>10627.252629244676</v>
      </c>
      <c r="I3504" s="21">
        <f t="shared" ca="1" si="594"/>
        <v>10632.634384822506</v>
      </c>
      <c r="J3504" s="20">
        <f t="shared" ca="1" si="603"/>
        <v>4</v>
      </c>
      <c r="K3504" s="20">
        <f t="shared" ca="1" si="595"/>
        <v>3</v>
      </c>
      <c r="L3504" s="44">
        <f t="shared" ca="1" si="600"/>
        <v>3.5</v>
      </c>
    </row>
    <row r="3505" spans="1:12" x14ac:dyDescent="0.25">
      <c r="A3505" s="20">
        <v>3497</v>
      </c>
      <c r="B3505" s="21">
        <f t="shared" ca="1" si="596"/>
        <v>0.34950320040243521</v>
      </c>
      <c r="C3505" s="21">
        <f t="shared" ca="1" si="601"/>
        <v>10624.392433647663</v>
      </c>
      <c r="D3505" s="21">
        <f t="shared" ca="1" si="597"/>
        <v>3.580999521329614</v>
      </c>
      <c r="E3505" s="21">
        <f t="shared" ca="1" si="604"/>
        <v>8.2419511748430523</v>
      </c>
      <c r="F3505" s="20" t="str">
        <f t="shared" ca="1" si="602"/>
        <v>No</v>
      </c>
      <c r="G3505" s="21">
        <f t="shared" ca="1" si="598"/>
        <v>0</v>
      </c>
      <c r="H3505" s="21">
        <f t="shared" ca="1" si="599"/>
        <v>10632.634384822506</v>
      </c>
      <c r="I3505" s="21">
        <f t="shared" ca="1" si="594"/>
        <v>10636.215384343835</v>
      </c>
      <c r="J3505" s="20">
        <f t="shared" ca="1" si="603"/>
        <v>4</v>
      </c>
      <c r="K3505" s="20">
        <f t="shared" ca="1" si="595"/>
        <v>5</v>
      </c>
      <c r="L3505" s="44">
        <f t="shared" ca="1" si="600"/>
        <v>4.5</v>
      </c>
    </row>
    <row r="3506" spans="1:12" x14ac:dyDescent="0.25">
      <c r="A3506" s="20">
        <v>3498</v>
      </c>
      <c r="B3506" s="21">
        <f t="shared" ca="1" si="596"/>
        <v>2.5037502206135298</v>
      </c>
      <c r="C3506" s="21">
        <f t="shared" ca="1" si="601"/>
        <v>10626.896183868277</v>
      </c>
      <c r="D3506" s="21">
        <f t="shared" ca="1" si="597"/>
        <v>5.0125832270761101</v>
      </c>
      <c r="E3506" s="21">
        <f t="shared" ca="1" si="604"/>
        <v>9.3192004755583184</v>
      </c>
      <c r="F3506" s="20" t="str">
        <f t="shared" ca="1" si="602"/>
        <v>No</v>
      </c>
      <c r="G3506" s="21">
        <f t="shared" ca="1" si="598"/>
        <v>0</v>
      </c>
      <c r="H3506" s="21">
        <f t="shared" ca="1" si="599"/>
        <v>10636.215384343835</v>
      </c>
      <c r="I3506" s="21">
        <f t="shared" ca="1" si="594"/>
        <v>10641.227967570912</v>
      </c>
      <c r="J3506" s="20">
        <f t="shared" ca="1" si="603"/>
        <v>6</v>
      </c>
      <c r="K3506" s="20">
        <f t="shared" ca="1" si="595"/>
        <v>5</v>
      </c>
      <c r="L3506" s="44">
        <f t="shared" ca="1" si="600"/>
        <v>5.5</v>
      </c>
    </row>
    <row r="3507" spans="1:12" x14ac:dyDescent="0.25">
      <c r="A3507" s="20">
        <v>3499</v>
      </c>
      <c r="B3507" s="21">
        <f t="shared" ca="1" si="596"/>
        <v>4.4294120826129921</v>
      </c>
      <c r="C3507" s="21">
        <f t="shared" ca="1" si="601"/>
        <v>10631.32559595089</v>
      </c>
      <c r="D3507" s="21">
        <f t="shared" ca="1" si="597"/>
        <v>4.9976436543848282</v>
      </c>
      <c r="E3507" s="21">
        <f t="shared" ca="1" si="604"/>
        <v>9.9023716200226772</v>
      </c>
      <c r="F3507" s="20" t="str">
        <f t="shared" ca="1" si="602"/>
        <v>No</v>
      </c>
      <c r="G3507" s="21">
        <f t="shared" ca="1" si="598"/>
        <v>0</v>
      </c>
      <c r="H3507" s="21">
        <f t="shared" ca="1" si="599"/>
        <v>10641.227967570912</v>
      </c>
      <c r="I3507" s="21">
        <f t="shared" ca="1" si="594"/>
        <v>10646.225611225298</v>
      </c>
      <c r="J3507" s="20">
        <f t="shared" ca="1" si="603"/>
        <v>6</v>
      </c>
      <c r="K3507" s="20">
        <f t="shared" ca="1" si="595"/>
        <v>5</v>
      </c>
      <c r="L3507" s="44">
        <f t="shared" ca="1" si="600"/>
        <v>5.5</v>
      </c>
    </row>
    <row r="3508" spans="1:12" x14ac:dyDescent="0.25">
      <c r="A3508" s="20">
        <v>3500</v>
      </c>
      <c r="B3508" s="21">
        <f t="shared" ca="1" si="596"/>
        <v>2.3812670347602114</v>
      </c>
      <c r="C3508" s="21">
        <f t="shared" ca="1" si="601"/>
        <v>10633.706862985649</v>
      </c>
      <c r="D3508" s="21">
        <f t="shared" ca="1" si="597"/>
        <v>1.0461752206700485</v>
      </c>
      <c r="E3508" s="21">
        <f t="shared" ca="1" si="604"/>
        <v>12.51874823964863</v>
      </c>
      <c r="F3508" s="20" t="str">
        <f t="shared" ca="1" si="602"/>
        <v>No</v>
      </c>
      <c r="G3508" s="21">
        <f t="shared" ca="1" si="598"/>
        <v>0</v>
      </c>
      <c r="H3508" s="21">
        <f t="shared" ca="1" si="599"/>
        <v>10646.225611225298</v>
      </c>
      <c r="I3508" s="21">
        <f t="shared" ca="1" si="594"/>
        <v>10647.271786445968</v>
      </c>
      <c r="J3508" s="20">
        <f t="shared" ca="1" si="603"/>
        <v>6</v>
      </c>
      <c r="K3508" s="20">
        <f t="shared" ca="1" si="595"/>
        <v>5</v>
      </c>
      <c r="L3508" s="44">
        <f t="shared" ca="1" si="600"/>
        <v>5.5</v>
      </c>
    </row>
    <row r="3509" spans="1:12" x14ac:dyDescent="0.25">
      <c r="A3509" s="20">
        <v>3501</v>
      </c>
      <c r="B3509" s="21">
        <f t="shared" ca="1" si="596"/>
        <v>0.48510702284113982</v>
      </c>
      <c r="C3509" s="21">
        <f t="shared" ca="1" si="601"/>
        <v>10634.191970008491</v>
      </c>
      <c r="D3509" s="21">
        <f t="shared" ca="1" si="597"/>
        <v>7.6607831745241009E-2</v>
      </c>
      <c r="E3509" s="21">
        <f t="shared" ca="1" si="604"/>
        <v>13.079816437477348</v>
      </c>
      <c r="F3509" s="20" t="str">
        <f t="shared" ca="1" si="602"/>
        <v>No</v>
      </c>
      <c r="G3509" s="21">
        <f t="shared" ca="1" si="598"/>
        <v>0</v>
      </c>
      <c r="H3509" s="21">
        <f t="shared" ca="1" si="599"/>
        <v>10647.271786445968</v>
      </c>
      <c r="I3509" s="21">
        <f t="shared" ca="1" si="594"/>
        <v>10647.348394277713</v>
      </c>
      <c r="J3509" s="20">
        <f t="shared" ca="1" si="603"/>
        <v>6</v>
      </c>
      <c r="K3509" s="20">
        <f t="shared" ca="1" si="595"/>
        <v>4</v>
      </c>
      <c r="L3509" s="44">
        <f t="shared" ca="1" si="600"/>
        <v>5</v>
      </c>
    </row>
    <row r="3510" spans="1:12" x14ac:dyDescent="0.25">
      <c r="A3510" s="20">
        <v>3502</v>
      </c>
      <c r="B3510" s="21">
        <f t="shared" ca="1" si="596"/>
        <v>0.96167542177847032</v>
      </c>
      <c r="C3510" s="21">
        <f t="shared" ca="1" si="601"/>
        <v>10635.15364543027</v>
      </c>
      <c r="D3510" s="21">
        <f t="shared" ca="1" si="597"/>
        <v>0.17365192261136891</v>
      </c>
      <c r="E3510" s="21">
        <f t="shared" ca="1" si="604"/>
        <v>12.194748847443407</v>
      </c>
      <c r="F3510" s="20" t="str">
        <f t="shared" ca="1" si="602"/>
        <v>No</v>
      </c>
      <c r="G3510" s="21">
        <f t="shared" ca="1" si="598"/>
        <v>0</v>
      </c>
      <c r="H3510" s="21">
        <f t="shared" ca="1" si="599"/>
        <v>10647.348394277713</v>
      </c>
      <c r="I3510" s="21">
        <f t="shared" ca="1" si="594"/>
        <v>10647.522046200324</v>
      </c>
      <c r="J3510" s="20">
        <f t="shared" ca="1" si="603"/>
        <v>5</v>
      </c>
      <c r="K3510" s="20">
        <f t="shared" ca="1" si="595"/>
        <v>3</v>
      </c>
      <c r="L3510" s="44">
        <f t="shared" ca="1" si="600"/>
        <v>4</v>
      </c>
    </row>
    <row r="3511" spans="1:12" x14ac:dyDescent="0.25">
      <c r="A3511" s="20">
        <v>3503</v>
      </c>
      <c r="B3511" s="21">
        <f t="shared" ca="1" si="596"/>
        <v>1.6609134199765729</v>
      </c>
      <c r="C3511" s="21">
        <f t="shared" ca="1" si="601"/>
        <v>10636.814558850247</v>
      </c>
      <c r="D3511" s="21">
        <f t="shared" ca="1" si="597"/>
        <v>7.3371244327573049</v>
      </c>
      <c r="E3511" s="21">
        <f t="shared" ca="1" si="604"/>
        <v>10.707487350076917</v>
      </c>
      <c r="F3511" s="20" t="str">
        <f t="shared" ca="1" si="602"/>
        <v>No</v>
      </c>
      <c r="G3511" s="21">
        <f t="shared" ca="1" si="598"/>
        <v>0</v>
      </c>
      <c r="H3511" s="21">
        <f t="shared" ca="1" si="599"/>
        <v>10647.522046200324</v>
      </c>
      <c r="I3511" s="21">
        <f t="shared" ca="1" si="594"/>
        <v>10654.859170633081</v>
      </c>
      <c r="J3511" s="20">
        <f t="shared" ca="1" si="603"/>
        <v>4</v>
      </c>
      <c r="K3511" s="20">
        <f t="shared" ca="1" si="595"/>
        <v>5</v>
      </c>
      <c r="L3511" s="44">
        <f t="shared" ca="1" si="600"/>
        <v>4.5</v>
      </c>
    </row>
    <row r="3512" spans="1:12" x14ac:dyDescent="0.25">
      <c r="A3512" s="20">
        <v>3504</v>
      </c>
      <c r="B3512" s="21">
        <f t="shared" ca="1" si="596"/>
        <v>4.708387017947878</v>
      </c>
      <c r="C3512" s="21">
        <f t="shared" ca="1" si="601"/>
        <v>10641.522945868195</v>
      </c>
      <c r="D3512" s="21">
        <f t="shared" ca="1" si="597"/>
        <v>4.2341040073206262</v>
      </c>
      <c r="E3512" s="21">
        <f t="shared" ca="1" si="604"/>
        <v>13.336224764885628</v>
      </c>
      <c r="F3512" s="20" t="str">
        <f t="shared" ca="1" si="602"/>
        <v>No</v>
      </c>
      <c r="G3512" s="21">
        <f t="shared" ca="1" si="598"/>
        <v>0</v>
      </c>
      <c r="H3512" s="21">
        <f t="shared" ca="1" si="599"/>
        <v>10654.859170633081</v>
      </c>
      <c r="I3512" s="21">
        <f t="shared" ca="1" si="594"/>
        <v>10659.093274640401</v>
      </c>
      <c r="J3512" s="20">
        <f t="shared" ca="1" si="603"/>
        <v>6</v>
      </c>
      <c r="K3512" s="20">
        <f t="shared" ca="1" si="595"/>
        <v>5</v>
      </c>
      <c r="L3512" s="44">
        <f t="shared" ca="1" si="600"/>
        <v>5.5</v>
      </c>
    </row>
    <row r="3513" spans="1:12" x14ac:dyDescent="0.25">
      <c r="A3513" s="20">
        <v>3505</v>
      </c>
      <c r="B3513" s="21">
        <f t="shared" ca="1" si="596"/>
        <v>2.8759081290592263</v>
      </c>
      <c r="C3513" s="21">
        <f t="shared" ca="1" si="601"/>
        <v>10644.398853997254</v>
      </c>
      <c r="D3513" s="21">
        <f t="shared" ca="1" si="597"/>
        <v>2.0683053905355719</v>
      </c>
      <c r="E3513" s="21">
        <f t="shared" ca="1" si="604"/>
        <v>14.694420643147168</v>
      </c>
      <c r="F3513" s="20" t="str">
        <f t="shared" ca="1" si="602"/>
        <v>No</v>
      </c>
      <c r="G3513" s="21">
        <f t="shared" ca="1" si="598"/>
        <v>0</v>
      </c>
      <c r="H3513" s="21">
        <f t="shared" ca="1" si="599"/>
        <v>10659.093274640401</v>
      </c>
      <c r="I3513" s="21">
        <f t="shared" ca="1" si="594"/>
        <v>10661.161580030937</v>
      </c>
      <c r="J3513" s="20">
        <f t="shared" ca="1" si="603"/>
        <v>6</v>
      </c>
      <c r="K3513" s="20">
        <f t="shared" ca="1" si="595"/>
        <v>5</v>
      </c>
      <c r="L3513" s="44">
        <f t="shared" ca="1" si="600"/>
        <v>5.5</v>
      </c>
    </row>
    <row r="3514" spans="1:12" x14ac:dyDescent="0.25">
      <c r="A3514" s="20">
        <v>3506</v>
      </c>
      <c r="B3514" s="21">
        <f t="shared" ca="1" si="596"/>
        <v>6.4331956642652077</v>
      </c>
      <c r="C3514" s="21">
        <f t="shared" ca="1" si="601"/>
        <v>10650.83204966152</v>
      </c>
      <c r="D3514" s="21">
        <f t="shared" ca="1" si="597"/>
        <v>7.0762726141922014</v>
      </c>
      <c r="E3514" s="21">
        <f t="shared" ca="1" si="604"/>
        <v>10.329530369417625</v>
      </c>
      <c r="F3514" s="20" t="str">
        <f t="shared" ca="1" si="602"/>
        <v>No</v>
      </c>
      <c r="G3514" s="21">
        <f t="shared" ca="1" si="598"/>
        <v>0</v>
      </c>
      <c r="H3514" s="21">
        <f t="shared" ca="1" si="599"/>
        <v>10661.161580030937</v>
      </c>
      <c r="I3514" s="21">
        <f t="shared" ca="1" si="594"/>
        <v>10668.23785264513</v>
      </c>
      <c r="J3514" s="20">
        <f t="shared" ca="1" si="603"/>
        <v>6</v>
      </c>
      <c r="K3514" s="20">
        <f t="shared" ca="1" si="595"/>
        <v>5</v>
      </c>
      <c r="L3514" s="44">
        <f t="shared" ca="1" si="600"/>
        <v>5.5</v>
      </c>
    </row>
    <row r="3515" spans="1:12" x14ac:dyDescent="0.25">
      <c r="A3515" s="20">
        <v>3507</v>
      </c>
      <c r="B3515" s="21">
        <f t="shared" ca="1" si="596"/>
        <v>1.075896129067293</v>
      </c>
      <c r="C3515" s="21">
        <f t="shared" ca="1" si="601"/>
        <v>10651.907945790586</v>
      </c>
      <c r="D3515" s="21">
        <f t="shared" ca="1" si="597"/>
        <v>1.4968164950034586</v>
      </c>
      <c r="E3515" s="21">
        <f t="shared" ca="1" si="604"/>
        <v>16.329906854543879</v>
      </c>
      <c r="F3515" s="20" t="str">
        <f t="shared" ca="1" si="602"/>
        <v>No</v>
      </c>
      <c r="G3515" s="21">
        <f t="shared" ca="1" si="598"/>
        <v>0</v>
      </c>
      <c r="H3515" s="21">
        <f t="shared" ca="1" si="599"/>
        <v>10668.23785264513</v>
      </c>
      <c r="I3515" s="21">
        <f t="shared" ca="1" si="594"/>
        <v>10669.734669140134</v>
      </c>
      <c r="J3515" s="20">
        <f t="shared" ca="1" si="603"/>
        <v>6</v>
      </c>
      <c r="K3515" s="20">
        <f t="shared" ca="1" si="595"/>
        <v>5</v>
      </c>
      <c r="L3515" s="44">
        <f t="shared" ca="1" si="600"/>
        <v>5.5</v>
      </c>
    </row>
    <row r="3516" spans="1:12" x14ac:dyDescent="0.25">
      <c r="A3516" s="20">
        <v>3508</v>
      </c>
      <c r="B3516" s="21">
        <f t="shared" ca="1" si="596"/>
        <v>1.1844671331012537</v>
      </c>
      <c r="C3516" s="21">
        <f t="shared" ca="1" si="601"/>
        <v>10653.092412923688</v>
      </c>
      <c r="D3516" s="21">
        <f t="shared" ca="1" si="597"/>
        <v>1.7315395550143071</v>
      </c>
      <c r="E3516" s="21">
        <f t="shared" ca="1" si="604"/>
        <v>16.642256216446185</v>
      </c>
      <c r="F3516" s="20" t="str">
        <f t="shared" ca="1" si="602"/>
        <v>No</v>
      </c>
      <c r="G3516" s="21">
        <f t="shared" ca="1" si="598"/>
        <v>0</v>
      </c>
      <c r="H3516" s="21">
        <f t="shared" ca="1" si="599"/>
        <v>10669.734669140134</v>
      </c>
      <c r="I3516" s="21">
        <f t="shared" ca="1" si="594"/>
        <v>10671.466208695148</v>
      </c>
      <c r="J3516" s="20">
        <f t="shared" ca="1" si="603"/>
        <v>6</v>
      </c>
      <c r="K3516" s="20">
        <f t="shared" ca="1" si="595"/>
        <v>5</v>
      </c>
      <c r="L3516" s="44">
        <f t="shared" ca="1" si="600"/>
        <v>5.5</v>
      </c>
    </row>
    <row r="3517" spans="1:12" x14ac:dyDescent="0.25">
      <c r="A3517" s="20">
        <v>3509</v>
      </c>
      <c r="B3517" s="21">
        <f t="shared" ca="1" si="596"/>
        <v>0.3216129557612174</v>
      </c>
      <c r="C3517" s="21">
        <f t="shared" ca="1" si="601"/>
        <v>10653.414025879449</v>
      </c>
      <c r="D3517" s="21">
        <f t="shared" ca="1" si="597"/>
        <v>4.3215563854337349</v>
      </c>
      <c r="E3517" s="21">
        <f t="shared" ca="1" si="604"/>
        <v>18.05218281569978</v>
      </c>
      <c r="F3517" s="20" t="str">
        <f t="shared" ca="1" si="602"/>
        <v>No</v>
      </c>
      <c r="G3517" s="21">
        <f t="shared" ca="1" si="598"/>
        <v>0</v>
      </c>
      <c r="H3517" s="21">
        <f t="shared" ca="1" si="599"/>
        <v>10671.466208695148</v>
      </c>
      <c r="I3517" s="21">
        <f t="shared" ca="1" si="594"/>
        <v>10675.787765080582</v>
      </c>
      <c r="J3517" s="20">
        <f t="shared" ca="1" si="603"/>
        <v>6</v>
      </c>
      <c r="K3517" s="20">
        <f t="shared" ca="1" si="595"/>
        <v>5</v>
      </c>
      <c r="L3517" s="44">
        <f t="shared" ca="1" si="600"/>
        <v>5.5</v>
      </c>
    </row>
    <row r="3518" spans="1:12" x14ac:dyDescent="0.25">
      <c r="A3518" s="20">
        <v>3510</v>
      </c>
      <c r="B3518" s="21">
        <f t="shared" ca="1" si="596"/>
        <v>2.7476299755886471</v>
      </c>
      <c r="C3518" s="21">
        <f t="shared" ca="1" si="601"/>
        <v>10656.161655855038</v>
      </c>
      <c r="D3518" s="21">
        <f t="shared" ca="1" si="597"/>
        <v>3.707653115800206</v>
      </c>
      <c r="E3518" s="21">
        <f t="shared" ca="1" si="604"/>
        <v>19.626109225544496</v>
      </c>
      <c r="F3518" s="20" t="str">
        <f t="shared" ca="1" si="602"/>
        <v>No</v>
      </c>
      <c r="G3518" s="21">
        <f t="shared" ca="1" si="598"/>
        <v>0</v>
      </c>
      <c r="H3518" s="21">
        <f t="shared" ca="1" si="599"/>
        <v>10675.787765080582</v>
      </c>
      <c r="I3518" s="21">
        <f t="shared" ca="1" si="594"/>
        <v>10679.495418196382</v>
      </c>
      <c r="J3518" s="20">
        <f t="shared" ca="1" si="603"/>
        <v>6</v>
      </c>
      <c r="K3518" s="20">
        <f t="shared" ca="1" si="595"/>
        <v>5</v>
      </c>
      <c r="L3518" s="44">
        <f t="shared" ca="1" si="600"/>
        <v>5.5</v>
      </c>
    </row>
    <row r="3519" spans="1:12" x14ac:dyDescent="0.25">
      <c r="A3519" s="20">
        <v>3511</v>
      </c>
      <c r="B3519" s="21">
        <f t="shared" ca="1" si="596"/>
        <v>4.8549892278384776</v>
      </c>
      <c r="C3519" s="21">
        <f t="shared" ca="1" si="601"/>
        <v>10661.016645082876</v>
      </c>
      <c r="D3519" s="21">
        <f t="shared" ca="1" si="597"/>
        <v>0.160934628291206</v>
      </c>
      <c r="E3519" s="21">
        <f t="shared" ca="1" si="604"/>
        <v>18.478773113505667</v>
      </c>
      <c r="F3519" s="20" t="str">
        <f t="shared" ca="1" si="602"/>
        <v>No</v>
      </c>
      <c r="G3519" s="21">
        <f t="shared" ca="1" si="598"/>
        <v>0</v>
      </c>
      <c r="H3519" s="21">
        <f t="shared" ca="1" si="599"/>
        <v>10679.495418196382</v>
      </c>
      <c r="I3519" s="21">
        <f t="shared" ca="1" si="594"/>
        <v>10679.656352824673</v>
      </c>
      <c r="J3519" s="20">
        <f t="shared" ca="1" si="603"/>
        <v>6</v>
      </c>
      <c r="K3519" s="20">
        <f t="shared" ca="1" si="595"/>
        <v>5</v>
      </c>
      <c r="L3519" s="44">
        <f t="shared" ca="1" si="600"/>
        <v>5.5</v>
      </c>
    </row>
    <row r="3520" spans="1:12" x14ac:dyDescent="0.25">
      <c r="A3520" s="20">
        <v>3512</v>
      </c>
      <c r="B3520" s="21">
        <f t="shared" ca="1" si="596"/>
        <v>0.27477068900267609</v>
      </c>
      <c r="C3520" s="21">
        <f t="shared" ca="1" si="601"/>
        <v>10661.291415771879</v>
      </c>
      <c r="D3520" s="21">
        <f t="shared" ca="1" si="597"/>
        <v>0.18795684814529562</v>
      </c>
      <c r="E3520" s="21">
        <f t="shared" ca="1" si="604"/>
        <v>18.36493705279463</v>
      </c>
      <c r="F3520" s="20" t="str">
        <f t="shared" ca="1" si="602"/>
        <v>No</v>
      </c>
      <c r="G3520" s="21">
        <f t="shared" ca="1" si="598"/>
        <v>0</v>
      </c>
      <c r="H3520" s="21">
        <f t="shared" ca="1" si="599"/>
        <v>10679.656352824673</v>
      </c>
      <c r="I3520" s="21">
        <f t="shared" ca="1" si="594"/>
        <v>10679.844309672819</v>
      </c>
      <c r="J3520" s="20">
        <f t="shared" ca="1" si="603"/>
        <v>6</v>
      </c>
      <c r="K3520" s="20">
        <f t="shared" ca="1" si="595"/>
        <v>5</v>
      </c>
      <c r="L3520" s="44">
        <f t="shared" ca="1" si="600"/>
        <v>5.5</v>
      </c>
    </row>
    <row r="3521" spans="1:12" x14ac:dyDescent="0.25">
      <c r="A3521" s="20">
        <v>3513</v>
      </c>
      <c r="B3521" s="21">
        <f t="shared" ca="1" si="596"/>
        <v>0.26662273492303934</v>
      </c>
      <c r="C3521" s="21">
        <f t="shared" ca="1" si="601"/>
        <v>10661.558038506802</v>
      </c>
      <c r="D3521" s="21">
        <f t="shared" ca="1" si="597"/>
        <v>0.32859842587026572</v>
      </c>
      <c r="E3521" s="21">
        <f t="shared" ca="1" si="604"/>
        <v>18.286271166016377</v>
      </c>
      <c r="F3521" s="20" t="str">
        <f t="shared" ca="1" si="602"/>
        <v>No</v>
      </c>
      <c r="G3521" s="21">
        <f t="shared" ca="1" si="598"/>
        <v>0</v>
      </c>
      <c r="H3521" s="21">
        <f t="shared" ca="1" si="599"/>
        <v>10679.844309672819</v>
      </c>
      <c r="I3521" s="21">
        <f t="shared" ca="1" si="594"/>
        <v>10680.17290809869</v>
      </c>
      <c r="J3521" s="20">
        <f t="shared" ca="1" si="603"/>
        <v>6</v>
      </c>
      <c r="K3521" s="20">
        <f t="shared" ca="1" si="595"/>
        <v>4</v>
      </c>
      <c r="L3521" s="44">
        <f t="shared" ca="1" si="600"/>
        <v>5</v>
      </c>
    </row>
    <row r="3522" spans="1:12" x14ac:dyDescent="0.25">
      <c r="A3522" s="20">
        <v>3514</v>
      </c>
      <c r="B3522" s="21">
        <f t="shared" ca="1" si="596"/>
        <v>3.8584291529350883</v>
      </c>
      <c r="C3522" s="21">
        <f t="shared" ca="1" si="601"/>
        <v>10665.416467659737</v>
      </c>
      <c r="D3522" s="21">
        <f t="shared" ca="1" si="597"/>
        <v>5.8130961278945312</v>
      </c>
      <c r="E3522" s="21">
        <f t="shared" ca="1" si="604"/>
        <v>14.756440438952268</v>
      </c>
      <c r="F3522" s="20" t="str">
        <f t="shared" ca="1" si="602"/>
        <v>No</v>
      </c>
      <c r="G3522" s="21">
        <f t="shared" ca="1" si="598"/>
        <v>0</v>
      </c>
      <c r="H3522" s="21">
        <f t="shared" ca="1" si="599"/>
        <v>10680.17290809869</v>
      </c>
      <c r="I3522" s="21">
        <f t="shared" ca="1" si="594"/>
        <v>10685.986004226585</v>
      </c>
      <c r="J3522" s="20">
        <f t="shared" ca="1" si="603"/>
        <v>5</v>
      </c>
      <c r="K3522" s="20">
        <f t="shared" ca="1" si="595"/>
        <v>4</v>
      </c>
      <c r="L3522" s="44">
        <f t="shared" ca="1" si="600"/>
        <v>4.5</v>
      </c>
    </row>
    <row r="3523" spans="1:12" x14ac:dyDescent="0.25">
      <c r="A3523" s="20">
        <v>3515</v>
      </c>
      <c r="B3523" s="21">
        <f t="shared" ca="1" si="596"/>
        <v>0.34173900438921279</v>
      </c>
      <c r="C3523" s="21">
        <f t="shared" ca="1" si="601"/>
        <v>10665.758206664126</v>
      </c>
      <c r="D3523" s="21">
        <f t="shared" ca="1" si="597"/>
        <v>1.3543980010349779</v>
      </c>
      <c r="E3523" s="21">
        <f t="shared" ca="1" si="604"/>
        <v>20.227797562458363</v>
      </c>
      <c r="F3523" s="20" t="str">
        <f t="shared" ca="1" si="602"/>
        <v>No</v>
      </c>
      <c r="G3523" s="21">
        <f t="shared" ca="1" si="598"/>
        <v>0</v>
      </c>
      <c r="H3523" s="21">
        <f t="shared" ca="1" si="599"/>
        <v>10685.986004226585</v>
      </c>
      <c r="I3523" s="21">
        <f t="shared" ca="1" si="594"/>
        <v>10687.340402227619</v>
      </c>
      <c r="J3523" s="20">
        <f t="shared" ca="1" si="603"/>
        <v>5</v>
      </c>
      <c r="K3523" s="20">
        <f t="shared" ca="1" si="595"/>
        <v>3</v>
      </c>
      <c r="L3523" s="44">
        <f t="shared" ca="1" si="600"/>
        <v>4</v>
      </c>
    </row>
    <row r="3524" spans="1:12" x14ac:dyDescent="0.25">
      <c r="A3524" s="20">
        <v>3516</v>
      </c>
      <c r="B3524" s="21">
        <f t="shared" ca="1" si="596"/>
        <v>8.6614056927426208</v>
      </c>
      <c r="C3524" s="21">
        <f t="shared" ca="1" si="601"/>
        <v>10674.419612356869</v>
      </c>
      <c r="D3524" s="21">
        <f t="shared" ca="1" si="597"/>
        <v>1.3433874277850772</v>
      </c>
      <c r="E3524" s="21">
        <f t="shared" ca="1" si="604"/>
        <v>12.920789870750014</v>
      </c>
      <c r="F3524" s="20" t="str">
        <f t="shared" ca="1" si="602"/>
        <v>No</v>
      </c>
      <c r="G3524" s="21">
        <f t="shared" ca="1" si="598"/>
        <v>0</v>
      </c>
      <c r="H3524" s="21">
        <f t="shared" ca="1" si="599"/>
        <v>10687.340402227619</v>
      </c>
      <c r="I3524" s="21">
        <f t="shared" ca="1" si="594"/>
        <v>10688.683789655404</v>
      </c>
      <c r="J3524" s="20">
        <f t="shared" ca="1" si="603"/>
        <v>4</v>
      </c>
      <c r="K3524" s="20">
        <f t="shared" ca="1" si="595"/>
        <v>2</v>
      </c>
      <c r="L3524" s="44">
        <f t="shared" ca="1" si="600"/>
        <v>3</v>
      </c>
    </row>
    <row r="3525" spans="1:12" x14ac:dyDescent="0.25">
      <c r="A3525" s="20">
        <v>3517</v>
      </c>
      <c r="B3525" s="21">
        <f t="shared" ca="1" si="596"/>
        <v>4.6287152996370198</v>
      </c>
      <c r="C3525" s="21">
        <f t="shared" ca="1" si="601"/>
        <v>10679.048327656506</v>
      </c>
      <c r="D3525" s="21">
        <f t="shared" ca="1" si="597"/>
        <v>4.5427397249665473</v>
      </c>
      <c r="E3525" s="21">
        <f t="shared" ca="1" si="604"/>
        <v>9.6354619988978811</v>
      </c>
      <c r="F3525" s="20" t="str">
        <f t="shared" ca="1" si="602"/>
        <v>No</v>
      </c>
      <c r="G3525" s="21">
        <f t="shared" ca="1" si="598"/>
        <v>0</v>
      </c>
      <c r="H3525" s="21">
        <f t="shared" ca="1" si="599"/>
        <v>10688.683789655404</v>
      </c>
      <c r="I3525" s="21">
        <f t="shared" ca="1" si="594"/>
        <v>10693.22652938037</v>
      </c>
      <c r="J3525" s="20">
        <f t="shared" ca="1" si="603"/>
        <v>3</v>
      </c>
      <c r="K3525" s="20">
        <f t="shared" ca="1" si="595"/>
        <v>1</v>
      </c>
      <c r="L3525" s="44">
        <f t="shared" ca="1" si="600"/>
        <v>2</v>
      </c>
    </row>
    <row r="3526" spans="1:12" x14ac:dyDescent="0.25">
      <c r="A3526" s="20">
        <v>3518</v>
      </c>
      <c r="B3526" s="21">
        <f t="shared" ca="1" si="596"/>
        <v>3.4366182642274516</v>
      </c>
      <c r="C3526" s="21">
        <f t="shared" ca="1" si="601"/>
        <v>10682.484945920734</v>
      </c>
      <c r="D3526" s="21">
        <f t="shared" ca="1" si="597"/>
        <v>2.1273737230283754</v>
      </c>
      <c r="E3526" s="21">
        <f t="shared" ca="1" si="604"/>
        <v>10.741583459635876</v>
      </c>
      <c r="F3526" s="20" t="str">
        <f t="shared" ca="1" si="602"/>
        <v>No</v>
      </c>
      <c r="G3526" s="21">
        <f t="shared" ca="1" si="598"/>
        <v>0</v>
      </c>
      <c r="H3526" s="21">
        <f t="shared" ca="1" si="599"/>
        <v>10693.22652938037</v>
      </c>
      <c r="I3526" s="21">
        <f t="shared" ca="1" si="594"/>
        <v>10695.353903103398</v>
      </c>
      <c r="J3526" s="20">
        <f t="shared" ca="1" si="603"/>
        <v>2</v>
      </c>
      <c r="K3526" s="20">
        <f t="shared" ca="1" si="595"/>
        <v>1</v>
      </c>
      <c r="L3526" s="44">
        <f t="shared" ca="1" si="600"/>
        <v>1.5</v>
      </c>
    </row>
    <row r="3527" spans="1:12" x14ac:dyDescent="0.25">
      <c r="A3527" s="20">
        <v>3519</v>
      </c>
      <c r="B3527" s="21">
        <f t="shared" ca="1" si="596"/>
        <v>12.648923679235766</v>
      </c>
      <c r="C3527" s="21">
        <f t="shared" ca="1" si="601"/>
        <v>10695.133869599969</v>
      </c>
      <c r="D3527" s="21">
        <f t="shared" ca="1" si="597"/>
        <v>1.174537556125403</v>
      </c>
      <c r="E3527" s="21">
        <f t="shared" ca="1" si="604"/>
        <v>0.2200335034285672</v>
      </c>
      <c r="F3527" s="20" t="str">
        <f t="shared" ca="1" si="602"/>
        <v>No</v>
      </c>
      <c r="G3527" s="21">
        <f t="shared" ca="1" si="598"/>
        <v>0</v>
      </c>
      <c r="H3527" s="21">
        <f t="shared" ca="1" si="599"/>
        <v>10695.353903103398</v>
      </c>
      <c r="I3527" s="21">
        <f t="shared" ca="1" si="594"/>
        <v>10696.528440659524</v>
      </c>
      <c r="J3527" s="20">
        <f t="shared" ca="1" si="603"/>
        <v>2</v>
      </c>
      <c r="K3527" s="20">
        <f t="shared" ca="1" si="595"/>
        <v>0</v>
      </c>
      <c r="L3527" s="44">
        <f t="shared" ca="1" si="600"/>
        <v>1</v>
      </c>
    </row>
    <row r="3528" spans="1:12" x14ac:dyDescent="0.25">
      <c r="A3528" s="20">
        <v>3520</v>
      </c>
      <c r="B3528" s="21">
        <f t="shared" ca="1" si="596"/>
        <v>4.4404044245661822</v>
      </c>
      <c r="C3528" s="21">
        <f t="shared" ca="1" si="601"/>
        <v>10699.574274024535</v>
      </c>
      <c r="D3528" s="21">
        <f t="shared" ca="1" si="597"/>
        <v>20.146377868393898</v>
      </c>
      <c r="E3528" s="21">
        <f t="shared" ca="1" si="604"/>
        <v>0</v>
      </c>
      <c r="F3528" s="20" t="str">
        <f t="shared" ca="1" si="602"/>
        <v>Yes</v>
      </c>
      <c r="G3528" s="21">
        <f t="shared" ca="1" si="598"/>
        <v>3.0458333650112763</v>
      </c>
      <c r="H3528" s="21">
        <f t="shared" ca="1" si="599"/>
        <v>10699.574274024535</v>
      </c>
      <c r="I3528" s="21">
        <f t="shared" ca="1" si="594"/>
        <v>10719.720651892929</v>
      </c>
      <c r="J3528" s="20">
        <f t="shared" ca="1" si="603"/>
        <v>0</v>
      </c>
      <c r="K3528" s="20">
        <f t="shared" ca="1" si="595"/>
        <v>3</v>
      </c>
      <c r="L3528" s="44">
        <f t="shared" ca="1" si="600"/>
        <v>1.5</v>
      </c>
    </row>
    <row r="3529" spans="1:12" x14ac:dyDescent="0.25">
      <c r="A3529" s="20">
        <v>3521</v>
      </c>
      <c r="B3529" s="21">
        <f t="shared" ca="1" si="596"/>
        <v>0.29771371827141418</v>
      </c>
      <c r="C3529" s="21">
        <f t="shared" ca="1" si="601"/>
        <v>10699.871987742807</v>
      </c>
      <c r="D3529" s="21">
        <f t="shared" ca="1" si="597"/>
        <v>2.7373936064083164</v>
      </c>
      <c r="E3529" s="21">
        <f t="shared" ca="1" si="604"/>
        <v>19.848664150122204</v>
      </c>
      <c r="F3529" s="20" t="str">
        <f t="shared" ca="1" si="602"/>
        <v>No</v>
      </c>
      <c r="G3529" s="21">
        <f t="shared" ca="1" si="598"/>
        <v>0</v>
      </c>
      <c r="H3529" s="21">
        <f t="shared" ca="1" si="599"/>
        <v>10719.720651892929</v>
      </c>
      <c r="I3529" s="21">
        <f t="shared" ref="I3529:I3592" ca="1" si="605">$H3529+$D3529</f>
        <v>10722.458045499337</v>
      </c>
      <c r="J3529" s="20">
        <f t="shared" ca="1" si="603"/>
        <v>4</v>
      </c>
      <c r="K3529" s="20">
        <f t="shared" ref="K3529:K3592" ca="1" si="606">IF($I3529&lt;=$C3530,0,IF($I3529&lt;=$C3531,1,IF($I3529&lt;=$C3532,2,IF($I3529&lt;=$C3533,3,IF($I3529&lt;=$C3534,4,5)))))</f>
        <v>2</v>
      </c>
      <c r="L3529" s="44">
        <f t="shared" ca="1" si="600"/>
        <v>3</v>
      </c>
    </row>
    <row r="3530" spans="1:12" x14ac:dyDescent="0.25">
      <c r="A3530" s="20">
        <v>3522</v>
      </c>
      <c r="B3530" s="21">
        <f t="shared" ref="B3530:B3593" ca="1" si="607">-LN(RAND())/$D$4</f>
        <v>3.8730534008112754</v>
      </c>
      <c r="C3530" s="21">
        <f t="shared" ca="1" si="601"/>
        <v>10703.745041143618</v>
      </c>
      <c r="D3530" s="21">
        <f t="shared" ref="D3530:D3593" ca="1" si="608">-LN(RAND())/$D$6</f>
        <v>2.4208945378787039E-2</v>
      </c>
      <c r="E3530" s="21">
        <f t="shared" ca="1" si="604"/>
        <v>18.713004355719022</v>
      </c>
      <c r="F3530" s="20" t="str">
        <f t="shared" ca="1" si="602"/>
        <v>No</v>
      </c>
      <c r="G3530" s="21">
        <f t="shared" ref="G3530:G3593" ca="1" si="609">IF($I3529&lt;=$C3530,$C3530-$I3529,0)</f>
        <v>0</v>
      </c>
      <c r="H3530" s="21">
        <f t="shared" ref="H3530:H3593" ca="1" si="610">IF($I3529&lt;=$C3530,$C3530,$I3529)</f>
        <v>10722.458045499337</v>
      </c>
      <c r="I3530" s="21">
        <f t="shared" ca="1" si="605"/>
        <v>10722.482254444716</v>
      </c>
      <c r="J3530" s="20">
        <f t="shared" ca="1" si="603"/>
        <v>3</v>
      </c>
      <c r="K3530" s="20">
        <f t="shared" ca="1" si="606"/>
        <v>1</v>
      </c>
      <c r="L3530" s="44">
        <f t="shared" ref="L3530:L3593" ca="1" si="611">(J3530+K3530)/2</f>
        <v>2</v>
      </c>
    </row>
    <row r="3531" spans="1:12" x14ac:dyDescent="0.25">
      <c r="A3531" s="20">
        <v>3523</v>
      </c>
      <c r="B3531" s="21">
        <f t="shared" ca="1" si="607"/>
        <v>14.419498123576634</v>
      </c>
      <c r="C3531" s="21">
        <f t="shared" ref="C3531:C3594" ca="1" si="612">$C3530+$B3531</f>
        <v>10718.164539267194</v>
      </c>
      <c r="D3531" s="21">
        <f t="shared" ca="1" si="608"/>
        <v>5.4770936671054947E-3</v>
      </c>
      <c r="E3531" s="21">
        <f t="shared" ca="1" si="604"/>
        <v>4.3177151775216771</v>
      </c>
      <c r="F3531" s="20" t="str">
        <f t="shared" ref="F3531:F3594" ca="1" si="613">IF(E3531=0,"Yes","No")</f>
        <v>No</v>
      </c>
      <c r="G3531" s="21">
        <f t="shared" ca="1" si="609"/>
        <v>0</v>
      </c>
      <c r="H3531" s="21">
        <f t="shared" ca="1" si="610"/>
        <v>10722.482254444716</v>
      </c>
      <c r="I3531" s="21">
        <f t="shared" ca="1" si="605"/>
        <v>10722.487731538384</v>
      </c>
      <c r="J3531" s="20">
        <f t="shared" ref="J3531:J3594" ca="1" si="614">IF($I3530&lt;=$C3531,0,$K3530+1)</f>
        <v>2</v>
      </c>
      <c r="K3531" s="20">
        <f t="shared" ca="1" si="606"/>
        <v>0</v>
      </c>
      <c r="L3531" s="44">
        <f t="shared" ca="1" si="611"/>
        <v>1</v>
      </c>
    </row>
    <row r="3532" spans="1:12" x14ac:dyDescent="0.25">
      <c r="A3532" s="20">
        <v>3524</v>
      </c>
      <c r="B3532" s="21">
        <f t="shared" ca="1" si="607"/>
        <v>9.2300676411456113</v>
      </c>
      <c r="C3532" s="21">
        <f t="shared" ca="1" si="612"/>
        <v>10727.394606908339</v>
      </c>
      <c r="D3532" s="21">
        <f t="shared" ca="1" si="608"/>
        <v>1.6273308423752522</v>
      </c>
      <c r="E3532" s="21">
        <f t="shared" ref="E3532:E3595" ca="1" si="615">IF($I3531&lt;=$C3532,0,$I3531-$C3532)</f>
        <v>0</v>
      </c>
      <c r="F3532" s="20" t="str">
        <f t="shared" ca="1" si="613"/>
        <v>Yes</v>
      </c>
      <c r="G3532" s="21">
        <f t="shared" ca="1" si="609"/>
        <v>4.9068753699557419</v>
      </c>
      <c r="H3532" s="21">
        <f t="shared" ca="1" si="610"/>
        <v>10727.394606908339</v>
      </c>
      <c r="I3532" s="21">
        <f t="shared" ca="1" si="605"/>
        <v>10729.021937750715</v>
      </c>
      <c r="J3532" s="20">
        <f t="shared" ca="1" si="614"/>
        <v>0</v>
      </c>
      <c r="K3532" s="20">
        <f t="shared" ca="1" si="606"/>
        <v>0</v>
      </c>
      <c r="L3532" s="44">
        <f t="shared" ca="1" si="611"/>
        <v>0</v>
      </c>
    </row>
    <row r="3533" spans="1:12" x14ac:dyDescent="0.25">
      <c r="A3533" s="20">
        <v>3525</v>
      </c>
      <c r="B3533" s="21">
        <f t="shared" ca="1" si="607"/>
        <v>3.4985978254811068</v>
      </c>
      <c r="C3533" s="21">
        <f t="shared" ca="1" si="612"/>
        <v>10730.89320473382</v>
      </c>
      <c r="D3533" s="21">
        <f t="shared" ca="1" si="608"/>
        <v>3.3602983889087357</v>
      </c>
      <c r="E3533" s="21">
        <f t="shared" ca="1" si="615"/>
        <v>0</v>
      </c>
      <c r="F3533" s="20" t="str">
        <f t="shared" ca="1" si="613"/>
        <v>Yes</v>
      </c>
      <c r="G3533" s="21">
        <f t="shared" ca="1" si="609"/>
        <v>1.8712669831056701</v>
      </c>
      <c r="H3533" s="21">
        <f t="shared" ca="1" si="610"/>
        <v>10730.89320473382</v>
      </c>
      <c r="I3533" s="21">
        <f t="shared" ca="1" si="605"/>
        <v>10734.253503122729</v>
      </c>
      <c r="J3533" s="20">
        <f t="shared" ca="1" si="614"/>
        <v>0</v>
      </c>
      <c r="K3533" s="20">
        <f t="shared" ca="1" si="606"/>
        <v>0</v>
      </c>
      <c r="L3533" s="44">
        <f t="shared" ca="1" si="611"/>
        <v>0</v>
      </c>
    </row>
    <row r="3534" spans="1:12" x14ac:dyDescent="0.25">
      <c r="A3534" s="20">
        <v>3526</v>
      </c>
      <c r="B3534" s="21">
        <f t="shared" ca="1" si="607"/>
        <v>5.4749179090116442</v>
      </c>
      <c r="C3534" s="21">
        <f t="shared" ca="1" si="612"/>
        <v>10736.368122642833</v>
      </c>
      <c r="D3534" s="21">
        <f t="shared" ca="1" si="608"/>
        <v>0.22510517373896888</v>
      </c>
      <c r="E3534" s="21">
        <f t="shared" ca="1" si="615"/>
        <v>0</v>
      </c>
      <c r="F3534" s="20" t="str">
        <f t="shared" ca="1" si="613"/>
        <v>Yes</v>
      </c>
      <c r="G3534" s="21">
        <f t="shared" ca="1" si="609"/>
        <v>2.114619520103588</v>
      </c>
      <c r="H3534" s="21">
        <f t="shared" ca="1" si="610"/>
        <v>10736.368122642833</v>
      </c>
      <c r="I3534" s="21">
        <f t="shared" ca="1" si="605"/>
        <v>10736.593227816571</v>
      </c>
      <c r="J3534" s="20">
        <f t="shared" ca="1" si="614"/>
        <v>0</v>
      </c>
      <c r="K3534" s="20">
        <f t="shared" ca="1" si="606"/>
        <v>0</v>
      </c>
      <c r="L3534" s="44">
        <f t="shared" ca="1" si="611"/>
        <v>0</v>
      </c>
    </row>
    <row r="3535" spans="1:12" x14ac:dyDescent="0.25">
      <c r="A3535" s="20">
        <v>3527</v>
      </c>
      <c r="B3535" s="21">
        <f t="shared" ca="1" si="607"/>
        <v>0.38266854658134536</v>
      </c>
      <c r="C3535" s="21">
        <f t="shared" ca="1" si="612"/>
        <v>10736.750791189414</v>
      </c>
      <c r="D3535" s="21">
        <f t="shared" ca="1" si="608"/>
        <v>0.21912851512244108</v>
      </c>
      <c r="E3535" s="21">
        <f t="shared" ca="1" si="615"/>
        <v>0</v>
      </c>
      <c r="F3535" s="20" t="str">
        <f t="shared" ca="1" si="613"/>
        <v>Yes</v>
      </c>
      <c r="G3535" s="21">
        <f t="shared" ca="1" si="609"/>
        <v>0.15756337284256006</v>
      </c>
      <c r="H3535" s="21">
        <f t="shared" ca="1" si="610"/>
        <v>10736.750791189414</v>
      </c>
      <c r="I3535" s="21">
        <f t="shared" ca="1" si="605"/>
        <v>10736.969919704536</v>
      </c>
      <c r="J3535" s="20">
        <f t="shared" ca="1" si="614"/>
        <v>0</v>
      </c>
      <c r="K3535" s="20">
        <f t="shared" ca="1" si="606"/>
        <v>0</v>
      </c>
      <c r="L3535" s="44">
        <f t="shared" ca="1" si="611"/>
        <v>0</v>
      </c>
    </row>
    <row r="3536" spans="1:12" x14ac:dyDescent="0.25">
      <c r="A3536" s="20">
        <v>3528</v>
      </c>
      <c r="B3536" s="21">
        <f t="shared" ca="1" si="607"/>
        <v>2.7380020502080948</v>
      </c>
      <c r="C3536" s="21">
        <f t="shared" ca="1" si="612"/>
        <v>10739.488793239621</v>
      </c>
      <c r="D3536" s="21">
        <f t="shared" ca="1" si="608"/>
        <v>1.8710703633273933</v>
      </c>
      <c r="E3536" s="21">
        <f t="shared" ca="1" si="615"/>
        <v>0</v>
      </c>
      <c r="F3536" s="20" t="str">
        <f t="shared" ca="1" si="613"/>
        <v>Yes</v>
      </c>
      <c r="G3536" s="21">
        <f t="shared" ca="1" si="609"/>
        <v>2.5188735350857314</v>
      </c>
      <c r="H3536" s="21">
        <f t="shared" ca="1" si="610"/>
        <v>10739.488793239621</v>
      </c>
      <c r="I3536" s="21">
        <f t="shared" ca="1" si="605"/>
        <v>10741.359863602949</v>
      </c>
      <c r="J3536" s="20">
        <f t="shared" ca="1" si="614"/>
        <v>0</v>
      </c>
      <c r="K3536" s="20">
        <f t="shared" ca="1" si="606"/>
        <v>0</v>
      </c>
      <c r="L3536" s="44">
        <f t="shared" ca="1" si="611"/>
        <v>0</v>
      </c>
    </row>
    <row r="3537" spans="1:12" x14ac:dyDescent="0.25">
      <c r="A3537" s="20">
        <v>3529</v>
      </c>
      <c r="B3537" s="21">
        <f t="shared" ca="1" si="607"/>
        <v>2.5403348042828138</v>
      </c>
      <c r="C3537" s="21">
        <f t="shared" ca="1" si="612"/>
        <v>10742.029128043905</v>
      </c>
      <c r="D3537" s="21">
        <f t="shared" ca="1" si="608"/>
        <v>0.28759653953920733</v>
      </c>
      <c r="E3537" s="21">
        <f t="shared" ca="1" si="615"/>
        <v>0</v>
      </c>
      <c r="F3537" s="20" t="str">
        <f t="shared" ca="1" si="613"/>
        <v>Yes</v>
      </c>
      <c r="G3537" s="21">
        <f t="shared" ca="1" si="609"/>
        <v>0.66926444095588522</v>
      </c>
      <c r="H3537" s="21">
        <f t="shared" ca="1" si="610"/>
        <v>10742.029128043905</v>
      </c>
      <c r="I3537" s="21">
        <f t="shared" ca="1" si="605"/>
        <v>10742.316724583445</v>
      </c>
      <c r="J3537" s="20">
        <f t="shared" ca="1" si="614"/>
        <v>0</v>
      </c>
      <c r="K3537" s="20">
        <f t="shared" ca="1" si="606"/>
        <v>0</v>
      </c>
      <c r="L3537" s="44">
        <f t="shared" ca="1" si="611"/>
        <v>0</v>
      </c>
    </row>
    <row r="3538" spans="1:12" x14ac:dyDescent="0.25">
      <c r="A3538" s="20">
        <v>3530</v>
      </c>
      <c r="B3538" s="21">
        <f t="shared" ca="1" si="607"/>
        <v>11.98759592615586</v>
      </c>
      <c r="C3538" s="21">
        <f t="shared" ca="1" si="612"/>
        <v>10754.01672397006</v>
      </c>
      <c r="D3538" s="21">
        <f t="shared" ca="1" si="608"/>
        <v>9.3089062304978522E-3</v>
      </c>
      <c r="E3538" s="21">
        <f t="shared" ca="1" si="615"/>
        <v>0</v>
      </c>
      <c r="F3538" s="20" t="str">
        <f t="shared" ca="1" si="613"/>
        <v>Yes</v>
      </c>
      <c r="G3538" s="21">
        <f t="shared" ca="1" si="609"/>
        <v>11.699999386615673</v>
      </c>
      <c r="H3538" s="21">
        <f t="shared" ca="1" si="610"/>
        <v>10754.01672397006</v>
      </c>
      <c r="I3538" s="21">
        <f t="shared" ca="1" si="605"/>
        <v>10754.026032876291</v>
      </c>
      <c r="J3538" s="20">
        <f t="shared" ca="1" si="614"/>
        <v>0</v>
      </c>
      <c r="K3538" s="20">
        <f t="shared" ca="1" si="606"/>
        <v>0</v>
      </c>
      <c r="L3538" s="44">
        <f t="shared" ca="1" si="611"/>
        <v>0</v>
      </c>
    </row>
    <row r="3539" spans="1:12" x14ac:dyDescent="0.25">
      <c r="A3539" s="20">
        <v>3531</v>
      </c>
      <c r="B3539" s="21">
        <f t="shared" ca="1" si="607"/>
        <v>8.071092355956333</v>
      </c>
      <c r="C3539" s="21">
        <f t="shared" ca="1" si="612"/>
        <v>10762.087816326017</v>
      </c>
      <c r="D3539" s="21">
        <f t="shared" ca="1" si="608"/>
        <v>1.0206170470529865</v>
      </c>
      <c r="E3539" s="21">
        <f t="shared" ca="1" si="615"/>
        <v>0</v>
      </c>
      <c r="F3539" s="20" t="str">
        <f t="shared" ca="1" si="613"/>
        <v>Yes</v>
      </c>
      <c r="G3539" s="21">
        <f t="shared" ca="1" si="609"/>
        <v>8.0617834497261356</v>
      </c>
      <c r="H3539" s="21">
        <f t="shared" ca="1" si="610"/>
        <v>10762.087816326017</v>
      </c>
      <c r="I3539" s="21">
        <f t="shared" ca="1" si="605"/>
        <v>10763.108433373071</v>
      </c>
      <c r="J3539" s="20">
        <f t="shared" ca="1" si="614"/>
        <v>0</v>
      </c>
      <c r="K3539" s="20">
        <f t="shared" ca="1" si="606"/>
        <v>0</v>
      </c>
      <c r="L3539" s="44">
        <f t="shared" ca="1" si="611"/>
        <v>0</v>
      </c>
    </row>
    <row r="3540" spans="1:12" x14ac:dyDescent="0.25">
      <c r="A3540" s="20">
        <v>3532</v>
      </c>
      <c r="B3540" s="21">
        <f t="shared" ca="1" si="607"/>
        <v>1.5613369181801846</v>
      </c>
      <c r="C3540" s="21">
        <f t="shared" ca="1" si="612"/>
        <v>10763.649153244198</v>
      </c>
      <c r="D3540" s="21">
        <f t="shared" ca="1" si="608"/>
        <v>6.8464674077945302</v>
      </c>
      <c r="E3540" s="21">
        <f t="shared" ca="1" si="615"/>
        <v>0</v>
      </c>
      <c r="F3540" s="20" t="str">
        <f t="shared" ca="1" si="613"/>
        <v>Yes</v>
      </c>
      <c r="G3540" s="21">
        <f t="shared" ca="1" si="609"/>
        <v>0.54071987112729403</v>
      </c>
      <c r="H3540" s="21">
        <f t="shared" ca="1" si="610"/>
        <v>10763.649153244198</v>
      </c>
      <c r="I3540" s="21">
        <f t="shared" ca="1" si="605"/>
        <v>10770.495620651993</v>
      </c>
      <c r="J3540" s="20">
        <f t="shared" ca="1" si="614"/>
        <v>0</v>
      </c>
      <c r="K3540" s="20">
        <f t="shared" ca="1" si="606"/>
        <v>1</v>
      </c>
      <c r="L3540" s="44">
        <f t="shared" ca="1" si="611"/>
        <v>0.5</v>
      </c>
    </row>
    <row r="3541" spans="1:12" x14ac:dyDescent="0.25">
      <c r="A3541" s="20">
        <v>3533</v>
      </c>
      <c r="B3541" s="21">
        <f t="shared" ca="1" si="607"/>
        <v>2.2918650052633134</v>
      </c>
      <c r="C3541" s="21">
        <f t="shared" ca="1" si="612"/>
        <v>10765.941018249461</v>
      </c>
      <c r="D3541" s="21">
        <f t="shared" ca="1" si="608"/>
        <v>0.79346272342625446</v>
      </c>
      <c r="E3541" s="21">
        <f t="shared" ca="1" si="615"/>
        <v>4.5546024025316001</v>
      </c>
      <c r="F3541" s="20" t="str">
        <f t="shared" ca="1" si="613"/>
        <v>No</v>
      </c>
      <c r="G3541" s="21">
        <f t="shared" ca="1" si="609"/>
        <v>0</v>
      </c>
      <c r="H3541" s="21">
        <f t="shared" ca="1" si="610"/>
        <v>10770.495620651993</v>
      </c>
      <c r="I3541" s="21">
        <f t="shared" ca="1" si="605"/>
        <v>10771.289083375419</v>
      </c>
      <c r="J3541" s="20">
        <f t="shared" ca="1" si="614"/>
        <v>2</v>
      </c>
      <c r="K3541" s="20">
        <f t="shared" ca="1" si="606"/>
        <v>0</v>
      </c>
      <c r="L3541" s="44">
        <f t="shared" ca="1" si="611"/>
        <v>1</v>
      </c>
    </row>
    <row r="3542" spans="1:12" x14ac:dyDescent="0.25">
      <c r="A3542" s="20">
        <v>3534</v>
      </c>
      <c r="B3542" s="21">
        <f t="shared" ca="1" si="607"/>
        <v>9.5051090334692407</v>
      </c>
      <c r="C3542" s="21">
        <f t="shared" ca="1" si="612"/>
        <v>10775.44612728293</v>
      </c>
      <c r="D3542" s="21">
        <f t="shared" ca="1" si="608"/>
        <v>1.0872377451076718</v>
      </c>
      <c r="E3542" s="21">
        <f t="shared" ca="1" si="615"/>
        <v>0</v>
      </c>
      <c r="F3542" s="20" t="str">
        <f t="shared" ca="1" si="613"/>
        <v>Yes</v>
      </c>
      <c r="G3542" s="21">
        <f t="shared" ca="1" si="609"/>
        <v>4.1570439075112517</v>
      </c>
      <c r="H3542" s="21">
        <f t="shared" ca="1" si="610"/>
        <v>10775.44612728293</v>
      </c>
      <c r="I3542" s="21">
        <f t="shared" ca="1" si="605"/>
        <v>10776.533365028037</v>
      </c>
      <c r="J3542" s="20">
        <f t="shared" ca="1" si="614"/>
        <v>0</v>
      </c>
      <c r="K3542" s="20">
        <f t="shared" ca="1" si="606"/>
        <v>0</v>
      </c>
      <c r="L3542" s="44">
        <f t="shared" ca="1" si="611"/>
        <v>0</v>
      </c>
    </row>
    <row r="3543" spans="1:12" x14ac:dyDescent="0.25">
      <c r="A3543" s="20">
        <v>3535</v>
      </c>
      <c r="B3543" s="21">
        <f t="shared" ca="1" si="607"/>
        <v>3.2254787641942761</v>
      </c>
      <c r="C3543" s="21">
        <f t="shared" ca="1" si="612"/>
        <v>10778.671606047124</v>
      </c>
      <c r="D3543" s="21">
        <f t="shared" ca="1" si="608"/>
        <v>2.7972506472971217</v>
      </c>
      <c r="E3543" s="21">
        <f t="shared" ca="1" si="615"/>
        <v>0</v>
      </c>
      <c r="F3543" s="20" t="str">
        <f t="shared" ca="1" si="613"/>
        <v>Yes</v>
      </c>
      <c r="G3543" s="21">
        <f t="shared" ca="1" si="609"/>
        <v>2.1382410190872179</v>
      </c>
      <c r="H3543" s="21">
        <f t="shared" ca="1" si="610"/>
        <v>10778.671606047124</v>
      </c>
      <c r="I3543" s="21">
        <f t="shared" ca="1" si="605"/>
        <v>10781.468856694422</v>
      </c>
      <c r="J3543" s="20">
        <f t="shared" ca="1" si="614"/>
        <v>0</v>
      </c>
      <c r="K3543" s="20">
        <f t="shared" ca="1" si="606"/>
        <v>1</v>
      </c>
      <c r="L3543" s="44">
        <f t="shared" ca="1" si="611"/>
        <v>0.5</v>
      </c>
    </row>
    <row r="3544" spans="1:12" x14ac:dyDescent="0.25">
      <c r="A3544" s="20">
        <v>3536</v>
      </c>
      <c r="B3544" s="21">
        <f t="shared" ca="1" si="607"/>
        <v>2.1877604810826043</v>
      </c>
      <c r="C3544" s="21">
        <f t="shared" ca="1" si="612"/>
        <v>10780.859366528208</v>
      </c>
      <c r="D3544" s="21">
        <f t="shared" ca="1" si="608"/>
        <v>3.6390455318470738</v>
      </c>
      <c r="E3544" s="21">
        <f t="shared" ca="1" si="615"/>
        <v>0.60949016621452756</v>
      </c>
      <c r="F3544" s="20" t="str">
        <f t="shared" ca="1" si="613"/>
        <v>No</v>
      </c>
      <c r="G3544" s="21">
        <f t="shared" ca="1" si="609"/>
        <v>0</v>
      </c>
      <c r="H3544" s="21">
        <f t="shared" ca="1" si="610"/>
        <v>10781.468856694422</v>
      </c>
      <c r="I3544" s="21">
        <f t="shared" ca="1" si="605"/>
        <v>10785.107902226269</v>
      </c>
      <c r="J3544" s="20">
        <f t="shared" ca="1" si="614"/>
        <v>2</v>
      </c>
      <c r="K3544" s="20">
        <f t="shared" ca="1" si="606"/>
        <v>0</v>
      </c>
      <c r="L3544" s="44">
        <f t="shared" ca="1" si="611"/>
        <v>1</v>
      </c>
    </row>
    <row r="3545" spans="1:12" x14ac:dyDescent="0.25">
      <c r="A3545" s="20">
        <v>3537</v>
      </c>
      <c r="B3545" s="21">
        <f t="shared" ca="1" si="607"/>
        <v>5.0218632878153802</v>
      </c>
      <c r="C3545" s="21">
        <f t="shared" ca="1" si="612"/>
        <v>10785.881229816023</v>
      </c>
      <c r="D3545" s="21">
        <f t="shared" ca="1" si="608"/>
        <v>2.4565118425784584</v>
      </c>
      <c r="E3545" s="21">
        <f t="shared" ca="1" si="615"/>
        <v>0</v>
      </c>
      <c r="F3545" s="20" t="str">
        <f t="shared" ca="1" si="613"/>
        <v>Yes</v>
      </c>
      <c r="G3545" s="21">
        <f t="shared" ca="1" si="609"/>
        <v>0.77332758975353499</v>
      </c>
      <c r="H3545" s="21">
        <f t="shared" ca="1" si="610"/>
        <v>10785.881229816023</v>
      </c>
      <c r="I3545" s="21">
        <f t="shared" ca="1" si="605"/>
        <v>10788.337741658601</v>
      </c>
      <c r="J3545" s="20">
        <f t="shared" ca="1" si="614"/>
        <v>0</v>
      </c>
      <c r="K3545" s="20">
        <f t="shared" ca="1" si="606"/>
        <v>1</v>
      </c>
      <c r="L3545" s="44">
        <f t="shared" ca="1" si="611"/>
        <v>0.5</v>
      </c>
    </row>
    <row r="3546" spans="1:12" x14ac:dyDescent="0.25">
      <c r="A3546" s="20">
        <v>3538</v>
      </c>
      <c r="B3546" s="21">
        <f t="shared" ca="1" si="607"/>
        <v>0.34573286283253246</v>
      </c>
      <c r="C3546" s="21">
        <f t="shared" ca="1" si="612"/>
        <v>10786.226962678855</v>
      </c>
      <c r="D3546" s="21">
        <f t="shared" ca="1" si="608"/>
        <v>0.93588289035790506</v>
      </c>
      <c r="E3546" s="21">
        <f t="shared" ca="1" si="615"/>
        <v>2.110778979746101</v>
      </c>
      <c r="F3546" s="20" t="str">
        <f t="shared" ca="1" si="613"/>
        <v>No</v>
      </c>
      <c r="G3546" s="21">
        <f t="shared" ca="1" si="609"/>
        <v>0</v>
      </c>
      <c r="H3546" s="21">
        <f t="shared" ca="1" si="610"/>
        <v>10788.337741658601</v>
      </c>
      <c r="I3546" s="21">
        <f t="shared" ca="1" si="605"/>
        <v>10789.27362454896</v>
      </c>
      <c r="J3546" s="20">
        <f t="shared" ca="1" si="614"/>
        <v>2</v>
      </c>
      <c r="K3546" s="20">
        <f t="shared" ca="1" si="606"/>
        <v>0</v>
      </c>
      <c r="L3546" s="44">
        <f t="shared" ca="1" si="611"/>
        <v>1</v>
      </c>
    </row>
    <row r="3547" spans="1:12" x14ac:dyDescent="0.25">
      <c r="A3547" s="20">
        <v>3539</v>
      </c>
      <c r="B3547" s="21">
        <f t="shared" ca="1" si="607"/>
        <v>4.0462446784525019</v>
      </c>
      <c r="C3547" s="21">
        <f t="shared" ca="1" si="612"/>
        <v>10790.273207357308</v>
      </c>
      <c r="D3547" s="21">
        <f t="shared" ca="1" si="608"/>
        <v>2.6536941182903537</v>
      </c>
      <c r="E3547" s="21">
        <f t="shared" ca="1" si="615"/>
        <v>0</v>
      </c>
      <c r="F3547" s="20" t="str">
        <f t="shared" ca="1" si="613"/>
        <v>Yes</v>
      </c>
      <c r="G3547" s="21">
        <f t="shared" ca="1" si="609"/>
        <v>0.99958280834835023</v>
      </c>
      <c r="H3547" s="21">
        <f t="shared" ca="1" si="610"/>
        <v>10790.273207357308</v>
      </c>
      <c r="I3547" s="21">
        <f t="shared" ca="1" si="605"/>
        <v>10792.926901475599</v>
      </c>
      <c r="J3547" s="20">
        <f t="shared" ca="1" si="614"/>
        <v>0</v>
      </c>
      <c r="K3547" s="20">
        <f t="shared" ca="1" si="606"/>
        <v>1</v>
      </c>
      <c r="L3547" s="44">
        <f t="shared" ca="1" si="611"/>
        <v>0.5</v>
      </c>
    </row>
    <row r="3548" spans="1:12" x14ac:dyDescent="0.25">
      <c r="A3548" s="20">
        <v>3540</v>
      </c>
      <c r="B3548" s="21">
        <f t="shared" ca="1" si="607"/>
        <v>2.0118127711813143</v>
      </c>
      <c r="C3548" s="21">
        <f t="shared" ca="1" si="612"/>
        <v>10792.285020128489</v>
      </c>
      <c r="D3548" s="21">
        <f t="shared" ca="1" si="608"/>
        <v>2.7231475056401719</v>
      </c>
      <c r="E3548" s="21">
        <f t="shared" ca="1" si="615"/>
        <v>0.64188134711002931</v>
      </c>
      <c r="F3548" s="20" t="str">
        <f t="shared" ca="1" si="613"/>
        <v>No</v>
      </c>
      <c r="G3548" s="21">
        <f t="shared" ca="1" si="609"/>
        <v>0</v>
      </c>
      <c r="H3548" s="21">
        <f t="shared" ca="1" si="610"/>
        <v>10792.926901475599</v>
      </c>
      <c r="I3548" s="21">
        <f t="shared" ca="1" si="605"/>
        <v>10795.650048981239</v>
      </c>
      <c r="J3548" s="20">
        <f t="shared" ca="1" si="614"/>
        <v>2</v>
      </c>
      <c r="K3548" s="20">
        <f t="shared" ca="1" si="606"/>
        <v>1</v>
      </c>
      <c r="L3548" s="44">
        <f t="shared" ca="1" si="611"/>
        <v>1.5</v>
      </c>
    </row>
    <row r="3549" spans="1:12" x14ac:dyDescent="0.25">
      <c r="A3549" s="20">
        <v>3541</v>
      </c>
      <c r="B3549" s="21">
        <f t="shared" ca="1" si="607"/>
        <v>2.3773253166645114</v>
      </c>
      <c r="C3549" s="21">
        <f t="shared" ca="1" si="612"/>
        <v>10794.662345445153</v>
      </c>
      <c r="D3549" s="21">
        <f t="shared" ca="1" si="608"/>
        <v>4.179719371044448</v>
      </c>
      <c r="E3549" s="21">
        <f t="shared" ca="1" si="615"/>
        <v>0.98770353608597361</v>
      </c>
      <c r="F3549" s="20" t="str">
        <f t="shared" ca="1" si="613"/>
        <v>No</v>
      </c>
      <c r="G3549" s="21">
        <f t="shared" ca="1" si="609"/>
        <v>0</v>
      </c>
      <c r="H3549" s="21">
        <f t="shared" ca="1" si="610"/>
        <v>10795.650048981239</v>
      </c>
      <c r="I3549" s="21">
        <f t="shared" ca="1" si="605"/>
        <v>10799.829768352283</v>
      </c>
      <c r="J3549" s="20">
        <f t="shared" ca="1" si="614"/>
        <v>2</v>
      </c>
      <c r="K3549" s="20">
        <f t="shared" ca="1" si="606"/>
        <v>1</v>
      </c>
      <c r="L3549" s="44">
        <f t="shared" ca="1" si="611"/>
        <v>1.5</v>
      </c>
    </row>
    <row r="3550" spans="1:12" x14ac:dyDescent="0.25">
      <c r="A3550" s="20">
        <v>3542</v>
      </c>
      <c r="B3550" s="21">
        <f t="shared" ca="1" si="607"/>
        <v>1.4529396784940842</v>
      </c>
      <c r="C3550" s="21">
        <f t="shared" ca="1" si="612"/>
        <v>10796.115285123647</v>
      </c>
      <c r="D3550" s="21">
        <f t="shared" ca="1" si="608"/>
        <v>0.22848387237737516</v>
      </c>
      <c r="E3550" s="21">
        <f t="shared" ca="1" si="615"/>
        <v>3.7144832286357996</v>
      </c>
      <c r="F3550" s="20" t="str">
        <f t="shared" ca="1" si="613"/>
        <v>No</v>
      </c>
      <c r="G3550" s="21">
        <f t="shared" ca="1" si="609"/>
        <v>0</v>
      </c>
      <c r="H3550" s="21">
        <f t="shared" ca="1" si="610"/>
        <v>10799.829768352283</v>
      </c>
      <c r="I3550" s="21">
        <f t="shared" ca="1" si="605"/>
        <v>10800.05825222466</v>
      </c>
      <c r="J3550" s="20">
        <f t="shared" ca="1" si="614"/>
        <v>2</v>
      </c>
      <c r="K3550" s="20">
        <f t="shared" ca="1" si="606"/>
        <v>0</v>
      </c>
      <c r="L3550" s="44">
        <f t="shared" ca="1" si="611"/>
        <v>1</v>
      </c>
    </row>
    <row r="3551" spans="1:12" x14ac:dyDescent="0.25">
      <c r="A3551" s="20">
        <v>3543</v>
      </c>
      <c r="B3551" s="21">
        <f t="shared" ca="1" si="607"/>
        <v>6.7130906826578967</v>
      </c>
      <c r="C3551" s="21">
        <f t="shared" ca="1" si="612"/>
        <v>10802.828375806306</v>
      </c>
      <c r="D3551" s="21">
        <f t="shared" ca="1" si="608"/>
        <v>4.0589219584123581</v>
      </c>
      <c r="E3551" s="21">
        <f t="shared" ca="1" si="615"/>
        <v>0</v>
      </c>
      <c r="F3551" s="20" t="str">
        <f t="shared" ca="1" si="613"/>
        <v>Yes</v>
      </c>
      <c r="G3551" s="21">
        <f t="shared" ca="1" si="609"/>
        <v>2.7701235816457483</v>
      </c>
      <c r="H3551" s="21">
        <f t="shared" ca="1" si="610"/>
        <v>10802.828375806306</v>
      </c>
      <c r="I3551" s="21">
        <f t="shared" ca="1" si="605"/>
        <v>10806.887297764719</v>
      </c>
      <c r="J3551" s="20">
        <f t="shared" ca="1" si="614"/>
        <v>0</v>
      </c>
      <c r="K3551" s="20">
        <f t="shared" ca="1" si="606"/>
        <v>5</v>
      </c>
      <c r="L3551" s="44">
        <f t="shared" ca="1" si="611"/>
        <v>2.5</v>
      </c>
    </row>
    <row r="3552" spans="1:12" x14ac:dyDescent="0.25">
      <c r="A3552" s="20">
        <v>3544</v>
      </c>
      <c r="B3552" s="21">
        <f t="shared" ca="1" si="607"/>
        <v>0.59999196665086907</v>
      </c>
      <c r="C3552" s="21">
        <f t="shared" ca="1" si="612"/>
        <v>10803.428367772956</v>
      </c>
      <c r="D3552" s="21">
        <f t="shared" ca="1" si="608"/>
        <v>1.1362981227587559</v>
      </c>
      <c r="E3552" s="21">
        <f t="shared" ca="1" si="615"/>
        <v>3.4589299917624885</v>
      </c>
      <c r="F3552" s="20" t="str">
        <f t="shared" ca="1" si="613"/>
        <v>No</v>
      </c>
      <c r="G3552" s="21">
        <f t="shared" ca="1" si="609"/>
        <v>0</v>
      </c>
      <c r="H3552" s="21">
        <f t="shared" ca="1" si="610"/>
        <v>10806.887297764719</v>
      </c>
      <c r="I3552" s="21">
        <f t="shared" ca="1" si="605"/>
        <v>10808.023595887478</v>
      </c>
      <c r="J3552" s="20">
        <f t="shared" ca="1" si="614"/>
        <v>6</v>
      </c>
      <c r="K3552" s="20">
        <f t="shared" ca="1" si="606"/>
        <v>4</v>
      </c>
      <c r="L3552" s="44">
        <f t="shared" ca="1" si="611"/>
        <v>5</v>
      </c>
    </row>
    <row r="3553" spans="1:12" x14ac:dyDescent="0.25">
      <c r="A3553" s="20">
        <v>3545</v>
      </c>
      <c r="B3553" s="21">
        <f t="shared" ca="1" si="607"/>
        <v>0.9953868377249524</v>
      </c>
      <c r="C3553" s="21">
        <f t="shared" ca="1" si="612"/>
        <v>10804.423754610681</v>
      </c>
      <c r="D3553" s="21">
        <f t="shared" ca="1" si="608"/>
        <v>2.8471482725776291</v>
      </c>
      <c r="E3553" s="21">
        <f t="shared" ca="1" si="615"/>
        <v>3.5998412767967238</v>
      </c>
      <c r="F3553" s="20" t="str">
        <f t="shared" ca="1" si="613"/>
        <v>No</v>
      </c>
      <c r="G3553" s="21">
        <f t="shared" ca="1" si="609"/>
        <v>0</v>
      </c>
      <c r="H3553" s="21">
        <f t="shared" ca="1" si="610"/>
        <v>10808.023595887478</v>
      </c>
      <c r="I3553" s="21">
        <f t="shared" ca="1" si="605"/>
        <v>10810.870744160056</v>
      </c>
      <c r="J3553" s="20">
        <f t="shared" ca="1" si="614"/>
        <v>5</v>
      </c>
      <c r="K3553" s="20">
        <f t="shared" ca="1" si="606"/>
        <v>5</v>
      </c>
      <c r="L3553" s="44">
        <f t="shared" ca="1" si="611"/>
        <v>5</v>
      </c>
    </row>
    <row r="3554" spans="1:12" x14ac:dyDescent="0.25">
      <c r="A3554" s="20">
        <v>3546</v>
      </c>
      <c r="B3554" s="21">
        <f t="shared" ca="1" si="607"/>
        <v>6.4120308904438761E-2</v>
      </c>
      <c r="C3554" s="21">
        <f t="shared" ca="1" si="612"/>
        <v>10804.487874919587</v>
      </c>
      <c r="D3554" s="21">
        <f t="shared" ca="1" si="608"/>
        <v>1.2762126507658871</v>
      </c>
      <c r="E3554" s="21">
        <f t="shared" ca="1" si="615"/>
        <v>6.3828692404695175</v>
      </c>
      <c r="F3554" s="20" t="str">
        <f t="shared" ca="1" si="613"/>
        <v>No</v>
      </c>
      <c r="G3554" s="21">
        <f t="shared" ca="1" si="609"/>
        <v>0</v>
      </c>
      <c r="H3554" s="21">
        <f t="shared" ca="1" si="610"/>
        <v>10810.870744160056</v>
      </c>
      <c r="I3554" s="21">
        <f t="shared" ca="1" si="605"/>
        <v>10812.146956810822</v>
      </c>
      <c r="J3554" s="20">
        <f t="shared" ca="1" si="614"/>
        <v>6</v>
      </c>
      <c r="K3554" s="20">
        <f t="shared" ca="1" si="606"/>
        <v>4</v>
      </c>
      <c r="L3554" s="44">
        <f t="shared" ca="1" si="611"/>
        <v>5</v>
      </c>
    </row>
    <row r="3555" spans="1:12" x14ac:dyDescent="0.25">
      <c r="A3555" s="20">
        <v>3547</v>
      </c>
      <c r="B3555" s="21">
        <f t="shared" ca="1" si="607"/>
        <v>6.1797984786819173E-2</v>
      </c>
      <c r="C3555" s="21">
        <f t="shared" ca="1" si="612"/>
        <v>10804.549672904373</v>
      </c>
      <c r="D3555" s="21">
        <f t="shared" ca="1" si="608"/>
        <v>1.301414885011684</v>
      </c>
      <c r="E3555" s="21">
        <f t="shared" ca="1" si="615"/>
        <v>7.5972839064488653</v>
      </c>
      <c r="F3555" s="20" t="str">
        <f t="shared" ca="1" si="613"/>
        <v>No</v>
      </c>
      <c r="G3555" s="21">
        <f t="shared" ca="1" si="609"/>
        <v>0</v>
      </c>
      <c r="H3555" s="21">
        <f t="shared" ca="1" si="610"/>
        <v>10812.146956810822</v>
      </c>
      <c r="I3555" s="21">
        <f t="shared" ca="1" si="605"/>
        <v>10813.448371695835</v>
      </c>
      <c r="J3555" s="20">
        <f t="shared" ca="1" si="614"/>
        <v>5</v>
      </c>
      <c r="K3555" s="20">
        <f t="shared" ca="1" si="606"/>
        <v>5</v>
      </c>
      <c r="L3555" s="44">
        <f t="shared" ca="1" si="611"/>
        <v>5</v>
      </c>
    </row>
    <row r="3556" spans="1:12" x14ac:dyDescent="0.25">
      <c r="A3556" s="20">
        <v>3548</v>
      </c>
      <c r="B3556" s="21">
        <f t="shared" ca="1" si="607"/>
        <v>0.73134917072518524</v>
      </c>
      <c r="C3556" s="21">
        <f t="shared" ca="1" si="612"/>
        <v>10805.281022075098</v>
      </c>
      <c r="D3556" s="21">
        <f t="shared" ca="1" si="608"/>
        <v>0.38673222359568094</v>
      </c>
      <c r="E3556" s="21">
        <f t="shared" ca="1" si="615"/>
        <v>8.1673496207367862</v>
      </c>
      <c r="F3556" s="20" t="str">
        <f t="shared" ca="1" si="613"/>
        <v>No</v>
      </c>
      <c r="G3556" s="21">
        <f t="shared" ca="1" si="609"/>
        <v>0</v>
      </c>
      <c r="H3556" s="21">
        <f t="shared" ca="1" si="610"/>
        <v>10813.448371695835</v>
      </c>
      <c r="I3556" s="21">
        <f t="shared" ca="1" si="605"/>
        <v>10813.835103919431</v>
      </c>
      <c r="J3556" s="20">
        <f t="shared" ca="1" si="614"/>
        <v>6</v>
      </c>
      <c r="K3556" s="20">
        <f t="shared" ca="1" si="606"/>
        <v>4</v>
      </c>
      <c r="L3556" s="44">
        <f t="shared" ca="1" si="611"/>
        <v>5</v>
      </c>
    </row>
    <row r="3557" spans="1:12" x14ac:dyDescent="0.25">
      <c r="A3557" s="20">
        <v>3549</v>
      </c>
      <c r="B3557" s="21">
        <f t="shared" ca="1" si="607"/>
        <v>4.3652330109039053</v>
      </c>
      <c r="C3557" s="21">
        <f t="shared" ca="1" si="612"/>
        <v>10809.646255086001</v>
      </c>
      <c r="D3557" s="21">
        <f t="shared" ca="1" si="608"/>
        <v>9.791296970020019</v>
      </c>
      <c r="E3557" s="21">
        <f t="shared" ca="1" si="615"/>
        <v>4.1888488334298017</v>
      </c>
      <c r="F3557" s="20" t="str">
        <f t="shared" ca="1" si="613"/>
        <v>No</v>
      </c>
      <c r="G3557" s="21">
        <f t="shared" ca="1" si="609"/>
        <v>0</v>
      </c>
      <c r="H3557" s="21">
        <f t="shared" ca="1" si="610"/>
        <v>10813.835103919431</v>
      </c>
      <c r="I3557" s="21">
        <f t="shared" ca="1" si="605"/>
        <v>10823.62640088945</v>
      </c>
      <c r="J3557" s="20">
        <f t="shared" ca="1" si="614"/>
        <v>5</v>
      </c>
      <c r="K3557" s="20">
        <f t="shared" ca="1" si="606"/>
        <v>5</v>
      </c>
      <c r="L3557" s="44">
        <f t="shared" ca="1" si="611"/>
        <v>5</v>
      </c>
    </row>
    <row r="3558" spans="1:12" x14ac:dyDescent="0.25">
      <c r="A3558" s="20">
        <v>3550</v>
      </c>
      <c r="B3558" s="21">
        <f t="shared" ca="1" si="607"/>
        <v>0.16476246735077391</v>
      </c>
      <c r="C3558" s="21">
        <f t="shared" ca="1" si="612"/>
        <v>10809.811017553353</v>
      </c>
      <c r="D3558" s="21">
        <f t="shared" ca="1" si="608"/>
        <v>6.8957085498277371</v>
      </c>
      <c r="E3558" s="21">
        <f t="shared" ca="1" si="615"/>
        <v>13.815383336097511</v>
      </c>
      <c r="F3558" s="20" t="str">
        <f t="shared" ca="1" si="613"/>
        <v>No</v>
      </c>
      <c r="G3558" s="21">
        <f t="shared" ca="1" si="609"/>
        <v>0</v>
      </c>
      <c r="H3558" s="21">
        <f t="shared" ca="1" si="610"/>
        <v>10823.62640088945</v>
      </c>
      <c r="I3558" s="21">
        <f t="shared" ca="1" si="605"/>
        <v>10830.522109439278</v>
      </c>
      <c r="J3558" s="20">
        <f t="shared" ca="1" si="614"/>
        <v>6</v>
      </c>
      <c r="K3558" s="20">
        <f t="shared" ca="1" si="606"/>
        <v>5</v>
      </c>
      <c r="L3558" s="44">
        <f t="shared" ca="1" si="611"/>
        <v>5.5</v>
      </c>
    </row>
    <row r="3559" spans="1:12" x14ac:dyDescent="0.25">
      <c r="A3559" s="20">
        <v>3551</v>
      </c>
      <c r="B3559" s="21">
        <f t="shared" ca="1" si="607"/>
        <v>2.9074498460684883</v>
      </c>
      <c r="C3559" s="21">
        <f t="shared" ca="1" si="612"/>
        <v>10812.718467399422</v>
      </c>
      <c r="D3559" s="21">
        <f t="shared" ca="1" si="608"/>
        <v>7.0799814418938185</v>
      </c>
      <c r="E3559" s="21">
        <f t="shared" ca="1" si="615"/>
        <v>17.803642039856641</v>
      </c>
      <c r="F3559" s="20" t="str">
        <f t="shared" ca="1" si="613"/>
        <v>No</v>
      </c>
      <c r="G3559" s="21">
        <f t="shared" ca="1" si="609"/>
        <v>0</v>
      </c>
      <c r="H3559" s="21">
        <f t="shared" ca="1" si="610"/>
        <v>10830.522109439278</v>
      </c>
      <c r="I3559" s="21">
        <f t="shared" ca="1" si="605"/>
        <v>10837.602090881172</v>
      </c>
      <c r="J3559" s="20">
        <f t="shared" ca="1" si="614"/>
        <v>6</v>
      </c>
      <c r="K3559" s="20">
        <f t="shared" ca="1" si="606"/>
        <v>5</v>
      </c>
      <c r="L3559" s="44">
        <f t="shared" ca="1" si="611"/>
        <v>5.5</v>
      </c>
    </row>
    <row r="3560" spans="1:12" x14ac:dyDescent="0.25">
      <c r="A3560" s="20">
        <v>3552</v>
      </c>
      <c r="B3560" s="21">
        <f t="shared" ca="1" si="607"/>
        <v>0.38170877038834233</v>
      </c>
      <c r="C3560" s="21">
        <f t="shared" ca="1" si="612"/>
        <v>10813.10017616981</v>
      </c>
      <c r="D3560" s="21">
        <f t="shared" ca="1" si="608"/>
        <v>2.7716863204131723</v>
      </c>
      <c r="E3560" s="21">
        <f t="shared" ca="1" si="615"/>
        <v>24.501914711361678</v>
      </c>
      <c r="F3560" s="20" t="str">
        <f t="shared" ca="1" si="613"/>
        <v>No</v>
      </c>
      <c r="G3560" s="21">
        <f t="shared" ca="1" si="609"/>
        <v>0</v>
      </c>
      <c r="H3560" s="21">
        <f t="shared" ca="1" si="610"/>
        <v>10837.602090881172</v>
      </c>
      <c r="I3560" s="21">
        <f t="shared" ca="1" si="605"/>
        <v>10840.373777201585</v>
      </c>
      <c r="J3560" s="20">
        <f t="shared" ca="1" si="614"/>
        <v>6</v>
      </c>
      <c r="K3560" s="20">
        <f t="shared" ca="1" si="606"/>
        <v>5</v>
      </c>
      <c r="L3560" s="44">
        <f t="shared" ca="1" si="611"/>
        <v>5.5</v>
      </c>
    </row>
    <row r="3561" spans="1:12" x14ac:dyDescent="0.25">
      <c r="A3561" s="20">
        <v>3553</v>
      </c>
      <c r="B3561" s="21">
        <f t="shared" ca="1" si="607"/>
        <v>8.5309777848207595</v>
      </c>
      <c r="C3561" s="21">
        <f t="shared" ca="1" si="612"/>
        <v>10821.631153954631</v>
      </c>
      <c r="D3561" s="21">
        <f t="shared" ca="1" si="608"/>
        <v>5.6831941251186278</v>
      </c>
      <c r="E3561" s="21">
        <f t="shared" ca="1" si="615"/>
        <v>18.742623246953372</v>
      </c>
      <c r="F3561" s="20" t="str">
        <f t="shared" ca="1" si="613"/>
        <v>No</v>
      </c>
      <c r="G3561" s="21">
        <f t="shared" ca="1" si="609"/>
        <v>0</v>
      </c>
      <c r="H3561" s="21">
        <f t="shared" ca="1" si="610"/>
        <v>10840.373777201585</v>
      </c>
      <c r="I3561" s="21">
        <f t="shared" ca="1" si="605"/>
        <v>10846.056971326703</v>
      </c>
      <c r="J3561" s="20">
        <f t="shared" ca="1" si="614"/>
        <v>6</v>
      </c>
      <c r="K3561" s="20">
        <f t="shared" ca="1" si="606"/>
        <v>5</v>
      </c>
      <c r="L3561" s="44">
        <f t="shared" ca="1" si="611"/>
        <v>5.5</v>
      </c>
    </row>
    <row r="3562" spans="1:12" x14ac:dyDescent="0.25">
      <c r="A3562" s="20">
        <v>3554</v>
      </c>
      <c r="B3562" s="21">
        <f t="shared" ca="1" si="607"/>
        <v>0.5647211146724912</v>
      </c>
      <c r="C3562" s="21">
        <f t="shared" ca="1" si="612"/>
        <v>10822.195875069305</v>
      </c>
      <c r="D3562" s="21">
        <f t="shared" ca="1" si="608"/>
        <v>0.70025965352165154</v>
      </c>
      <c r="E3562" s="21">
        <f t="shared" ca="1" si="615"/>
        <v>23.861096257398458</v>
      </c>
      <c r="F3562" s="20" t="str">
        <f t="shared" ca="1" si="613"/>
        <v>No</v>
      </c>
      <c r="G3562" s="21">
        <f t="shared" ca="1" si="609"/>
        <v>0</v>
      </c>
      <c r="H3562" s="21">
        <f t="shared" ca="1" si="610"/>
        <v>10846.056971326703</v>
      </c>
      <c r="I3562" s="21">
        <f t="shared" ca="1" si="605"/>
        <v>10846.757230980225</v>
      </c>
      <c r="J3562" s="20">
        <f t="shared" ca="1" si="614"/>
        <v>6</v>
      </c>
      <c r="K3562" s="20">
        <f t="shared" ca="1" si="606"/>
        <v>5</v>
      </c>
      <c r="L3562" s="44">
        <f t="shared" ca="1" si="611"/>
        <v>5.5</v>
      </c>
    </row>
    <row r="3563" spans="1:12" x14ac:dyDescent="0.25">
      <c r="A3563" s="20">
        <v>3555</v>
      </c>
      <c r="B3563" s="21">
        <f t="shared" ca="1" si="607"/>
        <v>3.030381747667668</v>
      </c>
      <c r="C3563" s="21">
        <f t="shared" ca="1" si="612"/>
        <v>10825.226256816972</v>
      </c>
      <c r="D3563" s="21">
        <f t="shared" ca="1" si="608"/>
        <v>1.9708993515053808</v>
      </c>
      <c r="E3563" s="21">
        <f t="shared" ca="1" si="615"/>
        <v>21.530974163253632</v>
      </c>
      <c r="F3563" s="20" t="str">
        <f t="shared" ca="1" si="613"/>
        <v>No</v>
      </c>
      <c r="G3563" s="21">
        <f t="shared" ca="1" si="609"/>
        <v>0</v>
      </c>
      <c r="H3563" s="21">
        <f t="shared" ca="1" si="610"/>
        <v>10846.757230980225</v>
      </c>
      <c r="I3563" s="21">
        <f t="shared" ca="1" si="605"/>
        <v>10848.72813033173</v>
      </c>
      <c r="J3563" s="20">
        <f t="shared" ca="1" si="614"/>
        <v>6</v>
      </c>
      <c r="K3563" s="20">
        <f t="shared" ca="1" si="606"/>
        <v>5</v>
      </c>
      <c r="L3563" s="44">
        <f t="shared" ca="1" si="611"/>
        <v>5.5</v>
      </c>
    </row>
    <row r="3564" spans="1:12" x14ac:dyDescent="0.25">
      <c r="A3564" s="20">
        <v>3556</v>
      </c>
      <c r="B3564" s="21">
        <f t="shared" ca="1" si="607"/>
        <v>3.5968738717141466</v>
      </c>
      <c r="C3564" s="21">
        <f t="shared" ca="1" si="612"/>
        <v>10828.823130688686</v>
      </c>
      <c r="D3564" s="21">
        <f t="shared" ca="1" si="608"/>
        <v>1.1310856880273561</v>
      </c>
      <c r="E3564" s="21">
        <f t="shared" ca="1" si="615"/>
        <v>19.904999643043993</v>
      </c>
      <c r="F3564" s="20" t="str">
        <f t="shared" ca="1" si="613"/>
        <v>No</v>
      </c>
      <c r="G3564" s="21">
        <f t="shared" ca="1" si="609"/>
        <v>0</v>
      </c>
      <c r="H3564" s="21">
        <f t="shared" ca="1" si="610"/>
        <v>10848.72813033173</v>
      </c>
      <c r="I3564" s="21">
        <f t="shared" ca="1" si="605"/>
        <v>10849.859216019759</v>
      </c>
      <c r="J3564" s="20">
        <f t="shared" ca="1" si="614"/>
        <v>6</v>
      </c>
      <c r="K3564" s="20">
        <f t="shared" ca="1" si="606"/>
        <v>5</v>
      </c>
      <c r="L3564" s="44">
        <f t="shared" ca="1" si="611"/>
        <v>5.5</v>
      </c>
    </row>
    <row r="3565" spans="1:12" x14ac:dyDescent="0.25">
      <c r="A3565" s="20">
        <v>3557</v>
      </c>
      <c r="B3565" s="21">
        <f t="shared" ca="1" si="607"/>
        <v>0.18883830636600005</v>
      </c>
      <c r="C3565" s="21">
        <f t="shared" ca="1" si="612"/>
        <v>10829.011968995052</v>
      </c>
      <c r="D3565" s="21">
        <f t="shared" ca="1" si="608"/>
        <v>3.6061485261316242</v>
      </c>
      <c r="E3565" s="21">
        <f t="shared" ca="1" si="615"/>
        <v>20.847247024707031</v>
      </c>
      <c r="F3565" s="20" t="str">
        <f t="shared" ca="1" si="613"/>
        <v>No</v>
      </c>
      <c r="G3565" s="21">
        <f t="shared" ca="1" si="609"/>
        <v>0</v>
      </c>
      <c r="H3565" s="21">
        <f t="shared" ca="1" si="610"/>
        <v>10849.859216019759</v>
      </c>
      <c r="I3565" s="21">
        <f t="shared" ca="1" si="605"/>
        <v>10853.465364545891</v>
      </c>
      <c r="J3565" s="20">
        <f t="shared" ca="1" si="614"/>
        <v>6</v>
      </c>
      <c r="K3565" s="20">
        <f t="shared" ca="1" si="606"/>
        <v>5</v>
      </c>
      <c r="L3565" s="44">
        <f t="shared" ca="1" si="611"/>
        <v>5.5</v>
      </c>
    </row>
    <row r="3566" spans="1:12" x14ac:dyDescent="0.25">
      <c r="A3566" s="20">
        <v>3558</v>
      </c>
      <c r="B3566" s="21">
        <f t="shared" ca="1" si="607"/>
        <v>1.6925908808387926</v>
      </c>
      <c r="C3566" s="21">
        <f t="shared" ca="1" si="612"/>
        <v>10830.70455987589</v>
      </c>
      <c r="D3566" s="21">
        <f t="shared" ca="1" si="608"/>
        <v>1.0538798401945275</v>
      </c>
      <c r="E3566" s="21">
        <f t="shared" ca="1" si="615"/>
        <v>22.760804670000653</v>
      </c>
      <c r="F3566" s="20" t="str">
        <f t="shared" ca="1" si="613"/>
        <v>No</v>
      </c>
      <c r="G3566" s="21">
        <f t="shared" ca="1" si="609"/>
        <v>0</v>
      </c>
      <c r="H3566" s="21">
        <f t="shared" ca="1" si="610"/>
        <v>10853.465364545891</v>
      </c>
      <c r="I3566" s="21">
        <f t="shared" ca="1" si="605"/>
        <v>10854.519244386085</v>
      </c>
      <c r="J3566" s="20">
        <f t="shared" ca="1" si="614"/>
        <v>6</v>
      </c>
      <c r="K3566" s="20">
        <f t="shared" ca="1" si="606"/>
        <v>5</v>
      </c>
      <c r="L3566" s="44">
        <f t="shared" ca="1" si="611"/>
        <v>5.5</v>
      </c>
    </row>
    <row r="3567" spans="1:12" x14ac:dyDescent="0.25">
      <c r="A3567" s="20">
        <v>3559</v>
      </c>
      <c r="B3567" s="21">
        <f t="shared" ca="1" si="607"/>
        <v>5.9559789745103249</v>
      </c>
      <c r="C3567" s="21">
        <f t="shared" ca="1" si="612"/>
        <v>10836.660538850401</v>
      </c>
      <c r="D3567" s="21">
        <f t="shared" ca="1" si="608"/>
        <v>5.4737771481752144</v>
      </c>
      <c r="E3567" s="21">
        <f t="shared" ca="1" si="615"/>
        <v>17.858705535683839</v>
      </c>
      <c r="F3567" s="20" t="str">
        <f t="shared" ca="1" si="613"/>
        <v>No</v>
      </c>
      <c r="G3567" s="21">
        <f t="shared" ca="1" si="609"/>
        <v>0</v>
      </c>
      <c r="H3567" s="21">
        <f t="shared" ca="1" si="610"/>
        <v>10854.519244386085</v>
      </c>
      <c r="I3567" s="21">
        <f t="shared" ca="1" si="605"/>
        <v>10859.993021534261</v>
      </c>
      <c r="J3567" s="20">
        <f t="shared" ca="1" si="614"/>
        <v>6</v>
      </c>
      <c r="K3567" s="20">
        <f t="shared" ca="1" si="606"/>
        <v>5</v>
      </c>
      <c r="L3567" s="44">
        <f t="shared" ca="1" si="611"/>
        <v>5.5</v>
      </c>
    </row>
    <row r="3568" spans="1:12" x14ac:dyDescent="0.25">
      <c r="A3568" s="20">
        <v>3560</v>
      </c>
      <c r="B3568" s="21">
        <f t="shared" ca="1" si="607"/>
        <v>0.65057581746460702</v>
      </c>
      <c r="C3568" s="21">
        <f t="shared" ca="1" si="612"/>
        <v>10837.311114667866</v>
      </c>
      <c r="D3568" s="21">
        <f t="shared" ca="1" si="608"/>
        <v>0.21130266077645801</v>
      </c>
      <c r="E3568" s="21">
        <f t="shared" ca="1" si="615"/>
        <v>22.681906866395366</v>
      </c>
      <c r="F3568" s="20" t="str">
        <f t="shared" ca="1" si="613"/>
        <v>No</v>
      </c>
      <c r="G3568" s="21">
        <f t="shared" ca="1" si="609"/>
        <v>0</v>
      </c>
      <c r="H3568" s="21">
        <f t="shared" ca="1" si="610"/>
        <v>10859.993021534261</v>
      </c>
      <c r="I3568" s="21">
        <f t="shared" ca="1" si="605"/>
        <v>10860.204324195038</v>
      </c>
      <c r="J3568" s="20">
        <f t="shared" ca="1" si="614"/>
        <v>6</v>
      </c>
      <c r="K3568" s="20">
        <f t="shared" ca="1" si="606"/>
        <v>5</v>
      </c>
      <c r="L3568" s="44">
        <f t="shared" ca="1" si="611"/>
        <v>5.5</v>
      </c>
    </row>
    <row r="3569" spans="1:12" x14ac:dyDescent="0.25">
      <c r="A3569" s="20">
        <v>3561</v>
      </c>
      <c r="B3569" s="21">
        <f t="shared" ca="1" si="607"/>
        <v>4.9358475547725051</v>
      </c>
      <c r="C3569" s="21">
        <f t="shared" ca="1" si="612"/>
        <v>10842.246962222638</v>
      </c>
      <c r="D3569" s="21">
        <f t="shared" ca="1" si="608"/>
        <v>4.7248436151264492</v>
      </c>
      <c r="E3569" s="21">
        <f t="shared" ca="1" si="615"/>
        <v>17.957361972399667</v>
      </c>
      <c r="F3569" s="20" t="str">
        <f t="shared" ca="1" si="613"/>
        <v>No</v>
      </c>
      <c r="G3569" s="21">
        <f t="shared" ca="1" si="609"/>
        <v>0</v>
      </c>
      <c r="H3569" s="21">
        <f t="shared" ca="1" si="610"/>
        <v>10860.204324195038</v>
      </c>
      <c r="I3569" s="21">
        <f t="shared" ca="1" si="605"/>
        <v>10864.929167810164</v>
      </c>
      <c r="J3569" s="20">
        <f t="shared" ca="1" si="614"/>
        <v>6</v>
      </c>
      <c r="K3569" s="20">
        <f t="shared" ca="1" si="606"/>
        <v>5</v>
      </c>
      <c r="L3569" s="44">
        <f t="shared" ca="1" si="611"/>
        <v>5.5</v>
      </c>
    </row>
    <row r="3570" spans="1:12" x14ac:dyDescent="0.25">
      <c r="A3570" s="20">
        <v>3562</v>
      </c>
      <c r="B3570" s="21">
        <f t="shared" ca="1" si="607"/>
        <v>0.59795404119699747</v>
      </c>
      <c r="C3570" s="21">
        <f t="shared" ca="1" si="612"/>
        <v>10842.844916263835</v>
      </c>
      <c r="D3570" s="21">
        <f t="shared" ca="1" si="608"/>
        <v>8.3159311780145249</v>
      </c>
      <c r="E3570" s="21">
        <f t="shared" ca="1" si="615"/>
        <v>22.084251546328233</v>
      </c>
      <c r="F3570" s="20" t="str">
        <f t="shared" ca="1" si="613"/>
        <v>No</v>
      </c>
      <c r="G3570" s="21">
        <f t="shared" ca="1" si="609"/>
        <v>0</v>
      </c>
      <c r="H3570" s="21">
        <f t="shared" ca="1" si="610"/>
        <v>10864.929167810164</v>
      </c>
      <c r="I3570" s="21">
        <f t="shared" ca="1" si="605"/>
        <v>10873.245098988178</v>
      </c>
      <c r="J3570" s="20">
        <f t="shared" ca="1" si="614"/>
        <v>6</v>
      </c>
      <c r="K3570" s="20">
        <f t="shared" ca="1" si="606"/>
        <v>5</v>
      </c>
      <c r="L3570" s="44">
        <f t="shared" ca="1" si="611"/>
        <v>5.5</v>
      </c>
    </row>
    <row r="3571" spans="1:12" x14ac:dyDescent="0.25">
      <c r="A3571" s="20">
        <v>3563</v>
      </c>
      <c r="B3571" s="21">
        <f t="shared" ca="1" si="607"/>
        <v>6.0925358078630962</v>
      </c>
      <c r="C3571" s="21">
        <f t="shared" ca="1" si="612"/>
        <v>10848.937452071699</v>
      </c>
      <c r="D3571" s="21">
        <f t="shared" ca="1" si="608"/>
        <v>0.22682267952569535</v>
      </c>
      <c r="E3571" s="21">
        <f t="shared" ca="1" si="615"/>
        <v>24.307646916478916</v>
      </c>
      <c r="F3571" s="20" t="str">
        <f t="shared" ca="1" si="613"/>
        <v>No</v>
      </c>
      <c r="G3571" s="21">
        <f t="shared" ca="1" si="609"/>
        <v>0</v>
      </c>
      <c r="H3571" s="21">
        <f t="shared" ca="1" si="610"/>
        <v>10873.245098988178</v>
      </c>
      <c r="I3571" s="21">
        <f t="shared" ca="1" si="605"/>
        <v>10873.471921667704</v>
      </c>
      <c r="J3571" s="20">
        <f t="shared" ca="1" si="614"/>
        <v>6</v>
      </c>
      <c r="K3571" s="20">
        <f t="shared" ca="1" si="606"/>
        <v>5</v>
      </c>
      <c r="L3571" s="44">
        <f t="shared" ca="1" si="611"/>
        <v>5.5</v>
      </c>
    </row>
    <row r="3572" spans="1:12" x14ac:dyDescent="0.25">
      <c r="A3572" s="20">
        <v>3564</v>
      </c>
      <c r="B3572" s="21">
        <f t="shared" ca="1" si="607"/>
        <v>1.3773679344238554</v>
      </c>
      <c r="C3572" s="21">
        <f t="shared" ca="1" si="612"/>
        <v>10850.314820006122</v>
      </c>
      <c r="D3572" s="21">
        <f t="shared" ca="1" si="608"/>
        <v>4.3461963542429434</v>
      </c>
      <c r="E3572" s="21">
        <f t="shared" ca="1" si="615"/>
        <v>23.157101661581692</v>
      </c>
      <c r="F3572" s="20" t="str">
        <f t="shared" ca="1" si="613"/>
        <v>No</v>
      </c>
      <c r="G3572" s="21">
        <f t="shared" ca="1" si="609"/>
        <v>0</v>
      </c>
      <c r="H3572" s="21">
        <f t="shared" ca="1" si="610"/>
        <v>10873.471921667704</v>
      </c>
      <c r="I3572" s="21">
        <f t="shared" ca="1" si="605"/>
        <v>10877.818118021947</v>
      </c>
      <c r="J3572" s="20">
        <f t="shared" ca="1" si="614"/>
        <v>6</v>
      </c>
      <c r="K3572" s="20">
        <f t="shared" ca="1" si="606"/>
        <v>5</v>
      </c>
      <c r="L3572" s="44">
        <f t="shared" ca="1" si="611"/>
        <v>5.5</v>
      </c>
    </row>
    <row r="3573" spans="1:12" x14ac:dyDescent="0.25">
      <c r="A3573" s="20">
        <v>3565</v>
      </c>
      <c r="B3573" s="21">
        <f t="shared" ca="1" si="607"/>
        <v>0.31033159203664401</v>
      </c>
      <c r="C3573" s="21">
        <f t="shared" ca="1" si="612"/>
        <v>10850.625151598158</v>
      </c>
      <c r="D3573" s="21">
        <f t="shared" ca="1" si="608"/>
        <v>0.10168349660543294</v>
      </c>
      <c r="E3573" s="21">
        <f t="shared" ca="1" si="615"/>
        <v>27.192966423788675</v>
      </c>
      <c r="F3573" s="20" t="str">
        <f t="shared" ca="1" si="613"/>
        <v>No</v>
      </c>
      <c r="G3573" s="21">
        <f t="shared" ca="1" si="609"/>
        <v>0</v>
      </c>
      <c r="H3573" s="21">
        <f t="shared" ca="1" si="610"/>
        <v>10877.818118021947</v>
      </c>
      <c r="I3573" s="21">
        <f t="shared" ca="1" si="605"/>
        <v>10877.919801518552</v>
      </c>
      <c r="J3573" s="20">
        <f t="shared" ca="1" si="614"/>
        <v>6</v>
      </c>
      <c r="K3573" s="20">
        <f t="shared" ca="1" si="606"/>
        <v>5</v>
      </c>
      <c r="L3573" s="44">
        <f t="shared" ca="1" si="611"/>
        <v>5.5</v>
      </c>
    </row>
    <row r="3574" spans="1:12" x14ac:dyDescent="0.25">
      <c r="A3574" s="20">
        <v>3566</v>
      </c>
      <c r="B3574" s="21">
        <f t="shared" ca="1" si="607"/>
        <v>1.264612786022814</v>
      </c>
      <c r="C3574" s="21">
        <f t="shared" ca="1" si="612"/>
        <v>10851.889764384181</v>
      </c>
      <c r="D3574" s="21">
        <f t="shared" ca="1" si="608"/>
        <v>8.2072150767812069</v>
      </c>
      <c r="E3574" s="21">
        <f t="shared" ca="1" si="615"/>
        <v>26.030037134371014</v>
      </c>
      <c r="F3574" s="20" t="str">
        <f t="shared" ca="1" si="613"/>
        <v>No</v>
      </c>
      <c r="G3574" s="21">
        <f t="shared" ca="1" si="609"/>
        <v>0</v>
      </c>
      <c r="H3574" s="21">
        <f t="shared" ca="1" si="610"/>
        <v>10877.919801518552</v>
      </c>
      <c r="I3574" s="21">
        <f t="shared" ca="1" si="605"/>
        <v>10886.127016595334</v>
      </c>
      <c r="J3574" s="20">
        <f t="shared" ca="1" si="614"/>
        <v>6</v>
      </c>
      <c r="K3574" s="20">
        <f t="shared" ca="1" si="606"/>
        <v>5</v>
      </c>
      <c r="L3574" s="44">
        <f t="shared" ca="1" si="611"/>
        <v>5.5</v>
      </c>
    </row>
    <row r="3575" spans="1:12" x14ac:dyDescent="0.25">
      <c r="A3575" s="20">
        <v>3567</v>
      </c>
      <c r="B3575" s="21">
        <f t="shared" ca="1" si="607"/>
        <v>1.0299065320734653</v>
      </c>
      <c r="C3575" s="21">
        <f t="shared" ca="1" si="612"/>
        <v>10852.919670916255</v>
      </c>
      <c r="D3575" s="21">
        <f t="shared" ca="1" si="608"/>
        <v>6.3825128957978761</v>
      </c>
      <c r="E3575" s="21">
        <f t="shared" ca="1" si="615"/>
        <v>33.207345679078571</v>
      </c>
      <c r="F3575" s="20" t="str">
        <f t="shared" ca="1" si="613"/>
        <v>No</v>
      </c>
      <c r="G3575" s="21">
        <f t="shared" ca="1" si="609"/>
        <v>0</v>
      </c>
      <c r="H3575" s="21">
        <f t="shared" ca="1" si="610"/>
        <v>10886.127016595334</v>
      </c>
      <c r="I3575" s="21">
        <f t="shared" ca="1" si="605"/>
        <v>10892.509529491132</v>
      </c>
      <c r="J3575" s="20">
        <f t="shared" ca="1" si="614"/>
        <v>6</v>
      </c>
      <c r="K3575" s="20">
        <f t="shared" ca="1" si="606"/>
        <v>5</v>
      </c>
      <c r="L3575" s="44">
        <f t="shared" ca="1" si="611"/>
        <v>5.5</v>
      </c>
    </row>
    <row r="3576" spans="1:12" x14ac:dyDescent="0.25">
      <c r="A3576" s="20">
        <v>3568</v>
      </c>
      <c r="B3576" s="21">
        <f t="shared" ca="1" si="607"/>
        <v>4.9807970435645957E-2</v>
      </c>
      <c r="C3576" s="21">
        <f t="shared" ca="1" si="612"/>
        <v>10852.969478886691</v>
      </c>
      <c r="D3576" s="21">
        <f t="shared" ca="1" si="608"/>
        <v>0.82321708162476326</v>
      </c>
      <c r="E3576" s="21">
        <f t="shared" ca="1" si="615"/>
        <v>39.540050604440694</v>
      </c>
      <c r="F3576" s="20" t="str">
        <f t="shared" ca="1" si="613"/>
        <v>No</v>
      </c>
      <c r="G3576" s="21">
        <f t="shared" ca="1" si="609"/>
        <v>0</v>
      </c>
      <c r="H3576" s="21">
        <f t="shared" ca="1" si="610"/>
        <v>10892.509529491132</v>
      </c>
      <c r="I3576" s="21">
        <f t="shared" ca="1" si="605"/>
        <v>10893.332746572756</v>
      </c>
      <c r="J3576" s="20">
        <f t="shared" ca="1" si="614"/>
        <v>6</v>
      </c>
      <c r="K3576" s="20">
        <f t="shared" ca="1" si="606"/>
        <v>5</v>
      </c>
      <c r="L3576" s="44">
        <f t="shared" ca="1" si="611"/>
        <v>5.5</v>
      </c>
    </row>
    <row r="3577" spans="1:12" x14ac:dyDescent="0.25">
      <c r="A3577" s="20">
        <v>3569</v>
      </c>
      <c r="B3577" s="21">
        <f t="shared" ca="1" si="607"/>
        <v>0.45693911395366221</v>
      </c>
      <c r="C3577" s="21">
        <f t="shared" ca="1" si="612"/>
        <v>10853.426418000645</v>
      </c>
      <c r="D3577" s="21">
        <f t="shared" ca="1" si="608"/>
        <v>3.6063912456245184</v>
      </c>
      <c r="E3577" s="21">
        <f t="shared" ca="1" si="615"/>
        <v>39.906328572111306</v>
      </c>
      <c r="F3577" s="20" t="str">
        <f t="shared" ca="1" si="613"/>
        <v>No</v>
      </c>
      <c r="G3577" s="21">
        <f t="shared" ca="1" si="609"/>
        <v>0</v>
      </c>
      <c r="H3577" s="21">
        <f t="shared" ca="1" si="610"/>
        <v>10893.332746572756</v>
      </c>
      <c r="I3577" s="21">
        <f t="shared" ca="1" si="605"/>
        <v>10896.939137818381</v>
      </c>
      <c r="J3577" s="20">
        <f t="shared" ca="1" si="614"/>
        <v>6</v>
      </c>
      <c r="K3577" s="20">
        <f t="shared" ca="1" si="606"/>
        <v>5</v>
      </c>
      <c r="L3577" s="44">
        <f t="shared" ca="1" si="611"/>
        <v>5.5</v>
      </c>
    </row>
    <row r="3578" spans="1:12" x14ac:dyDescent="0.25">
      <c r="A3578" s="20">
        <v>3570</v>
      </c>
      <c r="B3578" s="21">
        <f t="shared" ca="1" si="607"/>
        <v>2.3724609199124567</v>
      </c>
      <c r="C3578" s="21">
        <f t="shared" ca="1" si="612"/>
        <v>10855.798878920557</v>
      </c>
      <c r="D3578" s="21">
        <f t="shared" ca="1" si="608"/>
        <v>6.5147953733405934</v>
      </c>
      <c r="E3578" s="21">
        <f t="shared" ca="1" si="615"/>
        <v>41.140258897823514</v>
      </c>
      <c r="F3578" s="20" t="str">
        <f t="shared" ca="1" si="613"/>
        <v>No</v>
      </c>
      <c r="G3578" s="21">
        <f t="shared" ca="1" si="609"/>
        <v>0</v>
      </c>
      <c r="H3578" s="21">
        <f t="shared" ca="1" si="610"/>
        <v>10896.939137818381</v>
      </c>
      <c r="I3578" s="21">
        <f t="shared" ca="1" si="605"/>
        <v>10903.453933191722</v>
      </c>
      <c r="J3578" s="20">
        <f t="shared" ca="1" si="614"/>
        <v>6</v>
      </c>
      <c r="K3578" s="20">
        <f t="shared" ca="1" si="606"/>
        <v>5</v>
      </c>
      <c r="L3578" s="44">
        <f t="shared" ca="1" si="611"/>
        <v>5.5</v>
      </c>
    </row>
    <row r="3579" spans="1:12" x14ac:dyDescent="0.25">
      <c r="A3579" s="20">
        <v>3571</v>
      </c>
      <c r="B3579" s="21">
        <f t="shared" ca="1" si="607"/>
        <v>1.196229828761836</v>
      </c>
      <c r="C3579" s="21">
        <f t="shared" ca="1" si="612"/>
        <v>10856.995108749319</v>
      </c>
      <c r="D3579" s="21">
        <f t="shared" ca="1" si="608"/>
        <v>0.16712859482863657</v>
      </c>
      <c r="E3579" s="21">
        <f t="shared" ca="1" si="615"/>
        <v>46.458824442403056</v>
      </c>
      <c r="F3579" s="20" t="str">
        <f t="shared" ca="1" si="613"/>
        <v>No</v>
      </c>
      <c r="G3579" s="21">
        <f t="shared" ca="1" si="609"/>
        <v>0</v>
      </c>
      <c r="H3579" s="21">
        <f t="shared" ca="1" si="610"/>
        <v>10903.453933191722</v>
      </c>
      <c r="I3579" s="21">
        <f t="shared" ca="1" si="605"/>
        <v>10903.621061786551</v>
      </c>
      <c r="J3579" s="20">
        <f t="shared" ca="1" si="614"/>
        <v>6</v>
      </c>
      <c r="K3579" s="20">
        <f t="shared" ca="1" si="606"/>
        <v>5</v>
      </c>
      <c r="L3579" s="44">
        <f t="shared" ca="1" si="611"/>
        <v>5.5</v>
      </c>
    </row>
    <row r="3580" spans="1:12" x14ac:dyDescent="0.25">
      <c r="A3580" s="20">
        <v>3572</v>
      </c>
      <c r="B3580" s="21">
        <f t="shared" ca="1" si="607"/>
        <v>0.14252983384961118</v>
      </c>
      <c r="C3580" s="21">
        <f t="shared" ca="1" si="612"/>
        <v>10857.137638583168</v>
      </c>
      <c r="D3580" s="21">
        <f t="shared" ca="1" si="608"/>
        <v>1.1845755312425661</v>
      </c>
      <c r="E3580" s="21">
        <f t="shared" ca="1" si="615"/>
        <v>46.483423203382699</v>
      </c>
      <c r="F3580" s="20" t="str">
        <f t="shared" ca="1" si="613"/>
        <v>No</v>
      </c>
      <c r="G3580" s="21">
        <f t="shared" ca="1" si="609"/>
        <v>0</v>
      </c>
      <c r="H3580" s="21">
        <f t="shared" ca="1" si="610"/>
        <v>10903.621061786551</v>
      </c>
      <c r="I3580" s="21">
        <f t="shared" ca="1" si="605"/>
        <v>10904.805637317793</v>
      </c>
      <c r="J3580" s="20">
        <f t="shared" ca="1" si="614"/>
        <v>6</v>
      </c>
      <c r="K3580" s="20">
        <f t="shared" ca="1" si="606"/>
        <v>5</v>
      </c>
      <c r="L3580" s="44">
        <f t="shared" ca="1" si="611"/>
        <v>5.5</v>
      </c>
    </row>
    <row r="3581" spans="1:12" x14ac:dyDescent="0.25">
      <c r="A3581" s="20">
        <v>3573</v>
      </c>
      <c r="B3581" s="21">
        <f t="shared" ca="1" si="607"/>
        <v>0.58570620302067489</v>
      </c>
      <c r="C3581" s="21">
        <f t="shared" ca="1" si="612"/>
        <v>10857.723344786189</v>
      </c>
      <c r="D3581" s="21">
        <f t="shared" ca="1" si="608"/>
        <v>2.8678167226297133</v>
      </c>
      <c r="E3581" s="21">
        <f t="shared" ca="1" si="615"/>
        <v>47.082292531604253</v>
      </c>
      <c r="F3581" s="20" t="str">
        <f t="shared" ca="1" si="613"/>
        <v>No</v>
      </c>
      <c r="G3581" s="21">
        <f t="shared" ca="1" si="609"/>
        <v>0</v>
      </c>
      <c r="H3581" s="21">
        <f t="shared" ca="1" si="610"/>
        <v>10904.805637317793</v>
      </c>
      <c r="I3581" s="21">
        <f t="shared" ca="1" si="605"/>
        <v>10907.673454040423</v>
      </c>
      <c r="J3581" s="20">
        <f t="shared" ca="1" si="614"/>
        <v>6</v>
      </c>
      <c r="K3581" s="20">
        <f t="shared" ca="1" si="606"/>
        <v>5</v>
      </c>
      <c r="L3581" s="44">
        <f t="shared" ca="1" si="611"/>
        <v>5.5</v>
      </c>
    </row>
    <row r="3582" spans="1:12" x14ac:dyDescent="0.25">
      <c r="A3582" s="20">
        <v>3574</v>
      </c>
      <c r="B3582" s="21">
        <f t="shared" ca="1" si="607"/>
        <v>6.4691273172700168</v>
      </c>
      <c r="C3582" s="21">
        <f t="shared" ca="1" si="612"/>
        <v>10864.192472103459</v>
      </c>
      <c r="D3582" s="21">
        <f t="shared" ca="1" si="608"/>
        <v>0.18065895954394942</v>
      </c>
      <c r="E3582" s="21">
        <f t="shared" ca="1" si="615"/>
        <v>43.480981936963872</v>
      </c>
      <c r="F3582" s="20" t="str">
        <f t="shared" ca="1" si="613"/>
        <v>No</v>
      </c>
      <c r="G3582" s="21">
        <f t="shared" ca="1" si="609"/>
        <v>0</v>
      </c>
      <c r="H3582" s="21">
        <f t="shared" ca="1" si="610"/>
        <v>10907.673454040423</v>
      </c>
      <c r="I3582" s="21">
        <f t="shared" ca="1" si="605"/>
        <v>10907.854112999967</v>
      </c>
      <c r="J3582" s="20">
        <f t="shared" ca="1" si="614"/>
        <v>6</v>
      </c>
      <c r="K3582" s="20">
        <f t="shared" ca="1" si="606"/>
        <v>5</v>
      </c>
      <c r="L3582" s="44">
        <f t="shared" ca="1" si="611"/>
        <v>5.5</v>
      </c>
    </row>
    <row r="3583" spans="1:12" x14ac:dyDescent="0.25">
      <c r="A3583" s="20">
        <v>3575</v>
      </c>
      <c r="B3583" s="21">
        <f t="shared" ca="1" si="607"/>
        <v>0.24607866112632495</v>
      </c>
      <c r="C3583" s="21">
        <f t="shared" ca="1" si="612"/>
        <v>10864.438550764586</v>
      </c>
      <c r="D3583" s="21">
        <f t="shared" ca="1" si="608"/>
        <v>0.65792859894521638</v>
      </c>
      <c r="E3583" s="21">
        <f t="shared" ca="1" si="615"/>
        <v>43.415562235381003</v>
      </c>
      <c r="F3583" s="20" t="str">
        <f t="shared" ca="1" si="613"/>
        <v>No</v>
      </c>
      <c r="G3583" s="21">
        <f t="shared" ca="1" si="609"/>
        <v>0</v>
      </c>
      <c r="H3583" s="21">
        <f t="shared" ca="1" si="610"/>
        <v>10907.854112999967</v>
      </c>
      <c r="I3583" s="21">
        <f t="shared" ca="1" si="605"/>
        <v>10908.512041598911</v>
      </c>
      <c r="J3583" s="20">
        <f t="shared" ca="1" si="614"/>
        <v>6</v>
      </c>
      <c r="K3583" s="20">
        <f t="shared" ca="1" si="606"/>
        <v>5</v>
      </c>
      <c r="L3583" s="44">
        <f t="shared" ca="1" si="611"/>
        <v>5.5</v>
      </c>
    </row>
    <row r="3584" spans="1:12" x14ac:dyDescent="0.25">
      <c r="A3584" s="20">
        <v>3576</v>
      </c>
      <c r="B3584" s="21">
        <f t="shared" ca="1" si="607"/>
        <v>7.7204293578033323E-2</v>
      </c>
      <c r="C3584" s="21">
        <f t="shared" ca="1" si="612"/>
        <v>10864.515755058164</v>
      </c>
      <c r="D3584" s="21">
        <f t="shared" ca="1" si="608"/>
        <v>1.1540850036042432</v>
      </c>
      <c r="E3584" s="21">
        <f t="shared" ca="1" si="615"/>
        <v>43.996286540746951</v>
      </c>
      <c r="F3584" s="20" t="str">
        <f t="shared" ca="1" si="613"/>
        <v>No</v>
      </c>
      <c r="G3584" s="21">
        <f t="shared" ca="1" si="609"/>
        <v>0</v>
      </c>
      <c r="H3584" s="21">
        <f t="shared" ca="1" si="610"/>
        <v>10908.512041598911</v>
      </c>
      <c r="I3584" s="21">
        <f t="shared" ca="1" si="605"/>
        <v>10909.666126602515</v>
      </c>
      <c r="J3584" s="20">
        <f t="shared" ca="1" si="614"/>
        <v>6</v>
      </c>
      <c r="K3584" s="20">
        <f t="shared" ca="1" si="606"/>
        <v>5</v>
      </c>
      <c r="L3584" s="44">
        <f t="shared" ca="1" si="611"/>
        <v>5.5</v>
      </c>
    </row>
    <row r="3585" spans="1:12" x14ac:dyDescent="0.25">
      <c r="A3585" s="20">
        <v>3577</v>
      </c>
      <c r="B3585" s="21">
        <f t="shared" ca="1" si="607"/>
        <v>8.1497184963371154</v>
      </c>
      <c r="C3585" s="21">
        <f t="shared" ca="1" si="612"/>
        <v>10872.665473554502</v>
      </c>
      <c r="D3585" s="21">
        <f t="shared" ca="1" si="608"/>
        <v>4.3352206016650339</v>
      </c>
      <c r="E3585" s="21">
        <f t="shared" ca="1" si="615"/>
        <v>37.000653048013191</v>
      </c>
      <c r="F3585" s="20" t="str">
        <f t="shared" ca="1" si="613"/>
        <v>No</v>
      </c>
      <c r="G3585" s="21">
        <f t="shared" ca="1" si="609"/>
        <v>0</v>
      </c>
      <c r="H3585" s="21">
        <f t="shared" ca="1" si="610"/>
        <v>10909.666126602515</v>
      </c>
      <c r="I3585" s="21">
        <f t="shared" ca="1" si="605"/>
        <v>10914.001347204179</v>
      </c>
      <c r="J3585" s="20">
        <f t="shared" ca="1" si="614"/>
        <v>6</v>
      </c>
      <c r="K3585" s="20">
        <f t="shared" ca="1" si="606"/>
        <v>5</v>
      </c>
      <c r="L3585" s="44">
        <f t="shared" ca="1" si="611"/>
        <v>5.5</v>
      </c>
    </row>
    <row r="3586" spans="1:12" x14ac:dyDescent="0.25">
      <c r="A3586" s="20">
        <v>3578</v>
      </c>
      <c r="B3586" s="21">
        <f t="shared" ca="1" si="607"/>
        <v>0.69714793592150248</v>
      </c>
      <c r="C3586" s="21">
        <f t="shared" ca="1" si="612"/>
        <v>10873.362621490423</v>
      </c>
      <c r="D3586" s="21">
        <f t="shared" ca="1" si="608"/>
        <v>10.012425324660091</v>
      </c>
      <c r="E3586" s="21">
        <f t="shared" ca="1" si="615"/>
        <v>40.638725713755775</v>
      </c>
      <c r="F3586" s="20" t="str">
        <f t="shared" ca="1" si="613"/>
        <v>No</v>
      </c>
      <c r="G3586" s="21">
        <f t="shared" ca="1" si="609"/>
        <v>0</v>
      </c>
      <c r="H3586" s="21">
        <f t="shared" ca="1" si="610"/>
        <v>10914.001347204179</v>
      </c>
      <c r="I3586" s="21">
        <f t="shared" ca="1" si="605"/>
        <v>10924.013772528839</v>
      </c>
      <c r="J3586" s="20">
        <f t="shared" ca="1" si="614"/>
        <v>6</v>
      </c>
      <c r="K3586" s="20">
        <f t="shared" ca="1" si="606"/>
        <v>5</v>
      </c>
      <c r="L3586" s="44">
        <f t="shared" ca="1" si="611"/>
        <v>5.5</v>
      </c>
    </row>
    <row r="3587" spans="1:12" x14ac:dyDescent="0.25">
      <c r="A3587" s="20">
        <v>3579</v>
      </c>
      <c r="B3587" s="21">
        <f t="shared" ca="1" si="607"/>
        <v>0.85468305697359392</v>
      </c>
      <c r="C3587" s="21">
        <f t="shared" ca="1" si="612"/>
        <v>10874.217304547397</v>
      </c>
      <c r="D3587" s="21">
        <f t="shared" ca="1" si="608"/>
        <v>0.77352020611576311</v>
      </c>
      <c r="E3587" s="21">
        <f t="shared" ca="1" si="615"/>
        <v>49.79646798144131</v>
      </c>
      <c r="F3587" s="20" t="str">
        <f t="shared" ca="1" si="613"/>
        <v>No</v>
      </c>
      <c r="G3587" s="21">
        <f t="shared" ca="1" si="609"/>
        <v>0</v>
      </c>
      <c r="H3587" s="21">
        <f t="shared" ca="1" si="610"/>
        <v>10924.013772528839</v>
      </c>
      <c r="I3587" s="21">
        <f t="shared" ca="1" si="605"/>
        <v>10924.787292734954</v>
      </c>
      <c r="J3587" s="20">
        <f t="shared" ca="1" si="614"/>
        <v>6</v>
      </c>
      <c r="K3587" s="20">
        <f t="shared" ca="1" si="606"/>
        <v>5</v>
      </c>
      <c r="L3587" s="44">
        <f t="shared" ca="1" si="611"/>
        <v>5.5</v>
      </c>
    </row>
    <row r="3588" spans="1:12" x14ac:dyDescent="0.25">
      <c r="A3588" s="20">
        <v>3580</v>
      </c>
      <c r="B3588" s="21">
        <f t="shared" ca="1" si="607"/>
        <v>0.98552225331177623</v>
      </c>
      <c r="C3588" s="21">
        <f t="shared" ca="1" si="612"/>
        <v>10875.202826800709</v>
      </c>
      <c r="D3588" s="21">
        <f t="shared" ca="1" si="608"/>
        <v>2.4466824941972356</v>
      </c>
      <c r="E3588" s="21">
        <f t="shared" ca="1" si="615"/>
        <v>49.5844659342456</v>
      </c>
      <c r="F3588" s="20" t="str">
        <f t="shared" ca="1" si="613"/>
        <v>No</v>
      </c>
      <c r="G3588" s="21">
        <f t="shared" ca="1" si="609"/>
        <v>0</v>
      </c>
      <c r="H3588" s="21">
        <f t="shared" ca="1" si="610"/>
        <v>10924.787292734954</v>
      </c>
      <c r="I3588" s="21">
        <f t="shared" ca="1" si="605"/>
        <v>10927.233975229152</v>
      </c>
      <c r="J3588" s="20">
        <f t="shared" ca="1" si="614"/>
        <v>6</v>
      </c>
      <c r="K3588" s="20">
        <f t="shared" ca="1" si="606"/>
        <v>5</v>
      </c>
      <c r="L3588" s="44">
        <f t="shared" ca="1" si="611"/>
        <v>5.5</v>
      </c>
    </row>
    <row r="3589" spans="1:12" x14ac:dyDescent="0.25">
      <c r="A3589" s="20">
        <v>3581</v>
      </c>
      <c r="B3589" s="21">
        <f t="shared" ca="1" si="607"/>
        <v>1.7490895455161783</v>
      </c>
      <c r="C3589" s="21">
        <f t="shared" ca="1" si="612"/>
        <v>10876.951916346225</v>
      </c>
      <c r="D3589" s="21">
        <f t="shared" ca="1" si="608"/>
        <v>1.159321544590036</v>
      </c>
      <c r="E3589" s="21">
        <f t="shared" ca="1" si="615"/>
        <v>50.282058882927231</v>
      </c>
      <c r="F3589" s="20" t="str">
        <f t="shared" ca="1" si="613"/>
        <v>No</v>
      </c>
      <c r="G3589" s="21">
        <f t="shared" ca="1" si="609"/>
        <v>0</v>
      </c>
      <c r="H3589" s="21">
        <f t="shared" ca="1" si="610"/>
        <v>10927.233975229152</v>
      </c>
      <c r="I3589" s="21">
        <f t="shared" ca="1" si="605"/>
        <v>10928.393296773742</v>
      </c>
      <c r="J3589" s="20">
        <f t="shared" ca="1" si="614"/>
        <v>6</v>
      </c>
      <c r="K3589" s="20">
        <f t="shared" ca="1" si="606"/>
        <v>5</v>
      </c>
      <c r="L3589" s="44">
        <f t="shared" ca="1" si="611"/>
        <v>5.5</v>
      </c>
    </row>
    <row r="3590" spans="1:12" x14ac:dyDescent="0.25">
      <c r="A3590" s="20">
        <v>3582</v>
      </c>
      <c r="B3590" s="21">
        <f t="shared" ca="1" si="607"/>
        <v>2.0238764142953518</v>
      </c>
      <c r="C3590" s="21">
        <f t="shared" ca="1" si="612"/>
        <v>10878.975792760521</v>
      </c>
      <c r="D3590" s="21">
        <f t="shared" ca="1" si="608"/>
        <v>4.2686688072409629</v>
      </c>
      <c r="E3590" s="21">
        <f t="shared" ca="1" si="615"/>
        <v>49.417504013221333</v>
      </c>
      <c r="F3590" s="20" t="str">
        <f t="shared" ca="1" si="613"/>
        <v>No</v>
      </c>
      <c r="G3590" s="21">
        <f t="shared" ca="1" si="609"/>
        <v>0</v>
      </c>
      <c r="H3590" s="21">
        <f t="shared" ca="1" si="610"/>
        <v>10928.393296773742</v>
      </c>
      <c r="I3590" s="21">
        <f t="shared" ca="1" si="605"/>
        <v>10932.661965580983</v>
      </c>
      <c r="J3590" s="20">
        <f t="shared" ca="1" si="614"/>
        <v>6</v>
      </c>
      <c r="K3590" s="20">
        <f t="shared" ca="1" si="606"/>
        <v>5</v>
      </c>
      <c r="L3590" s="44">
        <f t="shared" ca="1" si="611"/>
        <v>5.5</v>
      </c>
    </row>
    <row r="3591" spans="1:12" x14ac:dyDescent="0.25">
      <c r="A3591" s="20">
        <v>3583</v>
      </c>
      <c r="B3591" s="21">
        <f t="shared" ca="1" si="607"/>
        <v>1.9563493093428119</v>
      </c>
      <c r="C3591" s="21">
        <f t="shared" ca="1" si="612"/>
        <v>10880.932142069863</v>
      </c>
      <c r="D3591" s="21">
        <f t="shared" ca="1" si="608"/>
        <v>1.7156312285699848</v>
      </c>
      <c r="E3591" s="21">
        <f t="shared" ca="1" si="615"/>
        <v>51.729823511119321</v>
      </c>
      <c r="F3591" s="20" t="str">
        <f t="shared" ca="1" si="613"/>
        <v>No</v>
      </c>
      <c r="G3591" s="21">
        <f t="shared" ca="1" si="609"/>
        <v>0</v>
      </c>
      <c r="H3591" s="21">
        <f t="shared" ca="1" si="610"/>
        <v>10932.661965580983</v>
      </c>
      <c r="I3591" s="21">
        <f t="shared" ca="1" si="605"/>
        <v>10934.377596809552</v>
      </c>
      <c r="J3591" s="20">
        <f t="shared" ca="1" si="614"/>
        <v>6</v>
      </c>
      <c r="K3591" s="20">
        <f t="shared" ca="1" si="606"/>
        <v>5</v>
      </c>
      <c r="L3591" s="44">
        <f t="shared" ca="1" si="611"/>
        <v>5.5</v>
      </c>
    </row>
    <row r="3592" spans="1:12" x14ac:dyDescent="0.25">
      <c r="A3592" s="20">
        <v>3584</v>
      </c>
      <c r="B3592" s="21">
        <f t="shared" ca="1" si="607"/>
        <v>0.57394343054395924</v>
      </c>
      <c r="C3592" s="21">
        <f t="shared" ca="1" si="612"/>
        <v>10881.506085500407</v>
      </c>
      <c r="D3592" s="21">
        <f t="shared" ca="1" si="608"/>
        <v>3.2615780732556185</v>
      </c>
      <c r="E3592" s="21">
        <f t="shared" ca="1" si="615"/>
        <v>52.871511309145717</v>
      </c>
      <c r="F3592" s="20" t="str">
        <f t="shared" ca="1" si="613"/>
        <v>No</v>
      </c>
      <c r="G3592" s="21">
        <f t="shared" ca="1" si="609"/>
        <v>0</v>
      </c>
      <c r="H3592" s="21">
        <f t="shared" ca="1" si="610"/>
        <v>10934.377596809552</v>
      </c>
      <c r="I3592" s="21">
        <f t="shared" ca="1" si="605"/>
        <v>10937.639174882808</v>
      </c>
      <c r="J3592" s="20">
        <f t="shared" ca="1" si="614"/>
        <v>6</v>
      </c>
      <c r="K3592" s="20">
        <f t="shared" ca="1" si="606"/>
        <v>5</v>
      </c>
      <c r="L3592" s="44">
        <f t="shared" ca="1" si="611"/>
        <v>5.5</v>
      </c>
    </row>
    <row r="3593" spans="1:12" x14ac:dyDescent="0.25">
      <c r="A3593" s="20">
        <v>3585</v>
      </c>
      <c r="B3593" s="21">
        <f t="shared" ca="1" si="607"/>
        <v>2.4043182302084216</v>
      </c>
      <c r="C3593" s="21">
        <f t="shared" ca="1" si="612"/>
        <v>10883.910403730615</v>
      </c>
      <c r="D3593" s="21">
        <f t="shared" ca="1" si="608"/>
        <v>3.0702867900335082</v>
      </c>
      <c r="E3593" s="21">
        <f t="shared" ca="1" si="615"/>
        <v>53.728771152193076</v>
      </c>
      <c r="F3593" s="20" t="str">
        <f t="shared" ca="1" si="613"/>
        <v>No</v>
      </c>
      <c r="G3593" s="21">
        <f t="shared" ca="1" si="609"/>
        <v>0</v>
      </c>
      <c r="H3593" s="21">
        <f t="shared" ca="1" si="610"/>
        <v>10937.639174882808</v>
      </c>
      <c r="I3593" s="21">
        <f t="shared" ref="I3593:I3608" ca="1" si="616">$H3593+$D3593</f>
        <v>10940.709461672841</v>
      </c>
      <c r="J3593" s="20">
        <f t="shared" ca="1" si="614"/>
        <v>6</v>
      </c>
      <c r="K3593" s="20">
        <f t="shared" ref="K3593:K3603" ca="1" si="617">IF($I3593&lt;=$C3594,0,IF($I3593&lt;=$C3595,1,IF($I3593&lt;=$C3596,2,IF($I3593&lt;=$C3597,3,IF($I3593&lt;=$C3598,4,5)))))</f>
        <v>5</v>
      </c>
      <c r="L3593" s="44">
        <f t="shared" ca="1" si="611"/>
        <v>5.5</v>
      </c>
    </row>
    <row r="3594" spans="1:12" x14ac:dyDescent="0.25">
      <c r="A3594" s="20">
        <v>3586</v>
      </c>
      <c r="B3594" s="21">
        <f t="shared" ref="B3594:B3608" ca="1" si="618">-LN(RAND())/$D$4</f>
        <v>2.425227339549024</v>
      </c>
      <c r="C3594" s="21">
        <f t="shared" ca="1" si="612"/>
        <v>10886.335631070164</v>
      </c>
      <c r="D3594" s="21">
        <f t="shared" ref="D3594:D3608" ca="1" si="619">-LN(RAND())/$D$6</f>
        <v>0.17305504297651958</v>
      </c>
      <c r="E3594" s="21">
        <f t="shared" ca="1" si="615"/>
        <v>54.373830602677117</v>
      </c>
      <c r="F3594" s="20" t="str">
        <f t="shared" ca="1" si="613"/>
        <v>No</v>
      </c>
      <c r="G3594" s="21">
        <f t="shared" ref="G3594:G3605" ca="1" si="620">IF($I3593&lt;=$C3594,$C3594-$I3593,0)</f>
        <v>0</v>
      </c>
      <c r="H3594" s="21">
        <f t="shared" ref="H3594:H3608" ca="1" si="621">IF($I3593&lt;=$C3594,$C3594,$I3593)</f>
        <v>10940.709461672841</v>
      </c>
      <c r="I3594" s="21">
        <f t="shared" ca="1" si="616"/>
        <v>10940.882516715817</v>
      </c>
      <c r="J3594" s="20">
        <f t="shared" ca="1" si="614"/>
        <v>6</v>
      </c>
      <c r="K3594" s="20">
        <f t="shared" ca="1" si="617"/>
        <v>5</v>
      </c>
      <c r="L3594" s="44">
        <f t="shared" ref="L3594:L3608" ca="1" si="622">(J3594+K3594)/2</f>
        <v>5.5</v>
      </c>
    </row>
    <row r="3595" spans="1:12" x14ac:dyDescent="0.25">
      <c r="A3595" s="20">
        <v>3587</v>
      </c>
      <c r="B3595" s="21">
        <f t="shared" ca="1" si="618"/>
        <v>1.218275499148229</v>
      </c>
      <c r="C3595" s="21">
        <f t="shared" ref="C3595:C3608" ca="1" si="623">$C3594+$B3595</f>
        <v>10887.553906569312</v>
      </c>
      <c r="D3595" s="21">
        <f t="shared" ca="1" si="619"/>
        <v>3.5178165673722086</v>
      </c>
      <c r="E3595" s="21">
        <f t="shared" ca="1" si="615"/>
        <v>53.328610146505525</v>
      </c>
      <c r="F3595" s="20" t="str">
        <f t="shared" ref="F3595:F3608" ca="1" si="624">IF(E3595=0,"Yes","No")</f>
        <v>No</v>
      </c>
      <c r="G3595" s="21">
        <f t="shared" ca="1" si="620"/>
        <v>0</v>
      </c>
      <c r="H3595" s="21">
        <f t="shared" ca="1" si="621"/>
        <v>10940.882516715817</v>
      </c>
      <c r="I3595" s="21">
        <f t="shared" ca="1" si="616"/>
        <v>10944.400333283189</v>
      </c>
      <c r="J3595" s="20">
        <f t="shared" ref="J3595:J3608" ca="1" si="625">IF($I3594&lt;=$C3595,0,$K3594+1)</f>
        <v>6</v>
      </c>
      <c r="K3595" s="20">
        <f t="shared" ca="1" si="617"/>
        <v>5</v>
      </c>
      <c r="L3595" s="44">
        <f t="shared" ca="1" si="622"/>
        <v>5.5</v>
      </c>
    </row>
    <row r="3596" spans="1:12" x14ac:dyDescent="0.25">
      <c r="A3596" s="20">
        <v>3588</v>
      </c>
      <c r="B3596" s="21">
        <f t="shared" ca="1" si="618"/>
        <v>1.4476554061728582</v>
      </c>
      <c r="C3596" s="21">
        <f t="shared" ca="1" si="623"/>
        <v>10889.001561975485</v>
      </c>
      <c r="D3596" s="21">
        <f t="shared" ca="1" si="619"/>
        <v>0.6247956534138257</v>
      </c>
      <c r="E3596" s="21">
        <f t="shared" ref="E3596:E3605" ca="1" si="626">IF($I3595&lt;=$C3596,0,$I3595-$C3596)</f>
        <v>55.39877130770401</v>
      </c>
      <c r="F3596" s="20" t="str">
        <f t="shared" ca="1" si="624"/>
        <v>No</v>
      </c>
      <c r="G3596" s="21">
        <f t="shared" ca="1" si="620"/>
        <v>0</v>
      </c>
      <c r="H3596" s="21">
        <f t="shared" ca="1" si="621"/>
        <v>10944.400333283189</v>
      </c>
      <c r="I3596" s="21">
        <f t="shared" ca="1" si="616"/>
        <v>10945.025128936602</v>
      </c>
      <c r="J3596" s="20">
        <f t="shared" ca="1" si="625"/>
        <v>6</v>
      </c>
      <c r="K3596" s="20">
        <f t="shared" ca="1" si="617"/>
        <v>5</v>
      </c>
      <c r="L3596" s="44">
        <f t="shared" ca="1" si="622"/>
        <v>5.5</v>
      </c>
    </row>
    <row r="3597" spans="1:12" x14ac:dyDescent="0.25">
      <c r="A3597" s="20">
        <v>3589</v>
      </c>
      <c r="B3597" s="21">
        <f t="shared" ca="1" si="618"/>
        <v>1.2487506537242967</v>
      </c>
      <c r="C3597" s="21">
        <f t="shared" ca="1" si="623"/>
        <v>10890.250312629209</v>
      </c>
      <c r="D3597" s="21">
        <f t="shared" ca="1" si="619"/>
        <v>12.133146358005051</v>
      </c>
      <c r="E3597" s="21">
        <f t="shared" ca="1" si="626"/>
        <v>54.774816307393849</v>
      </c>
      <c r="F3597" s="20" t="str">
        <f t="shared" ca="1" si="624"/>
        <v>No</v>
      </c>
      <c r="G3597" s="21">
        <f t="shared" ca="1" si="620"/>
        <v>0</v>
      </c>
      <c r="H3597" s="21">
        <f t="shared" ca="1" si="621"/>
        <v>10945.025128936602</v>
      </c>
      <c r="I3597" s="21">
        <f t="shared" ca="1" si="616"/>
        <v>10957.158275294607</v>
      </c>
      <c r="J3597" s="20">
        <f t="shared" ca="1" si="625"/>
        <v>6</v>
      </c>
      <c r="K3597" s="20">
        <f t="shared" ca="1" si="617"/>
        <v>5</v>
      </c>
      <c r="L3597" s="44">
        <f t="shared" ca="1" si="622"/>
        <v>5.5</v>
      </c>
    </row>
    <row r="3598" spans="1:12" x14ac:dyDescent="0.25">
      <c r="A3598" s="20">
        <v>3590</v>
      </c>
      <c r="B3598" s="21">
        <f t="shared" ca="1" si="618"/>
        <v>8.5314230017278945</v>
      </c>
      <c r="C3598" s="21">
        <f t="shared" ca="1" si="623"/>
        <v>10898.781735630937</v>
      </c>
      <c r="D3598" s="21">
        <f t="shared" ca="1" si="619"/>
        <v>6.6965341327815171</v>
      </c>
      <c r="E3598" s="21">
        <f t="shared" ca="1" si="626"/>
        <v>58.376539663669973</v>
      </c>
      <c r="F3598" s="20" t="str">
        <f t="shared" ca="1" si="624"/>
        <v>No</v>
      </c>
      <c r="G3598" s="21">
        <f t="shared" ca="1" si="620"/>
        <v>0</v>
      </c>
      <c r="H3598" s="21">
        <f t="shared" ca="1" si="621"/>
        <v>10957.158275294607</v>
      </c>
      <c r="I3598" s="21">
        <f t="shared" ca="1" si="616"/>
        <v>10963.854809427388</v>
      </c>
      <c r="J3598" s="20">
        <f t="shared" ca="1" si="625"/>
        <v>6</v>
      </c>
      <c r="K3598" s="20">
        <f t="shared" ca="1" si="617"/>
        <v>5</v>
      </c>
      <c r="L3598" s="44">
        <f t="shared" ca="1" si="622"/>
        <v>5.5</v>
      </c>
    </row>
    <row r="3599" spans="1:12" x14ac:dyDescent="0.25">
      <c r="A3599" s="20">
        <v>3591</v>
      </c>
      <c r="B3599" s="21">
        <f t="shared" ca="1" si="618"/>
        <v>1.4383699776729288</v>
      </c>
      <c r="C3599" s="21">
        <f t="shared" ca="1" si="623"/>
        <v>10900.220105608611</v>
      </c>
      <c r="D3599" s="21">
        <f t="shared" ca="1" si="619"/>
        <v>0.65718610890970008</v>
      </c>
      <c r="E3599" s="21">
        <f t="shared" ca="1" si="626"/>
        <v>63.63470381877778</v>
      </c>
      <c r="F3599" s="20" t="str">
        <f t="shared" ca="1" si="624"/>
        <v>No</v>
      </c>
      <c r="G3599" s="21">
        <f t="shared" ca="1" si="620"/>
        <v>0</v>
      </c>
      <c r="H3599" s="21">
        <f t="shared" ca="1" si="621"/>
        <v>10963.854809427388</v>
      </c>
      <c r="I3599" s="21">
        <f t="shared" ca="1" si="616"/>
        <v>10964.511995536299</v>
      </c>
      <c r="J3599" s="20">
        <f t="shared" ca="1" si="625"/>
        <v>6</v>
      </c>
      <c r="K3599" s="20">
        <f t="shared" ca="1" si="617"/>
        <v>5</v>
      </c>
      <c r="L3599" s="44">
        <f t="shared" ca="1" si="622"/>
        <v>5.5</v>
      </c>
    </row>
    <row r="3600" spans="1:12" x14ac:dyDescent="0.25">
      <c r="A3600" s="20">
        <v>3592</v>
      </c>
      <c r="B3600" s="21">
        <f t="shared" ca="1" si="618"/>
        <v>0.84628183945142044</v>
      </c>
      <c r="C3600" s="21">
        <f t="shared" ca="1" si="623"/>
        <v>10901.066387448062</v>
      </c>
      <c r="D3600" s="21">
        <f t="shared" ca="1" si="619"/>
        <v>3.2664876101660698</v>
      </c>
      <c r="E3600" s="21">
        <f t="shared" ca="1" si="626"/>
        <v>63.44560808823735</v>
      </c>
      <c r="F3600" s="20" t="str">
        <f t="shared" ca="1" si="624"/>
        <v>No</v>
      </c>
      <c r="G3600" s="21">
        <f t="shared" ca="1" si="620"/>
        <v>0</v>
      </c>
      <c r="H3600" s="21">
        <f t="shared" ca="1" si="621"/>
        <v>10964.511995536299</v>
      </c>
      <c r="I3600" s="21">
        <f t="shared" ca="1" si="616"/>
        <v>10967.778483146465</v>
      </c>
      <c r="J3600" s="20">
        <f t="shared" ca="1" si="625"/>
        <v>6</v>
      </c>
      <c r="K3600" s="20">
        <f t="shared" ca="1" si="617"/>
        <v>5</v>
      </c>
      <c r="L3600" s="44">
        <f t="shared" ca="1" si="622"/>
        <v>5.5</v>
      </c>
    </row>
    <row r="3601" spans="1:12" x14ac:dyDescent="0.25">
      <c r="A3601" s="20">
        <v>3593</v>
      </c>
      <c r="B3601" s="21">
        <f t="shared" ca="1" si="618"/>
        <v>6.6611129716203576</v>
      </c>
      <c r="C3601" s="21">
        <f t="shared" ca="1" si="623"/>
        <v>10907.727500419682</v>
      </c>
      <c r="D3601" s="21">
        <f t="shared" ca="1" si="619"/>
        <v>8.0461087373320233</v>
      </c>
      <c r="E3601" s="21">
        <f t="shared" ca="1" si="626"/>
        <v>60.050982726783332</v>
      </c>
      <c r="F3601" s="20" t="str">
        <f t="shared" ca="1" si="624"/>
        <v>No</v>
      </c>
      <c r="G3601" s="21">
        <f t="shared" ca="1" si="620"/>
        <v>0</v>
      </c>
      <c r="H3601" s="21">
        <f t="shared" ca="1" si="621"/>
        <v>10967.778483146465</v>
      </c>
      <c r="I3601" s="21">
        <f t="shared" ca="1" si="616"/>
        <v>10975.824591883797</v>
      </c>
      <c r="J3601" s="20">
        <f t="shared" ca="1" si="625"/>
        <v>6</v>
      </c>
      <c r="K3601" s="20">
        <f t="shared" ca="1" si="617"/>
        <v>5</v>
      </c>
      <c r="L3601" s="44">
        <f t="shared" ca="1" si="622"/>
        <v>5.5</v>
      </c>
    </row>
    <row r="3602" spans="1:12" x14ac:dyDescent="0.25">
      <c r="A3602" s="20">
        <v>3594</v>
      </c>
      <c r="B3602" s="21">
        <f t="shared" ca="1" si="618"/>
        <v>3.8730544491782898E-2</v>
      </c>
      <c r="C3602" s="21">
        <f t="shared" ca="1" si="623"/>
        <v>10907.766230964173</v>
      </c>
      <c r="D3602" s="21">
        <f t="shared" ca="1" si="619"/>
        <v>0.71093936844641059</v>
      </c>
      <c r="E3602" s="21">
        <f t="shared" ca="1" si="626"/>
        <v>68.058360919623738</v>
      </c>
      <c r="F3602" s="20" t="str">
        <f t="shared" ca="1" si="624"/>
        <v>No</v>
      </c>
      <c r="G3602" s="21">
        <f t="shared" ca="1" si="620"/>
        <v>0</v>
      </c>
      <c r="H3602" s="21">
        <f t="shared" ca="1" si="621"/>
        <v>10975.824591883797</v>
      </c>
      <c r="I3602" s="21">
        <f t="shared" ca="1" si="616"/>
        <v>10976.535531252242</v>
      </c>
      <c r="J3602" s="20">
        <f t="shared" ca="1" si="625"/>
        <v>6</v>
      </c>
      <c r="K3602" s="20">
        <f t="shared" ca="1" si="617"/>
        <v>5</v>
      </c>
      <c r="L3602" s="44">
        <f t="shared" ca="1" si="622"/>
        <v>5.5</v>
      </c>
    </row>
    <row r="3603" spans="1:12" x14ac:dyDescent="0.25">
      <c r="A3603" s="20">
        <v>3595</v>
      </c>
      <c r="B3603" s="21">
        <f t="shared" ca="1" si="618"/>
        <v>6.6973179026552625</v>
      </c>
      <c r="C3603" s="21">
        <f t="shared" ca="1" si="623"/>
        <v>10914.463548866828</v>
      </c>
      <c r="D3603" s="21">
        <f t="shared" ca="1" si="619"/>
        <v>1.7575440052298841</v>
      </c>
      <c r="E3603" s="21">
        <f t="shared" ca="1" si="626"/>
        <v>62.071982385414231</v>
      </c>
      <c r="F3603" s="20" t="str">
        <f t="shared" ca="1" si="624"/>
        <v>No</v>
      </c>
      <c r="G3603" s="21">
        <f t="shared" ca="1" si="620"/>
        <v>0</v>
      </c>
      <c r="H3603" s="21">
        <f t="shared" ca="1" si="621"/>
        <v>10976.535531252242</v>
      </c>
      <c r="I3603" s="21">
        <f t="shared" ca="1" si="616"/>
        <v>10978.293075257472</v>
      </c>
      <c r="J3603" s="20">
        <f t="shared" ca="1" si="625"/>
        <v>6</v>
      </c>
      <c r="K3603" s="20">
        <f t="shared" ca="1" si="617"/>
        <v>5</v>
      </c>
      <c r="L3603" s="44">
        <f t="shared" ca="1" si="622"/>
        <v>5.5</v>
      </c>
    </row>
    <row r="3604" spans="1:12" x14ac:dyDescent="0.25">
      <c r="A3604" s="20">
        <v>3596</v>
      </c>
      <c r="B3604" s="21">
        <f t="shared" ca="1" si="618"/>
        <v>0.99593272073482142</v>
      </c>
      <c r="C3604" s="21">
        <f t="shared" ca="1" si="623"/>
        <v>10915.459481587563</v>
      </c>
      <c r="D3604" s="21">
        <f t="shared" ca="1" si="619"/>
        <v>0.92279423501364322</v>
      </c>
      <c r="E3604" s="21">
        <f t="shared" ca="1" si="626"/>
        <v>62.833593669909533</v>
      </c>
      <c r="F3604" s="20" t="str">
        <f t="shared" ca="1" si="624"/>
        <v>No</v>
      </c>
      <c r="G3604" s="21">
        <f t="shared" ca="1" si="620"/>
        <v>0</v>
      </c>
      <c r="H3604" s="21">
        <f t="shared" ca="1" si="621"/>
        <v>10978.293075257472</v>
      </c>
      <c r="I3604" s="21">
        <f t="shared" ca="1" si="616"/>
        <v>10979.215869492486</v>
      </c>
      <c r="J3604" s="20">
        <f t="shared" ca="1" si="625"/>
        <v>6</v>
      </c>
      <c r="K3604" s="20">
        <f ca="1">IF($I3604&lt;=$C3605,0,IF($I3604&lt;=$C3606,1,IF($I3604&lt;=$C3607,2,IF($I3604&lt;=$C3608,3,4))))</f>
        <v>4</v>
      </c>
      <c r="L3604" s="44">
        <f t="shared" ca="1" si="622"/>
        <v>5</v>
      </c>
    </row>
    <row r="3605" spans="1:12" x14ac:dyDescent="0.25">
      <c r="A3605" s="20">
        <v>3597</v>
      </c>
      <c r="B3605" s="21">
        <f t="shared" ca="1" si="618"/>
        <v>2.7735835337766854</v>
      </c>
      <c r="C3605" s="21">
        <f t="shared" ca="1" si="623"/>
        <v>10918.23306512134</v>
      </c>
      <c r="D3605" s="21">
        <f t="shared" ca="1" si="619"/>
        <v>1.0336235913748348</v>
      </c>
      <c r="E3605" s="21">
        <f t="shared" ca="1" si="626"/>
        <v>60.982804371145903</v>
      </c>
      <c r="F3605" s="20" t="str">
        <f t="shared" ca="1" si="624"/>
        <v>No</v>
      </c>
      <c r="G3605" s="21">
        <f t="shared" ca="1" si="620"/>
        <v>0</v>
      </c>
      <c r="H3605" s="21">
        <f t="shared" ca="1" si="621"/>
        <v>10979.215869492486</v>
      </c>
      <c r="I3605" s="21">
        <f t="shared" ca="1" si="616"/>
        <v>10980.24949308386</v>
      </c>
      <c r="J3605" s="20">
        <f t="shared" ca="1" si="625"/>
        <v>5</v>
      </c>
      <c r="K3605" s="20">
        <f ca="1">IF($I3605&lt;=$C3606,0,IF($I3605&lt;=$C3607,1,IF($I3605&lt;=$C3608,2,3)))</f>
        <v>3</v>
      </c>
      <c r="L3605" s="44">
        <f t="shared" ca="1" si="622"/>
        <v>4</v>
      </c>
    </row>
    <row r="3606" spans="1:12" x14ac:dyDescent="0.25">
      <c r="A3606" s="20">
        <v>3598</v>
      </c>
      <c r="B3606" s="21">
        <f t="shared" ca="1" si="618"/>
        <v>6.2960468546396946</v>
      </c>
      <c r="C3606" s="21">
        <f t="shared" ca="1" si="623"/>
        <v>10924.529111975979</v>
      </c>
      <c r="D3606" s="21">
        <f t="shared" ca="1" si="619"/>
        <v>0.95613481803547684</v>
      </c>
      <c r="E3606" s="21">
        <f ca="1">IF(($E3605+$D3605)&gt;$B3606,($E3605+$D3605)-$B3606,0)</f>
        <v>55.720381107881039</v>
      </c>
      <c r="F3606" s="20" t="str">
        <f t="shared" ca="1" si="624"/>
        <v>No</v>
      </c>
      <c r="G3606" s="21">
        <f ca="1">IF($D3605+$E3605&lt;$B3606,$B3606-($D3605+$E3605),0)</f>
        <v>0</v>
      </c>
      <c r="H3606" s="21">
        <f t="shared" ca="1" si="621"/>
        <v>10980.24949308386</v>
      </c>
      <c r="I3606" s="21">
        <f t="shared" ca="1" si="616"/>
        <v>10981.205627901896</v>
      </c>
      <c r="J3606" s="20">
        <f t="shared" ca="1" si="625"/>
        <v>4</v>
      </c>
      <c r="K3606" s="20">
        <f ca="1">IF($I3606&lt;=$C3607,0,IF($I3606&lt;=$C3608,1,2))</f>
        <v>2</v>
      </c>
      <c r="L3606" s="44">
        <f t="shared" ca="1" si="622"/>
        <v>3</v>
      </c>
    </row>
    <row r="3607" spans="1:12" x14ac:dyDescent="0.25">
      <c r="A3607" s="20">
        <v>3599</v>
      </c>
      <c r="B3607" s="21">
        <f t="shared" ca="1" si="618"/>
        <v>4.1729917983596678</v>
      </c>
      <c r="C3607" s="21">
        <f t="shared" ca="1" si="623"/>
        <v>10928.702103774338</v>
      </c>
      <c r="D3607" s="21">
        <f t="shared" ca="1" si="619"/>
        <v>0.29414096764623571</v>
      </c>
      <c r="E3607" s="21">
        <f ca="1">IF(($E3606+$D3606)&gt;$B3607,($E3606+$D3606)-$B3607,0)</f>
        <v>52.503524127556851</v>
      </c>
      <c r="F3607" s="20" t="str">
        <f t="shared" ca="1" si="624"/>
        <v>No</v>
      </c>
      <c r="G3607" s="21">
        <f ca="1">IF($D3606+$E3606&lt;$B3607,$B3607-($D3606+$E3606),0)</f>
        <v>0</v>
      </c>
      <c r="H3607" s="21">
        <f t="shared" ca="1" si="621"/>
        <v>10981.205627901896</v>
      </c>
      <c r="I3607" s="21">
        <f t="shared" ca="1" si="616"/>
        <v>10981.499768869542</v>
      </c>
      <c r="J3607" s="20">
        <f t="shared" ca="1" si="625"/>
        <v>3</v>
      </c>
      <c r="K3607" s="20">
        <f ca="1">IF($I3607&lt;=$C3608,0,1)</f>
        <v>1</v>
      </c>
      <c r="L3607" s="44">
        <f t="shared" ca="1" si="622"/>
        <v>2</v>
      </c>
    </row>
    <row r="3608" spans="1:12" x14ac:dyDescent="0.25">
      <c r="A3608" s="20">
        <v>3600</v>
      </c>
      <c r="B3608" s="21">
        <f t="shared" ca="1" si="618"/>
        <v>19.535118869339673</v>
      </c>
      <c r="C3608" s="21">
        <f t="shared" ca="1" si="623"/>
        <v>10948.237222643678</v>
      </c>
      <c r="D3608" s="21">
        <f t="shared" ca="1" si="619"/>
        <v>3.0984207397966457</v>
      </c>
      <c r="E3608" s="21">
        <f ca="1">IF(($E3607+$D3607)&gt;$B3608,($E3607+$D3607)-$B3608,0)</f>
        <v>33.262546225863417</v>
      </c>
      <c r="F3608" s="20" t="str">
        <f t="shared" ca="1" si="624"/>
        <v>No</v>
      </c>
      <c r="G3608" s="21">
        <f ca="1">IF($D3607+$E3607&lt;$B3608,$B3608-($D3607+$E3607),0)</f>
        <v>0</v>
      </c>
      <c r="H3608" s="21">
        <f t="shared" ca="1" si="621"/>
        <v>10981.499768869542</v>
      </c>
      <c r="I3608" s="21">
        <f t="shared" ca="1" si="616"/>
        <v>10984.598189609338</v>
      </c>
      <c r="J3608" s="20">
        <f t="shared" ca="1" si="625"/>
        <v>2</v>
      </c>
      <c r="K3608" s="20">
        <v>0</v>
      </c>
      <c r="L3608" s="44">
        <f t="shared" ca="1" si="622"/>
        <v>1</v>
      </c>
    </row>
    <row r="3609" spans="1:12" x14ac:dyDescent="0.25">
      <c r="A3609" s="20"/>
      <c r="B3609" s="20"/>
      <c r="C3609" s="20"/>
      <c r="D3609" s="20"/>
      <c r="E3609" s="22"/>
      <c r="F3609" s="20"/>
      <c r="G3609" s="22"/>
      <c r="H3609" s="20"/>
      <c r="I3609" s="20"/>
      <c r="J3609" s="20"/>
      <c r="K3609" s="20"/>
      <c r="L3609" s="45"/>
    </row>
    <row r="3610" spans="1:12" ht="15.75" x14ac:dyDescent="0.25">
      <c r="A3610" s="41" t="s">
        <v>37</v>
      </c>
      <c r="B3610" s="42">
        <f ca="1">AVERAGE(B9:B3608)</f>
        <v>3.0411770062899106</v>
      </c>
      <c r="C3610" s="42"/>
      <c r="D3610" s="42">
        <f ca="1">AVERAGE(D9:D3608)</f>
        <v>2.5083235913550879</v>
      </c>
      <c r="E3610" s="42">
        <f ca="1">AVERAGE(E9:E3608)</f>
        <v>10.705832550869463</v>
      </c>
      <c r="F3610" s="42"/>
      <c r="G3610" s="42"/>
      <c r="H3610" s="42"/>
      <c r="I3610" s="42"/>
      <c r="J3610" s="42">
        <f ca="1">AVERAGE(J9:J3608)</f>
        <v>3.6044444444444443</v>
      </c>
      <c r="K3610" s="42">
        <f ca="1">AVERAGE(K9:K3608)</f>
        <v>2.7911111111111113</v>
      </c>
      <c r="L3610" s="42">
        <f ca="1">AVERAGE(L9:L3608)</f>
        <v>3.1977777777777776</v>
      </c>
    </row>
    <row r="3611" spans="1:12" ht="15.75" x14ac:dyDescent="0.25">
      <c r="A3611" s="41" t="s">
        <v>38</v>
      </c>
      <c r="B3611" s="42">
        <f>1/D4</f>
        <v>3</v>
      </c>
      <c r="C3611" s="42"/>
      <c r="D3611" s="42">
        <f>1/D6</f>
        <v>2.5</v>
      </c>
      <c r="E3611" s="42">
        <f>$D$4^2/(($D$6*($D$6-$D$4)))</f>
        <v>4.1666666666666634</v>
      </c>
      <c r="F3611" s="42"/>
      <c r="G3611" s="42"/>
      <c r="H3611" s="42"/>
      <c r="I3611" s="42"/>
      <c r="J3611" s="42"/>
      <c r="K3611" s="42"/>
      <c r="L3611" s="42">
        <f>$D$4^2/($D$6*($D$6-$D$4))</f>
        <v>4.1666666666666634</v>
      </c>
    </row>
  </sheetData>
  <mergeCells count="1">
    <mergeCell ref="A1:L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6A9E-25E8-4039-BBBA-76F2BF4C906C}">
  <sheetPr>
    <tabColor theme="5" tint="-0.499984740745262"/>
  </sheetPr>
  <dimension ref="A1:U512"/>
  <sheetViews>
    <sheetView zoomScaleNormal="100" workbookViewId="0">
      <pane ySplit="14" topLeftCell="A509" activePane="bottomLeft" state="frozen"/>
      <selection pane="bottomLeft" activeCell="P5" sqref="P5"/>
    </sheetView>
  </sheetViews>
  <sheetFormatPr defaultRowHeight="15" x14ac:dyDescent="0.25"/>
  <cols>
    <col min="1" max="1" width="11.140625" customWidth="1"/>
    <col min="2" max="2" width="8.5703125" bestFit="1" customWidth="1"/>
    <col min="3" max="3" width="10.5703125" bestFit="1" customWidth="1"/>
    <col min="4" max="4" width="7.5703125" bestFit="1" customWidth="1"/>
    <col min="5" max="5" width="10.85546875" bestFit="1" customWidth="1"/>
    <col min="6" max="6" width="12" bestFit="1" customWidth="1"/>
    <col min="7" max="7" width="10.5703125" bestFit="1" customWidth="1"/>
    <col min="8" max="8" width="10.140625" customWidth="1"/>
    <col min="9" max="9" width="10.7109375" customWidth="1"/>
    <col min="10" max="10" width="10.85546875" customWidth="1"/>
    <col min="11" max="11" width="9.5703125" bestFit="1" customWidth="1"/>
    <col min="12" max="12" width="10.85546875" bestFit="1" customWidth="1"/>
    <col min="13" max="13" width="9.28515625" customWidth="1"/>
    <col min="14" max="14" width="10.5703125" bestFit="1" customWidth="1"/>
    <col min="15" max="15" width="9.5703125" bestFit="1" customWidth="1"/>
    <col min="16" max="16" width="10" bestFit="1" customWidth="1"/>
    <col min="17" max="17" width="9.5703125" customWidth="1"/>
    <col min="18" max="18" width="10.140625" customWidth="1"/>
  </cols>
  <sheetData>
    <row r="1" spans="1:19" ht="32.25" customHeight="1" thickBot="1" x14ac:dyDescent="0.3">
      <c r="A1" s="75" t="s">
        <v>39</v>
      </c>
      <c r="B1" s="76"/>
      <c r="C1" s="76"/>
      <c r="D1" s="76"/>
      <c r="E1" s="76"/>
      <c r="F1" s="76"/>
      <c r="G1" s="77"/>
      <c r="H1" s="77"/>
      <c r="I1" s="76"/>
      <c r="J1" s="76"/>
      <c r="K1" s="76"/>
      <c r="L1" s="76"/>
      <c r="M1" s="76"/>
      <c r="N1" s="76"/>
      <c r="O1" s="76"/>
      <c r="P1" s="76"/>
      <c r="Q1" s="78"/>
    </row>
    <row r="2" spans="1:19" x14ac:dyDescent="0.25">
      <c r="G2" s="70" t="s">
        <v>4</v>
      </c>
      <c r="H2" s="71" t="s">
        <v>6</v>
      </c>
      <c r="J2" s="39" t="s">
        <v>46</v>
      </c>
      <c r="P2" s="38"/>
    </row>
    <row r="3" spans="1:19" x14ac:dyDescent="0.25">
      <c r="A3" s="3" t="s">
        <v>5</v>
      </c>
      <c r="B3" s="4"/>
      <c r="C3" s="4"/>
      <c r="D3" s="4"/>
      <c r="E3" s="4"/>
      <c r="F3" s="61" t="s">
        <v>1</v>
      </c>
      <c r="G3" s="64">
        <v>20</v>
      </c>
      <c r="H3" s="65">
        <f>G3/60</f>
        <v>0.33333333333333331</v>
      </c>
      <c r="I3" s="33"/>
      <c r="J3" s="79" t="s">
        <v>36</v>
      </c>
      <c r="K3" s="80"/>
      <c r="L3" s="80"/>
      <c r="M3" s="81"/>
      <c r="N3" s="34"/>
      <c r="O3" s="35"/>
      <c r="P3" s="33"/>
    </row>
    <row r="4" spans="1:19" ht="15.75" customHeight="1" x14ac:dyDescent="0.25">
      <c r="A4" s="3" t="s">
        <v>0</v>
      </c>
      <c r="B4" s="4"/>
      <c r="C4" s="4"/>
      <c r="D4" s="4"/>
      <c r="E4" s="4"/>
      <c r="F4" s="62" t="s">
        <v>3</v>
      </c>
      <c r="G4" s="66">
        <f>H4/60</f>
        <v>4.1666666666666664E-2</v>
      </c>
      <c r="H4" s="67">
        <v>2.5</v>
      </c>
      <c r="I4" s="33"/>
      <c r="J4" s="82" t="s">
        <v>44</v>
      </c>
      <c r="K4" s="83"/>
      <c r="L4" s="84"/>
      <c r="M4" s="50">
        <f ca="1">AVERAGE(K511,S511)</f>
        <v>0.504</v>
      </c>
      <c r="N4" s="36"/>
      <c r="O4" s="35"/>
      <c r="P4" s="37"/>
      <c r="R4" s="51"/>
    </row>
    <row r="5" spans="1:19" ht="15.75" thickBot="1" x14ac:dyDescent="0.3">
      <c r="A5" s="5" t="s">
        <v>25</v>
      </c>
      <c r="B5" s="6"/>
      <c r="C5" s="6"/>
      <c r="D5" s="6"/>
      <c r="E5" s="6"/>
      <c r="F5" s="62" t="s">
        <v>2</v>
      </c>
      <c r="G5" s="68">
        <f>1/G4</f>
        <v>24</v>
      </c>
      <c r="H5" s="69">
        <f>1/H4</f>
        <v>0.4</v>
      </c>
      <c r="I5" s="33"/>
      <c r="J5" s="82" t="s">
        <v>45</v>
      </c>
      <c r="K5" s="83"/>
      <c r="L5" s="84"/>
      <c r="M5" s="50">
        <f>((($H$3/$H$5)^2)*($H$3*$H$5))/((FACT(2-1))*((2*$H$5)-$H$3)*$G$6)</f>
        <v>0.4818594104308388</v>
      </c>
      <c r="N5" s="36"/>
      <c r="O5" s="35"/>
      <c r="P5" s="29"/>
    </row>
    <row r="6" spans="1:19" ht="16.5" customHeight="1" x14ac:dyDescent="0.35">
      <c r="B6" s="60" t="s">
        <v>47</v>
      </c>
      <c r="C6" s="58"/>
      <c r="D6" s="58"/>
      <c r="E6" s="59"/>
      <c r="F6" s="30" t="s">
        <v>40</v>
      </c>
      <c r="G6" s="63">
        <f>1/(((($H$3/$H$5)^0)/FACT(0))+((($H$3/$H$5)^1)/FACT(1))+(((($H$3/$H$5)^2)/FACT(2)))*((2*$H$5)/((2*$H$5)-$H$3)))</f>
        <v>0.41176470588235298</v>
      </c>
      <c r="N6" s="35"/>
      <c r="O6" s="35"/>
      <c r="P6" s="35"/>
    </row>
    <row r="8" spans="1:19" ht="60" x14ac:dyDescent="0.25">
      <c r="A8" s="9" t="s">
        <v>7</v>
      </c>
      <c r="B8" s="10" t="s">
        <v>8</v>
      </c>
      <c r="C8" s="10" t="s">
        <v>9</v>
      </c>
      <c r="D8" s="10" t="s">
        <v>22</v>
      </c>
      <c r="E8" s="10" t="s">
        <v>17</v>
      </c>
      <c r="F8" s="10" t="s">
        <v>14</v>
      </c>
      <c r="G8" s="10" t="s">
        <v>19</v>
      </c>
      <c r="H8" s="10" t="s">
        <v>16</v>
      </c>
      <c r="I8" s="10" t="s">
        <v>41</v>
      </c>
      <c r="J8" s="10" t="s">
        <v>42</v>
      </c>
      <c r="K8" s="10" t="s">
        <v>43</v>
      </c>
      <c r="L8" s="10" t="s">
        <v>18</v>
      </c>
      <c r="M8" s="10" t="s">
        <v>15</v>
      </c>
      <c r="N8" s="10" t="s">
        <v>20</v>
      </c>
      <c r="O8" s="10" t="s">
        <v>23</v>
      </c>
      <c r="P8" s="10" t="s">
        <v>24</v>
      </c>
      <c r="Q8" s="10" t="s">
        <v>41</v>
      </c>
      <c r="R8" s="10" t="s">
        <v>42</v>
      </c>
      <c r="S8" s="10" t="s">
        <v>43</v>
      </c>
    </row>
    <row r="9" spans="1:19" x14ac:dyDescent="0.25">
      <c r="A9" s="1"/>
      <c r="B9" s="2"/>
      <c r="C9" s="7"/>
      <c r="D9" s="7"/>
      <c r="E9" s="7"/>
      <c r="F9" s="7"/>
      <c r="G9" s="2"/>
      <c r="H9" s="2"/>
      <c r="I9" s="2"/>
      <c r="J9" s="2"/>
      <c r="K9" s="2"/>
      <c r="L9" s="2"/>
      <c r="S9" s="13"/>
    </row>
    <row r="10" spans="1:19" x14ac:dyDescent="0.25">
      <c r="A10">
        <v>1</v>
      </c>
      <c r="B10" s="51">
        <f t="shared" ref="B10:B73" ca="1" si="0">-LN(RAND())/$H$3</f>
        <v>2.2806133395689021</v>
      </c>
      <c r="C10" s="51">
        <f ca="1">B10+C9</f>
        <v>2.2806133395689021</v>
      </c>
      <c r="D10" s="12" t="s">
        <v>21</v>
      </c>
      <c r="E10" s="51">
        <f ca="1">C10</f>
        <v>2.2806133395689021</v>
      </c>
      <c r="F10" s="51">
        <f t="shared" ref="F10:F73" ca="1" si="1">-LN(RAND())/$H$5</f>
        <v>6.9980921101727454</v>
      </c>
      <c r="G10" s="51">
        <f ca="1">E10+F10</f>
        <v>9.278705449741647</v>
      </c>
      <c r="H10" s="8" t="str">
        <f>IF(D10="C1","No","Yes")</f>
        <v>No</v>
      </c>
      <c r="I10" s="32">
        <v>0</v>
      </c>
      <c r="J10" s="32">
        <f ca="1">IF($G10&lt;=$C11,0,IF($G10&lt;=$C12,1,IF($G10&lt;=$C13,2,IF($G10&lt;=$C14,3,IF($G10&lt;=$C15,4,5)))))</f>
        <v>2</v>
      </c>
      <c r="K10" s="31">
        <f ca="1">AVERAGE(I10:J10)</f>
        <v>1</v>
      </c>
      <c r="L10" s="52">
        <v>0</v>
      </c>
      <c r="M10" s="51">
        <f t="shared" ref="M10:M73" ca="1" si="2">-LN(RAND())/$H$5</f>
        <v>0.80318029051182327</v>
      </c>
      <c r="N10" s="51">
        <v>0</v>
      </c>
      <c r="O10" s="28" t="str">
        <f t="shared" ref="O10:O73" si="3">IF(D10="C2","No","Yes")</f>
        <v>Yes</v>
      </c>
      <c r="P10" s="51">
        <v>0</v>
      </c>
      <c r="Q10">
        <v>0</v>
      </c>
      <c r="R10">
        <f t="shared" ref="R10:R41" ca="1" si="4">IF($N10&lt;=$C11,0,IF($N10&lt;=$C12,1,IF($N10&lt;=$C13,2,IF($N10&lt;=$C14,3,IF($N10&lt;=$C15,4,5)))))</f>
        <v>0</v>
      </c>
      <c r="S10" s="14">
        <f ca="1">AVERAGE(Q10:R10)</f>
        <v>0</v>
      </c>
    </row>
    <row r="11" spans="1:19" x14ac:dyDescent="0.25">
      <c r="A11">
        <v>2</v>
      </c>
      <c r="B11" s="51">
        <f t="shared" ca="1" si="0"/>
        <v>1.4071849743162717</v>
      </c>
      <c r="C11" s="51">
        <f ca="1">C10+B11</f>
        <v>3.6877983138851738</v>
      </c>
      <c r="D11" s="11" t="str">
        <f t="shared" ref="D11:D74" ca="1" si="5">IF(C11&gt;G10,"C1",IF(C11&gt;N10,"C2"))</f>
        <v>C2</v>
      </c>
      <c r="E11" s="51">
        <f ca="1">IF(D11="C1",C11,0)</f>
        <v>0</v>
      </c>
      <c r="F11" s="51">
        <f t="shared" ca="1" si="1"/>
        <v>2.2252473208331565</v>
      </c>
      <c r="G11" s="51">
        <f ca="1">IF(E11=0,0,F11+E11)</f>
        <v>0</v>
      </c>
      <c r="H11" s="8" t="str">
        <f t="shared" ref="H11:H74" ca="1" si="6">IF(D11="C1","No","Yes")</f>
        <v>Yes</v>
      </c>
      <c r="I11" s="32">
        <f ca="1">IF(G10&lt;=$C11,0,$J10+1)</f>
        <v>3</v>
      </c>
      <c r="J11" s="32">
        <f t="shared" ref="J11:J74" ca="1" si="7">IF($G11&lt;=$C12,0,IF($G11&lt;=$C13,1,IF($G11&lt;=$C14,2,IF($G11&lt;=$C15,3,IF($G11&lt;=$C16,4,5)))))</f>
        <v>0</v>
      </c>
      <c r="K11" s="31">
        <f t="shared" ref="K11:K74" ca="1" si="8">AVERAGE(I11:J11)</f>
        <v>1.5</v>
      </c>
      <c r="L11" s="52">
        <f t="shared" ref="L11:L74" ca="1" si="9">IF(D11="C2",C11,0)</f>
        <v>3.6877983138851738</v>
      </c>
      <c r="M11" s="51">
        <f t="shared" ca="1" si="2"/>
        <v>2.4958253909858872</v>
      </c>
      <c r="N11" s="51">
        <f ca="1">IF(L11=0,0,M11+L11)</f>
        <v>6.1836237048710609</v>
      </c>
      <c r="O11" s="28" t="str">
        <f t="shared" ca="1" si="3"/>
        <v>No</v>
      </c>
      <c r="P11" s="51">
        <f t="shared" ref="P11:P74" ca="1" si="10">IF(D11="C1",IF(G11&lt;C12,0,G11-C12),IF(N11&lt;C12,0,N11-C12))</f>
        <v>0</v>
      </c>
      <c r="Q11">
        <f ca="1">IF($N10&lt;=$C11,0,$R10+1)</f>
        <v>0</v>
      </c>
      <c r="R11">
        <f t="shared" ca="1" si="4"/>
        <v>0</v>
      </c>
      <c r="S11" s="14">
        <f t="shared" ref="S11:S74" ca="1" si="11">AVERAGE(Q11:R11)</f>
        <v>0</v>
      </c>
    </row>
    <row r="12" spans="1:19" x14ac:dyDescent="0.25">
      <c r="A12">
        <v>3</v>
      </c>
      <c r="B12" s="51">
        <f t="shared" ca="1" si="0"/>
        <v>3.5995252662436727</v>
      </c>
      <c r="C12" s="51">
        <f t="shared" ref="C12:C75" ca="1" si="12">C11+B12</f>
        <v>7.287323580128847</v>
      </c>
      <c r="D12" s="11" t="str">
        <f t="shared" ca="1" si="5"/>
        <v>C1</v>
      </c>
      <c r="E12" s="51">
        <f ca="1">IF(D12="C1",C12,0)</f>
        <v>7.287323580128847</v>
      </c>
      <c r="F12" s="51">
        <f t="shared" ca="1" si="1"/>
        <v>2.3760543130871481</v>
      </c>
      <c r="G12" s="51">
        <f ca="1">IF(E12=0,0,F12+E12)</f>
        <v>9.6633778932159942</v>
      </c>
      <c r="H12" s="8" t="str">
        <f t="shared" ca="1" si="6"/>
        <v>No</v>
      </c>
      <c r="I12" s="32">
        <f t="shared" ref="I12:I75" ca="1" si="13">IF(G11&lt;=$C12,0,$J11+1)</f>
        <v>0</v>
      </c>
      <c r="J12" s="32">
        <f t="shared" ca="1" si="7"/>
        <v>0</v>
      </c>
      <c r="K12" s="31">
        <f t="shared" ca="1" si="8"/>
        <v>0</v>
      </c>
      <c r="L12" s="52">
        <f t="shared" ca="1" si="9"/>
        <v>0</v>
      </c>
      <c r="M12" s="51">
        <f t="shared" ca="1" si="2"/>
        <v>1.0140982582090188</v>
      </c>
      <c r="N12" s="51">
        <f t="shared" ref="N12:N75" ca="1" si="14">IF(L12=0,0,M12+L12)</f>
        <v>0</v>
      </c>
      <c r="O12" s="28" t="str">
        <f t="shared" ca="1" si="3"/>
        <v>Yes</v>
      </c>
      <c r="P12" s="51">
        <f t="shared" ca="1" si="10"/>
        <v>0</v>
      </c>
      <c r="Q12">
        <f t="shared" ref="Q12:Q75" ca="1" si="15">IF($N11&lt;=$C12,0,$R11+1)</f>
        <v>0</v>
      </c>
      <c r="R12">
        <f t="shared" ca="1" si="4"/>
        <v>0</v>
      </c>
      <c r="S12" s="14">
        <f t="shared" ca="1" si="11"/>
        <v>0</v>
      </c>
    </row>
    <row r="13" spans="1:19" x14ac:dyDescent="0.25">
      <c r="A13">
        <v>4</v>
      </c>
      <c r="B13" s="51">
        <f t="shared" ca="1" si="0"/>
        <v>3.757592706870561</v>
      </c>
      <c r="C13" s="51">
        <f t="shared" ca="1" si="12"/>
        <v>11.044916286999408</v>
      </c>
      <c r="D13" s="11" t="str">
        <f t="shared" ca="1" si="5"/>
        <v>C1</v>
      </c>
      <c r="E13" s="51">
        <f t="shared" ref="E13:E75" ca="1" si="16">IF(D13="C1",C13,0)</f>
        <v>11.044916286999408</v>
      </c>
      <c r="F13" s="51">
        <f t="shared" ca="1" si="1"/>
        <v>4.5071839248585439</v>
      </c>
      <c r="G13" s="51">
        <f t="shared" ref="G13:G75" ca="1" si="17">IF(E13=0,0,F13+E13)</f>
        <v>15.552100211857951</v>
      </c>
      <c r="H13" s="8" t="str">
        <f t="shared" ca="1" si="6"/>
        <v>No</v>
      </c>
      <c r="I13" s="32">
        <f t="shared" ca="1" si="13"/>
        <v>0</v>
      </c>
      <c r="J13" s="32">
        <f t="shared" ca="1" si="7"/>
        <v>1</v>
      </c>
      <c r="K13" s="31">
        <f t="shared" ca="1" si="8"/>
        <v>0.5</v>
      </c>
      <c r="L13" s="52">
        <f t="shared" ca="1" si="9"/>
        <v>0</v>
      </c>
      <c r="M13" s="51">
        <f t="shared" ca="1" si="2"/>
        <v>1.7401042724447293</v>
      </c>
      <c r="N13" s="51">
        <f t="shared" ca="1" si="14"/>
        <v>0</v>
      </c>
      <c r="O13" s="28" t="str">
        <f t="shared" ca="1" si="3"/>
        <v>Yes</v>
      </c>
      <c r="P13" s="51">
        <f t="shared" ca="1" si="10"/>
        <v>2.9926790231384572</v>
      </c>
      <c r="Q13">
        <f t="shared" ca="1" si="15"/>
        <v>0</v>
      </c>
      <c r="R13">
        <f t="shared" ca="1" si="4"/>
        <v>0</v>
      </c>
      <c r="S13" s="14">
        <f t="shared" ca="1" si="11"/>
        <v>0</v>
      </c>
    </row>
    <row r="14" spans="1:19" x14ac:dyDescent="0.25">
      <c r="A14">
        <v>5</v>
      </c>
      <c r="B14" s="51">
        <f t="shared" ca="1" si="0"/>
        <v>1.5145049017200856</v>
      </c>
      <c r="C14" s="51">
        <f ca="1">C13+B14</f>
        <v>12.559421188719494</v>
      </c>
      <c r="D14" s="11" t="str">
        <f t="shared" ca="1" si="5"/>
        <v>C2</v>
      </c>
      <c r="E14" s="51">
        <f t="shared" ca="1" si="16"/>
        <v>0</v>
      </c>
      <c r="F14" s="51">
        <f t="shared" ca="1" si="1"/>
        <v>0.57090416999121996</v>
      </c>
      <c r="G14" s="51">
        <f t="shared" ca="1" si="17"/>
        <v>0</v>
      </c>
      <c r="H14" s="8" t="str">
        <f t="shared" ca="1" si="6"/>
        <v>Yes</v>
      </c>
      <c r="I14" s="32">
        <f t="shared" ca="1" si="13"/>
        <v>2</v>
      </c>
      <c r="J14" s="32">
        <f t="shared" ca="1" si="7"/>
        <v>0</v>
      </c>
      <c r="K14" s="31">
        <f t="shared" ca="1" si="8"/>
        <v>1</v>
      </c>
      <c r="L14" s="52">
        <f t="shared" ca="1" si="9"/>
        <v>12.559421188719494</v>
      </c>
      <c r="M14" s="51">
        <f t="shared" ca="1" si="2"/>
        <v>0.50534329739231576</v>
      </c>
      <c r="N14" s="51">
        <f t="shared" ca="1" si="14"/>
        <v>13.064764486111809</v>
      </c>
      <c r="O14" s="28" t="str">
        <f t="shared" ca="1" si="3"/>
        <v>No</v>
      </c>
      <c r="P14" s="51">
        <f t="shared" ca="1" si="10"/>
        <v>0</v>
      </c>
      <c r="Q14">
        <f t="shared" ca="1" si="15"/>
        <v>0</v>
      </c>
      <c r="R14">
        <f t="shared" ca="1" si="4"/>
        <v>0</v>
      </c>
      <c r="S14" s="14">
        <f t="shared" ca="1" si="11"/>
        <v>0</v>
      </c>
    </row>
    <row r="15" spans="1:19" x14ac:dyDescent="0.25">
      <c r="A15">
        <v>6</v>
      </c>
      <c r="B15" s="51">
        <f t="shared" ca="1" si="0"/>
        <v>3.3846754349359713</v>
      </c>
      <c r="C15" s="51">
        <f t="shared" ca="1" si="12"/>
        <v>15.944096623655465</v>
      </c>
      <c r="D15" s="11" t="str">
        <f t="shared" ca="1" si="5"/>
        <v>C1</v>
      </c>
      <c r="E15" s="51">
        <f t="shared" ca="1" si="16"/>
        <v>15.944096623655465</v>
      </c>
      <c r="F15" s="51">
        <f t="shared" ca="1" si="1"/>
        <v>1.6738838638280562</v>
      </c>
      <c r="G15" s="51">
        <f t="shared" ca="1" si="17"/>
        <v>17.617980487483521</v>
      </c>
      <c r="H15" s="8" t="str">
        <f t="shared" ca="1" si="6"/>
        <v>No</v>
      </c>
      <c r="I15" s="32">
        <f t="shared" ca="1" si="13"/>
        <v>0</v>
      </c>
      <c r="J15" s="32">
        <f t="shared" ca="1" si="7"/>
        <v>0</v>
      </c>
      <c r="K15" s="31">
        <f t="shared" ca="1" si="8"/>
        <v>0</v>
      </c>
      <c r="L15" s="52">
        <f t="shared" ca="1" si="9"/>
        <v>0</v>
      </c>
      <c r="M15" s="51">
        <f t="shared" ca="1" si="2"/>
        <v>1.3396284310377171</v>
      </c>
      <c r="N15" s="51">
        <f t="shared" ca="1" si="14"/>
        <v>0</v>
      </c>
      <c r="O15" s="28" t="str">
        <f t="shared" ca="1" si="3"/>
        <v>Yes</v>
      </c>
      <c r="P15" s="51">
        <f t="shared" ca="1" si="10"/>
        <v>0</v>
      </c>
      <c r="Q15">
        <f t="shared" ca="1" si="15"/>
        <v>0</v>
      </c>
      <c r="R15">
        <f t="shared" ca="1" si="4"/>
        <v>0</v>
      </c>
      <c r="S15" s="14">
        <f t="shared" ca="1" si="11"/>
        <v>0</v>
      </c>
    </row>
    <row r="16" spans="1:19" x14ac:dyDescent="0.25">
      <c r="A16">
        <v>7</v>
      </c>
      <c r="B16" s="51">
        <f t="shared" ca="1" si="0"/>
        <v>1.8869457962782541</v>
      </c>
      <c r="C16" s="51">
        <f t="shared" ca="1" si="12"/>
        <v>17.83104241993372</v>
      </c>
      <c r="D16" s="11" t="str">
        <f t="shared" ca="1" si="5"/>
        <v>C1</v>
      </c>
      <c r="E16" s="51">
        <f t="shared" ca="1" si="16"/>
        <v>17.83104241993372</v>
      </c>
      <c r="F16" s="51">
        <f t="shared" ca="1" si="1"/>
        <v>2.97569200277061</v>
      </c>
      <c r="G16" s="51">
        <f t="shared" ca="1" si="17"/>
        <v>20.806734422704331</v>
      </c>
      <c r="H16" s="8" t="str">
        <f t="shared" ca="1" si="6"/>
        <v>No</v>
      </c>
      <c r="I16" s="32">
        <f t="shared" ca="1" si="13"/>
        <v>0</v>
      </c>
      <c r="J16" s="32">
        <f t="shared" ca="1" si="7"/>
        <v>3</v>
      </c>
      <c r="K16" s="31">
        <f t="shared" ca="1" si="8"/>
        <v>1.5</v>
      </c>
      <c r="L16" s="52">
        <f t="shared" ca="1" si="9"/>
        <v>0</v>
      </c>
      <c r="M16" s="51">
        <f t="shared" ca="1" si="2"/>
        <v>1.4727058930891626</v>
      </c>
      <c r="N16" s="51">
        <f t="shared" ca="1" si="14"/>
        <v>0</v>
      </c>
      <c r="O16" s="28" t="str">
        <f t="shared" ca="1" si="3"/>
        <v>Yes</v>
      </c>
      <c r="P16" s="51">
        <f t="shared" ca="1" si="10"/>
        <v>1.7406170540511496</v>
      </c>
      <c r="Q16">
        <f t="shared" ca="1" si="15"/>
        <v>0</v>
      </c>
      <c r="R16">
        <f t="shared" ca="1" si="4"/>
        <v>0</v>
      </c>
      <c r="S16" s="14">
        <f t="shared" ca="1" si="11"/>
        <v>0</v>
      </c>
    </row>
    <row r="17" spans="1:19" x14ac:dyDescent="0.25">
      <c r="A17">
        <v>8</v>
      </c>
      <c r="B17" s="51">
        <f t="shared" ca="1" si="0"/>
        <v>1.2350749487194599</v>
      </c>
      <c r="C17" s="51">
        <f t="shared" ca="1" si="12"/>
        <v>19.066117368653181</v>
      </c>
      <c r="D17" s="11" t="str">
        <f t="shared" ca="1" si="5"/>
        <v>C2</v>
      </c>
      <c r="E17" s="51">
        <f t="shared" ca="1" si="16"/>
        <v>0</v>
      </c>
      <c r="F17" s="51">
        <f t="shared" ca="1" si="1"/>
        <v>0.94243471215508912</v>
      </c>
      <c r="G17" s="51">
        <f t="shared" ca="1" si="17"/>
        <v>0</v>
      </c>
      <c r="H17" s="8" t="str">
        <f t="shared" ca="1" si="6"/>
        <v>Yes</v>
      </c>
      <c r="I17" s="32">
        <f t="shared" ca="1" si="13"/>
        <v>4</v>
      </c>
      <c r="J17" s="32">
        <f t="shared" ca="1" si="7"/>
        <v>0</v>
      </c>
      <c r="K17" s="31">
        <f t="shared" ca="1" si="8"/>
        <v>2</v>
      </c>
      <c r="L17" s="52">
        <f t="shared" ca="1" si="9"/>
        <v>19.066117368653181</v>
      </c>
      <c r="M17" s="51">
        <f t="shared" ca="1" si="2"/>
        <v>2.1851325582981249</v>
      </c>
      <c r="N17" s="51">
        <f t="shared" ca="1" si="14"/>
        <v>21.251249926951306</v>
      </c>
      <c r="O17" s="28" t="str">
        <f t="shared" ca="1" si="3"/>
        <v>No</v>
      </c>
      <c r="P17" s="51">
        <f t="shared" ca="1" si="10"/>
        <v>1.8720867176219151</v>
      </c>
      <c r="Q17">
        <f t="shared" ca="1" si="15"/>
        <v>0</v>
      </c>
      <c r="R17">
        <f t="shared" ca="1" si="4"/>
        <v>2</v>
      </c>
      <c r="S17" s="14">
        <f t="shared" ca="1" si="11"/>
        <v>1</v>
      </c>
    </row>
    <row r="18" spans="1:19" x14ac:dyDescent="0.25">
      <c r="A18">
        <v>9</v>
      </c>
      <c r="B18" s="51">
        <f t="shared" ca="1" si="0"/>
        <v>0.31304584067621077</v>
      </c>
      <c r="C18" s="51">
        <f t="shared" ca="1" si="12"/>
        <v>19.379163209329391</v>
      </c>
      <c r="D18" s="11" t="str">
        <f t="shared" ca="1" si="5"/>
        <v>C1</v>
      </c>
      <c r="E18" s="51">
        <f t="shared" ca="1" si="16"/>
        <v>19.379163209329391</v>
      </c>
      <c r="F18" s="51">
        <f t="shared" ca="1" si="1"/>
        <v>9.1257824710981552</v>
      </c>
      <c r="G18" s="51">
        <f t="shared" ca="1" si="17"/>
        <v>28.504945680427547</v>
      </c>
      <c r="H18" s="8" t="str">
        <f t="shared" ca="1" si="6"/>
        <v>No</v>
      </c>
      <c r="I18" s="32">
        <f t="shared" ca="1" si="13"/>
        <v>0</v>
      </c>
      <c r="J18" s="32">
        <f t="shared" ca="1" si="7"/>
        <v>5</v>
      </c>
      <c r="K18" s="31">
        <f t="shared" ca="1" si="8"/>
        <v>2.5</v>
      </c>
      <c r="L18" s="52">
        <f t="shared" ca="1" si="9"/>
        <v>0</v>
      </c>
      <c r="M18" s="51">
        <f t="shared" ca="1" si="2"/>
        <v>3.551367248307864</v>
      </c>
      <c r="N18" s="51">
        <f t="shared" ca="1" si="14"/>
        <v>0</v>
      </c>
      <c r="O18" s="28" t="str">
        <f t="shared" ca="1" si="3"/>
        <v>Yes</v>
      </c>
      <c r="P18" s="51">
        <f t="shared" ca="1" si="10"/>
        <v>8.1272351588782961</v>
      </c>
      <c r="Q18">
        <f t="shared" ca="1" si="15"/>
        <v>3</v>
      </c>
      <c r="R18">
        <f t="shared" ca="1" si="4"/>
        <v>0</v>
      </c>
      <c r="S18" s="14">
        <f t="shared" ca="1" si="11"/>
        <v>1.5</v>
      </c>
    </row>
    <row r="19" spans="1:19" x14ac:dyDescent="0.25">
      <c r="A19">
        <v>10</v>
      </c>
      <c r="B19" s="51">
        <f t="shared" ca="1" si="0"/>
        <v>0.99854731221985749</v>
      </c>
      <c r="C19" s="51">
        <f t="shared" ca="1" si="12"/>
        <v>20.37771052154925</v>
      </c>
      <c r="D19" s="11" t="str">
        <f t="shared" ca="1" si="5"/>
        <v>C2</v>
      </c>
      <c r="E19" s="51">
        <f t="shared" ca="1" si="16"/>
        <v>0</v>
      </c>
      <c r="F19" s="51">
        <f t="shared" ca="1" si="1"/>
        <v>1.1767391542689316</v>
      </c>
      <c r="G19" s="51">
        <f t="shared" ca="1" si="17"/>
        <v>0</v>
      </c>
      <c r="H19" s="8" t="str">
        <f t="shared" ca="1" si="6"/>
        <v>Yes</v>
      </c>
      <c r="I19" s="32">
        <f t="shared" ca="1" si="13"/>
        <v>6</v>
      </c>
      <c r="J19" s="32">
        <f t="shared" ca="1" si="7"/>
        <v>0</v>
      </c>
      <c r="K19" s="31">
        <f t="shared" ca="1" si="8"/>
        <v>3</v>
      </c>
      <c r="L19" s="52">
        <f t="shared" ca="1" si="9"/>
        <v>20.37771052154925</v>
      </c>
      <c r="M19" s="51">
        <f t="shared" ca="1" si="2"/>
        <v>0.1561985065364542</v>
      </c>
      <c r="N19" s="51">
        <f t="shared" ca="1" si="14"/>
        <v>20.533909028085706</v>
      </c>
      <c r="O19" s="28" t="str">
        <f t="shared" ca="1" si="3"/>
        <v>No</v>
      </c>
      <c r="P19" s="51">
        <f t="shared" ca="1" si="10"/>
        <v>0</v>
      </c>
      <c r="Q19">
        <f t="shared" ca="1" si="15"/>
        <v>0</v>
      </c>
      <c r="R19">
        <f t="shared" ca="1" si="4"/>
        <v>0</v>
      </c>
      <c r="S19" s="14">
        <f t="shared" ca="1" si="11"/>
        <v>0</v>
      </c>
    </row>
    <row r="20" spans="1:19" x14ac:dyDescent="0.25">
      <c r="A20">
        <v>11</v>
      </c>
      <c r="B20" s="51">
        <f t="shared" ca="1" si="0"/>
        <v>2.0806986097996671</v>
      </c>
      <c r="C20" s="51">
        <f t="shared" ca="1" si="12"/>
        <v>22.458409131348919</v>
      </c>
      <c r="D20" s="11" t="str">
        <f t="shared" ca="1" si="5"/>
        <v>C1</v>
      </c>
      <c r="E20" s="51">
        <f t="shared" ca="1" si="16"/>
        <v>22.458409131348919</v>
      </c>
      <c r="F20" s="51">
        <f t="shared" ca="1" si="1"/>
        <v>5.917147266866186</v>
      </c>
      <c r="G20" s="51">
        <f t="shared" ca="1" si="17"/>
        <v>28.375556398215103</v>
      </c>
      <c r="H20" s="8" t="str">
        <f t="shared" ca="1" si="6"/>
        <v>No</v>
      </c>
      <c r="I20" s="32">
        <f t="shared" ca="1" si="13"/>
        <v>0</v>
      </c>
      <c r="J20" s="32">
        <f t="shared" ca="1" si="7"/>
        <v>3</v>
      </c>
      <c r="K20" s="31">
        <f t="shared" ca="1" si="8"/>
        <v>1.5</v>
      </c>
      <c r="L20" s="52">
        <f t="shared" ca="1" si="9"/>
        <v>0</v>
      </c>
      <c r="M20" s="51">
        <f t="shared" ca="1" si="2"/>
        <v>0.59479561535883085</v>
      </c>
      <c r="N20" s="51">
        <f t="shared" ca="1" si="14"/>
        <v>0</v>
      </c>
      <c r="O20" s="28" t="str">
        <f t="shared" ca="1" si="3"/>
        <v>Yes</v>
      </c>
      <c r="P20" s="51">
        <f t="shared" ca="1" si="10"/>
        <v>3.3243798345294238</v>
      </c>
      <c r="Q20">
        <f t="shared" ca="1" si="15"/>
        <v>0</v>
      </c>
      <c r="R20">
        <f t="shared" ca="1" si="4"/>
        <v>0</v>
      </c>
      <c r="S20" s="14">
        <f t="shared" ca="1" si="11"/>
        <v>0</v>
      </c>
    </row>
    <row r="21" spans="1:19" x14ac:dyDescent="0.25">
      <c r="A21">
        <v>12</v>
      </c>
      <c r="B21" s="51">
        <f t="shared" ca="1" si="0"/>
        <v>2.5927674323367587</v>
      </c>
      <c r="C21" s="51">
        <f t="shared" ca="1" si="12"/>
        <v>25.051176563685679</v>
      </c>
      <c r="D21" s="11" t="str">
        <f t="shared" ca="1" si="5"/>
        <v>C2</v>
      </c>
      <c r="E21" s="51">
        <f t="shared" ca="1" si="16"/>
        <v>0</v>
      </c>
      <c r="F21" s="51">
        <f t="shared" ca="1" si="1"/>
        <v>1.1791313102578518</v>
      </c>
      <c r="G21" s="51">
        <f t="shared" ca="1" si="17"/>
        <v>0</v>
      </c>
      <c r="H21" s="8" t="str">
        <f t="shared" ca="1" si="6"/>
        <v>Yes</v>
      </c>
      <c r="I21" s="32">
        <f t="shared" ca="1" si="13"/>
        <v>4</v>
      </c>
      <c r="J21" s="32">
        <f t="shared" ca="1" si="7"/>
        <v>0</v>
      </c>
      <c r="K21" s="31">
        <f t="shared" ca="1" si="8"/>
        <v>2</v>
      </c>
      <c r="L21" s="52">
        <f t="shared" ca="1" si="9"/>
        <v>25.051176563685679</v>
      </c>
      <c r="M21" s="51">
        <f t="shared" ca="1" si="2"/>
        <v>3.1235451756179424</v>
      </c>
      <c r="N21" s="51">
        <f t="shared" ca="1" si="14"/>
        <v>28.174721739303621</v>
      </c>
      <c r="O21" s="28" t="str">
        <f t="shared" ca="1" si="3"/>
        <v>No</v>
      </c>
      <c r="P21" s="51">
        <f t="shared" ca="1" si="10"/>
        <v>2.8718594424053769</v>
      </c>
      <c r="Q21">
        <f t="shared" ca="1" si="15"/>
        <v>0</v>
      </c>
      <c r="R21">
        <f t="shared" ca="1" si="4"/>
        <v>2</v>
      </c>
      <c r="S21" s="14">
        <f t="shared" ca="1" si="11"/>
        <v>1</v>
      </c>
    </row>
    <row r="22" spans="1:19" x14ac:dyDescent="0.25">
      <c r="A22">
        <v>13</v>
      </c>
      <c r="B22" s="51">
        <f t="shared" ca="1" si="0"/>
        <v>0.25168573321256626</v>
      </c>
      <c r="C22" s="51">
        <f t="shared" ca="1" si="12"/>
        <v>25.302862296898244</v>
      </c>
      <c r="D22" s="11" t="str">
        <f t="shared" ca="1" si="5"/>
        <v>C1</v>
      </c>
      <c r="E22" s="51">
        <f t="shared" ca="1" si="16"/>
        <v>25.302862296898244</v>
      </c>
      <c r="F22" s="51">
        <f t="shared" ca="1" si="1"/>
        <v>7.5830903557157443</v>
      </c>
      <c r="G22" s="51">
        <f t="shared" ca="1" si="17"/>
        <v>32.885952652613987</v>
      </c>
      <c r="H22" s="8" t="str">
        <f t="shared" ca="1" si="6"/>
        <v>No</v>
      </c>
      <c r="I22" s="32">
        <f t="shared" ca="1" si="13"/>
        <v>0</v>
      </c>
      <c r="J22" s="32">
        <f t="shared" ca="1" si="7"/>
        <v>2</v>
      </c>
      <c r="K22" s="31">
        <f t="shared" ca="1" si="8"/>
        <v>1</v>
      </c>
      <c r="L22" s="52">
        <f t="shared" ca="1" si="9"/>
        <v>0</v>
      </c>
      <c r="M22" s="51">
        <f t="shared" ca="1" si="2"/>
        <v>1.6232360385378721</v>
      </c>
      <c r="N22" s="51">
        <f t="shared" ca="1" si="14"/>
        <v>0</v>
      </c>
      <c r="O22" s="28" t="str">
        <f t="shared" ca="1" si="3"/>
        <v>Yes</v>
      </c>
      <c r="P22" s="51">
        <f t="shared" ca="1" si="10"/>
        <v>5.8000408388220741</v>
      </c>
      <c r="Q22">
        <f t="shared" ca="1" si="15"/>
        <v>3</v>
      </c>
      <c r="R22">
        <f t="shared" ca="1" si="4"/>
        <v>0</v>
      </c>
      <c r="S22" s="14">
        <f t="shared" ca="1" si="11"/>
        <v>1.5</v>
      </c>
    </row>
    <row r="23" spans="1:19" x14ac:dyDescent="0.25">
      <c r="A23">
        <v>14</v>
      </c>
      <c r="B23" s="51">
        <f t="shared" ca="1" si="0"/>
        <v>1.7830495168936709</v>
      </c>
      <c r="C23" s="51">
        <f t="shared" ca="1" si="12"/>
        <v>27.085911813791913</v>
      </c>
      <c r="D23" s="11" t="str">
        <f t="shared" ca="1" si="5"/>
        <v>C2</v>
      </c>
      <c r="E23" s="51">
        <f t="shared" ca="1" si="16"/>
        <v>0</v>
      </c>
      <c r="F23" s="51">
        <f t="shared" ca="1" si="1"/>
        <v>0.33025482978594844</v>
      </c>
      <c r="G23" s="51">
        <f t="shared" ca="1" si="17"/>
        <v>0</v>
      </c>
      <c r="H23" s="8" t="str">
        <f t="shared" ca="1" si="6"/>
        <v>Yes</v>
      </c>
      <c r="I23" s="32">
        <f t="shared" ca="1" si="13"/>
        <v>3</v>
      </c>
      <c r="J23" s="32">
        <f t="shared" ca="1" si="7"/>
        <v>0</v>
      </c>
      <c r="K23" s="31">
        <f t="shared" ca="1" si="8"/>
        <v>1.5</v>
      </c>
      <c r="L23" s="52">
        <f t="shared" ca="1" si="9"/>
        <v>27.085911813791913</v>
      </c>
      <c r="M23" s="51">
        <f t="shared" ca="1" si="2"/>
        <v>2.7989003353679212</v>
      </c>
      <c r="N23" s="51">
        <f t="shared" ca="1" si="14"/>
        <v>29.884812149159835</v>
      </c>
      <c r="O23" s="28" t="str">
        <f t="shared" ca="1" si="3"/>
        <v>No</v>
      </c>
      <c r="P23" s="51">
        <f t="shared" ca="1" si="10"/>
        <v>0</v>
      </c>
      <c r="Q23">
        <f t="shared" ca="1" si="15"/>
        <v>0</v>
      </c>
      <c r="R23">
        <f t="shared" ca="1" si="4"/>
        <v>0</v>
      </c>
      <c r="S23" s="14">
        <f t="shared" ca="1" si="11"/>
        <v>0</v>
      </c>
    </row>
    <row r="24" spans="1:19" x14ac:dyDescent="0.25">
      <c r="A24">
        <v>15</v>
      </c>
      <c r="B24" s="51">
        <f t="shared" ca="1" si="0"/>
        <v>4.7672670603464917</v>
      </c>
      <c r="C24" s="51">
        <f t="shared" ca="1" si="12"/>
        <v>31.853178874138404</v>
      </c>
      <c r="D24" s="11" t="str">
        <f t="shared" ca="1" si="5"/>
        <v>C1</v>
      </c>
      <c r="E24" s="51">
        <f t="shared" ca="1" si="16"/>
        <v>31.853178874138404</v>
      </c>
      <c r="F24" s="51">
        <f t="shared" ca="1" si="1"/>
        <v>2.0563867607482766</v>
      </c>
      <c r="G24" s="51">
        <f t="shared" ca="1" si="17"/>
        <v>33.909565634886683</v>
      </c>
      <c r="H24" s="8" t="str">
        <f t="shared" ca="1" si="6"/>
        <v>No</v>
      </c>
      <c r="I24" s="32">
        <f t="shared" ca="1" si="13"/>
        <v>0</v>
      </c>
      <c r="J24" s="32">
        <f t="shared" ca="1" si="7"/>
        <v>0</v>
      </c>
      <c r="K24" s="31">
        <f t="shared" ca="1" si="8"/>
        <v>0</v>
      </c>
      <c r="L24" s="52">
        <f t="shared" ca="1" si="9"/>
        <v>0</v>
      </c>
      <c r="M24" s="51">
        <f t="shared" ca="1" si="2"/>
        <v>2.9378471772393349</v>
      </c>
      <c r="N24" s="51">
        <f t="shared" ca="1" si="14"/>
        <v>0</v>
      </c>
      <c r="O24" s="28" t="str">
        <f t="shared" ca="1" si="3"/>
        <v>Yes</v>
      </c>
      <c r="P24" s="51">
        <f t="shared" ca="1" si="10"/>
        <v>0</v>
      </c>
      <c r="Q24">
        <f t="shared" ca="1" si="15"/>
        <v>0</v>
      </c>
      <c r="R24">
        <f t="shared" ca="1" si="4"/>
        <v>0</v>
      </c>
      <c r="S24" s="14">
        <f t="shared" ca="1" si="11"/>
        <v>0</v>
      </c>
    </row>
    <row r="25" spans="1:19" x14ac:dyDescent="0.25">
      <c r="A25">
        <v>16</v>
      </c>
      <c r="B25" s="51">
        <f t="shared" ca="1" si="0"/>
        <v>7.1776498042451236</v>
      </c>
      <c r="C25" s="51">
        <f t="shared" ca="1" si="12"/>
        <v>39.030828678383529</v>
      </c>
      <c r="D25" s="11" t="str">
        <f t="shared" ca="1" si="5"/>
        <v>C1</v>
      </c>
      <c r="E25" s="51">
        <f t="shared" ca="1" si="16"/>
        <v>39.030828678383529</v>
      </c>
      <c r="F25" s="51">
        <f t="shared" ca="1" si="1"/>
        <v>4.120157743671049</v>
      </c>
      <c r="G25" s="51">
        <f t="shared" ca="1" si="17"/>
        <v>43.150986422054579</v>
      </c>
      <c r="H25" s="8" t="str">
        <f t="shared" ca="1" si="6"/>
        <v>No</v>
      </c>
      <c r="I25" s="32">
        <f t="shared" ca="1" si="13"/>
        <v>0</v>
      </c>
      <c r="J25" s="32">
        <f t="shared" ca="1" si="7"/>
        <v>3</v>
      </c>
      <c r="K25" s="31">
        <f t="shared" ca="1" si="8"/>
        <v>1.5</v>
      </c>
      <c r="L25" s="52">
        <f t="shared" ca="1" si="9"/>
        <v>0</v>
      </c>
      <c r="M25" s="51">
        <f t="shared" ca="1" si="2"/>
        <v>0.33091536599774835</v>
      </c>
      <c r="N25" s="51">
        <f t="shared" ca="1" si="14"/>
        <v>0</v>
      </c>
      <c r="O25" s="28" t="str">
        <f t="shared" ca="1" si="3"/>
        <v>Yes</v>
      </c>
      <c r="P25" s="51">
        <f t="shared" ca="1" si="10"/>
        <v>3.6199525769772549</v>
      </c>
      <c r="Q25">
        <f t="shared" ca="1" si="15"/>
        <v>0</v>
      </c>
      <c r="R25">
        <f t="shared" ca="1" si="4"/>
        <v>0</v>
      </c>
      <c r="S25" s="14">
        <f t="shared" ca="1" si="11"/>
        <v>0</v>
      </c>
    </row>
    <row r="26" spans="1:19" x14ac:dyDescent="0.25">
      <c r="A26">
        <v>17</v>
      </c>
      <c r="B26" s="51">
        <f t="shared" ca="1" si="0"/>
        <v>0.50020516669379411</v>
      </c>
      <c r="C26" s="51">
        <f t="shared" ca="1" si="12"/>
        <v>39.531033845077324</v>
      </c>
      <c r="D26" s="11" t="str">
        <f t="shared" ca="1" si="5"/>
        <v>C2</v>
      </c>
      <c r="E26" s="51">
        <f t="shared" ca="1" si="16"/>
        <v>0</v>
      </c>
      <c r="F26" s="51">
        <f t="shared" ca="1" si="1"/>
        <v>0.86162715793297329</v>
      </c>
      <c r="G26" s="51">
        <f t="shared" ca="1" si="17"/>
        <v>0</v>
      </c>
      <c r="H26" s="8" t="str">
        <f t="shared" ca="1" si="6"/>
        <v>Yes</v>
      </c>
      <c r="I26" s="32">
        <f t="shared" ca="1" si="13"/>
        <v>4</v>
      </c>
      <c r="J26" s="32">
        <f t="shared" ca="1" si="7"/>
        <v>0</v>
      </c>
      <c r="K26" s="31">
        <f t="shared" ca="1" si="8"/>
        <v>2</v>
      </c>
      <c r="L26" s="52">
        <f t="shared" ca="1" si="9"/>
        <v>39.531033845077324</v>
      </c>
      <c r="M26" s="51">
        <f t="shared" ca="1" si="2"/>
        <v>7.5002022081563882E-2</v>
      </c>
      <c r="N26" s="51">
        <f t="shared" ca="1" si="14"/>
        <v>39.606035867158887</v>
      </c>
      <c r="O26" s="28" t="str">
        <f t="shared" ca="1" si="3"/>
        <v>No</v>
      </c>
      <c r="P26" s="51">
        <f t="shared" ca="1" si="10"/>
        <v>0</v>
      </c>
      <c r="Q26">
        <f t="shared" ca="1" si="15"/>
        <v>0</v>
      </c>
      <c r="R26">
        <f t="shared" ca="1" si="4"/>
        <v>0</v>
      </c>
      <c r="S26" s="14">
        <f t="shared" ca="1" si="11"/>
        <v>0</v>
      </c>
    </row>
    <row r="27" spans="1:19" x14ac:dyDescent="0.25">
      <c r="A27">
        <v>18</v>
      </c>
      <c r="B27" s="51">
        <f t="shared" ca="1" si="0"/>
        <v>0.70078107082234176</v>
      </c>
      <c r="C27" s="51">
        <f t="shared" ca="1" si="12"/>
        <v>40.231814915899669</v>
      </c>
      <c r="D27" s="11" t="str">
        <f t="shared" ca="1" si="5"/>
        <v>C1</v>
      </c>
      <c r="E27" s="51">
        <f t="shared" ca="1" si="16"/>
        <v>40.231814915899669</v>
      </c>
      <c r="F27" s="51">
        <f t="shared" ca="1" si="1"/>
        <v>1.2572220276457287</v>
      </c>
      <c r="G27" s="51">
        <f t="shared" ca="1" si="17"/>
        <v>41.489036943545401</v>
      </c>
      <c r="H27" s="8" t="str">
        <f t="shared" ca="1" si="6"/>
        <v>No</v>
      </c>
      <c r="I27" s="32">
        <f t="shared" ca="1" si="13"/>
        <v>0</v>
      </c>
      <c r="J27" s="32">
        <f t="shared" ca="1" si="7"/>
        <v>0</v>
      </c>
      <c r="K27" s="31">
        <f t="shared" ca="1" si="8"/>
        <v>0</v>
      </c>
      <c r="L27" s="52">
        <f t="shared" ca="1" si="9"/>
        <v>0</v>
      </c>
      <c r="M27" s="51">
        <f t="shared" ca="1" si="2"/>
        <v>1.4430676590352003</v>
      </c>
      <c r="N27" s="51">
        <f t="shared" ca="1" si="14"/>
        <v>0</v>
      </c>
      <c r="O27" s="28" t="str">
        <f t="shared" ca="1" si="3"/>
        <v>Yes</v>
      </c>
      <c r="P27" s="51">
        <f t="shared" ca="1" si="10"/>
        <v>0</v>
      </c>
      <c r="Q27">
        <f t="shared" ca="1" si="15"/>
        <v>0</v>
      </c>
      <c r="R27">
        <f t="shared" ca="1" si="4"/>
        <v>0</v>
      </c>
      <c r="S27" s="14">
        <f t="shared" ca="1" si="11"/>
        <v>0</v>
      </c>
    </row>
    <row r="28" spans="1:19" x14ac:dyDescent="0.25">
      <c r="A28">
        <v>19</v>
      </c>
      <c r="B28" s="51">
        <f t="shared" ca="1" si="0"/>
        <v>1.32535309628306</v>
      </c>
      <c r="C28" s="51">
        <f t="shared" ca="1" si="12"/>
        <v>41.557168012182728</v>
      </c>
      <c r="D28" s="11" t="str">
        <f t="shared" ca="1" si="5"/>
        <v>C1</v>
      </c>
      <c r="E28" s="51">
        <f t="shared" ca="1" si="16"/>
        <v>41.557168012182728</v>
      </c>
      <c r="F28" s="51">
        <f t="shared" ca="1" si="1"/>
        <v>1.4283315247909815E-2</v>
      </c>
      <c r="G28" s="51">
        <f t="shared" ca="1" si="17"/>
        <v>41.571451327430637</v>
      </c>
      <c r="H28" s="8" t="str">
        <f t="shared" ca="1" si="6"/>
        <v>No</v>
      </c>
      <c r="I28" s="32">
        <f t="shared" ca="1" si="13"/>
        <v>0</v>
      </c>
      <c r="J28" s="32">
        <f t="shared" ca="1" si="7"/>
        <v>0</v>
      </c>
      <c r="K28" s="31">
        <f t="shared" ca="1" si="8"/>
        <v>0</v>
      </c>
      <c r="L28" s="52">
        <f t="shared" ca="1" si="9"/>
        <v>0</v>
      </c>
      <c r="M28" s="51">
        <f t="shared" ca="1" si="2"/>
        <v>2.5685880170525648</v>
      </c>
      <c r="N28" s="51">
        <f t="shared" ca="1" si="14"/>
        <v>0</v>
      </c>
      <c r="O28" s="28" t="str">
        <f t="shared" ca="1" si="3"/>
        <v>Yes</v>
      </c>
      <c r="P28" s="51">
        <f t="shared" ca="1" si="10"/>
        <v>0</v>
      </c>
      <c r="Q28">
        <f t="shared" ca="1" si="15"/>
        <v>0</v>
      </c>
      <c r="R28">
        <f t="shared" ca="1" si="4"/>
        <v>0</v>
      </c>
      <c r="S28" s="14">
        <f t="shared" ca="1" si="11"/>
        <v>0</v>
      </c>
    </row>
    <row r="29" spans="1:19" x14ac:dyDescent="0.25">
      <c r="A29">
        <v>20</v>
      </c>
      <c r="B29" s="51">
        <f t="shared" ca="1" si="0"/>
        <v>3.8867281581519193</v>
      </c>
      <c r="C29" s="51">
        <f t="shared" ca="1" si="12"/>
        <v>45.443896170334646</v>
      </c>
      <c r="D29" s="11" t="str">
        <f t="shared" ca="1" si="5"/>
        <v>C1</v>
      </c>
      <c r="E29" s="51">
        <f t="shared" ca="1" si="16"/>
        <v>45.443896170334646</v>
      </c>
      <c r="F29" s="51">
        <f t="shared" ca="1" si="1"/>
        <v>0.47236084479127283</v>
      </c>
      <c r="G29" s="51">
        <f t="shared" ca="1" si="17"/>
        <v>45.916257015125922</v>
      </c>
      <c r="H29" s="8" t="str">
        <f t="shared" ca="1" si="6"/>
        <v>No</v>
      </c>
      <c r="I29" s="32">
        <f t="shared" ca="1" si="13"/>
        <v>0</v>
      </c>
      <c r="J29" s="32">
        <f t="shared" ca="1" si="7"/>
        <v>0</v>
      </c>
      <c r="K29" s="31">
        <f t="shared" ca="1" si="8"/>
        <v>0</v>
      </c>
      <c r="L29" s="52">
        <f t="shared" ca="1" si="9"/>
        <v>0</v>
      </c>
      <c r="M29" s="51">
        <f t="shared" ca="1" si="2"/>
        <v>5.0752404229677337</v>
      </c>
      <c r="N29" s="51">
        <f t="shared" ca="1" si="14"/>
        <v>0</v>
      </c>
      <c r="O29" s="28" t="str">
        <f t="shared" ca="1" si="3"/>
        <v>Yes</v>
      </c>
      <c r="P29" s="51">
        <f t="shared" ca="1" si="10"/>
        <v>0</v>
      </c>
      <c r="Q29">
        <f t="shared" ca="1" si="15"/>
        <v>0</v>
      </c>
      <c r="R29">
        <f t="shared" ca="1" si="4"/>
        <v>0</v>
      </c>
      <c r="S29" s="14">
        <f t="shared" ca="1" si="11"/>
        <v>0</v>
      </c>
    </row>
    <row r="30" spans="1:19" x14ac:dyDescent="0.25">
      <c r="A30">
        <v>21</v>
      </c>
      <c r="B30" s="51">
        <f t="shared" ca="1" si="0"/>
        <v>2.7541749458740354</v>
      </c>
      <c r="C30" s="51">
        <f t="shared" ca="1" si="12"/>
        <v>48.198071116208681</v>
      </c>
      <c r="D30" s="11" t="str">
        <f t="shared" ca="1" si="5"/>
        <v>C1</v>
      </c>
      <c r="E30" s="51">
        <f t="shared" ca="1" si="16"/>
        <v>48.198071116208681</v>
      </c>
      <c r="F30" s="51">
        <f t="shared" ca="1" si="1"/>
        <v>4.2439943633433272E-2</v>
      </c>
      <c r="G30" s="51">
        <f t="shared" ca="1" si="17"/>
        <v>48.240511059842113</v>
      </c>
      <c r="H30" s="8" t="str">
        <f t="shared" ca="1" si="6"/>
        <v>No</v>
      </c>
      <c r="I30" s="32">
        <f t="shared" ca="1" si="13"/>
        <v>0</v>
      </c>
      <c r="J30" s="32">
        <f t="shared" ca="1" si="7"/>
        <v>0</v>
      </c>
      <c r="K30" s="31">
        <f t="shared" ca="1" si="8"/>
        <v>0</v>
      </c>
      <c r="L30" s="52">
        <f t="shared" ca="1" si="9"/>
        <v>0</v>
      </c>
      <c r="M30" s="51">
        <f t="shared" ca="1" si="2"/>
        <v>6.3679058670458142</v>
      </c>
      <c r="N30" s="51">
        <f t="shared" ca="1" si="14"/>
        <v>0</v>
      </c>
      <c r="O30" s="28" t="str">
        <f t="shared" ca="1" si="3"/>
        <v>Yes</v>
      </c>
      <c r="P30" s="51">
        <f t="shared" ca="1" si="10"/>
        <v>0</v>
      </c>
      <c r="Q30">
        <f t="shared" ca="1" si="15"/>
        <v>0</v>
      </c>
      <c r="R30">
        <f t="shared" ca="1" si="4"/>
        <v>0</v>
      </c>
      <c r="S30" s="14">
        <f t="shared" ca="1" si="11"/>
        <v>0</v>
      </c>
    </row>
    <row r="31" spans="1:19" x14ac:dyDescent="0.25">
      <c r="A31">
        <v>22</v>
      </c>
      <c r="B31" s="51">
        <f t="shared" ca="1" si="0"/>
        <v>1.550938604940598</v>
      </c>
      <c r="C31" s="51">
        <f t="shared" ca="1" si="12"/>
        <v>49.749009721149278</v>
      </c>
      <c r="D31" s="11" t="str">
        <f t="shared" ca="1" si="5"/>
        <v>C1</v>
      </c>
      <c r="E31" s="51">
        <f t="shared" ca="1" si="16"/>
        <v>49.749009721149278</v>
      </c>
      <c r="F31" s="51">
        <f t="shared" ca="1" si="1"/>
        <v>2.949686852696519</v>
      </c>
      <c r="G31" s="51">
        <f t="shared" ca="1" si="17"/>
        <v>52.698696573845794</v>
      </c>
      <c r="H31" s="8" t="str">
        <f t="shared" ca="1" si="6"/>
        <v>No</v>
      </c>
      <c r="I31" s="32">
        <f t="shared" ca="1" si="13"/>
        <v>0</v>
      </c>
      <c r="J31" s="32">
        <f t="shared" ca="1" si="7"/>
        <v>2</v>
      </c>
      <c r="K31" s="31">
        <f t="shared" ca="1" si="8"/>
        <v>1</v>
      </c>
      <c r="L31" s="52">
        <f t="shared" ca="1" si="9"/>
        <v>0</v>
      </c>
      <c r="M31" s="51">
        <f t="shared" ca="1" si="2"/>
        <v>5.9249025637957775</v>
      </c>
      <c r="N31" s="51">
        <f t="shared" ca="1" si="14"/>
        <v>0</v>
      </c>
      <c r="O31" s="28" t="str">
        <f t="shared" ca="1" si="3"/>
        <v>Yes</v>
      </c>
      <c r="P31" s="51">
        <f t="shared" ca="1" si="10"/>
        <v>2.5144619355409432</v>
      </c>
      <c r="Q31">
        <f t="shared" ca="1" si="15"/>
        <v>0</v>
      </c>
      <c r="R31">
        <f t="shared" ca="1" si="4"/>
        <v>0</v>
      </c>
      <c r="S31" s="14">
        <f t="shared" ca="1" si="11"/>
        <v>0</v>
      </c>
    </row>
    <row r="32" spans="1:19" x14ac:dyDescent="0.25">
      <c r="A32">
        <v>23</v>
      </c>
      <c r="B32" s="51">
        <f t="shared" ca="1" si="0"/>
        <v>0.43522491715557204</v>
      </c>
      <c r="C32" s="51">
        <f t="shared" ca="1" si="12"/>
        <v>50.184234638304851</v>
      </c>
      <c r="D32" s="11" t="str">
        <f t="shared" ca="1" si="5"/>
        <v>C2</v>
      </c>
      <c r="E32" s="51">
        <f t="shared" ca="1" si="16"/>
        <v>0</v>
      </c>
      <c r="F32" s="51">
        <f t="shared" ca="1" si="1"/>
        <v>3.0903926999295104</v>
      </c>
      <c r="G32" s="51">
        <f t="shared" ca="1" si="17"/>
        <v>0</v>
      </c>
      <c r="H32" s="8" t="str">
        <f t="shared" ca="1" si="6"/>
        <v>Yes</v>
      </c>
      <c r="I32" s="32">
        <f t="shared" ca="1" si="13"/>
        <v>3</v>
      </c>
      <c r="J32" s="32">
        <f t="shared" ca="1" si="7"/>
        <v>0</v>
      </c>
      <c r="K32" s="31">
        <f t="shared" ca="1" si="8"/>
        <v>1.5</v>
      </c>
      <c r="L32" s="52">
        <f t="shared" ca="1" si="9"/>
        <v>50.184234638304851</v>
      </c>
      <c r="M32" s="51">
        <f t="shared" ca="1" si="2"/>
        <v>4.4445603817852879</v>
      </c>
      <c r="N32" s="51">
        <f t="shared" ca="1" si="14"/>
        <v>54.628795020090138</v>
      </c>
      <c r="O32" s="28" t="str">
        <f t="shared" ca="1" si="3"/>
        <v>No</v>
      </c>
      <c r="P32" s="51">
        <f t="shared" ca="1" si="10"/>
        <v>3.5277085569722075</v>
      </c>
      <c r="Q32">
        <f t="shared" ca="1" si="15"/>
        <v>0</v>
      </c>
      <c r="R32">
        <f t="shared" ca="1" si="4"/>
        <v>1</v>
      </c>
      <c r="S32" s="14">
        <f t="shared" ca="1" si="11"/>
        <v>0.5</v>
      </c>
    </row>
    <row r="33" spans="1:19" x14ac:dyDescent="0.25">
      <c r="A33">
        <v>24</v>
      </c>
      <c r="B33" s="51">
        <f t="shared" ca="1" si="0"/>
        <v>0.91685182481307759</v>
      </c>
      <c r="C33" s="51">
        <f t="shared" ca="1" si="12"/>
        <v>51.10108646311793</v>
      </c>
      <c r="D33" s="11" t="str">
        <f t="shared" ca="1" si="5"/>
        <v>C1</v>
      </c>
      <c r="E33" s="51">
        <f t="shared" ca="1" si="16"/>
        <v>51.10108646311793</v>
      </c>
      <c r="F33" s="51">
        <f t="shared" ca="1" si="1"/>
        <v>1.0973967265445748</v>
      </c>
      <c r="G33" s="51">
        <f t="shared" ca="1" si="17"/>
        <v>52.198483189662504</v>
      </c>
      <c r="H33" s="8" t="str">
        <f t="shared" ca="1" si="6"/>
        <v>No</v>
      </c>
      <c r="I33" s="32">
        <f t="shared" ca="1" si="13"/>
        <v>0</v>
      </c>
      <c r="J33" s="32">
        <f t="shared" ca="1" si="7"/>
        <v>0</v>
      </c>
      <c r="K33" s="31">
        <f t="shared" ca="1" si="8"/>
        <v>0</v>
      </c>
      <c r="L33" s="52">
        <f t="shared" ca="1" si="9"/>
        <v>0</v>
      </c>
      <c r="M33" s="51">
        <f t="shared" ca="1" si="2"/>
        <v>2.9826779934448413</v>
      </c>
      <c r="N33" s="51">
        <f t="shared" ca="1" si="14"/>
        <v>0</v>
      </c>
      <c r="O33" s="28" t="str">
        <f t="shared" ca="1" si="3"/>
        <v>Yes</v>
      </c>
      <c r="P33" s="51">
        <f t="shared" ca="1" si="10"/>
        <v>0</v>
      </c>
      <c r="Q33">
        <f t="shared" ca="1" si="15"/>
        <v>2</v>
      </c>
      <c r="R33">
        <f t="shared" ca="1" si="4"/>
        <v>0</v>
      </c>
      <c r="S33" s="14">
        <f t="shared" ca="1" si="11"/>
        <v>1</v>
      </c>
    </row>
    <row r="34" spans="1:19" x14ac:dyDescent="0.25">
      <c r="A34">
        <v>25</v>
      </c>
      <c r="B34" s="51">
        <f t="shared" ca="1" si="0"/>
        <v>10.19052578741244</v>
      </c>
      <c r="C34" s="51">
        <f t="shared" ca="1" si="12"/>
        <v>61.29161225053037</v>
      </c>
      <c r="D34" s="11" t="str">
        <f t="shared" ca="1" si="5"/>
        <v>C1</v>
      </c>
      <c r="E34" s="51">
        <f t="shared" ca="1" si="16"/>
        <v>61.29161225053037</v>
      </c>
      <c r="F34" s="51">
        <f t="shared" ca="1" si="1"/>
        <v>4.4947811825500494</v>
      </c>
      <c r="G34" s="51">
        <f t="shared" ca="1" si="17"/>
        <v>65.78639343308042</v>
      </c>
      <c r="H34" s="8" t="str">
        <f t="shared" ca="1" si="6"/>
        <v>No</v>
      </c>
      <c r="I34" s="32">
        <f t="shared" ca="1" si="13"/>
        <v>0</v>
      </c>
      <c r="J34" s="32">
        <f t="shared" ca="1" si="7"/>
        <v>1</v>
      </c>
      <c r="K34" s="31">
        <f t="shared" ca="1" si="8"/>
        <v>0.5</v>
      </c>
      <c r="L34" s="52">
        <f t="shared" ca="1" si="9"/>
        <v>0</v>
      </c>
      <c r="M34" s="51">
        <f t="shared" ca="1" si="2"/>
        <v>8.9846066936595506</v>
      </c>
      <c r="N34" s="51">
        <f t="shared" ca="1" si="14"/>
        <v>0</v>
      </c>
      <c r="O34" s="28" t="str">
        <f t="shared" ca="1" si="3"/>
        <v>Yes</v>
      </c>
      <c r="P34" s="51">
        <f t="shared" ca="1" si="10"/>
        <v>3.9348958464016519</v>
      </c>
      <c r="Q34">
        <f t="shared" ca="1" si="15"/>
        <v>0</v>
      </c>
      <c r="R34">
        <f t="shared" ca="1" si="4"/>
        <v>0</v>
      </c>
      <c r="S34" s="14">
        <f t="shared" ca="1" si="11"/>
        <v>0</v>
      </c>
    </row>
    <row r="35" spans="1:19" x14ac:dyDescent="0.25">
      <c r="A35">
        <v>26</v>
      </c>
      <c r="B35" s="51">
        <f t="shared" ca="1" si="0"/>
        <v>0.5598853361483993</v>
      </c>
      <c r="C35" s="51">
        <f t="shared" ca="1" si="12"/>
        <v>61.851497586678768</v>
      </c>
      <c r="D35" s="11" t="str">
        <f t="shared" ca="1" si="5"/>
        <v>C2</v>
      </c>
      <c r="E35" s="51">
        <f t="shared" ca="1" si="16"/>
        <v>0</v>
      </c>
      <c r="F35" s="51">
        <f t="shared" ca="1" si="1"/>
        <v>2.6941000716923669</v>
      </c>
      <c r="G35" s="51">
        <f t="shared" ca="1" si="17"/>
        <v>0</v>
      </c>
      <c r="H35" s="8" t="str">
        <f t="shared" ca="1" si="6"/>
        <v>Yes</v>
      </c>
      <c r="I35" s="32">
        <f t="shared" ca="1" si="13"/>
        <v>2</v>
      </c>
      <c r="J35" s="32">
        <f t="shared" ca="1" si="7"/>
        <v>0</v>
      </c>
      <c r="K35" s="31">
        <f t="shared" ca="1" si="8"/>
        <v>1</v>
      </c>
      <c r="L35" s="52">
        <f t="shared" ca="1" si="9"/>
        <v>61.851497586678768</v>
      </c>
      <c r="M35" s="51">
        <f t="shared" ca="1" si="2"/>
        <v>3.9888124404404048</v>
      </c>
      <c r="N35" s="51">
        <f t="shared" ca="1" si="14"/>
        <v>65.840310027119173</v>
      </c>
      <c r="O35" s="28" t="str">
        <f t="shared" ca="1" si="3"/>
        <v>No</v>
      </c>
      <c r="P35" s="51">
        <f t="shared" ca="1" si="10"/>
        <v>0</v>
      </c>
      <c r="Q35">
        <f t="shared" ca="1" si="15"/>
        <v>0</v>
      </c>
      <c r="R35">
        <f t="shared" ca="1" si="4"/>
        <v>0</v>
      </c>
      <c r="S35" s="14">
        <f t="shared" ca="1" si="11"/>
        <v>0</v>
      </c>
    </row>
    <row r="36" spans="1:19" x14ac:dyDescent="0.25">
      <c r="A36">
        <v>27</v>
      </c>
      <c r="B36" s="51">
        <f t="shared" ca="1" si="0"/>
        <v>6.0428025364914308</v>
      </c>
      <c r="C36" s="51">
        <f t="shared" ca="1" si="12"/>
        <v>67.894300123170197</v>
      </c>
      <c r="D36" s="11" t="str">
        <f t="shared" ca="1" si="5"/>
        <v>C1</v>
      </c>
      <c r="E36" s="51">
        <f t="shared" ca="1" si="16"/>
        <v>67.894300123170197</v>
      </c>
      <c r="F36" s="51">
        <f t="shared" ca="1" si="1"/>
        <v>0.21031513983221611</v>
      </c>
      <c r="G36" s="51">
        <f t="shared" ca="1" si="17"/>
        <v>68.104615263002415</v>
      </c>
      <c r="H36" s="8" t="str">
        <f t="shared" ca="1" si="6"/>
        <v>No</v>
      </c>
      <c r="I36" s="32">
        <f t="shared" ca="1" si="13"/>
        <v>0</v>
      </c>
      <c r="J36" s="32">
        <f t="shared" ca="1" si="7"/>
        <v>0</v>
      </c>
      <c r="K36" s="31">
        <f t="shared" ca="1" si="8"/>
        <v>0</v>
      </c>
      <c r="L36" s="52">
        <f t="shared" ca="1" si="9"/>
        <v>0</v>
      </c>
      <c r="M36" s="51">
        <f t="shared" ca="1" si="2"/>
        <v>1.3976088828180224</v>
      </c>
      <c r="N36" s="51">
        <f t="shared" ca="1" si="14"/>
        <v>0</v>
      </c>
      <c r="O36" s="28" t="str">
        <f t="shared" ca="1" si="3"/>
        <v>Yes</v>
      </c>
      <c r="P36" s="51">
        <f t="shared" ca="1" si="10"/>
        <v>0</v>
      </c>
      <c r="Q36">
        <f t="shared" ca="1" si="15"/>
        <v>0</v>
      </c>
      <c r="R36">
        <f t="shared" ca="1" si="4"/>
        <v>0</v>
      </c>
      <c r="S36" s="14">
        <f t="shared" ca="1" si="11"/>
        <v>0</v>
      </c>
    </row>
    <row r="37" spans="1:19" x14ac:dyDescent="0.25">
      <c r="A37">
        <v>28</v>
      </c>
      <c r="B37" s="51">
        <f t="shared" ca="1" si="0"/>
        <v>0.80099767774740516</v>
      </c>
      <c r="C37" s="51">
        <f t="shared" ca="1" si="12"/>
        <v>68.695297800917601</v>
      </c>
      <c r="D37" s="11" t="str">
        <f t="shared" ca="1" si="5"/>
        <v>C1</v>
      </c>
      <c r="E37" s="51">
        <f t="shared" ca="1" si="16"/>
        <v>68.695297800917601</v>
      </c>
      <c r="F37" s="51">
        <f t="shared" ca="1" si="1"/>
        <v>1.4357404465246628</v>
      </c>
      <c r="G37" s="51">
        <f t="shared" ca="1" si="17"/>
        <v>70.131038247442262</v>
      </c>
      <c r="H37" s="8" t="str">
        <f t="shared" ca="1" si="6"/>
        <v>No</v>
      </c>
      <c r="I37" s="32">
        <f t="shared" ca="1" si="13"/>
        <v>0</v>
      </c>
      <c r="J37" s="32">
        <f t="shared" ca="1" si="7"/>
        <v>0</v>
      </c>
      <c r="K37" s="31">
        <f t="shared" ca="1" si="8"/>
        <v>0</v>
      </c>
      <c r="L37" s="52">
        <f t="shared" ca="1" si="9"/>
        <v>0</v>
      </c>
      <c r="M37" s="51">
        <f t="shared" ca="1" si="2"/>
        <v>0.24663424216818977</v>
      </c>
      <c r="N37" s="51">
        <f t="shared" ca="1" si="14"/>
        <v>0</v>
      </c>
      <c r="O37" s="28" t="str">
        <f t="shared" ca="1" si="3"/>
        <v>Yes</v>
      </c>
      <c r="P37" s="51">
        <f t="shared" ca="1" si="10"/>
        <v>0</v>
      </c>
      <c r="Q37">
        <f t="shared" ca="1" si="15"/>
        <v>0</v>
      </c>
      <c r="R37">
        <f t="shared" ca="1" si="4"/>
        <v>0</v>
      </c>
      <c r="S37" s="14">
        <f t="shared" ca="1" si="11"/>
        <v>0</v>
      </c>
    </row>
    <row r="38" spans="1:19" x14ac:dyDescent="0.25">
      <c r="A38">
        <v>29</v>
      </c>
      <c r="B38" s="51">
        <f t="shared" ca="1" si="0"/>
        <v>2.8072711094572655</v>
      </c>
      <c r="C38" s="51">
        <f t="shared" ca="1" si="12"/>
        <v>71.502568910374862</v>
      </c>
      <c r="D38" s="11" t="str">
        <f t="shared" ca="1" si="5"/>
        <v>C1</v>
      </c>
      <c r="E38" s="51">
        <f t="shared" ca="1" si="16"/>
        <v>71.502568910374862</v>
      </c>
      <c r="F38" s="51">
        <f t="shared" ca="1" si="1"/>
        <v>1.9481791912956041</v>
      </c>
      <c r="G38" s="51">
        <f t="shared" ca="1" si="17"/>
        <v>73.45074810167047</v>
      </c>
      <c r="H38" s="8" t="str">
        <f t="shared" ca="1" si="6"/>
        <v>No</v>
      </c>
      <c r="I38" s="32">
        <f t="shared" ca="1" si="13"/>
        <v>0</v>
      </c>
      <c r="J38" s="32">
        <f t="shared" ca="1" si="7"/>
        <v>2</v>
      </c>
      <c r="K38" s="31">
        <f t="shared" ca="1" si="8"/>
        <v>1</v>
      </c>
      <c r="L38" s="52">
        <f t="shared" ca="1" si="9"/>
        <v>0</v>
      </c>
      <c r="M38" s="51">
        <f t="shared" ca="1" si="2"/>
        <v>4.5242511202697777</v>
      </c>
      <c r="N38" s="51">
        <f t="shared" ca="1" si="14"/>
        <v>0</v>
      </c>
      <c r="O38" s="28" t="str">
        <f t="shared" ca="1" si="3"/>
        <v>Yes</v>
      </c>
      <c r="P38" s="51">
        <f t="shared" ca="1" si="10"/>
        <v>0.20519460191587768</v>
      </c>
      <c r="Q38">
        <f t="shared" ca="1" si="15"/>
        <v>0</v>
      </c>
      <c r="R38">
        <f t="shared" ca="1" si="4"/>
        <v>0</v>
      </c>
      <c r="S38" s="14">
        <f t="shared" ca="1" si="11"/>
        <v>0</v>
      </c>
    </row>
    <row r="39" spans="1:19" x14ac:dyDescent="0.25">
      <c r="A39">
        <v>30</v>
      </c>
      <c r="B39" s="51">
        <f t="shared" ca="1" si="0"/>
        <v>1.7429845893797287</v>
      </c>
      <c r="C39" s="51">
        <f t="shared" ca="1" si="12"/>
        <v>73.245553499754593</v>
      </c>
      <c r="D39" s="11" t="str">
        <f t="shared" ca="1" si="5"/>
        <v>C2</v>
      </c>
      <c r="E39" s="51">
        <f t="shared" ca="1" si="16"/>
        <v>0</v>
      </c>
      <c r="F39" s="51">
        <f t="shared" ca="1" si="1"/>
        <v>1.5854501215922856</v>
      </c>
      <c r="G39" s="51">
        <f t="shared" ca="1" si="17"/>
        <v>0</v>
      </c>
      <c r="H39" s="8" t="str">
        <f t="shared" ca="1" si="6"/>
        <v>Yes</v>
      </c>
      <c r="I39" s="32">
        <f t="shared" ca="1" si="13"/>
        <v>3</v>
      </c>
      <c r="J39" s="32">
        <f t="shared" ca="1" si="7"/>
        <v>0</v>
      </c>
      <c r="K39" s="31">
        <f t="shared" ca="1" si="8"/>
        <v>1.5</v>
      </c>
      <c r="L39" s="52">
        <f t="shared" ca="1" si="9"/>
        <v>73.245553499754593</v>
      </c>
      <c r="M39" s="51">
        <f t="shared" ca="1" si="2"/>
        <v>0.18683123688930844</v>
      </c>
      <c r="N39" s="51">
        <f t="shared" ca="1" si="14"/>
        <v>73.432384736643897</v>
      </c>
      <c r="O39" s="28" t="str">
        <f t="shared" ca="1" si="3"/>
        <v>No</v>
      </c>
      <c r="P39" s="51">
        <f t="shared" ca="1" si="10"/>
        <v>9.0718484190333015E-2</v>
      </c>
      <c r="Q39">
        <f t="shared" ca="1" si="15"/>
        <v>0</v>
      </c>
      <c r="R39">
        <f t="shared" ca="1" si="4"/>
        <v>1</v>
      </c>
      <c r="S39" s="14">
        <f t="shared" ca="1" si="11"/>
        <v>0.5</v>
      </c>
    </row>
    <row r="40" spans="1:19" x14ac:dyDescent="0.25">
      <c r="A40">
        <v>31</v>
      </c>
      <c r="B40" s="51">
        <f t="shared" ca="1" si="0"/>
        <v>9.6112752698976386E-2</v>
      </c>
      <c r="C40" s="51">
        <f t="shared" ca="1" si="12"/>
        <v>73.341666252453564</v>
      </c>
      <c r="D40" s="11" t="str">
        <f t="shared" ca="1" si="5"/>
        <v>C1</v>
      </c>
      <c r="E40" s="51">
        <f t="shared" ca="1" si="16"/>
        <v>73.341666252453564</v>
      </c>
      <c r="F40" s="51">
        <f t="shared" ca="1" si="1"/>
        <v>6.9492172306994382</v>
      </c>
      <c r="G40" s="51">
        <f t="shared" ca="1" si="17"/>
        <v>80.290883483152996</v>
      </c>
      <c r="H40" s="8" t="str">
        <f t="shared" ca="1" si="6"/>
        <v>No</v>
      </c>
      <c r="I40" s="32">
        <f t="shared" ca="1" si="13"/>
        <v>0</v>
      </c>
      <c r="J40" s="32">
        <f t="shared" ca="1" si="7"/>
        <v>2</v>
      </c>
      <c r="K40" s="31">
        <f t="shared" ca="1" si="8"/>
        <v>1</v>
      </c>
      <c r="L40" s="52">
        <f t="shared" ca="1" si="9"/>
        <v>0</v>
      </c>
      <c r="M40" s="51">
        <f t="shared" ca="1" si="2"/>
        <v>1.0239521930350808</v>
      </c>
      <c r="N40" s="51">
        <f t="shared" ca="1" si="14"/>
        <v>0</v>
      </c>
      <c r="O40" s="28" t="str">
        <f t="shared" ca="1" si="3"/>
        <v>Yes</v>
      </c>
      <c r="P40" s="51">
        <f t="shared" ca="1" si="10"/>
        <v>6.5093172185720931</v>
      </c>
      <c r="Q40">
        <f t="shared" ca="1" si="15"/>
        <v>2</v>
      </c>
      <c r="R40">
        <f t="shared" ca="1" si="4"/>
        <v>0</v>
      </c>
      <c r="S40" s="14">
        <f t="shared" ca="1" si="11"/>
        <v>1</v>
      </c>
    </row>
    <row r="41" spans="1:19" x14ac:dyDescent="0.25">
      <c r="A41">
        <v>32</v>
      </c>
      <c r="B41" s="51">
        <f t="shared" ca="1" si="0"/>
        <v>0.43990001212734259</v>
      </c>
      <c r="C41" s="51">
        <f t="shared" ca="1" si="12"/>
        <v>73.781566264580903</v>
      </c>
      <c r="D41" s="11" t="str">
        <f t="shared" ca="1" si="5"/>
        <v>C2</v>
      </c>
      <c r="E41" s="51">
        <f t="shared" ca="1" si="16"/>
        <v>0</v>
      </c>
      <c r="F41" s="51">
        <f t="shared" ca="1" si="1"/>
        <v>2.5691915175909883</v>
      </c>
      <c r="G41" s="51">
        <f t="shared" ca="1" si="17"/>
        <v>0</v>
      </c>
      <c r="H41" s="8" t="str">
        <f t="shared" ca="1" si="6"/>
        <v>Yes</v>
      </c>
      <c r="I41" s="32">
        <f t="shared" ca="1" si="13"/>
        <v>3</v>
      </c>
      <c r="J41" s="32">
        <f t="shared" ca="1" si="7"/>
        <v>0</v>
      </c>
      <c r="K41" s="31">
        <f t="shared" ca="1" si="8"/>
        <v>1.5</v>
      </c>
      <c r="L41" s="52">
        <f t="shared" ca="1" si="9"/>
        <v>73.781566264580903</v>
      </c>
      <c r="M41" s="51">
        <f t="shared" ca="1" si="2"/>
        <v>1.8317616616701942</v>
      </c>
      <c r="N41" s="51">
        <f t="shared" ca="1" si="14"/>
        <v>75.613327926251102</v>
      </c>
      <c r="O41" s="28" t="str">
        <f t="shared" ca="1" si="3"/>
        <v>No</v>
      </c>
      <c r="P41" s="51">
        <f t="shared" ca="1" si="10"/>
        <v>0</v>
      </c>
      <c r="Q41">
        <f t="shared" ca="1" si="15"/>
        <v>0</v>
      </c>
      <c r="R41">
        <f t="shared" ca="1" si="4"/>
        <v>0</v>
      </c>
      <c r="S41" s="14">
        <f t="shared" ca="1" si="11"/>
        <v>0</v>
      </c>
    </row>
    <row r="42" spans="1:19" x14ac:dyDescent="0.25">
      <c r="A42">
        <v>33</v>
      </c>
      <c r="B42" s="51">
        <f t="shared" ca="1" si="0"/>
        <v>1.9735669517187189</v>
      </c>
      <c r="C42" s="51">
        <f t="shared" ca="1" si="12"/>
        <v>75.755133216299626</v>
      </c>
      <c r="D42" s="11" t="str">
        <f t="shared" ca="1" si="5"/>
        <v>C1</v>
      </c>
      <c r="E42" s="51">
        <f t="shared" ca="1" si="16"/>
        <v>75.755133216299626</v>
      </c>
      <c r="F42" s="51">
        <f t="shared" ca="1" si="1"/>
        <v>0.86867289296767969</v>
      </c>
      <c r="G42" s="51">
        <f t="shared" ca="1" si="17"/>
        <v>76.623806109267306</v>
      </c>
      <c r="H42" s="8" t="str">
        <f t="shared" ca="1" si="6"/>
        <v>No</v>
      </c>
      <c r="I42" s="32">
        <f t="shared" ca="1" si="13"/>
        <v>0</v>
      </c>
      <c r="J42" s="32">
        <f t="shared" ca="1" si="7"/>
        <v>0</v>
      </c>
      <c r="K42" s="31">
        <f t="shared" ca="1" si="8"/>
        <v>0</v>
      </c>
      <c r="L42" s="52">
        <f t="shared" ca="1" si="9"/>
        <v>0</v>
      </c>
      <c r="M42" s="51">
        <f t="shared" ca="1" si="2"/>
        <v>1.7414573806726488</v>
      </c>
      <c r="N42" s="51">
        <f t="shared" ca="1" si="14"/>
        <v>0</v>
      </c>
      <c r="O42" s="28" t="str">
        <f t="shared" ca="1" si="3"/>
        <v>Yes</v>
      </c>
      <c r="P42" s="51">
        <f t="shared" ca="1" si="10"/>
        <v>0</v>
      </c>
      <c r="Q42">
        <f t="shared" ca="1" si="15"/>
        <v>0</v>
      </c>
      <c r="R42">
        <f t="shared" ref="R42:R73" ca="1" si="18">IF($N42&lt;=$C43,0,IF($N42&lt;=$C44,1,IF($N42&lt;=$C45,2,IF($N42&lt;=$C46,3,IF($N42&lt;=$C47,4,5)))))</f>
        <v>0</v>
      </c>
      <c r="S42" s="14">
        <f t="shared" ca="1" si="11"/>
        <v>0</v>
      </c>
    </row>
    <row r="43" spans="1:19" x14ac:dyDescent="0.25">
      <c r="A43">
        <v>34</v>
      </c>
      <c r="B43" s="51">
        <f t="shared" ca="1" si="0"/>
        <v>7.0201077791370468</v>
      </c>
      <c r="C43" s="51">
        <f t="shared" ca="1" si="12"/>
        <v>82.775240995436675</v>
      </c>
      <c r="D43" s="11" t="str">
        <f t="shared" ca="1" si="5"/>
        <v>C1</v>
      </c>
      <c r="E43" s="51">
        <f t="shared" ca="1" si="16"/>
        <v>82.775240995436675</v>
      </c>
      <c r="F43" s="51">
        <f t="shared" ca="1" si="1"/>
        <v>3.2557160119036133</v>
      </c>
      <c r="G43" s="51">
        <f t="shared" ca="1" si="17"/>
        <v>86.030957007340291</v>
      </c>
      <c r="H43" s="8" t="str">
        <f t="shared" ca="1" si="6"/>
        <v>No</v>
      </c>
      <c r="I43" s="32">
        <f t="shared" ca="1" si="13"/>
        <v>0</v>
      </c>
      <c r="J43" s="32">
        <f t="shared" ca="1" si="7"/>
        <v>0</v>
      </c>
      <c r="K43" s="31">
        <f t="shared" ca="1" si="8"/>
        <v>0</v>
      </c>
      <c r="L43" s="52">
        <f t="shared" ca="1" si="9"/>
        <v>0</v>
      </c>
      <c r="M43" s="51">
        <f t="shared" ca="1" si="2"/>
        <v>2.8920270608039589</v>
      </c>
      <c r="N43" s="51">
        <f t="shared" ca="1" si="14"/>
        <v>0</v>
      </c>
      <c r="O43" s="28" t="str">
        <f t="shared" ca="1" si="3"/>
        <v>Yes</v>
      </c>
      <c r="P43" s="51">
        <f t="shared" ca="1" si="10"/>
        <v>0</v>
      </c>
      <c r="Q43">
        <f t="shared" ca="1" si="15"/>
        <v>0</v>
      </c>
      <c r="R43">
        <f t="shared" ca="1" si="18"/>
        <v>0</v>
      </c>
      <c r="S43" s="14">
        <f t="shared" ca="1" si="11"/>
        <v>0</v>
      </c>
    </row>
    <row r="44" spans="1:19" x14ac:dyDescent="0.25">
      <c r="A44">
        <v>35</v>
      </c>
      <c r="B44" s="51">
        <f t="shared" ca="1" si="0"/>
        <v>5.7684197283087766</v>
      </c>
      <c r="C44" s="51">
        <f t="shared" ca="1" si="12"/>
        <v>88.543660723745447</v>
      </c>
      <c r="D44" s="11" t="str">
        <f t="shared" ca="1" si="5"/>
        <v>C1</v>
      </c>
      <c r="E44" s="51">
        <f t="shared" ca="1" si="16"/>
        <v>88.543660723745447</v>
      </c>
      <c r="F44" s="51">
        <f t="shared" ca="1" si="1"/>
        <v>0.47890941979745544</v>
      </c>
      <c r="G44" s="51">
        <f t="shared" ca="1" si="17"/>
        <v>89.022570143542907</v>
      </c>
      <c r="H44" s="8" t="str">
        <f t="shared" ca="1" si="6"/>
        <v>No</v>
      </c>
      <c r="I44" s="32">
        <f t="shared" ca="1" si="13"/>
        <v>0</v>
      </c>
      <c r="J44" s="32">
        <f t="shared" ca="1" si="7"/>
        <v>0</v>
      </c>
      <c r="K44" s="31">
        <f t="shared" ca="1" si="8"/>
        <v>0</v>
      </c>
      <c r="L44" s="52">
        <f t="shared" ca="1" si="9"/>
        <v>0</v>
      </c>
      <c r="M44" s="51">
        <f t="shared" ca="1" si="2"/>
        <v>4.3549692126812412</v>
      </c>
      <c r="N44" s="51">
        <f t="shared" ca="1" si="14"/>
        <v>0</v>
      </c>
      <c r="O44" s="28" t="str">
        <f t="shared" ca="1" si="3"/>
        <v>Yes</v>
      </c>
      <c r="P44" s="51">
        <f t="shared" ca="1" si="10"/>
        <v>0</v>
      </c>
      <c r="Q44">
        <f t="shared" ca="1" si="15"/>
        <v>0</v>
      </c>
      <c r="R44">
        <f t="shared" ca="1" si="18"/>
        <v>0</v>
      </c>
      <c r="S44" s="14">
        <f t="shared" ca="1" si="11"/>
        <v>0</v>
      </c>
    </row>
    <row r="45" spans="1:19" x14ac:dyDescent="0.25">
      <c r="A45">
        <v>36</v>
      </c>
      <c r="B45" s="51">
        <f t="shared" ca="1" si="0"/>
        <v>5.617196938107039</v>
      </c>
      <c r="C45" s="51">
        <f t="shared" ca="1" si="12"/>
        <v>94.160857661852489</v>
      </c>
      <c r="D45" s="11" t="str">
        <f t="shared" ca="1" si="5"/>
        <v>C1</v>
      </c>
      <c r="E45" s="51">
        <f t="shared" ca="1" si="16"/>
        <v>94.160857661852489</v>
      </c>
      <c r="F45" s="51">
        <f t="shared" ca="1" si="1"/>
        <v>3.8524939546225103</v>
      </c>
      <c r="G45" s="51">
        <f t="shared" ca="1" si="17"/>
        <v>98.013351616475006</v>
      </c>
      <c r="H45" s="8" t="str">
        <f t="shared" ca="1" si="6"/>
        <v>No</v>
      </c>
      <c r="I45" s="32">
        <f t="shared" ca="1" si="13"/>
        <v>0</v>
      </c>
      <c r="J45" s="32">
        <f t="shared" ca="1" si="7"/>
        <v>1</v>
      </c>
      <c r="K45" s="31">
        <f t="shared" ca="1" si="8"/>
        <v>0.5</v>
      </c>
      <c r="L45" s="52">
        <f t="shared" ca="1" si="9"/>
        <v>0</v>
      </c>
      <c r="M45" s="51">
        <f t="shared" ca="1" si="2"/>
        <v>1.826051665119548</v>
      </c>
      <c r="N45" s="51">
        <f t="shared" ca="1" si="14"/>
        <v>0</v>
      </c>
      <c r="O45" s="28" t="str">
        <f t="shared" ca="1" si="3"/>
        <v>Yes</v>
      </c>
      <c r="P45" s="51">
        <f t="shared" ca="1" si="10"/>
        <v>3.6410191297487415</v>
      </c>
      <c r="Q45">
        <f t="shared" ca="1" si="15"/>
        <v>0</v>
      </c>
      <c r="R45">
        <f t="shared" ca="1" si="18"/>
        <v>0</v>
      </c>
      <c r="S45" s="14">
        <f t="shared" ca="1" si="11"/>
        <v>0</v>
      </c>
    </row>
    <row r="46" spans="1:19" x14ac:dyDescent="0.25">
      <c r="A46">
        <v>37</v>
      </c>
      <c r="B46" s="51">
        <f t="shared" ca="1" si="0"/>
        <v>0.21147482487377042</v>
      </c>
      <c r="C46" s="51">
        <f t="shared" ca="1" si="12"/>
        <v>94.372332486726265</v>
      </c>
      <c r="D46" s="11" t="str">
        <f t="shared" ca="1" si="5"/>
        <v>C2</v>
      </c>
      <c r="E46" s="51">
        <f t="shared" ca="1" si="16"/>
        <v>0</v>
      </c>
      <c r="F46" s="51">
        <f t="shared" ca="1" si="1"/>
        <v>2.9902589456693867</v>
      </c>
      <c r="G46" s="51">
        <f t="shared" ca="1" si="17"/>
        <v>0</v>
      </c>
      <c r="H46" s="8" t="str">
        <f t="shared" ca="1" si="6"/>
        <v>Yes</v>
      </c>
      <c r="I46" s="32">
        <f t="shared" ca="1" si="13"/>
        <v>2</v>
      </c>
      <c r="J46" s="32">
        <f t="shared" ca="1" si="7"/>
        <v>0</v>
      </c>
      <c r="K46" s="31">
        <f t="shared" ca="1" si="8"/>
        <v>1</v>
      </c>
      <c r="L46" s="52">
        <f t="shared" ca="1" si="9"/>
        <v>94.372332486726265</v>
      </c>
      <c r="M46" s="51">
        <f t="shared" ca="1" si="2"/>
        <v>4.3695410252375808</v>
      </c>
      <c r="N46" s="51">
        <f t="shared" ca="1" si="14"/>
        <v>98.741873511963846</v>
      </c>
      <c r="O46" s="28" t="str">
        <f t="shared" ca="1" si="3"/>
        <v>No</v>
      </c>
      <c r="P46" s="51">
        <f t="shared" ca="1" si="10"/>
        <v>0</v>
      </c>
      <c r="Q46">
        <f t="shared" ca="1" si="15"/>
        <v>0</v>
      </c>
      <c r="R46">
        <f t="shared" ca="1" si="18"/>
        <v>0</v>
      </c>
      <c r="S46" s="14">
        <f t="shared" ca="1" si="11"/>
        <v>0</v>
      </c>
    </row>
    <row r="47" spans="1:19" x14ac:dyDescent="0.25">
      <c r="A47">
        <v>38</v>
      </c>
      <c r="B47" s="51">
        <f t="shared" ca="1" si="0"/>
        <v>4.6343917233384033</v>
      </c>
      <c r="C47" s="51">
        <f t="shared" ca="1" si="12"/>
        <v>99.006724210064675</v>
      </c>
      <c r="D47" s="11" t="str">
        <f t="shared" ca="1" si="5"/>
        <v>C1</v>
      </c>
      <c r="E47" s="51">
        <f t="shared" ca="1" si="16"/>
        <v>99.006724210064675</v>
      </c>
      <c r="F47" s="51">
        <f t="shared" ca="1" si="1"/>
        <v>6.5349511858607867</v>
      </c>
      <c r="G47" s="51">
        <f t="shared" ca="1" si="17"/>
        <v>105.54167539592547</v>
      </c>
      <c r="H47" s="8" t="str">
        <f t="shared" ca="1" si="6"/>
        <v>No</v>
      </c>
      <c r="I47" s="32">
        <f t="shared" ca="1" si="13"/>
        <v>0</v>
      </c>
      <c r="J47" s="32">
        <f t="shared" ca="1" si="7"/>
        <v>0</v>
      </c>
      <c r="K47" s="31">
        <f t="shared" ca="1" si="8"/>
        <v>0</v>
      </c>
      <c r="L47" s="52">
        <f t="shared" ca="1" si="9"/>
        <v>0</v>
      </c>
      <c r="M47" s="51">
        <f t="shared" ca="1" si="2"/>
        <v>0.79919398373772677</v>
      </c>
      <c r="N47" s="51">
        <f t="shared" ca="1" si="14"/>
        <v>0</v>
      </c>
      <c r="O47" s="28" t="str">
        <f t="shared" ca="1" si="3"/>
        <v>Yes</v>
      </c>
      <c r="P47" s="51">
        <f t="shared" ca="1" si="10"/>
        <v>0</v>
      </c>
      <c r="Q47">
        <f t="shared" ca="1" si="15"/>
        <v>0</v>
      </c>
      <c r="R47">
        <f t="shared" ca="1" si="18"/>
        <v>0</v>
      </c>
      <c r="S47" s="14">
        <f t="shared" ca="1" si="11"/>
        <v>0</v>
      </c>
    </row>
    <row r="48" spans="1:19" x14ac:dyDescent="0.25">
      <c r="A48">
        <v>39</v>
      </c>
      <c r="B48" s="51">
        <f t="shared" ca="1" si="0"/>
        <v>14.05313067174759</v>
      </c>
      <c r="C48" s="51">
        <f t="shared" ca="1" si="12"/>
        <v>113.05985488181227</v>
      </c>
      <c r="D48" s="11" t="str">
        <f t="shared" ca="1" si="5"/>
        <v>C1</v>
      </c>
      <c r="E48" s="51">
        <f t="shared" ca="1" si="16"/>
        <v>113.05985488181227</v>
      </c>
      <c r="F48" s="51">
        <f t="shared" ca="1" si="1"/>
        <v>5.7437781714419245</v>
      </c>
      <c r="G48" s="51">
        <f t="shared" ca="1" si="17"/>
        <v>118.8036330532542</v>
      </c>
      <c r="H48" s="8" t="str">
        <f t="shared" ca="1" si="6"/>
        <v>No</v>
      </c>
      <c r="I48" s="32">
        <f t="shared" ca="1" si="13"/>
        <v>0</v>
      </c>
      <c r="J48" s="32">
        <f t="shared" ca="1" si="7"/>
        <v>0</v>
      </c>
      <c r="K48" s="31">
        <f t="shared" ca="1" si="8"/>
        <v>0</v>
      </c>
      <c r="L48" s="52">
        <f t="shared" ca="1" si="9"/>
        <v>0</v>
      </c>
      <c r="M48" s="51">
        <f t="shared" ca="1" si="2"/>
        <v>1.3676484829642421</v>
      </c>
      <c r="N48" s="51">
        <f t="shared" ca="1" si="14"/>
        <v>0</v>
      </c>
      <c r="O48" s="28" t="str">
        <f t="shared" ca="1" si="3"/>
        <v>Yes</v>
      </c>
      <c r="P48" s="51">
        <f t="shared" ca="1" si="10"/>
        <v>0</v>
      </c>
      <c r="Q48">
        <f t="shared" ca="1" si="15"/>
        <v>0</v>
      </c>
      <c r="R48">
        <f t="shared" ca="1" si="18"/>
        <v>0</v>
      </c>
      <c r="S48" s="14">
        <f t="shared" ca="1" si="11"/>
        <v>0</v>
      </c>
    </row>
    <row r="49" spans="1:19" x14ac:dyDescent="0.25">
      <c r="A49">
        <v>40</v>
      </c>
      <c r="B49" s="51">
        <f t="shared" ca="1" si="0"/>
        <v>7.4939441844607453</v>
      </c>
      <c r="C49" s="51">
        <f t="shared" ca="1" si="12"/>
        <v>120.55379906627302</v>
      </c>
      <c r="D49" s="11" t="str">
        <f t="shared" ca="1" si="5"/>
        <v>C1</v>
      </c>
      <c r="E49" s="51">
        <f t="shared" ca="1" si="16"/>
        <v>120.55379906627302</v>
      </c>
      <c r="F49" s="51">
        <f t="shared" ca="1" si="1"/>
        <v>1.1776809575775729</v>
      </c>
      <c r="G49" s="51">
        <f t="shared" ca="1" si="17"/>
        <v>121.73148002385059</v>
      </c>
      <c r="H49" s="8" t="str">
        <f t="shared" ca="1" si="6"/>
        <v>No</v>
      </c>
      <c r="I49" s="32">
        <f t="shared" ca="1" si="13"/>
        <v>0</v>
      </c>
      <c r="J49" s="32">
        <f t="shared" ca="1" si="7"/>
        <v>0</v>
      </c>
      <c r="K49" s="31">
        <f t="shared" ca="1" si="8"/>
        <v>0</v>
      </c>
      <c r="L49" s="52">
        <f t="shared" ca="1" si="9"/>
        <v>0</v>
      </c>
      <c r="M49" s="51">
        <f t="shared" ca="1" si="2"/>
        <v>5.9669209041395099</v>
      </c>
      <c r="N49" s="51">
        <f t="shared" ca="1" si="14"/>
        <v>0</v>
      </c>
      <c r="O49" s="28" t="str">
        <f t="shared" ca="1" si="3"/>
        <v>Yes</v>
      </c>
      <c r="P49" s="51">
        <f t="shared" ca="1" si="10"/>
        <v>0</v>
      </c>
      <c r="Q49">
        <f t="shared" ca="1" si="15"/>
        <v>0</v>
      </c>
      <c r="R49">
        <f t="shared" ca="1" si="18"/>
        <v>0</v>
      </c>
      <c r="S49" s="14">
        <f t="shared" ca="1" si="11"/>
        <v>0</v>
      </c>
    </row>
    <row r="50" spans="1:19" x14ac:dyDescent="0.25">
      <c r="A50">
        <v>41</v>
      </c>
      <c r="B50" s="51">
        <f t="shared" ca="1" si="0"/>
        <v>5.2976982474190173</v>
      </c>
      <c r="C50" s="51">
        <f t="shared" ca="1" si="12"/>
        <v>125.85149731369204</v>
      </c>
      <c r="D50" s="11" t="str">
        <f t="shared" ca="1" si="5"/>
        <v>C1</v>
      </c>
      <c r="E50" s="51">
        <f t="shared" ca="1" si="16"/>
        <v>125.85149731369204</v>
      </c>
      <c r="F50" s="51">
        <f t="shared" ca="1" si="1"/>
        <v>2.0688731431349181</v>
      </c>
      <c r="G50" s="51">
        <f t="shared" ca="1" si="17"/>
        <v>127.92037045682696</v>
      </c>
      <c r="H50" s="8" t="str">
        <f t="shared" ca="1" si="6"/>
        <v>No</v>
      </c>
      <c r="I50" s="32">
        <f t="shared" ca="1" si="13"/>
        <v>0</v>
      </c>
      <c r="J50" s="32">
        <f t="shared" ca="1" si="7"/>
        <v>2</v>
      </c>
      <c r="K50" s="31">
        <f t="shared" ca="1" si="8"/>
        <v>1</v>
      </c>
      <c r="L50" s="52">
        <f t="shared" ca="1" si="9"/>
        <v>0</v>
      </c>
      <c r="M50" s="51">
        <f t="shared" ca="1" si="2"/>
        <v>0.37503873259362402</v>
      </c>
      <c r="N50" s="51">
        <f t="shared" ca="1" si="14"/>
        <v>0</v>
      </c>
      <c r="O50" s="28" t="str">
        <f t="shared" ca="1" si="3"/>
        <v>Yes</v>
      </c>
      <c r="P50" s="51">
        <f t="shared" ca="1" si="10"/>
        <v>1.9030487866182426</v>
      </c>
      <c r="Q50">
        <f t="shared" ca="1" si="15"/>
        <v>0</v>
      </c>
      <c r="R50">
        <f t="shared" ca="1" si="18"/>
        <v>0</v>
      </c>
      <c r="S50" s="14">
        <f t="shared" ca="1" si="11"/>
        <v>0</v>
      </c>
    </row>
    <row r="51" spans="1:19" x14ac:dyDescent="0.25">
      <c r="A51">
        <v>42</v>
      </c>
      <c r="B51" s="51">
        <f t="shared" ca="1" si="0"/>
        <v>0.16582435651668606</v>
      </c>
      <c r="C51" s="51">
        <f t="shared" ca="1" si="12"/>
        <v>126.01732167020872</v>
      </c>
      <c r="D51" s="11" t="str">
        <f t="shared" ca="1" si="5"/>
        <v>C2</v>
      </c>
      <c r="E51" s="51">
        <f t="shared" ca="1" si="16"/>
        <v>0</v>
      </c>
      <c r="F51" s="51">
        <f t="shared" ca="1" si="1"/>
        <v>0.12996068317972961</v>
      </c>
      <c r="G51" s="51">
        <f t="shared" ca="1" si="17"/>
        <v>0</v>
      </c>
      <c r="H51" s="8" t="str">
        <f t="shared" ca="1" si="6"/>
        <v>Yes</v>
      </c>
      <c r="I51" s="32">
        <f t="shared" ca="1" si="13"/>
        <v>3</v>
      </c>
      <c r="J51" s="32">
        <f t="shared" ca="1" si="7"/>
        <v>0</v>
      </c>
      <c r="K51" s="31">
        <f t="shared" ca="1" si="8"/>
        <v>1.5</v>
      </c>
      <c r="L51" s="52">
        <f t="shared" ca="1" si="9"/>
        <v>126.01732167020872</v>
      </c>
      <c r="M51" s="51">
        <f t="shared" ca="1" si="2"/>
        <v>1.2928101944000399</v>
      </c>
      <c r="N51" s="51">
        <f t="shared" ca="1" si="14"/>
        <v>127.31013186460875</v>
      </c>
      <c r="O51" s="28" t="str">
        <f t="shared" ca="1" si="3"/>
        <v>No</v>
      </c>
      <c r="P51" s="51">
        <f t="shared" ca="1" si="10"/>
        <v>0.69940179988739715</v>
      </c>
      <c r="Q51">
        <f t="shared" ca="1" si="15"/>
        <v>0</v>
      </c>
      <c r="R51">
        <f t="shared" ca="1" si="18"/>
        <v>1</v>
      </c>
      <c r="S51" s="14">
        <f t="shared" ca="1" si="11"/>
        <v>0.5</v>
      </c>
    </row>
    <row r="52" spans="1:19" x14ac:dyDescent="0.25">
      <c r="A52">
        <v>43</v>
      </c>
      <c r="B52" s="51">
        <f t="shared" ca="1" si="0"/>
        <v>0.59340839451263627</v>
      </c>
      <c r="C52" s="51">
        <f t="shared" ca="1" si="12"/>
        <v>126.61073006472135</v>
      </c>
      <c r="D52" s="11" t="str">
        <f t="shared" ca="1" si="5"/>
        <v>C1</v>
      </c>
      <c r="E52" s="51">
        <f t="shared" ca="1" si="16"/>
        <v>126.61073006472135</v>
      </c>
      <c r="F52" s="51">
        <f t="shared" ca="1" si="1"/>
        <v>0.55729538179782512</v>
      </c>
      <c r="G52" s="51">
        <f t="shared" ca="1" si="17"/>
        <v>127.16802544651918</v>
      </c>
      <c r="H52" s="8" t="str">
        <f t="shared" ca="1" si="6"/>
        <v>No</v>
      </c>
      <c r="I52" s="32">
        <f t="shared" ca="1" si="13"/>
        <v>0</v>
      </c>
      <c r="J52" s="32">
        <f t="shared" ca="1" si="7"/>
        <v>0</v>
      </c>
      <c r="K52" s="31">
        <f t="shared" ca="1" si="8"/>
        <v>0</v>
      </c>
      <c r="L52" s="52">
        <f t="shared" ca="1" si="9"/>
        <v>0</v>
      </c>
      <c r="M52" s="51">
        <f t="shared" ca="1" si="2"/>
        <v>5.7673736063717271</v>
      </c>
      <c r="N52" s="51">
        <f t="shared" ca="1" si="14"/>
        <v>0</v>
      </c>
      <c r="O52" s="28" t="str">
        <f t="shared" ca="1" si="3"/>
        <v>Yes</v>
      </c>
      <c r="P52" s="51">
        <f t="shared" ca="1" si="10"/>
        <v>0</v>
      </c>
      <c r="Q52">
        <f t="shared" ca="1" si="15"/>
        <v>2</v>
      </c>
      <c r="R52">
        <f t="shared" ca="1" si="18"/>
        <v>0</v>
      </c>
      <c r="S52" s="14">
        <f t="shared" ca="1" si="11"/>
        <v>1</v>
      </c>
    </row>
    <row r="53" spans="1:19" x14ac:dyDescent="0.25">
      <c r="A53">
        <v>44</v>
      </c>
      <c r="B53" s="51">
        <f t="shared" ca="1" si="0"/>
        <v>6.4938546951199072</v>
      </c>
      <c r="C53" s="51">
        <f t="shared" ca="1" si="12"/>
        <v>133.10458475984126</v>
      </c>
      <c r="D53" s="11" t="str">
        <f t="shared" ca="1" si="5"/>
        <v>C1</v>
      </c>
      <c r="E53" s="51">
        <f t="shared" ca="1" si="16"/>
        <v>133.10458475984126</v>
      </c>
      <c r="F53" s="51">
        <f t="shared" ca="1" si="1"/>
        <v>2.1405218910489743</v>
      </c>
      <c r="G53" s="51">
        <f t="shared" ca="1" si="17"/>
        <v>135.24510665089022</v>
      </c>
      <c r="H53" s="8" t="str">
        <f t="shared" ca="1" si="6"/>
        <v>No</v>
      </c>
      <c r="I53" s="32">
        <f t="shared" ca="1" si="13"/>
        <v>0</v>
      </c>
      <c r="J53" s="32">
        <f t="shared" ca="1" si="7"/>
        <v>3</v>
      </c>
      <c r="K53" s="31">
        <f t="shared" ca="1" si="8"/>
        <v>1.5</v>
      </c>
      <c r="L53" s="52">
        <f t="shared" ca="1" si="9"/>
        <v>0</v>
      </c>
      <c r="M53" s="51">
        <f t="shared" ca="1" si="2"/>
        <v>2.2386868982420105</v>
      </c>
      <c r="N53" s="51">
        <f t="shared" ca="1" si="14"/>
        <v>0</v>
      </c>
      <c r="O53" s="28" t="str">
        <f t="shared" ca="1" si="3"/>
        <v>Yes</v>
      </c>
      <c r="P53" s="51">
        <f t="shared" ca="1" si="10"/>
        <v>1.9898864279070949</v>
      </c>
      <c r="Q53">
        <f t="shared" ca="1" si="15"/>
        <v>0</v>
      </c>
      <c r="R53">
        <f t="shared" ca="1" si="18"/>
        <v>0</v>
      </c>
      <c r="S53" s="14">
        <f t="shared" ca="1" si="11"/>
        <v>0</v>
      </c>
    </row>
    <row r="54" spans="1:19" x14ac:dyDescent="0.25">
      <c r="A54">
        <v>45</v>
      </c>
      <c r="B54" s="51">
        <f t="shared" ca="1" si="0"/>
        <v>0.15063546314186174</v>
      </c>
      <c r="C54" s="51">
        <f t="shared" ca="1" si="12"/>
        <v>133.25522022298313</v>
      </c>
      <c r="D54" s="11" t="str">
        <f t="shared" ca="1" si="5"/>
        <v>C2</v>
      </c>
      <c r="E54" s="51">
        <f t="shared" ca="1" si="16"/>
        <v>0</v>
      </c>
      <c r="F54" s="51">
        <f t="shared" ca="1" si="1"/>
        <v>0.59190058298320325</v>
      </c>
      <c r="G54" s="51">
        <f t="shared" ca="1" si="17"/>
        <v>0</v>
      </c>
      <c r="H54" s="8" t="str">
        <f t="shared" ca="1" si="6"/>
        <v>Yes</v>
      </c>
      <c r="I54" s="32">
        <f t="shared" ca="1" si="13"/>
        <v>4</v>
      </c>
      <c r="J54" s="32">
        <f t="shared" ca="1" si="7"/>
        <v>0</v>
      </c>
      <c r="K54" s="31">
        <f t="shared" ca="1" si="8"/>
        <v>2</v>
      </c>
      <c r="L54" s="52">
        <f t="shared" ca="1" si="9"/>
        <v>133.25522022298313</v>
      </c>
      <c r="M54" s="51">
        <f t="shared" ca="1" si="2"/>
        <v>9.9472183087320634</v>
      </c>
      <c r="N54" s="51">
        <f t="shared" ca="1" si="14"/>
        <v>143.20243853171519</v>
      </c>
      <c r="O54" s="28" t="str">
        <f t="shared" ca="1" si="3"/>
        <v>No</v>
      </c>
      <c r="P54" s="51">
        <f t="shared" ca="1" si="10"/>
        <v>9.1030278211669895</v>
      </c>
      <c r="Q54">
        <f t="shared" ca="1" si="15"/>
        <v>0</v>
      </c>
      <c r="R54">
        <f t="shared" ca="1" si="18"/>
        <v>4</v>
      </c>
      <c r="S54" s="14">
        <f t="shared" ca="1" si="11"/>
        <v>2</v>
      </c>
    </row>
    <row r="55" spans="1:19" x14ac:dyDescent="0.25">
      <c r="A55">
        <v>46</v>
      </c>
      <c r="B55" s="51">
        <f t="shared" ca="1" si="0"/>
        <v>0.84419048756507253</v>
      </c>
      <c r="C55" s="51">
        <f t="shared" ca="1" si="12"/>
        <v>134.0994107105482</v>
      </c>
      <c r="D55" s="11" t="str">
        <f t="shared" ca="1" si="5"/>
        <v>C1</v>
      </c>
      <c r="E55" s="51">
        <f t="shared" ca="1" si="16"/>
        <v>134.0994107105482</v>
      </c>
      <c r="F55" s="51">
        <f t="shared" ca="1" si="1"/>
        <v>3.2419772619652529</v>
      </c>
      <c r="G55" s="51">
        <f t="shared" ca="1" si="17"/>
        <v>137.34138797251344</v>
      </c>
      <c r="H55" s="8" t="str">
        <f t="shared" ca="1" si="6"/>
        <v>No</v>
      </c>
      <c r="I55" s="32">
        <f t="shared" ca="1" si="13"/>
        <v>0</v>
      </c>
      <c r="J55" s="32">
        <f t="shared" ca="1" si="7"/>
        <v>1</v>
      </c>
      <c r="K55" s="31">
        <f t="shared" ca="1" si="8"/>
        <v>0.5</v>
      </c>
      <c r="L55" s="52">
        <f t="shared" ca="1" si="9"/>
        <v>0</v>
      </c>
      <c r="M55" s="51">
        <f t="shared" ca="1" si="2"/>
        <v>0.77294638473122412</v>
      </c>
      <c r="N55" s="51">
        <f t="shared" ca="1" si="14"/>
        <v>0</v>
      </c>
      <c r="O55" s="28" t="str">
        <f t="shared" ca="1" si="3"/>
        <v>Yes</v>
      </c>
      <c r="P55" s="51">
        <f t="shared" ca="1" si="10"/>
        <v>2.4748719608784029</v>
      </c>
      <c r="Q55">
        <f t="shared" ca="1" si="15"/>
        <v>5</v>
      </c>
      <c r="R55">
        <f t="shared" ca="1" si="18"/>
        <v>0</v>
      </c>
      <c r="S55" s="14">
        <f t="shared" ca="1" si="11"/>
        <v>2.5</v>
      </c>
    </row>
    <row r="56" spans="1:19" x14ac:dyDescent="0.25">
      <c r="A56">
        <v>47</v>
      </c>
      <c r="B56" s="51">
        <f t="shared" ca="1" si="0"/>
        <v>0.76710530108684227</v>
      </c>
      <c r="C56" s="51">
        <f t="shared" ca="1" si="12"/>
        <v>134.86651601163504</v>
      </c>
      <c r="D56" s="11" t="str">
        <f t="shared" ca="1" si="5"/>
        <v>C2</v>
      </c>
      <c r="E56" s="51">
        <f t="shared" ca="1" si="16"/>
        <v>0</v>
      </c>
      <c r="F56" s="51">
        <f t="shared" ca="1" si="1"/>
        <v>1.8397462050961246</v>
      </c>
      <c r="G56" s="51">
        <f t="shared" ca="1" si="17"/>
        <v>0</v>
      </c>
      <c r="H56" s="8" t="str">
        <f t="shared" ca="1" si="6"/>
        <v>Yes</v>
      </c>
      <c r="I56" s="32">
        <f t="shared" ca="1" si="13"/>
        <v>2</v>
      </c>
      <c r="J56" s="32">
        <f t="shared" ca="1" si="7"/>
        <v>0</v>
      </c>
      <c r="K56" s="31">
        <f t="shared" ca="1" si="8"/>
        <v>1</v>
      </c>
      <c r="L56" s="52">
        <f t="shared" ca="1" si="9"/>
        <v>134.86651601163504</v>
      </c>
      <c r="M56" s="51">
        <f t="shared" ca="1" si="2"/>
        <v>7.2403427726261587</v>
      </c>
      <c r="N56" s="51">
        <f t="shared" ca="1" si="14"/>
        <v>142.10685878426119</v>
      </c>
      <c r="O56" s="28" t="str">
        <f t="shared" ca="1" si="3"/>
        <v>No</v>
      </c>
      <c r="P56" s="51">
        <f t="shared" ca="1" si="10"/>
        <v>4.1808633719684849</v>
      </c>
      <c r="Q56">
        <f t="shared" ca="1" si="15"/>
        <v>0</v>
      </c>
      <c r="R56">
        <f t="shared" ca="1" si="18"/>
        <v>2</v>
      </c>
      <c r="S56" s="14">
        <f t="shared" ca="1" si="11"/>
        <v>1</v>
      </c>
    </row>
    <row r="57" spans="1:19" x14ac:dyDescent="0.25">
      <c r="A57">
        <v>48</v>
      </c>
      <c r="B57" s="51">
        <f t="shared" ca="1" si="0"/>
        <v>3.0594794006576778</v>
      </c>
      <c r="C57" s="51">
        <f t="shared" ca="1" si="12"/>
        <v>137.92599541229271</v>
      </c>
      <c r="D57" s="11" t="str">
        <f t="shared" ca="1" si="5"/>
        <v>C1</v>
      </c>
      <c r="E57" s="51">
        <f t="shared" ca="1" si="16"/>
        <v>137.92599541229271</v>
      </c>
      <c r="F57" s="51">
        <f t="shared" ca="1" si="1"/>
        <v>0.20269335448681591</v>
      </c>
      <c r="G57" s="51">
        <f t="shared" ca="1" si="17"/>
        <v>138.12868876677953</v>
      </c>
      <c r="H57" s="8" t="str">
        <f t="shared" ca="1" si="6"/>
        <v>No</v>
      </c>
      <c r="I57" s="32">
        <f t="shared" ca="1" si="13"/>
        <v>0</v>
      </c>
      <c r="J57" s="32">
        <f t="shared" ca="1" si="7"/>
        <v>0</v>
      </c>
      <c r="K57" s="31">
        <f t="shared" ca="1" si="8"/>
        <v>0</v>
      </c>
      <c r="L57" s="52">
        <f t="shared" ca="1" si="9"/>
        <v>0</v>
      </c>
      <c r="M57" s="51">
        <f t="shared" ca="1" si="2"/>
        <v>1.4232519941845705</v>
      </c>
      <c r="N57" s="51">
        <f t="shared" ca="1" si="14"/>
        <v>0</v>
      </c>
      <c r="O57" s="28" t="str">
        <f t="shared" ca="1" si="3"/>
        <v>Yes</v>
      </c>
      <c r="P57" s="51">
        <f t="shared" ca="1" si="10"/>
        <v>0</v>
      </c>
      <c r="Q57">
        <f t="shared" ca="1" si="15"/>
        <v>3</v>
      </c>
      <c r="R57">
        <f t="shared" ca="1" si="18"/>
        <v>0</v>
      </c>
      <c r="S57" s="14">
        <f t="shared" ca="1" si="11"/>
        <v>1.5</v>
      </c>
    </row>
    <row r="58" spans="1:19" x14ac:dyDescent="0.25">
      <c r="A58">
        <v>49</v>
      </c>
      <c r="B58" s="51">
        <f t="shared" ca="1" si="0"/>
        <v>3.1795434281799051</v>
      </c>
      <c r="C58" s="51">
        <f t="shared" ca="1" si="12"/>
        <v>141.1055388404726</v>
      </c>
      <c r="D58" s="11" t="str">
        <f t="shared" ca="1" si="5"/>
        <v>C1</v>
      </c>
      <c r="E58" s="51">
        <f t="shared" ca="1" si="16"/>
        <v>141.1055388404726</v>
      </c>
      <c r="F58" s="51">
        <f t="shared" ca="1" si="1"/>
        <v>9.1330629436256416E-2</v>
      </c>
      <c r="G58" s="51">
        <f t="shared" ca="1" si="17"/>
        <v>141.19686946990885</v>
      </c>
      <c r="H58" s="8" t="str">
        <f t="shared" ca="1" si="6"/>
        <v>No</v>
      </c>
      <c r="I58" s="32">
        <f t="shared" ca="1" si="13"/>
        <v>0</v>
      </c>
      <c r="J58" s="32">
        <f t="shared" ca="1" si="7"/>
        <v>0</v>
      </c>
      <c r="K58" s="31">
        <f t="shared" ca="1" si="8"/>
        <v>0</v>
      </c>
      <c r="L58" s="52">
        <f t="shared" ca="1" si="9"/>
        <v>0</v>
      </c>
      <c r="M58" s="51">
        <f t="shared" ca="1" si="2"/>
        <v>0.69248690917952227</v>
      </c>
      <c r="N58" s="51">
        <f t="shared" ca="1" si="14"/>
        <v>0</v>
      </c>
      <c r="O58" s="28" t="str">
        <f t="shared" ca="1" si="3"/>
        <v>Yes</v>
      </c>
      <c r="P58" s="51">
        <f t="shared" ca="1" si="10"/>
        <v>0</v>
      </c>
      <c r="Q58">
        <f t="shared" ca="1" si="15"/>
        <v>0</v>
      </c>
      <c r="R58">
        <f t="shared" ca="1" si="18"/>
        <v>0</v>
      </c>
      <c r="S58" s="14">
        <f t="shared" ca="1" si="11"/>
        <v>0</v>
      </c>
    </row>
    <row r="59" spans="1:19" x14ac:dyDescent="0.25">
      <c r="A59">
        <v>50</v>
      </c>
      <c r="B59" s="51">
        <f t="shared" ca="1" si="0"/>
        <v>12.799007294351975</v>
      </c>
      <c r="C59" s="51">
        <f t="shared" ca="1" si="12"/>
        <v>153.90454613482459</v>
      </c>
      <c r="D59" s="11" t="str">
        <f t="shared" ca="1" si="5"/>
        <v>C1</v>
      </c>
      <c r="E59" s="51">
        <f t="shared" ca="1" si="16"/>
        <v>153.90454613482459</v>
      </c>
      <c r="F59" s="51">
        <f t="shared" ca="1" si="1"/>
        <v>1.0232788688237671</v>
      </c>
      <c r="G59" s="51">
        <f t="shared" ca="1" si="17"/>
        <v>154.92782500364837</v>
      </c>
      <c r="H59" s="8" t="str">
        <f t="shared" ca="1" si="6"/>
        <v>No</v>
      </c>
      <c r="I59" s="32">
        <f t="shared" ca="1" si="13"/>
        <v>0</v>
      </c>
      <c r="J59" s="32">
        <f t="shared" ca="1" si="7"/>
        <v>0</v>
      </c>
      <c r="K59" s="31">
        <f t="shared" ca="1" si="8"/>
        <v>0</v>
      </c>
      <c r="L59" s="52">
        <f t="shared" ca="1" si="9"/>
        <v>0</v>
      </c>
      <c r="M59" s="51">
        <f t="shared" ca="1" si="2"/>
        <v>0.2061290564515314</v>
      </c>
      <c r="N59" s="51">
        <f t="shared" ca="1" si="14"/>
        <v>0</v>
      </c>
      <c r="O59" s="28" t="str">
        <f t="shared" ca="1" si="3"/>
        <v>Yes</v>
      </c>
      <c r="P59" s="51">
        <f t="shared" ca="1" si="10"/>
        <v>0</v>
      </c>
      <c r="Q59">
        <f t="shared" ca="1" si="15"/>
        <v>0</v>
      </c>
      <c r="R59">
        <f t="shared" ca="1" si="18"/>
        <v>0</v>
      </c>
      <c r="S59" s="14">
        <f t="shared" ca="1" si="11"/>
        <v>0</v>
      </c>
    </row>
    <row r="60" spans="1:19" x14ac:dyDescent="0.25">
      <c r="A60">
        <v>51</v>
      </c>
      <c r="B60" s="51">
        <f t="shared" ca="1" si="0"/>
        <v>3.2177153637671454</v>
      </c>
      <c r="C60" s="51">
        <f t="shared" ca="1" si="12"/>
        <v>157.12226149859174</v>
      </c>
      <c r="D60" s="11" t="str">
        <f t="shared" ca="1" si="5"/>
        <v>C1</v>
      </c>
      <c r="E60" s="51">
        <f t="shared" ca="1" si="16"/>
        <v>157.12226149859174</v>
      </c>
      <c r="F60" s="51">
        <f t="shared" ca="1" si="1"/>
        <v>2.3251829942441891</v>
      </c>
      <c r="G60" s="51">
        <f t="shared" ca="1" si="17"/>
        <v>159.44744449283593</v>
      </c>
      <c r="H60" s="8" t="str">
        <f t="shared" ca="1" si="6"/>
        <v>No</v>
      </c>
      <c r="I60" s="32">
        <f t="shared" ca="1" si="13"/>
        <v>0</v>
      </c>
      <c r="J60" s="32">
        <f t="shared" ca="1" si="7"/>
        <v>2</v>
      </c>
      <c r="K60" s="31">
        <f t="shared" ca="1" si="8"/>
        <v>1</v>
      </c>
      <c r="L60" s="52">
        <f t="shared" ca="1" si="9"/>
        <v>0</v>
      </c>
      <c r="M60" s="51">
        <f t="shared" ca="1" si="2"/>
        <v>2.0212074172831329</v>
      </c>
      <c r="N60" s="51">
        <f t="shared" ca="1" si="14"/>
        <v>0</v>
      </c>
      <c r="O60" s="28" t="str">
        <f t="shared" ca="1" si="3"/>
        <v>Yes</v>
      </c>
      <c r="P60" s="51">
        <f t="shared" ca="1" si="10"/>
        <v>1.439695765427075</v>
      </c>
      <c r="Q60">
        <f t="shared" ca="1" si="15"/>
        <v>0</v>
      </c>
      <c r="R60">
        <f t="shared" ca="1" si="18"/>
        <v>0</v>
      </c>
      <c r="S60" s="14">
        <f t="shared" ca="1" si="11"/>
        <v>0</v>
      </c>
    </row>
    <row r="61" spans="1:19" x14ac:dyDescent="0.25">
      <c r="A61">
        <v>52</v>
      </c>
      <c r="B61" s="51">
        <f t="shared" ca="1" si="0"/>
        <v>0.88548722881711273</v>
      </c>
      <c r="C61" s="51">
        <f t="shared" ca="1" si="12"/>
        <v>158.00774872740885</v>
      </c>
      <c r="D61" s="11" t="str">
        <f t="shared" ca="1" si="5"/>
        <v>C2</v>
      </c>
      <c r="E61" s="51">
        <f t="shared" ca="1" si="16"/>
        <v>0</v>
      </c>
      <c r="F61" s="51">
        <f t="shared" ca="1" si="1"/>
        <v>6.0539244034540118</v>
      </c>
      <c r="G61" s="51">
        <f t="shared" ca="1" si="17"/>
        <v>0</v>
      </c>
      <c r="H61" s="8" t="str">
        <f t="shared" ca="1" si="6"/>
        <v>Yes</v>
      </c>
      <c r="I61" s="32">
        <f t="shared" ca="1" si="13"/>
        <v>3</v>
      </c>
      <c r="J61" s="32">
        <f t="shared" ca="1" si="7"/>
        <v>0</v>
      </c>
      <c r="K61" s="31">
        <f t="shared" ca="1" si="8"/>
        <v>1.5</v>
      </c>
      <c r="L61" s="52">
        <f t="shared" ca="1" si="9"/>
        <v>158.00774872740885</v>
      </c>
      <c r="M61" s="51">
        <f t="shared" ca="1" si="2"/>
        <v>1.2452194498950926</v>
      </c>
      <c r="N61" s="51">
        <f t="shared" ca="1" si="14"/>
        <v>159.25296817730396</v>
      </c>
      <c r="O61" s="28" t="str">
        <f t="shared" ca="1" si="3"/>
        <v>No</v>
      </c>
      <c r="P61" s="51">
        <f t="shared" ca="1" si="10"/>
        <v>0.77503283468186623</v>
      </c>
      <c r="Q61">
        <f t="shared" ca="1" si="15"/>
        <v>0</v>
      </c>
      <c r="R61">
        <f t="shared" ca="1" si="18"/>
        <v>1</v>
      </c>
      <c r="S61" s="14">
        <f t="shared" ca="1" si="11"/>
        <v>0.5</v>
      </c>
    </row>
    <row r="62" spans="1:19" x14ac:dyDescent="0.25">
      <c r="A62">
        <v>53</v>
      </c>
      <c r="B62" s="51">
        <f t="shared" ca="1" si="0"/>
        <v>0.47018661521322452</v>
      </c>
      <c r="C62" s="51">
        <f t="shared" ca="1" si="12"/>
        <v>158.47793534262209</v>
      </c>
      <c r="D62" s="11" t="str">
        <f t="shared" ca="1" si="5"/>
        <v>C1</v>
      </c>
      <c r="E62" s="51">
        <f t="shared" ca="1" si="16"/>
        <v>158.47793534262209</v>
      </c>
      <c r="F62" s="51">
        <f t="shared" ca="1" si="1"/>
        <v>0.53974909792970727</v>
      </c>
      <c r="G62" s="51">
        <f t="shared" ca="1" si="17"/>
        <v>159.01768444055179</v>
      </c>
      <c r="H62" s="8" t="str">
        <f t="shared" ca="1" si="6"/>
        <v>No</v>
      </c>
      <c r="I62" s="32">
        <f t="shared" ca="1" si="13"/>
        <v>0</v>
      </c>
      <c r="J62" s="32">
        <f t="shared" ca="1" si="7"/>
        <v>0</v>
      </c>
      <c r="K62" s="31">
        <f t="shared" ca="1" si="8"/>
        <v>0</v>
      </c>
      <c r="L62" s="52">
        <f t="shared" ca="1" si="9"/>
        <v>0</v>
      </c>
      <c r="M62" s="51">
        <f t="shared" ca="1" si="2"/>
        <v>0.89363507493005934</v>
      </c>
      <c r="N62" s="51">
        <f t="shared" ca="1" si="14"/>
        <v>0</v>
      </c>
      <c r="O62" s="28" t="str">
        <f t="shared" ca="1" si="3"/>
        <v>Yes</v>
      </c>
      <c r="P62" s="51">
        <f t="shared" ca="1" si="10"/>
        <v>0</v>
      </c>
      <c r="Q62">
        <f t="shared" ca="1" si="15"/>
        <v>2</v>
      </c>
      <c r="R62">
        <f t="shared" ca="1" si="18"/>
        <v>0</v>
      </c>
      <c r="S62" s="14">
        <f t="shared" ca="1" si="11"/>
        <v>1</v>
      </c>
    </row>
    <row r="63" spans="1:19" x14ac:dyDescent="0.25">
      <c r="A63">
        <v>54</v>
      </c>
      <c r="B63" s="51">
        <f t="shared" ca="1" si="0"/>
        <v>5.5301793518936604</v>
      </c>
      <c r="C63" s="51">
        <f t="shared" ca="1" si="12"/>
        <v>164.00811469451574</v>
      </c>
      <c r="D63" s="11" t="str">
        <f t="shared" ca="1" si="5"/>
        <v>C1</v>
      </c>
      <c r="E63" s="51">
        <f t="shared" ca="1" si="16"/>
        <v>164.00811469451574</v>
      </c>
      <c r="F63" s="51">
        <f t="shared" ca="1" si="1"/>
        <v>1.3258780554629035</v>
      </c>
      <c r="G63" s="51">
        <f t="shared" ca="1" si="17"/>
        <v>165.33399274997865</v>
      </c>
      <c r="H63" s="8" t="str">
        <f t="shared" ca="1" si="6"/>
        <v>No</v>
      </c>
      <c r="I63" s="32">
        <f t="shared" ca="1" si="13"/>
        <v>0</v>
      </c>
      <c r="J63" s="32">
        <f t="shared" ca="1" si="7"/>
        <v>0</v>
      </c>
      <c r="K63" s="31">
        <f t="shared" ca="1" si="8"/>
        <v>0</v>
      </c>
      <c r="L63" s="52">
        <f t="shared" ca="1" si="9"/>
        <v>0</v>
      </c>
      <c r="M63" s="51">
        <f t="shared" ca="1" si="2"/>
        <v>1.1200005983557741</v>
      </c>
      <c r="N63" s="51">
        <f t="shared" ca="1" si="14"/>
        <v>0</v>
      </c>
      <c r="O63" s="28" t="str">
        <f t="shared" ca="1" si="3"/>
        <v>Yes</v>
      </c>
      <c r="P63" s="51">
        <f t="shared" ca="1" si="10"/>
        <v>0</v>
      </c>
      <c r="Q63">
        <f t="shared" ca="1" si="15"/>
        <v>0</v>
      </c>
      <c r="R63">
        <f t="shared" ca="1" si="18"/>
        <v>0</v>
      </c>
      <c r="S63" s="14">
        <f t="shared" ca="1" si="11"/>
        <v>0</v>
      </c>
    </row>
    <row r="64" spans="1:19" x14ac:dyDescent="0.25">
      <c r="A64">
        <v>55</v>
      </c>
      <c r="B64" s="51">
        <f t="shared" ca="1" si="0"/>
        <v>2.1201142406906066</v>
      </c>
      <c r="C64" s="51">
        <f t="shared" ca="1" si="12"/>
        <v>166.12822893520635</v>
      </c>
      <c r="D64" s="11" t="str">
        <f t="shared" ca="1" si="5"/>
        <v>C1</v>
      </c>
      <c r="E64" s="51">
        <f t="shared" ca="1" si="16"/>
        <v>166.12822893520635</v>
      </c>
      <c r="F64" s="51">
        <f t="shared" ca="1" si="1"/>
        <v>4.7379070797103469E-2</v>
      </c>
      <c r="G64" s="51">
        <f t="shared" ca="1" si="17"/>
        <v>166.17560800600344</v>
      </c>
      <c r="H64" s="8" t="str">
        <f t="shared" ca="1" si="6"/>
        <v>No</v>
      </c>
      <c r="I64" s="32">
        <f t="shared" ca="1" si="13"/>
        <v>0</v>
      </c>
      <c r="J64" s="32">
        <f t="shared" ca="1" si="7"/>
        <v>0</v>
      </c>
      <c r="K64" s="31">
        <f t="shared" ca="1" si="8"/>
        <v>0</v>
      </c>
      <c r="L64" s="52">
        <f t="shared" ca="1" si="9"/>
        <v>0</v>
      </c>
      <c r="M64" s="51">
        <f t="shared" ca="1" si="2"/>
        <v>3.1540793804312721</v>
      </c>
      <c r="N64" s="51">
        <f t="shared" ca="1" si="14"/>
        <v>0</v>
      </c>
      <c r="O64" s="28" t="str">
        <f t="shared" ca="1" si="3"/>
        <v>Yes</v>
      </c>
      <c r="P64" s="51">
        <f t="shared" ca="1" si="10"/>
        <v>0</v>
      </c>
      <c r="Q64">
        <f t="shared" ca="1" si="15"/>
        <v>0</v>
      </c>
      <c r="R64">
        <f t="shared" ca="1" si="18"/>
        <v>0</v>
      </c>
      <c r="S64" s="14">
        <f t="shared" ca="1" si="11"/>
        <v>0</v>
      </c>
    </row>
    <row r="65" spans="1:19" x14ac:dyDescent="0.25">
      <c r="A65">
        <v>56</v>
      </c>
      <c r="B65" s="51">
        <f t="shared" ca="1" si="0"/>
        <v>1.9675580733492659</v>
      </c>
      <c r="C65" s="51">
        <f t="shared" ca="1" si="12"/>
        <v>168.09578700855562</v>
      </c>
      <c r="D65" s="11" t="str">
        <f t="shared" ca="1" si="5"/>
        <v>C1</v>
      </c>
      <c r="E65" s="51">
        <f t="shared" ca="1" si="16"/>
        <v>168.09578700855562</v>
      </c>
      <c r="F65" s="51">
        <f t="shared" ca="1" si="1"/>
        <v>8.1584081128454553</v>
      </c>
      <c r="G65" s="51">
        <f t="shared" ca="1" si="17"/>
        <v>176.25419512140107</v>
      </c>
      <c r="H65" s="8" t="str">
        <f t="shared" ca="1" si="6"/>
        <v>No</v>
      </c>
      <c r="I65" s="32">
        <f t="shared" ca="1" si="13"/>
        <v>0</v>
      </c>
      <c r="J65" s="32">
        <f t="shared" ca="1" si="7"/>
        <v>5</v>
      </c>
      <c r="K65" s="31">
        <f t="shared" ca="1" si="8"/>
        <v>2.5</v>
      </c>
      <c r="L65" s="52">
        <f t="shared" ca="1" si="9"/>
        <v>0</v>
      </c>
      <c r="M65" s="51">
        <f t="shared" ca="1" si="2"/>
        <v>0.20394253201186577</v>
      </c>
      <c r="N65" s="51">
        <f t="shared" ca="1" si="14"/>
        <v>0</v>
      </c>
      <c r="O65" s="28" t="str">
        <f t="shared" ca="1" si="3"/>
        <v>Yes</v>
      </c>
      <c r="P65" s="51">
        <f t="shared" ca="1" si="10"/>
        <v>6.1638655637958948</v>
      </c>
      <c r="Q65">
        <f t="shared" ca="1" si="15"/>
        <v>0</v>
      </c>
      <c r="R65">
        <f t="shared" ca="1" si="18"/>
        <v>0</v>
      </c>
      <c r="S65" s="14">
        <f t="shared" ca="1" si="11"/>
        <v>0</v>
      </c>
    </row>
    <row r="66" spans="1:19" x14ac:dyDescent="0.25">
      <c r="A66">
        <v>57</v>
      </c>
      <c r="B66" s="51">
        <f t="shared" ca="1" si="0"/>
        <v>1.994542549049569</v>
      </c>
      <c r="C66" s="51">
        <f t="shared" ca="1" si="12"/>
        <v>170.09032955760517</v>
      </c>
      <c r="D66" s="11" t="str">
        <f t="shared" ca="1" si="5"/>
        <v>C2</v>
      </c>
      <c r="E66" s="51">
        <f t="shared" ca="1" si="16"/>
        <v>0</v>
      </c>
      <c r="F66" s="51">
        <f t="shared" ca="1" si="1"/>
        <v>0.70804196923828899</v>
      </c>
      <c r="G66" s="51">
        <f t="shared" ca="1" si="17"/>
        <v>0</v>
      </c>
      <c r="H66" s="8" t="str">
        <f t="shared" ca="1" si="6"/>
        <v>Yes</v>
      </c>
      <c r="I66" s="32">
        <f t="shared" ca="1" si="13"/>
        <v>6</v>
      </c>
      <c r="J66" s="32">
        <f t="shared" ca="1" si="7"/>
        <v>0</v>
      </c>
      <c r="K66" s="31">
        <f t="shared" ca="1" si="8"/>
        <v>3</v>
      </c>
      <c r="L66" s="52">
        <f t="shared" ca="1" si="9"/>
        <v>170.09032955760517</v>
      </c>
      <c r="M66" s="51">
        <f t="shared" ca="1" si="2"/>
        <v>2.5024243688802703</v>
      </c>
      <c r="N66" s="51">
        <f t="shared" ca="1" si="14"/>
        <v>172.59275392648544</v>
      </c>
      <c r="O66" s="28" t="str">
        <f t="shared" ca="1" si="3"/>
        <v>No</v>
      </c>
      <c r="P66" s="51">
        <f t="shared" ca="1" si="10"/>
        <v>1.9428133605743483</v>
      </c>
      <c r="Q66">
        <f t="shared" ca="1" si="15"/>
        <v>0</v>
      </c>
      <c r="R66">
        <f t="shared" ca="1" si="18"/>
        <v>3</v>
      </c>
      <c r="S66" s="14">
        <f t="shared" ca="1" si="11"/>
        <v>1.5</v>
      </c>
    </row>
    <row r="67" spans="1:19" x14ac:dyDescent="0.25">
      <c r="A67">
        <v>58</v>
      </c>
      <c r="B67" s="51">
        <f t="shared" ca="1" si="0"/>
        <v>0.55961100830592247</v>
      </c>
      <c r="C67" s="51">
        <f t="shared" ca="1" si="12"/>
        <v>170.64994056591109</v>
      </c>
      <c r="D67" s="11" t="str">
        <f t="shared" ca="1" si="5"/>
        <v>C1</v>
      </c>
      <c r="E67" s="51">
        <f t="shared" ca="1" si="16"/>
        <v>170.64994056591109</v>
      </c>
      <c r="F67" s="51">
        <f t="shared" ca="1" si="1"/>
        <v>5.6455783087272643E-2</v>
      </c>
      <c r="G67" s="51">
        <f t="shared" ca="1" si="17"/>
        <v>170.70639634899837</v>
      </c>
      <c r="H67" s="8" t="str">
        <f t="shared" ca="1" si="6"/>
        <v>No</v>
      </c>
      <c r="I67" s="32">
        <f t="shared" ca="1" si="13"/>
        <v>0</v>
      </c>
      <c r="J67" s="32">
        <f t="shared" ca="1" si="7"/>
        <v>0</v>
      </c>
      <c r="K67" s="31">
        <f t="shared" ca="1" si="8"/>
        <v>0</v>
      </c>
      <c r="L67" s="52">
        <f t="shared" ca="1" si="9"/>
        <v>0</v>
      </c>
      <c r="M67" s="51">
        <f t="shared" ca="1" si="2"/>
        <v>0.94703621513238323</v>
      </c>
      <c r="N67" s="51">
        <f t="shared" ca="1" si="14"/>
        <v>0</v>
      </c>
      <c r="O67" s="28" t="str">
        <f t="shared" ca="1" si="3"/>
        <v>Yes</v>
      </c>
      <c r="P67" s="51">
        <f t="shared" ca="1" si="10"/>
        <v>0</v>
      </c>
      <c r="Q67">
        <f t="shared" ca="1" si="15"/>
        <v>4</v>
      </c>
      <c r="R67">
        <f t="shared" ca="1" si="18"/>
        <v>0</v>
      </c>
      <c r="S67" s="14">
        <f t="shared" ca="1" si="11"/>
        <v>2</v>
      </c>
    </row>
    <row r="68" spans="1:19" x14ac:dyDescent="0.25">
      <c r="A68">
        <v>59</v>
      </c>
      <c r="B68" s="51">
        <f t="shared" ca="1" si="0"/>
        <v>0.67283311578453897</v>
      </c>
      <c r="C68" s="51">
        <f t="shared" ca="1" si="12"/>
        <v>171.32277368169562</v>
      </c>
      <c r="D68" s="11" t="str">
        <f t="shared" ca="1" si="5"/>
        <v>C1</v>
      </c>
      <c r="E68" s="51">
        <f t="shared" ca="1" si="16"/>
        <v>171.32277368169562</v>
      </c>
      <c r="F68" s="51">
        <f t="shared" ca="1" si="1"/>
        <v>0.70560655581217269</v>
      </c>
      <c r="G68" s="51">
        <f t="shared" ca="1" si="17"/>
        <v>172.0283802375078</v>
      </c>
      <c r="H68" s="8" t="str">
        <f t="shared" ca="1" si="6"/>
        <v>No</v>
      </c>
      <c r="I68" s="32">
        <f t="shared" ca="1" si="13"/>
        <v>0</v>
      </c>
      <c r="J68" s="32">
        <f t="shared" ca="1" si="7"/>
        <v>1</v>
      </c>
      <c r="K68" s="31">
        <f t="shared" ca="1" si="8"/>
        <v>0.5</v>
      </c>
      <c r="L68" s="52">
        <f t="shared" ca="1" si="9"/>
        <v>0</v>
      </c>
      <c r="M68" s="51">
        <f t="shared" ca="1" si="2"/>
        <v>6.9807918239960163</v>
      </c>
      <c r="N68" s="51">
        <f t="shared" ca="1" si="14"/>
        <v>0</v>
      </c>
      <c r="O68" s="28" t="str">
        <f t="shared" ca="1" si="3"/>
        <v>Yes</v>
      </c>
      <c r="P68" s="51">
        <f t="shared" ca="1" si="10"/>
        <v>0.55009248754316786</v>
      </c>
      <c r="Q68">
        <f t="shared" ca="1" si="15"/>
        <v>0</v>
      </c>
      <c r="R68">
        <f t="shared" ca="1" si="18"/>
        <v>0</v>
      </c>
      <c r="S68" s="14">
        <f t="shared" ca="1" si="11"/>
        <v>0</v>
      </c>
    </row>
    <row r="69" spans="1:19" x14ac:dyDescent="0.25">
      <c r="A69">
        <v>60</v>
      </c>
      <c r="B69" s="51">
        <f t="shared" ca="1" si="0"/>
        <v>0.15551406826900854</v>
      </c>
      <c r="C69" s="51">
        <f t="shared" ca="1" si="12"/>
        <v>171.47828774996464</v>
      </c>
      <c r="D69" s="11" t="str">
        <f t="shared" ca="1" si="5"/>
        <v>C2</v>
      </c>
      <c r="E69" s="51">
        <f t="shared" ca="1" si="16"/>
        <v>0</v>
      </c>
      <c r="F69" s="51">
        <f t="shared" ca="1" si="1"/>
        <v>0.19337870942957999</v>
      </c>
      <c r="G69" s="51">
        <f t="shared" ca="1" si="17"/>
        <v>0</v>
      </c>
      <c r="H69" s="8" t="str">
        <f t="shared" ca="1" si="6"/>
        <v>Yes</v>
      </c>
      <c r="I69" s="32">
        <f t="shared" ca="1" si="13"/>
        <v>2</v>
      </c>
      <c r="J69" s="32">
        <f t="shared" ca="1" si="7"/>
        <v>0</v>
      </c>
      <c r="K69" s="31">
        <f t="shared" ca="1" si="8"/>
        <v>1</v>
      </c>
      <c r="L69" s="52">
        <f t="shared" ca="1" si="9"/>
        <v>171.47828774996464</v>
      </c>
      <c r="M69" s="51">
        <f t="shared" ca="1" si="2"/>
        <v>2.0128412641993441</v>
      </c>
      <c r="N69" s="51">
        <f t="shared" ca="1" si="14"/>
        <v>173.49112901416399</v>
      </c>
      <c r="O69" s="28" t="str">
        <f t="shared" ca="1" si="3"/>
        <v>No</v>
      </c>
      <c r="P69" s="51">
        <f t="shared" ca="1" si="10"/>
        <v>0</v>
      </c>
      <c r="Q69">
        <f t="shared" ca="1" si="15"/>
        <v>0</v>
      </c>
      <c r="R69">
        <f t="shared" ca="1" si="18"/>
        <v>0</v>
      </c>
      <c r="S69" s="14">
        <f t="shared" ca="1" si="11"/>
        <v>0</v>
      </c>
    </row>
    <row r="70" spans="1:19" x14ac:dyDescent="0.25">
      <c r="A70">
        <v>61</v>
      </c>
      <c r="B70" s="51">
        <f t="shared" ca="1" si="0"/>
        <v>3.5345072629919829</v>
      </c>
      <c r="C70" s="51">
        <f t="shared" ca="1" si="12"/>
        <v>175.01279501295662</v>
      </c>
      <c r="D70" s="11" t="str">
        <f t="shared" ca="1" si="5"/>
        <v>C1</v>
      </c>
      <c r="E70" s="51">
        <f t="shared" ca="1" si="16"/>
        <v>175.01279501295662</v>
      </c>
      <c r="F70" s="51">
        <f t="shared" ca="1" si="1"/>
        <v>2.4320025513594605</v>
      </c>
      <c r="G70" s="51">
        <f t="shared" ca="1" si="17"/>
        <v>177.44479756431608</v>
      </c>
      <c r="H70" s="8" t="str">
        <f t="shared" ca="1" si="6"/>
        <v>No</v>
      </c>
      <c r="I70" s="32">
        <f t="shared" ca="1" si="13"/>
        <v>0</v>
      </c>
      <c r="J70" s="32">
        <f t="shared" ca="1" si="7"/>
        <v>1</v>
      </c>
      <c r="K70" s="31">
        <f t="shared" ca="1" si="8"/>
        <v>0.5</v>
      </c>
      <c r="L70" s="52">
        <f t="shared" ca="1" si="9"/>
        <v>0</v>
      </c>
      <c r="M70" s="51">
        <f t="shared" ca="1" si="2"/>
        <v>2.0847674435126606</v>
      </c>
      <c r="N70" s="51">
        <f t="shared" ca="1" si="14"/>
        <v>0</v>
      </c>
      <c r="O70" s="28" t="str">
        <f t="shared" ca="1" si="3"/>
        <v>Yes</v>
      </c>
      <c r="P70" s="51">
        <f t="shared" ca="1" si="10"/>
        <v>1.6418938994892471</v>
      </c>
      <c r="Q70">
        <f t="shared" ca="1" si="15"/>
        <v>0</v>
      </c>
      <c r="R70">
        <f t="shared" ca="1" si="18"/>
        <v>0</v>
      </c>
      <c r="S70" s="14">
        <f t="shared" ca="1" si="11"/>
        <v>0</v>
      </c>
    </row>
    <row r="71" spans="1:19" x14ac:dyDescent="0.25">
      <c r="A71">
        <v>62</v>
      </c>
      <c r="B71" s="51">
        <f t="shared" ca="1" si="0"/>
        <v>0.79010865187020085</v>
      </c>
      <c r="C71" s="51">
        <f t="shared" ca="1" si="12"/>
        <v>175.80290366482683</v>
      </c>
      <c r="D71" s="11" t="str">
        <f t="shared" ca="1" si="5"/>
        <v>C2</v>
      </c>
      <c r="E71" s="51">
        <f t="shared" ca="1" si="16"/>
        <v>0</v>
      </c>
      <c r="F71" s="51">
        <f t="shared" ca="1" si="1"/>
        <v>1.0336176114421201</v>
      </c>
      <c r="G71" s="51">
        <f t="shared" ca="1" si="17"/>
        <v>0</v>
      </c>
      <c r="H71" s="8" t="str">
        <f t="shared" ca="1" si="6"/>
        <v>Yes</v>
      </c>
      <c r="I71" s="32">
        <f t="shared" ca="1" si="13"/>
        <v>2</v>
      </c>
      <c r="J71" s="32">
        <f t="shared" ca="1" si="7"/>
        <v>0</v>
      </c>
      <c r="K71" s="31">
        <f t="shared" ca="1" si="8"/>
        <v>1</v>
      </c>
      <c r="L71" s="52">
        <f t="shared" ca="1" si="9"/>
        <v>175.80290366482683</v>
      </c>
      <c r="M71" s="51">
        <f t="shared" ca="1" si="2"/>
        <v>3.4090913449856011</v>
      </c>
      <c r="N71" s="51">
        <f t="shared" ca="1" si="14"/>
        <v>179.21199500981243</v>
      </c>
      <c r="O71" s="28" t="str">
        <f t="shared" ca="1" si="3"/>
        <v>No</v>
      </c>
      <c r="P71" s="51">
        <f t="shared" ca="1" si="10"/>
        <v>1.0236804942402671</v>
      </c>
      <c r="Q71">
        <f t="shared" ca="1" si="15"/>
        <v>0</v>
      </c>
      <c r="R71">
        <f t="shared" ca="1" si="18"/>
        <v>2</v>
      </c>
      <c r="S71" s="14">
        <f t="shared" ca="1" si="11"/>
        <v>1</v>
      </c>
    </row>
    <row r="72" spans="1:19" x14ac:dyDescent="0.25">
      <c r="A72">
        <v>63</v>
      </c>
      <c r="B72" s="51">
        <f t="shared" ca="1" si="0"/>
        <v>2.385410850745322</v>
      </c>
      <c r="C72" s="51">
        <f t="shared" ca="1" si="12"/>
        <v>178.18831451557216</v>
      </c>
      <c r="D72" s="11" t="str">
        <f t="shared" ca="1" si="5"/>
        <v>C1</v>
      </c>
      <c r="E72" s="51">
        <f t="shared" ca="1" si="16"/>
        <v>178.18831451557216</v>
      </c>
      <c r="F72" s="51">
        <f t="shared" ca="1" si="1"/>
        <v>5.4251615770389892</v>
      </c>
      <c r="G72" s="51">
        <f t="shared" ca="1" si="17"/>
        <v>183.61347609261114</v>
      </c>
      <c r="H72" s="8" t="str">
        <f t="shared" ca="1" si="6"/>
        <v>No</v>
      </c>
      <c r="I72" s="32">
        <f t="shared" ca="1" si="13"/>
        <v>0</v>
      </c>
      <c r="J72" s="32">
        <f t="shared" ca="1" si="7"/>
        <v>3</v>
      </c>
      <c r="K72" s="31">
        <f t="shared" ca="1" si="8"/>
        <v>1.5</v>
      </c>
      <c r="L72" s="52">
        <f t="shared" ca="1" si="9"/>
        <v>0</v>
      </c>
      <c r="M72" s="51">
        <f t="shared" ca="1" si="2"/>
        <v>0.17435413380488723</v>
      </c>
      <c r="N72" s="51">
        <f t="shared" ca="1" si="14"/>
        <v>0</v>
      </c>
      <c r="O72" s="28" t="str">
        <f t="shared" ca="1" si="3"/>
        <v>Yes</v>
      </c>
      <c r="P72" s="51">
        <f t="shared" ca="1" si="10"/>
        <v>5.2227536817752593</v>
      </c>
      <c r="Q72">
        <f t="shared" ca="1" si="15"/>
        <v>3</v>
      </c>
      <c r="R72">
        <f t="shared" ca="1" si="18"/>
        <v>0</v>
      </c>
      <c r="S72" s="14">
        <f t="shared" ca="1" si="11"/>
        <v>1.5</v>
      </c>
    </row>
    <row r="73" spans="1:19" x14ac:dyDescent="0.25">
      <c r="A73">
        <v>64</v>
      </c>
      <c r="B73" s="51">
        <f t="shared" ca="1" si="0"/>
        <v>0.2024078952637155</v>
      </c>
      <c r="C73" s="51">
        <f t="shared" ca="1" si="12"/>
        <v>178.39072241083588</v>
      </c>
      <c r="D73" s="11" t="str">
        <f t="shared" ca="1" si="5"/>
        <v>C2</v>
      </c>
      <c r="E73" s="51">
        <f t="shared" ca="1" si="16"/>
        <v>0</v>
      </c>
      <c r="F73" s="51">
        <f t="shared" ca="1" si="1"/>
        <v>1.7559551896578496</v>
      </c>
      <c r="G73" s="51">
        <f t="shared" ca="1" si="17"/>
        <v>0</v>
      </c>
      <c r="H73" s="8" t="str">
        <f t="shared" ca="1" si="6"/>
        <v>Yes</v>
      </c>
      <c r="I73" s="32">
        <f t="shared" ca="1" si="13"/>
        <v>4</v>
      </c>
      <c r="J73" s="32">
        <f t="shared" ca="1" si="7"/>
        <v>0</v>
      </c>
      <c r="K73" s="31">
        <f t="shared" ca="1" si="8"/>
        <v>2</v>
      </c>
      <c r="L73" s="52">
        <f t="shared" ca="1" si="9"/>
        <v>178.39072241083588</v>
      </c>
      <c r="M73" s="51">
        <f t="shared" ca="1" si="2"/>
        <v>2.6965355969437708</v>
      </c>
      <c r="N73" s="51">
        <f t="shared" ca="1" si="14"/>
        <v>181.08725800777964</v>
      </c>
      <c r="O73" s="28" t="str">
        <f t="shared" ca="1" si="3"/>
        <v>No</v>
      </c>
      <c r="P73" s="51">
        <f t="shared" ca="1" si="10"/>
        <v>1.6501007947328219</v>
      </c>
      <c r="Q73">
        <f t="shared" ca="1" si="15"/>
        <v>0</v>
      </c>
      <c r="R73">
        <f t="shared" ca="1" si="18"/>
        <v>1</v>
      </c>
      <c r="S73" s="14">
        <f t="shared" ca="1" si="11"/>
        <v>0.5</v>
      </c>
    </row>
    <row r="74" spans="1:19" x14ac:dyDescent="0.25">
      <c r="A74">
        <v>65</v>
      </c>
      <c r="B74" s="51">
        <f t="shared" ref="B74:B137" ca="1" si="19">-LN(RAND())/$H$3</f>
        <v>1.0464348022109473</v>
      </c>
      <c r="C74" s="51">
        <f t="shared" ca="1" si="12"/>
        <v>179.43715721304682</v>
      </c>
      <c r="D74" s="11" t="str">
        <f t="shared" ca="1" si="5"/>
        <v>C1</v>
      </c>
      <c r="E74" s="51">
        <f t="shared" ca="1" si="16"/>
        <v>179.43715721304682</v>
      </c>
      <c r="F74" s="51">
        <f t="shared" ref="F74:F137" ca="1" si="20">-LN(RAND())/$H$5</f>
        <v>2.1241387029480356</v>
      </c>
      <c r="G74" s="51">
        <f t="shared" ca="1" si="17"/>
        <v>181.56129591599486</v>
      </c>
      <c r="H74" s="8" t="str">
        <f t="shared" ca="1" si="6"/>
        <v>No</v>
      </c>
      <c r="I74" s="32">
        <f t="shared" ca="1" si="13"/>
        <v>0</v>
      </c>
      <c r="J74" s="32">
        <f t="shared" ca="1" si="7"/>
        <v>1</v>
      </c>
      <c r="K74" s="31">
        <f t="shared" ca="1" si="8"/>
        <v>0.5</v>
      </c>
      <c r="L74" s="52">
        <f t="shared" ca="1" si="9"/>
        <v>0</v>
      </c>
      <c r="M74" s="51">
        <f t="shared" ref="M74:M137" ca="1" si="21">-LN(RAND())/$H$5</f>
        <v>3.0783812081804509</v>
      </c>
      <c r="N74" s="51">
        <f t="shared" ca="1" si="14"/>
        <v>0</v>
      </c>
      <c r="O74" s="28" t="str">
        <f t="shared" ref="O74:O137" ca="1" si="22">IF(D74="C2","No","Yes")</f>
        <v>Yes</v>
      </c>
      <c r="P74" s="51">
        <f t="shared" ca="1" si="10"/>
        <v>0.13027158947841144</v>
      </c>
      <c r="Q74">
        <f t="shared" ca="1" si="15"/>
        <v>2</v>
      </c>
      <c r="R74">
        <f t="shared" ref="R74:R105" ca="1" si="23">IF($N74&lt;=$C75,0,IF($N74&lt;=$C76,1,IF($N74&lt;=$C77,2,IF($N74&lt;=$C78,3,IF($N74&lt;=$C79,4,5)))))</f>
        <v>0</v>
      </c>
      <c r="S74" s="14">
        <f t="shared" ca="1" si="11"/>
        <v>1</v>
      </c>
    </row>
    <row r="75" spans="1:19" x14ac:dyDescent="0.25">
      <c r="A75">
        <v>66</v>
      </c>
      <c r="B75" s="51">
        <f t="shared" ca="1" si="19"/>
        <v>1.993867113469636</v>
      </c>
      <c r="C75" s="51">
        <f t="shared" ca="1" si="12"/>
        <v>181.43102432651645</v>
      </c>
      <c r="D75" s="11" t="str">
        <f t="shared" ref="D75:D138" ca="1" si="24">IF(C75&gt;G74,"C1",IF(C75&gt;N74,"C2"))</f>
        <v>C2</v>
      </c>
      <c r="E75" s="51">
        <f t="shared" ca="1" si="16"/>
        <v>0</v>
      </c>
      <c r="F75" s="51">
        <f t="shared" ca="1" si="20"/>
        <v>1.583360939193859</v>
      </c>
      <c r="G75" s="51">
        <f t="shared" ca="1" si="17"/>
        <v>0</v>
      </c>
      <c r="H75" s="8" t="str">
        <f t="shared" ref="H75:H138" ca="1" si="25">IF(D75="C1","No","Yes")</f>
        <v>Yes</v>
      </c>
      <c r="I75" s="32">
        <f t="shared" ca="1" si="13"/>
        <v>2</v>
      </c>
      <c r="J75" s="32">
        <f t="shared" ref="J75:J138" ca="1" si="26">IF($G75&lt;=$C76,0,IF($G75&lt;=$C77,1,IF($G75&lt;=$C78,2,IF($G75&lt;=$C79,3,IF($G75&lt;=$C80,4,5)))))</f>
        <v>0</v>
      </c>
      <c r="K75" s="31">
        <f t="shared" ref="K75:K138" ca="1" si="27">AVERAGE(I75:J75)</f>
        <v>1</v>
      </c>
      <c r="L75" s="52">
        <f t="shared" ref="L75:L138" ca="1" si="28">IF(D75="C2",C75,0)</f>
        <v>181.43102432651645</v>
      </c>
      <c r="M75" s="51">
        <f t="shared" ca="1" si="21"/>
        <v>1.0989648077036291</v>
      </c>
      <c r="N75" s="51">
        <f t="shared" ca="1" si="14"/>
        <v>182.52998913422007</v>
      </c>
      <c r="O75" s="28" t="str">
        <f t="shared" ca="1" si="22"/>
        <v>No</v>
      </c>
      <c r="P75" s="51">
        <f t="shared" ref="P75:P138" ca="1" si="29">IF(D75="C1",IF(G75&lt;C76,0,G75-C76),IF(N75&lt;C76,0,N75-C76))</f>
        <v>0</v>
      </c>
      <c r="Q75">
        <f t="shared" ca="1" si="15"/>
        <v>0</v>
      </c>
      <c r="R75">
        <f t="shared" ref="R75:R138" ca="1" si="30">IF($N75&lt;=$C76,0,IF($N75&lt;=$C77,1,IF($N75&lt;=$C78,2,IF($N75&lt;=$C79,3,IF($N75&lt;=$C80,4,5)))))</f>
        <v>0</v>
      </c>
      <c r="S75" s="14">
        <f t="shared" ref="S75:S138" ca="1" si="31">AVERAGE(Q75:R75)</f>
        <v>0</v>
      </c>
    </row>
    <row r="76" spans="1:19" x14ac:dyDescent="0.25">
      <c r="A76">
        <v>67</v>
      </c>
      <c r="B76" s="51">
        <f t="shared" ca="1" si="19"/>
        <v>4.9908312529347949</v>
      </c>
      <c r="C76" s="51">
        <f t="shared" ref="C76:C139" ca="1" si="32">C75+B76</f>
        <v>186.42185557945123</v>
      </c>
      <c r="D76" s="11" t="str">
        <f t="shared" ca="1" si="24"/>
        <v>C1</v>
      </c>
      <c r="E76" s="51">
        <f t="shared" ref="E76:E139" ca="1" si="33">IF(D76="C1",C76,0)</f>
        <v>186.42185557945123</v>
      </c>
      <c r="F76" s="51">
        <f t="shared" ca="1" si="20"/>
        <v>1.2615969884127387</v>
      </c>
      <c r="G76" s="51">
        <f t="shared" ref="G76:G139" ca="1" si="34">IF(E76=0,0,F76+E76)</f>
        <v>187.68345256786398</v>
      </c>
      <c r="H76" s="8" t="str">
        <f t="shared" ca="1" si="25"/>
        <v>No</v>
      </c>
      <c r="I76" s="32">
        <f t="shared" ref="I76:I139" ca="1" si="35">IF(G75&lt;=$C76,0,$J75+1)</f>
        <v>0</v>
      </c>
      <c r="J76" s="32">
        <f t="shared" ca="1" si="26"/>
        <v>0</v>
      </c>
      <c r="K76" s="31">
        <f t="shared" ca="1" si="27"/>
        <v>0</v>
      </c>
      <c r="L76" s="52">
        <f t="shared" ca="1" si="28"/>
        <v>0</v>
      </c>
      <c r="M76" s="51">
        <f t="shared" ca="1" si="21"/>
        <v>2.1335680315121421</v>
      </c>
      <c r="N76" s="51">
        <f t="shared" ref="N76:N139" ca="1" si="36">IF(L76=0,0,M76+L76)</f>
        <v>0</v>
      </c>
      <c r="O76" s="28" t="str">
        <f t="shared" ca="1" si="22"/>
        <v>Yes</v>
      </c>
      <c r="P76" s="51">
        <f t="shared" ca="1" si="29"/>
        <v>0</v>
      </c>
      <c r="Q76">
        <f t="shared" ref="Q76:Q139" ca="1" si="37">IF($N75&lt;=$C76,0,$R75+1)</f>
        <v>0</v>
      </c>
      <c r="R76">
        <f t="shared" ca="1" si="30"/>
        <v>0</v>
      </c>
      <c r="S76" s="14">
        <f t="shared" ca="1" si="31"/>
        <v>0</v>
      </c>
    </row>
    <row r="77" spans="1:19" x14ac:dyDescent="0.25">
      <c r="A77">
        <v>68</v>
      </c>
      <c r="B77" s="51">
        <f t="shared" ca="1" si="19"/>
        <v>5.9632353828156752</v>
      </c>
      <c r="C77" s="51">
        <f t="shared" ca="1" si="32"/>
        <v>192.3850909622669</v>
      </c>
      <c r="D77" s="11" t="str">
        <f t="shared" ca="1" si="24"/>
        <v>C1</v>
      </c>
      <c r="E77" s="51">
        <f t="shared" ca="1" si="33"/>
        <v>192.3850909622669</v>
      </c>
      <c r="F77" s="51">
        <f t="shared" ca="1" si="20"/>
        <v>0.97268948071611816</v>
      </c>
      <c r="G77" s="51">
        <f t="shared" ca="1" si="34"/>
        <v>193.35778044298303</v>
      </c>
      <c r="H77" s="8" t="str">
        <f t="shared" ca="1" si="25"/>
        <v>No</v>
      </c>
      <c r="I77" s="32">
        <f t="shared" ca="1" si="35"/>
        <v>0</v>
      </c>
      <c r="J77" s="32">
        <f t="shared" ca="1" si="26"/>
        <v>0</v>
      </c>
      <c r="K77" s="31">
        <f t="shared" ca="1" si="27"/>
        <v>0</v>
      </c>
      <c r="L77" s="52">
        <f t="shared" ca="1" si="28"/>
        <v>0</v>
      </c>
      <c r="M77" s="51">
        <f t="shared" ca="1" si="21"/>
        <v>0.62606660768266909</v>
      </c>
      <c r="N77" s="51">
        <f t="shared" ca="1" si="36"/>
        <v>0</v>
      </c>
      <c r="O77" s="28" t="str">
        <f t="shared" ca="1" si="22"/>
        <v>Yes</v>
      </c>
      <c r="P77" s="51">
        <f t="shared" ca="1" si="29"/>
        <v>0</v>
      </c>
      <c r="Q77">
        <f t="shared" ca="1" si="37"/>
        <v>0</v>
      </c>
      <c r="R77">
        <f t="shared" ca="1" si="30"/>
        <v>0</v>
      </c>
      <c r="S77" s="14">
        <f t="shared" ca="1" si="31"/>
        <v>0</v>
      </c>
    </row>
    <row r="78" spans="1:19" x14ac:dyDescent="0.25">
      <c r="A78">
        <v>69</v>
      </c>
      <c r="B78" s="51">
        <f t="shared" ca="1" si="19"/>
        <v>4.9486549951080123</v>
      </c>
      <c r="C78" s="51">
        <f t="shared" ca="1" si="32"/>
        <v>197.3337459573749</v>
      </c>
      <c r="D78" s="11" t="str">
        <f t="shared" ca="1" si="24"/>
        <v>C1</v>
      </c>
      <c r="E78" s="51">
        <f t="shared" ca="1" si="33"/>
        <v>197.3337459573749</v>
      </c>
      <c r="F78" s="51">
        <f t="shared" ca="1" si="20"/>
        <v>0.33353928258238746</v>
      </c>
      <c r="G78" s="51">
        <f t="shared" ca="1" si="34"/>
        <v>197.66728523995729</v>
      </c>
      <c r="H78" s="8" t="str">
        <f t="shared" ca="1" si="25"/>
        <v>No</v>
      </c>
      <c r="I78" s="32">
        <f t="shared" ca="1" si="35"/>
        <v>0</v>
      </c>
      <c r="J78" s="32">
        <f t="shared" ca="1" si="26"/>
        <v>0</v>
      </c>
      <c r="K78" s="31">
        <f t="shared" ca="1" si="27"/>
        <v>0</v>
      </c>
      <c r="L78" s="52">
        <f t="shared" ca="1" si="28"/>
        <v>0</v>
      </c>
      <c r="M78" s="51">
        <f t="shared" ca="1" si="21"/>
        <v>1.4655790403610314</v>
      </c>
      <c r="N78" s="51">
        <f t="shared" ca="1" si="36"/>
        <v>0</v>
      </c>
      <c r="O78" s="28" t="str">
        <f t="shared" ca="1" si="22"/>
        <v>Yes</v>
      </c>
      <c r="P78" s="51">
        <f t="shared" ca="1" si="29"/>
        <v>0</v>
      </c>
      <c r="Q78">
        <f t="shared" ca="1" si="37"/>
        <v>0</v>
      </c>
      <c r="R78">
        <f t="shared" ca="1" si="30"/>
        <v>0</v>
      </c>
      <c r="S78" s="14">
        <f t="shared" ca="1" si="31"/>
        <v>0</v>
      </c>
    </row>
    <row r="79" spans="1:19" x14ac:dyDescent="0.25">
      <c r="A79">
        <v>70</v>
      </c>
      <c r="B79" s="51">
        <f t="shared" ca="1" si="19"/>
        <v>0.60658847813961347</v>
      </c>
      <c r="C79" s="51">
        <f t="shared" ca="1" si="32"/>
        <v>197.9403344355145</v>
      </c>
      <c r="D79" s="11" t="str">
        <f t="shared" ca="1" si="24"/>
        <v>C1</v>
      </c>
      <c r="E79" s="51">
        <f t="shared" ca="1" si="33"/>
        <v>197.9403344355145</v>
      </c>
      <c r="F79" s="51">
        <f t="shared" ca="1" si="20"/>
        <v>0.21860449449484695</v>
      </c>
      <c r="G79" s="51">
        <f t="shared" ca="1" si="34"/>
        <v>198.15893893000936</v>
      </c>
      <c r="H79" s="8" t="str">
        <f t="shared" ca="1" si="25"/>
        <v>No</v>
      </c>
      <c r="I79" s="32">
        <f t="shared" ca="1" si="35"/>
        <v>0</v>
      </c>
      <c r="J79" s="32">
        <f t="shared" ca="1" si="26"/>
        <v>0</v>
      </c>
      <c r="K79" s="31">
        <f t="shared" ca="1" si="27"/>
        <v>0</v>
      </c>
      <c r="L79" s="52">
        <f t="shared" ca="1" si="28"/>
        <v>0</v>
      </c>
      <c r="M79" s="51">
        <f t="shared" ca="1" si="21"/>
        <v>20.080410097128343</v>
      </c>
      <c r="N79" s="51">
        <f t="shared" ca="1" si="36"/>
        <v>0</v>
      </c>
      <c r="O79" s="28" t="str">
        <f t="shared" ca="1" si="22"/>
        <v>Yes</v>
      </c>
      <c r="P79" s="51">
        <f t="shared" ca="1" si="29"/>
        <v>0</v>
      </c>
      <c r="Q79">
        <f t="shared" ca="1" si="37"/>
        <v>0</v>
      </c>
      <c r="R79">
        <f t="shared" ca="1" si="30"/>
        <v>0</v>
      </c>
      <c r="S79" s="14">
        <f t="shared" ca="1" si="31"/>
        <v>0</v>
      </c>
    </row>
    <row r="80" spans="1:19" x14ac:dyDescent="0.25">
      <c r="A80">
        <v>71</v>
      </c>
      <c r="B80" s="51">
        <f t="shared" ca="1" si="19"/>
        <v>4.6766206350813215</v>
      </c>
      <c r="C80" s="51">
        <f t="shared" ca="1" si="32"/>
        <v>202.61695507059582</v>
      </c>
      <c r="D80" s="11" t="str">
        <f t="shared" ca="1" si="24"/>
        <v>C1</v>
      </c>
      <c r="E80" s="51">
        <f t="shared" ca="1" si="33"/>
        <v>202.61695507059582</v>
      </c>
      <c r="F80" s="51">
        <f t="shared" ca="1" si="20"/>
        <v>0.25279003745013889</v>
      </c>
      <c r="G80" s="51">
        <f t="shared" ca="1" si="34"/>
        <v>202.86974510804595</v>
      </c>
      <c r="H80" s="8" t="str">
        <f t="shared" ca="1" si="25"/>
        <v>No</v>
      </c>
      <c r="I80" s="32">
        <f t="shared" ca="1" si="35"/>
        <v>0</v>
      </c>
      <c r="J80" s="32">
        <f t="shared" ca="1" si="26"/>
        <v>0</v>
      </c>
      <c r="K80" s="31">
        <f t="shared" ca="1" si="27"/>
        <v>0</v>
      </c>
      <c r="L80" s="52">
        <f t="shared" ca="1" si="28"/>
        <v>0</v>
      </c>
      <c r="M80" s="51">
        <f t="shared" ca="1" si="21"/>
        <v>1.7887386272190491</v>
      </c>
      <c r="N80" s="51">
        <f t="shared" ca="1" si="36"/>
        <v>0</v>
      </c>
      <c r="O80" s="28" t="str">
        <f t="shared" ca="1" si="22"/>
        <v>Yes</v>
      </c>
      <c r="P80" s="51">
        <f t="shared" ca="1" si="29"/>
        <v>0</v>
      </c>
      <c r="Q80">
        <f t="shared" ca="1" si="37"/>
        <v>0</v>
      </c>
      <c r="R80">
        <f t="shared" ca="1" si="30"/>
        <v>0</v>
      </c>
      <c r="S80" s="14">
        <f t="shared" ca="1" si="31"/>
        <v>0</v>
      </c>
    </row>
    <row r="81" spans="1:19" x14ac:dyDescent="0.25">
      <c r="A81">
        <v>72</v>
      </c>
      <c r="B81" s="51">
        <f t="shared" ca="1" si="19"/>
        <v>1.6265064060634402</v>
      </c>
      <c r="C81" s="51">
        <f t="shared" ca="1" si="32"/>
        <v>204.24346147665926</v>
      </c>
      <c r="D81" s="11" t="str">
        <f t="shared" ca="1" si="24"/>
        <v>C1</v>
      </c>
      <c r="E81" s="51">
        <f t="shared" ca="1" si="33"/>
        <v>204.24346147665926</v>
      </c>
      <c r="F81" s="51">
        <f t="shared" ca="1" si="20"/>
        <v>2.4620588427669836</v>
      </c>
      <c r="G81" s="51">
        <f t="shared" ca="1" si="34"/>
        <v>206.70552031942626</v>
      </c>
      <c r="H81" s="8" t="str">
        <f t="shared" ca="1" si="25"/>
        <v>No</v>
      </c>
      <c r="I81" s="32">
        <f t="shared" ca="1" si="35"/>
        <v>0</v>
      </c>
      <c r="J81" s="32">
        <f t="shared" ca="1" si="26"/>
        <v>0</v>
      </c>
      <c r="K81" s="31">
        <f t="shared" ca="1" si="27"/>
        <v>0</v>
      </c>
      <c r="L81" s="52">
        <f t="shared" ca="1" si="28"/>
        <v>0</v>
      </c>
      <c r="M81" s="51">
        <f t="shared" ca="1" si="21"/>
        <v>1.8947677794936826</v>
      </c>
      <c r="N81" s="51">
        <f t="shared" ca="1" si="36"/>
        <v>0</v>
      </c>
      <c r="O81" s="28" t="str">
        <f t="shared" ca="1" si="22"/>
        <v>Yes</v>
      </c>
      <c r="P81" s="51">
        <f t="shared" ca="1" si="29"/>
        <v>0</v>
      </c>
      <c r="Q81">
        <f t="shared" ca="1" si="37"/>
        <v>0</v>
      </c>
      <c r="R81">
        <f t="shared" ca="1" si="30"/>
        <v>0</v>
      </c>
      <c r="S81" s="14">
        <f t="shared" ca="1" si="31"/>
        <v>0</v>
      </c>
    </row>
    <row r="82" spans="1:19" x14ac:dyDescent="0.25">
      <c r="A82">
        <v>73</v>
      </c>
      <c r="B82" s="51">
        <f t="shared" ca="1" si="19"/>
        <v>5.1848413822091652</v>
      </c>
      <c r="C82" s="51">
        <f t="shared" ca="1" si="32"/>
        <v>209.42830285886842</v>
      </c>
      <c r="D82" s="11" t="str">
        <f t="shared" ca="1" si="24"/>
        <v>C1</v>
      </c>
      <c r="E82" s="51">
        <f t="shared" ca="1" si="33"/>
        <v>209.42830285886842</v>
      </c>
      <c r="F82" s="51">
        <f t="shared" ca="1" si="20"/>
        <v>3.3977891221844914</v>
      </c>
      <c r="G82" s="51">
        <f t="shared" ca="1" si="34"/>
        <v>212.82609198105291</v>
      </c>
      <c r="H82" s="8" t="str">
        <f t="shared" ca="1" si="25"/>
        <v>No</v>
      </c>
      <c r="I82" s="32">
        <f t="shared" ca="1" si="35"/>
        <v>0</v>
      </c>
      <c r="J82" s="32">
        <f t="shared" ca="1" si="26"/>
        <v>3</v>
      </c>
      <c r="K82" s="31">
        <f t="shared" ca="1" si="27"/>
        <v>1.5</v>
      </c>
      <c r="L82" s="52">
        <f t="shared" ca="1" si="28"/>
        <v>0</v>
      </c>
      <c r="M82" s="51">
        <f t="shared" ca="1" si="21"/>
        <v>2.7323565928860996</v>
      </c>
      <c r="N82" s="51">
        <f t="shared" ca="1" si="36"/>
        <v>0</v>
      </c>
      <c r="O82" s="28" t="str">
        <f t="shared" ca="1" si="22"/>
        <v>Yes</v>
      </c>
      <c r="P82" s="51">
        <f t="shared" ca="1" si="29"/>
        <v>3.0144012823866149</v>
      </c>
      <c r="Q82">
        <f t="shared" ca="1" si="37"/>
        <v>0</v>
      </c>
      <c r="R82">
        <f t="shared" ca="1" si="30"/>
        <v>0</v>
      </c>
      <c r="S82" s="14">
        <f t="shared" ca="1" si="31"/>
        <v>0</v>
      </c>
    </row>
    <row r="83" spans="1:19" x14ac:dyDescent="0.25">
      <c r="A83">
        <v>74</v>
      </c>
      <c r="B83" s="51">
        <f t="shared" ca="1" si="19"/>
        <v>0.38338783979786945</v>
      </c>
      <c r="C83" s="51">
        <f t="shared" ca="1" si="32"/>
        <v>209.8116906986663</v>
      </c>
      <c r="D83" s="11" t="str">
        <f t="shared" ca="1" si="24"/>
        <v>C2</v>
      </c>
      <c r="E83" s="51">
        <f t="shared" ca="1" si="33"/>
        <v>0</v>
      </c>
      <c r="F83" s="51">
        <f t="shared" ca="1" si="20"/>
        <v>9.2987321394828761</v>
      </c>
      <c r="G83" s="51">
        <f t="shared" ca="1" si="34"/>
        <v>0</v>
      </c>
      <c r="H83" s="8" t="str">
        <f t="shared" ca="1" si="25"/>
        <v>Yes</v>
      </c>
      <c r="I83" s="32">
        <f t="shared" ca="1" si="35"/>
        <v>4</v>
      </c>
      <c r="J83" s="32">
        <f t="shared" ca="1" si="26"/>
        <v>0</v>
      </c>
      <c r="K83" s="31">
        <f t="shared" ca="1" si="27"/>
        <v>2</v>
      </c>
      <c r="L83" s="52">
        <f t="shared" ca="1" si="28"/>
        <v>209.8116906986663</v>
      </c>
      <c r="M83" s="51">
        <f t="shared" ca="1" si="21"/>
        <v>1.3340244602632545</v>
      </c>
      <c r="N83" s="51">
        <f t="shared" ca="1" si="36"/>
        <v>211.14571515892956</v>
      </c>
      <c r="O83" s="28" t="str">
        <f t="shared" ca="1" si="22"/>
        <v>No</v>
      </c>
      <c r="P83" s="51">
        <f t="shared" ca="1" si="29"/>
        <v>0.81412053801284401</v>
      </c>
      <c r="Q83">
        <f t="shared" ca="1" si="37"/>
        <v>0</v>
      </c>
      <c r="R83">
        <f t="shared" ca="1" si="30"/>
        <v>1</v>
      </c>
      <c r="S83" s="14">
        <f t="shared" ca="1" si="31"/>
        <v>0.5</v>
      </c>
    </row>
    <row r="84" spans="1:19" x14ac:dyDescent="0.25">
      <c r="A84">
        <v>75</v>
      </c>
      <c r="B84" s="51">
        <f t="shared" ca="1" si="19"/>
        <v>0.51990392225040971</v>
      </c>
      <c r="C84" s="51">
        <f t="shared" ca="1" si="32"/>
        <v>210.33159462091672</v>
      </c>
      <c r="D84" s="11" t="str">
        <f t="shared" ca="1" si="24"/>
        <v>C1</v>
      </c>
      <c r="E84" s="51">
        <f t="shared" ca="1" si="33"/>
        <v>210.33159462091672</v>
      </c>
      <c r="F84" s="51">
        <f t="shared" ca="1" si="20"/>
        <v>1.4918187801686185</v>
      </c>
      <c r="G84" s="51">
        <f t="shared" ca="1" si="34"/>
        <v>211.82341340108533</v>
      </c>
      <c r="H84" s="8" t="str">
        <f t="shared" ca="1" si="25"/>
        <v>No</v>
      </c>
      <c r="I84" s="32">
        <f t="shared" ca="1" si="35"/>
        <v>0</v>
      </c>
      <c r="J84" s="32">
        <f t="shared" ca="1" si="26"/>
        <v>0</v>
      </c>
      <c r="K84" s="31">
        <f t="shared" ca="1" si="27"/>
        <v>0</v>
      </c>
      <c r="L84" s="52">
        <f t="shared" ca="1" si="28"/>
        <v>0</v>
      </c>
      <c r="M84" s="51">
        <f t="shared" ca="1" si="21"/>
        <v>7.2857111176760955E-2</v>
      </c>
      <c r="N84" s="51">
        <f t="shared" ca="1" si="36"/>
        <v>0</v>
      </c>
      <c r="O84" s="28" t="str">
        <f t="shared" ca="1" si="22"/>
        <v>Yes</v>
      </c>
      <c r="P84" s="51">
        <f t="shared" ca="1" si="29"/>
        <v>0</v>
      </c>
      <c r="Q84">
        <f t="shared" ca="1" si="37"/>
        <v>2</v>
      </c>
      <c r="R84">
        <f t="shared" ca="1" si="30"/>
        <v>0</v>
      </c>
      <c r="S84" s="14">
        <f t="shared" ca="1" si="31"/>
        <v>1</v>
      </c>
    </row>
    <row r="85" spans="1:19" x14ac:dyDescent="0.25">
      <c r="A85">
        <v>76</v>
      </c>
      <c r="B85" s="51">
        <f t="shared" ca="1" si="19"/>
        <v>1.7308030020060521</v>
      </c>
      <c r="C85" s="51">
        <f t="shared" ca="1" si="32"/>
        <v>212.06239762292276</v>
      </c>
      <c r="D85" s="11" t="str">
        <f t="shared" ca="1" si="24"/>
        <v>C1</v>
      </c>
      <c r="E85" s="51">
        <f t="shared" ca="1" si="33"/>
        <v>212.06239762292276</v>
      </c>
      <c r="F85" s="51">
        <f t="shared" ca="1" si="20"/>
        <v>1.9930892478763051</v>
      </c>
      <c r="G85" s="51">
        <f t="shared" ca="1" si="34"/>
        <v>214.05548687079906</v>
      </c>
      <c r="H85" s="8" t="str">
        <f t="shared" ca="1" si="25"/>
        <v>No</v>
      </c>
      <c r="I85" s="32">
        <f t="shared" ca="1" si="35"/>
        <v>0</v>
      </c>
      <c r="J85" s="32">
        <f t="shared" ca="1" si="26"/>
        <v>0</v>
      </c>
      <c r="K85" s="31">
        <f t="shared" ca="1" si="27"/>
        <v>0</v>
      </c>
      <c r="L85" s="52">
        <f t="shared" ca="1" si="28"/>
        <v>0</v>
      </c>
      <c r="M85" s="51">
        <f t="shared" ca="1" si="21"/>
        <v>2.7375577066871108</v>
      </c>
      <c r="N85" s="51">
        <f t="shared" ca="1" si="36"/>
        <v>0</v>
      </c>
      <c r="O85" s="28" t="str">
        <f t="shared" ca="1" si="22"/>
        <v>Yes</v>
      </c>
      <c r="P85" s="51">
        <f t="shared" ca="1" si="29"/>
        <v>0</v>
      </c>
      <c r="Q85">
        <f t="shared" ca="1" si="37"/>
        <v>0</v>
      </c>
      <c r="R85">
        <f t="shared" ca="1" si="30"/>
        <v>0</v>
      </c>
      <c r="S85" s="14">
        <f t="shared" ca="1" si="31"/>
        <v>0</v>
      </c>
    </row>
    <row r="86" spans="1:19" x14ac:dyDescent="0.25">
      <c r="A86">
        <v>77</v>
      </c>
      <c r="B86" s="51">
        <f t="shared" ca="1" si="19"/>
        <v>7.1055610511987499</v>
      </c>
      <c r="C86" s="51">
        <f t="shared" ca="1" si="32"/>
        <v>219.16795867412151</v>
      </c>
      <c r="D86" s="11" t="str">
        <f t="shared" ca="1" si="24"/>
        <v>C1</v>
      </c>
      <c r="E86" s="51">
        <f t="shared" ca="1" si="33"/>
        <v>219.16795867412151</v>
      </c>
      <c r="F86" s="51">
        <f t="shared" ca="1" si="20"/>
        <v>0.22230600290783081</v>
      </c>
      <c r="G86" s="51">
        <f t="shared" ca="1" si="34"/>
        <v>219.39026467702934</v>
      </c>
      <c r="H86" s="8" t="str">
        <f t="shared" ca="1" si="25"/>
        <v>No</v>
      </c>
      <c r="I86" s="32">
        <f t="shared" ca="1" si="35"/>
        <v>0</v>
      </c>
      <c r="J86" s="32">
        <f t="shared" ca="1" si="26"/>
        <v>0</v>
      </c>
      <c r="K86" s="31">
        <f t="shared" ca="1" si="27"/>
        <v>0</v>
      </c>
      <c r="L86" s="52">
        <f t="shared" ca="1" si="28"/>
        <v>0</v>
      </c>
      <c r="M86" s="51">
        <f t="shared" ca="1" si="21"/>
        <v>0.87416816301948785</v>
      </c>
      <c r="N86" s="51">
        <f t="shared" ca="1" si="36"/>
        <v>0</v>
      </c>
      <c r="O86" s="28" t="str">
        <f t="shared" ca="1" si="22"/>
        <v>Yes</v>
      </c>
      <c r="P86" s="51">
        <f t="shared" ca="1" si="29"/>
        <v>0</v>
      </c>
      <c r="Q86">
        <f t="shared" ca="1" si="37"/>
        <v>0</v>
      </c>
      <c r="R86">
        <f t="shared" ca="1" si="30"/>
        <v>0</v>
      </c>
      <c r="S86" s="14">
        <f t="shared" ca="1" si="31"/>
        <v>0</v>
      </c>
    </row>
    <row r="87" spans="1:19" x14ac:dyDescent="0.25">
      <c r="A87">
        <v>78</v>
      </c>
      <c r="B87" s="51">
        <f t="shared" ca="1" si="19"/>
        <v>0.84399304167905609</v>
      </c>
      <c r="C87" s="51">
        <f t="shared" ca="1" si="32"/>
        <v>220.01195171580056</v>
      </c>
      <c r="D87" s="11" t="str">
        <f t="shared" ca="1" si="24"/>
        <v>C1</v>
      </c>
      <c r="E87" s="51">
        <f t="shared" ca="1" si="33"/>
        <v>220.01195171580056</v>
      </c>
      <c r="F87" s="51">
        <f t="shared" ca="1" si="20"/>
        <v>1.5066245835694532</v>
      </c>
      <c r="G87" s="51">
        <f t="shared" ca="1" si="34"/>
        <v>221.51857629937001</v>
      </c>
      <c r="H87" s="8" t="str">
        <f t="shared" ca="1" si="25"/>
        <v>No</v>
      </c>
      <c r="I87" s="32">
        <f t="shared" ca="1" si="35"/>
        <v>0</v>
      </c>
      <c r="J87" s="32">
        <f t="shared" ca="1" si="26"/>
        <v>0</v>
      </c>
      <c r="K87" s="31">
        <f t="shared" ca="1" si="27"/>
        <v>0</v>
      </c>
      <c r="L87" s="52">
        <f t="shared" ca="1" si="28"/>
        <v>0</v>
      </c>
      <c r="M87" s="51">
        <f t="shared" ca="1" si="21"/>
        <v>0.92745895834086411</v>
      </c>
      <c r="N87" s="51">
        <f t="shared" ca="1" si="36"/>
        <v>0</v>
      </c>
      <c r="O87" s="28" t="str">
        <f t="shared" ca="1" si="22"/>
        <v>Yes</v>
      </c>
      <c r="P87" s="51">
        <f t="shared" ca="1" si="29"/>
        <v>0</v>
      </c>
      <c r="Q87">
        <f t="shared" ca="1" si="37"/>
        <v>0</v>
      </c>
      <c r="R87">
        <f t="shared" ca="1" si="30"/>
        <v>0</v>
      </c>
      <c r="S87" s="14">
        <f t="shared" ca="1" si="31"/>
        <v>0</v>
      </c>
    </row>
    <row r="88" spans="1:19" x14ac:dyDescent="0.25">
      <c r="A88">
        <v>79</v>
      </c>
      <c r="B88" s="51">
        <f t="shared" ca="1" si="19"/>
        <v>2.9546967582749892</v>
      </c>
      <c r="C88" s="51">
        <f t="shared" ca="1" si="32"/>
        <v>222.96664847407555</v>
      </c>
      <c r="D88" s="11" t="str">
        <f t="shared" ca="1" si="24"/>
        <v>C1</v>
      </c>
      <c r="E88" s="51">
        <f t="shared" ca="1" si="33"/>
        <v>222.96664847407555</v>
      </c>
      <c r="F88" s="51">
        <f t="shared" ca="1" si="20"/>
        <v>4.6461406758179571</v>
      </c>
      <c r="G88" s="51">
        <f t="shared" ca="1" si="34"/>
        <v>227.6127891498935</v>
      </c>
      <c r="H88" s="8" t="str">
        <f t="shared" ca="1" si="25"/>
        <v>No</v>
      </c>
      <c r="I88" s="32">
        <f t="shared" ca="1" si="35"/>
        <v>0</v>
      </c>
      <c r="J88" s="32">
        <f t="shared" ca="1" si="26"/>
        <v>3</v>
      </c>
      <c r="K88" s="31">
        <f t="shared" ca="1" si="27"/>
        <v>1.5</v>
      </c>
      <c r="L88" s="52">
        <f t="shared" ca="1" si="28"/>
        <v>0</v>
      </c>
      <c r="M88" s="51">
        <f t="shared" ca="1" si="21"/>
        <v>11.691851104997665</v>
      </c>
      <c r="N88" s="51">
        <f t="shared" ca="1" si="36"/>
        <v>0</v>
      </c>
      <c r="O88" s="28" t="str">
        <f t="shared" ca="1" si="22"/>
        <v>Yes</v>
      </c>
      <c r="P88" s="51">
        <f t="shared" ca="1" si="29"/>
        <v>3.6292925359448702</v>
      </c>
      <c r="Q88">
        <f t="shared" ca="1" si="37"/>
        <v>0</v>
      </c>
      <c r="R88">
        <f t="shared" ca="1" si="30"/>
        <v>0</v>
      </c>
      <c r="S88" s="14">
        <f t="shared" ca="1" si="31"/>
        <v>0</v>
      </c>
    </row>
    <row r="89" spans="1:19" x14ac:dyDescent="0.25">
      <c r="A89">
        <v>80</v>
      </c>
      <c r="B89" s="51">
        <f t="shared" ca="1" si="19"/>
        <v>1.0168481398730891</v>
      </c>
      <c r="C89" s="51">
        <f t="shared" ca="1" si="32"/>
        <v>223.98349661394863</v>
      </c>
      <c r="D89" s="11" t="str">
        <f t="shared" ca="1" si="24"/>
        <v>C2</v>
      </c>
      <c r="E89" s="51">
        <f t="shared" ca="1" si="33"/>
        <v>0</v>
      </c>
      <c r="F89" s="51">
        <f t="shared" ca="1" si="20"/>
        <v>5.3371082987082001</v>
      </c>
      <c r="G89" s="51">
        <f t="shared" ca="1" si="34"/>
        <v>0</v>
      </c>
      <c r="H89" s="8" t="str">
        <f t="shared" ca="1" si="25"/>
        <v>Yes</v>
      </c>
      <c r="I89" s="32">
        <f t="shared" ca="1" si="35"/>
        <v>4</v>
      </c>
      <c r="J89" s="32">
        <f t="shared" ca="1" si="26"/>
        <v>0</v>
      </c>
      <c r="K89" s="31">
        <f t="shared" ca="1" si="27"/>
        <v>2</v>
      </c>
      <c r="L89" s="52">
        <f t="shared" ca="1" si="28"/>
        <v>223.98349661394863</v>
      </c>
      <c r="M89" s="51">
        <f t="shared" ca="1" si="21"/>
        <v>4.8714605509812197</v>
      </c>
      <c r="N89" s="51">
        <f t="shared" ca="1" si="36"/>
        <v>228.85495716492986</v>
      </c>
      <c r="O89" s="28" t="str">
        <f t="shared" ca="1" si="22"/>
        <v>No</v>
      </c>
      <c r="P89" s="51">
        <f t="shared" ca="1" si="29"/>
        <v>4.2543477797859737</v>
      </c>
      <c r="Q89">
        <f t="shared" ca="1" si="37"/>
        <v>0</v>
      </c>
      <c r="R89">
        <f t="shared" ca="1" si="30"/>
        <v>2</v>
      </c>
      <c r="S89" s="14">
        <f t="shared" ca="1" si="31"/>
        <v>1</v>
      </c>
    </row>
    <row r="90" spans="1:19" x14ac:dyDescent="0.25">
      <c r="A90">
        <v>81</v>
      </c>
      <c r="B90" s="51">
        <f t="shared" ca="1" si="19"/>
        <v>0.6171127711952652</v>
      </c>
      <c r="C90" s="51">
        <f t="shared" ca="1" si="32"/>
        <v>224.60060938514388</v>
      </c>
      <c r="D90" s="11" t="str">
        <f t="shared" ca="1" si="24"/>
        <v>C1</v>
      </c>
      <c r="E90" s="51">
        <f t="shared" ca="1" si="33"/>
        <v>224.60060938514388</v>
      </c>
      <c r="F90" s="51">
        <f t="shared" ca="1" si="20"/>
        <v>1.0023812232199429</v>
      </c>
      <c r="G90" s="51">
        <f t="shared" ca="1" si="34"/>
        <v>225.60299060836383</v>
      </c>
      <c r="H90" s="8" t="str">
        <f t="shared" ca="1" si="25"/>
        <v>No</v>
      </c>
      <c r="I90" s="32">
        <f t="shared" ca="1" si="35"/>
        <v>0</v>
      </c>
      <c r="J90" s="32">
        <f t="shared" ca="1" si="26"/>
        <v>0</v>
      </c>
      <c r="K90" s="31">
        <f t="shared" ca="1" si="27"/>
        <v>0</v>
      </c>
      <c r="L90" s="52">
        <f t="shared" ca="1" si="28"/>
        <v>0</v>
      </c>
      <c r="M90" s="51">
        <f t="shared" ca="1" si="21"/>
        <v>3.5058259501955269</v>
      </c>
      <c r="N90" s="51">
        <f t="shared" ca="1" si="36"/>
        <v>0</v>
      </c>
      <c r="O90" s="28" t="str">
        <f t="shared" ca="1" si="22"/>
        <v>Yes</v>
      </c>
      <c r="P90" s="51">
        <f t="shared" ca="1" si="29"/>
        <v>0</v>
      </c>
      <c r="Q90">
        <f t="shared" ca="1" si="37"/>
        <v>3</v>
      </c>
      <c r="R90">
        <f t="shared" ca="1" si="30"/>
        <v>0</v>
      </c>
      <c r="S90" s="14">
        <f t="shared" ca="1" si="31"/>
        <v>1.5</v>
      </c>
    </row>
    <row r="91" spans="1:19" x14ac:dyDescent="0.25">
      <c r="A91">
        <v>82</v>
      </c>
      <c r="B91" s="51">
        <f t="shared" ca="1" si="19"/>
        <v>1.1059509026647913</v>
      </c>
      <c r="C91" s="51">
        <f t="shared" ca="1" si="32"/>
        <v>225.70656028780868</v>
      </c>
      <c r="D91" s="11" t="str">
        <f t="shared" ca="1" si="24"/>
        <v>C1</v>
      </c>
      <c r="E91" s="51">
        <f t="shared" ca="1" si="33"/>
        <v>225.70656028780868</v>
      </c>
      <c r="F91" s="51">
        <f t="shared" ca="1" si="20"/>
        <v>3.2405787806595909</v>
      </c>
      <c r="G91" s="51">
        <f t="shared" ca="1" si="34"/>
        <v>228.94713906846829</v>
      </c>
      <c r="H91" s="8" t="str">
        <f t="shared" ca="1" si="25"/>
        <v>No</v>
      </c>
      <c r="I91" s="32">
        <f t="shared" ca="1" si="35"/>
        <v>0</v>
      </c>
      <c r="J91" s="32">
        <f t="shared" ca="1" si="26"/>
        <v>0</v>
      </c>
      <c r="K91" s="31">
        <f t="shared" ca="1" si="27"/>
        <v>0</v>
      </c>
      <c r="L91" s="52">
        <f t="shared" ca="1" si="28"/>
        <v>0</v>
      </c>
      <c r="M91" s="51">
        <f t="shared" ca="1" si="21"/>
        <v>5.4797869292918744</v>
      </c>
      <c r="N91" s="51">
        <f t="shared" ca="1" si="36"/>
        <v>0</v>
      </c>
      <c r="O91" s="28" t="str">
        <f t="shared" ca="1" si="22"/>
        <v>Yes</v>
      </c>
      <c r="P91" s="51">
        <f t="shared" ca="1" si="29"/>
        <v>0</v>
      </c>
      <c r="Q91">
        <f t="shared" ca="1" si="37"/>
        <v>0</v>
      </c>
      <c r="R91">
        <f t="shared" ca="1" si="30"/>
        <v>0</v>
      </c>
      <c r="S91" s="14">
        <f t="shared" ca="1" si="31"/>
        <v>0</v>
      </c>
    </row>
    <row r="92" spans="1:19" x14ac:dyDescent="0.25">
      <c r="A92">
        <v>83</v>
      </c>
      <c r="B92" s="51">
        <f t="shared" ca="1" si="19"/>
        <v>5.7051551843423596</v>
      </c>
      <c r="C92" s="51">
        <f t="shared" ca="1" si="32"/>
        <v>231.41171547215106</v>
      </c>
      <c r="D92" s="11" t="str">
        <f t="shared" ca="1" si="24"/>
        <v>C1</v>
      </c>
      <c r="E92" s="51">
        <f t="shared" ca="1" si="33"/>
        <v>231.41171547215106</v>
      </c>
      <c r="F92" s="51">
        <f t="shared" ca="1" si="20"/>
        <v>0.98943772938724028</v>
      </c>
      <c r="G92" s="51">
        <f t="shared" ca="1" si="34"/>
        <v>232.40115320153831</v>
      </c>
      <c r="H92" s="8" t="str">
        <f t="shared" ca="1" si="25"/>
        <v>No</v>
      </c>
      <c r="I92" s="32">
        <f t="shared" ca="1" si="35"/>
        <v>0</v>
      </c>
      <c r="J92" s="32">
        <f t="shared" ca="1" si="26"/>
        <v>0</v>
      </c>
      <c r="K92" s="31">
        <f t="shared" ca="1" si="27"/>
        <v>0</v>
      </c>
      <c r="L92" s="52">
        <f t="shared" ca="1" si="28"/>
        <v>0</v>
      </c>
      <c r="M92" s="51">
        <f t="shared" ca="1" si="21"/>
        <v>6.1939382262658205</v>
      </c>
      <c r="N92" s="51">
        <f t="shared" ca="1" si="36"/>
        <v>0</v>
      </c>
      <c r="O92" s="28" t="str">
        <f t="shared" ca="1" si="22"/>
        <v>Yes</v>
      </c>
      <c r="P92" s="51">
        <f t="shared" ca="1" si="29"/>
        <v>0</v>
      </c>
      <c r="Q92">
        <f t="shared" ca="1" si="37"/>
        <v>0</v>
      </c>
      <c r="R92">
        <f t="shared" ca="1" si="30"/>
        <v>0</v>
      </c>
      <c r="S92" s="14">
        <f t="shared" ca="1" si="31"/>
        <v>0</v>
      </c>
    </row>
    <row r="93" spans="1:19" x14ac:dyDescent="0.25">
      <c r="A93">
        <v>84</v>
      </c>
      <c r="B93" s="51">
        <f t="shared" ca="1" si="19"/>
        <v>2.5783238112402667</v>
      </c>
      <c r="C93" s="51">
        <f t="shared" ca="1" si="32"/>
        <v>233.99003928339133</v>
      </c>
      <c r="D93" s="11" t="str">
        <f t="shared" ca="1" si="24"/>
        <v>C1</v>
      </c>
      <c r="E93" s="51">
        <f t="shared" ca="1" si="33"/>
        <v>233.99003928339133</v>
      </c>
      <c r="F93" s="51">
        <f t="shared" ca="1" si="20"/>
        <v>1.5381359692148626</v>
      </c>
      <c r="G93" s="51">
        <f t="shared" ca="1" si="34"/>
        <v>235.52817525260619</v>
      </c>
      <c r="H93" s="8" t="str">
        <f t="shared" ca="1" si="25"/>
        <v>No</v>
      </c>
      <c r="I93" s="32">
        <f t="shared" ca="1" si="35"/>
        <v>0</v>
      </c>
      <c r="J93" s="32">
        <f t="shared" ca="1" si="26"/>
        <v>2</v>
      </c>
      <c r="K93" s="31">
        <f t="shared" ca="1" si="27"/>
        <v>1</v>
      </c>
      <c r="L93" s="52">
        <f t="shared" ca="1" si="28"/>
        <v>0</v>
      </c>
      <c r="M93" s="51">
        <f t="shared" ca="1" si="21"/>
        <v>0.23457016737054057</v>
      </c>
      <c r="N93" s="51">
        <f t="shared" ca="1" si="36"/>
        <v>0</v>
      </c>
      <c r="O93" s="28" t="str">
        <f t="shared" ca="1" si="22"/>
        <v>Yes</v>
      </c>
      <c r="P93" s="51">
        <f t="shared" ca="1" si="29"/>
        <v>0.82815148916867543</v>
      </c>
      <c r="Q93">
        <f t="shared" ca="1" si="37"/>
        <v>0</v>
      </c>
      <c r="R93">
        <f t="shared" ca="1" si="30"/>
        <v>0</v>
      </c>
      <c r="S93" s="14">
        <f t="shared" ca="1" si="31"/>
        <v>0</v>
      </c>
    </row>
    <row r="94" spans="1:19" x14ac:dyDescent="0.25">
      <c r="A94">
        <v>85</v>
      </c>
      <c r="B94" s="51">
        <f t="shared" ca="1" si="19"/>
        <v>0.70998448004619319</v>
      </c>
      <c r="C94" s="51">
        <f t="shared" ca="1" si="32"/>
        <v>234.70002376343751</v>
      </c>
      <c r="D94" s="11" t="str">
        <f t="shared" ca="1" si="24"/>
        <v>C2</v>
      </c>
      <c r="E94" s="51">
        <f t="shared" ca="1" si="33"/>
        <v>0</v>
      </c>
      <c r="F94" s="51">
        <f t="shared" ca="1" si="20"/>
        <v>1.8619994286354107</v>
      </c>
      <c r="G94" s="51">
        <f t="shared" ca="1" si="34"/>
        <v>0</v>
      </c>
      <c r="H94" s="8" t="str">
        <f t="shared" ca="1" si="25"/>
        <v>Yes</v>
      </c>
      <c r="I94" s="32">
        <f t="shared" ca="1" si="35"/>
        <v>3</v>
      </c>
      <c r="J94" s="32">
        <f t="shared" ca="1" si="26"/>
        <v>0</v>
      </c>
      <c r="K94" s="31">
        <f t="shared" ca="1" si="27"/>
        <v>1.5</v>
      </c>
      <c r="L94" s="52">
        <f t="shared" ca="1" si="28"/>
        <v>234.70002376343751</v>
      </c>
      <c r="M94" s="51">
        <f t="shared" ca="1" si="21"/>
        <v>5.3075301577221943</v>
      </c>
      <c r="N94" s="51">
        <f t="shared" ca="1" si="36"/>
        <v>240.00755392115971</v>
      </c>
      <c r="O94" s="28" t="str">
        <f t="shared" ca="1" si="22"/>
        <v>No</v>
      </c>
      <c r="P94" s="51">
        <f t="shared" ca="1" si="29"/>
        <v>4.8672153825532689</v>
      </c>
      <c r="Q94">
        <f t="shared" ca="1" si="37"/>
        <v>0</v>
      </c>
      <c r="R94">
        <f t="shared" ca="1" si="30"/>
        <v>1</v>
      </c>
      <c r="S94" s="14">
        <f t="shared" ca="1" si="31"/>
        <v>0.5</v>
      </c>
    </row>
    <row r="95" spans="1:19" x14ac:dyDescent="0.25">
      <c r="A95">
        <v>86</v>
      </c>
      <c r="B95" s="51">
        <f t="shared" ca="1" si="19"/>
        <v>0.44031477516891765</v>
      </c>
      <c r="C95" s="51">
        <f t="shared" ca="1" si="32"/>
        <v>235.14033853860644</v>
      </c>
      <c r="D95" s="11" t="str">
        <f t="shared" ca="1" si="24"/>
        <v>C1</v>
      </c>
      <c r="E95" s="51">
        <f t="shared" ca="1" si="33"/>
        <v>235.14033853860644</v>
      </c>
      <c r="F95" s="51">
        <f t="shared" ca="1" si="20"/>
        <v>0.55089026494846771</v>
      </c>
      <c r="G95" s="51">
        <f t="shared" ca="1" si="34"/>
        <v>235.69122880355491</v>
      </c>
      <c r="H95" s="8" t="str">
        <f t="shared" ca="1" si="25"/>
        <v>No</v>
      </c>
      <c r="I95" s="32">
        <f t="shared" ca="1" si="35"/>
        <v>0</v>
      </c>
      <c r="J95" s="32">
        <f t="shared" ca="1" si="26"/>
        <v>0</v>
      </c>
      <c r="K95" s="31">
        <f t="shared" ca="1" si="27"/>
        <v>0</v>
      </c>
      <c r="L95" s="52">
        <f t="shared" ca="1" si="28"/>
        <v>0</v>
      </c>
      <c r="M95" s="51">
        <f t="shared" ca="1" si="21"/>
        <v>1.2384619915808952</v>
      </c>
      <c r="N95" s="51">
        <f t="shared" ca="1" si="36"/>
        <v>0</v>
      </c>
      <c r="O95" s="28" t="str">
        <f t="shared" ca="1" si="22"/>
        <v>Yes</v>
      </c>
      <c r="P95" s="51">
        <f t="shared" ca="1" si="29"/>
        <v>0</v>
      </c>
      <c r="Q95">
        <f t="shared" ca="1" si="37"/>
        <v>2</v>
      </c>
      <c r="R95">
        <f t="shared" ca="1" si="30"/>
        <v>0</v>
      </c>
      <c r="S95" s="14">
        <f t="shared" ca="1" si="31"/>
        <v>1</v>
      </c>
    </row>
    <row r="96" spans="1:19" x14ac:dyDescent="0.25">
      <c r="A96">
        <v>87</v>
      </c>
      <c r="B96" s="51">
        <f t="shared" ca="1" si="19"/>
        <v>5.1096343049230368</v>
      </c>
      <c r="C96" s="51">
        <f t="shared" ca="1" si="32"/>
        <v>240.24997284352949</v>
      </c>
      <c r="D96" s="11" t="str">
        <f t="shared" ca="1" si="24"/>
        <v>C1</v>
      </c>
      <c r="E96" s="51">
        <f t="shared" ca="1" si="33"/>
        <v>240.24997284352949</v>
      </c>
      <c r="F96" s="51">
        <f t="shared" ca="1" si="20"/>
        <v>0.72618759961904233</v>
      </c>
      <c r="G96" s="51">
        <f t="shared" ca="1" si="34"/>
        <v>240.97616044314853</v>
      </c>
      <c r="H96" s="8" t="str">
        <f t="shared" ca="1" si="25"/>
        <v>No</v>
      </c>
      <c r="I96" s="32">
        <f t="shared" ca="1" si="35"/>
        <v>0</v>
      </c>
      <c r="J96" s="32">
        <f t="shared" ca="1" si="26"/>
        <v>0</v>
      </c>
      <c r="K96" s="31">
        <f t="shared" ca="1" si="27"/>
        <v>0</v>
      </c>
      <c r="L96" s="52">
        <f t="shared" ca="1" si="28"/>
        <v>0</v>
      </c>
      <c r="M96" s="51">
        <f t="shared" ca="1" si="21"/>
        <v>2.1766587544566174</v>
      </c>
      <c r="N96" s="51">
        <f t="shared" ca="1" si="36"/>
        <v>0</v>
      </c>
      <c r="O96" s="28" t="str">
        <f t="shared" ca="1" si="22"/>
        <v>Yes</v>
      </c>
      <c r="P96" s="51">
        <f t="shared" ca="1" si="29"/>
        <v>0</v>
      </c>
      <c r="Q96">
        <f t="shared" ca="1" si="37"/>
        <v>0</v>
      </c>
      <c r="R96">
        <f t="shared" ca="1" si="30"/>
        <v>0</v>
      </c>
      <c r="S96" s="14">
        <f t="shared" ca="1" si="31"/>
        <v>0</v>
      </c>
    </row>
    <row r="97" spans="1:19" x14ac:dyDescent="0.25">
      <c r="A97">
        <v>88</v>
      </c>
      <c r="B97" s="51">
        <f t="shared" ca="1" si="19"/>
        <v>0.7976536021695374</v>
      </c>
      <c r="C97" s="51">
        <f t="shared" ca="1" si="32"/>
        <v>241.04762644569902</v>
      </c>
      <c r="D97" s="11" t="str">
        <f t="shared" ca="1" si="24"/>
        <v>C1</v>
      </c>
      <c r="E97" s="51">
        <f t="shared" ca="1" si="33"/>
        <v>241.04762644569902</v>
      </c>
      <c r="F97" s="51">
        <f t="shared" ca="1" si="20"/>
        <v>1.7651062284006271</v>
      </c>
      <c r="G97" s="51">
        <f t="shared" ca="1" si="34"/>
        <v>242.81273267409966</v>
      </c>
      <c r="H97" s="8" t="str">
        <f t="shared" ca="1" si="25"/>
        <v>No</v>
      </c>
      <c r="I97" s="32">
        <f t="shared" ca="1" si="35"/>
        <v>0</v>
      </c>
      <c r="J97" s="32">
        <f t="shared" ca="1" si="26"/>
        <v>0</v>
      </c>
      <c r="K97" s="31">
        <f t="shared" ca="1" si="27"/>
        <v>0</v>
      </c>
      <c r="L97" s="52">
        <f t="shared" ca="1" si="28"/>
        <v>0</v>
      </c>
      <c r="M97" s="51">
        <f t="shared" ca="1" si="21"/>
        <v>0.17235926863498494</v>
      </c>
      <c r="N97" s="51">
        <f t="shared" ca="1" si="36"/>
        <v>0</v>
      </c>
      <c r="O97" s="28" t="str">
        <f t="shared" ca="1" si="22"/>
        <v>Yes</v>
      </c>
      <c r="P97" s="51">
        <f t="shared" ca="1" si="29"/>
        <v>0</v>
      </c>
      <c r="Q97">
        <f t="shared" ca="1" si="37"/>
        <v>0</v>
      </c>
      <c r="R97">
        <f t="shared" ca="1" si="30"/>
        <v>0</v>
      </c>
      <c r="S97" s="14">
        <f t="shared" ca="1" si="31"/>
        <v>0</v>
      </c>
    </row>
    <row r="98" spans="1:19" x14ac:dyDescent="0.25">
      <c r="A98">
        <v>89</v>
      </c>
      <c r="B98" s="51">
        <f t="shared" ca="1" si="19"/>
        <v>2.2383804927175448</v>
      </c>
      <c r="C98" s="51">
        <f t="shared" ca="1" si="32"/>
        <v>243.28600693841656</v>
      </c>
      <c r="D98" s="11" t="str">
        <f t="shared" ca="1" si="24"/>
        <v>C1</v>
      </c>
      <c r="E98" s="51">
        <f t="shared" ca="1" si="33"/>
        <v>243.28600693841656</v>
      </c>
      <c r="F98" s="51">
        <f t="shared" ca="1" si="20"/>
        <v>1.0016941998602673</v>
      </c>
      <c r="G98" s="51">
        <f t="shared" ca="1" si="34"/>
        <v>244.28770113827682</v>
      </c>
      <c r="H98" s="8" t="str">
        <f t="shared" ca="1" si="25"/>
        <v>No</v>
      </c>
      <c r="I98" s="32">
        <f t="shared" ca="1" si="35"/>
        <v>0</v>
      </c>
      <c r="J98" s="32">
        <f t="shared" ca="1" si="26"/>
        <v>0</v>
      </c>
      <c r="K98" s="31">
        <f t="shared" ca="1" si="27"/>
        <v>0</v>
      </c>
      <c r="L98" s="52">
        <f t="shared" ca="1" si="28"/>
        <v>0</v>
      </c>
      <c r="M98" s="51">
        <f t="shared" ca="1" si="21"/>
        <v>1.81992999001569</v>
      </c>
      <c r="N98" s="51">
        <f t="shared" ca="1" si="36"/>
        <v>0</v>
      </c>
      <c r="O98" s="28" t="str">
        <f t="shared" ca="1" si="22"/>
        <v>Yes</v>
      </c>
      <c r="P98" s="51">
        <f t="shared" ca="1" si="29"/>
        <v>0</v>
      </c>
      <c r="Q98">
        <f t="shared" ca="1" si="37"/>
        <v>0</v>
      </c>
      <c r="R98">
        <f t="shared" ca="1" si="30"/>
        <v>0</v>
      </c>
      <c r="S98" s="14">
        <f t="shared" ca="1" si="31"/>
        <v>0</v>
      </c>
    </row>
    <row r="99" spans="1:19" x14ac:dyDescent="0.25">
      <c r="A99">
        <v>90</v>
      </c>
      <c r="B99" s="51">
        <f t="shared" ca="1" si="19"/>
        <v>7.8972435203328022</v>
      </c>
      <c r="C99" s="51">
        <f t="shared" ca="1" si="32"/>
        <v>251.18325045874937</v>
      </c>
      <c r="D99" s="11" t="str">
        <f t="shared" ca="1" si="24"/>
        <v>C1</v>
      </c>
      <c r="E99" s="51">
        <f t="shared" ca="1" si="33"/>
        <v>251.18325045874937</v>
      </c>
      <c r="F99" s="51">
        <f t="shared" ca="1" si="20"/>
        <v>9.5667943519677525</v>
      </c>
      <c r="G99" s="51">
        <f t="shared" ca="1" si="34"/>
        <v>260.7500448107171</v>
      </c>
      <c r="H99" s="8" t="str">
        <f t="shared" ca="1" si="25"/>
        <v>No</v>
      </c>
      <c r="I99" s="32">
        <f t="shared" ca="1" si="35"/>
        <v>0</v>
      </c>
      <c r="J99" s="32">
        <f t="shared" ca="1" si="26"/>
        <v>2</v>
      </c>
      <c r="K99" s="31">
        <f t="shared" ca="1" si="27"/>
        <v>1</v>
      </c>
      <c r="L99" s="52">
        <f t="shared" ca="1" si="28"/>
        <v>0</v>
      </c>
      <c r="M99" s="51">
        <f t="shared" ca="1" si="21"/>
        <v>1.2092823211983148</v>
      </c>
      <c r="N99" s="51">
        <f t="shared" ca="1" si="36"/>
        <v>0</v>
      </c>
      <c r="O99" s="28" t="str">
        <f t="shared" ca="1" si="22"/>
        <v>Yes</v>
      </c>
      <c r="P99" s="51">
        <f t="shared" ca="1" si="29"/>
        <v>1.4782122869928003</v>
      </c>
      <c r="Q99">
        <f t="shared" ca="1" si="37"/>
        <v>0</v>
      </c>
      <c r="R99">
        <f t="shared" ca="1" si="30"/>
        <v>0</v>
      </c>
      <c r="S99" s="14">
        <f t="shared" ca="1" si="31"/>
        <v>0</v>
      </c>
    </row>
    <row r="100" spans="1:19" x14ac:dyDescent="0.25">
      <c r="A100">
        <v>91</v>
      </c>
      <c r="B100" s="51">
        <f t="shared" ca="1" si="19"/>
        <v>8.0885820649749327</v>
      </c>
      <c r="C100" s="51">
        <f t="shared" ca="1" si="32"/>
        <v>259.2718325237243</v>
      </c>
      <c r="D100" s="11" t="str">
        <f t="shared" ca="1" si="24"/>
        <v>C2</v>
      </c>
      <c r="E100" s="51">
        <f t="shared" ca="1" si="33"/>
        <v>0</v>
      </c>
      <c r="F100" s="51">
        <f t="shared" ca="1" si="20"/>
        <v>2.7034724761693067</v>
      </c>
      <c r="G100" s="51">
        <f t="shared" ca="1" si="34"/>
        <v>0</v>
      </c>
      <c r="H100" s="8" t="str">
        <f t="shared" ca="1" si="25"/>
        <v>Yes</v>
      </c>
      <c r="I100" s="32">
        <f t="shared" ca="1" si="35"/>
        <v>3</v>
      </c>
      <c r="J100" s="32">
        <f t="shared" ca="1" si="26"/>
        <v>0</v>
      </c>
      <c r="K100" s="31">
        <f t="shared" ca="1" si="27"/>
        <v>1.5</v>
      </c>
      <c r="L100" s="52">
        <f t="shared" ca="1" si="28"/>
        <v>259.2718325237243</v>
      </c>
      <c r="M100" s="51">
        <f t="shared" ca="1" si="21"/>
        <v>1.5382340646468917</v>
      </c>
      <c r="N100" s="51">
        <f t="shared" ca="1" si="36"/>
        <v>260.81006658837117</v>
      </c>
      <c r="O100" s="28" t="str">
        <f t="shared" ca="1" si="22"/>
        <v>No</v>
      </c>
      <c r="P100" s="51">
        <f t="shared" ca="1" si="29"/>
        <v>1.5334521658203357</v>
      </c>
      <c r="Q100">
        <f t="shared" ca="1" si="37"/>
        <v>0</v>
      </c>
      <c r="R100">
        <f t="shared" ca="1" si="30"/>
        <v>1</v>
      </c>
      <c r="S100" s="14">
        <f t="shared" ca="1" si="31"/>
        <v>0.5</v>
      </c>
    </row>
    <row r="101" spans="1:19" x14ac:dyDescent="0.25">
      <c r="A101">
        <v>92</v>
      </c>
      <c r="B101" s="51">
        <f t="shared" ca="1" si="19"/>
        <v>4.781898826546266E-3</v>
      </c>
      <c r="C101" s="51">
        <f t="shared" ca="1" si="32"/>
        <v>259.27661442255084</v>
      </c>
      <c r="D101" s="11" t="str">
        <f t="shared" ca="1" si="24"/>
        <v>C1</v>
      </c>
      <c r="E101" s="51">
        <f t="shared" ca="1" si="33"/>
        <v>259.27661442255084</v>
      </c>
      <c r="F101" s="51">
        <f t="shared" ca="1" si="20"/>
        <v>2.1336301540782574</v>
      </c>
      <c r="G101" s="51">
        <f t="shared" ca="1" si="34"/>
        <v>261.41024457662911</v>
      </c>
      <c r="H101" s="8" t="str">
        <f t="shared" ca="1" si="25"/>
        <v>No</v>
      </c>
      <c r="I101" s="32">
        <f t="shared" ca="1" si="35"/>
        <v>0</v>
      </c>
      <c r="J101" s="32">
        <f t="shared" ca="1" si="26"/>
        <v>0</v>
      </c>
      <c r="K101" s="31">
        <f t="shared" ca="1" si="27"/>
        <v>0</v>
      </c>
      <c r="L101" s="52">
        <f t="shared" ca="1" si="28"/>
        <v>0</v>
      </c>
      <c r="M101" s="51">
        <f t="shared" ca="1" si="21"/>
        <v>0.55454021641917994</v>
      </c>
      <c r="N101" s="51">
        <f t="shared" ca="1" si="36"/>
        <v>0</v>
      </c>
      <c r="O101" s="28" t="str">
        <f t="shared" ca="1" si="22"/>
        <v>Yes</v>
      </c>
      <c r="P101" s="51">
        <f t="shared" ca="1" si="29"/>
        <v>0</v>
      </c>
      <c r="Q101">
        <f t="shared" ca="1" si="37"/>
        <v>2</v>
      </c>
      <c r="R101">
        <f t="shared" ca="1" si="30"/>
        <v>0</v>
      </c>
      <c r="S101" s="14">
        <f t="shared" ca="1" si="31"/>
        <v>1</v>
      </c>
    </row>
    <row r="102" spans="1:19" x14ac:dyDescent="0.25">
      <c r="A102">
        <v>93</v>
      </c>
      <c r="B102" s="51">
        <f t="shared" ca="1" si="19"/>
        <v>3.866827292610481</v>
      </c>
      <c r="C102" s="51">
        <f t="shared" ca="1" si="32"/>
        <v>263.14344171516132</v>
      </c>
      <c r="D102" s="11" t="str">
        <f t="shared" ca="1" si="24"/>
        <v>C1</v>
      </c>
      <c r="E102" s="51">
        <f t="shared" ca="1" si="33"/>
        <v>263.14344171516132</v>
      </c>
      <c r="F102" s="51">
        <f t="shared" ca="1" si="20"/>
        <v>0.86221095885191834</v>
      </c>
      <c r="G102" s="51">
        <f t="shared" ca="1" si="34"/>
        <v>264.00565267401322</v>
      </c>
      <c r="H102" s="8" t="str">
        <f t="shared" ca="1" si="25"/>
        <v>No</v>
      </c>
      <c r="I102" s="32">
        <f t="shared" ca="1" si="35"/>
        <v>0</v>
      </c>
      <c r="J102" s="32">
        <f t="shared" ca="1" si="26"/>
        <v>1</v>
      </c>
      <c r="K102" s="31">
        <f t="shared" ca="1" si="27"/>
        <v>0.5</v>
      </c>
      <c r="L102" s="52">
        <f t="shared" ca="1" si="28"/>
        <v>0</v>
      </c>
      <c r="M102" s="51">
        <f t="shared" ca="1" si="21"/>
        <v>1.5346659730150547</v>
      </c>
      <c r="N102" s="51">
        <f t="shared" ca="1" si="36"/>
        <v>0</v>
      </c>
      <c r="O102" s="28" t="str">
        <f t="shared" ca="1" si="22"/>
        <v>Yes</v>
      </c>
      <c r="P102" s="51">
        <f t="shared" ca="1" si="29"/>
        <v>0.39359510557363819</v>
      </c>
      <c r="Q102">
        <f t="shared" ca="1" si="37"/>
        <v>0</v>
      </c>
      <c r="R102">
        <f t="shared" ca="1" si="30"/>
        <v>0</v>
      </c>
      <c r="S102" s="14">
        <f t="shared" ca="1" si="31"/>
        <v>0</v>
      </c>
    </row>
    <row r="103" spans="1:19" x14ac:dyDescent="0.25">
      <c r="A103">
        <v>94</v>
      </c>
      <c r="B103" s="51">
        <f t="shared" ca="1" si="19"/>
        <v>0.46861585327826977</v>
      </c>
      <c r="C103" s="51">
        <f t="shared" ca="1" si="32"/>
        <v>263.61205756843958</v>
      </c>
      <c r="D103" s="11" t="str">
        <f t="shared" ca="1" si="24"/>
        <v>C2</v>
      </c>
      <c r="E103" s="51">
        <f t="shared" ca="1" si="33"/>
        <v>0</v>
      </c>
      <c r="F103" s="51">
        <f t="shared" ca="1" si="20"/>
        <v>2.8429006987005994</v>
      </c>
      <c r="G103" s="51">
        <f t="shared" ca="1" si="34"/>
        <v>0</v>
      </c>
      <c r="H103" s="8" t="str">
        <f t="shared" ca="1" si="25"/>
        <v>Yes</v>
      </c>
      <c r="I103" s="32">
        <f t="shared" ca="1" si="35"/>
        <v>2</v>
      </c>
      <c r="J103" s="32">
        <f t="shared" ca="1" si="26"/>
        <v>0</v>
      </c>
      <c r="K103" s="31">
        <f t="shared" ca="1" si="27"/>
        <v>1</v>
      </c>
      <c r="L103" s="52">
        <f t="shared" ca="1" si="28"/>
        <v>263.61205756843958</v>
      </c>
      <c r="M103" s="51">
        <f t="shared" ca="1" si="21"/>
        <v>1.695031941894181</v>
      </c>
      <c r="N103" s="51">
        <f t="shared" ca="1" si="36"/>
        <v>265.30708951033375</v>
      </c>
      <c r="O103" s="28" t="str">
        <f t="shared" ca="1" si="22"/>
        <v>No</v>
      </c>
      <c r="P103" s="51">
        <f t="shared" ca="1" si="29"/>
        <v>0</v>
      </c>
      <c r="Q103">
        <f t="shared" ca="1" si="37"/>
        <v>0</v>
      </c>
      <c r="R103">
        <f t="shared" ca="1" si="30"/>
        <v>0</v>
      </c>
      <c r="S103" s="14">
        <f t="shared" ca="1" si="31"/>
        <v>0</v>
      </c>
    </row>
    <row r="104" spans="1:19" x14ac:dyDescent="0.25">
      <c r="A104">
        <v>95</v>
      </c>
      <c r="B104" s="51">
        <f t="shared" ca="1" si="19"/>
        <v>2.5702758666147143</v>
      </c>
      <c r="C104" s="51">
        <f t="shared" ca="1" si="32"/>
        <v>266.18233343505432</v>
      </c>
      <c r="D104" s="11" t="str">
        <f t="shared" ca="1" si="24"/>
        <v>C1</v>
      </c>
      <c r="E104" s="51">
        <f t="shared" ca="1" si="33"/>
        <v>266.18233343505432</v>
      </c>
      <c r="F104" s="51">
        <f t="shared" ca="1" si="20"/>
        <v>1.5063899708702551</v>
      </c>
      <c r="G104" s="51">
        <f t="shared" ca="1" si="34"/>
        <v>267.68872340592458</v>
      </c>
      <c r="H104" s="8" t="str">
        <f t="shared" ca="1" si="25"/>
        <v>No</v>
      </c>
      <c r="I104" s="32">
        <f t="shared" ca="1" si="35"/>
        <v>0</v>
      </c>
      <c r="J104" s="32">
        <f t="shared" ca="1" si="26"/>
        <v>1</v>
      </c>
      <c r="K104" s="31">
        <f t="shared" ca="1" si="27"/>
        <v>0.5</v>
      </c>
      <c r="L104" s="52">
        <f t="shared" ca="1" si="28"/>
        <v>0</v>
      </c>
      <c r="M104" s="51">
        <f t="shared" ca="1" si="21"/>
        <v>1.025377313906521</v>
      </c>
      <c r="N104" s="51">
        <f t="shared" ca="1" si="36"/>
        <v>0</v>
      </c>
      <c r="O104" s="28" t="str">
        <f t="shared" ca="1" si="22"/>
        <v>Yes</v>
      </c>
      <c r="P104" s="51">
        <f t="shared" ca="1" si="29"/>
        <v>0.65647050638000337</v>
      </c>
      <c r="Q104">
        <f t="shared" ca="1" si="37"/>
        <v>0</v>
      </c>
      <c r="R104">
        <f t="shared" ca="1" si="30"/>
        <v>0</v>
      </c>
      <c r="S104" s="14">
        <f t="shared" ca="1" si="31"/>
        <v>0</v>
      </c>
    </row>
    <row r="105" spans="1:19" x14ac:dyDescent="0.25">
      <c r="A105">
        <v>96</v>
      </c>
      <c r="B105" s="51">
        <f t="shared" ca="1" si="19"/>
        <v>0.8499194644902498</v>
      </c>
      <c r="C105" s="51">
        <f t="shared" ca="1" si="32"/>
        <v>267.03225289954457</v>
      </c>
      <c r="D105" s="11" t="str">
        <f t="shared" ca="1" si="24"/>
        <v>C2</v>
      </c>
      <c r="E105" s="51">
        <f t="shared" ca="1" si="33"/>
        <v>0</v>
      </c>
      <c r="F105" s="51">
        <f t="shared" ca="1" si="20"/>
        <v>0.24166325940286712</v>
      </c>
      <c r="G105" s="51">
        <f t="shared" ca="1" si="34"/>
        <v>0</v>
      </c>
      <c r="H105" s="8" t="str">
        <f t="shared" ca="1" si="25"/>
        <v>Yes</v>
      </c>
      <c r="I105" s="32">
        <f t="shared" ca="1" si="35"/>
        <v>2</v>
      </c>
      <c r="J105" s="32">
        <f t="shared" ca="1" si="26"/>
        <v>0</v>
      </c>
      <c r="K105" s="31">
        <f t="shared" ca="1" si="27"/>
        <v>1</v>
      </c>
      <c r="L105" s="52">
        <f t="shared" ca="1" si="28"/>
        <v>267.03225289954457</v>
      </c>
      <c r="M105" s="51">
        <f t="shared" ca="1" si="21"/>
        <v>2.4541579545078305</v>
      </c>
      <c r="N105" s="51">
        <f t="shared" ca="1" si="36"/>
        <v>269.48641085405239</v>
      </c>
      <c r="O105" s="28" t="str">
        <f t="shared" ca="1" si="22"/>
        <v>No</v>
      </c>
      <c r="P105" s="51">
        <f t="shared" ca="1" si="29"/>
        <v>3.0906241019806657E-2</v>
      </c>
      <c r="Q105">
        <f t="shared" ca="1" si="37"/>
        <v>0</v>
      </c>
      <c r="R105">
        <f t="shared" ca="1" si="30"/>
        <v>1</v>
      </c>
      <c r="S105" s="14">
        <f t="shared" ca="1" si="31"/>
        <v>0.5</v>
      </c>
    </row>
    <row r="106" spans="1:19" x14ac:dyDescent="0.25">
      <c r="A106">
        <v>97</v>
      </c>
      <c r="B106" s="51">
        <f t="shared" ca="1" si="19"/>
        <v>2.4232517134880265</v>
      </c>
      <c r="C106" s="51">
        <f t="shared" ca="1" si="32"/>
        <v>269.45550461303259</v>
      </c>
      <c r="D106" s="11" t="str">
        <f t="shared" ca="1" si="24"/>
        <v>C1</v>
      </c>
      <c r="E106" s="51">
        <f t="shared" ca="1" si="33"/>
        <v>269.45550461303259</v>
      </c>
      <c r="F106" s="51">
        <f t="shared" ca="1" si="20"/>
        <v>3.5786478863985205</v>
      </c>
      <c r="G106" s="51">
        <f t="shared" ca="1" si="34"/>
        <v>273.03415249943112</v>
      </c>
      <c r="H106" s="8" t="str">
        <f t="shared" ca="1" si="25"/>
        <v>No</v>
      </c>
      <c r="I106" s="32">
        <f t="shared" ca="1" si="35"/>
        <v>0</v>
      </c>
      <c r="J106" s="32">
        <f t="shared" ca="1" si="26"/>
        <v>2</v>
      </c>
      <c r="K106" s="31">
        <f t="shared" ca="1" si="27"/>
        <v>1</v>
      </c>
      <c r="L106" s="52">
        <f t="shared" ca="1" si="28"/>
        <v>0</v>
      </c>
      <c r="M106" s="51">
        <f t="shared" ca="1" si="21"/>
        <v>2.541257775391367</v>
      </c>
      <c r="N106" s="51">
        <f t="shared" ca="1" si="36"/>
        <v>0</v>
      </c>
      <c r="O106" s="28" t="str">
        <f t="shared" ca="1" si="22"/>
        <v>Yes</v>
      </c>
      <c r="P106" s="51">
        <f t="shared" ca="1" si="29"/>
        <v>3.4874876254682476</v>
      </c>
      <c r="Q106">
        <f t="shared" ca="1" si="37"/>
        <v>2</v>
      </c>
      <c r="R106">
        <f t="shared" ca="1" si="30"/>
        <v>0</v>
      </c>
      <c r="S106" s="14">
        <f t="shared" ca="1" si="31"/>
        <v>1</v>
      </c>
    </row>
    <row r="107" spans="1:19" x14ac:dyDescent="0.25">
      <c r="A107">
        <v>98</v>
      </c>
      <c r="B107" s="51">
        <f t="shared" ca="1" si="19"/>
        <v>9.1160260930286383E-2</v>
      </c>
      <c r="C107" s="51">
        <f t="shared" ca="1" si="32"/>
        <v>269.54666487396287</v>
      </c>
      <c r="D107" s="11" t="str">
        <f t="shared" ca="1" si="24"/>
        <v>C2</v>
      </c>
      <c r="E107" s="51">
        <f t="shared" ca="1" si="33"/>
        <v>0</v>
      </c>
      <c r="F107" s="51">
        <f t="shared" ca="1" si="20"/>
        <v>0.59651645630881733</v>
      </c>
      <c r="G107" s="51">
        <f t="shared" ca="1" si="34"/>
        <v>0</v>
      </c>
      <c r="H107" s="8" t="str">
        <f t="shared" ca="1" si="25"/>
        <v>Yes</v>
      </c>
      <c r="I107" s="32">
        <f t="shared" ca="1" si="35"/>
        <v>3</v>
      </c>
      <c r="J107" s="32">
        <f t="shared" ca="1" si="26"/>
        <v>0</v>
      </c>
      <c r="K107" s="31">
        <f t="shared" ca="1" si="27"/>
        <v>1.5</v>
      </c>
      <c r="L107" s="52">
        <f t="shared" ca="1" si="28"/>
        <v>269.54666487396287</v>
      </c>
      <c r="M107" s="51">
        <f t="shared" ca="1" si="21"/>
        <v>0.29300825050799839</v>
      </c>
      <c r="N107" s="51">
        <f t="shared" ca="1" si="36"/>
        <v>269.83967312447089</v>
      </c>
      <c r="O107" s="28" t="str">
        <f t="shared" ca="1" si="22"/>
        <v>No</v>
      </c>
      <c r="P107" s="51">
        <f t="shared" ca="1" si="29"/>
        <v>0</v>
      </c>
      <c r="Q107">
        <f t="shared" ca="1" si="37"/>
        <v>0</v>
      </c>
      <c r="R107">
        <f t="shared" ca="1" si="30"/>
        <v>0</v>
      </c>
      <c r="S107" s="14">
        <f t="shared" ca="1" si="31"/>
        <v>0</v>
      </c>
    </row>
    <row r="108" spans="1:19" x14ac:dyDescent="0.25">
      <c r="A108">
        <v>99</v>
      </c>
      <c r="B108" s="51">
        <f t="shared" ca="1" si="19"/>
        <v>1.8347061479113689</v>
      </c>
      <c r="C108" s="51">
        <f t="shared" ca="1" si="32"/>
        <v>271.38137102187426</v>
      </c>
      <c r="D108" s="11" t="str">
        <f t="shared" ca="1" si="24"/>
        <v>C1</v>
      </c>
      <c r="E108" s="51">
        <f t="shared" ca="1" si="33"/>
        <v>271.38137102187426</v>
      </c>
      <c r="F108" s="51">
        <f t="shared" ca="1" si="20"/>
        <v>1.1150550329647597</v>
      </c>
      <c r="G108" s="51">
        <f t="shared" ca="1" si="34"/>
        <v>272.49642605483899</v>
      </c>
      <c r="H108" s="8" t="str">
        <f t="shared" ca="1" si="25"/>
        <v>No</v>
      </c>
      <c r="I108" s="32">
        <f t="shared" ca="1" si="35"/>
        <v>0</v>
      </c>
      <c r="J108" s="32">
        <f t="shared" ca="1" si="26"/>
        <v>0</v>
      </c>
      <c r="K108" s="31">
        <f t="shared" ca="1" si="27"/>
        <v>0</v>
      </c>
      <c r="L108" s="52">
        <f t="shared" ca="1" si="28"/>
        <v>0</v>
      </c>
      <c r="M108" s="51">
        <f t="shared" ca="1" si="21"/>
        <v>1.0779487705342248</v>
      </c>
      <c r="N108" s="51">
        <f t="shared" ca="1" si="36"/>
        <v>0</v>
      </c>
      <c r="O108" s="28" t="str">
        <f t="shared" ca="1" si="22"/>
        <v>Yes</v>
      </c>
      <c r="P108" s="51">
        <f t="shared" ca="1" si="29"/>
        <v>0</v>
      </c>
      <c r="Q108">
        <f t="shared" ca="1" si="37"/>
        <v>0</v>
      </c>
      <c r="R108">
        <f t="shared" ca="1" si="30"/>
        <v>0</v>
      </c>
      <c r="S108" s="14">
        <f t="shared" ca="1" si="31"/>
        <v>0</v>
      </c>
    </row>
    <row r="109" spans="1:19" x14ac:dyDescent="0.25">
      <c r="A109">
        <v>100</v>
      </c>
      <c r="B109" s="51">
        <f t="shared" ca="1" si="19"/>
        <v>2.1881808093176898</v>
      </c>
      <c r="C109" s="51">
        <f t="shared" ca="1" si="32"/>
        <v>273.56955183119197</v>
      </c>
      <c r="D109" s="11" t="str">
        <f t="shared" ca="1" si="24"/>
        <v>C1</v>
      </c>
      <c r="E109" s="51">
        <f t="shared" ca="1" si="33"/>
        <v>273.56955183119197</v>
      </c>
      <c r="F109" s="51">
        <f t="shared" ca="1" si="20"/>
        <v>2.1637755642188581</v>
      </c>
      <c r="G109" s="51">
        <f t="shared" ca="1" si="34"/>
        <v>275.73332739541081</v>
      </c>
      <c r="H109" s="8" t="str">
        <f t="shared" ca="1" si="25"/>
        <v>No</v>
      </c>
      <c r="I109" s="32">
        <f t="shared" ca="1" si="35"/>
        <v>0</v>
      </c>
      <c r="J109" s="32">
        <f t="shared" ca="1" si="26"/>
        <v>0</v>
      </c>
      <c r="K109" s="31">
        <f t="shared" ca="1" si="27"/>
        <v>0</v>
      </c>
      <c r="L109" s="52">
        <f t="shared" ca="1" si="28"/>
        <v>0</v>
      </c>
      <c r="M109" s="51">
        <f t="shared" ca="1" si="21"/>
        <v>3.9031986464116328</v>
      </c>
      <c r="N109" s="51">
        <f t="shared" ca="1" si="36"/>
        <v>0</v>
      </c>
      <c r="O109" s="28" t="str">
        <f t="shared" ca="1" si="22"/>
        <v>Yes</v>
      </c>
      <c r="P109" s="51">
        <f t="shared" ca="1" si="29"/>
        <v>0</v>
      </c>
      <c r="Q109">
        <f t="shared" ca="1" si="37"/>
        <v>0</v>
      </c>
      <c r="R109">
        <f t="shared" ca="1" si="30"/>
        <v>0</v>
      </c>
      <c r="S109" s="14">
        <f t="shared" ca="1" si="31"/>
        <v>0</v>
      </c>
    </row>
    <row r="110" spans="1:19" x14ac:dyDescent="0.25">
      <c r="A110">
        <v>101</v>
      </c>
      <c r="B110" s="51">
        <f t="shared" ca="1" si="19"/>
        <v>8.470482427075634</v>
      </c>
      <c r="C110" s="51">
        <f t="shared" ca="1" si="32"/>
        <v>282.04003425826761</v>
      </c>
      <c r="D110" s="11" t="str">
        <f t="shared" ca="1" si="24"/>
        <v>C1</v>
      </c>
      <c r="E110" s="51">
        <f t="shared" ca="1" si="33"/>
        <v>282.04003425826761</v>
      </c>
      <c r="F110" s="51">
        <f t="shared" ca="1" si="20"/>
        <v>2.27136024406057</v>
      </c>
      <c r="G110" s="51">
        <f t="shared" ca="1" si="34"/>
        <v>284.3113945023282</v>
      </c>
      <c r="H110" s="8" t="str">
        <f t="shared" ca="1" si="25"/>
        <v>No</v>
      </c>
      <c r="I110" s="32">
        <f t="shared" ca="1" si="35"/>
        <v>0</v>
      </c>
      <c r="J110" s="32">
        <f t="shared" ca="1" si="26"/>
        <v>0</v>
      </c>
      <c r="K110" s="31">
        <f t="shared" ca="1" si="27"/>
        <v>0</v>
      </c>
      <c r="L110" s="52">
        <f t="shared" ca="1" si="28"/>
        <v>0</v>
      </c>
      <c r="M110" s="51">
        <f t="shared" ca="1" si="21"/>
        <v>2.0805018569117348</v>
      </c>
      <c r="N110" s="51">
        <f t="shared" ca="1" si="36"/>
        <v>0</v>
      </c>
      <c r="O110" s="28" t="str">
        <f t="shared" ca="1" si="22"/>
        <v>Yes</v>
      </c>
      <c r="P110" s="51">
        <f t="shared" ca="1" si="29"/>
        <v>0</v>
      </c>
      <c r="Q110">
        <f t="shared" ca="1" si="37"/>
        <v>0</v>
      </c>
      <c r="R110">
        <f t="shared" ca="1" si="30"/>
        <v>0</v>
      </c>
      <c r="S110" s="14">
        <f t="shared" ca="1" si="31"/>
        <v>0</v>
      </c>
    </row>
    <row r="111" spans="1:19" x14ac:dyDescent="0.25">
      <c r="A111">
        <v>102</v>
      </c>
      <c r="B111" s="51">
        <f t="shared" ca="1" si="19"/>
        <v>4.3383342411810517</v>
      </c>
      <c r="C111" s="51">
        <f t="shared" ca="1" si="32"/>
        <v>286.37836849944864</v>
      </c>
      <c r="D111" s="11" t="str">
        <f t="shared" ca="1" si="24"/>
        <v>C1</v>
      </c>
      <c r="E111" s="51">
        <f t="shared" ca="1" si="33"/>
        <v>286.37836849944864</v>
      </c>
      <c r="F111" s="51">
        <f t="shared" ca="1" si="20"/>
        <v>5.3720705046190441E-2</v>
      </c>
      <c r="G111" s="51">
        <f t="shared" ca="1" si="34"/>
        <v>286.43208920449484</v>
      </c>
      <c r="H111" s="8" t="str">
        <f t="shared" ca="1" si="25"/>
        <v>No</v>
      </c>
      <c r="I111" s="32">
        <f t="shared" ca="1" si="35"/>
        <v>0</v>
      </c>
      <c r="J111" s="32">
        <f t="shared" ca="1" si="26"/>
        <v>0</v>
      </c>
      <c r="K111" s="31">
        <f t="shared" ca="1" si="27"/>
        <v>0</v>
      </c>
      <c r="L111" s="52">
        <f t="shared" ca="1" si="28"/>
        <v>0</v>
      </c>
      <c r="M111" s="51">
        <f t="shared" ca="1" si="21"/>
        <v>0.58919271011637298</v>
      </c>
      <c r="N111" s="51">
        <f t="shared" ca="1" si="36"/>
        <v>0</v>
      </c>
      <c r="O111" s="28" t="str">
        <f t="shared" ca="1" si="22"/>
        <v>Yes</v>
      </c>
      <c r="P111" s="51">
        <f t="shared" ca="1" si="29"/>
        <v>0</v>
      </c>
      <c r="Q111">
        <f t="shared" ca="1" si="37"/>
        <v>0</v>
      </c>
      <c r="R111">
        <f t="shared" ca="1" si="30"/>
        <v>0</v>
      </c>
      <c r="S111" s="14">
        <f t="shared" ca="1" si="31"/>
        <v>0</v>
      </c>
    </row>
    <row r="112" spans="1:19" x14ac:dyDescent="0.25">
      <c r="A112">
        <v>103</v>
      </c>
      <c r="B112" s="51">
        <f t="shared" ca="1" si="19"/>
        <v>2.7203951583564701</v>
      </c>
      <c r="C112" s="51">
        <f t="shared" ca="1" si="32"/>
        <v>289.09876365780514</v>
      </c>
      <c r="D112" s="11" t="str">
        <f t="shared" ca="1" si="24"/>
        <v>C1</v>
      </c>
      <c r="E112" s="51">
        <f t="shared" ca="1" si="33"/>
        <v>289.09876365780514</v>
      </c>
      <c r="F112" s="51">
        <f t="shared" ca="1" si="20"/>
        <v>0.68761773106613577</v>
      </c>
      <c r="G112" s="51">
        <f t="shared" ca="1" si="34"/>
        <v>289.78638138887129</v>
      </c>
      <c r="H112" s="8" t="str">
        <f t="shared" ca="1" si="25"/>
        <v>No</v>
      </c>
      <c r="I112" s="32">
        <f t="shared" ca="1" si="35"/>
        <v>0</v>
      </c>
      <c r="J112" s="32">
        <f t="shared" ca="1" si="26"/>
        <v>0</v>
      </c>
      <c r="K112" s="31">
        <f t="shared" ca="1" si="27"/>
        <v>0</v>
      </c>
      <c r="L112" s="52">
        <f t="shared" ca="1" si="28"/>
        <v>0</v>
      </c>
      <c r="M112" s="51">
        <f t="shared" ca="1" si="21"/>
        <v>1.0034105111981562</v>
      </c>
      <c r="N112" s="51">
        <f t="shared" ca="1" si="36"/>
        <v>0</v>
      </c>
      <c r="O112" s="28" t="str">
        <f t="shared" ca="1" si="22"/>
        <v>Yes</v>
      </c>
      <c r="P112" s="51">
        <f t="shared" ca="1" si="29"/>
        <v>0</v>
      </c>
      <c r="Q112">
        <f t="shared" ca="1" si="37"/>
        <v>0</v>
      </c>
      <c r="R112">
        <f t="shared" ca="1" si="30"/>
        <v>0</v>
      </c>
      <c r="S112" s="14">
        <f t="shared" ca="1" si="31"/>
        <v>0</v>
      </c>
    </row>
    <row r="113" spans="1:19" x14ac:dyDescent="0.25">
      <c r="A113">
        <v>104</v>
      </c>
      <c r="B113" s="51">
        <f t="shared" ca="1" si="19"/>
        <v>2.9069930231454983</v>
      </c>
      <c r="C113" s="51">
        <f t="shared" ca="1" si="32"/>
        <v>292.00575668095064</v>
      </c>
      <c r="D113" s="11" t="str">
        <f t="shared" ca="1" si="24"/>
        <v>C1</v>
      </c>
      <c r="E113" s="51">
        <f t="shared" ca="1" si="33"/>
        <v>292.00575668095064</v>
      </c>
      <c r="F113" s="51">
        <f t="shared" ca="1" si="20"/>
        <v>3.4927163648687798</v>
      </c>
      <c r="G113" s="51">
        <f t="shared" ca="1" si="34"/>
        <v>295.49847304581942</v>
      </c>
      <c r="H113" s="8" t="str">
        <f t="shared" ca="1" si="25"/>
        <v>No</v>
      </c>
      <c r="I113" s="32">
        <f t="shared" ca="1" si="35"/>
        <v>0</v>
      </c>
      <c r="J113" s="32">
        <f t="shared" ca="1" si="26"/>
        <v>0</v>
      </c>
      <c r="K113" s="31">
        <f t="shared" ca="1" si="27"/>
        <v>0</v>
      </c>
      <c r="L113" s="52">
        <f t="shared" ca="1" si="28"/>
        <v>0</v>
      </c>
      <c r="M113" s="51">
        <f t="shared" ca="1" si="21"/>
        <v>1.3367978981750328</v>
      </c>
      <c r="N113" s="51">
        <f t="shared" ca="1" si="36"/>
        <v>0</v>
      </c>
      <c r="O113" s="28" t="str">
        <f t="shared" ca="1" si="22"/>
        <v>Yes</v>
      </c>
      <c r="P113" s="51">
        <f t="shared" ca="1" si="29"/>
        <v>0</v>
      </c>
      <c r="Q113">
        <f t="shared" ca="1" si="37"/>
        <v>0</v>
      </c>
      <c r="R113">
        <f t="shared" ca="1" si="30"/>
        <v>0</v>
      </c>
      <c r="S113" s="14">
        <f t="shared" ca="1" si="31"/>
        <v>0</v>
      </c>
    </row>
    <row r="114" spans="1:19" x14ac:dyDescent="0.25">
      <c r="A114">
        <v>105</v>
      </c>
      <c r="B114" s="51">
        <f t="shared" ca="1" si="19"/>
        <v>10.248757840369064</v>
      </c>
      <c r="C114" s="51">
        <f t="shared" ca="1" si="32"/>
        <v>302.25451452131972</v>
      </c>
      <c r="D114" s="11" t="str">
        <f t="shared" ca="1" si="24"/>
        <v>C1</v>
      </c>
      <c r="E114" s="51">
        <f t="shared" ca="1" si="33"/>
        <v>302.25451452131972</v>
      </c>
      <c r="F114" s="51">
        <f t="shared" ca="1" si="20"/>
        <v>5.9055712286934288</v>
      </c>
      <c r="G114" s="51">
        <f t="shared" ca="1" si="34"/>
        <v>308.16008575001314</v>
      </c>
      <c r="H114" s="8" t="str">
        <f t="shared" ca="1" si="25"/>
        <v>No</v>
      </c>
      <c r="I114" s="32">
        <f t="shared" ca="1" si="35"/>
        <v>0</v>
      </c>
      <c r="J114" s="32">
        <f t="shared" ca="1" si="26"/>
        <v>3</v>
      </c>
      <c r="K114" s="31">
        <f t="shared" ca="1" si="27"/>
        <v>1.5</v>
      </c>
      <c r="L114" s="52">
        <f t="shared" ca="1" si="28"/>
        <v>0</v>
      </c>
      <c r="M114" s="51">
        <f t="shared" ca="1" si="21"/>
        <v>1.5216081862991544</v>
      </c>
      <c r="N114" s="51">
        <f t="shared" ca="1" si="36"/>
        <v>0</v>
      </c>
      <c r="O114" s="28" t="str">
        <f t="shared" ca="1" si="22"/>
        <v>Yes</v>
      </c>
      <c r="P114" s="51">
        <f t="shared" ca="1" si="29"/>
        <v>3.6272017373576659</v>
      </c>
      <c r="Q114">
        <f t="shared" ca="1" si="37"/>
        <v>0</v>
      </c>
      <c r="R114">
        <f t="shared" ca="1" si="30"/>
        <v>0</v>
      </c>
      <c r="S114" s="14">
        <f t="shared" ca="1" si="31"/>
        <v>0</v>
      </c>
    </row>
    <row r="115" spans="1:19" x14ac:dyDescent="0.25">
      <c r="A115">
        <v>106</v>
      </c>
      <c r="B115" s="51">
        <f t="shared" ca="1" si="19"/>
        <v>2.2783694913357588</v>
      </c>
      <c r="C115" s="51">
        <f t="shared" ca="1" si="32"/>
        <v>304.53288401265547</v>
      </c>
      <c r="D115" s="11" t="str">
        <f t="shared" ca="1" si="24"/>
        <v>C2</v>
      </c>
      <c r="E115" s="51">
        <f t="shared" ca="1" si="33"/>
        <v>0</v>
      </c>
      <c r="F115" s="51">
        <f t="shared" ca="1" si="20"/>
        <v>1.6202252881891432</v>
      </c>
      <c r="G115" s="51">
        <f t="shared" ca="1" si="34"/>
        <v>0</v>
      </c>
      <c r="H115" s="8" t="str">
        <f t="shared" ca="1" si="25"/>
        <v>Yes</v>
      </c>
      <c r="I115" s="32">
        <f t="shared" ca="1" si="35"/>
        <v>4</v>
      </c>
      <c r="J115" s="32">
        <f t="shared" ca="1" si="26"/>
        <v>0</v>
      </c>
      <c r="K115" s="31">
        <f t="shared" ca="1" si="27"/>
        <v>2</v>
      </c>
      <c r="L115" s="52">
        <f t="shared" ca="1" si="28"/>
        <v>304.53288401265547</v>
      </c>
      <c r="M115" s="51">
        <f t="shared" ca="1" si="21"/>
        <v>3.5983900493347596</v>
      </c>
      <c r="N115" s="51">
        <f t="shared" ca="1" si="36"/>
        <v>308.13127406199021</v>
      </c>
      <c r="O115" s="28" t="str">
        <f t="shared" ca="1" si="22"/>
        <v>No</v>
      </c>
      <c r="P115" s="51">
        <f t="shared" ca="1" si="29"/>
        <v>2.5808667437613622</v>
      </c>
      <c r="Q115">
        <f t="shared" ca="1" si="37"/>
        <v>0</v>
      </c>
      <c r="R115">
        <f t="shared" ca="1" si="30"/>
        <v>2</v>
      </c>
      <c r="S115" s="14">
        <f t="shared" ca="1" si="31"/>
        <v>1</v>
      </c>
    </row>
    <row r="116" spans="1:19" x14ac:dyDescent="0.25">
      <c r="A116">
        <v>107</v>
      </c>
      <c r="B116" s="51">
        <f t="shared" ca="1" si="19"/>
        <v>1.0175233055733655</v>
      </c>
      <c r="C116" s="51">
        <f t="shared" ca="1" si="32"/>
        <v>305.55040731822885</v>
      </c>
      <c r="D116" s="11" t="str">
        <f t="shared" ca="1" si="24"/>
        <v>C1</v>
      </c>
      <c r="E116" s="51">
        <f t="shared" ca="1" si="33"/>
        <v>305.55040731822885</v>
      </c>
      <c r="F116" s="51">
        <f t="shared" ca="1" si="20"/>
        <v>9.9267084849225251E-2</v>
      </c>
      <c r="G116" s="51">
        <f t="shared" ca="1" si="34"/>
        <v>305.64967440307805</v>
      </c>
      <c r="H116" s="8" t="str">
        <f t="shared" ca="1" si="25"/>
        <v>No</v>
      </c>
      <c r="I116" s="32">
        <f t="shared" ca="1" si="35"/>
        <v>0</v>
      </c>
      <c r="J116" s="32">
        <f t="shared" ca="1" si="26"/>
        <v>0</v>
      </c>
      <c r="K116" s="31">
        <f t="shared" ca="1" si="27"/>
        <v>0</v>
      </c>
      <c r="L116" s="52">
        <f t="shared" ca="1" si="28"/>
        <v>0</v>
      </c>
      <c r="M116" s="51">
        <f t="shared" ca="1" si="21"/>
        <v>4.4280199293717217</v>
      </c>
      <c r="N116" s="51">
        <f t="shared" ca="1" si="36"/>
        <v>0</v>
      </c>
      <c r="O116" s="28" t="str">
        <f t="shared" ca="1" si="22"/>
        <v>Yes</v>
      </c>
      <c r="P116" s="51">
        <f t="shared" ca="1" si="29"/>
        <v>0</v>
      </c>
      <c r="Q116">
        <f t="shared" ca="1" si="37"/>
        <v>3</v>
      </c>
      <c r="R116">
        <f t="shared" ca="1" si="30"/>
        <v>0</v>
      </c>
      <c r="S116" s="14">
        <f t="shared" ca="1" si="31"/>
        <v>1.5</v>
      </c>
    </row>
    <row r="117" spans="1:19" x14ac:dyDescent="0.25">
      <c r="A117">
        <v>108</v>
      </c>
      <c r="B117" s="51">
        <f t="shared" ca="1" si="19"/>
        <v>2.1153359870271</v>
      </c>
      <c r="C117" s="51">
        <f t="shared" ca="1" si="32"/>
        <v>307.66574330525594</v>
      </c>
      <c r="D117" s="11" t="str">
        <f t="shared" ca="1" si="24"/>
        <v>C1</v>
      </c>
      <c r="E117" s="51">
        <f t="shared" ca="1" si="33"/>
        <v>307.66574330525594</v>
      </c>
      <c r="F117" s="51">
        <f t="shared" ca="1" si="20"/>
        <v>0.47159400057755407</v>
      </c>
      <c r="G117" s="51">
        <f t="shared" ca="1" si="34"/>
        <v>308.13733730583351</v>
      </c>
      <c r="H117" s="8" t="str">
        <f t="shared" ca="1" si="25"/>
        <v>No</v>
      </c>
      <c r="I117" s="32">
        <f t="shared" ca="1" si="35"/>
        <v>0</v>
      </c>
      <c r="J117" s="32">
        <f t="shared" ca="1" si="26"/>
        <v>0</v>
      </c>
      <c r="K117" s="31">
        <f t="shared" ca="1" si="27"/>
        <v>0</v>
      </c>
      <c r="L117" s="52">
        <f t="shared" ca="1" si="28"/>
        <v>0</v>
      </c>
      <c r="M117" s="51">
        <f t="shared" ca="1" si="21"/>
        <v>0.37618899650821092</v>
      </c>
      <c r="N117" s="51">
        <f t="shared" ca="1" si="36"/>
        <v>0</v>
      </c>
      <c r="O117" s="28" t="str">
        <f t="shared" ca="1" si="22"/>
        <v>Yes</v>
      </c>
      <c r="P117" s="51">
        <f t="shared" ca="1" si="29"/>
        <v>0</v>
      </c>
      <c r="Q117">
        <f t="shared" ca="1" si="37"/>
        <v>0</v>
      </c>
      <c r="R117">
        <f t="shared" ca="1" si="30"/>
        <v>0</v>
      </c>
      <c r="S117" s="14">
        <f t="shared" ca="1" si="31"/>
        <v>0</v>
      </c>
    </row>
    <row r="118" spans="1:19" x14ac:dyDescent="0.25">
      <c r="A118">
        <v>109</v>
      </c>
      <c r="B118" s="51">
        <f t="shared" ca="1" si="19"/>
        <v>0.87935306103624045</v>
      </c>
      <c r="C118" s="51">
        <f t="shared" ca="1" si="32"/>
        <v>308.54509636629217</v>
      </c>
      <c r="D118" s="11" t="str">
        <f t="shared" ca="1" si="24"/>
        <v>C1</v>
      </c>
      <c r="E118" s="51">
        <f t="shared" ca="1" si="33"/>
        <v>308.54509636629217</v>
      </c>
      <c r="F118" s="51">
        <f t="shared" ca="1" si="20"/>
        <v>4.85940753039523</v>
      </c>
      <c r="G118" s="51">
        <f t="shared" ca="1" si="34"/>
        <v>313.4045038966874</v>
      </c>
      <c r="H118" s="8" t="str">
        <f t="shared" ca="1" si="25"/>
        <v>No</v>
      </c>
      <c r="I118" s="32">
        <f t="shared" ca="1" si="35"/>
        <v>0</v>
      </c>
      <c r="J118" s="32">
        <f t="shared" ca="1" si="26"/>
        <v>2</v>
      </c>
      <c r="K118" s="31">
        <f t="shared" ca="1" si="27"/>
        <v>1</v>
      </c>
      <c r="L118" s="52">
        <f t="shared" ca="1" si="28"/>
        <v>0</v>
      </c>
      <c r="M118" s="51">
        <f t="shared" ca="1" si="21"/>
        <v>4.744215852222144</v>
      </c>
      <c r="N118" s="51">
        <f t="shared" ca="1" si="36"/>
        <v>0</v>
      </c>
      <c r="O118" s="28" t="str">
        <f t="shared" ca="1" si="22"/>
        <v>Yes</v>
      </c>
      <c r="P118" s="51">
        <f t="shared" ca="1" si="29"/>
        <v>4.08093832130686</v>
      </c>
      <c r="Q118">
        <f t="shared" ca="1" si="37"/>
        <v>0</v>
      </c>
      <c r="R118">
        <f t="shared" ca="1" si="30"/>
        <v>0</v>
      </c>
      <c r="S118" s="14">
        <f t="shared" ca="1" si="31"/>
        <v>0</v>
      </c>
    </row>
    <row r="119" spans="1:19" x14ac:dyDescent="0.25">
      <c r="A119">
        <v>110</v>
      </c>
      <c r="B119" s="51">
        <f t="shared" ca="1" si="19"/>
        <v>0.77846920908835904</v>
      </c>
      <c r="C119" s="51">
        <f t="shared" ca="1" si="32"/>
        <v>309.32356557538054</v>
      </c>
      <c r="D119" s="11" t="str">
        <f t="shared" ca="1" si="24"/>
        <v>C2</v>
      </c>
      <c r="E119" s="51">
        <f t="shared" ca="1" si="33"/>
        <v>0</v>
      </c>
      <c r="F119" s="51">
        <f t="shared" ca="1" si="20"/>
        <v>0.19039190418198312</v>
      </c>
      <c r="G119" s="51">
        <f t="shared" ca="1" si="34"/>
        <v>0</v>
      </c>
      <c r="H119" s="8" t="str">
        <f t="shared" ca="1" si="25"/>
        <v>Yes</v>
      </c>
      <c r="I119" s="32">
        <f t="shared" ca="1" si="35"/>
        <v>3</v>
      </c>
      <c r="J119" s="32">
        <f t="shared" ca="1" si="26"/>
        <v>0</v>
      </c>
      <c r="K119" s="31">
        <f t="shared" ca="1" si="27"/>
        <v>1.5</v>
      </c>
      <c r="L119" s="52">
        <f t="shared" ca="1" si="28"/>
        <v>309.32356557538054</v>
      </c>
      <c r="M119" s="51">
        <f t="shared" ca="1" si="21"/>
        <v>2.2194549055018458</v>
      </c>
      <c r="N119" s="51">
        <f t="shared" ca="1" si="36"/>
        <v>311.54302048088238</v>
      </c>
      <c r="O119" s="28" t="str">
        <f t="shared" ca="1" si="22"/>
        <v>No</v>
      </c>
      <c r="P119" s="51">
        <f t="shared" ca="1" si="29"/>
        <v>0.43870298681792974</v>
      </c>
      <c r="Q119">
        <f t="shared" ca="1" si="37"/>
        <v>0</v>
      </c>
      <c r="R119">
        <f t="shared" ca="1" si="30"/>
        <v>1</v>
      </c>
      <c r="S119" s="14">
        <f t="shared" ca="1" si="31"/>
        <v>0.5</v>
      </c>
    </row>
    <row r="120" spans="1:19" x14ac:dyDescent="0.25">
      <c r="A120">
        <v>111</v>
      </c>
      <c r="B120" s="51">
        <f t="shared" ca="1" si="19"/>
        <v>1.7807519186839023</v>
      </c>
      <c r="C120" s="51">
        <f t="shared" ca="1" si="32"/>
        <v>311.10431749406445</v>
      </c>
      <c r="D120" s="11" t="str">
        <f t="shared" ca="1" si="24"/>
        <v>C1</v>
      </c>
      <c r="E120" s="51">
        <f t="shared" ca="1" si="33"/>
        <v>311.10431749406445</v>
      </c>
      <c r="F120" s="51">
        <f t="shared" ca="1" si="20"/>
        <v>1.4529681576525699</v>
      </c>
      <c r="G120" s="51">
        <f t="shared" ca="1" si="34"/>
        <v>312.557285651717</v>
      </c>
      <c r="H120" s="8" t="str">
        <f t="shared" ca="1" si="25"/>
        <v>No</v>
      </c>
      <c r="I120" s="32">
        <f t="shared" ca="1" si="35"/>
        <v>0</v>
      </c>
      <c r="J120" s="32">
        <f t="shared" ca="1" si="26"/>
        <v>0</v>
      </c>
      <c r="K120" s="31">
        <f t="shared" ca="1" si="27"/>
        <v>0</v>
      </c>
      <c r="L120" s="52">
        <f t="shared" ca="1" si="28"/>
        <v>0</v>
      </c>
      <c r="M120" s="51">
        <f t="shared" ca="1" si="21"/>
        <v>2.9527218454162094</v>
      </c>
      <c r="N120" s="51">
        <f t="shared" ca="1" si="36"/>
        <v>0</v>
      </c>
      <c r="O120" s="28" t="str">
        <f t="shared" ca="1" si="22"/>
        <v>Yes</v>
      </c>
      <c r="P120" s="51">
        <f t="shared" ca="1" si="29"/>
        <v>0</v>
      </c>
      <c r="Q120">
        <f t="shared" ca="1" si="37"/>
        <v>2</v>
      </c>
      <c r="R120">
        <f t="shared" ca="1" si="30"/>
        <v>0</v>
      </c>
      <c r="S120" s="14">
        <f t="shared" ca="1" si="31"/>
        <v>1</v>
      </c>
    </row>
    <row r="121" spans="1:19" x14ac:dyDescent="0.25">
      <c r="A121">
        <v>112</v>
      </c>
      <c r="B121" s="51">
        <f t="shared" ca="1" si="19"/>
        <v>8.4634108126285117</v>
      </c>
      <c r="C121" s="51">
        <f t="shared" ca="1" si="32"/>
        <v>319.56772830669297</v>
      </c>
      <c r="D121" s="11" t="str">
        <f t="shared" ca="1" si="24"/>
        <v>C1</v>
      </c>
      <c r="E121" s="51">
        <f t="shared" ca="1" si="33"/>
        <v>319.56772830669297</v>
      </c>
      <c r="F121" s="51">
        <f t="shared" ca="1" si="20"/>
        <v>8.9884514189134528</v>
      </c>
      <c r="G121" s="51">
        <f t="shared" ca="1" si="34"/>
        <v>328.5561797256064</v>
      </c>
      <c r="H121" s="8" t="str">
        <f t="shared" ca="1" si="25"/>
        <v>No</v>
      </c>
      <c r="I121" s="32">
        <f t="shared" ca="1" si="35"/>
        <v>0</v>
      </c>
      <c r="J121" s="32">
        <f t="shared" ca="1" si="26"/>
        <v>2</v>
      </c>
      <c r="K121" s="31">
        <f t="shared" ca="1" si="27"/>
        <v>1</v>
      </c>
      <c r="L121" s="52">
        <f t="shared" ca="1" si="28"/>
        <v>0</v>
      </c>
      <c r="M121" s="51">
        <f t="shared" ca="1" si="21"/>
        <v>5.9090085804111077</v>
      </c>
      <c r="N121" s="51">
        <f t="shared" ca="1" si="36"/>
        <v>0</v>
      </c>
      <c r="O121" s="28" t="str">
        <f t="shared" ca="1" si="22"/>
        <v>Yes</v>
      </c>
      <c r="P121" s="51">
        <f t="shared" ca="1" si="29"/>
        <v>4.7164761072648389</v>
      </c>
      <c r="Q121">
        <f t="shared" ca="1" si="37"/>
        <v>0</v>
      </c>
      <c r="R121">
        <f t="shared" ca="1" si="30"/>
        <v>0</v>
      </c>
      <c r="S121" s="14">
        <f t="shared" ca="1" si="31"/>
        <v>0</v>
      </c>
    </row>
    <row r="122" spans="1:19" x14ac:dyDescent="0.25">
      <c r="A122">
        <v>113</v>
      </c>
      <c r="B122" s="51">
        <f t="shared" ca="1" si="19"/>
        <v>4.2719753116485828</v>
      </c>
      <c r="C122" s="51">
        <f t="shared" ca="1" si="32"/>
        <v>323.83970361834156</v>
      </c>
      <c r="D122" s="11" t="str">
        <f t="shared" ca="1" si="24"/>
        <v>C2</v>
      </c>
      <c r="E122" s="51">
        <f t="shared" ca="1" si="33"/>
        <v>0</v>
      </c>
      <c r="F122" s="51">
        <f t="shared" ca="1" si="20"/>
        <v>0.16232663206031472</v>
      </c>
      <c r="G122" s="51">
        <f t="shared" ca="1" si="34"/>
        <v>0</v>
      </c>
      <c r="H122" s="8" t="str">
        <f t="shared" ca="1" si="25"/>
        <v>Yes</v>
      </c>
      <c r="I122" s="32">
        <f t="shared" ca="1" si="35"/>
        <v>3</v>
      </c>
      <c r="J122" s="32">
        <f t="shared" ca="1" si="26"/>
        <v>0</v>
      </c>
      <c r="K122" s="31">
        <f t="shared" ca="1" si="27"/>
        <v>1.5</v>
      </c>
      <c r="L122" s="52">
        <f t="shared" ca="1" si="28"/>
        <v>323.83970361834156</v>
      </c>
      <c r="M122" s="51">
        <f t="shared" ca="1" si="21"/>
        <v>0.22049374849962286</v>
      </c>
      <c r="N122" s="51">
        <f t="shared" ca="1" si="36"/>
        <v>324.06019736684118</v>
      </c>
      <c r="O122" s="28" t="str">
        <f t="shared" ca="1" si="22"/>
        <v>No</v>
      </c>
      <c r="P122" s="51">
        <f t="shared" ca="1" si="29"/>
        <v>0</v>
      </c>
      <c r="Q122">
        <f t="shared" ca="1" si="37"/>
        <v>0</v>
      </c>
      <c r="R122">
        <f t="shared" ca="1" si="30"/>
        <v>0</v>
      </c>
      <c r="S122" s="14">
        <f t="shared" ca="1" si="31"/>
        <v>0</v>
      </c>
    </row>
    <row r="123" spans="1:19" x14ac:dyDescent="0.25">
      <c r="A123">
        <v>114</v>
      </c>
      <c r="B123" s="51">
        <f t="shared" ca="1" si="19"/>
        <v>2.5039182329674952</v>
      </c>
      <c r="C123" s="51">
        <f t="shared" ca="1" si="32"/>
        <v>326.34362185130908</v>
      </c>
      <c r="D123" s="11" t="str">
        <f t="shared" ca="1" si="24"/>
        <v>C1</v>
      </c>
      <c r="E123" s="51">
        <f t="shared" ca="1" si="33"/>
        <v>326.34362185130908</v>
      </c>
      <c r="F123" s="51">
        <f t="shared" ca="1" si="20"/>
        <v>1.2755318440794989</v>
      </c>
      <c r="G123" s="51">
        <f t="shared" ca="1" si="34"/>
        <v>327.6191536953886</v>
      </c>
      <c r="H123" s="8" t="str">
        <f t="shared" ca="1" si="25"/>
        <v>No</v>
      </c>
      <c r="I123" s="32">
        <f t="shared" ca="1" si="35"/>
        <v>0</v>
      </c>
      <c r="J123" s="32">
        <f t="shared" ca="1" si="26"/>
        <v>0</v>
      </c>
      <c r="K123" s="31">
        <f t="shared" ca="1" si="27"/>
        <v>0</v>
      </c>
      <c r="L123" s="52">
        <f t="shared" ca="1" si="28"/>
        <v>0</v>
      </c>
      <c r="M123" s="51">
        <f t="shared" ca="1" si="21"/>
        <v>8.8863722914543086E-2</v>
      </c>
      <c r="N123" s="51">
        <f t="shared" ca="1" si="36"/>
        <v>0</v>
      </c>
      <c r="O123" s="28" t="str">
        <f t="shared" ca="1" si="22"/>
        <v>Yes</v>
      </c>
      <c r="P123" s="51">
        <f t="shared" ca="1" si="29"/>
        <v>0</v>
      </c>
      <c r="Q123">
        <f t="shared" ca="1" si="37"/>
        <v>0</v>
      </c>
      <c r="R123">
        <f t="shared" ca="1" si="30"/>
        <v>0</v>
      </c>
      <c r="S123" s="14">
        <f t="shared" ca="1" si="31"/>
        <v>0</v>
      </c>
    </row>
    <row r="124" spans="1:19" x14ac:dyDescent="0.25">
      <c r="A124">
        <v>115</v>
      </c>
      <c r="B124" s="51">
        <f t="shared" ca="1" si="19"/>
        <v>7.3613093995703425</v>
      </c>
      <c r="C124" s="51">
        <f t="shared" ca="1" si="32"/>
        <v>333.70493125087944</v>
      </c>
      <c r="D124" s="11" t="str">
        <f t="shared" ca="1" si="24"/>
        <v>C1</v>
      </c>
      <c r="E124" s="51">
        <f t="shared" ca="1" si="33"/>
        <v>333.70493125087944</v>
      </c>
      <c r="F124" s="51">
        <f t="shared" ca="1" si="20"/>
        <v>0.10397882348660786</v>
      </c>
      <c r="G124" s="51">
        <f t="shared" ca="1" si="34"/>
        <v>333.80891007436605</v>
      </c>
      <c r="H124" s="8" t="str">
        <f t="shared" ca="1" si="25"/>
        <v>No</v>
      </c>
      <c r="I124" s="32">
        <f t="shared" ca="1" si="35"/>
        <v>0</v>
      </c>
      <c r="J124" s="32">
        <f t="shared" ca="1" si="26"/>
        <v>0</v>
      </c>
      <c r="K124" s="31">
        <f t="shared" ca="1" si="27"/>
        <v>0</v>
      </c>
      <c r="L124" s="52">
        <f t="shared" ca="1" si="28"/>
        <v>0</v>
      </c>
      <c r="M124" s="51">
        <f t="shared" ca="1" si="21"/>
        <v>2.5570009939958154E-4</v>
      </c>
      <c r="N124" s="51">
        <f t="shared" ca="1" si="36"/>
        <v>0</v>
      </c>
      <c r="O124" s="28" t="str">
        <f t="shared" ca="1" si="22"/>
        <v>Yes</v>
      </c>
      <c r="P124" s="51">
        <f t="shared" ca="1" si="29"/>
        <v>0</v>
      </c>
      <c r="Q124">
        <f t="shared" ca="1" si="37"/>
        <v>0</v>
      </c>
      <c r="R124">
        <f t="shared" ca="1" si="30"/>
        <v>0</v>
      </c>
      <c r="S124" s="14">
        <f t="shared" ca="1" si="31"/>
        <v>0</v>
      </c>
    </row>
    <row r="125" spans="1:19" x14ac:dyDescent="0.25">
      <c r="A125">
        <v>116</v>
      </c>
      <c r="B125" s="51">
        <f t="shared" ca="1" si="19"/>
        <v>1.3320049731239736</v>
      </c>
      <c r="C125" s="51">
        <f t="shared" ca="1" si="32"/>
        <v>335.0369362240034</v>
      </c>
      <c r="D125" s="11" t="str">
        <f t="shared" ca="1" si="24"/>
        <v>C1</v>
      </c>
      <c r="E125" s="51">
        <f t="shared" ca="1" si="33"/>
        <v>335.0369362240034</v>
      </c>
      <c r="F125" s="51">
        <f t="shared" ca="1" si="20"/>
        <v>2.4640321671645751</v>
      </c>
      <c r="G125" s="51">
        <f t="shared" ca="1" si="34"/>
        <v>337.50096839116799</v>
      </c>
      <c r="H125" s="8" t="str">
        <f t="shared" ca="1" si="25"/>
        <v>No</v>
      </c>
      <c r="I125" s="32">
        <f t="shared" ca="1" si="35"/>
        <v>0</v>
      </c>
      <c r="J125" s="32">
        <f t="shared" ca="1" si="26"/>
        <v>0</v>
      </c>
      <c r="K125" s="31">
        <f t="shared" ca="1" si="27"/>
        <v>0</v>
      </c>
      <c r="L125" s="52">
        <f t="shared" ca="1" si="28"/>
        <v>0</v>
      </c>
      <c r="M125" s="51">
        <f t="shared" ca="1" si="21"/>
        <v>6.3556217159488</v>
      </c>
      <c r="N125" s="51">
        <f t="shared" ca="1" si="36"/>
        <v>0</v>
      </c>
      <c r="O125" s="28" t="str">
        <f t="shared" ca="1" si="22"/>
        <v>Yes</v>
      </c>
      <c r="P125" s="51">
        <f t="shared" ca="1" si="29"/>
        <v>0</v>
      </c>
      <c r="Q125">
        <f t="shared" ca="1" si="37"/>
        <v>0</v>
      </c>
      <c r="R125">
        <f t="shared" ca="1" si="30"/>
        <v>0</v>
      </c>
      <c r="S125" s="14">
        <f t="shared" ca="1" si="31"/>
        <v>0</v>
      </c>
    </row>
    <row r="126" spans="1:19" x14ac:dyDescent="0.25">
      <c r="A126">
        <v>117</v>
      </c>
      <c r="B126" s="51">
        <f t="shared" ca="1" si="19"/>
        <v>7.2621138997843371</v>
      </c>
      <c r="C126" s="51">
        <f t="shared" ca="1" si="32"/>
        <v>342.29905012378771</v>
      </c>
      <c r="D126" s="11" t="str">
        <f t="shared" ca="1" si="24"/>
        <v>C1</v>
      </c>
      <c r="E126" s="51">
        <f t="shared" ca="1" si="33"/>
        <v>342.29905012378771</v>
      </c>
      <c r="F126" s="51">
        <f t="shared" ca="1" si="20"/>
        <v>0.52347141965432842</v>
      </c>
      <c r="G126" s="51">
        <f t="shared" ca="1" si="34"/>
        <v>342.82252154344206</v>
      </c>
      <c r="H126" s="8" t="str">
        <f t="shared" ca="1" si="25"/>
        <v>No</v>
      </c>
      <c r="I126" s="32">
        <f t="shared" ca="1" si="35"/>
        <v>0</v>
      </c>
      <c r="J126" s="32">
        <f t="shared" ca="1" si="26"/>
        <v>0</v>
      </c>
      <c r="K126" s="31">
        <f t="shared" ca="1" si="27"/>
        <v>0</v>
      </c>
      <c r="L126" s="52">
        <f t="shared" ca="1" si="28"/>
        <v>0</v>
      </c>
      <c r="M126" s="51">
        <f t="shared" ca="1" si="21"/>
        <v>0.16856649130626863</v>
      </c>
      <c r="N126" s="51">
        <f t="shared" ca="1" si="36"/>
        <v>0</v>
      </c>
      <c r="O126" s="28" t="str">
        <f t="shared" ca="1" si="22"/>
        <v>Yes</v>
      </c>
      <c r="P126" s="51">
        <f t="shared" ca="1" si="29"/>
        <v>0</v>
      </c>
      <c r="Q126">
        <f t="shared" ca="1" si="37"/>
        <v>0</v>
      </c>
      <c r="R126">
        <f t="shared" ca="1" si="30"/>
        <v>0</v>
      </c>
      <c r="S126" s="14">
        <f t="shared" ca="1" si="31"/>
        <v>0</v>
      </c>
    </row>
    <row r="127" spans="1:19" x14ac:dyDescent="0.25">
      <c r="A127">
        <v>118</v>
      </c>
      <c r="B127" s="51">
        <f t="shared" ca="1" si="19"/>
        <v>4.7827372978941307</v>
      </c>
      <c r="C127" s="51">
        <f t="shared" ca="1" si="32"/>
        <v>347.08178742168184</v>
      </c>
      <c r="D127" s="11" t="str">
        <f t="shared" ca="1" si="24"/>
        <v>C1</v>
      </c>
      <c r="E127" s="51">
        <f t="shared" ca="1" si="33"/>
        <v>347.08178742168184</v>
      </c>
      <c r="F127" s="51">
        <f t="shared" ca="1" si="20"/>
        <v>1.9286806400889238</v>
      </c>
      <c r="G127" s="51">
        <f t="shared" ca="1" si="34"/>
        <v>349.01046806177078</v>
      </c>
      <c r="H127" s="8" t="str">
        <f t="shared" ca="1" si="25"/>
        <v>No</v>
      </c>
      <c r="I127" s="32">
        <f t="shared" ca="1" si="35"/>
        <v>0</v>
      </c>
      <c r="J127" s="32">
        <f t="shared" ca="1" si="26"/>
        <v>1</v>
      </c>
      <c r="K127" s="31">
        <f t="shared" ca="1" si="27"/>
        <v>0.5</v>
      </c>
      <c r="L127" s="52">
        <f t="shared" ca="1" si="28"/>
        <v>0</v>
      </c>
      <c r="M127" s="51">
        <f t="shared" ca="1" si="21"/>
        <v>1.0409842446632391</v>
      </c>
      <c r="N127" s="51">
        <f t="shared" ca="1" si="36"/>
        <v>0</v>
      </c>
      <c r="O127" s="28" t="str">
        <f t="shared" ca="1" si="22"/>
        <v>Yes</v>
      </c>
      <c r="P127" s="51">
        <f t="shared" ca="1" si="29"/>
        <v>5.9416732291481367E-2</v>
      </c>
      <c r="Q127">
        <f t="shared" ca="1" si="37"/>
        <v>0</v>
      </c>
      <c r="R127">
        <f t="shared" ca="1" si="30"/>
        <v>0</v>
      </c>
      <c r="S127" s="14">
        <f t="shared" ca="1" si="31"/>
        <v>0</v>
      </c>
    </row>
    <row r="128" spans="1:19" x14ac:dyDescent="0.25">
      <c r="A128">
        <v>119</v>
      </c>
      <c r="B128" s="51">
        <f t="shared" ca="1" si="19"/>
        <v>1.8692639077974387</v>
      </c>
      <c r="C128" s="51">
        <f t="shared" ca="1" si="32"/>
        <v>348.9510513294793</v>
      </c>
      <c r="D128" s="11" t="str">
        <f t="shared" ca="1" si="24"/>
        <v>C2</v>
      </c>
      <c r="E128" s="51">
        <f t="shared" ca="1" si="33"/>
        <v>0</v>
      </c>
      <c r="F128" s="51">
        <f t="shared" ca="1" si="20"/>
        <v>8.3869586026951932</v>
      </c>
      <c r="G128" s="51">
        <f t="shared" ca="1" si="34"/>
        <v>0</v>
      </c>
      <c r="H128" s="8" t="str">
        <f t="shared" ca="1" si="25"/>
        <v>Yes</v>
      </c>
      <c r="I128" s="32">
        <f t="shared" ca="1" si="35"/>
        <v>2</v>
      </c>
      <c r="J128" s="32">
        <f t="shared" ca="1" si="26"/>
        <v>0</v>
      </c>
      <c r="K128" s="31">
        <f t="shared" ca="1" si="27"/>
        <v>1</v>
      </c>
      <c r="L128" s="52">
        <f t="shared" ca="1" si="28"/>
        <v>348.9510513294793</v>
      </c>
      <c r="M128" s="51">
        <f t="shared" ca="1" si="21"/>
        <v>2.9334391386758449</v>
      </c>
      <c r="N128" s="51">
        <f t="shared" ca="1" si="36"/>
        <v>351.88449046815515</v>
      </c>
      <c r="O128" s="28" t="str">
        <f t="shared" ca="1" si="22"/>
        <v>No</v>
      </c>
      <c r="P128" s="51">
        <f t="shared" ca="1" si="29"/>
        <v>1.1951130991511718</v>
      </c>
      <c r="Q128">
        <f t="shared" ca="1" si="37"/>
        <v>0</v>
      </c>
      <c r="R128">
        <f t="shared" ca="1" si="30"/>
        <v>1</v>
      </c>
      <c r="S128" s="14">
        <f t="shared" ca="1" si="31"/>
        <v>0.5</v>
      </c>
    </row>
    <row r="129" spans="1:19" x14ac:dyDescent="0.25">
      <c r="A129">
        <v>120</v>
      </c>
      <c r="B129" s="51">
        <f t="shared" ca="1" si="19"/>
        <v>1.7383260395246776</v>
      </c>
      <c r="C129" s="51">
        <f t="shared" ca="1" si="32"/>
        <v>350.68937736900398</v>
      </c>
      <c r="D129" s="11" t="str">
        <f t="shared" ca="1" si="24"/>
        <v>C1</v>
      </c>
      <c r="E129" s="51">
        <f t="shared" ca="1" si="33"/>
        <v>350.68937736900398</v>
      </c>
      <c r="F129" s="51">
        <f t="shared" ca="1" si="20"/>
        <v>3.081006721311133</v>
      </c>
      <c r="G129" s="51">
        <f t="shared" ca="1" si="34"/>
        <v>353.77038409031513</v>
      </c>
      <c r="H129" s="8" t="str">
        <f t="shared" ca="1" si="25"/>
        <v>No</v>
      </c>
      <c r="I129" s="32">
        <f t="shared" ca="1" si="35"/>
        <v>0</v>
      </c>
      <c r="J129" s="32">
        <f t="shared" ca="1" si="26"/>
        <v>2</v>
      </c>
      <c r="K129" s="31">
        <f t="shared" ca="1" si="27"/>
        <v>1</v>
      </c>
      <c r="L129" s="52">
        <f t="shared" ca="1" si="28"/>
        <v>0</v>
      </c>
      <c r="M129" s="51">
        <f t="shared" ca="1" si="21"/>
        <v>3.299118766786826</v>
      </c>
      <c r="N129" s="51">
        <f t="shared" ca="1" si="36"/>
        <v>0</v>
      </c>
      <c r="O129" s="28" t="str">
        <f t="shared" ca="1" si="22"/>
        <v>Yes</v>
      </c>
      <c r="P129" s="51">
        <f t="shared" ca="1" si="29"/>
        <v>1.5444647388957264</v>
      </c>
      <c r="Q129">
        <f t="shared" ca="1" si="37"/>
        <v>2</v>
      </c>
      <c r="R129">
        <f t="shared" ca="1" si="30"/>
        <v>0</v>
      </c>
      <c r="S129" s="14">
        <f t="shared" ca="1" si="31"/>
        <v>1</v>
      </c>
    </row>
    <row r="130" spans="1:19" x14ac:dyDescent="0.25">
      <c r="A130">
        <v>121</v>
      </c>
      <c r="B130" s="51">
        <f t="shared" ca="1" si="19"/>
        <v>1.5365419824154121</v>
      </c>
      <c r="C130" s="51">
        <f t="shared" ca="1" si="32"/>
        <v>352.22591935141941</v>
      </c>
      <c r="D130" s="11" t="str">
        <f t="shared" ca="1" si="24"/>
        <v>C2</v>
      </c>
      <c r="E130" s="51">
        <f t="shared" ca="1" si="33"/>
        <v>0</v>
      </c>
      <c r="F130" s="51">
        <f t="shared" ca="1" si="20"/>
        <v>0.77459195427370764</v>
      </c>
      <c r="G130" s="51">
        <f t="shared" ca="1" si="34"/>
        <v>0</v>
      </c>
      <c r="H130" s="8" t="str">
        <f t="shared" ca="1" si="25"/>
        <v>Yes</v>
      </c>
      <c r="I130" s="32">
        <f t="shared" ca="1" si="35"/>
        <v>3</v>
      </c>
      <c r="J130" s="32">
        <f t="shared" ca="1" si="26"/>
        <v>0</v>
      </c>
      <c r="K130" s="31">
        <f t="shared" ca="1" si="27"/>
        <v>1.5</v>
      </c>
      <c r="L130" s="52">
        <f t="shared" ca="1" si="28"/>
        <v>352.22591935141941</v>
      </c>
      <c r="M130" s="51">
        <f t="shared" ca="1" si="21"/>
        <v>0.68171374569302079</v>
      </c>
      <c r="N130" s="51">
        <f t="shared" ca="1" si="36"/>
        <v>352.90763309711241</v>
      </c>
      <c r="O130" s="28" t="str">
        <f t="shared" ca="1" si="22"/>
        <v>No</v>
      </c>
      <c r="P130" s="51">
        <f t="shared" ca="1" si="29"/>
        <v>0</v>
      </c>
      <c r="Q130">
        <f t="shared" ca="1" si="37"/>
        <v>0</v>
      </c>
      <c r="R130">
        <f t="shared" ca="1" si="30"/>
        <v>0</v>
      </c>
      <c r="S130" s="14">
        <f t="shared" ca="1" si="31"/>
        <v>0</v>
      </c>
    </row>
    <row r="131" spans="1:19" x14ac:dyDescent="0.25">
      <c r="A131">
        <v>122</v>
      </c>
      <c r="B131" s="51">
        <f t="shared" ca="1" si="19"/>
        <v>1.1407764790041792</v>
      </c>
      <c r="C131" s="51">
        <f t="shared" ca="1" si="32"/>
        <v>353.36669583042357</v>
      </c>
      <c r="D131" s="11" t="str">
        <f t="shared" ca="1" si="24"/>
        <v>C1</v>
      </c>
      <c r="E131" s="51">
        <f t="shared" ca="1" si="33"/>
        <v>353.36669583042357</v>
      </c>
      <c r="F131" s="51">
        <f t="shared" ca="1" si="20"/>
        <v>0.38149940354113021</v>
      </c>
      <c r="G131" s="51">
        <f t="shared" ca="1" si="34"/>
        <v>353.74819523396468</v>
      </c>
      <c r="H131" s="8" t="str">
        <f t="shared" ca="1" si="25"/>
        <v>No</v>
      </c>
      <c r="I131" s="32">
        <f t="shared" ca="1" si="35"/>
        <v>0</v>
      </c>
      <c r="J131" s="32">
        <f t="shared" ca="1" si="26"/>
        <v>0</v>
      </c>
      <c r="K131" s="31">
        <f t="shared" ca="1" si="27"/>
        <v>0</v>
      </c>
      <c r="L131" s="52">
        <f t="shared" ca="1" si="28"/>
        <v>0</v>
      </c>
      <c r="M131" s="51">
        <f t="shared" ca="1" si="21"/>
        <v>0.57307262165805162</v>
      </c>
      <c r="N131" s="51">
        <f t="shared" ca="1" si="36"/>
        <v>0</v>
      </c>
      <c r="O131" s="28" t="str">
        <f t="shared" ca="1" si="22"/>
        <v>Yes</v>
      </c>
      <c r="P131" s="51">
        <f t="shared" ca="1" si="29"/>
        <v>0</v>
      </c>
      <c r="Q131">
        <f t="shared" ca="1" si="37"/>
        <v>0</v>
      </c>
      <c r="R131">
        <f t="shared" ca="1" si="30"/>
        <v>0</v>
      </c>
      <c r="S131" s="14">
        <f t="shared" ca="1" si="31"/>
        <v>0</v>
      </c>
    </row>
    <row r="132" spans="1:19" x14ac:dyDescent="0.25">
      <c r="A132">
        <v>123</v>
      </c>
      <c r="B132" s="51">
        <f t="shared" ca="1" si="19"/>
        <v>4.6560493886647629</v>
      </c>
      <c r="C132" s="51">
        <f t="shared" ca="1" si="32"/>
        <v>358.02274521908834</v>
      </c>
      <c r="D132" s="11" t="str">
        <f t="shared" ca="1" si="24"/>
        <v>C1</v>
      </c>
      <c r="E132" s="51">
        <f t="shared" ca="1" si="33"/>
        <v>358.02274521908834</v>
      </c>
      <c r="F132" s="51">
        <f t="shared" ca="1" si="20"/>
        <v>3.2706887919558012</v>
      </c>
      <c r="G132" s="51">
        <f t="shared" ca="1" si="34"/>
        <v>361.29343401104416</v>
      </c>
      <c r="H132" s="8" t="str">
        <f t="shared" ca="1" si="25"/>
        <v>No</v>
      </c>
      <c r="I132" s="32">
        <f t="shared" ca="1" si="35"/>
        <v>0</v>
      </c>
      <c r="J132" s="32">
        <f t="shared" ca="1" si="26"/>
        <v>1</v>
      </c>
      <c r="K132" s="31">
        <f t="shared" ca="1" si="27"/>
        <v>0.5</v>
      </c>
      <c r="L132" s="52">
        <f t="shared" ca="1" si="28"/>
        <v>0</v>
      </c>
      <c r="M132" s="51">
        <f t="shared" ca="1" si="21"/>
        <v>3.7929131784780195</v>
      </c>
      <c r="N132" s="51">
        <f t="shared" ca="1" si="36"/>
        <v>0</v>
      </c>
      <c r="O132" s="28" t="str">
        <f t="shared" ca="1" si="22"/>
        <v>Yes</v>
      </c>
      <c r="P132" s="51">
        <f t="shared" ca="1" si="29"/>
        <v>0.9885774350298675</v>
      </c>
      <c r="Q132">
        <f t="shared" ca="1" si="37"/>
        <v>0</v>
      </c>
      <c r="R132">
        <f t="shared" ca="1" si="30"/>
        <v>0</v>
      </c>
      <c r="S132" s="14">
        <f t="shared" ca="1" si="31"/>
        <v>0</v>
      </c>
    </row>
    <row r="133" spans="1:19" x14ac:dyDescent="0.25">
      <c r="A133">
        <v>124</v>
      </c>
      <c r="B133" s="51">
        <f t="shared" ca="1" si="19"/>
        <v>2.2821113569259786</v>
      </c>
      <c r="C133" s="51">
        <f t="shared" ca="1" si="32"/>
        <v>360.30485657601429</v>
      </c>
      <c r="D133" s="11" t="str">
        <f t="shared" ca="1" si="24"/>
        <v>C2</v>
      </c>
      <c r="E133" s="51">
        <f t="shared" ca="1" si="33"/>
        <v>0</v>
      </c>
      <c r="F133" s="51">
        <f t="shared" ca="1" si="20"/>
        <v>1.969877043562493</v>
      </c>
      <c r="G133" s="51">
        <f t="shared" ca="1" si="34"/>
        <v>0</v>
      </c>
      <c r="H133" s="8" t="str">
        <f t="shared" ca="1" si="25"/>
        <v>Yes</v>
      </c>
      <c r="I133" s="32">
        <f t="shared" ca="1" si="35"/>
        <v>2</v>
      </c>
      <c r="J133" s="32">
        <f t="shared" ca="1" si="26"/>
        <v>0</v>
      </c>
      <c r="K133" s="31">
        <f t="shared" ca="1" si="27"/>
        <v>1</v>
      </c>
      <c r="L133" s="52">
        <f t="shared" ca="1" si="28"/>
        <v>360.30485657601429</v>
      </c>
      <c r="M133" s="51">
        <f t="shared" ca="1" si="21"/>
        <v>0.18201574578610993</v>
      </c>
      <c r="N133" s="51">
        <f t="shared" ca="1" si="36"/>
        <v>360.48687232180038</v>
      </c>
      <c r="O133" s="28" t="str">
        <f t="shared" ca="1" si="22"/>
        <v>No</v>
      </c>
      <c r="P133" s="51">
        <f t="shared" ca="1" si="29"/>
        <v>0</v>
      </c>
      <c r="Q133">
        <f t="shared" ca="1" si="37"/>
        <v>0</v>
      </c>
      <c r="R133">
        <f t="shared" ca="1" si="30"/>
        <v>0</v>
      </c>
      <c r="S133" s="14">
        <f t="shared" ca="1" si="31"/>
        <v>0</v>
      </c>
    </row>
    <row r="134" spans="1:19" x14ac:dyDescent="0.25">
      <c r="A134">
        <v>125</v>
      </c>
      <c r="B134" s="51">
        <f t="shared" ca="1" si="19"/>
        <v>1.6350137866302863</v>
      </c>
      <c r="C134" s="51">
        <f t="shared" ca="1" si="32"/>
        <v>361.93987036264457</v>
      </c>
      <c r="D134" s="11" t="str">
        <f t="shared" ca="1" si="24"/>
        <v>C1</v>
      </c>
      <c r="E134" s="51">
        <f t="shared" ca="1" si="33"/>
        <v>361.93987036264457</v>
      </c>
      <c r="F134" s="51">
        <f t="shared" ca="1" si="20"/>
        <v>1.5707327122594086</v>
      </c>
      <c r="G134" s="51">
        <f t="shared" ca="1" si="34"/>
        <v>363.510603074904</v>
      </c>
      <c r="H134" s="8" t="str">
        <f t="shared" ca="1" si="25"/>
        <v>No</v>
      </c>
      <c r="I134" s="32">
        <f t="shared" ca="1" si="35"/>
        <v>0</v>
      </c>
      <c r="J134" s="32">
        <f t="shared" ca="1" si="26"/>
        <v>0</v>
      </c>
      <c r="K134" s="31">
        <f t="shared" ca="1" si="27"/>
        <v>0</v>
      </c>
      <c r="L134" s="52">
        <f t="shared" ca="1" si="28"/>
        <v>0</v>
      </c>
      <c r="M134" s="51">
        <f t="shared" ca="1" si="21"/>
        <v>0.18183281288223821</v>
      </c>
      <c r="N134" s="51">
        <f t="shared" ca="1" si="36"/>
        <v>0</v>
      </c>
      <c r="O134" s="28" t="str">
        <f t="shared" ca="1" si="22"/>
        <v>Yes</v>
      </c>
      <c r="P134" s="51">
        <f t="shared" ca="1" si="29"/>
        <v>0</v>
      </c>
      <c r="Q134">
        <f t="shared" ca="1" si="37"/>
        <v>0</v>
      </c>
      <c r="R134">
        <f t="shared" ca="1" si="30"/>
        <v>0</v>
      </c>
      <c r="S134" s="14">
        <f t="shared" ca="1" si="31"/>
        <v>0</v>
      </c>
    </row>
    <row r="135" spans="1:19" x14ac:dyDescent="0.25">
      <c r="A135">
        <v>126</v>
      </c>
      <c r="B135" s="51">
        <f t="shared" ca="1" si="19"/>
        <v>1.9423377987398405</v>
      </c>
      <c r="C135" s="51">
        <f t="shared" ca="1" si="32"/>
        <v>363.88220816138443</v>
      </c>
      <c r="D135" s="11" t="str">
        <f t="shared" ca="1" si="24"/>
        <v>C1</v>
      </c>
      <c r="E135" s="51">
        <f t="shared" ca="1" si="33"/>
        <v>363.88220816138443</v>
      </c>
      <c r="F135" s="51">
        <f t="shared" ca="1" si="20"/>
        <v>0.20031310400355831</v>
      </c>
      <c r="G135" s="51">
        <f t="shared" ca="1" si="34"/>
        <v>364.08252126538798</v>
      </c>
      <c r="H135" s="8" t="str">
        <f t="shared" ca="1" si="25"/>
        <v>No</v>
      </c>
      <c r="I135" s="32">
        <f t="shared" ca="1" si="35"/>
        <v>0</v>
      </c>
      <c r="J135" s="32">
        <f t="shared" ca="1" si="26"/>
        <v>0</v>
      </c>
      <c r="K135" s="31">
        <f t="shared" ca="1" si="27"/>
        <v>0</v>
      </c>
      <c r="L135" s="52">
        <f t="shared" ca="1" si="28"/>
        <v>0</v>
      </c>
      <c r="M135" s="51">
        <f t="shared" ca="1" si="21"/>
        <v>3.7673576260987196</v>
      </c>
      <c r="N135" s="51">
        <f t="shared" ca="1" si="36"/>
        <v>0</v>
      </c>
      <c r="O135" s="28" t="str">
        <f t="shared" ca="1" si="22"/>
        <v>Yes</v>
      </c>
      <c r="P135" s="51">
        <f t="shared" ca="1" si="29"/>
        <v>0</v>
      </c>
      <c r="Q135">
        <f t="shared" ca="1" si="37"/>
        <v>0</v>
      </c>
      <c r="R135">
        <f t="shared" ca="1" si="30"/>
        <v>0</v>
      </c>
      <c r="S135" s="14">
        <f t="shared" ca="1" si="31"/>
        <v>0</v>
      </c>
    </row>
    <row r="136" spans="1:19" x14ac:dyDescent="0.25">
      <c r="A136">
        <v>127</v>
      </c>
      <c r="B136" s="51">
        <f t="shared" ca="1" si="19"/>
        <v>2.1409719791497452</v>
      </c>
      <c r="C136" s="51">
        <f t="shared" ca="1" si="32"/>
        <v>366.02318014053418</v>
      </c>
      <c r="D136" s="11" t="str">
        <f t="shared" ca="1" si="24"/>
        <v>C1</v>
      </c>
      <c r="E136" s="51">
        <f t="shared" ca="1" si="33"/>
        <v>366.02318014053418</v>
      </c>
      <c r="F136" s="51">
        <f t="shared" ca="1" si="20"/>
        <v>3.5926544265998981</v>
      </c>
      <c r="G136" s="51">
        <f t="shared" ca="1" si="34"/>
        <v>369.61583456713407</v>
      </c>
      <c r="H136" s="8" t="str">
        <f t="shared" ca="1" si="25"/>
        <v>No</v>
      </c>
      <c r="I136" s="32">
        <f t="shared" ca="1" si="35"/>
        <v>0</v>
      </c>
      <c r="J136" s="32">
        <f t="shared" ca="1" si="26"/>
        <v>1</v>
      </c>
      <c r="K136" s="31">
        <f t="shared" ca="1" si="27"/>
        <v>0.5</v>
      </c>
      <c r="L136" s="52">
        <f t="shared" ca="1" si="28"/>
        <v>0</v>
      </c>
      <c r="M136" s="51">
        <f t="shared" ca="1" si="21"/>
        <v>1.5623099936510689</v>
      </c>
      <c r="N136" s="51">
        <f t="shared" ca="1" si="36"/>
        <v>0</v>
      </c>
      <c r="O136" s="28" t="str">
        <f t="shared" ca="1" si="22"/>
        <v>Yes</v>
      </c>
      <c r="P136" s="51">
        <f t="shared" ca="1" si="29"/>
        <v>0.64536136248506182</v>
      </c>
      <c r="Q136">
        <f t="shared" ca="1" si="37"/>
        <v>0</v>
      </c>
      <c r="R136">
        <f t="shared" ca="1" si="30"/>
        <v>0</v>
      </c>
      <c r="S136" s="14">
        <f t="shared" ca="1" si="31"/>
        <v>0</v>
      </c>
    </row>
    <row r="137" spans="1:19" x14ac:dyDescent="0.25">
      <c r="A137">
        <v>128</v>
      </c>
      <c r="B137" s="51">
        <f t="shared" ca="1" si="19"/>
        <v>2.9472930641148505</v>
      </c>
      <c r="C137" s="51">
        <f t="shared" ca="1" si="32"/>
        <v>368.97047320464901</v>
      </c>
      <c r="D137" s="11" t="str">
        <f t="shared" ca="1" si="24"/>
        <v>C2</v>
      </c>
      <c r="E137" s="51">
        <f t="shared" ca="1" si="33"/>
        <v>0</v>
      </c>
      <c r="F137" s="51">
        <f t="shared" ca="1" si="20"/>
        <v>0.69212624731444083</v>
      </c>
      <c r="G137" s="51">
        <f t="shared" ca="1" si="34"/>
        <v>0</v>
      </c>
      <c r="H137" s="8" t="str">
        <f t="shared" ca="1" si="25"/>
        <v>Yes</v>
      </c>
      <c r="I137" s="32">
        <f t="shared" ca="1" si="35"/>
        <v>2</v>
      </c>
      <c r="J137" s="32">
        <f t="shared" ca="1" si="26"/>
        <v>0</v>
      </c>
      <c r="K137" s="31">
        <f t="shared" ca="1" si="27"/>
        <v>1</v>
      </c>
      <c r="L137" s="52">
        <f t="shared" ca="1" si="28"/>
        <v>368.97047320464901</v>
      </c>
      <c r="M137" s="51">
        <f t="shared" ca="1" si="21"/>
        <v>0.55082018822949241</v>
      </c>
      <c r="N137" s="51">
        <f t="shared" ca="1" si="36"/>
        <v>369.52129339287848</v>
      </c>
      <c r="O137" s="28" t="str">
        <f t="shared" ca="1" si="22"/>
        <v>No</v>
      </c>
      <c r="P137" s="51">
        <f t="shared" ca="1" si="29"/>
        <v>0</v>
      </c>
      <c r="Q137">
        <f t="shared" ca="1" si="37"/>
        <v>0</v>
      </c>
      <c r="R137">
        <f t="shared" ca="1" si="30"/>
        <v>0</v>
      </c>
      <c r="S137" s="14">
        <f t="shared" ca="1" si="31"/>
        <v>0</v>
      </c>
    </row>
    <row r="138" spans="1:19" x14ac:dyDescent="0.25">
      <c r="A138">
        <v>129</v>
      </c>
      <c r="B138" s="51">
        <f t="shared" ref="B138:B201" ca="1" si="38">-LN(RAND())/$H$3</f>
        <v>1.2290968477288182</v>
      </c>
      <c r="C138" s="51">
        <f t="shared" ca="1" si="32"/>
        <v>370.19957005237785</v>
      </c>
      <c r="D138" s="11" t="str">
        <f t="shared" ca="1" si="24"/>
        <v>C1</v>
      </c>
      <c r="E138" s="51">
        <f t="shared" ca="1" si="33"/>
        <v>370.19957005237785</v>
      </c>
      <c r="F138" s="51">
        <f t="shared" ref="F138:F201" ca="1" si="39">-LN(RAND())/$H$5</f>
        <v>3.8342841263690897</v>
      </c>
      <c r="G138" s="51">
        <f t="shared" ca="1" si="34"/>
        <v>374.03385417874694</v>
      </c>
      <c r="H138" s="8" t="str">
        <f t="shared" ca="1" si="25"/>
        <v>No</v>
      </c>
      <c r="I138" s="32">
        <f t="shared" ca="1" si="35"/>
        <v>0</v>
      </c>
      <c r="J138" s="32">
        <f t="shared" ca="1" si="26"/>
        <v>5</v>
      </c>
      <c r="K138" s="31">
        <f t="shared" ca="1" si="27"/>
        <v>2.5</v>
      </c>
      <c r="L138" s="52">
        <f t="shared" ca="1" si="28"/>
        <v>0</v>
      </c>
      <c r="M138" s="51">
        <f t="shared" ref="M138:M201" ca="1" si="40">-LN(RAND())/$H$5</f>
        <v>0.20778854233612992</v>
      </c>
      <c r="N138" s="51">
        <f t="shared" ca="1" si="36"/>
        <v>0</v>
      </c>
      <c r="O138" s="28" t="str">
        <f t="shared" ref="O138:O201" ca="1" si="41">IF(D138="C2","No","Yes")</f>
        <v>Yes</v>
      </c>
      <c r="P138" s="51">
        <f t="shared" ca="1" si="29"/>
        <v>3.8142325487054904</v>
      </c>
      <c r="Q138">
        <f t="shared" ca="1" si="37"/>
        <v>0</v>
      </c>
      <c r="R138">
        <f t="shared" ca="1" si="30"/>
        <v>0</v>
      </c>
      <c r="S138" s="14">
        <f t="shared" ca="1" si="31"/>
        <v>0</v>
      </c>
    </row>
    <row r="139" spans="1:19" x14ac:dyDescent="0.25">
      <c r="A139">
        <v>130</v>
      </c>
      <c r="B139" s="51">
        <f t="shared" ca="1" si="38"/>
        <v>2.005157766360683E-2</v>
      </c>
      <c r="C139" s="51">
        <f t="shared" ca="1" si="32"/>
        <v>370.21962163004144</v>
      </c>
      <c r="D139" s="11" t="str">
        <f t="shared" ref="D139:D202" ca="1" si="42">IF(C139&gt;G138,"C1",IF(C139&gt;N138,"C2"))</f>
        <v>C2</v>
      </c>
      <c r="E139" s="51">
        <f t="shared" ca="1" si="33"/>
        <v>0</v>
      </c>
      <c r="F139" s="51">
        <f t="shared" ca="1" si="39"/>
        <v>1.5387643555460666</v>
      </c>
      <c r="G139" s="51">
        <f t="shared" ca="1" si="34"/>
        <v>0</v>
      </c>
      <c r="H139" s="8" t="str">
        <f t="shared" ref="H139:H202" ca="1" si="43">IF(D139="C1","No","Yes")</f>
        <v>Yes</v>
      </c>
      <c r="I139" s="32">
        <f t="shared" ca="1" si="35"/>
        <v>6</v>
      </c>
      <c r="J139" s="32">
        <f t="shared" ref="J139:J202" ca="1" si="44">IF($G139&lt;=$C140,0,IF($G139&lt;=$C141,1,IF($G139&lt;=$C142,2,IF($G139&lt;=$C143,3,IF($G139&lt;=$C144,4,5)))))</f>
        <v>0</v>
      </c>
      <c r="K139" s="31">
        <f t="shared" ref="K139:K202" ca="1" si="45">AVERAGE(I139:J139)</f>
        <v>3</v>
      </c>
      <c r="L139" s="52">
        <f t="shared" ref="L139:L202" ca="1" si="46">IF(D139="C2",C139,0)</f>
        <v>370.21962163004144</v>
      </c>
      <c r="M139" s="51">
        <f t="shared" ca="1" si="40"/>
        <v>1.950295957656544</v>
      </c>
      <c r="N139" s="51">
        <f t="shared" ca="1" si="36"/>
        <v>372.16991758769797</v>
      </c>
      <c r="O139" s="28" t="str">
        <f t="shared" ca="1" si="41"/>
        <v>No</v>
      </c>
      <c r="P139" s="51">
        <f t="shared" ref="P139:P202" ca="1" si="47">IF(D139="C1",IF(G139&lt;C140,0,G139-C140),IF(N139&lt;C140,0,N139-C140))</f>
        <v>1.5352329270067457</v>
      </c>
      <c r="Q139">
        <f t="shared" ca="1" si="37"/>
        <v>0</v>
      </c>
      <c r="R139">
        <f t="shared" ref="R139:R202" ca="1" si="48">IF($N139&lt;=$C140,0,IF($N139&lt;=$C141,1,IF($N139&lt;=$C142,2,IF($N139&lt;=$C143,3,IF($N139&lt;=$C144,4,5)))))</f>
        <v>1</v>
      </c>
      <c r="S139" s="14">
        <f t="shared" ref="S139:S202" ca="1" si="49">AVERAGE(Q139:R139)</f>
        <v>0.5</v>
      </c>
    </row>
    <row r="140" spans="1:19" x14ac:dyDescent="0.25">
      <c r="A140">
        <v>131</v>
      </c>
      <c r="B140" s="51">
        <f t="shared" ca="1" si="38"/>
        <v>0.41506303064979494</v>
      </c>
      <c r="C140" s="51">
        <f t="shared" ref="C140:C203" ca="1" si="50">C139+B140</f>
        <v>370.63468466069122</v>
      </c>
      <c r="D140" s="11" t="str">
        <f t="shared" ca="1" si="42"/>
        <v>C1</v>
      </c>
      <c r="E140" s="51">
        <f t="shared" ref="E140:E203" ca="1" si="51">IF(D140="C1",C140,0)</f>
        <v>370.63468466069122</v>
      </c>
      <c r="F140" s="51">
        <f t="shared" ca="1" si="39"/>
        <v>2.7778210823277214</v>
      </c>
      <c r="G140" s="51">
        <f t="shared" ref="G140:G203" ca="1" si="52">IF(E140=0,0,F140+E140)</f>
        <v>373.41250574301893</v>
      </c>
      <c r="H140" s="8" t="str">
        <f t="shared" ca="1" si="43"/>
        <v>No</v>
      </c>
      <c r="I140" s="32">
        <f t="shared" ref="I140:I203" ca="1" si="53">IF(G139&lt;=$C140,0,$J139+1)</f>
        <v>0</v>
      </c>
      <c r="J140" s="32">
        <f t="shared" ca="1" si="44"/>
        <v>2</v>
      </c>
      <c r="K140" s="31">
        <f t="shared" ca="1" si="45"/>
        <v>1</v>
      </c>
      <c r="L140" s="52">
        <f t="shared" ca="1" si="46"/>
        <v>0</v>
      </c>
      <c r="M140" s="51">
        <f t="shared" ca="1" si="40"/>
        <v>6.9971446033785023</v>
      </c>
      <c r="N140" s="51">
        <f t="shared" ref="N140:N203" ca="1" si="54">IF(L140=0,0,M140+L140)</f>
        <v>0</v>
      </c>
      <c r="O140" s="28" t="str">
        <f t="shared" ca="1" si="41"/>
        <v>Yes</v>
      </c>
      <c r="P140" s="51">
        <f t="shared" ca="1" si="47"/>
        <v>1.1761344451775244</v>
      </c>
      <c r="Q140">
        <f t="shared" ref="Q140:Q203" ca="1" si="55">IF($N139&lt;=$C140,0,$R139+1)</f>
        <v>2</v>
      </c>
      <c r="R140">
        <f t="shared" ca="1" si="48"/>
        <v>0</v>
      </c>
      <c r="S140" s="14">
        <f t="shared" ca="1" si="49"/>
        <v>1</v>
      </c>
    </row>
    <row r="141" spans="1:19" x14ac:dyDescent="0.25">
      <c r="A141">
        <v>132</v>
      </c>
      <c r="B141" s="51">
        <f t="shared" ca="1" si="38"/>
        <v>1.6016866371502041</v>
      </c>
      <c r="C141" s="51">
        <f t="shared" ca="1" si="50"/>
        <v>372.2363712978414</v>
      </c>
      <c r="D141" s="11" t="str">
        <f t="shared" ca="1" si="42"/>
        <v>C2</v>
      </c>
      <c r="E141" s="51">
        <f t="shared" ca="1" si="51"/>
        <v>0</v>
      </c>
      <c r="F141" s="51">
        <f t="shared" ca="1" si="39"/>
        <v>6.1956974418607276</v>
      </c>
      <c r="G141" s="51">
        <f t="shared" ca="1" si="52"/>
        <v>0</v>
      </c>
      <c r="H141" s="8" t="str">
        <f t="shared" ca="1" si="43"/>
        <v>Yes</v>
      </c>
      <c r="I141" s="32">
        <f t="shared" ca="1" si="53"/>
        <v>3</v>
      </c>
      <c r="J141" s="32">
        <f t="shared" ca="1" si="44"/>
        <v>0</v>
      </c>
      <c r="K141" s="31">
        <f t="shared" ca="1" si="45"/>
        <v>1.5</v>
      </c>
      <c r="L141" s="52">
        <f t="shared" ca="1" si="46"/>
        <v>372.2363712978414</v>
      </c>
      <c r="M141" s="51">
        <f t="shared" ca="1" si="40"/>
        <v>4.1964792623678324</v>
      </c>
      <c r="N141" s="51">
        <f t="shared" ca="1" si="54"/>
        <v>376.43285056020926</v>
      </c>
      <c r="O141" s="28" t="str">
        <f t="shared" ca="1" si="41"/>
        <v>No</v>
      </c>
      <c r="P141" s="51">
        <f t="shared" ca="1" si="47"/>
        <v>3.8420026772141114</v>
      </c>
      <c r="Q141">
        <f t="shared" ca="1" si="55"/>
        <v>0</v>
      </c>
      <c r="R141">
        <f t="shared" ca="1" si="48"/>
        <v>2</v>
      </c>
      <c r="S141" s="14">
        <f t="shared" ca="1" si="49"/>
        <v>1</v>
      </c>
    </row>
    <row r="142" spans="1:19" x14ac:dyDescent="0.25">
      <c r="A142">
        <v>133</v>
      </c>
      <c r="B142" s="51">
        <f t="shared" ca="1" si="38"/>
        <v>0.3544765851537402</v>
      </c>
      <c r="C142" s="51">
        <f t="shared" ca="1" si="50"/>
        <v>372.59084788299515</v>
      </c>
      <c r="D142" s="11" t="str">
        <f t="shared" ca="1" si="42"/>
        <v>C1</v>
      </c>
      <c r="E142" s="51">
        <f t="shared" ca="1" si="51"/>
        <v>372.59084788299515</v>
      </c>
      <c r="F142" s="51">
        <f t="shared" ca="1" si="39"/>
        <v>2.4620594095808577</v>
      </c>
      <c r="G142" s="51">
        <f t="shared" ca="1" si="52"/>
        <v>375.05290729257598</v>
      </c>
      <c r="H142" s="8" t="str">
        <f t="shared" ca="1" si="43"/>
        <v>No</v>
      </c>
      <c r="I142" s="32">
        <f t="shared" ca="1" si="53"/>
        <v>0</v>
      </c>
      <c r="J142" s="32">
        <f t="shared" ca="1" si="44"/>
        <v>1</v>
      </c>
      <c r="K142" s="31">
        <f t="shared" ca="1" si="45"/>
        <v>0.5</v>
      </c>
      <c r="L142" s="52">
        <f t="shared" ca="1" si="46"/>
        <v>0</v>
      </c>
      <c r="M142" s="51">
        <f t="shared" ca="1" si="40"/>
        <v>3.9250088913604544</v>
      </c>
      <c r="N142" s="51">
        <f t="shared" ca="1" si="54"/>
        <v>0</v>
      </c>
      <c r="O142" s="28" t="str">
        <f t="shared" ca="1" si="41"/>
        <v>Yes</v>
      </c>
      <c r="P142" s="51">
        <f t="shared" ca="1" si="47"/>
        <v>1.160396628338674</v>
      </c>
      <c r="Q142">
        <f t="shared" ca="1" si="55"/>
        <v>3</v>
      </c>
      <c r="R142">
        <f t="shared" ca="1" si="48"/>
        <v>0</v>
      </c>
      <c r="S142" s="14">
        <f t="shared" ca="1" si="49"/>
        <v>1.5</v>
      </c>
    </row>
    <row r="143" spans="1:19" x14ac:dyDescent="0.25">
      <c r="A143">
        <v>134</v>
      </c>
      <c r="B143" s="51">
        <f t="shared" ca="1" si="38"/>
        <v>1.3016627812421682</v>
      </c>
      <c r="C143" s="51">
        <f t="shared" ca="1" si="50"/>
        <v>373.89251066423731</v>
      </c>
      <c r="D143" s="11" t="str">
        <f t="shared" ca="1" si="42"/>
        <v>C2</v>
      </c>
      <c r="E143" s="51">
        <f t="shared" ca="1" si="51"/>
        <v>0</v>
      </c>
      <c r="F143" s="51">
        <f t="shared" ca="1" si="39"/>
        <v>1.3325389498901892</v>
      </c>
      <c r="G143" s="51">
        <f t="shared" ca="1" si="52"/>
        <v>0</v>
      </c>
      <c r="H143" s="8" t="str">
        <f t="shared" ca="1" si="43"/>
        <v>Yes</v>
      </c>
      <c r="I143" s="32">
        <f t="shared" ca="1" si="53"/>
        <v>2</v>
      </c>
      <c r="J143" s="32">
        <f t="shared" ca="1" si="44"/>
        <v>0</v>
      </c>
      <c r="K143" s="31">
        <f t="shared" ca="1" si="45"/>
        <v>1</v>
      </c>
      <c r="L143" s="52">
        <f t="shared" ca="1" si="46"/>
        <v>373.89251066423731</v>
      </c>
      <c r="M143" s="51">
        <f t="shared" ca="1" si="40"/>
        <v>0.91798531649260118</v>
      </c>
      <c r="N143" s="51">
        <f t="shared" ca="1" si="54"/>
        <v>374.81049598072991</v>
      </c>
      <c r="O143" s="28" t="str">
        <f t="shared" ca="1" si="41"/>
        <v>No</v>
      </c>
      <c r="P143" s="51">
        <f t="shared" ca="1" si="47"/>
        <v>0</v>
      </c>
      <c r="Q143">
        <f t="shared" ca="1" si="55"/>
        <v>0</v>
      </c>
      <c r="R143">
        <f t="shared" ca="1" si="48"/>
        <v>0</v>
      </c>
      <c r="S143" s="14">
        <f t="shared" ca="1" si="49"/>
        <v>0</v>
      </c>
    </row>
    <row r="144" spans="1:19" x14ac:dyDescent="0.25">
      <c r="A144">
        <v>135</v>
      </c>
      <c r="B144" s="51">
        <f t="shared" ca="1" si="38"/>
        <v>7.3348196549444049</v>
      </c>
      <c r="C144" s="51">
        <f t="shared" ca="1" si="50"/>
        <v>381.2273303191817</v>
      </c>
      <c r="D144" s="11" t="str">
        <f t="shared" ca="1" si="42"/>
        <v>C1</v>
      </c>
      <c r="E144" s="51">
        <f t="shared" ca="1" si="51"/>
        <v>381.2273303191817</v>
      </c>
      <c r="F144" s="51">
        <f t="shared" ca="1" si="39"/>
        <v>0.65320907289705465</v>
      </c>
      <c r="G144" s="51">
        <f t="shared" ca="1" si="52"/>
        <v>381.88053939207873</v>
      </c>
      <c r="H144" s="8" t="str">
        <f t="shared" ca="1" si="43"/>
        <v>No</v>
      </c>
      <c r="I144" s="32">
        <f t="shared" ca="1" si="53"/>
        <v>0</v>
      </c>
      <c r="J144" s="32">
        <f t="shared" ca="1" si="44"/>
        <v>0</v>
      </c>
      <c r="K144" s="31">
        <f t="shared" ca="1" si="45"/>
        <v>0</v>
      </c>
      <c r="L144" s="52">
        <f t="shared" ca="1" si="46"/>
        <v>0</v>
      </c>
      <c r="M144" s="51">
        <f t="shared" ca="1" si="40"/>
        <v>1.5646770313588727</v>
      </c>
      <c r="N144" s="51">
        <f t="shared" ca="1" si="54"/>
        <v>0</v>
      </c>
      <c r="O144" s="28" t="str">
        <f t="shared" ca="1" si="41"/>
        <v>Yes</v>
      </c>
      <c r="P144" s="51">
        <f t="shared" ca="1" si="47"/>
        <v>0</v>
      </c>
      <c r="Q144">
        <f t="shared" ca="1" si="55"/>
        <v>0</v>
      </c>
      <c r="R144">
        <f t="shared" ca="1" si="48"/>
        <v>0</v>
      </c>
      <c r="S144" s="14">
        <f t="shared" ca="1" si="49"/>
        <v>0</v>
      </c>
    </row>
    <row r="145" spans="1:19" x14ac:dyDescent="0.25">
      <c r="A145">
        <v>136</v>
      </c>
      <c r="B145" s="51">
        <f t="shared" ca="1" si="38"/>
        <v>4.7089765387276525</v>
      </c>
      <c r="C145" s="51">
        <f t="shared" ca="1" si="50"/>
        <v>385.93630685790936</v>
      </c>
      <c r="D145" s="11" t="str">
        <f t="shared" ca="1" si="42"/>
        <v>C1</v>
      </c>
      <c r="E145" s="51">
        <f t="shared" ca="1" si="51"/>
        <v>385.93630685790936</v>
      </c>
      <c r="F145" s="51">
        <f t="shared" ca="1" si="39"/>
        <v>1.4880982288480495</v>
      </c>
      <c r="G145" s="51">
        <f t="shared" ca="1" si="52"/>
        <v>387.42440508675742</v>
      </c>
      <c r="H145" s="8" t="str">
        <f t="shared" ca="1" si="43"/>
        <v>No</v>
      </c>
      <c r="I145" s="32">
        <f t="shared" ca="1" si="53"/>
        <v>0</v>
      </c>
      <c r="J145" s="32">
        <f t="shared" ca="1" si="44"/>
        <v>1</v>
      </c>
      <c r="K145" s="31">
        <f t="shared" ca="1" si="45"/>
        <v>0.5</v>
      </c>
      <c r="L145" s="52">
        <f t="shared" ca="1" si="46"/>
        <v>0</v>
      </c>
      <c r="M145" s="51">
        <f t="shared" ca="1" si="40"/>
        <v>3.2210004378035082</v>
      </c>
      <c r="N145" s="51">
        <f t="shared" ca="1" si="54"/>
        <v>0</v>
      </c>
      <c r="O145" s="28" t="str">
        <f t="shared" ca="1" si="41"/>
        <v>Yes</v>
      </c>
      <c r="P145" s="51">
        <f t="shared" ca="1" si="47"/>
        <v>1.3915383927376297</v>
      </c>
      <c r="Q145">
        <f t="shared" ca="1" si="55"/>
        <v>0</v>
      </c>
      <c r="R145">
        <f t="shared" ca="1" si="48"/>
        <v>0</v>
      </c>
      <c r="S145" s="14">
        <f t="shared" ca="1" si="49"/>
        <v>0</v>
      </c>
    </row>
    <row r="146" spans="1:19" x14ac:dyDescent="0.25">
      <c r="A146">
        <v>137</v>
      </c>
      <c r="B146" s="51">
        <f t="shared" ca="1" si="38"/>
        <v>9.655983611042325E-2</v>
      </c>
      <c r="C146" s="51">
        <f t="shared" ca="1" si="50"/>
        <v>386.03286669401979</v>
      </c>
      <c r="D146" s="11" t="str">
        <f t="shared" ca="1" si="42"/>
        <v>C2</v>
      </c>
      <c r="E146" s="51">
        <f t="shared" ca="1" si="51"/>
        <v>0</v>
      </c>
      <c r="F146" s="51">
        <f t="shared" ca="1" si="39"/>
        <v>1.0328103073345396</v>
      </c>
      <c r="G146" s="51">
        <f t="shared" ca="1" si="52"/>
        <v>0</v>
      </c>
      <c r="H146" s="8" t="str">
        <f t="shared" ca="1" si="43"/>
        <v>Yes</v>
      </c>
      <c r="I146" s="32">
        <f t="shared" ca="1" si="53"/>
        <v>2</v>
      </c>
      <c r="J146" s="32">
        <f t="shared" ca="1" si="44"/>
        <v>0</v>
      </c>
      <c r="K146" s="31">
        <f t="shared" ca="1" si="45"/>
        <v>1</v>
      </c>
      <c r="L146" s="52">
        <f t="shared" ca="1" si="46"/>
        <v>386.03286669401979</v>
      </c>
      <c r="M146" s="51">
        <f t="shared" ca="1" si="40"/>
        <v>3.5371995904881302</v>
      </c>
      <c r="N146" s="51">
        <f t="shared" ca="1" si="54"/>
        <v>389.5700662845079</v>
      </c>
      <c r="O146" s="28" t="str">
        <f t="shared" ca="1" si="41"/>
        <v>No</v>
      </c>
      <c r="P146" s="51">
        <f t="shared" ca="1" si="47"/>
        <v>0</v>
      </c>
      <c r="Q146">
        <f t="shared" ca="1" si="55"/>
        <v>0</v>
      </c>
      <c r="R146">
        <f t="shared" ca="1" si="48"/>
        <v>0</v>
      </c>
      <c r="S146" s="14">
        <f t="shared" ca="1" si="49"/>
        <v>0</v>
      </c>
    </row>
    <row r="147" spans="1:19" x14ac:dyDescent="0.25">
      <c r="A147">
        <v>138</v>
      </c>
      <c r="B147" s="51">
        <f t="shared" ca="1" si="38"/>
        <v>4.8961347478194082</v>
      </c>
      <c r="C147" s="51">
        <f t="shared" ca="1" si="50"/>
        <v>390.9290014418392</v>
      </c>
      <c r="D147" s="11" t="str">
        <f t="shared" ca="1" si="42"/>
        <v>C1</v>
      </c>
      <c r="E147" s="51">
        <f t="shared" ca="1" si="51"/>
        <v>390.9290014418392</v>
      </c>
      <c r="F147" s="51">
        <f t="shared" ca="1" si="39"/>
        <v>0.58413068889187569</v>
      </c>
      <c r="G147" s="51">
        <f t="shared" ca="1" si="52"/>
        <v>391.51313213073109</v>
      </c>
      <c r="H147" s="8" t="str">
        <f t="shared" ca="1" si="43"/>
        <v>No</v>
      </c>
      <c r="I147" s="32">
        <f t="shared" ca="1" si="53"/>
        <v>0</v>
      </c>
      <c r="J147" s="32">
        <f t="shared" ca="1" si="44"/>
        <v>2</v>
      </c>
      <c r="K147" s="31">
        <f t="shared" ca="1" si="45"/>
        <v>1</v>
      </c>
      <c r="L147" s="52">
        <f t="shared" ca="1" si="46"/>
        <v>0</v>
      </c>
      <c r="M147" s="51">
        <f t="shared" ca="1" si="40"/>
        <v>0.70596333592798832</v>
      </c>
      <c r="N147" s="51">
        <f t="shared" ca="1" si="54"/>
        <v>0</v>
      </c>
      <c r="O147" s="28" t="str">
        <f t="shared" ca="1" si="41"/>
        <v>Yes</v>
      </c>
      <c r="P147" s="51">
        <f t="shared" ca="1" si="47"/>
        <v>0.42755647600478142</v>
      </c>
      <c r="Q147">
        <f t="shared" ca="1" si="55"/>
        <v>0</v>
      </c>
      <c r="R147">
        <f t="shared" ca="1" si="48"/>
        <v>0</v>
      </c>
      <c r="S147" s="14">
        <f t="shared" ca="1" si="49"/>
        <v>0</v>
      </c>
    </row>
    <row r="148" spans="1:19" x14ac:dyDescent="0.25">
      <c r="A148">
        <v>139</v>
      </c>
      <c r="B148" s="51">
        <f t="shared" ca="1" si="38"/>
        <v>0.15657421288711162</v>
      </c>
      <c r="C148" s="51">
        <f t="shared" ca="1" si="50"/>
        <v>391.08557565472631</v>
      </c>
      <c r="D148" s="11" t="str">
        <f t="shared" ca="1" si="42"/>
        <v>C2</v>
      </c>
      <c r="E148" s="51">
        <f t="shared" ca="1" si="51"/>
        <v>0</v>
      </c>
      <c r="F148" s="51">
        <f t="shared" ca="1" si="39"/>
        <v>0.44502807258434679</v>
      </c>
      <c r="G148" s="51">
        <f t="shared" ca="1" si="52"/>
        <v>0</v>
      </c>
      <c r="H148" s="8" t="str">
        <f t="shared" ca="1" si="43"/>
        <v>Yes</v>
      </c>
      <c r="I148" s="32">
        <f t="shared" ca="1" si="53"/>
        <v>3</v>
      </c>
      <c r="J148" s="32">
        <f t="shared" ca="1" si="44"/>
        <v>0</v>
      </c>
      <c r="K148" s="31">
        <f t="shared" ca="1" si="45"/>
        <v>1.5</v>
      </c>
      <c r="L148" s="52">
        <f t="shared" ca="1" si="46"/>
        <v>391.08557565472631</v>
      </c>
      <c r="M148" s="51">
        <f t="shared" ca="1" si="40"/>
        <v>1.3669396710903607</v>
      </c>
      <c r="N148" s="51">
        <f t="shared" ca="1" si="54"/>
        <v>392.45251532581665</v>
      </c>
      <c r="O148" s="28" t="str">
        <f t="shared" ca="1" si="41"/>
        <v>No</v>
      </c>
      <c r="P148" s="51">
        <f t="shared" ca="1" si="47"/>
        <v>1.0570188578357715</v>
      </c>
      <c r="Q148">
        <f t="shared" ca="1" si="55"/>
        <v>0</v>
      </c>
      <c r="R148">
        <f t="shared" ca="1" si="48"/>
        <v>1</v>
      </c>
      <c r="S148" s="14">
        <f t="shared" ca="1" si="49"/>
        <v>0.5</v>
      </c>
    </row>
    <row r="149" spans="1:19" x14ac:dyDescent="0.25">
      <c r="A149">
        <v>140</v>
      </c>
      <c r="B149" s="51">
        <f t="shared" ca="1" si="38"/>
        <v>0.30992081325458043</v>
      </c>
      <c r="C149" s="51">
        <f t="shared" ca="1" si="50"/>
        <v>391.39549646798088</v>
      </c>
      <c r="D149" s="11" t="str">
        <f t="shared" ca="1" si="42"/>
        <v>C1</v>
      </c>
      <c r="E149" s="51">
        <f t="shared" ca="1" si="51"/>
        <v>391.39549646798088</v>
      </c>
      <c r="F149" s="51">
        <f t="shared" ca="1" si="39"/>
        <v>5.8154582436873481</v>
      </c>
      <c r="G149" s="51">
        <f t="shared" ca="1" si="52"/>
        <v>397.21095471166825</v>
      </c>
      <c r="H149" s="8" t="str">
        <f t="shared" ca="1" si="43"/>
        <v>No</v>
      </c>
      <c r="I149" s="32">
        <f t="shared" ca="1" si="53"/>
        <v>0</v>
      </c>
      <c r="J149" s="32">
        <f t="shared" ca="1" si="44"/>
        <v>1</v>
      </c>
      <c r="K149" s="31">
        <f t="shared" ca="1" si="45"/>
        <v>0.5</v>
      </c>
      <c r="L149" s="52">
        <f t="shared" ca="1" si="46"/>
        <v>0</v>
      </c>
      <c r="M149" s="51">
        <f t="shared" ca="1" si="40"/>
        <v>4.8940545135528568</v>
      </c>
      <c r="N149" s="51">
        <f t="shared" ca="1" si="54"/>
        <v>0</v>
      </c>
      <c r="O149" s="28" t="str">
        <f t="shared" ca="1" si="41"/>
        <v>Yes</v>
      </c>
      <c r="P149" s="51">
        <f t="shared" ca="1" si="47"/>
        <v>0.48143571816268604</v>
      </c>
      <c r="Q149">
        <f t="shared" ca="1" si="55"/>
        <v>2</v>
      </c>
      <c r="R149">
        <f t="shared" ca="1" si="48"/>
        <v>0</v>
      </c>
      <c r="S149" s="14">
        <f t="shared" ca="1" si="49"/>
        <v>1</v>
      </c>
    </row>
    <row r="150" spans="1:19" x14ac:dyDescent="0.25">
      <c r="A150">
        <v>141</v>
      </c>
      <c r="B150" s="51">
        <f t="shared" ca="1" si="38"/>
        <v>5.3340225255246683</v>
      </c>
      <c r="C150" s="51">
        <f t="shared" ca="1" si="50"/>
        <v>396.72951899350556</v>
      </c>
      <c r="D150" s="11" t="str">
        <f t="shared" ca="1" si="42"/>
        <v>C2</v>
      </c>
      <c r="E150" s="51">
        <f t="shared" ca="1" si="51"/>
        <v>0</v>
      </c>
      <c r="F150" s="51">
        <f t="shared" ca="1" si="39"/>
        <v>3.8092093430633103</v>
      </c>
      <c r="G150" s="51">
        <f t="shared" ca="1" si="52"/>
        <v>0</v>
      </c>
      <c r="H150" s="8" t="str">
        <f t="shared" ca="1" si="43"/>
        <v>Yes</v>
      </c>
      <c r="I150" s="32">
        <f t="shared" ca="1" si="53"/>
        <v>2</v>
      </c>
      <c r="J150" s="32">
        <f t="shared" ca="1" si="44"/>
        <v>0</v>
      </c>
      <c r="K150" s="31">
        <f t="shared" ca="1" si="45"/>
        <v>1</v>
      </c>
      <c r="L150" s="52">
        <f t="shared" ca="1" si="46"/>
        <v>396.72951899350556</v>
      </c>
      <c r="M150" s="51">
        <f t="shared" ca="1" si="40"/>
        <v>2.2230745542797061</v>
      </c>
      <c r="N150" s="51">
        <f t="shared" ca="1" si="54"/>
        <v>398.95259354778528</v>
      </c>
      <c r="O150" s="28" t="str">
        <f t="shared" ca="1" si="41"/>
        <v>No</v>
      </c>
      <c r="P150" s="51">
        <f t="shared" ca="1" si="47"/>
        <v>0</v>
      </c>
      <c r="Q150">
        <f t="shared" ca="1" si="55"/>
        <v>0</v>
      </c>
      <c r="R150">
        <f t="shared" ca="1" si="48"/>
        <v>0</v>
      </c>
      <c r="S150" s="14">
        <f t="shared" ca="1" si="49"/>
        <v>0</v>
      </c>
    </row>
    <row r="151" spans="1:19" x14ac:dyDescent="0.25">
      <c r="A151">
        <v>142</v>
      </c>
      <c r="B151" s="51">
        <f t="shared" ca="1" si="38"/>
        <v>2.4441528761640692</v>
      </c>
      <c r="C151" s="51">
        <f t="shared" ca="1" si="50"/>
        <v>399.17367186966965</v>
      </c>
      <c r="D151" s="11" t="str">
        <f t="shared" ca="1" si="42"/>
        <v>C1</v>
      </c>
      <c r="E151" s="51">
        <f t="shared" ca="1" si="51"/>
        <v>399.17367186966965</v>
      </c>
      <c r="F151" s="51">
        <f t="shared" ca="1" si="39"/>
        <v>3.6300205919698283</v>
      </c>
      <c r="G151" s="51">
        <f t="shared" ca="1" si="52"/>
        <v>402.80369246163946</v>
      </c>
      <c r="H151" s="8" t="str">
        <f t="shared" ca="1" si="43"/>
        <v>No</v>
      </c>
      <c r="I151" s="32">
        <f t="shared" ca="1" si="53"/>
        <v>0</v>
      </c>
      <c r="J151" s="32">
        <f t="shared" ca="1" si="44"/>
        <v>1</v>
      </c>
      <c r="K151" s="31">
        <f t="shared" ca="1" si="45"/>
        <v>0.5</v>
      </c>
      <c r="L151" s="52">
        <f t="shared" ca="1" si="46"/>
        <v>0</v>
      </c>
      <c r="M151" s="51">
        <f t="shared" ca="1" si="40"/>
        <v>5.2517706478605657</v>
      </c>
      <c r="N151" s="51">
        <f t="shared" ca="1" si="54"/>
        <v>0</v>
      </c>
      <c r="O151" s="28" t="str">
        <f t="shared" ca="1" si="41"/>
        <v>Yes</v>
      </c>
      <c r="P151" s="51">
        <f t="shared" ca="1" si="47"/>
        <v>0.60129942405461634</v>
      </c>
      <c r="Q151">
        <f t="shared" ca="1" si="55"/>
        <v>0</v>
      </c>
      <c r="R151">
        <f t="shared" ca="1" si="48"/>
        <v>0</v>
      </c>
      <c r="S151" s="14">
        <f t="shared" ca="1" si="49"/>
        <v>0</v>
      </c>
    </row>
    <row r="152" spans="1:19" x14ac:dyDescent="0.25">
      <c r="A152">
        <v>143</v>
      </c>
      <c r="B152" s="51">
        <f t="shared" ca="1" si="38"/>
        <v>3.0287211679152048</v>
      </c>
      <c r="C152" s="51">
        <f t="shared" ca="1" si="50"/>
        <v>402.20239303758484</v>
      </c>
      <c r="D152" s="11" t="str">
        <f t="shared" ca="1" si="42"/>
        <v>C2</v>
      </c>
      <c r="E152" s="51">
        <f t="shared" ca="1" si="51"/>
        <v>0</v>
      </c>
      <c r="F152" s="51">
        <f t="shared" ca="1" si="39"/>
        <v>2.0096067256047223</v>
      </c>
      <c r="G152" s="51">
        <f t="shared" ca="1" si="52"/>
        <v>0</v>
      </c>
      <c r="H152" s="8" t="str">
        <f t="shared" ca="1" si="43"/>
        <v>Yes</v>
      </c>
      <c r="I152" s="32">
        <f t="shared" ca="1" si="53"/>
        <v>2</v>
      </c>
      <c r="J152" s="32">
        <f t="shared" ca="1" si="44"/>
        <v>0</v>
      </c>
      <c r="K152" s="31">
        <f t="shared" ca="1" si="45"/>
        <v>1</v>
      </c>
      <c r="L152" s="52">
        <f t="shared" ca="1" si="46"/>
        <v>402.20239303758484</v>
      </c>
      <c r="M152" s="51">
        <f t="shared" ca="1" si="40"/>
        <v>3.695329077757493</v>
      </c>
      <c r="N152" s="51">
        <f t="shared" ca="1" si="54"/>
        <v>405.89772211534233</v>
      </c>
      <c r="O152" s="28" t="str">
        <f t="shared" ca="1" si="41"/>
        <v>No</v>
      </c>
      <c r="P152" s="51">
        <f t="shared" ca="1" si="47"/>
        <v>2.7176003266505973</v>
      </c>
      <c r="Q152">
        <f t="shared" ca="1" si="55"/>
        <v>0</v>
      </c>
      <c r="R152">
        <f t="shared" ca="1" si="48"/>
        <v>1</v>
      </c>
      <c r="S152" s="14">
        <f t="shared" ca="1" si="49"/>
        <v>0.5</v>
      </c>
    </row>
    <row r="153" spans="1:19" x14ac:dyDescent="0.25">
      <c r="A153">
        <v>144</v>
      </c>
      <c r="B153" s="51">
        <f t="shared" ca="1" si="38"/>
        <v>0.97772875110689805</v>
      </c>
      <c r="C153" s="51">
        <f t="shared" ca="1" si="50"/>
        <v>403.18012178869174</v>
      </c>
      <c r="D153" s="11" t="str">
        <f t="shared" ca="1" si="42"/>
        <v>C1</v>
      </c>
      <c r="E153" s="51">
        <f t="shared" ca="1" si="51"/>
        <v>403.18012178869174</v>
      </c>
      <c r="F153" s="51">
        <f t="shared" ca="1" si="39"/>
        <v>3.8324836398723972</v>
      </c>
      <c r="G153" s="51">
        <f t="shared" ca="1" si="52"/>
        <v>407.01260542856414</v>
      </c>
      <c r="H153" s="8" t="str">
        <f t="shared" ca="1" si="43"/>
        <v>No</v>
      </c>
      <c r="I153" s="32">
        <f t="shared" ca="1" si="53"/>
        <v>0</v>
      </c>
      <c r="J153" s="32">
        <f t="shared" ca="1" si="44"/>
        <v>1</v>
      </c>
      <c r="K153" s="31">
        <f t="shared" ca="1" si="45"/>
        <v>0.5</v>
      </c>
      <c r="L153" s="52">
        <f t="shared" ca="1" si="46"/>
        <v>0</v>
      </c>
      <c r="M153" s="51">
        <f t="shared" ca="1" si="40"/>
        <v>1.3025654931735597</v>
      </c>
      <c r="N153" s="51">
        <f t="shared" ca="1" si="54"/>
        <v>0</v>
      </c>
      <c r="O153" s="28" t="str">
        <f t="shared" ca="1" si="41"/>
        <v>Yes</v>
      </c>
      <c r="P153" s="51">
        <f t="shared" ca="1" si="47"/>
        <v>7.5152305383710427E-2</v>
      </c>
      <c r="Q153">
        <f t="shared" ca="1" si="55"/>
        <v>2</v>
      </c>
      <c r="R153">
        <f t="shared" ca="1" si="48"/>
        <v>0</v>
      </c>
      <c r="S153" s="14">
        <f t="shared" ca="1" si="49"/>
        <v>1</v>
      </c>
    </row>
    <row r="154" spans="1:19" x14ac:dyDescent="0.25">
      <c r="A154">
        <v>145</v>
      </c>
      <c r="B154" s="51">
        <f t="shared" ca="1" si="38"/>
        <v>3.7573313344886712</v>
      </c>
      <c r="C154" s="51">
        <f t="shared" ca="1" si="50"/>
        <v>406.93745312318043</v>
      </c>
      <c r="D154" s="11" t="str">
        <f t="shared" ca="1" si="42"/>
        <v>C2</v>
      </c>
      <c r="E154" s="51">
        <f t="shared" ca="1" si="51"/>
        <v>0</v>
      </c>
      <c r="F154" s="51">
        <f t="shared" ca="1" si="39"/>
        <v>1.2408456445800173</v>
      </c>
      <c r="G154" s="51">
        <f t="shared" ca="1" si="52"/>
        <v>0</v>
      </c>
      <c r="H154" s="8" t="str">
        <f t="shared" ca="1" si="43"/>
        <v>Yes</v>
      </c>
      <c r="I154" s="32">
        <f t="shared" ca="1" si="53"/>
        <v>2</v>
      </c>
      <c r="J154" s="32">
        <f t="shared" ca="1" si="44"/>
        <v>0</v>
      </c>
      <c r="K154" s="31">
        <f t="shared" ca="1" si="45"/>
        <v>1</v>
      </c>
      <c r="L154" s="52">
        <f t="shared" ca="1" si="46"/>
        <v>406.93745312318043</v>
      </c>
      <c r="M154" s="51">
        <f t="shared" ca="1" si="40"/>
        <v>3.5843851984575541</v>
      </c>
      <c r="N154" s="51">
        <f t="shared" ca="1" si="54"/>
        <v>410.52183832163797</v>
      </c>
      <c r="O154" s="28" t="str">
        <f t="shared" ca="1" si="41"/>
        <v>No</v>
      </c>
      <c r="P154" s="51">
        <f t="shared" ca="1" si="47"/>
        <v>0</v>
      </c>
      <c r="Q154">
        <f t="shared" ca="1" si="55"/>
        <v>0</v>
      </c>
      <c r="R154">
        <f t="shared" ca="1" si="48"/>
        <v>0</v>
      </c>
      <c r="S154" s="14">
        <f t="shared" ca="1" si="49"/>
        <v>0</v>
      </c>
    </row>
    <row r="155" spans="1:19" x14ac:dyDescent="0.25">
      <c r="A155">
        <v>146</v>
      </c>
      <c r="B155" s="51">
        <f t="shared" ca="1" si="38"/>
        <v>7.7392548374692351</v>
      </c>
      <c r="C155" s="51">
        <f t="shared" ca="1" si="50"/>
        <v>414.67670796064965</v>
      </c>
      <c r="D155" s="11" t="str">
        <f t="shared" ca="1" si="42"/>
        <v>C1</v>
      </c>
      <c r="E155" s="51">
        <f t="shared" ca="1" si="51"/>
        <v>414.67670796064965</v>
      </c>
      <c r="F155" s="51">
        <f t="shared" ca="1" si="39"/>
        <v>1.7395920472689688</v>
      </c>
      <c r="G155" s="51">
        <f t="shared" ca="1" si="52"/>
        <v>416.41630000791861</v>
      </c>
      <c r="H155" s="8" t="str">
        <f t="shared" ca="1" si="43"/>
        <v>No</v>
      </c>
      <c r="I155" s="32">
        <f t="shared" ca="1" si="53"/>
        <v>0</v>
      </c>
      <c r="J155" s="32">
        <f t="shared" ca="1" si="44"/>
        <v>0</v>
      </c>
      <c r="K155" s="31">
        <f t="shared" ca="1" si="45"/>
        <v>0</v>
      </c>
      <c r="L155" s="52">
        <f t="shared" ca="1" si="46"/>
        <v>0</v>
      </c>
      <c r="M155" s="51">
        <f t="shared" ca="1" si="40"/>
        <v>0.87594954866460761</v>
      </c>
      <c r="N155" s="51">
        <f t="shared" ca="1" si="54"/>
        <v>0</v>
      </c>
      <c r="O155" s="28" t="str">
        <f t="shared" ca="1" si="41"/>
        <v>Yes</v>
      </c>
      <c r="P155" s="51">
        <f t="shared" ca="1" si="47"/>
        <v>0</v>
      </c>
      <c r="Q155">
        <f t="shared" ca="1" si="55"/>
        <v>0</v>
      </c>
      <c r="R155">
        <f t="shared" ca="1" si="48"/>
        <v>0</v>
      </c>
      <c r="S155" s="14">
        <f t="shared" ca="1" si="49"/>
        <v>0</v>
      </c>
    </row>
    <row r="156" spans="1:19" x14ac:dyDescent="0.25">
      <c r="A156">
        <v>147</v>
      </c>
      <c r="B156" s="51">
        <f t="shared" ca="1" si="38"/>
        <v>5.3527305744417584</v>
      </c>
      <c r="C156" s="51">
        <f t="shared" ca="1" si="50"/>
        <v>420.0294385350914</v>
      </c>
      <c r="D156" s="11" t="str">
        <f t="shared" ca="1" si="42"/>
        <v>C1</v>
      </c>
      <c r="E156" s="51">
        <f t="shared" ca="1" si="51"/>
        <v>420.0294385350914</v>
      </c>
      <c r="F156" s="51">
        <f t="shared" ca="1" si="39"/>
        <v>0.66404252992709589</v>
      </c>
      <c r="G156" s="51">
        <f t="shared" ca="1" si="52"/>
        <v>420.69348106501849</v>
      </c>
      <c r="H156" s="8" t="str">
        <f t="shared" ca="1" si="43"/>
        <v>No</v>
      </c>
      <c r="I156" s="32">
        <f t="shared" ca="1" si="53"/>
        <v>0</v>
      </c>
      <c r="J156" s="32">
        <f t="shared" ca="1" si="44"/>
        <v>0</v>
      </c>
      <c r="K156" s="31">
        <f t="shared" ca="1" si="45"/>
        <v>0</v>
      </c>
      <c r="L156" s="52">
        <f t="shared" ca="1" si="46"/>
        <v>0</v>
      </c>
      <c r="M156" s="51">
        <f t="shared" ca="1" si="40"/>
        <v>3.6781586913804807</v>
      </c>
      <c r="N156" s="51">
        <f t="shared" ca="1" si="54"/>
        <v>0</v>
      </c>
      <c r="O156" s="28" t="str">
        <f t="shared" ca="1" si="41"/>
        <v>Yes</v>
      </c>
      <c r="P156" s="51">
        <f t="shared" ca="1" si="47"/>
        <v>0</v>
      </c>
      <c r="Q156">
        <f t="shared" ca="1" si="55"/>
        <v>0</v>
      </c>
      <c r="R156">
        <f t="shared" ca="1" si="48"/>
        <v>0</v>
      </c>
      <c r="S156" s="14">
        <f t="shared" ca="1" si="49"/>
        <v>0</v>
      </c>
    </row>
    <row r="157" spans="1:19" x14ac:dyDescent="0.25">
      <c r="A157">
        <v>148</v>
      </c>
      <c r="B157" s="51">
        <f t="shared" ca="1" si="38"/>
        <v>1.6549942778516877</v>
      </c>
      <c r="C157" s="51">
        <f t="shared" ca="1" si="50"/>
        <v>421.6844328129431</v>
      </c>
      <c r="D157" s="11" t="str">
        <f t="shared" ca="1" si="42"/>
        <v>C1</v>
      </c>
      <c r="E157" s="51">
        <f t="shared" ca="1" si="51"/>
        <v>421.6844328129431</v>
      </c>
      <c r="F157" s="51">
        <f t="shared" ca="1" si="39"/>
        <v>4.6342114343183388E-2</v>
      </c>
      <c r="G157" s="51">
        <f t="shared" ca="1" si="52"/>
        <v>421.73077492728629</v>
      </c>
      <c r="H157" s="8" t="str">
        <f t="shared" ca="1" si="43"/>
        <v>No</v>
      </c>
      <c r="I157" s="32">
        <f t="shared" ca="1" si="53"/>
        <v>0</v>
      </c>
      <c r="J157" s="32">
        <f t="shared" ca="1" si="44"/>
        <v>0</v>
      </c>
      <c r="K157" s="31">
        <f t="shared" ca="1" si="45"/>
        <v>0</v>
      </c>
      <c r="L157" s="52">
        <f t="shared" ca="1" si="46"/>
        <v>0</v>
      </c>
      <c r="M157" s="51">
        <f t="shared" ca="1" si="40"/>
        <v>0.8036344267004133</v>
      </c>
      <c r="N157" s="51">
        <f t="shared" ca="1" si="54"/>
        <v>0</v>
      </c>
      <c r="O157" s="28" t="str">
        <f t="shared" ca="1" si="41"/>
        <v>Yes</v>
      </c>
      <c r="P157" s="51">
        <f t="shared" ca="1" si="47"/>
        <v>0</v>
      </c>
      <c r="Q157">
        <f t="shared" ca="1" si="55"/>
        <v>0</v>
      </c>
      <c r="R157">
        <f t="shared" ca="1" si="48"/>
        <v>0</v>
      </c>
      <c r="S157" s="14">
        <f t="shared" ca="1" si="49"/>
        <v>0</v>
      </c>
    </row>
    <row r="158" spans="1:19" x14ac:dyDescent="0.25">
      <c r="A158">
        <v>149</v>
      </c>
      <c r="B158" s="51">
        <f t="shared" ca="1" si="38"/>
        <v>0.76620806115078499</v>
      </c>
      <c r="C158" s="51">
        <f t="shared" ca="1" si="50"/>
        <v>422.45064087409389</v>
      </c>
      <c r="D158" s="11" t="str">
        <f t="shared" ca="1" si="42"/>
        <v>C1</v>
      </c>
      <c r="E158" s="51">
        <f t="shared" ca="1" si="51"/>
        <v>422.45064087409389</v>
      </c>
      <c r="F158" s="51">
        <f t="shared" ca="1" si="39"/>
        <v>1.3725545994156589</v>
      </c>
      <c r="G158" s="51">
        <f t="shared" ca="1" si="52"/>
        <v>423.82319547350954</v>
      </c>
      <c r="H158" s="8" t="str">
        <f t="shared" ca="1" si="43"/>
        <v>No</v>
      </c>
      <c r="I158" s="32">
        <f t="shared" ca="1" si="53"/>
        <v>0</v>
      </c>
      <c r="J158" s="32">
        <f t="shared" ca="1" si="44"/>
        <v>0</v>
      </c>
      <c r="K158" s="31">
        <f t="shared" ca="1" si="45"/>
        <v>0</v>
      </c>
      <c r="L158" s="52">
        <f t="shared" ca="1" si="46"/>
        <v>0</v>
      </c>
      <c r="M158" s="51">
        <f t="shared" ca="1" si="40"/>
        <v>1.1403745238544656</v>
      </c>
      <c r="N158" s="51">
        <f t="shared" ca="1" si="54"/>
        <v>0</v>
      </c>
      <c r="O158" s="28" t="str">
        <f t="shared" ca="1" si="41"/>
        <v>Yes</v>
      </c>
      <c r="P158" s="51">
        <f t="shared" ca="1" si="47"/>
        <v>0</v>
      </c>
      <c r="Q158">
        <f t="shared" ca="1" si="55"/>
        <v>0</v>
      </c>
      <c r="R158">
        <f t="shared" ca="1" si="48"/>
        <v>0</v>
      </c>
      <c r="S158" s="14">
        <f t="shared" ca="1" si="49"/>
        <v>0</v>
      </c>
    </row>
    <row r="159" spans="1:19" x14ac:dyDescent="0.25">
      <c r="A159">
        <v>150</v>
      </c>
      <c r="B159" s="51">
        <f t="shared" ca="1" si="38"/>
        <v>3.7823037891445312</v>
      </c>
      <c r="C159" s="51">
        <f t="shared" ca="1" si="50"/>
        <v>426.23294466323841</v>
      </c>
      <c r="D159" s="11" t="str">
        <f t="shared" ca="1" si="42"/>
        <v>C1</v>
      </c>
      <c r="E159" s="51">
        <f t="shared" ca="1" si="51"/>
        <v>426.23294466323841</v>
      </c>
      <c r="F159" s="51">
        <f t="shared" ca="1" si="39"/>
        <v>5.1911079986766833</v>
      </c>
      <c r="G159" s="51">
        <f t="shared" ca="1" si="52"/>
        <v>431.42405266191508</v>
      </c>
      <c r="H159" s="8" t="str">
        <f t="shared" ca="1" si="43"/>
        <v>No</v>
      </c>
      <c r="I159" s="32">
        <f t="shared" ca="1" si="53"/>
        <v>0</v>
      </c>
      <c r="J159" s="32">
        <f t="shared" ca="1" si="44"/>
        <v>1</v>
      </c>
      <c r="K159" s="31">
        <f t="shared" ca="1" si="45"/>
        <v>0.5</v>
      </c>
      <c r="L159" s="52">
        <f t="shared" ca="1" si="46"/>
        <v>0</v>
      </c>
      <c r="M159" s="51">
        <f t="shared" ca="1" si="40"/>
        <v>2.6777690344698533</v>
      </c>
      <c r="N159" s="51">
        <f t="shared" ca="1" si="54"/>
        <v>0</v>
      </c>
      <c r="O159" s="28" t="str">
        <f t="shared" ca="1" si="41"/>
        <v>Yes</v>
      </c>
      <c r="P159" s="51">
        <f t="shared" ca="1" si="47"/>
        <v>3.2091133418246045</v>
      </c>
      <c r="Q159">
        <f t="shared" ca="1" si="55"/>
        <v>0</v>
      </c>
      <c r="R159">
        <f t="shared" ca="1" si="48"/>
        <v>0</v>
      </c>
      <c r="S159" s="14">
        <f t="shared" ca="1" si="49"/>
        <v>0</v>
      </c>
    </row>
    <row r="160" spans="1:19" x14ac:dyDescent="0.25">
      <c r="A160">
        <v>151</v>
      </c>
      <c r="B160" s="51">
        <f t="shared" ca="1" si="38"/>
        <v>1.9819946568520501</v>
      </c>
      <c r="C160" s="51">
        <f t="shared" ca="1" si="50"/>
        <v>428.21493932009048</v>
      </c>
      <c r="D160" s="11" t="str">
        <f t="shared" ca="1" si="42"/>
        <v>C2</v>
      </c>
      <c r="E160" s="51">
        <f t="shared" ca="1" si="51"/>
        <v>0</v>
      </c>
      <c r="F160" s="51">
        <f t="shared" ca="1" si="39"/>
        <v>5.9875600922579313</v>
      </c>
      <c r="G160" s="51">
        <f t="shared" ca="1" si="52"/>
        <v>0</v>
      </c>
      <c r="H160" s="8" t="str">
        <f t="shared" ca="1" si="43"/>
        <v>Yes</v>
      </c>
      <c r="I160" s="32">
        <f t="shared" ca="1" si="53"/>
        <v>2</v>
      </c>
      <c r="J160" s="32">
        <f t="shared" ca="1" si="44"/>
        <v>0</v>
      </c>
      <c r="K160" s="31">
        <f t="shared" ca="1" si="45"/>
        <v>1</v>
      </c>
      <c r="L160" s="52">
        <f t="shared" ca="1" si="46"/>
        <v>428.21493932009048</v>
      </c>
      <c r="M160" s="51">
        <f t="shared" ca="1" si="40"/>
        <v>0.58981243442524145</v>
      </c>
      <c r="N160" s="51">
        <f t="shared" ca="1" si="54"/>
        <v>428.80475175451573</v>
      </c>
      <c r="O160" s="28" t="str">
        <f t="shared" ca="1" si="41"/>
        <v>No</v>
      </c>
      <c r="P160" s="51">
        <f t="shared" ca="1" si="47"/>
        <v>0</v>
      </c>
      <c r="Q160">
        <f t="shared" ca="1" si="55"/>
        <v>0</v>
      </c>
      <c r="R160">
        <f t="shared" ca="1" si="48"/>
        <v>0</v>
      </c>
      <c r="S160" s="14">
        <f t="shared" ca="1" si="49"/>
        <v>0</v>
      </c>
    </row>
    <row r="161" spans="1:19" x14ac:dyDescent="0.25">
      <c r="A161">
        <v>152</v>
      </c>
      <c r="B161" s="51">
        <f t="shared" ca="1" si="38"/>
        <v>10.679941717553861</v>
      </c>
      <c r="C161" s="51">
        <f t="shared" ca="1" si="50"/>
        <v>438.89488103764432</v>
      </c>
      <c r="D161" s="11" t="str">
        <f t="shared" ca="1" si="42"/>
        <v>C1</v>
      </c>
      <c r="E161" s="51">
        <f t="shared" ca="1" si="51"/>
        <v>438.89488103764432</v>
      </c>
      <c r="F161" s="51">
        <f t="shared" ca="1" si="39"/>
        <v>1.4379104630559154</v>
      </c>
      <c r="G161" s="51">
        <f t="shared" ca="1" si="52"/>
        <v>440.33279150070024</v>
      </c>
      <c r="H161" s="8" t="str">
        <f t="shared" ca="1" si="43"/>
        <v>No</v>
      </c>
      <c r="I161" s="32">
        <f t="shared" ca="1" si="53"/>
        <v>0</v>
      </c>
      <c r="J161" s="32">
        <f t="shared" ca="1" si="44"/>
        <v>0</v>
      </c>
      <c r="K161" s="31">
        <f t="shared" ca="1" si="45"/>
        <v>0</v>
      </c>
      <c r="L161" s="52">
        <f t="shared" ca="1" si="46"/>
        <v>0</v>
      </c>
      <c r="M161" s="51">
        <f t="shared" ca="1" si="40"/>
        <v>4.3892809369666175</v>
      </c>
      <c r="N161" s="51">
        <f t="shared" ca="1" si="54"/>
        <v>0</v>
      </c>
      <c r="O161" s="28" t="str">
        <f t="shared" ca="1" si="41"/>
        <v>Yes</v>
      </c>
      <c r="P161" s="51">
        <f t="shared" ca="1" si="47"/>
        <v>0</v>
      </c>
      <c r="Q161">
        <f t="shared" ca="1" si="55"/>
        <v>0</v>
      </c>
      <c r="R161">
        <f t="shared" ca="1" si="48"/>
        <v>0</v>
      </c>
      <c r="S161" s="14">
        <f t="shared" ca="1" si="49"/>
        <v>0</v>
      </c>
    </row>
    <row r="162" spans="1:19" x14ac:dyDescent="0.25">
      <c r="A162">
        <v>153</v>
      </c>
      <c r="B162" s="51">
        <f t="shared" ca="1" si="38"/>
        <v>3.1347006483664059</v>
      </c>
      <c r="C162" s="51">
        <f t="shared" ca="1" si="50"/>
        <v>442.02958168601072</v>
      </c>
      <c r="D162" s="11" t="str">
        <f t="shared" ca="1" si="42"/>
        <v>C1</v>
      </c>
      <c r="E162" s="51">
        <f t="shared" ca="1" si="51"/>
        <v>442.02958168601072</v>
      </c>
      <c r="F162" s="51">
        <f t="shared" ca="1" si="39"/>
        <v>1.3701759791341386</v>
      </c>
      <c r="G162" s="51">
        <f t="shared" ca="1" si="52"/>
        <v>443.39975766514488</v>
      </c>
      <c r="H162" s="8" t="str">
        <f t="shared" ca="1" si="43"/>
        <v>No</v>
      </c>
      <c r="I162" s="32">
        <f t="shared" ca="1" si="53"/>
        <v>0</v>
      </c>
      <c r="J162" s="32">
        <f t="shared" ca="1" si="44"/>
        <v>0</v>
      </c>
      <c r="K162" s="31">
        <f t="shared" ca="1" si="45"/>
        <v>0</v>
      </c>
      <c r="L162" s="52">
        <f t="shared" ca="1" si="46"/>
        <v>0</v>
      </c>
      <c r="M162" s="51">
        <f t="shared" ca="1" si="40"/>
        <v>0.27373828631107222</v>
      </c>
      <c r="N162" s="51">
        <f t="shared" ca="1" si="54"/>
        <v>0</v>
      </c>
      <c r="O162" s="28" t="str">
        <f t="shared" ca="1" si="41"/>
        <v>Yes</v>
      </c>
      <c r="P162" s="51">
        <f t="shared" ca="1" si="47"/>
        <v>0</v>
      </c>
      <c r="Q162">
        <f t="shared" ca="1" si="55"/>
        <v>0</v>
      </c>
      <c r="R162">
        <f t="shared" ca="1" si="48"/>
        <v>0</v>
      </c>
      <c r="S162" s="14">
        <f t="shared" ca="1" si="49"/>
        <v>0</v>
      </c>
    </row>
    <row r="163" spans="1:19" x14ac:dyDescent="0.25">
      <c r="A163">
        <v>154</v>
      </c>
      <c r="B163" s="51">
        <f t="shared" ca="1" si="38"/>
        <v>5.1345923120319537</v>
      </c>
      <c r="C163" s="51">
        <f t="shared" ca="1" si="50"/>
        <v>447.16417399804266</v>
      </c>
      <c r="D163" s="11" t="str">
        <f t="shared" ca="1" si="42"/>
        <v>C1</v>
      </c>
      <c r="E163" s="51">
        <f t="shared" ca="1" si="51"/>
        <v>447.16417399804266</v>
      </c>
      <c r="F163" s="51">
        <f t="shared" ca="1" si="39"/>
        <v>1.3763693366562446</v>
      </c>
      <c r="G163" s="51">
        <f t="shared" ca="1" si="52"/>
        <v>448.5405433346989</v>
      </c>
      <c r="H163" s="8" t="str">
        <f t="shared" ca="1" si="43"/>
        <v>No</v>
      </c>
      <c r="I163" s="32">
        <f t="shared" ca="1" si="53"/>
        <v>0</v>
      </c>
      <c r="J163" s="32">
        <f t="shared" ca="1" si="44"/>
        <v>0</v>
      </c>
      <c r="K163" s="31">
        <f t="shared" ca="1" si="45"/>
        <v>0</v>
      </c>
      <c r="L163" s="52">
        <f t="shared" ca="1" si="46"/>
        <v>0</v>
      </c>
      <c r="M163" s="51">
        <f t="shared" ca="1" si="40"/>
        <v>3.4184588482918867</v>
      </c>
      <c r="N163" s="51">
        <f t="shared" ca="1" si="54"/>
        <v>0</v>
      </c>
      <c r="O163" s="28" t="str">
        <f t="shared" ca="1" si="41"/>
        <v>Yes</v>
      </c>
      <c r="P163" s="51">
        <f t="shared" ca="1" si="47"/>
        <v>0</v>
      </c>
      <c r="Q163">
        <f t="shared" ca="1" si="55"/>
        <v>0</v>
      </c>
      <c r="R163">
        <f t="shared" ca="1" si="48"/>
        <v>0</v>
      </c>
      <c r="S163" s="14">
        <f t="shared" ca="1" si="49"/>
        <v>0</v>
      </c>
    </row>
    <row r="164" spans="1:19" x14ac:dyDescent="0.25">
      <c r="A164">
        <v>155</v>
      </c>
      <c r="B164" s="51">
        <f t="shared" ca="1" si="38"/>
        <v>4.5820215391546242</v>
      </c>
      <c r="C164" s="51">
        <f t="shared" ca="1" si="50"/>
        <v>451.74619553719731</v>
      </c>
      <c r="D164" s="11" t="str">
        <f t="shared" ca="1" si="42"/>
        <v>C1</v>
      </c>
      <c r="E164" s="51">
        <f t="shared" ca="1" si="51"/>
        <v>451.74619553719731</v>
      </c>
      <c r="F164" s="51">
        <f t="shared" ca="1" si="39"/>
        <v>3.0348705415815451</v>
      </c>
      <c r="G164" s="51">
        <f t="shared" ca="1" si="52"/>
        <v>454.78106607877885</v>
      </c>
      <c r="H164" s="8" t="str">
        <f t="shared" ca="1" si="43"/>
        <v>No</v>
      </c>
      <c r="I164" s="32">
        <f t="shared" ca="1" si="53"/>
        <v>0</v>
      </c>
      <c r="J164" s="32">
        <f t="shared" ca="1" si="44"/>
        <v>4</v>
      </c>
      <c r="K164" s="31">
        <f t="shared" ca="1" si="45"/>
        <v>2</v>
      </c>
      <c r="L164" s="52">
        <f t="shared" ca="1" si="46"/>
        <v>0</v>
      </c>
      <c r="M164" s="51">
        <f t="shared" ca="1" si="40"/>
        <v>6.4995999802667681</v>
      </c>
      <c r="N164" s="51">
        <f t="shared" ca="1" si="54"/>
        <v>0</v>
      </c>
      <c r="O164" s="28" t="str">
        <f t="shared" ca="1" si="41"/>
        <v>Yes</v>
      </c>
      <c r="P164" s="51">
        <f t="shared" ca="1" si="47"/>
        <v>2.4737153379298888</v>
      </c>
      <c r="Q164">
        <f t="shared" ca="1" si="55"/>
        <v>0</v>
      </c>
      <c r="R164">
        <f t="shared" ca="1" si="48"/>
        <v>0</v>
      </c>
      <c r="S164" s="14">
        <f t="shared" ca="1" si="49"/>
        <v>0</v>
      </c>
    </row>
    <row r="165" spans="1:19" x14ac:dyDescent="0.25">
      <c r="A165">
        <v>156</v>
      </c>
      <c r="B165" s="51">
        <f t="shared" ca="1" si="38"/>
        <v>0.56115520365163796</v>
      </c>
      <c r="C165" s="51">
        <f t="shared" ca="1" si="50"/>
        <v>452.30735074084896</v>
      </c>
      <c r="D165" s="11" t="str">
        <f t="shared" ca="1" si="42"/>
        <v>C2</v>
      </c>
      <c r="E165" s="51">
        <f t="shared" ca="1" si="51"/>
        <v>0</v>
      </c>
      <c r="F165" s="51">
        <f t="shared" ca="1" si="39"/>
        <v>1.1007271395835543</v>
      </c>
      <c r="G165" s="51">
        <f t="shared" ca="1" si="52"/>
        <v>0</v>
      </c>
      <c r="H165" s="8" t="str">
        <f t="shared" ca="1" si="43"/>
        <v>Yes</v>
      </c>
      <c r="I165" s="32">
        <f t="shared" ca="1" si="53"/>
        <v>5</v>
      </c>
      <c r="J165" s="32">
        <f t="shared" ca="1" si="44"/>
        <v>0</v>
      </c>
      <c r="K165" s="31">
        <f t="shared" ca="1" si="45"/>
        <v>2.5</v>
      </c>
      <c r="L165" s="52">
        <f t="shared" ca="1" si="46"/>
        <v>452.30735074084896</v>
      </c>
      <c r="M165" s="51">
        <f t="shared" ca="1" si="40"/>
        <v>9.2523642955183512</v>
      </c>
      <c r="N165" s="51">
        <f t="shared" ca="1" si="54"/>
        <v>461.55971503636732</v>
      </c>
      <c r="O165" s="28" t="str">
        <f t="shared" ca="1" si="41"/>
        <v>No</v>
      </c>
      <c r="P165" s="51">
        <f t="shared" ca="1" si="47"/>
        <v>7.104005435621275</v>
      </c>
      <c r="Q165">
        <f t="shared" ca="1" si="55"/>
        <v>0</v>
      </c>
      <c r="R165">
        <f t="shared" ca="1" si="48"/>
        <v>5</v>
      </c>
      <c r="S165" s="14">
        <f t="shared" ca="1" si="49"/>
        <v>2.5</v>
      </c>
    </row>
    <row r="166" spans="1:19" x14ac:dyDescent="0.25">
      <c r="A166">
        <v>157</v>
      </c>
      <c r="B166" s="51">
        <f t="shared" ca="1" si="38"/>
        <v>2.1483588598970638</v>
      </c>
      <c r="C166" s="51">
        <f t="shared" ca="1" si="50"/>
        <v>454.45570960074605</v>
      </c>
      <c r="D166" s="11" t="str">
        <f t="shared" ca="1" si="42"/>
        <v>C1</v>
      </c>
      <c r="E166" s="51">
        <f t="shared" ca="1" si="51"/>
        <v>454.45570960074605</v>
      </c>
      <c r="F166" s="51">
        <f t="shared" ca="1" si="39"/>
        <v>2.18658253904059</v>
      </c>
      <c r="G166" s="51">
        <f t="shared" ca="1" si="52"/>
        <v>456.64229213978666</v>
      </c>
      <c r="H166" s="8" t="str">
        <f t="shared" ca="1" si="43"/>
        <v>No</v>
      </c>
      <c r="I166" s="32">
        <f t="shared" ca="1" si="53"/>
        <v>0</v>
      </c>
      <c r="J166" s="32">
        <f t="shared" ca="1" si="44"/>
        <v>2</v>
      </c>
      <c r="K166" s="31">
        <f t="shared" ca="1" si="45"/>
        <v>1</v>
      </c>
      <c r="L166" s="52">
        <f t="shared" ca="1" si="46"/>
        <v>0</v>
      </c>
      <c r="M166" s="51">
        <f t="shared" ca="1" si="40"/>
        <v>0.3564726888236025</v>
      </c>
      <c r="N166" s="51">
        <f t="shared" ca="1" si="54"/>
        <v>0</v>
      </c>
      <c r="O166" s="28" t="str">
        <f t="shared" ca="1" si="41"/>
        <v>Yes</v>
      </c>
      <c r="P166" s="51">
        <f t="shared" ca="1" si="47"/>
        <v>1.914793656840402</v>
      </c>
      <c r="Q166">
        <f t="shared" ca="1" si="55"/>
        <v>6</v>
      </c>
      <c r="R166">
        <f t="shared" ca="1" si="48"/>
        <v>0</v>
      </c>
      <c r="S166" s="14">
        <f t="shared" ca="1" si="49"/>
        <v>3</v>
      </c>
    </row>
    <row r="167" spans="1:19" x14ac:dyDescent="0.25">
      <c r="A167">
        <v>158</v>
      </c>
      <c r="B167" s="51">
        <f t="shared" ca="1" si="38"/>
        <v>0.27178888220022079</v>
      </c>
      <c r="C167" s="51">
        <f t="shared" ca="1" si="50"/>
        <v>454.72749848294626</v>
      </c>
      <c r="D167" s="11" t="str">
        <f t="shared" ca="1" si="42"/>
        <v>C2</v>
      </c>
      <c r="E167" s="51">
        <f t="shared" ca="1" si="51"/>
        <v>0</v>
      </c>
      <c r="F167" s="51">
        <f t="shared" ca="1" si="39"/>
        <v>3.7449930591790612</v>
      </c>
      <c r="G167" s="51">
        <f t="shared" ca="1" si="52"/>
        <v>0</v>
      </c>
      <c r="H167" s="8" t="str">
        <f t="shared" ca="1" si="43"/>
        <v>Yes</v>
      </c>
      <c r="I167" s="32">
        <f t="shared" ca="1" si="53"/>
        <v>3</v>
      </c>
      <c r="J167" s="32">
        <f t="shared" ca="1" si="44"/>
        <v>0</v>
      </c>
      <c r="K167" s="31">
        <f t="shared" ca="1" si="45"/>
        <v>1.5</v>
      </c>
      <c r="L167" s="52">
        <f t="shared" ca="1" si="46"/>
        <v>454.72749848294626</v>
      </c>
      <c r="M167" s="51">
        <f t="shared" ca="1" si="40"/>
        <v>0.67267368427872432</v>
      </c>
      <c r="N167" s="51">
        <f t="shared" ca="1" si="54"/>
        <v>455.40017216722498</v>
      </c>
      <c r="O167" s="28" t="str">
        <f t="shared" ca="1" si="41"/>
        <v>No</v>
      </c>
      <c r="P167" s="51">
        <f t="shared" ca="1" si="47"/>
        <v>0.65965020730124024</v>
      </c>
      <c r="Q167">
        <f t="shared" ca="1" si="55"/>
        <v>0</v>
      </c>
      <c r="R167">
        <f t="shared" ca="1" si="48"/>
        <v>1</v>
      </c>
      <c r="S167" s="14">
        <f t="shared" ca="1" si="49"/>
        <v>0.5</v>
      </c>
    </row>
    <row r="168" spans="1:19" x14ac:dyDescent="0.25">
      <c r="A168">
        <v>159</v>
      </c>
      <c r="B168" s="51">
        <f t="shared" ca="1" si="38"/>
        <v>1.3023476977488539E-2</v>
      </c>
      <c r="C168" s="51">
        <f t="shared" ca="1" si="50"/>
        <v>454.74052195992374</v>
      </c>
      <c r="D168" s="11" t="str">
        <f t="shared" ca="1" si="42"/>
        <v>C1</v>
      </c>
      <c r="E168" s="51">
        <f t="shared" ca="1" si="51"/>
        <v>454.74052195992374</v>
      </c>
      <c r="F168" s="51">
        <f t="shared" ca="1" si="39"/>
        <v>1.7187446111725686</v>
      </c>
      <c r="G168" s="51">
        <f t="shared" ca="1" si="52"/>
        <v>456.45926657109629</v>
      </c>
      <c r="H168" s="8" t="str">
        <f t="shared" ca="1" si="43"/>
        <v>No</v>
      </c>
      <c r="I168" s="32">
        <f t="shared" ca="1" si="53"/>
        <v>0</v>
      </c>
      <c r="J168" s="32">
        <f t="shared" ca="1" si="44"/>
        <v>0</v>
      </c>
      <c r="K168" s="31">
        <f t="shared" ca="1" si="45"/>
        <v>0</v>
      </c>
      <c r="L168" s="52">
        <f t="shared" ca="1" si="46"/>
        <v>0</v>
      </c>
      <c r="M168" s="51">
        <f t="shared" ca="1" si="40"/>
        <v>5.6375099920072751</v>
      </c>
      <c r="N168" s="51">
        <f t="shared" ca="1" si="54"/>
        <v>0</v>
      </c>
      <c r="O168" s="28" t="str">
        <f t="shared" ca="1" si="41"/>
        <v>Yes</v>
      </c>
      <c r="P168" s="51">
        <f t="shared" ca="1" si="47"/>
        <v>0</v>
      </c>
      <c r="Q168">
        <f t="shared" ca="1" si="55"/>
        <v>2</v>
      </c>
      <c r="R168">
        <f t="shared" ca="1" si="48"/>
        <v>0</v>
      </c>
      <c r="S168" s="14">
        <f t="shared" ca="1" si="49"/>
        <v>1</v>
      </c>
    </row>
    <row r="169" spans="1:19" x14ac:dyDescent="0.25">
      <c r="A169">
        <v>160</v>
      </c>
      <c r="B169" s="51">
        <f t="shared" ca="1" si="38"/>
        <v>4.6046177978255614</v>
      </c>
      <c r="C169" s="51">
        <f t="shared" ca="1" si="50"/>
        <v>459.34513975774928</v>
      </c>
      <c r="D169" s="11" t="str">
        <f t="shared" ca="1" si="42"/>
        <v>C1</v>
      </c>
      <c r="E169" s="51">
        <f t="shared" ca="1" si="51"/>
        <v>459.34513975774928</v>
      </c>
      <c r="F169" s="51">
        <f t="shared" ca="1" si="39"/>
        <v>5.0627648980118227</v>
      </c>
      <c r="G169" s="51">
        <f t="shared" ca="1" si="52"/>
        <v>464.40790465576112</v>
      </c>
      <c r="H169" s="8" t="str">
        <f t="shared" ca="1" si="43"/>
        <v>No</v>
      </c>
      <c r="I169" s="32">
        <f t="shared" ca="1" si="53"/>
        <v>0</v>
      </c>
      <c r="J169" s="32">
        <f t="shared" ca="1" si="44"/>
        <v>2</v>
      </c>
      <c r="K169" s="31">
        <f t="shared" ca="1" si="45"/>
        <v>1</v>
      </c>
      <c r="L169" s="52">
        <f t="shared" ca="1" si="46"/>
        <v>0</v>
      </c>
      <c r="M169" s="51">
        <f t="shared" ca="1" si="40"/>
        <v>0.23978500241115713</v>
      </c>
      <c r="N169" s="51">
        <f t="shared" ca="1" si="54"/>
        <v>0</v>
      </c>
      <c r="O169" s="28" t="str">
        <f t="shared" ca="1" si="41"/>
        <v>Yes</v>
      </c>
      <c r="P169" s="51">
        <f t="shared" ca="1" si="47"/>
        <v>3.2347737790871065</v>
      </c>
      <c r="Q169">
        <f t="shared" ca="1" si="55"/>
        <v>0</v>
      </c>
      <c r="R169">
        <f t="shared" ca="1" si="48"/>
        <v>0</v>
      </c>
      <c r="S169" s="14">
        <f t="shared" ca="1" si="49"/>
        <v>0</v>
      </c>
    </row>
    <row r="170" spans="1:19" x14ac:dyDescent="0.25">
      <c r="A170">
        <v>161</v>
      </c>
      <c r="B170" s="51">
        <f t="shared" ca="1" si="38"/>
        <v>1.8279911189247546</v>
      </c>
      <c r="C170" s="51">
        <f t="shared" ca="1" si="50"/>
        <v>461.17313087667401</v>
      </c>
      <c r="D170" s="11" t="str">
        <f t="shared" ca="1" si="42"/>
        <v>C2</v>
      </c>
      <c r="E170" s="51">
        <f t="shared" ca="1" si="51"/>
        <v>0</v>
      </c>
      <c r="F170" s="51">
        <f t="shared" ca="1" si="39"/>
        <v>4.0898416524710912</v>
      </c>
      <c r="G170" s="51">
        <f t="shared" ca="1" si="52"/>
        <v>0</v>
      </c>
      <c r="H170" s="8" t="str">
        <f t="shared" ca="1" si="43"/>
        <v>Yes</v>
      </c>
      <c r="I170" s="32">
        <f t="shared" ca="1" si="53"/>
        <v>3</v>
      </c>
      <c r="J170" s="32">
        <f t="shared" ca="1" si="44"/>
        <v>0</v>
      </c>
      <c r="K170" s="31">
        <f t="shared" ca="1" si="45"/>
        <v>1.5</v>
      </c>
      <c r="L170" s="52">
        <f t="shared" ca="1" si="46"/>
        <v>461.17313087667401</v>
      </c>
      <c r="M170" s="51">
        <f t="shared" ca="1" si="40"/>
        <v>0.97866646439099059</v>
      </c>
      <c r="N170" s="51">
        <f t="shared" ca="1" si="54"/>
        <v>462.15179734106499</v>
      </c>
      <c r="O170" s="28" t="str">
        <f t="shared" ca="1" si="41"/>
        <v>No</v>
      </c>
      <c r="P170" s="51">
        <f t="shared" ca="1" si="47"/>
        <v>0.4128377496426765</v>
      </c>
      <c r="Q170">
        <f t="shared" ca="1" si="55"/>
        <v>0</v>
      </c>
      <c r="R170">
        <f t="shared" ca="1" si="48"/>
        <v>1</v>
      </c>
      <c r="S170" s="14">
        <f t="shared" ca="1" si="49"/>
        <v>0.5</v>
      </c>
    </row>
    <row r="171" spans="1:19" x14ac:dyDescent="0.25">
      <c r="A171">
        <v>162</v>
      </c>
      <c r="B171" s="51">
        <f t="shared" ca="1" si="38"/>
        <v>0.56582871474829644</v>
      </c>
      <c r="C171" s="51">
        <f t="shared" ca="1" si="50"/>
        <v>461.73895959142232</v>
      </c>
      <c r="D171" s="11" t="str">
        <f t="shared" ca="1" si="42"/>
        <v>C1</v>
      </c>
      <c r="E171" s="51">
        <f t="shared" ca="1" si="51"/>
        <v>461.73895959142232</v>
      </c>
      <c r="F171" s="51">
        <f t="shared" ca="1" si="39"/>
        <v>9.6767389902317014</v>
      </c>
      <c r="G171" s="51">
        <f t="shared" ca="1" si="52"/>
        <v>471.415698581654</v>
      </c>
      <c r="H171" s="8" t="str">
        <f t="shared" ca="1" si="43"/>
        <v>No</v>
      </c>
      <c r="I171" s="32">
        <f t="shared" ca="1" si="53"/>
        <v>0</v>
      </c>
      <c r="J171" s="32">
        <f t="shared" ca="1" si="44"/>
        <v>3</v>
      </c>
      <c r="K171" s="31">
        <f t="shared" ca="1" si="45"/>
        <v>1.5</v>
      </c>
      <c r="L171" s="52">
        <f t="shared" ca="1" si="46"/>
        <v>0</v>
      </c>
      <c r="M171" s="51">
        <f t="shared" ca="1" si="40"/>
        <v>0.20707832285790895</v>
      </c>
      <c r="N171" s="51">
        <f t="shared" ca="1" si="54"/>
        <v>0</v>
      </c>
      <c r="O171" s="28" t="str">
        <f t="shared" ca="1" si="41"/>
        <v>Yes</v>
      </c>
      <c r="P171" s="51">
        <f t="shared" ca="1" si="47"/>
        <v>3.3892629687143767</v>
      </c>
      <c r="Q171">
        <f t="shared" ca="1" si="55"/>
        <v>2</v>
      </c>
      <c r="R171">
        <f t="shared" ca="1" si="48"/>
        <v>0</v>
      </c>
      <c r="S171" s="14">
        <f t="shared" ca="1" si="49"/>
        <v>1</v>
      </c>
    </row>
    <row r="172" spans="1:19" x14ac:dyDescent="0.25">
      <c r="A172">
        <v>163</v>
      </c>
      <c r="B172" s="51">
        <f t="shared" ca="1" si="38"/>
        <v>6.2874760215173175</v>
      </c>
      <c r="C172" s="51">
        <f t="shared" ca="1" si="50"/>
        <v>468.02643561293962</v>
      </c>
      <c r="D172" s="11" t="str">
        <f t="shared" ca="1" si="42"/>
        <v>C2</v>
      </c>
      <c r="E172" s="51">
        <f t="shared" ca="1" si="51"/>
        <v>0</v>
      </c>
      <c r="F172" s="51">
        <f t="shared" ca="1" si="39"/>
        <v>0.66190104548505779</v>
      </c>
      <c r="G172" s="51">
        <f t="shared" ca="1" si="52"/>
        <v>0</v>
      </c>
      <c r="H172" s="8" t="str">
        <f t="shared" ca="1" si="43"/>
        <v>Yes</v>
      </c>
      <c r="I172" s="32">
        <f t="shared" ca="1" si="53"/>
        <v>4</v>
      </c>
      <c r="J172" s="32">
        <f t="shared" ca="1" si="44"/>
        <v>0</v>
      </c>
      <c r="K172" s="31">
        <f t="shared" ca="1" si="45"/>
        <v>2</v>
      </c>
      <c r="L172" s="52">
        <f t="shared" ca="1" si="46"/>
        <v>468.02643561293962</v>
      </c>
      <c r="M172" s="51">
        <f t="shared" ca="1" si="40"/>
        <v>1.0405782829389554</v>
      </c>
      <c r="N172" s="51">
        <f t="shared" ca="1" si="54"/>
        <v>469.06701389587857</v>
      </c>
      <c r="O172" s="28" t="str">
        <f t="shared" ca="1" si="41"/>
        <v>No</v>
      </c>
      <c r="P172" s="51">
        <f t="shared" ca="1" si="47"/>
        <v>0.78444695384541774</v>
      </c>
      <c r="Q172">
        <f t="shared" ca="1" si="55"/>
        <v>0</v>
      </c>
      <c r="R172">
        <f t="shared" ca="1" si="48"/>
        <v>1</v>
      </c>
      <c r="S172" s="14">
        <f t="shared" ca="1" si="49"/>
        <v>0.5</v>
      </c>
    </row>
    <row r="173" spans="1:19" x14ac:dyDescent="0.25">
      <c r="A173">
        <v>164</v>
      </c>
      <c r="B173" s="51">
        <f t="shared" ca="1" si="38"/>
        <v>0.25613132909352837</v>
      </c>
      <c r="C173" s="51">
        <f t="shared" ca="1" si="50"/>
        <v>468.28256694203316</v>
      </c>
      <c r="D173" s="11" t="str">
        <f t="shared" ca="1" si="42"/>
        <v>C1</v>
      </c>
      <c r="E173" s="51">
        <f t="shared" ca="1" si="51"/>
        <v>468.28256694203316</v>
      </c>
      <c r="F173" s="51">
        <f t="shared" ca="1" si="39"/>
        <v>0.31643257074794484</v>
      </c>
      <c r="G173" s="51">
        <f t="shared" ca="1" si="52"/>
        <v>468.59899951278112</v>
      </c>
      <c r="H173" s="8" t="str">
        <f t="shared" ca="1" si="43"/>
        <v>No</v>
      </c>
      <c r="I173" s="32">
        <f t="shared" ca="1" si="53"/>
        <v>0</v>
      </c>
      <c r="J173" s="32">
        <f t="shared" ca="1" si="44"/>
        <v>0</v>
      </c>
      <c r="K173" s="31">
        <f t="shared" ca="1" si="45"/>
        <v>0</v>
      </c>
      <c r="L173" s="52">
        <f t="shared" ca="1" si="46"/>
        <v>0</v>
      </c>
      <c r="M173" s="51">
        <f t="shared" ca="1" si="40"/>
        <v>6.5234207876859616</v>
      </c>
      <c r="N173" s="51">
        <f t="shared" ca="1" si="54"/>
        <v>0</v>
      </c>
      <c r="O173" s="28" t="str">
        <f t="shared" ca="1" si="41"/>
        <v>Yes</v>
      </c>
      <c r="P173" s="51">
        <f t="shared" ca="1" si="47"/>
        <v>0</v>
      </c>
      <c r="Q173">
        <f t="shared" ca="1" si="55"/>
        <v>2</v>
      </c>
      <c r="R173">
        <f t="shared" ca="1" si="48"/>
        <v>0</v>
      </c>
      <c r="S173" s="14">
        <f t="shared" ca="1" si="49"/>
        <v>1</v>
      </c>
    </row>
    <row r="174" spans="1:19" x14ac:dyDescent="0.25">
      <c r="A174">
        <v>165</v>
      </c>
      <c r="B174" s="51">
        <f t="shared" ca="1" si="38"/>
        <v>1.918806262264259</v>
      </c>
      <c r="C174" s="51">
        <f t="shared" ca="1" si="50"/>
        <v>470.2013732042974</v>
      </c>
      <c r="D174" s="11" t="str">
        <f t="shared" ca="1" si="42"/>
        <v>C1</v>
      </c>
      <c r="E174" s="51">
        <f t="shared" ca="1" si="51"/>
        <v>470.2013732042974</v>
      </c>
      <c r="F174" s="51">
        <f t="shared" ca="1" si="39"/>
        <v>1.2433052184185016</v>
      </c>
      <c r="G174" s="51">
        <f t="shared" ca="1" si="52"/>
        <v>471.44467842271592</v>
      </c>
      <c r="H174" s="8" t="str">
        <f t="shared" ca="1" si="43"/>
        <v>No</v>
      </c>
      <c r="I174" s="32">
        <f t="shared" ca="1" si="53"/>
        <v>0</v>
      </c>
      <c r="J174" s="32">
        <f t="shared" ca="1" si="44"/>
        <v>0</v>
      </c>
      <c r="K174" s="31">
        <f t="shared" ca="1" si="45"/>
        <v>0</v>
      </c>
      <c r="L174" s="52">
        <f t="shared" ca="1" si="46"/>
        <v>0</v>
      </c>
      <c r="M174" s="51">
        <f t="shared" ca="1" si="40"/>
        <v>4.3154506965959971</v>
      </c>
      <c r="N174" s="51">
        <f t="shared" ca="1" si="54"/>
        <v>0</v>
      </c>
      <c r="O174" s="28" t="str">
        <f t="shared" ca="1" si="41"/>
        <v>Yes</v>
      </c>
      <c r="P174" s="51">
        <f t="shared" ca="1" si="47"/>
        <v>0</v>
      </c>
      <c r="Q174">
        <f t="shared" ca="1" si="55"/>
        <v>0</v>
      </c>
      <c r="R174">
        <f t="shared" ca="1" si="48"/>
        <v>0</v>
      </c>
      <c r="S174" s="14">
        <f t="shared" ca="1" si="49"/>
        <v>0</v>
      </c>
    </row>
    <row r="175" spans="1:19" x14ac:dyDescent="0.25">
      <c r="A175">
        <v>166</v>
      </c>
      <c r="B175" s="51">
        <f t="shared" ca="1" si="38"/>
        <v>2.3836483792408236</v>
      </c>
      <c r="C175" s="51">
        <f t="shared" ca="1" si="50"/>
        <v>472.58502158353821</v>
      </c>
      <c r="D175" s="11" t="str">
        <f t="shared" ca="1" si="42"/>
        <v>C1</v>
      </c>
      <c r="E175" s="51">
        <f t="shared" ca="1" si="51"/>
        <v>472.58502158353821</v>
      </c>
      <c r="F175" s="51">
        <f t="shared" ca="1" si="39"/>
        <v>1.2898241442754268</v>
      </c>
      <c r="G175" s="51">
        <f t="shared" ca="1" si="52"/>
        <v>473.87484572781364</v>
      </c>
      <c r="H175" s="8" t="str">
        <f t="shared" ca="1" si="43"/>
        <v>No</v>
      </c>
      <c r="I175" s="32">
        <f t="shared" ca="1" si="53"/>
        <v>0</v>
      </c>
      <c r="J175" s="32">
        <f t="shared" ca="1" si="44"/>
        <v>0</v>
      </c>
      <c r="K175" s="31">
        <f t="shared" ca="1" si="45"/>
        <v>0</v>
      </c>
      <c r="L175" s="52">
        <f t="shared" ca="1" si="46"/>
        <v>0</v>
      </c>
      <c r="M175" s="51">
        <f t="shared" ca="1" si="40"/>
        <v>1.6292257452992516</v>
      </c>
      <c r="N175" s="51">
        <f t="shared" ca="1" si="54"/>
        <v>0</v>
      </c>
      <c r="O175" s="28" t="str">
        <f t="shared" ca="1" si="41"/>
        <v>Yes</v>
      </c>
      <c r="P175" s="51">
        <f t="shared" ca="1" si="47"/>
        <v>0</v>
      </c>
      <c r="Q175">
        <f t="shared" ca="1" si="55"/>
        <v>0</v>
      </c>
      <c r="R175">
        <f t="shared" ca="1" si="48"/>
        <v>0</v>
      </c>
      <c r="S175" s="14">
        <f t="shared" ca="1" si="49"/>
        <v>0</v>
      </c>
    </row>
    <row r="176" spans="1:19" x14ac:dyDescent="0.25">
      <c r="A176">
        <v>167</v>
      </c>
      <c r="B176" s="51">
        <f t="shared" ca="1" si="38"/>
        <v>2.4245332471749399</v>
      </c>
      <c r="C176" s="51">
        <f t="shared" ca="1" si="50"/>
        <v>475.00955483071317</v>
      </c>
      <c r="D176" s="11" t="str">
        <f t="shared" ca="1" si="42"/>
        <v>C1</v>
      </c>
      <c r="E176" s="51">
        <f t="shared" ca="1" si="51"/>
        <v>475.00955483071317</v>
      </c>
      <c r="F176" s="51">
        <f t="shared" ca="1" si="39"/>
        <v>0.39489342162198543</v>
      </c>
      <c r="G176" s="51">
        <f t="shared" ca="1" si="52"/>
        <v>475.40444825233516</v>
      </c>
      <c r="H176" s="8" t="str">
        <f t="shared" ca="1" si="43"/>
        <v>No</v>
      </c>
      <c r="I176" s="32">
        <f t="shared" ca="1" si="53"/>
        <v>0</v>
      </c>
      <c r="J176" s="32">
        <f t="shared" ca="1" si="44"/>
        <v>0</v>
      </c>
      <c r="K176" s="31">
        <f t="shared" ca="1" si="45"/>
        <v>0</v>
      </c>
      <c r="L176" s="52">
        <f t="shared" ca="1" si="46"/>
        <v>0</v>
      </c>
      <c r="M176" s="51">
        <f t="shared" ca="1" si="40"/>
        <v>0.81615778086822199</v>
      </c>
      <c r="N176" s="51">
        <f t="shared" ca="1" si="54"/>
        <v>0</v>
      </c>
      <c r="O176" s="28" t="str">
        <f t="shared" ca="1" si="41"/>
        <v>Yes</v>
      </c>
      <c r="P176" s="51">
        <f t="shared" ca="1" si="47"/>
        <v>0</v>
      </c>
      <c r="Q176">
        <f t="shared" ca="1" si="55"/>
        <v>0</v>
      </c>
      <c r="R176">
        <f t="shared" ca="1" si="48"/>
        <v>0</v>
      </c>
      <c r="S176" s="14">
        <f t="shared" ca="1" si="49"/>
        <v>0</v>
      </c>
    </row>
    <row r="177" spans="1:19" x14ac:dyDescent="0.25">
      <c r="A177">
        <v>168</v>
      </c>
      <c r="B177" s="51">
        <f t="shared" ca="1" si="38"/>
        <v>2.3546190846853738</v>
      </c>
      <c r="C177" s="51">
        <f t="shared" ca="1" si="50"/>
        <v>477.36417391539857</v>
      </c>
      <c r="D177" s="11" t="str">
        <f t="shared" ca="1" si="42"/>
        <v>C1</v>
      </c>
      <c r="E177" s="51">
        <f t="shared" ca="1" si="51"/>
        <v>477.36417391539857</v>
      </c>
      <c r="F177" s="51">
        <f t="shared" ca="1" si="39"/>
        <v>1.533019563067654</v>
      </c>
      <c r="G177" s="51">
        <f t="shared" ca="1" si="52"/>
        <v>478.89719347846619</v>
      </c>
      <c r="H177" s="8" t="str">
        <f t="shared" ca="1" si="43"/>
        <v>No</v>
      </c>
      <c r="I177" s="32">
        <f t="shared" ca="1" si="53"/>
        <v>0</v>
      </c>
      <c r="J177" s="32">
        <f t="shared" ca="1" si="44"/>
        <v>0</v>
      </c>
      <c r="K177" s="31">
        <f t="shared" ca="1" si="45"/>
        <v>0</v>
      </c>
      <c r="L177" s="52">
        <f t="shared" ca="1" si="46"/>
        <v>0</v>
      </c>
      <c r="M177" s="51">
        <f t="shared" ca="1" si="40"/>
        <v>8.9103491211374675E-2</v>
      </c>
      <c r="N177" s="51">
        <f t="shared" ca="1" si="54"/>
        <v>0</v>
      </c>
      <c r="O177" s="28" t="str">
        <f t="shared" ca="1" si="41"/>
        <v>Yes</v>
      </c>
      <c r="P177" s="51">
        <f t="shared" ca="1" si="47"/>
        <v>0</v>
      </c>
      <c r="Q177">
        <f t="shared" ca="1" si="55"/>
        <v>0</v>
      </c>
      <c r="R177">
        <f t="shared" ca="1" si="48"/>
        <v>0</v>
      </c>
      <c r="S177" s="14">
        <f t="shared" ca="1" si="49"/>
        <v>0</v>
      </c>
    </row>
    <row r="178" spans="1:19" x14ac:dyDescent="0.25">
      <c r="A178">
        <v>169</v>
      </c>
      <c r="B178" s="51">
        <f t="shared" ca="1" si="38"/>
        <v>5.7525682128973372</v>
      </c>
      <c r="C178" s="51">
        <f t="shared" ca="1" si="50"/>
        <v>483.11674212829593</v>
      </c>
      <c r="D178" s="11" t="str">
        <f t="shared" ca="1" si="42"/>
        <v>C1</v>
      </c>
      <c r="E178" s="51">
        <f t="shared" ca="1" si="51"/>
        <v>483.11674212829593</v>
      </c>
      <c r="F178" s="51">
        <f t="shared" ca="1" si="39"/>
        <v>4.855777547305614</v>
      </c>
      <c r="G178" s="51">
        <f t="shared" ca="1" si="52"/>
        <v>487.97251967560152</v>
      </c>
      <c r="H178" s="8" t="str">
        <f t="shared" ca="1" si="43"/>
        <v>No</v>
      </c>
      <c r="I178" s="32">
        <f t="shared" ca="1" si="53"/>
        <v>0</v>
      </c>
      <c r="J178" s="32">
        <f t="shared" ca="1" si="44"/>
        <v>2</v>
      </c>
      <c r="K178" s="31">
        <f t="shared" ca="1" si="45"/>
        <v>1</v>
      </c>
      <c r="L178" s="52">
        <f t="shared" ca="1" si="46"/>
        <v>0</v>
      </c>
      <c r="M178" s="51">
        <f t="shared" ca="1" si="40"/>
        <v>8.9734201017674096</v>
      </c>
      <c r="N178" s="51">
        <f t="shared" ca="1" si="54"/>
        <v>0</v>
      </c>
      <c r="O178" s="28" t="str">
        <f t="shared" ca="1" si="41"/>
        <v>Yes</v>
      </c>
      <c r="P178" s="51">
        <f t="shared" ca="1" si="47"/>
        <v>2.4500334262324373</v>
      </c>
      <c r="Q178">
        <f t="shared" ca="1" si="55"/>
        <v>0</v>
      </c>
      <c r="R178">
        <f t="shared" ca="1" si="48"/>
        <v>0</v>
      </c>
      <c r="S178" s="14">
        <f t="shared" ca="1" si="49"/>
        <v>0</v>
      </c>
    </row>
    <row r="179" spans="1:19" x14ac:dyDescent="0.25">
      <c r="A179">
        <v>170</v>
      </c>
      <c r="B179" s="51">
        <f t="shared" ca="1" si="38"/>
        <v>2.4057441210731438</v>
      </c>
      <c r="C179" s="51">
        <f t="shared" ca="1" si="50"/>
        <v>485.52248624936908</v>
      </c>
      <c r="D179" s="11" t="str">
        <f t="shared" ca="1" si="42"/>
        <v>C2</v>
      </c>
      <c r="E179" s="51">
        <f t="shared" ca="1" si="51"/>
        <v>0</v>
      </c>
      <c r="F179" s="51">
        <f t="shared" ca="1" si="39"/>
        <v>1.214186925710214</v>
      </c>
      <c r="G179" s="51">
        <f t="shared" ca="1" si="52"/>
        <v>0</v>
      </c>
      <c r="H179" s="8" t="str">
        <f t="shared" ca="1" si="43"/>
        <v>Yes</v>
      </c>
      <c r="I179" s="32">
        <f t="shared" ca="1" si="53"/>
        <v>3</v>
      </c>
      <c r="J179" s="32">
        <f t="shared" ca="1" si="44"/>
        <v>0</v>
      </c>
      <c r="K179" s="31">
        <f t="shared" ca="1" si="45"/>
        <v>1.5</v>
      </c>
      <c r="L179" s="52">
        <f t="shared" ca="1" si="46"/>
        <v>485.52248624936908</v>
      </c>
      <c r="M179" s="51">
        <f t="shared" ca="1" si="40"/>
        <v>1.4749799674800064</v>
      </c>
      <c r="N179" s="51">
        <f t="shared" ca="1" si="54"/>
        <v>486.99746621684909</v>
      </c>
      <c r="O179" s="28" t="str">
        <f t="shared" ca="1" si="41"/>
        <v>No</v>
      </c>
      <c r="P179" s="51">
        <f t="shared" ca="1" si="47"/>
        <v>0.40490006298745129</v>
      </c>
      <c r="Q179">
        <f t="shared" ca="1" si="55"/>
        <v>0</v>
      </c>
      <c r="R179">
        <f t="shared" ca="1" si="48"/>
        <v>1</v>
      </c>
      <c r="S179" s="14">
        <f t="shared" ca="1" si="49"/>
        <v>0.5</v>
      </c>
    </row>
    <row r="180" spans="1:19" x14ac:dyDescent="0.25">
      <c r="A180">
        <v>171</v>
      </c>
      <c r="B180" s="51">
        <f t="shared" ca="1" si="38"/>
        <v>1.0700799044925484</v>
      </c>
      <c r="C180" s="51">
        <f t="shared" ca="1" si="50"/>
        <v>486.59256615386164</v>
      </c>
      <c r="D180" s="11" t="str">
        <f t="shared" ca="1" si="42"/>
        <v>C1</v>
      </c>
      <c r="E180" s="51">
        <f t="shared" ca="1" si="51"/>
        <v>486.59256615386164</v>
      </c>
      <c r="F180" s="51">
        <f t="shared" ca="1" si="39"/>
        <v>3.8820240566249931</v>
      </c>
      <c r="G180" s="51">
        <f t="shared" ca="1" si="52"/>
        <v>490.47459021048661</v>
      </c>
      <c r="H180" s="8" t="str">
        <f t="shared" ca="1" si="43"/>
        <v>No</v>
      </c>
      <c r="I180" s="32">
        <f t="shared" ca="1" si="53"/>
        <v>0</v>
      </c>
      <c r="J180" s="32">
        <f t="shared" ca="1" si="44"/>
        <v>0</v>
      </c>
      <c r="K180" s="31">
        <f t="shared" ca="1" si="45"/>
        <v>0</v>
      </c>
      <c r="L180" s="52">
        <f t="shared" ca="1" si="46"/>
        <v>0</v>
      </c>
      <c r="M180" s="51">
        <f t="shared" ca="1" si="40"/>
        <v>10.888372204907689</v>
      </c>
      <c r="N180" s="51">
        <f t="shared" ca="1" si="54"/>
        <v>0</v>
      </c>
      <c r="O180" s="28" t="str">
        <f t="shared" ca="1" si="41"/>
        <v>Yes</v>
      </c>
      <c r="P180" s="51">
        <f t="shared" ca="1" si="47"/>
        <v>0</v>
      </c>
      <c r="Q180">
        <f t="shared" ca="1" si="55"/>
        <v>2</v>
      </c>
      <c r="R180">
        <f t="shared" ca="1" si="48"/>
        <v>0</v>
      </c>
      <c r="S180" s="14">
        <f t="shared" ca="1" si="49"/>
        <v>1</v>
      </c>
    </row>
    <row r="181" spans="1:19" x14ac:dyDescent="0.25">
      <c r="A181">
        <v>172</v>
      </c>
      <c r="B181" s="51">
        <f t="shared" ca="1" si="38"/>
        <v>6.2004837432427289</v>
      </c>
      <c r="C181" s="51">
        <f t="shared" ca="1" si="50"/>
        <v>492.79304989710437</v>
      </c>
      <c r="D181" s="11" t="str">
        <f t="shared" ca="1" si="42"/>
        <v>C1</v>
      </c>
      <c r="E181" s="51">
        <f t="shared" ca="1" si="51"/>
        <v>492.79304989710437</v>
      </c>
      <c r="F181" s="51">
        <f t="shared" ca="1" si="39"/>
        <v>0.57171493764923487</v>
      </c>
      <c r="G181" s="51">
        <f t="shared" ca="1" si="52"/>
        <v>493.3647648347536</v>
      </c>
      <c r="H181" s="8" t="str">
        <f t="shared" ca="1" si="43"/>
        <v>No</v>
      </c>
      <c r="I181" s="32">
        <f t="shared" ca="1" si="53"/>
        <v>0</v>
      </c>
      <c r="J181" s="32">
        <f t="shared" ca="1" si="44"/>
        <v>0</v>
      </c>
      <c r="K181" s="31">
        <f t="shared" ca="1" si="45"/>
        <v>0</v>
      </c>
      <c r="L181" s="52">
        <f t="shared" ca="1" si="46"/>
        <v>0</v>
      </c>
      <c r="M181" s="51">
        <f t="shared" ca="1" si="40"/>
        <v>2.5506912205997994</v>
      </c>
      <c r="N181" s="51">
        <f t="shared" ca="1" si="54"/>
        <v>0</v>
      </c>
      <c r="O181" s="28" t="str">
        <f t="shared" ca="1" si="41"/>
        <v>Yes</v>
      </c>
      <c r="P181" s="51">
        <f t="shared" ca="1" si="47"/>
        <v>0</v>
      </c>
      <c r="Q181">
        <f t="shared" ca="1" si="55"/>
        <v>0</v>
      </c>
      <c r="R181">
        <f t="shared" ca="1" si="48"/>
        <v>0</v>
      </c>
      <c r="S181" s="14">
        <f t="shared" ca="1" si="49"/>
        <v>0</v>
      </c>
    </row>
    <row r="182" spans="1:19" x14ac:dyDescent="0.25">
      <c r="A182">
        <v>173</v>
      </c>
      <c r="B182" s="51">
        <f t="shared" ca="1" si="38"/>
        <v>8.4051990971026633</v>
      </c>
      <c r="C182" s="51">
        <f t="shared" ca="1" si="50"/>
        <v>501.19824899420701</v>
      </c>
      <c r="D182" s="11" t="str">
        <f t="shared" ca="1" si="42"/>
        <v>C1</v>
      </c>
      <c r="E182" s="51">
        <f t="shared" ca="1" si="51"/>
        <v>501.19824899420701</v>
      </c>
      <c r="F182" s="51">
        <f t="shared" ca="1" si="39"/>
        <v>0.61991367460187918</v>
      </c>
      <c r="G182" s="51">
        <f t="shared" ca="1" si="52"/>
        <v>501.8181626688089</v>
      </c>
      <c r="H182" s="8" t="str">
        <f t="shared" ca="1" si="43"/>
        <v>No</v>
      </c>
      <c r="I182" s="32">
        <f t="shared" ca="1" si="53"/>
        <v>0</v>
      </c>
      <c r="J182" s="32">
        <f t="shared" ca="1" si="44"/>
        <v>0</v>
      </c>
      <c r="K182" s="31">
        <f t="shared" ca="1" si="45"/>
        <v>0</v>
      </c>
      <c r="L182" s="52">
        <f t="shared" ca="1" si="46"/>
        <v>0</v>
      </c>
      <c r="M182" s="51">
        <f t="shared" ca="1" si="40"/>
        <v>12.056445180882955</v>
      </c>
      <c r="N182" s="51">
        <f t="shared" ca="1" si="54"/>
        <v>0</v>
      </c>
      <c r="O182" s="28" t="str">
        <f t="shared" ca="1" si="41"/>
        <v>Yes</v>
      </c>
      <c r="P182" s="51">
        <f t="shared" ca="1" si="47"/>
        <v>0</v>
      </c>
      <c r="Q182">
        <f t="shared" ca="1" si="55"/>
        <v>0</v>
      </c>
      <c r="R182">
        <f t="shared" ca="1" si="48"/>
        <v>0</v>
      </c>
      <c r="S182" s="14">
        <f t="shared" ca="1" si="49"/>
        <v>0</v>
      </c>
    </row>
    <row r="183" spans="1:19" x14ac:dyDescent="0.25">
      <c r="A183">
        <v>174</v>
      </c>
      <c r="B183" s="51">
        <f t="shared" ca="1" si="38"/>
        <v>5.1589635720457929</v>
      </c>
      <c r="C183" s="51">
        <f t="shared" ca="1" si="50"/>
        <v>506.35721256625283</v>
      </c>
      <c r="D183" s="11" t="str">
        <f t="shared" ca="1" si="42"/>
        <v>C1</v>
      </c>
      <c r="E183" s="51">
        <f t="shared" ca="1" si="51"/>
        <v>506.35721256625283</v>
      </c>
      <c r="F183" s="51">
        <f t="shared" ca="1" si="39"/>
        <v>0.9841366243721128</v>
      </c>
      <c r="G183" s="51">
        <f t="shared" ca="1" si="52"/>
        <v>507.34134919062495</v>
      </c>
      <c r="H183" s="8" t="str">
        <f t="shared" ca="1" si="43"/>
        <v>No</v>
      </c>
      <c r="I183" s="32">
        <f t="shared" ca="1" si="53"/>
        <v>0</v>
      </c>
      <c r="J183" s="32">
        <f t="shared" ca="1" si="44"/>
        <v>0</v>
      </c>
      <c r="K183" s="31">
        <f t="shared" ca="1" si="45"/>
        <v>0</v>
      </c>
      <c r="L183" s="52">
        <f t="shared" ca="1" si="46"/>
        <v>0</v>
      </c>
      <c r="M183" s="51">
        <f t="shared" ca="1" si="40"/>
        <v>8.5328412291616829</v>
      </c>
      <c r="N183" s="51">
        <f t="shared" ca="1" si="54"/>
        <v>0</v>
      </c>
      <c r="O183" s="28" t="str">
        <f t="shared" ca="1" si="41"/>
        <v>Yes</v>
      </c>
      <c r="P183" s="51">
        <f t="shared" ca="1" si="47"/>
        <v>0</v>
      </c>
      <c r="Q183">
        <f t="shared" ca="1" si="55"/>
        <v>0</v>
      </c>
      <c r="R183">
        <f t="shared" ca="1" si="48"/>
        <v>0</v>
      </c>
      <c r="S183" s="14">
        <f t="shared" ca="1" si="49"/>
        <v>0</v>
      </c>
    </row>
    <row r="184" spans="1:19" x14ac:dyDescent="0.25">
      <c r="A184">
        <v>175</v>
      </c>
      <c r="B184" s="51">
        <f t="shared" ca="1" si="38"/>
        <v>4.2299664687253671</v>
      </c>
      <c r="C184" s="51">
        <f t="shared" ca="1" si="50"/>
        <v>510.58717903497819</v>
      </c>
      <c r="D184" s="11" t="str">
        <f t="shared" ca="1" si="42"/>
        <v>C1</v>
      </c>
      <c r="E184" s="51">
        <f t="shared" ca="1" si="51"/>
        <v>510.58717903497819</v>
      </c>
      <c r="F184" s="51">
        <f t="shared" ca="1" si="39"/>
        <v>1.5108685607111954</v>
      </c>
      <c r="G184" s="51">
        <f t="shared" ca="1" si="52"/>
        <v>512.09804759568942</v>
      </c>
      <c r="H184" s="8" t="str">
        <f t="shared" ca="1" si="43"/>
        <v>No</v>
      </c>
      <c r="I184" s="32">
        <f t="shared" ca="1" si="53"/>
        <v>0</v>
      </c>
      <c r="J184" s="32">
        <f t="shared" ca="1" si="44"/>
        <v>1</v>
      </c>
      <c r="K184" s="31">
        <f t="shared" ca="1" si="45"/>
        <v>0.5</v>
      </c>
      <c r="L184" s="52">
        <f t="shared" ca="1" si="46"/>
        <v>0</v>
      </c>
      <c r="M184" s="51">
        <f t="shared" ca="1" si="40"/>
        <v>0.24455769140760658</v>
      </c>
      <c r="N184" s="51">
        <f t="shared" ca="1" si="54"/>
        <v>0</v>
      </c>
      <c r="O184" s="28" t="str">
        <f t="shared" ca="1" si="41"/>
        <v>Yes</v>
      </c>
      <c r="P184" s="51">
        <f t="shared" ca="1" si="47"/>
        <v>0.77189689505138404</v>
      </c>
      <c r="Q184">
        <f t="shared" ca="1" si="55"/>
        <v>0</v>
      </c>
      <c r="R184">
        <f t="shared" ca="1" si="48"/>
        <v>0</v>
      </c>
      <c r="S184" s="14">
        <f t="shared" ca="1" si="49"/>
        <v>0</v>
      </c>
    </row>
    <row r="185" spans="1:19" x14ac:dyDescent="0.25">
      <c r="A185">
        <v>176</v>
      </c>
      <c r="B185" s="51">
        <f t="shared" ca="1" si="38"/>
        <v>0.73897166565985473</v>
      </c>
      <c r="C185" s="51">
        <f t="shared" ca="1" si="50"/>
        <v>511.32615070063804</v>
      </c>
      <c r="D185" s="11" t="str">
        <f t="shared" ca="1" si="42"/>
        <v>C2</v>
      </c>
      <c r="E185" s="51">
        <f t="shared" ca="1" si="51"/>
        <v>0</v>
      </c>
      <c r="F185" s="51">
        <f t="shared" ca="1" si="39"/>
        <v>0.20877915196969396</v>
      </c>
      <c r="G185" s="51">
        <f t="shared" ca="1" si="52"/>
        <v>0</v>
      </c>
      <c r="H185" s="8" t="str">
        <f t="shared" ca="1" si="43"/>
        <v>Yes</v>
      </c>
      <c r="I185" s="32">
        <f t="shared" ca="1" si="53"/>
        <v>2</v>
      </c>
      <c r="J185" s="32">
        <f t="shared" ca="1" si="44"/>
        <v>0</v>
      </c>
      <c r="K185" s="31">
        <f t="shared" ca="1" si="45"/>
        <v>1</v>
      </c>
      <c r="L185" s="52">
        <f t="shared" ca="1" si="46"/>
        <v>511.32615070063804</v>
      </c>
      <c r="M185" s="51">
        <f t="shared" ca="1" si="40"/>
        <v>1.9402463890495529</v>
      </c>
      <c r="N185" s="51">
        <f t="shared" ca="1" si="54"/>
        <v>513.26639708968764</v>
      </c>
      <c r="O185" s="28" t="str">
        <f t="shared" ca="1" si="41"/>
        <v>No</v>
      </c>
      <c r="P185" s="51">
        <f t="shared" ca="1" si="47"/>
        <v>0</v>
      </c>
      <c r="Q185">
        <f t="shared" ca="1" si="55"/>
        <v>0</v>
      </c>
      <c r="R185">
        <f t="shared" ca="1" si="48"/>
        <v>0</v>
      </c>
      <c r="S185" s="14">
        <f t="shared" ca="1" si="49"/>
        <v>0</v>
      </c>
    </row>
    <row r="186" spans="1:19" x14ac:dyDescent="0.25">
      <c r="A186">
        <v>177</v>
      </c>
      <c r="B186" s="51">
        <f t="shared" ca="1" si="38"/>
        <v>3.3697996205106149</v>
      </c>
      <c r="C186" s="51">
        <f t="shared" ca="1" si="50"/>
        <v>514.69595032114864</v>
      </c>
      <c r="D186" s="11" t="str">
        <f t="shared" ca="1" si="42"/>
        <v>C1</v>
      </c>
      <c r="E186" s="51">
        <f t="shared" ca="1" si="51"/>
        <v>514.69595032114864</v>
      </c>
      <c r="F186" s="51">
        <f t="shared" ca="1" si="39"/>
        <v>0.27696513911500092</v>
      </c>
      <c r="G186" s="51">
        <f t="shared" ca="1" si="52"/>
        <v>514.97291546026361</v>
      </c>
      <c r="H186" s="8" t="str">
        <f t="shared" ca="1" si="43"/>
        <v>No</v>
      </c>
      <c r="I186" s="32">
        <f t="shared" ca="1" si="53"/>
        <v>0</v>
      </c>
      <c r="J186" s="32">
        <f t="shared" ca="1" si="44"/>
        <v>0</v>
      </c>
      <c r="K186" s="31">
        <f t="shared" ca="1" si="45"/>
        <v>0</v>
      </c>
      <c r="L186" s="52">
        <f t="shared" ca="1" si="46"/>
        <v>0</v>
      </c>
      <c r="M186" s="51">
        <f t="shared" ca="1" si="40"/>
        <v>2.1887385951973357</v>
      </c>
      <c r="N186" s="51">
        <f t="shared" ca="1" si="54"/>
        <v>0</v>
      </c>
      <c r="O186" s="28" t="str">
        <f t="shared" ca="1" si="41"/>
        <v>Yes</v>
      </c>
      <c r="P186" s="51">
        <f t="shared" ca="1" si="47"/>
        <v>0</v>
      </c>
      <c r="Q186">
        <f t="shared" ca="1" si="55"/>
        <v>0</v>
      </c>
      <c r="R186">
        <f t="shared" ca="1" si="48"/>
        <v>0</v>
      </c>
      <c r="S186" s="14">
        <f t="shared" ca="1" si="49"/>
        <v>0</v>
      </c>
    </row>
    <row r="187" spans="1:19" x14ac:dyDescent="0.25">
      <c r="A187">
        <v>178</v>
      </c>
      <c r="B187" s="51">
        <f t="shared" ca="1" si="38"/>
        <v>0.50309876191487746</v>
      </c>
      <c r="C187" s="51">
        <f t="shared" ca="1" si="50"/>
        <v>515.19904908306353</v>
      </c>
      <c r="D187" s="11" t="str">
        <f t="shared" ca="1" si="42"/>
        <v>C1</v>
      </c>
      <c r="E187" s="51">
        <f t="shared" ca="1" si="51"/>
        <v>515.19904908306353</v>
      </c>
      <c r="F187" s="51">
        <f t="shared" ca="1" si="39"/>
        <v>3.9909968589812714</v>
      </c>
      <c r="G187" s="51">
        <f t="shared" ca="1" si="52"/>
        <v>519.19004594204478</v>
      </c>
      <c r="H187" s="8" t="str">
        <f t="shared" ca="1" si="43"/>
        <v>No</v>
      </c>
      <c r="I187" s="32">
        <f t="shared" ca="1" si="53"/>
        <v>0</v>
      </c>
      <c r="J187" s="32">
        <f t="shared" ca="1" si="44"/>
        <v>2</v>
      </c>
      <c r="K187" s="31">
        <f t="shared" ca="1" si="45"/>
        <v>1</v>
      </c>
      <c r="L187" s="52">
        <f t="shared" ca="1" si="46"/>
        <v>0</v>
      </c>
      <c r="M187" s="51">
        <f t="shared" ca="1" si="40"/>
        <v>4.3220753256760442</v>
      </c>
      <c r="N187" s="51">
        <f t="shared" ca="1" si="54"/>
        <v>0</v>
      </c>
      <c r="O187" s="28" t="str">
        <f t="shared" ca="1" si="41"/>
        <v>Yes</v>
      </c>
      <c r="P187" s="51">
        <f t="shared" ca="1" si="47"/>
        <v>3.1241517294890855</v>
      </c>
      <c r="Q187">
        <f t="shared" ca="1" si="55"/>
        <v>0</v>
      </c>
      <c r="R187">
        <f t="shared" ca="1" si="48"/>
        <v>0</v>
      </c>
      <c r="S187" s="14">
        <f t="shared" ca="1" si="49"/>
        <v>0</v>
      </c>
    </row>
    <row r="188" spans="1:19" x14ac:dyDescent="0.25">
      <c r="A188">
        <v>179</v>
      </c>
      <c r="B188" s="51">
        <f t="shared" ca="1" si="38"/>
        <v>0.86684512949213677</v>
      </c>
      <c r="C188" s="51">
        <f t="shared" ca="1" si="50"/>
        <v>516.06589421255569</v>
      </c>
      <c r="D188" s="11" t="str">
        <f t="shared" ca="1" si="42"/>
        <v>C2</v>
      </c>
      <c r="E188" s="51">
        <f t="shared" ca="1" si="51"/>
        <v>0</v>
      </c>
      <c r="F188" s="51">
        <f t="shared" ca="1" si="39"/>
        <v>1.2289372238895584</v>
      </c>
      <c r="G188" s="51">
        <f t="shared" ca="1" si="52"/>
        <v>0</v>
      </c>
      <c r="H188" s="8" t="str">
        <f t="shared" ca="1" si="43"/>
        <v>Yes</v>
      </c>
      <c r="I188" s="32">
        <f t="shared" ca="1" si="53"/>
        <v>3</v>
      </c>
      <c r="J188" s="32">
        <f t="shared" ca="1" si="44"/>
        <v>0</v>
      </c>
      <c r="K188" s="31">
        <f t="shared" ca="1" si="45"/>
        <v>1.5</v>
      </c>
      <c r="L188" s="52">
        <f t="shared" ca="1" si="46"/>
        <v>516.06589421255569</v>
      </c>
      <c r="M188" s="51">
        <f t="shared" ca="1" si="40"/>
        <v>5.0479109074692001</v>
      </c>
      <c r="N188" s="51">
        <f t="shared" ca="1" si="54"/>
        <v>521.11380512002484</v>
      </c>
      <c r="O188" s="28" t="str">
        <f t="shared" ca="1" si="41"/>
        <v>No</v>
      </c>
      <c r="P188" s="51">
        <f t="shared" ca="1" si="47"/>
        <v>2.8223627945608314</v>
      </c>
      <c r="Q188">
        <f t="shared" ca="1" si="55"/>
        <v>0</v>
      </c>
      <c r="R188">
        <f t="shared" ca="1" si="48"/>
        <v>1</v>
      </c>
      <c r="S188" s="14">
        <f t="shared" ca="1" si="49"/>
        <v>0.5</v>
      </c>
    </row>
    <row r="189" spans="1:19" x14ac:dyDescent="0.25">
      <c r="A189">
        <v>180</v>
      </c>
      <c r="B189" s="51">
        <f t="shared" ca="1" si="38"/>
        <v>2.2255481129083554</v>
      </c>
      <c r="C189" s="51">
        <f t="shared" ca="1" si="50"/>
        <v>518.291442325464</v>
      </c>
      <c r="D189" s="11" t="str">
        <f t="shared" ca="1" si="42"/>
        <v>C1</v>
      </c>
      <c r="E189" s="51">
        <f t="shared" ca="1" si="51"/>
        <v>518.291442325464</v>
      </c>
      <c r="F189" s="51">
        <f t="shared" ca="1" si="39"/>
        <v>14.102620201316675</v>
      </c>
      <c r="G189" s="51">
        <f t="shared" ca="1" si="52"/>
        <v>532.39406252678066</v>
      </c>
      <c r="H189" s="8" t="str">
        <f t="shared" ca="1" si="43"/>
        <v>No</v>
      </c>
      <c r="I189" s="32">
        <f t="shared" ca="1" si="53"/>
        <v>0</v>
      </c>
      <c r="J189" s="32">
        <f t="shared" ca="1" si="44"/>
        <v>3</v>
      </c>
      <c r="K189" s="31">
        <f t="shared" ca="1" si="45"/>
        <v>1.5</v>
      </c>
      <c r="L189" s="52">
        <f t="shared" ca="1" si="46"/>
        <v>0</v>
      </c>
      <c r="M189" s="51">
        <f t="shared" ca="1" si="40"/>
        <v>0.35697098414319539</v>
      </c>
      <c r="N189" s="51">
        <f t="shared" ca="1" si="54"/>
        <v>0</v>
      </c>
      <c r="O189" s="28" t="str">
        <f t="shared" ca="1" si="41"/>
        <v>Yes</v>
      </c>
      <c r="P189" s="51">
        <f t="shared" ca="1" si="47"/>
        <v>9.9703508136328765</v>
      </c>
      <c r="Q189">
        <f t="shared" ca="1" si="55"/>
        <v>2</v>
      </c>
      <c r="R189">
        <f t="shared" ca="1" si="48"/>
        <v>0</v>
      </c>
      <c r="S189" s="14">
        <f t="shared" ca="1" si="49"/>
        <v>1</v>
      </c>
    </row>
    <row r="190" spans="1:19" x14ac:dyDescent="0.25">
      <c r="A190">
        <v>181</v>
      </c>
      <c r="B190" s="51">
        <f t="shared" ca="1" si="38"/>
        <v>4.1322693876837615</v>
      </c>
      <c r="C190" s="51">
        <f t="shared" ca="1" si="50"/>
        <v>522.42371171314778</v>
      </c>
      <c r="D190" s="11" t="str">
        <f t="shared" ca="1" si="42"/>
        <v>C2</v>
      </c>
      <c r="E190" s="51">
        <f t="shared" ca="1" si="51"/>
        <v>0</v>
      </c>
      <c r="F190" s="51">
        <f t="shared" ca="1" si="39"/>
        <v>8.0922109777369098</v>
      </c>
      <c r="G190" s="51">
        <f t="shared" ca="1" si="52"/>
        <v>0</v>
      </c>
      <c r="H190" s="8" t="str">
        <f t="shared" ca="1" si="43"/>
        <v>Yes</v>
      </c>
      <c r="I190" s="32">
        <f t="shared" ca="1" si="53"/>
        <v>4</v>
      </c>
      <c r="J190" s="32">
        <f t="shared" ca="1" si="44"/>
        <v>0</v>
      </c>
      <c r="K190" s="31">
        <f t="shared" ca="1" si="45"/>
        <v>2</v>
      </c>
      <c r="L190" s="52">
        <f t="shared" ca="1" si="46"/>
        <v>522.42371171314778</v>
      </c>
      <c r="M190" s="51">
        <f t="shared" ca="1" si="40"/>
        <v>2.9670801379776246</v>
      </c>
      <c r="N190" s="51">
        <f t="shared" ca="1" si="54"/>
        <v>525.39079185112541</v>
      </c>
      <c r="O190" s="28" t="str">
        <f t="shared" ca="1" si="41"/>
        <v>No</v>
      </c>
      <c r="P190" s="51">
        <f t="shared" ca="1" si="47"/>
        <v>0</v>
      </c>
      <c r="Q190">
        <f t="shared" ca="1" si="55"/>
        <v>0</v>
      </c>
      <c r="R190">
        <f t="shared" ca="1" si="48"/>
        <v>0</v>
      </c>
      <c r="S190" s="14">
        <f t="shared" ca="1" si="49"/>
        <v>0</v>
      </c>
    </row>
    <row r="191" spans="1:19" x14ac:dyDescent="0.25">
      <c r="A191">
        <v>182</v>
      </c>
      <c r="B191" s="51">
        <f t="shared" ca="1" si="38"/>
        <v>4.9809236299814765</v>
      </c>
      <c r="C191" s="51">
        <f t="shared" ca="1" si="50"/>
        <v>527.40463534312926</v>
      </c>
      <c r="D191" s="11" t="str">
        <f t="shared" ca="1" si="42"/>
        <v>C1</v>
      </c>
      <c r="E191" s="51">
        <f t="shared" ca="1" si="51"/>
        <v>527.40463534312926</v>
      </c>
      <c r="F191" s="51">
        <f t="shared" ca="1" si="39"/>
        <v>2.4727723459146267</v>
      </c>
      <c r="G191" s="51">
        <f t="shared" ca="1" si="52"/>
        <v>529.87740768904393</v>
      </c>
      <c r="H191" s="8" t="str">
        <f t="shared" ca="1" si="43"/>
        <v>No</v>
      </c>
      <c r="I191" s="32">
        <f t="shared" ca="1" si="53"/>
        <v>0</v>
      </c>
      <c r="J191" s="32">
        <f t="shared" ca="1" si="44"/>
        <v>0</v>
      </c>
      <c r="K191" s="31">
        <f t="shared" ca="1" si="45"/>
        <v>0</v>
      </c>
      <c r="L191" s="52">
        <f t="shared" ca="1" si="46"/>
        <v>0</v>
      </c>
      <c r="M191" s="51">
        <f t="shared" ca="1" si="40"/>
        <v>0.83480396235764531</v>
      </c>
      <c r="N191" s="51">
        <f t="shared" ca="1" si="54"/>
        <v>0</v>
      </c>
      <c r="O191" s="28" t="str">
        <f t="shared" ca="1" si="41"/>
        <v>Yes</v>
      </c>
      <c r="P191" s="51">
        <f t="shared" ca="1" si="47"/>
        <v>0</v>
      </c>
      <c r="Q191">
        <f t="shared" ca="1" si="55"/>
        <v>0</v>
      </c>
      <c r="R191">
        <f t="shared" ca="1" si="48"/>
        <v>0</v>
      </c>
      <c r="S191" s="14">
        <f t="shared" ca="1" si="49"/>
        <v>0</v>
      </c>
    </row>
    <row r="192" spans="1:19" x14ac:dyDescent="0.25">
      <c r="A192">
        <v>183</v>
      </c>
      <c r="B192" s="51">
        <f t="shared" ca="1" si="38"/>
        <v>4.3427592604608654</v>
      </c>
      <c r="C192" s="51">
        <f t="shared" ca="1" si="50"/>
        <v>531.74739460359012</v>
      </c>
      <c r="D192" s="11" t="str">
        <f t="shared" ca="1" si="42"/>
        <v>C1</v>
      </c>
      <c r="E192" s="51">
        <f t="shared" ca="1" si="51"/>
        <v>531.74739460359012</v>
      </c>
      <c r="F192" s="51">
        <f t="shared" ca="1" si="39"/>
        <v>1.299815060373819</v>
      </c>
      <c r="G192" s="51">
        <f t="shared" ca="1" si="52"/>
        <v>533.04720966396394</v>
      </c>
      <c r="H192" s="8" t="str">
        <f t="shared" ca="1" si="43"/>
        <v>No</v>
      </c>
      <c r="I192" s="32">
        <f t="shared" ca="1" si="53"/>
        <v>0</v>
      </c>
      <c r="J192" s="32">
        <f t="shared" ca="1" si="44"/>
        <v>0</v>
      </c>
      <c r="K192" s="31">
        <f t="shared" ca="1" si="45"/>
        <v>0</v>
      </c>
      <c r="L192" s="52">
        <f t="shared" ca="1" si="46"/>
        <v>0</v>
      </c>
      <c r="M192" s="51">
        <f t="shared" ca="1" si="40"/>
        <v>6.5088816512527581</v>
      </c>
      <c r="N192" s="51">
        <f t="shared" ca="1" si="54"/>
        <v>0</v>
      </c>
      <c r="O192" s="28" t="str">
        <f t="shared" ca="1" si="41"/>
        <v>Yes</v>
      </c>
      <c r="P192" s="51">
        <f t="shared" ca="1" si="47"/>
        <v>0</v>
      </c>
      <c r="Q192">
        <f t="shared" ca="1" si="55"/>
        <v>0</v>
      </c>
      <c r="R192">
        <f t="shared" ca="1" si="48"/>
        <v>0</v>
      </c>
      <c r="S192" s="14">
        <f t="shared" ca="1" si="49"/>
        <v>0</v>
      </c>
    </row>
    <row r="193" spans="1:19" x14ac:dyDescent="0.25">
      <c r="A193">
        <v>184</v>
      </c>
      <c r="B193" s="51">
        <f t="shared" ca="1" si="38"/>
        <v>4.0736352501901019</v>
      </c>
      <c r="C193" s="51">
        <f t="shared" ca="1" si="50"/>
        <v>535.82102985378026</v>
      </c>
      <c r="D193" s="11" t="str">
        <f t="shared" ca="1" si="42"/>
        <v>C1</v>
      </c>
      <c r="E193" s="51">
        <f t="shared" ca="1" si="51"/>
        <v>535.82102985378026</v>
      </c>
      <c r="F193" s="51">
        <f t="shared" ca="1" si="39"/>
        <v>0.64149388203105318</v>
      </c>
      <c r="G193" s="51">
        <f t="shared" ca="1" si="52"/>
        <v>536.46252373581126</v>
      </c>
      <c r="H193" s="8" t="str">
        <f t="shared" ca="1" si="43"/>
        <v>No</v>
      </c>
      <c r="I193" s="32">
        <f t="shared" ca="1" si="53"/>
        <v>0</v>
      </c>
      <c r="J193" s="32">
        <f t="shared" ca="1" si="44"/>
        <v>0</v>
      </c>
      <c r="K193" s="31">
        <f t="shared" ca="1" si="45"/>
        <v>0</v>
      </c>
      <c r="L193" s="52">
        <f t="shared" ca="1" si="46"/>
        <v>0</v>
      </c>
      <c r="M193" s="51">
        <f t="shared" ca="1" si="40"/>
        <v>5.9257041486278865</v>
      </c>
      <c r="N193" s="51">
        <f t="shared" ca="1" si="54"/>
        <v>0</v>
      </c>
      <c r="O193" s="28" t="str">
        <f t="shared" ca="1" si="41"/>
        <v>Yes</v>
      </c>
      <c r="P193" s="51">
        <f t="shared" ca="1" si="47"/>
        <v>0</v>
      </c>
      <c r="Q193">
        <f t="shared" ca="1" si="55"/>
        <v>0</v>
      </c>
      <c r="R193">
        <f t="shared" ca="1" si="48"/>
        <v>0</v>
      </c>
      <c r="S193" s="14">
        <f t="shared" ca="1" si="49"/>
        <v>0</v>
      </c>
    </row>
    <row r="194" spans="1:19" x14ac:dyDescent="0.25">
      <c r="A194">
        <v>185</v>
      </c>
      <c r="B194" s="51">
        <f t="shared" ca="1" si="38"/>
        <v>1.2566502130823649</v>
      </c>
      <c r="C194" s="51">
        <f t="shared" ca="1" si="50"/>
        <v>537.07768006686263</v>
      </c>
      <c r="D194" s="11" t="str">
        <f t="shared" ca="1" si="42"/>
        <v>C1</v>
      </c>
      <c r="E194" s="51">
        <f t="shared" ca="1" si="51"/>
        <v>537.07768006686263</v>
      </c>
      <c r="F194" s="51">
        <f t="shared" ca="1" si="39"/>
        <v>6.8502933599721469</v>
      </c>
      <c r="G194" s="51">
        <f t="shared" ca="1" si="52"/>
        <v>543.9279734268348</v>
      </c>
      <c r="H194" s="8" t="str">
        <f t="shared" ca="1" si="43"/>
        <v>No</v>
      </c>
      <c r="I194" s="32">
        <f t="shared" ca="1" si="53"/>
        <v>0</v>
      </c>
      <c r="J194" s="32">
        <f t="shared" ca="1" si="44"/>
        <v>0</v>
      </c>
      <c r="K194" s="31">
        <f t="shared" ca="1" si="45"/>
        <v>0</v>
      </c>
      <c r="L194" s="52">
        <f t="shared" ca="1" si="46"/>
        <v>0</v>
      </c>
      <c r="M194" s="51">
        <f t="shared" ca="1" si="40"/>
        <v>3.1881500010171679</v>
      </c>
      <c r="N194" s="51">
        <f t="shared" ca="1" si="54"/>
        <v>0</v>
      </c>
      <c r="O194" s="28" t="str">
        <f t="shared" ca="1" si="41"/>
        <v>Yes</v>
      </c>
      <c r="P194" s="51">
        <f t="shared" ca="1" si="47"/>
        <v>0</v>
      </c>
      <c r="Q194">
        <f t="shared" ca="1" si="55"/>
        <v>0</v>
      </c>
      <c r="R194">
        <f t="shared" ca="1" si="48"/>
        <v>0</v>
      </c>
      <c r="S194" s="14">
        <f t="shared" ca="1" si="49"/>
        <v>0</v>
      </c>
    </row>
    <row r="195" spans="1:19" x14ac:dyDescent="0.25">
      <c r="A195">
        <v>186</v>
      </c>
      <c r="B195" s="51">
        <f t="shared" ca="1" si="38"/>
        <v>9.3614369746847981</v>
      </c>
      <c r="C195" s="51">
        <f t="shared" ca="1" si="50"/>
        <v>546.43911704154743</v>
      </c>
      <c r="D195" s="11" t="str">
        <f t="shared" ca="1" si="42"/>
        <v>C1</v>
      </c>
      <c r="E195" s="51">
        <f t="shared" ca="1" si="51"/>
        <v>546.43911704154743</v>
      </c>
      <c r="F195" s="51">
        <f t="shared" ca="1" si="39"/>
        <v>1.9451904787067533</v>
      </c>
      <c r="G195" s="51">
        <f t="shared" ca="1" si="52"/>
        <v>548.3843075202542</v>
      </c>
      <c r="H195" s="8" t="str">
        <f t="shared" ca="1" si="43"/>
        <v>No</v>
      </c>
      <c r="I195" s="32">
        <f t="shared" ca="1" si="53"/>
        <v>0</v>
      </c>
      <c r="J195" s="32">
        <f t="shared" ca="1" si="44"/>
        <v>1</v>
      </c>
      <c r="K195" s="31">
        <f t="shared" ca="1" si="45"/>
        <v>0.5</v>
      </c>
      <c r="L195" s="52">
        <f t="shared" ca="1" si="46"/>
        <v>0</v>
      </c>
      <c r="M195" s="51">
        <f t="shared" ca="1" si="40"/>
        <v>1.33472586242304</v>
      </c>
      <c r="N195" s="51">
        <f t="shared" ca="1" si="54"/>
        <v>0</v>
      </c>
      <c r="O195" s="28" t="str">
        <f t="shared" ca="1" si="41"/>
        <v>Yes</v>
      </c>
      <c r="P195" s="51">
        <f t="shared" ca="1" si="47"/>
        <v>0.87466279716352346</v>
      </c>
      <c r="Q195">
        <f t="shared" ca="1" si="55"/>
        <v>0</v>
      </c>
      <c r="R195">
        <f t="shared" ca="1" si="48"/>
        <v>0</v>
      </c>
      <c r="S195" s="14">
        <f t="shared" ca="1" si="49"/>
        <v>0</v>
      </c>
    </row>
    <row r="196" spans="1:19" x14ac:dyDescent="0.25">
      <c r="A196">
        <v>187</v>
      </c>
      <c r="B196" s="51">
        <f t="shared" ca="1" si="38"/>
        <v>1.0705276815432609</v>
      </c>
      <c r="C196" s="51">
        <f t="shared" ca="1" si="50"/>
        <v>547.50964472309067</v>
      </c>
      <c r="D196" s="11" t="str">
        <f t="shared" ca="1" si="42"/>
        <v>C2</v>
      </c>
      <c r="E196" s="51">
        <f t="shared" ca="1" si="51"/>
        <v>0</v>
      </c>
      <c r="F196" s="51">
        <f t="shared" ca="1" si="39"/>
        <v>1.8302537746502017</v>
      </c>
      <c r="G196" s="51">
        <f t="shared" ca="1" si="52"/>
        <v>0</v>
      </c>
      <c r="H196" s="8" t="str">
        <f t="shared" ca="1" si="43"/>
        <v>Yes</v>
      </c>
      <c r="I196" s="32">
        <f t="shared" ca="1" si="53"/>
        <v>2</v>
      </c>
      <c r="J196" s="32">
        <f t="shared" ca="1" si="44"/>
        <v>0</v>
      </c>
      <c r="K196" s="31">
        <f t="shared" ca="1" si="45"/>
        <v>1</v>
      </c>
      <c r="L196" s="52">
        <f t="shared" ca="1" si="46"/>
        <v>547.50964472309067</v>
      </c>
      <c r="M196" s="51">
        <f t="shared" ca="1" si="40"/>
        <v>3.5074723438000737</v>
      </c>
      <c r="N196" s="51">
        <f t="shared" ca="1" si="54"/>
        <v>551.01711706689071</v>
      </c>
      <c r="O196" s="28" t="str">
        <f t="shared" ca="1" si="41"/>
        <v>No</v>
      </c>
      <c r="P196" s="51">
        <f t="shared" ca="1" si="47"/>
        <v>1.4036070827729645</v>
      </c>
      <c r="Q196">
        <f t="shared" ca="1" si="55"/>
        <v>0</v>
      </c>
      <c r="R196">
        <f t="shared" ca="1" si="48"/>
        <v>1</v>
      </c>
      <c r="S196" s="14">
        <f t="shared" ca="1" si="49"/>
        <v>0.5</v>
      </c>
    </row>
    <row r="197" spans="1:19" x14ac:dyDescent="0.25">
      <c r="A197">
        <v>188</v>
      </c>
      <c r="B197" s="51">
        <f t="shared" ca="1" si="38"/>
        <v>2.103865261027059</v>
      </c>
      <c r="C197" s="51">
        <f t="shared" ca="1" si="50"/>
        <v>549.61350998411774</v>
      </c>
      <c r="D197" s="11" t="str">
        <f t="shared" ca="1" si="42"/>
        <v>C1</v>
      </c>
      <c r="E197" s="51">
        <f t="shared" ca="1" si="51"/>
        <v>549.61350998411774</v>
      </c>
      <c r="F197" s="51">
        <f t="shared" ca="1" si="39"/>
        <v>1.1098219159585292</v>
      </c>
      <c r="G197" s="51">
        <f t="shared" ca="1" si="52"/>
        <v>550.72333190007623</v>
      </c>
      <c r="H197" s="8" t="str">
        <f t="shared" ca="1" si="43"/>
        <v>No</v>
      </c>
      <c r="I197" s="32">
        <f t="shared" ca="1" si="53"/>
        <v>0</v>
      </c>
      <c r="J197" s="32">
        <f t="shared" ca="1" si="44"/>
        <v>0</v>
      </c>
      <c r="K197" s="31">
        <f t="shared" ca="1" si="45"/>
        <v>0</v>
      </c>
      <c r="L197" s="52">
        <f t="shared" ca="1" si="46"/>
        <v>0</v>
      </c>
      <c r="M197" s="51">
        <f t="shared" ca="1" si="40"/>
        <v>7.7162032779523673E-2</v>
      </c>
      <c r="N197" s="51">
        <f t="shared" ca="1" si="54"/>
        <v>0</v>
      </c>
      <c r="O197" s="28" t="str">
        <f t="shared" ca="1" si="41"/>
        <v>Yes</v>
      </c>
      <c r="P197" s="51">
        <f t="shared" ca="1" si="47"/>
        <v>0</v>
      </c>
      <c r="Q197">
        <f t="shared" ca="1" si="55"/>
        <v>2</v>
      </c>
      <c r="R197">
        <f t="shared" ca="1" si="48"/>
        <v>0</v>
      </c>
      <c r="S197" s="14">
        <f t="shared" ca="1" si="49"/>
        <v>1</v>
      </c>
    </row>
    <row r="198" spans="1:19" x14ac:dyDescent="0.25">
      <c r="A198">
        <v>189</v>
      </c>
      <c r="B198" s="51">
        <f t="shared" ca="1" si="38"/>
        <v>3.6778753019778998</v>
      </c>
      <c r="C198" s="51">
        <f t="shared" ca="1" si="50"/>
        <v>553.29138528609565</v>
      </c>
      <c r="D198" s="11" t="str">
        <f t="shared" ca="1" si="42"/>
        <v>C1</v>
      </c>
      <c r="E198" s="51">
        <f t="shared" ca="1" si="51"/>
        <v>553.29138528609565</v>
      </c>
      <c r="F198" s="51">
        <f t="shared" ca="1" si="39"/>
        <v>1.3147703303105776</v>
      </c>
      <c r="G198" s="51">
        <f t="shared" ca="1" si="52"/>
        <v>554.60615561640623</v>
      </c>
      <c r="H198" s="8" t="str">
        <f t="shared" ca="1" si="43"/>
        <v>No</v>
      </c>
      <c r="I198" s="32">
        <f t="shared" ca="1" si="53"/>
        <v>0</v>
      </c>
      <c r="J198" s="32">
        <f t="shared" ca="1" si="44"/>
        <v>0</v>
      </c>
      <c r="K198" s="31">
        <f t="shared" ca="1" si="45"/>
        <v>0</v>
      </c>
      <c r="L198" s="52">
        <f t="shared" ca="1" si="46"/>
        <v>0</v>
      </c>
      <c r="M198" s="51">
        <f t="shared" ca="1" si="40"/>
        <v>0.11915284147126869</v>
      </c>
      <c r="N198" s="51">
        <f t="shared" ca="1" si="54"/>
        <v>0</v>
      </c>
      <c r="O198" s="28" t="str">
        <f t="shared" ca="1" si="41"/>
        <v>Yes</v>
      </c>
      <c r="P198" s="51">
        <f t="shared" ca="1" si="47"/>
        <v>0</v>
      </c>
      <c r="Q198">
        <f t="shared" ca="1" si="55"/>
        <v>0</v>
      </c>
      <c r="R198">
        <f t="shared" ca="1" si="48"/>
        <v>0</v>
      </c>
      <c r="S198" s="14">
        <f t="shared" ca="1" si="49"/>
        <v>0</v>
      </c>
    </row>
    <row r="199" spans="1:19" x14ac:dyDescent="0.25">
      <c r="A199">
        <v>190</v>
      </c>
      <c r="B199" s="51">
        <f t="shared" ca="1" si="38"/>
        <v>10.251379023742711</v>
      </c>
      <c r="C199" s="51">
        <f t="shared" ca="1" si="50"/>
        <v>563.54276430983839</v>
      </c>
      <c r="D199" s="11" t="str">
        <f t="shared" ca="1" si="42"/>
        <v>C1</v>
      </c>
      <c r="E199" s="51">
        <f t="shared" ca="1" si="51"/>
        <v>563.54276430983839</v>
      </c>
      <c r="F199" s="51">
        <f t="shared" ca="1" si="39"/>
        <v>1.0960839384468484</v>
      </c>
      <c r="G199" s="51">
        <f t="shared" ca="1" si="52"/>
        <v>564.63884824828529</v>
      </c>
      <c r="H199" s="8" t="str">
        <f t="shared" ca="1" si="43"/>
        <v>No</v>
      </c>
      <c r="I199" s="32">
        <f t="shared" ca="1" si="53"/>
        <v>0</v>
      </c>
      <c r="J199" s="32">
        <f t="shared" ca="1" si="44"/>
        <v>0</v>
      </c>
      <c r="K199" s="31">
        <f t="shared" ca="1" si="45"/>
        <v>0</v>
      </c>
      <c r="L199" s="52">
        <f t="shared" ca="1" si="46"/>
        <v>0</v>
      </c>
      <c r="M199" s="51">
        <f t="shared" ca="1" si="40"/>
        <v>1.6652989225628791</v>
      </c>
      <c r="N199" s="51">
        <f t="shared" ca="1" si="54"/>
        <v>0</v>
      </c>
      <c r="O199" s="28" t="str">
        <f t="shared" ca="1" si="41"/>
        <v>Yes</v>
      </c>
      <c r="P199" s="51">
        <f t="shared" ca="1" si="47"/>
        <v>0</v>
      </c>
      <c r="Q199">
        <f t="shared" ca="1" si="55"/>
        <v>0</v>
      </c>
      <c r="R199">
        <f t="shared" ca="1" si="48"/>
        <v>0</v>
      </c>
      <c r="S199" s="14">
        <f t="shared" ca="1" si="49"/>
        <v>0</v>
      </c>
    </row>
    <row r="200" spans="1:19" x14ac:dyDescent="0.25">
      <c r="A200">
        <v>191</v>
      </c>
      <c r="B200" s="51">
        <f t="shared" ca="1" si="38"/>
        <v>1.8155734159171901</v>
      </c>
      <c r="C200" s="51">
        <f t="shared" ca="1" si="50"/>
        <v>565.35833772575563</v>
      </c>
      <c r="D200" s="11" t="str">
        <f t="shared" ca="1" si="42"/>
        <v>C1</v>
      </c>
      <c r="E200" s="51">
        <f t="shared" ca="1" si="51"/>
        <v>565.35833772575563</v>
      </c>
      <c r="F200" s="51">
        <f t="shared" ca="1" si="39"/>
        <v>0.21527623458766751</v>
      </c>
      <c r="G200" s="51">
        <f t="shared" ca="1" si="52"/>
        <v>565.57361396034332</v>
      </c>
      <c r="H200" s="8" t="str">
        <f t="shared" ca="1" si="43"/>
        <v>No</v>
      </c>
      <c r="I200" s="32">
        <f t="shared" ca="1" si="53"/>
        <v>0</v>
      </c>
      <c r="J200" s="32">
        <f t="shared" ca="1" si="44"/>
        <v>0</v>
      </c>
      <c r="K200" s="31">
        <f t="shared" ca="1" si="45"/>
        <v>0</v>
      </c>
      <c r="L200" s="52">
        <f t="shared" ca="1" si="46"/>
        <v>0</v>
      </c>
      <c r="M200" s="51">
        <f t="shared" ca="1" si="40"/>
        <v>3.7110300174804598</v>
      </c>
      <c r="N200" s="51">
        <f t="shared" ca="1" si="54"/>
        <v>0</v>
      </c>
      <c r="O200" s="28" t="str">
        <f t="shared" ca="1" si="41"/>
        <v>Yes</v>
      </c>
      <c r="P200" s="51">
        <f t="shared" ca="1" si="47"/>
        <v>0</v>
      </c>
      <c r="Q200">
        <f t="shared" ca="1" si="55"/>
        <v>0</v>
      </c>
      <c r="R200">
        <f t="shared" ca="1" si="48"/>
        <v>0</v>
      </c>
      <c r="S200" s="14">
        <f t="shared" ca="1" si="49"/>
        <v>0</v>
      </c>
    </row>
    <row r="201" spans="1:19" x14ac:dyDescent="0.25">
      <c r="A201">
        <v>192</v>
      </c>
      <c r="B201" s="51">
        <f t="shared" ca="1" si="38"/>
        <v>6.3091484077115565</v>
      </c>
      <c r="C201" s="51">
        <f t="shared" ca="1" si="50"/>
        <v>571.66748613346715</v>
      </c>
      <c r="D201" s="11" t="str">
        <f t="shared" ca="1" si="42"/>
        <v>C1</v>
      </c>
      <c r="E201" s="51">
        <f t="shared" ca="1" si="51"/>
        <v>571.66748613346715</v>
      </c>
      <c r="F201" s="51">
        <f t="shared" ca="1" si="39"/>
        <v>2.152033956288808</v>
      </c>
      <c r="G201" s="51">
        <f t="shared" ca="1" si="52"/>
        <v>573.819520089756</v>
      </c>
      <c r="H201" s="8" t="str">
        <f t="shared" ca="1" si="43"/>
        <v>No</v>
      </c>
      <c r="I201" s="32">
        <f t="shared" ca="1" si="53"/>
        <v>0</v>
      </c>
      <c r="J201" s="32">
        <f t="shared" ca="1" si="44"/>
        <v>0</v>
      </c>
      <c r="K201" s="31">
        <f t="shared" ca="1" si="45"/>
        <v>0</v>
      </c>
      <c r="L201" s="52">
        <f t="shared" ca="1" si="46"/>
        <v>0</v>
      </c>
      <c r="M201" s="51">
        <f t="shared" ca="1" si="40"/>
        <v>2.9410390383658482</v>
      </c>
      <c r="N201" s="51">
        <f t="shared" ca="1" si="54"/>
        <v>0</v>
      </c>
      <c r="O201" s="28" t="str">
        <f t="shared" ca="1" si="41"/>
        <v>Yes</v>
      </c>
      <c r="P201" s="51">
        <f t="shared" ca="1" si="47"/>
        <v>0</v>
      </c>
      <c r="Q201">
        <f t="shared" ca="1" si="55"/>
        <v>0</v>
      </c>
      <c r="R201">
        <f t="shared" ca="1" si="48"/>
        <v>0</v>
      </c>
      <c r="S201" s="14">
        <f t="shared" ca="1" si="49"/>
        <v>0</v>
      </c>
    </row>
    <row r="202" spans="1:19" x14ac:dyDescent="0.25">
      <c r="A202">
        <v>193</v>
      </c>
      <c r="B202" s="51">
        <f t="shared" ref="B202:B265" ca="1" si="56">-LN(RAND())/$H$3</f>
        <v>5.3660006965034261</v>
      </c>
      <c r="C202" s="51">
        <f t="shared" ca="1" si="50"/>
        <v>577.03348682997057</v>
      </c>
      <c r="D202" s="11" t="str">
        <f t="shared" ca="1" si="42"/>
        <v>C1</v>
      </c>
      <c r="E202" s="51">
        <f t="shared" ca="1" si="51"/>
        <v>577.03348682997057</v>
      </c>
      <c r="F202" s="51">
        <f t="shared" ref="F202:F265" ca="1" si="57">-LN(RAND())/$H$5</f>
        <v>0.73989222139405242</v>
      </c>
      <c r="G202" s="51">
        <f t="shared" ca="1" si="52"/>
        <v>577.7733790513646</v>
      </c>
      <c r="H202" s="8" t="str">
        <f t="shared" ca="1" si="43"/>
        <v>No</v>
      </c>
      <c r="I202" s="32">
        <f t="shared" ca="1" si="53"/>
        <v>0</v>
      </c>
      <c r="J202" s="32">
        <f t="shared" ca="1" si="44"/>
        <v>0</v>
      </c>
      <c r="K202" s="31">
        <f t="shared" ca="1" si="45"/>
        <v>0</v>
      </c>
      <c r="L202" s="52">
        <f t="shared" ca="1" si="46"/>
        <v>0</v>
      </c>
      <c r="M202" s="51">
        <f t="shared" ref="M202:M265" ca="1" si="58">-LN(RAND())/$H$5</f>
        <v>2.771808528269498</v>
      </c>
      <c r="N202" s="51">
        <f t="shared" ca="1" si="54"/>
        <v>0</v>
      </c>
      <c r="O202" s="28" t="str">
        <f t="shared" ref="O202:O265" ca="1" si="59">IF(D202="C2","No","Yes")</f>
        <v>Yes</v>
      </c>
      <c r="P202" s="51">
        <f t="shared" ca="1" si="47"/>
        <v>0</v>
      </c>
      <c r="Q202">
        <f t="shared" ca="1" si="55"/>
        <v>0</v>
      </c>
      <c r="R202">
        <f t="shared" ca="1" si="48"/>
        <v>0</v>
      </c>
      <c r="S202" s="14">
        <f t="shared" ca="1" si="49"/>
        <v>0</v>
      </c>
    </row>
    <row r="203" spans="1:19" x14ac:dyDescent="0.25">
      <c r="A203">
        <v>194</v>
      </c>
      <c r="B203" s="51">
        <f t="shared" ca="1" si="56"/>
        <v>0.80808723102705327</v>
      </c>
      <c r="C203" s="51">
        <f t="shared" ca="1" si="50"/>
        <v>577.84157406099757</v>
      </c>
      <c r="D203" s="11" t="str">
        <f t="shared" ref="D203:D266" ca="1" si="60">IF(C203&gt;G202,"C1",IF(C203&gt;N202,"C2"))</f>
        <v>C1</v>
      </c>
      <c r="E203" s="51">
        <f t="shared" ca="1" si="51"/>
        <v>577.84157406099757</v>
      </c>
      <c r="F203" s="51">
        <f t="shared" ca="1" si="57"/>
        <v>2.0624490276641509</v>
      </c>
      <c r="G203" s="51">
        <f t="shared" ca="1" si="52"/>
        <v>579.90402308866169</v>
      </c>
      <c r="H203" s="8" t="str">
        <f t="shared" ref="H203:H266" ca="1" si="61">IF(D203="C1","No","Yes")</f>
        <v>No</v>
      </c>
      <c r="I203" s="32">
        <f t="shared" ca="1" si="53"/>
        <v>0</v>
      </c>
      <c r="J203" s="32">
        <f t="shared" ref="J203:J266" ca="1" si="62">IF($G203&lt;=$C204,0,IF($G203&lt;=$C205,1,IF($G203&lt;=$C206,2,IF($G203&lt;=$C207,3,IF($G203&lt;=$C208,4,5)))))</f>
        <v>0</v>
      </c>
      <c r="K203" s="31">
        <f t="shared" ref="K203:K266" ca="1" si="63">AVERAGE(I203:J203)</f>
        <v>0</v>
      </c>
      <c r="L203" s="52">
        <f t="shared" ref="L203:L266" ca="1" si="64">IF(D203="C2",C203,0)</f>
        <v>0</v>
      </c>
      <c r="M203" s="51">
        <f t="shared" ca="1" si="58"/>
        <v>8.5691424430210663</v>
      </c>
      <c r="N203" s="51">
        <f t="shared" ca="1" si="54"/>
        <v>0</v>
      </c>
      <c r="O203" s="28" t="str">
        <f t="shared" ca="1" si="59"/>
        <v>Yes</v>
      </c>
      <c r="P203" s="51">
        <f t="shared" ref="P203:P266" ca="1" si="65">IF(D203="C1",IF(G203&lt;C204,0,G203-C204),IF(N203&lt;C204,0,N203-C204))</f>
        <v>0</v>
      </c>
      <c r="Q203">
        <f t="shared" ca="1" si="55"/>
        <v>0</v>
      </c>
      <c r="R203">
        <f t="shared" ref="R203:R266" ca="1" si="66">IF($N203&lt;=$C204,0,IF($N203&lt;=$C205,1,IF($N203&lt;=$C206,2,IF($N203&lt;=$C207,3,IF($N203&lt;=$C208,4,5)))))</f>
        <v>0</v>
      </c>
      <c r="S203" s="14">
        <f t="shared" ref="S203:S266" ca="1" si="67">AVERAGE(Q203:R203)</f>
        <v>0</v>
      </c>
    </row>
    <row r="204" spans="1:19" x14ac:dyDescent="0.25">
      <c r="A204">
        <v>195</v>
      </c>
      <c r="B204" s="51">
        <f t="shared" ca="1" si="56"/>
        <v>4.7718068548399382</v>
      </c>
      <c r="C204" s="51">
        <f t="shared" ref="C204:C267" ca="1" si="68">C203+B204</f>
        <v>582.61338091583752</v>
      </c>
      <c r="D204" s="11" t="str">
        <f t="shared" ca="1" si="60"/>
        <v>C1</v>
      </c>
      <c r="E204" s="51">
        <f t="shared" ref="E204:E267" ca="1" si="69">IF(D204="C1",C204,0)</f>
        <v>582.61338091583752</v>
      </c>
      <c r="F204" s="51">
        <f t="shared" ca="1" si="57"/>
        <v>7.2965150977369504</v>
      </c>
      <c r="G204" s="51">
        <f t="shared" ref="G204:G267" ca="1" si="70">IF(E204=0,0,F204+E204)</f>
        <v>589.90989601357444</v>
      </c>
      <c r="H204" s="8" t="str">
        <f t="shared" ca="1" si="61"/>
        <v>No</v>
      </c>
      <c r="I204" s="32">
        <f t="shared" ref="I204:I267" ca="1" si="71">IF(G203&lt;=$C204,0,$J203+1)</f>
        <v>0</v>
      </c>
      <c r="J204" s="32">
        <f t="shared" ca="1" si="62"/>
        <v>1</v>
      </c>
      <c r="K204" s="31">
        <f t="shared" ca="1" si="63"/>
        <v>0.5</v>
      </c>
      <c r="L204" s="52">
        <f t="shared" ca="1" si="64"/>
        <v>0</v>
      </c>
      <c r="M204" s="51">
        <f t="shared" ca="1" si="58"/>
        <v>3.3993511604055331E-2</v>
      </c>
      <c r="N204" s="51">
        <f t="shared" ref="N204:N267" ca="1" si="72">IF(L204=0,0,M204+L204)</f>
        <v>0</v>
      </c>
      <c r="O204" s="28" t="str">
        <f t="shared" ca="1" si="59"/>
        <v>Yes</v>
      </c>
      <c r="P204" s="51">
        <f t="shared" ca="1" si="65"/>
        <v>4.0390971266771203</v>
      </c>
      <c r="Q204">
        <f t="shared" ref="Q204:Q267" ca="1" si="73">IF($N203&lt;=$C204,0,$R203+1)</f>
        <v>0</v>
      </c>
      <c r="R204">
        <f t="shared" ca="1" si="66"/>
        <v>0</v>
      </c>
      <c r="S204" s="14">
        <f t="shared" ca="1" si="67"/>
        <v>0</v>
      </c>
    </row>
    <row r="205" spans="1:19" x14ac:dyDescent="0.25">
      <c r="A205">
        <v>196</v>
      </c>
      <c r="B205" s="51">
        <f t="shared" ca="1" si="56"/>
        <v>3.2574179710598181</v>
      </c>
      <c r="C205" s="51">
        <f t="shared" ca="1" si="68"/>
        <v>585.87079888689732</v>
      </c>
      <c r="D205" s="11" t="str">
        <f t="shared" ca="1" si="60"/>
        <v>C2</v>
      </c>
      <c r="E205" s="51">
        <f t="shared" ca="1" si="69"/>
        <v>0</v>
      </c>
      <c r="F205" s="51">
        <f t="shared" ca="1" si="57"/>
        <v>1.0063702173185234</v>
      </c>
      <c r="G205" s="51">
        <f t="shared" ca="1" si="70"/>
        <v>0</v>
      </c>
      <c r="H205" s="8" t="str">
        <f t="shared" ca="1" si="61"/>
        <v>Yes</v>
      </c>
      <c r="I205" s="32">
        <f t="shared" ca="1" si="71"/>
        <v>2</v>
      </c>
      <c r="J205" s="32">
        <f t="shared" ca="1" si="62"/>
        <v>0</v>
      </c>
      <c r="K205" s="31">
        <f t="shared" ca="1" si="63"/>
        <v>1</v>
      </c>
      <c r="L205" s="52">
        <f t="shared" ca="1" si="64"/>
        <v>585.87079888689732</v>
      </c>
      <c r="M205" s="51">
        <f t="shared" ca="1" si="58"/>
        <v>0.96675215459754438</v>
      </c>
      <c r="N205" s="51">
        <f t="shared" ca="1" si="72"/>
        <v>586.83755104149486</v>
      </c>
      <c r="O205" s="28" t="str">
        <f t="shared" ca="1" si="59"/>
        <v>No</v>
      </c>
      <c r="P205" s="51">
        <f t="shared" ca="1" si="65"/>
        <v>0</v>
      </c>
      <c r="Q205">
        <f t="shared" ca="1" si="73"/>
        <v>0</v>
      </c>
      <c r="R205">
        <f t="shared" ca="1" si="66"/>
        <v>0</v>
      </c>
      <c r="S205" s="14">
        <f t="shared" ca="1" si="67"/>
        <v>0</v>
      </c>
    </row>
    <row r="206" spans="1:19" x14ac:dyDescent="0.25">
      <c r="A206">
        <v>197</v>
      </c>
      <c r="B206" s="51">
        <f t="shared" ca="1" si="56"/>
        <v>8.5893027541209932</v>
      </c>
      <c r="C206" s="51">
        <f t="shared" ca="1" si="68"/>
        <v>594.46010164101835</v>
      </c>
      <c r="D206" s="11" t="str">
        <f t="shared" ca="1" si="60"/>
        <v>C1</v>
      </c>
      <c r="E206" s="51">
        <f t="shared" ca="1" si="69"/>
        <v>594.46010164101835</v>
      </c>
      <c r="F206" s="51">
        <f t="shared" ca="1" si="57"/>
        <v>2.7960599452024479</v>
      </c>
      <c r="G206" s="51">
        <f t="shared" ca="1" si="70"/>
        <v>597.25616158622086</v>
      </c>
      <c r="H206" s="8" t="str">
        <f t="shared" ca="1" si="61"/>
        <v>No</v>
      </c>
      <c r="I206" s="32">
        <f t="shared" ca="1" si="71"/>
        <v>0</v>
      </c>
      <c r="J206" s="32">
        <f t="shared" ca="1" si="62"/>
        <v>1</v>
      </c>
      <c r="K206" s="31">
        <f t="shared" ca="1" si="63"/>
        <v>0.5</v>
      </c>
      <c r="L206" s="52">
        <f t="shared" ca="1" si="64"/>
        <v>0</v>
      </c>
      <c r="M206" s="51">
        <f t="shared" ca="1" si="58"/>
        <v>2.2524991846242903</v>
      </c>
      <c r="N206" s="51">
        <f t="shared" ca="1" si="72"/>
        <v>0</v>
      </c>
      <c r="O206" s="28" t="str">
        <f t="shared" ca="1" si="59"/>
        <v>Yes</v>
      </c>
      <c r="P206" s="51">
        <f t="shared" ca="1" si="65"/>
        <v>2.1134261373889558</v>
      </c>
      <c r="Q206">
        <f t="shared" ca="1" si="73"/>
        <v>0</v>
      </c>
      <c r="R206">
        <f t="shared" ca="1" si="66"/>
        <v>0</v>
      </c>
      <c r="S206" s="14">
        <f t="shared" ca="1" si="67"/>
        <v>0</v>
      </c>
    </row>
    <row r="207" spans="1:19" x14ac:dyDescent="0.25">
      <c r="A207">
        <v>198</v>
      </c>
      <c r="B207" s="51">
        <f t="shared" ca="1" si="56"/>
        <v>0.68263380781349581</v>
      </c>
      <c r="C207" s="51">
        <f t="shared" ca="1" si="68"/>
        <v>595.1427354488319</v>
      </c>
      <c r="D207" s="11" t="str">
        <f t="shared" ca="1" si="60"/>
        <v>C2</v>
      </c>
      <c r="E207" s="51">
        <f t="shared" ca="1" si="69"/>
        <v>0</v>
      </c>
      <c r="F207" s="51">
        <f t="shared" ca="1" si="57"/>
        <v>1.858213090269087</v>
      </c>
      <c r="G207" s="51">
        <f t="shared" ca="1" si="70"/>
        <v>0</v>
      </c>
      <c r="H207" s="8" t="str">
        <f t="shared" ca="1" si="61"/>
        <v>Yes</v>
      </c>
      <c r="I207" s="32">
        <f t="shared" ca="1" si="71"/>
        <v>2</v>
      </c>
      <c r="J207" s="32">
        <f t="shared" ca="1" si="62"/>
        <v>0</v>
      </c>
      <c r="K207" s="31">
        <f t="shared" ca="1" si="63"/>
        <v>1</v>
      </c>
      <c r="L207" s="52">
        <f t="shared" ca="1" si="64"/>
        <v>595.1427354488319</v>
      </c>
      <c r="M207" s="51">
        <f t="shared" ca="1" si="58"/>
        <v>2.5159576143915796</v>
      </c>
      <c r="N207" s="51">
        <f t="shared" ca="1" si="72"/>
        <v>597.6586930632235</v>
      </c>
      <c r="O207" s="28" t="str">
        <f t="shared" ca="1" si="59"/>
        <v>No</v>
      </c>
      <c r="P207" s="51">
        <f t="shared" ca="1" si="65"/>
        <v>0</v>
      </c>
      <c r="Q207">
        <f t="shared" ca="1" si="73"/>
        <v>0</v>
      </c>
      <c r="R207">
        <f t="shared" ca="1" si="66"/>
        <v>0</v>
      </c>
      <c r="S207" s="14">
        <f t="shared" ca="1" si="67"/>
        <v>0</v>
      </c>
    </row>
    <row r="208" spans="1:19" x14ac:dyDescent="0.25">
      <c r="A208">
        <v>199</v>
      </c>
      <c r="B208" s="51">
        <f t="shared" ca="1" si="56"/>
        <v>4.5845832765696715</v>
      </c>
      <c r="C208" s="51">
        <f t="shared" ca="1" si="68"/>
        <v>599.72731872540157</v>
      </c>
      <c r="D208" s="11" t="str">
        <f t="shared" ca="1" si="60"/>
        <v>C1</v>
      </c>
      <c r="E208" s="51">
        <f t="shared" ca="1" si="69"/>
        <v>599.72731872540157</v>
      </c>
      <c r="F208" s="51">
        <f t="shared" ca="1" si="57"/>
        <v>3.9772826437560194</v>
      </c>
      <c r="G208" s="51">
        <f t="shared" ca="1" si="70"/>
        <v>603.70460136915756</v>
      </c>
      <c r="H208" s="8" t="str">
        <f t="shared" ca="1" si="61"/>
        <v>No</v>
      </c>
      <c r="I208" s="32">
        <f t="shared" ca="1" si="71"/>
        <v>0</v>
      </c>
      <c r="J208" s="32">
        <f t="shared" ca="1" si="62"/>
        <v>1</v>
      </c>
      <c r="K208" s="31">
        <f t="shared" ca="1" si="63"/>
        <v>0.5</v>
      </c>
      <c r="L208" s="52">
        <f t="shared" ca="1" si="64"/>
        <v>0</v>
      </c>
      <c r="M208" s="51">
        <f t="shared" ca="1" si="58"/>
        <v>0.42701865146083134</v>
      </c>
      <c r="N208" s="51">
        <f t="shared" ca="1" si="72"/>
        <v>0</v>
      </c>
      <c r="O208" s="28" t="str">
        <f t="shared" ca="1" si="59"/>
        <v>Yes</v>
      </c>
      <c r="P208" s="51">
        <f t="shared" ca="1" si="65"/>
        <v>1.2956495479215846E-2</v>
      </c>
      <c r="Q208">
        <f t="shared" ca="1" si="73"/>
        <v>0</v>
      </c>
      <c r="R208">
        <f t="shared" ca="1" si="66"/>
        <v>0</v>
      </c>
      <c r="S208" s="14">
        <f t="shared" ca="1" si="67"/>
        <v>0</v>
      </c>
    </row>
    <row r="209" spans="1:19" x14ac:dyDescent="0.25">
      <c r="A209">
        <v>200</v>
      </c>
      <c r="B209" s="51">
        <f t="shared" ca="1" si="56"/>
        <v>3.9643261482768195</v>
      </c>
      <c r="C209" s="51">
        <f t="shared" ca="1" si="68"/>
        <v>603.69164487367834</v>
      </c>
      <c r="D209" s="11" t="str">
        <f t="shared" ca="1" si="60"/>
        <v>C2</v>
      </c>
      <c r="E209" s="51">
        <f t="shared" ca="1" si="69"/>
        <v>0</v>
      </c>
      <c r="F209" s="51">
        <f t="shared" ca="1" si="57"/>
        <v>6.5023589186072392</v>
      </c>
      <c r="G209" s="51">
        <f t="shared" ca="1" si="70"/>
        <v>0</v>
      </c>
      <c r="H209" s="8" t="str">
        <f t="shared" ca="1" si="61"/>
        <v>Yes</v>
      </c>
      <c r="I209" s="32">
        <f t="shared" ca="1" si="71"/>
        <v>2</v>
      </c>
      <c r="J209" s="32">
        <f t="shared" ca="1" si="62"/>
        <v>0</v>
      </c>
      <c r="K209" s="31">
        <f t="shared" ca="1" si="63"/>
        <v>1</v>
      </c>
      <c r="L209" s="52">
        <f t="shared" ca="1" si="64"/>
        <v>603.69164487367834</v>
      </c>
      <c r="M209" s="51">
        <f t="shared" ca="1" si="58"/>
        <v>0.26993114061498502</v>
      </c>
      <c r="N209" s="51">
        <f t="shared" ca="1" si="72"/>
        <v>603.96157601429331</v>
      </c>
      <c r="O209" s="28" t="str">
        <f t="shared" ca="1" si="59"/>
        <v>No</v>
      </c>
      <c r="P209" s="51">
        <f t="shared" ca="1" si="65"/>
        <v>0</v>
      </c>
      <c r="Q209">
        <f t="shared" ca="1" si="73"/>
        <v>0</v>
      </c>
      <c r="R209">
        <f t="shared" ca="1" si="66"/>
        <v>0</v>
      </c>
      <c r="S209" s="14">
        <f t="shared" ca="1" si="67"/>
        <v>0</v>
      </c>
    </row>
    <row r="210" spans="1:19" x14ac:dyDescent="0.25">
      <c r="A210">
        <v>201</v>
      </c>
      <c r="B210" s="51">
        <f t="shared" ca="1" si="56"/>
        <v>3.6987734981384945</v>
      </c>
      <c r="C210" s="51">
        <f t="shared" ca="1" si="68"/>
        <v>607.39041837181685</v>
      </c>
      <c r="D210" s="11" t="str">
        <f t="shared" ca="1" si="60"/>
        <v>C1</v>
      </c>
      <c r="E210" s="51">
        <f t="shared" ca="1" si="69"/>
        <v>607.39041837181685</v>
      </c>
      <c r="F210" s="51">
        <f t="shared" ca="1" si="57"/>
        <v>7.1559040633906363</v>
      </c>
      <c r="G210" s="51">
        <f t="shared" ca="1" si="70"/>
        <v>614.54632243520746</v>
      </c>
      <c r="H210" s="8" t="str">
        <f t="shared" ca="1" si="61"/>
        <v>No</v>
      </c>
      <c r="I210" s="32">
        <f t="shared" ca="1" si="71"/>
        <v>0</v>
      </c>
      <c r="J210" s="32">
        <f t="shared" ca="1" si="62"/>
        <v>3</v>
      </c>
      <c r="K210" s="31">
        <f t="shared" ca="1" si="63"/>
        <v>1.5</v>
      </c>
      <c r="L210" s="52">
        <f t="shared" ca="1" si="64"/>
        <v>0</v>
      </c>
      <c r="M210" s="51">
        <f t="shared" ca="1" si="58"/>
        <v>0.21900336482416285</v>
      </c>
      <c r="N210" s="51">
        <f t="shared" ca="1" si="72"/>
        <v>0</v>
      </c>
      <c r="O210" s="28" t="str">
        <f t="shared" ca="1" si="59"/>
        <v>Yes</v>
      </c>
      <c r="P210" s="51">
        <f t="shared" ca="1" si="65"/>
        <v>5.6523448914971368</v>
      </c>
      <c r="Q210">
        <f t="shared" ca="1" si="73"/>
        <v>0</v>
      </c>
      <c r="R210">
        <f t="shared" ca="1" si="66"/>
        <v>0</v>
      </c>
      <c r="S210" s="14">
        <f t="shared" ca="1" si="67"/>
        <v>0</v>
      </c>
    </row>
    <row r="211" spans="1:19" x14ac:dyDescent="0.25">
      <c r="A211">
        <v>202</v>
      </c>
      <c r="B211" s="51">
        <f t="shared" ca="1" si="56"/>
        <v>1.50355917189346</v>
      </c>
      <c r="C211" s="51">
        <f t="shared" ca="1" si="68"/>
        <v>608.89397754371032</v>
      </c>
      <c r="D211" s="11" t="str">
        <f t="shared" ca="1" si="60"/>
        <v>C2</v>
      </c>
      <c r="E211" s="51">
        <f t="shared" ca="1" si="69"/>
        <v>0</v>
      </c>
      <c r="F211" s="51">
        <f t="shared" ca="1" si="57"/>
        <v>3.1477637631845181</v>
      </c>
      <c r="G211" s="51">
        <f t="shared" ca="1" si="70"/>
        <v>0</v>
      </c>
      <c r="H211" s="8" t="str">
        <f t="shared" ca="1" si="61"/>
        <v>Yes</v>
      </c>
      <c r="I211" s="32">
        <f t="shared" ca="1" si="71"/>
        <v>4</v>
      </c>
      <c r="J211" s="32">
        <f t="shared" ca="1" si="62"/>
        <v>0</v>
      </c>
      <c r="K211" s="31">
        <f t="shared" ca="1" si="63"/>
        <v>2</v>
      </c>
      <c r="L211" s="52">
        <f t="shared" ca="1" si="64"/>
        <v>608.89397754371032</v>
      </c>
      <c r="M211" s="51">
        <f t="shared" ca="1" si="58"/>
        <v>3.1339332318565787</v>
      </c>
      <c r="N211" s="51">
        <f t="shared" ca="1" si="72"/>
        <v>612.02791077556685</v>
      </c>
      <c r="O211" s="28" t="str">
        <f t="shared" ca="1" si="59"/>
        <v>No</v>
      </c>
      <c r="P211" s="51">
        <f t="shared" ca="1" si="65"/>
        <v>2.7839856210889593</v>
      </c>
      <c r="Q211">
        <f t="shared" ca="1" si="73"/>
        <v>0</v>
      </c>
      <c r="R211">
        <f t="shared" ca="1" si="66"/>
        <v>1</v>
      </c>
      <c r="S211" s="14">
        <f t="shared" ca="1" si="67"/>
        <v>0.5</v>
      </c>
    </row>
    <row r="212" spans="1:19" x14ac:dyDescent="0.25">
      <c r="A212">
        <v>203</v>
      </c>
      <c r="B212" s="51">
        <f t="shared" ca="1" si="56"/>
        <v>0.34994761076757014</v>
      </c>
      <c r="C212" s="51">
        <f t="shared" ca="1" si="68"/>
        <v>609.24392515447789</v>
      </c>
      <c r="D212" s="11" t="str">
        <f t="shared" ca="1" si="60"/>
        <v>C1</v>
      </c>
      <c r="E212" s="51">
        <f t="shared" ca="1" si="69"/>
        <v>609.24392515447789</v>
      </c>
      <c r="F212" s="51">
        <f t="shared" ca="1" si="57"/>
        <v>0.56192653346562227</v>
      </c>
      <c r="G212" s="51">
        <f t="shared" ca="1" si="70"/>
        <v>609.80585168794346</v>
      </c>
      <c r="H212" s="8" t="str">
        <f t="shared" ca="1" si="61"/>
        <v>No</v>
      </c>
      <c r="I212" s="32">
        <f t="shared" ca="1" si="71"/>
        <v>0</v>
      </c>
      <c r="J212" s="32">
        <f t="shared" ca="1" si="62"/>
        <v>0</v>
      </c>
      <c r="K212" s="31">
        <f t="shared" ca="1" si="63"/>
        <v>0</v>
      </c>
      <c r="L212" s="52">
        <f t="shared" ca="1" si="64"/>
        <v>0</v>
      </c>
      <c r="M212" s="51">
        <f t="shared" ca="1" si="58"/>
        <v>3.5209117742713816</v>
      </c>
      <c r="N212" s="51">
        <f t="shared" ca="1" si="72"/>
        <v>0</v>
      </c>
      <c r="O212" s="28" t="str">
        <f t="shared" ca="1" si="59"/>
        <v>Yes</v>
      </c>
      <c r="P212" s="51">
        <f t="shared" ca="1" si="65"/>
        <v>0</v>
      </c>
      <c r="Q212">
        <f t="shared" ca="1" si="73"/>
        <v>2</v>
      </c>
      <c r="R212">
        <f t="shared" ca="1" si="66"/>
        <v>0</v>
      </c>
      <c r="S212" s="14">
        <f t="shared" ca="1" si="67"/>
        <v>1</v>
      </c>
    </row>
    <row r="213" spans="1:19" x14ac:dyDescent="0.25">
      <c r="A213">
        <v>204</v>
      </c>
      <c r="B213" s="51">
        <f t="shared" ca="1" si="56"/>
        <v>4.1748525129250975</v>
      </c>
      <c r="C213" s="51">
        <f t="shared" ca="1" si="68"/>
        <v>613.41877766740299</v>
      </c>
      <c r="D213" s="11" t="str">
        <f t="shared" ca="1" si="60"/>
        <v>C1</v>
      </c>
      <c r="E213" s="51">
        <f t="shared" ca="1" si="69"/>
        <v>613.41877766740299</v>
      </c>
      <c r="F213" s="51">
        <f t="shared" ca="1" si="57"/>
        <v>0.29222168747492394</v>
      </c>
      <c r="G213" s="51">
        <f t="shared" ca="1" si="70"/>
        <v>613.71099935487791</v>
      </c>
      <c r="H213" s="8" t="str">
        <f t="shared" ca="1" si="61"/>
        <v>No</v>
      </c>
      <c r="I213" s="32">
        <f t="shared" ca="1" si="71"/>
        <v>0</v>
      </c>
      <c r="J213" s="32">
        <f t="shared" ca="1" si="62"/>
        <v>0</v>
      </c>
      <c r="K213" s="31">
        <f t="shared" ca="1" si="63"/>
        <v>0</v>
      </c>
      <c r="L213" s="52">
        <f t="shared" ca="1" si="64"/>
        <v>0</v>
      </c>
      <c r="M213" s="51">
        <f t="shared" ca="1" si="58"/>
        <v>0.37202995284555174</v>
      </c>
      <c r="N213" s="51">
        <f t="shared" ca="1" si="72"/>
        <v>0</v>
      </c>
      <c r="O213" s="28" t="str">
        <f t="shared" ca="1" si="59"/>
        <v>Yes</v>
      </c>
      <c r="P213" s="51">
        <f t="shared" ca="1" si="65"/>
        <v>0</v>
      </c>
      <c r="Q213">
        <f t="shared" ca="1" si="73"/>
        <v>0</v>
      </c>
      <c r="R213">
        <f t="shared" ca="1" si="66"/>
        <v>0</v>
      </c>
      <c r="S213" s="14">
        <f t="shared" ca="1" si="67"/>
        <v>0</v>
      </c>
    </row>
    <row r="214" spans="1:19" x14ac:dyDescent="0.25">
      <c r="A214">
        <v>205</v>
      </c>
      <c r="B214" s="51">
        <f t="shared" ca="1" si="56"/>
        <v>7.9589238094488746</v>
      </c>
      <c r="C214" s="51">
        <f t="shared" ca="1" si="68"/>
        <v>621.37770147685183</v>
      </c>
      <c r="D214" s="11" t="str">
        <f t="shared" ca="1" si="60"/>
        <v>C1</v>
      </c>
      <c r="E214" s="51">
        <f t="shared" ca="1" si="69"/>
        <v>621.37770147685183</v>
      </c>
      <c r="F214" s="51">
        <f t="shared" ca="1" si="57"/>
        <v>3.5666032853449861</v>
      </c>
      <c r="G214" s="51">
        <f t="shared" ca="1" si="70"/>
        <v>624.94430476219679</v>
      </c>
      <c r="H214" s="8" t="str">
        <f t="shared" ca="1" si="61"/>
        <v>No</v>
      </c>
      <c r="I214" s="32">
        <f t="shared" ca="1" si="71"/>
        <v>0</v>
      </c>
      <c r="J214" s="32">
        <f t="shared" ca="1" si="62"/>
        <v>2</v>
      </c>
      <c r="K214" s="31">
        <f t="shared" ca="1" si="63"/>
        <v>1</v>
      </c>
      <c r="L214" s="52">
        <f t="shared" ca="1" si="64"/>
        <v>0</v>
      </c>
      <c r="M214" s="51">
        <f t="shared" ca="1" si="58"/>
        <v>3.8675507751305358</v>
      </c>
      <c r="N214" s="51">
        <f t="shared" ca="1" si="72"/>
        <v>0</v>
      </c>
      <c r="O214" s="28" t="str">
        <f t="shared" ca="1" si="59"/>
        <v>Yes</v>
      </c>
      <c r="P214" s="51">
        <f t="shared" ca="1" si="65"/>
        <v>0.70194765775147516</v>
      </c>
      <c r="Q214">
        <f t="shared" ca="1" si="73"/>
        <v>0</v>
      </c>
      <c r="R214">
        <f t="shared" ca="1" si="66"/>
        <v>0</v>
      </c>
      <c r="S214" s="14">
        <f t="shared" ca="1" si="67"/>
        <v>0</v>
      </c>
    </row>
    <row r="215" spans="1:19" x14ac:dyDescent="0.25">
      <c r="A215">
        <v>206</v>
      </c>
      <c r="B215" s="51">
        <f t="shared" ca="1" si="56"/>
        <v>2.8646556275934985</v>
      </c>
      <c r="C215" s="51">
        <f t="shared" ca="1" si="68"/>
        <v>624.24235710444532</v>
      </c>
      <c r="D215" s="11" t="str">
        <f t="shared" ca="1" si="60"/>
        <v>C2</v>
      </c>
      <c r="E215" s="51">
        <f t="shared" ca="1" si="69"/>
        <v>0</v>
      </c>
      <c r="F215" s="51">
        <f t="shared" ca="1" si="57"/>
        <v>0.14801232430364483</v>
      </c>
      <c r="G215" s="51">
        <f t="shared" ca="1" si="70"/>
        <v>0</v>
      </c>
      <c r="H215" s="8" t="str">
        <f t="shared" ca="1" si="61"/>
        <v>Yes</v>
      </c>
      <c r="I215" s="32">
        <f t="shared" ca="1" si="71"/>
        <v>3</v>
      </c>
      <c r="J215" s="32">
        <f t="shared" ca="1" si="62"/>
        <v>0</v>
      </c>
      <c r="K215" s="31">
        <f t="shared" ca="1" si="63"/>
        <v>1.5</v>
      </c>
      <c r="L215" s="52">
        <f t="shared" ca="1" si="64"/>
        <v>624.24235710444532</v>
      </c>
      <c r="M215" s="51">
        <f t="shared" ca="1" si="58"/>
        <v>1.0074054362007034</v>
      </c>
      <c r="N215" s="51">
        <f t="shared" ca="1" si="72"/>
        <v>625.24976254064597</v>
      </c>
      <c r="O215" s="28" t="str">
        <f t="shared" ca="1" si="59"/>
        <v>No</v>
      </c>
      <c r="P215" s="51">
        <f t="shared" ca="1" si="65"/>
        <v>0.62848552069362995</v>
      </c>
      <c r="Q215">
        <f t="shared" ca="1" si="73"/>
        <v>0</v>
      </c>
      <c r="R215">
        <f t="shared" ca="1" si="66"/>
        <v>1</v>
      </c>
      <c r="S215" s="14">
        <f t="shared" ca="1" si="67"/>
        <v>0.5</v>
      </c>
    </row>
    <row r="216" spans="1:19" x14ac:dyDescent="0.25">
      <c r="A216">
        <v>207</v>
      </c>
      <c r="B216" s="51">
        <f t="shared" ca="1" si="56"/>
        <v>0.37891991550708137</v>
      </c>
      <c r="C216" s="51">
        <f t="shared" ca="1" si="68"/>
        <v>624.62127701995234</v>
      </c>
      <c r="D216" s="11" t="str">
        <f t="shared" ca="1" si="60"/>
        <v>C1</v>
      </c>
      <c r="E216" s="51">
        <f t="shared" ca="1" si="69"/>
        <v>624.62127701995234</v>
      </c>
      <c r="F216" s="51">
        <f t="shared" ca="1" si="57"/>
        <v>1.7217446629571911</v>
      </c>
      <c r="G216" s="51">
        <f t="shared" ca="1" si="70"/>
        <v>626.34302168290958</v>
      </c>
      <c r="H216" s="8" t="str">
        <f t="shared" ca="1" si="61"/>
        <v>No</v>
      </c>
      <c r="I216" s="32">
        <f t="shared" ca="1" si="71"/>
        <v>0</v>
      </c>
      <c r="J216" s="32">
        <f t="shared" ca="1" si="62"/>
        <v>1</v>
      </c>
      <c r="K216" s="31">
        <f t="shared" ca="1" si="63"/>
        <v>0.5</v>
      </c>
      <c r="L216" s="52">
        <f t="shared" ca="1" si="64"/>
        <v>0</v>
      </c>
      <c r="M216" s="51">
        <f t="shared" ca="1" si="58"/>
        <v>8.1542992091051261</v>
      </c>
      <c r="N216" s="51">
        <f t="shared" ca="1" si="72"/>
        <v>0</v>
      </c>
      <c r="O216" s="28" t="str">
        <f t="shared" ca="1" si="59"/>
        <v>Yes</v>
      </c>
      <c r="P216" s="51">
        <f t="shared" ca="1" si="65"/>
        <v>0.22354949085274711</v>
      </c>
      <c r="Q216">
        <f t="shared" ca="1" si="73"/>
        <v>2</v>
      </c>
      <c r="R216">
        <f t="shared" ca="1" si="66"/>
        <v>0</v>
      </c>
      <c r="S216" s="14">
        <f t="shared" ca="1" si="67"/>
        <v>1</v>
      </c>
    </row>
    <row r="217" spans="1:19" x14ac:dyDescent="0.25">
      <c r="A217">
        <v>208</v>
      </c>
      <c r="B217" s="51">
        <f t="shared" ca="1" si="56"/>
        <v>1.4981951721044415</v>
      </c>
      <c r="C217" s="51">
        <f t="shared" ca="1" si="68"/>
        <v>626.11947219205683</v>
      </c>
      <c r="D217" s="11" t="str">
        <f t="shared" ca="1" si="60"/>
        <v>C2</v>
      </c>
      <c r="E217" s="51">
        <f t="shared" ca="1" si="69"/>
        <v>0</v>
      </c>
      <c r="F217" s="51">
        <f t="shared" ca="1" si="57"/>
        <v>6.9954910312595445E-2</v>
      </c>
      <c r="G217" s="51">
        <f t="shared" ca="1" si="70"/>
        <v>0</v>
      </c>
      <c r="H217" s="8" t="str">
        <f t="shared" ca="1" si="61"/>
        <v>Yes</v>
      </c>
      <c r="I217" s="32">
        <f t="shared" ca="1" si="71"/>
        <v>2</v>
      </c>
      <c r="J217" s="32">
        <f t="shared" ca="1" si="62"/>
        <v>0</v>
      </c>
      <c r="K217" s="31">
        <f t="shared" ca="1" si="63"/>
        <v>1</v>
      </c>
      <c r="L217" s="52">
        <f t="shared" ca="1" si="64"/>
        <v>626.11947219205683</v>
      </c>
      <c r="M217" s="51">
        <f t="shared" ca="1" si="58"/>
        <v>0.88866504195792373</v>
      </c>
      <c r="N217" s="51">
        <f t="shared" ca="1" si="72"/>
        <v>627.00813723401473</v>
      </c>
      <c r="O217" s="28" t="str">
        <f t="shared" ca="1" si="59"/>
        <v>No</v>
      </c>
      <c r="P217" s="51">
        <f t="shared" ca="1" si="65"/>
        <v>0</v>
      </c>
      <c r="Q217">
        <f t="shared" ca="1" si="73"/>
        <v>0</v>
      </c>
      <c r="R217">
        <f t="shared" ca="1" si="66"/>
        <v>0</v>
      </c>
      <c r="S217" s="14">
        <f t="shared" ca="1" si="67"/>
        <v>0</v>
      </c>
    </row>
    <row r="218" spans="1:19" x14ac:dyDescent="0.25">
      <c r="A218">
        <v>209</v>
      </c>
      <c r="B218" s="51">
        <f t="shared" ca="1" si="56"/>
        <v>4.478244327654255</v>
      </c>
      <c r="C218" s="51">
        <f t="shared" ca="1" si="68"/>
        <v>630.59771651971107</v>
      </c>
      <c r="D218" s="11" t="str">
        <f t="shared" ca="1" si="60"/>
        <v>C1</v>
      </c>
      <c r="E218" s="51">
        <f t="shared" ca="1" si="69"/>
        <v>630.59771651971107</v>
      </c>
      <c r="F218" s="51">
        <f t="shared" ca="1" si="57"/>
        <v>0.27474806350964276</v>
      </c>
      <c r="G218" s="51">
        <f t="shared" ca="1" si="70"/>
        <v>630.87246458322068</v>
      </c>
      <c r="H218" s="8" t="str">
        <f t="shared" ca="1" si="61"/>
        <v>No</v>
      </c>
      <c r="I218" s="32">
        <f t="shared" ca="1" si="71"/>
        <v>0</v>
      </c>
      <c r="J218" s="32">
        <f t="shared" ca="1" si="62"/>
        <v>0</v>
      </c>
      <c r="K218" s="31">
        <f t="shared" ca="1" si="63"/>
        <v>0</v>
      </c>
      <c r="L218" s="52">
        <f t="shared" ca="1" si="64"/>
        <v>0</v>
      </c>
      <c r="M218" s="51">
        <f t="shared" ca="1" si="58"/>
        <v>0.19670836819804266</v>
      </c>
      <c r="N218" s="51">
        <f t="shared" ca="1" si="72"/>
        <v>0</v>
      </c>
      <c r="O218" s="28" t="str">
        <f t="shared" ca="1" si="59"/>
        <v>Yes</v>
      </c>
      <c r="P218" s="51">
        <f t="shared" ca="1" si="65"/>
        <v>0</v>
      </c>
      <c r="Q218">
        <f t="shared" ca="1" si="73"/>
        <v>0</v>
      </c>
      <c r="R218">
        <f t="shared" ca="1" si="66"/>
        <v>0</v>
      </c>
      <c r="S218" s="14">
        <f t="shared" ca="1" si="67"/>
        <v>0</v>
      </c>
    </row>
    <row r="219" spans="1:19" x14ac:dyDescent="0.25">
      <c r="A219">
        <v>210</v>
      </c>
      <c r="B219" s="51">
        <f t="shared" ca="1" si="56"/>
        <v>1.456729487688863</v>
      </c>
      <c r="C219" s="51">
        <f t="shared" ca="1" si="68"/>
        <v>632.05444600739997</v>
      </c>
      <c r="D219" s="11" t="str">
        <f t="shared" ca="1" si="60"/>
        <v>C1</v>
      </c>
      <c r="E219" s="51">
        <f t="shared" ca="1" si="69"/>
        <v>632.05444600739997</v>
      </c>
      <c r="F219" s="51">
        <f t="shared" ca="1" si="57"/>
        <v>3.4179015203552421</v>
      </c>
      <c r="G219" s="51">
        <f t="shared" ca="1" si="70"/>
        <v>635.47234752775523</v>
      </c>
      <c r="H219" s="8" t="str">
        <f t="shared" ca="1" si="61"/>
        <v>No</v>
      </c>
      <c r="I219" s="32">
        <f t="shared" ca="1" si="71"/>
        <v>0</v>
      </c>
      <c r="J219" s="32">
        <f t="shared" ca="1" si="62"/>
        <v>0</v>
      </c>
      <c r="K219" s="31">
        <f t="shared" ca="1" si="63"/>
        <v>0</v>
      </c>
      <c r="L219" s="52">
        <f t="shared" ca="1" si="64"/>
        <v>0</v>
      </c>
      <c r="M219" s="51">
        <f t="shared" ca="1" si="58"/>
        <v>1.6554048713337748</v>
      </c>
      <c r="N219" s="51">
        <f t="shared" ca="1" si="72"/>
        <v>0</v>
      </c>
      <c r="O219" s="28" t="str">
        <f t="shared" ca="1" si="59"/>
        <v>Yes</v>
      </c>
      <c r="P219" s="51">
        <f t="shared" ca="1" si="65"/>
        <v>0</v>
      </c>
      <c r="Q219">
        <f t="shared" ca="1" si="73"/>
        <v>0</v>
      </c>
      <c r="R219">
        <f t="shared" ca="1" si="66"/>
        <v>0</v>
      </c>
      <c r="S219" s="14">
        <f t="shared" ca="1" si="67"/>
        <v>0</v>
      </c>
    </row>
    <row r="220" spans="1:19" x14ac:dyDescent="0.25">
      <c r="A220">
        <v>211</v>
      </c>
      <c r="B220" s="51">
        <f t="shared" ca="1" si="56"/>
        <v>20.853365565106216</v>
      </c>
      <c r="C220" s="51">
        <f t="shared" ca="1" si="68"/>
        <v>652.90781157250615</v>
      </c>
      <c r="D220" s="11" t="str">
        <f t="shared" ca="1" si="60"/>
        <v>C1</v>
      </c>
      <c r="E220" s="51">
        <f t="shared" ca="1" si="69"/>
        <v>652.90781157250615</v>
      </c>
      <c r="F220" s="51">
        <f t="shared" ca="1" si="57"/>
        <v>3.5854119378393481</v>
      </c>
      <c r="G220" s="51">
        <f t="shared" ca="1" si="70"/>
        <v>656.4932235103455</v>
      </c>
      <c r="H220" s="8" t="str">
        <f t="shared" ca="1" si="61"/>
        <v>No</v>
      </c>
      <c r="I220" s="32">
        <f t="shared" ca="1" si="71"/>
        <v>0</v>
      </c>
      <c r="J220" s="32">
        <f t="shared" ca="1" si="62"/>
        <v>2</v>
      </c>
      <c r="K220" s="31">
        <f t="shared" ca="1" si="63"/>
        <v>1</v>
      </c>
      <c r="L220" s="52">
        <f t="shared" ca="1" si="64"/>
        <v>0</v>
      </c>
      <c r="M220" s="51">
        <f t="shared" ca="1" si="58"/>
        <v>4.0371760943827875</v>
      </c>
      <c r="N220" s="51">
        <f t="shared" ca="1" si="72"/>
        <v>0</v>
      </c>
      <c r="O220" s="28" t="str">
        <f t="shared" ca="1" si="59"/>
        <v>Yes</v>
      </c>
      <c r="P220" s="51">
        <f t="shared" ca="1" si="65"/>
        <v>0.53135783279424231</v>
      </c>
      <c r="Q220">
        <f t="shared" ca="1" si="73"/>
        <v>0</v>
      </c>
      <c r="R220">
        <f t="shared" ca="1" si="66"/>
        <v>0</v>
      </c>
      <c r="S220" s="14">
        <f t="shared" ca="1" si="67"/>
        <v>0</v>
      </c>
    </row>
    <row r="221" spans="1:19" x14ac:dyDescent="0.25">
      <c r="A221">
        <v>212</v>
      </c>
      <c r="B221" s="51">
        <f t="shared" ca="1" si="56"/>
        <v>3.0540541050451009</v>
      </c>
      <c r="C221" s="51">
        <f t="shared" ca="1" si="68"/>
        <v>655.96186567755126</v>
      </c>
      <c r="D221" s="11" t="str">
        <f t="shared" ca="1" si="60"/>
        <v>C2</v>
      </c>
      <c r="E221" s="51">
        <f t="shared" ca="1" si="69"/>
        <v>0</v>
      </c>
      <c r="F221" s="51">
        <f t="shared" ca="1" si="57"/>
        <v>0.78441725437570309</v>
      </c>
      <c r="G221" s="51">
        <f t="shared" ca="1" si="70"/>
        <v>0</v>
      </c>
      <c r="H221" s="8" t="str">
        <f t="shared" ca="1" si="61"/>
        <v>Yes</v>
      </c>
      <c r="I221" s="32">
        <f t="shared" ca="1" si="71"/>
        <v>3</v>
      </c>
      <c r="J221" s="32">
        <f t="shared" ca="1" si="62"/>
        <v>0</v>
      </c>
      <c r="K221" s="31">
        <f t="shared" ca="1" si="63"/>
        <v>1.5</v>
      </c>
      <c r="L221" s="52">
        <f t="shared" ca="1" si="64"/>
        <v>655.96186567755126</v>
      </c>
      <c r="M221" s="51">
        <f t="shared" ca="1" si="58"/>
        <v>0.63597821209372019</v>
      </c>
      <c r="N221" s="51">
        <f t="shared" ca="1" si="72"/>
        <v>656.59784388964499</v>
      </c>
      <c r="O221" s="28" t="str">
        <f t="shared" ca="1" si="59"/>
        <v>No</v>
      </c>
      <c r="P221" s="51">
        <f t="shared" ca="1" si="65"/>
        <v>0.22652402363507917</v>
      </c>
      <c r="Q221">
        <f t="shared" ca="1" si="73"/>
        <v>0</v>
      </c>
      <c r="R221">
        <f t="shared" ca="1" si="66"/>
        <v>1</v>
      </c>
      <c r="S221" s="14">
        <f t="shared" ca="1" si="67"/>
        <v>0.5</v>
      </c>
    </row>
    <row r="222" spans="1:19" x14ac:dyDescent="0.25">
      <c r="A222">
        <v>213</v>
      </c>
      <c r="B222" s="51">
        <f t="shared" ca="1" si="56"/>
        <v>0.40945418845861126</v>
      </c>
      <c r="C222" s="51">
        <f t="shared" ca="1" si="68"/>
        <v>656.37131986600991</v>
      </c>
      <c r="D222" s="11" t="str">
        <f t="shared" ca="1" si="60"/>
        <v>C1</v>
      </c>
      <c r="E222" s="51">
        <f t="shared" ca="1" si="69"/>
        <v>656.37131986600991</v>
      </c>
      <c r="F222" s="51">
        <f t="shared" ca="1" si="57"/>
        <v>1.5618629176582584</v>
      </c>
      <c r="G222" s="51">
        <f t="shared" ca="1" si="70"/>
        <v>657.93318278366814</v>
      </c>
      <c r="H222" s="8" t="str">
        <f t="shared" ca="1" si="61"/>
        <v>No</v>
      </c>
      <c r="I222" s="32">
        <f t="shared" ca="1" si="71"/>
        <v>0</v>
      </c>
      <c r="J222" s="32">
        <f t="shared" ca="1" si="62"/>
        <v>1</v>
      </c>
      <c r="K222" s="31">
        <f t="shared" ca="1" si="63"/>
        <v>0.5</v>
      </c>
      <c r="L222" s="52">
        <f t="shared" ca="1" si="64"/>
        <v>0</v>
      </c>
      <c r="M222" s="51">
        <f t="shared" ca="1" si="58"/>
        <v>3.446329621262171</v>
      </c>
      <c r="N222" s="51">
        <f t="shared" ca="1" si="72"/>
        <v>0</v>
      </c>
      <c r="O222" s="28" t="str">
        <f t="shared" ca="1" si="59"/>
        <v>Yes</v>
      </c>
      <c r="P222" s="51">
        <f t="shared" ca="1" si="65"/>
        <v>0.32139423313071802</v>
      </c>
      <c r="Q222">
        <f t="shared" ca="1" si="73"/>
        <v>2</v>
      </c>
      <c r="R222">
        <f t="shared" ca="1" si="66"/>
        <v>0</v>
      </c>
      <c r="S222" s="14">
        <f t="shared" ca="1" si="67"/>
        <v>1</v>
      </c>
    </row>
    <row r="223" spans="1:19" x14ac:dyDescent="0.25">
      <c r="A223">
        <v>214</v>
      </c>
      <c r="B223" s="51">
        <f t="shared" ca="1" si="56"/>
        <v>1.240468684527525</v>
      </c>
      <c r="C223" s="51">
        <f t="shared" ca="1" si="68"/>
        <v>657.61178855053743</v>
      </c>
      <c r="D223" s="11" t="str">
        <f t="shared" ca="1" si="60"/>
        <v>C2</v>
      </c>
      <c r="E223" s="51">
        <f t="shared" ca="1" si="69"/>
        <v>0</v>
      </c>
      <c r="F223" s="51">
        <f t="shared" ca="1" si="57"/>
        <v>0.98073068565133847</v>
      </c>
      <c r="G223" s="51">
        <f t="shared" ca="1" si="70"/>
        <v>0</v>
      </c>
      <c r="H223" s="8" t="str">
        <f t="shared" ca="1" si="61"/>
        <v>Yes</v>
      </c>
      <c r="I223" s="32">
        <f t="shared" ca="1" si="71"/>
        <v>2</v>
      </c>
      <c r="J223" s="32">
        <f t="shared" ca="1" si="62"/>
        <v>0</v>
      </c>
      <c r="K223" s="31">
        <f t="shared" ca="1" si="63"/>
        <v>1</v>
      </c>
      <c r="L223" s="52">
        <f t="shared" ca="1" si="64"/>
        <v>657.61178855053743</v>
      </c>
      <c r="M223" s="51">
        <f t="shared" ca="1" si="58"/>
        <v>1.6146826114351838</v>
      </c>
      <c r="N223" s="51">
        <f t="shared" ca="1" si="72"/>
        <v>659.22647116197265</v>
      </c>
      <c r="O223" s="28" t="str">
        <f t="shared" ca="1" si="59"/>
        <v>No</v>
      </c>
      <c r="P223" s="51">
        <f t="shared" ca="1" si="65"/>
        <v>0.30236102996491354</v>
      </c>
      <c r="Q223">
        <f t="shared" ca="1" si="73"/>
        <v>0</v>
      </c>
      <c r="R223">
        <f t="shared" ca="1" si="66"/>
        <v>1</v>
      </c>
      <c r="S223" s="14">
        <f t="shared" ca="1" si="67"/>
        <v>0.5</v>
      </c>
    </row>
    <row r="224" spans="1:19" x14ac:dyDescent="0.25">
      <c r="A224">
        <v>215</v>
      </c>
      <c r="B224" s="51">
        <f t="shared" ca="1" si="56"/>
        <v>1.3123215814703677</v>
      </c>
      <c r="C224" s="51">
        <f t="shared" ca="1" si="68"/>
        <v>658.92411013200774</v>
      </c>
      <c r="D224" s="11" t="str">
        <f t="shared" ca="1" si="60"/>
        <v>C1</v>
      </c>
      <c r="E224" s="51">
        <f t="shared" ca="1" si="69"/>
        <v>658.92411013200774</v>
      </c>
      <c r="F224" s="51">
        <f t="shared" ca="1" si="57"/>
        <v>1.6715872727774197</v>
      </c>
      <c r="G224" s="51">
        <f t="shared" ca="1" si="70"/>
        <v>660.59569740478514</v>
      </c>
      <c r="H224" s="8" t="str">
        <f t="shared" ca="1" si="61"/>
        <v>No</v>
      </c>
      <c r="I224" s="32">
        <f t="shared" ca="1" si="71"/>
        <v>0</v>
      </c>
      <c r="J224" s="32">
        <f t="shared" ca="1" si="62"/>
        <v>1</v>
      </c>
      <c r="K224" s="31">
        <f t="shared" ca="1" si="63"/>
        <v>0.5</v>
      </c>
      <c r="L224" s="52">
        <f t="shared" ca="1" si="64"/>
        <v>0</v>
      </c>
      <c r="M224" s="51">
        <f t="shared" ca="1" si="58"/>
        <v>2.2312744455285283</v>
      </c>
      <c r="N224" s="51">
        <f t="shared" ca="1" si="72"/>
        <v>0</v>
      </c>
      <c r="O224" s="28" t="str">
        <f t="shared" ca="1" si="59"/>
        <v>Yes</v>
      </c>
      <c r="P224" s="51">
        <f t="shared" ca="1" si="65"/>
        <v>0.43113225167633118</v>
      </c>
      <c r="Q224">
        <f t="shared" ca="1" si="73"/>
        <v>2</v>
      </c>
      <c r="R224">
        <f t="shared" ca="1" si="66"/>
        <v>0</v>
      </c>
      <c r="S224" s="14">
        <f t="shared" ca="1" si="67"/>
        <v>1</v>
      </c>
    </row>
    <row r="225" spans="1:19" x14ac:dyDescent="0.25">
      <c r="A225">
        <v>216</v>
      </c>
      <c r="B225" s="51">
        <f t="shared" ca="1" si="56"/>
        <v>1.2404550211011132</v>
      </c>
      <c r="C225" s="51">
        <f t="shared" ca="1" si="68"/>
        <v>660.16456515310881</v>
      </c>
      <c r="D225" s="11" t="str">
        <f t="shared" ca="1" si="60"/>
        <v>C2</v>
      </c>
      <c r="E225" s="51">
        <f t="shared" ca="1" si="69"/>
        <v>0</v>
      </c>
      <c r="F225" s="51">
        <f t="shared" ca="1" si="57"/>
        <v>2.3023850430403554</v>
      </c>
      <c r="G225" s="51">
        <f t="shared" ca="1" si="70"/>
        <v>0</v>
      </c>
      <c r="H225" s="8" t="str">
        <f t="shared" ca="1" si="61"/>
        <v>Yes</v>
      </c>
      <c r="I225" s="32">
        <f t="shared" ca="1" si="71"/>
        <v>2</v>
      </c>
      <c r="J225" s="32">
        <f t="shared" ca="1" si="62"/>
        <v>0</v>
      </c>
      <c r="K225" s="31">
        <f t="shared" ca="1" si="63"/>
        <v>1</v>
      </c>
      <c r="L225" s="52">
        <f t="shared" ca="1" si="64"/>
        <v>660.16456515310881</v>
      </c>
      <c r="M225" s="51">
        <f t="shared" ca="1" si="58"/>
        <v>2.8540665685996611</v>
      </c>
      <c r="N225" s="51">
        <f t="shared" ca="1" si="72"/>
        <v>663.01863172170852</v>
      </c>
      <c r="O225" s="28" t="str">
        <f t="shared" ca="1" si="59"/>
        <v>No</v>
      </c>
      <c r="P225" s="51">
        <f t="shared" ca="1" si="65"/>
        <v>2.2815629346602009</v>
      </c>
      <c r="Q225">
        <f t="shared" ca="1" si="73"/>
        <v>0</v>
      </c>
      <c r="R225">
        <f t="shared" ca="1" si="66"/>
        <v>1</v>
      </c>
      <c r="S225" s="14">
        <f t="shared" ca="1" si="67"/>
        <v>0.5</v>
      </c>
    </row>
    <row r="226" spans="1:19" x14ac:dyDescent="0.25">
      <c r="A226">
        <v>217</v>
      </c>
      <c r="B226" s="51">
        <f t="shared" ca="1" si="56"/>
        <v>0.57250363393953108</v>
      </c>
      <c r="C226" s="51">
        <f t="shared" ca="1" si="68"/>
        <v>660.73706878704832</v>
      </c>
      <c r="D226" s="11" t="str">
        <f t="shared" ca="1" si="60"/>
        <v>C1</v>
      </c>
      <c r="E226" s="51">
        <f t="shared" ca="1" si="69"/>
        <v>660.73706878704832</v>
      </c>
      <c r="F226" s="51">
        <f t="shared" ca="1" si="57"/>
        <v>1.6328776333458084E-2</v>
      </c>
      <c r="G226" s="51">
        <f t="shared" ca="1" si="70"/>
        <v>660.75339756338178</v>
      </c>
      <c r="H226" s="8" t="str">
        <f t="shared" ca="1" si="61"/>
        <v>No</v>
      </c>
      <c r="I226" s="32">
        <f t="shared" ca="1" si="71"/>
        <v>0</v>
      </c>
      <c r="J226" s="32">
        <f t="shared" ca="1" si="62"/>
        <v>0</v>
      </c>
      <c r="K226" s="31">
        <f t="shared" ca="1" si="63"/>
        <v>0</v>
      </c>
      <c r="L226" s="52">
        <f t="shared" ca="1" si="64"/>
        <v>0</v>
      </c>
      <c r="M226" s="51">
        <f t="shared" ca="1" si="58"/>
        <v>3.4134088700046159</v>
      </c>
      <c r="N226" s="51">
        <f t="shared" ca="1" si="72"/>
        <v>0</v>
      </c>
      <c r="O226" s="28" t="str">
        <f t="shared" ca="1" si="59"/>
        <v>Yes</v>
      </c>
      <c r="P226" s="51">
        <f t="shared" ca="1" si="65"/>
        <v>0</v>
      </c>
      <c r="Q226">
        <f t="shared" ca="1" si="73"/>
        <v>2</v>
      </c>
      <c r="R226">
        <f t="shared" ca="1" si="66"/>
        <v>0</v>
      </c>
      <c r="S226" s="14">
        <f t="shared" ca="1" si="67"/>
        <v>1</v>
      </c>
    </row>
    <row r="227" spans="1:19" x14ac:dyDescent="0.25">
      <c r="A227">
        <v>218</v>
      </c>
      <c r="B227" s="51">
        <f t="shared" ca="1" si="56"/>
        <v>5.8680722105139909</v>
      </c>
      <c r="C227" s="51">
        <f t="shared" ca="1" si="68"/>
        <v>666.60514099756233</v>
      </c>
      <c r="D227" s="11" t="str">
        <f t="shared" ca="1" si="60"/>
        <v>C1</v>
      </c>
      <c r="E227" s="51">
        <f t="shared" ca="1" si="69"/>
        <v>666.60514099756233</v>
      </c>
      <c r="F227" s="51">
        <f t="shared" ca="1" si="57"/>
        <v>2.2012015072755635</v>
      </c>
      <c r="G227" s="51">
        <f t="shared" ca="1" si="70"/>
        <v>668.80634250483786</v>
      </c>
      <c r="H227" s="8" t="str">
        <f t="shared" ca="1" si="61"/>
        <v>No</v>
      </c>
      <c r="I227" s="32">
        <f t="shared" ca="1" si="71"/>
        <v>0</v>
      </c>
      <c r="J227" s="32">
        <f t="shared" ca="1" si="62"/>
        <v>0</v>
      </c>
      <c r="K227" s="31">
        <f t="shared" ca="1" si="63"/>
        <v>0</v>
      </c>
      <c r="L227" s="52">
        <f t="shared" ca="1" si="64"/>
        <v>0</v>
      </c>
      <c r="M227" s="51">
        <f t="shared" ca="1" si="58"/>
        <v>0.80394833288013534</v>
      </c>
      <c r="N227" s="51">
        <f t="shared" ca="1" si="72"/>
        <v>0</v>
      </c>
      <c r="O227" s="28" t="str">
        <f t="shared" ca="1" si="59"/>
        <v>Yes</v>
      </c>
      <c r="P227" s="51">
        <f t="shared" ca="1" si="65"/>
        <v>0</v>
      </c>
      <c r="Q227">
        <f t="shared" ca="1" si="73"/>
        <v>0</v>
      </c>
      <c r="R227">
        <f t="shared" ca="1" si="66"/>
        <v>0</v>
      </c>
      <c r="S227" s="14">
        <f t="shared" ca="1" si="67"/>
        <v>0</v>
      </c>
    </row>
    <row r="228" spans="1:19" x14ac:dyDescent="0.25">
      <c r="A228">
        <v>219</v>
      </c>
      <c r="B228" s="51">
        <f t="shared" ca="1" si="56"/>
        <v>10.636370676830914</v>
      </c>
      <c r="C228" s="51">
        <f t="shared" ca="1" si="68"/>
        <v>677.24151167439322</v>
      </c>
      <c r="D228" s="11" t="str">
        <f t="shared" ca="1" si="60"/>
        <v>C1</v>
      </c>
      <c r="E228" s="51">
        <f t="shared" ca="1" si="69"/>
        <v>677.24151167439322</v>
      </c>
      <c r="F228" s="51">
        <f t="shared" ca="1" si="57"/>
        <v>1.6946637807833442</v>
      </c>
      <c r="G228" s="51">
        <f t="shared" ca="1" si="70"/>
        <v>678.93617545517657</v>
      </c>
      <c r="H228" s="8" t="str">
        <f t="shared" ca="1" si="61"/>
        <v>No</v>
      </c>
      <c r="I228" s="32">
        <f t="shared" ca="1" si="71"/>
        <v>0</v>
      </c>
      <c r="J228" s="32">
        <f t="shared" ca="1" si="62"/>
        <v>0</v>
      </c>
      <c r="K228" s="31">
        <f t="shared" ca="1" si="63"/>
        <v>0</v>
      </c>
      <c r="L228" s="52">
        <f t="shared" ca="1" si="64"/>
        <v>0</v>
      </c>
      <c r="M228" s="51">
        <f t="shared" ca="1" si="58"/>
        <v>6.6872597816951522</v>
      </c>
      <c r="N228" s="51">
        <f t="shared" ca="1" si="72"/>
        <v>0</v>
      </c>
      <c r="O228" s="28" t="str">
        <f t="shared" ca="1" si="59"/>
        <v>Yes</v>
      </c>
      <c r="P228" s="51">
        <f t="shared" ca="1" si="65"/>
        <v>0</v>
      </c>
      <c r="Q228">
        <f t="shared" ca="1" si="73"/>
        <v>0</v>
      </c>
      <c r="R228">
        <f t="shared" ca="1" si="66"/>
        <v>0</v>
      </c>
      <c r="S228" s="14">
        <f t="shared" ca="1" si="67"/>
        <v>0</v>
      </c>
    </row>
    <row r="229" spans="1:19" x14ac:dyDescent="0.25">
      <c r="A229">
        <v>220</v>
      </c>
      <c r="B229" s="51">
        <f t="shared" ca="1" si="56"/>
        <v>2.6111604932323176</v>
      </c>
      <c r="C229" s="51">
        <f t="shared" ca="1" si="68"/>
        <v>679.85267216762554</v>
      </c>
      <c r="D229" s="11" t="str">
        <f t="shared" ca="1" si="60"/>
        <v>C1</v>
      </c>
      <c r="E229" s="51">
        <f t="shared" ca="1" si="69"/>
        <v>679.85267216762554</v>
      </c>
      <c r="F229" s="51">
        <f t="shared" ca="1" si="57"/>
        <v>0.32489441032187233</v>
      </c>
      <c r="G229" s="51">
        <f t="shared" ca="1" si="70"/>
        <v>680.17756657794746</v>
      </c>
      <c r="H229" s="8" t="str">
        <f t="shared" ca="1" si="61"/>
        <v>No</v>
      </c>
      <c r="I229" s="32">
        <f t="shared" ca="1" si="71"/>
        <v>0</v>
      </c>
      <c r="J229" s="32">
        <f t="shared" ca="1" si="62"/>
        <v>0</v>
      </c>
      <c r="K229" s="31">
        <f t="shared" ca="1" si="63"/>
        <v>0</v>
      </c>
      <c r="L229" s="52">
        <f t="shared" ca="1" si="64"/>
        <v>0</v>
      </c>
      <c r="M229" s="51">
        <f t="shared" ca="1" si="58"/>
        <v>3.253427855402129</v>
      </c>
      <c r="N229" s="51">
        <f t="shared" ca="1" si="72"/>
        <v>0</v>
      </c>
      <c r="O229" s="28" t="str">
        <f t="shared" ca="1" si="59"/>
        <v>Yes</v>
      </c>
      <c r="P229" s="51">
        <f t="shared" ca="1" si="65"/>
        <v>0</v>
      </c>
      <c r="Q229">
        <f t="shared" ca="1" si="73"/>
        <v>0</v>
      </c>
      <c r="R229">
        <f t="shared" ca="1" si="66"/>
        <v>0</v>
      </c>
      <c r="S229" s="14">
        <f t="shared" ca="1" si="67"/>
        <v>0</v>
      </c>
    </row>
    <row r="230" spans="1:19" x14ac:dyDescent="0.25">
      <c r="A230">
        <v>221</v>
      </c>
      <c r="B230" s="51">
        <f t="shared" ca="1" si="56"/>
        <v>0.66861894646353137</v>
      </c>
      <c r="C230" s="51">
        <f t="shared" ca="1" si="68"/>
        <v>680.52129111408908</v>
      </c>
      <c r="D230" s="11" t="str">
        <f t="shared" ca="1" si="60"/>
        <v>C1</v>
      </c>
      <c r="E230" s="51">
        <f t="shared" ca="1" si="69"/>
        <v>680.52129111408908</v>
      </c>
      <c r="F230" s="51">
        <f t="shared" ca="1" si="57"/>
        <v>3.7724059260088283</v>
      </c>
      <c r="G230" s="51">
        <f t="shared" ca="1" si="70"/>
        <v>684.29369704009787</v>
      </c>
      <c r="H230" s="8" t="str">
        <f t="shared" ca="1" si="61"/>
        <v>No</v>
      </c>
      <c r="I230" s="32">
        <f t="shared" ca="1" si="71"/>
        <v>0</v>
      </c>
      <c r="J230" s="32">
        <f t="shared" ca="1" si="62"/>
        <v>2</v>
      </c>
      <c r="K230" s="31">
        <f t="shared" ca="1" si="63"/>
        <v>1</v>
      </c>
      <c r="L230" s="52">
        <f t="shared" ca="1" si="64"/>
        <v>0</v>
      </c>
      <c r="M230" s="51">
        <f t="shared" ca="1" si="58"/>
        <v>8.744108577931744</v>
      </c>
      <c r="N230" s="51">
        <f t="shared" ca="1" si="72"/>
        <v>0</v>
      </c>
      <c r="O230" s="28" t="str">
        <f t="shared" ca="1" si="59"/>
        <v>Yes</v>
      </c>
      <c r="P230" s="51">
        <f t="shared" ca="1" si="65"/>
        <v>3.5294498306171818</v>
      </c>
      <c r="Q230">
        <f t="shared" ca="1" si="73"/>
        <v>0</v>
      </c>
      <c r="R230">
        <f t="shared" ca="1" si="66"/>
        <v>0</v>
      </c>
      <c r="S230" s="14">
        <f t="shared" ca="1" si="67"/>
        <v>0</v>
      </c>
    </row>
    <row r="231" spans="1:19" x14ac:dyDescent="0.25">
      <c r="A231">
        <v>222</v>
      </c>
      <c r="B231" s="51">
        <f t="shared" ca="1" si="56"/>
        <v>0.2429560953916429</v>
      </c>
      <c r="C231" s="51">
        <f t="shared" ca="1" si="68"/>
        <v>680.76424720948069</v>
      </c>
      <c r="D231" s="11" t="str">
        <f t="shared" ca="1" si="60"/>
        <v>C2</v>
      </c>
      <c r="E231" s="51">
        <f t="shared" ca="1" si="69"/>
        <v>0</v>
      </c>
      <c r="F231" s="51">
        <f t="shared" ca="1" si="57"/>
        <v>3.6112932787861545</v>
      </c>
      <c r="G231" s="51">
        <f t="shared" ca="1" si="70"/>
        <v>0</v>
      </c>
      <c r="H231" s="8" t="str">
        <f t="shared" ca="1" si="61"/>
        <v>Yes</v>
      </c>
      <c r="I231" s="32">
        <f t="shared" ca="1" si="71"/>
        <v>3</v>
      </c>
      <c r="J231" s="32">
        <f t="shared" ca="1" si="62"/>
        <v>0</v>
      </c>
      <c r="K231" s="31">
        <f t="shared" ca="1" si="63"/>
        <v>1.5</v>
      </c>
      <c r="L231" s="52">
        <f t="shared" ca="1" si="64"/>
        <v>680.76424720948069</v>
      </c>
      <c r="M231" s="51">
        <f t="shared" ca="1" si="58"/>
        <v>1.1081132406978751</v>
      </c>
      <c r="N231" s="51">
        <f t="shared" ca="1" si="72"/>
        <v>681.87236045017858</v>
      </c>
      <c r="O231" s="28" t="str">
        <f t="shared" ca="1" si="59"/>
        <v>No</v>
      </c>
      <c r="P231" s="51">
        <f t="shared" ca="1" si="65"/>
        <v>0.73080098893979084</v>
      </c>
      <c r="Q231">
        <f t="shared" ca="1" si="73"/>
        <v>0</v>
      </c>
      <c r="R231">
        <f t="shared" ca="1" si="66"/>
        <v>1</v>
      </c>
      <c r="S231" s="14">
        <f t="shared" ca="1" si="67"/>
        <v>0.5</v>
      </c>
    </row>
    <row r="232" spans="1:19" x14ac:dyDescent="0.25">
      <c r="A232">
        <v>223</v>
      </c>
      <c r="B232" s="51">
        <f t="shared" ca="1" si="56"/>
        <v>0.37731225175808847</v>
      </c>
      <c r="C232" s="51">
        <f t="shared" ca="1" si="68"/>
        <v>681.14155946123878</v>
      </c>
      <c r="D232" s="11" t="str">
        <f t="shared" ca="1" si="60"/>
        <v>C1</v>
      </c>
      <c r="E232" s="51">
        <f t="shared" ca="1" si="69"/>
        <v>681.14155946123878</v>
      </c>
      <c r="F232" s="51">
        <f t="shared" ca="1" si="57"/>
        <v>2.0850248451388489</v>
      </c>
      <c r="G232" s="51">
        <f t="shared" ca="1" si="70"/>
        <v>683.22658430637762</v>
      </c>
      <c r="H232" s="8" t="str">
        <f t="shared" ca="1" si="61"/>
        <v>No</v>
      </c>
      <c r="I232" s="32">
        <f t="shared" ca="1" si="71"/>
        <v>0</v>
      </c>
      <c r="J232" s="32">
        <f t="shared" ca="1" si="62"/>
        <v>0</v>
      </c>
      <c r="K232" s="31">
        <f t="shared" ca="1" si="63"/>
        <v>0</v>
      </c>
      <c r="L232" s="52">
        <f t="shared" ca="1" si="64"/>
        <v>0</v>
      </c>
      <c r="M232" s="51">
        <f t="shared" ca="1" si="58"/>
        <v>1.1274633637276721</v>
      </c>
      <c r="N232" s="51">
        <f t="shared" ca="1" si="72"/>
        <v>0</v>
      </c>
      <c r="O232" s="28" t="str">
        <f t="shared" ca="1" si="59"/>
        <v>Yes</v>
      </c>
      <c r="P232" s="51">
        <f t="shared" ca="1" si="65"/>
        <v>0</v>
      </c>
      <c r="Q232">
        <f t="shared" ca="1" si="73"/>
        <v>2</v>
      </c>
      <c r="R232">
        <f t="shared" ca="1" si="66"/>
        <v>0</v>
      </c>
      <c r="S232" s="14">
        <f t="shared" ca="1" si="67"/>
        <v>1</v>
      </c>
    </row>
    <row r="233" spans="1:19" x14ac:dyDescent="0.25">
      <c r="A233">
        <v>224</v>
      </c>
      <c r="B233" s="51">
        <f t="shared" ca="1" si="56"/>
        <v>5.1179003000526491</v>
      </c>
      <c r="C233" s="51">
        <f t="shared" ca="1" si="68"/>
        <v>686.2594597612914</v>
      </c>
      <c r="D233" s="11" t="str">
        <f t="shared" ca="1" si="60"/>
        <v>C1</v>
      </c>
      <c r="E233" s="51">
        <f t="shared" ca="1" si="69"/>
        <v>686.2594597612914</v>
      </c>
      <c r="F233" s="51">
        <f t="shared" ca="1" si="57"/>
        <v>0.24730121853337042</v>
      </c>
      <c r="G233" s="51">
        <f t="shared" ca="1" si="70"/>
        <v>686.50676097982478</v>
      </c>
      <c r="H233" s="8" t="str">
        <f t="shared" ca="1" si="61"/>
        <v>No</v>
      </c>
      <c r="I233" s="32">
        <f t="shared" ca="1" si="71"/>
        <v>0</v>
      </c>
      <c r="J233" s="32">
        <f t="shared" ca="1" si="62"/>
        <v>0</v>
      </c>
      <c r="K233" s="31">
        <f t="shared" ca="1" si="63"/>
        <v>0</v>
      </c>
      <c r="L233" s="52">
        <f t="shared" ca="1" si="64"/>
        <v>0</v>
      </c>
      <c r="M233" s="51">
        <f t="shared" ca="1" si="58"/>
        <v>2.5418331067357793</v>
      </c>
      <c r="N233" s="51">
        <f t="shared" ca="1" si="72"/>
        <v>0</v>
      </c>
      <c r="O233" s="28" t="str">
        <f t="shared" ca="1" si="59"/>
        <v>Yes</v>
      </c>
      <c r="P233" s="51">
        <f t="shared" ca="1" si="65"/>
        <v>0</v>
      </c>
      <c r="Q233">
        <f t="shared" ca="1" si="73"/>
        <v>0</v>
      </c>
      <c r="R233">
        <f t="shared" ca="1" si="66"/>
        <v>0</v>
      </c>
      <c r="S233" s="14">
        <f t="shared" ca="1" si="67"/>
        <v>0</v>
      </c>
    </row>
    <row r="234" spans="1:19" x14ac:dyDescent="0.25">
      <c r="A234">
        <v>225</v>
      </c>
      <c r="B234" s="51">
        <f t="shared" ca="1" si="56"/>
        <v>0.28660143424431206</v>
      </c>
      <c r="C234" s="51">
        <f t="shared" ca="1" si="68"/>
        <v>686.54606119553569</v>
      </c>
      <c r="D234" s="11" t="str">
        <f t="shared" ca="1" si="60"/>
        <v>C1</v>
      </c>
      <c r="E234" s="51">
        <f t="shared" ca="1" si="69"/>
        <v>686.54606119553569</v>
      </c>
      <c r="F234" s="51">
        <f t="shared" ca="1" si="57"/>
        <v>5.6449418430348919</v>
      </c>
      <c r="G234" s="51">
        <f t="shared" ca="1" si="70"/>
        <v>692.19100303857056</v>
      </c>
      <c r="H234" s="8" t="str">
        <f t="shared" ca="1" si="61"/>
        <v>No</v>
      </c>
      <c r="I234" s="32">
        <f t="shared" ca="1" si="71"/>
        <v>0</v>
      </c>
      <c r="J234" s="32">
        <f t="shared" ca="1" si="62"/>
        <v>3</v>
      </c>
      <c r="K234" s="31">
        <f t="shared" ca="1" si="63"/>
        <v>1.5</v>
      </c>
      <c r="L234" s="52">
        <f t="shared" ca="1" si="64"/>
        <v>0</v>
      </c>
      <c r="M234" s="51">
        <f t="shared" ca="1" si="58"/>
        <v>0.37700372809010568</v>
      </c>
      <c r="N234" s="51">
        <f t="shared" ca="1" si="72"/>
        <v>0</v>
      </c>
      <c r="O234" s="28" t="str">
        <f t="shared" ca="1" si="59"/>
        <v>Yes</v>
      </c>
      <c r="P234" s="51">
        <f t="shared" ca="1" si="65"/>
        <v>5.515375820581653</v>
      </c>
      <c r="Q234">
        <f t="shared" ca="1" si="73"/>
        <v>0</v>
      </c>
      <c r="R234">
        <f t="shared" ca="1" si="66"/>
        <v>0</v>
      </c>
      <c r="S234" s="14">
        <f t="shared" ca="1" si="67"/>
        <v>0</v>
      </c>
    </row>
    <row r="235" spans="1:19" x14ac:dyDescent="0.25">
      <c r="A235">
        <v>226</v>
      </c>
      <c r="B235" s="51">
        <f t="shared" ca="1" si="56"/>
        <v>0.12956602245318063</v>
      </c>
      <c r="C235" s="51">
        <f t="shared" ca="1" si="68"/>
        <v>686.6756272179889</v>
      </c>
      <c r="D235" s="11" t="str">
        <f t="shared" ca="1" si="60"/>
        <v>C2</v>
      </c>
      <c r="E235" s="51">
        <f t="shared" ca="1" si="69"/>
        <v>0</v>
      </c>
      <c r="F235" s="51">
        <f t="shared" ca="1" si="57"/>
        <v>3.5074318879292421</v>
      </c>
      <c r="G235" s="51">
        <f t="shared" ca="1" si="70"/>
        <v>0</v>
      </c>
      <c r="H235" s="8" t="str">
        <f t="shared" ca="1" si="61"/>
        <v>Yes</v>
      </c>
      <c r="I235" s="32">
        <f t="shared" ca="1" si="71"/>
        <v>4</v>
      </c>
      <c r="J235" s="32">
        <f t="shared" ca="1" si="62"/>
        <v>0</v>
      </c>
      <c r="K235" s="31">
        <f t="shared" ca="1" si="63"/>
        <v>2</v>
      </c>
      <c r="L235" s="52">
        <f t="shared" ca="1" si="64"/>
        <v>686.6756272179889</v>
      </c>
      <c r="M235" s="51">
        <f t="shared" ca="1" si="58"/>
        <v>0.60848856734916401</v>
      </c>
      <c r="N235" s="51">
        <f t="shared" ca="1" si="72"/>
        <v>687.28411578533803</v>
      </c>
      <c r="O235" s="28" t="str">
        <f t="shared" ca="1" si="59"/>
        <v>No</v>
      </c>
      <c r="P235" s="51">
        <f t="shared" ca="1" si="65"/>
        <v>0</v>
      </c>
      <c r="Q235">
        <f t="shared" ca="1" si="73"/>
        <v>0</v>
      </c>
      <c r="R235">
        <f t="shared" ca="1" si="66"/>
        <v>0</v>
      </c>
      <c r="S235" s="14">
        <f t="shared" ca="1" si="67"/>
        <v>0</v>
      </c>
    </row>
    <row r="236" spans="1:19" x14ac:dyDescent="0.25">
      <c r="A236">
        <v>227</v>
      </c>
      <c r="B236" s="51">
        <f t="shared" ca="1" si="56"/>
        <v>0.97842211416963187</v>
      </c>
      <c r="C236" s="51">
        <f t="shared" ca="1" si="68"/>
        <v>687.65404933215848</v>
      </c>
      <c r="D236" s="11" t="str">
        <f t="shared" ca="1" si="60"/>
        <v>C1</v>
      </c>
      <c r="E236" s="51">
        <f t="shared" ca="1" si="69"/>
        <v>687.65404933215848</v>
      </c>
      <c r="F236" s="51">
        <f t="shared" ca="1" si="57"/>
        <v>1.5576147019769271</v>
      </c>
      <c r="G236" s="51">
        <f t="shared" ca="1" si="70"/>
        <v>689.21166403413542</v>
      </c>
      <c r="H236" s="8" t="str">
        <f t="shared" ca="1" si="61"/>
        <v>No</v>
      </c>
      <c r="I236" s="32">
        <f t="shared" ca="1" si="71"/>
        <v>0</v>
      </c>
      <c r="J236" s="32">
        <f t="shared" ca="1" si="62"/>
        <v>0</v>
      </c>
      <c r="K236" s="31">
        <f t="shared" ca="1" si="63"/>
        <v>0</v>
      </c>
      <c r="L236" s="52">
        <f t="shared" ca="1" si="64"/>
        <v>0</v>
      </c>
      <c r="M236" s="51">
        <f t="shared" ca="1" si="58"/>
        <v>1.887707427580158</v>
      </c>
      <c r="N236" s="51">
        <f t="shared" ca="1" si="72"/>
        <v>0</v>
      </c>
      <c r="O236" s="28" t="str">
        <f t="shared" ca="1" si="59"/>
        <v>Yes</v>
      </c>
      <c r="P236" s="51">
        <f t="shared" ca="1" si="65"/>
        <v>0</v>
      </c>
      <c r="Q236">
        <f t="shared" ca="1" si="73"/>
        <v>0</v>
      </c>
      <c r="R236">
        <f t="shared" ca="1" si="66"/>
        <v>0</v>
      </c>
      <c r="S236" s="14">
        <f t="shared" ca="1" si="67"/>
        <v>0</v>
      </c>
    </row>
    <row r="237" spans="1:19" x14ac:dyDescent="0.25">
      <c r="A237">
        <v>228</v>
      </c>
      <c r="B237" s="51">
        <f t="shared" ca="1" si="56"/>
        <v>3.8192556300140836</v>
      </c>
      <c r="C237" s="51">
        <f t="shared" ca="1" si="68"/>
        <v>691.47330496217251</v>
      </c>
      <c r="D237" s="11" t="str">
        <f t="shared" ca="1" si="60"/>
        <v>C1</v>
      </c>
      <c r="E237" s="51">
        <f t="shared" ca="1" si="69"/>
        <v>691.47330496217251</v>
      </c>
      <c r="F237" s="51">
        <f t="shared" ca="1" si="57"/>
        <v>1.1245595933997203</v>
      </c>
      <c r="G237" s="51">
        <f t="shared" ca="1" si="70"/>
        <v>692.59786455557219</v>
      </c>
      <c r="H237" s="8" t="str">
        <f t="shared" ca="1" si="61"/>
        <v>No</v>
      </c>
      <c r="I237" s="32">
        <f t="shared" ca="1" si="71"/>
        <v>0</v>
      </c>
      <c r="J237" s="32">
        <f t="shared" ca="1" si="62"/>
        <v>0</v>
      </c>
      <c r="K237" s="31">
        <f t="shared" ca="1" si="63"/>
        <v>0</v>
      </c>
      <c r="L237" s="52">
        <f t="shared" ca="1" si="64"/>
        <v>0</v>
      </c>
      <c r="M237" s="51">
        <f t="shared" ca="1" si="58"/>
        <v>0.41922213221764354</v>
      </c>
      <c r="N237" s="51">
        <f t="shared" ca="1" si="72"/>
        <v>0</v>
      </c>
      <c r="O237" s="28" t="str">
        <f t="shared" ca="1" si="59"/>
        <v>Yes</v>
      </c>
      <c r="P237" s="51">
        <f t="shared" ca="1" si="65"/>
        <v>0</v>
      </c>
      <c r="Q237">
        <f t="shared" ca="1" si="73"/>
        <v>0</v>
      </c>
      <c r="R237">
        <f t="shared" ca="1" si="66"/>
        <v>0</v>
      </c>
      <c r="S237" s="14">
        <f t="shared" ca="1" si="67"/>
        <v>0</v>
      </c>
    </row>
    <row r="238" spans="1:19" x14ac:dyDescent="0.25">
      <c r="A238">
        <v>229</v>
      </c>
      <c r="B238" s="51">
        <f t="shared" ca="1" si="56"/>
        <v>4.1248559466653179</v>
      </c>
      <c r="C238" s="51">
        <f t="shared" ca="1" si="68"/>
        <v>695.59816090883783</v>
      </c>
      <c r="D238" s="11" t="str">
        <f t="shared" ca="1" si="60"/>
        <v>C1</v>
      </c>
      <c r="E238" s="51">
        <f t="shared" ca="1" si="69"/>
        <v>695.59816090883783</v>
      </c>
      <c r="F238" s="51">
        <f t="shared" ca="1" si="57"/>
        <v>1.891804785767119</v>
      </c>
      <c r="G238" s="51">
        <f t="shared" ca="1" si="70"/>
        <v>697.48996569460496</v>
      </c>
      <c r="H238" s="8" t="str">
        <f t="shared" ca="1" si="61"/>
        <v>No</v>
      </c>
      <c r="I238" s="32">
        <f t="shared" ca="1" si="71"/>
        <v>0</v>
      </c>
      <c r="J238" s="32">
        <f t="shared" ca="1" si="62"/>
        <v>1</v>
      </c>
      <c r="K238" s="31">
        <f t="shared" ca="1" si="63"/>
        <v>0.5</v>
      </c>
      <c r="L238" s="52">
        <f t="shared" ca="1" si="64"/>
        <v>0</v>
      </c>
      <c r="M238" s="51">
        <f t="shared" ca="1" si="58"/>
        <v>0.96427258938247995</v>
      </c>
      <c r="N238" s="51">
        <f t="shared" ca="1" si="72"/>
        <v>0</v>
      </c>
      <c r="O238" s="28" t="str">
        <f t="shared" ca="1" si="59"/>
        <v>Yes</v>
      </c>
      <c r="P238" s="51">
        <f t="shared" ca="1" si="65"/>
        <v>0.14551159405971248</v>
      </c>
      <c r="Q238">
        <f t="shared" ca="1" si="73"/>
        <v>0</v>
      </c>
      <c r="R238">
        <f t="shared" ca="1" si="66"/>
        <v>0</v>
      </c>
      <c r="S238" s="14">
        <f t="shared" ca="1" si="67"/>
        <v>0</v>
      </c>
    </row>
    <row r="239" spans="1:19" x14ac:dyDescent="0.25">
      <c r="A239">
        <v>230</v>
      </c>
      <c r="B239" s="51">
        <f t="shared" ca="1" si="56"/>
        <v>1.7462931917074542</v>
      </c>
      <c r="C239" s="51">
        <f t="shared" ca="1" si="68"/>
        <v>697.34445410054525</v>
      </c>
      <c r="D239" s="11" t="str">
        <f t="shared" ca="1" si="60"/>
        <v>C2</v>
      </c>
      <c r="E239" s="51">
        <f t="shared" ca="1" si="69"/>
        <v>0</v>
      </c>
      <c r="F239" s="51">
        <f t="shared" ca="1" si="57"/>
        <v>0.32818369777333545</v>
      </c>
      <c r="G239" s="51">
        <f t="shared" ca="1" si="70"/>
        <v>0</v>
      </c>
      <c r="H239" s="8" t="str">
        <f t="shared" ca="1" si="61"/>
        <v>Yes</v>
      </c>
      <c r="I239" s="32">
        <f t="shared" ca="1" si="71"/>
        <v>2</v>
      </c>
      <c r="J239" s="32">
        <f t="shared" ca="1" si="62"/>
        <v>0</v>
      </c>
      <c r="K239" s="31">
        <f t="shared" ca="1" si="63"/>
        <v>1</v>
      </c>
      <c r="L239" s="52">
        <f t="shared" ca="1" si="64"/>
        <v>697.34445410054525</v>
      </c>
      <c r="M239" s="51">
        <f t="shared" ca="1" si="58"/>
        <v>4.0080264993068111</v>
      </c>
      <c r="N239" s="51">
        <f t="shared" ca="1" si="72"/>
        <v>701.35248059985202</v>
      </c>
      <c r="O239" s="28" t="str">
        <f t="shared" ca="1" si="59"/>
        <v>No</v>
      </c>
      <c r="P239" s="51">
        <f t="shared" ca="1" si="65"/>
        <v>0</v>
      </c>
      <c r="Q239">
        <f t="shared" ca="1" si="73"/>
        <v>0</v>
      </c>
      <c r="R239">
        <f t="shared" ca="1" si="66"/>
        <v>0</v>
      </c>
      <c r="S239" s="14">
        <f t="shared" ca="1" si="67"/>
        <v>0</v>
      </c>
    </row>
    <row r="240" spans="1:19" x14ac:dyDescent="0.25">
      <c r="A240">
        <v>231</v>
      </c>
      <c r="B240" s="51">
        <f t="shared" ca="1" si="56"/>
        <v>4.1852456213693348</v>
      </c>
      <c r="C240" s="51">
        <f t="shared" ca="1" si="68"/>
        <v>701.52969972191454</v>
      </c>
      <c r="D240" s="11" t="str">
        <f t="shared" ca="1" si="60"/>
        <v>C1</v>
      </c>
      <c r="E240" s="51">
        <f t="shared" ca="1" si="69"/>
        <v>701.52969972191454</v>
      </c>
      <c r="F240" s="51">
        <f t="shared" ca="1" si="57"/>
        <v>0.14383231709698613</v>
      </c>
      <c r="G240" s="51">
        <f t="shared" ca="1" si="70"/>
        <v>701.67353203901155</v>
      </c>
      <c r="H240" s="8" t="str">
        <f t="shared" ca="1" si="61"/>
        <v>No</v>
      </c>
      <c r="I240" s="32">
        <f t="shared" ca="1" si="71"/>
        <v>0</v>
      </c>
      <c r="J240" s="32">
        <f t="shared" ca="1" si="62"/>
        <v>1</v>
      </c>
      <c r="K240" s="31">
        <f t="shared" ca="1" si="63"/>
        <v>0.5</v>
      </c>
      <c r="L240" s="52">
        <f t="shared" ca="1" si="64"/>
        <v>0</v>
      </c>
      <c r="M240" s="51">
        <f t="shared" ca="1" si="58"/>
        <v>5.2388189990998999</v>
      </c>
      <c r="N240" s="51">
        <f t="shared" ca="1" si="72"/>
        <v>0</v>
      </c>
      <c r="O240" s="28" t="str">
        <f t="shared" ca="1" si="59"/>
        <v>Yes</v>
      </c>
      <c r="P240" s="51">
        <f t="shared" ca="1" si="65"/>
        <v>6.641800113266072E-2</v>
      </c>
      <c r="Q240">
        <f t="shared" ca="1" si="73"/>
        <v>0</v>
      </c>
      <c r="R240">
        <f t="shared" ca="1" si="66"/>
        <v>0</v>
      </c>
      <c r="S240" s="14">
        <f t="shared" ca="1" si="67"/>
        <v>0</v>
      </c>
    </row>
    <row r="241" spans="1:19" x14ac:dyDescent="0.25">
      <c r="A241">
        <v>232</v>
      </c>
      <c r="B241" s="51">
        <f t="shared" ca="1" si="56"/>
        <v>7.7414315964399627E-2</v>
      </c>
      <c r="C241" s="51">
        <f t="shared" ca="1" si="68"/>
        <v>701.60711403787889</v>
      </c>
      <c r="D241" s="11" t="str">
        <f t="shared" ca="1" si="60"/>
        <v>C2</v>
      </c>
      <c r="E241" s="51">
        <f t="shared" ca="1" si="69"/>
        <v>0</v>
      </c>
      <c r="F241" s="51">
        <f t="shared" ca="1" si="57"/>
        <v>0.43954349254788538</v>
      </c>
      <c r="G241" s="51">
        <f t="shared" ca="1" si="70"/>
        <v>0</v>
      </c>
      <c r="H241" s="8" t="str">
        <f t="shared" ca="1" si="61"/>
        <v>Yes</v>
      </c>
      <c r="I241" s="32">
        <f t="shared" ca="1" si="71"/>
        <v>2</v>
      </c>
      <c r="J241" s="32">
        <f t="shared" ca="1" si="62"/>
        <v>0</v>
      </c>
      <c r="K241" s="31">
        <f t="shared" ca="1" si="63"/>
        <v>1</v>
      </c>
      <c r="L241" s="52">
        <f t="shared" ca="1" si="64"/>
        <v>701.60711403787889</v>
      </c>
      <c r="M241" s="51">
        <f t="shared" ca="1" si="58"/>
        <v>2.1686616093875619</v>
      </c>
      <c r="N241" s="51">
        <f t="shared" ca="1" si="72"/>
        <v>703.77577564726641</v>
      </c>
      <c r="O241" s="28" t="str">
        <f t="shared" ca="1" si="59"/>
        <v>No</v>
      </c>
      <c r="P241" s="51">
        <f t="shared" ca="1" si="65"/>
        <v>0.39914838782954121</v>
      </c>
      <c r="Q241">
        <f t="shared" ca="1" si="73"/>
        <v>0</v>
      </c>
      <c r="R241">
        <f t="shared" ca="1" si="66"/>
        <v>1</v>
      </c>
      <c r="S241" s="14">
        <f t="shared" ca="1" si="67"/>
        <v>0.5</v>
      </c>
    </row>
    <row r="242" spans="1:19" x14ac:dyDescent="0.25">
      <c r="A242">
        <v>233</v>
      </c>
      <c r="B242" s="51">
        <f t="shared" ca="1" si="56"/>
        <v>1.7695132215580178</v>
      </c>
      <c r="C242" s="51">
        <f t="shared" ca="1" si="68"/>
        <v>703.37662725943687</v>
      </c>
      <c r="D242" s="11" t="str">
        <f t="shared" ca="1" si="60"/>
        <v>C1</v>
      </c>
      <c r="E242" s="51">
        <f t="shared" ca="1" si="69"/>
        <v>703.37662725943687</v>
      </c>
      <c r="F242" s="51">
        <f t="shared" ca="1" si="57"/>
        <v>0.6233517777413532</v>
      </c>
      <c r="G242" s="51">
        <f t="shared" ca="1" si="70"/>
        <v>703.99997903717826</v>
      </c>
      <c r="H242" s="8" t="str">
        <f t="shared" ca="1" si="61"/>
        <v>No</v>
      </c>
      <c r="I242" s="32">
        <f t="shared" ca="1" si="71"/>
        <v>0</v>
      </c>
      <c r="J242" s="32">
        <f t="shared" ca="1" si="62"/>
        <v>1</v>
      </c>
      <c r="K242" s="31">
        <f t="shared" ca="1" si="63"/>
        <v>0.5</v>
      </c>
      <c r="L242" s="52">
        <f t="shared" ca="1" si="64"/>
        <v>0</v>
      </c>
      <c r="M242" s="51">
        <f t="shared" ca="1" si="58"/>
        <v>1.4732871501642144</v>
      </c>
      <c r="N242" s="51">
        <f t="shared" ca="1" si="72"/>
        <v>0</v>
      </c>
      <c r="O242" s="28" t="str">
        <f t="shared" ca="1" si="59"/>
        <v>Yes</v>
      </c>
      <c r="P242" s="51">
        <f t="shared" ca="1" si="65"/>
        <v>0.15298358174970872</v>
      </c>
      <c r="Q242">
        <f t="shared" ca="1" si="73"/>
        <v>2</v>
      </c>
      <c r="R242">
        <f t="shared" ca="1" si="66"/>
        <v>0</v>
      </c>
      <c r="S242" s="14">
        <f t="shared" ca="1" si="67"/>
        <v>1</v>
      </c>
    </row>
    <row r="243" spans="1:19" x14ac:dyDescent="0.25">
      <c r="A243">
        <v>234</v>
      </c>
      <c r="B243" s="51">
        <f t="shared" ca="1" si="56"/>
        <v>0.47036819599163537</v>
      </c>
      <c r="C243" s="51">
        <f t="shared" ca="1" si="68"/>
        <v>703.84699545542856</v>
      </c>
      <c r="D243" s="11" t="str">
        <f t="shared" ca="1" si="60"/>
        <v>C2</v>
      </c>
      <c r="E243" s="51">
        <f t="shared" ca="1" si="69"/>
        <v>0</v>
      </c>
      <c r="F243" s="51">
        <f t="shared" ca="1" si="57"/>
        <v>1.5406405705649572E-2</v>
      </c>
      <c r="G243" s="51">
        <f t="shared" ca="1" si="70"/>
        <v>0</v>
      </c>
      <c r="H243" s="8" t="str">
        <f t="shared" ca="1" si="61"/>
        <v>Yes</v>
      </c>
      <c r="I243" s="32">
        <f t="shared" ca="1" si="71"/>
        <v>2</v>
      </c>
      <c r="J243" s="32">
        <f t="shared" ca="1" si="62"/>
        <v>0</v>
      </c>
      <c r="K243" s="31">
        <f t="shared" ca="1" si="63"/>
        <v>1</v>
      </c>
      <c r="L243" s="52">
        <f t="shared" ca="1" si="64"/>
        <v>703.84699545542856</v>
      </c>
      <c r="M243" s="51">
        <f t="shared" ca="1" si="58"/>
        <v>2.1704058000275843</v>
      </c>
      <c r="N243" s="51">
        <f t="shared" ca="1" si="72"/>
        <v>706.01740125545609</v>
      </c>
      <c r="O243" s="28" t="str">
        <f t="shared" ca="1" si="59"/>
        <v>No</v>
      </c>
      <c r="P243" s="51">
        <f t="shared" ca="1" si="65"/>
        <v>0</v>
      </c>
      <c r="Q243">
        <f t="shared" ca="1" si="73"/>
        <v>0</v>
      </c>
      <c r="R243">
        <f t="shared" ca="1" si="66"/>
        <v>0</v>
      </c>
      <c r="S243" s="14">
        <f t="shared" ca="1" si="67"/>
        <v>0</v>
      </c>
    </row>
    <row r="244" spans="1:19" x14ac:dyDescent="0.25">
      <c r="A244">
        <v>235</v>
      </c>
      <c r="B244" s="51">
        <f t="shared" ca="1" si="56"/>
        <v>4.6070384814350165</v>
      </c>
      <c r="C244" s="51">
        <f t="shared" ca="1" si="68"/>
        <v>708.45403393686354</v>
      </c>
      <c r="D244" s="11" t="str">
        <f t="shared" ca="1" si="60"/>
        <v>C1</v>
      </c>
      <c r="E244" s="51">
        <f t="shared" ca="1" si="69"/>
        <v>708.45403393686354</v>
      </c>
      <c r="F244" s="51">
        <f t="shared" ca="1" si="57"/>
        <v>3.8216366119962721</v>
      </c>
      <c r="G244" s="51">
        <f t="shared" ca="1" si="70"/>
        <v>712.27567054885981</v>
      </c>
      <c r="H244" s="8" t="str">
        <f t="shared" ca="1" si="61"/>
        <v>No</v>
      </c>
      <c r="I244" s="32">
        <f t="shared" ca="1" si="71"/>
        <v>0</v>
      </c>
      <c r="J244" s="32">
        <f t="shared" ca="1" si="62"/>
        <v>3</v>
      </c>
      <c r="K244" s="31">
        <f t="shared" ca="1" si="63"/>
        <v>1.5</v>
      </c>
      <c r="L244" s="52">
        <f t="shared" ca="1" si="64"/>
        <v>0</v>
      </c>
      <c r="M244" s="51">
        <f t="shared" ca="1" si="58"/>
        <v>1.2856419023395875</v>
      </c>
      <c r="N244" s="51">
        <f t="shared" ca="1" si="72"/>
        <v>0</v>
      </c>
      <c r="O244" s="28" t="str">
        <f t="shared" ca="1" si="59"/>
        <v>Yes</v>
      </c>
      <c r="P244" s="51">
        <f t="shared" ca="1" si="65"/>
        <v>2.1058785223365248</v>
      </c>
      <c r="Q244">
        <f t="shared" ca="1" si="73"/>
        <v>0</v>
      </c>
      <c r="R244">
        <f t="shared" ca="1" si="66"/>
        <v>0</v>
      </c>
      <c r="S244" s="14">
        <f t="shared" ca="1" si="67"/>
        <v>0</v>
      </c>
    </row>
    <row r="245" spans="1:19" x14ac:dyDescent="0.25">
      <c r="A245">
        <v>236</v>
      </c>
      <c r="B245" s="51">
        <f t="shared" ca="1" si="56"/>
        <v>1.7157580896597997</v>
      </c>
      <c r="C245" s="51">
        <f t="shared" ca="1" si="68"/>
        <v>710.16979202652328</v>
      </c>
      <c r="D245" s="11" t="str">
        <f t="shared" ca="1" si="60"/>
        <v>C2</v>
      </c>
      <c r="E245" s="51">
        <f t="shared" ca="1" si="69"/>
        <v>0</v>
      </c>
      <c r="F245" s="51">
        <f t="shared" ca="1" si="57"/>
        <v>0.97520968638721284</v>
      </c>
      <c r="G245" s="51">
        <f t="shared" ca="1" si="70"/>
        <v>0</v>
      </c>
      <c r="H245" s="8" t="str">
        <f t="shared" ca="1" si="61"/>
        <v>Yes</v>
      </c>
      <c r="I245" s="32">
        <f t="shared" ca="1" si="71"/>
        <v>4</v>
      </c>
      <c r="J245" s="32">
        <f t="shared" ca="1" si="62"/>
        <v>0</v>
      </c>
      <c r="K245" s="31">
        <f t="shared" ca="1" si="63"/>
        <v>2</v>
      </c>
      <c r="L245" s="52">
        <f t="shared" ca="1" si="64"/>
        <v>710.16979202652328</v>
      </c>
      <c r="M245" s="51">
        <f t="shared" ca="1" si="58"/>
        <v>4.7329440589968357</v>
      </c>
      <c r="N245" s="51">
        <f t="shared" ca="1" si="72"/>
        <v>714.90273608552013</v>
      </c>
      <c r="O245" s="28" t="str">
        <f t="shared" ca="1" si="59"/>
        <v>No</v>
      </c>
      <c r="P245" s="51">
        <f t="shared" ca="1" si="65"/>
        <v>4.4763173083385936</v>
      </c>
      <c r="Q245">
        <f t="shared" ca="1" si="73"/>
        <v>0</v>
      </c>
      <c r="R245">
        <f t="shared" ca="1" si="66"/>
        <v>2</v>
      </c>
      <c r="S245" s="14">
        <f t="shared" ca="1" si="67"/>
        <v>1</v>
      </c>
    </row>
    <row r="246" spans="1:19" x14ac:dyDescent="0.25">
      <c r="A246">
        <v>237</v>
      </c>
      <c r="B246" s="51">
        <f t="shared" ca="1" si="56"/>
        <v>0.25662675065829971</v>
      </c>
      <c r="C246" s="51">
        <f t="shared" ca="1" si="68"/>
        <v>710.42641877718154</v>
      </c>
      <c r="D246" s="11" t="str">
        <f t="shared" ca="1" si="60"/>
        <v>C1</v>
      </c>
      <c r="E246" s="51">
        <f t="shared" ca="1" si="69"/>
        <v>710.42641877718154</v>
      </c>
      <c r="F246" s="51">
        <f t="shared" ca="1" si="57"/>
        <v>4.0203182643064578E-2</v>
      </c>
      <c r="G246" s="51">
        <f t="shared" ca="1" si="70"/>
        <v>710.46662195982458</v>
      </c>
      <c r="H246" s="8" t="str">
        <f t="shared" ca="1" si="61"/>
        <v>No</v>
      </c>
      <c r="I246" s="32">
        <f t="shared" ca="1" si="71"/>
        <v>0</v>
      </c>
      <c r="J246" s="32">
        <f t="shared" ca="1" si="62"/>
        <v>0</v>
      </c>
      <c r="K246" s="31">
        <f t="shared" ca="1" si="63"/>
        <v>0</v>
      </c>
      <c r="L246" s="52">
        <f t="shared" ca="1" si="64"/>
        <v>0</v>
      </c>
      <c r="M246" s="51">
        <f t="shared" ca="1" si="58"/>
        <v>0.69816992209108608</v>
      </c>
      <c r="N246" s="51">
        <f t="shared" ca="1" si="72"/>
        <v>0</v>
      </c>
      <c r="O246" s="28" t="str">
        <f t="shared" ca="1" si="59"/>
        <v>Yes</v>
      </c>
      <c r="P246" s="51">
        <f t="shared" ca="1" si="65"/>
        <v>0</v>
      </c>
      <c r="Q246">
        <f t="shared" ca="1" si="73"/>
        <v>3</v>
      </c>
      <c r="R246">
        <f t="shared" ca="1" si="66"/>
        <v>0</v>
      </c>
      <c r="S246" s="14">
        <f t="shared" ca="1" si="67"/>
        <v>1.5</v>
      </c>
    </row>
    <row r="247" spans="1:19" x14ac:dyDescent="0.25">
      <c r="A247">
        <v>238</v>
      </c>
      <c r="B247" s="51">
        <f t="shared" ca="1" si="56"/>
        <v>0.32526397042771382</v>
      </c>
      <c r="C247" s="51">
        <f t="shared" ca="1" si="68"/>
        <v>710.75168274760927</v>
      </c>
      <c r="D247" s="11" t="str">
        <f t="shared" ca="1" si="60"/>
        <v>C1</v>
      </c>
      <c r="E247" s="51">
        <f t="shared" ca="1" si="69"/>
        <v>710.75168274760927</v>
      </c>
      <c r="F247" s="51">
        <f t="shared" ca="1" si="57"/>
        <v>8.5081586103504332</v>
      </c>
      <c r="G247" s="51">
        <f t="shared" ca="1" si="70"/>
        <v>719.25984135795966</v>
      </c>
      <c r="H247" s="8" t="str">
        <f t="shared" ca="1" si="61"/>
        <v>No</v>
      </c>
      <c r="I247" s="32">
        <f t="shared" ca="1" si="71"/>
        <v>0</v>
      </c>
      <c r="J247" s="32">
        <f t="shared" ca="1" si="62"/>
        <v>1</v>
      </c>
      <c r="K247" s="31">
        <f t="shared" ca="1" si="63"/>
        <v>0.5</v>
      </c>
      <c r="L247" s="52">
        <f t="shared" ca="1" si="64"/>
        <v>0</v>
      </c>
      <c r="M247" s="51">
        <f t="shared" ca="1" si="58"/>
        <v>1.3346241502283409</v>
      </c>
      <c r="N247" s="51">
        <f t="shared" ca="1" si="72"/>
        <v>0</v>
      </c>
      <c r="O247" s="28" t="str">
        <f t="shared" ca="1" si="59"/>
        <v>Yes</v>
      </c>
      <c r="P247" s="51">
        <f t="shared" ca="1" si="65"/>
        <v>1.7257901491798293</v>
      </c>
      <c r="Q247">
        <f t="shared" ca="1" si="73"/>
        <v>0</v>
      </c>
      <c r="R247">
        <f t="shared" ca="1" si="66"/>
        <v>0</v>
      </c>
      <c r="S247" s="14">
        <f t="shared" ca="1" si="67"/>
        <v>0</v>
      </c>
    </row>
    <row r="248" spans="1:19" x14ac:dyDescent="0.25">
      <c r="A248">
        <v>239</v>
      </c>
      <c r="B248" s="51">
        <f t="shared" ca="1" si="56"/>
        <v>6.782368461170603</v>
      </c>
      <c r="C248" s="51">
        <f t="shared" ca="1" si="68"/>
        <v>717.53405120877983</v>
      </c>
      <c r="D248" s="11" t="str">
        <f t="shared" ca="1" si="60"/>
        <v>C2</v>
      </c>
      <c r="E248" s="51">
        <f t="shared" ca="1" si="69"/>
        <v>0</v>
      </c>
      <c r="F248" s="51">
        <f t="shared" ca="1" si="57"/>
        <v>3.8610018347290258</v>
      </c>
      <c r="G248" s="51">
        <f t="shared" ca="1" si="70"/>
        <v>0</v>
      </c>
      <c r="H248" s="8" t="str">
        <f t="shared" ca="1" si="61"/>
        <v>Yes</v>
      </c>
      <c r="I248" s="32">
        <f t="shared" ca="1" si="71"/>
        <v>2</v>
      </c>
      <c r="J248" s="32">
        <f t="shared" ca="1" si="62"/>
        <v>0</v>
      </c>
      <c r="K248" s="31">
        <f t="shared" ca="1" si="63"/>
        <v>1</v>
      </c>
      <c r="L248" s="52">
        <f t="shared" ca="1" si="64"/>
        <v>717.53405120877983</v>
      </c>
      <c r="M248" s="51">
        <f t="shared" ca="1" si="58"/>
        <v>0.96109172488318462</v>
      </c>
      <c r="N248" s="51">
        <f t="shared" ca="1" si="72"/>
        <v>718.49514293366303</v>
      </c>
      <c r="O248" s="28" t="str">
        <f t="shared" ca="1" si="59"/>
        <v>No</v>
      </c>
      <c r="P248" s="51">
        <f t="shared" ca="1" si="65"/>
        <v>0</v>
      </c>
      <c r="Q248">
        <f t="shared" ca="1" si="73"/>
        <v>0</v>
      </c>
      <c r="R248">
        <f t="shared" ca="1" si="66"/>
        <v>0</v>
      </c>
      <c r="S248" s="14">
        <f t="shared" ca="1" si="67"/>
        <v>0</v>
      </c>
    </row>
    <row r="249" spans="1:19" x14ac:dyDescent="0.25">
      <c r="A249">
        <v>240</v>
      </c>
      <c r="B249" s="51">
        <f t="shared" ca="1" si="56"/>
        <v>12.636270145837432</v>
      </c>
      <c r="C249" s="51">
        <f t="shared" ca="1" si="68"/>
        <v>730.17032135461727</v>
      </c>
      <c r="D249" s="11" t="str">
        <f t="shared" ca="1" si="60"/>
        <v>C1</v>
      </c>
      <c r="E249" s="51">
        <f t="shared" ca="1" si="69"/>
        <v>730.17032135461727</v>
      </c>
      <c r="F249" s="51">
        <f t="shared" ca="1" si="57"/>
        <v>1.53127655056518</v>
      </c>
      <c r="G249" s="51">
        <f t="shared" ca="1" si="70"/>
        <v>731.70159790518244</v>
      </c>
      <c r="H249" s="8" t="str">
        <f t="shared" ca="1" si="61"/>
        <v>No</v>
      </c>
      <c r="I249" s="32">
        <f t="shared" ca="1" si="71"/>
        <v>0</v>
      </c>
      <c r="J249" s="32">
        <f t="shared" ca="1" si="62"/>
        <v>0</v>
      </c>
      <c r="K249" s="31">
        <f t="shared" ca="1" si="63"/>
        <v>0</v>
      </c>
      <c r="L249" s="52">
        <f t="shared" ca="1" si="64"/>
        <v>0</v>
      </c>
      <c r="M249" s="51">
        <f t="shared" ca="1" si="58"/>
        <v>0.24253980026718969</v>
      </c>
      <c r="N249" s="51">
        <f t="shared" ca="1" si="72"/>
        <v>0</v>
      </c>
      <c r="O249" s="28" t="str">
        <f t="shared" ca="1" si="59"/>
        <v>Yes</v>
      </c>
      <c r="P249" s="51">
        <f t="shared" ca="1" si="65"/>
        <v>0</v>
      </c>
      <c r="Q249">
        <f t="shared" ca="1" si="73"/>
        <v>0</v>
      </c>
      <c r="R249">
        <f t="shared" ca="1" si="66"/>
        <v>0</v>
      </c>
      <c r="S249" s="14">
        <f t="shared" ca="1" si="67"/>
        <v>0</v>
      </c>
    </row>
    <row r="250" spans="1:19" x14ac:dyDescent="0.25">
      <c r="A250">
        <v>241</v>
      </c>
      <c r="B250" s="51">
        <f t="shared" ca="1" si="56"/>
        <v>7.6050520347598898</v>
      </c>
      <c r="C250" s="51">
        <f t="shared" ca="1" si="68"/>
        <v>737.77537338937714</v>
      </c>
      <c r="D250" s="11" t="str">
        <f t="shared" ca="1" si="60"/>
        <v>C1</v>
      </c>
      <c r="E250" s="51">
        <f t="shared" ca="1" si="69"/>
        <v>737.77537338937714</v>
      </c>
      <c r="F250" s="51">
        <f t="shared" ca="1" si="57"/>
        <v>5.8160288653806154</v>
      </c>
      <c r="G250" s="51">
        <f t="shared" ca="1" si="70"/>
        <v>743.59140225475778</v>
      </c>
      <c r="H250" s="8" t="str">
        <f t="shared" ca="1" si="61"/>
        <v>No</v>
      </c>
      <c r="I250" s="32">
        <f t="shared" ca="1" si="71"/>
        <v>0</v>
      </c>
      <c r="J250" s="32">
        <f t="shared" ca="1" si="62"/>
        <v>1</v>
      </c>
      <c r="K250" s="31">
        <f t="shared" ca="1" si="63"/>
        <v>0.5</v>
      </c>
      <c r="L250" s="52">
        <f t="shared" ca="1" si="64"/>
        <v>0</v>
      </c>
      <c r="M250" s="51">
        <f t="shared" ca="1" si="58"/>
        <v>3.6633651714919426</v>
      </c>
      <c r="N250" s="51">
        <f t="shared" ca="1" si="72"/>
        <v>0</v>
      </c>
      <c r="O250" s="28" t="str">
        <f t="shared" ca="1" si="59"/>
        <v>Yes</v>
      </c>
      <c r="P250" s="51">
        <f t="shared" ca="1" si="65"/>
        <v>1.6142005293554575</v>
      </c>
      <c r="Q250">
        <f t="shared" ca="1" si="73"/>
        <v>0</v>
      </c>
      <c r="R250">
        <f t="shared" ca="1" si="66"/>
        <v>0</v>
      </c>
      <c r="S250" s="14">
        <f t="shared" ca="1" si="67"/>
        <v>0</v>
      </c>
    </row>
    <row r="251" spans="1:19" x14ac:dyDescent="0.25">
      <c r="A251">
        <v>242</v>
      </c>
      <c r="B251" s="51">
        <f t="shared" ca="1" si="56"/>
        <v>4.2018283360252218</v>
      </c>
      <c r="C251" s="51">
        <f t="shared" ca="1" si="68"/>
        <v>741.97720172540232</v>
      </c>
      <c r="D251" s="11" t="str">
        <f t="shared" ca="1" si="60"/>
        <v>C2</v>
      </c>
      <c r="E251" s="51">
        <f t="shared" ca="1" si="69"/>
        <v>0</v>
      </c>
      <c r="F251" s="51">
        <f t="shared" ca="1" si="57"/>
        <v>4.2641553749782268</v>
      </c>
      <c r="G251" s="51">
        <f t="shared" ca="1" si="70"/>
        <v>0</v>
      </c>
      <c r="H251" s="8" t="str">
        <f t="shared" ca="1" si="61"/>
        <v>Yes</v>
      </c>
      <c r="I251" s="32">
        <f t="shared" ca="1" si="71"/>
        <v>2</v>
      </c>
      <c r="J251" s="32">
        <f t="shared" ca="1" si="62"/>
        <v>0</v>
      </c>
      <c r="K251" s="31">
        <f t="shared" ca="1" si="63"/>
        <v>1</v>
      </c>
      <c r="L251" s="52">
        <f t="shared" ca="1" si="64"/>
        <v>741.97720172540232</v>
      </c>
      <c r="M251" s="51">
        <f t="shared" ca="1" si="58"/>
        <v>1.766126693267972</v>
      </c>
      <c r="N251" s="51">
        <f t="shared" ca="1" si="72"/>
        <v>743.74332841867033</v>
      </c>
      <c r="O251" s="28" t="str">
        <f t="shared" ca="1" si="59"/>
        <v>No</v>
      </c>
      <c r="P251" s="51">
        <f t="shared" ca="1" si="65"/>
        <v>0</v>
      </c>
      <c r="Q251">
        <f t="shared" ca="1" si="73"/>
        <v>0</v>
      </c>
      <c r="R251">
        <f t="shared" ca="1" si="66"/>
        <v>0</v>
      </c>
      <c r="S251" s="14">
        <f t="shared" ca="1" si="67"/>
        <v>0</v>
      </c>
    </row>
    <row r="252" spans="1:19" x14ac:dyDescent="0.25">
      <c r="A252">
        <v>243</v>
      </c>
      <c r="B252" s="51">
        <f t="shared" ca="1" si="56"/>
        <v>2.7029556831858916</v>
      </c>
      <c r="C252" s="51">
        <f t="shared" ca="1" si="68"/>
        <v>744.68015740858823</v>
      </c>
      <c r="D252" s="11" t="str">
        <f t="shared" ca="1" si="60"/>
        <v>C1</v>
      </c>
      <c r="E252" s="51">
        <f t="shared" ca="1" si="69"/>
        <v>744.68015740858823</v>
      </c>
      <c r="F252" s="51">
        <f t="shared" ca="1" si="57"/>
        <v>2.3549190942818954</v>
      </c>
      <c r="G252" s="51">
        <f t="shared" ca="1" si="70"/>
        <v>747.03507650287008</v>
      </c>
      <c r="H252" s="8" t="str">
        <f t="shared" ca="1" si="61"/>
        <v>No</v>
      </c>
      <c r="I252" s="32">
        <f t="shared" ca="1" si="71"/>
        <v>0</v>
      </c>
      <c r="J252" s="32">
        <f t="shared" ca="1" si="62"/>
        <v>1</v>
      </c>
      <c r="K252" s="31">
        <f t="shared" ca="1" si="63"/>
        <v>0.5</v>
      </c>
      <c r="L252" s="52">
        <f t="shared" ca="1" si="64"/>
        <v>0</v>
      </c>
      <c r="M252" s="51">
        <f t="shared" ca="1" si="58"/>
        <v>5.7531616605488054</v>
      </c>
      <c r="N252" s="51">
        <f t="shared" ca="1" si="72"/>
        <v>0</v>
      </c>
      <c r="O252" s="28" t="str">
        <f t="shared" ca="1" si="59"/>
        <v>Yes</v>
      </c>
      <c r="P252" s="51">
        <f t="shared" ca="1" si="65"/>
        <v>1.0378381807671531</v>
      </c>
      <c r="Q252">
        <f t="shared" ca="1" si="73"/>
        <v>0</v>
      </c>
      <c r="R252">
        <f t="shared" ca="1" si="66"/>
        <v>0</v>
      </c>
      <c r="S252" s="14">
        <f t="shared" ca="1" si="67"/>
        <v>0</v>
      </c>
    </row>
    <row r="253" spans="1:19" x14ac:dyDescent="0.25">
      <c r="A253">
        <v>244</v>
      </c>
      <c r="B253" s="51">
        <f t="shared" ca="1" si="56"/>
        <v>1.3170809135146448</v>
      </c>
      <c r="C253" s="51">
        <f t="shared" ca="1" si="68"/>
        <v>745.99723832210293</v>
      </c>
      <c r="D253" s="11" t="str">
        <f t="shared" ca="1" si="60"/>
        <v>C2</v>
      </c>
      <c r="E253" s="51">
        <f t="shared" ca="1" si="69"/>
        <v>0</v>
      </c>
      <c r="F253" s="51">
        <f t="shared" ca="1" si="57"/>
        <v>0.20298494477884277</v>
      </c>
      <c r="G253" s="51">
        <f t="shared" ca="1" si="70"/>
        <v>0</v>
      </c>
      <c r="H253" s="8" t="str">
        <f t="shared" ca="1" si="61"/>
        <v>Yes</v>
      </c>
      <c r="I253" s="32">
        <f t="shared" ca="1" si="71"/>
        <v>2</v>
      </c>
      <c r="J253" s="32">
        <f t="shared" ca="1" si="62"/>
        <v>0</v>
      </c>
      <c r="K253" s="31">
        <f t="shared" ca="1" si="63"/>
        <v>1</v>
      </c>
      <c r="L253" s="52">
        <f t="shared" ca="1" si="64"/>
        <v>745.99723832210293</v>
      </c>
      <c r="M253" s="51">
        <f t="shared" ca="1" si="58"/>
        <v>5.6831774965666826</v>
      </c>
      <c r="N253" s="51">
        <f t="shared" ca="1" si="72"/>
        <v>751.68041581866964</v>
      </c>
      <c r="O253" s="28" t="str">
        <f t="shared" ca="1" si="59"/>
        <v>No</v>
      </c>
      <c r="P253" s="51">
        <f t="shared" ca="1" si="65"/>
        <v>4.0526998967930012</v>
      </c>
      <c r="Q253">
        <f t="shared" ca="1" si="73"/>
        <v>0</v>
      </c>
      <c r="R253">
        <f t="shared" ca="1" si="66"/>
        <v>1</v>
      </c>
      <c r="S253" s="14">
        <f t="shared" ca="1" si="67"/>
        <v>0.5</v>
      </c>
    </row>
    <row r="254" spans="1:19" x14ac:dyDescent="0.25">
      <c r="A254">
        <v>245</v>
      </c>
      <c r="B254" s="51">
        <f t="shared" ca="1" si="56"/>
        <v>1.6304775997737364</v>
      </c>
      <c r="C254" s="51">
        <f t="shared" ca="1" si="68"/>
        <v>747.62771592187664</v>
      </c>
      <c r="D254" s="11" t="str">
        <f t="shared" ca="1" si="60"/>
        <v>C1</v>
      </c>
      <c r="E254" s="51">
        <f t="shared" ca="1" si="69"/>
        <v>747.62771592187664</v>
      </c>
      <c r="F254" s="51">
        <f t="shared" ca="1" si="57"/>
        <v>2.1548781192234238E-2</v>
      </c>
      <c r="G254" s="51">
        <f t="shared" ca="1" si="70"/>
        <v>747.64926470306887</v>
      </c>
      <c r="H254" s="8" t="str">
        <f t="shared" ca="1" si="61"/>
        <v>No</v>
      </c>
      <c r="I254" s="32">
        <f t="shared" ca="1" si="71"/>
        <v>0</v>
      </c>
      <c r="J254" s="32">
        <f t="shared" ca="1" si="62"/>
        <v>0</v>
      </c>
      <c r="K254" s="31">
        <f t="shared" ca="1" si="63"/>
        <v>0</v>
      </c>
      <c r="L254" s="52">
        <f t="shared" ca="1" si="64"/>
        <v>0</v>
      </c>
      <c r="M254" s="51">
        <f t="shared" ca="1" si="58"/>
        <v>5.9638040012456699</v>
      </c>
      <c r="N254" s="51">
        <f t="shared" ca="1" si="72"/>
        <v>0</v>
      </c>
      <c r="O254" s="28" t="str">
        <f t="shared" ca="1" si="59"/>
        <v>Yes</v>
      </c>
      <c r="P254" s="51">
        <f t="shared" ca="1" si="65"/>
        <v>0</v>
      </c>
      <c r="Q254">
        <f t="shared" ca="1" si="73"/>
        <v>2</v>
      </c>
      <c r="R254">
        <f t="shared" ca="1" si="66"/>
        <v>0</v>
      </c>
      <c r="S254" s="14">
        <f t="shared" ca="1" si="67"/>
        <v>1</v>
      </c>
    </row>
    <row r="255" spans="1:19" x14ac:dyDescent="0.25">
      <c r="A255">
        <v>246</v>
      </c>
      <c r="B255" s="51">
        <f t="shared" ca="1" si="56"/>
        <v>7.404719754137794</v>
      </c>
      <c r="C255" s="51">
        <f t="shared" ca="1" si="68"/>
        <v>755.03243567601442</v>
      </c>
      <c r="D255" s="11" t="str">
        <f t="shared" ca="1" si="60"/>
        <v>C1</v>
      </c>
      <c r="E255" s="51">
        <f t="shared" ca="1" si="69"/>
        <v>755.03243567601442</v>
      </c>
      <c r="F255" s="51">
        <f t="shared" ca="1" si="57"/>
        <v>2.3079835584304873</v>
      </c>
      <c r="G255" s="51">
        <f t="shared" ca="1" si="70"/>
        <v>757.34041923444488</v>
      </c>
      <c r="H255" s="8" t="str">
        <f t="shared" ca="1" si="61"/>
        <v>No</v>
      </c>
      <c r="I255" s="32">
        <f t="shared" ca="1" si="71"/>
        <v>0</v>
      </c>
      <c r="J255" s="32">
        <f t="shared" ca="1" si="62"/>
        <v>1</v>
      </c>
      <c r="K255" s="31">
        <f t="shared" ca="1" si="63"/>
        <v>0.5</v>
      </c>
      <c r="L255" s="52">
        <f t="shared" ca="1" si="64"/>
        <v>0</v>
      </c>
      <c r="M255" s="51">
        <f t="shared" ca="1" si="58"/>
        <v>9.7340899516731607</v>
      </c>
      <c r="N255" s="51">
        <f t="shared" ca="1" si="72"/>
        <v>0</v>
      </c>
      <c r="O255" s="28" t="str">
        <f t="shared" ca="1" si="59"/>
        <v>Yes</v>
      </c>
      <c r="P255" s="51">
        <f t="shared" ca="1" si="65"/>
        <v>1.4438361179560388</v>
      </c>
      <c r="Q255">
        <f t="shared" ca="1" si="73"/>
        <v>0</v>
      </c>
      <c r="R255">
        <f t="shared" ca="1" si="66"/>
        <v>0</v>
      </c>
      <c r="S255" s="14">
        <f t="shared" ca="1" si="67"/>
        <v>0</v>
      </c>
    </row>
    <row r="256" spans="1:19" x14ac:dyDescent="0.25">
      <c r="A256">
        <v>247</v>
      </c>
      <c r="B256" s="51">
        <f t="shared" ca="1" si="56"/>
        <v>0.86414744047441983</v>
      </c>
      <c r="C256" s="51">
        <f t="shared" ca="1" si="68"/>
        <v>755.89658311648884</v>
      </c>
      <c r="D256" s="11" t="str">
        <f t="shared" ca="1" si="60"/>
        <v>C2</v>
      </c>
      <c r="E256" s="51">
        <f t="shared" ca="1" si="69"/>
        <v>0</v>
      </c>
      <c r="F256" s="51">
        <f t="shared" ca="1" si="57"/>
        <v>4.7020808689697872E-2</v>
      </c>
      <c r="G256" s="51">
        <f t="shared" ca="1" si="70"/>
        <v>0</v>
      </c>
      <c r="H256" s="8" t="str">
        <f t="shared" ca="1" si="61"/>
        <v>Yes</v>
      </c>
      <c r="I256" s="32">
        <f t="shared" ca="1" si="71"/>
        <v>2</v>
      </c>
      <c r="J256" s="32">
        <f t="shared" ca="1" si="62"/>
        <v>0</v>
      </c>
      <c r="K256" s="31">
        <f t="shared" ca="1" si="63"/>
        <v>1</v>
      </c>
      <c r="L256" s="52">
        <f t="shared" ca="1" si="64"/>
        <v>755.89658311648884</v>
      </c>
      <c r="M256" s="51">
        <f t="shared" ca="1" si="58"/>
        <v>4.4417533570825185</v>
      </c>
      <c r="N256" s="51">
        <f t="shared" ca="1" si="72"/>
        <v>760.33833647357142</v>
      </c>
      <c r="O256" s="28" t="str">
        <f t="shared" ca="1" si="59"/>
        <v>No</v>
      </c>
      <c r="P256" s="51">
        <f t="shared" ca="1" si="65"/>
        <v>0.6366482988835287</v>
      </c>
      <c r="Q256">
        <f t="shared" ca="1" si="73"/>
        <v>0</v>
      </c>
      <c r="R256">
        <f t="shared" ca="1" si="66"/>
        <v>1</v>
      </c>
      <c r="S256" s="14">
        <f t="shared" ca="1" si="67"/>
        <v>0.5</v>
      </c>
    </row>
    <row r="257" spans="1:19" x14ac:dyDescent="0.25">
      <c r="A257">
        <v>248</v>
      </c>
      <c r="B257" s="51">
        <f t="shared" ca="1" si="56"/>
        <v>3.8051050581990524</v>
      </c>
      <c r="C257" s="51">
        <f t="shared" ca="1" si="68"/>
        <v>759.70168817468789</v>
      </c>
      <c r="D257" s="11" t="str">
        <f t="shared" ca="1" si="60"/>
        <v>C1</v>
      </c>
      <c r="E257" s="51">
        <f t="shared" ca="1" si="69"/>
        <v>759.70168817468789</v>
      </c>
      <c r="F257" s="51">
        <f t="shared" ca="1" si="57"/>
        <v>1.0617864676746911</v>
      </c>
      <c r="G257" s="51">
        <f t="shared" ca="1" si="70"/>
        <v>760.76347464236255</v>
      </c>
      <c r="H257" s="8" t="str">
        <f t="shared" ca="1" si="61"/>
        <v>No</v>
      </c>
      <c r="I257" s="32">
        <f t="shared" ca="1" si="71"/>
        <v>0</v>
      </c>
      <c r="J257" s="32">
        <f t="shared" ca="1" si="62"/>
        <v>0</v>
      </c>
      <c r="K257" s="31">
        <f t="shared" ca="1" si="63"/>
        <v>0</v>
      </c>
      <c r="L257" s="52">
        <f t="shared" ca="1" si="64"/>
        <v>0</v>
      </c>
      <c r="M257" s="51">
        <f t="shared" ca="1" si="58"/>
        <v>0.74136643234048616</v>
      </c>
      <c r="N257" s="51">
        <f t="shared" ca="1" si="72"/>
        <v>0</v>
      </c>
      <c r="O257" s="28" t="str">
        <f t="shared" ca="1" si="59"/>
        <v>Yes</v>
      </c>
      <c r="P257" s="51">
        <f t="shared" ca="1" si="65"/>
        <v>0</v>
      </c>
      <c r="Q257">
        <f t="shared" ca="1" si="73"/>
        <v>2</v>
      </c>
      <c r="R257">
        <f t="shared" ca="1" si="66"/>
        <v>0</v>
      </c>
      <c r="S257" s="14">
        <f t="shared" ca="1" si="67"/>
        <v>1</v>
      </c>
    </row>
    <row r="258" spans="1:19" x14ac:dyDescent="0.25">
      <c r="A258">
        <v>249</v>
      </c>
      <c r="B258" s="51">
        <f t="shared" ca="1" si="56"/>
        <v>3.2941350520028312</v>
      </c>
      <c r="C258" s="51">
        <f t="shared" ca="1" si="68"/>
        <v>762.99582322669073</v>
      </c>
      <c r="D258" s="11" t="str">
        <f t="shared" ca="1" si="60"/>
        <v>C1</v>
      </c>
      <c r="E258" s="51">
        <f t="shared" ca="1" si="69"/>
        <v>762.99582322669073</v>
      </c>
      <c r="F258" s="51">
        <f t="shared" ca="1" si="57"/>
        <v>1.1857585077538904E-2</v>
      </c>
      <c r="G258" s="51">
        <f t="shared" ca="1" si="70"/>
        <v>763.0076808117683</v>
      </c>
      <c r="H258" s="8" t="str">
        <f t="shared" ca="1" si="61"/>
        <v>No</v>
      </c>
      <c r="I258" s="32">
        <f t="shared" ca="1" si="71"/>
        <v>0</v>
      </c>
      <c r="J258" s="32">
        <f t="shared" ca="1" si="62"/>
        <v>0</v>
      </c>
      <c r="K258" s="31">
        <f t="shared" ca="1" si="63"/>
        <v>0</v>
      </c>
      <c r="L258" s="52">
        <f t="shared" ca="1" si="64"/>
        <v>0</v>
      </c>
      <c r="M258" s="51">
        <f t="shared" ca="1" si="58"/>
        <v>1.7341884926274889</v>
      </c>
      <c r="N258" s="51">
        <f t="shared" ca="1" si="72"/>
        <v>0</v>
      </c>
      <c r="O258" s="28" t="str">
        <f t="shared" ca="1" si="59"/>
        <v>Yes</v>
      </c>
      <c r="P258" s="51">
        <f t="shared" ca="1" si="65"/>
        <v>0</v>
      </c>
      <c r="Q258">
        <f t="shared" ca="1" si="73"/>
        <v>0</v>
      </c>
      <c r="R258">
        <f t="shared" ca="1" si="66"/>
        <v>0</v>
      </c>
      <c r="S258" s="14">
        <f t="shared" ca="1" si="67"/>
        <v>0</v>
      </c>
    </row>
    <row r="259" spans="1:19" x14ac:dyDescent="0.25">
      <c r="A259">
        <v>250</v>
      </c>
      <c r="B259" s="51">
        <f t="shared" ca="1" si="56"/>
        <v>11.763217349399511</v>
      </c>
      <c r="C259" s="51">
        <f t="shared" ca="1" si="68"/>
        <v>774.75904057609023</v>
      </c>
      <c r="D259" s="11" t="str">
        <f t="shared" ca="1" si="60"/>
        <v>C1</v>
      </c>
      <c r="E259" s="51">
        <f t="shared" ca="1" si="69"/>
        <v>774.75904057609023</v>
      </c>
      <c r="F259" s="51">
        <f t="shared" ca="1" si="57"/>
        <v>1.1431839525591836</v>
      </c>
      <c r="G259" s="51">
        <f t="shared" ca="1" si="70"/>
        <v>775.90222452864941</v>
      </c>
      <c r="H259" s="8" t="str">
        <f t="shared" ca="1" si="61"/>
        <v>No</v>
      </c>
      <c r="I259" s="32">
        <f t="shared" ca="1" si="71"/>
        <v>0</v>
      </c>
      <c r="J259" s="32">
        <f t="shared" ca="1" si="62"/>
        <v>1</v>
      </c>
      <c r="K259" s="31">
        <f t="shared" ca="1" si="63"/>
        <v>0.5</v>
      </c>
      <c r="L259" s="52">
        <f t="shared" ca="1" si="64"/>
        <v>0</v>
      </c>
      <c r="M259" s="51">
        <f t="shared" ca="1" si="58"/>
        <v>2.1612362660947082</v>
      </c>
      <c r="N259" s="51">
        <f t="shared" ca="1" si="72"/>
        <v>0</v>
      </c>
      <c r="O259" s="28" t="str">
        <f t="shared" ca="1" si="59"/>
        <v>Yes</v>
      </c>
      <c r="P259" s="51">
        <f t="shared" ca="1" si="65"/>
        <v>0.26648520636297235</v>
      </c>
      <c r="Q259">
        <f t="shared" ca="1" si="73"/>
        <v>0</v>
      </c>
      <c r="R259">
        <f t="shared" ca="1" si="66"/>
        <v>0</v>
      </c>
      <c r="S259" s="14">
        <f t="shared" ca="1" si="67"/>
        <v>0</v>
      </c>
    </row>
    <row r="260" spans="1:19" x14ac:dyDescent="0.25">
      <c r="A260">
        <v>251</v>
      </c>
      <c r="B260" s="51">
        <f t="shared" ca="1" si="56"/>
        <v>0.87669874619617982</v>
      </c>
      <c r="C260" s="51">
        <f t="shared" ca="1" si="68"/>
        <v>775.63573932228644</v>
      </c>
      <c r="D260" s="11" t="str">
        <f t="shared" ca="1" si="60"/>
        <v>C2</v>
      </c>
      <c r="E260" s="51">
        <f t="shared" ca="1" si="69"/>
        <v>0</v>
      </c>
      <c r="F260" s="51">
        <f t="shared" ca="1" si="57"/>
        <v>0.37471520041602385</v>
      </c>
      <c r="G260" s="51">
        <f t="shared" ca="1" si="70"/>
        <v>0</v>
      </c>
      <c r="H260" s="8" t="str">
        <f t="shared" ca="1" si="61"/>
        <v>Yes</v>
      </c>
      <c r="I260" s="32">
        <f t="shared" ca="1" si="71"/>
        <v>2</v>
      </c>
      <c r="J260" s="32">
        <f t="shared" ca="1" si="62"/>
        <v>0</v>
      </c>
      <c r="K260" s="31">
        <f t="shared" ca="1" si="63"/>
        <v>1</v>
      </c>
      <c r="L260" s="52">
        <f t="shared" ca="1" si="64"/>
        <v>775.63573932228644</v>
      </c>
      <c r="M260" s="51">
        <f t="shared" ca="1" si="58"/>
        <v>5.6058666506304151</v>
      </c>
      <c r="N260" s="51">
        <f t="shared" ca="1" si="72"/>
        <v>781.24160597291689</v>
      </c>
      <c r="O260" s="28" t="str">
        <f t="shared" ca="1" si="59"/>
        <v>No</v>
      </c>
      <c r="P260" s="51">
        <f t="shared" ca="1" si="65"/>
        <v>0</v>
      </c>
      <c r="Q260">
        <f t="shared" ca="1" si="73"/>
        <v>0</v>
      </c>
      <c r="R260">
        <f t="shared" ca="1" si="66"/>
        <v>0</v>
      </c>
      <c r="S260" s="14">
        <f t="shared" ca="1" si="67"/>
        <v>0</v>
      </c>
    </row>
    <row r="261" spans="1:19" x14ac:dyDescent="0.25">
      <c r="A261">
        <v>252</v>
      </c>
      <c r="B261" s="51">
        <f t="shared" ca="1" si="56"/>
        <v>7.9486508931998703</v>
      </c>
      <c r="C261" s="51">
        <f t="shared" ca="1" si="68"/>
        <v>783.58439021548634</v>
      </c>
      <c r="D261" s="11" t="str">
        <f t="shared" ca="1" si="60"/>
        <v>C1</v>
      </c>
      <c r="E261" s="51">
        <f t="shared" ca="1" si="69"/>
        <v>783.58439021548634</v>
      </c>
      <c r="F261" s="51">
        <f t="shared" ca="1" si="57"/>
        <v>0.66294097461090473</v>
      </c>
      <c r="G261" s="51">
        <f t="shared" ca="1" si="70"/>
        <v>784.24733119009727</v>
      </c>
      <c r="H261" s="8" t="str">
        <f t="shared" ca="1" si="61"/>
        <v>No</v>
      </c>
      <c r="I261" s="32">
        <f t="shared" ca="1" si="71"/>
        <v>0</v>
      </c>
      <c r="J261" s="32">
        <f t="shared" ca="1" si="62"/>
        <v>0</v>
      </c>
      <c r="K261" s="31">
        <f t="shared" ca="1" si="63"/>
        <v>0</v>
      </c>
      <c r="L261" s="52">
        <f t="shared" ca="1" si="64"/>
        <v>0</v>
      </c>
      <c r="M261" s="51">
        <f t="shared" ca="1" si="58"/>
        <v>1.0997635427619039</v>
      </c>
      <c r="N261" s="51">
        <f t="shared" ca="1" si="72"/>
        <v>0</v>
      </c>
      <c r="O261" s="28" t="str">
        <f t="shared" ca="1" si="59"/>
        <v>Yes</v>
      </c>
      <c r="P261" s="51">
        <f t="shared" ca="1" si="65"/>
        <v>0</v>
      </c>
      <c r="Q261">
        <f t="shared" ca="1" si="73"/>
        <v>0</v>
      </c>
      <c r="R261">
        <f t="shared" ca="1" si="66"/>
        <v>0</v>
      </c>
      <c r="S261" s="14">
        <f t="shared" ca="1" si="67"/>
        <v>0</v>
      </c>
    </row>
    <row r="262" spans="1:19" x14ac:dyDescent="0.25">
      <c r="A262">
        <v>253</v>
      </c>
      <c r="B262" s="51">
        <f t="shared" ca="1" si="56"/>
        <v>3.0890395947173839</v>
      </c>
      <c r="C262" s="51">
        <f t="shared" ca="1" si="68"/>
        <v>786.67342981020374</v>
      </c>
      <c r="D262" s="11" t="str">
        <f t="shared" ca="1" si="60"/>
        <v>C1</v>
      </c>
      <c r="E262" s="51">
        <f t="shared" ca="1" si="69"/>
        <v>786.67342981020374</v>
      </c>
      <c r="F262" s="51">
        <f t="shared" ca="1" si="57"/>
        <v>3.6304809254814256</v>
      </c>
      <c r="G262" s="51">
        <f t="shared" ca="1" si="70"/>
        <v>790.30391073568512</v>
      </c>
      <c r="H262" s="8" t="str">
        <f t="shared" ca="1" si="61"/>
        <v>No</v>
      </c>
      <c r="I262" s="32">
        <f t="shared" ca="1" si="71"/>
        <v>0</v>
      </c>
      <c r="J262" s="32">
        <f t="shared" ca="1" si="62"/>
        <v>0</v>
      </c>
      <c r="K262" s="31">
        <f t="shared" ca="1" si="63"/>
        <v>0</v>
      </c>
      <c r="L262" s="52">
        <f t="shared" ca="1" si="64"/>
        <v>0</v>
      </c>
      <c r="M262" s="51">
        <f t="shared" ca="1" si="58"/>
        <v>9.8366025643397883</v>
      </c>
      <c r="N262" s="51">
        <f t="shared" ca="1" si="72"/>
        <v>0</v>
      </c>
      <c r="O262" s="28" t="str">
        <f t="shared" ca="1" si="59"/>
        <v>Yes</v>
      </c>
      <c r="P262" s="51">
        <f t="shared" ca="1" si="65"/>
        <v>0</v>
      </c>
      <c r="Q262">
        <f t="shared" ca="1" si="73"/>
        <v>0</v>
      </c>
      <c r="R262">
        <f t="shared" ca="1" si="66"/>
        <v>0</v>
      </c>
      <c r="S262" s="14">
        <f t="shared" ca="1" si="67"/>
        <v>0</v>
      </c>
    </row>
    <row r="263" spans="1:19" x14ac:dyDescent="0.25">
      <c r="A263">
        <v>254</v>
      </c>
      <c r="B263" s="51">
        <f t="shared" ca="1" si="56"/>
        <v>7.1173358264873601</v>
      </c>
      <c r="C263" s="51">
        <f t="shared" ca="1" si="68"/>
        <v>793.79076563669105</v>
      </c>
      <c r="D263" s="11" t="str">
        <f t="shared" ca="1" si="60"/>
        <v>C1</v>
      </c>
      <c r="E263" s="51">
        <f t="shared" ca="1" si="69"/>
        <v>793.79076563669105</v>
      </c>
      <c r="F263" s="51">
        <f t="shared" ca="1" si="57"/>
        <v>0.41538527207276343</v>
      </c>
      <c r="G263" s="51">
        <f t="shared" ca="1" si="70"/>
        <v>794.20615090876379</v>
      </c>
      <c r="H263" s="8" t="str">
        <f t="shared" ca="1" si="61"/>
        <v>No</v>
      </c>
      <c r="I263" s="32">
        <f t="shared" ca="1" si="71"/>
        <v>0</v>
      </c>
      <c r="J263" s="32">
        <f t="shared" ca="1" si="62"/>
        <v>0</v>
      </c>
      <c r="K263" s="31">
        <f t="shared" ca="1" si="63"/>
        <v>0</v>
      </c>
      <c r="L263" s="52">
        <f t="shared" ca="1" si="64"/>
        <v>0</v>
      </c>
      <c r="M263" s="51">
        <f t="shared" ca="1" si="58"/>
        <v>0.28883688170367322</v>
      </c>
      <c r="N263" s="51">
        <f t="shared" ca="1" si="72"/>
        <v>0</v>
      </c>
      <c r="O263" s="28" t="str">
        <f t="shared" ca="1" si="59"/>
        <v>Yes</v>
      </c>
      <c r="P263" s="51">
        <f t="shared" ca="1" si="65"/>
        <v>0</v>
      </c>
      <c r="Q263">
        <f t="shared" ca="1" si="73"/>
        <v>0</v>
      </c>
      <c r="R263">
        <f t="shared" ca="1" si="66"/>
        <v>0</v>
      </c>
      <c r="S263" s="14">
        <f t="shared" ca="1" si="67"/>
        <v>0</v>
      </c>
    </row>
    <row r="264" spans="1:19" x14ac:dyDescent="0.25">
      <c r="A264">
        <v>255</v>
      </c>
      <c r="B264" s="51">
        <f t="shared" ca="1" si="56"/>
        <v>0.77727308598545197</v>
      </c>
      <c r="C264" s="51">
        <f t="shared" ca="1" si="68"/>
        <v>794.56803872267653</v>
      </c>
      <c r="D264" s="11" t="str">
        <f t="shared" ca="1" si="60"/>
        <v>C1</v>
      </c>
      <c r="E264" s="51">
        <f t="shared" ca="1" si="69"/>
        <v>794.56803872267653</v>
      </c>
      <c r="F264" s="51">
        <f t="shared" ca="1" si="57"/>
        <v>4.888560002534275</v>
      </c>
      <c r="G264" s="51">
        <f t="shared" ca="1" si="70"/>
        <v>799.45659872521082</v>
      </c>
      <c r="H264" s="8" t="str">
        <f t="shared" ca="1" si="61"/>
        <v>No</v>
      </c>
      <c r="I264" s="32">
        <f t="shared" ca="1" si="71"/>
        <v>0</v>
      </c>
      <c r="J264" s="32">
        <f t="shared" ca="1" si="62"/>
        <v>0</v>
      </c>
      <c r="K264" s="31">
        <f t="shared" ca="1" si="63"/>
        <v>0</v>
      </c>
      <c r="L264" s="52">
        <f t="shared" ca="1" si="64"/>
        <v>0</v>
      </c>
      <c r="M264" s="51">
        <f t="shared" ca="1" si="58"/>
        <v>0.7525658709137697</v>
      </c>
      <c r="N264" s="51">
        <f t="shared" ca="1" si="72"/>
        <v>0</v>
      </c>
      <c r="O264" s="28" t="str">
        <f t="shared" ca="1" si="59"/>
        <v>Yes</v>
      </c>
      <c r="P264" s="51">
        <f t="shared" ca="1" si="65"/>
        <v>0</v>
      </c>
      <c r="Q264">
        <f t="shared" ca="1" si="73"/>
        <v>0</v>
      </c>
      <c r="R264">
        <f t="shared" ca="1" si="66"/>
        <v>0</v>
      </c>
      <c r="S264" s="14">
        <f t="shared" ca="1" si="67"/>
        <v>0</v>
      </c>
    </row>
    <row r="265" spans="1:19" x14ac:dyDescent="0.25">
      <c r="A265">
        <v>256</v>
      </c>
      <c r="B265" s="51">
        <f t="shared" ca="1" si="56"/>
        <v>5.4252029717239525</v>
      </c>
      <c r="C265" s="51">
        <f t="shared" ca="1" si="68"/>
        <v>799.99324169440047</v>
      </c>
      <c r="D265" s="11" t="str">
        <f t="shared" ca="1" si="60"/>
        <v>C1</v>
      </c>
      <c r="E265" s="51">
        <f t="shared" ca="1" si="69"/>
        <v>799.99324169440047</v>
      </c>
      <c r="F265" s="51">
        <f t="shared" ca="1" si="57"/>
        <v>0.22153264506138681</v>
      </c>
      <c r="G265" s="51">
        <f t="shared" ca="1" si="70"/>
        <v>800.21477433946188</v>
      </c>
      <c r="H265" s="8" t="str">
        <f t="shared" ca="1" si="61"/>
        <v>No</v>
      </c>
      <c r="I265" s="32">
        <f t="shared" ca="1" si="71"/>
        <v>0</v>
      </c>
      <c r="J265" s="32">
        <f t="shared" ca="1" si="62"/>
        <v>0</v>
      </c>
      <c r="K265" s="31">
        <f t="shared" ca="1" si="63"/>
        <v>0</v>
      </c>
      <c r="L265" s="52">
        <f t="shared" ca="1" si="64"/>
        <v>0</v>
      </c>
      <c r="M265" s="51">
        <f t="shared" ca="1" si="58"/>
        <v>2.0576438689936349</v>
      </c>
      <c r="N265" s="51">
        <f t="shared" ca="1" si="72"/>
        <v>0</v>
      </c>
      <c r="O265" s="28" t="str">
        <f t="shared" ca="1" si="59"/>
        <v>Yes</v>
      </c>
      <c r="P265" s="51">
        <f t="shared" ca="1" si="65"/>
        <v>0</v>
      </c>
      <c r="Q265">
        <f t="shared" ca="1" si="73"/>
        <v>0</v>
      </c>
      <c r="R265">
        <f t="shared" ca="1" si="66"/>
        <v>0</v>
      </c>
      <c r="S265" s="14">
        <f t="shared" ca="1" si="67"/>
        <v>0</v>
      </c>
    </row>
    <row r="266" spans="1:19" x14ac:dyDescent="0.25">
      <c r="A266">
        <v>257</v>
      </c>
      <c r="B266" s="51">
        <f t="shared" ref="B266:B329" ca="1" si="74">-LN(RAND())/$H$3</f>
        <v>3.8558854567892733</v>
      </c>
      <c r="C266" s="51">
        <f t="shared" ca="1" si="68"/>
        <v>803.84912715118969</v>
      </c>
      <c r="D266" s="11" t="str">
        <f t="shared" ca="1" si="60"/>
        <v>C1</v>
      </c>
      <c r="E266" s="51">
        <f t="shared" ca="1" si="69"/>
        <v>803.84912715118969</v>
      </c>
      <c r="F266" s="51">
        <f t="shared" ref="F266:F329" ca="1" si="75">-LN(RAND())/$H$5</f>
        <v>1.1206205768161839</v>
      </c>
      <c r="G266" s="51">
        <f t="shared" ca="1" si="70"/>
        <v>804.96974772800593</v>
      </c>
      <c r="H266" s="8" t="str">
        <f t="shared" ca="1" si="61"/>
        <v>No</v>
      </c>
      <c r="I266" s="32">
        <f t="shared" ca="1" si="71"/>
        <v>0</v>
      </c>
      <c r="J266" s="32">
        <f t="shared" ca="1" si="62"/>
        <v>0</v>
      </c>
      <c r="K266" s="31">
        <f t="shared" ca="1" si="63"/>
        <v>0</v>
      </c>
      <c r="L266" s="52">
        <f t="shared" ca="1" si="64"/>
        <v>0</v>
      </c>
      <c r="M266" s="51">
        <f t="shared" ref="M266:M329" ca="1" si="76">-LN(RAND())/$H$5</f>
        <v>2.0813546599936097</v>
      </c>
      <c r="N266" s="51">
        <f t="shared" ca="1" si="72"/>
        <v>0</v>
      </c>
      <c r="O266" s="28" t="str">
        <f t="shared" ref="O266:O329" ca="1" si="77">IF(D266="C2","No","Yes")</f>
        <v>Yes</v>
      </c>
      <c r="P266" s="51">
        <f t="shared" ca="1" si="65"/>
        <v>0</v>
      </c>
      <c r="Q266">
        <f t="shared" ca="1" si="73"/>
        <v>0</v>
      </c>
      <c r="R266">
        <f t="shared" ca="1" si="66"/>
        <v>0</v>
      </c>
      <c r="S266" s="14">
        <f t="shared" ca="1" si="67"/>
        <v>0</v>
      </c>
    </row>
    <row r="267" spans="1:19" x14ac:dyDescent="0.25">
      <c r="A267">
        <v>258</v>
      </c>
      <c r="B267" s="51">
        <f t="shared" ca="1" si="74"/>
        <v>1.7100228120879233</v>
      </c>
      <c r="C267" s="51">
        <f t="shared" ca="1" si="68"/>
        <v>805.5591499632776</v>
      </c>
      <c r="D267" s="11" t="str">
        <f t="shared" ref="D267:D330" ca="1" si="78">IF(C267&gt;G266,"C1",IF(C267&gt;N266,"C2"))</f>
        <v>C1</v>
      </c>
      <c r="E267" s="51">
        <f t="shared" ca="1" si="69"/>
        <v>805.5591499632776</v>
      </c>
      <c r="F267" s="51">
        <f t="shared" ca="1" si="75"/>
        <v>1.0245843330985553</v>
      </c>
      <c r="G267" s="51">
        <f t="shared" ca="1" si="70"/>
        <v>806.58373429637618</v>
      </c>
      <c r="H267" s="8" t="str">
        <f t="shared" ref="H267:H330" ca="1" si="79">IF(D267="C1","No","Yes")</f>
        <v>No</v>
      </c>
      <c r="I267" s="32">
        <f t="shared" ca="1" si="71"/>
        <v>0</v>
      </c>
      <c r="J267" s="32">
        <f t="shared" ref="J267:J330" ca="1" si="80">IF($G267&lt;=$C268,0,IF($G267&lt;=$C269,1,IF($G267&lt;=$C270,2,IF($G267&lt;=$C271,3,IF($G267&lt;=$C272,4,5)))))</f>
        <v>0</v>
      </c>
      <c r="K267" s="31">
        <f t="shared" ref="K267:K330" ca="1" si="81">AVERAGE(I267:J267)</f>
        <v>0</v>
      </c>
      <c r="L267" s="52">
        <f t="shared" ref="L267:L330" ca="1" si="82">IF(D267="C2",C267,0)</f>
        <v>0</v>
      </c>
      <c r="M267" s="51">
        <f t="shared" ca="1" si="76"/>
        <v>3.3803935806168517</v>
      </c>
      <c r="N267" s="51">
        <f t="shared" ca="1" si="72"/>
        <v>0</v>
      </c>
      <c r="O267" s="28" t="str">
        <f t="shared" ca="1" si="77"/>
        <v>Yes</v>
      </c>
      <c r="P267" s="51">
        <f t="shared" ref="P267:P330" ca="1" si="83">IF(D267="C1",IF(G267&lt;C268,0,G267-C268),IF(N267&lt;C268,0,N267-C268))</f>
        <v>0</v>
      </c>
      <c r="Q267">
        <f t="shared" ca="1" si="73"/>
        <v>0</v>
      </c>
      <c r="R267">
        <f t="shared" ref="R267:R330" ca="1" si="84">IF($N267&lt;=$C268,0,IF($N267&lt;=$C269,1,IF($N267&lt;=$C270,2,IF($N267&lt;=$C271,3,IF($N267&lt;=$C272,4,5)))))</f>
        <v>0</v>
      </c>
      <c r="S267" s="14">
        <f t="shared" ref="S267:S330" ca="1" si="85">AVERAGE(Q267:R267)</f>
        <v>0</v>
      </c>
    </row>
    <row r="268" spans="1:19" x14ac:dyDescent="0.25">
      <c r="A268">
        <v>259</v>
      </c>
      <c r="B268" s="51">
        <f t="shared" ca="1" si="74"/>
        <v>1.071552226963151</v>
      </c>
      <c r="C268" s="51">
        <f t="shared" ref="C268:C331" ca="1" si="86">C267+B268</f>
        <v>806.63070219024075</v>
      </c>
      <c r="D268" s="11" t="str">
        <f t="shared" ca="1" si="78"/>
        <v>C1</v>
      </c>
      <c r="E268" s="51">
        <f t="shared" ref="E268:E331" ca="1" si="87">IF(D268="C1",C268,0)</f>
        <v>806.63070219024075</v>
      </c>
      <c r="F268" s="51">
        <f t="shared" ca="1" si="75"/>
        <v>0.84139951885701725</v>
      </c>
      <c r="G268" s="51">
        <f t="shared" ref="G268:G331" ca="1" si="88">IF(E268=0,0,F268+E268)</f>
        <v>807.47210170909773</v>
      </c>
      <c r="H268" s="8" t="str">
        <f t="shared" ca="1" si="79"/>
        <v>No</v>
      </c>
      <c r="I268" s="32">
        <f t="shared" ref="I268:I331" ca="1" si="89">IF(G267&lt;=$C268,0,$J267+1)</f>
        <v>0</v>
      </c>
      <c r="J268" s="32">
        <f t="shared" ca="1" si="80"/>
        <v>0</v>
      </c>
      <c r="K268" s="31">
        <f t="shared" ca="1" si="81"/>
        <v>0</v>
      </c>
      <c r="L268" s="52">
        <f t="shared" ca="1" si="82"/>
        <v>0</v>
      </c>
      <c r="M268" s="51">
        <f t="shared" ca="1" si="76"/>
        <v>5.4921486946151976</v>
      </c>
      <c r="N268" s="51">
        <f t="shared" ref="N268:N331" ca="1" si="90">IF(L268=0,0,M268+L268)</f>
        <v>0</v>
      </c>
      <c r="O268" s="28" t="str">
        <f t="shared" ca="1" si="77"/>
        <v>Yes</v>
      </c>
      <c r="P268" s="51">
        <f t="shared" ca="1" si="83"/>
        <v>0</v>
      </c>
      <c r="Q268">
        <f t="shared" ref="Q268:Q331" ca="1" si="91">IF($N267&lt;=$C268,0,$R267+1)</f>
        <v>0</v>
      </c>
      <c r="R268">
        <f t="shared" ca="1" si="84"/>
        <v>0</v>
      </c>
      <c r="S268" s="14">
        <f t="shared" ca="1" si="85"/>
        <v>0</v>
      </c>
    </row>
    <row r="269" spans="1:19" x14ac:dyDescent="0.25">
      <c r="A269">
        <v>260</v>
      </c>
      <c r="B269" s="51">
        <f t="shared" ca="1" si="74"/>
        <v>1.5773335404577027</v>
      </c>
      <c r="C269" s="51">
        <f t="shared" ca="1" si="86"/>
        <v>808.2080357306985</v>
      </c>
      <c r="D269" s="11" t="str">
        <f t="shared" ca="1" si="78"/>
        <v>C1</v>
      </c>
      <c r="E269" s="51">
        <f t="shared" ca="1" si="87"/>
        <v>808.2080357306985</v>
      </c>
      <c r="F269" s="51">
        <f t="shared" ca="1" si="75"/>
        <v>0.98999988429133079</v>
      </c>
      <c r="G269" s="51">
        <f t="shared" ca="1" si="88"/>
        <v>809.19803561498986</v>
      </c>
      <c r="H269" s="8" t="str">
        <f t="shared" ca="1" si="79"/>
        <v>No</v>
      </c>
      <c r="I269" s="32">
        <f t="shared" ca="1" si="89"/>
        <v>0</v>
      </c>
      <c r="J269" s="32">
        <f t="shared" ca="1" si="80"/>
        <v>0</v>
      </c>
      <c r="K269" s="31">
        <f t="shared" ca="1" si="81"/>
        <v>0</v>
      </c>
      <c r="L269" s="52">
        <f t="shared" ca="1" si="82"/>
        <v>0</v>
      </c>
      <c r="M269" s="51">
        <f t="shared" ca="1" si="76"/>
        <v>14.350398812584899</v>
      </c>
      <c r="N269" s="51">
        <f t="shared" ca="1" si="90"/>
        <v>0</v>
      </c>
      <c r="O269" s="28" t="str">
        <f t="shared" ca="1" si="77"/>
        <v>Yes</v>
      </c>
      <c r="P269" s="51">
        <f t="shared" ca="1" si="83"/>
        <v>0</v>
      </c>
      <c r="Q269">
        <f t="shared" ca="1" si="91"/>
        <v>0</v>
      </c>
      <c r="R269">
        <f t="shared" ca="1" si="84"/>
        <v>0</v>
      </c>
      <c r="S269" s="14">
        <f t="shared" ca="1" si="85"/>
        <v>0</v>
      </c>
    </row>
    <row r="270" spans="1:19" x14ac:dyDescent="0.25">
      <c r="A270">
        <v>261</v>
      </c>
      <c r="B270" s="51">
        <f t="shared" ca="1" si="74"/>
        <v>2.1599102843955889</v>
      </c>
      <c r="C270" s="51">
        <f t="shared" ca="1" si="86"/>
        <v>810.36794601509405</v>
      </c>
      <c r="D270" s="11" t="str">
        <f t="shared" ca="1" si="78"/>
        <v>C1</v>
      </c>
      <c r="E270" s="51">
        <f t="shared" ca="1" si="87"/>
        <v>810.36794601509405</v>
      </c>
      <c r="F270" s="51">
        <f t="shared" ca="1" si="75"/>
        <v>2.6691217350603806</v>
      </c>
      <c r="G270" s="51">
        <f t="shared" ca="1" si="88"/>
        <v>813.03706775015439</v>
      </c>
      <c r="H270" s="8" t="str">
        <f t="shared" ca="1" si="79"/>
        <v>No</v>
      </c>
      <c r="I270" s="32">
        <f t="shared" ca="1" si="89"/>
        <v>0</v>
      </c>
      <c r="J270" s="32">
        <f t="shared" ca="1" si="80"/>
        <v>0</v>
      </c>
      <c r="K270" s="31">
        <f t="shared" ca="1" si="81"/>
        <v>0</v>
      </c>
      <c r="L270" s="52">
        <f t="shared" ca="1" si="82"/>
        <v>0</v>
      </c>
      <c r="M270" s="51">
        <f t="shared" ca="1" si="76"/>
        <v>2.9128695798879765</v>
      </c>
      <c r="N270" s="51">
        <f t="shared" ca="1" si="90"/>
        <v>0</v>
      </c>
      <c r="O270" s="28" t="str">
        <f t="shared" ca="1" si="77"/>
        <v>Yes</v>
      </c>
      <c r="P270" s="51">
        <f t="shared" ca="1" si="83"/>
        <v>0</v>
      </c>
      <c r="Q270">
        <f t="shared" ca="1" si="91"/>
        <v>0</v>
      </c>
      <c r="R270">
        <f t="shared" ca="1" si="84"/>
        <v>0</v>
      </c>
      <c r="S270" s="14">
        <f t="shared" ca="1" si="85"/>
        <v>0</v>
      </c>
    </row>
    <row r="271" spans="1:19" x14ac:dyDescent="0.25">
      <c r="A271">
        <v>262</v>
      </c>
      <c r="B271" s="51">
        <f t="shared" ca="1" si="74"/>
        <v>9.5968426328524714</v>
      </c>
      <c r="C271" s="51">
        <f t="shared" ca="1" si="86"/>
        <v>819.96478864794653</v>
      </c>
      <c r="D271" s="11" t="str">
        <f t="shared" ca="1" si="78"/>
        <v>C1</v>
      </c>
      <c r="E271" s="51">
        <f t="shared" ca="1" si="87"/>
        <v>819.96478864794653</v>
      </c>
      <c r="F271" s="51">
        <f t="shared" ca="1" si="75"/>
        <v>3.978688891157856</v>
      </c>
      <c r="G271" s="51">
        <f t="shared" ca="1" si="88"/>
        <v>823.94347753910438</v>
      </c>
      <c r="H271" s="8" t="str">
        <f t="shared" ca="1" si="79"/>
        <v>No</v>
      </c>
      <c r="I271" s="32">
        <f t="shared" ca="1" si="89"/>
        <v>0</v>
      </c>
      <c r="J271" s="32">
        <f t="shared" ca="1" si="80"/>
        <v>3</v>
      </c>
      <c r="K271" s="31">
        <f t="shared" ca="1" si="81"/>
        <v>1.5</v>
      </c>
      <c r="L271" s="52">
        <f t="shared" ca="1" si="82"/>
        <v>0</v>
      </c>
      <c r="M271" s="51">
        <f t="shared" ca="1" si="76"/>
        <v>0.5705893416811233</v>
      </c>
      <c r="N271" s="51">
        <f t="shared" ca="1" si="90"/>
        <v>0</v>
      </c>
      <c r="O271" s="28" t="str">
        <f t="shared" ca="1" si="77"/>
        <v>Yes</v>
      </c>
      <c r="P271" s="51">
        <f t="shared" ca="1" si="83"/>
        <v>2.6584776133545347</v>
      </c>
      <c r="Q271">
        <f t="shared" ca="1" si="91"/>
        <v>0</v>
      </c>
      <c r="R271">
        <f t="shared" ca="1" si="84"/>
        <v>0</v>
      </c>
      <c r="S271" s="14">
        <f t="shared" ca="1" si="85"/>
        <v>0</v>
      </c>
    </row>
    <row r="272" spans="1:19" x14ac:dyDescent="0.25">
      <c r="A272">
        <v>263</v>
      </c>
      <c r="B272" s="51">
        <f t="shared" ca="1" si="74"/>
        <v>1.3202112778032891</v>
      </c>
      <c r="C272" s="51">
        <f t="shared" ca="1" si="86"/>
        <v>821.28499992574984</v>
      </c>
      <c r="D272" s="11" t="str">
        <f t="shared" ca="1" si="78"/>
        <v>C2</v>
      </c>
      <c r="E272" s="51">
        <f t="shared" ca="1" si="87"/>
        <v>0</v>
      </c>
      <c r="F272" s="51">
        <f t="shared" ca="1" si="75"/>
        <v>1.5775050985245689</v>
      </c>
      <c r="G272" s="51">
        <f t="shared" ca="1" si="88"/>
        <v>0</v>
      </c>
      <c r="H272" s="8" t="str">
        <f t="shared" ca="1" si="79"/>
        <v>Yes</v>
      </c>
      <c r="I272" s="32">
        <f t="shared" ca="1" si="89"/>
        <v>4</v>
      </c>
      <c r="J272" s="32">
        <f t="shared" ca="1" si="80"/>
        <v>0</v>
      </c>
      <c r="K272" s="31">
        <f t="shared" ca="1" si="81"/>
        <v>2</v>
      </c>
      <c r="L272" s="52">
        <f t="shared" ca="1" si="82"/>
        <v>821.28499992574984</v>
      </c>
      <c r="M272" s="51">
        <f t="shared" ca="1" si="76"/>
        <v>0.49966830565425069</v>
      </c>
      <c r="N272" s="51">
        <f t="shared" ca="1" si="90"/>
        <v>821.78466823140411</v>
      </c>
      <c r="O272" s="28" t="str">
        <f t="shared" ca="1" si="77"/>
        <v>No</v>
      </c>
      <c r="P272" s="51">
        <f t="shared" ca="1" si="83"/>
        <v>0.28312017739153816</v>
      </c>
      <c r="Q272">
        <f t="shared" ca="1" si="91"/>
        <v>0</v>
      </c>
      <c r="R272">
        <f t="shared" ca="1" si="84"/>
        <v>2</v>
      </c>
      <c r="S272" s="14">
        <f t="shared" ca="1" si="85"/>
        <v>1</v>
      </c>
    </row>
    <row r="273" spans="1:19" x14ac:dyDescent="0.25">
      <c r="A273">
        <v>264</v>
      </c>
      <c r="B273" s="51">
        <f t="shared" ca="1" si="74"/>
        <v>0.21654812826268929</v>
      </c>
      <c r="C273" s="51">
        <f t="shared" ca="1" si="86"/>
        <v>821.50154805401257</v>
      </c>
      <c r="D273" s="11" t="str">
        <f t="shared" ca="1" si="78"/>
        <v>C1</v>
      </c>
      <c r="E273" s="51">
        <f t="shared" ca="1" si="87"/>
        <v>821.50154805401257</v>
      </c>
      <c r="F273" s="51">
        <f t="shared" ca="1" si="75"/>
        <v>2.0306027672375562</v>
      </c>
      <c r="G273" s="51">
        <f t="shared" ca="1" si="88"/>
        <v>823.53215082125018</v>
      </c>
      <c r="H273" s="8" t="str">
        <f t="shared" ca="1" si="79"/>
        <v>No</v>
      </c>
      <c r="I273" s="32">
        <f t="shared" ca="1" si="89"/>
        <v>0</v>
      </c>
      <c r="J273" s="32">
        <f t="shared" ca="1" si="80"/>
        <v>1</v>
      </c>
      <c r="K273" s="31">
        <f t="shared" ca="1" si="81"/>
        <v>0.5</v>
      </c>
      <c r="L273" s="52">
        <f t="shared" ca="1" si="82"/>
        <v>0</v>
      </c>
      <c r="M273" s="51">
        <f t="shared" ca="1" si="76"/>
        <v>9.1086773318694814</v>
      </c>
      <c r="N273" s="51">
        <f t="shared" ca="1" si="90"/>
        <v>0</v>
      </c>
      <c r="O273" s="28" t="str">
        <f t="shared" ca="1" si="77"/>
        <v>Yes</v>
      </c>
      <c r="P273" s="51">
        <f t="shared" ca="1" si="83"/>
        <v>1.7743903936595871</v>
      </c>
      <c r="Q273">
        <f t="shared" ca="1" si="91"/>
        <v>3</v>
      </c>
      <c r="R273">
        <f t="shared" ca="1" si="84"/>
        <v>0</v>
      </c>
      <c r="S273" s="14">
        <f t="shared" ca="1" si="85"/>
        <v>1.5</v>
      </c>
    </row>
    <row r="274" spans="1:19" x14ac:dyDescent="0.25">
      <c r="A274">
        <v>265</v>
      </c>
      <c r="B274" s="51">
        <f t="shared" ca="1" si="74"/>
        <v>0.25621237357798204</v>
      </c>
      <c r="C274" s="51">
        <f t="shared" ca="1" si="86"/>
        <v>821.7577604275906</v>
      </c>
      <c r="D274" s="11" t="str">
        <f t="shared" ca="1" si="78"/>
        <v>C2</v>
      </c>
      <c r="E274" s="51">
        <f t="shared" ca="1" si="87"/>
        <v>0</v>
      </c>
      <c r="F274" s="51">
        <f t="shared" ca="1" si="75"/>
        <v>4.8595732658916202E-2</v>
      </c>
      <c r="G274" s="51">
        <f t="shared" ca="1" si="88"/>
        <v>0</v>
      </c>
      <c r="H274" s="8" t="str">
        <f t="shared" ca="1" si="79"/>
        <v>Yes</v>
      </c>
      <c r="I274" s="32">
        <f t="shared" ca="1" si="89"/>
        <v>2</v>
      </c>
      <c r="J274" s="32">
        <f t="shared" ca="1" si="80"/>
        <v>0</v>
      </c>
      <c r="K274" s="31">
        <f t="shared" ca="1" si="81"/>
        <v>1</v>
      </c>
      <c r="L274" s="52">
        <f t="shared" ca="1" si="82"/>
        <v>821.7577604275906</v>
      </c>
      <c r="M274" s="51">
        <f t="shared" ca="1" si="76"/>
        <v>4.0330145185659099</v>
      </c>
      <c r="N274" s="51">
        <f t="shared" ca="1" si="90"/>
        <v>825.79077494615649</v>
      </c>
      <c r="O274" s="28" t="str">
        <f t="shared" ca="1" si="77"/>
        <v>No</v>
      </c>
      <c r="P274" s="51">
        <f t="shared" ca="1" si="83"/>
        <v>0</v>
      </c>
      <c r="Q274">
        <f t="shared" ca="1" si="91"/>
        <v>0</v>
      </c>
      <c r="R274">
        <f t="shared" ca="1" si="84"/>
        <v>0</v>
      </c>
      <c r="S274" s="14">
        <f t="shared" ca="1" si="85"/>
        <v>0</v>
      </c>
    </row>
    <row r="275" spans="1:19" x14ac:dyDescent="0.25">
      <c r="A275">
        <v>266</v>
      </c>
      <c r="B275" s="51">
        <f t="shared" ca="1" si="74"/>
        <v>5.8874277634185903</v>
      </c>
      <c r="C275" s="51">
        <f t="shared" ca="1" si="86"/>
        <v>827.6451881910092</v>
      </c>
      <c r="D275" s="11" t="str">
        <f t="shared" ca="1" si="78"/>
        <v>C1</v>
      </c>
      <c r="E275" s="51">
        <f t="shared" ca="1" si="87"/>
        <v>827.6451881910092</v>
      </c>
      <c r="F275" s="51">
        <f t="shared" ca="1" si="75"/>
        <v>0.51156242252356621</v>
      </c>
      <c r="G275" s="51">
        <f t="shared" ca="1" si="88"/>
        <v>828.15675061353272</v>
      </c>
      <c r="H275" s="8" t="str">
        <f t="shared" ca="1" si="79"/>
        <v>No</v>
      </c>
      <c r="I275" s="32">
        <f t="shared" ca="1" si="89"/>
        <v>0</v>
      </c>
      <c r="J275" s="32">
        <f t="shared" ca="1" si="80"/>
        <v>1</v>
      </c>
      <c r="K275" s="31">
        <f t="shared" ca="1" si="81"/>
        <v>0.5</v>
      </c>
      <c r="L275" s="52">
        <f t="shared" ca="1" si="82"/>
        <v>0</v>
      </c>
      <c r="M275" s="51">
        <f t="shared" ca="1" si="76"/>
        <v>0.40056837242919258</v>
      </c>
      <c r="N275" s="51">
        <f t="shared" ca="1" si="90"/>
        <v>0</v>
      </c>
      <c r="O275" s="28" t="str">
        <f t="shared" ca="1" si="77"/>
        <v>Yes</v>
      </c>
      <c r="P275" s="51">
        <f t="shared" ca="1" si="83"/>
        <v>0.25869180645588585</v>
      </c>
      <c r="Q275">
        <f t="shared" ca="1" si="91"/>
        <v>0</v>
      </c>
      <c r="R275">
        <f t="shared" ca="1" si="84"/>
        <v>0</v>
      </c>
      <c r="S275" s="14">
        <f t="shared" ca="1" si="85"/>
        <v>0</v>
      </c>
    </row>
    <row r="276" spans="1:19" x14ac:dyDescent="0.25">
      <c r="A276">
        <v>267</v>
      </c>
      <c r="B276" s="51">
        <f t="shared" ca="1" si="74"/>
        <v>0.25287061606761496</v>
      </c>
      <c r="C276" s="51">
        <f t="shared" ca="1" si="86"/>
        <v>827.89805880707684</v>
      </c>
      <c r="D276" s="11" t="str">
        <f t="shared" ca="1" si="78"/>
        <v>C2</v>
      </c>
      <c r="E276" s="51">
        <f t="shared" ca="1" si="87"/>
        <v>0</v>
      </c>
      <c r="F276" s="51">
        <f t="shared" ca="1" si="75"/>
        <v>0.40882113167831419</v>
      </c>
      <c r="G276" s="51">
        <f t="shared" ca="1" si="88"/>
        <v>0</v>
      </c>
      <c r="H276" s="8" t="str">
        <f t="shared" ca="1" si="79"/>
        <v>Yes</v>
      </c>
      <c r="I276" s="32">
        <f t="shared" ca="1" si="89"/>
        <v>2</v>
      </c>
      <c r="J276" s="32">
        <f t="shared" ca="1" si="80"/>
        <v>0</v>
      </c>
      <c r="K276" s="31">
        <f t="shared" ca="1" si="81"/>
        <v>1</v>
      </c>
      <c r="L276" s="52">
        <f t="shared" ca="1" si="82"/>
        <v>827.89805880707684</v>
      </c>
      <c r="M276" s="51">
        <f t="shared" ca="1" si="76"/>
        <v>0.35497988859556301</v>
      </c>
      <c r="N276" s="51">
        <f t="shared" ca="1" si="90"/>
        <v>828.25303869567244</v>
      </c>
      <c r="O276" s="28" t="str">
        <f t="shared" ca="1" si="77"/>
        <v>No</v>
      </c>
      <c r="P276" s="51">
        <f t="shared" ca="1" si="83"/>
        <v>0</v>
      </c>
      <c r="Q276">
        <f t="shared" ca="1" si="91"/>
        <v>0</v>
      </c>
      <c r="R276">
        <f t="shared" ca="1" si="84"/>
        <v>0</v>
      </c>
      <c r="S276" s="14">
        <f t="shared" ca="1" si="85"/>
        <v>0</v>
      </c>
    </row>
    <row r="277" spans="1:19" x14ac:dyDescent="0.25">
      <c r="A277">
        <v>268</v>
      </c>
      <c r="B277" s="51">
        <f t="shared" ca="1" si="74"/>
        <v>4.4573749251487307</v>
      </c>
      <c r="C277" s="51">
        <f t="shared" ca="1" si="86"/>
        <v>832.35543373222561</v>
      </c>
      <c r="D277" s="11" t="str">
        <f t="shared" ca="1" si="78"/>
        <v>C1</v>
      </c>
      <c r="E277" s="51">
        <f t="shared" ca="1" si="87"/>
        <v>832.35543373222561</v>
      </c>
      <c r="F277" s="51">
        <f t="shared" ca="1" si="75"/>
        <v>5.7680245731492885</v>
      </c>
      <c r="G277" s="51">
        <f t="shared" ca="1" si="88"/>
        <v>838.12345830537492</v>
      </c>
      <c r="H277" s="8" t="str">
        <f t="shared" ca="1" si="79"/>
        <v>No</v>
      </c>
      <c r="I277" s="32">
        <f t="shared" ca="1" si="89"/>
        <v>0</v>
      </c>
      <c r="J277" s="32">
        <f t="shared" ca="1" si="80"/>
        <v>1</v>
      </c>
      <c r="K277" s="31">
        <f t="shared" ca="1" si="81"/>
        <v>0.5</v>
      </c>
      <c r="L277" s="52">
        <f t="shared" ca="1" si="82"/>
        <v>0</v>
      </c>
      <c r="M277" s="51">
        <f t="shared" ca="1" si="76"/>
        <v>4.3447415161557084</v>
      </c>
      <c r="N277" s="51">
        <f t="shared" ca="1" si="90"/>
        <v>0</v>
      </c>
      <c r="O277" s="28" t="str">
        <f t="shared" ca="1" si="77"/>
        <v>Yes</v>
      </c>
      <c r="P277" s="51">
        <f t="shared" ca="1" si="83"/>
        <v>4.1768327113891246</v>
      </c>
      <c r="Q277">
        <f t="shared" ca="1" si="91"/>
        <v>0</v>
      </c>
      <c r="R277">
        <f t="shared" ca="1" si="84"/>
        <v>0</v>
      </c>
      <c r="S277" s="14">
        <f t="shared" ca="1" si="85"/>
        <v>0</v>
      </c>
    </row>
    <row r="278" spans="1:19" x14ac:dyDescent="0.25">
      <c r="A278">
        <v>269</v>
      </c>
      <c r="B278" s="51">
        <f t="shared" ca="1" si="74"/>
        <v>1.591191861760175</v>
      </c>
      <c r="C278" s="51">
        <f t="shared" ca="1" si="86"/>
        <v>833.9466255939858</v>
      </c>
      <c r="D278" s="11" t="str">
        <f t="shared" ca="1" si="78"/>
        <v>C2</v>
      </c>
      <c r="E278" s="51">
        <f t="shared" ca="1" si="87"/>
        <v>0</v>
      </c>
      <c r="F278" s="51">
        <f t="shared" ca="1" si="75"/>
        <v>1.4464927871568511</v>
      </c>
      <c r="G278" s="51">
        <f t="shared" ca="1" si="88"/>
        <v>0</v>
      </c>
      <c r="H278" s="8" t="str">
        <f t="shared" ca="1" si="79"/>
        <v>Yes</v>
      </c>
      <c r="I278" s="32">
        <f t="shared" ca="1" si="89"/>
        <v>2</v>
      </c>
      <c r="J278" s="32">
        <f t="shared" ca="1" si="80"/>
        <v>0</v>
      </c>
      <c r="K278" s="31">
        <f t="shared" ca="1" si="81"/>
        <v>1</v>
      </c>
      <c r="L278" s="52">
        <f t="shared" ca="1" si="82"/>
        <v>833.9466255939858</v>
      </c>
      <c r="M278" s="51">
        <f t="shared" ca="1" si="76"/>
        <v>0.46344872705276097</v>
      </c>
      <c r="N278" s="51">
        <f t="shared" ca="1" si="90"/>
        <v>834.41007432103856</v>
      </c>
      <c r="O278" s="28" t="str">
        <f t="shared" ca="1" si="77"/>
        <v>No</v>
      </c>
      <c r="P278" s="51">
        <f t="shared" ca="1" si="83"/>
        <v>0</v>
      </c>
      <c r="Q278">
        <f t="shared" ca="1" si="91"/>
        <v>0</v>
      </c>
      <c r="R278">
        <f t="shared" ca="1" si="84"/>
        <v>0</v>
      </c>
      <c r="S278" s="14">
        <f t="shared" ca="1" si="85"/>
        <v>0</v>
      </c>
    </row>
    <row r="279" spans="1:19" x14ac:dyDescent="0.25">
      <c r="A279">
        <v>270</v>
      </c>
      <c r="B279" s="51">
        <f t="shared" ca="1" si="74"/>
        <v>7.1575914285899946</v>
      </c>
      <c r="C279" s="51">
        <f t="shared" ca="1" si="86"/>
        <v>841.10421702257577</v>
      </c>
      <c r="D279" s="11" t="str">
        <f t="shared" ca="1" si="78"/>
        <v>C1</v>
      </c>
      <c r="E279" s="51">
        <f t="shared" ca="1" si="87"/>
        <v>841.10421702257577</v>
      </c>
      <c r="F279" s="51">
        <f t="shared" ca="1" si="75"/>
        <v>2.2407616531690691</v>
      </c>
      <c r="G279" s="51">
        <f t="shared" ca="1" si="88"/>
        <v>843.34497867574487</v>
      </c>
      <c r="H279" s="8" t="str">
        <f t="shared" ca="1" si="79"/>
        <v>No</v>
      </c>
      <c r="I279" s="32">
        <f t="shared" ca="1" si="89"/>
        <v>0</v>
      </c>
      <c r="J279" s="32">
        <f t="shared" ca="1" si="80"/>
        <v>0</v>
      </c>
      <c r="K279" s="31">
        <f t="shared" ca="1" si="81"/>
        <v>0</v>
      </c>
      <c r="L279" s="52">
        <f t="shared" ca="1" si="82"/>
        <v>0</v>
      </c>
      <c r="M279" s="51">
        <f t="shared" ca="1" si="76"/>
        <v>4.2050045844836932</v>
      </c>
      <c r="N279" s="51">
        <f t="shared" ca="1" si="90"/>
        <v>0</v>
      </c>
      <c r="O279" s="28" t="str">
        <f t="shared" ca="1" si="77"/>
        <v>Yes</v>
      </c>
      <c r="P279" s="51">
        <f t="shared" ca="1" si="83"/>
        <v>0</v>
      </c>
      <c r="Q279">
        <f t="shared" ca="1" si="91"/>
        <v>0</v>
      </c>
      <c r="R279">
        <f t="shared" ca="1" si="84"/>
        <v>0</v>
      </c>
      <c r="S279" s="14">
        <f t="shared" ca="1" si="85"/>
        <v>0</v>
      </c>
    </row>
    <row r="280" spans="1:19" x14ac:dyDescent="0.25">
      <c r="A280">
        <v>271</v>
      </c>
      <c r="B280" s="51">
        <f t="shared" ca="1" si="74"/>
        <v>16.868692799111287</v>
      </c>
      <c r="C280" s="51">
        <f t="shared" ca="1" si="86"/>
        <v>857.97290982168704</v>
      </c>
      <c r="D280" s="11" t="str">
        <f t="shared" ca="1" si="78"/>
        <v>C1</v>
      </c>
      <c r="E280" s="51">
        <f t="shared" ca="1" si="87"/>
        <v>857.97290982168704</v>
      </c>
      <c r="F280" s="51">
        <f t="shared" ca="1" si="75"/>
        <v>1.8055941488209677</v>
      </c>
      <c r="G280" s="51">
        <f t="shared" ca="1" si="88"/>
        <v>859.77850397050804</v>
      </c>
      <c r="H280" s="8" t="str">
        <f t="shared" ca="1" si="79"/>
        <v>No</v>
      </c>
      <c r="I280" s="32">
        <f t="shared" ca="1" si="89"/>
        <v>0</v>
      </c>
      <c r="J280" s="32">
        <f t="shared" ca="1" si="80"/>
        <v>0</v>
      </c>
      <c r="K280" s="31">
        <f t="shared" ca="1" si="81"/>
        <v>0</v>
      </c>
      <c r="L280" s="52">
        <f t="shared" ca="1" si="82"/>
        <v>0</v>
      </c>
      <c r="M280" s="51">
        <f t="shared" ca="1" si="76"/>
        <v>0.88528842961008403</v>
      </c>
      <c r="N280" s="51">
        <f t="shared" ca="1" si="90"/>
        <v>0</v>
      </c>
      <c r="O280" s="28" t="str">
        <f t="shared" ca="1" si="77"/>
        <v>Yes</v>
      </c>
      <c r="P280" s="51">
        <f t="shared" ca="1" si="83"/>
        <v>0</v>
      </c>
      <c r="Q280">
        <f t="shared" ca="1" si="91"/>
        <v>0</v>
      </c>
      <c r="R280">
        <f t="shared" ca="1" si="84"/>
        <v>0</v>
      </c>
      <c r="S280" s="14">
        <f t="shared" ca="1" si="85"/>
        <v>0</v>
      </c>
    </row>
    <row r="281" spans="1:19" x14ac:dyDescent="0.25">
      <c r="A281">
        <v>272</v>
      </c>
      <c r="B281" s="51">
        <f t="shared" ca="1" si="74"/>
        <v>3.0869588311002074</v>
      </c>
      <c r="C281" s="51">
        <f t="shared" ca="1" si="86"/>
        <v>861.05986865278726</v>
      </c>
      <c r="D281" s="11" t="str">
        <f t="shared" ca="1" si="78"/>
        <v>C1</v>
      </c>
      <c r="E281" s="51">
        <f t="shared" ca="1" si="87"/>
        <v>861.05986865278726</v>
      </c>
      <c r="F281" s="51">
        <f t="shared" ca="1" si="75"/>
        <v>1.7794935295076171</v>
      </c>
      <c r="G281" s="51">
        <f t="shared" ca="1" si="88"/>
        <v>862.83936218229485</v>
      </c>
      <c r="H281" s="8" t="str">
        <f t="shared" ca="1" si="79"/>
        <v>No</v>
      </c>
      <c r="I281" s="32">
        <f t="shared" ca="1" si="89"/>
        <v>0</v>
      </c>
      <c r="J281" s="32">
        <f t="shared" ca="1" si="80"/>
        <v>0</v>
      </c>
      <c r="K281" s="31">
        <f t="shared" ca="1" si="81"/>
        <v>0</v>
      </c>
      <c r="L281" s="52">
        <f t="shared" ca="1" si="82"/>
        <v>0</v>
      </c>
      <c r="M281" s="51">
        <f t="shared" ca="1" si="76"/>
        <v>1.1211099871786163</v>
      </c>
      <c r="N281" s="51">
        <f t="shared" ca="1" si="90"/>
        <v>0</v>
      </c>
      <c r="O281" s="28" t="str">
        <f t="shared" ca="1" si="77"/>
        <v>Yes</v>
      </c>
      <c r="P281" s="51">
        <f t="shared" ca="1" si="83"/>
        <v>0</v>
      </c>
      <c r="Q281">
        <f t="shared" ca="1" si="91"/>
        <v>0</v>
      </c>
      <c r="R281">
        <f t="shared" ca="1" si="84"/>
        <v>0</v>
      </c>
      <c r="S281" s="14">
        <f t="shared" ca="1" si="85"/>
        <v>0</v>
      </c>
    </row>
    <row r="282" spans="1:19" x14ac:dyDescent="0.25">
      <c r="A282">
        <v>273</v>
      </c>
      <c r="B282" s="51">
        <f t="shared" ca="1" si="74"/>
        <v>2.0709314812658119</v>
      </c>
      <c r="C282" s="51">
        <f t="shared" ca="1" si="86"/>
        <v>863.13080013405306</v>
      </c>
      <c r="D282" s="11" t="str">
        <f t="shared" ca="1" si="78"/>
        <v>C1</v>
      </c>
      <c r="E282" s="51">
        <f t="shared" ca="1" si="87"/>
        <v>863.13080013405306</v>
      </c>
      <c r="F282" s="51">
        <f t="shared" ca="1" si="75"/>
        <v>1.587742501982125</v>
      </c>
      <c r="G282" s="51">
        <f t="shared" ca="1" si="88"/>
        <v>864.71854263603518</v>
      </c>
      <c r="H282" s="8" t="str">
        <f t="shared" ca="1" si="79"/>
        <v>No</v>
      </c>
      <c r="I282" s="32">
        <f t="shared" ca="1" si="89"/>
        <v>0</v>
      </c>
      <c r="J282" s="32">
        <f t="shared" ca="1" si="80"/>
        <v>0</v>
      </c>
      <c r="K282" s="31">
        <f t="shared" ca="1" si="81"/>
        <v>0</v>
      </c>
      <c r="L282" s="52">
        <f t="shared" ca="1" si="82"/>
        <v>0</v>
      </c>
      <c r="M282" s="51">
        <f t="shared" ca="1" si="76"/>
        <v>0.22106601023523187</v>
      </c>
      <c r="N282" s="51">
        <f t="shared" ca="1" si="90"/>
        <v>0</v>
      </c>
      <c r="O282" s="28" t="str">
        <f t="shared" ca="1" si="77"/>
        <v>Yes</v>
      </c>
      <c r="P282" s="51">
        <f t="shared" ca="1" si="83"/>
        <v>0</v>
      </c>
      <c r="Q282">
        <f t="shared" ca="1" si="91"/>
        <v>0</v>
      </c>
      <c r="R282">
        <f t="shared" ca="1" si="84"/>
        <v>0</v>
      </c>
      <c r="S282" s="14">
        <f t="shared" ca="1" si="85"/>
        <v>0</v>
      </c>
    </row>
    <row r="283" spans="1:19" x14ac:dyDescent="0.25">
      <c r="A283">
        <v>274</v>
      </c>
      <c r="B283" s="51">
        <f t="shared" ca="1" si="74"/>
        <v>5.1068965757902385</v>
      </c>
      <c r="C283" s="51">
        <f t="shared" ca="1" si="86"/>
        <v>868.23769670984325</v>
      </c>
      <c r="D283" s="11" t="str">
        <f t="shared" ca="1" si="78"/>
        <v>C1</v>
      </c>
      <c r="E283" s="51">
        <f t="shared" ca="1" si="87"/>
        <v>868.23769670984325</v>
      </c>
      <c r="F283" s="51">
        <f t="shared" ca="1" si="75"/>
        <v>3.086525756976525</v>
      </c>
      <c r="G283" s="51">
        <f t="shared" ca="1" si="88"/>
        <v>871.32422246681972</v>
      </c>
      <c r="H283" s="8" t="str">
        <f t="shared" ca="1" si="79"/>
        <v>No</v>
      </c>
      <c r="I283" s="32">
        <f t="shared" ca="1" si="89"/>
        <v>0</v>
      </c>
      <c r="J283" s="32">
        <f t="shared" ca="1" si="80"/>
        <v>1</v>
      </c>
      <c r="K283" s="31">
        <f t="shared" ca="1" si="81"/>
        <v>0.5</v>
      </c>
      <c r="L283" s="52">
        <f t="shared" ca="1" si="82"/>
        <v>0</v>
      </c>
      <c r="M283" s="51">
        <f t="shared" ca="1" si="76"/>
        <v>1.3620800661766255</v>
      </c>
      <c r="N283" s="51">
        <f t="shared" ca="1" si="90"/>
        <v>0</v>
      </c>
      <c r="O283" s="28" t="str">
        <f t="shared" ca="1" si="77"/>
        <v>Yes</v>
      </c>
      <c r="P283" s="51">
        <f t="shared" ca="1" si="83"/>
        <v>0.45921974543080069</v>
      </c>
      <c r="Q283">
        <f t="shared" ca="1" si="91"/>
        <v>0</v>
      </c>
      <c r="R283">
        <f t="shared" ca="1" si="84"/>
        <v>0</v>
      </c>
      <c r="S283" s="14">
        <f t="shared" ca="1" si="85"/>
        <v>0</v>
      </c>
    </row>
    <row r="284" spans="1:19" x14ac:dyDescent="0.25">
      <c r="A284">
        <v>275</v>
      </c>
      <c r="B284" s="51">
        <f t="shared" ca="1" si="74"/>
        <v>2.627306011545703</v>
      </c>
      <c r="C284" s="51">
        <f t="shared" ca="1" si="86"/>
        <v>870.86500272138892</v>
      </c>
      <c r="D284" s="11" t="str">
        <f t="shared" ca="1" si="78"/>
        <v>C2</v>
      </c>
      <c r="E284" s="51">
        <f t="shared" ca="1" si="87"/>
        <v>0</v>
      </c>
      <c r="F284" s="51">
        <f t="shared" ca="1" si="75"/>
        <v>8.1543331066900944</v>
      </c>
      <c r="G284" s="51">
        <f t="shared" ca="1" si="88"/>
        <v>0</v>
      </c>
      <c r="H284" s="8" t="str">
        <f t="shared" ca="1" si="79"/>
        <v>Yes</v>
      </c>
      <c r="I284" s="32">
        <f t="shared" ca="1" si="89"/>
        <v>2</v>
      </c>
      <c r="J284" s="32">
        <f t="shared" ca="1" si="80"/>
        <v>0</v>
      </c>
      <c r="K284" s="31">
        <f t="shared" ca="1" si="81"/>
        <v>1</v>
      </c>
      <c r="L284" s="52">
        <f t="shared" ca="1" si="82"/>
        <v>870.86500272138892</v>
      </c>
      <c r="M284" s="51">
        <f t="shared" ca="1" si="76"/>
        <v>3.986137132228059</v>
      </c>
      <c r="N284" s="51">
        <f t="shared" ca="1" si="90"/>
        <v>874.85113985361693</v>
      </c>
      <c r="O284" s="28" t="str">
        <f t="shared" ca="1" si="77"/>
        <v>No</v>
      </c>
      <c r="P284" s="51">
        <f t="shared" ca="1" si="83"/>
        <v>1.2418239059854841</v>
      </c>
      <c r="Q284">
        <f t="shared" ca="1" si="91"/>
        <v>0</v>
      </c>
      <c r="R284">
        <f t="shared" ca="1" si="84"/>
        <v>1</v>
      </c>
      <c r="S284" s="14">
        <f t="shared" ca="1" si="85"/>
        <v>0.5</v>
      </c>
    </row>
    <row r="285" spans="1:19" x14ac:dyDescent="0.25">
      <c r="A285">
        <v>276</v>
      </c>
      <c r="B285" s="51">
        <f t="shared" ca="1" si="74"/>
        <v>2.7443132262424843</v>
      </c>
      <c r="C285" s="51">
        <f t="shared" ca="1" si="86"/>
        <v>873.60931594763144</v>
      </c>
      <c r="D285" s="11" t="str">
        <f t="shared" ca="1" si="78"/>
        <v>C1</v>
      </c>
      <c r="E285" s="51">
        <f t="shared" ca="1" si="87"/>
        <v>873.60931594763144</v>
      </c>
      <c r="F285" s="51">
        <f t="shared" ca="1" si="75"/>
        <v>1.001298957560101</v>
      </c>
      <c r="G285" s="51">
        <f t="shared" ca="1" si="88"/>
        <v>874.6106149051916</v>
      </c>
      <c r="H285" s="8" t="str">
        <f t="shared" ca="1" si="79"/>
        <v>No</v>
      </c>
      <c r="I285" s="32">
        <f t="shared" ca="1" si="89"/>
        <v>0</v>
      </c>
      <c r="J285" s="32">
        <f t="shared" ca="1" si="80"/>
        <v>0</v>
      </c>
      <c r="K285" s="31">
        <f t="shared" ca="1" si="81"/>
        <v>0</v>
      </c>
      <c r="L285" s="52">
        <f t="shared" ca="1" si="82"/>
        <v>0</v>
      </c>
      <c r="M285" s="51">
        <f t="shared" ca="1" si="76"/>
        <v>5.799451249818329</v>
      </c>
      <c r="N285" s="51">
        <f t="shared" ca="1" si="90"/>
        <v>0</v>
      </c>
      <c r="O285" s="28" t="str">
        <f t="shared" ca="1" si="77"/>
        <v>Yes</v>
      </c>
      <c r="P285" s="51">
        <f t="shared" ca="1" si="83"/>
        <v>0</v>
      </c>
      <c r="Q285">
        <f t="shared" ca="1" si="91"/>
        <v>2</v>
      </c>
      <c r="R285">
        <f t="shared" ca="1" si="84"/>
        <v>0</v>
      </c>
      <c r="S285" s="14">
        <f t="shared" ca="1" si="85"/>
        <v>1</v>
      </c>
    </row>
    <row r="286" spans="1:19" x14ac:dyDescent="0.25">
      <c r="A286">
        <v>277</v>
      </c>
      <c r="B286" s="51">
        <f t="shared" ca="1" si="74"/>
        <v>2.1754836536346742</v>
      </c>
      <c r="C286" s="51">
        <f t="shared" ca="1" si="86"/>
        <v>875.78479960126617</v>
      </c>
      <c r="D286" s="11" t="str">
        <f t="shared" ca="1" si="78"/>
        <v>C1</v>
      </c>
      <c r="E286" s="51">
        <f t="shared" ca="1" si="87"/>
        <v>875.78479960126617</v>
      </c>
      <c r="F286" s="51">
        <f t="shared" ca="1" si="75"/>
        <v>2.2430555758669133</v>
      </c>
      <c r="G286" s="51">
        <f t="shared" ca="1" si="88"/>
        <v>878.02785517713312</v>
      </c>
      <c r="H286" s="8" t="str">
        <f t="shared" ca="1" si="79"/>
        <v>No</v>
      </c>
      <c r="I286" s="32">
        <f t="shared" ca="1" si="89"/>
        <v>0</v>
      </c>
      <c r="J286" s="32">
        <f t="shared" ca="1" si="80"/>
        <v>0</v>
      </c>
      <c r="K286" s="31">
        <f t="shared" ca="1" si="81"/>
        <v>0</v>
      </c>
      <c r="L286" s="52">
        <f t="shared" ca="1" si="82"/>
        <v>0</v>
      </c>
      <c r="M286" s="51">
        <f t="shared" ca="1" si="76"/>
        <v>0.19563967219468731</v>
      </c>
      <c r="N286" s="51">
        <f t="shared" ca="1" si="90"/>
        <v>0</v>
      </c>
      <c r="O286" s="28" t="str">
        <f t="shared" ca="1" si="77"/>
        <v>Yes</v>
      </c>
      <c r="P286" s="51">
        <f t="shared" ca="1" si="83"/>
        <v>0</v>
      </c>
      <c r="Q286">
        <f t="shared" ca="1" si="91"/>
        <v>0</v>
      </c>
      <c r="R286">
        <f t="shared" ca="1" si="84"/>
        <v>0</v>
      </c>
      <c r="S286" s="14">
        <f t="shared" ca="1" si="85"/>
        <v>0</v>
      </c>
    </row>
    <row r="287" spans="1:19" x14ac:dyDescent="0.25">
      <c r="A287">
        <v>278</v>
      </c>
      <c r="B287" s="51">
        <f t="shared" ca="1" si="74"/>
        <v>5.0601471278345445</v>
      </c>
      <c r="C287" s="51">
        <f t="shared" ca="1" si="86"/>
        <v>880.84494672910068</v>
      </c>
      <c r="D287" s="11" t="str">
        <f t="shared" ca="1" si="78"/>
        <v>C1</v>
      </c>
      <c r="E287" s="51">
        <f t="shared" ca="1" si="87"/>
        <v>880.84494672910068</v>
      </c>
      <c r="F287" s="51">
        <f t="shared" ca="1" si="75"/>
        <v>4.1593673062415757</v>
      </c>
      <c r="G287" s="51">
        <f t="shared" ca="1" si="88"/>
        <v>885.0043140353423</v>
      </c>
      <c r="H287" s="8" t="str">
        <f t="shared" ca="1" si="79"/>
        <v>No</v>
      </c>
      <c r="I287" s="32">
        <f t="shared" ca="1" si="89"/>
        <v>0</v>
      </c>
      <c r="J287" s="32">
        <f t="shared" ca="1" si="80"/>
        <v>1</v>
      </c>
      <c r="K287" s="31">
        <f t="shared" ca="1" si="81"/>
        <v>0.5</v>
      </c>
      <c r="L287" s="52">
        <f t="shared" ca="1" si="82"/>
        <v>0</v>
      </c>
      <c r="M287" s="51">
        <f t="shared" ca="1" si="76"/>
        <v>0.13569712630125721</v>
      </c>
      <c r="N287" s="51">
        <f t="shared" ca="1" si="90"/>
        <v>0</v>
      </c>
      <c r="O287" s="28" t="str">
        <f t="shared" ca="1" si="77"/>
        <v>Yes</v>
      </c>
      <c r="P287" s="51">
        <f t="shared" ca="1" si="83"/>
        <v>1.5255211460219016</v>
      </c>
      <c r="Q287">
        <f t="shared" ca="1" si="91"/>
        <v>0</v>
      </c>
      <c r="R287">
        <f t="shared" ca="1" si="84"/>
        <v>0</v>
      </c>
      <c r="S287" s="14">
        <f t="shared" ca="1" si="85"/>
        <v>0</v>
      </c>
    </row>
    <row r="288" spans="1:19" x14ac:dyDescent="0.25">
      <c r="A288">
        <v>279</v>
      </c>
      <c r="B288" s="51">
        <f t="shared" ca="1" si="74"/>
        <v>2.6338461602196919</v>
      </c>
      <c r="C288" s="51">
        <f t="shared" ca="1" si="86"/>
        <v>883.4787928893204</v>
      </c>
      <c r="D288" s="11" t="str">
        <f t="shared" ca="1" si="78"/>
        <v>C2</v>
      </c>
      <c r="E288" s="51">
        <f t="shared" ca="1" si="87"/>
        <v>0</v>
      </c>
      <c r="F288" s="51">
        <f t="shared" ca="1" si="75"/>
        <v>3.5341549975886823</v>
      </c>
      <c r="G288" s="51">
        <f t="shared" ca="1" si="88"/>
        <v>0</v>
      </c>
      <c r="H288" s="8" t="str">
        <f t="shared" ca="1" si="79"/>
        <v>Yes</v>
      </c>
      <c r="I288" s="32">
        <f t="shared" ca="1" si="89"/>
        <v>2</v>
      </c>
      <c r="J288" s="32">
        <f t="shared" ca="1" si="80"/>
        <v>0</v>
      </c>
      <c r="K288" s="31">
        <f t="shared" ca="1" si="81"/>
        <v>1</v>
      </c>
      <c r="L288" s="52">
        <f t="shared" ca="1" si="82"/>
        <v>883.4787928893204</v>
      </c>
      <c r="M288" s="51">
        <f t="shared" ca="1" si="76"/>
        <v>2.0584672939427975</v>
      </c>
      <c r="N288" s="51">
        <f t="shared" ca="1" si="90"/>
        <v>885.53726018326324</v>
      </c>
      <c r="O288" s="28" t="str">
        <f t="shared" ca="1" si="77"/>
        <v>No</v>
      </c>
      <c r="P288" s="51">
        <f t="shared" ca="1" si="83"/>
        <v>0</v>
      </c>
      <c r="Q288">
        <f t="shared" ca="1" si="91"/>
        <v>0</v>
      </c>
      <c r="R288">
        <f t="shared" ca="1" si="84"/>
        <v>0</v>
      </c>
      <c r="S288" s="14">
        <f t="shared" ca="1" si="85"/>
        <v>0</v>
      </c>
    </row>
    <row r="289" spans="1:19" x14ac:dyDescent="0.25">
      <c r="A289">
        <v>280</v>
      </c>
      <c r="B289" s="51">
        <f t="shared" ca="1" si="74"/>
        <v>2.9809095487980568</v>
      </c>
      <c r="C289" s="51">
        <f t="shared" ca="1" si="86"/>
        <v>886.45970243811848</v>
      </c>
      <c r="D289" s="11" t="str">
        <f t="shared" ca="1" si="78"/>
        <v>C1</v>
      </c>
      <c r="E289" s="51">
        <f t="shared" ca="1" si="87"/>
        <v>886.45970243811848</v>
      </c>
      <c r="F289" s="51">
        <f t="shared" ca="1" si="75"/>
        <v>2.3385345932566706</v>
      </c>
      <c r="G289" s="51">
        <f t="shared" ca="1" si="88"/>
        <v>888.79823703137515</v>
      </c>
      <c r="H289" s="8" t="str">
        <f t="shared" ca="1" si="79"/>
        <v>No</v>
      </c>
      <c r="I289" s="32">
        <f t="shared" ca="1" si="89"/>
        <v>0</v>
      </c>
      <c r="J289" s="32">
        <f t="shared" ca="1" si="80"/>
        <v>0</v>
      </c>
      <c r="K289" s="31">
        <f t="shared" ca="1" si="81"/>
        <v>0</v>
      </c>
      <c r="L289" s="52">
        <f t="shared" ca="1" si="82"/>
        <v>0</v>
      </c>
      <c r="M289" s="51">
        <f t="shared" ca="1" si="76"/>
        <v>1.224027952378695</v>
      </c>
      <c r="N289" s="51">
        <f t="shared" ca="1" si="90"/>
        <v>0</v>
      </c>
      <c r="O289" s="28" t="str">
        <f t="shared" ca="1" si="77"/>
        <v>Yes</v>
      </c>
      <c r="P289" s="51">
        <f t="shared" ca="1" si="83"/>
        <v>0</v>
      </c>
      <c r="Q289">
        <f t="shared" ca="1" si="91"/>
        <v>0</v>
      </c>
      <c r="R289">
        <f t="shared" ca="1" si="84"/>
        <v>0</v>
      </c>
      <c r="S289" s="14">
        <f t="shared" ca="1" si="85"/>
        <v>0</v>
      </c>
    </row>
    <row r="290" spans="1:19" x14ac:dyDescent="0.25">
      <c r="A290">
        <v>281</v>
      </c>
      <c r="B290" s="51">
        <f t="shared" ca="1" si="74"/>
        <v>2.4107574638477103</v>
      </c>
      <c r="C290" s="51">
        <f t="shared" ca="1" si="86"/>
        <v>888.87045990196623</v>
      </c>
      <c r="D290" s="11" t="str">
        <f t="shared" ca="1" si="78"/>
        <v>C1</v>
      </c>
      <c r="E290" s="51">
        <f t="shared" ca="1" si="87"/>
        <v>888.87045990196623</v>
      </c>
      <c r="F290" s="51">
        <f t="shared" ca="1" si="75"/>
        <v>0.83544965081517342</v>
      </c>
      <c r="G290" s="51">
        <f t="shared" ca="1" si="88"/>
        <v>889.70590955278135</v>
      </c>
      <c r="H290" s="8" t="str">
        <f t="shared" ca="1" si="79"/>
        <v>No</v>
      </c>
      <c r="I290" s="32">
        <f t="shared" ca="1" si="89"/>
        <v>0</v>
      </c>
      <c r="J290" s="32">
        <f t="shared" ca="1" si="80"/>
        <v>0</v>
      </c>
      <c r="K290" s="31">
        <f t="shared" ca="1" si="81"/>
        <v>0</v>
      </c>
      <c r="L290" s="52">
        <f t="shared" ca="1" si="82"/>
        <v>0</v>
      </c>
      <c r="M290" s="51">
        <f t="shared" ca="1" si="76"/>
        <v>2.1160804191491382</v>
      </c>
      <c r="N290" s="51">
        <f t="shared" ca="1" si="90"/>
        <v>0</v>
      </c>
      <c r="O290" s="28" t="str">
        <f t="shared" ca="1" si="77"/>
        <v>Yes</v>
      </c>
      <c r="P290" s="51">
        <f t="shared" ca="1" si="83"/>
        <v>0</v>
      </c>
      <c r="Q290">
        <f t="shared" ca="1" si="91"/>
        <v>0</v>
      </c>
      <c r="R290">
        <f t="shared" ca="1" si="84"/>
        <v>0</v>
      </c>
      <c r="S290" s="14">
        <f t="shared" ca="1" si="85"/>
        <v>0</v>
      </c>
    </row>
    <row r="291" spans="1:19" x14ac:dyDescent="0.25">
      <c r="A291">
        <v>282</v>
      </c>
      <c r="B291" s="51">
        <f t="shared" ca="1" si="74"/>
        <v>3.8049877367342919</v>
      </c>
      <c r="C291" s="51">
        <f t="shared" ca="1" si="86"/>
        <v>892.67544763870058</v>
      </c>
      <c r="D291" s="11" t="str">
        <f t="shared" ca="1" si="78"/>
        <v>C1</v>
      </c>
      <c r="E291" s="51">
        <f t="shared" ca="1" si="87"/>
        <v>892.67544763870058</v>
      </c>
      <c r="F291" s="51">
        <f t="shared" ca="1" si="75"/>
        <v>4.3104674134020744</v>
      </c>
      <c r="G291" s="51">
        <f t="shared" ca="1" si="88"/>
        <v>896.98591505210265</v>
      </c>
      <c r="H291" s="8" t="str">
        <f t="shared" ca="1" si="79"/>
        <v>No</v>
      </c>
      <c r="I291" s="32">
        <f t="shared" ca="1" si="89"/>
        <v>0</v>
      </c>
      <c r="J291" s="32">
        <f t="shared" ca="1" si="80"/>
        <v>2</v>
      </c>
      <c r="K291" s="31">
        <f t="shared" ca="1" si="81"/>
        <v>1</v>
      </c>
      <c r="L291" s="52">
        <f t="shared" ca="1" si="82"/>
        <v>0</v>
      </c>
      <c r="M291" s="51">
        <f t="shared" ca="1" si="76"/>
        <v>2.6564168639512746</v>
      </c>
      <c r="N291" s="51">
        <f t="shared" ca="1" si="90"/>
        <v>0</v>
      </c>
      <c r="O291" s="28" t="str">
        <f t="shared" ca="1" si="77"/>
        <v>Yes</v>
      </c>
      <c r="P291" s="51">
        <f t="shared" ca="1" si="83"/>
        <v>4.1488606374508663</v>
      </c>
      <c r="Q291">
        <f t="shared" ca="1" si="91"/>
        <v>0</v>
      </c>
      <c r="R291">
        <f t="shared" ca="1" si="84"/>
        <v>0</v>
      </c>
      <c r="S291" s="14">
        <f t="shared" ca="1" si="85"/>
        <v>0</v>
      </c>
    </row>
    <row r="292" spans="1:19" x14ac:dyDescent="0.25">
      <c r="A292">
        <v>283</v>
      </c>
      <c r="B292" s="51">
        <f t="shared" ca="1" si="74"/>
        <v>0.1616067759511805</v>
      </c>
      <c r="C292" s="51">
        <f t="shared" ca="1" si="86"/>
        <v>892.83705441465179</v>
      </c>
      <c r="D292" s="11" t="str">
        <f t="shared" ca="1" si="78"/>
        <v>C2</v>
      </c>
      <c r="E292" s="51">
        <f t="shared" ca="1" si="87"/>
        <v>0</v>
      </c>
      <c r="F292" s="51">
        <f t="shared" ca="1" si="75"/>
        <v>0.46325058570128308</v>
      </c>
      <c r="G292" s="51">
        <f t="shared" ca="1" si="88"/>
        <v>0</v>
      </c>
      <c r="H292" s="8" t="str">
        <f t="shared" ca="1" si="79"/>
        <v>Yes</v>
      </c>
      <c r="I292" s="32">
        <f t="shared" ca="1" si="89"/>
        <v>3</v>
      </c>
      <c r="J292" s="32">
        <f t="shared" ca="1" si="80"/>
        <v>0</v>
      </c>
      <c r="K292" s="31">
        <f t="shared" ca="1" si="81"/>
        <v>1.5</v>
      </c>
      <c r="L292" s="52">
        <f t="shared" ca="1" si="82"/>
        <v>892.83705441465179</v>
      </c>
      <c r="M292" s="51">
        <f t="shared" ca="1" si="76"/>
        <v>1.7764807590287597</v>
      </c>
      <c r="N292" s="51">
        <f t="shared" ca="1" si="90"/>
        <v>894.61353517368059</v>
      </c>
      <c r="O292" s="28" t="str">
        <f t="shared" ca="1" si="77"/>
        <v>No</v>
      </c>
      <c r="P292" s="51">
        <f t="shared" ca="1" si="83"/>
        <v>0</v>
      </c>
      <c r="Q292">
        <f t="shared" ca="1" si="91"/>
        <v>0</v>
      </c>
      <c r="R292">
        <f t="shared" ca="1" si="84"/>
        <v>0</v>
      </c>
      <c r="S292" s="14">
        <f t="shared" ca="1" si="85"/>
        <v>0</v>
      </c>
    </row>
    <row r="293" spans="1:19" x14ac:dyDescent="0.25">
      <c r="A293">
        <v>284</v>
      </c>
      <c r="B293" s="51">
        <f t="shared" ca="1" si="74"/>
        <v>3.0444090474031005</v>
      </c>
      <c r="C293" s="51">
        <f t="shared" ca="1" si="86"/>
        <v>895.88146346205485</v>
      </c>
      <c r="D293" s="11" t="str">
        <f t="shared" ca="1" si="78"/>
        <v>C1</v>
      </c>
      <c r="E293" s="51">
        <f t="shared" ca="1" si="87"/>
        <v>895.88146346205485</v>
      </c>
      <c r="F293" s="51">
        <f t="shared" ca="1" si="75"/>
        <v>3.7241786921297129</v>
      </c>
      <c r="G293" s="51">
        <f t="shared" ca="1" si="88"/>
        <v>899.60564215418458</v>
      </c>
      <c r="H293" s="8" t="str">
        <f t="shared" ca="1" si="79"/>
        <v>No</v>
      </c>
      <c r="I293" s="32">
        <f t="shared" ca="1" si="89"/>
        <v>0</v>
      </c>
      <c r="J293" s="32">
        <f t="shared" ca="1" si="80"/>
        <v>0</v>
      </c>
      <c r="K293" s="31">
        <f t="shared" ca="1" si="81"/>
        <v>0</v>
      </c>
      <c r="L293" s="52">
        <f t="shared" ca="1" si="82"/>
        <v>0</v>
      </c>
      <c r="M293" s="51">
        <f t="shared" ca="1" si="76"/>
        <v>0.3970466529488022</v>
      </c>
      <c r="N293" s="51">
        <f t="shared" ca="1" si="90"/>
        <v>0</v>
      </c>
      <c r="O293" s="28" t="str">
        <f t="shared" ca="1" si="77"/>
        <v>Yes</v>
      </c>
      <c r="P293" s="51">
        <f t="shared" ca="1" si="83"/>
        <v>0</v>
      </c>
      <c r="Q293">
        <f t="shared" ca="1" si="91"/>
        <v>0</v>
      </c>
      <c r="R293">
        <f t="shared" ca="1" si="84"/>
        <v>0</v>
      </c>
      <c r="S293" s="14">
        <f t="shared" ca="1" si="85"/>
        <v>0</v>
      </c>
    </row>
    <row r="294" spans="1:19" x14ac:dyDescent="0.25">
      <c r="A294">
        <v>285</v>
      </c>
      <c r="B294" s="51">
        <f t="shared" ca="1" si="74"/>
        <v>4.1438902817015713</v>
      </c>
      <c r="C294" s="51">
        <f t="shared" ca="1" si="86"/>
        <v>900.02535374375645</v>
      </c>
      <c r="D294" s="11" t="str">
        <f t="shared" ca="1" si="78"/>
        <v>C1</v>
      </c>
      <c r="E294" s="51">
        <f t="shared" ca="1" si="87"/>
        <v>900.02535374375645</v>
      </c>
      <c r="F294" s="51">
        <f t="shared" ca="1" si="75"/>
        <v>0.25097442760133531</v>
      </c>
      <c r="G294" s="51">
        <f t="shared" ca="1" si="88"/>
        <v>900.27632817135782</v>
      </c>
      <c r="H294" s="8" t="str">
        <f t="shared" ca="1" si="79"/>
        <v>No</v>
      </c>
      <c r="I294" s="32">
        <f t="shared" ca="1" si="89"/>
        <v>0</v>
      </c>
      <c r="J294" s="32">
        <f t="shared" ca="1" si="80"/>
        <v>0</v>
      </c>
      <c r="K294" s="31">
        <f t="shared" ca="1" si="81"/>
        <v>0</v>
      </c>
      <c r="L294" s="52">
        <f t="shared" ca="1" si="82"/>
        <v>0</v>
      </c>
      <c r="M294" s="51">
        <f t="shared" ca="1" si="76"/>
        <v>0.7272992445264479</v>
      </c>
      <c r="N294" s="51">
        <f t="shared" ca="1" si="90"/>
        <v>0</v>
      </c>
      <c r="O294" s="28" t="str">
        <f t="shared" ca="1" si="77"/>
        <v>Yes</v>
      </c>
      <c r="P294" s="51">
        <f t="shared" ca="1" si="83"/>
        <v>0</v>
      </c>
      <c r="Q294">
        <f t="shared" ca="1" si="91"/>
        <v>0</v>
      </c>
      <c r="R294">
        <f t="shared" ca="1" si="84"/>
        <v>0</v>
      </c>
      <c r="S294" s="14">
        <f t="shared" ca="1" si="85"/>
        <v>0</v>
      </c>
    </row>
    <row r="295" spans="1:19" x14ac:dyDescent="0.25">
      <c r="A295">
        <v>286</v>
      </c>
      <c r="B295" s="51">
        <f t="shared" ca="1" si="74"/>
        <v>1.7023557223948198</v>
      </c>
      <c r="C295" s="51">
        <f t="shared" ca="1" si="86"/>
        <v>901.72770946615128</v>
      </c>
      <c r="D295" s="11" t="str">
        <f t="shared" ca="1" si="78"/>
        <v>C1</v>
      </c>
      <c r="E295" s="51">
        <f t="shared" ca="1" si="87"/>
        <v>901.72770946615128</v>
      </c>
      <c r="F295" s="51">
        <f t="shared" ca="1" si="75"/>
        <v>6.1588546086511018</v>
      </c>
      <c r="G295" s="51">
        <f t="shared" ca="1" si="88"/>
        <v>907.88656407480244</v>
      </c>
      <c r="H295" s="8" t="str">
        <f t="shared" ca="1" si="79"/>
        <v>No</v>
      </c>
      <c r="I295" s="32">
        <f t="shared" ca="1" si="89"/>
        <v>0</v>
      </c>
      <c r="J295" s="32">
        <f t="shared" ca="1" si="80"/>
        <v>1</v>
      </c>
      <c r="K295" s="31">
        <f t="shared" ca="1" si="81"/>
        <v>0.5</v>
      </c>
      <c r="L295" s="52">
        <f t="shared" ca="1" si="82"/>
        <v>0</v>
      </c>
      <c r="M295" s="51">
        <f t="shared" ca="1" si="76"/>
        <v>0.60808105471552343</v>
      </c>
      <c r="N295" s="51">
        <f t="shared" ca="1" si="90"/>
        <v>0</v>
      </c>
      <c r="O295" s="28" t="str">
        <f t="shared" ca="1" si="77"/>
        <v>Yes</v>
      </c>
      <c r="P295" s="51">
        <f t="shared" ca="1" si="83"/>
        <v>1.5293314247550143</v>
      </c>
      <c r="Q295">
        <f t="shared" ca="1" si="91"/>
        <v>0</v>
      </c>
      <c r="R295">
        <f t="shared" ca="1" si="84"/>
        <v>0</v>
      </c>
      <c r="S295" s="14">
        <f t="shared" ca="1" si="85"/>
        <v>0</v>
      </c>
    </row>
    <row r="296" spans="1:19" x14ac:dyDescent="0.25">
      <c r="A296">
        <v>287</v>
      </c>
      <c r="B296" s="51">
        <f t="shared" ca="1" si="74"/>
        <v>4.6295231838961621</v>
      </c>
      <c r="C296" s="51">
        <f t="shared" ca="1" si="86"/>
        <v>906.35723265004742</v>
      </c>
      <c r="D296" s="11" t="str">
        <f t="shared" ca="1" si="78"/>
        <v>C2</v>
      </c>
      <c r="E296" s="51">
        <f t="shared" ca="1" si="87"/>
        <v>0</v>
      </c>
      <c r="F296" s="51">
        <f t="shared" ca="1" si="75"/>
        <v>3.2155862248303091</v>
      </c>
      <c r="G296" s="51">
        <f t="shared" ca="1" si="88"/>
        <v>0</v>
      </c>
      <c r="H296" s="8" t="str">
        <f t="shared" ca="1" si="79"/>
        <v>Yes</v>
      </c>
      <c r="I296" s="32">
        <f t="shared" ca="1" si="89"/>
        <v>2</v>
      </c>
      <c r="J296" s="32">
        <f t="shared" ca="1" si="80"/>
        <v>0</v>
      </c>
      <c r="K296" s="31">
        <f t="shared" ca="1" si="81"/>
        <v>1</v>
      </c>
      <c r="L296" s="52">
        <f t="shared" ca="1" si="82"/>
        <v>906.35723265004742</v>
      </c>
      <c r="M296" s="51">
        <f t="shared" ca="1" si="76"/>
        <v>0.79450228265298628</v>
      </c>
      <c r="N296" s="51">
        <f t="shared" ca="1" si="90"/>
        <v>907.15173493270038</v>
      </c>
      <c r="O296" s="28" t="str">
        <f t="shared" ca="1" si="77"/>
        <v>No</v>
      </c>
      <c r="P296" s="51">
        <f t="shared" ca="1" si="83"/>
        <v>0</v>
      </c>
      <c r="Q296">
        <f t="shared" ca="1" si="91"/>
        <v>0</v>
      </c>
      <c r="R296">
        <f t="shared" ca="1" si="84"/>
        <v>0</v>
      </c>
      <c r="S296" s="14">
        <f t="shared" ca="1" si="85"/>
        <v>0</v>
      </c>
    </row>
    <row r="297" spans="1:19" x14ac:dyDescent="0.25">
      <c r="A297">
        <v>288</v>
      </c>
      <c r="B297" s="51">
        <f t="shared" ca="1" si="74"/>
        <v>2.2321097365532401</v>
      </c>
      <c r="C297" s="51">
        <f t="shared" ca="1" si="86"/>
        <v>908.58934238660061</v>
      </c>
      <c r="D297" s="11" t="str">
        <f t="shared" ca="1" si="78"/>
        <v>C1</v>
      </c>
      <c r="E297" s="51">
        <f t="shared" ca="1" si="87"/>
        <v>908.58934238660061</v>
      </c>
      <c r="F297" s="51">
        <f t="shared" ca="1" si="75"/>
        <v>0.84133721103229486</v>
      </c>
      <c r="G297" s="51">
        <f t="shared" ca="1" si="88"/>
        <v>909.43067959763289</v>
      </c>
      <c r="H297" s="8" t="str">
        <f t="shared" ca="1" si="79"/>
        <v>No</v>
      </c>
      <c r="I297" s="32">
        <f t="shared" ca="1" si="89"/>
        <v>0</v>
      </c>
      <c r="J297" s="32">
        <f t="shared" ca="1" si="80"/>
        <v>1</v>
      </c>
      <c r="K297" s="31">
        <f t="shared" ca="1" si="81"/>
        <v>0.5</v>
      </c>
      <c r="L297" s="52">
        <f t="shared" ca="1" si="82"/>
        <v>0</v>
      </c>
      <c r="M297" s="51">
        <f t="shared" ca="1" si="76"/>
        <v>4.2107683474640041</v>
      </c>
      <c r="N297" s="51">
        <f t="shared" ca="1" si="90"/>
        <v>0</v>
      </c>
      <c r="O297" s="28" t="str">
        <f t="shared" ca="1" si="77"/>
        <v>Yes</v>
      </c>
      <c r="P297" s="51">
        <f t="shared" ca="1" si="83"/>
        <v>0.36782091864995436</v>
      </c>
      <c r="Q297">
        <f t="shared" ca="1" si="91"/>
        <v>0</v>
      </c>
      <c r="R297">
        <f t="shared" ca="1" si="84"/>
        <v>0</v>
      </c>
      <c r="S297" s="14">
        <f t="shared" ca="1" si="85"/>
        <v>0</v>
      </c>
    </row>
    <row r="298" spans="1:19" x14ac:dyDescent="0.25">
      <c r="A298">
        <v>289</v>
      </c>
      <c r="B298" s="51">
        <f t="shared" ca="1" si="74"/>
        <v>0.47351629238233806</v>
      </c>
      <c r="C298" s="51">
        <f t="shared" ca="1" si="86"/>
        <v>909.06285867898293</v>
      </c>
      <c r="D298" s="11" t="str">
        <f t="shared" ca="1" si="78"/>
        <v>C2</v>
      </c>
      <c r="E298" s="51">
        <f t="shared" ca="1" si="87"/>
        <v>0</v>
      </c>
      <c r="F298" s="51">
        <f t="shared" ca="1" si="75"/>
        <v>0.44043772291093669</v>
      </c>
      <c r="G298" s="51">
        <f t="shared" ca="1" si="88"/>
        <v>0</v>
      </c>
      <c r="H298" s="8" t="str">
        <f t="shared" ca="1" si="79"/>
        <v>Yes</v>
      </c>
      <c r="I298" s="32">
        <f t="shared" ca="1" si="89"/>
        <v>2</v>
      </c>
      <c r="J298" s="32">
        <f t="shared" ca="1" si="80"/>
        <v>0</v>
      </c>
      <c r="K298" s="31">
        <f t="shared" ca="1" si="81"/>
        <v>1</v>
      </c>
      <c r="L298" s="52">
        <f t="shared" ca="1" si="82"/>
        <v>909.06285867898293</v>
      </c>
      <c r="M298" s="51">
        <f t="shared" ca="1" si="76"/>
        <v>2.5378692154654336</v>
      </c>
      <c r="N298" s="51">
        <f t="shared" ca="1" si="90"/>
        <v>911.60072789444837</v>
      </c>
      <c r="O298" s="28" t="str">
        <f t="shared" ca="1" si="77"/>
        <v>No</v>
      </c>
      <c r="P298" s="51">
        <f t="shared" ca="1" si="83"/>
        <v>2.1010049741832972</v>
      </c>
      <c r="Q298">
        <f t="shared" ca="1" si="91"/>
        <v>0</v>
      </c>
      <c r="R298">
        <f t="shared" ca="1" si="84"/>
        <v>2</v>
      </c>
      <c r="S298" s="14">
        <f t="shared" ca="1" si="85"/>
        <v>1</v>
      </c>
    </row>
    <row r="299" spans="1:19" x14ac:dyDescent="0.25">
      <c r="A299">
        <v>290</v>
      </c>
      <c r="B299" s="51">
        <f t="shared" ca="1" si="74"/>
        <v>0.43686424128219165</v>
      </c>
      <c r="C299" s="51">
        <f t="shared" ca="1" si="86"/>
        <v>909.49972292026507</v>
      </c>
      <c r="D299" s="11" t="str">
        <f t="shared" ca="1" si="78"/>
        <v>C1</v>
      </c>
      <c r="E299" s="51">
        <f t="shared" ca="1" si="87"/>
        <v>909.49972292026507</v>
      </c>
      <c r="F299" s="51">
        <f t="shared" ca="1" si="75"/>
        <v>0.73992564892651802</v>
      </c>
      <c r="G299" s="51">
        <f t="shared" ca="1" si="88"/>
        <v>910.23964856919156</v>
      </c>
      <c r="H299" s="8" t="str">
        <f t="shared" ca="1" si="79"/>
        <v>No</v>
      </c>
      <c r="I299" s="32">
        <f t="shared" ca="1" si="89"/>
        <v>0</v>
      </c>
      <c r="J299" s="32">
        <f t="shared" ca="1" si="80"/>
        <v>0</v>
      </c>
      <c r="K299" s="31">
        <f t="shared" ca="1" si="81"/>
        <v>0</v>
      </c>
      <c r="L299" s="52">
        <f t="shared" ca="1" si="82"/>
        <v>0</v>
      </c>
      <c r="M299" s="51">
        <f t="shared" ca="1" si="76"/>
        <v>0.64412290039631348</v>
      </c>
      <c r="N299" s="51">
        <f t="shared" ca="1" si="90"/>
        <v>0</v>
      </c>
      <c r="O299" s="28" t="str">
        <f t="shared" ca="1" si="77"/>
        <v>Yes</v>
      </c>
      <c r="P299" s="51">
        <f t="shared" ca="1" si="83"/>
        <v>0</v>
      </c>
      <c r="Q299">
        <f t="shared" ca="1" si="91"/>
        <v>3</v>
      </c>
      <c r="R299">
        <f t="shared" ca="1" si="84"/>
        <v>0</v>
      </c>
      <c r="S299" s="14">
        <f t="shared" ca="1" si="85"/>
        <v>1.5</v>
      </c>
    </row>
    <row r="300" spans="1:19" x14ac:dyDescent="0.25">
      <c r="A300">
        <v>291</v>
      </c>
      <c r="B300" s="51">
        <f t="shared" ca="1" si="74"/>
        <v>1.5070540749301649</v>
      </c>
      <c r="C300" s="51">
        <f t="shared" ca="1" si="86"/>
        <v>911.0067769951952</v>
      </c>
      <c r="D300" s="11" t="str">
        <f t="shared" ca="1" si="78"/>
        <v>C1</v>
      </c>
      <c r="E300" s="51">
        <f t="shared" ca="1" si="87"/>
        <v>911.0067769951952</v>
      </c>
      <c r="F300" s="51">
        <f t="shared" ca="1" si="75"/>
        <v>6.0347042505128954</v>
      </c>
      <c r="G300" s="51">
        <f t="shared" ca="1" si="88"/>
        <v>917.04148124570804</v>
      </c>
      <c r="H300" s="8" t="str">
        <f t="shared" ca="1" si="79"/>
        <v>No</v>
      </c>
      <c r="I300" s="32">
        <f t="shared" ca="1" si="89"/>
        <v>0</v>
      </c>
      <c r="J300" s="32">
        <f t="shared" ca="1" si="80"/>
        <v>1</v>
      </c>
      <c r="K300" s="31">
        <f t="shared" ca="1" si="81"/>
        <v>0.5</v>
      </c>
      <c r="L300" s="52">
        <f t="shared" ca="1" si="82"/>
        <v>0</v>
      </c>
      <c r="M300" s="51">
        <f t="shared" ca="1" si="76"/>
        <v>0.22605458992650082</v>
      </c>
      <c r="N300" s="51">
        <f t="shared" ca="1" si="90"/>
        <v>0</v>
      </c>
      <c r="O300" s="28" t="str">
        <f t="shared" ca="1" si="77"/>
        <v>Yes</v>
      </c>
      <c r="P300" s="51">
        <f t="shared" ca="1" si="83"/>
        <v>3.6171297193676537</v>
      </c>
      <c r="Q300">
        <f t="shared" ca="1" si="91"/>
        <v>0</v>
      </c>
      <c r="R300">
        <f t="shared" ca="1" si="84"/>
        <v>0</v>
      </c>
      <c r="S300" s="14">
        <f t="shared" ca="1" si="85"/>
        <v>0</v>
      </c>
    </row>
    <row r="301" spans="1:19" x14ac:dyDescent="0.25">
      <c r="A301">
        <v>292</v>
      </c>
      <c r="B301" s="51">
        <f t="shared" ca="1" si="74"/>
        <v>2.4175745311452093</v>
      </c>
      <c r="C301" s="51">
        <f t="shared" ca="1" si="86"/>
        <v>913.42435152634039</v>
      </c>
      <c r="D301" s="11" t="str">
        <f t="shared" ca="1" si="78"/>
        <v>C2</v>
      </c>
      <c r="E301" s="51">
        <f t="shared" ca="1" si="87"/>
        <v>0</v>
      </c>
      <c r="F301" s="51">
        <f t="shared" ca="1" si="75"/>
        <v>4.7708055741435125</v>
      </c>
      <c r="G301" s="51">
        <f t="shared" ca="1" si="88"/>
        <v>0</v>
      </c>
      <c r="H301" s="8" t="str">
        <f t="shared" ca="1" si="79"/>
        <v>Yes</v>
      </c>
      <c r="I301" s="32">
        <f t="shared" ca="1" si="89"/>
        <v>2</v>
      </c>
      <c r="J301" s="32">
        <f t="shared" ca="1" si="80"/>
        <v>0</v>
      </c>
      <c r="K301" s="31">
        <f t="shared" ca="1" si="81"/>
        <v>1</v>
      </c>
      <c r="L301" s="52">
        <f t="shared" ca="1" si="82"/>
        <v>913.42435152634039</v>
      </c>
      <c r="M301" s="51">
        <f t="shared" ca="1" si="76"/>
        <v>0.73582708188912016</v>
      </c>
      <c r="N301" s="51">
        <f t="shared" ca="1" si="90"/>
        <v>914.16017860822956</v>
      </c>
      <c r="O301" s="28" t="str">
        <f t="shared" ca="1" si="77"/>
        <v>No</v>
      </c>
      <c r="P301" s="51">
        <f t="shared" ca="1" si="83"/>
        <v>0</v>
      </c>
      <c r="Q301">
        <f t="shared" ca="1" si="91"/>
        <v>0</v>
      </c>
      <c r="R301">
        <f t="shared" ca="1" si="84"/>
        <v>0</v>
      </c>
      <c r="S301" s="14">
        <f t="shared" ca="1" si="85"/>
        <v>0</v>
      </c>
    </row>
    <row r="302" spans="1:19" x14ac:dyDescent="0.25">
      <c r="A302">
        <v>293</v>
      </c>
      <c r="B302" s="51">
        <f t="shared" ca="1" si="74"/>
        <v>4.0213309022789145</v>
      </c>
      <c r="C302" s="51">
        <f t="shared" ca="1" si="86"/>
        <v>917.44568242861931</v>
      </c>
      <c r="D302" s="11" t="str">
        <f t="shared" ca="1" si="78"/>
        <v>C1</v>
      </c>
      <c r="E302" s="51">
        <f t="shared" ca="1" si="87"/>
        <v>917.44568242861931</v>
      </c>
      <c r="F302" s="51">
        <f t="shared" ca="1" si="75"/>
        <v>0.38298305207407862</v>
      </c>
      <c r="G302" s="51">
        <f t="shared" ca="1" si="88"/>
        <v>917.82866548069342</v>
      </c>
      <c r="H302" s="8" t="str">
        <f t="shared" ca="1" si="79"/>
        <v>No</v>
      </c>
      <c r="I302" s="32">
        <f t="shared" ca="1" si="89"/>
        <v>0</v>
      </c>
      <c r="J302" s="32">
        <f t="shared" ca="1" si="80"/>
        <v>0</v>
      </c>
      <c r="K302" s="31">
        <f t="shared" ca="1" si="81"/>
        <v>0</v>
      </c>
      <c r="L302" s="52">
        <f t="shared" ca="1" si="82"/>
        <v>0</v>
      </c>
      <c r="M302" s="51">
        <f t="shared" ca="1" si="76"/>
        <v>1.0682660444425818</v>
      </c>
      <c r="N302" s="51">
        <f t="shared" ca="1" si="90"/>
        <v>0</v>
      </c>
      <c r="O302" s="28" t="str">
        <f t="shared" ca="1" si="77"/>
        <v>Yes</v>
      </c>
      <c r="P302" s="51">
        <f t="shared" ca="1" si="83"/>
        <v>0</v>
      </c>
      <c r="Q302">
        <f t="shared" ca="1" si="91"/>
        <v>0</v>
      </c>
      <c r="R302">
        <f t="shared" ca="1" si="84"/>
        <v>0</v>
      </c>
      <c r="S302" s="14">
        <f t="shared" ca="1" si="85"/>
        <v>0</v>
      </c>
    </row>
    <row r="303" spans="1:19" x14ac:dyDescent="0.25">
      <c r="A303">
        <v>294</v>
      </c>
      <c r="B303" s="51">
        <f t="shared" ca="1" si="74"/>
        <v>1.301978650620399</v>
      </c>
      <c r="C303" s="51">
        <f t="shared" ca="1" si="86"/>
        <v>918.74766107923972</v>
      </c>
      <c r="D303" s="11" t="str">
        <f t="shared" ca="1" si="78"/>
        <v>C1</v>
      </c>
      <c r="E303" s="51">
        <f t="shared" ca="1" si="87"/>
        <v>918.74766107923972</v>
      </c>
      <c r="F303" s="51">
        <f t="shared" ca="1" si="75"/>
        <v>5.0838649155909303</v>
      </c>
      <c r="G303" s="51">
        <f t="shared" ca="1" si="88"/>
        <v>923.8315259948306</v>
      </c>
      <c r="H303" s="8" t="str">
        <f t="shared" ca="1" si="79"/>
        <v>No</v>
      </c>
      <c r="I303" s="32">
        <f t="shared" ca="1" si="89"/>
        <v>0</v>
      </c>
      <c r="J303" s="32">
        <f t="shared" ca="1" si="80"/>
        <v>0</v>
      </c>
      <c r="K303" s="31">
        <f t="shared" ca="1" si="81"/>
        <v>0</v>
      </c>
      <c r="L303" s="52">
        <f t="shared" ca="1" si="82"/>
        <v>0</v>
      </c>
      <c r="M303" s="51">
        <f t="shared" ca="1" si="76"/>
        <v>0.3630144461678349</v>
      </c>
      <c r="N303" s="51">
        <f t="shared" ca="1" si="90"/>
        <v>0</v>
      </c>
      <c r="O303" s="28" t="str">
        <f t="shared" ca="1" si="77"/>
        <v>Yes</v>
      </c>
      <c r="P303" s="51">
        <f t="shared" ca="1" si="83"/>
        <v>0</v>
      </c>
      <c r="Q303">
        <f t="shared" ca="1" si="91"/>
        <v>0</v>
      </c>
      <c r="R303">
        <f t="shared" ca="1" si="84"/>
        <v>0</v>
      </c>
      <c r="S303" s="14">
        <f t="shared" ca="1" si="85"/>
        <v>0</v>
      </c>
    </row>
    <row r="304" spans="1:19" x14ac:dyDescent="0.25">
      <c r="A304">
        <v>295</v>
      </c>
      <c r="B304" s="51">
        <f t="shared" ca="1" si="74"/>
        <v>5.3237681505249412</v>
      </c>
      <c r="C304" s="51">
        <f t="shared" ca="1" si="86"/>
        <v>924.0714292297647</v>
      </c>
      <c r="D304" s="11" t="str">
        <f t="shared" ca="1" si="78"/>
        <v>C1</v>
      </c>
      <c r="E304" s="51">
        <f t="shared" ca="1" si="87"/>
        <v>924.0714292297647</v>
      </c>
      <c r="F304" s="51">
        <f t="shared" ca="1" si="75"/>
        <v>1.2404862217289654</v>
      </c>
      <c r="G304" s="51">
        <f t="shared" ca="1" si="88"/>
        <v>925.31191545149363</v>
      </c>
      <c r="H304" s="8" t="str">
        <f t="shared" ca="1" si="79"/>
        <v>No</v>
      </c>
      <c r="I304" s="32">
        <f t="shared" ca="1" si="89"/>
        <v>0</v>
      </c>
      <c r="J304" s="32">
        <f t="shared" ca="1" si="80"/>
        <v>0</v>
      </c>
      <c r="K304" s="31">
        <f t="shared" ca="1" si="81"/>
        <v>0</v>
      </c>
      <c r="L304" s="52">
        <f t="shared" ca="1" si="82"/>
        <v>0</v>
      </c>
      <c r="M304" s="51">
        <f t="shared" ca="1" si="76"/>
        <v>6.261683424755323</v>
      </c>
      <c r="N304" s="51">
        <f t="shared" ca="1" si="90"/>
        <v>0</v>
      </c>
      <c r="O304" s="28" t="str">
        <f t="shared" ca="1" si="77"/>
        <v>Yes</v>
      </c>
      <c r="P304" s="51">
        <f t="shared" ca="1" si="83"/>
        <v>0</v>
      </c>
      <c r="Q304">
        <f t="shared" ca="1" si="91"/>
        <v>0</v>
      </c>
      <c r="R304">
        <f t="shared" ca="1" si="84"/>
        <v>0</v>
      </c>
      <c r="S304" s="14">
        <f t="shared" ca="1" si="85"/>
        <v>0</v>
      </c>
    </row>
    <row r="305" spans="1:19" x14ac:dyDescent="0.25">
      <c r="A305">
        <v>296</v>
      </c>
      <c r="B305" s="51">
        <f t="shared" ca="1" si="74"/>
        <v>3.5857142133360171</v>
      </c>
      <c r="C305" s="51">
        <f t="shared" ca="1" si="86"/>
        <v>927.65714344310072</v>
      </c>
      <c r="D305" s="11" t="str">
        <f t="shared" ca="1" si="78"/>
        <v>C1</v>
      </c>
      <c r="E305" s="51">
        <f t="shared" ca="1" si="87"/>
        <v>927.65714344310072</v>
      </c>
      <c r="F305" s="51">
        <f t="shared" ca="1" si="75"/>
        <v>0.66641416948251497</v>
      </c>
      <c r="G305" s="51">
        <f t="shared" ca="1" si="88"/>
        <v>928.32355761258327</v>
      </c>
      <c r="H305" s="8" t="str">
        <f t="shared" ca="1" si="79"/>
        <v>No</v>
      </c>
      <c r="I305" s="32">
        <f t="shared" ca="1" si="89"/>
        <v>0</v>
      </c>
      <c r="J305" s="32">
        <f t="shared" ca="1" si="80"/>
        <v>0</v>
      </c>
      <c r="K305" s="31">
        <f t="shared" ca="1" si="81"/>
        <v>0</v>
      </c>
      <c r="L305" s="52">
        <f t="shared" ca="1" si="82"/>
        <v>0</v>
      </c>
      <c r="M305" s="51">
        <f t="shared" ca="1" si="76"/>
        <v>5.3931127738899062E-2</v>
      </c>
      <c r="N305" s="51">
        <f t="shared" ca="1" si="90"/>
        <v>0</v>
      </c>
      <c r="O305" s="28" t="str">
        <f t="shared" ca="1" si="77"/>
        <v>Yes</v>
      </c>
      <c r="P305" s="51">
        <f t="shared" ca="1" si="83"/>
        <v>0</v>
      </c>
      <c r="Q305">
        <f t="shared" ca="1" si="91"/>
        <v>0</v>
      </c>
      <c r="R305">
        <f t="shared" ca="1" si="84"/>
        <v>0</v>
      </c>
      <c r="S305" s="14">
        <f t="shared" ca="1" si="85"/>
        <v>0</v>
      </c>
    </row>
    <row r="306" spans="1:19" x14ac:dyDescent="0.25">
      <c r="A306">
        <v>297</v>
      </c>
      <c r="B306" s="51">
        <f t="shared" ca="1" si="74"/>
        <v>18.24841278465999</v>
      </c>
      <c r="C306" s="51">
        <f t="shared" ca="1" si="86"/>
        <v>945.90555622776071</v>
      </c>
      <c r="D306" s="11" t="str">
        <f t="shared" ca="1" si="78"/>
        <v>C1</v>
      </c>
      <c r="E306" s="51">
        <f t="shared" ca="1" si="87"/>
        <v>945.90555622776071</v>
      </c>
      <c r="F306" s="51">
        <f t="shared" ca="1" si="75"/>
        <v>1.5798457006122611E-2</v>
      </c>
      <c r="G306" s="51">
        <f t="shared" ca="1" si="88"/>
        <v>945.92135468476681</v>
      </c>
      <c r="H306" s="8" t="str">
        <f t="shared" ca="1" si="79"/>
        <v>No</v>
      </c>
      <c r="I306" s="32">
        <f t="shared" ca="1" si="89"/>
        <v>0</v>
      </c>
      <c r="J306" s="32">
        <f t="shared" ca="1" si="80"/>
        <v>0</v>
      </c>
      <c r="K306" s="31">
        <f t="shared" ca="1" si="81"/>
        <v>0</v>
      </c>
      <c r="L306" s="52">
        <f t="shared" ca="1" si="82"/>
        <v>0</v>
      </c>
      <c r="M306" s="51">
        <f t="shared" ca="1" si="76"/>
        <v>0.25157564620472195</v>
      </c>
      <c r="N306" s="51">
        <f t="shared" ca="1" si="90"/>
        <v>0</v>
      </c>
      <c r="O306" s="28" t="str">
        <f t="shared" ca="1" si="77"/>
        <v>Yes</v>
      </c>
      <c r="P306" s="51">
        <f t="shared" ca="1" si="83"/>
        <v>0</v>
      </c>
      <c r="Q306">
        <f t="shared" ca="1" si="91"/>
        <v>0</v>
      </c>
      <c r="R306">
        <f t="shared" ca="1" si="84"/>
        <v>0</v>
      </c>
      <c r="S306" s="14">
        <f t="shared" ca="1" si="85"/>
        <v>0</v>
      </c>
    </row>
    <row r="307" spans="1:19" x14ac:dyDescent="0.25">
      <c r="A307">
        <v>298</v>
      </c>
      <c r="B307" s="51">
        <f t="shared" ca="1" si="74"/>
        <v>7.9647369803631278</v>
      </c>
      <c r="C307" s="51">
        <f t="shared" ca="1" si="86"/>
        <v>953.87029320812383</v>
      </c>
      <c r="D307" s="11" t="str">
        <f t="shared" ca="1" si="78"/>
        <v>C1</v>
      </c>
      <c r="E307" s="51">
        <f t="shared" ca="1" si="87"/>
        <v>953.87029320812383</v>
      </c>
      <c r="F307" s="51">
        <f t="shared" ca="1" si="75"/>
        <v>0.17075919947582899</v>
      </c>
      <c r="G307" s="51">
        <f t="shared" ca="1" si="88"/>
        <v>954.04105240759964</v>
      </c>
      <c r="H307" s="8" t="str">
        <f t="shared" ca="1" si="79"/>
        <v>No</v>
      </c>
      <c r="I307" s="32">
        <f t="shared" ca="1" si="89"/>
        <v>0</v>
      </c>
      <c r="J307" s="32">
        <f t="shared" ca="1" si="80"/>
        <v>0</v>
      </c>
      <c r="K307" s="31">
        <f t="shared" ca="1" si="81"/>
        <v>0</v>
      </c>
      <c r="L307" s="52">
        <f t="shared" ca="1" si="82"/>
        <v>0</v>
      </c>
      <c r="M307" s="51">
        <f t="shared" ca="1" si="76"/>
        <v>2.1332021487554189</v>
      </c>
      <c r="N307" s="51">
        <f t="shared" ca="1" si="90"/>
        <v>0</v>
      </c>
      <c r="O307" s="28" t="str">
        <f t="shared" ca="1" si="77"/>
        <v>Yes</v>
      </c>
      <c r="P307" s="51">
        <f t="shared" ca="1" si="83"/>
        <v>0</v>
      </c>
      <c r="Q307">
        <f t="shared" ca="1" si="91"/>
        <v>0</v>
      </c>
      <c r="R307">
        <f t="shared" ca="1" si="84"/>
        <v>0</v>
      </c>
      <c r="S307" s="14">
        <f t="shared" ca="1" si="85"/>
        <v>0</v>
      </c>
    </row>
    <row r="308" spans="1:19" x14ac:dyDescent="0.25">
      <c r="A308">
        <v>299</v>
      </c>
      <c r="B308" s="51">
        <f t="shared" ca="1" si="74"/>
        <v>0.96180627525691431</v>
      </c>
      <c r="C308" s="51">
        <f t="shared" ca="1" si="86"/>
        <v>954.83209948338072</v>
      </c>
      <c r="D308" s="11" t="str">
        <f t="shared" ca="1" si="78"/>
        <v>C1</v>
      </c>
      <c r="E308" s="51">
        <f t="shared" ca="1" si="87"/>
        <v>954.83209948338072</v>
      </c>
      <c r="F308" s="51">
        <f t="shared" ca="1" si="75"/>
        <v>1.5164760536710289</v>
      </c>
      <c r="G308" s="51">
        <f t="shared" ca="1" si="88"/>
        <v>956.34857553705172</v>
      </c>
      <c r="H308" s="8" t="str">
        <f t="shared" ca="1" si="79"/>
        <v>No</v>
      </c>
      <c r="I308" s="32">
        <f t="shared" ca="1" si="89"/>
        <v>0</v>
      </c>
      <c r="J308" s="32">
        <f t="shared" ca="1" si="80"/>
        <v>2</v>
      </c>
      <c r="K308" s="31">
        <f t="shared" ca="1" si="81"/>
        <v>1</v>
      </c>
      <c r="L308" s="52">
        <f t="shared" ca="1" si="82"/>
        <v>0</v>
      </c>
      <c r="M308" s="51">
        <f t="shared" ca="1" si="76"/>
        <v>0.82580441582427799</v>
      </c>
      <c r="N308" s="51">
        <f t="shared" ca="1" si="90"/>
        <v>0</v>
      </c>
      <c r="O308" s="28" t="str">
        <f t="shared" ca="1" si="77"/>
        <v>Yes</v>
      </c>
      <c r="P308" s="51">
        <f t="shared" ca="1" si="83"/>
        <v>0.86561856275386617</v>
      </c>
      <c r="Q308">
        <f t="shared" ca="1" si="91"/>
        <v>0</v>
      </c>
      <c r="R308">
        <f t="shared" ca="1" si="84"/>
        <v>0</v>
      </c>
      <c r="S308" s="14">
        <f t="shared" ca="1" si="85"/>
        <v>0</v>
      </c>
    </row>
    <row r="309" spans="1:19" x14ac:dyDescent="0.25">
      <c r="A309">
        <v>300</v>
      </c>
      <c r="B309" s="51">
        <f t="shared" ca="1" si="74"/>
        <v>0.65085749091713607</v>
      </c>
      <c r="C309" s="51">
        <f t="shared" ca="1" si="86"/>
        <v>955.48295697429785</v>
      </c>
      <c r="D309" s="11" t="str">
        <f t="shared" ca="1" si="78"/>
        <v>C2</v>
      </c>
      <c r="E309" s="51">
        <f t="shared" ca="1" si="87"/>
        <v>0</v>
      </c>
      <c r="F309" s="51">
        <f t="shared" ca="1" si="75"/>
        <v>1.7357584760665694</v>
      </c>
      <c r="G309" s="51">
        <f t="shared" ca="1" si="88"/>
        <v>0</v>
      </c>
      <c r="H309" s="8" t="str">
        <f t="shared" ca="1" si="79"/>
        <v>Yes</v>
      </c>
      <c r="I309" s="32">
        <f t="shared" ca="1" si="89"/>
        <v>3</v>
      </c>
      <c r="J309" s="32">
        <f t="shared" ca="1" si="80"/>
        <v>0</v>
      </c>
      <c r="K309" s="31">
        <f t="shared" ca="1" si="81"/>
        <v>1.5</v>
      </c>
      <c r="L309" s="52">
        <f t="shared" ca="1" si="82"/>
        <v>955.48295697429785</v>
      </c>
      <c r="M309" s="51">
        <f t="shared" ca="1" si="76"/>
        <v>0.12390684808818504</v>
      </c>
      <c r="N309" s="51">
        <f t="shared" ca="1" si="90"/>
        <v>955.606863822386</v>
      </c>
      <c r="O309" s="28" t="str">
        <f t="shared" ca="1" si="77"/>
        <v>No</v>
      </c>
      <c r="P309" s="51">
        <f t="shared" ca="1" si="83"/>
        <v>0</v>
      </c>
      <c r="Q309">
        <f t="shared" ca="1" si="91"/>
        <v>0</v>
      </c>
      <c r="R309">
        <f t="shared" ca="1" si="84"/>
        <v>0</v>
      </c>
      <c r="S309" s="14">
        <f t="shared" ca="1" si="85"/>
        <v>0</v>
      </c>
    </row>
    <row r="310" spans="1:19" x14ac:dyDescent="0.25">
      <c r="A310">
        <v>301</v>
      </c>
      <c r="B310" s="51">
        <f t="shared" ca="1" si="74"/>
        <v>0.34752731347050719</v>
      </c>
      <c r="C310" s="51">
        <f t="shared" ca="1" si="86"/>
        <v>955.8304842877684</v>
      </c>
      <c r="D310" s="11" t="str">
        <f t="shared" ca="1" si="78"/>
        <v>C1</v>
      </c>
      <c r="E310" s="51">
        <f t="shared" ca="1" si="87"/>
        <v>955.8304842877684</v>
      </c>
      <c r="F310" s="51">
        <f t="shared" ca="1" si="75"/>
        <v>1.6514159854462664</v>
      </c>
      <c r="G310" s="51">
        <f t="shared" ca="1" si="88"/>
        <v>957.48190027321471</v>
      </c>
      <c r="H310" s="8" t="str">
        <f t="shared" ca="1" si="79"/>
        <v>No</v>
      </c>
      <c r="I310" s="32">
        <f t="shared" ca="1" si="89"/>
        <v>0</v>
      </c>
      <c r="J310" s="32">
        <f t="shared" ca="1" si="80"/>
        <v>1</v>
      </c>
      <c r="K310" s="31">
        <f t="shared" ca="1" si="81"/>
        <v>0.5</v>
      </c>
      <c r="L310" s="52">
        <f t="shared" ca="1" si="82"/>
        <v>0</v>
      </c>
      <c r="M310" s="51">
        <f t="shared" ca="1" si="76"/>
        <v>4.2935742686412368</v>
      </c>
      <c r="N310" s="51">
        <f t="shared" ca="1" si="90"/>
        <v>0</v>
      </c>
      <c r="O310" s="28" t="str">
        <f t="shared" ca="1" si="77"/>
        <v>Yes</v>
      </c>
      <c r="P310" s="51">
        <f t="shared" ca="1" si="83"/>
        <v>1.1296609948670948</v>
      </c>
      <c r="Q310">
        <f t="shared" ca="1" si="91"/>
        <v>0</v>
      </c>
      <c r="R310">
        <f t="shared" ca="1" si="84"/>
        <v>0</v>
      </c>
      <c r="S310" s="14">
        <f t="shared" ca="1" si="85"/>
        <v>0</v>
      </c>
    </row>
    <row r="311" spans="1:19" x14ac:dyDescent="0.25">
      <c r="A311">
        <v>302</v>
      </c>
      <c r="B311" s="51">
        <f t="shared" ca="1" si="74"/>
        <v>0.52175499057918173</v>
      </c>
      <c r="C311" s="51">
        <f t="shared" ca="1" si="86"/>
        <v>956.35223927834761</v>
      </c>
      <c r="D311" s="11" t="str">
        <f t="shared" ca="1" si="78"/>
        <v>C2</v>
      </c>
      <c r="E311" s="51">
        <f t="shared" ca="1" si="87"/>
        <v>0</v>
      </c>
      <c r="F311" s="51">
        <f t="shared" ca="1" si="75"/>
        <v>1.338016528617453</v>
      </c>
      <c r="G311" s="51">
        <f t="shared" ca="1" si="88"/>
        <v>0</v>
      </c>
      <c r="H311" s="8" t="str">
        <f t="shared" ca="1" si="79"/>
        <v>Yes</v>
      </c>
      <c r="I311" s="32">
        <f t="shared" ca="1" si="89"/>
        <v>2</v>
      </c>
      <c r="J311" s="32">
        <f t="shared" ca="1" si="80"/>
        <v>0</v>
      </c>
      <c r="K311" s="31">
        <f t="shared" ca="1" si="81"/>
        <v>1</v>
      </c>
      <c r="L311" s="52">
        <f t="shared" ca="1" si="82"/>
        <v>956.35223927834761</v>
      </c>
      <c r="M311" s="51">
        <f t="shared" ca="1" si="76"/>
        <v>4.6027348836342385</v>
      </c>
      <c r="N311" s="51">
        <f t="shared" ca="1" si="90"/>
        <v>960.9549741619818</v>
      </c>
      <c r="O311" s="28" t="str">
        <f t="shared" ca="1" si="77"/>
        <v>No</v>
      </c>
      <c r="P311" s="51">
        <f t="shared" ca="1" si="83"/>
        <v>2.729811688050745</v>
      </c>
      <c r="Q311">
        <f t="shared" ca="1" si="91"/>
        <v>0</v>
      </c>
      <c r="R311">
        <f t="shared" ca="1" si="84"/>
        <v>2</v>
      </c>
      <c r="S311" s="14">
        <f t="shared" ca="1" si="85"/>
        <v>1</v>
      </c>
    </row>
    <row r="312" spans="1:19" x14ac:dyDescent="0.25">
      <c r="A312">
        <v>303</v>
      </c>
      <c r="B312" s="51">
        <f t="shared" ca="1" si="74"/>
        <v>1.87292319558349</v>
      </c>
      <c r="C312" s="51">
        <f t="shared" ca="1" si="86"/>
        <v>958.22516247393105</v>
      </c>
      <c r="D312" s="11" t="str">
        <f t="shared" ca="1" si="78"/>
        <v>C1</v>
      </c>
      <c r="E312" s="51">
        <f t="shared" ca="1" si="87"/>
        <v>958.22516247393105</v>
      </c>
      <c r="F312" s="51">
        <f t="shared" ca="1" si="75"/>
        <v>2.8059338624716861</v>
      </c>
      <c r="G312" s="51">
        <f t="shared" ca="1" si="88"/>
        <v>961.0310963364027</v>
      </c>
      <c r="H312" s="8" t="str">
        <f t="shared" ca="1" si="79"/>
        <v>No</v>
      </c>
      <c r="I312" s="32">
        <f t="shared" ca="1" si="89"/>
        <v>0</v>
      </c>
      <c r="J312" s="32">
        <f t="shared" ca="1" si="80"/>
        <v>1</v>
      </c>
      <c r="K312" s="31">
        <f t="shared" ca="1" si="81"/>
        <v>0.5</v>
      </c>
      <c r="L312" s="52">
        <f t="shared" ca="1" si="82"/>
        <v>0</v>
      </c>
      <c r="M312" s="51">
        <f t="shared" ca="1" si="76"/>
        <v>0.29442617354370682</v>
      </c>
      <c r="N312" s="51">
        <f t="shared" ca="1" si="90"/>
        <v>0</v>
      </c>
      <c r="O312" s="28" t="str">
        <f t="shared" ca="1" si="77"/>
        <v>Yes</v>
      </c>
      <c r="P312" s="51">
        <f t="shared" ca="1" si="83"/>
        <v>2.7607640587976903</v>
      </c>
      <c r="Q312">
        <f t="shared" ca="1" si="91"/>
        <v>3</v>
      </c>
      <c r="R312">
        <f t="shared" ca="1" si="84"/>
        <v>0</v>
      </c>
      <c r="S312" s="14">
        <f t="shared" ca="1" si="85"/>
        <v>1.5</v>
      </c>
    </row>
    <row r="313" spans="1:19" x14ac:dyDescent="0.25">
      <c r="A313">
        <v>304</v>
      </c>
      <c r="B313" s="51">
        <f t="shared" ca="1" si="74"/>
        <v>4.5169803673990663E-2</v>
      </c>
      <c r="C313" s="51">
        <f t="shared" ca="1" si="86"/>
        <v>958.27033227760501</v>
      </c>
      <c r="D313" s="11" t="str">
        <f t="shared" ca="1" si="78"/>
        <v>C2</v>
      </c>
      <c r="E313" s="51">
        <f t="shared" ca="1" si="87"/>
        <v>0</v>
      </c>
      <c r="F313" s="51">
        <f t="shared" ca="1" si="75"/>
        <v>0.14868629948821785</v>
      </c>
      <c r="G313" s="51">
        <f t="shared" ca="1" si="88"/>
        <v>0</v>
      </c>
      <c r="H313" s="8" t="str">
        <f t="shared" ca="1" si="79"/>
        <v>Yes</v>
      </c>
      <c r="I313" s="32">
        <f t="shared" ca="1" si="89"/>
        <v>2</v>
      </c>
      <c r="J313" s="32">
        <f t="shared" ca="1" si="80"/>
        <v>0</v>
      </c>
      <c r="K313" s="31">
        <f t="shared" ca="1" si="81"/>
        <v>1</v>
      </c>
      <c r="L313" s="52">
        <f t="shared" ca="1" si="82"/>
        <v>958.27033227760501</v>
      </c>
      <c r="M313" s="51">
        <f t="shared" ca="1" si="76"/>
        <v>1.6990214208427852</v>
      </c>
      <c r="N313" s="51">
        <f t="shared" ca="1" si="90"/>
        <v>959.96935369844778</v>
      </c>
      <c r="O313" s="28" t="str">
        <f t="shared" ca="1" si="77"/>
        <v>No</v>
      </c>
      <c r="P313" s="51">
        <f t="shared" ca="1" si="83"/>
        <v>0</v>
      </c>
      <c r="Q313">
        <f t="shared" ca="1" si="91"/>
        <v>0</v>
      </c>
      <c r="R313">
        <f t="shared" ca="1" si="84"/>
        <v>0</v>
      </c>
      <c r="S313" s="14">
        <f t="shared" ca="1" si="85"/>
        <v>0</v>
      </c>
    </row>
    <row r="314" spans="1:19" x14ac:dyDescent="0.25">
      <c r="A314">
        <v>305</v>
      </c>
      <c r="B314" s="51">
        <f t="shared" ca="1" si="74"/>
        <v>3.1092070916124355</v>
      </c>
      <c r="C314" s="51">
        <f t="shared" ca="1" si="86"/>
        <v>961.37953936921747</v>
      </c>
      <c r="D314" s="11" t="str">
        <f t="shared" ca="1" si="78"/>
        <v>C1</v>
      </c>
      <c r="E314" s="51">
        <f t="shared" ca="1" si="87"/>
        <v>961.37953936921747</v>
      </c>
      <c r="F314" s="51">
        <f t="shared" ca="1" si="75"/>
        <v>2.5975745268279098E-2</v>
      </c>
      <c r="G314" s="51">
        <f t="shared" ca="1" si="88"/>
        <v>961.40551511448575</v>
      </c>
      <c r="H314" s="8" t="str">
        <f t="shared" ca="1" si="79"/>
        <v>No</v>
      </c>
      <c r="I314" s="32">
        <f t="shared" ca="1" si="89"/>
        <v>0</v>
      </c>
      <c r="J314" s="32">
        <f t="shared" ca="1" si="80"/>
        <v>0</v>
      </c>
      <c r="K314" s="31">
        <f t="shared" ca="1" si="81"/>
        <v>0</v>
      </c>
      <c r="L314" s="52">
        <f t="shared" ca="1" si="82"/>
        <v>0</v>
      </c>
      <c r="M314" s="51">
        <f t="shared" ca="1" si="76"/>
        <v>0.16081025821733991</v>
      </c>
      <c r="N314" s="51">
        <f t="shared" ca="1" si="90"/>
        <v>0</v>
      </c>
      <c r="O314" s="28" t="str">
        <f t="shared" ca="1" si="77"/>
        <v>Yes</v>
      </c>
      <c r="P314" s="51">
        <f t="shared" ca="1" si="83"/>
        <v>0</v>
      </c>
      <c r="Q314">
        <f t="shared" ca="1" si="91"/>
        <v>0</v>
      </c>
      <c r="R314">
        <f t="shared" ca="1" si="84"/>
        <v>0</v>
      </c>
      <c r="S314" s="14">
        <f t="shared" ca="1" si="85"/>
        <v>0</v>
      </c>
    </row>
    <row r="315" spans="1:19" x14ac:dyDescent="0.25">
      <c r="A315">
        <v>306</v>
      </c>
      <c r="B315" s="51">
        <f t="shared" ca="1" si="74"/>
        <v>0.59656299033536475</v>
      </c>
      <c r="C315" s="51">
        <f t="shared" ca="1" si="86"/>
        <v>961.97610235955278</v>
      </c>
      <c r="D315" s="11" t="str">
        <f t="shared" ca="1" si="78"/>
        <v>C1</v>
      </c>
      <c r="E315" s="51">
        <f t="shared" ca="1" si="87"/>
        <v>961.97610235955278</v>
      </c>
      <c r="F315" s="51">
        <f t="shared" ca="1" si="75"/>
        <v>0.35897554798496362</v>
      </c>
      <c r="G315" s="51">
        <f t="shared" ca="1" si="88"/>
        <v>962.33507790753777</v>
      </c>
      <c r="H315" s="8" t="str">
        <f t="shared" ca="1" si="79"/>
        <v>No</v>
      </c>
      <c r="I315" s="32">
        <f t="shared" ca="1" si="89"/>
        <v>0</v>
      </c>
      <c r="J315" s="32">
        <f t="shared" ca="1" si="80"/>
        <v>0</v>
      </c>
      <c r="K315" s="31">
        <f t="shared" ca="1" si="81"/>
        <v>0</v>
      </c>
      <c r="L315" s="52">
        <f t="shared" ca="1" si="82"/>
        <v>0</v>
      </c>
      <c r="M315" s="51">
        <f t="shared" ca="1" si="76"/>
        <v>1.9481493829647183</v>
      </c>
      <c r="N315" s="51">
        <f t="shared" ca="1" si="90"/>
        <v>0</v>
      </c>
      <c r="O315" s="28" t="str">
        <f t="shared" ca="1" si="77"/>
        <v>Yes</v>
      </c>
      <c r="P315" s="51">
        <f t="shared" ca="1" si="83"/>
        <v>0</v>
      </c>
      <c r="Q315">
        <f t="shared" ca="1" si="91"/>
        <v>0</v>
      </c>
      <c r="R315">
        <f t="shared" ca="1" si="84"/>
        <v>0</v>
      </c>
      <c r="S315" s="14">
        <f t="shared" ca="1" si="85"/>
        <v>0</v>
      </c>
    </row>
    <row r="316" spans="1:19" x14ac:dyDescent="0.25">
      <c r="A316">
        <v>307</v>
      </c>
      <c r="B316" s="51">
        <f t="shared" ca="1" si="74"/>
        <v>1.0990116468102307</v>
      </c>
      <c r="C316" s="51">
        <f t="shared" ca="1" si="86"/>
        <v>963.07511400636304</v>
      </c>
      <c r="D316" s="11" t="str">
        <f t="shared" ca="1" si="78"/>
        <v>C1</v>
      </c>
      <c r="E316" s="51">
        <f t="shared" ca="1" si="87"/>
        <v>963.07511400636304</v>
      </c>
      <c r="F316" s="51">
        <f t="shared" ca="1" si="75"/>
        <v>0.1143961646086458</v>
      </c>
      <c r="G316" s="51">
        <f t="shared" ca="1" si="88"/>
        <v>963.18951017097163</v>
      </c>
      <c r="H316" s="8" t="str">
        <f t="shared" ca="1" si="79"/>
        <v>No</v>
      </c>
      <c r="I316" s="32">
        <f t="shared" ca="1" si="89"/>
        <v>0</v>
      </c>
      <c r="J316" s="32">
        <f t="shared" ca="1" si="80"/>
        <v>0</v>
      </c>
      <c r="K316" s="31">
        <f t="shared" ca="1" si="81"/>
        <v>0</v>
      </c>
      <c r="L316" s="52">
        <f t="shared" ca="1" si="82"/>
        <v>0</v>
      </c>
      <c r="M316" s="51">
        <f t="shared" ca="1" si="76"/>
        <v>1.7478680210157502E-2</v>
      </c>
      <c r="N316" s="51">
        <f t="shared" ca="1" si="90"/>
        <v>0</v>
      </c>
      <c r="O316" s="28" t="str">
        <f t="shared" ca="1" si="77"/>
        <v>Yes</v>
      </c>
      <c r="P316" s="51">
        <f t="shared" ca="1" si="83"/>
        <v>0</v>
      </c>
      <c r="Q316">
        <f t="shared" ca="1" si="91"/>
        <v>0</v>
      </c>
      <c r="R316">
        <f t="shared" ca="1" si="84"/>
        <v>0</v>
      </c>
      <c r="S316" s="14">
        <f t="shared" ca="1" si="85"/>
        <v>0</v>
      </c>
    </row>
    <row r="317" spans="1:19" x14ac:dyDescent="0.25">
      <c r="A317">
        <v>308</v>
      </c>
      <c r="B317" s="51">
        <f t="shared" ca="1" si="74"/>
        <v>6.3853592528052099</v>
      </c>
      <c r="C317" s="51">
        <f t="shared" ca="1" si="86"/>
        <v>969.46047325916823</v>
      </c>
      <c r="D317" s="11" t="str">
        <f t="shared" ca="1" si="78"/>
        <v>C1</v>
      </c>
      <c r="E317" s="51">
        <f t="shared" ca="1" si="87"/>
        <v>969.46047325916823</v>
      </c>
      <c r="F317" s="51">
        <f t="shared" ca="1" si="75"/>
        <v>5.7321211774337454E-3</v>
      </c>
      <c r="G317" s="51">
        <f t="shared" ca="1" si="88"/>
        <v>969.46620538034563</v>
      </c>
      <c r="H317" s="8" t="str">
        <f t="shared" ca="1" si="79"/>
        <v>No</v>
      </c>
      <c r="I317" s="32">
        <f t="shared" ca="1" si="89"/>
        <v>0</v>
      </c>
      <c r="J317" s="32">
        <f t="shared" ca="1" si="80"/>
        <v>0</v>
      </c>
      <c r="K317" s="31">
        <f t="shared" ca="1" si="81"/>
        <v>0</v>
      </c>
      <c r="L317" s="52">
        <f t="shared" ca="1" si="82"/>
        <v>0</v>
      </c>
      <c r="M317" s="51">
        <f t="shared" ca="1" si="76"/>
        <v>2.8031366638244553</v>
      </c>
      <c r="N317" s="51">
        <f t="shared" ca="1" si="90"/>
        <v>0</v>
      </c>
      <c r="O317" s="28" t="str">
        <f t="shared" ca="1" si="77"/>
        <v>Yes</v>
      </c>
      <c r="P317" s="51">
        <f t="shared" ca="1" si="83"/>
        <v>0</v>
      </c>
      <c r="Q317">
        <f t="shared" ca="1" si="91"/>
        <v>0</v>
      </c>
      <c r="R317">
        <f t="shared" ca="1" si="84"/>
        <v>0</v>
      </c>
      <c r="S317" s="14">
        <f t="shared" ca="1" si="85"/>
        <v>0</v>
      </c>
    </row>
    <row r="318" spans="1:19" x14ac:dyDescent="0.25">
      <c r="A318">
        <v>309</v>
      </c>
      <c r="B318" s="51">
        <f t="shared" ca="1" si="74"/>
        <v>2.7973864474924759</v>
      </c>
      <c r="C318" s="51">
        <f t="shared" ca="1" si="86"/>
        <v>972.25785970666072</v>
      </c>
      <c r="D318" s="11" t="str">
        <f t="shared" ca="1" si="78"/>
        <v>C1</v>
      </c>
      <c r="E318" s="51">
        <f t="shared" ca="1" si="87"/>
        <v>972.25785970666072</v>
      </c>
      <c r="F318" s="51">
        <f t="shared" ca="1" si="75"/>
        <v>2.6563841686229797</v>
      </c>
      <c r="G318" s="51">
        <f t="shared" ca="1" si="88"/>
        <v>974.91424387528366</v>
      </c>
      <c r="H318" s="8" t="str">
        <f t="shared" ca="1" si="79"/>
        <v>No</v>
      </c>
      <c r="I318" s="32">
        <f t="shared" ca="1" si="89"/>
        <v>0</v>
      </c>
      <c r="J318" s="32">
        <f t="shared" ca="1" si="80"/>
        <v>1</v>
      </c>
      <c r="K318" s="31">
        <f t="shared" ca="1" si="81"/>
        <v>0.5</v>
      </c>
      <c r="L318" s="52">
        <f t="shared" ca="1" si="82"/>
        <v>0</v>
      </c>
      <c r="M318" s="51">
        <f t="shared" ca="1" si="76"/>
        <v>0.42542786042454606</v>
      </c>
      <c r="N318" s="51">
        <f t="shared" ca="1" si="90"/>
        <v>0</v>
      </c>
      <c r="O318" s="28" t="str">
        <f t="shared" ca="1" si="77"/>
        <v>Yes</v>
      </c>
      <c r="P318" s="51">
        <f t="shared" ca="1" si="83"/>
        <v>1.6581896096708988</v>
      </c>
      <c r="Q318">
        <f t="shared" ca="1" si="91"/>
        <v>0</v>
      </c>
      <c r="R318">
        <f t="shared" ca="1" si="84"/>
        <v>0</v>
      </c>
      <c r="S318" s="14">
        <f t="shared" ca="1" si="85"/>
        <v>0</v>
      </c>
    </row>
    <row r="319" spans="1:19" x14ac:dyDescent="0.25">
      <c r="A319">
        <v>310</v>
      </c>
      <c r="B319" s="51">
        <f t="shared" ca="1" si="74"/>
        <v>0.99819455895201703</v>
      </c>
      <c r="C319" s="51">
        <f t="shared" ca="1" si="86"/>
        <v>973.25605426561276</v>
      </c>
      <c r="D319" s="11" t="str">
        <f t="shared" ca="1" si="78"/>
        <v>C2</v>
      </c>
      <c r="E319" s="51">
        <f t="shared" ca="1" si="87"/>
        <v>0</v>
      </c>
      <c r="F319" s="51">
        <f t="shared" ca="1" si="75"/>
        <v>0.72463595786534729</v>
      </c>
      <c r="G319" s="51">
        <f t="shared" ca="1" si="88"/>
        <v>0</v>
      </c>
      <c r="H319" s="8" t="str">
        <f t="shared" ca="1" si="79"/>
        <v>Yes</v>
      </c>
      <c r="I319" s="32">
        <f t="shared" ca="1" si="89"/>
        <v>2</v>
      </c>
      <c r="J319" s="32">
        <f t="shared" ca="1" si="80"/>
        <v>0</v>
      </c>
      <c r="K319" s="31">
        <f t="shared" ca="1" si="81"/>
        <v>1</v>
      </c>
      <c r="L319" s="52">
        <f t="shared" ca="1" si="82"/>
        <v>973.25605426561276</v>
      </c>
      <c r="M319" s="51">
        <f t="shared" ca="1" si="76"/>
        <v>9.2409114750364396E-2</v>
      </c>
      <c r="N319" s="51">
        <f t="shared" ca="1" si="90"/>
        <v>973.34846338036311</v>
      </c>
      <c r="O319" s="28" t="str">
        <f t="shared" ca="1" si="77"/>
        <v>No</v>
      </c>
      <c r="P319" s="51">
        <f t="shared" ca="1" si="83"/>
        <v>0</v>
      </c>
      <c r="Q319">
        <f t="shared" ca="1" si="91"/>
        <v>0</v>
      </c>
      <c r="R319">
        <f t="shared" ca="1" si="84"/>
        <v>0</v>
      </c>
      <c r="S319" s="14">
        <f t="shared" ca="1" si="85"/>
        <v>0</v>
      </c>
    </row>
    <row r="320" spans="1:19" x14ac:dyDescent="0.25">
      <c r="A320">
        <v>311</v>
      </c>
      <c r="B320" s="51">
        <f t="shared" ca="1" si="74"/>
        <v>7.0102883454541729</v>
      </c>
      <c r="C320" s="51">
        <f t="shared" ca="1" si="86"/>
        <v>980.26634261106699</v>
      </c>
      <c r="D320" s="11" t="str">
        <f t="shared" ca="1" si="78"/>
        <v>C1</v>
      </c>
      <c r="E320" s="51">
        <f t="shared" ca="1" si="87"/>
        <v>980.26634261106699</v>
      </c>
      <c r="F320" s="51">
        <f t="shared" ca="1" si="75"/>
        <v>0.38860755160542199</v>
      </c>
      <c r="G320" s="51">
        <f t="shared" ca="1" si="88"/>
        <v>980.65495016267243</v>
      </c>
      <c r="H320" s="8" t="str">
        <f t="shared" ca="1" si="79"/>
        <v>No</v>
      </c>
      <c r="I320" s="32">
        <f t="shared" ca="1" si="89"/>
        <v>0</v>
      </c>
      <c r="J320" s="32">
        <f t="shared" ca="1" si="80"/>
        <v>0</v>
      </c>
      <c r="K320" s="31">
        <f t="shared" ca="1" si="81"/>
        <v>0</v>
      </c>
      <c r="L320" s="52">
        <f t="shared" ca="1" si="82"/>
        <v>0</v>
      </c>
      <c r="M320" s="51">
        <f t="shared" ca="1" si="76"/>
        <v>0.21124957554623847</v>
      </c>
      <c r="N320" s="51">
        <f t="shared" ca="1" si="90"/>
        <v>0</v>
      </c>
      <c r="O320" s="28" t="str">
        <f t="shared" ca="1" si="77"/>
        <v>Yes</v>
      </c>
      <c r="P320" s="51">
        <f t="shared" ca="1" si="83"/>
        <v>0</v>
      </c>
      <c r="Q320">
        <f t="shared" ca="1" si="91"/>
        <v>0</v>
      </c>
      <c r="R320">
        <f t="shared" ca="1" si="84"/>
        <v>0</v>
      </c>
      <c r="S320" s="14">
        <f t="shared" ca="1" si="85"/>
        <v>0</v>
      </c>
    </row>
    <row r="321" spans="1:19" x14ac:dyDescent="0.25">
      <c r="A321">
        <v>312</v>
      </c>
      <c r="B321" s="51">
        <f t="shared" ca="1" si="74"/>
        <v>0.93220946128631932</v>
      </c>
      <c r="C321" s="51">
        <f t="shared" ca="1" si="86"/>
        <v>981.19855207235332</v>
      </c>
      <c r="D321" s="11" t="str">
        <f t="shared" ca="1" si="78"/>
        <v>C1</v>
      </c>
      <c r="E321" s="51">
        <f t="shared" ca="1" si="87"/>
        <v>981.19855207235332</v>
      </c>
      <c r="F321" s="51">
        <f t="shared" ca="1" si="75"/>
        <v>0.90085857731272989</v>
      </c>
      <c r="G321" s="51">
        <f t="shared" ca="1" si="88"/>
        <v>982.09941064966608</v>
      </c>
      <c r="H321" s="8" t="str">
        <f t="shared" ca="1" si="79"/>
        <v>No</v>
      </c>
      <c r="I321" s="32">
        <f t="shared" ca="1" si="89"/>
        <v>0</v>
      </c>
      <c r="J321" s="32">
        <f t="shared" ca="1" si="80"/>
        <v>0</v>
      </c>
      <c r="K321" s="31">
        <f t="shared" ca="1" si="81"/>
        <v>0</v>
      </c>
      <c r="L321" s="52">
        <f t="shared" ca="1" si="82"/>
        <v>0</v>
      </c>
      <c r="M321" s="51">
        <f t="shared" ca="1" si="76"/>
        <v>7.2804938537874314E-2</v>
      </c>
      <c r="N321" s="51">
        <f t="shared" ca="1" si="90"/>
        <v>0</v>
      </c>
      <c r="O321" s="28" t="str">
        <f t="shared" ca="1" si="77"/>
        <v>Yes</v>
      </c>
      <c r="P321" s="51">
        <f t="shared" ca="1" si="83"/>
        <v>0</v>
      </c>
      <c r="Q321">
        <f t="shared" ca="1" si="91"/>
        <v>0</v>
      </c>
      <c r="R321">
        <f t="shared" ca="1" si="84"/>
        <v>0</v>
      </c>
      <c r="S321" s="14">
        <f t="shared" ca="1" si="85"/>
        <v>0</v>
      </c>
    </row>
    <row r="322" spans="1:19" x14ac:dyDescent="0.25">
      <c r="A322">
        <v>313</v>
      </c>
      <c r="B322" s="51">
        <f t="shared" ca="1" si="74"/>
        <v>7.3590337011802625</v>
      </c>
      <c r="C322" s="51">
        <f t="shared" ca="1" si="86"/>
        <v>988.55758577353356</v>
      </c>
      <c r="D322" s="11" t="str">
        <f t="shared" ca="1" si="78"/>
        <v>C1</v>
      </c>
      <c r="E322" s="51">
        <f t="shared" ca="1" si="87"/>
        <v>988.55758577353356</v>
      </c>
      <c r="F322" s="51">
        <f t="shared" ca="1" si="75"/>
        <v>6.8405501041984262</v>
      </c>
      <c r="G322" s="51">
        <f t="shared" ca="1" si="88"/>
        <v>995.39813587773199</v>
      </c>
      <c r="H322" s="8" t="str">
        <f t="shared" ca="1" si="79"/>
        <v>No</v>
      </c>
      <c r="I322" s="32">
        <f t="shared" ca="1" si="89"/>
        <v>0</v>
      </c>
      <c r="J322" s="32">
        <f t="shared" ca="1" si="80"/>
        <v>1</v>
      </c>
      <c r="K322" s="31">
        <f t="shared" ca="1" si="81"/>
        <v>0.5</v>
      </c>
      <c r="L322" s="52">
        <f t="shared" ca="1" si="82"/>
        <v>0</v>
      </c>
      <c r="M322" s="51">
        <f t="shared" ca="1" si="76"/>
        <v>4.3403992391649693</v>
      </c>
      <c r="N322" s="51">
        <f t="shared" ca="1" si="90"/>
        <v>0</v>
      </c>
      <c r="O322" s="28" t="str">
        <f t="shared" ca="1" si="77"/>
        <v>Yes</v>
      </c>
      <c r="P322" s="51">
        <f t="shared" ca="1" si="83"/>
        <v>5.751720334203128</v>
      </c>
      <c r="Q322">
        <f t="shared" ca="1" si="91"/>
        <v>0</v>
      </c>
      <c r="R322">
        <f t="shared" ca="1" si="84"/>
        <v>0</v>
      </c>
      <c r="S322" s="14">
        <f t="shared" ca="1" si="85"/>
        <v>0</v>
      </c>
    </row>
    <row r="323" spans="1:19" x14ac:dyDescent="0.25">
      <c r="A323">
        <v>314</v>
      </c>
      <c r="B323" s="51">
        <f t="shared" ca="1" si="74"/>
        <v>1.0888297699952634</v>
      </c>
      <c r="C323" s="51">
        <f t="shared" ca="1" si="86"/>
        <v>989.64641554352886</v>
      </c>
      <c r="D323" s="11" t="str">
        <f t="shared" ca="1" si="78"/>
        <v>C2</v>
      </c>
      <c r="E323" s="51">
        <f t="shared" ca="1" si="87"/>
        <v>0</v>
      </c>
      <c r="F323" s="51">
        <f t="shared" ca="1" si="75"/>
        <v>7.3467637519636995</v>
      </c>
      <c r="G323" s="51">
        <f t="shared" ca="1" si="88"/>
        <v>0</v>
      </c>
      <c r="H323" s="8" t="str">
        <f t="shared" ca="1" si="79"/>
        <v>Yes</v>
      </c>
      <c r="I323" s="32">
        <f t="shared" ca="1" si="89"/>
        <v>2</v>
      </c>
      <c r="J323" s="32">
        <f t="shared" ca="1" si="80"/>
        <v>0</v>
      </c>
      <c r="K323" s="31">
        <f t="shared" ca="1" si="81"/>
        <v>1</v>
      </c>
      <c r="L323" s="52">
        <f t="shared" ca="1" si="82"/>
        <v>989.64641554352886</v>
      </c>
      <c r="M323" s="51">
        <f t="shared" ca="1" si="76"/>
        <v>0.66144181592660789</v>
      </c>
      <c r="N323" s="51">
        <f t="shared" ca="1" si="90"/>
        <v>990.30785735945551</v>
      </c>
      <c r="O323" s="28" t="str">
        <f t="shared" ca="1" si="77"/>
        <v>No</v>
      </c>
      <c r="P323" s="51">
        <f t="shared" ca="1" si="83"/>
        <v>0</v>
      </c>
      <c r="Q323">
        <f t="shared" ca="1" si="91"/>
        <v>0</v>
      </c>
      <c r="R323">
        <f t="shared" ca="1" si="84"/>
        <v>0</v>
      </c>
      <c r="S323" s="14">
        <f t="shared" ca="1" si="85"/>
        <v>0</v>
      </c>
    </row>
    <row r="324" spans="1:19" x14ac:dyDescent="0.25">
      <c r="A324">
        <v>315</v>
      </c>
      <c r="B324" s="51">
        <f t="shared" ca="1" si="74"/>
        <v>7.3687764016006669</v>
      </c>
      <c r="C324" s="51">
        <f t="shared" ca="1" si="86"/>
        <v>997.01519194512957</v>
      </c>
      <c r="D324" s="11" t="str">
        <f t="shared" ca="1" si="78"/>
        <v>C1</v>
      </c>
      <c r="E324" s="51">
        <f t="shared" ca="1" si="87"/>
        <v>997.01519194512957</v>
      </c>
      <c r="F324" s="51">
        <f t="shared" ca="1" si="75"/>
        <v>0.51539078398711813</v>
      </c>
      <c r="G324" s="51">
        <f t="shared" ca="1" si="88"/>
        <v>997.53058272911665</v>
      </c>
      <c r="H324" s="8" t="str">
        <f t="shared" ca="1" si="79"/>
        <v>No</v>
      </c>
      <c r="I324" s="32">
        <f t="shared" ca="1" si="89"/>
        <v>0</v>
      </c>
      <c r="J324" s="32">
        <f t="shared" ca="1" si="80"/>
        <v>0</v>
      </c>
      <c r="K324" s="31">
        <f t="shared" ca="1" si="81"/>
        <v>0</v>
      </c>
      <c r="L324" s="52">
        <f t="shared" ca="1" si="82"/>
        <v>0</v>
      </c>
      <c r="M324" s="51">
        <f t="shared" ca="1" si="76"/>
        <v>2.1935110904061808</v>
      </c>
      <c r="N324" s="51">
        <f t="shared" ca="1" si="90"/>
        <v>0</v>
      </c>
      <c r="O324" s="28" t="str">
        <f t="shared" ca="1" si="77"/>
        <v>Yes</v>
      </c>
      <c r="P324" s="51">
        <f t="shared" ca="1" si="83"/>
        <v>0</v>
      </c>
      <c r="Q324">
        <f t="shared" ca="1" si="91"/>
        <v>0</v>
      </c>
      <c r="R324">
        <f t="shared" ca="1" si="84"/>
        <v>0</v>
      </c>
      <c r="S324" s="14">
        <f t="shared" ca="1" si="85"/>
        <v>0</v>
      </c>
    </row>
    <row r="325" spans="1:19" x14ac:dyDescent="0.25">
      <c r="A325">
        <v>316</v>
      </c>
      <c r="B325" s="51">
        <f t="shared" ca="1" si="74"/>
        <v>2.6526290540527726</v>
      </c>
      <c r="C325" s="51">
        <f t="shared" ca="1" si="86"/>
        <v>999.66782099918237</v>
      </c>
      <c r="D325" s="11" t="str">
        <f t="shared" ca="1" si="78"/>
        <v>C1</v>
      </c>
      <c r="E325" s="51">
        <f t="shared" ca="1" si="87"/>
        <v>999.66782099918237</v>
      </c>
      <c r="F325" s="51">
        <f t="shared" ca="1" si="75"/>
        <v>2.5437177153815047</v>
      </c>
      <c r="G325" s="51">
        <f t="shared" ca="1" si="88"/>
        <v>1002.2115387145639</v>
      </c>
      <c r="H325" s="8" t="str">
        <f t="shared" ca="1" si="79"/>
        <v>No</v>
      </c>
      <c r="I325" s="32">
        <f t="shared" ca="1" si="89"/>
        <v>0</v>
      </c>
      <c r="J325" s="32">
        <f t="shared" ca="1" si="80"/>
        <v>2</v>
      </c>
      <c r="K325" s="31">
        <f t="shared" ca="1" si="81"/>
        <v>1</v>
      </c>
      <c r="L325" s="52">
        <f t="shared" ca="1" si="82"/>
        <v>0</v>
      </c>
      <c r="M325" s="51">
        <f t="shared" ca="1" si="76"/>
        <v>1.7960267325982089</v>
      </c>
      <c r="N325" s="51">
        <f t="shared" ca="1" si="90"/>
        <v>0</v>
      </c>
      <c r="O325" s="28" t="str">
        <f t="shared" ca="1" si="77"/>
        <v>Yes</v>
      </c>
      <c r="P325" s="51">
        <f t="shared" ca="1" si="83"/>
        <v>0.88414906130049076</v>
      </c>
      <c r="Q325">
        <f t="shared" ca="1" si="91"/>
        <v>0</v>
      </c>
      <c r="R325">
        <f t="shared" ca="1" si="84"/>
        <v>0</v>
      </c>
      <c r="S325" s="14">
        <f t="shared" ca="1" si="85"/>
        <v>0</v>
      </c>
    </row>
    <row r="326" spans="1:19" x14ac:dyDescent="0.25">
      <c r="A326">
        <v>317</v>
      </c>
      <c r="B326" s="51">
        <f t="shared" ca="1" si="74"/>
        <v>1.6595686540809951</v>
      </c>
      <c r="C326" s="51">
        <f t="shared" ca="1" si="86"/>
        <v>1001.3273896532634</v>
      </c>
      <c r="D326" s="11" t="str">
        <f t="shared" ca="1" si="78"/>
        <v>C2</v>
      </c>
      <c r="E326" s="51">
        <f t="shared" ca="1" si="87"/>
        <v>0</v>
      </c>
      <c r="F326" s="51">
        <f t="shared" ca="1" si="75"/>
        <v>0.27925430736894863</v>
      </c>
      <c r="G326" s="51">
        <f t="shared" ca="1" si="88"/>
        <v>0</v>
      </c>
      <c r="H326" s="8" t="str">
        <f t="shared" ca="1" si="79"/>
        <v>Yes</v>
      </c>
      <c r="I326" s="32">
        <f t="shared" ca="1" si="89"/>
        <v>3</v>
      </c>
      <c r="J326" s="32">
        <f t="shared" ca="1" si="80"/>
        <v>0</v>
      </c>
      <c r="K326" s="31">
        <f t="shared" ca="1" si="81"/>
        <v>1.5</v>
      </c>
      <c r="L326" s="52">
        <f t="shared" ca="1" si="82"/>
        <v>1001.3273896532634</v>
      </c>
      <c r="M326" s="51">
        <f t="shared" ca="1" si="76"/>
        <v>3.6258986836814993</v>
      </c>
      <c r="N326" s="51">
        <f t="shared" ca="1" si="90"/>
        <v>1004.9532883369449</v>
      </c>
      <c r="O326" s="28" t="str">
        <f t="shared" ca="1" si="77"/>
        <v>No</v>
      </c>
      <c r="P326" s="51">
        <f t="shared" ca="1" si="83"/>
        <v>3.1480970997456552</v>
      </c>
      <c r="Q326">
        <f t="shared" ca="1" si="91"/>
        <v>0</v>
      </c>
      <c r="R326">
        <f t="shared" ca="1" si="84"/>
        <v>3</v>
      </c>
      <c r="S326" s="14">
        <f t="shared" ca="1" si="85"/>
        <v>1.5</v>
      </c>
    </row>
    <row r="327" spans="1:19" x14ac:dyDescent="0.25">
      <c r="A327">
        <v>318</v>
      </c>
      <c r="B327" s="51">
        <f t="shared" ca="1" si="74"/>
        <v>0.47780158393582378</v>
      </c>
      <c r="C327" s="51">
        <f t="shared" ca="1" si="86"/>
        <v>1001.8051912371992</v>
      </c>
      <c r="D327" s="11" t="str">
        <f t="shared" ca="1" si="78"/>
        <v>C1</v>
      </c>
      <c r="E327" s="51">
        <f t="shared" ca="1" si="87"/>
        <v>1001.8051912371992</v>
      </c>
      <c r="F327" s="51">
        <f t="shared" ca="1" si="75"/>
        <v>3.0930726558023984</v>
      </c>
      <c r="G327" s="51">
        <f t="shared" ca="1" si="88"/>
        <v>1004.8982638930016</v>
      </c>
      <c r="H327" s="8" t="str">
        <f t="shared" ca="1" si="79"/>
        <v>No</v>
      </c>
      <c r="I327" s="32">
        <f t="shared" ca="1" si="89"/>
        <v>0</v>
      </c>
      <c r="J327" s="32">
        <f t="shared" ca="1" si="80"/>
        <v>2</v>
      </c>
      <c r="K327" s="31">
        <f t="shared" ca="1" si="81"/>
        <v>1</v>
      </c>
      <c r="L327" s="52">
        <f t="shared" ca="1" si="82"/>
        <v>0</v>
      </c>
      <c r="M327" s="51">
        <f t="shared" ca="1" si="76"/>
        <v>0.91025271714228506</v>
      </c>
      <c r="N327" s="51">
        <f t="shared" ca="1" si="90"/>
        <v>0</v>
      </c>
      <c r="O327" s="28" t="str">
        <f t="shared" ca="1" si="77"/>
        <v>Yes</v>
      </c>
      <c r="P327" s="51">
        <f t="shared" ca="1" si="83"/>
        <v>2.2130854566032667</v>
      </c>
      <c r="Q327">
        <f t="shared" ca="1" si="91"/>
        <v>4</v>
      </c>
      <c r="R327">
        <f t="shared" ca="1" si="84"/>
        <v>0</v>
      </c>
      <c r="S327" s="14">
        <f t="shared" ca="1" si="85"/>
        <v>2</v>
      </c>
    </row>
    <row r="328" spans="1:19" x14ac:dyDescent="0.25">
      <c r="A328">
        <v>319</v>
      </c>
      <c r="B328" s="51">
        <f t="shared" ca="1" si="74"/>
        <v>0.87998719919918256</v>
      </c>
      <c r="C328" s="51">
        <f t="shared" ca="1" si="86"/>
        <v>1002.6851784363984</v>
      </c>
      <c r="D328" s="11" t="str">
        <f t="shared" ca="1" si="78"/>
        <v>C2</v>
      </c>
      <c r="E328" s="51">
        <f t="shared" ca="1" si="87"/>
        <v>0</v>
      </c>
      <c r="F328" s="51">
        <f t="shared" ca="1" si="75"/>
        <v>0.73737930334820756</v>
      </c>
      <c r="G328" s="51">
        <f t="shared" ca="1" si="88"/>
        <v>0</v>
      </c>
      <c r="H328" s="8" t="str">
        <f t="shared" ca="1" si="79"/>
        <v>Yes</v>
      </c>
      <c r="I328" s="32">
        <f t="shared" ca="1" si="89"/>
        <v>3</v>
      </c>
      <c r="J328" s="32">
        <f t="shared" ca="1" si="80"/>
        <v>0</v>
      </c>
      <c r="K328" s="31">
        <f t="shared" ca="1" si="81"/>
        <v>1.5</v>
      </c>
      <c r="L328" s="52">
        <f t="shared" ca="1" si="82"/>
        <v>1002.6851784363984</v>
      </c>
      <c r="M328" s="51">
        <f t="shared" ca="1" si="76"/>
        <v>2.2049029637138022</v>
      </c>
      <c r="N328" s="51">
        <f t="shared" ca="1" si="90"/>
        <v>1004.8900814001122</v>
      </c>
      <c r="O328" s="28" t="str">
        <f t="shared" ca="1" si="77"/>
        <v>No</v>
      </c>
      <c r="P328" s="51">
        <f t="shared" ca="1" si="83"/>
        <v>1.6702417246137884</v>
      </c>
      <c r="Q328">
        <f t="shared" ca="1" si="91"/>
        <v>0</v>
      </c>
      <c r="R328">
        <f t="shared" ca="1" si="84"/>
        <v>1</v>
      </c>
      <c r="S328" s="14">
        <f t="shared" ca="1" si="85"/>
        <v>0.5</v>
      </c>
    </row>
    <row r="329" spans="1:19" x14ac:dyDescent="0.25">
      <c r="A329">
        <v>320</v>
      </c>
      <c r="B329" s="51">
        <f t="shared" ca="1" si="74"/>
        <v>0.53466123909999208</v>
      </c>
      <c r="C329" s="51">
        <f t="shared" ca="1" si="86"/>
        <v>1003.2198396754984</v>
      </c>
      <c r="D329" s="11" t="str">
        <f t="shared" ca="1" si="78"/>
        <v>C1</v>
      </c>
      <c r="E329" s="51">
        <f t="shared" ca="1" si="87"/>
        <v>1003.2198396754984</v>
      </c>
      <c r="F329" s="51">
        <f t="shared" ca="1" si="75"/>
        <v>2.1469401573300266</v>
      </c>
      <c r="G329" s="51">
        <f t="shared" ca="1" si="88"/>
        <v>1005.3667798328285</v>
      </c>
      <c r="H329" s="8" t="str">
        <f t="shared" ca="1" si="79"/>
        <v>No</v>
      </c>
      <c r="I329" s="32">
        <f t="shared" ca="1" si="89"/>
        <v>0</v>
      </c>
      <c r="J329" s="32">
        <f t="shared" ca="1" si="80"/>
        <v>0</v>
      </c>
      <c r="K329" s="31">
        <f t="shared" ca="1" si="81"/>
        <v>0</v>
      </c>
      <c r="L329" s="52">
        <f t="shared" ca="1" si="82"/>
        <v>0</v>
      </c>
      <c r="M329" s="51">
        <f t="shared" ca="1" si="76"/>
        <v>3.970573286820628</v>
      </c>
      <c r="N329" s="51">
        <f t="shared" ca="1" si="90"/>
        <v>0</v>
      </c>
      <c r="O329" s="28" t="str">
        <f t="shared" ca="1" si="77"/>
        <v>Yes</v>
      </c>
      <c r="P329" s="51">
        <f t="shared" ca="1" si="83"/>
        <v>0</v>
      </c>
      <c r="Q329">
        <f t="shared" ca="1" si="91"/>
        <v>2</v>
      </c>
      <c r="R329">
        <f t="shared" ca="1" si="84"/>
        <v>0</v>
      </c>
      <c r="S329" s="14">
        <f t="shared" ca="1" si="85"/>
        <v>1</v>
      </c>
    </row>
    <row r="330" spans="1:19" x14ac:dyDescent="0.25">
      <c r="A330">
        <v>321</v>
      </c>
      <c r="B330" s="51">
        <f t="shared" ref="B330:B393" ca="1" si="92">-LN(RAND())/$H$3</f>
        <v>2.4400895395693887</v>
      </c>
      <c r="C330" s="51">
        <f t="shared" ca="1" si="86"/>
        <v>1005.6599292150678</v>
      </c>
      <c r="D330" s="11" t="str">
        <f t="shared" ca="1" si="78"/>
        <v>C1</v>
      </c>
      <c r="E330" s="51">
        <f t="shared" ca="1" si="87"/>
        <v>1005.6599292150678</v>
      </c>
      <c r="F330" s="51">
        <f t="shared" ref="F330:F393" ca="1" si="93">-LN(RAND())/$H$5</f>
        <v>3.7682836284449386</v>
      </c>
      <c r="G330" s="51">
        <f t="shared" ca="1" si="88"/>
        <v>1009.4282128435127</v>
      </c>
      <c r="H330" s="8" t="str">
        <f t="shared" ca="1" si="79"/>
        <v>No</v>
      </c>
      <c r="I330" s="32">
        <f t="shared" ca="1" si="89"/>
        <v>0</v>
      </c>
      <c r="J330" s="32">
        <f t="shared" ca="1" si="80"/>
        <v>2</v>
      </c>
      <c r="K330" s="31">
        <f t="shared" ca="1" si="81"/>
        <v>1</v>
      </c>
      <c r="L330" s="52">
        <f t="shared" ca="1" si="82"/>
        <v>0</v>
      </c>
      <c r="M330" s="51">
        <f t="shared" ref="M330:M393" ca="1" si="94">-LN(RAND())/$H$5</f>
        <v>2.399605024389313</v>
      </c>
      <c r="N330" s="51">
        <f t="shared" ca="1" si="90"/>
        <v>0</v>
      </c>
      <c r="O330" s="28" t="str">
        <f t="shared" ref="O330:O393" ca="1" si="95">IF(D330="C2","No","Yes")</f>
        <v>Yes</v>
      </c>
      <c r="P330" s="51">
        <f t="shared" ca="1" si="83"/>
        <v>3.4942765865188221</v>
      </c>
      <c r="Q330">
        <f t="shared" ca="1" si="91"/>
        <v>0</v>
      </c>
      <c r="R330">
        <f t="shared" ca="1" si="84"/>
        <v>0</v>
      </c>
      <c r="S330" s="14">
        <f t="shared" ca="1" si="85"/>
        <v>0</v>
      </c>
    </row>
    <row r="331" spans="1:19" x14ac:dyDescent="0.25">
      <c r="A331">
        <v>322</v>
      </c>
      <c r="B331" s="51">
        <f t="shared" ca="1" si="92"/>
        <v>0.27400704192613989</v>
      </c>
      <c r="C331" s="51">
        <f t="shared" ca="1" si="86"/>
        <v>1005.9339362569939</v>
      </c>
      <c r="D331" s="11" t="str">
        <f t="shared" ref="D331:D394" ca="1" si="96">IF(C331&gt;G330,"C1",IF(C331&gt;N330,"C2"))</f>
        <v>C2</v>
      </c>
      <c r="E331" s="51">
        <f t="shared" ca="1" si="87"/>
        <v>0</v>
      </c>
      <c r="F331" s="51">
        <f t="shared" ca="1" si="93"/>
        <v>1.3813651652901573</v>
      </c>
      <c r="G331" s="51">
        <f t="shared" ca="1" si="88"/>
        <v>0</v>
      </c>
      <c r="H331" s="8" t="str">
        <f t="shared" ref="H331:H394" ca="1" si="97">IF(D331="C1","No","Yes")</f>
        <v>Yes</v>
      </c>
      <c r="I331" s="32">
        <f t="shared" ca="1" si="89"/>
        <v>3</v>
      </c>
      <c r="J331" s="32">
        <f t="shared" ref="J331:J394" ca="1" si="98">IF($G331&lt;=$C332,0,IF($G331&lt;=$C333,1,IF($G331&lt;=$C334,2,IF($G331&lt;=$C335,3,IF($G331&lt;=$C336,4,5)))))</f>
        <v>0</v>
      </c>
      <c r="K331" s="31">
        <f t="shared" ref="K331:K394" ca="1" si="99">AVERAGE(I331:J331)</f>
        <v>1.5</v>
      </c>
      <c r="L331" s="52">
        <f t="shared" ref="L331:L394" ca="1" si="100">IF(D331="C2",C331,0)</f>
        <v>1005.9339362569939</v>
      </c>
      <c r="M331" s="51">
        <f t="shared" ca="1" si="94"/>
        <v>4.0916362295333446</v>
      </c>
      <c r="N331" s="51">
        <f t="shared" ca="1" si="90"/>
        <v>1010.0255724865273</v>
      </c>
      <c r="O331" s="28" t="str">
        <f t="shared" ca="1" si="95"/>
        <v>No</v>
      </c>
      <c r="P331" s="51">
        <f t="shared" ref="P331:P394" ca="1" si="101">IF(D331="C1",IF(G331&lt;C332,0,G331-C332),IF(N331&lt;C332,0,N331-C332))</f>
        <v>3.6442339759130391</v>
      </c>
      <c r="Q331">
        <f t="shared" ca="1" si="91"/>
        <v>0</v>
      </c>
      <c r="R331">
        <f t="shared" ref="R331:R394" ca="1" si="102">IF($N331&lt;=$C332,0,IF($N331&lt;=$C333,1,IF($N331&lt;=$C334,2,IF($N331&lt;=$C335,3,IF($N331&lt;=$C336,4,5)))))</f>
        <v>1</v>
      </c>
      <c r="S331" s="14">
        <f t="shared" ref="S331:S394" ca="1" si="103">AVERAGE(Q331:R331)</f>
        <v>0.5</v>
      </c>
    </row>
    <row r="332" spans="1:19" x14ac:dyDescent="0.25">
      <c r="A332">
        <v>323</v>
      </c>
      <c r="B332" s="51">
        <f t="shared" ca="1" si="92"/>
        <v>0.44740225362033004</v>
      </c>
      <c r="C332" s="51">
        <f t="shared" ref="C332:C395" ca="1" si="104">C331+B332</f>
        <v>1006.3813385106142</v>
      </c>
      <c r="D332" s="11" t="str">
        <f t="shared" ca="1" si="96"/>
        <v>C1</v>
      </c>
      <c r="E332" s="51">
        <f t="shared" ref="E332:E395" ca="1" si="105">IF(D332="C1",C332,0)</f>
        <v>1006.3813385106142</v>
      </c>
      <c r="F332" s="51">
        <f t="shared" ca="1" si="93"/>
        <v>5.422150870331321</v>
      </c>
      <c r="G332" s="51">
        <f t="shared" ref="G332:G395" ca="1" si="106">IF(E332=0,0,F332+E332)</f>
        <v>1011.8034893809455</v>
      </c>
      <c r="H332" s="8" t="str">
        <f t="shared" ca="1" si="97"/>
        <v>No</v>
      </c>
      <c r="I332" s="32">
        <f t="shared" ref="I332:I395" ca="1" si="107">IF(G331&lt;=$C332,0,$J331+1)</f>
        <v>0</v>
      </c>
      <c r="J332" s="32">
        <f t="shared" ca="1" si="98"/>
        <v>1</v>
      </c>
      <c r="K332" s="31">
        <f t="shared" ca="1" si="99"/>
        <v>0.5</v>
      </c>
      <c r="L332" s="52">
        <f t="shared" ca="1" si="100"/>
        <v>0</v>
      </c>
      <c r="M332" s="51">
        <f t="shared" ca="1" si="94"/>
        <v>0.94200418019181409</v>
      </c>
      <c r="N332" s="51">
        <f t="shared" ref="N332:N395" ca="1" si="108">IF(L332=0,0,M332+L332)</f>
        <v>0</v>
      </c>
      <c r="O332" s="28" t="str">
        <f t="shared" ca="1" si="95"/>
        <v>Yes</v>
      </c>
      <c r="P332" s="51">
        <f t="shared" ca="1" si="101"/>
        <v>1.1242762606876795</v>
      </c>
      <c r="Q332">
        <f t="shared" ref="Q332:Q395" ca="1" si="109">IF($N331&lt;=$C332,0,$R331+1)</f>
        <v>2</v>
      </c>
      <c r="R332">
        <f t="shared" ca="1" si="102"/>
        <v>0</v>
      </c>
      <c r="S332" s="14">
        <f t="shared" ca="1" si="103"/>
        <v>1</v>
      </c>
    </row>
    <row r="333" spans="1:19" x14ac:dyDescent="0.25">
      <c r="A333">
        <v>324</v>
      </c>
      <c r="B333" s="51">
        <f t="shared" ca="1" si="92"/>
        <v>4.2978746096435732</v>
      </c>
      <c r="C333" s="51">
        <f t="shared" ca="1" si="104"/>
        <v>1010.6792131202578</v>
      </c>
      <c r="D333" s="11" t="str">
        <f t="shared" ca="1" si="96"/>
        <v>C2</v>
      </c>
      <c r="E333" s="51">
        <f t="shared" ca="1" si="105"/>
        <v>0</v>
      </c>
      <c r="F333" s="51">
        <f t="shared" ca="1" si="93"/>
        <v>8.7753339870709475</v>
      </c>
      <c r="G333" s="51">
        <f t="shared" ca="1" si="106"/>
        <v>0</v>
      </c>
      <c r="H333" s="8" t="str">
        <f t="shared" ca="1" si="97"/>
        <v>Yes</v>
      </c>
      <c r="I333" s="32">
        <f t="shared" ca="1" si="107"/>
        <v>2</v>
      </c>
      <c r="J333" s="32">
        <f t="shared" ca="1" si="98"/>
        <v>0</v>
      </c>
      <c r="K333" s="31">
        <f t="shared" ca="1" si="99"/>
        <v>1</v>
      </c>
      <c r="L333" s="52">
        <f t="shared" ca="1" si="100"/>
        <v>1010.6792131202578</v>
      </c>
      <c r="M333" s="51">
        <f t="shared" ca="1" si="94"/>
        <v>1.6797413581064675</v>
      </c>
      <c r="N333" s="51">
        <f t="shared" ca="1" si="108"/>
        <v>1012.3589544783642</v>
      </c>
      <c r="O333" s="28" t="str">
        <f t="shared" ca="1" si="95"/>
        <v>No</v>
      </c>
      <c r="P333" s="51">
        <f t="shared" ca="1" si="101"/>
        <v>0</v>
      </c>
      <c r="Q333">
        <f t="shared" ca="1" si="109"/>
        <v>0</v>
      </c>
      <c r="R333">
        <f t="shared" ca="1" si="102"/>
        <v>0</v>
      </c>
      <c r="S333" s="14">
        <f t="shared" ca="1" si="103"/>
        <v>0</v>
      </c>
    </row>
    <row r="334" spans="1:19" x14ac:dyDescent="0.25">
      <c r="A334">
        <v>325</v>
      </c>
      <c r="B334" s="51">
        <f t="shared" ca="1" si="92"/>
        <v>2.2919852408499346</v>
      </c>
      <c r="C334" s="51">
        <f t="shared" ca="1" si="104"/>
        <v>1012.9711983611078</v>
      </c>
      <c r="D334" s="11" t="str">
        <f t="shared" ca="1" si="96"/>
        <v>C1</v>
      </c>
      <c r="E334" s="51">
        <f t="shared" ca="1" si="105"/>
        <v>1012.9711983611078</v>
      </c>
      <c r="F334" s="51">
        <f t="shared" ca="1" si="93"/>
        <v>2.697356079535814</v>
      </c>
      <c r="G334" s="51">
        <f t="shared" ca="1" si="106"/>
        <v>1015.6685544406436</v>
      </c>
      <c r="H334" s="8" t="str">
        <f t="shared" ca="1" si="97"/>
        <v>No</v>
      </c>
      <c r="I334" s="32">
        <f t="shared" ca="1" si="107"/>
        <v>0</v>
      </c>
      <c r="J334" s="32">
        <f t="shared" ca="1" si="98"/>
        <v>0</v>
      </c>
      <c r="K334" s="31">
        <f t="shared" ca="1" si="99"/>
        <v>0</v>
      </c>
      <c r="L334" s="52">
        <f t="shared" ca="1" si="100"/>
        <v>0</v>
      </c>
      <c r="M334" s="51">
        <f t="shared" ca="1" si="94"/>
        <v>1.192414326729007</v>
      </c>
      <c r="N334" s="51">
        <f t="shared" ca="1" si="108"/>
        <v>0</v>
      </c>
      <c r="O334" s="28" t="str">
        <f t="shared" ca="1" si="95"/>
        <v>Yes</v>
      </c>
      <c r="P334" s="51">
        <f t="shared" ca="1" si="101"/>
        <v>0</v>
      </c>
      <c r="Q334">
        <f t="shared" ca="1" si="109"/>
        <v>0</v>
      </c>
      <c r="R334">
        <f t="shared" ca="1" si="102"/>
        <v>0</v>
      </c>
      <c r="S334" s="14">
        <f t="shared" ca="1" si="103"/>
        <v>0</v>
      </c>
    </row>
    <row r="335" spans="1:19" x14ac:dyDescent="0.25">
      <c r="A335">
        <v>326</v>
      </c>
      <c r="B335" s="51">
        <f t="shared" ca="1" si="92"/>
        <v>13.77215871860111</v>
      </c>
      <c r="C335" s="51">
        <f t="shared" ca="1" si="104"/>
        <v>1026.7433570797089</v>
      </c>
      <c r="D335" s="11" t="str">
        <f t="shared" ca="1" si="96"/>
        <v>C1</v>
      </c>
      <c r="E335" s="51">
        <f t="shared" ca="1" si="105"/>
        <v>1026.7433570797089</v>
      </c>
      <c r="F335" s="51">
        <f t="shared" ca="1" si="93"/>
        <v>2.0213013092195262</v>
      </c>
      <c r="G335" s="51">
        <f t="shared" ca="1" si="106"/>
        <v>1028.7646583889284</v>
      </c>
      <c r="H335" s="8" t="str">
        <f t="shared" ca="1" si="97"/>
        <v>No</v>
      </c>
      <c r="I335" s="32">
        <f t="shared" ca="1" si="107"/>
        <v>0</v>
      </c>
      <c r="J335" s="32">
        <f t="shared" ca="1" si="98"/>
        <v>0</v>
      </c>
      <c r="K335" s="31">
        <f t="shared" ca="1" si="99"/>
        <v>0</v>
      </c>
      <c r="L335" s="52">
        <f t="shared" ca="1" si="100"/>
        <v>0</v>
      </c>
      <c r="M335" s="51">
        <f t="shared" ca="1" si="94"/>
        <v>0.407113219549044</v>
      </c>
      <c r="N335" s="51">
        <f t="shared" ca="1" si="108"/>
        <v>0</v>
      </c>
      <c r="O335" s="28" t="str">
        <f t="shared" ca="1" si="95"/>
        <v>Yes</v>
      </c>
      <c r="P335" s="51">
        <f t="shared" ca="1" si="101"/>
        <v>0</v>
      </c>
      <c r="Q335">
        <f t="shared" ca="1" si="109"/>
        <v>0</v>
      </c>
      <c r="R335">
        <f t="shared" ca="1" si="102"/>
        <v>0</v>
      </c>
      <c r="S335" s="14">
        <f t="shared" ca="1" si="103"/>
        <v>0</v>
      </c>
    </row>
    <row r="336" spans="1:19" x14ac:dyDescent="0.25">
      <c r="A336">
        <v>327</v>
      </c>
      <c r="B336" s="51">
        <f t="shared" ca="1" si="92"/>
        <v>4.2962781860381414</v>
      </c>
      <c r="C336" s="51">
        <f t="shared" ca="1" si="104"/>
        <v>1031.0396352657469</v>
      </c>
      <c r="D336" s="11" t="str">
        <f t="shared" ca="1" si="96"/>
        <v>C1</v>
      </c>
      <c r="E336" s="51">
        <f t="shared" ca="1" si="105"/>
        <v>1031.0396352657469</v>
      </c>
      <c r="F336" s="51">
        <f t="shared" ca="1" si="93"/>
        <v>1.7320722103702082</v>
      </c>
      <c r="G336" s="51">
        <f t="shared" ca="1" si="106"/>
        <v>1032.7717074761172</v>
      </c>
      <c r="H336" s="8" t="str">
        <f t="shared" ca="1" si="97"/>
        <v>No</v>
      </c>
      <c r="I336" s="32">
        <f t="shared" ca="1" si="107"/>
        <v>0</v>
      </c>
      <c r="J336" s="32">
        <f t="shared" ca="1" si="98"/>
        <v>0</v>
      </c>
      <c r="K336" s="31">
        <f t="shared" ca="1" si="99"/>
        <v>0</v>
      </c>
      <c r="L336" s="52">
        <f t="shared" ca="1" si="100"/>
        <v>0</v>
      </c>
      <c r="M336" s="51">
        <f t="shared" ca="1" si="94"/>
        <v>0.5332616415312782</v>
      </c>
      <c r="N336" s="51">
        <f t="shared" ca="1" si="108"/>
        <v>0</v>
      </c>
      <c r="O336" s="28" t="str">
        <f t="shared" ca="1" si="95"/>
        <v>Yes</v>
      </c>
      <c r="P336" s="51">
        <f t="shared" ca="1" si="101"/>
        <v>0</v>
      </c>
      <c r="Q336">
        <f t="shared" ca="1" si="109"/>
        <v>0</v>
      </c>
      <c r="R336">
        <f t="shared" ca="1" si="102"/>
        <v>0</v>
      </c>
      <c r="S336" s="14">
        <f t="shared" ca="1" si="103"/>
        <v>0</v>
      </c>
    </row>
    <row r="337" spans="1:19" x14ac:dyDescent="0.25">
      <c r="A337">
        <v>328</v>
      </c>
      <c r="B337" s="51">
        <f t="shared" ca="1" si="92"/>
        <v>2.1844310077807241</v>
      </c>
      <c r="C337" s="51">
        <f t="shared" ca="1" si="104"/>
        <v>1033.2240662735276</v>
      </c>
      <c r="D337" s="11" t="str">
        <f t="shared" ca="1" si="96"/>
        <v>C1</v>
      </c>
      <c r="E337" s="51">
        <f t="shared" ca="1" si="105"/>
        <v>1033.2240662735276</v>
      </c>
      <c r="F337" s="51">
        <f t="shared" ca="1" si="93"/>
        <v>3.9043069160377089</v>
      </c>
      <c r="G337" s="51">
        <f t="shared" ca="1" si="106"/>
        <v>1037.1283731895653</v>
      </c>
      <c r="H337" s="8" t="str">
        <f t="shared" ca="1" si="97"/>
        <v>No</v>
      </c>
      <c r="I337" s="32">
        <f t="shared" ca="1" si="107"/>
        <v>0</v>
      </c>
      <c r="J337" s="32">
        <f t="shared" ca="1" si="98"/>
        <v>2</v>
      </c>
      <c r="K337" s="31">
        <f t="shared" ca="1" si="99"/>
        <v>1</v>
      </c>
      <c r="L337" s="52">
        <f t="shared" ca="1" si="100"/>
        <v>0</v>
      </c>
      <c r="M337" s="51">
        <f t="shared" ca="1" si="94"/>
        <v>5.4709059382977649</v>
      </c>
      <c r="N337" s="51">
        <f t="shared" ca="1" si="108"/>
        <v>0</v>
      </c>
      <c r="O337" s="28" t="str">
        <f t="shared" ca="1" si="95"/>
        <v>Yes</v>
      </c>
      <c r="P337" s="51">
        <f t="shared" ca="1" si="101"/>
        <v>1.7505613846142296</v>
      </c>
      <c r="Q337">
        <f t="shared" ca="1" si="109"/>
        <v>0</v>
      </c>
      <c r="R337">
        <f t="shared" ca="1" si="102"/>
        <v>0</v>
      </c>
      <c r="S337" s="14">
        <f t="shared" ca="1" si="103"/>
        <v>0</v>
      </c>
    </row>
    <row r="338" spans="1:19" x14ac:dyDescent="0.25">
      <c r="A338">
        <v>329</v>
      </c>
      <c r="B338" s="51">
        <f t="shared" ca="1" si="92"/>
        <v>2.153745531423545</v>
      </c>
      <c r="C338" s="51">
        <f t="shared" ca="1" si="104"/>
        <v>1035.3778118049511</v>
      </c>
      <c r="D338" s="11" t="str">
        <f t="shared" ca="1" si="96"/>
        <v>C2</v>
      </c>
      <c r="E338" s="51">
        <f t="shared" ca="1" si="105"/>
        <v>0</v>
      </c>
      <c r="F338" s="51">
        <f t="shared" ca="1" si="93"/>
        <v>4.177564335192506</v>
      </c>
      <c r="G338" s="51">
        <f t="shared" ca="1" si="106"/>
        <v>0</v>
      </c>
      <c r="H338" s="8" t="str">
        <f t="shared" ca="1" si="97"/>
        <v>Yes</v>
      </c>
      <c r="I338" s="32">
        <f t="shared" ca="1" si="107"/>
        <v>3</v>
      </c>
      <c r="J338" s="32">
        <f t="shared" ca="1" si="98"/>
        <v>0</v>
      </c>
      <c r="K338" s="31">
        <f t="shared" ca="1" si="99"/>
        <v>1.5</v>
      </c>
      <c r="L338" s="52">
        <f t="shared" ca="1" si="100"/>
        <v>1035.3778118049511</v>
      </c>
      <c r="M338" s="51">
        <f t="shared" ca="1" si="94"/>
        <v>0.40618941493052091</v>
      </c>
      <c r="N338" s="51">
        <f t="shared" ca="1" si="108"/>
        <v>1035.7840012198817</v>
      </c>
      <c r="O338" s="28" t="str">
        <f t="shared" ca="1" si="95"/>
        <v>No</v>
      </c>
      <c r="P338" s="51">
        <f t="shared" ca="1" si="101"/>
        <v>0.3806160097076372</v>
      </c>
      <c r="Q338">
        <f t="shared" ca="1" si="109"/>
        <v>0</v>
      </c>
      <c r="R338">
        <f t="shared" ca="1" si="102"/>
        <v>1</v>
      </c>
      <c r="S338" s="14">
        <f t="shared" ca="1" si="103"/>
        <v>0.5</v>
      </c>
    </row>
    <row r="339" spans="1:19" x14ac:dyDescent="0.25">
      <c r="A339">
        <v>330</v>
      </c>
      <c r="B339" s="51">
        <f t="shared" ca="1" si="92"/>
        <v>2.5573405223085235E-2</v>
      </c>
      <c r="C339" s="51">
        <f t="shared" ca="1" si="104"/>
        <v>1035.4033852101741</v>
      </c>
      <c r="D339" s="11" t="str">
        <f t="shared" ca="1" si="96"/>
        <v>C1</v>
      </c>
      <c r="E339" s="51">
        <f t="shared" ca="1" si="105"/>
        <v>1035.4033852101741</v>
      </c>
      <c r="F339" s="51">
        <f t="shared" ca="1" si="93"/>
        <v>0.36837223479881515</v>
      </c>
      <c r="G339" s="51">
        <f t="shared" ca="1" si="106"/>
        <v>1035.771757444973</v>
      </c>
      <c r="H339" s="8" t="str">
        <f t="shared" ca="1" si="97"/>
        <v>No</v>
      </c>
      <c r="I339" s="32">
        <f t="shared" ca="1" si="107"/>
        <v>0</v>
      </c>
      <c r="J339" s="32">
        <f t="shared" ca="1" si="98"/>
        <v>0</v>
      </c>
      <c r="K339" s="31">
        <f t="shared" ca="1" si="99"/>
        <v>0</v>
      </c>
      <c r="L339" s="52">
        <f t="shared" ca="1" si="100"/>
        <v>0</v>
      </c>
      <c r="M339" s="51">
        <f t="shared" ca="1" si="94"/>
        <v>1.1384216271546035</v>
      </c>
      <c r="N339" s="51">
        <f t="shared" ca="1" si="108"/>
        <v>0</v>
      </c>
      <c r="O339" s="28" t="str">
        <f t="shared" ca="1" si="95"/>
        <v>Yes</v>
      </c>
      <c r="P339" s="51">
        <f t="shared" ca="1" si="101"/>
        <v>0</v>
      </c>
      <c r="Q339">
        <f t="shared" ca="1" si="109"/>
        <v>2</v>
      </c>
      <c r="R339">
        <f t="shared" ca="1" si="102"/>
        <v>0</v>
      </c>
      <c r="S339" s="14">
        <f t="shared" ca="1" si="103"/>
        <v>1</v>
      </c>
    </row>
    <row r="340" spans="1:19" x14ac:dyDescent="0.25">
      <c r="A340">
        <v>331</v>
      </c>
      <c r="B340" s="51">
        <f t="shared" ca="1" si="92"/>
        <v>3.5346926422673715</v>
      </c>
      <c r="C340" s="51">
        <f t="shared" ca="1" si="104"/>
        <v>1038.9380778524414</v>
      </c>
      <c r="D340" s="11" t="str">
        <f t="shared" ca="1" si="96"/>
        <v>C1</v>
      </c>
      <c r="E340" s="51">
        <f t="shared" ca="1" si="105"/>
        <v>1038.9380778524414</v>
      </c>
      <c r="F340" s="51">
        <f t="shared" ca="1" si="93"/>
        <v>4.2830396698811368</v>
      </c>
      <c r="G340" s="51">
        <f t="shared" ca="1" si="106"/>
        <v>1043.2211175223226</v>
      </c>
      <c r="H340" s="8" t="str">
        <f t="shared" ca="1" si="97"/>
        <v>No</v>
      </c>
      <c r="I340" s="32">
        <f t="shared" ca="1" si="107"/>
        <v>0</v>
      </c>
      <c r="J340" s="32">
        <f t="shared" ca="1" si="98"/>
        <v>1</v>
      </c>
      <c r="K340" s="31">
        <f t="shared" ca="1" si="99"/>
        <v>0.5</v>
      </c>
      <c r="L340" s="52">
        <f t="shared" ca="1" si="100"/>
        <v>0</v>
      </c>
      <c r="M340" s="51">
        <f t="shared" ca="1" si="94"/>
        <v>11.59428926588838</v>
      </c>
      <c r="N340" s="51">
        <f t="shared" ca="1" si="108"/>
        <v>0</v>
      </c>
      <c r="O340" s="28" t="str">
        <f t="shared" ca="1" si="95"/>
        <v>Yes</v>
      </c>
      <c r="P340" s="51">
        <f t="shared" ca="1" si="101"/>
        <v>1.3792012822489141</v>
      </c>
      <c r="Q340">
        <f t="shared" ca="1" si="109"/>
        <v>0</v>
      </c>
      <c r="R340">
        <f t="shared" ca="1" si="102"/>
        <v>0</v>
      </c>
      <c r="S340" s="14">
        <f t="shared" ca="1" si="103"/>
        <v>0</v>
      </c>
    </row>
    <row r="341" spans="1:19" x14ac:dyDescent="0.25">
      <c r="A341">
        <v>332</v>
      </c>
      <c r="B341" s="51">
        <f t="shared" ca="1" si="92"/>
        <v>2.9038383876322169</v>
      </c>
      <c r="C341" s="51">
        <f t="shared" ca="1" si="104"/>
        <v>1041.8419162400737</v>
      </c>
      <c r="D341" s="11" t="str">
        <f t="shared" ca="1" si="96"/>
        <v>C2</v>
      </c>
      <c r="E341" s="51">
        <f t="shared" ca="1" si="105"/>
        <v>0</v>
      </c>
      <c r="F341" s="51">
        <f t="shared" ca="1" si="93"/>
        <v>5.832774648161454</v>
      </c>
      <c r="G341" s="51">
        <f t="shared" ca="1" si="106"/>
        <v>0</v>
      </c>
      <c r="H341" s="8" t="str">
        <f t="shared" ca="1" si="97"/>
        <v>Yes</v>
      </c>
      <c r="I341" s="32">
        <f t="shared" ca="1" si="107"/>
        <v>2</v>
      </c>
      <c r="J341" s="32">
        <f t="shared" ca="1" si="98"/>
        <v>0</v>
      </c>
      <c r="K341" s="31">
        <f t="shared" ca="1" si="99"/>
        <v>1</v>
      </c>
      <c r="L341" s="52">
        <f t="shared" ca="1" si="100"/>
        <v>1041.8419162400737</v>
      </c>
      <c r="M341" s="51">
        <f t="shared" ca="1" si="94"/>
        <v>3.3366485741139473</v>
      </c>
      <c r="N341" s="51">
        <f t="shared" ca="1" si="108"/>
        <v>1045.1785648141877</v>
      </c>
      <c r="O341" s="28" t="str">
        <f t="shared" ca="1" si="95"/>
        <v>No</v>
      </c>
      <c r="P341" s="51">
        <f t="shared" ca="1" si="101"/>
        <v>0</v>
      </c>
      <c r="Q341">
        <f t="shared" ca="1" si="109"/>
        <v>0</v>
      </c>
      <c r="R341">
        <f t="shared" ca="1" si="102"/>
        <v>0</v>
      </c>
      <c r="S341" s="14">
        <f t="shared" ca="1" si="103"/>
        <v>0</v>
      </c>
    </row>
    <row r="342" spans="1:19" x14ac:dyDescent="0.25">
      <c r="A342">
        <v>333</v>
      </c>
      <c r="B342" s="51">
        <f t="shared" ca="1" si="92"/>
        <v>4.9122620227797151</v>
      </c>
      <c r="C342" s="51">
        <f t="shared" ca="1" si="104"/>
        <v>1046.7541782628534</v>
      </c>
      <c r="D342" s="11" t="str">
        <f t="shared" ca="1" si="96"/>
        <v>C1</v>
      </c>
      <c r="E342" s="51">
        <f t="shared" ca="1" si="105"/>
        <v>1046.7541782628534</v>
      </c>
      <c r="F342" s="51">
        <f t="shared" ca="1" si="93"/>
        <v>1.8878561974925803</v>
      </c>
      <c r="G342" s="51">
        <f t="shared" ca="1" si="106"/>
        <v>1048.6420344603459</v>
      </c>
      <c r="H342" s="8" t="str">
        <f t="shared" ca="1" si="97"/>
        <v>No</v>
      </c>
      <c r="I342" s="32">
        <f t="shared" ca="1" si="107"/>
        <v>0</v>
      </c>
      <c r="J342" s="32">
        <f t="shared" ca="1" si="98"/>
        <v>2</v>
      </c>
      <c r="K342" s="31">
        <f t="shared" ca="1" si="99"/>
        <v>1</v>
      </c>
      <c r="L342" s="52">
        <f t="shared" ca="1" si="100"/>
        <v>0</v>
      </c>
      <c r="M342" s="51">
        <f t="shared" ca="1" si="94"/>
        <v>0.31345000637431181</v>
      </c>
      <c r="N342" s="51">
        <f t="shared" ca="1" si="108"/>
        <v>0</v>
      </c>
      <c r="O342" s="28" t="str">
        <f t="shared" ca="1" si="95"/>
        <v>Yes</v>
      </c>
      <c r="P342" s="51">
        <f t="shared" ca="1" si="101"/>
        <v>1.5350416693204352</v>
      </c>
      <c r="Q342">
        <f t="shared" ca="1" si="109"/>
        <v>0</v>
      </c>
      <c r="R342">
        <f t="shared" ca="1" si="102"/>
        <v>0</v>
      </c>
      <c r="S342" s="14">
        <f t="shared" ca="1" si="103"/>
        <v>0</v>
      </c>
    </row>
    <row r="343" spans="1:19" x14ac:dyDescent="0.25">
      <c r="A343">
        <v>334</v>
      </c>
      <c r="B343" s="51">
        <f t="shared" ca="1" si="92"/>
        <v>0.35281452817199455</v>
      </c>
      <c r="C343" s="51">
        <f t="shared" ca="1" si="104"/>
        <v>1047.1069927910255</v>
      </c>
      <c r="D343" s="11" t="str">
        <f t="shared" ca="1" si="96"/>
        <v>C2</v>
      </c>
      <c r="E343" s="51">
        <f t="shared" ca="1" si="105"/>
        <v>0</v>
      </c>
      <c r="F343" s="51">
        <f t="shared" ca="1" si="93"/>
        <v>2.1507815606083702</v>
      </c>
      <c r="G343" s="51">
        <f t="shared" ca="1" si="106"/>
        <v>0</v>
      </c>
      <c r="H343" s="8" t="str">
        <f t="shared" ca="1" si="97"/>
        <v>Yes</v>
      </c>
      <c r="I343" s="32">
        <f t="shared" ca="1" si="107"/>
        <v>3</v>
      </c>
      <c r="J343" s="32">
        <f t="shared" ca="1" si="98"/>
        <v>0</v>
      </c>
      <c r="K343" s="31">
        <f t="shared" ca="1" si="99"/>
        <v>1.5</v>
      </c>
      <c r="L343" s="52">
        <f t="shared" ca="1" si="100"/>
        <v>1047.1069927910255</v>
      </c>
      <c r="M343" s="51">
        <f t="shared" ca="1" si="94"/>
        <v>3.6755519950638651</v>
      </c>
      <c r="N343" s="51">
        <f t="shared" ca="1" si="108"/>
        <v>1050.7825447860894</v>
      </c>
      <c r="O343" s="28" t="str">
        <f t="shared" ca="1" si="95"/>
        <v>No</v>
      </c>
      <c r="P343" s="51">
        <f t="shared" ca="1" si="101"/>
        <v>3.2583044243021959</v>
      </c>
      <c r="Q343">
        <f t="shared" ca="1" si="109"/>
        <v>0</v>
      </c>
      <c r="R343">
        <f t="shared" ca="1" si="102"/>
        <v>2</v>
      </c>
      <c r="S343" s="14">
        <f t="shared" ca="1" si="103"/>
        <v>1</v>
      </c>
    </row>
    <row r="344" spans="1:19" x14ac:dyDescent="0.25">
      <c r="A344">
        <v>335</v>
      </c>
      <c r="B344" s="51">
        <f t="shared" ca="1" si="92"/>
        <v>0.41724757076176922</v>
      </c>
      <c r="C344" s="51">
        <f t="shared" ca="1" si="104"/>
        <v>1047.5242403617872</v>
      </c>
      <c r="D344" s="11" t="str">
        <f t="shared" ca="1" si="96"/>
        <v>C1</v>
      </c>
      <c r="E344" s="51">
        <f t="shared" ca="1" si="105"/>
        <v>1047.5242403617872</v>
      </c>
      <c r="F344" s="51">
        <f t="shared" ca="1" si="93"/>
        <v>1.0394381721535078</v>
      </c>
      <c r="G344" s="51">
        <f t="shared" ca="1" si="106"/>
        <v>1048.5636785339407</v>
      </c>
      <c r="H344" s="8" t="str">
        <f t="shared" ca="1" si="97"/>
        <v>No</v>
      </c>
      <c r="I344" s="32">
        <f t="shared" ca="1" si="107"/>
        <v>0</v>
      </c>
      <c r="J344" s="32">
        <f t="shared" ca="1" si="98"/>
        <v>0</v>
      </c>
      <c r="K344" s="31">
        <f t="shared" ca="1" si="99"/>
        <v>0</v>
      </c>
      <c r="L344" s="52">
        <f t="shared" ca="1" si="100"/>
        <v>0</v>
      </c>
      <c r="M344" s="51">
        <f t="shared" ca="1" si="94"/>
        <v>9.862571054562693</v>
      </c>
      <c r="N344" s="51">
        <f t="shared" ca="1" si="108"/>
        <v>0</v>
      </c>
      <c r="O344" s="28" t="str">
        <f t="shared" ca="1" si="95"/>
        <v>Yes</v>
      </c>
      <c r="P344" s="51">
        <f t="shared" ca="1" si="101"/>
        <v>0</v>
      </c>
      <c r="Q344">
        <f t="shared" ca="1" si="109"/>
        <v>3</v>
      </c>
      <c r="R344">
        <f t="shared" ca="1" si="102"/>
        <v>0</v>
      </c>
      <c r="S344" s="14">
        <f t="shared" ca="1" si="103"/>
        <v>1.5</v>
      </c>
    </row>
    <row r="345" spans="1:19" x14ac:dyDescent="0.25">
      <c r="A345">
        <v>336</v>
      </c>
      <c r="B345" s="51">
        <f t="shared" ca="1" si="92"/>
        <v>2.8748234325167181</v>
      </c>
      <c r="C345" s="51">
        <f t="shared" ca="1" si="104"/>
        <v>1050.3990637943039</v>
      </c>
      <c r="D345" s="11" t="str">
        <f t="shared" ca="1" si="96"/>
        <v>C1</v>
      </c>
      <c r="E345" s="51">
        <f t="shared" ca="1" si="105"/>
        <v>1050.3990637943039</v>
      </c>
      <c r="F345" s="51">
        <f t="shared" ca="1" si="93"/>
        <v>5.0938532075612643E-2</v>
      </c>
      <c r="G345" s="51">
        <f t="shared" ca="1" si="106"/>
        <v>1050.4500023263795</v>
      </c>
      <c r="H345" s="8" t="str">
        <f t="shared" ca="1" si="97"/>
        <v>No</v>
      </c>
      <c r="I345" s="32">
        <f t="shared" ca="1" si="107"/>
        <v>0</v>
      </c>
      <c r="J345" s="32">
        <f t="shared" ca="1" si="98"/>
        <v>0</v>
      </c>
      <c r="K345" s="31">
        <f t="shared" ca="1" si="99"/>
        <v>0</v>
      </c>
      <c r="L345" s="52">
        <f t="shared" ca="1" si="100"/>
        <v>0</v>
      </c>
      <c r="M345" s="51">
        <f t="shared" ca="1" si="94"/>
        <v>1.4248644531880379</v>
      </c>
      <c r="N345" s="51">
        <f t="shared" ca="1" si="108"/>
        <v>0</v>
      </c>
      <c r="O345" s="28" t="str">
        <f t="shared" ca="1" si="95"/>
        <v>Yes</v>
      </c>
      <c r="P345" s="51">
        <f t="shared" ca="1" si="101"/>
        <v>0</v>
      </c>
      <c r="Q345">
        <f t="shared" ca="1" si="109"/>
        <v>0</v>
      </c>
      <c r="R345">
        <f t="shared" ca="1" si="102"/>
        <v>0</v>
      </c>
      <c r="S345" s="14">
        <f t="shared" ca="1" si="103"/>
        <v>0</v>
      </c>
    </row>
    <row r="346" spans="1:19" x14ac:dyDescent="0.25">
      <c r="A346">
        <v>337</v>
      </c>
      <c r="B346" s="51">
        <f t="shared" ca="1" si="92"/>
        <v>3.3051718706572419</v>
      </c>
      <c r="C346" s="51">
        <f t="shared" ca="1" si="104"/>
        <v>1053.7042356649611</v>
      </c>
      <c r="D346" s="11" t="str">
        <f t="shared" ca="1" si="96"/>
        <v>C1</v>
      </c>
      <c r="E346" s="51">
        <f t="shared" ca="1" si="105"/>
        <v>1053.7042356649611</v>
      </c>
      <c r="F346" s="51">
        <f t="shared" ca="1" si="93"/>
        <v>0.68330498550112917</v>
      </c>
      <c r="G346" s="51">
        <f t="shared" ca="1" si="106"/>
        <v>1054.3875406504621</v>
      </c>
      <c r="H346" s="8" t="str">
        <f t="shared" ca="1" si="97"/>
        <v>No</v>
      </c>
      <c r="I346" s="32">
        <f t="shared" ca="1" si="107"/>
        <v>0</v>
      </c>
      <c r="J346" s="32">
        <f t="shared" ca="1" si="98"/>
        <v>0</v>
      </c>
      <c r="K346" s="31">
        <f t="shared" ca="1" si="99"/>
        <v>0</v>
      </c>
      <c r="L346" s="52">
        <f t="shared" ca="1" si="100"/>
        <v>0</v>
      </c>
      <c r="M346" s="51">
        <f t="shared" ca="1" si="94"/>
        <v>3.7059583990788756</v>
      </c>
      <c r="N346" s="51">
        <f t="shared" ca="1" si="108"/>
        <v>0</v>
      </c>
      <c r="O346" s="28" t="str">
        <f t="shared" ca="1" si="95"/>
        <v>Yes</v>
      </c>
      <c r="P346" s="51">
        <f t="shared" ca="1" si="101"/>
        <v>0</v>
      </c>
      <c r="Q346">
        <f t="shared" ca="1" si="109"/>
        <v>0</v>
      </c>
      <c r="R346">
        <f t="shared" ca="1" si="102"/>
        <v>0</v>
      </c>
      <c r="S346" s="14">
        <f t="shared" ca="1" si="103"/>
        <v>0</v>
      </c>
    </row>
    <row r="347" spans="1:19" x14ac:dyDescent="0.25">
      <c r="A347">
        <v>338</v>
      </c>
      <c r="B347" s="51">
        <f t="shared" ca="1" si="92"/>
        <v>3.0103731644483926</v>
      </c>
      <c r="C347" s="51">
        <f t="shared" ca="1" si="104"/>
        <v>1056.7146088294094</v>
      </c>
      <c r="D347" s="11" t="str">
        <f t="shared" ca="1" si="96"/>
        <v>C1</v>
      </c>
      <c r="E347" s="51">
        <f t="shared" ca="1" si="105"/>
        <v>1056.7146088294094</v>
      </c>
      <c r="F347" s="51">
        <f t="shared" ca="1" si="93"/>
        <v>2.4108987280347751</v>
      </c>
      <c r="G347" s="51">
        <f t="shared" ca="1" si="106"/>
        <v>1059.1255075574441</v>
      </c>
      <c r="H347" s="8" t="str">
        <f t="shared" ca="1" si="97"/>
        <v>No</v>
      </c>
      <c r="I347" s="32">
        <f t="shared" ca="1" si="107"/>
        <v>0</v>
      </c>
      <c r="J347" s="32">
        <f t="shared" ca="1" si="98"/>
        <v>1</v>
      </c>
      <c r="K347" s="31">
        <f t="shared" ca="1" si="99"/>
        <v>0.5</v>
      </c>
      <c r="L347" s="52">
        <f t="shared" ca="1" si="100"/>
        <v>0</v>
      </c>
      <c r="M347" s="51">
        <f t="shared" ca="1" si="94"/>
        <v>2.1196547598645101</v>
      </c>
      <c r="N347" s="51">
        <f t="shared" ca="1" si="108"/>
        <v>0</v>
      </c>
      <c r="O347" s="28" t="str">
        <f t="shared" ca="1" si="95"/>
        <v>Yes</v>
      </c>
      <c r="P347" s="51">
        <f t="shared" ca="1" si="101"/>
        <v>9.204029947318304E-2</v>
      </c>
      <c r="Q347">
        <f t="shared" ca="1" si="109"/>
        <v>0</v>
      </c>
      <c r="R347">
        <f t="shared" ca="1" si="102"/>
        <v>0</v>
      </c>
      <c r="S347" s="14">
        <f t="shared" ca="1" si="103"/>
        <v>0</v>
      </c>
    </row>
    <row r="348" spans="1:19" x14ac:dyDescent="0.25">
      <c r="A348">
        <v>339</v>
      </c>
      <c r="B348" s="51">
        <f t="shared" ca="1" si="92"/>
        <v>2.3188584285615739</v>
      </c>
      <c r="C348" s="51">
        <f t="shared" ca="1" si="104"/>
        <v>1059.0334672579709</v>
      </c>
      <c r="D348" s="11" t="str">
        <f t="shared" ca="1" si="96"/>
        <v>C2</v>
      </c>
      <c r="E348" s="51">
        <f t="shared" ca="1" si="105"/>
        <v>0</v>
      </c>
      <c r="F348" s="51">
        <f t="shared" ca="1" si="93"/>
        <v>0.73180554915324225</v>
      </c>
      <c r="G348" s="51">
        <f t="shared" ca="1" si="106"/>
        <v>0</v>
      </c>
      <c r="H348" s="8" t="str">
        <f t="shared" ca="1" si="97"/>
        <v>Yes</v>
      </c>
      <c r="I348" s="32">
        <f t="shared" ca="1" si="107"/>
        <v>2</v>
      </c>
      <c r="J348" s="32">
        <f t="shared" ca="1" si="98"/>
        <v>0</v>
      </c>
      <c r="K348" s="31">
        <f t="shared" ca="1" si="99"/>
        <v>1</v>
      </c>
      <c r="L348" s="52">
        <f t="shared" ca="1" si="100"/>
        <v>1059.0334672579709</v>
      </c>
      <c r="M348" s="51">
        <f t="shared" ca="1" si="94"/>
        <v>0.59518012939534659</v>
      </c>
      <c r="N348" s="51">
        <f t="shared" ca="1" si="108"/>
        <v>1059.6286473873663</v>
      </c>
      <c r="O348" s="28" t="str">
        <f t="shared" ca="1" si="95"/>
        <v>No</v>
      </c>
      <c r="P348" s="51">
        <f t="shared" ca="1" si="101"/>
        <v>0</v>
      </c>
      <c r="Q348">
        <f t="shared" ca="1" si="109"/>
        <v>0</v>
      </c>
      <c r="R348">
        <f t="shared" ca="1" si="102"/>
        <v>0</v>
      </c>
      <c r="S348" s="14">
        <f t="shared" ca="1" si="103"/>
        <v>0</v>
      </c>
    </row>
    <row r="349" spans="1:19" x14ac:dyDescent="0.25">
      <c r="A349">
        <v>340</v>
      </c>
      <c r="B349" s="51">
        <f t="shared" ca="1" si="92"/>
        <v>0.90738158334867802</v>
      </c>
      <c r="C349" s="51">
        <f t="shared" ca="1" si="104"/>
        <v>1059.9408488413196</v>
      </c>
      <c r="D349" s="11" t="str">
        <f t="shared" ca="1" si="96"/>
        <v>C1</v>
      </c>
      <c r="E349" s="51">
        <f t="shared" ca="1" si="105"/>
        <v>1059.9408488413196</v>
      </c>
      <c r="F349" s="51">
        <f t="shared" ca="1" si="93"/>
        <v>3.250326714828049</v>
      </c>
      <c r="G349" s="51">
        <f t="shared" ca="1" si="106"/>
        <v>1063.1911755561478</v>
      </c>
      <c r="H349" s="8" t="str">
        <f t="shared" ca="1" si="97"/>
        <v>No</v>
      </c>
      <c r="I349" s="32">
        <f t="shared" ca="1" si="107"/>
        <v>0</v>
      </c>
      <c r="J349" s="32">
        <f t="shared" ca="1" si="98"/>
        <v>0</v>
      </c>
      <c r="K349" s="31">
        <f t="shared" ca="1" si="99"/>
        <v>0</v>
      </c>
      <c r="L349" s="52">
        <f t="shared" ca="1" si="100"/>
        <v>0</v>
      </c>
      <c r="M349" s="51">
        <f t="shared" ca="1" si="94"/>
        <v>2.5071207844700609</v>
      </c>
      <c r="N349" s="51">
        <f t="shared" ca="1" si="108"/>
        <v>0</v>
      </c>
      <c r="O349" s="28" t="str">
        <f t="shared" ca="1" si="95"/>
        <v>Yes</v>
      </c>
      <c r="P349" s="51">
        <f t="shared" ca="1" si="101"/>
        <v>0</v>
      </c>
      <c r="Q349">
        <f t="shared" ca="1" si="109"/>
        <v>0</v>
      </c>
      <c r="R349">
        <f t="shared" ca="1" si="102"/>
        <v>0</v>
      </c>
      <c r="S349" s="14">
        <f t="shared" ca="1" si="103"/>
        <v>0</v>
      </c>
    </row>
    <row r="350" spans="1:19" x14ac:dyDescent="0.25">
      <c r="A350">
        <v>341</v>
      </c>
      <c r="B350" s="51">
        <f t="shared" ca="1" si="92"/>
        <v>4.9737050070947273</v>
      </c>
      <c r="C350" s="51">
        <f t="shared" ca="1" si="104"/>
        <v>1064.9145538484142</v>
      </c>
      <c r="D350" s="11" t="str">
        <f t="shared" ca="1" si="96"/>
        <v>C1</v>
      </c>
      <c r="E350" s="51">
        <f t="shared" ca="1" si="105"/>
        <v>1064.9145538484142</v>
      </c>
      <c r="F350" s="51">
        <f t="shared" ca="1" si="93"/>
        <v>1.4962558188803534</v>
      </c>
      <c r="G350" s="51">
        <f t="shared" ca="1" si="106"/>
        <v>1066.4108096672946</v>
      </c>
      <c r="H350" s="8" t="str">
        <f t="shared" ca="1" si="97"/>
        <v>No</v>
      </c>
      <c r="I350" s="32">
        <f t="shared" ca="1" si="107"/>
        <v>0</v>
      </c>
      <c r="J350" s="32">
        <f t="shared" ca="1" si="98"/>
        <v>1</v>
      </c>
      <c r="K350" s="31">
        <f t="shared" ca="1" si="99"/>
        <v>0.5</v>
      </c>
      <c r="L350" s="52">
        <f t="shared" ca="1" si="100"/>
        <v>0</v>
      </c>
      <c r="M350" s="51">
        <f t="shared" ca="1" si="94"/>
        <v>1.4987938162655867</v>
      </c>
      <c r="N350" s="51">
        <f t="shared" ca="1" si="108"/>
        <v>0</v>
      </c>
      <c r="O350" s="28" t="str">
        <f t="shared" ca="1" si="95"/>
        <v>Yes</v>
      </c>
      <c r="P350" s="51">
        <f t="shared" ca="1" si="101"/>
        <v>1.461235745757449</v>
      </c>
      <c r="Q350">
        <f t="shared" ca="1" si="109"/>
        <v>0</v>
      </c>
      <c r="R350">
        <f t="shared" ca="1" si="102"/>
        <v>0</v>
      </c>
      <c r="S350" s="14">
        <f t="shared" ca="1" si="103"/>
        <v>0</v>
      </c>
    </row>
    <row r="351" spans="1:19" x14ac:dyDescent="0.25">
      <c r="A351">
        <v>342</v>
      </c>
      <c r="B351" s="51">
        <f t="shared" ca="1" si="92"/>
        <v>3.5020073122844976E-2</v>
      </c>
      <c r="C351" s="51">
        <f t="shared" ca="1" si="104"/>
        <v>1064.9495739215372</v>
      </c>
      <c r="D351" s="11" t="str">
        <f t="shared" ca="1" si="96"/>
        <v>C2</v>
      </c>
      <c r="E351" s="51">
        <f t="shared" ca="1" si="105"/>
        <v>0</v>
      </c>
      <c r="F351" s="51">
        <f t="shared" ca="1" si="93"/>
        <v>3.9155765270475649</v>
      </c>
      <c r="G351" s="51">
        <f t="shared" ca="1" si="106"/>
        <v>0</v>
      </c>
      <c r="H351" s="8" t="str">
        <f t="shared" ca="1" si="97"/>
        <v>Yes</v>
      </c>
      <c r="I351" s="32">
        <f t="shared" ca="1" si="107"/>
        <v>2</v>
      </c>
      <c r="J351" s="32">
        <f t="shared" ca="1" si="98"/>
        <v>0</v>
      </c>
      <c r="K351" s="31">
        <f t="shared" ca="1" si="99"/>
        <v>1</v>
      </c>
      <c r="L351" s="52">
        <f t="shared" ca="1" si="100"/>
        <v>1064.9495739215372</v>
      </c>
      <c r="M351" s="51">
        <f t="shared" ca="1" si="94"/>
        <v>0.88382190308483044</v>
      </c>
      <c r="N351" s="51">
        <f t="shared" ca="1" si="108"/>
        <v>1065.8333958246221</v>
      </c>
      <c r="O351" s="28" t="str">
        <f t="shared" ca="1" si="95"/>
        <v>No</v>
      </c>
      <c r="P351" s="51">
        <f t="shared" ca="1" si="101"/>
        <v>0</v>
      </c>
      <c r="Q351">
        <f t="shared" ca="1" si="109"/>
        <v>0</v>
      </c>
      <c r="R351">
        <f t="shared" ca="1" si="102"/>
        <v>0</v>
      </c>
      <c r="S351" s="14">
        <f t="shared" ca="1" si="103"/>
        <v>0</v>
      </c>
    </row>
    <row r="352" spans="1:19" x14ac:dyDescent="0.25">
      <c r="A352">
        <v>343</v>
      </c>
      <c r="B352" s="51">
        <f t="shared" ca="1" si="92"/>
        <v>2.7544440361456606</v>
      </c>
      <c r="C352" s="51">
        <f t="shared" ca="1" si="104"/>
        <v>1067.7040179576829</v>
      </c>
      <c r="D352" s="11" t="str">
        <f t="shared" ca="1" si="96"/>
        <v>C1</v>
      </c>
      <c r="E352" s="51">
        <f t="shared" ca="1" si="105"/>
        <v>1067.7040179576829</v>
      </c>
      <c r="F352" s="51">
        <f t="shared" ca="1" si="93"/>
        <v>1.5418702366527719</v>
      </c>
      <c r="G352" s="51">
        <f t="shared" ca="1" si="106"/>
        <v>1069.2458881943357</v>
      </c>
      <c r="H352" s="8" t="str">
        <f t="shared" ca="1" si="97"/>
        <v>No</v>
      </c>
      <c r="I352" s="32">
        <f t="shared" ca="1" si="107"/>
        <v>0</v>
      </c>
      <c r="J352" s="32">
        <f t="shared" ca="1" si="98"/>
        <v>2</v>
      </c>
      <c r="K352" s="31">
        <f t="shared" ca="1" si="99"/>
        <v>1</v>
      </c>
      <c r="L352" s="52">
        <f t="shared" ca="1" si="100"/>
        <v>0</v>
      </c>
      <c r="M352" s="51">
        <f t="shared" ca="1" si="94"/>
        <v>2.4912656912975075</v>
      </c>
      <c r="N352" s="51">
        <f t="shared" ca="1" si="108"/>
        <v>0</v>
      </c>
      <c r="O352" s="28" t="str">
        <f t="shared" ca="1" si="95"/>
        <v>Yes</v>
      </c>
      <c r="P352" s="51">
        <f t="shared" ca="1" si="101"/>
        <v>1.2483498324904758</v>
      </c>
      <c r="Q352">
        <f t="shared" ca="1" si="109"/>
        <v>0</v>
      </c>
      <c r="R352">
        <f t="shared" ca="1" si="102"/>
        <v>0</v>
      </c>
      <c r="S352" s="14">
        <f t="shared" ca="1" si="103"/>
        <v>0</v>
      </c>
    </row>
    <row r="353" spans="1:19" x14ac:dyDescent="0.25">
      <c r="A353">
        <v>344</v>
      </c>
      <c r="B353" s="51">
        <f t="shared" ca="1" si="92"/>
        <v>0.2935204041624393</v>
      </c>
      <c r="C353" s="51">
        <f t="shared" ca="1" si="104"/>
        <v>1067.9975383618453</v>
      </c>
      <c r="D353" s="11" t="str">
        <f t="shared" ca="1" si="96"/>
        <v>C2</v>
      </c>
      <c r="E353" s="51">
        <f t="shared" ca="1" si="105"/>
        <v>0</v>
      </c>
      <c r="F353" s="51">
        <f t="shared" ca="1" si="93"/>
        <v>7.5975017696995755</v>
      </c>
      <c r="G353" s="51">
        <f t="shared" ca="1" si="106"/>
        <v>0</v>
      </c>
      <c r="H353" s="8" t="str">
        <f t="shared" ca="1" si="97"/>
        <v>Yes</v>
      </c>
      <c r="I353" s="32">
        <f t="shared" ca="1" si="107"/>
        <v>3</v>
      </c>
      <c r="J353" s="32">
        <f t="shared" ca="1" si="98"/>
        <v>0</v>
      </c>
      <c r="K353" s="31">
        <f t="shared" ca="1" si="99"/>
        <v>1.5</v>
      </c>
      <c r="L353" s="52">
        <f t="shared" ca="1" si="100"/>
        <v>1067.9975383618453</v>
      </c>
      <c r="M353" s="51">
        <f t="shared" ca="1" si="94"/>
        <v>1.3234446932439763</v>
      </c>
      <c r="N353" s="51">
        <f t="shared" ca="1" si="108"/>
        <v>1069.3209830550893</v>
      </c>
      <c r="O353" s="28" t="str">
        <f t="shared" ca="1" si="95"/>
        <v>No</v>
      </c>
      <c r="P353" s="51">
        <f t="shared" ca="1" si="101"/>
        <v>0.5064846115101318</v>
      </c>
      <c r="Q353">
        <f t="shared" ca="1" si="109"/>
        <v>0</v>
      </c>
      <c r="R353">
        <f t="shared" ca="1" si="102"/>
        <v>1</v>
      </c>
      <c r="S353" s="14">
        <f t="shared" ca="1" si="103"/>
        <v>0.5</v>
      </c>
    </row>
    <row r="354" spans="1:19" x14ac:dyDescent="0.25">
      <c r="A354">
        <v>345</v>
      </c>
      <c r="B354" s="51">
        <f t="shared" ca="1" si="92"/>
        <v>0.81696008173385803</v>
      </c>
      <c r="C354" s="51">
        <f t="shared" ca="1" si="104"/>
        <v>1068.8144984435792</v>
      </c>
      <c r="D354" s="11" t="str">
        <f t="shared" ca="1" si="96"/>
        <v>C1</v>
      </c>
      <c r="E354" s="51">
        <f t="shared" ca="1" si="105"/>
        <v>1068.8144984435792</v>
      </c>
      <c r="F354" s="51">
        <f t="shared" ca="1" si="93"/>
        <v>5.8801940755104649</v>
      </c>
      <c r="G354" s="51">
        <f t="shared" ca="1" si="106"/>
        <v>1074.6946925190896</v>
      </c>
      <c r="H354" s="8" t="str">
        <f t="shared" ca="1" si="97"/>
        <v>No</v>
      </c>
      <c r="I354" s="32">
        <f t="shared" ca="1" si="107"/>
        <v>0</v>
      </c>
      <c r="J354" s="32">
        <f t="shared" ca="1" si="98"/>
        <v>4</v>
      </c>
      <c r="K354" s="31">
        <f t="shared" ca="1" si="99"/>
        <v>2</v>
      </c>
      <c r="L354" s="52">
        <f t="shared" ca="1" si="100"/>
        <v>0</v>
      </c>
      <c r="M354" s="51">
        <f t="shared" ca="1" si="94"/>
        <v>2.2280190696978068</v>
      </c>
      <c r="N354" s="51">
        <f t="shared" ca="1" si="108"/>
        <v>0</v>
      </c>
      <c r="O354" s="28" t="str">
        <f t="shared" ca="1" si="95"/>
        <v>Yes</v>
      </c>
      <c r="P354" s="51">
        <f t="shared" ca="1" si="101"/>
        <v>5.2456207029811139</v>
      </c>
      <c r="Q354">
        <f t="shared" ca="1" si="109"/>
        <v>2</v>
      </c>
      <c r="R354">
        <f t="shared" ca="1" si="102"/>
        <v>0</v>
      </c>
      <c r="S354" s="14">
        <f t="shared" ca="1" si="103"/>
        <v>1</v>
      </c>
    </row>
    <row r="355" spans="1:19" x14ac:dyDescent="0.25">
      <c r="A355">
        <v>346</v>
      </c>
      <c r="B355" s="51">
        <f t="shared" ca="1" si="92"/>
        <v>0.63457337252941126</v>
      </c>
      <c r="C355" s="51">
        <f t="shared" ca="1" si="104"/>
        <v>1069.4490718161085</v>
      </c>
      <c r="D355" s="11" t="str">
        <f t="shared" ca="1" si="96"/>
        <v>C2</v>
      </c>
      <c r="E355" s="51">
        <f t="shared" ca="1" si="105"/>
        <v>0</v>
      </c>
      <c r="F355" s="51">
        <f t="shared" ca="1" si="93"/>
        <v>1.778523643833692</v>
      </c>
      <c r="G355" s="51">
        <f t="shared" ca="1" si="106"/>
        <v>0</v>
      </c>
      <c r="H355" s="8" t="str">
        <f t="shared" ca="1" si="97"/>
        <v>Yes</v>
      </c>
      <c r="I355" s="32">
        <f t="shared" ca="1" si="107"/>
        <v>5</v>
      </c>
      <c r="J355" s="32">
        <f t="shared" ca="1" si="98"/>
        <v>0</v>
      </c>
      <c r="K355" s="31">
        <f t="shared" ca="1" si="99"/>
        <v>2.5</v>
      </c>
      <c r="L355" s="52">
        <f t="shared" ca="1" si="100"/>
        <v>1069.4490718161085</v>
      </c>
      <c r="M355" s="51">
        <f t="shared" ca="1" si="94"/>
        <v>0.40438290665117338</v>
      </c>
      <c r="N355" s="51">
        <f t="shared" ca="1" si="108"/>
        <v>1069.8534547227596</v>
      </c>
      <c r="O355" s="28" t="str">
        <f t="shared" ca="1" si="95"/>
        <v>No</v>
      </c>
      <c r="P355" s="51">
        <f t="shared" ca="1" si="101"/>
        <v>0</v>
      </c>
      <c r="Q355">
        <f t="shared" ca="1" si="109"/>
        <v>0</v>
      </c>
      <c r="R355">
        <f t="shared" ca="1" si="102"/>
        <v>0</v>
      </c>
      <c r="S355" s="14">
        <f t="shared" ca="1" si="103"/>
        <v>0</v>
      </c>
    </row>
    <row r="356" spans="1:19" x14ac:dyDescent="0.25">
      <c r="A356">
        <v>347</v>
      </c>
      <c r="B356" s="51">
        <f t="shared" ca="1" si="92"/>
        <v>1.1347394396764521</v>
      </c>
      <c r="C356" s="51">
        <f t="shared" ca="1" si="104"/>
        <v>1070.5838112557849</v>
      </c>
      <c r="D356" s="11" t="str">
        <f t="shared" ca="1" si="96"/>
        <v>C1</v>
      </c>
      <c r="E356" s="51">
        <f t="shared" ca="1" si="105"/>
        <v>1070.5838112557849</v>
      </c>
      <c r="F356" s="51">
        <f t="shared" ca="1" si="93"/>
        <v>1.3443081739960789</v>
      </c>
      <c r="G356" s="51">
        <f t="shared" ca="1" si="106"/>
        <v>1071.928119429781</v>
      </c>
      <c r="H356" s="8" t="str">
        <f t="shared" ca="1" si="97"/>
        <v>No</v>
      </c>
      <c r="I356" s="32">
        <f t="shared" ca="1" si="107"/>
        <v>0</v>
      </c>
      <c r="J356" s="32">
        <f t="shared" ca="1" si="98"/>
        <v>0</v>
      </c>
      <c r="K356" s="31">
        <f t="shared" ca="1" si="99"/>
        <v>0</v>
      </c>
      <c r="L356" s="52">
        <f t="shared" ca="1" si="100"/>
        <v>0</v>
      </c>
      <c r="M356" s="51">
        <f t="shared" ca="1" si="94"/>
        <v>1.8024841723509384</v>
      </c>
      <c r="N356" s="51">
        <f t="shared" ca="1" si="108"/>
        <v>0</v>
      </c>
      <c r="O356" s="28" t="str">
        <f t="shared" ca="1" si="95"/>
        <v>Yes</v>
      </c>
      <c r="P356" s="51">
        <f t="shared" ca="1" si="101"/>
        <v>0</v>
      </c>
      <c r="Q356">
        <f t="shared" ca="1" si="109"/>
        <v>0</v>
      </c>
      <c r="R356">
        <f t="shared" ca="1" si="102"/>
        <v>0</v>
      </c>
      <c r="S356" s="14">
        <f t="shared" ca="1" si="103"/>
        <v>0</v>
      </c>
    </row>
    <row r="357" spans="1:19" x14ac:dyDescent="0.25">
      <c r="A357">
        <v>348</v>
      </c>
      <c r="B357" s="51">
        <f t="shared" ca="1" si="92"/>
        <v>3.2903140323327538</v>
      </c>
      <c r="C357" s="51">
        <f t="shared" ca="1" si="104"/>
        <v>1073.8741252881177</v>
      </c>
      <c r="D357" s="11" t="str">
        <f t="shared" ca="1" si="96"/>
        <v>C1</v>
      </c>
      <c r="E357" s="51">
        <f t="shared" ca="1" si="105"/>
        <v>1073.8741252881177</v>
      </c>
      <c r="F357" s="51">
        <f t="shared" ca="1" si="93"/>
        <v>1.8814444057349</v>
      </c>
      <c r="G357" s="51">
        <f t="shared" ca="1" si="106"/>
        <v>1075.7555696938527</v>
      </c>
      <c r="H357" s="8" t="str">
        <f t="shared" ca="1" si="97"/>
        <v>No</v>
      </c>
      <c r="I357" s="32">
        <f t="shared" ca="1" si="107"/>
        <v>0</v>
      </c>
      <c r="J357" s="32">
        <f t="shared" ca="1" si="98"/>
        <v>1</v>
      </c>
      <c r="K357" s="31">
        <f t="shared" ca="1" si="99"/>
        <v>0.5</v>
      </c>
      <c r="L357" s="52">
        <f t="shared" ca="1" si="100"/>
        <v>0</v>
      </c>
      <c r="M357" s="51">
        <f t="shared" ca="1" si="94"/>
        <v>11.928198248514676</v>
      </c>
      <c r="N357" s="51">
        <f t="shared" ca="1" si="108"/>
        <v>0</v>
      </c>
      <c r="O357" s="28" t="str">
        <f t="shared" ca="1" si="95"/>
        <v>Yes</v>
      </c>
      <c r="P357" s="51">
        <f t="shared" ca="1" si="101"/>
        <v>1.1902690252723005</v>
      </c>
      <c r="Q357">
        <f t="shared" ca="1" si="109"/>
        <v>0</v>
      </c>
      <c r="R357">
        <f t="shared" ca="1" si="102"/>
        <v>0</v>
      </c>
      <c r="S357" s="14">
        <f t="shared" ca="1" si="103"/>
        <v>0</v>
      </c>
    </row>
    <row r="358" spans="1:19" x14ac:dyDescent="0.25">
      <c r="A358">
        <v>349</v>
      </c>
      <c r="B358" s="51">
        <f t="shared" ca="1" si="92"/>
        <v>0.69117538046261029</v>
      </c>
      <c r="C358" s="51">
        <f t="shared" ca="1" si="104"/>
        <v>1074.5653006685804</v>
      </c>
      <c r="D358" s="11" t="str">
        <f t="shared" ca="1" si="96"/>
        <v>C2</v>
      </c>
      <c r="E358" s="51">
        <f t="shared" ca="1" si="105"/>
        <v>0</v>
      </c>
      <c r="F358" s="51">
        <f t="shared" ca="1" si="93"/>
        <v>1.4538213329041951</v>
      </c>
      <c r="G358" s="51">
        <f t="shared" ca="1" si="106"/>
        <v>0</v>
      </c>
      <c r="H358" s="8" t="str">
        <f t="shared" ca="1" si="97"/>
        <v>Yes</v>
      </c>
      <c r="I358" s="32">
        <f t="shared" ca="1" si="107"/>
        <v>2</v>
      </c>
      <c r="J358" s="32">
        <f t="shared" ca="1" si="98"/>
        <v>0</v>
      </c>
      <c r="K358" s="31">
        <f t="shared" ca="1" si="99"/>
        <v>1</v>
      </c>
      <c r="L358" s="52">
        <f t="shared" ca="1" si="100"/>
        <v>1074.5653006685804</v>
      </c>
      <c r="M358" s="51">
        <f t="shared" ca="1" si="94"/>
        <v>13.056454673791267</v>
      </c>
      <c r="N358" s="51">
        <f t="shared" ca="1" si="108"/>
        <v>1087.6217553423717</v>
      </c>
      <c r="O358" s="28" t="str">
        <f t="shared" ca="1" si="95"/>
        <v>No</v>
      </c>
      <c r="P358" s="51">
        <f t="shared" ca="1" si="101"/>
        <v>11.722614111957682</v>
      </c>
      <c r="Q358">
        <f t="shared" ca="1" si="109"/>
        <v>0</v>
      </c>
      <c r="R358">
        <f t="shared" ca="1" si="102"/>
        <v>4</v>
      </c>
      <c r="S358" s="14">
        <f t="shared" ca="1" si="103"/>
        <v>2</v>
      </c>
    </row>
    <row r="359" spans="1:19" x14ac:dyDescent="0.25">
      <c r="A359">
        <v>350</v>
      </c>
      <c r="B359" s="51">
        <f t="shared" ca="1" si="92"/>
        <v>1.3338405618336115</v>
      </c>
      <c r="C359" s="51">
        <f t="shared" ca="1" si="104"/>
        <v>1075.899141230414</v>
      </c>
      <c r="D359" s="11" t="str">
        <f t="shared" ca="1" si="96"/>
        <v>C1</v>
      </c>
      <c r="E359" s="51">
        <f t="shared" ca="1" si="105"/>
        <v>1075.899141230414</v>
      </c>
      <c r="F359" s="51">
        <f t="shared" ca="1" si="93"/>
        <v>0.61820093598222281</v>
      </c>
      <c r="G359" s="51">
        <f t="shared" ca="1" si="106"/>
        <v>1076.5173421663962</v>
      </c>
      <c r="H359" s="8" t="str">
        <f t="shared" ca="1" si="97"/>
        <v>No</v>
      </c>
      <c r="I359" s="32">
        <f t="shared" ca="1" si="107"/>
        <v>0</v>
      </c>
      <c r="J359" s="32">
        <f t="shared" ca="1" si="98"/>
        <v>0</v>
      </c>
      <c r="K359" s="31">
        <f t="shared" ca="1" si="99"/>
        <v>0</v>
      </c>
      <c r="L359" s="52">
        <f t="shared" ca="1" si="100"/>
        <v>0</v>
      </c>
      <c r="M359" s="51">
        <f t="shared" ca="1" si="94"/>
        <v>6.2727671622416459</v>
      </c>
      <c r="N359" s="51">
        <f t="shared" ca="1" si="108"/>
        <v>0</v>
      </c>
      <c r="O359" s="28" t="str">
        <f t="shared" ca="1" si="95"/>
        <v>Yes</v>
      </c>
      <c r="P359" s="51">
        <f t="shared" ca="1" si="101"/>
        <v>0</v>
      </c>
      <c r="Q359">
        <f t="shared" ca="1" si="109"/>
        <v>5</v>
      </c>
      <c r="R359">
        <f t="shared" ca="1" si="102"/>
        <v>0</v>
      </c>
      <c r="S359" s="14">
        <f t="shared" ca="1" si="103"/>
        <v>2.5</v>
      </c>
    </row>
    <row r="360" spans="1:19" x14ac:dyDescent="0.25">
      <c r="A360">
        <v>351</v>
      </c>
      <c r="B360" s="51">
        <f t="shared" ca="1" si="92"/>
        <v>7.7410062890838232</v>
      </c>
      <c r="C360" s="51">
        <f t="shared" ca="1" si="104"/>
        <v>1083.6401475194978</v>
      </c>
      <c r="D360" s="11" t="str">
        <f t="shared" ca="1" si="96"/>
        <v>C1</v>
      </c>
      <c r="E360" s="51">
        <f t="shared" ca="1" si="105"/>
        <v>1083.6401475194978</v>
      </c>
      <c r="F360" s="51">
        <f t="shared" ca="1" si="93"/>
        <v>0.55835651344470938</v>
      </c>
      <c r="G360" s="51">
        <f t="shared" ca="1" si="106"/>
        <v>1084.1985040329425</v>
      </c>
      <c r="H360" s="8" t="str">
        <f t="shared" ca="1" si="97"/>
        <v>No</v>
      </c>
      <c r="I360" s="32">
        <f t="shared" ca="1" si="107"/>
        <v>0</v>
      </c>
      <c r="J360" s="32">
        <f t="shared" ca="1" si="98"/>
        <v>1</v>
      </c>
      <c r="K360" s="31">
        <f t="shared" ca="1" si="99"/>
        <v>0.5</v>
      </c>
      <c r="L360" s="52">
        <f t="shared" ca="1" si="100"/>
        <v>0</v>
      </c>
      <c r="M360" s="51">
        <f t="shared" ca="1" si="94"/>
        <v>5.4821426758548402</v>
      </c>
      <c r="N360" s="51">
        <f t="shared" ca="1" si="108"/>
        <v>0</v>
      </c>
      <c r="O360" s="28" t="str">
        <f t="shared" ca="1" si="95"/>
        <v>Yes</v>
      </c>
      <c r="P360" s="51">
        <f t="shared" ca="1" si="101"/>
        <v>0.27922614357180464</v>
      </c>
      <c r="Q360">
        <f t="shared" ca="1" si="109"/>
        <v>0</v>
      </c>
      <c r="R360">
        <f t="shared" ca="1" si="102"/>
        <v>0</v>
      </c>
      <c r="S360" s="14">
        <f t="shared" ca="1" si="103"/>
        <v>0</v>
      </c>
    </row>
    <row r="361" spans="1:19" x14ac:dyDescent="0.25">
      <c r="A361">
        <v>352</v>
      </c>
      <c r="B361" s="51">
        <f t="shared" ca="1" si="92"/>
        <v>0.27913036987286027</v>
      </c>
      <c r="C361" s="51">
        <f t="shared" ca="1" si="104"/>
        <v>1083.9192778893707</v>
      </c>
      <c r="D361" s="11" t="str">
        <f t="shared" ca="1" si="96"/>
        <v>C2</v>
      </c>
      <c r="E361" s="51">
        <f t="shared" ca="1" si="105"/>
        <v>0</v>
      </c>
      <c r="F361" s="51">
        <f t="shared" ca="1" si="93"/>
        <v>0.60438427176079168</v>
      </c>
      <c r="G361" s="51">
        <f t="shared" ca="1" si="106"/>
        <v>0</v>
      </c>
      <c r="H361" s="8" t="str">
        <f t="shared" ca="1" si="97"/>
        <v>Yes</v>
      </c>
      <c r="I361" s="32">
        <f t="shared" ca="1" si="107"/>
        <v>2</v>
      </c>
      <c r="J361" s="32">
        <f t="shared" ca="1" si="98"/>
        <v>0</v>
      </c>
      <c r="K361" s="31">
        <f t="shared" ca="1" si="99"/>
        <v>1</v>
      </c>
      <c r="L361" s="52">
        <f t="shared" ca="1" si="100"/>
        <v>1083.9192778893707</v>
      </c>
      <c r="M361" s="51">
        <f t="shared" ca="1" si="94"/>
        <v>1.1596982090757975</v>
      </c>
      <c r="N361" s="51">
        <f t="shared" ca="1" si="108"/>
        <v>1085.0789760984464</v>
      </c>
      <c r="O361" s="28" t="str">
        <f t="shared" ca="1" si="95"/>
        <v>No</v>
      </c>
      <c r="P361" s="51">
        <f t="shared" ca="1" si="101"/>
        <v>7.8984760190678571E-2</v>
      </c>
      <c r="Q361">
        <f t="shared" ca="1" si="109"/>
        <v>0</v>
      </c>
      <c r="R361">
        <f t="shared" ca="1" si="102"/>
        <v>1</v>
      </c>
      <c r="S361" s="14">
        <f t="shared" ca="1" si="103"/>
        <v>0.5</v>
      </c>
    </row>
    <row r="362" spans="1:19" x14ac:dyDescent="0.25">
      <c r="A362">
        <v>353</v>
      </c>
      <c r="B362" s="51">
        <f t="shared" ca="1" si="92"/>
        <v>1.0807134488849786</v>
      </c>
      <c r="C362" s="51">
        <f t="shared" ca="1" si="104"/>
        <v>1084.9999913382558</v>
      </c>
      <c r="D362" s="11" t="str">
        <f t="shared" ca="1" si="96"/>
        <v>C1</v>
      </c>
      <c r="E362" s="51">
        <f t="shared" ca="1" si="105"/>
        <v>1084.9999913382558</v>
      </c>
      <c r="F362" s="51">
        <f t="shared" ca="1" si="93"/>
        <v>0.46104095383392774</v>
      </c>
      <c r="G362" s="51">
        <f t="shared" ca="1" si="106"/>
        <v>1085.4610322920896</v>
      </c>
      <c r="H362" s="8" t="str">
        <f t="shared" ca="1" si="97"/>
        <v>No</v>
      </c>
      <c r="I362" s="32">
        <f t="shared" ca="1" si="107"/>
        <v>0</v>
      </c>
      <c r="J362" s="32">
        <f t="shared" ca="1" si="98"/>
        <v>0</v>
      </c>
      <c r="K362" s="31">
        <f t="shared" ca="1" si="99"/>
        <v>0</v>
      </c>
      <c r="L362" s="52">
        <f t="shared" ca="1" si="100"/>
        <v>0</v>
      </c>
      <c r="M362" s="51">
        <f t="shared" ca="1" si="94"/>
        <v>2.1952954174286643</v>
      </c>
      <c r="N362" s="51">
        <f t="shared" ca="1" si="108"/>
        <v>0</v>
      </c>
      <c r="O362" s="28" t="str">
        <f t="shared" ca="1" si="95"/>
        <v>Yes</v>
      </c>
      <c r="P362" s="51">
        <f t="shared" ca="1" si="101"/>
        <v>0</v>
      </c>
      <c r="Q362">
        <f t="shared" ca="1" si="109"/>
        <v>2</v>
      </c>
      <c r="R362">
        <f t="shared" ca="1" si="102"/>
        <v>0</v>
      </c>
      <c r="S362" s="14">
        <f t="shared" ca="1" si="103"/>
        <v>1</v>
      </c>
    </row>
    <row r="363" spans="1:19" x14ac:dyDescent="0.25">
      <c r="A363">
        <v>354</v>
      </c>
      <c r="B363" s="51">
        <f t="shared" ca="1" si="92"/>
        <v>8.816146992975316</v>
      </c>
      <c r="C363" s="51">
        <f t="shared" ca="1" si="104"/>
        <v>1093.8161383312311</v>
      </c>
      <c r="D363" s="11" t="str">
        <f t="shared" ca="1" si="96"/>
        <v>C1</v>
      </c>
      <c r="E363" s="51">
        <f t="shared" ca="1" si="105"/>
        <v>1093.8161383312311</v>
      </c>
      <c r="F363" s="51">
        <f t="shared" ca="1" si="93"/>
        <v>6.427069775801419</v>
      </c>
      <c r="G363" s="51">
        <f t="shared" ca="1" si="106"/>
        <v>1100.2432081070324</v>
      </c>
      <c r="H363" s="8" t="str">
        <f t="shared" ca="1" si="97"/>
        <v>No</v>
      </c>
      <c r="I363" s="32">
        <f t="shared" ca="1" si="107"/>
        <v>0</v>
      </c>
      <c r="J363" s="32">
        <f t="shared" ca="1" si="98"/>
        <v>5</v>
      </c>
      <c r="K363" s="31">
        <f t="shared" ca="1" si="99"/>
        <v>2.5</v>
      </c>
      <c r="L363" s="52">
        <f t="shared" ca="1" si="100"/>
        <v>0</v>
      </c>
      <c r="M363" s="51">
        <f t="shared" ca="1" si="94"/>
        <v>5.6343299562696787</v>
      </c>
      <c r="N363" s="51">
        <f t="shared" ca="1" si="108"/>
        <v>0</v>
      </c>
      <c r="O363" s="28" t="str">
        <f t="shared" ca="1" si="95"/>
        <v>Yes</v>
      </c>
      <c r="P363" s="51">
        <f t="shared" ca="1" si="101"/>
        <v>4.0025334013953398</v>
      </c>
      <c r="Q363">
        <f t="shared" ca="1" si="109"/>
        <v>0</v>
      </c>
      <c r="R363">
        <f t="shared" ca="1" si="102"/>
        <v>0</v>
      </c>
      <c r="S363" s="14">
        <f t="shared" ca="1" si="103"/>
        <v>0</v>
      </c>
    </row>
    <row r="364" spans="1:19" x14ac:dyDescent="0.25">
      <c r="A364">
        <v>355</v>
      </c>
      <c r="B364" s="51">
        <f t="shared" ca="1" si="92"/>
        <v>2.4245363744059185</v>
      </c>
      <c r="C364" s="51">
        <f t="shared" ca="1" si="104"/>
        <v>1096.240674705637</v>
      </c>
      <c r="D364" s="11" t="str">
        <f t="shared" ca="1" si="96"/>
        <v>C2</v>
      </c>
      <c r="E364" s="51">
        <f t="shared" ca="1" si="105"/>
        <v>0</v>
      </c>
      <c r="F364" s="51">
        <f t="shared" ca="1" si="93"/>
        <v>2.3966077394617957</v>
      </c>
      <c r="G364" s="51">
        <f t="shared" ca="1" si="106"/>
        <v>0</v>
      </c>
      <c r="H364" s="8" t="str">
        <f t="shared" ca="1" si="97"/>
        <v>Yes</v>
      </c>
      <c r="I364" s="32">
        <f t="shared" ca="1" si="107"/>
        <v>6</v>
      </c>
      <c r="J364" s="32">
        <f t="shared" ca="1" si="98"/>
        <v>0</v>
      </c>
      <c r="K364" s="31">
        <f t="shared" ca="1" si="99"/>
        <v>3</v>
      </c>
      <c r="L364" s="52">
        <f t="shared" ca="1" si="100"/>
        <v>1096.240674705637</v>
      </c>
      <c r="M364" s="51">
        <f t="shared" ca="1" si="94"/>
        <v>2.5009007096780027</v>
      </c>
      <c r="N364" s="51">
        <f t="shared" ca="1" si="108"/>
        <v>1098.7415754153151</v>
      </c>
      <c r="O364" s="28" t="str">
        <f t="shared" ca="1" si="95"/>
        <v>No</v>
      </c>
      <c r="P364" s="51">
        <f t="shared" ca="1" si="101"/>
        <v>1.9266432466413335</v>
      </c>
      <c r="Q364">
        <f t="shared" ca="1" si="109"/>
        <v>0</v>
      </c>
      <c r="R364">
        <f t="shared" ca="1" si="102"/>
        <v>2</v>
      </c>
      <c r="S364" s="14">
        <f t="shared" ca="1" si="103"/>
        <v>1</v>
      </c>
    </row>
    <row r="365" spans="1:19" x14ac:dyDescent="0.25">
      <c r="A365">
        <v>356</v>
      </c>
      <c r="B365" s="51">
        <f t="shared" ca="1" si="92"/>
        <v>0.57425746303672132</v>
      </c>
      <c r="C365" s="51">
        <f t="shared" ca="1" si="104"/>
        <v>1096.8149321686737</v>
      </c>
      <c r="D365" s="11" t="str">
        <f t="shared" ca="1" si="96"/>
        <v>C1</v>
      </c>
      <c r="E365" s="51">
        <f t="shared" ca="1" si="105"/>
        <v>1096.8149321686737</v>
      </c>
      <c r="F365" s="51">
        <f t="shared" ca="1" si="93"/>
        <v>8.9945808608919577</v>
      </c>
      <c r="G365" s="51">
        <f t="shared" ca="1" si="106"/>
        <v>1105.8095130295658</v>
      </c>
      <c r="H365" s="8" t="str">
        <f t="shared" ca="1" si="97"/>
        <v>No</v>
      </c>
      <c r="I365" s="32">
        <f t="shared" ca="1" si="107"/>
        <v>0</v>
      </c>
      <c r="J365" s="32">
        <f t="shared" ca="1" si="98"/>
        <v>4</v>
      </c>
      <c r="K365" s="31">
        <f t="shared" ca="1" si="99"/>
        <v>2</v>
      </c>
      <c r="L365" s="52">
        <f t="shared" ca="1" si="100"/>
        <v>0</v>
      </c>
      <c r="M365" s="51">
        <f t="shared" ca="1" si="94"/>
        <v>1.6764230711848809</v>
      </c>
      <c r="N365" s="51">
        <f t="shared" ca="1" si="108"/>
        <v>0</v>
      </c>
      <c r="O365" s="28" t="str">
        <f t="shared" ca="1" si="95"/>
        <v>Yes</v>
      </c>
      <c r="P365" s="51">
        <f t="shared" ca="1" si="101"/>
        <v>8.8324693697331895</v>
      </c>
      <c r="Q365">
        <f t="shared" ca="1" si="109"/>
        <v>3</v>
      </c>
      <c r="R365">
        <f t="shared" ca="1" si="102"/>
        <v>0</v>
      </c>
      <c r="S365" s="14">
        <f t="shared" ca="1" si="103"/>
        <v>1.5</v>
      </c>
    </row>
    <row r="366" spans="1:19" x14ac:dyDescent="0.25">
      <c r="A366">
        <v>357</v>
      </c>
      <c r="B366" s="51">
        <f t="shared" ca="1" si="92"/>
        <v>0.16211149115892035</v>
      </c>
      <c r="C366" s="51">
        <f t="shared" ca="1" si="104"/>
        <v>1096.9770436598326</v>
      </c>
      <c r="D366" s="11" t="str">
        <f t="shared" ca="1" si="96"/>
        <v>C2</v>
      </c>
      <c r="E366" s="51">
        <f t="shared" ca="1" si="105"/>
        <v>0</v>
      </c>
      <c r="F366" s="51">
        <f t="shared" ca="1" si="93"/>
        <v>0.38913879177694011</v>
      </c>
      <c r="G366" s="51">
        <f t="shared" ca="1" si="106"/>
        <v>0</v>
      </c>
      <c r="H366" s="8" t="str">
        <f t="shared" ca="1" si="97"/>
        <v>Yes</v>
      </c>
      <c r="I366" s="32">
        <f t="shared" ca="1" si="107"/>
        <v>5</v>
      </c>
      <c r="J366" s="32">
        <f t="shared" ca="1" si="98"/>
        <v>0</v>
      </c>
      <c r="K366" s="31">
        <f t="shared" ca="1" si="99"/>
        <v>2.5</v>
      </c>
      <c r="L366" s="52">
        <f t="shared" ca="1" si="100"/>
        <v>1096.9770436598326</v>
      </c>
      <c r="M366" s="51">
        <f t="shared" ca="1" si="94"/>
        <v>4.0056748267522355</v>
      </c>
      <c r="N366" s="51">
        <f t="shared" ca="1" si="108"/>
        <v>1100.9827184865849</v>
      </c>
      <c r="O366" s="28" t="str">
        <f t="shared" ca="1" si="95"/>
        <v>No</v>
      </c>
      <c r="P366" s="51">
        <f t="shared" ca="1" si="101"/>
        <v>1.9471479366213771</v>
      </c>
      <c r="Q366">
        <f t="shared" ca="1" si="109"/>
        <v>0</v>
      </c>
      <c r="R366">
        <f t="shared" ca="1" si="102"/>
        <v>2</v>
      </c>
      <c r="S366" s="14">
        <f t="shared" ca="1" si="103"/>
        <v>1</v>
      </c>
    </row>
    <row r="367" spans="1:19" x14ac:dyDescent="0.25">
      <c r="A367">
        <v>358</v>
      </c>
      <c r="B367" s="51">
        <f t="shared" ca="1" si="92"/>
        <v>2.058526890131017</v>
      </c>
      <c r="C367" s="51">
        <f t="shared" ca="1" si="104"/>
        <v>1099.0355705499635</v>
      </c>
      <c r="D367" s="11" t="str">
        <f t="shared" ca="1" si="96"/>
        <v>C1</v>
      </c>
      <c r="E367" s="51">
        <f t="shared" ca="1" si="105"/>
        <v>1099.0355705499635</v>
      </c>
      <c r="F367" s="51">
        <f t="shared" ca="1" si="93"/>
        <v>11.860947918301612</v>
      </c>
      <c r="G367" s="51">
        <f t="shared" ca="1" si="106"/>
        <v>1110.8965184682652</v>
      </c>
      <c r="H367" s="8" t="str">
        <f t="shared" ca="1" si="97"/>
        <v>No</v>
      </c>
      <c r="I367" s="32">
        <f t="shared" ca="1" si="107"/>
        <v>0</v>
      </c>
      <c r="J367" s="32">
        <f t="shared" ca="1" si="98"/>
        <v>2</v>
      </c>
      <c r="K367" s="31">
        <f t="shared" ca="1" si="99"/>
        <v>1</v>
      </c>
      <c r="L367" s="52">
        <f t="shared" ca="1" si="100"/>
        <v>0</v>
      </c>
      <c r="M367" s="51">
        <f t="shared" ca="1" si="94"/>
        <v>0.64821426606264743</v>
      </c>
      <c r="N367" s="51">
        <f t="shared" ca="1" si="108"/>
        <v>0</v>
      </c>
      <c r="O367" s="28" t="str">
        <f t="shared" ca="1" si="95"/>
        <v>Yes</v>
      </c>
      <c r="P367" s="51">
        <f t="shared" ca="1" si="101"/>
        <v>11.410330664194817</v>
      </c>
      <c r="Q367">
        <f t="shared" ca="1" si="109"/>
        <v>3</v>
      </c>
      <c r="R367">
        <f t="shared" ca="1" si="102"/>
        <v>0</v>
      </c>
      <c r="S367" s="14">
        <f t="shared" ca="1" si="103"/>
        <v>1.5</v>
      </c>
    </row>
    <row r="368" spans="1:19" x14ac:dyDescent="0.25">
      <c r="A368">
        <v>359</v>
      </c>
      <c r="B368" s="51">
        <f t="shared" ca="1" si="92"/>
        <v>0.45061725410693304</v>
      </c>
      <c r="C368" s="51">
        <f t="shared" ca="1" si="104"/>
        <v>1099.4861878040704</v>
      </c>
      <c r="D368" s="11" t="str">
        <f t="shared" ca="1" si="96"/>
        <v>C2</v>
      </c>
      <c r="E368" s="51">
        <f t="shared" ca="1" si="105"/>
        <v>0</v>
      </c>
      <c r="F368" s="51">
        <f t="shared" ca="1" si="93"/>
        <v>1.4933179991630359</v>
      </c>
      <c r="G368" s="51">
        <f t="shared" ca="1" si="106"/>
        <v>0</v>
      </c>
      <c r="H368" s="8" t="str">
        <f t="shared" ca="1" si="97"/>
        <v>Yes</v>
      </c>
      <c r="I368" s="32">
        <f t="shared" ca="1" si="107"/>
        <v>3</v>
      </c>
      <c r="J368" s="32">
        <f t="shared" ca="1" si="98"/>
        <v>0</v>
      </c>
      <c r="K368" s="31">
        <f t="shared" ca="1" si="99"/>
        <v>1.5</v>
      </c>
      <c r="L368" s="52">
        <f t="shared" ca="1" si="100"/>
        <v>1099.4861878040704</v>
      </c>
      <c r="M368" s="51">
        <f t="shared" ca="1" si="94"/>
        <v>1.3983142864698486</v>
      </c>
      <c r="N368" s="51">
        <f t="shared" ca="1" si="108"/>
        <v>1100.8845020905403</v>
      </c>
      <c r="O368" s="28" t="str">
        <f t="shared" ca="1" si="95"/>
        <v>No</v>
      </c>
      <c r="P368" s="51">
        <f t="shared" ca="1" si="101"/>
        <v>0</v>
      </c>
      <c r="Q368">
        <f t="shared" ca="1" si="109"/>
        <v>0</v>
      </c>
      <c r="R368">
        <f t="shared" ca="1" si="102"/>
        <v>0</v>
      </c>
      <c r="S368" s="14">
        <f t="shared" ca="1" si="103"/>
        <v>0</v>
      </c>
    </row>
    <row r="369" spans="1:19" x14ac:dyDescent="0.25">
      <c r="A369">
        <v>360</v>
      </c>
      <c r="B369" s="51">
        <f t="shared" ca="1" si="92"/>
        <v>3.6936008709201911</v>
      </c>
      <c r="C369" s="51">
        <f t="shared" ca="1" si="104"/>
        <v>1103.1797886749905</v>
      </c>
      <c r="D369" s="11" t="str">
        <f t="shared" ca="1" si="96"/>
        <v>C1</v>
      </c>
      <c r="E369" s="51">
        <f t="shared" ca="1" si="105"/>
        <v>1103.1797886749905</v>
      </c>
      <c r="F369" s="51">
        <f t="shared" ca="1" si="93"/>
        <v>2.0461949431086963</v>
      </c>
      <c r="G369" s="51">
        <f t="shared" ca="1" si="106"/>
        <v>1105.2259836180992</v>
      </c>
      <c r="H369" s="8" t="str">
        <f t="shared" ca="1" si="97"/>
        <v>No</v>
      </c>
      <c r="I369" s="32">
        <f t="shared" ca="1" si="107"/>
        <v>0</v>
      </c>
      <c r="J369" s="32">
        <f t="shared" ca="1" si="98"/>
        <v>0</v>
      </c>
      <c r="K369" s="31">
        <f t="shared" ca="1" si="99"/>
        <v>0</v>
      </c>
      <c r="L369" s="52">
        <f t="shared" ca="1" si="100"/>
        <v>0</v>
      </c>
      <c r="M369" s="51">
        <f t="shared" ca="1" si="94"/>
        <v>3.9375775494455487</v>
      </c>
      <c r="N369" s="51">
        <f t="shared" ca="1" si="108"/>
        <v>0</v>
      </c>
      <c r="O369" s="28" t="str">
        <f t="shared" ca="1" si="95"/>
        <v>Yes</v>
      </c>
      <c r="P369" s="51">
        <f t="shared" ca="1" si="101"/>
        <v>0</v>
      </c>
      <c r="Q369">
        <f t="shared" ca="1" si="109"/>
        <v>0</v>
      </c>
      <c r="R369">
        <f t="shared" ca="1" si="102"/>
        <v>0</v>
      </c>
      <c r="S369" s="14">
        <f t="shared" ca="1" si="103"/>
        <v>0</v>
      </c>
    </row>
    <row r="370" spans="1:19" x14ac:dyDescent="0.25">
      <c r="A370">
        <v>361</v>
      </c>
      <c r="B370" s="51">
        <f t="shared" ca="1" si="92"/>
        <v>10.160480408512509</v>
      </c>
      <c r="C370" s="51">
        <f t="shared" ca="1" si="104"/>
        <v>1113.340269083503</v>
      </c>
      <c r="D370" s="11" t="str">
        <f t="shared" ca="1" si="96"/>
        <v>C1</v>
      </c>
      <c r="E370" s="51">
        <f t="shared" ca="1" si="105"/>
        <v>1113.340269083503</v>
      </c>
      <c r="F370" s="51">
        <f t="shared" ca="1" si="93"/>
        <v>0.5620415021494779</v>
      </c>
      <c r="G370" s="51">
        <f t="shared" ca="1" si="106"/>
        <v>1113.9023105856525</v>
      </c>
      <c r="H370" s="8" t="str">
        <f t="shared" ca="1" si="97"/>
        <v>No</v>
      </c>
      <c r="I370" s="32">
        <f t="shared" ca="1" si="107"/>
        <v>0</v>
      </c>
      <c r="J370" s="32">
        <f t="shared" ca="1" si="98"/>
        <v>0</v>
      </c>
      <c r="K370" s="31">
        <f t="shared" ca="1" si="99"/>
        <v>0</v>
      </c>
      <c r="L370" s="52">
        <f t="shared" ca="1" si="100"/>
        <v>0</v>
      </c>
      <c r="M370" s="51">
        <f t="shared" ca="1" si="94"/>
        <v>0.55115954775976572</v>
      </c>
      <c r="N370" s="51">
        <f t="shared" ca="1" si="108"/>
        <v>0</v>
      </c>
      <c r="O370" s="28" t="str">
        <f t="shared" ca="1" si="95"/>
        <v>Yes</v>
      </c>
      <c r="P370" s="51">
        <f t="shared" ca="1" si="101"/>
        <v>0</v>
      </c>
      <c r="Q370">
        <f t="shared" ca="1" si="109"/>
        <v>0</v>
      </c>
      <c r="R370">
        <f t="shared" ca="1" si="102"/>
        <v>0</v>
      </c>
      <c r="S370" s="14">
        <f t="shared" ca="1" si="103"/>
        <v>0</v>
      </c>
    </row>
    <row r="371" spans="1:19" x14ac:dyDescent="0.25">
      <c r="A371">
        <v>362</v>
      </c>
      <c r="B371" s="51">
        <f t="shared" ca="1" si="92"/>
        <v>0.70923843808940401</v>
      </c>
      <c r="C371" s="51">
        <f t="shared" ca="1" si="104"/>
        <v>1114.0495075215924</v>
      </c>
      <c r="D371" s="11" t="str">
        <f t="shared" ca="1" si="96"/>
        <v>C1</v>
      </c>
      <c r="E371" s="51">
        <f t="shared" ca="1" si="105"/>
        <v>1114.0495075215924</v>
      </c>
      <c r="F371" s="51">
        <f t="shared" ca="1" si="93"/>
        <v>2.3081026244312115</v>
      </c>
      <c r="G371" s="51">
        <f t="shared" ca="1" si="106"/>
        <v>1116.3576101460237</v>
      </c>
      <c r="H371" s="8" t="str">
        <f t="shared" ca="1" si="97"/>
        <v>No</v>
      </c>
      <c r="I371" s="32">
        <f t="shared" ca="1" si="107"/>
        <v>0</v>
      </c>
      <c r="J371" s="32">
        <f t="shared" ca="1" si="98"/>
        <v>1</v>
      </c>
      <c r="K371" s="31">
        <f t="shared" ca="1" si="99"/>
        <v>0.5</v>
      </c>
      <c r="L371" s="52">
        <f t="shared" ca="1" si="100"/>
        <v>0</v>
      </c>
      <c r="M371" s="51">
        <f t="shared" ca="1" si="94"/>
        <v>1.5655508429957157</v>
      </c>
      <c r="N371" s="51">
        <f t="shared" ca="1" si="108"/>
        <v>0</v>
      </c>
      <c r="O371" s="28" t="str">
        <f t="shared" ca="1" si="95"/>
        <v>Yes</v>
      </c>
      <c r="P371" s="51">
        <f t="shared" ca="1" si="101"/>
        <v>1.3013174010793591</v>
      </c>
      <c r="Q371">
        <f t="shared" ca="1" si="109"/>
        <v>0</v>
      </c>
      <c r="R371">
        <f t="shared" ca="1" si="102"/>
        <v>0</v>
      </c>
      <c r="S371" s="14">
        <f t="shared" ca="1" si="103"/>
        <v>0</v>
      </c>
    </row>
    <row r="372" spans="1:19" x14ac:dyDescent="0.25">
      <c r="A372">
        <v>363</v>
      </c>
      <c r="B372" s="51">
        <f t="shared" ca="1" si="92"/>
        <v>1.0067852233518926</v>
      </c>
      <c r="C372" s="51">
        <f t="shared" ca="1" si="104"/>
        <v>1115.0562927449444</v>
      </c>
      <c r="D372" s="11" t="str">
        <f t="shared" ca="1" si="96"/>
        <v>C2</v>
      </c>
      <c r="E372" s="51">
        <f t="shared" ca="1" si="105"/>
        <v>0</v>
      </c>
      <c r="F372" s="51">
        <f t="shared" ca="1" si="93"/>
        <v>0.44506480073167609</v>
      </c>
      <c r="G372" s="51">
        <f t="shared" ca="1" si="106"/>
        <v>0</v>
      </c>
      <c r="H372" s="8" t="str">
        <f t="shared" ca="1" si="97"/>
        <v>Yes</v>
      </c>
      <c r="I372" s="32">
        <f t="shared" ca="1" si="107"/>
        <v>2</v>
      </c>
      <c r="J372" s="32">
        <f t="shared" ca="1" si="98"/>
        <v>0</v>
      </c>
      <c r="K372" s="31">
        <f t="shared" ca="1" si="99"/>
        <v>1</v>
      </c>
      <c r="L372" s="52">
        <f t="shared" ca="1" si="100"/>
        <v>1115.0562927449444</v>
      </c>
      <c r="M372" s="51">
        <f t="shared" ca="1" si="94"/>
        <v>0.74992625102188826</v>
      </c>
      <c r="N372" s="51">
        <f t="shared" ca="1" si="108"/>
        <v>1115.8062189959662</v>
      </c>
      <c r="O372" s="28" t="str">
        <f t="shared" ca="1" si="95"/>
        <v>No</v>
      </c>
      <c r="P372" s="51">
        <f t="shared" ca="1" si="101"/>
        <v>0</v>
      </c>
      <c r="Q372">
        <f t="shared" ca="1" si="109"/>
        <v>0</v>
      </c>
      <c r="R372">
        <f t="shared" ca="1" si="102"/>
        <v>0</v>
      </c>
      <c r="S372" s="14">
        <f t="shared" ca="1" si="103"/>
        <v>0</v>
      </c>
    </row>
    <row r="373" spans="1:19" x14ac:dyDescent="0.25">
      <c r="A373">
        <v>364</v>
      </c>
      <c r="B373" s="51">
        <f t="shared" ca="1" si="92"/>
        <v>1.6626260418887766</v>
      </c>
      <c r="C373" s="51">
        <f t="shared" ca="1" si="104"/>
        <v>1116.7189187868332</v>
      </c>
      <c r="D373" s="11" t="str">
        <f t="shared" ca="1" si="96"/>
        <v>C1</v>
      </c>
      <c r="E373" s="51">
        <f t="shared" ca="1" si="105"/>
        <v>1116.7189187868332</v>
      </c>
      <c r="F373" s="51">
        <f t="shared" ca="1" si="93"/>
        <v>3.5845525604134503</v>
      </c>
      <c r="G373" s="51">
        <f t="shared" ca="1" si="106"/>
        <v>1120.3034713472466</v>
      </c>
      <c r="H373" s="8" t="str">
        <f t="shared" ca="1" si="97"/>
        <v>No</v>
      </c>
      <c r="I373" s="32">
        <f t="shared" ca="1" si="107"/>
        <v>0</v>
      </c>
      <c r="J373" s="32">
        <f t="shared" ca="1" si="98"/>
        <v>2</v>
      </c>
      <c r="K373" s="31">
        <f t="shared" ca="1" si="99"/>
        <v>1</v>
      </c>
      <c r="L373" s="52">
        <f t="shared" ca="1" si="100"/>
        <v>0</v>
      </c>
      <c r="M373" s="51">
        <f t="shared" ca="1" si="94"/>
        <v>8.5195367092031269</v>
      </c>
      <c r="N373" s="51">
        <f t="shared" ca="1" si="108"/>
        <v>0</v>
      </c>
      <c r="O373" s="28" t="str">
        <f t="shared" ca="1" si="95"/>
        <v>Yes</v>
      </c>
      <c r="P373" s="51">
        <f t="shared" ca="1" si="101"/>
        <v>3.3191213492389124</v>
      </c>
      <c r="Q373">
        <f t="shared" ca="1" si="109"/>
        <v>0</v>
      </c>
      <c r="R373">
        <f t="shared" ca="1" si="102"/>
        <v>0</v>
      </c>
      <c r="S373" s="14">
        <f t="shared" ca="1" si="103"/>
        <v>0</v>
      </c>
    </row>
    <row r="374" spans="1:19" x14ac:dyDescent="0.25">
      <c r="A374">
        <v>365</v>
      </c>
      <c r="B374" s="51">
        <f t="shared" ca="1" si="92"/>
        <v>0.26543121117453561</v>
      </c>
      <c r="C374" s="51">
        <f t="shared" ca="1" si="104"/>
        <v>1116.9843499980077</v>
      </c>
      <c r="D374" s="11" t="str">
        <f t="shared" ca="1" si="96"/>
        <v>C2</v>
      </c>
      <c r="E374" s="51">
        <f t="shared" ca="1" si="105"/>
        <v>0</v>
      </c>
      <c r="F374" s="51">
        <f t="shared" ca="1" si="93"/>
        <v>0.28549281541570148</v>
      </c>
      <c r="G374" s="51">
        <f t="shared" ca="1" si="106"/>
        <v>0</v>
      </c>
      <c r="H374" s="8" t="str">
        <f t="shared" ca="1" si="97"/>
        <v>Yes</v>
      </c>
      <c r="I374" s="32">
        <f t="shared" ca="1" si="107"/>
        <v>3</v>
      </c>
      <c r="J374" s="32">
        <f t="shared" ca="1" si="98"/>
        <v>0</v>
      </c>
      <c r="K374" s="31">
        <f t="shared" ca="1" si="99"/>
        <v>1.5</v>
      </c>
      <c r="L374" s="52">
        <f t="shared" ca="1" si="100"/>
        <v>1116.9843499980077</v>
      </c>
      <c r="M374" s="51">
        <f t="shared" ca="1" si="94"/>
        <v>3.373467360231722</v>
      </c>
      <c r="N374" s="51">
        <f t="shared" ca="1" si="108"/>
        <v>1120.3578173582393</v>
      </c>
      <c r="O374" s="28" t="str">
        <f t="shared" ca="1" si="95"/>
        <v>No</v>
      </c>
      <c r="P374" s="51">
        <f t="shared" ca="1" si="101"/>
        <v>2.8785542160758268</v>
      </c>
      <c r="Q374">
        <f t="shared" ca="1" si="109"/>
        <v>0</v>
      </c>
      <c r="R374">
        <f t="shared" ca="1" si="102"/>
        <v>1</v>
      </c>
      <c r="S374" s="14">
        <f t="shared" ca="1" si="103"/>
        <v>0.5</v>
      </c>
    </row>
    <row r="375" spans="1:19" x14ac:dyDescent="0.25">
      <c r="A375">
        <v>366</v>
      </c>
      <c r="B375" s="51">
        <f t="shared" ca="1" si="92"/>
        <v>0.49491314415582371</v>
      </c>
      <c r="C375" s="51">
        <f t="shared" ca="1" si="104"/>
        <v>1117.4792631421635</v>
      </c>
      <c r="D375" s="11" t="str">
        <f t="shared" ca="1" si="96"/>
        <v>C1</v>
      </c>
      <c r="E375" s="51">
        <f t="shared" ca="1" si="105"/>
        <v>1117.4792631421635</v>
      </c>
      <c r="F375" s="51">
        <f t="shared" ca="1" si="93"/>
        <v>0.54983680364716037</v>
      </c>
      <c r="G375" s="51">
        <f t="shared" ca="1" si="106"/>
        <v>1118.0290999458107</v>
      </c>
      <c r="H375" s="8" t="str">
        <f t="shared" ca="1" si="97"/>
        <v>No</v>
      </c>
      <c r="I375" s="32">
        <f t="shared" ca="1" si="107"/>
        <v>0</v>
      </c>
      <c r="J375" s="32">
        <f t="shared" ca="1" si="98"/>
        <v>0</v>
      </c>
      <c r="K375" s="31">
        <f t="shared" ca="1" si="99"/>
        <v>0</v>
      </c>
      <c r="L375" s="52">
        <f t="shared" ca="1" si="100"/>
        <v>0</v>
      </c>
      <c r="M375" s="51">
        <f t="shared" ca="1" si="94"/>
        <v>4.1006663730191839</v>
      </c>
      <c r="N375" s="51">
        <f t="shared" ca="1" si="108"/>
        <v>0</v>
      </c>
      <c r="O375" s="28" t="str">
        <f t="shared" ca="1" si="95"/>
        <v>Yes</v>
      </c>
      <c r="P375" s="51">
        <f t="shared" ca="1" si="101"/>
        <v>0</v>
      </c>
      <c r="Q375">
        <f t="shared" ca="1" si="109"/>
        <v>2</v>
      </c>
      <c r="R375">
        <f t="shared" ca="1" si="102"/>
        <v>0</v>
      </c>
      <c r="S375" s="14">
        <f t="shared" ca="1" si="103"/>
        <v>1</v>
      </c>
    </row>
    <row r="376" spans="1:19" x14ac:dyDescent="0.25">
      <c r="A376">
        <v>367</v>
      </c>
      <c r="B376" s="51">
        <f t="shared" ca="1" si="92"/>
        <v>3.0507981913898541</v>
      </c>
      <c r="C376" s="51">
        <f t="shared" ca="1" si="104"/>
        <v>1120.5300613335535</v>
      </c>
      <c r="D376" s="11" t="str">
        <f t="shared" ca="1" si="96"/>
        <v>C1</v>
      </c>
      <c r="E376" s="51">
        <f t="shared" ca="1" si="105"/>
        <v>1120.5300613335535</v>
      </c>
      <c r="F376" s="51">
        <f t="shared" ca="1" si="93"/>
        <v>1.3177350685063378</v>
      </c>
      <c r="G376" s="51">
        <f t="shared" ca="1" si="106"/>
        <v>1121.8477964020599</v>
      </c>
      <c r="H376" s="8" t="str">
        <f t="shared" ca="1" si="97"/>
        <v>No</v>
      </c>
      <c r="I376" s="32">
        <f t="shared" ca="1" si="107"/>
        <v>0</v>
      </c>
      <c r="J376" s="32">
        <f t="shared" ca="1" si="98"/>
        <v>1</v>
      </c>
      <c r="K376" s="31">
        <f t="shared" ca="1" si="99"/>
        <v>0.5</v>
      </c>
      <c r="L376" s="52">
        <f t="shared" ca="1" si="100"/>
        <v>0</v>
      </c>
      <c r="M376" s="51">
        <f t="shared" ca="1" si="94"/>
        <v>3.6620961447262945</v>
      </c>
      <c r="N376" s="51">
        <f t="shared" ca="1" si="108"/>
        <v>0</v>
      </c>
      <c r="O376" s="28" t="str">
        <f t="shared" ca="1" si="95"/>
        <v>Yes</v>
      </c>
      <c r="P376" s="51">
        <f t="shared" ca="1" si="101"/>
        <v>0.79380510546229743</v>
      </c>
      <c r="Q376">
        <f t="shared" ca="1" si="109"/>
        <v>0</v>
      </c>
      <c r="R376">
        <f t="shared" ca="1" si="102"/>
        <v>0</v>
      </c>
      <c r="S376" s="14">
        <f t="shared" ca="1" si="103"/>
        <v>0</v>
      </c>
    </row>
    <row r="377" spans="1:19" x14ac:dyDescent="0.25">
      <c r="A377">
        <v>368</v>
      </c>
      <c r="B377" s="51">
        <f t="shared" ca="1" si="92"/>
        <v>0.52392996304405648</v>
      </c>
      <c r="C377" s="51">
        <f t="shared" ca="1" si="104"/>
        <v>1121.0539912965976</v>
      </c>
      <c r="D377" s="11" t="str">
        <f t="shared" ca="1" si="96"/>
        <v>C2</v>
      </c>
      <c r="E377" s="51">
        <f t="shared" ca="1" si="105"/>
        <v>0</v>
      </c>
      <c r="F377" s="51">
        <f t="shared" ca="1" si="93"/>
        <v>1.6692909251825188</v>
      </c>
      <c r="G377" s="51">
        <f t="shared" ca="1" si="106"/>
        <v>0</v>
      </c>
      <c r="H377" s="8" t="str">
        <f t="shared" ca="1" si="97"/>
        <v>Yes</v>
      </c>
      <c r="I377" s="32">
        <f t="shared" ca="1" si="107"/>
        <v>2</v>
      </c>
      <c r="J377" s="32">
        <f t="shared" ca="1" si="98"/>
        <v>0</v>
      </c>
      <c r="K377" s="31">
        <f t="shared" ca="1" si="99"/>
        <v>1</v>
      </c>
      <c r="L377" s="52">
        <f t="shared" ca="1" si="100"/>
        <v>1121.0539912965976</v>
      </c>
      <c r="M377" s="51">
        <f t="shared" ca="1" si="94"/>
        <v>4.310602403276893</v>
      </c>
      <c r="N377" s="51">
        <f t="shared" ca="1" si="108"/>
        <v>1125.3645936998744</v>
      </c>
      <c r="O377" s="28" t="str">
        <f t="shared" ca="1" si="95"/>
        <v>No</v>
      </c>
      <c r="P377" s="51">
        <f t="shared" ca="1" si="101"/>
        <v>3.1170576261961287</v>
      </c>
      <c r="Q377">
        <f t="shared" ca="1" si="109"/>
        <v>0</v>
      </c>
      <c r="R377">
        <f t="shared" ca="1" si="102"/>
        <v>3</v>
      </c>
      <c r="S377" s="14">
        <f t="shared" ca="1" si="103"/>
        <v>1.5</v>
      </c>
    </row>
    <row r="378" spans="1:19" x14ac:dyDescent="0.25">
      <c r="A378">
        <v>369</v>
      </c>
      <c r="B378" s="51">
        <f t="shared" ca="1" si="92"/>
        <v>1.1935447770805785</v>
      </c>
      <c r="C378" s="51">
        <f t="shared" ca="1" si="104"/>
        <v>1122.2475360736782</v>
      </c>
      <c r="D378" s="11" t="str">
        <f t="shared" ca="1" si="96"/>
        <v>C1</v>
      </c>
      <c r="E378" s="51">
        <f t="shared" ca="1" si="105"/>
        <v>1122.2475360736782</v>
      </c>
      <c r="F378" s="51">
        <f t="shared" ca="1" si="93"/>
        <v>2.7326614783402894</v>
      </c>
      <c r="G378" s="51">
        <f t="shared" ca="1" si="106"/>
        <v>1124.9801975520186</v>
      </c>
      <c r="H378" s="8" t="str">
        <f t="shared" ca="1" si="97"/>
        <v>No</v>
      </c>
      <c r="I378" s="32">
        <f t="shared" ca="1" si="107"/>
        <v>0</v>
      </c>
      <c r="J378" s="32">
        <f t="shared" ca="1" si="98"/>
        <v>2</v>
      </c>
      <c r="K378" s="31">
        <f t="shared" ca="1" si="99"/>
        <v>1</v>
      </c>
      <c r="L378" s="52">
        <f t="shared" ca="1" si="100"/>
        <v>0</v>
      </c>
      <c r="M378" s="51">
        <f t="shared" ca="1" si="94"/>
        <v>1.5553355521109049</v>
      </c>
      <c r="N378" s="51">
        <f t="shared" ca="1" si="108"/>
        <v>0</v>
      </c>
      <c r="O378" s="28" t="str">
        <f t="shared" ca="1" si="95"/>
        <v>Yes</v>
      </c>
      <c r="P378" s="51">
        <f t="shared" ca="1" si="101"/>
        <v>0.73193708425037585</v>
      </c>
      <c r="Q378">
        <f t="shared" ca="1" si="109"/>
        <v>4</v>
      </c>
      <c r="R378">
        <f t="shared" ca="1" si="102"/>
        <v>0</v>
      </c>
      <c r="S378" s="14">
        <f t="shared" ca="1" si="103"/>
        <v>2</v>
      </c>
    </row>
    <row r="379" spans="1:19" x14ac:dyDescent="0.25">
      <c r="A379">
        <v>370</v>
      </c>
      <c r="B379" s="51">
        <f t="shared" ca="1" si="92"/>
        <v>2.0007243940899602</v>
      </c>
      <c r="C379" s="51">
        <f t="shared" ca="1" si="104"/>
        <v>1124.2482604677682</v>
      </c>
      <c r="D379" s="11" t="str">
        <f t="shared" ca="1" si="96"/>
        <v>C2</v>
      </c>
      <c r="E379" s="51">
        <f t="shared" ca="1" si="105"/>
        <v>0</v>
      </c>
      <c r="F379" s="51">
        <f t="shared" ca="1" si="93"/>
        <v>2.6562438799659769</v>
      </c>
      <c r="G379" s="51">
        <f t="shared" ca="1" si="106"/>
        <v>0</v>
      </c>
      <c r="H379" s="8" t="str">
        <f t="shared" ca="1" si="97"/>
        <v>Yes</v>
      </c>
      <c r="I379" s="32">
        <f t="shared" ca="1" si="107"/>
        <v>3</v>
      </c>
      <c r="J379" s="32">
        <f t="shared" ca="1" si="98"/>
        <v>0</v>
      </c>
      <c r="K379" s="31">
        <f t="shared" ca="1" si="99"/>
        <v>1.5</v>
      </c>
      <c r="L379" s="52">
        <f t="shared" ca="1" si="100"/>
        <v>1124.2482604677682</v>
      </c>
      <c r="M379" s="51">
        <f t="shared" ca="1" si="94"/>
        <v>0.86848601461521879</v>
      </c>
      <c r="N379" s="51">
        <f t="shared" ca="1" si="108"/>
        <v>1125.1167464823834</v>
      </c>
      <c r="O379" s="28" t="str">
        <f t="shared" ca="1" si="95"/>
        <v>No</v>
      </c>
      <c r="P379" s="51">
        <f t="shared" ca="1" si="101"/>
        <v>0.49416117633518297</v>
      </c>
      <c r="Q379">
        <f t="shared" ca="1" si="109"/>
        <v>0</v>
      </c>
      <c r="R379">
        <f t="shared" ca="1" si="102"/>
        <v>1</v>
      </c>
      <c r="S379" s="14">
        <f t="shared" ca="1" si="103"/>
        <v>0.5</v>
      </c>
    </row>
    <row r="380" spans="1:19" x14ac:dyDescent="0.25">
      <c r="A380">
        <v>371</v>
      </c>
      <c r="B380" s="51">
        <f t="shared" ca="1" si="92"/>
        <v>0.37432483828000984</v>
      </c>
      <c r="C380" s="51">
        <f t="shared" ca="1" si="104"/>
        <v>1124.6225853060482</v>
      </c>
      <c r="D380" s="11" t="str">
        <f t="shared" ca="1" si="96"/>
        <v>C1</v>
      </c>
      <c r="E380" s="51">
        <f t="shared" ca="1" si="105"/>
        <v>1124.6225853060482</v>
      </c>
      <c r="F380" s="51">
        <f t="shared" ca="1" si="93"/>
        <v>1.405836985475303</v>
      </c>
      <c r="G380" s="51">
        <f t="shared" ca="1" si="106"/>
        <v>1126.0284222915236</v>
      </c>
      <c r="H380" s="8" t="str">
        <f t="shared" ca="1" si="97"/>
        <v>No</v>
      </c>
      <c r="I380" s="32">
        <f t="shared" ca="1" si="107"/>
        <v>0</v>
      </c>
      <c r="J380" s="32">
        <f t="shared" ca="1" si="98"/>
        <v>0</v>
      </c>
      <c r="K380" s="31">
        <f t="shared" ca="1" si="99"/>
        <v>0</v>
      </c>
      <c r="L380" s="52">
        <f t="shared" ca="1" si="100"/>
        <v>0</v>
      </c>
      <c r="M380" s="51">
        <f t="shared" ca="1" si="94"/>
        <v>3.3389453535620062</v>
      </c>
      <c r="N380" s="51">
        <f t="shared" ca="1" si="108"/>
        <v>0</v>
      </c>
      <c r="O380" s="28" t="str">
        <f t="shared" ca="1" si="95"/>
        <v>Yes</v>
      </c>
      <c r="P380" s="51">
        <f t="shared" ca="1" si="101"/>
        <v>0</v>
      </c>
      <c r="Q380">
        <f t="shared" ca="1" si="109"/>
        <v>2</v>
      </c>
      <c r="R380">
        <f t="shared" ca="1" si="102"/>
        <v>0</v>
      </c>
      <c r="S380" s="14">
        <f t="shared" ca="1" si="103"/>
        <v>1</v>
      </c>
    </row>
    <row r="381" spans="1:19" x14ac:dyDescent="0.25">
      <c r="A381">
        <v>372</v>
      </c>
      <c r="B381" s="51">
        <f t="shared" ca="1" si="92"/>
        <v>3.5002940293094249</v>
      </c>
      <c r="C381" s="51">
        <f t="shared" ca="1" si="104"/>
        <v>1128.1228793353575</v>
      </c>
      <c r="D381" s="11" t="str">
        <f t="shared" ca="1" si="96"/>
        <v>C1</v>
      </c>
      <c r="E381" s="51">
        <f t="shared" ca="1" si="105"/>
        <v>1128.1228793353575</v>
      </c>
      <c r="F381" s="51">
        <f t="shared" ca="1" si="93"/>
        <v>1.203023930020805</v>
      </c>
      <c r="G381" s="51">
        <f t="shared" ca="1" si="106"/>
        <v>1129.3259032653784</v>
      </c>
      <c r="H381" s="8" t="str">
        <f t="shared" ca="1" si="97"/>
        <v>No</v>
      </c>
      <c r="I381" s="32">
        <f t="shared" ca="1" si="107"/>
        <v>0</v>
      </c>
      <c r="J381" s="32">
        <f t="shared" ca="1" si="98"/>
        <v>0</v>
      </c>
      <c r="K381" s="31">
        <f t="shared" ca="1" si="99"/>
        <v>0</v>
      </c>
      <c r="L381" s="52">
        <f t="shared" ca="1" si="100"/>
        <v>0</v>
      </c>
      <c r="M381" s="51">
        <f t="shared" ca="1" si="94"/>
        <v>15.248041068129222</v>
      </c>
      <c r="N381" s="51">
        <f t="shared" ca="1" si="108"/>
        <v>0</v>
      </c>
      <c r="O381" s="28" t="str">
        <f t="shared" ca="1" si="95"/>
        <v>Yes</v>
      </c>
      <c r="P381" s="51">
        <f t="shared" ca="1" si="101"/>
        <v>0</v>
      </c>
      <c r="Q381">
        <f t="shared" ca="1" si="109"/>
        <v>0</v>
      </c>
      <c r="R381">
        <f t="shared" ca="1" si="102"/>
        <v>0</v>
      </c>
      <c r="S381" s="14">
        <f t="shared" ca="1" si="103"/>
        <v>0</v>
      </c>
    </row>
    <row r="382" spans="1:19" x14ac:dyDescent="0.25">
      <c r="A382">
        <v>373</v>
      </c>
      <c r="B382" s="51">
        <f t="shared" ca="1" si="92"/>
        <v>1.3660480045909351</v>
      </c>
      <c r="C382" s="51">
        <f t="shared" ca="1" si="104"/>
        <v>1129.4889273399485</v>
      </c>
      <c r="D382" s="11" t="str">
        <f t="shared" ca="1" si="96"/>
        <v>C1</v>
      </c>
      <c r="E382" s="51">
        <f t="shared" ca="1" si="105"/>
        <v>1129.4889273399485</v>
      </c>
      <c r="F382" s="51">
        <f t="shared" ca="1" si="93"/>
        <v>0.20450824276610247</v>
      </c>
      <c r="G382" s="51">
        <f t="shared" ca="1" si="106"/>
        <v>1129.6934355827145</v>
      </c>
      <c r="H382" s="8" t="str">
        <f t="shared" ca="1" si="97"/>
        <v>No</v>
      </c>
      <c r="I382" s="32">
        <f t="shared" ca="1" si="107"/>
        <v>0</v>
      </c>
      <c r="J382" s="32">
        <f t="shared" ca="1" si="98"/>
        <v>0</v>
      </c>
      <c r="K382" s="31">
        <f t="shared" ca="1" si="99"/>
        <v>0</v>
      </c>
      <c r="L382" s="52">
        <f t="shared" ca="1" si="100"/>
        <v>0</v>
      </c>
      <c r="M382" s="51">
        <f t="shared" ca="1" si="94"/>
        <v>0.82547541070047836</v>
      </c>
      <c r="N382" s="51">
        <f t="shared" ca="1" si="108"/>
        <v>0</v>
      </c>
      <c r="O382" s="28" t="str">
        <f t="shared" ca="1" si="95"/>
        <v>Yes</v>
      </c>
      <c r="P382" s="51">
        <f t="shared" ca="1" si="101"/>
        <v>0</v>
      </c>
      <c r="Q382">
        <f t="shared" ca="1" si="109"/>
        <v>0</v>
      </c>
      <c r="R382">
        <f t="shared" ca="1" si="102"/>
        <v>0</v>
      </c>
      <c r="S382" s="14">
        <f t="shared" ca="1" si="103"/>
        <v>0</v>
      </c>
    </row>
    <row r="383" spans="1:19" x14ac:dyDescent="0.25">
      <c r="A383">
        <v>374</v>
      </c>
      <c r="B383" s="51">
        <f t="shared" ca="1" si="92"/>
        <v>2.2867422525155643</v>
      </c>
      <c r="C383" s="51">
        <f t="shared" ca="1" si="104"/>
        <v>1131.7756695924641</v>
      </c>
      <c r="D383" s="11" t="str">
        <f t="shared" ca="1" si="96"/>
        <v>C1</v>
      </c>
      <c r="E383" s="51">
        <f t="shared" ca="1" si="105"/>
        <v>1131.7756695924641</v>
      </c>
      <c r="F383" s="51">
        <f t="shared" ca="1" si="93"/>
        <v>1.6633515928327209</v>
      </c>
      <c r="G383" s="51">
        <f t="shared" ca="1" si="106"/>
        <v>1133.4390211852967</v>
      </c>
      <c r="H383" s="8" t="str">
        <f t="shared" ca="1" si="97"/>
        <v>No</v>
      </c>
      <c r="I383" s="32">
        <f t="shared" ca="1" si="107"/>
        <v>0</v>
      </c>
      <c r="J383" s="32">
        <f t="shared" ca="1" si="98"/>
        <v>1</v>
      </c>
      <c r="K383" s="31">
        <f t="shared" ca="1" si="99"/>
        <v>0.5</v>
      </c>
      <c r="L383" s="52">
        <f t="shared" ca="1" si="100"/>
        <v>0</v>
      </c>
      <c r="M383" s="51">
        <f t="shared" ca="1" si="94"/>
        <v>4.8489895429242669</v>
      </c>
      <c r="N383" s="51">
        <f t="shared" ca="1" si="108"/>
        <v>0</v>
      </c>
      <c r="O383" s="28" t="str">
        <f t="shared" ca="1" si="95"/>
        <v>Yes</v>
      </c>
      <c r="P383" s="51">
        <f t="shared" ca="1" si="101"/>
        <v>1.3230587521848065</v>
      </c>
      <c r="Q383">
        <f t="shared" ca="1" si="109"/>
        <v>0</v>
      </c>
      <c r="R383">
        <f t="shared" ca="1" si="102"/>
        <v>0</v>
      </c>
      <c r="S383" s="14">
        <f t="shared" ca="1" si="103"/>
        <v>0</v>
      </c>
    </row>
    <row r="384" spans="1:19" x14ac:dyDescent="0.25">
      <c r="A384">
        <v>375</v>
      </c>
      <c r="B384" s="51">
        <f t="shared" ca="1" si="92"/>
        <v>0.34029284064788018</v>
      </c>
      <c r="C384" s="51">
        <f t="shared" ca="1" si="104"/>
        <v>1132.1159624331119</v>
      </c>
      <c r="D384" s="11" t="str">
        <f t="shared" ca="1" si="96"/>
        <v>C2</v>
      </c>
      <c r="E384" s="51">
        <f t="shared" ca="1" si="105"/>
        <v>0</v>
      </c>
      <c r="F384" s="51">
        <f t="shared" ca="1" si="93"/>
        <v>0.89229680113065146</v>
      </c>
      <c r="G384" s="51">
        <f t="shared" ca="1" si="106"/>
        <v>0</v>
      </c>
      <c r="H384" s="8" t="str">
        <f t="shared" ca="1" si="97"/>
        <v>Yes</v>
      </c>
      <c r="I384" s="32">
        <f t="shared" ca="1" si="107"/>
        <v>2</v>
      </c>
      <c r="J384" s="32">
        <f t="shared" ca="1" si="98"/>
        <v>0</v>
      </c>
      <c r="K384" s="31">
        <f t="shared" ca="1" si="99"/>
        <v>1</v>
      </c>
      <c r="L384" s="52">
        <f t="shared" ca="1" si="100"/>
        <v>1132.1159624331119</v>
      </c>
      <c r="M384" s="51">
        <f t="shared" ca="1" si="94"/>
        <v>0.39827663335068836</v>
      </c>
      <c r="N384" s="51">
        <f t="shared" ca="1" si="108"/>
        <v>1132.5142390664626</v>
      </c>
      <c r="O384" s="28" t="str">
        <f t="shared" ca="1" si="95"/>
        <v>No</v>
      </c>
      <c r="P384" s="51">
        <f t="shared" ca="1" si="101"/>
        <v>0</v>
      </c>
      <c r="Q384">
        <f t="shared" ca="1" si="109"/>
        <v>0</v>
      </c>
      <c r="R384">
        <f t="shared" ca="1" si="102"/>
        <v>0</v>
      </c>
      <c r="S384" s="14">
        <f t="shared" ca="1" si="103"/>
        <v>0</v>
      </c>
    </row>
    <row r="385" spans="1:19" x14ac:dyDescent="0.25">
      <c r="A385">
        <v>376</v>
      </c>
      <c r="B385" s="51">
        <f t="shared" ca="1" si="92"/>
        <v>7.6086409237646428</v>
      </c>
      <c r="C385" s="51">
        <f t="shared" ca="1" si="104"/>
        <v>1139.7246033568765</v>
      </c>
      <c r="D385" s="11" t="str">
        <f t="shared" ca="1" si="96"/>
        <v>C1</v>
      </c>
      <c r="E385" s="51">
        <f t="shared" ca="1" si="105"/>
        <v>1139.7246033568765</v>
      </c>
      <c r="F385" s="51">
        <f t="shared" ca="1" si="93"/>
        <v>4.0263568314702649</v>
      </c>
      <c r="G385" s="51">
        <f t="shared" ca="1" si="106"/>
        <v>1143.7509601883469</v>
      </c>
      <c r="H385" s="8" t="str">
        <f t="shared" ca="1" si="97"/>
        <v>No</v>
      </c>
      <c r="I385" s="32">
        <f t="shared" ca="1" si="107"/>
        <v>0</v>
      </c>
      <c r="J385" s="32">
        <f t="shared" ca="1" si="98"/>
        <v>0</v>
      </c>
      <c r="K385" s="31">
        <f t="shared" ca="1" si="99"/>
        <v>0</v>
      </c>
      <c r="L385" s="52">
        <f t="shared" ca="1" si="100"/>
        <v>0</v>
      </c>
      <c r="M385" s="51">
        <f t="shared" ca="1" si="94"/>
        <v>1.4513812073268209</v>
      </c>
      <c r="N385" s="51">
        <f t="shared" ca="1" si="108"/>
        <v>0</v>
      </c>
      <c r="O385" s="28" t="str">
        <f t="shared" ca="1" si="95"/>
        <v>Yes</v>
      </c>
      <c r="P385" s="51">
        <f t="shared" ca="1" si="101"/>
        <v>0</v>
      </c>
      <c r="Q385">
        <f t="shared" ca="1" si="109"/>
        <v>0</v>
      </c>
      <c r="R385">
        <f t="shared" ca="1" si="102"/>
        <v>0</v>
      </c>
      <c r="S385" s="14">
        <f t="shared" ca="1" si="103"/>
        <v>0</v>
      </c>
    </row>
    <row r="386" spans="1:19" x14ac:dyDescent="0.25">
      <c r="A386">
        <v>377</v>
      </c>
      <c r="B386" s="51">
        <f t="shared" ca="1" si="92"/>
        <v>4.9340640531591751</v>
      </c>
      <c r="C386" s="51">
        <f t="shared" ca="1" si="104"/>
        <v>1144.6586674100356</v>
      </c>
      <c r="D386" s="11" t="str">
        <f t="shared" ca="1" si="96"/>
        <v>C1</v>
      </c>
      <c r="E386" s="51">
        <f t="shared" ca="1" si="105"/>
        <v>1144.6586674100356</v>
      </c>
      <c r="F386" s="51">
        <f t="shared" ca="1" si="93"/>
        <v>1.0595909498658338</v>
      </c>
      <c r="G386" s="51">
        <f t="shared" ca="1" si="106"/>
        <v>1145.7182583599015</v>
      </c>
      <c r="H386" s="8" t="str">
        <f t="shared" ca="1" si="97"/>
        <v>No</v>
      </c>
      <c r="I386" s="32">
        <f t="shared" ca="1" si="107"/>
        <v>0</v>
      </c>
      <c r="J386" s="32">
        <f t="shared" ca="1" si="98"/>
        <v>0</v>
      </c>
      <c r="K386" s="31">
        <f t="shared" ca="1" si="99"/>
        <v>0</v>
      </c>
      <c r="L386" s="52">
        <f t="shared" ca="1" si="100"/>
        <v>0</v>
      </c>
      <c r="M386" s="51">
        <f t="shared" ca="1" si="94"/>
        <v>1.4037356958894778</v>
      </c>
      <c r="N386" s="51">
        <f t="shared" ca="1" si="108"/>
        <v>0</v>
      </c>
      <c r="O386" s="28" t="str">
        <f t="shared" ca="1" si="95"/>
        <v>Yes</v>
      </c>
      <c r="P386" s="51">
        <f t="shared" ca="1" si="101"/>
        <v>0</v>
      </c>
      <c r="Q386">
        <f t="shared" ca="1" si="109"/>
        <v>0</v>
      </c>
      <c r="R386">
        <f t="shared" ca="1" si="102"/>
        <v>0</v>
      </c>
      <c r="S386" s="14">
        <f t="shared" ca="1" si="103"/>
        <v>0</v>
      </c>
    </row>
    <row r="387" spans="1:19" x14ac:dyDescent="0.25">
      <c r="A387">
        <v>378</v>
      </c>
      <c r="B387" s="51">
        <f t="shared" ca="1" si="92"/>
        <v>5.735407994093447</v>
      </c>
      <c r="C387" s="51">
        <f t="shared" ca="1" si="104"/>
        <v>1150.3940754041291</v>
      </c>
      <c r="D387" s="11" t="str">
        <f t="shared" ca="1" si="96"/>
        <v>C1</v>
      </c>
      <c r="E387" s="51">
        <f t="shared" ca="1" si="105"/>
        <v>1150.3940754041291</v>
      </c>
      <c r="F387" s="51">
        <f t="shared" ca="1" si="93"/>
        <v>0.26090723602493326</v>
      </c>
      <c r="G387" s="51">
        <f t="shared" ca="1" si="106"/>
        <v>1150.654982640154</v>
      </c>
      <c r="H387" s="8" t="str">
        <f t="shared" ca="1" si="97"/>
        <v>No</v>
      </c>
      <c r="I387" s="32">
        <f t="shared" ca="1" si="107"/>
        <v>0</v>
      </c>
      <c r="J387" s="32">
        <f t="shared" ca="1" si="98"/>
        <v>1</v>
      </c>
      <c r="K387" s="31">
        <f t="shared" ca="1" si="99"/>
        <v>0.5</v>
      </c>
      <c r="L387" s="52">
        <f t="shared" ca="1" si="100"/>
        <v>0</v>
      </c>
      <c r="M387" s="51">
        <f t="shared" ca="1" si="94"/>
        <v>1.4690561229412396</v>
      </c>
      <c r="N387" s="51">
        <f t="shared" ca="1" si="108"/>
        <v>0</v>
      </c>
      <c r="O387" s="28" t="str">
        <f t="shared" ca="1" si="95"/>
        <v>Yes</v>
      </c>
      <c r="P387" s="51">
        <f t="shared" ca="1" si="101"/>
        <v>0.24737391836379174</v>
      </c>
      <c r="Q387">
        <f t="shared" ca="1" si="109"/>
        <v>0</v>
      </c>
      <c r="R387">
        <f t="shared" ca="1" si="102"/>
        <v>0</v>
      </c>
      <c r="S387" s="14">
        <f t="shared" ca="1" si="103"/>
        <v>0</v>
      </c>
    </row>
    <row r="388" spans="1:19" x14ac:dyDescent="0.25">
      <c r="A388">
        <v>379</v>
      </c>
      <c r="B388" s="51">
        <f t="shared" ca="1" si="92"/>
        <v>1.3533317661042066E-2</v>
      </c>
      <c r="C388" s="51">
        <f t="shared" ca="1" si="104"/>
        <v>1150.4076087217902</v>
      </c>
      <c r="D388" s="11" t="str">
        <f t="shared" ca="1" si="96"/>
        <v>C2</v>
      </c>
      <c r="E388" s="51">
        <f t="shared" ca="1" si="105"/>
        <v>0</v>
      </c>
      <c r="F388" s="51">
        <f t="shared" ca="1" si="93"/>
        <v>0.55380824313326482</v>
      </c>
      <c r="G388" s="51">
        <f t="shared" ca="1" si="106"/>
        <v>0</v>
      </c>
      <c r="H388" s="8" t="str">
        <f t="shared" ca="1" si="97"/>
        <v>Yes</v>
      </c>
      <c r="I388" s="32">
        <f t="shared" ca="1" si="107"/>
        <v>2</v>
      </c>
      <c r="J388" s="32">
        <f t="shared" ca="1" si="98"/>
        <v>0</v>
      </c>
      <c r="K388" s="31">
        <f t="shared" ca="1" si="99"/>
        <v>1</v>
      </c>
      <c r="L388" s="52">
        <f t="shared" ca="1" si="100"/>
        <v>1150.4076087217902</v>
      </c>
      <c r="M388" s="51">
        <f t="shared" ca="1" si="94"/>
        <v>1.1555363472821252</v>
      </c>
      <c r="N388" s="51">
        <f t="shared" ca="1" si="108"/>
        <v>1151.5631450690723</v>
      </c>
      <c r="O388" s="28" t="str">
        <f t="shared" ca="1" si="95"/>
        <v>No</v>
      </c>
      <c r="P388" s="51">
        <f t="shared" ca="1" si="101"/>
        <v>0</v>
      </c>
      <c r="Q388">
        <f t="shared" ca="1" si="109"/>
        <v>0</v>
      </c>
      <c r="R388">
        <f t="shared" ca="1" si="102"/>
        <v>0</v>
      </c>
      <c r="S388" s="14">
        <f t="shared" ca="1" si="103"/>
        <v>0</v>
      </c>
    </row>
    <row r="389" spans="1:19" x14ac:dyDescent="0.25">
      <c r="A389">
        <v>380</v>
      </c>
      <c r="B389" s="51">
        <f t="shared" ca="1" si="92"/>
        <v>1.3375767810174877</v>
      </c>
      <c r="C389" s="51">
        <f t="shared" ca="1" si="104"/>
        <v>1151.7451855028078</v>
      </c>
      <c r="D389" s="11" t="str">
        <f t="shared" ca="1" si="96"/>
        <v>C1</v>
      </c>
      <c r="E389" s="51">
        <f t="shared" ca="1" si="105"/>
        <v>1151.7451855028078</v>
      </c>
      <c r="F389" s="51">
        <f t="shared" ca="1" si="93"/>
        <v>0.68915467381255535</v>
      </c>
      <c r="G389" s="51">
        <f t="shared" ca="1" si="106"/>
        <v>1152.4343401766203</v>
      </c>
      <c r="H389" s="8" t="str">
        <f t="shared" ca="1" si="97"/>
        <v>No</v>
      </c>
      <c r="I389" s="32">
        <f t="shared" ca="1" si="107"/>
        <v>0</v>
      </c>
      <c r="J389" s="32">
        <f t="shared" ca="1" si="98"/>
        <v>0</v>
      </c>
      <c r="K389" s="31">
        <f t="shared" ca="1" si="99"/>
        <v>0</v>
      </c>
      <c r="L389" s="52">
        <f t="shared" ca="1" si="100"/>
        <v>0</v>
      </c>
      <c r="M389" s="51">
        <f t="shared" ca="1" si="94"/>
        <v>2.3516133383966631</v>
      </c>
      <c r="N389" s="51">
        <f t="shared" ca="1" si="108"/>
        <v>0</v>
      </c>
      <c r="O389" s="28" t="str">
        <f t="shared" ca="1" si="95"/>
        <v>Yes</v>
      </c>
      <c r="P389" s="51">
        <f t="shared" ca="1" si="101"/>
        <v>0</v>
      </c>
      <c r="Q389">
        <f t="shared" ca="1" si="109"/>
        <v>0</v>
      </c>
      <c r="R389">
        <f t="shared" ca="1" si="102"/>
        <v>0</v>
      </c>
      <c r="S389" s="14">
        <f t="shared" ca="1" si="103"/>
        <v>0</v>
      </c>
    </row>
    <row r="390" spans="1:19" x14ac:dyDescent="0.25">
      <c r="A390">
        <v>381</v>
      </c>
      <c r="B390" s="51">
        <f t="shared" ca="1" si="92"/>
        <v>3.8983112139104601</v>
      </c>
      <c r="C390" s="51">
        <f t="shared" ca="1" si="104"/>
        <v>1155.6434967167181</v>
      </c>
      <c r="D390" s="11" t="str">
        <f t="shared" ca="1" si="96"/>
        <v>C1</v>
      </c>
      <c r="E390" s="51">
        <f t="shared" ca="1" si="105"/>
        <v>1155.6434967167181</v>
      </c>
      <c r="F390" s="51">
        <f t="shared" ca="1" si="93"/>
        <v>7.3290168216967775</v>
      </c>
      <c r="G390" s="51">
        <f t="shared" ca="1" si="106"/>
        <v>1162.9725135384149</v>
      </c>
      <c r="H390" s="8" t="str">
        <f t="shared" ca="1" si="97"/>
        <v>No</v>
      </c>
      <c r="I390" s="32">
        <f t="shared" ca="1" si="107"/>
        <v>0</v>
      </c>
      <c r="J390" s="32">
        <f t="shared" ca="1" si="98"/>
        <v>2</v>
      </c>
      <c r="K390" s="31">
        <f t="shared" ca="1" si="99"/>
        <v>1</v>
      </c>
      <c r="L390" s="52">
        <f t="shared" ca="1" si="100"/>
        <v>0</v>
      </c>
      <c r="M390" s="51">
        <f t="shared" ca="1" si="94"/>
        <v>11.803852486379444</v>
      </c>
      <c r="N390" s="51">
        <f t="shared" ca="1" si="108"/>
        <v>0</v>
      </c>
      <c r="O390" s="28" t="str">
        <f t="shared" ca="1" si="95"/>
        <v>Yes</v>
      </c>
      <c r="P390" s="51">
        <f t="shared" ca="1" si="101"/>
        <v>3.9044933802631476</v>
      </c>
      <c r="Q390">
        <f t="shared" ca="1" si="109"/>
        <v>0</v>
      </c>
      <c r="R390">
        <f t="shared" ca="1" si="102"/>
        <v>0</v>
      </c>
      <c r="S390" s="14">
        <f t="shared" ca="1" si="103"/>
        <v>0</v>
      </c>
    </row>
    <row r="391" spans="1:19" x14ac:dyDescent="0.25">
      <c r="A391">
        <v>382</v>
      </c>
      <c r="B391" s="51">
        <f t="shared" ca="1" si="92"/>
        <v>3.4245234414335357</v>
      </c>
      <c r="C391" s="51">
        <f t="shared" ca="1" si="104"/>
        <v>1159.0680201581517</v>
      </c>
      <c r="D391" s="11" t="str">
        <f t="shared" ca="1" si="96"/>
        <v>C2</v>
      </c>
      <c r="E391" s="51">
        <f t="shared" ca="1" si="105"/>
        <v>0</v>
      </c>
      <c r="F391" s="51">
        <f t="shared" ca="1" si="93"/>
        <v>0.39303016622205561</v>
      </c>
      <c r="G391" s="51">
        <f t="shared" ca="1" si="106"/>
        <v>0</v>
      </c>
      <c r="H391" s="8" t="str">
        <f t="shared" ca="1" si="97"/>
        <v>Yes</v>
      </c>
      <c r="I391" s="32">
        <f t="shared" ca="1" si="107"/>
        <v>3</v>
      </c>
      <c r="J391" s="32">
        <f t="shared" ca="1" si="98"/>
        <v>0</v>
      </c>
      <c r="K391" s="31">
        <f t="shared" ca="1" si="99"/>
        <v>1.5</v>
      </c>
      <c r="L391" s="52">
        <f t="shared" ca="1" si="100"/>
        <v>1159.0680201581517</v>
      </c>
      <c r="M391" s="51">
        <f t="shared" ca="1" si="94"/>
        <v>2.559851601481498</v>
      </c>
      <c r="N391" s="51">
        <f t="shared" ca="1" si="108"/>
        <v>1161.6278717596333</v>
      </c>
      <c r="O391" s="28" t="str">
        <f t="shared" ca="1" si="95"/>
        <v>No</v>
      </c>
      <c r="P391" s="51">
        <f t="shared" ca="1" si="101"/>
        <v>2.1161244634747618</v>
      </c>
      <c r="Q391">
        <f t="shared" ca="1" si="109"/>
        <v>0</v>
      </c>
      <c r="R391">
        <f t="shared" ca="1" si="102"/>
        <v>1</v>
      </c>
      <c r="S391" s="14">
        <f t="shared" ca="1" si="103"/>
        <v>0.5</v>
      </c>
    </row>
    <row r="392" spans="1:19" x14ac:dyDescent="0.25">
      <c r="A392">
        <v>383</v>
      </c>
      <c r="B392" s="51">
        <f t="shared" ca="1" si="92"/>
        <v>0.44372713800689673</v>
      </c>
      <c r="C392" s="51">
        <f t="shared" ca="1" si="104"/>
        <v>1159.5117472961585</v>
      </c>
      <c r="D392" s="11" t="str">
        <f t="shared" ca="1" si="96"/>
        <v>C1</v>
      </c>
      <c r="E392" s="51">
        <f t="shared" ca="1" si="105"/>
        <v>1159.5117472961585</v>
      </c>
      <c r="F392" s="51">
        <f t="shared" ca="1" si="93"/>
        <v>9.8032247846133274</v>
      </c>
      <c r="G392" s="51">
        <f t="shared" ca="1" si="106"/>
        <v>1169.3149720807719</v>
      </c>
      <c r="H392" s="8" t="str">
        <f t="shared" ca="1" si="97"/>
        <v>No</v>
      </c>
      <c r="I392" s="32">
        <f t="shared" ca="1" si="107"/>
        <v>0</v>
      </c>
      <c r="J392" s="32">
        <f t="shared" ca="1" si="98"/>
        <v>2</v>
      </c>
      <c r="K392" s="31">
        <f t="shared" ca="1" si="99"/>
        <v>1</v>
      </c>
      <c r="L392" s="52">
        <f t="shared" ca="1" si="100"/>
        <v>0</v>
      </c>
      <c r="M392" s="51">
        <f t="shared" ca="1" si="94"/>
        <v>0.7639612995797801</v>
      </c>
      <c r="N392" s="51">
        <f t="shared" ca="1" si="108"/>
        <v>0</v>
      </c>
      <c r="O392" s="28" t="str">
        <f t="shared" ca="1" si="95"/>
        <v>Yes</v>
      </c>
      <c r="P392" s="51">
        <f t="shared" ca="1" si="101"/>
        <v>6.2107370309536236</v>
      </c>
      <c r="Q392">
        <f t="shared" ca="1" si="109"/>
        <v>2</v>
      </c>
      <c r="R392">
        <f t="shared" ca="1" si="102"/>
        <v>0</v>
      </c>
      <c r="S392" s="14">
        <f t="shared" ca="1" si="103"/>
        <v>1</v>
      </c>
    </row>
    <row r="393" spans="1:19" x14ac:dyDescent="0.25">
      <c r="A393">
        <v>384</v>
      </c>
      <c r="B393" s="51">
        <f t="shared" ca="1" si="92"/>
        <v>3.5924877536596571</v>
      </c>
      <c r="C393" s="51">
        <f t="shared" ca="1" si="104"/>
        <v>1163.1042350498183</v>
      </c>
      <c r="D393" s="11" t="str">
        <f t="shared" ca="1" si="96"/>
        <v>C2</v>
      </c>
      <c r="E393" s="51">
        <f t="shared" ca="1" si="105"/>
        <v>0</v>
      </c>
      <c r="F393" s="51">
        <f t="shared" ca="1" si="93"/>
        <v>0.15165173052475012</v>
      </c>
      <c r="G393" s="51">
        <f t="shared" ca="1" si="106"/>
        <v>0</v>
      </c>
      <c r="H393" s="8" t="str">
        <f t="shared" ca="1" si="97"/>
        <v>Yes</v>
      </c>
      <c r="I393" s="32">
        <f t="shared" ca="1" si="107"/>
        <v>3</v>
      </c>
      <c r="J393" s="32">
        <f t="shared" ca="1" si="98"/>
        <v>0</v>
      </c>
      <c r="K393" s="31">
        <f t="shared" ca="1" si="99"/>
        <v>1.5</v>
      </c>
      <c r="L393" s="52">
        <f t="shared" ca="1" si="100"/>
        <v>1163.1042350498183</v>
      </c>
      <c r="M393" s="51">
        <f t="shared" ca="1" si="94"/>
        <v>0.62197882617429978</v>
      </c>
      <c r="N393" s="51">
        <f t="shared" ca="1" si="108"/>
        <v>1163.7262138759925</v>
      </c>
      <c r="O393" s="28" t="str">
        <f t="shared" ca="1" si="95"/>
        <v>No</v>
      </c>
      <c r="P393" s="51">
        <f t="shared" ca="1" si="101"/>
        <v>0.46417761700899973</v>
      </c>
      <c r="Q393">
        <f t="shared" ca="1" si="109"/>
        <v>0</v>
      </c>
      <c r="R393">
        <f t="shared" ca="1" si="102"/>
        <v>1</v>
      </c>
      <c r="S393" s="14">
        <f t="shared" ca="1" si="103"/>
        <v>0.5</v>
      </c>
    </row>
    <row r="394" spans="1:19" x14ac:dyDescent="0.25">
      <c r="A394">
        <v>385</v>
      </c>
      <c r="B394" s="51">
        <f t="shared" ref="B394:B457" ca="1" si="110">-LN(RAND())/$H$3</f>
        <v>0.15780120916525461</v>
      </c>
      <c r="C394" s="51">
        <f t="shared" ca="1" si="104"/>
        <v>1163.2620362589835</v>
      </c>
      <c r="D394" s="11" t="str">
        <f t="shared" ca="1" si="96"/>
        <v>C1</v>
      </c>
      <c r="E394" s="51">
        <f t="shared" ca="1" si="105"/>
        <v>1163.2620362589835</v>
      </c>
      <c r="F394" s="51">
        <f t="shared" ref="F394:F457" ca="1" si="111">-LN(RAND())/$H$5</f>
        <v>6.3309675876218928E-3</v>
      </c>
      <c r="G394" s="51">
        <f t="shared" ca="1" si="106"/>
        <v>1163.2683672265712</v>
      </c>
      <c r="H394" s="8" t="str">
        <f t="shared" ca="1" si="97"/>
        <v>No</v>
      </c>
      <c r="I394" s="32">
        <f t="shared" ca="1" si="107"/>
        <v>0</v>
      </c>
      <c r="J394" s="32">
        <f t="shared" ca="1" si="98"/>
        <v>0</v>
      </c>
      <c r="K394" s="31">
        <f t="shared" ca="1" si="99"/>
        <v>0</v>
      </c>
      <c r="L394" s="52">
        <f t="shared" ca="1" si="100"/>
        <v>0</v>
      </c>
      <c r="M394" s="51">
        <f t="shared" ref="M394:M457" ca="1" si="112">-LN(RAND())/$H$5</f>
        <v>1.0672235903153879</v>
      </c>
      <c r="N394" s="51">
        <f t="shared" ca="1" si="108"/>
        <v>0</v>
      </c>
      <c r="O394" s="28" t="str">
        <f t="shared" ref="O394:O457" ca="1" si="113">IF(D394="C2","No","Yes")</f>
        <v>Yes</v>
      </c>
      <c r="P394" s="51">
        <f t="shared" ca="1" si="101"/>
        <v>0</v>
      </c>
      <c r="Q394">
        <f t="shared" ca="1" si="109"/>
        <v>2</v>
      </c>
      <c r="R394">
        <f t="shared" ca="1" si="102"/>
        <v>0</v>
      </c>
      <c r="S394" s="14">
        <f t="shared" ca="1" si="103"/>
        <v>1</v>
      </c>
    </row>
    <row r="395" spans="1:19" x14ac:dyDescent="0.25">
      <c r="A395">
        <v>386</v>
      </c>
      <c r="B395" s="51">
        <f t="shared" ca="1" si="110"/>
        <v>8.2825116233382801</v>
      </c>
      <c r="C395" s="51">
        <f t="shared" ca="1" si="104"/>
        <v>1171.5445478823217</v>
      </c>
      <c r="D395" s="11" t="str">
        <f t="shared" ref="D395:D458" ca="1" si="114">IF(C395&gt;G394,"C1",IF(C395&gt;N394,"C2"))</f>
        <v>C1</v>
      </c>
      <c r="E395" s="51">
        <f t="shared" ca="1" si="105"/>
        <v>1171.5445478823217</v>
      </c>
      <c r="F395" s="51">
        <f t="shared" ca="1" si="111"/>
        <v>2.803088039433721</v>
      </c>
      <c r="G395" s="51">
        <f t="shared" ca="1" si="106"/>
        <v>1174.3476359217555</v>
      </c>
      <c r="H395" s="8" t="str">
        <f t="shared" ref="H395:H458" ca="1" si="115">IF(D395="C1","No","Yes")</f>
        <v>No</v>
      </c>
      <c r="I395" s="32">
        <f t="shared" ca="1" si="107"/>
        <v>0</v>
      </c>
      <c r="J395" s="32">
        <f t="shared" ref="J395:J458" ca="1" si="116">IF($G395&lt;=$C396,0,IF($G395&lt;=$C397,1,IF($G395&lt;=$C398,2,IF($G395&lt;=$C399,3,IF($G395&lt;=$C400,4,5)))))</f>
        <v>0</v>
      </c>
      <c r="K395" s="31">
        <f t="shared" ref="K395:K458" ca="1" si="117">AVERAGE(I395:J395)</f>
        <v>0</v>
      </c>
      <c r="L395" s="52">
        <f t="shared" ref="L395:L458" ca="1" si="118">IF(D395="C2",C395,0)</f>
        <v>0</v>
      </c>
      <c r="M395" s="51">
        <f t="shared" ca="1" si="112"/>
        <v>0.2147223124550689</v>
      </c>
      <c r="N395" s="51">
        <f t="shared" ca="1" si="108"/>
        <v>0</v>
      </c>
      <c r="O395" s="28" t="str">
        <f t="shared" ca="1" si="113"/>
        <v>Yes</v>
      </c>
      <c r="P395" s="51">
        <f t="shared" ref="P395:P458" ca="1" si="119">IF(D395="C1",IF(G395&lt;C396,0,G395-C396),IF(N395&lt;C396,0,N395-C396))</f>
        <v>0</v>
      </c>
      <c r="Q395">
        <f t="shared" ca="1" si="109"/>
        <v>0</v>
      </c>
      <c r="R395">
        <f t="shared" ref="R395:R458" ca="1" si="120">IF($N395&lt;=$C396,0,IF($N395&lt;=$C397,1,IF($N395&lt;=$C398,2,IF($N395&lt;=$C399,3,IF($N395&lt;=$C400,4,5)))))</f>
        <v>0</v>
      </c>
      <c r="S395" s="14">
        <f t="shared" ref="S395:S458" ca="1" si="121">AVERAGE(Q395:R395)</f>
        <v>0</v>
      </c>
    </row>
    <row r="396" spans="1:19" x14ac:dyDescent="0.25">
      <c r="A396">
        <v>387</v>
      </c>
      <c r="B396" s="51">
        <f t="shared" ca="1" si="110"/>
        <v>3.0278408127667551</v>
      </c>
      <c r="C396" s="51">
        <f t="shared" ref="C396:C459" ca="1" si="122">C395+B396</f>
        <v>1174.5723886950884</v>
      </c>
      <c r="D396" s="11" t="str">
        <f t="shared" ca="1" si="114"/>
        <v>C1</v>
      </c>
      <c r="E396" s="51">
        <f t="shared" ref="E396:E459" ca="1" si="123">IF(D396="C1",C396,0)</f>
        <v>1174.5723886950884</v>
      </c>
      <c r="F396" s="51">
        <f t="shared" ca="1" si="111"/>
        <v>1.0658745174691702</v>
      </c>
      <c r="G396" s="51">
        <f t="shared" ref="G396:G459" ca="1" si="124">IF(E396=0,0,F396+E396)</f>
        <v>1175.6382632125576</v>
      </c>
      <c r="H396" s="8" t="str">
        <f t="shared" ca="1" si="115"/>
        <v>No</v>
      </c>
      <c r="I396" s="32">
        <f t="shared" ref="I396:I459" ca="1" si="125">IF(G395&lt;=$C396,0,$J395+1)</f>
        <v>0</v>
      </c>
      <c r="J396" s="32">
        <f t="shared" ca="1" si="116"/>
        <v>0</v>
      </c>
      <c r="K396" s="31">
        <f t="shared" ca="1" si="117"/>
        <v>0</v>
      </c>
      <c r="L396" s="52">
        <f t="shared" ca="1" si="118"/>
        <v>0</v>
      </c>
      <c r="M396" s="51">
        <f t="shared" ca="1" si="112"/>
        <v>1.5322872624732822</v>
      </c>
      <c r="N396" s="51">
        <f t="shared" ref="N396:N459" ca="1" si="126">IF(L396=0,0,M396+L396)</f>
        <v>0</v>
      </c>
      <c r="O396" s="28" t="str">
        <f t="shared" ca="1" si="113"/>
        <v>Yes</v>
      </c>
      <c r="P396" s="51">
        <f t="shared" ca="1" si="119"/>
        <v>0</v>
      </c>
      <c r="Q396">
        <f t="shared" ref="Q396:Q459" ca="1" si="127">IF($N395&lt;=$C396,0,$R395+1)</f>
        <v>0</v>
      </c>
      <c r="R396">
        <f t="shared" ca="1" si="120"/>
        <v>0</v>
      </c>
      <c r="S396" s="14">
        <f t="shared" ca="1" si="121"/>
        <v>0</v>
      </c>
    </row>
    <row r="397" spans="1:19" x14ac:dyDescent="0.25">
      <c r="A397">
        <v>388</v>
      </c>
      <c r="B397" s="51">
        <f t="shared" ca="1" si="110"/>
        <v>6.9844039556294852</v>
      </c>
      <c r="C397" s="51">
        <f t="shared" ca="1" si="122"/>
        <v>1181.5567926507179</v>
      </c>
      <c r="D397" s="11" t="str">
        <f t="shared" ca="1" si="114"/>
        <v>C1</v>
      </c>
      <c r="E397" s="51">
        <f t="shared" ca="1" si="123"/>
        <v>1181.5567926507179</v>
      </c>
      <c r="F397" s="51">
        <f t="shared" ca="1" si="111"/>
        <v>3.3170727093432166</v>
      </c>
      <c r="G397" s="51">
        <f t="shared" ca="1" si="124"/>
        <v>1184.873865360061</v>
      </c>
      <c r="H397" s="8" t="str">
        <f t="shared" ca="1" si="115"/>
        <v>No</v>
      </c>
      <c r="I397" s="32">
        <f t="shared" ca="1" si="125"/>
        <v>0</v>
      </c>
      <c r="J397" s="32">
        <f t="shared" ca="1" si="116"/>
        <v>4</v>
      </c>
      <c r="K397" s="31">
        <f t="shared" ca="1" si="117"/>
        <v>2</v>
      </c>
      <c r="L397" s="52">
        <f t="shared" ca="1" si="118"/>
        <v>0</v>
      </c>
      <c r="M397" s="51">
        <f t="shared" ca="1" si="112"/>
        <v>0.9836065266798556</v>
      </c>
      <c r="N397" s="51">
        <f t="shared" ca="1" si="126"/>
        <v>0</v>
      </c>
      <c r="O397" s="28" t="str">
        <f t="shared" ca="1" si="113"/>
        <v>Yes</v>
      </c>
      <c r="P397" s="51">
        <f t="shared" ca="1" si="119"/>
        <v>2.9741543460431785</v>
      </c>
      <c r="Q397">
        <f t="shared" ca="1" si="127"/>
        <v>0</v>
      </c>
      <c r="R397">
        <f t="shared" ca="1" si="120"/>
        <v>0</v>
      </c>
      <c r="S397" s="14">
        <f t="shared" ca="1" si="121"/>
        <v>0</v>
      </c>
    </row>
    <row r="398" spans="1:19" x14ac:dyDescent="0.25">
      <c r="A398">
        <v>389</v>
      </c>
      <c r="B398" s="51">
        <f t="shared" ca="1" si="110"/>
        <v>0.3429183632999297</v>
      </c>
      <c r="C398" s="51">
        <f t="shared" ca="1" si="122"/>
        <v>1181.8997110140178</v>
      </c>
      <c r="D398" s="11" t="str">
        <f t="shared" ca="1" si="114"/>
        <v>C2</v>
      </c>
      <c r="E398" s="51">
        <f t="shared" ca="1" si="123"/>
        <v>0</v>
      </c>
      <c r="F398" s="51">
        <f t="shared" ca="1" si="111"/>
        <v>6.1537128024698289</v>
      </c>
      <c r="G398" s="51">
        <f t="shared" ca="1" si="124"/>
        <v>0</v>
      </c>
      <c r="H398" s="8" t="str">
        <f t="shared" ca="1" si="115"/>
        <v>Yes</v>
      </c>
      <c r="I398" s="32">
        <f t="shared" ca="1" si="125"/>
        <v>5</v>
      </c>
      <c r="J398" s="32">
        <f t="shared" ca="1" si="116"/>
        <v>0</v>
      </c>
      <c r="K398" s="31">
        <f t="shared" ca="1" si="117"/>
        <v>2.5</v>
      </c>
      <c r="L398" s="52">
        <f t="shared" ca="1" si="118"/>
        <v>1181.8997110140178</v>
      </c>
      <c r="M398" s="51">
        <f t="shared" ca="1" si="112"/>
        <v>0.70484895454722729</v>
      </c>
      <c r="N398" s="51">
        <f t="shared" ca="1" si="126"/>
        <v>1182.6045599685651</v>
      </c>
      <c r="O398" s="28" t="str">
        <f t="shared" ca="1" si="113"/>
        <v>No</v>
      </c>
      <c r="P398" s="51">
        <f t="shared" ca="1" si="119"/>
        <v>0.48991917789248873</v>
      </c>
      <c r="Q398">
        <f t="shared" ca="1" si="127"/>
        <v>0</v>
      </c>
      <c r="R398">
        <f t="shared" ca="1" si="120"/>
        <v>1</v>
      </c>
      <c r="S398" s="14">
        <f t="shared" ca="1" si="121"/>
        <v>0.5</v>
      </c>
    </row>
    <row r="399" spans="1:19" x14ac:dyDescent="0.25">
      <c r="A399">
        <v>390</v>
      </c>
      <c r="B399" s="51">
        <f t="shared" ca="1" si="110"/>
        <v>0.21492977665478583</v>
      </c>
      <c r="C399" s="51">
        <f t="shared" ca="1" si="122"/>
        <v>1182.1146407906726</v>
      </c>
      <c r="D399" s="11" t="str">
        <f t="shared" ca="1" si="114"/>
        <v>C1</v>
      </c>
      <c r="E399" s="51">
        <f t="shared" ca="1" si="123"/>
        <v>1182.1146407906726</v>
      </c>
      <c r="F399" s="51">
        <f t="shared" ca="1" si="111"/>
        <v>2.2099822559286948</v>
      </c>
      <c r="G399" s="51">
        <f t="shared" ca="1" si="124"/>
        <v>1184.3246230466013</v>
      </c>
      <c r="H399" s="8" t="str">
        <f t="shared" ca="1" si="115"/>
        <v>No</v>
      </c>
      <c r="I399" s="32">
        <f t="shared" ca="1" si="125"/>
        <v>0</v>
      </c>
      <c r="J399" s="32">
        <f t="shared" ca="1" si="116"/>
        <v>1</v>
      </c>
      <c r="K399" s="31">
        <f t="shared" ca="1" si="117"/>
        <v>0.5</v>
      </c>
      <c r="L399" s="52">
        <f t="shared" ca="1" si="118"/>
        <v>0</v>
      </c>
      <c r="M399" s="51">
        <f t="shared" ca="1" si="112"/>
        <v>0.15236526629753561</v>
      </c>
      <c r="N399" s="51">
        <f t="shared" ca="1" si="126"/>
        <v>0</v>
      </c>
      <c r="O399" s="28" t="str">
        <f t="shared" ca="1" si="113"/>
        <v>Yes</v>
      </c>
      <c r="P399" s="51">
        <f t="shared" ca="1" si="119"/>
        <v>5.642323188658338E-2</v>
      </c>
      <c r="Q399">
        <f t="shared" ca="1" si="127"/>
        <v>2</v>
      </c>
      <c r="R399">
        <f t="shared" ca="1" si="120"/>
        <v>0</v>
      </c>
      <c r="S399" s="14">
        <f t="shared" ca="1" si="121"/>
        <v>1</v>
      </c>
    </row>
    <row r="400" spans="1:19" x14ac:dyDescent="0.25">
      <c r="A400">
        <v>391</v>
      </c>
      <c r="B400" s="51">
        <f t="shared" ca="1" si="110"/>
        <v>2.1535590240420386</v>
      </c>
      <c r="C400" s="51">
        <f t="shared" ca="1" si="122"/>
        <v>1184.2681998147148</v>
      </c>
      <c r="D400" s="11" t="str">
        <f t="shared" ca="1" si="114"/>
        <v>C2</v>
      </c>
      <c r="E400" s="51">
        <f t="shared" ca="1" si="123"/>
        <v>0</v>
      </c>
      <c r="F400" s="51">
        <f t="shared" ca="1" si="111"/>
        <v>17.270532387671359</v>
      </c>
      <c r="G400" s="51">
        <f t="shared" ca="1" si="124"/>
        <v>0</v>
      </c>
      <c r="H400" s="8" t="str">
        <f t="shared" ca="1" si="115"/>
        <v>Yes</v>
      </c>
      <c r="I400" s="32">
        <f t="shared" ca="1" si="125"/>
        <v>2</v>
      </c>
      <c r="J400" s="32">
        <f t="shared" ca="1" si="116"/>
        <v>0</v>
      </c>
      <c r="K400" s="31">
        <f t="shared" ca="1" si="117"/>
        <v>1</v>
      </c>
      <c r="L400" s="52">
        <f t="shared" ca="1" si="118"/>
        <v>1184.2681998147148</v>
      </c>
      <c r="M400" s="51">
        <f t="shared" ca="1" si="112"/>
        <v>7.4410800006285625</v>
      </c>
      <c r="N400" s="51">
        <f t="shared" ca="1" si="126"/>
        <v>1191.7092798153433</v>
      </c>
      <c r="O400" s="28" t="str">
        <f t="shared" ca="1" si="113"/>
        <v>No</v>
      </c>
      <c r="P400" s="51">
        <f t="shared" ca="1" si="119"/>
        <v>7.058862570635938</v>
      </c>
      <c r="Q400">
        <f t="shared" ca="1" si="127"/>
        <v>0</v>
      </c>
      <c r="R400">
        <f t="shared" ca="1" si="120"/>
        <v>5</v>
      </c>
      <c r="S400" s="14">
        <f t="shared" ca="1" si="121"/>
        <v>2.5</v>
      </c>
    </row>
    <row r="401" spans="1:19" x14ac:dyDescent="0.25">
      <c r="A401">
        <v>392</v>
      </c>
      <c r="B401" s="51">
        <f t="shared" ca="1" si="110"/>
        <v>0.38221742999246616</v>
      </c>
      <c r="C401" s="51">
        <f t="shared" ca="1" si="122"/>
        <v>1184.6504172447073</v>
      </c>
      <c r="D401" s="11" t="str">
        <f t="shared" ca="1" si="114"/>
        <v>C1</v>
      </c>
      <c r="E401" s="51">
        <f t="shared" ca="1" si="123"/>
        <v>1184.6504172447073</v>
      </c>
      <c r="F401" s="51">
        <f t="shared" ca="1" si="111"/>
        <v>2.5765885856625568</v>
      </c>
      <c r="G401" s="51">
        <f t="shared" ca="1" si="124"/>
        <v>1187.22700583037</v>
      </c>
      <c r="H401" s="8" t="str">
        <f t="shared" ca="1" si="115"/>
        <v>No</v>
      </c>
      <c r="I401" s="32">
        <f t="shared" ca="1" si="125"/>
        <v>0</v>
      </c>
      <c r="J401" s="32">
        <f t="shared" ca="1" si="116"/>
        <v>1</v>
      </c>
      <c r="K401" s="31">
        <f t="shared" ca="1" si="117"/>
        <v>0.5</v>
      </c>
      <c r="L401" s="52">
        <f t="shared" ca="1" si="118"/>
        <v>0</v>
      </c>
      <c r="M401" s="51">
        <f t="shared" ca="1" si="112"/>
        <v>0.1248159169743687</v>
      </c>
      <c r="N401" s="51">
        <f t="shared" ca="1" si="126"/>
        <v>0</v>
      </c>
      <c r="O401" s="28" t="str">
        <f t="shared" ca="1" si="113"/>
        <v>Yes</v>
      </c>
      <c r="P401" s="51">
        <f t="shared" ca="1" si="119"/>
        <v>1.8355294418306585</v>
      </c>
      <c r="Q401">
        <f t="shared" ca="1" si="127"/>
        <v>6</v>
      </c>
      <c r="R401">
        <f t="shared" ca="1" si="120"/>
        <v>0</v>
      </c>
      <c r="S401" s="14">
        <f t="shared" ca="1" si="121"/>
        <v>3</v>
      </c>
    </row>
    <row r="402" spans="1:19" x14ac:dyDescent="0.25">
      <c r="A402">
        <v>393</v>
      </c>
      <c r="B402" s="51">
        <f t="shared" ca="1" si="110"/>
        <v>0.74105914383192262</v>
      </c>
      <c r="C402" s="51">
        <f t="shared" ca="1" si="122"/>
        <v>1185.3914763885393</v>
      </c>
      <c r="D402" s="11" t="str">
        <f t="shared" ca="1" si="114"/>
        <v>C2</v>
      </c>
      <c r="E402" s="51">
        <f t="shared" ca="1" si="123"/>
        <v>0</v>
      </c>
      <c r="F402" s="51">
        <f t="shared" ca="1" si="111"/>
        <v>7.5344766776979908</v>
      </c>
      <c r="G402" s="51">
        <f t="shared" ca="1" si="124"/>
        <v>0</v>
      </c>
      <c r="H402" s="8" t="str">
        <f t="shared" ca="1" si="115"/>
        <v>Yes</v>
      </c>
      <c r="I402" s="32">
        <f t="shared" ca="1" si="125"/>
        <v>2</v>
      </c>
      <c r="J402" s="32">
        <f t="shared" ca="1" si="116"/>
        <v>0</v>
      </c>
      <c r="K402" s="31">
        <f t="shared" ca="1" si="117"/>
        <v>1</v>
      </c>
      <c r="L402" s="52">
        <f t="shared" ca="1" si="118"/>
        <v>1185.3914763885393</v>
      </c>
      <c r="M402" s="51">
        <f t="shared" ca="1" si="112"/>
        <v>2.5664860369956664</v>
      </c>
      <c r="N402" s="51">
        <f t="shared" ca="1" si="126"/>
        <v>1187.957962425535</v>
      </c>
      <c r="O402" s="28" t="str">
        <f t="shared" ca="1" si="113"/>
        <v>No</v>
      </c>
      <c r="P402" s="51">
        <f t="shared" ca="1" si="119"/>
        <v>0</v>
      </c>
      <c r="Q402">
        <f t="shared" ca="1" si="127"/>
        <v>0</v>
      </c>
      <c r="R402">
        <f t="shared" ca="1" si="120"/>
        <v>0</v>
      </c>
      <c r="S402" s="14">
        <f t="shared" ca="1" si="121"/>
        <v>0</v>
      </c>
    </row>
    <row r="403" spans="1:19" x14ac:dyDescent="0.25">
      <c r="A403">
        <v>394</v>
      </c>
      <c r="B403" s="51">
        <f t="shared" ca="1" si="110"/>
        <v>3.1656888505402252</v>
      </c>
      <c r="C403" s="51">
        <f t="shared" ca="1" si="122"/>
        <v>1188.5571652390795</v>
      </c>
      <c r="D403" s="11" t="str">
        <f t="shared" ca="1" si="114"/>
        <v>C1</v>
      </c>
      <c r="E403" s="51">
        <f t="shared" ca="1" si="123"/>
        <v>1188.5571652390795</v>
      </c>
      <c r="F403" s="51">
        <f t="shared" ca="1" si="111"/>
        <v>1.066839112171345</v>
      </c>
      <c r="G403" s="51">
        <f t="shared" ca="1" si="124"/>
        <v>1189.6240043512507</v>
      </c>
      <c r="H403" s="8" t="str">
        <f t="shared" ca="1" si="115"/>
        <v>No</v>
      </c>
      <c r="I403" s="32">
        <f t="shared" ca="1" si="125"/>
        <v>0</v>
      </c>
      <c r="J403" s="32">
        <f t="shared" ca="1" si="116"/>
        <v>2</v>
      </c>
      <c r="K403" s="31">
        <f t="shared" ca="1" si="117"/>
        <v>1</v>
      </c>
      <c r="L403" s="52">
        <f t="shared" ca="1" si="118"/>
        <v>0</v>
      </c>
      <c r="M403" s="51">
        <f t="shared" ca="1" si="112"/>
        <v>1.7858140103466549</v>
      </c>
      <c r="N403" s="51">
        <f t="shared" ca="1" si="126"/>
        <v>0</v>
      </c>
      <c r="O403" s="28" t="str">
        <f t="shared" ca="1" si="113"/>
        <v>Yes</v>
      </c>
      <c r="P403" s="51">
        <f t="shared" ca="1" si="119"/>
        <v>0.9341463325940822</v>
      </c>
      <c r="Q403">
        <f t="shared" ca="1" si="127"/>
        <v>0</v>
      </c>
      <c r="R403">
        <f t="shared" ca="1" si="120"/>
        <v>0</v>
      </c>
      <c r="S403" s="14">
        <f t="shared" ca="1" si="121"/>
        <v>0</v>
      </c>
    </row>
    <row r="404" spans="1:19" x14ac:dyDescent="0.25">
      <c r="A404">
        <v>395</v>
      </c>
      <c r="B404" s="51">
        <f t="shared" ca="1" si="110"/>
        <v>0.13269277957722062</v>
      </c>
      <c r="C404" s="51">
        <f t="shared" ca="1" si="122"/>
        <v>1188.6898580186567</v>
      </c>
      <c r="D404" s="11" t="str">
        <f t="shared" ca="1" si="114"/>
        <v>C2</v>
      </c>
      <c r="E404" s="51">
        <f t="shared" ca="1" si="123"/>
        <v>0</v>
      </c>
      <c r="F404" s="51">
        <f t="shared" ca="1" si="111"/>
        <v>3.8267064854641188</v>
      </c>
      <c r="G404" s="51">
        <f t="shared" ca="1" si="124"/>
        <v>0</v>
      </c>
      <c r="H404" s="8" t="str">
        <f t="shared" ca="1" si="115"/>
        <v>Yes</v>
      </c>
      <c r="I404" s="32">
        <f t="shared" ca="1" si="125"/>
        <v>3</v>
      </c>
      <c r="J404" s="32">
        <f t="shared" ca="1" si="116"/>
        <v>0</v>
      </c>
      <c r="K404" s="31">
        <f t="shared" ca="1" si="117"/>
        <v>1.5</v>
      </c>
      <c r="L404" s="52">
        <f t="shared" ca="1" si="118"/>
        <v>1188.6898580186567</v>
      </c>
      <c r="M404" s="51">
        <f t="shared" ca="1" si="112"/>
        <v>2.2054748373116997</v>
      </c>
      <c r="N404" s="51">
        <f t="shared" ca="1" si="126"/>
        <v>1190.8953328559683</v>
      </c>
      <c r="O404" s="28" t="str">
        <f t="shared" ca="1" si="113"/>
        <v>No</v>
      </c>
      <c r="P404" s="51">
        <f t="shared" ca="1" si="119"/>
        <v>2.0496924989940908</v>
      </c>
      <c r="Q404">
        <f t="shared" ca="1" si="127"/>
        <v>0</v>
      </c>
      <c r="R404">
        <f t="shared" ca="1" si="120"/>
        <v>1</v>
      </c>
      <c r="S404" s="14">
        <f t="shared" ca="1" si="121"/>
        <v>0.5</v>
      </c>
    </row>
    <row r="405" spans="1:19" x14ac:dyDescent="0.25">
      <c r="A405">
        <v>396</v>
      </c>
      <c r="B405" s="51">
        <f t="shared" ca="1" si="110"/>
        <v>0.15578233831749552</v>
      </c>
      <c r="C405" s="51">
        <f t="shared" ca="1" si="122"/>
        <v>1188.8456403569742</v>
      </c>
      <c r="D405" s="11" t="str">
        <f t="shared" ca="1" si="114"/>
        <v>C1</v>
      </c>
      <c r="E405" s="51">
        <f t="shared" ca="1" si="123"/>
        <v>1188.8456403569742</v>
      </c>
      <c r="F405" s="51">
        <f t="shared" ca="1" si="111"/>
        <v>0.36202247082904765</v>
      </c>
      <c r="G405" s="51">
        <f t="shared" ca="1" si="124"/>
        <v>1189.2076628278032</v>
      </c>
      <c r="H405" s="8" t="str">
        <f t="shared" ca="1" si="115"/>
        <v>No</v>
      </c>
      <c r="I405" s="32">
        <f t="shared" ca="1" si="125"/>
        <v>0</v>
      </c>
      <c r="J405" s="32">
        <f t="shared" ca="1" si="116"/>
        <v>0</v>
      </c>
      <c r="K405" s="31">
        <f t="shared" ca="1" si="117"/>
        <v>0</v>
      </c>
      <c r="L405" s="52">
        <f t="shared" ca="1" si="118"/>
        <v>0</v>
      </c>
      <c r="M405" s="51">
        <f t="shared" ca="1" si="112"/>
        <v>2.32265988271996</v>
      </c>
      <c r="N405" s="51">
        <f t="shared" ca="1" si="126"/>
        <v>0</v>
      </c>
      <c r="O405" s="28" t="str">
        <f t="shared" ca="1" si="113"/>
        <v>Yes</v>
      </c>
      <c r="P405" s="51">
        <f t="shared" ca="1" si="119"/>
        <v>0</v>
      </c>
      <c r="Q405">
        <f t="shared" ca="1" si="127"/>
        <v>2</v>
      </c>
      <c r="R405">
        <f t="shared" ca="1" si="120"/>
        <v>0</v>
      </c>
      <c r="S405" s="14">
        <f t="shared" ca="1" si="121"/>
        <v>1</v>
      </c>
    </row>
    <row r="406" spans="1:19" x14ac:dyDescent="0.25">
      <c r="A406">
        <v>397</v>
      </c>
      <c r="B406" s="51">
        <f t="shared" ca="1" si="110"/>
        <v>7.7814587602748686</v>
      </c>
      <c r="C406" s="51">
        <f t="shared" ca="1" si="122"/>
        <v>1196.6270991172491</v>
      </c>
      <c r="D406" s="11" t="str">
        <f t="shared" ca="1" si="114"/>
        <v>C1</v>
      </c>
      <c r="E406" s="51">
        <f t="shared" ca="1" si="123"/>
        <v>1196.6270991172491</v>
      </c>
      <c r="F406" s="51">
        <f t="shared" ca="1" si="111"/>
        <v>7.9539804463843922</v>
      </c>
      <c r="G406" s="51">
        <f t="shared" ca="1" si="124"/>
        <v>1204.5810795636335</v>
      </c>
      <c r="H406" s="8" t="str">
        <f t="shared" ca="1" si="115"/>
        <v>No</v>
      </c>
      <c r="I406" s="32">
        <f t="shared" ca="1" si="125"/>
        <v>0</v>
      </c>
      <c r="J406" s="32">
        <f t="shared" ca="1" si="116"/>
        <v>1</v>
      </c>
      <c r="K406" s="31">
        <f t="shared" ca="1" si="117"/>
        <v>0.5</v>
      </c>
      <c r="L406" s="52">
        <f t="shared" ca="1" si="118"/>
        <v>0</v>
      </c>
      <c r="M406" s="51">
        <f t="shared" ca="1" si="112"/>
        <v>2.0768166084600979</v>
      </c>
      <c r="N406" s="51">
        <f t="shared" ca="1" si="126"/>
        <v>0</v>
      </c>
      <c r="O406" s="28" t="str">
        <f t="shared" ca="1" si="113"/>
        <v>Yes</v>
      </c>
      <c r="P406" s="51">
        <f t="shared" ca="1" si="119"/>
        <v>4.2071641574711975</v>
      </c>
      <c r="Q406">
        <f t="shared" ca="1" si="127"/>
        <v>0</v>
      </c>
      <c r="R406">
        <f t="shared" ca="1" si="120"/>
        <v>0</v>
      </c>
      <c r="S406" s="14">
        <f t="shared" ca="1" si="121"/>
        <v>0</v>
      </c>
    </row>
    <row r="407" spans="1:19" x14ac:dyDescent="0.25">
      <c r="A407">
        <v>398</v>
      </c>
      <c r="B407" s="51">
        <f t="shared" ca="1" si="110"/>
        <v>3.7468162889132026</v>
      </c>
      <c r="C407" s="51">
        <f t="shared" ca="1" si="122"/>
        <v>1200.3739154061623</v>
      </c>
      <c r="D407" s="11" t="str">
        <f t="shared" ca="1" si="114"/>
        <v>C2</v>
      </c>
      <c r="E407" s="51">
        <f t="shared" ca="1" si="123"/>
        <v>0</v>
      </c>
      <c r="F407" s="51">
        <f t="shared" ca="1" si="111"/>
        <v>0.96798270473713888</v>
      </c>
      <c r="G407" s="51">
        <f t="shared" ca="1" si="124"/>
        <v>0</v>
      </c>
      <c r="H407" s="8" t="str">
        <f t="shared" ca="1" si="115"/>
        <v>Yes</v>
      </c>
      <c r="I407" s="32">
        <f t="shared" ca="1" si="125"/>
        <v>2</v>
      </c>
      <c r="J407" s="32">
        <f t="shared" ca="1" si="116"/>
        <v>0</v>
      </c>
      <c r="K407" s="31">
        <f t="shared" ca="1" si="117"/>
        <v>1</v>
      </c>
      <c r="L407" s="52">
        <f t="shared" ca="1" si="118"/>
        <v>1200.3739154061623</v>
      </c>
      <c r="M407" s="51">
        <f t="shared" ca="1" si="112"/>
        <v>3.532836552160814</v>
      </c>
      <c r="N407" s="51">
        <f t="shared" ca="1" si="126"/>
        <v>1203.9067519583232</v>
      </c>
      <c r="O407" s="28" t="str">
        <f t="shared" ca="1" si="113"/>
        <v>No</v>
      </c>
      <c r="P407" s="51">
        <f t="shared" ca="1" si="119"/>
        <v>0</v>
      </c>
      <c r="Q407">
        <f t="shared" ca="1" si="127"/>
        <v>0</v>
      </c>
      <c r="R407">
        <f t="shared" ca="1" si="120"/>
        <v>0</v>
      </c>
      <c r="S407" s="14">
        <f t="shared" ca="1" si="121"/>
        <v>0</v>
      </c>
    </row>
    <row r="408" spans="1:19" x14ac:dyDescent="0.25">
      <c r="A408">
        <v>399</v>
      </c>
      <c r="B408" s="51">
        <f t="shared" ca="1" si="110"/>
        <v>7.0136548802916252</v>
      </c>
      <c r="C408" s="51">
        <f t="shared" ca="1" si="122"/>
        <v>1207.3875702864539</v>
      </c>
      <c r="D408" s="11" t="str">
        <f t="shared" ca="1" si="114"/>
        <v>C1</v>
      </c>
      <c r="E408" s="51">
        <f t="shared" ca="1" si="123"/>
        <v>1207.3875702864539</v>
      </c>
      <c r="F408" s="51">
        <f t="shared" ca="1" si="111"/>
        <v>5.7109754245187947</v>
      </c>
      <c r="G408" s="51">
        <f t="shared" ca="1" si="124"/>
        <v>1213.0985457109728</v>
      </c>
      <c r="H408" s="8" t="str">
        <f t="shared" ca="1" si="115"/>
        <v>No</v>
      </c>
      <c r="I408" s="32">
        <f t="shared" ca="1" si="125"/>
        <v>0</v>
      </c>
      <c r="J408" s="32">
        <f t="shared" ca="1" si="116"/>
        <v>3</v>
      </c>
      <c r="K408" s="31">
        <f t="shared" ca="1" si="117"/>
        <v>1.5</v>
      </c>
      <c r="L408" s="52">
        <f t="shared" ca="1" si="118"/>
        <v>0</v>
      </c>
      <c r="M408" s="51">
        <f t="shared" ca="1" si="112"/>
        <v>0.76583302372450646</v>
      </c>
      <c r="N408" s="51">
        <f t="shared" ca="1" si="126"/>
        <v>0</v>
      </c>
      <c r="O408" s="28" t="str">
        <f t="shared" ca="1" si="113"/>
        <v>Yes</v>
      </c>
      <c r="P408" s="51">
        <f t="shared" ca="1" si="119"/>
        <v>4.6413666664395805</v>
      </c>
      <c r="Q408">
        <f t="shared" ca="1" si="127"/>
        <v>0</v>
      </c>
      <c r="R408">
        <f t="shared" ca="1" si="120"/>
        <v>0</v>
      </c>
      <c r="S408" s="14">
        <f t="shared" ca="1" si="121"/>
        <v>0</v>
      </c>
    </row>
    <row r="409" spans="1:19" x14ac:dyDescent="0.25">
      <c r="A409">
        <v>400</v>
      </c>
      <c r="B409" s="51">
        <f t="shared" ca="1" si="110"/>
        <v>1.0696087580793572</v>
      </c>
      <c r="C409" s="51">
        <f t="shared" ca="1" si="122"/>
        <v>1208.4571790445332</v>
      </c>
      <c r="D409" s="11" t="str">
        <f t="shared" ca="1" si="114"/>
        <v>C2</v>
      </c>
      <c r="E409" s="51">
        <f t="shared" ca="1" si="123"/>
        <v>0</v>
      </c>
      <c r="F409" s="51">
        <f t="shared" ca="1" si="111"/>
        <v>0.82391933129609973</v>
      </c>
      <c r="G409" s="51">
        <f t="shared" ca="1" si="124"/>
        <v>0</v>
      </c>
      <c r="H409" s="8" t="str">
        <f t="shared" ca="1" si="115"/>
        <v>Yes</v>
      </c>
      <c r="I409" s="32">
        <f t="shared" ca="1" si="125"/>
        <v>4</v>
      </c>
      <c r="J409" s="32">
        <f t="shared" ca="1" si="116"/>
        <v>0</v>
      </c>
      <c r="K409" s="31">
        <f t="shared" ca="1" si="117"/>
        <v>2</v>
      </c>
      <c r="L409" s="52">
        <f t="shared" ca="1" si="118"/>
        <v>1208.4571790445332</v>
      </c>
      <c r="M409" s="51">
        <f t="shared" ca="1" si="112"/>
        <v>1.8193804497123445</v>
      </c>
      <c r="N409" s="51">
        <f t="shared" ca="1" si="126"/>
        <v>1210.2765594942455</v>
      </c>
      <c r="O409" s="28" t="str">
        <f t="shared" ca="1" si="113"/>
        <v>No</v>
      </c>
      <c r="P409" s="51">
        <f t="shared" ca="1" si="119"/>
        <v>0</v>
      </c>
      <c r="Q409">
        <f t="shared" ca="1" si="127"/>
        <v>0</v>
      </c>
      <c r="R409">
        <f t="shared" ca="1" si="120"/>
        <v>0</v>
      </c>
      <c r="S409" s="14">
        <f t="shared" ca="1" si="121"/>
        <v>0</v>
      </c>
    </row>
    <row r="410" spans="1:19" x14ac:dyDescent="0.25">
      <c r="A410">
        <v>401</v>
      </c>
      <c r="B410" s="51">
        <f t="shared" ca="1" si="110"/>
        <v>3.3061605678174963</v>
      </c>
      <c r="C410" s="51">
        <f t="shared" ca="1" si="122"/>
        <v>1211.7633396123506</v>
      </c>
      <c r="D410" s="11" t="str">
        <f t="shared" ca="1" si="114"/>
        <v>C1</v>
      </c>
      <c r="E410" s="51">
        <f t="shared" ca="1" si="123"/>
        <v>1211.7633396123506</v>
      </c>
      <c r="F410" s="51">
        <f t="shared" ca="1" si="111"/>
        <v>4.4011508917002828</v>
      </c>
      <c r="G410" s="51">
        <f t="shared" ca="1" si="124"/>
        <v>1216.1644905040509</v>
      </c>
      <c r="H410" s="8" t="str">
        <f t="shared" ca="1" si="115"/>
        <v>No</v>
      </c>
      <c r="I410" s="32">
        <f t="shared" ca="1" si="125"/>
        <v>0</v>
      </c>
      <c r="J410" s="32">
        <f t="shared" ca="1" si="116"/>
        <v>1</v>
      </c>
      <c r="K410" s="31">
        <f t="shared" ca="1" si="117"/>
        <v>0.5</v>
      </c>
      <c r="L410" s="52">
        <f t="shared" ca="1" si="118"/>
        <v>0</v>
      </c>
      <c r="M410" s="51">
        <f t="shared" ca="1" si="112"/>
        <v>0.73091513475627568</v>
      </c>
      <c r="N410" s="51">
        <f t="shared" ca="1" si="126"/>
        <v>0</v>
      </c>
      <c r="O410" s="28" t="str">
        <f t="shared" ca="1" si="113"/>
        <v>Yes</v>
      </c>
      <c r="P410" s="51">
        <f t="shared" ca="1" si="119"/>
        <v>3.2936213457317081</v>
      </c>
      <c r="Q410">
        <f t="shared" ca="1" si="127"/>
        <v>0</v>
      </c>
      <c r="R410">
        <f t="shared" ca="1" si="120"/>
        <v>0</v>
      </c>
      <c r="S410" s="14">
        <f t="shared" ca="1" si="121"/>
        <v>0</v>
      </c>
    </row>
    <row r="411" spans="1:19" x14ac:dyDescent="0.25">
      <c r="A411">
        <v>402</v>
      </c>
      <c r="B411" s="51">
        <f t="shared" ca="1" si="110"/>
        <v>1.1075295459686012</v>
      </c>
      <c r="C411" s="51">
        <f t="shared" ca="1" si="122"/>
        <v>1212.8708691583192</v>
      </c>
      <c r="D411" s="11" t="str">
        <f t="shared" ca="1" si="114"/>
        <v>C2</v>
      </c>
      <c r="E411" s="51">
        <f t="shared" ca="1" si="123"/>
        <v>0</v>
      </c>
      <c r="F411" s="51">
        <f t="shared" ca="1" si="111"/>
        <v>5.3922926668036482</v>
      </c>
      <c r="G411" s="51">
        <f t="shared" ca="1" si="124"/>
        <v>0</v>
      </c>
      <c r="H411" s="8" t="str">
        <f t="shared" ca="1" si="115"/>
        <v>Yes</v>
      </c>
      <c r="I411" s="32">
        <f t="shared" ca="1" si="125"/>
        <v>2</v>
      </c>
      <c r="J411" s="32">
        <f t="shared" ca="1" si="116"/>
        <v>0</v>
      </c>
      <c r="K411" s="31">
        <f t="shared" ca="1" si="117"/>
        <v>1</v>
      </c>
      <c r="L411" s="52">
        <f t="shared" ca="1" si="118"/>
        <v>1212.8708691583192</v>
      </c>
      <c r="M411" s="51">
        <f t="shared" ca="1" si="112"/>
        <v>3.6967507969743676</v>
      </c>
      <c r="N411" s="51">
        <f t="shared" ca="1" si="126"/>
        <v>1216.5676199552936</v>
      </c>
      <c r="O411" s="28" t="str">
        <f t="shared" ca="1" si="113"/>
        <v>No</v>
      </c>
      <c r="P411" s="51">
        <f t="shared" ca="1" si="119"/>
        <v>0</v>
      </c>
      <c r="Q411">
        <f t="shared" ca="1" si="127"/>
        <v>0</v>
      </c>
      <c r="R411">
        <f t="shared" ca="1" si="120"/>
        <v>0</v>
      </c>
      <c r="S411" s="14">
        <f t="shared" ca="1" si="121"/>
        <v>0</v>
      </c>
    </row>
    <row r="412" spans="1:19" x14ac:dyDescent="0.25">
      <c r="A412">
        <v>403</v>
      </c>
      <c r="B412" s="51">
        <f t="shared" ca="1" si="110"/>
        <v>5.2797975581265408</v>
      </c>
      <c r="C412" s="51">
        <f t="shared" ca="1" si="122"/>
        <v>1218.1506667164458</v>
      </c>
      <c r="D412" s="11" t="str">
        <f t="shared" ca="1" si="114"/>
        <v>C1</v>
      </c>
      <c r="E412" s="51">
        <f t="shared" ca="1" si="123"/>
        <v>1218.1506667164458</v>
      </c>
      <c r="F412" s="51">
        <f t="shared" ca="1" si="111"/>
        <v>0.20674156299914836</v>
      </c>
      <c r="G412" s="51">
        <f t="shared" ca="1" si="124"/>
        <v>1218.3574082794451</v>
      </c>
      <c r="H412" s="8" t="str">
        <f t="shared" ca="1" si="115"/>
        <v>No</v>
      </c>
      <c r="I412" s="32">
        <f t="shared" ca="1" si="125"/>
        <v>0</v>
      </c>
      <c r="J412" s="32">
        <f t="shared" ca="1" si="116"/>
        <v>0</v>
      </c>
      <c r="K412" s="31">
        <f t="shared" ca="1" si="117"/>
        <v>0</v>
      </c>
      <c r="L412" s="52">
        <f t="shared" ca="1" si="118"/>
        <v>0</v>
      </c>
      <c r="M412" s="51">
        <f t="shared" ca="1" si="112"/>
        <v>0.37022951206313259</v>
      </c>
      <c r="N412" s="51">
        <f t="shared" ca="1" si="126"/>
        <v>0</v>
      </c>
      <c r="O412" s="28" t="str">
        <f t="shared" ca="1" si="113"/>
        <v>Yes</v>
      </c>
      <c r="P412" s="51">
        <f t="shared" ca="1" si="119"/>
        <v>0</v>
      </c>
      <c r="Q412">
        <f t="shared" ca="1" si="127"/>
        <v>0</v>
      </c>
      <c r="R412">
        <f t="shared" ca="1" si="120"/>
        <v>0</v>
      </c>
      <c r="S412" s="14">
        <f t="shared" ca="1" si="121"/>
        <v>0</v>
      </c>
    </row>
    <row r="413" spans="1:19" x14ac:dyDescent="0.25">
      <c r="A413">
        <v>404</v>
      </c>
      <c r="B413" s="51">
        <f t="shared" ca="1" si="110"/>
        <v>4.1452709929285438</v>
      </c>
      <c r="C413" s="51">
        <f t="shared" ca="1" si="122"/>
        <v>1222.2959377093744</v>
      </c>
      <c r="D413" s="11" t="str">
        <f t="shared" ca="1" si="114"/>
        <v>C1</v>
      </c>
      <c r="E413" s="51">
        <f t="shared" ca="1" si="123"/>
        <v>1222.2959377093744</v>
      </c>
      <c r="F413" s="51">
        <f t="shared" ca="1" si="111"/>
        <v>0.69830067687198916</v>
      </c>
      <c r="G413" s="51">
        <f t="shared" ca="1" si="124"/>
        <v>1222.9942383862463</v>
      </c>
      <c r="H413" s="8" t="str">
        <f t="shared" ca="1" si="115"/>
        <v>No</v>
      </c>
      <c r="I413" s="32">
        <f t="shared" ca="1" si="125"/>
        <v>0</v>
      </c>
      <c r="J413" s="32">
        <f t="shared" ca="1" si="116"/>
        <v>0</v>
      </c>
      <c r="K413" s="31">
        <f t="shared" ca="1" si="117"/>
        <v>0</v>
      </c>
      <c r="L413" s="52">
        <f t="shared" ca="1" si="118"/>
        <v>0</v>
      </c>
      <c r="M413" s="51">
        <f t="shared" ca="1" si="112"/>
        <v>1.3664118627238655</v>
      </c>
      <c r="N413" s="51">
        <f t="shared" ca="1" si="126"/>
        <v>0</v>
      </c>
      <c r="O413" s="28" t="str">
        <f t="shared" ca="1" si="113"/>
        <v>Yes</v>
      </c>
      <c r="P413" s="51">
        <f t="shared" ca="1" si="119"/>
        <v>0</v>
      </c>
      <c r="Q413">
        <f t="shared" ca="1" si="127"/>
        <v>0</v>
      </c>
      <c r="R413">
        <f t="shared" ca="1" si="120"/>
        <v>0</v>
      </c>
      <c r="S413" s="14">
        <f t="shared" ca="1" si="121"/>
        <v>0</v>
      </c>
    </row>
    <row r="414" spans="1:19" x14ac:dyDescent="0.25">
      <c r="A414">
        <v>405</v>
      </c>
      <c r="B414" s="51">
        <f t="shared" ca="1" si="110"/>
        <v>3.4149130494700777</v>
      </c>
      <c r="C414" s="51">
        <f t="shared" ca="1" si="122"/>
        <v>1225.7108507588443</v>
      </c>
      <c r="D414" s="11" t="str">
        <f t="shared" ca="1" si="114"/>
        <v>C1</v>
      </c>
      <c r="E414" s="51">
        <f t="shared" ca="1" si="123"/>
        <v>1225.7108507588443</v>
      </c>
      <c r="F414" s="51">
        <f t="shared" ca="1" si="111"/>
        <v>0.74389142831939781</v>
      </c>
      <c r="G414" s="51">
        <f t="shared" ca="1" si="124"/>
        <v>1226.4547421871637</v>
      </c>
      <c r="H414" s="8" t="str">
        <f t="shared" ca="1" si="115"/>
        <v>No</v>
      </c>
      <c r="I414" s="32">
        <f t="shared" ca="1" si="125"/>
        <v>0</v>
      </c>
      <c r="J414" s="32">
        <f t="shared" ca="1" si="116"/>
        <v>0</v>
      </c>
      <c r="K414" s="31">
        <f t="shared" ca="1" si="117"/>
        <v>0</v>
      </c>
      <c r="L414" s="52">
        <f t="shared" ca="1" si="118"/>
        <v>0</v>
      </c>
      <c r="M414" s="51">
        <f t="shared" ca="1" si="112"/>
        <v>2.286830909620852E-2</v>
      </c>
      <c r="N414" s="51">
        <f t="shared" ca="1" si="126"/>
        <v>0</v>
      </c>
      <c r="O414" s="28" t="str">
        <f t="shared" ca="1" si="113"/>
        <v>Yes</v>
      </c>
      <c r="P414" s="51">
        <f t="shared" ca="1" si="119"/>
        <v>0</v>
      </c>
      <c r="Q414">
        <f t="shared" ca="1" si="127"/>
        <v>0</v>
      </c>
      <c r="R414">
        <f t="shared" ca="1" si="120"/>
        <v>0</v>
      </c>
      <c r="S414" s="14">
        <f t="shared" ca="1" si="121"/>
        <v>0</v>
      </c>
    </row>
    <row r="415" spans="1:19" x14ac:dyDescent="0.25">
      <c r="A415">
        <v>406</v>
      </c>
      <c r="B415" s="51">
        <f t="shared" ca="1" si="110"/>
        <v>7.6966617688346872</v>
      </c>
      <c r="C415" s="51">
        <f t="shared" ca="1" si="122"/>
        <v>1233.407512527679</v>
      </c>
      <c r="D415" s="11" t="str">
        <f t="shared" ca="1" si="114"/>
        <v>C1</v>
      </c>
      <c r="E415" s="51">
        <f t="shared" ca="1" si="123"/>
        <v>1233.407512527679</v>
      </c>
      <c r="F415" s="51">
        <f t="shared" ca="1" si="111"/>
        <v>2.813995463448232</v>
      </c>
      <c r="G415" s="51">
        <f t="shared" ca="1" si="124"/>
        <v>1236.2215079911273</v>
      </c>
      <c r="H415" s="8" t="str">
        <f t="shared" ca="1" si="115"/>
        <v>No</v>
      </c>
      <c r="I415" s="32">
        <f t="shared" ca="1" si="125"/>
        <v>0</v>
      </c>
      <c r="J415" s="32">
        <f t="shared" ca="1" si="116"/>
        <v>0</v>
      </c>
      <c r="K415" s="31">
        <f t="shared" ca="1" si="117"/>
        <v>0</v>
      </c>
      <c r="L415" s="52">
        <f t="shared" ca="1" si="118"/>
        <v>0</v>
      </c>
      <c r="M415" s="51">
        <f t="shared" ca="1" si="112"/>
        <v>0.89868324913231612</v>
      </c>
      <c r="N415" s="51">
        <f t="shared" ca="1" si="126"/>
        <v>0</v>
      </c>
      <c r="O415" s="28" t="str">
        <f t="shared" ca="1" si="113"/>
        <v>Yes</v>
      </c>
      <c r="P415" s="51">
        <f t="shared" ca="1" si="119"/>
        <v>0</v>
      </c>
      <c r="Q415">
        <f t="shared" ca="1" si="127"/>
        <v>0</v>
      </c>
      <c r="R415">
        <f t="shared" ca="1" si="120"/>
        <v>0</v>
      </c>
      <c r="S415" s="14">
        <f t="shared" ca="1" si="121"/>
        <v>0</v>
      </c>
    </row>
    <row r="416" spans="1:19" x14ac:dyDescent="0.25">
      <c r="A416">
        <v>407</v>
      </c>
      <c r="B416" s="51">
        <f t="shared" ca="1" si="110"/>
        <v>4.9983012444905732</v>
      </c>
      <c r="C416" s="51">
        <f t="shared" ca="1" si="122"/>
        <v>1238.4058137721697</v>
      </c>
      <c r="D416" s="11" t="str">
        <f t="shared" ca="1" si="114"/>
        <v>C1</v>
      </c>
      <c r="E416" s="51">
        <f t="shared" ca="1" si="123"/>
        <v>1238.4058137721697</v>
      </c>
      <c r="F416" s="51">
        <f t="shared" ca="1" si="111"/>
        <v>3.2234365109322658</v>
      </c>
      <c r="G416" s="51">
        <f t="shared" ca="1" si="124"/>
        <v>1241.629250283102</v>
      </c>
      <c r="H416" s="8" t="str">
        <f t="shared" ca="1" si="115"/>
        <v>No</v>
      </c>
      <c r="I416" s="32">
        <f t="shared" ca="1" si="125"/>
        <v>0</v>
      </c>
      <c r="J416" s="32">
        <f t="shared" ca="1" si="116"/>
        <v>2</v>
      </c>
      <c r="K416" s="31">
        <f t="shared" ca="1" si="117"/>
        <v>1</v>
      </c>
      <c r="L416" s="52">
        <f t="shared" ca="1" si="118"/>
        <v>0</v>
      </c>
      <c r="M416" s="51">
        <f t="shared" ca="1" si="112"/>
        <v>7.0063690578209004</v>
      </c>
      <c r="N416" s="51">
        <f t="shared" ca="1" si="126"/>
        <v>0</v>
      </c>
      <c r="O416" s="28" t="str">
        <f t="shared" ca="1" si="113"/>
        <v>Yes</v>
      </c>
      <c r="P416" s="51">
        <f t="shared" ca="1" si="119"/>
        <v>3.1921694614609351</v>
      </c>
      <c r="Q416">
        <f t="shared" ca="1" si="127"/>
        <v>0</v>
      </c>
      <c r="R416">
        <f t="shared" ca="1" si="120"/>
        <v>0</v>
      </c>
      <c r="S416" s="14">
        <f t="shared" ca="1" si="121"/>
        <v>0</v>
      </c>
    </row>
    <row r="417" spans="1:19" x14ac:dyDescent="0.25">
      <c r="A417">
        <v>408</v>
      </c>
      <c r="B417" s="51">
        <f t="shared" ca="1" si="110"/>
        <v>3.1267049471345634E-2</v>
      </c>
      <c r="C417" s="51">
        <f t="shared" ca="1" si="122"/>
        <v>1238.4370808216411</v>
      </c>
      <c r="D417" s="11" t="str">
        <f t="shared" ca="1" si="114"/>
        <v>C2</v>
      </c>
      <c r="E417" s="51">
        <f t="shared" ca="1" si="123"/>
        <v>0</v>
      </c>
      <c r="F417" s="51">
        <f t="shared" ca="1" si="111"/>
        <v>2.0796439149834067</v>
      </c>
      <c r="G417" s="51">
        <f t="shared" ca="1" si="124"/>
        <v>0</v>
      </c>
      <c r="H417" s="8" t="str">
        <f t="shared" ca="1" si="115"/>
        <v>Yes</v>
      </c>
      <c r="I417" s="32">
        <f t="shared" ca="1" si="125"/>
        <v>3</v>
      </c>
      <c r="J417" s="32">
        <f t="shared" ca="1" si="116"/>
        <v>0</v>
      </c>
      <c r="K417" s="31">
        <f t="shared" ca="1" si="117"/>
        <v>1.5</v>
      </c>
      <c r="L417" s="52">
        <f t="shared" ca="1" si="118"/>
        <v>1238.4370808216411</v>
      </c>
      <c r="M417" s="51">
        <f t="shared" ca="1" si="112"/>
        <v>0.29211079040743687</v>
      </c>
      <c r="N417" s="51">
        <f t="shared" ca="1" si="126"/>
        <v>1238.7291916120485</v>
      </c>
      <c r="O417" s="28" t="str">
        <f t="shared" ca="1" si="113"/>
        <v>No</v>
      </c>
      <c r="P417" s="51">
        <f t="shared" ca="1" si="119"/>
        <v>0.18792668338028307</v>
      </c>
      <c r="Q417">
        <f t="shared" ca="1" si="127"/>
        <v>0</v>
      </c>
      <c r="R417">
        <f t="shared" ca="1" si="120"/>
        <v>1</v>
      </c>
      <c r="S417" s="14">
        <f t="shared" ca="1" si="121"/>
        <v>0.5</v>
      </c>
    </row>
    <row r="418" spans="1:19" x14ac:dyDescent="0.25">
      <c r="A418">
        <v>409</v>
      </c>
      <c r="B418" s="51">
        <f t="shared" ca="1" si="110"/>
        <v>0.10418410702715503</v>
      </c>
      <c r="C418" s="51">
        <f t="shared" ca="1" si="122"/>
        <v>1238.5412649286682</v>
      </c>
      <c r="D418" s="11" t="str">
        <f t="shared" ca="1" si="114"/>
        <v>C1</v>
      </c>
      <c r="E418" s="51">
        <f t="shared" ca="1" si="123"/>
        <v>1238.5412649286682</v>
      </c>
      <c r="F418" s="51">
        <f t="shared" ca="1" si="111"/>
        <v>5.8275912950575508</v>
      </c>
      <c r="G418" s="51">
        <f t="shared" ca="1" si="124"/>
        <v>1244.3688562237257</v>
      </c>
      <c r="H418" s="8" t="str">
        <f t="shared" ca="1" si="115"/>
        <v>No</v>
      </c>
      <c r="I418" s="32">
        <f t="shared" ca="1" si="125"/>
        <v>0</v>
      </c>
      <c r="J418" s="32">
        <f t="shared" ca="1" si="116"/>
        <v>0</v>
      </c>
      <c r="K418" s="31">
        <f t="shared" ca="1" si="117"/>
        <v>0</v>
      </c>
      <c r="L418" s="52">
        <f t="shared" ca="1" si="118"/>
        <v>0</v>
      </c>
      <c r="M418" s="51">
        <f t="shared" ca="1" si="112"/>
        <v>1.6168136286840231</v>
      </c>
      <c r="N418" s="51">
        <f t="shared" ca="1" si="126"/>
        <v>0</v>
      </c>
      <c r="O418" s="28" t="str">
        <f t="shared" ca="1" si="113"/>
        <v>Yes</v>
      </c>
      <c r="P418" s="51">
        <f t="shared" ca="1" si="119"/>
        <v>0</v>
      </c>
      <c r="Q418">
        <f t="shared" ca="1" si="127"/>
        <v>2</v>
      </c>
      <c r="R418">
        <f t="shared" ca="1" si="120"/>
        <v>0</v>
      </c>
      <c r="S418" s="14">
        <f t="shared" ca="1" si="121"/>
        <v>1</v>
      </c>
    </row>
    <row r="419" spans="1:19" x14ac:dyDescent="0.25">
      <c r="A419">
        <v>410</v>
      </c>
      <c r="B419" s="51">
        <f t="shared" ca="1" si="110"/>
        <v>9.8451425590036372</v>
      </c>
      <c r="C419" s="51">
        <f t="shared" ca="1" si="122"/>
        <v>1248.3864074876717</v>
      </c>
      <c r="D419" s="11" t="str">
        <f t="shared" ca="1" si="114"/>
        <v>C1</v>
      </c>
      <c r="E419" s="51">
        <f t="shared" ca="1" si="123"/>
        <v>1248.3864074876717</v>
      </c>
      <c r="F419" s="51">
        <f t="shared" ca="1" si="111"/>
        <v>0.79931311638175184</v>
      </c>
      <c r="G419" s="51">
        <f t="shared" ca="1" si="124"/>
        <v>1249.1857206040534</v>
      </c>
      <c r="H419" s="8" t="str">
        <f t="shared" ca="1" si="115"/>
        <v>No</v>
      </c>
      <c r="I419" s="32">
        <f t="shared" ca="1" si="125"/>
        <v>0</v>
      </c>
      <c r="J419" s="32">
        <f t="shared" ca="1" si="116"/>
        <v>0</v>
      </c>
      <c r="K419" s="31">
        <f t="shared" ca="1" si="117"/>
        <v>0</v>
      </c>
      <c r="L419" s="52">
        <f t="shared" ca="1" si="118"/>
        <v>0</v>
      </c>
      <c r="M419" s="51">
        <f t="shared" ca="1" si="112"/>
        <v>0.15545652204558105</v>
      </c>
      <c r="N419" s="51">
        <f t="shared" ca="1" si="126"/>
        <v>0</v>
      </c>
      <c r="O419" s="28" t="str">
        <f t="shared" ca="1" si="113"/>
        <v>Yes</v>
      </c>
      <c r="P419" s="51">
        <f t="shared" ca="1" si="119"/>
        <v>0</v>
      </c>
      <c r="Q419">
        <f t="shared" ca="1" si="127"/>
        <v>0</v>
      </c>
      <c r="R419">
        <f t="shared" ca="1" si="120"/>
        <v>0</v>
      </c>
      <c r="S419" s="14">
        <f t="shared" ca="1" si="121"/>
        <v>0</v>
      </c>
    </row>
    <row r="420" spans="1:19" x14ac:dyDescent="0.25">
      <c r="A420">
        <v>411</v>
      </c>
      <c r="B420" s="51">
        <f t="shared" ca="1" si="110"/>
        <v>1.7369230613707083</v>
      </c>
      <c r="C420" s="51">
        <f t="shared" ca="1" si="122"/>
        <v>1250.1233305490425</v>
      </c>
      <c r="D420" s="11" t="str">
        <f t="shared" ca="1" si="114"/>
        <v>C1</v>
      </c>
      <c r="E420" s="51">
        <f t="shared" ca="1" si="123"/>
        <v>1250.1233305490425</v>
      </c>
      <c r="F420" s="51">
        <f t="shared" ca="1" si="111"/>
        <v>0.75782238677381986</v>
      </c>
      <c r="G420" s="51">
        <f t="shared" ca="1" si="124"/>
        <v>1250.8811529358163</v>
      </c>
      <c r="H420" s="8" t="str">
        <f t="shared" ca="1" si="115"/>
        <v>No</v>
      </c>
      <c r="I420" s="32">
        <f t="shared" ca="1" si="125"/>
        <v>0</v>
      </c>
      <c r="J420" s="32">
        <f t="shared" ca="1" si="116"/>
        <v>1</v>
      </c>
      <c r="K420" s="31">
        <f t="shared" ca="1" si="117"/>
        <v>0.5</v>
      </c>
      <c r="L420" s="52">
        <f t="shared" ca="1" si="118"/>
        <v>0</v>
      </c>
      <c r="M420" s="51">
        <f t="shared" ca="1" si="112"/>
        <v>0.60467857344397713</v>
      </c>
      <c r="N420" s="51">
        <f t="shared" ca="1" si="126"/>
        <v>0</v>
      </c>
      <c r="O420" s="28" t="str">
        <f t="shared" ca="1" si="113"/>
        <v>Yes</v>
      </c>
      <c r="P420" s="51">
        <f t="shared" ca="1" si="119"/>
        <v>0.42222320616247089</v>
      </c>
      <c r="Q420">
        <f t="shared" ca="1" si="127"/>
        <v>0</v>
      </c>
      <c r="R420">
        <f t="shared" ca="1" si="120"/>
        <v>0</v>
      </c>
      <c r="S420" s="14">
        <f t="shared" ca="1" si="121"/>
        <v>0</v>
      </c>
    </row>
    <row r="421" spans="1:19" x14ac:dyDescent="0.25">
      <c r="A421">
        <v>412</v>
      </c>
      <c r="B421" s="51">
        <f t="shared" ca="1" si="110"/>
        <v>0.33559918061143867</v>
      </c>
      <c r="C421" s="51">
        <f t="shared" ca="1" si="122"/>
        <v>1250.4589297296538</v>
      </c>
      <c r="D421" s="11" t="str">
        <f t="shared" ca="1" si="114"/>
        <v>C2</v>
      </c>
      <c r="E421" s="51">
        <f t="shared" ca="1" si="123"/>
        <v>0</v>
      </c>
      <c r="F421" s="51">
        <f t="shared" ca="1" si="111"/>
        <v>1.4038307381115513</v>
      </c>
      <c r="G421" s="51">
        <f t="shared" ca="1" si="124"/>
        <v>0</v>
      </c>
      <c r="H421" s="8" t="str">
        <f t="shared" ca="1" si="115"/>
        <v>Yes</v>
      </c>
      <c r="I421" s="32">
        <f t="shared" ca="1" si="125"/>
        <v>2</v>
      </c>
      <c r="J421" s="32">
        <f t="shared" ca="1" si="116"/>
        <v>0</v>
      </c>
      <c r="K421" s="31">
        <f t="shared" ca="1" si="117"/>
        <v>1</v>
      </c>
      <c r="L421" s="52">
        <f t="shared" ca="1" si="118"/>
        <v>1250.4589297296538</v>
      </c>
      <c r="M421" s="51">
        <f t="shared" ca="1" si="112"/>
        <v>10.96137293166586</v>
      </c>
      <c r="N421" s="51">
        <f t="shared" ca="1" si="126"/>
        <v>1261.4203026613197</v>
      </c>
      <c r="O421" s="28" t="str">
        <f t="shared" ca="1" si="113"/>
        <v>No</v>
      </c>
      <c r="P421" s="51">
        <f t="shared" ca="1" si="119"/>
        <v>6.49272226474136</v>
      </c>
      <c r="Q421">
        <f t="shared" ca="1" si="127"/>
        <v>0</v>
      </c>
      <c r="R421">
        <f t="shared" ca="1" si="120"/>
        <v>2</v>
      </c>
      <c r="S421" s="14">
        <f t="shared" ca="1" si="121"/>
        <v>1</v>
      </c>
    </row>
    <row r="422" spans="1:19" x14ac:dyDescent="0.25">
      <c r="A422">
        <v>413</v>
      </c>
      <c r="B422" s="51">
        <f t="shared" ca="1" si="110"/>
        <v>4.468650666924515</v>
      </c>
      <c r="C422" s="51">
        <f t="shared" ca="1" si="122"/>
        <v>1254.9275803965784</v>
      </c>
      <c r="D422" s="11" t="str">
        <f t="shared" ca="1" si="114"/>
        <v>C1</v>
      </c>
      <c r="E422" s="51">
        <f t="shared" ca="1" si="123"/>
        <v>1254.9275803965784</v>
      </c>
      <c r="F422" s="51">
        <f t="shared" ca="1" si="111"/>
        <v>3.784092100126879</v>
      </c>
      <c r="G422" s="51">
        <f t="shared" ca="1" si="124"/>
        <v>1258.7116724967052</v>
      </c>
      <c r="H422" s="8" t="str">
        <f t="shared" ca="1" si="115"/>
        <v>No</v>
      </c>
      <c r="I422" s="32">
        <f t="shared" ca="1" si="125"/>
        <v>0</v>
      </c>
      <c r="J422" s="32">
        <f t="shared" ca="1" si="116"/>
        <v>0</v>
      </c>
      <c r="K422" s="31">
        <f t="shared" ca="1" si="117"/>
        <v>0</v>
      </c>
      <c r="L422" s="52">
        <f t="shared" ca="1" si="118"/>
        <v>0</v>
      </c>
      <c r="M422" s="51">
        <f t="shared" ca="1" si="112"/>
        <v>0.75735554828612961</v>
      </c>
      <c r="N422" s="51">
        <f t="shared" ca="1" si="126"/>
        <v>0</v>
      </c>
      <c r="O422" s="28" t="str">
        <f t="shared" ca="1" si="113"/>
        <v>Yes</v>
      </c>
      <c r="P422" s="51">
        <f t="shared" ca="1" si="119"/>
        <v>0</v>
      </c>
      <c r="Q422">
        <f t="shared" ca="1" si="127"/>
        <v>3</v>
      </c>
      <c r="R422">
        <f t="shared" ca="1" si="120"/>
        <v>0</v>
      </c>
      <c r="S422" s="14">
        <f t="shared" ca="1" si="121"/>
        <v>1.5</v>
      </c>
    </row>
    <row r="423" spans="1:19" x14ac:dyDescent="0.25">
      <c r="A423">
        <v>414</v>
      </c>
      <c r="B423" s="51">
        <f t="shared" ca="1" si="110"/>
        <v>3.8637118372526178</v>
      </c>
      <c r="C423" s="51">
        <f t="shared" ca="1" si="122"/>
        <v>1258.791292233831</v>
      </c>
      <c r="D423" s="11" t="str">
        <f t="shared" ca="1" si="114"/>
        <v>C1</v>
      </c>
      <c r="E423" s="51">
        <f t="shared" ca="1" si="123"/>
        <v>1258.791292233831</v>
      </c>
      <c r="F423" s="51">
        <f t="shared" ca="1" si="111"/>
        <v>8.416502228199052</v>
      </c>
      <c r="G423" s="51">
        <f t="shared" ca="1" si="124"/>
        <v>1267.2077944620301</v>
      </c>
      <c r="H423" s="8" t="str">
        <f t="shared" ca="1" si="115"/>
        <v>No</v>
      </c>
      <c r="I423" s="32">
        <f t="shared" ca="1" si="125"/>
        <v>0</v>
      </c>
      <c r="J423" s="32">
        <f t="shared" ca="1" si="116"/>
        <v>1</v>
      </c>
      <c r="K423" s="31">
        <f t="shared" ca="1" si="117"/>
        <v>0.5</v>
      </c>
      <c r="L423" s="52">
        <f t="shared" ca="1" si="118"/>
        <v>0</v>
      </c>
      <c r="M423" s="51">
        <f t="shared" ca="1" si="112"/>
        <v>0.53058639901152682</v>
      </c>
      <c r="N423" s="51">
        <f t="shared" ca="1" si="126"/>
        <v>0</v>
      </c>
      <c r="O423" s="28" t="str">
        <f t="shared" ca="1" si="113"/>
        <v>Yes</v>
      </c>
      <c r="P423" s="51">
        <f t="shared" ca="1" si="119"/>
        <v>3.5024431175531845</v>
      </c>
      <c r="Q423">
        <f t="shared" ca="1" si="127"/>
        <v>0</v>
      </c>
      <c r="R423">
        <f t="shared" ca="1" si="120"/>
        <v>0</v>
      </c>
      <c r="S423" s="14">
        <f t="shared" ca="1" si="121"/>
        <v>0</v>
      </c>
    </row>
    <row r="424" spans="1:19" x14ac:dyDescent="0.25">
      <c r="A424">
        <v>415</v>
      </c>
      <c r="B424" s="51">
        <f t="shared" ca="1" si="110"/>
        <v>4.914059110645888</v>
      </c>
      <c r="C424" s="51">
        <f t="shared" ca="1" si="122"/>
        <v>1263.7053513444769</v>
      </c>
      <c r="D424" s="11" t="str">
        <f t="shared" ca="1" si="114"/>
        <v>C2</v>
      </c>
      <c r="E424" s="51">
        <f t="shared" ca="1" si="123"/>
        <v>0</v>
      </c>
      <c r="F424" s="51">
        <f t="shared" ca="1" si="111"/>
        <v>2.6000288435378338</v>
      </c>
      <c r="G424" s="51">
        <f t="shared" ca="1" si="124"/>
        <v>0</v>
      </c>
      <c r="H424" s="8" t="str">
        <f t="shared" ca="1" si="115"/>
        <v>Yes</v>
      </c>
      <c r="I424" s="32">
        <f t="shared" ca="1" si="125"/>
        <v>2</v>
      </c>
      <c r="J424" s="32">
        <f t="shared" ca="1" si="116"/>
        <v>0</v>
      </c>
      <c r="K424" s="31">
        <f t="shared" ca="1" si="117"/>
        <v>1</v>
      </c>
      <c r="L424" s="52">
        <f t="shared" ca="1" si="118"/>
        <v>1263.7053513444769</v>
      </c>
      <c r="M424" s="51">
        <f t="shared" ca="1" si="112"/>
        <v>2.7124108248353131E-2</v>
      </c>
      <c r="N424" s="51">
        <f t="shared" ca="1" si="126"/>
        <v>1263.7324754527251</v>
      </c>
      <c r="O424" s="28" t="str">
        <f t="shared" ca="1" si="113"/>
        <v>No</v>
      </c>
      <c r="P424" s="51">
        <f t="shared" ca="1" si="119"/>
        <v>0</v>
      </c>
      <c r="Q424">
        <f t="shared" ca="1" si="127"/>
        <v>0</v>
      </c>
      <c r="R424">
        <f t="shared" ca="1" si="120"/>
        <v>0</v>
      </c>
      <c r="S424" s="14">
        <f t="shared" ca="1" si="121"/>
        <v>0</v>
      </c>
    </row>
    <row r="425" spans="1:19" x14ac:dyDescent="0.25">
      <c r="A425">
        <v>416</v>
      </c>
      <c r="B425" s="51">
        <f t="shared" ca="1" si="110"/>
        <v>3.8749131491913347</v>
      </c>
      <c r="C425" s="51">
        <f t="shared" ca="1" si="122"/>
        <v>1267.5802644936682</v>
      </c>
      <c r="D425" s="11" t="str">
        <f t="shared" ca="1" si="114"/>
        <v>C1</v>
      </c>
      <c r="E425" s="51">
        <f t="shared" ca="1" si="123"/>
        <v>1267.5802644936682</v>
      </c>
      <c r="F425" s="51">
        <f t="shared" ca="1" si="111"/>
        <v>2.0818879566748674</v>
      </c>
      <c r="G425" s="51">
        <f t="shared" ca="1" si="124"/>
        <v>1269.662152450343</v>
      </c>
      <c r="H425" s="8" t="str">
        <f t="shared" ca="1" si="115"/>
        <v>No</v>
      </c>
      <c r="I425" s="32">
        <f t="shared" ca="1" si="125"/>
        <v>0</v>
      </c>
      <c r="J425" s="32">
        <f t="shared" ca="1" si="116"/>
        <v>2</v>
      </c>
      <c r="K425" s="31">
        <f t="shared" ca="1" si="117"/>
        <v>1</v>
      </c>
      <c r="L425" s="52">
        <f t="shared" ca="1" si="118"/>
        <v>0</v>
      </c>
      <c r="M425" s="51">
        <f t="shared" ca="1" si="112"/>
        <v>1.6538308904173149</v>
      </c>
      <c r="N425" s="51">
        <f t="shared" ca="1" si="126"/>
        <v>0</v>
      </c>
      <c r="O425" s="28" t="str">
        <f t="shared" ca="1" si="113"/>
        <v>Yes</v>
      </c>
      <c r="P425" s="51">
        <f t="shared" ca="1" si="119"/>
        <v>0.54141192367978874</v>
      </c>
      <c r="Q425">
        <f t="shared" ca="1" si="127"/>
        <v>0</v>
      </c>
      <c r="R425">
        <f t="shared" ca="1" si="120"/>
        <v>0</v>
      </c>
      <c r="S425" s="14">
        <f t="shared" ca="1" si="121"/>
        <v>0</v>
      </c>
    </row>
    <row r="426" spans="1:19" x14ac:dyDescent="0.25">
      <c r="A426">
        <v>417</v>
      </c>
      <c r="B426" s="51">
        <f t="shared" ca="1" si="110"/>
        <v>1.5404760329950959</v>
      </c>
      <c r="C426" s="51">
        <f t="shared" ca="1" si="122"/>
        <v>1269.1207405266632</v>
      </c>
      <c r="D426" s="11" t="str">
        <f t="shared" ca="1" si="114"/>
        <v>C2</v>
      </c>
      <c r="E426" s="51">
        <f t="shared" ca="1" si="123"/>
        <v>0</v>
      </c>
      <c r="F426" s="51">
        <f t="shared" ca="1" si="111"/>
        <v>1.5915224389340581</v>
      </c>
      <c r="G426" s="51">
        <f t="shared" ca="1" si="124"/>
        <v>0</v>
      </c>
      <c r="H426" s="8" t="str">
        <f t="shared" ca="1" si="115"/>
        <v>Yes</v>
      </c>
      <c r="I426" s="32">
        <f t="shared" ca="1" si="125"/>
        <v>3</v>
      </c>
      <c r="J426" s="32">
        <f t="shared" ca="1" si="116"/>
        <v>0</v>
      </c>
      <c r="K426" s="31">
        <f t="shared" ca="1" si="117"/>
        <v>1.5</v>
      </c>
      <c r="L426" s="52">
        <f t="shared" ca="1" si="118"/>
        <v>1269.1207405266632</v>
      </c>
      <c r="M426" s="51">
        <f t="shared" ca="1" si="112"/>
        <v>8.6685217703433963</v>
      </c>
      <c r="N426" s="51">
        <f t="shared" ca="1" si="126"/>
        <v>1277.7892622970066</v>
      </c>
      <c r="O426" s="28" t="str">
        <f t="shared" ca="1" si="113"/>
        <v>No</v>
      </c>
      <c r="P426" s="51">
        <f t="shared" ca="1" si="119"/>
        <v>8.1603627504521228</v>
      </c>
      <c r="Q426">
        <f t="shared" ca="1" si="127"/>
        <v>0</v>
      </c>
      <c r="R426">
        <f t="shared" ca="1" si="120"/>
        <v>5</v>
      </c>
      <c r="S426" s="14">
        <f t="shared" ca="1" si="121"/>
        <v>2.5</v>
      </c>
    </row>
    <row r="427" spans="1:19" x14ac:dyDescent="0.25">
      <c r="A427">
        <v>418</v>
      </c>
      <c r="B427" s="51">
        <f t="shared" ca="1" si="110"/>
        <v>0.50815901989136925</v>
      </c>
      <c r="C427" s="51">
        <f t="shared" ca="1" si="122"/>
        <v>1269.6288995465545</v>
      </c>
      <c r="D427" s="11" t="str">
        <f t="shared" ca="1" si="114"/>
        <v>C1</v>
      </c>
      <c r="E427" s="51">
        <f t="shared" ca="1" si="123"/>
        <v>1269.6288995465545</v>
      </c>
      <c r="F427" s="51">
        <f t="shared" ca="1" si="111"/>
        <v>0.79952148773779663</v>
      </c>
      <c r="G427" s="51">
        <f t="shared" ca="1" si="124"/>
        <v>1270.4284210342923</v>
      </c>
      <c r="H427" s="8" t="str">
        <f t="shared" ca="1" si="115"/>
        <v>No</v>
      </c>
      <c r="I427" s="32">
        <f t="shared" ca="1" si="125"/>
        <v>0</v>
      </c>
      <c r="J427" s="32">
        <f t="shared" ca="1" si="116"/>
        <v>0</v>
      </c>
      <c r="K427" s="31">
        <f t="shared" ca="1" si="117"/>
        <v>0</v>
      </c>
      <c r="L427" s="52">
        <f t="shared" ca="1" si="118"/>
        <v>0</v>
      </c>
      <c r="M427" s="51">
        <f t="shared" ca="1" si="112"/>
        <v>0.11909323920097029</v>
      </c>
      <c r="N427" s="51">
        <f t="shared" ca="1" si="126"/>
        <v>0</v>
      </c>
      <c r="O427" s="28" t="str">
        <f t="shared" ca="1" si="113"/>
        <v>Yes</v>
      </c>
      <c r="P427" s="51">
        <f t="shared" ca="1" si="119"/>
        <v>0</v>
      </c>
      <c r="Q427">
        <f t="shared" ca="1" si="127"/>
        <v>6</v>
      </c>
      <c r="R427">
        <f t="shared" ca="1" si="120"/>
        <v>0</v>
      </c>
      <c r="S427" s="14">
        <f t="shared" ca="1" si="121"/>
        <v>3</v>
      </c>
    </row>
    <row r="428" spans="1:19" x14ac:dyDescent="0.25">
      <c r="A428">
        <v>419</v>
      </c>
      <c r="B428" s="51">
        <f t="shared" ca="1" si="110"/>
        <v>1.0372652450652802</v>
      </c>
      <c r="C428" s="51">
        <f t="shared" ca="1" si="122"/>
        <v>1270.6661647916198</v>
      </c>
      <c r="D428" s="11" t="str">
        <f t="shared" ca="1" si="114"/>
        <v>C1</v>
      </c>
      <c r="E428" s="51">
        <f t="shared" ca="1" si="123"/>
        <v>1270.6661647916198</v>
      </c>
      <c r="F428" s="51">
        <f t="shared" ca="1" si="111"/>
        <v>9.0736045337649074</v>
      </c>
      <c r="G428" s="51">
        <f t="shared" ca="1" si="124"/>
        <v>1279.7397693253847</v>
      </c>
      <c r="H428" s="8" t="str">
        <f t="shared" ca="1" si="115"/>
        <v>No</v>
      </c>
      <c r="I428" s="32">
        <f t="shared" ca="1" si="125"/>
        <v>0</v>
      </c>
      <c r="J428" s="32">
        <f t="shared" ca="1" si="116"/>
        <v>5</v>
      </c>
      <c r="K428" s="31">
        <f t="shared" ca="1" si="117"/>
        <v>2.5</v>
      </c>
      <c r="L428" s="52">
        <f t="shared" ca="1" si="118"/>
        <v>0</v>
      </c>
      <c r="M428" s="51">
        <f t="shared" ca="1" si="112"/>
        <v>4.2731818083122199</v>
      </c>
      <c r="N428" s="51">
        <f t="shared" ca="1" si="126"/>
        <v>0</v>
      </c>
      <c r="O428" s="28" t="str">
        <f t="shared" ca="1" si="113"/>
        <v>Yes</v>
      </c>
      <c r="P428" s="51">
        <f t="shared" ca="1" si="119"/>
        <v>8.2110317932811085</v>
      </c>
      <c r="Q428">
        <f t="shared" ca="1" si="127"/>
        <v>0</v>
      </c>
      <c r="R428">
        <f t="shared" ca="1" si="120"/>
        <v>0</v>
      </c>
      <c r="S428" s="14">
        <f t="shared" ca="1" si="121"/>
        <v>0</v>
      </c>
    </row>
    <row r="429" spans="1:19" x14ac:dyDescent="0.25">
      <c r="A429">
        <v>420</v>
      </c>
      <c r="B429" s="51">
        <f t="shared" ca="1" si="110"/>
        <v>0.86257274048378818</v>
      </c>
      <c r="C429" s="51">
        <f t="shared" ca="1" si="122"/>
        <v>1271.5287375321036</v>
      </c>
      <c r="D429" s="11" t="str">
        <f t="shared" ca="1" si="114"/>
        <v>C2</v>
      </c>
      <c r="E429" s="51">
        <f t="shared" ca="1" si="123"/>
        <v>0</v>
      </c>
      <c r="F429" s="51">
        <f t="shared" ca="1" si="111"/>
        <v>4.9185627328831494</v>
      </c>
      <c r="G429" s="51">
        <f t="shared" ca="1" si="124"/>
        <v>0</v>
      </c>
      <c r="H429" s="8" t="str">
        <f t="shared" ca="1" si="115"/>
        <v>Yes</v>
      </c>
      <c r="I429" s="32">
        <f t="shared" ca="1" si="125"/>
        <v>6</v>
      </c>
      <c r="J429" s="32">
        <f t="shared" ca="1" si="116"/>
        <v>0</v>
      </c>
      <c r="K429" s="31">
        <f t="shared" ca="1" si="117"/>
        <v>3</v>
      </c>
      <c r="L429" s="52">
        <f t="shared" ca="1" si="118"/>
        <v>1271.5287375321036</v>
      </c>
      <c r="M429" s="51">
        <f t="shared" ca="1" si="112"/>
        <v>4.5874436718246434</v>
      </c>
      <c r="N429" s="51">
        <f t="shared" ca="1" si="126"/>
        <v>1276.1161812039281</v>
      </c>
      <c r="O429" s="28" t="str">
        <f t="shared" ca="1" si="113"/>
        <v>No</v>
      </c>
      <c r="P429" s="51">
        <f t="shared" ca="1" si="119"/>
        <v>3.301160284023581</v>
      </c>
      <c r="Q429">
        <f t="shared" ca="1" si="127"/>
        <v>0</v>
      </c>
      <c r="R429">
        <f t="shared" ca="1" si="120"/>
        <v>3</v>
      </c>
      <c r="S429" s="14">
        <f t="shared" ca="1" si="121"/>
        <v>1.5</v>
      </c>
    </row>
    <row r="430" spans="1:19" x14ac:dyDescent="0.25">
      <c r="A430">
        <v>421</v>
      </c>
      <c r="B430" s="51">
        <f t="shared" ca="1" si="110"/>
        <v>1.2862833878010631</v>
      </c>
      <c r="C430" s="51">
        <f t="shared" ca="1" si="122"/>
        <v>1272.8150209199046</v>
      </c>
      <c r="D430" s="11" t="str">
        <f t="shared" ca="1" si="114"/>
        <v>C1</v>
      </c>
      <c r="E430" s="51">
        <f t="shared" ca="1" si="123"/>
        <v>1272.8150209199046</v>
      </c>
      <c r="F430" s="51">
        <f t="shared" ca="1" si="111"/>
        <v>3.064690555793784</v>
      </c>
      <c r="G430" s="51">
        <f t="shared" ca="1" si="124"/>
        <v>1275.8797114756983</v>
      </c>
      <c r="H430" s="8" t="str">
        <f t="shared" ca="1" si="115"/>
        <v>No</v>
      </c>
      <c r="I430" s="32">
        <f t="shared" ca="1" si="125"/>
        <v>0</v>
      </c>
      <c r="J430" s="32">
        <f t="shared" ca="1" si="116"/>
        <v>2</v>
      </c>
      <c r="K430" s="31">
        <f t="shared" ca="1" si="117"/>
        <v>1</v>
      </c>
      <c r="L430" s="52">
        <f t="shared" ca="1" si="118"/>
        <v>0</v>
      </c>
      <c r="M430" s="51">
        <f t="shared" ca="1" si="112"/>
        <v>0.89281262510509085</v>
      </c>
      <c r="N430" s="51">
        <f t="shared" ca="1" si="126"/>
        <v>0</v>
      </c>
      <c r="O430" s="28" t="str">
        <f t="shared" ca="1" si="113"/>
        <v>Yes</v>
      </c>
      <c r="P430" s="51">
        <f t="shared" ca="1" si="119"/>
        <v>2.0899859220789949</v>
      </c>
      <c r="Q430">
        <f t="shared" ca="1" si="127"/>
        <v>4</v>
      </c>
      <c r="R430">
        <f t="shared" ca="1" si="120"/>
        <v>0</v>
      </c>
      <c r="S430" s="14">
        <f t="shared" ca="1" si="121"/>
        <v>2</v>
      </c>
    </row>
    <row r="431" spans="1:19" x14ac:dyDescent="0.25">
      <c r="A431">
        <v>422</v>
      </c>
      <c r="B431" s="51">
        <f t="shared" ca="1" si="110"/>
        <v>0.97470463371484772</v>
      </c>
      <c r="C431" s="51">
        <f t="shared" ca="1" si="122"/>
        <v>1273.7897255536193</v>
      </c>
      <c r="D431" s="11" t="str">
        <f t="shared" ca="1" si="114"/>
        <v>C2</v>
      </c>
      <c r="E431" s="51">
        <f t="shared" ca="1" si="123"/>
        <v>0</v>
      </c>
      <c r="F431" s="51">
        <f t="shared" ca="1" si="111"/>
        <v>0.4136753864045305</v>
      </c>
      <c r="G431" s="51">
        <f t="shared" ca="1" si="124"/>
        <v>0</v>
      </c>
      <c r="H431" s="8" t="str">
        <f t="shared" ca="1" si="115"/>
        <v>Yes</v>
      </c>
      <c r="I431" s="32">
        <f t="shared" ca="1" si="125"/>
        <v>3</v>
      </c>
      <c r="J431" s="32">
        <f t="shared" ca="1" si="116"/>
        <v>0</v>
      </c>
      <c r="K431" s="31">
        <f t="shared" ca="1" si="117"/>
        <v>1.5</v>
      </c>
      <c r="L431" s="52">
        <f t="shared" ca="1" si="118"/>
        <v>1273.7897255536193</v>
      </c>
      <c r="M431" s="51">
        <f t="shared" ca="1" si="112"/>
        <v>0.30745088228640682</v>
      </c>
      <c r="N431" s="51">
        <f t="shared" ca="1" si="126"/>
        <v>1274.0971764359058</v>
      </c>
      <c r="O431" s="28" t="str">
        <f t="shared" ca="1" si="113"/>
        <v>No</v>
      </c>
      <c r="P431" s="51">
        <f t="shared" ca="1" si="119"/>
        <v>0</v>
      </c>
      <c r="Q431">
        <f t="shared" ca="1" si="127"/>
        <v>0</v>
      </c>
      <c r="R431">
        <f t="shared" ca="1" si="120"/>
        <v>0</v>
      </c>
      <c r="S431" s="14">
        <f t="shared" ca="1" si="121"/>
        <v>0</v>
      </c>
    </row>
    <row r="432" spans="1:19" x14ac:dyDescent="0.25">
      <c r="A432">
        <v>423</v>
      </c>
      <c r="B432" s="51">
        <f t="shared" ca="1" si="110"/>
        <v>1.8623836711170634</v>
      </c>
      <c r="C432" s="51">
        <f t="shared" ca="1" si="122"/>
        <v>1275.6521092247363</v>
      </c>
      <c r="D432" s="11" t="str">
        <f t="shared" ca="1" si="114"/>
        <v>C1</v>
      </c>
      <c r="E432" s="51">
        <f t="shared" ca="1" si="123"/>
        <v>1275.6521092247363</v>
      </c>
      <c r="F432" s="51">
        <f t="shared" ca="1" si="111"/>
        <v>2.0408633984119673</v>
      </c>
      <c r="G432" s="51">
        <f t="shared" ca="1" si="124"/>
        <v>1277.6929726231483</v>
      </c>
      <c r="H432" s="8" t="str">
        <f t="shared" ca="1" si="115"/>
        <v>No</v>
      </c>
      <c r="I432" s="32">
        <f t="shared" ca="1" si="125"/>
        <v>0</v>
      </c>
      <c r="J432" s="32">
        <f t="shared" ca="1" si="116"/>
        <v>0</v>
      </c>
      <c r="K432" s="31">
        <f t="shared" ca="1" si="117"/>
        <v>0</v>
      </c>
      <c r="L432" s="52">
        <f t="shared" ca="1" si="118"/>
        <v>0</v>
      </c>
      <c r="M432" s="51">
        <f t="shared" ca="1" si="112"/>
        <v>0.7022478774468891</v>
      </c>
      <c r="N432" s="51">
        <f t="shared" ca="1" si="126"/>
        <v>0</v>
      </c>
      <c r="O432" s="28" t="str">
        <f t="shared" ca="1" si="113"/>
        <v>Yes</v>
      </c>
      <c r="P432" s="51">
        <f t="shared" ca="1" si="119"/>
        <v>0</v>
      </c>
      <c r="Q432">
        <f t="shared" ca="1" si="127"/>
        <v>0</v>
      </c>
      <c r="R432">
        <f t="shared" ca="1" si="120"/>
        <v>0</v>
      </c>
      <c r="S432" s="14">
        <f t="shared" ca="1" si="121"/>
        <v>0</v>
      </c>
    </row>
    <row r="433" spans="1:19" x14ac:dyDescent="0.25">
      <c r="A433">
        <v>424</v>
      </c>
      <c r="B433" s="51">
        <f t="shared" ca="1" si="110"/>
        <v>3.4049239178907156</v>
      </c>
      <c r="C433" s="51">
        <f t="shared" ca="1" si="122"/>
        <v>1279.057033142627</v>
      </c>
      <c r="D433" s="11" t="str">
        <f t="shared" ca="1" si="114"/>
        <v>C1</v>
      </c>
      <c r="E433" s="51">
        <f t="shared" ca="1" si="123"/>
        <v>1279.057033142627</v>
      </c>
      <c r="F433" s="51">
        <f t="shared" ca="1" si="111"/>
        <v>1.5292016670358901</v>
      </c>
      <c r="G433" s="51">
        <f t="shared" ca="1" si="124"/>
        <v>1280.586234809663</v>
      </c>
      <c r="H433" s="8" t="str">
        <f t="shared" ca="1" si="115"/>
        <v>No</v>
      </c>
      <c r="I433" s="32">
        <f t="shared" ca="1" si="125"/>
        <v>0</v>
      </c>
      <c r="J433" s="32">
        <f t="shared" ca="1" si="116"/>
        <v>0</v>
      </c>
      <c r="K433" s="31">
        <f t="shared" ca="1" si="117"/>
        <v>0</v>
      </c>
      <c r="L433" s="52">
        <f t="shared" ca="1" si="118"/>
        <v>0</v>
      </c>
      <c r="M433" s="51">
        <f t="shared" ca="1" si="112"/>
        <v>3.8182474505777235</v>
      </c>
      <c r="N433" s="51">
        <f t="shared" ca="1" si="126"/>
        <v>0</v>
      </c>
      <c r="O433" s="28" t="str">
        <f t="shared" ca="1" si="113"/>
        <v>Yes</v>
      </c>
      <c r="P433" s="51">
        <f t="shared" ca="1" si="119"/>
        <v>0</v>
      </c>
      <c r="Q433">
        <f t="shared" ca="1" si="127"/>
        <v>0</v>
      </c>
      <c r="R433">
        <f t="shared" ca="1" si="120"/>
        <v>0</v>
      </c>
      <c r="S433" s="14">
        <f t="shared" ca="1" si="121"/>
        <v>0</v>
      </c>
    </row>
    <row r="434" spans="1:19" x14ac:dyDescent="0.25">
      <c r="A434">
        <v>425</v>
      </c>
      <c r="B434" s="51">
        <f t="shared" ca="1" si="110"/>
        <v>10.042666681593062</v>
      </c>
      <c r="C434" s="51">
        <f t="shared" ca="1" si="122"/>
        <v>1289.0996998242201</v>
      </c>
      <c r="D434" s="11" t="str">
        <f t="shared" ca="1" si="114"/>
        <v>C1</v>
      </c>
      <c r="E434" s="51">
        <f t="shared" ca="1" si="123"/>
        <v>1289.0996998242201</v>
      </c>
      <c r="F434" s="51">
        <f t="shared" ca="1" si="111"/>
        <v>4.049893484407324</v>
      </c>
      <c r="G434" s="51">
        <f t="shared" ca="1" si="124"/>
        <v>1293.1495933086273</v>
      </c>
      <c r="H434" s="8" t="str">
        <f t="shared" ca="1" si="115"/>
        <v>No</v>
      </c>
      <c r="I434" s="32">
        <f t="shared" ca="1" si="125"/>
        <v>0</v>
      </c>
      <c r="J434" s="32">
        <f t="shared" ca="1" si="116"/>
        <v>0</v>
      </c>
      <c r="K434" s="31">
        <f t="shared" ca="1" si="117"/>
        <v>0</v>
      </c>
      <c r="L434" s="52">
        <f t="shared" ca="1" si="118"/>
        <v>0</v>
      </c>
      <c r="M434" s="51">
        <f t="shared" ca="1" si="112"/>
        <v>0.50898323604913176</v>
      </c>
      <c r="N434" s="51">
        <f t="shared" ca="1" si="126"/>
        <v>0</v>
      </c>
      <c r="O434" s="28" t="str">
        <f t="shared" ca="1" si="113"/>
        <v>Yes</v>
      </c>
      <c r="P434" s="51">
        <f t="shared" ca="1" si="119"/>
        <v>0</v>
      </c>
      <c r="Q434">
        <f t="shared" ca="1" si="127"/>
        <v>0</v>
      </c>
      <c r="R434">
        <f t="shared" ca="1" si="120"/>
        <v>0</v>
      </c>
      <c r="S434" s="14">
        <f t="shared" ca="1" si="121"/>
        <v>0</v>
      </c>
    </row>
    <row r="435" spans="1:19" x14ac:dyDescent="0.25">
      <c r="A435">
        <v>426</v>
      </c>
      <c r="B435" s="51">
        <f t="shared" ca="1" si="110"/>
        <v>7.4579875186381797</v>
      </c>
      <c r="C435" s="51">
        <f t="shared" ca="1" si="122"/>
        <v>1296.5576873428583</v>
      </c>
      <c r="D435" s="11" t="str">
        <f t="shared" ca="1" si="114"/>
        <v>C1</v>
      </c>
      <c r="E435" s="51">
        <f t="shared" ca="1" si="123"/>
        <v>1296.5576873428583</v>
      </c>
      <c r="F435" s="51">
        <f t="shared" ca="1" si="111"/>
        <v>1.2932366203717405</v>
      </c>
      <c r="G435" s="51">
        <f t="shared" ca="1" si="124"/>
        <v>1297.8509239632301</v>
      </c>
      <c r="H435" s="8" t="str">
        <f t="shared" ca="1" si="115"/>
        <v>No</v>
      </c>
      <c r="I435" s="32">
        <f t="shared" ca="1" si="125"/>
        <v>0</v>
      </c>
      <c r="J435" s="32">
        <f t="shared" ca="1" si="116"/>
        <v>0</v>
      </c>
      <c r="K435" s="31">
        <f t="shared" ca="1" si="117"/>
        <v>0</v>
      </c>
      <c r="L435" s="52">
        <f t="shared" ca="1" si="118"/>
        <v>0</v>
      </c>
      <c r="M435" s="51">
        <f t="shared" ca="1" si="112"/>
        <v>2.7589499389742711</v>
      </c>
      <c r="N435" s="51">
        <f t="shared" ca="1" si="126"/>
        <v>0</v>
      </c>
      <c r="O435" s="28" t="str">
        <f t="shared" ca="1" si="113"/>
        <v>Yes</v>
      </c>
      <c r="P435" s="51">
        <f t="shared" ca="1" si="119"/>
        <v>0</v>
      </c>
      <c r="Q435">
        <f t="shared" ca="1" si="127"/>
        <v>0</v>
      </c>
      <c r="R435">
        <f t="shared" ca="1" si="120"/>
        <v>0</v>
      </c>
      <c r="S435" s="14">
        <f t="shared" ca="1" si="121"/>
        <v>0</v>
      </c>
    </row>
    <row r="436" spans="1:19" x14ac:dyDescent="0.25">
      <c r="A436">
        <v>427</v>
      </c>
      <c r="B436" s="51">
        <f t="shared" ca="1" si="110"/>
        <v>9.8843629436443088</v>
      </c>
      <c r="C436" s="51">
        <f t="shared" ca="1" si="122"/>
        <v>1306.4420502865028</v>
      </c>
      <c r="D436" s="11" t="str">
        <f t="shared" ca="1" si="114"/>
        <v>C1</v>
      </c>
      <c r="E436" s="51">
        <f t="shared" ca="1" si="123"/>
        <v>1306.4420502865028</v>
      </c>
      <c r="F436" s="51">
        <f t="shared" ca="1" si="111"/>
        <v>1.3528252947999022</v>
      </c>
      <c r="G436" s="51">
        <f t="shared" ca="1" si="124"/>
        <v>1307.7948755813027</v>
      </c>
      <c r="H436" s="8" t="str">
        <f t="shared" ca="1" si="115"/>
        <v>No</v>
      </c>
      <c r="I436" s="32">
        <f t="shared" ca="1" si="125"/>
        <v>0</v>
      </c>
      <c r="J436" s="32">
        <f t="shared" ca="1" si="116"/>
        <v>0</v>
      </c>
      <c r="K436" s="31">
        <f t="shared" ca="1" si="117"/>
        <v>0</v>
      </c>
      <c r="L436" s="52">
        <f t="shared" ca="1" si="118"/>
        <v>0</v>
      </c>
      <c r="M436" s="51">
        <f t="shared" ca="1" si="112"/>
        <v>4.8011298458960354</v>
      </c>
      <c r="N436" s="51">
        <f t="shared" ca="1" si="126"/>
        <v>0</v>
      </c>
      <c r="O436" s="28" t="str">
        <f t="shared" ca="1" si="113"/>
        <v>Yes</v>
      </c>
      <c r="P436" s="51">
        <f t="shared" ca="1" si="119"/>
        <v>0</v>
      </c>
      <c r="Q436">
        <f t="shared" ca="1" si="127"/>
        <v>0</v>
      </c>
      <c r="R436">
        <f t="shared" ca="1" si="120"/>
        <v>0</v>
      </c>
      <c r="S436" s="14">
        <f t="shared" ca="1" si="121"/>
        <v>0</v>
      </c>
    </row>
    <row r="437" spans="1:19" x14ac:dyDescent="0.25">
      <c r="A437">
        <v>428</v>
      </c>
      <c r="B437" s="51">
        <f t="shared" ca="1" si="110"/>
        <v>1.8665781152129941</v>
      </c>
      <c r="C437" s="51">
        <f t="shared" ca="1" si="122"/>
        <v>1308.3086284017159</v>
      </c>
      <c r="D437" s="11" t="str">
        <f t="shared" ca="1" si="114"/>
        <v>C1</v>
      </c>
      <c r="E437" s="51">
        <f t="shared" ca="1" si="123"/>
        <v>1308.3086284017159</v>
      </c>
      <c r="F437" s="51">
        <f t="shared" ca="1" si="111"/>
        <v>0.66053056042319402</v>
      </c>
      <c r="G437" s="51">
        <f t="shared" ca="1" si="124"/>
        <v>1308.9691589621391</v>
      </c>
      <c r="H437" s="8" t="str">
        <f t="shared" ca="1" si="115"/>
        <v>No</v>
      </c>
      <c r="I437" s="32">
        <f t="shared" ca="1" si="125"/>
        <v>0</v>
      </c>
      <c r="J437" s="32">
        <f t="shared" ca="1" si="116"/>
        <v>1</v>
      </c>
      <c r="K437" s="31">
        <f t="shared" ca="1" si="117"/>
        <v>0.5</v>
      </c>
      <c r="L437" s="52">
        <f t="shared" ca="1" si="118"/>
        <v>0</v>
      </c>
      <c r="M437" s="51">
        <f t="shared" ca="1" si="112"/>
        <v>5.0456469411141329</v>
      </c>
      <c r="N437" s="51">
        <f t="shared" ca="1" si="126"/>
        <v>0</v>
      </c>
      <c r="O437" s="28" t="str">
        <f t="shared" ca="1" si="113"/>
        <v>Yes</v>
      </c>
      <c r="P437" s="51">
        <f t="shared" ca="1" si="119"/>
        <v>0.60854947118286873</v>
      </c>
      <c r="Q437">
        <f t="shared" ca="1" si="127"/>
        <v>0</v>
      </c>
      <c r="R437">
        <f t="shared" ca="1" si="120"/>
        <v>0</v>
      </c>
      <c r="S437" s="14">
        <f t="shared" ca="1" si="121"/>
        <v>0</v>
      </c>
    </row>
    <row r="438" spans="1:19" x14ac:dyDescent="0.25">
      <c r="A438">
        <v>429</v>
      </c>
      <c r="B438" s="51">
        <f t="shared" ca="1" si="110"/>
        <v>5.198108924043579E-2</v>
      </c>
      <c r="C438" s="51">
        <f t="shared" ca="1" si="122"/>
        <v>1308.3606094909562</v>
      </c>
      <c r="D438" s="11" t="str">
        <f t="shared" ca="1" si="114"/>
        <v>C2</v>
      </c>
      <c r="E438" s="51">
        <f t="shared" ca="1" si="123"/>
        <v>0</v>
      </c>
      <c r="F438" s="51">
        <f t="shared" ca="1" si="111"/>
        <v>1.5547067564044583</v>
      </c>
      <c r="G438" s="51">
        <f t="shared" ca="1" si="124"/>
        <v>0</v>
      </c>
      <c r="H438" s="8" t="str">
        <f t="shared" ca="1" si="115"/>
        <v>Yes</v>
      </c>
      <c r="I438" s="32">
        <f t="shared" ca="1" si="125"/>
        <v>2</v>
      </c>
      <c r="J438" s="32">
        <f t="shared" ca="1" si="116"/>
        <v>0</v>
      </c>
      <c r="K438" s="31">
        <f t="shared" ca="1" si="117"/>
        <v>1</v>
      </c>
      <c r="L438" s="52">
        <f t="shared" ca="1" si="118"/>
        <v>1308.3606094909562</v>
      </c>
      <c r="M438" s="51">
        <f t="shared" ca="1" si="112"/>
        <v>3.5328810757000815</v>
      </c>
      <c r="N438" s="51">
        <f t="shared" ca="1" si="126"/>
        <v>1311.8934905666563</v>
      </c>
      <c r="O438" s="28" t="str">
        <f t="shared" ca="1" si="113"/>
        <v>No</v>
      </c>
      <c r="P438" s="51">
        <f t="shared" ca="1" si="119"/>
        <v>1.749780820326805</v>
      </c>
      <c r="Q438">
        <f t="shared" ca="1" si="127"/>
        <v>0</v>
      </c>
      <c r="R438">
        <f t="shared" ca="1" si="120"/>
        <v>1</v>
      </c>
      <c r="S438" s="14">
        <f t="shared" ca="1" si="121"/>
        <v>0.5</v>
      </c>
    </row>
    <row r="439" spans="1:19" x14ac:dyDescent="0.25">
      <c r="A439">
        <v>430</v>
      </c>
      <c r="B439" s="51">
        <f t="shared" ca="1" si="110"/>
        <v>1.7831002553731432</v>
      </c>
      <c r="C439" s="51">
        <f t="shared" ca="1" si="122"/>
        <v>1310.1437097463295</v>
      </c>
      <c r="D439" s="11" t="str">
        <f t="shared" ca="1" si="114"/>
        <v>C1</v>
      </c>
      <c r="E439" s="51">
        <f t="shared" ca="1" si="123"/>
        <v>1310.1437097463295</v>
      </c>
      <c r="F439" s="51">
        <f t="shared" ca="1" si="111"/>
        <v>0.6270924763902872</v>
      </c>
      <c r="G439" s="51">
        <f t="shared" ca="1" si="124"/>
        <v>1310.7708022227198</v>
      </c>
      <c r="H439" s="8" t="str">
        <f t="shared" ca="1" si="115"/>
        <v>No</v>
      </c>
      <c r="I439" s="32">
        <f t="shared" ca="1" si="125"/>
        <v>0</v>
      </c>
      <c r="J439" s="32">
        <f t="shared" ca="1" si="116"/>
        <v>0</v>
      </c>
      <c r="K439" s="31">
        <f t="shared" ca="1" si="117"/>
        <v>0</v>
      </c>
      <c r="L439" s="52">
        <f t="shared" ca="1" si="118"/>
        <v>0</v>
      </c>
      <c r="M439" s="51">
        <f t="shared" ca="1" si="112"/>
        <v>2.8625677348805287</v>
      </c>
      <c r="N439" s="51">
        <f t="shared" ca="1" si="126"/>
        <v>0</v>
      </c>
      <c r="O439" s="28" t="str">
        <f t="shared" ca="1" si="113"/>
        <v>Yes</v>
      </c>
      <c r="P439" s="51">
        <f t="shared" ca="1" si="119"/>
        <v>0</v>
      </c>
      <c r="Q439">
        <f t="shared" ca="1" si="127"/>
        <v>2</v>
      </c>
      <c r="R439">
        <f t="shared" ca="1" si="120"/>
        <v>0</v>
      </c>
      <c r="S439" s="14">
        <f t="shared" ca="1" si="121"/>
        <v>1</v>
      </c>
    </row>
    <row r="440" spans="1:19" x14ac:dyDescent="0.25">
      <c r="A440">
        <v>431</v>
      </c>
      <c r="B440" s="51">
        <f t="shared" ca="1" si="110"/>
        <v>6.4742719894951852</v>
      </c>
      <c r="C440" s="51">
        <f t="shared" ca="1" si="122"/>
        <v>1316.6179817358247</v>
      </c>
      <c r="D440" s="11" t="str">
        <f t="shared" ca="1" si="114"/>
        <v>C1</v>
      </c>
      <c r="E440" s="51">
        <f t="shared" ca="1" si="123"/>
        <v>1316.6179817358247</v>
      </c>
      <c r="F440" s="51">
        <f t="shared" ca="1" si="111"/>
        <v>6.7648651455715125</v>
      </c>
      <c r="G440" s="51">
        <f t="shared" ca="1" si="124"/>
        <v>1323.3828468813963</v>
      </c>
      <c r="H440" s="8" t="str">
        <f t="shared" ca="1" si="115"/>
        <v>No</v>
      </c>
      <c r="I440" s="32">
        <f t="shared" ca="1" si="125"/>
        <v>0</v>
      </c>
      <c r="J440" s="32">
        <f t="shared" ca="1" si="116"/>
        <v>5</v>
      </c>
      <c r="K440" s="31">
        <f t="shared" ca="1" si="117"/>
        <v>2.5</v>
      </c>
      <c r="L440" s="52">
        <f t="shared" ca="1" si="118"/>
        <v>0</v>
      </c>
      <c r="M440" s="51">
        <f t="shared" ca="1" si="112"/>
        <v>2.2667249001818037</v>
      </c>
      <c r="N440" s="51">
        <f t="shared" ca="1" si="126"/>
        <v>0</v>
      </c>
      <c r="O440" s="28" t="str">
        <f t="shared" ca="1" si="113"/>
        <v>Yes</v>
      </c>
      <c r="P440" s="51">
        <f t="shared" ca="1" si="119"/>
        <v>4.3653843185816186</v>
      </c>
      <c r="Q440">
        <f t="shared" ca="1" si="127"/>
        <v>0</v>
      </c>
      <c r="R440">
        <f t="shared" ca="1" si="120"/>
        <v>0</v>
      </c>
      <c r="S440" s="14">
        <f t="shared" ca="1" si="121"/>
        <v>0</v>
      </c>
    </row>
    <row r="441" spans="1:19" x14ac:dyDescent="0.25">
      <c r="A441">
        <v>432</v>
      </c>
      <c r="B441" s="51">
        <f t="shared" ca="1" si="110"/>
        <v>2.3994808269900192</v>
      </c>
      <c r="C441" s="51">
        <f t="shared" ca="1" si="122"/>
        <v>1319.0174625628147</v>
      </c>
      <c r="D441" s="11" t="str">
        <f t="shared" ca="1" si="114"/>
        <v>C2</v>
      </c>
      <c r="E441" s="51">
        <f t="shared" ca="1" si="123"/>
        <v>0</v>
      </c>
      <c r="F441" s="51">
        <f t="shared" ca="1" si="111"/>
        <v>0.25988528766910585</v>
      </c>
      <c r="G441" s="51">
        <f t="shared" ca="1" si="124"/>
        <v>0</v>
      </c>
      <c r="H441" s="8" t="str">
        <f t="shared" ca="1" si="115"/>
        <v>Yes</v>
      </c>
      <c r="I441" s="32">
        <f t="shared" ca="1" si="125"/>
        <v>6</v>
      </c>
      <c r="J441" s="32">
        <f t="shared" ca="1" si="116"/>
        <v>0</v>
      </c>
      <c r="K441" s="31">
        <f t="shared" ca="1" si="117"/>
        <v>3</v>
      </c>
      <c r="L441" s="52">
        <f t="shared" ca="1" si="118"/>
        <v>1319.0174625628147</v>
      </c>
      <c r="M441" s="51">
        <f t="shared" ca="1" si="112"/>
        <v>3.211118531549606</v>
      </c>
      <c r="N441" s="51">
        <f t="shared" ca="1" si="126"/>
        <v>1322.2285810943642</v>
      </c>
      <c r="O441" s="28" t="str">
        <f t="shared" ca="1" si="113"/>
        <v>No</v>
      </c>
      <c r="P441" s="51">
        <f t="shared" ca="1" si="119"/>
        <v>3.1840552210344413</v>
      </c>
      <c r="Q441">
        <f t="shared" ca="1" si="127"/>
        <v>0</v>
      </c>
      <c r="R441">
        <f t="shared" ca="1" si="120"/>
        <v>4</v>
      </c>
      <c r="S441" s="14">
        <f t="shared" ca="1" si="121"/>
        <v>2</v>
      </c>
    </row>
    <row r="442" spans="1:19" x14ac:dyDescent="0.25">
      <c r="A442">
        <v>433</v>
      </c>
      <c r="B442" s="51">
        <f t="shared" ca="1" si="110"/>
        <v>2.7063310515043765E-2</v>
      </c>
      <c r="C442" s="51">
        <f t="shared" ca="1" si="122"/>
        <v>1319.0445258733298</v>
      </c>
      <c r="D442" s="11" t="str">
        <f t="shared" ca="1" si="114"/>
        <v>C1</v>
      </c>
      <c r="E442" s="51">
        <f t="shared" ca="1" si="123"/>
        <v>1319.0445258733298</v>
      </c>
      <c r="F442" s="51">
        <f t="shared" ca="1" si="111"/>
        <v>0.21427874211489245</v>
      </c>
      <c r="G442" s="51">
        <f t="shared" ca="1" si="124"/>
        <v>1319.2588046154447</v>
      </c>
      <c r="H442" s="8" t="str">
        <f t="shared" ca="1" si="115"/>
        <v>No</v>
      </c>
      <c r="I442" s="32">
        <f t="shared" ca="1" si="125"/>
        <v>0</v>
      </c>
      <c r="J442" s="32">
        <f t="shared" ca="1" si="116"/>
        <v>1</v>
      </c>
      <c r="K442" s="31">
        <f t="shared" ca="1" si="117"/>
        <v>0.5</v>
      </c>
      <c r="L442" s="52">
        <f t="shared" ca="1" si="118"/>
        <v>0</v>
      </c>
      <c r="M442" s="51">
        <f t="shared" ca="1" si="112"/>
        <v>1.1716146187502765</v>
      </c>
      <c r="N442" s="51">
        <f t="shared" ca="1" si="126"/>
        <v>0</v>
      </c>
      <c r="O442" s="28" t="str">
        <f t="shared" ca="1" si="113"/>
        <v>Yes</v>
      </c>
      <c r="P442" s="51">
        <f t="shared" ca="1" si="119"/>
        <v>0.18785759857178164</v>
      </c>
      <c r="Q442">
        <f t="shared" ca="1" si="127"/>
        <v>5</v>
      </c>
      <c r="R442">
        <f t="shared" ca="1" si="120"/>
        <v>0</v>
      </c>
      <c r="S442" s="14">
        <f t="shared" ca="1" si="121"/>
        <v>2.5</v>
      </c>
    </row>
    <row r="443" spans="1:19" x14ac:dyDescent="0.25">
      <c r="A443">
        <v>434</v>
      </c>
      <c r="B443" s="51">
        <f t="shared" ca="1" si="110"/>
        <v>2.6421143543073539E-2</v>
      </c>
      <c r="C443" s="51">
        <f t="shared" ca="1" si="122"/>
        <v>1319.0709470168729</v>
      </c>
      <c r="D443" s="11" t="str">
        <f t="shared" ca="1" si="114"/>
        <v>C2</v>
      </c>
      <c r="E443" s="51">
        <f t="shared" ca="1" si="123"/>
        <v>0</v>
      </c>
      <c r="F443" s="51">
        <f t="shared" ca="1" si="111"/>
        <v>4.6597416355303656</v>
      </c>
      <c r="G443" s="51">
        <f t="shared" ca="1" si="124"/>
        <v>0</v>
      </c>
      <c r="H443" s="8" t="str">
        <f t="shared" ca="1" si="115"/>
        <v>Yes</v>
      </c>
      <c r="I443" s="32">
        <f t="shared" ca="1" si="125"/>
        <v>2</v>
      </c>
      <c r="J443" s="32">
        <f t="shared" ca="1" si="116"/>
        <v>0</v>
      </c>
      <c r="K443" s="31">
        <f t="shared" ca="1" si="117"/>
        <v>1</v>
      </c>
      <c r="L443" s="52">
        <f t="shared" ca="1" si="118"/>
        <v>1319.0709470168729</v>
      </c>
      <c r="M443" s="51">
        <f t="shared" ca="1" si="112"/>
        <v>4.2920319895079748</v>
      </c>
      <c r="N443" s="51">
        <f t="shared" ca="1" si="126"/>
        <v>1323.3629790063808</v>
      </c>
      <c r="O443" s="28" t="str">
        <f t="shared" ca="1" si="113"/>
        <v>No</v>
      </c>
      <c r="P443" s="51">
        <f t="shared" ca="1" si="119"/>
        <v>3.8987550610177095</v>
      </c>
      <c r="Q443">
        <f t="shared" ca="1" si="127"/>
        <v>0</v>
      </c>
      <c r="R443">
        <f t="shared" ca="1" si="120"/>
        <v>2</v>
      </c>
      <c r="S443" s="14">
        <f t="shared" ca="1" si="121"/>
        <v>1</v>
      </c>
    </row>
    <row r="444" spans="1:19" x14ac:dyDescent="0.25">
      <c r="A444">
        <v>435</v>
      </c>
      <c r="B444" s="51">
        <f t="shared" ca="1" si="110"/>
        <v>0.39327692849012286</v>
      </c>
      <c r="C444" s="51">
        <f t="shared" ca="1" si="122"/>
        <v>1319.4642239453631</v>
      </c>
      <c r="D444" s="11" t="str">
        <f t="shared" ca="1" si="114"/>
        <v>C1</v>
      </c>
      <c r="E444" s="51">
        <f t="shared" ca="1" si="123"/>
        <v>1319.4642239453631</v>
      </c>
      <c r="F444" s="51">
        <f t="shared" ca="1" si="111"/>
        <v>6.5538798491241588</v>
      </c>
      <c r="G444" s="51">
        <f t="shared" ca="1" si="124"/>
        <v>1326.0181037944872</v>
      </c>
      <c r="H444" s="8" t="str">
        <f t="shared" ca="1" si="115"/>
        <v>No</v>
      </c>
      <c r="I444" s="32">
        <f t="shared" ca="1" si="125"/>
        <v>0</v>
      </c>
      <c r="J444" s="32">
        <f t="shared" ca="1" si="116"/>
        <v>1</v>
      </c>
      <c r="K444" s="31">
        <f t="shared" ca="1" si="117"/>
        <v>0.5</v>
      </c>
      <c r="L444" s="52">
        <f t="shared" ca="1" si="118"/>
        <v>0</v>
      </c>
      <c r="M444" s="51">
        <f t="shared" ca="1" si="112"/>
        <v>7.1776550898347278</v>
      </c>
      <c r="N444" s="51">
        <f t="shared" ca="1" si="126"/>
        <v>0</v>
      </c>
      <c r="O444" s="28" t="str">
        <f t="shared" ca="1" si="113"/>
        <v>Yes</v>
      </c>
      <c r="P444" s="51">
        <f t="shared" ca="1" si="119"/>
        <v>4.3290113938069226</v>
      </c>
      <c r="Q444">
        <f t="shared" ca="1" si="127"/>
        <v>3</v>
      </c>
      <c r="R444">
        <f t="shared" ca="1" si="120"/>
        <v>0</v>
      </c>
      <c r="S444" s="14">
        <f t="shared" ca="1" si="121"/>
        <v>1.5</v>
      </c>
    </row>
    <row r="445" spans="1:19" x14ac:dyDescent="0.25">
      <c r="A445">
        <v>436</v>
      </c>
      <c r="B445" s="51">
        <f t="shared" ca="1" si="110"/>
        <v>2.2248684553171083</v>
      </c>
      <c r="C445" s="51">
        <f t="shared" ca="1" si="122"/>
        <v>1321.6890924006802</v>
      </c>
      <c r="D445" s="11" t="str">
        <f t="shared" ca="1" si="114"/>
        <v>C2</v>
      </c>
      <c r="E445" s="51">
        <f t="shared" ca="1" si="123"/>
        <v>0</v>
      </c>
      <c r="F445" s="51">
        <f t="shared" ca="1" si="111"/>
        <v>8.6396166882260417</v>
      </c>
      <c r="G445" s="51">
        <f t="shared" ca="1" si="124"/>
        <v>0</v>
      </c>
      <c r="H445" s="8" t="str">
        <f t="shared" ca="1" si="115"/>
        <v>Yes</v>
      </c>
      <c r="I445" s="32">
        <f t="shared" ca="1" si="125"/>
        <v>2</v>
      </c>
      <c r="J445" s="32">
        <f t="shared" ca="1" si="116"/>
        <v>0</v>
      </c>
      <c r="K445" s="31">
        <f t="shared" ca="1" si="117"/>
        <v>1</v>
      </c>
      <c r="L445" s="52">
        <f t="shared" ca="1" si="118"/>
        <v>1321.6890924006802</v>
      </c>
      <c r="M445" s="51">
        <f t="shared" ca="1" si="112"/>
        <v>0.25852228059247789</v>
      </c>
      <c r="N445" s="51">
        <f t="shared" ca="1" si="126"/>
        <v>1321.9476146812726</v>
      </c>
      <c r="O445" s="28" t="str">
        <f t="shared" ca="1" si="113"/>
        <v>No</v>
      </c>
      <c r="P445" s="51">
        <f t="shared" ca="1" si="119"/>
        <v>0</v>
      </c>
      <c r="Q445">
        <f t="shared" ca="1" si="127"/>
        <v>0</v>
      </c>
      <c r="R445">
        <f t="shared" ca="1" si="120"/>
        <v>0</v>
      </c>
      <c r="S445" s="14">
        <f t="shared" ca="1" si="121"/>
        <v>0</v>
      </c>
    </row>
    <row r="446" spans="1:19" x14ac:dyDescent="0.25">
      <c r="A446">
        <v>437</v>
      </c>
      <c r="B446" s="51">
        <f t="shared" ca="1" si="110"/>
        <v>16.381946792370758</v>
      </c>
      <c r="C446" s="51">
        <f t="shared" ca="1" si="122"/>
        <v>1338.0710391930511</v>
      </c>
      <c r="D446" s="11" t="str">
        <f t="shared" ca="1" si="114"/>
        <v>C1</v>
      </c>
      <c r="E446" s="51">
        <f t="shared" ca="1" si="123"/>
        <v>1338.0710391930511</v>
      </c>
      <c r="F446" s="51">
        <f t="shared" ca="1" si="111"/>
        <v>0.1921911735986748</v>
      </c>
      <c r="G446" s="51">
        <f t="shared" ca="1" si="124"/>
        <v>1338.2632303666499</v>
      </c>
      <c r="H446" s="8" t="str">
        <f t="shared" ca="1" si="115"/>
        <v>No</v>
      </c>
      <c r="I446" s="32">
        <f t="shared" ca="1" si="125"/>
        <v>0</v>
      </c>
      <c r="J446" s="32">
        <f t="shared" ca="1" si="116"/>
        <v>0</v>
      </c>
      <c r="K446" s="31">
        <f t="shared" ca="1" si="117"/>
        <v>0</v>
      </c>
      <c r="L446" s="52">
        <f t="shared" ca="1" si="118"/>
        <v>0</v>
      </c>
      <c r="M446" s="51">
        <f t="shared" ca="1" si="112"/>
        <v>2.4654294595520705</v>
      </c>
      <c r="N446" s="51">
        <f t="shared" ca="1" si="126"/>
        <v>0</v>
      </c>
      <c r="O446" s="28" t="str">
        <f t="shared" ca="1" si="113"/>
        <v>Yes</v>
      </c>
      <c r="P446" s="51">
        <f t="shared" ca="1" si="119"/>
        <v>0</v>
      </c>
      <c r="Q446">
        <f t="shared" ca="1" si="127"/>
        <v>0</v>
      </c>
      <c r="R446">
        <f t="shared" ca="1" si="120"/>
        <v>0</v>
      </c>
      <c r="S446" s="14">
        <f t="shared" ca="1" si="121"/>
        <v>0</v>
      </c>
    </row>
    <row r="447" spans="1:19" x14ac:dyDescent="0.25">
      <c r="A447">
        <v>438</v>
      </c>
      <c r="B447" s="51">
        <f t="shared" ca="1" si="110"/>
        <v>1.9410392582990537</v>
      </c>
      <c r="C447" s="51">
        <f t="shared" ca="1" si="122"/>
        <v>1340.0120784513501</v>
      </c>
      <c r="D447" s="11" t="str">
        <f t="shared" ca="1" si="114"/>
        <v>C1</v>
      </c>
      <c r="E447" s="51">
        <f t="shared" ca="1" si="123"/>
        <v>1340.0120784513501</v>
      </c>
      <c r="F447" s="51">
        <f t="shared" ca="1" si="111"/>
        <v>0.18063954275632385</v>
      </c>
      <c r="G447" s="51">
        <f t="shared" ca="1" si="124"/>
        <v>1340.1927179941065</v>
      </c>
      <c r="H447" s="8" t="str">
        <f t="shared" ca="1" si="115"/>
        <v>No</v>
      </c>
      <c r="I447" s="32">
        <f t="shared" ca="1" si="125"/>
        <v>0</v>
      </c>
      <c r="J447" s="32">
        <f t="shared" ca="1" si="116"/>
        <v>0</v>
      </c>
      <c r="K447" s="31">
        <f t="shared" ca="1" si="117"/>
        <v>0</v>
      </c>
      <c r="L447" s="52">
        <f t="shared" ca="1" si="118"/>
        <v>0</v>
      </c>
      <c r="M447" s="51">
        <f t="shared" ca="1" si="112"/>
        <v>9.6696613937198563</v>
      </c>
      <c r="N447" s="51">
        <f t="shared" ca="1" si="126"/>
        <v>0</v>
      </c>
      <c r="O447" s="28" t="str">
        <f t="shared" ca="1" si="113"/>
        <v>Yes</v>
      </c>
      <c r="P447" s="51">
        <f t="shared" ca="1" si="119"/>
        <v>0</v>
      </c>
      <c r="Q447">
        <f t="shared" ca="1" si="127"/>
        <v>0</v>
      </c>
      <c r="R447">
        <f t="shared" ca="1" si="120"/>
        <v>0</v>
      </c>
      <c r="S447" s="14">
        <f t="shared" ca="1" si="121"/>
        <v>0</v>
      </c>
    </row>
    <row r="448" spans="1:19" x14ac:dyDescent="0.25">
      <c r="A448">
        <v>439</v>
      </c>
      <c r="B448" s="51">
        <f t="shared" ca="1" si="110"/>
        <v>5.4066115279500107</v>
      </c>
      <c r="C448" s="51">
        <f t="shared" ca="1" si="122"/>
        <v>1345.4186899793001</v>
      </c>
      <c r="D448" s="11" t="str">
        <f t="shared" ca="1" si="114"/>
        <v>C1</v>
      </c>
      <c r="E448" s="51">
        <f t="shared" ca="1" si="123"/>
        <v>1345.4186899793001</v>
      </c>
      <c r="F448" s="51">
        <f t="shared" ca="1" si="111"/>
        <v>2.2798781746753711</v>
      </c>
      <c r="G448" s="51">
        <f t="shared" ca="1" si="124"/>
        <v>1347.6985681539754</v>
      </c>
      <c r="H448" s="8" t="str">
        <f t="shared" ca="1" si="115"/>
        <v>No</v>
      </c>
      <c r="I448" s="32">
        <f t="shared" ca="1" si="125"/>
        <v>0</v>
      </c>
      <c r="J448" s="32">
        <f t="shared" ca="1" si="116"/>
        <v>2</v>
      </c>
      <c r="K448" s="31">
        <f t="shared" ca="1" si="117"/>
        <v>1</v>
      </c>
      <c r="L448" s="52">
        <f t="shared" ca="1" si="118"/>
        <v>0</v>
      </c>
      <c r="M448" s="51">
        <f t="shared" ca="1" si="112"/>
        <v>0.23648450880928612</v>
      </c>
      <c r="N448" s="51">
        <f t="shared" ca="1" si="126"/>
        <v>0</v>
      </c>
      <c r="O448" s="28" t="str">
        <f t="shared" ca="1" si="113"/>
        <v>Yes</v>
      </c>
      <c r="P448" s="51">
        <f t="shared" ca="1" si="119"/>
        <v>1.9640539116612672</v>
      </c>
      <c r="Q448">
        <f t="shared" ca="1" si="127"/>
        <v>0</v>
      </c>
      <c r="R448">
        <f t="shared" ca="1" si="120"/>
        <v>0</v>
      </c>
      <c r="S448" s="14">
        <f t="shared" ca="1" si="121"/>
        <v>0</v>
      </c>
    </row>
    <row r="449" spans="1:19" x14ac:dyDescent="0.25">
      <c r="A449">
        <v>440</v>
      </c>
      <c r="B449" s="51">
        <f t="shared" ca="1" si="110"/>
        <v>0.31582426301411526</v>
      </c>
      <c r="C449" s="51">
        <f t="shared" ca="1" si="122"/>
        <v>1345.7345142423142</v>
      </c>
      <c r="D449" s="11" t="str">
        <f t="shared" ca="1" si="114"/>
        <v>C2</v>
      </c>
      <c r="E449" s="51">
        <f t="shared" ca="1" si="123"/>
        <v>0</v>
      </c>
      <c r="F449" s="51">
        <f t="shared" ca="1" si="111"/>
        <v>1.7444863510098474</v>
      </c>
      <c r="G449" s="51">
        <f t="shared" ca="1" si="124"/>
        <v>0</v>
      </c>
      <c r="H449" s="8" t="str">
        <f t="shared" ca="1" si="115"/>
        <v>Yes</v>
      </c>
      <c r="I449" s="32">
        <f t="shared" ca="1" si="125"/>
        <v>3</v>
      </c>
      <c r="J449" s="32">
        <f t="shared" ca="1" si="116"/>
        <v>0</v>
      </c>
      <c r="K449" s="31">
        <f t="shared" ca="1" si="117"/>
        <v>1.5</v>
      </c>
      <c r="L449" s="52">
        <f t="shared" ca="1" si="118"/>
        <v>1345.7345142423142</v>
      </c>
      <c r="M449" s="51">
        <f t="shared" ca="1" si="112"/>
        <v>0.6568309193969214</v>
      </c>
      <c r="N449" s="51">
        <f t="shared" ca="1" si="126"/>
        <v>1346.3913451617111</v>
      </c>
      <c r="O449" s="28" t="str">
        <f t="shared" ca="1" si="113"/>
        <v>No</v>
      </c>
      <c r="P449" s="51">
        <f t="shared" ca="1" si="119"/>
        <v>0</v>
      </c>
      <c r="Q449">
        <f t="shared" ca="1" si="127"/>
        <v>0</v>
      </c>
      <c r="R449">
        <f t="shared" ca="1" si="120"/>
        <v>0</v>
      </c>
      <c r="S449" s="14">
        <f t="shared" ca="1" si="121"/>
        <v>0</v>
      </c>
    </row>
    <row r="450" spans="1:19" x14ac:dyDescent="0.25">
      <c r="A450">
        <v>441</v>
      </c>
      <c r="B450" s="51">
        <f t="shared" ca="1" si="110"/>
        <v>1.6034124981625653</v>
      </c>
      <c r="C450" s="51">
        <f t="shared" ca="1" si="122"/>
        <v>1347.3379267404766</v>
      </c>
      <c r="D450" s="11" t="str">
        <f t="shared" ca="1" si="114"/>
        <v>C1</v>
      </c>
      <c r="E450" s="51">
        <f t="shared" ca="1" si="123"/>
        <v>1347.3379267404766</v>
      </c>
      <c r="F450" s="51">
        <f t="shared" ca="1" si="111"/>
        <v>5.5167848950208077E-3</v>
      </c>
      <c r="G450" s="51">
        <f t="shared" ca="1" si="124"/>
        <v>1347.3434435253716</v>
      </c>
      <c r="H450" s="8" t="str">
        <f t="shared" ca="1" si="115"/>
        <v>No</v>
      </c>
      <c r="I450" s="32">
        <f t="shared" ca="1" si="125"/>
        <v>0</v>
      </c>
      <c r="J450" s="32">
        <f t="shared" ca="1" si="116"/>
        <v>0</v>
      </c>
      <c r="K450" s="31">
        <f t="shared" ca="1" si="117"/>
        <v>0</v>
      </c>
      <c r="L450" s="52">
        <f t="shared" ca="1" si="118"/>
        <v>0</v>
      </c>
      <c r="M450" s="51">
        <f t="shared" ca="1" si="112"/>
        <v>2.1122877623117606</v>
      </c>
      <c r="N450" s="51">
        <f t="shared" ca="1" si="126"/>
        <v>0</v>
      </c>
      <c r="O450" s="28" t="str">
        <f t="shared" ca="1" si="113"/>
        <v>Yes</v>
      </c>
      <c r="P450" s="51">
        <f t="shared" ca="1" si="119"/>
        <v>0</v>
      </c>
      <c r="Q450">
        <f t="shared" ca="1" si="127"/>
        <v>0</v>
      </c>
      <c r="R450">
        <f t="shared" ca="1" si="120"/>
        <v>0</v>
      </c>
      <c r="S450" s="14">
        <f t="shared" ca="1" si="121"/>
        <v>0</v>
      </c>
    </row>
    <row r="451" spans="1:19" x14ac:dyDescent="0.25">
      <c r="A451">
        <v>442</v>
      </c>
      <c r="B451" s="51">
        <f t="shared" ca="1" si="110"/>
        <v>0.56352295240302508</v>
      </c>
      <c r="C451" s="51">
        <f t="shared" ca="1" si="122"/>
        <v>1347.9014496928796</v>
      </c>
      <c r="D451" s="11" t="str">
        <f t="shared" ca="1" si="114"/>
        <v>C1</v>
      </c>
      <c r="E451" s="51">
        <f t="shared" ca="1" si="123"/>
        <v>1347.9014496928796</v>
      </c>
      <c r="F451" s="51">
        <f t="shared" ca="1" si="111"/>
        <v>1.8204573604272002E-2</v>
      </c>
      <c r="G451" s="51">
        <f t="shared" ca="1" si="124"/>
        <v>1347.9196542664838</v>
      </c>
      <c r="H451" s="8" t="str">
        <f t="shared" ca="1" si="115"/>
        <v>No</v>
      </c>
      <c r="I451" s="32">
        <f t="shared" ca="1" si="125"/>
        <v>0</v>
      </c>
      <c r="J451" s="32">
        <f t="shared" ca="1" si="116"/>
        <v>0</v>
      </c>
      <c r="K451" s="31">
        <f t="shared" ca="1" si="117"/>
        <v>0</v>
      </c>
      <c r="L451" s="52">
        <f t="shared" ca="1" si="118"/>
        <v>0</v>
      </c>
      <c r="M451" s="51">
        <f t="shared" ca="1" si="112"/>
        <v>1.1744328080016664</v>
      </c>
      <c r="N451" s="51">
        <f t="shared" ca="1" si="126"/>
        <v>0</v>
      </c>
      <c r="O451" s="28" t="str">
        <f t="shared" ca="1" si="113"/>
        <v>Yes</v>
      </c>
      <c r="P451" s="51">
        <f t="shared" ca="1" si="119"/>
        <v>0</v>
      </c>
      <c r="Q451">
        <f t="shared" ca="1" si="127"/>
        <v>0</v>
      </c>
      <c r="R451">
        <f t="shared" ca="1" si="120"/>
        <v>0</v>
      </c>
      <c r="S451" s="14">
        <f t="shared" ca="1" si="121"/>
        <v>0</v>
      </c>
    </row>
    <row r="452" spans="1:19" x14ac:dyDescent="0.25">
      <c r="A452">
        <v>443</v>
      </c>
      <c r="B452" s="51">
        <f t="shared" ca="1" si="110"/>
        <v>0.9142365939178918</v>
      </c>
      <c r="C452" s="51">
        <f t="shared" ca="1" si="122"/>
        <v>1348.8156862867975</v>
      </c>
      <c r="D452" s="11" t="str">
        <f t="shared" ca="1" si="114"/>
        <v>C1</v>
      </c>
      <c r="E452" s="51">
        <f t="shared" ca="1" si="123"/>
        <v>1348.8156862867975</v>
      </c>
      <c r="F452" s="51">
        <f t="shared" ca="1" si="111"/>
        <v>1.9820739318717444</v>
      </c>
      <c r="G452" s="51">
        <f t="shared" ca="1" si="124"/>
        <v>1350.7977602186693</v>
      </c>
      <c r="H452" s="8" t="str">
        <f t="shared" ca="1" si="115"/>
        <v>No</v>
      </c>
      <c r="I452" s="32">
        <f t="shared" ca="1" si="125"/>
        <v>0</v>
      </c>
      <c r="J452" s="32">
        <f t="shared" ca="1" si="116"/>
        <v>0</v>
      </c>
      <c r="K452" s="31">
        <f t="shared" ca="1" si="117"/>
        <v>0</v>
      </c>
      <c r="L452" s="52">
        <f t="shared" ca="1" si="118"/>
        <v>0</v>
      </c>
      <c r="M452" s="51">
        <f t="shared" ca="1" si="112"/>
        <v>1.1989499888763178</v>
      </c>
      <c r="N452" s="51">
        <f t="shared" ca="1" si="126"/>
        <v>0</v>
      </c>
      <c r="O452" s="28" t="str">
        <f t="shared" ca="1" si="113"/>
        <v>Yes</v>
      </c>
      <c r="P452" s="51">
        <f t="shared" ca="1" si="119"/>
        <v>0</v>
      </c>
      <c r="Q452">
        <f t="shared" ca="1" si="127"/>
        <v>0</v>
      </c>
      <c r="R452">
        <f t="shared" ca="1" si="120"/>
        <v>0</v>
      </c>
      <c r="S452" s="14">
        <f t="shared" ca="1" si="121"/>
        <v>0</v>
      </c>
    </row>
    <row r="453" spans="1:19" x14ac:dyDescent="0.25">
      <c r="A453">
        <v>444</v>
      </c>
      <c r="B453" s="51">
        <f t="shared" ca="1" si="110"/>
        <v>5.9812490229246009</v>
      </c>
      <c r="C453" s="51">
        <f t="shared" ca="1" si="122"/>
        <v>1354.7969353097221</v>
      </c>
      <c r="D453" s="11" t="str">
        <f t="shared" ca="1" si="114"/>
        <v>C1</v>
      </c>
      <c r="E453" s="51">
        <f t="shared" ca="1" si="123"/>
        <v>1354.7969353097221</v>
      </c>
      <c r="F453" s="51">
        <f t="shared" ca="1" si="111"/>
        <v>2.1294398861203829</v>
      </c>
      <c r="G453" s="51">
        <f t="shared" ca="1" si="124"/>
        <v>1356.9263751958424</v>
      </c>
      <c r="H453" s="8" t="str">
        <f t="shared" ca="1" si="115"/>
        <v>No</v>
      </c>
      <c r="I453" s="32">
        <f t="shared" ca="1" si="125"/>
        <v>0</v>
      </c>
      <c r="J453" s="32">
        <f t="shared" ca="1" si="116"/>
        <v>0</v>
      </c>
      <c r="K453" s="31">
        <f t="shared" ca="1" si="117"/>
        <v>0</v>
      </c>
      <c r="L453" s="52">
        <f t="shared" ca="1" si="118"/>
        <v>0</v>
      </c>
      <c r="M453" s="51">
        <f t="shared" ca="1" si="112"/>
        <v>0.99044924236993992</v>
      </c>
      <c r="N453" s="51">
        <f t="shared" ca="1" si="126"/>
        <v>0</v>
      </c>
      <c r="O453" s="28" t="str">
        <f t="shared" ca="1" si="113"/>
        <v>Yes</v>
      </c>
      <c r="P453" s="51">
        <f t="shared" ca="1" si="119"/>
        <v>0</v>
      </c>
      <c r="Q453">
        <f t="shared" ca="1" si="127"/>
        <v>0</v>
      </c>
      <c r="R453">
        <f t="shared" ca="1" si="120"/>
        <v>0</v>
      </c>
      <c r="S453" s="14">
        <f t="shared" ca="1" si="121"/>
        <v>0</v>
      </c>
    </row>
    <row r="454" spans="1:19" x14ac:dyDescent="0.25">
      <c r="A454">
        <v>445</v>
      </c>
      <c r="B454" s="51">
        <f t="shared" ca="1" si="110"/>
        <v>4.4421665798522874</v>
      </c>
      <c r="C454" s="51">
        <f t="shared" ca="1" si="122"/>
        <v>1359.2391018895744</v>
      </c>
      <c r="D454" s="11" t="str">
        <f t="shared" ca="1" si="114"/>
        <v>C1</v>
      </c>
      <c r="E454" s="51">
        <f t="shared" ca="1" si="123"/>
        <v>1359.2391018895744</v>
      </c>
      <c r="F454" s="51">
        <f t="shared" ca="1" si="111"/>
        <v>0.37206284410478163</v>
      </c>
      <c r="G454" s="51">
        <f t="shared" ca="1" si="124"/>
        <v>1359.6111647336791</v>
      </c>
      <c r="H454" s="8" t="str">
        <f t="shared" ca="1" si="115"/>
        <v>No</v>
      </c>
      <c r="I454" s="32">
        <f t="shared" ca="1" si="125"/>
        <v>0</v>
      </c>
      <c r="J454" s="32">
        <f t="shared" ca="1" si="116"/>
        <v>1</v>
      </c>
      <c r="K454" s="31">
        <f t="shared" ca="1" si="117"/>
        <v>0.5</v>
      </c>
      <c r="L454" s="52">
        <f t="shared" ca="1" si="118"/>
        <v>0</v>
      </c>
      <c r="M454" s="51">
        <f t="shared" ca="1" si="112"/>
        <v>4.099614152324162</v>
      </c>
      <c r="N454" s="51">
        <f t="shared" ca="1" si="126"/>
        <v>0</v>
      </c>
      <c r="O454" s="28" t="str">
        <f t="shared" ca="1" si="113"/>
        <v>Yes</v>
      </c>
      <c r="P454" s="51">
        <f t="shared" ca="1" si="119"/>
        <v>0.17427924738581169</v>
      </c>
      <c r="Q454">
        <f t="shared" ca="1" si="127"/>
        <v>0</v>
      </c>
      <c r="R454">
        <f t="shared" ca="1" si="120"/>
        <v>0</v>
      </c>
      <c r="S454" s="14">
        <f t="shared" ca="1" si="121"/>
        <v>0</v>
      </c>
    </row>
    <row r="455" spans="1:19" x14ac:dyDescent="0.25">
      <c r="A455">
        <v>446</v>
      </c>
      <c r="B455" s="51">
        <f t="shared" ca="1" si="110"/>
        <v>0.19778359671881518</v>
      </c>
      <c r="C455" s="51">
        <f t="shared" ca="1" si="122"/>
        <v>1359.4368854862932</v>
      </c>
      <c r="D455" s="11" t="str">
        <f t="shared" ca="1" si="114"/>
        <v>C2</v>
      </c>
      <c r="E455" s="51">
        <f t="shared" ca="1" si="123"/>
        <v>0</v>
      </c>
      <c r="F455" s="51">
        <f t="shared" ca="1" si="111"/>
        <v>3.4594670767981426</v>
      </c>
      <c r="G455" s="51">
        <f t="shared" ca="1" si="124"/>
        <v>0</v>
      </c>
      <c r="H455" s="8" t="str">
        <f t="shared" ca="1" si="115"/>
        <v>Yes</v>
      </c>
      <c r="I455" s="32">
        <f t="shared" ca="1" si="125"/>
        <v>2</v>
      </c>
      <c r="J455" s="32">
        <f t="shared" ca="1" si="116"/>
        <v>0</v>
      </c>
      <c r="K455" s="31">
        <f t="shared" ca="1" si="117"/>
        <v>1</v>
      </c>
      <c r="L455" s="52">
        <f t="shared" ca="1" si="118"/>
        <v>1359.4368854862932</v>
      </c>
      <c r="M455" s="51">
        <f t="shared" ca="1" si="112"/>
        <v>1.2859977647708383</v>
      </c>
      <c r="N455" s="51">
        <f t="shared" ca="1" si="126"/>
        <v>1360.7228832510641</v>
      </c>
      <c r="O455" s="28" t="str">
        <f t="shared" ca="1" si="113"/>
        <v>No</v>
      </c>
      <c r="P455" s="51">
        <f t="shared" ca="1" si="119"/>
        <v>0</v>
      </c>
      <c r="Q455">
        <f t="shared" ca="1" si="127"/>
        <v>0</v>
      </c>
      <c r="R455">
        <f t="shared" ca="1" si="120"/>
        <v>0</v>
      </c>
      <c r="S455" s="14">
        <f t="shared" ca="1" si="121"/>
        <v>0</v>
      </c>
    </row>
    <row r="456" spans="1:19" x14ac:dyDescent="0.25">
      <c r="A456">
        <v>447</v>
      </c>
      <c r="B456" s="51">
        <f t="shared" ca="1" si="110"/>
        <v>4.9703402455249526</v>
      </c>
      <c r="C456" s="51">
        <f t="shared" ca="1" si="122"/>
        <v>1364.4072257318182</v>
      </c>
      <c r="D456" s="11" t="str">
        <f t="shared" ca="1" si="114"/>
        <v>C1</v>
      </c>
      <c r="E456" s="51">
        <f t="shared" ca="1" si="123"/>
        <v>1364.4072257318182</v>
      </c>
      <c r="F456" s="51">
        <f t="shared" ca="1" si="111"/>
        <v>2.9834353085499097</v>
      </c>
      <c r="G456" s="51">
        <f t="shared" ca="1" si="124"/>
        <v>1367.3906610403681</v>
      </c>
      <c r="H456" s="8" t="str">
        <f t="shared" ca="1" si="115"/>
        <v>No</v>
      </c>
      <c r="I456" s="32">
        <f t="shared" ca="1" si="125"/>
        <v>0</v>
      </c>
      <c r="J456" s="32">
        <f t="shared" ca="1" si="116"/>
        <v>0</v>
      </c>
      <c r="K456" s="31">
        <f t="shared" ca="1" si="117"/>
        <v>0</v>
      </c>
      <c r="L456" s="52">
        <f t="shared" ca="1" si="118"/>
        <v>0</v>
      </c>
      <c r="M456" s="51">
        <f t="shared" ca="1" si="112"/>
        <v>2.5981169896277057</v>
      </c>
      <c r="N456" s="51">
        <f t="shared" ca="1" si="126"/>
        <v>0</v>
      </c>
      <c r="O456" s="28" t="str">
        <f t="shared" ca="1" si="113"/>
        <v>Yes</v>
      </c>
      <c r="P456" s="51">
        <f t="shared" ca="1" si="119"/>
        <v>0</v>
      </c>
      <c r="Q456">
        <f t="shared" ca="1" si="127"/>
        <v>0</v>
      </c>
      <c r="R456">
        <f t="shared" ca="1" si="120"/>
        <v>0</v>
      </c>
      <c r="S456" s="14">
        <f t="shared" ca="1" si="121"/>
        <v>0</v>
      </c>
    </row>
    <row r="457" spans="1:19" x14ac:dyDescent="0.25">
      <c r="A457">
        <v>448</v>
      </c>
      <c r="B457" s="51">
        <f t="shared" ca="1" si="110"/>
        <v>6.9025845008131244</v>
      </c>
      <c r="C457" s="51">
        <f t="shared" ca="1" si="122"/>
        <v>1371.3098102326314</v>
      </c>
      <c r="D457" s="11" t="str">
        <f t="shared" ca="1" si="114"/>
        <v>C1</v>
      </c>
      <c r="E457" s="51">
        <f t="shared" ca="1" si="123"/>
        <v>1371.3098102326314</v>
      </c>
      <c r="F457" s="51">
        <f t="shared" ca="1" si="111"/>
        <v>2.7837872667254073</v>
      </c>
      <c r="G457" s="51">
        <f t="shared" ca="1" si="124"/>
        <v>1374.0935974993567</v>
      </c>
      <c r="H457" s="8" t="str">
        <f t="shared" ca="1" si="115"/>
        <v>No</v>
      </c>
      <c r="I457" s="32">
        <f t="shared" ca="1" si="125"/>
        <v>0</v>
      </c>
      <c r="J457" s="32">
        <f t="shared" ca="1" si="116"/>
        <v>1</v>
      </c>
      <c r="K457" s="31">
        <f t="shared" ca="1" si="117"/>
        <v>0.5</v>
      </c>
      <c r="L457" s="52">
        <f t="shared" ca="1" si="118"/>
        <v>0</v>
      </c>
      <c r="M457" s="51">
        <f t="shared" ca="1" si="112"/>
        <v>3.2832251014020297</v>
      </c>
      <c r="N457" s="51">
        <f t="shared" ca="1" si="126"/>
        <v>0</v>
      </c>
      <c r="O457" s="28" t="str">
        <f t="shared" ca="1" si="113"/>
        <v>Yes</v>
      </c>
      <c r="P457" s="51">
        <f t="shared" ca="1" si="119"/>
        <v>0.7822267719948286</v>
      </c>
      <c r="Q457">
        <f t="shared" ca="1" si="127"/>
        <v>0</v>
      </c>
      <c r="R457">
        <f t="shared" ca="1" si="120"/>
        <v>0</v>
      </c>
      <c r="S457" s="14">
        <f t="shared" ca="1" si="121"/>
        <v>0</v>
      </c>
    </row>
    <row r="458" spans="1:19" x14ac:dyDescent="0.25">
      <c r="A458">
        <v>449</v>
      </c>
      <c r="B458" s="51">
        <f t="shared" ref="B458:B509" ca="1" si="128">-LN(RAND())/$H$3</f>
        <v>2.0015604947304357</v>
      </c>
      <c r="C458" s="51">
        <f t="shared" ca="1" si="122"/>
        <v>1373.3113707273619</v>
      </c>
      <c r="D458" s="11" t="str">
        <f t="shared" ca="1" si="114"/>
        <v>C2</v>
      </c>
      <c r="E458" s="51">
        <f t="shared" ca="1" si="123"/>
        <v>0</v>
      </c>
      <c r="F458" s="51">
        <f t="shared" ref="F458:F509" ca="1" si="129">-LN(RAND())/$H$5</f>
        <v>3.7482548706741814</v>
      </c>
      <c r="G458" s="51">
        <f t="shared" ca="1" si="124"/>
        <v>0</v>
      </c>
      <c r="H458" s="8" t="str">
        <f t="shared" ca="1" si="115"/>
        <v>Yes</v>
      </c>
      <c r="I458" s="32">
        <f t="shared" ca="1" si="125"/>
        <v>2</v>
      </c>
      <c r="J458" s="32">
        <f t="shared" ca="1" si="116"/>
        <v>0</v>
      </c>
      <c r="K458" s="31">
        <f t="shared" ca="1" si="117"/>
        <v>1</v>
      </c>
      <c r="L458" s="52">
        <f t="shared" ca="1" si="118"/>
        <v>1373.3113707273619</v>
      </c>
      <c r="M458" s="51">
        <f t="shared" ref="M458:M509" ca="1" si="130">-LN(RAND())/$H$5</f>
        <v>0.36013044304901076</v>
      </c>
      <c r="N458" s="51">
        <f t="shared" ca="1" si="126"/>
        <v>1373.6715011704109</v>
      </c>
      <c r="O458" s="28" t="str">
        <f t="shared" ref="O458:O509" ca="1" si="131">IF(D458="C2","No","Yes")</f>
        <v>No</v>
      </c>
      <c r="P458" s="51">
        <f t="shared" ca="1" si="119"/>
        <v>0</v>
      </c>
      <c r="Q458">
        <f t="shared" ca="1" si="127"/>
        <v>0</v>
      </c>
      <c r="R458">
        <f t="shared" ca="1" si="120"/>
        <v>0</v>
      </c>
      <c r="S458" s="14">
        <f t="shared" ca="1" si="121"/>
        <v>0</v>
      </c>
    </row>
    <row r="459" spans="1:19" x14ac:dyDescent="0.25">
      <c r="A459">
        <v>450</v>
      </c>
      <c r="B459" s="51">
        <f t="shared" ca="1" si="128"/>
        <v>7.0680004853373077</v>
      </c>
      <c r="C459" s="51">
        <f t="shared" ca="1" si="122"/>
        <v>1380.3793712126992</v>
      </c>
      <c r="D459" s="11" t="str">
        <f t="shared" ref="D459:D522" ca="1" si="132">IF(C459&gt;G458,"C1",IF(C459&gt;N458,"C2"))</f>
        <v>C1</v>
      </c>
      <c r="E459" s="51">
        <f t="shared" ca="1" si="123"/>
        <v>1380.3793712126992</v>
      </c>
      <c r="F459" s="51">
        <f t="shared" ca="1" si="129"/>
        <v>7.5987081282825981</v>
      </c>
      <c r="G459" s="51">
        <f t="shared" ca="1" si="124"/>
        <v>1387.9780793409818</v>
      </c>
      <c r="H459" s="8" t="str">
        <f t="shared" ref="H459:H509" ca="1" si="133">IF(D459="C1","No","Yes")</f>
        <v>No</v>
      </c>
      <c r="I459" s="32">
        <f t="shared" ca="1" si="125"/>
        <v>0</v>
      </c>
      <c r="J459" s="32">
        <f t="shared" ref="J459:J509" ca="1" si="134">IF($G459&lt;=$C460,0,IF($G459&lt;=$C461,1,IF($G459&lt;=$C462,2,IF($G459&lt;=$C463,3,IF($G459&lt;=$C464,4,5)))))</f>
        <v>4</v>
      </c>
      <c r="K459" s="31">
        <f t="shared" ref="K459:K509" ca="1" si="135">AVERAGE(I459:J459)</f>
        <v>2</v>
      </c>
      <c r="L459" s="52">
        <f t="shared" ref="L459:L509" ca="1" si="136">IF(D459="C2",C459,0)</f>
        <v>0</v>
      </c>
      <c r="M459" s="51">
        <f t="shared" ca="1" si="130"/>
        <v>7.9973273632291272E-2</v>
      </c>
      <c r="N459" s="51">
        <f t="shared" ca="1" si="126"/>
        <v>0</v>
      </c>
      <c r="O459" s="28" t="str">
        <f t="shared" ca="1" si="131"/>
        <v>Yes</v>
      </c>
      <c r="P459" s="51">
        <f t="shared" ref="P459:P508" ca="1" si="137">IF(D459="C1",IF(G459&lt;C460,0,G459-C460),IF(N459&lt;C460,0,N459-C460))</f>
        <v>6.9801488089044597</v>
      </c>
      <c r="Q459">
        <f t="shared" ca="1" si="127"/>
        <v>0</v>
      </c>
      <c r="R459">
        <f t="shared" ref="R459:R509" ca="1" si="138">IF($N459&lt;=$C460,0,IF($N459&lt;=$C461,1,IF($N459&lt;=$C462,2,IF($N459&lt;=$C463,3,IF($N459&lt;=$C464,4,5)))))</f>
        <v>0</v>
      </c>
      <c r="S459" s="14">
        <f t="shared" ref="S459:S509" ca="1" si="139">AVERAGE(Q459:R459)</f>
        <v>0</v>
      </c>
    </row>
    <row r="460" spans="1:19" x14ac:dyDescent="0.25">
      <c r="A460">
        <v>451</v>
      </c>
      <c r="B460" s="51">
        <f t="shared" ca="1" si="128"/>
        <v>0.61855931937823716</v>
      </c>
      <c r="C460" s="51">
        <f t="shared" ref="C460:C509" ca="1" si="140">C459+B460</f>
        <v>1380.9979305320774</v>
      </c>
      <c r="D460" s="11" t="str">
        <f t="shared" ca="1" si="132"/>
        <v>C2</v>
      </c>
      <c r="E460" s="51">
        <f t="shared" ref="E460:E509" ca="1" si="141">IF(D460="C1",C460,0)</f>
        <v>0</v>
      </c>
      <c r="F460" s="51">
        <f t="shared" ca="1" si="129"/>
        <v>4.2835496466291483</v>
      </c>
      <c r="G460" s="51">
        <f t="shared" ref="G460:G509" ca="1" si="142">IF(E460=0,0,F460+E460)</f>
        <v>0</v>
      </c>
      <c r="H460" s="8" t="str">
        <f t="shared" ca="1" si="133"/>
        <v>Yes</v>
      </c>
      <c r="I460" s="32">
        <f t="shared" ref="I460:I509" ca="1" si="143">IF(G459&lt;=$C460,0,$J459+1)</f>
        <v>5</v>
      </c>
      <c r="J460" s="32">
        <f t="shared" ca="1" si="134"/>
        <v>0</v>
      </c>
      <c r="K460" s="31">
        <f t="shared" ca="1" si="135"/>
        <v>2.5</v>
      </c>
      <c r="L460" s="52">
        <f t="shared" ca="1" si="136"/>
        <v>1380.9979305320774</v>
      </c>
      <c r="M460" s="51">
        <f t="shared" ca="1" si="130"/>
        <v>0.98314172750258466</v>
      </c>
      <c r="N460" s="51">
        <f t="shared" ref="N460:N509" ca="1" si="144">IF(L460=0,0,M460+L460)</f>
        <v>1381.9810722595801</v>
      </c>
      <c r="O460" s="28" t="str">
        <f t="shared" ca="1" si="131"/>
        <v>No</v>
      </c>
      <c r="P460" s="51">
        <f t="shared" ca="1" si="137"/>
        <v>0</v>
      </c>
      <c r="Q460">
        <f t="shared" ref="Q460:Q509" ca="1" si="145">IF($N459&lt;=$C460,0,$R459+1)</f>
        <v>0</v>
      </c>
      <c r="R460">
        <f t="shared" ca="1" si="138"/>
        <v>0</v>
      </c>
      <c r="S460" s="14">
        <f t="shared" ca="1" si="139"/>
        <v>0</v>
      </c>
    </row>
    <row r="461" spans="1:19" x14ac:dyDescent="0.25">
      <c r="A461">
        <v>452</v>
      </c>
      <c r="B461" s="51">
        <f t="shared" ca="1" si="128"/>
        <v>1.1327141208094937</v>
      </c>
      <c r="C461" s="51">
        <f t="shared" ca="1" si="140"/>
        <v>1382.1306446528868</v>
      </c>
      <c r="D461" s="11" t="str">
        <f t="shared" ca="1" si="132"/>
        <v>C1</v>
      </c>
      <c r="E461" s="51">
        <f t="shared" ca="1" si="141"/>
        <v>1382.1306446528868</v>
      </c>
      <c r="F461" s="51">
        <f t="shared" ca="1" si="129"/>
        <v>3.958094695406456</v>
      </c>
      <c r="G461" s="51">
        <f t="shared" ca="1" si="142"/>
        <v>1386.0887393482933</v>
      </c>
      <c r="H461" s="8" t="str">
        <f t="shared" ca="1" si="133"/>
        <v>No</v>
      </c>
      <c r="I461" s="32">
        <f t="shared" ca="1" si="143"/>
        <v>0</v>
      </c>
      <c r="J461" s="32">
        <f t="shared" ca="1" si="134"/>
        <v>2</v>
      </c>
      <c r="K461" s="31">
        <f t="shared" ca="1" si="135"/>
        <v>1</v>
      </c>
      <c r="L461" s="52">
        <f t="shared" ca="1" si="136"/>
        <v>0</v>
      </c>
      <c r="M461" s="51">
        <f t="shared" ca="1" si="130"/>
        <v>1.374021666771124</v>
      </c>
      <c r="N461" s="51">
        <f t="shared" ca="1" si="144"/>
        <v>0</v>
      </c>
      <c r="O461" s="28" t="str">
        <f t="shared" ca="1" si="131"/>
        <v>Yes</v>
      </c>
      <c r="P461" s="51">
        <f t="shared" ca="1" si="137"/>
        <v>3.2828059341429707</v>
      </c>
      <c r="Q461">
        <f t="shared" ca="1" si="145"/>
        <v>0</v>
      </c>
      <c r="R461">
        <f t="shared" ca="1" si="138"/>
        <v>0</v>
      </c>
      <c r="S461" s="14">
        <f t="shared" ca="1" si="139"/>
        <v>0</v>
      </c>
    </row>
    <row r="462" spans="1:19" x14ac:dyDescent="0.25">
      <c r="A462">
        <v>453</v>
      </c>
      <c r="B462" s="51">
        <f t="shared" ca="1" si="128"/>
        <v>0.67528876126363802</v>
      </c>
      <c r="C462" s="51">
        <f t="shared" ca="1" si="140"/>
        <v>1382.8059334141503</v>
      </c>
      <c r="D462" s="11" t="str">
        <f t="shared" ca="1" si="132"/>
        <v>C2</v>
      </c>
      <c r="E462" s="51">
        <f t="shared" ca="1" si="141"/>
        <v>0</v>
      </c>
      <c r="F462" s="51">
        <f t="shared" ca="1" si="129"/>
        <v>0.56823808802071596</v>
      </c>
      <c r="G462" s="51">
        <f t="shared" ca="1" si="142"/>
        <v>0</v>
      </c>
      <c r="H462" s="8" t="str">
        <f t="shared" ca="1" si="133"/>
        <v>Yes</v>
      </c>
      <c r="I462" s="32">
        <f t="shared" ca="1" si="143"/>
        <v>3</v>
      </c>
      <c r="J462" s="32">
        <f t="shared" ca="1" si="134"/>
        <v>0</v>
      </c>
      <c r="K462" s="31">
        <f t="shared" ca="1" si="135"/>
        <v>1.5</v>
      </c>
      <c r="L462" s="52">
        <f t="shared" ca="1" si="136"/>
        <v>1382.8059334141503</v>
      </c>
      <c r="M462" s="51">
        <f t="shared" ca="1" si="130"/>
        <v>0.71587558459439049</v>
      </c>
      <c r="N462" s="51">
        <f t="shared" ca="1" si="144"/>
        <v>1383.5218089987447</v>
      </c>
      <c r="O462" s="28" t="str">
        <f t="shared" ca="1" si="131"/>
        <v>No</v>
      </c>
      <c r="P462" s="51">
        <f t="shared" ca="1" si="137"/>
        <v>0.689952707306702</v>
      </c>
      <c r="Q462">
        <f t="shared" ca="1" si="145"/>
        <v>0</v>
      </c>
      <c r="R462">
        <f t="shared" ca="1" si="138"/>
        <v>1</v>
      </c>
      <c r="S462" s="14">
        <f t="shared" ca="1" si="139"/>
        <v>0.5</v>
      </c>
    </row>
    <row r="463" spans="1:19" x14ac:dyDescent="0.25">
      <c r="A463">
        <v>454</v>
      </c>
      <c r="B463" s="51">
        <f t="shared" ca="1" si="128"/>
        <v>2.592287728765845E-2</v>
      </c>
      <c r="C463" s="51">
        <f t="shared" ca="1" si="140"/>
        <v>1382.831856291438</v>
      </c>
      <c r="D463" s="11" t="str">
        <f t="shared" ca="1" si="132"/>
        <v>C1</v>
      </c>
      <c r="E463" s="51">
        <f t="shared" ca="1" si="141"/>
        <v>1382.831856291438</v>
      </c>
      <c r="F463" s="51">
        <f t="shared" ca="1" si="129"/>
        <v>3.3508973726512425</v>
      </c>
      <c r="G463" s="51">
        <f t="shared" ca="1" si="142"/>
        <v>1386.1827536640892</v>
      </c>
      <c r="H463" s="8" t="str">
        <f t="shared" ca="1" si="133"/>
        <v>No</v>
      </c>
      <c r="I463" s="32">
        <f t="shared" ca="1" si="143"/>
        <v>0</v>
      </c>
      <c r="J463" s="32">
        <f t="shared" ca="1" si="134"/>
        <v>0</v>
      </c>
      <c r="K463" s="31">
        <f t="shared" ca="1" si="135"/>
        <v>0</v>
      </c>
      <c r="L463" s="52">
        <f t="shared" ca="1" si="136"/>
        <v>0</v>
      </c>
      <c r="M463" s="51">
        <f t="shared" ca="1" si="130"/>
        <v>1.4082596385426378</v>
      </c>
      <c r="N463" s="51">
        <f t="shared" ca="1" si="144"/>
        <v>0</v>
      </c>
      <c r="O463" s="28" t="str">
        <f t="shared" ca="1" si="131"/>
        <v>Yes</v>
      </c>
      <c r="P463" s="51">
        <f t="shared" ca="1" si="137"/>
        <v>0</v>
      </c>
      <c r="Q463">
        <f t="shared" ca="1" si="145"/>
        <v>2</v>
      </c>
      <c r="R463">
        <f t="shared" ca="1" si="138"/>
        <v>0</v>
      </c>
      <c r="S463" s="14">
        <f t="shared" ca="1" si="139"/>
        <v>1</v>
      </c>
    </row>
    <row r="464" spans="1:19" x14ac:dyDescent="0.25">
      <c r="A464">
        <v>455</v>
      </c>
      <c r="B464" s="51">
        <f t="shared" ca="1" si="128"/>
        <v>13.076028884943677</v>
      </c>
      <c r="C464" s="51">
        <f t="shared" ca="1" si="140"/>
        <v>1395.9078851763818</v>
      </c>
      <c r="D464" s="11" t="str">
        <f t="shared" ca="1" si="132"/>
        <v>C1</v>
      </c>
      <c r="E464" s="51">
        <f t="shared" ca="1" si="141"/>
        <v>1395.9078851763818</v>
      </c>
      <c r="F464" s="51">
        <f t="shared" ca="1" si="129"/>
        <v>1.1518482879900005</v>
      </c>
      <c r="G464" s="51">
        <f t="shared" ca="1" si="142"/>
        <v>1397.0597334643719</v>
      </c>
      <c r="H464" s="8" t="str">
        <f t="shared" ca="1" si="133"/>
        <v>No</v>
      </c>
      <c r="I464" s="32">
        <f t="shared" ca="1" si="143"/>
        <v>0</v>
      </c>
      <c r="J464" s="32">
        <f t="shared" ca="1" si="134"/>
        <v>1</v>
      </c>
      <c r="K464" s="31">
        <f t="shared" ca="1" si="135"/>
        <v>0.5</v>
      </c>
      <c r="L464" s="52">
        <f t="shared" ca="1" si="136"/>
        <v>0</v>
      </c>
      <c r="M464" s="51">
        <f t="shared" ca="1" si="130"/>
        <v>7.3360484374455579</v>
      </c>
      <c r="N464" s="51">
        <f t="shared" ca="1" si="144"/>
        <v>0</v>
      </c>
      <c r="O464" s="28" t="str">
        <f t="shared" ca="1" si="131"/>
        <v>Yes</v>
      </c>
      <c r="P464" s="51">
        <f t="shared" ca="1" si="137"/>
        <v>0.95787714930042966</v>
      </c>
      <c r="Q464">
        <f t="shared" ca="1" si="145"/>
        <v>0</v>
      </c>
      <c r="R464">
        <f t="shared" ca="1" si="138"/>
        <v>0</v>
      </c>
      <c r="S464" s="14">
        <f t="shared" ca="1" si="139"/>
        <v>0</v>
      </c>
    </row>
    <row r="465" spans="1:19" x14ac:dyDescent="0.25">
      <c r="A465">
        <v>456</v>
      </c>
      <c r="B465" s="51">
        <f t="shared" ca="1" si="128"/>
        <v>0.1939711386897022</v>
      </c>
      <c r="C465" s="51">
        <f t="shared" ca="1" si="140"/>
        <v>1396.1018563150715</v>
      </c>
      <c r="D465" s="11" t="str">
        <f t="shared" ca="1" si="132"/>
        <v>C2</v>
      </c>
      <c r="E465" s="51">
        <f t="shared" ca="1" si="141"/>
        <v>0</v>
      </c>
      <c r="F465" s="51">
        <f t="shared" ca="1" si="129"/>
        <v>1.4217076773656507</v>
      </c>
      <c r="G465" s="51">
        <f t="shared" ca="1" si="142"/>
        <v>0</v>
      </c>
      <c r="H465" s="8" t="str">
        <f t="shared" ca="1" si="133"/>
        <v>Yes</v>
      </c>
      <c r="I465" s="32">
        <f t="shared" ca="1" si="143"/>
        <v>2</v>
      </c>
      <c r="J465" s="32">
        <f t="shared" ca="1" si="134"/>
        <v>0</v>
      </c>
      <c r="K465" s="31">
        <f t="shared" ca="1" si="135"/>
        <v>1</v>
      </c>
      <c r="L465" s="52">
        <f t="shared" ca="1" si="136"/>
        <v>1396.1018563150715</v>
      </c>
      <c r="M465" s="51">
        <f t="shared" ca="1" si="130"/>
        <v>14.252275891179558</v>
      </c>
      <c r="N465" s="51">
        <f t="shared" ca="1" si="144"/>
        <v>1410.3541322062511</v>
      </c>
      <c r="O465" s="28" t="str">
        <f t="shared" ca="1" si="131"/>
        <v>No</v>
      </c>
      <c r="P465" s="51">
        <f t="shared" ca="1" si="137"/>
        <v>11.47141814149677</v>
      </c>
      <c r="Q465">
        <f t="shared" ca="1" si="145"/>
        <v>0</v>
      </c>
      <c r="R465">
        <f t="shared" ca="1" si="138"/>
        <v>2</v>
      </c>
      <c r="S465" s="14">
        <f t="shared" ca="1" si="139"/>
        <v>1</v>
      </c>
    </row>
    <row r="466" spans="1:19" x14ac:dyDescent="0.25">
      <c r="A466">
        <v>457</v>
      </c>
      <c r="B466" s="51">
        <f t="shared" ca="1" si="128"/>
        <v>2.7808577496828386</v>
      </c>
      <c r="C466" s="51">
        <f t="shared" ca="1" si="140"/>
        <v>1398.8827140647543</v>
      </c>
      <c r="D466" s="11" t="str">
        <f t="shared" ca="1" si="132"/>
        <v>C1</v>
      </c>
      <c r="E466" s="51">
        <f t="shared" ca="1" si="141"/>
        <v>1398.8827140647543</v>
      </c>
      <c r="F466" s="51">
        <f t="shared" ca="1" si="129"/>
        <v>1.2372941931825028</v>
      </c>
      <c r="G466" s="51">
        <f t="shared" ca="1" si="142"/>
        <v>1400.1200082579369</v>
      </c>
      <c r="H466" s="8" t="str">
        <f t="shared" ca="1" si="133"/>
        <v>No</v>
      </c>
      <c r="I466" s="32">
        <f t="shared" ca="1" si="143"/>
        <v>0</v>
      </c>
      <c r="J466" s="32">
        <f t="shared" ca="1" si="134"/>
        <v>1</v>
      </c>
      <c r="K466" s="31">
        <f t="shared" ca="1" si="135"/>
        <v>0.5</v>
      </c>
      <c r="L466" s="52">
        <f t="shared" ca="1" si="136"/>
        <v>0</v>
      </c>
      <c r="M466" s="51">
        <f t="shared" ca="1" si="130"/>
        <v>1.4283694626052337</v>
      </c>
      <c r="N466" s="51">
        <f t="shared" ca="1" si="144"/>
        <v>0</v>
      </c>
      <c r="O466" s="28" t="str">
        <f t="shared" ca="1" si="131"/>
        <v>Yes</v>
      </c>
      <c r="P466" s="51">
        <f t="shared" ca="1" si="137"/>
        <v>9.1680672235270322E-2</v>
      </c>
      <c r="Q466">
        <f t="shared" ca="1" si="145"/>
        <v>3</v>
      </c>
      <c r="R466">
        <f t="shared" ca="1" si="138"/>
        <v>0</v>
      </c>
      <c r="S466" s="14">
        <f t="shared" ca="1" si="139"/>
        <v>1.5</v>
      </c>
    </row>
    <row r="467" spans="1:19" x14ac:dyDescent="0.25">
      <c r="A467">
        <v>458</v>
      </c>
      <c r="B467" s="51">
        <f t="shared" ca="1" si="128"/>
        <v>1.1456135209472982</v>
      </c>
      <c r="C467" s="51">
        <f t="shared" ca="1" si="140"/>
        <v>1400.0283275857016</v>
      </c>
      <c r="D467" s="11" t="str">
        <f t="shared" ca="1" si="132"/>
        <v>C2</v>
      </c>
      <c r="E467" s="51">
        <f t="shared" ca="1" si="141"/>
        <v>0</v>
      </c>
      <c r="F467" s="51">
        <f t="shared" ca="1" si="129"/>
        <v>0.9001323964806266</v>
      </c>
      <c r="G467" s="51">
        <f t="shared" ca="1" si="142"/>
        <v>0</v>
      </c>
      <c r="H467" s="8" t="str">
        <f t="shared" ca="1" si="133"/>
        <v>Yes</v>
      </c>
      <c r="I467" s="32">
        <f t="shared" ca="1" si="143"/>
        <v>2</v>
      </c>
      <c r="J467" s="32">
        <f t="shared" ca="1" si="134"/>
        <v>0</v>
      </c>
      <c r="K467" s="31">
        <f t="shared" ca="1" si="135"/>
        <v>1</v>
      </c>
      <c r="L467" s="52">
        <f t="shared" ca="1" si="136"/>
        <v>1400.0283275857016</v>
      </c>
      <c r="M467" s="51">
        <f t="shared" ca="1" si="130"/>
        <v>2.9663266099372869</v>
      </c>
      <c r="N467" s="51">
        <f t="shared" ca="1" si="144"/>
        <v>1402.994654195639</v>
      </c>
      <c r="O467" s="28" t="str">
        <f t="shared" ca="1" si="131"/>
        <v>No</v>
      </c>
      <c r="P467" s="51">
        <f t="shared" ca="1" si="137"/>
        <v>0</v>
      </c>
      <c r="Q467">
        <f t="shared" ca="1" si="145"/>
        <v>0</v>
      </c>
      <c r="R467">
        <f t="shared" ca="1" si="138"/>
        <v>0</v>
      </c>
      <c r="S467" s="14">
        <f t="shared" ca="1" si="139"/>
        <v>0</v>
      </c>
    </row>
    <row r="468" spans="1:19" x14ac:dyDescent="0.25">
      <c r="A468">
        <v>459</v>
      </c>
      <c r="B468" s="51">
        <f t="shared" ca="1" si="128"/>
        <v>11.758701301378226</v>
      </c>
      <c r="C468" s="51">
        <f t="shared" ca="1" si="140"/>
        <v>1411.7870288870799</v>
      </c>
      <c r="D468" s="11" t="str">
        <f t="shared" ca="1" si="132"/>
        <v>C1</v>
      </c>
      <c r="E468" s="51">
        <f t="shared" ca="1" si="141"/>
        <v>1411.7870288870799</v>
      </c>
      <c r="F468" s="51">
        <f t="shared" ca="1" si="129"/>
        <v>1.2336503785690796</v>
      </c>
      <c r="G468" s="51">
        <f t="shared" ca="1" si="142"/>
        <v>1413.0206792656491</v>
      </c>
      <c r="H468" s="8" t="str">
        <f t="shared" ca="1" si="133"/>
        <v>No</v>
      </c>
      <c r="I468" s="32">
        <f t="shared" ca="1" si="143"/>
        <v>0</v>
      </c>
      <c r="J468" s="32">
        <f t="shared" ca="1" si="134"/>
        <v>0</v>
      </c>
      <c r="K468" s="31">
        <f t="shared" ca="1" si="135"/>
        <v>0</v>
      </c>
      <c r="L468" s="52">
        <f t="shared" ca="1" si="136"/>
        <v>0</v>
      </c>
      <c r="M468" s="51">
        <f t="shared" ca="1" si="130"/>
        <v>3.2583850061416033</v>
      </c>
      <c r="N468" s="51">
        <f t="shared" ca="1" si="144"/>
        <v>0</v>
      </c>
      <c r="O468" s="28" t="str">
        <f t="shared" ca="1" si="131"/>
        <v>Yes</v>
      </c>
      <c r="P468" s="51">
        <f t="shared" ca="1" si="137"/>
        <v>0</v>
      </c>
      <c r="Q468">
        <f t="shared" ca="1" si="145"/>
        <v>0</v>
      </c>
      <c r="R468">
        <f t="shared" ca="1" si="138"/>
        <v>0</v>
      </c>
      <c r="S468" s="14">
        <f t="shared" ca="1" si="139"/>
        <v>0</v>
      </c>
    </row>
    <row r="469" spans="1:19" x14ac:dyDescent="0.25">
      <c r="A469">
        <v>460</v>
      </c>
      <c r="B469" s="51">
        <f t="shared" ca="1" si="128"/>
        <v>1.5269002009461761</v>
      </c>
      <c r="C469" s="51">
        <f t="shared" ca="1" si="140"/>
        <v>1413.313929088026</v>
      </c>
      <c r="D469" s="11" t="str">
        <f t="shared" ca="1" si="132"/>
        <v>C1</v>
      </c>
      <c r="E469" s="51">
        <f t="shared" ca="1" si="141"/>
        <v>1413.313929088026</v>
      </c>
      <c r="F469" s="51">
        <f t="shared" ca="1" si="129"/>
        <v>1.0251309015671459</v>
      </c>
      <c r="G469" s="51">
        <f t="shared" ca="1" si="142"/>
        <v>1414.3390599895931</v>
      </c>
      <c r="H469" s="8" t="str">
        <f t="shared" ca="1" si="133"/>
        <v>No</v>
      </c>
      <c r="I469" s="32">
        <f t="shared" ca="1" si="143"/>
        <v>0</v>
      </c>
      <c r="J469" s="32">
        <f t="shared" ca="1" si="134"/>
        <v>0</v>
      </c>
      <c r="K469" s="31">
        <f t="shared" ca="1" si="135"/>
        <v>0</v>
      </c>
      <c r="L469" s="52">
        <f t="shared" ca="1" si="136"/>
        <v>0</v>
      </c>
      <c r="M469" s="51">
        <f t="shared" ca="1" si="130"/>
        <v>3.5355584287920121</v>
      </c>
      <c r="N469" s="51">
        <f t="shared" ca="1" si="144"/>
        <v>0</v>
      </c>
      <c r="O469" s="28" t="str">
        <f t="shared" ca="1" si="131"/>
        <v>Yes</v>
      </c>
      <c r="P469" s="51">
        <f t="shared" ca="1" si="137"/>
        <v>0</v>
      </c>
      <c r="Q469">
        <f t="shared" ca="1" si="145"/>
        <v>0</v>
      </c>
      <c r="R469">
        <f t="shared" ca="1" si="138"/>
        <v>0</v>
      </c>
      <c r="S469" s="14">
        <f t="shared" ca="1" si="139"/>
        <v>0</v>
      </c>
    </row>
    <row r="470" spans="1:19" x14ac:dyDescent="0.25">
      <c r="A470">
        <v>461</v>
      </c>
      <c r="B470" s="51">
        <f t="shared" ca="1" si="128"/>
        <v>1.4857360255800078</v>
      </c>
      <c r="C470" s="51">
        <f t="shared" ca="1" si="140"/>
        <v>1414.7996651136061</v>
      </c>
      <c r="D470" s="11" t="str">
        <f t="shared" ca="1" si="132"/>
        <v>C1</v>
      </c>
      <c r="E470" s="51">
        <f t="shared" ca="1" si="141"/>
        <v>1414.7996651136061</v>
      </c>
      <c r="F470" s="51">
        <f t="shared" ca="1" si="129"/>
        <v>4.8825681936118839</v>
      </c>
      <c r="G470" s="51">
        <f t="shared" ca="1" si="142"/>
        <v>1419.682233307218</v>
      </c>
      <c r="H470" s="8" t="str">
        <f t="shared" ca="1" si="133"/>
        <v>No</v>
      </c>
      <c r="I470" s="32">
        <f t="shared" ca="1" si="143"/>
        <v>0</v>
      </c>
      <c r="J470" s="32">
        <f t="shared" ca="1" si="134"/>
        <v>1</v>
      </c>
      <c r="K470" s="31">
        <f t="shared" ca="1" si="135"/>
        <v>0.5</v>
      </c>
      <c r="L470" s="52">
        <f t="shared" ca="1" si="136"/>
        <v>0</v>
      </c>
      <c r="M470" s="51">
        <f t="shared" ca="1" si="130"/>
        <v>1.9883321262652769</v>
      </c>
      <c r="N470" s="51">
        <f t="shared" ca="1" si="144"/>
        <v>0</v>
      </c>
      <c r="O470" s="28" t="str">
        <f t="shared" ca="1" si="131"/>
        <v>Yes</v>
      </c>
      <c r="P470" s="51">
        <f t="shared" ca="1" si="137"/>
        <v>1.6250007816549896</v>
      </c>
      <c r="Q470">
        <f t="shared" ca="1" si="145"/>
        <v>0</v>
      </c>
      <c r="R470">
        <f t="shared" ca="1" si="138"/>
        <v>0</v>
      </c>
      <c r="S470" s="14">
        <f t="shared" ca="1" si="139"/>
        <v>0</v>
      </c>
    </row>
    <row r="471" spans="1:19" x14ac:dyDescent="0.25">
      <c r="A471">
        <v>462</v>
      </c>
      <c r="B471" s="51">
        <f t="shared" ca="1" si="128"/>
        <v>3.2575674119568596</v>
      </c>
      <c r="C471" s="51">
        <f t="shared" ca="1" si="140"/>
        <v>1418.057232525563</v>
      </c>
      <c r="D471" s="11" t="str">
        <f t="shared" ca="1" si="132"/>
        <v>C2</v>
      </c>
      <c r="E471" s="51">
        <f t="shared" ca="1" si="141"/>
        <v>0</v>
      </c>
      <c r="F471" s="51">
        <f t="shared" ca="1" si="129"/>
        <v>1.5197038305179291</v>
      </c>
      <c r="G471" s="51">
        <f t="shared" ca="1" si="142"/>
        <v>0</v>
      </c>
      <c r="H471" s="8" t="str">
        <f t="shared" ca="1" si="133"/>
        <v>Yes</v>
      </c>
      <c r="I471" s="32">
        <f t="shared" ca="1" si="143"/>
        <v>2</v>
      </c>
      <c r="J471" s="32">
        <f t="shared" ca="1" si="134"/>
        <v>0</v>
      </c>
      <c r="K471" s="31">
        <f t="shared" ca="1" si="135"/>
        <v>1</v>
      </c>
      <c r="L471" s="52">
        <f t="shared" ca="1" si="136"/>
        <v>1418.057232525563</v>
      </c>
      <c r="M471" s="51">
        <f t="shared" ca="1" si="130"/>
        <v>5.8952730239132523</v>
      </c>
      <c r="N471" s="51">
        <f t="shared" ca="1" si="144"/>
        <v>1423.9525055494762</v>
      </c>
      <c r="O471" s="28" t="str">
        <f t="shared" ca="1" si="131"/>
        <v>No</v>
      </c>
      <c r="P471" s="51">
        <f t="shared" ca="1" si="137"/>
        <v>1.7424786245555879E-2</v>
      </c>
      <c r="Q471">
        <f t="shared" ca="1" si="145"/>
        <v>0</v>
      </c>
      <c r="R471">
        <f t="shared" ca="1" si="138"/>
        <v>1</v>
      </c>
      <c r="S471" s="14">
        <f t="shared" ca="1" si="139"/>
        <v>0.5</v>
      </c>
    </row>
    <row r="472" spans="1:19" x14ac:dyDescent="0.25">
      <c r="A472">
        <v>463</v>
      </c>
      <c r="B472" s="51">
        <f t="shared" ca="1" si="128"/>
        <v>5.8778482376677195</v>
      </c>
      <c r="C472" s="51">
        <f t="shared" ca="1" si="140"/>
        <v>1423.9350807632306</v>
      </c>
      <c r="D472" s="11" t="str">
        <f t="shared" ca="1" si="132"/>
        <v>C1</v>
      </c>
      <c r="E472" s="51">
        <f t="shared" ca="1" si="141"/>
        <v>1423.9350807632306</v>
      </c>
      <c r="F472" s="51">
        <f t="shared" ca="1" si="129"/>
        <v>1.7541755777703405</v>
      </c>
      <c r="G472" s="51">
        <f t="shared" ca="1" si="142"/>
        <v>1425.6892563410011</v>
      </c>
      <c r="H472" s="8" t="str">
        <f t="shared" ca="1" si="133"/>
        <v>No</v>
      </c>
      <c r="I472" s="32">
        <f t="shared" ca="1" si="143"/>
        <v>0</v>
      </c>
      <c r="J472" s="32">
        <f t="shared" ca="1" si="134"/>
        <v>1</v>
      </c>
      <c r="K472" s="31">
        <f t="shared" ca="1" si="135"/>
        <v>0.5</v>
      </c>
      <c r="L472" s="52">
        <f t="shared" ca="1" si="136"/>
        <v>0</v>
      </c>
      <c r="M472" s="51">
        <f t="shared" ca="1" si="130"/>
        <v>1.4343870701899315</v>
      </c>
      <c r="N472" s="51">
        <f t="shared" ca="1" si="144"/>
        <v>0</v>
      </c>
      <c r="O472" s="28" t="str">
        <f t="shared" ca="1" si="131"/>
        <v>Yes</v>
      </c>
      <c r="P472" s="51">
        <f t="shared" ca="1" si="137"/>
        <v>0.85494728447952184</v>
      </c>
      <c r="Q472">
        <f t="shared" ca="1" si="145"/>
        <v>2</v>
      </c>
      <c r="R472">
        <f t="shared" ca="1" si="138"/>
        <v>0</v>
      </c>
      <c r="S472" s="14">
        <f t="shared" ca="1" si="139"/>
        <v>1</v>
      </c>
    </row>
    <row r="473" spans="1:19" x14ac:dyDescent="0.25">
      <c r="A473">
        <v>464</v>
      </c>
      <c r="B473" s="51">
        <f t="shared" ca="1" si="128"/>
        <v>0.89922829329079512</v>
      </c>
      <c r="C473" s="51">
        <f t="shared" ca="1" si="140"/>
        <v>1424.8343090565215</v>
      </c>
      <c r="D473" s="11" t="str">
        <f t="shared" ca="1" si="132"/>
        <v>C2</v>
      </c>
      <c r="E473" s="51">
        <f t="shared" ca="1" si="141"/>
        <v>0</v>
      </c>
      <c r="F473" s="51">
        <f t="shared" ca="1" si="129"/>
        <v>0.3079303663316908</v>
      </c>
      <c r="G473" s="51">
        <f t="shared" ca="1" si="142"/>
        <v>0</v>
      </c>
      <c r="H473" s="8" t="str">
        <f t="shared" ca="1" si="133"/>
        <v>Yes</v>
      </c>
      <c r="I473" s="32">
        <f t="shared" ca="1" si="143"/>
        <v>2</v>
      </c>
      <c r="J473" s="32">
        <f t="shared" ca="1" si="134"/>
        <v>0</v>
      </c>
      <c r="K473" s="31">
        <f t="shared" ca="1" si="135"/>
        <v>1</v>
      </c>
      <c r="L473" s="52">
        <f t="shared" ca="1" si="136"/>
        <v>1424.8343090565215</v>
      </c>
      <c r="M473" s="51">
        <f t="shared" ca="1" si="130"/>
        <v>4.0839859946348405</v>
      </c>
      <c r="N473" s="51">
        <f t="shared" ca="1" si="144"/>
        <v>1428.9182950511563</v>
      </c>
      <c r="O473" s="28" t="str">
        <f t="shared" ca="1" si="131"/>
        <v>No</v>
      </c>
      <c r="P473" s="51">
        <f t="shared" ca="1" si="137"/>
        <v>0</v>
      </c>
      <c r="Q473">
        <f t="shared" ca="1" si="145"/>
        <v>0</v>
      </c>
      <c r="R473">
        <f t="shared" ca="1" si="138"/>
        <v>0</v>
      </c>
      <c r="S473" s="14">
        <f t="shared" ca="1" si="139"/>
        <v>0</v>
      </c>
    </row>
    <row r="474" spans="1:19" x14ac:dyDescent="0.25">
      <c r="A474">
        <v>465</v>
      </c>
      <c r="B474" s="51">
        <f t="shared" ca="1" si="128"/>
        <v>4.9648176666062396</v>
      </c>
      <c r="C474" s="51">
        <f t="shared" ca="1" si="140"/>
        <v>1429.7991267231278</v>
      </c>
      <c r="D474" s="11" t="str">
        <f t="shared" ca="1" si="132"/>
        <v>C1</v>
      </c>
      <c r="E474" s="51">
        <f t="shared" ca="1" si="141"/>
        <v>1429.7991267231278</v>
      </c>
      <c r="F474" s="51">
        <f t="shared" ca="1" si="129"/>
        <v>2.9365955921552094</v>
      </c>
      <c r="G474" s="51">
        <f t="shared" ca="1" si="142"/>
        <v>1432.7357223152831</v>
      </c>
      <c r="H474" s="8" t="str">
        <f t="shared" ca="1" si="133"/>
        <v>No</v>
      </c>
      <c r="I474" s="32">
        <f t="shared" ca="1" si="143"/>
        <v>0</v>
      </c>
      <c r="J474" s="32">
        <f t="shared" ca="1" si="134"/>
        <v>0</v>
      </c>
      <c r="K474" s="31">
        <f t="shared" ca="1" si="135"/>
        <v>0</v>
      </c>
      <c r="L474" s="52">
        <f t="shared" ca="1" si="136"/>
        <v>0</v>
      </c>
      <c r="M474" s="51">
        <f t="shared" ca="1" si="130"/>
        <v>0.22432675345520112</v>
      </c>
      <c r="N474" s="51">
        <f t="shared" ca="1" si="144"/>
        <v>0</v>
      </c>
      <c r="O474" s="28" t="str">
        <f t="shared" ca="1" si="131"/>
        <v>Yes</v>
      </c>
      <c r="P474" s="51">
        <f t="shared" ca="1" si="137"/>
        <v>0</v>
      </c>
      <c r="Q474">
        <f t="shared" ca="1" si="145"/>
        <v>0</v>
      </c>
      <c r="R474">
        <f t="shared" ca="1" si="138"/>
        <v>0</v>
      </c>
      <c r="S474" s="14">
        <f t="shared" ca="1" si="139"/>
        <v>0</v>
      </c>
    </row>
    <row r="475" spans="1:19" x14ac:dyDescent="0.25">
      <c r="A475">
        <v>466</v>
      </c>
      <c r="B475" s="51">
        <f t="shared" ca="1" si="128"/>
        <v>3.4509521997607902</v>
      </c>
      <c r="C475" s="51">
        <f t="shared" ca="1" si="140"/>
        <v>1433.2500789228886</v>
      </c>
      <c r="D475" s="11" t="str">
        <f t="shared" ca="1" si="132"/>
        <v>C1</v>
      </c>
      <c r="E475" s="51">
        <f t="shared" ca="1" si="141"/>
        <v>1433.2500789228886</v>
      </c>
      <c r="F475" s="51">
        <f t="shared" ca="1" si="129"/>
        <v>7.2310218200510539</v>
      </c>
      <c r="G475" s="51">
        <f t="shared" ca="1" si="142"/>
        <v>1440.4811007429396</v>
      </c>
      <c r="H475" s="8" t="str">
        <f t="shared" ca="1" si="133"/>
        <v>No</v>
      </c>
      <c r="I475" s="32">
        <f t="shared" ca="1" si="143"/>
        <v>0</v>
      </c>
      <c r="J475" s="32">
        <f t="shared" ca="1" si="134"/>
        <v>3</v>
      </c>
      <c r="K475" s="31">
        <f t="shared" ca="1" si="135"/>
        <v>1.5</v>
      </c>
      <c r="L475" s="52">
        <f t="shared" ca="1" si="136"/>
        <v>0</v>
      </c>
      <c r="M475" s="51">
        <f t="shared" ca="1" si="130"/>
        <v>0.61469939247578376</v>
      </c>
      <c r="N475" s="51">
        <f t="shared" ca="1" si="144"/>
        <v>0</v>
      </c>
      <c r="O475" s="28" t="str">
        <f t="shared" ca="1" si="131"/>
        <v>Yes</v>
      </c>
      <c r="P475" s="51">
        <f t="shared" ca="1" si="137"/>
        <v>6.339851176257298</v>
      </c>
      <c r="Q475">
        <f t="shared" ca="1" si="145"/>
        <v>0</v>
      </c>
      <c r="R475">
        <f t="shared" ca="1" si="138"/>
        <v>0</v>
      </c>
      <c r="S475" s="14">
        <f t="shared" ca="1" si="139"/>
        <v>0</v>
      </c>
    </row>
    <row r="476" spans="1:19" x14ac:dyDescent="0.25">
      <c r="A476">
        <v>467</v>
      </c>
      <c r="B476" s="51">
        <f t="shared" ca="1" si="128"/>
        <v>0.89117064379355793</v>
      </c>
      <c r="C476" s="51">
        <f t="shared" ca="1" si="140"/>
        <v>1434.1412495666823</v>
      </c>
      <c r="D476" s="11" t="str">
        <f t="shared" ca="1" si="132"/>
        <v>C2</v>
      </c>
      <c r="E476" s="51">
        <f t="shared" ca="1" si="141"/>
        <v>0</v>
      </c>
      <c r="F476" s="51">
        <f t="shared" ca="1" si="129"/>
        <v>8.4655440870398095</v>
      </c>
      <c r="G476" s="51">
        <f t="shared" ca="1" si="142"/>
        <v>0</v>
      </c>
      <c r="H476" s="8" t="str">
        <f t="shared" ca="1" si="133"/>
        <v>Yes</v>
      </c>
      <c r="I476" s="32">
        <f t="shared" ca="1" si="143"/>
        <v>4</v>
      </c>
      <c r="J476" s="32">
        <f t="shared" ca="1" si="134"/>
        <v>0</v>
      </c>
      <c r="K476" s="31">
        <f t="shared" ca="1" si="135"/>
        <v>2</v>
      </c>
      <c r="L476" s="52">
        <f t="shared" ca="1" si="136"/>
        <v>1434.1412495666823</v>
      </c>
      <c r="M476" s="51">
        <f t="shared" ca="1" si="130"/>
        <v>1.104532356767485</v>
      </c>
      <c r="N476" s="51">
        <f t="shared" ca="1" si="144"/>
        <v>1435.2457819234498</v>
      </c>
      <c r="O476" s="28" t="str">
        <f t="shared" ca="1" si="131"/>
        <v>No</v>
      </c>
      <c r="P476" s="51">
        <f t="shared" ca="1" si="137"/>
        <v>0</v>
      </c>
      <c r="Q476">
        <f t="shared" ca="1" si="145"/>
        <v>0</v>
      </c>
      <c r="R476">
        <f t="shared" ca="1" si="138"/>
        <v>0</v>
      </c>
      <c r="S476" s="14">
        <f t="shared" ca="1" si="139"/>
        <v>0</v>
      </c>
    </row>
    <row r="477" spans="1:19" x14ac:dyDescent="0.25">
      <c r="A477">
        <v>468</v>
      </c>
      <c r="B477" s="51">
        <f t="shared" ca="1" si="128"/>
        <v>1.6037749308568212</v>
      </c>
      <c r="C477" s="51">
        <f t="shared" ca="1" si="140"/>
        <v>1435.7450244975391</v>
      </c>
      <c r="D477" s="11" t="str">
        <f t="shared" ca="1" si="132"/>
        <v>C1</v>
      </c>
      <c r="E477" s="51">
        <f t="shared" ca="1" si="141"/>
        <v>1435.7450244975391</v>
      </c>
      <c r="F477" s="51">
        <f t="shared" ca="1" si="129"/>
        <v>3.3315643115095233</v>
      </c>
      <c r="G477" s="51">
        <f t="shared" ca="1" si="142"/>
        <v>1439.0765888090486</v>
      </c>
      <c r="H477" s="8" t="str">
        <f t="shared" ca="1" si="133"/>
        <v>No</v>
      </c>
      <c r="I477" s="32">
        <f t="shared" ca="1" si="143"/>
        <v>0</v>
      </c>
      <c r="J477" s="32">
        <f t="shared" ca="1" si="134"/>
        <v>1</v>
      </c>
      <c r="K477" s="31">
        <f t="shared" ca="1" si="135"/>
        <v>0.5</v>
      </c>
      <c r="L477" s="52">
        <f t="shared" ca="1" si="136"/>
        <v>0</v>
      </c>
      <c r="M477" s="51">
        <f t="shared" ca="1" si="130"/>
        <v>1.9855061918960883</v>
      </c>
      <c r="N477" s="51">
        <f t="shared" ca="1" si="144"/>
        <v>0</v>
      </c>
      <c r="O477" s="28" t="str">
        <f t="shared" ca="1" si="131"/>
        <v>Yes</v>
      </c>
      <c r="P477" s="51">
        <f t="shared" ca="1" si="137"/>
        <v>1.4489044597626162</v>
      </c>
      <c r="Q477">
        <f t="shared" ca="1" si="145"/>
        <v>0</v>
      </c>
      <c r="R477">
        <f t="shared" ca="1" si="138"/>
        <v>0</v>
      </c>
      <c r="S477" s="14">
        <f t="shared" ca="1" si="139"/>
        <v>0</v>
      </c>
    </row>
    <row r="478" spans="1:19" x14ac:dyDescent="0.25">
      <c r="A478">
        <v>469</v>
      </c>
      <c r="B478" s="51">
        <f t="shared" ca="1" si="128"/>
        <v>1.8826598517468731</v>
      </c>
      <c r="C478" s="51">
        <f t="shared" ca="1" si="140"/>
        <v>1437.627684349286</v>
      </c>
      <c r="D478" s="11" t="str">
        <f t="shared" ca="1" si="132"/>
        <v>C2</v>
      </c>
      <c r="E478" s="51">
        <f t="shared" ca="1" si="141"/>
        <v>0</v>
      </c>
      <c r="F478" s="51">
        <f t="shared" ca="1" si="129"/>
        <v>0.44215664371828184</v>
      </c>
      <c r="G478" s="51">
        <f t="shared" ca="1" si="142"/>
        <v>0</v>
      </c>
      <c r="H478" s="8" t="str">
        <f t="shared" ca="1" si="133"/>
        <v>Yes</v>
      </c>
      <c r="I478" s="32">
        <f t="shared" ca="1" si="143"/>
        <v>2</v>
      </c>
      <c r="J478" s="32">
        <f t="shared" ca="1" si="134"/>
        <v>0</v>
      </c>
      <c r="K478" s="31">
        <f t="shared" ca="1" si="135"/>
        <v>1</v>
      </c>
      <c r="L478" s="52">
        <f t="shared" ca="1" si="136"/>
        <v>1437.627684349286</v>
      </c>
      <c r="M478" s="51">
        <f t="shared" ca="1" si="130"/>
        <v>2.8711622033447601</v>
      </c>
      <c r="N478" s="51">
        <f t="shared" ca="1" si="144"/>
        <v>1440.4988465526308</v>
      </c>
      <c r="O478" s="28" t="str">
        <f t="shared" ca="1" si="131"/>
        <v>No</v>
      </c>
      <c r="P478" s="51">
        <f t="shared" ca="1" si="137"/>
        <v>0</v>
      </c>
      <c r="Q478">
        <f t="shared" ca="1" si="145"/>
        <v>0</v>
      </c>
      <c r="R478">
        <f t="shared" ca="1" si="138"/>
        <v>0</v>
      </c>
      <c r="S478" s="14">
        <f t="shared" ca="1" si="139"/>
        <v>0</v>
      </c>
    </row>
    <row r="479" spans="1:19" x14ac:dyDescent="0.25">
      <c r="A479">
        <v>470</v>
      </c>
      <c r="B479" s="51">
        <f t="shared" ca="1" si="128"/>
        <v>6.7949250972163941</v>
      </c>
      <c r="C479" s="51">
        <f t="shared" ca="1" si="140"/>
        <v>1444.4226094465025</v>
      </c>
      <c r="D479" s="11" t="str">
        <f t="shared" ca="1" si="132"/>
        <v>C1</v>
      </c>
      <c r="E479" s="51">
        <f t="shared" ca="1" si="141"/>
        <v>1444.4226094465025</v>
      </c>
      <c r="F479" s="51">
        <f t="shared" ca="1" si="129"/>
        <v>0.34278139613840214</v>
      </c>
      <c r="G479" s="51">
        <f t="shared" ca="1" si="142"/>
        <v>1444.765390842641</v>
      </c>
      <c r="H479" s="8" t="str">
        <f t="shared" ca="1" si="133"/>
        <v>No</v>
      </c>
      <c r="I479" s="32">
        <f t="shared" ca="1" si="143"/>
        <v>0</v>
      </c>
      <c r="J479" s="32">
        <f t="shared" ca="1" si="134"/>
        <v>0</v>
      </c>
      <c r="K479" s="31">
        <f t="shared" ca="1" si="135"/>
        <v>0</v>
      </c>
      <c r="L479" s="52">
        <f t="shared" ca="1" si="136"/>
        <v>0</v>
      </c>
      <c r="M479" s="51">
        <f t="shared" ca="1" si="130"/>
        <v>8.2112149109501846</v>
      </c>
      <c r="N479" s="51">
        <f t="shared" ca="1" si="144"/>
        <v>0</v>
      </c>
      <c r="O479" s="28" t="str">
        <f t="shared" ca="1" si="131"/>
        <v>Yes</v>
      </c>
      <c r="P479" s="51">
        <f t="shared" ca="1" si="137"/>
        <v>0</v>
      </c>
      <c r="Q479">
        <f t="shared" ca="1" si="145"/>
        <v>0</v>
      </c>
      <c r="R479">
        <f t="shared" ca="1" si="138"/>
        <v>0</v>
      </c>
      <c r="S479" s="14">
        <f t="shared" ca="1" si="139"/>
        <v>0</v>
      </c>
    </row>
    <row r="480" spans="1:19" x14ac:dyDescent="0.25">
      <c r="A480">
        <v>471</v>
      </c>
      <c r="B480" s="51">
        <f t="shared" ca="1" si="128"/>
        <v>3.7176059801960122</v>
      </c>
      <c r="C480" s="51">
        <f t="shared" ca="1" si="140"/>
        <v>1448.1402154266984</v>
      </c>
      <c r="D480" s="11" t="str">
        <f t="shared" ca="1" si="132"/>
        <v>C1</v>
      </c>
      <c r="E480" s="51">
        <f t="shared" ca="1" si="141"/>
        <v>1448.1402154266984</v>
      </c>
      <c r="F480" s="51">
        <f t="shared" ca="1" si="129"/>
        <v>0.37016095360226881</v>
      </c>
      <c r="G480" s="51">
        <f t="shared" ca="1" si="142"/>
        <v>1448.5103763803006</v>
      </c>
      <c r="H480" s="8" t="str">
        <f t="shared" ca="1" si="133"/>
        <v>No</v>
      </c>
      <c r="I480" s="32">
        <f t="shared" ca="1" si="143"/>
        <v>0</v>
      </c>
      <c r="J480" s="32">
        <f t="shared" ca="1" si="134"/>
        <v>1</v>
      </c>
      <c r="K480" s="31">
        <f t="shared" ca="1" si="135"/>
        <v>0.5</v>
      </c>
      <c r="L480" s="52">
        <f t="shared" ca="1" si="136"/>
        <v>0</v>
      </c>
      <c r="M480" s="51">
        <f t="shared" ca="1" si="130"/>
        <v>4.1063224646121812</v>
      </c>
      <c r="N480" s="51">
        <f t="shared" ca="1" si="144"/>
        <v>0</v>
      </c>
      <c r="O480" s="28" t="str">
        <f t="shared" ca="1" si="131"/>
        <v>Yes</v>
      </c>
      <c r="P480" s="51">
        <f t="shared" ca="1" si="137"/>
        <v>0.10106716249333658</v>
      </c>
      <c r="Q480">
        <f t="shared" ca="1" si="145"/>
        <v>0</v>
      </c>
      <c r="R480">
        <f t="shared" ca="1" si="138"/>
        <v>0</v>
      </c>
      <c r="S480" s="14">
        <f t="shared" ca="1" si="139"/>
        <v>0</v>
      </c>
    </row>
    <row r="481" spans="1:19" x14ac:dyDescent="0.25">
      <c r="A481">
        <v>472</v>
      </c>
      <c r="B481" s="51">
        <f t="shared" ca="1" si="128"/>
        <v>0.26909379110887033</v>
      </c>
      <c r="C481" s="51">
        <f t="shared" ca="1" si="140"/>
        <v>1448.4093092178073</v>
      </c>
      <c r="D481" s="11" t="str">
        <f t="shared" ca="1" si="132"/>
        <v>C2</v>
      </c>
      <c r="E481" s="51">
        <f t="shared" ca="1" si="141"/>
        <v>0</v>
      </c>
      <c r="F481" s="51">
        <f t="shared" ca="1" si="129"/>
        <v>4.673806731241422</v>
      </c>
      <c r="G481" s="51">
        <f t="shared" ca="1" si="142"/>
        <v>0</v>
      </c>
      <c r="H481" s="8" t="str">
        <f t="shared" ca="1" si="133"/>
        <v>Yes</v>
      </c>
      <c r="I481" s="32">
        <f t="shared" ca="1" si="143"/>
        <v>2</v>
      </c>
      <c r="J481" s="32">
        <f t="shared" ca="1" si="134"/>
        <v>0</v>
      </c>
      <c r="K481" s="31">
        <f t="shared" ca="1" si="135"/>
        <v>1</v>
      </c>
      <c r="L481" s="52">
        <f t="shared" ca="1" si="136"/>
        <v>1448.4093092178073</v>
      </c>
      <c r="M481" s="51">
        <f t="shared" ca="1" si="130"/>
        <v>1.0021146143446706</v>
      </c>
      <c r="N481" s="51">
        <f t="shared" ca="1" si="144"/>
        <v>1449.411423832152</v>
      </c>
      <c r="O481" s="28" t="str">
        <f t="shared" ca="1" si="131"/>
        <v>No</v>
      </c>
      <c r="P481" s="51">
        <f t="shared" ca="1" si="137"/>
        <v>0</v>
      </c>
      <c r="Q481">
        <f t="shared" ca="1" si="145"/>
        <v>0</v>
      </c>
      <c r="R481">
        <f t="shared" ca="1" si="138"/>
        <v>0</v>
      </c>
      <c r="S481" s="14">
        <f t="shared" ca="1" si="139"/>
        <v>0</v>
      </c>
    </row>
    <row r="482" spans="1:19" x14ac:dyDescent="0.25">
      <c r="A482">
        <v>473</v>
      </c>
      <c r="B482" s="51">
        <f t="shared" ca="1" si="128"/>
        <v>1.2312242723263105</v>
      </c>
      <c r="C482" s="51">
        <f t="shared" ca="1" si="140"/>
        <v>1449.6405334901335</v>
      </c>
      <c r="D482" s="11" t="str">
        <f t="shared" ca="1" si="132"/>
        <v>C1</v>
      </c>
      <c r="E482" s="51">
        <f t="shared" ca="1" si="141"/>
        <v>1449.6405334901335</v>
      </c>
      <c r="F482" s="51">
        <f t="shared" ca="1" si="129"/>
        <v>6.4403547263344869</v>
      </c>
      <c r="G482" s="51">
        <f t="shared" ca="1" si="142"/>
        <v>1456.0808882164681</v>
      </c>
      <c r="H482" s="8" t="str">
        <f t="shared" ca="1" si="133"/>
        <v>No</v>
      </c>
      <c r="I482" s="32">
        <f t="shared" ca="1" si="143"/>
        <v>0</v>
      </c>
      <c r="J482" s="32">
        <f t="shared" ca="1" si="134"/>
        <v>1</v>
      </c>
      <c r="K482" s="31">
        <f t="shared" ca="1" si="135"/>
        <v>0.5</v>
      </c>
      <c r="L482" s="52">
        <f t="shared" ca="1" si="136"/>
        <v>0</v>
      </c>
      <c r="M482" s="51">
        <f t="shared" ca="1" si="130"/>
        <v>2.033971737990139</v>
      </c>
      <c r="N482" s="51">
        <f t="shared" ca="1" si="144"/>
        <v>0</v>
      </c>
      <c r="O482" s="28" t="str">
        <f t="shared" ca="1" si="131"/>
        <v>Yes</v>
      </c>
      <c r="P482" s="51">
        <f t="shared" ca="1" si="137"/>
        <v>4.6240098132686853</v>
      </c>
      <c r="Q482">
        <f t="shared" ca="1" si="145"/>
        <v>0</v>
      </c>
      <c r="R482">
        <f t="shared" ca="1" si="138"/>
        <v>0</v>
      </c>
      <c r="S482" s="14">
        <f t="shared" ca="1" si="139"/>
        <v>0</v>
      </c>
    </row>
    <row r="483" spans="1:19" x14ac:dyDescent="0.25">
      <c r="A483">
        <v>474</v>
      </c>
      <c r="B483" s="51">
        <f t="shared" ca="1" si="128"/>
        <v>1.8163449130659615</v>
      </c>
      <c r="C483" s="51">
        <f t="shared" ca="1" si="140"/>
        <v>1451.4568784031994</v>
      </c>
      <c r="D483" s="11" t="str">
        <f t="shared" ca="1" si="132"/>
        <v>C2</v>
      </c>
      <c r="E483" s="51">
        <f t="shared" ca="1" si="141"/>
        <v>0</v>
      </c>
      <c r="F483" s="51">
        <f t="shared" ca="1" si="129"/>
        <v>4.2352287349707396</v>
      </c>
      <c r="G483" s="51">
        <f t="shared" ca="1" si="142"/>
        <v>0</v>
      </c>
      <c r="H483" s="8" t="str">
        <f t="shared" ca="1" si="133"/>
        <v>Yes</v>
      </c>
      <c r="I483" s="32">
        <f t="shared" ca="1" si="143"/>
        <v>2</v>
      </c>
      <c r="J483" s="32">
        <f t="shared" ca="1" si="134"/>
        <v>0</v>
      </c>
      <c r="K483" s="31">
        <f t="shared" ca="1" si="135"/>
        <v>1</v>
      </c>
      <c r="L483" s="52">
        <f t="shared" ca="1" si="136"/>
        <v>1451.4568784031994</v>
      </c>
      <c r="M483" s="51">
        <f t="shared" ca="1" si="130"/>
        <v>3.4172207993708295</v>
      </c>
      <c r="N483" s="51">
        <f t="shared" ca="1" si="144"/>
        <v>1454.8740992025703</v>
      </c>
      <c r="O483" s="28" t="str">
        <f t="shared" ca="1" si="131"/>
        <v>No</v>
      </c>
      <c r="P483" s="51">
        <f t="shared" ca="1" si="137"/>
        <v>0</v>
      </c>
      <c r="Q483">
        <f t="shared" ca="1" si="145"/>
        <v>0</v>
      </c>
      <c r="R483">
        <f t="shared" ca="1" si="138"/>
        <v>0</v>
      </c>
      <c r="S483" s="14">
        <f t="shared" ca="1" si="139"/>
        <v>0</v>
      </c>
    </row>
    <row r="484" spans="1:19" x14ac:dyDescent="0.25">
      <c r="A484">
        <v>475</v>
      </c>
      <c r="B484" s="51">
        <f t="shared" ca="1" si="128"/>
        <v>7.2346826706922638</v>
      </c>
      <c r="C484" s="51">
        <f t="shared" ca="1" si="140"/>
        <v>1458.6915610738918</v>
      </c>
      <c r="D484" s="11" t="str">
        <f t="shared" ca="1" si="132"/>
        <v>C1</v>
      </c>
      <c r="E484" s="51">
        <f t="shared" ca="1" si="141"/>
        <v>1458.6915610738918</v>
      </c>
      <c r="F484" s="51">
        <f t="shared" ca="1" si="129"/>
        <v>5.2898079704478844E-2</v>
      </c>
      <c r="G484" s="51">
        <f t="shared" ca="1" si="142"/>
        <v>1458.7444591535962</v>
      </c>
      <c r="H484" s="8" t="str">
        <f t="shared" ca="1" si="133"/>
        <v>No</v>
      </c>
      <c r="I484" s="32">
        <f t="shared" ca="1" si="143"/>
        <v>0</v>
      </c>
      <c r="J484" s="32">
        <f t="shared" ca="1" si="134"/>
        <v>0</v>
      </c>
      <c r="K484" s="31">
        <f t="shared" ca="1" si="135"/>
        <v>0</v>
      </c>
      <c r="L484" s="52">
        <f t="shared" ca="1" si="136"/>
        <v>0</v>
      </c>
      <c r="M484" s="51">
        <f t="shared" ca="1" si="130"/>
        <v>2.8601098582786881</v>
      </c>
      <c r="N484" s="51">
        <f t="shared" ca="1" si="144"/>
        <v>0</v>
      </c>
      <c r="O484" s="28" t="str">
        <f t="shared" ca="1" si="131"/>
        <v>Yes</v>
      </c>
      <c r="P484" s="51">
        <f t="shared" ca="1" si="137"/>
        <v>0</v>
      </c>
      <c r="Q484">
        <f t="shared" ca="1" si="145"/>
        <v>0</v>
      </c>
      <c r="R484">
        <f t="shared" ca="1" si="138"/>
        <v>0</v>
      </c>
      <c r="S484" s="14">
        <f t="shared" ca="1" si="139"/>
        <v>0</v>
      </c>
    </row>
    <row r="485" spans="1:19" x14ac:dyDescent="0.25">
      <c r="A485">
        <v>476</v>
      </c>
      <c r="B485" s="51">
        <f t="shared" ca="1" si="128"/>
        <v>1.2565636524198061</v>
      </c>
      <c r="C485" s="51">
        <f t="shared" ca="1" si="140"/>
        <v>1459.9481247263116</v>
      </c>
      <c r="D485" s="11" t="str">
        <f t="shared" ca="1" si="132"/>
        <v>C1</v>
      </c>
      <c r="E485" s="51">
        <f t="shared" ca="1" si="141"/>
        <v>1459.9481247263116</v>
      </c>
      <c r="F485" s="51">
        <f t="shared" ca="1" si="129"/>
        <v>1.5370717034395187</v>
      </c>
      <c r="G485" s="51">
        <f t="shared" ca="1" si="142"/>
        <v>1461.4851964297511</v>
      </c>
      <c r="H485" s="8" t="str">
        <f t="shared" ca="1" si="133"/>
        <v>No</v>
      </c>
      <c r="I485" s="32">
        <f t="shared" ca="1" si="143"/>
        <v>0</v>
      </c>
      <c r="J485" s="32">
        <f t="shared" ca="1" si="134"/>
        <v>1</v>
      </c>
      <c r="K485" s="31">
        <f t="shared" ca="1" si="135"/>
        <v>0.5</v>
      </c>
      <c r="L485" s="52">
        <f t="shared" ca="1" si="136"/>
        <v>0</v>
      </c>
      <c r="M485" s="51">
        <f t="shared" ca="1" si="130"/>
        <v>0.39913745093374114</v>
      </c>
      <c r="N485" s="51">
        <f t="shared" ca="1" si="144"/>
        <v>0</v>
      </c>
      <c r="O485" s="28" t="str">
        <f t="shared" ca="1" si="131"/>
        <v>Yes</v>
      </c>
      <c r="P485" s="51">
        <f t="shared" ca="1" si="137"/>
        <v>1.1550950773835211</v>
      </c>
      <c r="Q485">
        <f t="shared" ca="1" si="145"/>
        <v>0</v>
      </c>
      <c r="R485">
        <f t="shared" ca="1" si="138"/>
        <v>0</v>
      </c>
      <c r="S485" s="14">
        <f t="shared" ca="1" si="139"/>
        <v>0</v>
      </c>
    </row>
    <row r="486" spans="1:19" x14ac:dyDescent="0.25">
      <c r="A486">
        <v>477</v>
      </c>
      <c r="B486" s="51">
        <f t="shared" ca="1" si="128"/>
        <v>0.38197662605601584</v>
      </c>
      <c r="C486" s="51">
        <f t="shared" ca="1" si="140"/>
        <v>1460.3301013523676</v>
      </c>
      <c r="D486" s="11" t="str">
        <f t="shared" ca="1" si="132"/>
        <v>C2</v>
      </c>
      <c r="E486" s="51">
        <f t="shared" ca="1" si="141"/>
        <v>0</v>
      </c>
      <c r="F486" s="51">
        <f t="shared" ca="1" si="129"/>
        <v>4.4858360426548254</v>
      </c>
      <c r="G486" s="51">
        <f t="shared" ca="1" si="142"/>
        <v>0</v>
      </c>
      <c r="H486" s="8" t="str">
        <f t="shared" ca="1" si="133"/>
        <v>Yes</v>
      </c>
      <c r="I486" s="32">
        <f t="shared" ca="1" si="143"/>
        <v>2</v>
      </c>
      <c r="J486" s="32">
        <f t="shared" ca="1" si="134"/>
        <v>0</v>
      </c>
      <c r="K486" s="31">
        <f t="shared" ca="1" si="135"/>
        <v>1</v>
      </c>
      <c r="L486" s="52">
        <f t="shared" ca="1" si="136"/>
        <v>1460.3301013523676</v>
      </c>
      <c r="M486" s="51">
        <f t="shared" ca="1" si="130"/>
        <v>5.1688441020830492E-3</v>
      </c>
      <c r="N486" s="51">
        <f t="shared" ca="1" si="144"/>
        <v>1460.3352701964698</v>
      </c>
      <c r="O486" s="28" t="str">
        <f t="shared" ca="1" si="131"/>
        <v>No</v>
      </c>
      <c r="P486" s="51">
        <f t="shared" ca="1" si="137"/>
        <v>0</v>
      </c>
      <c r="Q486">
        <f t="shared" ca="1" si="145"/>
        <v>0</v>
      </c>
      <c r="R486">
        <f t="shared" ca="1" si="138"/>
        <v>0</v>
      </c>
      <c r="S486" s="14">
        <f t="shared" ca="1" si="139"/>
        <v>0</v>
      </c>
    </row>
    <row r="487" spans="1:19" x14ac:dyDescent="0.25">
      <c r="A487">
        <v>478</v>
      </c>
      <c r="B487" s="51">
        <f t="shared" ca="1" si="128"/>
        <v>5.5900065443967621</v>
      </c>
      <c r="C487" s="51">
        <f t="shared" ca="1" si="140"/>
        <v>1465.9201078967644</v>
      </c>
      <c r="D487" s="11" t="str">
        <f t="shared" ca="1" si="132"/>
        <v>C1</v>
      </c>
      <c r="E487" s="51">
        <f t="shared" ca="1" si="141"/>
        <v>1465.9201078967644</v>
      </c>
      <c r="F487" s="51">
        <f t="shared" ca="1" si="129"/>
        <v>0.65961558507096207</v>
      </c>
      <c r="G487" s="51">
        <f t="shared" ca="1" si="142"/>
        <v>1466.5797234818353</v>
      </c>
      <c r="H487" s="8" t="str">
        <f t="shared" ca="1" si="133"/>
        <v>No</v>
      </c>
      <c r="I487" s="32">
        <f t="shared" ca="1" si="143"/>
        <v>0</v>
      </c>
      <c r="J487" s="32">
        <f t="shared" ca="1" si="134"/>
        <v>0</v>
      </c>
      <c r="K487" s="31">
        <f t="shared" ca="1" si="135"/>
        <v>0</v>
      </c>
      <c r="L487" s="52">
        <f t="shared" ca="1" si="136"/>
        <v>0</v>
      </c>
      <c r="M487" s="51">
        <f t="shared" ca="1" si="130"/>
        <v>2.9289235215193834</v>
      </c>
      <c r="N487" s="51">
        <f t="shared" ca="1" si="144"/>
        <v>0</v>
      </c>
      <c r="O487" s="28" t="str">
        <f t="shared" ca="1" si="131"/>
        <v>Yes</v>
      </c>
      <c r="P487" s="51">
        <f t="shared" ca="1" si="137"/>
        <v>0</v>
      </c>
      <c r="Q487">
        <f t="shared" ca="1" si="145"/>
        <v>0</v>
      </c>
      <c r="R487">
        <f t="shared" ca="1" si="138"/>
        <v>0</v>
      </c>
      <c r="S487" s="14">
        <f t="shared" ca="1" si="139"/>
        <v>0</v>
      </c>
    </row>
    <row r="488" spans="1:19" x14ac:dyDescent="0.25">
      <c r="A488">
        <v>479</v>
      </c>
      <c r="B488" s="51">
        <f t="shared" ca="1" si="128"/>
        <v>6.4459837611567767</v>
      </c>
      <c r="C488" s="51">
        <f t="shared" ca="1" si="140"/>
        <v>1472.3660916579213</v>
      </c>
      <c r="D488" s="11" t="str">
        <f t="shared" ca="1" si="132"/>
        <v>C1</v>
      </c>
      <c r="E488" s="51">
        <f t="shared" ca="1" si="141"/>
        <v>1472.3660916579213</v>
      </c>
      <c r="F488" s="51">
        <f t="shared" ca="1" si="129"/>
        <v>0.22425993076705736</v>
      </c>
      <c r="G488" s="51">
        <f t="shared" ca="1" si="142"/>
        <v>1472.5903515886882</v>
      </c>
      <c r="H488" s="8" t="str">
        <f t="shared" ca="1" si="133"/>
        <v>No</v>
      </c>
      <c r="I488" s="32">
        <f t="shared" ca="1" si="143"/>
        <v>0</v>
      </c>
      <c r="J488" s="32">
        <f t="shared" ca="1" si="134"/>
        <v>0</v>
      </c>
      <c r="K488" s="31">
        <f t="shared" ca="1" si="135"/>
        <v>0</v>
      </c>
      <c r="L488" s="52">
        <f t="shared" ca="1" si="136"/>
        <v>0</v>
      </c>
      <c r="M488" s="51">
        <f t="shared" ca="1" si="130"/>
        <v>2.3507347199868103</v>
      </c>
      <c r="N488" s="51">
        <f t="shared" ca="1" si="144"/>
        <v>0</v>
      </c>
      <c r="O488" s="28" t="str">
        <f t="shared" ca="1" si="131"/>
        <v>Yes</v>
      </c>
      <c r="P488" s="51">
        <f t="shared" ca="1" si="137"/>
        <v>0</v>
      </c>
      <c r="Q488">
        <f t="shared" ca="1" si="145"/>
        <v>0</v>
      </c>
      <c r="R488">
        <f t="shared" ca="1" si="138"/>
        <v>0</v>
      </c>
      <c r="S488" s="14">
        <f t="shared" ca="1" si="139"/>
        <v>0</v>
      </c>
    </row>
    <row r="489" spans="1:19" x14ac:dyDescent="0.25">
      <c r="A489">
        <v>480</v>
      </c>
      <c r="B489" s="51">
        <f t="shared" ca="1" si="128"/>
        <v>1.3239480805430837</v>
      </c>
      <c r="C489" s="51">
        <f t="shared" ca="1" si="140"/>
        <v>1473.6900397384643</v>
      </c>
      <c r="D489" s="11" t="str">
        <f t="shared" ca="1" si="132"/>
        <v>C1</v>
      </c>
      <c r="E489" s="51">
        <f t="shared" ca="1" si="141"/>
        <v>1473.6900397384643</v>
      </c>
      <c r="F489" s="51">
        <f t="shared" ca="1" si="129"/>
        <v>7.5785680506483696E-2</v>
      </c>
      <c r="G489" s="51">
        <f t="shared" ca="1" si="142"/>
        <v>1473.7658254189707</v>
      </c>
      <c r="H489" s="8" t="str">
        <f t="shared" ca="1" si="133"/>
        <v>No</v>
      </c>
      <c r="I489" s="32">
        <f t="shared" ca="1" si="143"/>
        <v>0</v>
      </c>
      <c r="J489" s="32">
        <f t="shared" ca="1" si="134"/>
        <v>0</v>
      </c>
      <c r="K489" s="31">
        <f t="shared" ca="1" si="135"/>
        <v>0</v>
      </c>
      <c r="L489" s="52">
        <f t="shared" ca="1" si="136"/>
        <v>0</v>
      </c>
      <c r="M489" s="51">
        <f t="shared" ca="1" si="130"/>
        <v>1.3664323300832826</v>
      </c>
      <c r="N489" s="51">
        <f t="shared" ca="1" si="144"/>
        <v>0</v>
      </c>
      <c r="O489" s="28" t="str">
        <f t="shared" ca="1" si="131"/>
        <v>Yes</v>
      </c>
      <c r="P489" s="51">
        <f t="shared" ca="1" si="137"/>
        <v>0</v>
      </c>
      <c r="Q489">
        <f t="shared" ca="1" si="145"/>
        <v>0</v>
      </c>
      <c r="R489">
        <f t="shared" ca="1" si="138"/>
        <v>0</v>
      </c>
      <c r="S489" s="14">
        <f t="shared" ca="1" si="139"/>
        <v>0</v>
      </c>
    </row>
    <row r="490" spans="1:19" x14ac:dyDescent="0.25">
      <c r="A490">
        <v>481</v>
      </c>
      <c r="B490" s="51">
        <f t="shared" ca="1" si="128"/>
        <v>1.1776389126798186</v>
      </c>
      <c r="C490" s="51">
        <f t="shared" ca="1" si="140"/>
        <v>1474.8676786511442</v>
      </c>
      <c r="D490" s="11" t="str">
        <f t="shared" ca="1" si="132"/>
        <v>C1</v>
      </c>
      <c r="E490" s="51">
        <f t="shared" ca="1" si="141"/>
        <v>1474.8676786511442</v>
      </c>
      <c r="F490" s="51">
        <f t="shared" ca="1" si="129"/>
        <v>7.6033425695219021</v>
      </c>
      <c r="G490" s="51">
        <f t="shared" ca="1" si="142"/>
        <v>1482.471021220666</v>
      </c>
      <c r="H490" s="8" t="str">
        <f t="shared" ca="1" si="133"/>
        <v>No</v>
      </c>
      <c r="I490" s="32">
        <f t="shared" ca="1" si="143"/>
        <v>0</v>
      </c>
      <c r="J490" s="32">
        <f t="shared" ca="1" si="134"/>
        <v>1</v>
      </c>
      <c r="K490" s="31">
        <f t="shared" ca="1" si="135"/>
        <v>0.5</v>
      </c>
      <c r="L490" s="52">
        <f t="shared" ca="1" si="136"/>
        <v>0</v>
      </c>
      <c r="M490" s="51">
        <f t="shared" ca="1" si="130"/>
        <v>1.8767670386301698</v>
      </c>
      <c r="N490" s="51">
        <f t="shared" ca="1" si="144"/>
        <v>0</v>
      </c>
      <c r="O490" s="28" t="str">
        <f t="shared" ca="1" si="131"/>
        <v>Yes</v>
      </c>
      <c r="P490" s="51">
        <f t="shared" ca="1" si="137"/>
        <v>5.6076194381930691</v>
      </c>
      <c r="Q490">
        <f t="shared" ca="1" si="145"/>
        <v>0</v>
      </c>
      <c r="R490">
        <f t="shared" ca="1" si="138"/>
        <v>0</v>
      </c>
      <c r="S490" s="14">
        <f t="shared" ca="1" si="139"/>
        <v>0</v>
      </c>
    </row>
    <row r="491" spans="1:19" x14ac:dyDescent="0.25">
      <c r="A491">
        <v>482</v>
      </c>
      <c r="B491" s="51">
        <f t="shared" ca="1" si="128"/>
        <v>1.995723131328865</v>
      </c>
      <c r="C491" s="51">
        <f t="shared" ca="1" si="140"/>
        <v>1476.8634017824729</v>
      </c>
      <c r="D491" s="11" t="str">
        <f t="shared" ca="1" si="132"/>
        <v>C2</v>
      </c>
      <c r="E491" s="51">
        <f t="shared" ca="1" si="141"/>
        <v>0</v>
      </c>
      <c r="F491" s="51">
        <f t="shared" ca="1" si="129"/>
        <v>2.6056253395414384</v>
      </c>
      <c r="G491" s="51">
        <f t="shared" ca="1" si="142"/>
        <v>0</v>
      </c>
      <c r="H491" s="8" t="str">
        <f t="shared" ca="1" si="133"/>
        <v>Yes</v>
      </c>
      <c r="I491" s="32">
        <f t="shared" ca="1" si="143"/>
        <v>2</v>
      </c>
      <c r="J491" s="32">
        <f t="shared" ca="1" si="134"/>
        <v>0</v>
      </c>
      <c r="K491" s="31">
        <f t="shared" ca="1" si="135"/>
        <v>1</v>
      </c>
      <c r="L491" s="52">
        <f t="shared" ca="1" si="136"/>
        <v>1476.8634017824729</v>
      </c>
      <c r="M491" s="51">
        <f t="shared" ca="1" si="130"/>
        <v>3.1389885304973331</v>
      </c>
      <c r="N491" s="51">
        <f t="shared" ca="1" si="144"/>
        <v>1480.0023903129702</v>
      </c>
      <c r="O491" s="28" t="str">
        <f t="shared" ca="1" si="131"/>
        <v>No</v>
      </c>
      <c r="P491" s="51">
        <f t="shared" ca="1" si="137"/>
        <v>0</v>
      </c>
      <c r="Q491">
        <f t="shared" ca="1" si="145"/>
        <v>0</v>
      </c>
      <c r="R491">
        <f t="shared" ca="1" si="138"/>
        <v>0</v>
      </c>
      <c r="S491" s="14">
        <f t="shared" ca="1" si="139"/>
        <v>0</v>
      </c>
    </row>
    <row r="492" spans="1:19" x14ac:dyDescent="0.25">
      <c r="A492">
        <v>483</v>
      </c>
      <c r="B492" s="51">
        <f t="shared" ca="1" si="128"/>
        <v>8.6903713719644831</v>
      </c>
      <c r="C492" s="51">
        <f t="shared" ca="1" si="140"/>
        <v>1485.5537731544373</v>
      </c>
      <c r="D492" s="11" t="str">
        <f t="shared" ca="1" si="132"/>
        <v>C1</v>
      </c>
      <c r="E492" s="51">
        <f t="shared" ca="1" si="141"/>
        <v>1485.5537731544373</v>
      </c>
      <c r="F492" s="51">
        <f t="shared" ca="1" si="129"/>
        <v>1.3719326481160581</v>
      </c>
      <c r="G492" s="51">
        <f t="shared" ca="1" si="142"/>
        <v>1486.9257058025535</v>
      </c>
      <c r="H492" s="8" t="str">
        <f t="shared" ca="1" si="133"/>
        <v>No</v>
      </c>
      <c r="I492" s="32">
        <f t="shared" ca="1" si="143"/>
        <v>0</v>
      </c>
      <c r="J492" s="32">
        <f t="shared" ca="1" si="134"/>
        <v>1</v>
      </c>
      <c r="K492" s="31">
        <f t="shared" ca="1" si="135"/>
        <v>0.5</v>
      </c>
      <c r="L492" s="52">
        <f t="shared" ca="1" si="136"/>
        <v>0</v>
      </c>
      <c r="M492" s="51">
        <f t="shared" ca="1" si="130"/>
        <v>0.85162318959266969</v>
      </c>
      <c r="N492" s="51">
        <f t="shared" ca="1" si="144"/>
        <v>0</v>
      </c>
      <c r="O492" s="28" t="str">
        <f t="shared" ca="1" si="131"/>
        <v>Yes</v>
      </c>
      <c r="P492" s="51">
        <f t="shared" ca="1" si="137"/>
        <v>0.31221864420467682</v>
      </c>
      <c r="Q492">
        <f t="shared" ca="1" si="145"/>
        <v>0</v>
      </c>
      <c r="R492">
        <f t="shared" ca="1" si="138"/>
        <v>0</v>
      </c>
      <c r="S492" s="14">
        <f t="shared" ca="1" si="139"/>
        <v>0</v>
      </c>
    </row>
    <row r="493" spans="1:19" x14ac:dyDescent="0.25">
      <c r="A493">
        <v>484</v>
      </c>
      <c r="B493" s="51">
        <f t="shared" ca="1" si="128"/>
        <v>1.0597140039114128</v>
      </c>
      <c r="C493" s="51">
        <f t="shared" ca="1" si="140"/>
        <v>1486.6134871583488</v>
      </c>
      <c r="D493" s="11" t="str">
        <f t="shared" ca="1" si="132"/>
        <v>C2</v>
      </c>
      <c r="E493" s="51">
        <f t="shared" ca="1" si="141"/>
        <v>0</v>
      </c>
      <c r="F493" s="51">
        <f t="shared" ca="1" si="129"/>
        <v>0.42963548506171817</v>
      </c>
      <c r="G493" s="51">
        <f t="shared" ca="1" si="142"/>
        <v>0</v>
      </c>
      <c r="H493" s="8" t="str">
        <f t="shared" ca="1" si="133"/>
        <v>Yes</v>
      </c>
      <c r="I493" s="32">
        <f t="shared" ca="1" si="143"/>
        <v>2</v>
      </c>
      <c r="J493" s="32">
        <f t="shared" ca="1" si="134"/>
        <v>0</v>
      </c>
      <c r="K493" s="31">
        <f t="shared" ca="1" si="135"/>
        <v>1</v>
      </c>
      <c r="L493" s="52">
        <f t="shared" ca="1" si="136"/>
        <v>1486.6134871583488</v>
      </c>
      <c r="M493" s="51">
        <f t="shared" ca="1" si="130"/>
        <v>1.9596242165578994</v>
      </c>
      <c r="N493" s="51">
        <f t="shared" ca="1" si="144"/>
        <v>1488.5731113749066</v>
      </c>
      <c r="O493" s="28" t="str">
        <f t="shared" ca="1" si="131"/>
        <v>No</v>
      </c>
      <c r="P493" s="51">
        <f t="shared" ca="1" si="137"/>
        <v>0.43945070712356937</v>
      </c>
      <c r="Q493">
        <f t="shared" ca="1" si="145"/>
        <v>0</v>
      </c>
      <c r="R493">
        <f t="shared" ca="1" si="138"/>
        <v>1</v>
      </c>
      <c r="S493" s="14">
        <f t="shared" ca="1" si="139"/>
        <v>0.5</v>
      </c>
    </row>
    <row r="494" spans="1:19" x14ac:dyDescent="0.25">
      <c r="A494">
        <v>485</v>
      </c>
      <c r="B494" s="51">
        <f t="shared" ca="1" si="128"/>
        <v>1.5201735094342521</v>
      </c>
      <c r="C494" s="51">
        <f t="shared" ca="1" si="140"/>
        <v>1488.133660667783</v>
      </c>
      <c r="D494" s="11" t="str">
        <f t="shared" ca="1" si="132"/>
        <v>C1</v>
      </c>
      <c r="E494" s="51">
        <f t="shared" ca="1" si="141"/>
        <v>1488.133660667783</v>
      </c>
      <c r="F494" s="51">
        <f t="shared" ca="1" si="129"/>
        <v>0.10986531666518197</v>
      </c>
      <c r="G494" s="51">
        <f t="shared" ca="1" si="142"/>
        <v>1488.2435259844483</v>
      </c>
      <c r="H494" s="8" t="str">
        <f t="shared" ca="1" si="133"/>
        <v>No</v>
      </c>
      <c r="I494" s="32">
        <f t="shared" ca="1" si="143"/>
        <v>0</v>
      </c>
      <c r="J494" s="32">
        <f t="shared" ca="1" si="134"/>
        <v>0</v>
      </c>
      <c r="K494" s="31">
        <f t="shared" ca="1" si="135"/>
        <v>0</v>
      </c>
      <c r="L494" s="52">
        <f t="shared" ca="1" si="136"/>
        <v>0</v>
      </c>
      <c r="M494" s="51">
        <f t="shared" ca="1" si="130"/>
        <v>0.4318878790789159</v>
      </c>
      <c r="N494" s="51">
        <f t="shared" ca="1" si="144"/>
        <v>0</v>
      </c>
      <c r="O494" s="28" t="str">
        <f t="shared" ca="1" si="131"/>
        <v>Yes</v>
      </c>
      <c r="P494" s="51">
        <f t="shared" ca="1" si="137"/>
        <v>0</v>
      </c>
      <c r="Q494">
        <f t="shared" ca="1" si="145"/>
        <v>2</v>
      </c>
      <c r="R494">
        <f t="shared" ca="1" si="138"/>
        <v>0</v>
      </c>
      <c r="S494" s="14">
        <f t="shared" ca="1" si="139"/>
        <v>1</v>
      </c>
    </row>
    <row r="495" spans="1:19" x14ac:dyDescent="0.25">
      <c r="A495">
        <v>486</v>
      </c>
      <c r="B495" s="51">
        <f t="shared" ca="1" si="128"/>
        <v>5.4169553900128253</v>
      </c>
      <c r="C495" s="51">
        <f t="shared" ca="1" si="140"/>
        <v>1493.5506160577959</v>
      </c>
      <c r="D495" s="11" t="str">
        <f t="shared" ca="1" si="132"/>
        <v>C1</v>
      </c>
      <c r="E495" s="51">
        <f t="shared" ca="1" si="141"/>
        <v>1493.5506160577959</v>
      </c>
      <c r="F495" s="51">
        <f t="shared" ca="1" si="129"/>
        <v>0.6746428033169436</v>
      </c>
      <c r="G495" s="51">
        <f t="shared" ca="1" si="142"/>
        <v>1494.2252588611129</v>
      </c>
      <c r="H495" s="8" t="str">
        <f t="shared" ca="1" si="133"/>
        <v>No</v>
      </c>
      <c r="I495" s="32">
        <f t="shared" ca="1" si="143"/>
        <v>0</v>
      </c>
      <c r="J495" s="32">
        <f t="shared" ca="1" si="134"/>
        <v>0</v>
      </c>
      <c r="K495" s="31">
        <f t="shared" ca="1" si="135"/>
        <v>0</v>
      </c>
      <c r="L495" s="52">
        <f t="shared" ca="1" si="136"/>
        <v>0</v>
      </c>
      <c r="M495" s="51">
        <f t="shared" ca="1" si="130"/>
        <v>2.0132348271559777</v>
      </c>
      <c r="N495" s="51">
        <f t="shared" ca="1" si="144"/>
        <v>0</v>
      </c>
      <c r="O495" s="28" t="str">
        <f t="shared" ca="1" si="131"/>
        <v>Yes</v>
      </c>
      <c r="P495" s="51">
        <f t="shared" ca="1" si="137"/>
        <v>0</v>
      </c>
      <c r="Q495">
        <f t="shared" ca="1" si="145"/>
        <v>0</v>
      </c>
      <c r="R495">
        <f t="shared" ca="1" si="138"/>
        <v>0</v>
      </c>
      <c r="S495" s="14">
        <f t="shared" ca="1" si="139"/>
        <v>0</v>
      </c>
    </row>
    <row r="496" spans="1:19" x14ac:dyDescent="0.25">
      <c r="A496">
        <v>487</v>
      </c>
      <c r="B496" s="51">
        <f t="shared" ca="1" si="128"/>
        <v>2.2787914443600479</v>
      </c>
      <c r="C496" s="51">
        <f t="shared" ca="1" si="140"/>
        <v>1495.8294075021558</v>
      </c>
      <c r="D496" s="11" t="str">
        <f t="shared" ca="1" si="132"/>
        <v>C1</v>
      </c>
      <c r="E496" s="51">
        <f t="shared" ca="1" si="141"/>
        <v>1495.8294075021558</v>
      </c>
      <c r="F496" s="51">
        <f t="shared" ca="1" si="129"/>
        <v>4.2155393961197563</v>
      </c>
      <c r="G496" s="51">
        <f t="shared" ca="1" si="142"/>
        <v>1500.0449468982756</v>
      </c>
      <c r="H496" s="8" t="str">
        <f t="shared" ca="1" si="133"/>
        <v>No</v>
      </c>
      <c r="I496" s="32">
        <f t="shared" ca="1" si="143"/>
        <v>0</v>
      </c>
      <c r="J496" s="32">
        <f t="shared" ca="1" si="134"/>
        <v>2</v>
      </c>
      <c r="K496" s="31">
        <f t="shared" ca="1" si="135"/>
        <v>1</v>
      </c>
      <c r="L496" s="52">
        <f t="shared" ca="1" si="136"/>
        <v>0</v>
      </c>
      <c r="M496" s="51">
        <f t="shared" ca="1" si="130"/>
        <v>0.318804650616753</v>
      </c>
      <c r="N496" s="51">
        <f t="shared" ca="1" si="144"/>
        <v>0</v>
      </c>
      <c r="O496" s="28" t="str">
        <f t="shared" ca="1" si="131"/>
        <v>Yes</v>
      </c>
      <c r="P496" s="51">
        <f t="shared" ca="1" si="137"/>
        <v>3.2135230825833787</v>
      </c>
      <c r="Q496">
        <f t="shared" ca="1" si="145"/>
        <v>0</v>
      </c>
      <c r="R496">
        <f t="shared" ca="1" si="138"/>
        <v>0</v>
      </c>
      <c r="S496" s="14">
        <f t="shared" ca="1" si="139"/>
        <v>0</v>
      </c>
    </row>
    <row r="497" spans="1:21" x14ac:dyDescent="0.25">
      <c r="A497">
        <v>488</v>
      </c>
      <c r="B497" s="51">
        <f t="shared" ca="1" si="128"/>
        <v>1.002016313536483</v>
      </c>
      <c r="C497" s="51">
        <f t="shared" ca="1" si="140"/>
        <v>1496.8314238156922</v>
      </c>
      <c r="D497" s="11" t="str">
        <f t="shared" ca="1" si="132"/>
        <v>C2</v>
      </c>
      <c r="E497" s="51">
        <f t="shared" ca="1" si="141"/>
        <v>0</v>
      </c>
      <c r="F497" s="51">
        <f t="shared" ca="1" si="129"/>
        <v>1.0881195845502616</v>
      </c>
      <c r="G497" s="51">
        <f t="shared" ca="1" si="142"/>
        <v>0</v>
      </c>
      <c r="H497" s="8" t="str">
        <f t="shared" ca="1" si="133"/>
        <v>Yes</v>
      </c>
      <c r="I497" s="32">
        <f t="shared" ca="1" si="143"/>
        <v>3</v>
      </c>
      <c r="J497" s="32">
        <f t="shared" ca="1" si="134"/>
        <v>0</v>
      </c>
      <c r="K497" s="31">
        <f t="shared" ca="1" si="135"/>
        <v>1.5</v>
      </c>
      <c r="L497" s="52">
        <f t="shared" ca="1" si="136"/>
        <v>1496.8314238156922</v>
      </c>
      <c r="M497" s="51">
        <f t="shared" ca="1" si="130"/>
        <v>2.1862277103152152</v>
      </c>
      <c r="N497" s="51">
        <f t="shared" ca="1" si="144"/>
        <v>1499.0176515260075</v>
      </c>
      <c r="O497" s="28" t="str">
        <f t="shared" ca="1" si="131"/>
        <v>No</v>
      </c>
      <c r="P497" s="51">
        <f t="shared" ca="1" si="137"/>
        <v>0</v>
      </c>
      <c r="Q497">
        <f t="shared" ca="1" si="145"/>
        <v>0</v>
      </c>
      <c r="R497">
        <f t="shared" ca="1" si="138"/>
        <v>0</v>
      </c>
      <c r="S497" s="14">
        <f t="shared" ca="1" si="139"/>
        <v>0</v>
      </c>
    </row>
    <row r="498" spans="1:21" x14ac:dyDescent="0.25">
      <c r="A498">
        <v>489</v>
      </c>
      <c r="B498" s="51">
        <f t="shared" ca="1" si="128"/>
        <v>2.9486515639084785</v>
      </c>
      <c r="C498" s="51">
        <f t="shared" ca="1" si="140"/>
        <v>1499.7800753796007</v>
      </c>
      <c r="D498" s="11" t="str">
        <f t="shared" ca="1" si="132"/>
        <v>C1</v>
      </c>
      <c r="E498" s="51">
        <f t="shared" ca="1" si="141"/>
        <v>1499.7800753796007</v>
      </c>
      <c r="F498" s="51">
        <f t="shared" ca="1" si="129"/>
        <v>0.25343097691415672</v>
      </c>
      <c r="G498" s="51">
        <f t="shared" ca="1" si="142"/>
        <v>1500.0335063565149</v>
      </c>
      <c r="H498" s="8" t="str">
        <f t="shared" ca="1" si="133"/>
        <v>No</v>
      </c>
      <c r="I498" s="32">
        <f t="shared" ca="1" si="143"/>
        <v>0</v>
      </c>
      <c r="J498" s="32">
        <f t="shared" ca="1" si="134"/>
        <v>0</v>
      </c>
      <c r="K498" s="31">
        <f t="shared" ca="1" si="135"/>
        <v>0</v>
      </c>
      <c r="L498" s="52">
        <f t="shared" ca="1" si="136"/>
        <v>0</v>
      </c>
      <c r="M498" s="51">
        <f t="shared" ca="1" si="130"/>
        <v>1.1771120505361812</v>
      </c>
      <c r="N498" s="51">
        <f t="shared" ca="1" si="144"/>
        <v>0</v>
      </c>
      <c r="O498" s="28" t="str">
        <f t="shared" ca="1" si="131"/>
        <v>Yes</v>
      </c>
      <c r="P498" s="51">
        <f t="shared" ca="1" si="137"/>
        <v>0</v>
      </c>
      <c r="Q498">
        <f t="shared" ca="1" si="145"/>
        <v>0</v>
      </c>
      <c r="R498">
        <f t="shared" ca="1" si="138"/>
        <v>0</v>
      </c>
      <c r="S498" s="14">
        <f t="shared" ca="1" si="139"/>
        <v>0</v>
      </c>
    </row>
    <row r="499" spans="1:21" x14ac:dyDescent="0.25">
      <c r="A499">
        <v>490</v>
      </c>
      <c r="B499" s="51">
        <f t="shared" ca="1" si="128"/>
        <v>8.522500757419138</v>
      </c>
      <c r="C499" s="51">
        <f t="shared" ca="1" si="140"/>
        <v>1508.3025761370197</v>
      </c>
      <c r="D499" s="11" t="str">
        <f t="shared" ca="1" si="132"/>
        <v>C1</v>
      </c>
      <c r="E499" s="51">
        <f t="shared" ca="1" si="141"/>
        <v>1508.3025761370197</v>
      </c>
      <c r="F499" s="51">
        <f t="shared" ca="1" si="129"/>
        <v>2.9640862195435673</v>
      </c>
      <c r="G499" s="51">
        <f t="shared" ca="1" si="142"/>
        <v>1511.2666623565633</v>
      </c>
      <c r="H499" s="8" t="str">
        <f t="shared" ca="1" si="133"/>
        <v>No</v>
      </c>
      <c r="I499" s="32">
        <f t="shared" ca="1" si="143"/>
        <v>0</v>
      </c>
      <c r="J499" s="32">
        <f t="shared" ca="1" si="134"/>
        <v>2</v>
      </c>
      <c r="K499" s="31">
        <f t="shared" ca="1" si="135"/>
        <v>1</v>
      </c>
      <c r="L499" s="52">
        <f t="shared" ca="1" si="136"/>
        <v>0</v>
      </c>
      <c r="M499" s="51">
        <f t="shared" ca="1" si="130"/>
        <v>1.4913550659421408</v>
      </c>
      <c r="N499" s="51">
        <f t="shared" ca="1" si="144"/>
        <v>0</v>
      </c>
      <c r="O499" s="28" t="str">
        <f t="shared" ca="1" si="131"/>
        <v>Yes</v>
      </c>
      <c r="P499" s="51">
        <f t="shared" ca="1" si="137"/>
        <v>2.7635311969752365</v>
      </c>
      <c r="Q499">
        <f t="shared" ca="1" si="145"/>
        <v>0</v>
      </c>
      <c r="R499">
        <f t="shared" ca="1" si="138"/>
        <v>0</v>
      </c>
      <c r="S499" s="14">
        <f t="shared" ca="1" si="139"/>
        <v>0</v>
      </c>
    </row>
    <row r="500" spans="1:21" x14ac:dyDescent="0.25">
      <c r="A500">
        <v>491</v>
      </c>
      <c r="B500" s="51">
        <f t="shared" ca="1" si="128"/>
        <v>0.20055502256834296</v>
      </c>
      <c r="C500" s="51">
        <f t="shared" ca="1" si="140"/>
        <v>1508.5031311595881</v>
      </c>
      <c r="D500" s="11" t="str">
        <f t="shared" ca="1" si="132"/>
        <v>C2</v>
      </c>
      <c r="E500" s="51">
        <f t="shared" ca="1" si="141"/>
        <v>0</v>
      </c>
      <c r="F500" s="51">
        <f t="shared" ca="1" si="129"/>
        <v>6.9298520693828021</v>
      </c>
      <c r="G500" s="51">
        <f t="shared" ca="1" si="142"/>
        <v>0</v>
      </c>
      <c r="H500" s="8" t="str">
        <f t="shared" ca="1" si="133"/>
        <v>Yes</v>
      </c>
      <c r="I500" s="32">
        <f t="shared" ca="1" si="143"/>
        <v>3</v>
      </c>
      <c r="J500" s="32">
        <f t="shared" ca="1" si="134"/>
        <v>0</v>
      </c>
      <c r="K500" s="31">
        <f t="shared" ca="1" si="135"/>
        <v>1.5</v>
      </c>
      <c r="L500" s="52">
        <f t="shared" ca="1" si="136"/>
        <v>1508.5031311595881</v>
      </c>
      <c r="M500" s="51">
        <f t="shared" ca="1" si="130"/>
        <v>2.1538554134690027</v>
      </c>
      <c r="N500" s="51">
        <f t="shared" ca="1" si="144"/>
        <v>1510.6569865730571</v>
      </c>
      <c r="O500" s="28" t="str">
        <f t="shared" ca="1" si="131"/>
        <v>No</v>
      </c>
      <c r="P500" s="51">
        <f t="shared" ca="1" si="137"/>
        <v>0.72338087409502805</v>
      </c>
      <c r="Q500">
        <f t="shared" ca="1" si="145"/>
        <v>0</v>
      </c>
      <c r="R500">
        <f t="shared" ca="1" si="138"/>
        <v>1</v>
      </c>
      <c r="S500" s="14">
        <f t="shared" ca="1" si="139"/>
        <v>0.5</v>
      </c>
    </row>
    <row r="501" spans="1:21" x14ac:dyDescent="0.25">
      <c r="A501">
        <v>492</v>
      </c>
      <c r="B501" s="51">
        <f t="shared" ca="1" si="128"/>
        <v>1.4304745393739837</v>
      </c>
      <c r="C501" s="51">
        <f t="shared" ca="1" si="140"/>
        <v>1509.9336056989621</v>
      </c>
      <c r="D501" s="11" t="str">
        <f t="shared" ca="1" si="132"/>
        <v>C1</v>
      </c>
      <c r="E501" s="51">
        <f t="shared" ca="1" si="141"/>
        <v>1509.9336056989621</v>
      </c>
      <c r="F501" s="51">
        <f t="shared" ca="1" si="129"/>
        <v>3.7515343608163287</v>
      </c>
      <c r="G501" s="51">
        <f t="shared" ca="1" si="142"/>
        <v>1513.6851400597784</v>
      </c>
      <c r="H501" s="8" t="str">
        <f t="shared" ca="1" si="133"/>
        <v>No</v>
      </c>
      <c r="I501" s="32">
        <f t="shared" ca="1" si="143"/>
        <v>0</v>
      </c>
      <c r="J501" s="32">
        <f t="shared" ca="1" si="134"/>
        <v>1</v>
      </c>
      <c r="K501" s="31">
        <f t="shared" ca="1" si="135"/>
        <v>0.5</v>
      </c>
      <c r="L501" s="52">
        <f t="shared" ca="1" si="136"/>
        <v>0</v>
      </c>
      <c r="M501" s="51">
        <f t="shared" ca="1" si="130"/>
        <v>1.8937708867518759</v>
      </c>
      <c r="N501" s="51">
        <f t="shared" ca="1" si="144"/>
        <v>0</v>
      </c>
      <c r="O501" s="28" t="str">
        <f t="shared" ca="1" si="131"/>
        <v>Yes</v>
      </c>
      <c r="P501" s="51">
        <f t="shared" ca="1" si="137"/>
        <v>2.1721081337304895</v>
      </c>
      <c r="Q501">
        <f t="shared" ca="1" si="145"/>
        <v>2</v>
      </c>
      <c r="R501">
        <f t="shared" ca="1" si="138"/>
        <v>0</v>
      </c>
      <c r="S501" s="14">
        <f t="shared" ca="1" si="139"/>
        <v>1</v>
      </c>
    </row>
    <row r="502" spans="1:21" x14ac:dyDescent="0.25">
      <c r="A502">
        <v>493</v>
      </c>
      <c r="B502" s="51">
        <f t="shared" ca="1" si="128"/>
        <v>1.5794262270859207</v>
      </c>
      <c r="C502" s="51">
        <f t="shared" ca="1" si="140"/>
        <v>1511.5130319260479</v>
      </c>
      <c r="D502" s="11" t="str">
        <f t="shared" ca="1" si="132"/>
        <v>C2</v>
      </c>
      <c r="E502" s="51">
        <f t="shared" ca="1" si="141"/>
        <v>0</v>
      </c>
      <c r="F502" s="51">
        <f t="shared" ca="1" si="129"/>
        <v>2.5897145334057825</v>
      </c>
      <c r="G502" s="51">
        <f t="shared" ca="1" si="142"/>
        <v>0</v>
      </c>
      <c r="H502" s="8" t="str">
        <f t="shared" ca="1" si="133"/>
        <v>Yes</v>
      </c>
      <c r="I502" s="32">
        <f t="shared" ca="1" si="143"/>
        <v>2</v>
      </c>
      <c r="J502" s="32">
        <f t="shared" ca="1" si="134"/>
        <v>0</v>
      </c>
      <c r="K502" s="31">
        <f t="shared" ca="1" si="135"/>
        <v>1</v>
      </c>
      <c r="L502" s="52">
        <f t="shared" ca="1" si="136"/>
        <v>1511.5130319260479</v>
      </c>
      <c r="M502" s="51">
        <f t="shared" ca="1" si="130"/>
        <v>3.8605584448737562</v>
      </c>
      <c r="N502" s="51">
        <f t="shared" ca="1" si="144"/>
        <v>1515.3735903709216</v>
      </c>
      <c r="O502" s="28" t="str">
        <f t="shared" ca="1" si="131"/>
        <v>No</v>
      </c>
      <c r="P502" s="51">
        <f t="shared" ca="1" si="137"/>
        <v>0</v>
      </c>
      <c r="Q502">
        <f t="shared" ca="1" si="145"/>
        <v>0</v>
      </c>
      <c r="R502">
        <f t="shared" ca="1" si="138"/>
        <v>0</v>
      </c>
      <c r="S502" s="14">
        <f t="shared" ca="1" si="139"/>
        <v>0</v>
      </c>
    </row>
    <row r="503" spans="1:21" x14ac:dyDescent="0.25">
      <c r="A503">
        <v>494</v>
      </c>
      <c r="B503" s="51">
        <f t="shared" ca="1" si="128"/>
        <v>7.1927130685402192</v>
      </c>
      <c r="C503" s="51">
        <f t="shared" ca="1" si="140"/>
        <v>1518.705744994588</v>
      </c>
      <c r="D503" s="11" t="str">
        <f t="shared" ca="1" si="132"/>
        <v>C1</v>
      </c>
      <c r="E503" s="51">
        <f t="shared" ca="1" si="141"/>
        <v>1518.705744994588</v>
      </c>
      <c r="F503" s="51">
        <f t="shared" ca="1" si="129"/>
        <v>2.0717521067095768</v>
      </c>
      <c r="G503" s="51">
        <f t="shared" ca="1" si="142"/>
        <v>1520.7774971012975</v>
      </c>
      <c r="H503" s="8" t="str">
        <f t="shared" ca="1" si="133"/>
        <v>No</v>
      </c>
      <c r="I503" s="32">
        <f t="shared" ca="1" si="143"/>
        <v>0</v>
      </c>
      <c r="J503" s="32">
        <f t="shared" ca="1" si="134"/>
        <v>0</v>
      </c>
      <c r="K503" s="31">
        <f t="shared" ca="1" si="135"/>
        <v>0</v>
      </c>
      <c r="L503" s="52">
        <f t="shared" ca="1" si="136"/>
        <v>0</v>
      </c>
      <c r="M503" s="51">
        <f t="shared" ca="1" si="130"/>
        <v>4.7882022611822821</v>
      </c>
      <c r="N503" s="51">
        <f t="shared" ca="1" si="144"/>
        <v>0</v>
      </c>
      <c r="O503" s="28" t="str">
        <f t="shared" ca="1" si="131"/>
        <v>Yes</v>
      </c>
      <c r="P503" s="51">
        <f t="shared" ca="1" si="137"/>
        <v>0</v>
      </c>
      <c r="Q503">
        <f t="shared" ca="1" si="145"/>
        <v>0</v>
      </c>
      <c r="R503">
        <f t="shared" ca="1" si="138"/>
        <v>0</v>
      </c>
      <c r="S503" s="14">
        <f t="shared" ca="1" si="139"/>
        <v>0</v>
      </c>
    </row>
    <row r="504" spans="1:21" x14ac:dyDescent="0.25">
      <c r="A504">
        <v>495</v>
      </c>
      <c r="B504" s="51">
        <f t="shared" ca="1" si="128"/>
        <v>6.0006236174010539</v>
      </c>
      <c r="C504" s="51">
        <f t="shared" ca="1" si="140"/>
        <v>1524.7063686119891</v>
      </c>
      <c r="D504" s="11" t="str">
        <f t="shared" ca="1" si="132"/>
        <v>C1</v>
      </c>
      <c r="E504" s="51">
        <f t="shared" ca="1" si="141"/>
        <v>1524.7063686119891</v>
      </c>
      <c r="F504" s="51">
        <f t="shared" ca="1" si="129"/>
        <v>4.3590300831112243</v>
      </c>
      <c r="G504" s="51">
        <f t="shared" ca="1" si="142"/>
        <v>1529.0653986951004</v>
      </c>
      <c r="H504" s="8" t="str">
        <f t="shared" ca="1" si="133"/>
        <v>No</v>
      </c>
      <c r="I504" s="32">
        <f t="shared" ca="1" si="143"/>
        <v>0</v>
      </c>
      <c r="J504" s="32">
        <f t="shared" ca="1" si="134"/>
        <v>1</v>
      </c>
      <c r="K504" s="31">
        <f t="shared" ca="1" si="135"/>
        <v>0.5</v>
      </c>
      <c r="L504" s="52">
        <f t="shared" ca="1" si="136"/>
        <v>0</v>
      </c>
      <c r="M504" s="51">
        <f t="shared" ca="1" si="130"/>
        <v>3.465491142680968</v>
      </c>
      <c r="N504" s="51">
        <f t="shared" ca="1" si="144"/>
        <v>0</v>
      </c>
      <c r="O504" s="28" t="str">
        <f t="shared" ca="1" si="131"/>
        <v>Yes</v>
      </c>
      <c r="P504" s="51">
        <f t="shared" ca="1" si="137"/>
        <v>4.0637599013866748</v>
      </c>
      <c r="Q504">
        <f t="shared" ca="1" si="145"/>
        <v>0</v>
      </c>
      <c r="R504">
        <f t="shared" ca="1" si="138"/>
        <v>0</v>
      </c>
      <c r="S504" s="14">
        <f t="shared" ca="1" si="139"/>
        <v>0</v>
      </c>
    </row>
    <row r="505" spans="1:21" x14ac:dyDescent="0.25">
      <c r="A505">
        <v>496</v>
      </c>
      <c r="B505" s="51">
        <f t="shared" ca="1" si="128"/>
        <v>0.2952701817245415</v>
      </c>
      <c r="C505" s="51">
        <f t="shared" ca="1" si="140"/>
        <v>1525.0016387937137</v>
      </c>
      <c r="D505" s="11" t="str">
        <f t="shared" ca="1" si="132"/>
        <v>C2</v>
      </c>
      <c r="E505" s="51">
        <f t="shared" ca="1" si="141"/>
        <v>0</v>
      </c>
      <c r="F505" s="51">
        <f t="shared" ca="1" si="129"/>
        <v>2.2526973848186587</v>
      </c>
      <c r="G505" s="51">
        <f t="shared" ca="1" si="142"/>
        <v>0</v>
      </c>
      <c r="H505" s="8" t="str">
        <f t="shared" ca="1" si="133"/>
        <v>Yes</v>
      </c>
      <c r="I505" s="32">
        <f t="shared" ca="1" si="143"/>
        <v>2</v>
      </c>
      <c r="J505" s="32">
        <f t="shared" ca="1" si="134"/>
        <v>0</v>
      </c>
      <c r="K505" s="31">
        <f t="shared" ca="1" si="135"/>
        <v>1</v>
      </c>
      <c r="L505" s="52">
        <f t="shared" ca="1" si="136"/>
        <v>1525.0016387937137</v>
      </c>
      <c r="M505" s="51">
        <f t="shared" ca="1" si="130"/>
        <v>5.5774424646048422</v>
      </c>
      <c r="N505" s="51">
        <f t="shared" ca="1" si="144"/>
        <v>1530.5790812583186</v>
      </c>
      <c r="O505" s="28" t="str">
        <f t="shared" ca="1" si="131"/>
        <v>No</v>
      </c>
      <c r="P505" s="51">
        <f t="shared" ca="1" si="137"/>
        <v>0</v>
      </c>
      <c r="Q505">
        <f t="shared" ca="1" si="145"/>
        <v>0</v>
      </c>
      <c r="R505">
        <f t="shared" ca="1" si="138"/>
        <v>0</v>
      </c>
      <c r="S505" s="14">
        <f t="shared" ca="1" si="139"/>
        <v>0</v>
      </c>
    </row>
    <row r="506" spans="1:21" x14ac:dyDescent="0.25">
      <c r="A506">
        <v>497</v>
      </c>
      <c r="B506" s="51">
        <f t="shared" ca="1" si="128"/>
        <v>5.7865335645400524</v>
      </c>
      <c r="C506" s="51">
        <f t="shared" ca="1" si="140"/>
        <v>1530.7881723582539</v>
      </c>
      <c r="D506" s="11" t="str">
        <f t="shared" ca="1" si="132"/>
        <v>C1</v>
      </c>
      <c r="E506" s="51">
        <f t="shared" ca="1" si="141"/>
        <v>1530.7881723582539</v>
      </c>
      <c r="F506" s="51">
        <f t="shared" ca="1" si="129"/>
        <v>2.7225473792533177</v>
      </c>
      <c r="G506" s="51">
        <f t="shared" ca="1" si="142"/>
        <v>1533.5107197375071</v>
      </c>
      <c r="H506" s="8" t="str">
        <f t="shared" ca="1" si="133"/>
        <v>No</v>
      </c>
      <c r="I506" s="32">
        <f t="shared" ca="1" si="143"/>
        <v>0</v>
      </c>
      <c r="J506" s="32">
        <f t="shared" ca="1" si="134"/>
        <v>1</v>
      </c>
      <c r="K506" s="31">
        <f t="shared" ca="1" si="135"/>
        <v>0.5</v>
      </c>
      <c r="L506" s="52">
        <f t="shared" ca="1" si="136"/>
        <v>0</v>
      </c>
      <c r="M506" s="51">
        <f t="shared" ca="1" si="130"/>
        <v>0.5570371877500252</v>
      </c>
      <c r="N506" s="51">
        <f t="shared" ca="1" si="144"/>
        <v>0</v>
      </c>
      <c r="O506" s="28" t="str">
        <f t="shared" ca="1" si="131"/>
        <v>Yes</v>
      </c>
      <c r="P506" s="51">
        <f t="shared" ca="1" si="137"/>
        <v>2.5146415543010789</v>
      </c>
      <c r="Q506">
        <f t="shared" ca="1" si="145"/>
        <v>0</v>
      </c>
      <c r="R506">
        <f t="shared" ca="1" si="138"/>
        <v>0</v>
      </c>
      <c r="S506" s="14">
        <f t="shared" ca="1" si="139"/>
        <v>0</v>
      </c>
    </row>
    <row r="507" spans="1:21" x14ac:dyDescent="0.25">
      <c r="A507">
        <v>498</v>
      </c>
      <c r="B507" s="51">
        <f t="shared" ca="1" si="128"/>
        <v>0.20790582495223761</v>
      </c>
      <c r="C507" s="51">
        <f t="shared" ca="1" si="140"/>
        <v>1530.996078183206</v>
      </c>
      <c r="D507" s="11" t="str">
        <f t="shared" ca="1" si="132"/>
        <v>C2</v>
      </c>
      <c r="E507" s="51">
        <f t="shared" ca="1" si="141"/>
        <v>0</v>
      </c>
      <c r="F507" s="51">
        <f t="shared" ca="1" si="129"/>
        <v>4.5776371580545474</v>
      </c>
      <c r="G507" s="51">
        <f t="shared" ca="1" si="142"/>
        <v>0</v>
      </c>
      <c r="H507" s="8" t="str">
        <f t="shared" ca="1" si="133"/>
        <v>Yes</v>
      </c>
      <c r="I507" s="32">
        <f t="shared" ca="1" si="143"/>
        <v>2</v>
      </c>
      <c r="J507" s="32">
        <f t="shared" ca="1" si="134"/>
        <v>0</v>
      </c>
      <c r="K507" s="31">
        <f t="shared" ca="1" si="135"/>
        <v>1</v>
      </c>
      <c r="L507" s="52">
        <f t="shared" ca="1" si="136"/>
        <v>1530.996078183206</v>
      </c>
      <c r="M507" s="51">
        <f t="shared" ca="1" si="130"/>
        <v>2.2663247736338232</v>
      </c>
      <c r="N507" s="51">
        <f t="shared" ca="1" si="144"/>
        <v>1533.2624029568399</v>
      </c>
      <c r="O507" s="28" t="str">
        <f t="shared" ca="1" si="131"/>
        <v>No</v>
      </c>
      <c r="P507" s="51">
        <f t="shared" ca="1" si="137"/>
        <v>0</v>
      </c>
      <c r="Q507">
        <f t="shared" ca="1" si="145"/>
        <v>0</v>
      </c>
      <c r="R507">
        <f t="shared" ca="1" si="138"/>
        <v>0</v>
      </c>
      <c r="S507" s="14">
        <f t="shared" ca="1" si="139"/>
        <v>0</v>
      </c>
    </row>
    <row r="508" spans="1:21" x14ac:dyDescent="0.25">
      <c r="A508">
        <v>499</v>
      </c>
      <c r="B508" s="51">
        <f t="shared" ca="1" si="128"/>
        <v>6.2441087156512243</v>
      </c>
      <c r="C508" s="51">
        <f t="shared" ca="1" si="140"/>
        <v>1537.2401868988572</v>
      </c>
      <c r="D508" s="11" t="str">
        <f t="shared" ca="1" si="132"/>
        <v>C1</v>
      </c>
      <c r="E508" s="51">
        <f t="shared" ca="1" si="141"/>
        <v>1537.2401868988572</v>
      </c>
      <c r="F508" s="51">
        <f t="shared" ca="1" si="129"/>
        <v>10.837751243649286</v>
      </c>
      <c r="G508" s="51">
        <f t="shared" ca="1" si="142"/>
        <v>1548.0779381425066</v>
      </c>
      <c r="H508" s="8" t="str">
        <f t="shared" ca="1" si="133"/>
        <v>No</v>
      </c>
      <c r="I508" s="32">
        <f t="shared" ca="1" si="143"/>
        <v>0</v>
      </c>
      <c r="J508" s="32">
        <f t="shared" ca="1" si="134"/>
        <v>5</v>
      </c>
      <c r="K508" s="31">
        <f t="shared" ca="1" si="135"/>
        <v>2.5</v>
      </c>
      <c r="L508" s="52">
        <f t="shared" ca="1" si="136"/>
        <v>0</v>
      </c>
      <c r="M508" s="51">
        <f t="shared" ca="1" si="130"/>
        <v>1.4087188052667632</v>
      </c>
      <c r="N508" s="51">
        <f t="shared" ca="1" si="144"/>
        <v>0</v>
      </c>
      <c r="O508" s="28" t="str">
        <f t="shared" ca="1" si="131"/>
        <v>Yes</v>
      </c>
      <c r="P508" s="51">
        <f t="shared" ca="1" si="137"/>
        <v>10.374193689850017</v>
      </c>
      <c r="Q508">
        <f t="shared" ca="1" si="145"/>
        <v>0</v>
      </c>
      <c r="R508">
        <f t="shared" ca="1" si="138"/>
        <v>0</v>
      </c>
      <c r="S508" s="14">
        <f t="shared" ca="1" si="139"/>
        <v>0</v>
      </c>
    </row>
    <row r="509" spans="1:21" x14ac:dyDescent="0.25">
      <c r="A509">
        <v>500</v>
      </c>
      <c r="B509" s="51">
        <f t="shared" ca="1" si="128"/>
        <v>0.46355755379939789</v>
      </c>
      <c r="C509" s="51">
        <f t="shared" ca="1" si="140"/>
        <v>1537.7037444526566</v>
      </c>
      <c r="D509" s="11" t="str">
        <f t="shared" ca="1" si="132"/>
        <v>C2</v>
      </c>
      <c r="E509" s="51">
        <f t="shared" ca="1" si="141"/>
        <v>0</v>
      </c>
      <c r="F509" s="51">
        <f t="shared" ca="1" si="129"/>
        <v>5.2253502644902738</v>
      </c>
      <c r="G509" s="51">
        <f t="shared" ca="1" si="142"/>
        <v>0</v>
      </c>
      <c r="H509" s="8" t="str">
        <f t="shared" ca="1" si="133"/>
        <v>Yes</v>
      </c>
      <c r="I509" s="32">
        <f t="shared" ca="1" si="143"/>
        <v>6</v>
      </c>
      <c r="J509" s="32">
        <f t="shared" ca="1" si="134"/>
        <v>0</v>
      </c>
      <c r="K509" s="31">
        <f t="shared" ca="1" si="135"/>
        <v>3</v>
      </c>
      <c r="L509" s="52">
        <f t="shared" ca="1" si="136"/>
        <v>1537.7037444526566</v>
      </c>
      <c r="M509" s="51">
        <f t="shared" ca="1" si="130"/>
        <v>2.9722143448224756</v>
      </c>
      <c r="N509" s="51">
        <f t="shared" ca="1" si="144"/>
        <v>1540.6759587974791</v>
      </c>
      <c r="O509" s="28" t="str">
        <f t="shared" ca="1" si="131"/>
        <v>No</v>
      </c>
      <c r="P509" s="51">
        <v>0</v>
      </c>
      <c r="Q509">
        <f t="shared" ca="1" si="145"/>
        <v>0</v>
      </c>
      <c r="R509">
        <f t="shared" ca="1" si="138"/>
        <v>5</v>
      </c>
      <c r="S509" s="14">
        <f t="shared" ca="1" si="139"/>
        <v>2.5</v>
      </c>
    </row>
    <row r="510" spans="1:21" x14ac:dyDescent="0.25">
      <c r="S510" s="14"/>
    </row>
    <row r="511" spans="1:21" x14ac:dyDescent="0.25">
      <c r="A511" s="16" t="s">
        <v>12</v>
      </c>
      <c r="B511" s="53">
        <f ca="1">AVERAGE(B10:B509)</f>
        <v>3.0754074889053133</v>
      </c>
      <c r="C511" s="18"/>
      <c r="D511" s="18"/>
      <c r="E511" s="18"/>
      <c r="F511" s="53">
        <f ca="1">AVERAGE(F10:F509)</f>
        <v>2.4371700898202153</v>
      </c>
      <c r="G511" s="17"/>
      <c r="H511" s="18"/>
      <c r="I511" s="53">
        <f ca="1">AVERAGE(I10:I509)</f>
        <v>0.84</v>
      </c>
      <c r="J511" s="53">
        <f ca="1">AVERAGE(J10:J509)</f>
        <v>0.53800000000000003</v>
      </c>
      <c r="K511" s="53">
        <f ca="1">AVERAGE(K10:K509)</f>
        <v>0.68899999999999995</v>
      </c>
      <c r="L511" s="18"/>
      <c r="M511" s="53">
        <f ca="1">AVERAGE(M10:M509)</f>
        <v>2.6191918079189738</v>
      </c>
      <c r="N511" s="18"/>
      <c r="O511" s="18"/>
      <c r="P511" s="53">
        <f ca="1">AVERAGE(P10:P509)</f>
        <v>1.0900774783710196</v>
      </c>
      <c r="Q511" s="53">
        <f ca="1">AVERAGE(Q10:Q509)</f>
        <v>0.38800000000000001</v>
      </c>
      <c r="R511" s="53">
        <f ca="1">AVERAGE(R10:R509)</f>
        <v>0.25</v>
      </c>
      <c r="S511" s="53">
        <f ca="1">AVERAGE(S10:S509)</f>
        <v>0.31900000000000001</v>
      </c>
      <c r="U511" s="29"/>
    </row>
    <row r="512" spans="1:21" x14ac:dyDescent="0.25">
      <c r="A512" s="19" t="s">
        <v>13</v>
      </c>
      <c r="B512" s="53">
        <f>1/H3</f>
        <v>3</v>
      </c>
      <c r="C512" s="15"/>
      <c r="D512" s="15"/>
      <c r="E512" s="15"/>
      <c r="F512" s="53">
        <f>1/H5</f>
        <v>2.5</v>
      </c>
      <c r="G512" s="15"/>
      <c r="H512" s="15"/>
      <c r="I512" s="15"/>
      <c r="J512" s="54"/>
      <c r="K512" s="53">
        <f>((($H$3/$H$5)^2)*($H$3*$H$5))/((FACT(2-1))*((2*$H$5)-$H$3)*$G$6)</f>
        <v>0.4818594104308388</v>
      </c>
      <c r="L512" s="15"/>
      <c r="M512" s="53">
        <f>1/H5</f>
        <v>2.5</v>
      </c>
      <c r="N512" s="15"/>
      <c r="O512" s="15"/>
      <c r="P512" s="53">
        <v>1.4455781999999999</v>
      </c>
      <c r="Q512" s="15"/>
      <c r="R512" s="15"/>
      <c r="S512" s="53">
        <f>((($H$3/$H$5)^2)*($H$3*$H$5))/((FACT(2-1))*((2*$H$5)-$H$3)*$G$6)</f>
        <v>0.4818594104308388</v>
      </c>
    </row>
  </sheetData>
  <mergeCells count="4">
    <mergeCell ref="A1:Q1"/>
    <mergeCell ref="J3:M3"/>
    <mergeCell ref="J4:L4"/>
    <mergeCell ref="J5:L5"/>
  </mergeCells>
  <pageMargins left="0.7" right="0.7" top="0.75" bottom="0.75" header="0.3" footer="0.3"/>
  <pageSetup paperSize="9" scale="45" orientation="portrait" r:id="rId1"/>
  <rowBreaks count="1" manualBreakCount="1">
    <brk id="1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MM1 Queue</vt:lpstr>
      <vt:lpstr>MM2 Queue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Qadoos</dc:creator>
  <cp:lastModifiedBy>ayesh</cp:lastModifiedBy>
  <cp:lastPrinted>2018-11-10T21:29:52Z</cp:lastPrinted>
  <dcterms:created xsi:type="dcterms:W3CDTF">2018-10-18T19:25:41Z</dcterms:created>
  <dcterms:modified xsi:type="dcterms:W3CDTF">2022-06-28T15:26:08Z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6011eecc-758b-47e9-8ee0-4e959d7e7f12</vt:lpwstr>
  </property>
</Properties>
</file>