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LL COURSES  ( 401 )  7TH  SEMESTER\ALL (ES-444) COMPUTER SIMULATION PROCESSES\ASSIGNMENTS AND PROJECT\PROJECT\FOR FACULTY\PROJECT # 1\PROJECT (1) IN EXCEL\"/>
    </mc:Choice>
  </mc:AlternateContent>
  <xr:revisionPtr revIDLastSave="0" documentId="10_ncr:8100000_{E73E8AF7-B816-45A3-A47A-65D95A8543CC}" xr6:coauthVersionLast="34" xr6:coauthVersionMax="34" xr10:uidLastSave="{00000000-0000-0000-0000-000000000000}"/>
  <bookViews>
    <workbookView xWindow="0" yWindow="0" windowWidth="20490" windowHeight="7545" xr2:uid="{A3550229-B969-4E6D-B85C-50187845FE23}"/>
  </bookViews>
  <sheets>
    <sheet name="ABC Company Project" sheetId="1" r:id="rId1"/>
    <sheet name="Uniform Distributional" sheetId="2" r:id="rId2"/>
    <sheet name="Normal Distribu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10" i="1"/>
  <c r="G384" i="3" l="1"/>
  <c r="B384" i="3"/>
  <c r="C384" i="3" s="1"/>
  <c r="B383" i="3"/>
  <c r="C383" i="3" s="1"/>
  <c r="B382" i="3"/>
  <c r="C382" i="3" s="1"/>
  <c r="B381" i="3"/>
  <c r="C381" i="3" s="1"/>
  <c r="B380" i="3"/>
  <c r="C380" i="3" s="1"/>
  <c r="B379" i="3"/>
  <c r="C379" i="3" s="1"/>
  <c r="B378" i="3"/>
  <c r="C378" i="3" s="1"/>
  <c r="B377" i="3"/>
  <c r="C377" i="3" s="1"/>
  <c r="B376" i="3"/>
  <c r="C376" i="3" s="1"/>
  <c r="B375" i="3"/>
  <c r="C375" i="3" s="1"/>
  <c r="B374" i="3"/>
  <c r="C374" i="3" s="1"/>
  <c r="B373" i="3"/>
  <c r="C373" i="3" s="1"/>
  <c r="B372" i="3"/>
  <c r="C372" i="3" s="1"/>
  <c r="B371" i="3"/>
  <c r="C371" i="3" s="1"/>
  <c r="B370" i="3"/>
  <c r="C370" i="3" s="1"/>
  <c r="B369" i="3"/>
  <c r="C369" i="3" s="1"/>
  <c r="B368" i="3"/>
  <c r="C368" i="3" s="1"/>
  <c r="B367" i="3"/>
  <c r="C367" i="3" s="1"/>
  <c r="B366" i="3"/>
  <c r="C366" i="3" s="1"/>
  <c r="B365" i="3"/>
  <c r="C365" i="3" s="1"/>
  <c r="B364" i="3"/>
  <c r="C364" i="3" s="1"/>
  <c r="B363" i="3"/>
  <c r="C363" i="3" s="1"/>
  <c r="B362" i="3"/>
  <c r="C362" i="3" s="1"/>
  <c r="B361" i="3"/>
  <c r="C361" i="3" s="1"/>
  <c r="B360" i="3"/>
  <c r="C360" i="3" s="1"/>
  <c r="B359" i="3"/>
  <c r="C359" i="3" s="1"/>
  <c r="B358" i="3"/>
  <c r="C358" i="3" s="1"/>
  <c r="B357" i="3"/>
  <c r="C357" i="3" s="1"/>
  <c r="B356" i="3"/>
  <c r="C356" i="3" s="1"/>
  <c r="B355" i="3"/>
  <c r="C355" i="3" s="1"/>
  <c r="B354" i="3"/>
  <c r="C354" i="3" s="1"/>
  <c r="B353" i="3"/>
  <c r="C353" i="3" s="1"/>
  <c r="B352" i="3"/>
  <c r="C352" i="3" s="1"/>
  <c r="B351" i="3"/>
  <c r="C351" i="3" s="1"/>
  <c r="B350" i="3"/>
  <c r="C350" i="3" s="1"/>
  <c r="B349" i="3"/>
  <c r="C349" i="3" s="1"/>
  <c r="B348" i="3"/>
  <c r="C348" i="3" s="1"/>
  <c r="B347" i="3"/>
  <c r="C347" i="3" s="1"/>
  <c r="B346" i="3"/>
  <c r="C346" i="3" s="1"/>
  <c r="B345" i="3"/>
  <c r="C345" i="3" s="1"/>
  <c r="B344" i="3"/>
  <c r="C344" i="3" s="1"/>
  <c r="B343" i="3"/>
  <c r="C343" i="3" s="1"/>
  <c r="B342" i="3"/>
  <c r="C342" i="3" s="1"/>
  <c r="B341" i="3"/>
  <c r="C341" i="3" s="1"/>
  <c r="B340" i="3"/>
  <c r="C340" i="3" s="1"/>
  <c r="B339" i="3"/>
  <c r="C339" i="3" s="1"/>
  <c r="B338" i="3"/>
  <c r="C338" i="3" s="1"/>
  <c r="B337" i="3"/>
  <c r="C337" i="3" s="1"/>
  <c r="B336" i="3"/>
  <c r="C336" i="3" s="1"/>
  <c r="B335" i="3"/>
  <c r="C335" i="3" s="1"/>
  <c r="B334" i="3"/>
  <c r="C334" i="3" s="1"/>
  <c r="B333" i="3"/>
  <c r="C333" i="3" s="1"/>
  <c r="B332" i="3"/>
  <c r="C332" i="3" s="1"/>
  <c r="B331" i="3"/>
  <c r="C331" i="3" s="1"/>
  <c r="B330" i="3"/>
  <c r="C330" i="3" s="1"/>
  <c r="B329" i="3"/>
  <c r="C329" i="3" s="1"/>
  <c r="B328" i="3"/>
  <c r="C328" i="3" s="1"/>
  <c r="B327" i="3"/>
  <c r="C327" i="3" s="1"/>
  <c r="B326" i="3"/>
  <c r="C326" i="3" s="1"/>
  <c r="B325" i="3"/>
  <c r="C325" i="3" s="1"/>
  <c r="B324" i="3"/>
  <c r="C324" i="3" s="1"/>
  <c r="B323" i="3"/>
  <c r="C323" i="3" s="1"/>
  <c r="B322" i="3"/>
  <c r="C322" i="3" s="1"/>
  <c r="B321" i="3"/>
  <c r="C321" i="3" s="1"/>
  <c r="B320" i="3"/>
  <c r="C320" i="3" s="1"/>
  <c r="B319" i="3"/>
  <c r="C319" i="3" s="1"/>
  <c r="B318" i="3"/>
  <c r="C318" i="3" s="1"/>
  <c r="B317" i="3"/>
  <c r="C317" i="3" s="1"/>
  <c r="B316" i="3"/>
  <c r="C316" i="3" s="1"/>
  <c r="B315" i="3"/>
  <c r="C315" i="3" s="1"/>
  <c r="B314" i="3"/>
  <c r="C314" i="3" s="1"/>
  <c r="B313" i="3"/>
  <c r="C313" i="3" s="1"/>
  <c r="B312" i="3"/>
  <c r="C312" i="3" s="1"/>
  <c r="B311" i="3"/>
  <c r="C311" i="3" s="1"/>
  <c r="B310" i="3"/>
  <c r="C310" i="3" s="1"/>
  <c r="B309" i="3"/>
  <c r="C309" i="3" s="1"/>
  <c r="B308" i="3"/>
  <c r="C308" i="3" s="1"/>
  <c r="B307" i="3"/>
  <c r="C307" i="3" s="1"/>
  <c r="B306" i="3"/>
  <c r="C306" i="3" s="1"/>
  <c r="B305" i="3"/>
  <c r="C305" i="3" s="1"/>
  <c r="B304" i="3"/>
  <c r="C304" i="3" s="1"/>
  <c r="B303" i="3"/>
  <c r="C303" i="3" s="1"/>
  <c r="B302" i="3"/>
  <c r="C302" i="3" s="1"/>
  <c r="B301" i="3"/>
  <c r="C301" i="3" s="1"/>
  <c r="B300" i="3"/>
  <c r="C300" i="3" s="1"/>
  <c r="B299" i="3"/>
  <c r="C299" i="3" s="1"/>
  <c r="B298" i="3"/>
  <c r="C298" i="3" s="1"/>
  <c r="B297" i="3"/>
  <c r="C297" i="3" s="1"/>
  <c r="B296" i="3"/>
  <c r="C296" i="3" s="1"/>
  <c r="B295" i="3"/>
  <c r="C295" i="3" s="1"/>
  <c r="B294" i="3"/>
  <c r="C294" i="3" s="1"/>
  <c r="B293" i="3"/>
  <c r="C293" i="3" s="1"/>
  <c r="B292" i="3"/>
  <c r="C292" i="3" s="1"/>
  <c r="B291" i="3"/>
  <c r="C291" i="3" s="1"/>
  <c r="B290" i="3"/>
  <c r="C290" i="3" s="1"/>
  <c r="B289" i="3"/>
  <c r="C289" i="3" s="1"/>
  <c r="B288" i="3"/>
  <c r="C288" i="3" s="1"/>
  <c r="B287" i="3"/>
  <c r="C287" i="3" s="1"/>
  <c r="B286" i="3"/>
  <c r="C286" i="3" s="1"/>
  <c r="B285" i="3"/>
  <c r="C285" i="3" s="1"/>
  <c r="B284" i="3"/>
  <c r="C284" i="3" s="1"/>
  <c r="B283" i="3"/>
  <c r="C283" i="3" s="1"/>
  <c r="B282" i="3"/>
  <c r="C282" i="3" s="1"/>
  <c r="B281" i="3"/>
  <c r="C281" i="3" s="1"/>
  <c r="B280" i="3"/>
  <c r="C280" i="3" s="1"/>
  <c r="B279" i="3"/>
  <c r="C279" i="3" s="1"/>
  <c r="B278" i="3"/>
  <c r="C278" i="3" s="1"/>
  <c r="B277" i="3"/>
  <c r="C277" i="3" s="1"/>
  <c r="B276" i="3"/>
  <c r="C276" i="3" s="1"/>
  <c r="B275" i="3"/>
  <c r="C275" i="3" s="1"/>
  <c r="B274" i="3"/>
  <c r="C274" i="3" s="1"/>
  <c r="B273" i="3"/>
  <c r="C273" i="3" s="1"/>
  <c r="B272" i="3"/>
  <c r="C272" i="3" s="1"/>
  <c r="B271" i="3"/>
  <c r="C271" i="3" s="1"/>
  <c r="B270" i="3"/>
  <c r="C270" i="3" s="1"/>
  <c r="B269" i="3"/>
  <c r="C269" i="3" s="1"/>
  <c r="B268" i="3"/>
  <c r="C268" i="3" s="1"/>
  <c r="B267" i="3"/>
  <c r="C267" i="3" s="1"/>
  <c r="B266" i="3"/>
  <c r="C266" i="3" s="1"/>
  <c r="B265" i="3"/>
  <c r="C265" i="3" s="1"/>
  <c r="B264" i="3"/>
  <c r="C264" i="3" s="1"/>
  <c r="B263" i="3"/>
  <c r="C263" i="3" s="1"/>
  <c r="B262" i="3"/>
  <c r="C262" i="3" s="1"/>
  <c r="B261" i="3"/>
  <c r="C261" i="3" s="1"/>
  <c r="B260" i="3"/>
  <c r="C260" i="3" s="1"/>
  <c r="B259" i="3"/>
  <c r="C259" i="3" s="1"/>
  <c r="B258" i="3"/>
  <c r="C258" i="3" s="1"/>
  <c r="B257" i="3"/>
  <c r="C257" i="3" s="1"/>
  <c r="B256" i="3"/>
  <c r="C256" i="3" s="1"/>
  <c r="B255" i="3"/>
  <c r="C255" i="3" s="1"/>
  <c r="B254" i="3"/>
  <c r="C254" i="3" s="1"/>
  <c r="B253" i="3"/>
  <c r="C253" i="3" s="1"/>
  <c r="B252" i="3"/>
  <c r="C252" i="3" s="1"/>
  <c r="B251" i="3"/>
  <c r="C251" i="3" s="1"/>
  <c r="B250" i="3"/>
  <c r="C250" i="3" s="1"/>
  <c r="B249" i="3"/>
  <c r="C249" i="3" s="1"/>
  <c r="B248" i="3"/>
  <c r="C248" i="3" s="1"/>
  <c r="B247" i="3"/>
  <c r="C247" i="3" s="1"/>
  <c r="B246" i="3"/>
  <c r="C246" i="3" s="1"/>
  <c r="B245" i="3"/>
  <c r="C245" i="3" s="1"/>
  <c r="B244" i="3"/>
  <c r="C244" i="3" s="1"/>
  <c r="B243" i="3"/>
  <c r="C243" i="3" s="1"/>
  <c r="B242" i="3"/>
  <c r="C242" i="3" s="1"/>
  <c r="B241" i="3"/>
  <c r="C241" i="3" s="1"/>
  <c r="B240" i="3"/>
  <c r="C240" i="3" s="1"/>
  <c r="B239" i="3"/>
  <c r="C239" i="3" s="1"/>
  <c r="B238" i="3"/>
  <c r="C238" i="3" s="1"/>
  <c r="B237" i="3"/>
  <c r="C237" i="3" s="1"/>
  <c r="B236" i="3"/>
  <c r="C236" i="3" s="1"/>
  <c r="B235" i="3"/>
  <c r="C235" i="3" s="1"/>
  <c r="B234" i="3"/>
  <c r="C234" i="3" s="1"/>
  <c r="B233" i="3"/>
  <c r="C233" i="3" s="1"/>
  <c r="B232" i="3"/>
  <c r="C232" i="3" s="1"/>
  <c r="B231" i="3"/>
  <c r="C231" i="3" s="1"/>
  <c r="B230" i="3"/>
  <c r="C230" i="3" s="1"/>
  <c r="B229" i="3"/>
  <c r="C229" i="3" s="1"/>
  <c r="B228" i="3"/>
  <c r="C228" i="3" s="1"/>
  <c r="B227" i="3"/>
  <c r="C227" i="3" s="1"/>
  <c r="B226" i="3"/>
  <c r="C226" i="3" s="1"/>
  <c r="B225" i="3"/>
  <c r="C225" i="3" s="1"/>
  <c r="B224" i="3"/>
  <c r="C224" i="3" s="1"/>
  <c r="B223" i="3"/>
  <c r="C223" i="3" s="1"/>
  <c r="B222" i="3"/>
  <c r="C222" i="3" s="1"/>
  <c r="B221" i="3"/>
  <c r="C221" i="3" s="1"/>
  <c r="B220" i="3"/>
  <c r="C220" i="3" s="1"/>
  <c r="B219" i="3"/>
  <c r="C219" i="3" s="1"/>
  <c r="B218" i="3"/>
  <c r="C218" i="3" s="1"/>
  <c r="B217" i="3"/>
  <c r="C217" i="3" s="1"/>
  <c r="B216" i="3"/>
  <c r="C216" i="3" s="1"/>
  <c r="B215" i="3"/>
  <c r="C215" i="3" s="1"/>
  <c r="B214" i="3"/>
  <c r="C214" i="3" s="1"/>
  <c r="B213" i="3"/>
  <c r="C213" i="3" s="1"/>
  <c r="B212" i="3"/>
  <c r="C212" i="3" s="1"/>
  <c r="B211" i="3"/>
  <c r="C211" i="3" s="1"/>
  <c r="B210" i="3"/>
  <c r="C210" i="3" s="1"/>
  <c r="B209" i="3"/>
  <c r="C209" i="3" s="1"/>
  <c r="B208" i="3"/>
  <c r="C208" i="3" s="1"/>
  <c r="B207" i="3"/>
  <c r="C207" i="3" s="1"/>
  <c r="B206" i="3"/>
  <c r="C206" i="3" s="1"/>
  <c r="B205" i="3"/>
  <c r="C205" i="3" s="1"/>
  <c r="B204" i="3"/>
  <c r="C204" i="3" s="1"/>
  <c r="B203" i="3"/>
  <c r="C203" i="3" s="1"/>
  <c r="B202" i="3"/>
  <c r="C202" i="3" s="1"/>
  <c r="B201" i="3"/>
  <c r="C201" i="3" s="1"/>
  <c r="B200" i="3"/>
  <c r="C200" i="3" s="1"/>
  <c r="B199" i="3"/>
  <c r="C199" i="3" s="1"/>
  <c r="B198" i="3"/>
  <c r="C198" i="3" s="1"/>
  <c r="B197" i="3"/>
  <c r="C197" i="3" s="1"/>
  <c r="B196" i="3"/>
  <c r="C196" i="3" s="1"/>
  <c r="B195" i="3"/>
  <c r="C195" i="3" s="1"/>
  <c r="B194" i="3"/>
  <c r="C194" i="3" s="1"/>
  <c r="B193" i="3"/>
  <c r="C193" i="3" s="1"/>
  <c r="B192" i="3"/>
  <c r="C192" i="3" s="1"/>
  <c r="B191" i="3"/>
  <c r="C191" i="3" s="1"/>
  <c r="B190" i="3"/>
  <c r="C190" i="3" s="1"/>
  <c r="B189" i="3"/>
  <c r="C189" i="3" s="1"/>
  <c r="B188" i="3"/>
  <c r="C188" i="3" s="1"/>
  <c r="B187" i="3"/>
  <c r="C187" i="3" s="1"/>
  <c r="B186" i="3"/>
  <c r="C186" i="3" s="1"/>
  <c r="B185" i="3"/>
  <c r="C185" i="3" s="1"/>
  <c r="B184" i="3"/>
  <c r="C184" i="3" s="1"/>
  <c r="B183" i="3"/>
  <c r="C183" i="3" s="1"/>
  <c r="B182" i="3"/>
  <c r="C182" i="3" s="1"/>
  <c r="B181" i="3"/>
  <c r="C181" i="3" s="1"/>
  <c r="B180" i="3"/>
  <c r="C180" i="3" s="1"/>
  <c r="B179" i="3"/>
  <c r="C179" i="3" s="1"/>
  <c r="B178" i="3"/>
  <c r="C178" i="3" s="1"/>
  <c r="B177" i="3"/>
  <c r="C177" i="3" s="1"/>
  <c r="B176" i="3"/>
  <c r="C176" i="3" s="1"/>
  <c r="B175" i="3"/>
  <c r="C175" i="3" s="1"/>
  <c r="B174" i="3"/>
  <c r="C174" i="3" s="1"/>
  <c r="B173" i="3"/>
  <c r="C173" i="3" s="1"/>
  <c r="B172" i="3"/>
  <c r="C172" i="3" s="1"/>
  <c r="B171" i="3"/>
  <c r="C171" i="3" s="1"/>
  <c r="B170" i="3"/>
  <c r="C170" i="3" s="1"/>
  <c r="B169" i="3"/>
  <c r="C169" i="3" s="1"/>
  <c r="B168" i="3"/>
  <c r="C168" i="3" s="1"/>
  <c r="B167" i="3"/>
  <c r="C167" i="3" s="1"/>
  <c r="B166" i="3"/>
  <c r="C166" i="3" s="1"/>
  <c r="B165" i="3"/>
  <c r="C165" i="3" s="1"/>
  <c r="B164" i="3"/>
  <c r="C164" i="3" s="1"/>
  <c r="B163" i="3"/>
  <c r="C163" i="3" s="1"/>
  <c r="B162" i="3"/>
  <c r="C162" i="3" s="1"/>
  <c r="B161" i="3"/>
  <c r="C161" i="3" s="1"/>
  <c r="B160" i="3"/>
  <c r="C160" i="3" s="1"/>
  <c r="B159" i="3"/>
  <c r="C159" i="3" s="1"/>
  <c r="B158" i="3"/>
  <c r="C158" i="3" s="1"/>
  <c r="B157" i="3"/>
  <c r="C157" i="3" s="1"/>
  <c r="B156" i="3"/>
  <c r="C156" i="3" s="1"/>
  <c r="B155" i="3"/>
  <c r="C155" i="3" s="1"/>
  <c r="B154" i="3"/>
  <c r="C154" i="3" s="1"/>
  <c r="B153" i="3"/>
  <c r="C153" i="3" s="1"/>
  <c r="B152" i="3"/>
  <c r="C152" i="3" s="1"/>
  <c r="B151" i="3"/>
  <c r="C151" i="3" s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C142" i="3" s="1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C131" i="3" s="1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C119" i="3" s="1"/>
  <c r="B118" i="3"/>
  <c r="C118" i="3" s="1"/>
  <c r="B117" i="3"/>
  <c r="C117" i="3" s="1"/>
  <c r="B116" i="3"/>
  <c r="C116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D20" i="3"/>
  <c r="B20" i="3"/>
  <c r="C20" i="3" s="1"/>
  <c r="H12" i="3"/>
  <c r="G12" i="3"/>
  <c r="F12" i="3"/>
  <c r="E12" i="3"/>
  <c r="D12" i="3"/>
  <c r="I4" i="3"/>
  <c r="I5" i="3" s="1"/>
  <c r="G384" i="2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D20" i="2"/>
  <c r="B20" i="2"/>
  <c r="C20" i="2" s="1"/>
  <c r="H12" i="2"/>
  <c r="G12" i="2"/>
  <c r="F12" i="2"/>
  <c r="E12" i="2"/>
  <c r="D12" i="2"/>
  <c r="I4" i="2"/>
  <c r="I5" i="2" s="1"/>
  <c r="I4" i="1"/>
  <c r="I5" i="1" s="1"/>
  <c r="G384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D20" i="1"/>
  <c r="B20" i="1"/>
  <c r="D15" i="1"/>
  <c r="E15" i="1" s="1"/>
  <c r="F15" i="1" s="1"/>
  <c r="G15" i="1" s="1"/>
  <c r="H15" i="1" s="1"/>
  <c r="H13" i="1"/>
  <c r="G13" i="1"/>
  <c r="F13" i="1"/>
  <c r="E13" i="1"/>
  <c r="D13" i="1"/>
  <c r="E12" i="1"/>
  <c r="F12" i="1" s="1"/>
  <c r="E49" i="3" l="1"/>
  <c r="D50" i="3" s="1"/>
  <c r="F50" i="3" s="1"/>
  <c r="E257" i="3"/>
  <c r="D258" i="3" s="1"/>
  <c r="F258" i="3" s="1"/>
  <c r="E289" i="3"/>
  <c r="D290" i="3" s="1"/>
  <c r="F290" i="3" s="1"/>
  <c r="E293" i="3"/>
  <c r="D294" i="3" s="1"/>
  <c r="F294" i="3" s="1"/>
  <c r="E337" i="3"/>
  <c r="D338" i="3" s="1"/>
  <c r="F338" i="3" s="1"/>
  <c r="G340" i="3"/>
  <c r="G376" i="3"/>
  <c r="G368" i="3"/>
  <c r="G360" i="3"/>
  <c r="E116" i="3"/>
  <c r="D117" i="3" s="1"/>
  <c r="F117" i="3" s="1"/>
  <c r="E114" i="3"/>
  <c r="D115" i="3" s="1"/>
  <c r="F115" i="3" s="1"/>
  <c r="G117" i="3"/>
  <c r="G190" i="3"/>
  <c r="G254" i="3"/>
  <c r="E291" i="3"/>
  <c r="D292" i="3" s="1"/>
  <c r="F292" i="3" s="1"/>
  <c r="G294" i="3"/>
  <c r="E335" i="3"/>
  <c r="D336" i="3" s="1"/>
  <c r="F336" i="3" s="1"/>
  <c r="G338" i="3"/>
  <c r="E355" i="3"/>
  <c r="D356" i="3" s="1"/>
  <c r="F356" i="3" s="1"/>
  <c r="G382" i="3"/>
  <c r="E379" i="3"/>
  <c r="D380" i="3" s="1"/>
  <c r="F380" i="3" s="1"/>
  <c r="E375" i="3"/>
  <c r="D376" i="3" s="1"/>
  <c r="F376" i="3" s="1"/>
  <c r="E371" i="3"/>
  <c r="D372" i="3" s="1"/>
  <c r="F372" i="3" s="1"/>
  <c r="E367" i="3"/>
  <c r="D368" i="3" s="1"/>
  <c r="F368" i="3" s="1"/>
  <c r="E363" i="3"/>
  <c r="D364" i="3" s="1"/>
  <c r="F364" i="3" s="1"/>
  <c r="E359" i="3"/>
  <c r="D360" i="3" s="1"/>
  <c r="F360" i="3" s="1"/>
  <c r="E343" i="3"/>
  <c r="D344" i="3" s="1"/>
  <c r="F344" i="3" s="1"/>
  <c r="G119" i="3"/>
  <c r="F20" i="3"/>
  <c r="G288" i="3"/>
  <c r="G292" i="3"/>
  <c r="G336" i="3"/>
  <c r="E341" i="3"/>
  <c r="D342" i="3" s="1"/>
  <c r="F342" i="3" s="1"/>
  <c r="G286" i="3"/>
  <c r="E353" i="3"/>
  <c r="D354" i="3" s="1"/>
  <c r="F354" i="3" s="1"/>
  <c r="E361" i="3"/>
  <c r="D362" i="3" s="1"/>
  <c r="F362" i="3" s="1"/>
  <c r="E287" i="3"/>
  <c r="D288" i="3" s="1"/>
  <c r="F288" i="3" s="1"/>
  <c r="G115" i="3"/>
  <c r="G352" i="3"/>
  <c r="G354" i="3"/>
  <c r="E23" i="3"/>
  <c r="D24" i="3" s="1"/>
  <c r="G22" i="3"/>
  <c r="E31" i="3"/>
  <c r="D32" i="3" s="1"/>
  <c r="F32" i="3" s="1"/>
  <c r="G30" i="3"/>
  <c r="E39" i="3"/>
  <c r="D40" i="3" s="1"/>
  <c r="F40" i="3" s="1"/>
  <c r="G38" i="3"/>
  <c r="E47" i="3"/>
  <c r="D48" i="3" s="1"/>
  <c r="F48" i="3" s="1"/>
  <c r="G46" i="3"/>
  <c r="E29" i="3"/>
  <c r="D30" i="3" s="1"/>
  <c r="F30" i="3" s="1"/>
  <c r="G28" i="3"/>
  <c r="E37" i="3"/>
  <c r="D38" i="3" s="1"/>
  <c r="F38" i="3" s="1"/>
  <c r="G36" i="3"/>
  <c r="E45" i="3"/>
  <c r="D46" i="3" s="1"/>
  <c r="F46" i="3" s="1"/>
  <c r="G44" i="3"/>
  <c r="E21" i="3"/>
  <c r="D22" i="3" s="1"/>
  <c r="F22" i="3" s="1"/>
  <c r="G20" i="3"/>
  <c r="E27" i="3"/>
  <c r="D28" i="3" s="1"/>
  <c r="F28" i="3" s="1"/>
  <c r="G26" i="3"/>
  <c r="E35" i="3"/>
  <c r="D36" i="3" s="1"/>
  <c r="F36" i="3" s="1"/>
  <c r="G34" i="3"/>
  <c r="E43" i="3"/>
  <c r="D44" i="3" s="1"/>
  <c r="F44" i="3" s="1"/>
  <c r="G42" i="3"/>
  <c r="E25" i="3"/>
  <c r="D26" i="3" s="1"/>
  <c r="F26" i="3" s="1"/>
  <c r="G24" i="3"/>
  <c r="E33" i="3"/>
  <c r="D34" i="3" s="1"/>
  <c r="F34" i="3" s="1"/>
  <c r="G32" i="3"/>
  <c r="E41" i="3"/>
  <c r="D42" i="3" s="1"/>
  <c r="F42" i="3" s="1"/>
  <c r="G40" i="3"/>
  <c r="F24" i="3"/>
  <c r="E50" i="3"/>
  <c r="D51" i="3" s="1"/>
  <c r="G49" i="3"/>
  <c r="E52" i="3"/>
  <c r="D53" i="3" s="1"/>
  <c r="F53" i="3" s="1"/>
  <c r="G51" i="3"/>
  <c r="E56" i="3"/>
  <c r="D57" i="3" s="1"/>
  <c r="F57" i="3" s="1"/>
  <c r="G55" i="3"/>
  <c r="E60" i="3"/>
  <c r="D61" i="3" s="1"/>
  <c r="F61" i="3" s="1"/>
  <c r="G59" i="3"/>
  <c r="E64" i="3"/>
  <c r="D65" i="3" s="1"/>
  <c r="F65" i="3" s="1"/>
  <c r="G63" i="3"/>
  <c r="E68" i="3"/>
  <c r="D69" i="3" s="1"/>
  <c r="F69" i="3" s="1"/>
  <c r="G67" i="3"/>
  <c r="E72" i="3"/>
  <c r="D73" i="3" s="1"/>
  <c r="F73" i="3" s="1"/>
  <c r="G71" i="3"/>
  <c r="E76" i="3"/>
  <c r="D77" i="3" s="1"/>
  <c r="F77" i="3" s="1"/>
  <c r="G75" i="3"/>
  <c r="E80" i="3"/>
  <c r="D81" i="3" s="1"/>
  <c r="F81" i="3" s="1"/>
  <c r="G79" i="3"/>
  <c r="E84" i="3"/>
  <c r="D85" i="3" s="1"/>
  <c r="F85" i="3" s="1"/>
  <c r="G83" i="3"/>
  <c r="E88" i="3"/>
  <c r="D89" i="3" s="1"/>
  <c r="F89" i="3" s="1"/>
  <c r="G87" i="3"/>
  <c r="E92" i="3"/>
  <c r="D93" i="3" s="1"/>
  <c r="F93" i="3" s="1"/>
  <c r="G91" i="3"/>
  <c r="E96" i="3"/>
  <c r="D97" i="3" s="1"/>
  <c r="F97" i="3" s="1"/>
  <c r="G95" i="3"/>
  <c r="E100" i="3"/>
  <c r="D101" i="3" s="1"/>
  <c r="F101" i="3" s="1"/>
  <c r="G99" i="3"/>
  <c r="E104" i="3"/>
  <c r="D105" i="3" s="1"/>
  <c r="F105" i="3" s="1"/>
  <c r="G103" i="3"/>
  <c r="E108" i="3"/>
  <c r="D109" i="3" s="1"/>
  <c r="F109" i="3" s="1"/>
  <c r="G107" i="3"/>
  <c r="E48" i="3"/>
  <c r="D49" i="3" s="1"/>
  <c r="F49" i="3" s="1"/>
  <c r="G47" i="3"/>
  <c r="E53" i="3"/>
  <c r="D54" i="3" s="1"/>
  <c r="F54" i="3" s="1"/>
  <c r="G52" i="3"/>
  <c r="E57" i="3"/>
  <c r="D58" i="3" s="1"/>
  <c r="F58" i="3" s="1"/>
  <c r="G56" i="3"/>
  <c r="E61" i="3"/>
  <c r="D62" i="3" s="1"/>
  <c r="F62" i="3" s="1"/>
  <c r="G60" i="3"/>
  <c r="E65" i="3"/>
  <c r="D66" i="3" s="1"/>
  <c r="F66" i="3" s="1"/>
  <c r="G64" i="3"/>
  <c r="E69" i="3"/>
  <c r="D70" i="3" s="1"/>
  <c r="F70" i="3" s="1"/>
  <c r="G68" i="3"/>
  <c r="E73" i="3"/>
  <c r="D74" i="3" s="1"/>
  <c r="F74" i="3" s="1"/>
  <c r="G72" i="3"/>
  <c r="E77" i="3"/>
  <c r="D78" i="3" s="1"/>
  <c r="F78" i="3" s="1"/>
  <c r="G76" i="3"/>
  <c r="E81" i="3"/>
  <c r="D82" i="3" s="1"/>
  <c r="F82" i="3" s="1"/>
  <c r="G80" i="3"/>
  <c r="E85" i="3"/>
  <c r="D86" i="3" s="1"/>
  <c r="F86" i="3" s="1"/>
  <c r="G84" i="3"/>
  <c r="E89" i="3"/>
  <c r="D90" i="3" s="1"/>
  <c r="F90" i="3" s="1"/>
  <c r="G88" i="3"/>
  <c r="E93" i="3"/>
  <c r="D94" i="3" s="1"/>
  <c r="F94" i="3" s="1"/>
  <c r="G92" i="3"/>
  <c r="E97" i="3"/>
  <c r="D98" i="3" s="1"/>
  <c r="F98" i="3" s="1"/>
  <c r="G96" i="3"/>
  <c r="E101" i="3"/>
  <c r="D102" i="3" s="1"/>
  <c r="F102" i="3" s="1"/>
  <c r="G100" i="3"/>
  <c r="E105" i="3"/>
  <c r="D106" i="3" s="1"/>
  <c r="F106" i="3" s="1"/>
  <c r="G104" i="3"/>
  <c r="E109" i="3"/>
  <c r="D110" i="3" s="1"/>
  <c r="F110" i="3" s="1"/>
  <c r="G108" i="3"/>
  <c r="E54" i="3"/>
  <c r="D55" i="3" s="1"/>
  <c r="F55" i="3" s="1"/>
  <c r="G53" i="3"/>
  <c r="E58" i="3"/>
  <c r="D59" i="3" s="1"/>
  <c r="F59" i="3" s="1"/>
  <c r="G57" i="3"/>
  <c r="E62" i="3"/>
  <c r="D63" i="3" s="1"/>
  <c r="F63" i="3" s="1"/>
  <c r="G61" i="3"/>
  <c r="E66" i="3"/>
  <c r="D67" i="3" s="1"/>
  <c r="F67" i="3" s="1"/>
  <c r="G65" i="3"/>
  <c r="E70" i="3"/>
  <c r="D71" i="3" s="1"/>
  <c r="F71" i="3" s="1"/>
  <c r="G69" i="3"/>
  <c r="E74" i="3"/>
  <c r="D75" i="3" s="1"/>
  <c r="F75" i="3" s="1"/>
  <c r="G73" i="3"/>
  <c r="E78" i="3"/>
  <c r="D79" i="3" s="1"/>
  <c r="F79" i="3" s="1"/>
  <c r="G77" i="3"/>
  <c r="E82" i="3"/>
  <c r="D83" i="3" s="1"/>
  <c r="F83" i="3" s="1"/>
  <c r="G81" i="3"/>
  <c r="E86" i="3"/>
  <c r="D87" i="3" s="1"/>
  <c r="F87" i="3" s="1"/>
  <c r="G85" i="3"/>
  <c r="E90" i="3"/>
  <c r="D91" i="3" s="1"/>
  <c r="F91" i="3" s="1"/>
  <c r="G89" i="3"/>
  <c r="E94" i="3"/>
  <c r="D95" i="3" s="1"/>
  <c r="F95" i="3" s="1"/>
  <c r="G93" i="3"/>
  <c r="E98" i="3"/>
  <c r="D99" i="3" s="1"/>
  <c r="F99" i="3" s="1"/>
  <c r="G97" i="3"/>
  <c r="E102" i="3"/>
  <c r="D103" i="3" s="1"/>
  <c r="F103" i="3" s="1"/>
  <c r="G101" i="3"/>
  <c r="E106" i="3"/>
  <c r="D107" i="3" s="1"/>
  <c r="F107" i="3" s="1"/>
  <c r="G105" i="3"/>
  <c r="E20" i="3"/>
  <c r="D21" i="3" s="1"/>
  <c r="F21" i="3" s="1"/>
  <c r="G21" i="3"/>
  <c r="E22" i="3"/>
  <c r="D23" i="3" s="1"/>
  <c r="F23" i="3" s="1"/>
  <c r="G23" i="3"/>
  <c r="E24" i="3"/>
  <c r="D25" i="3" s="1"/>
  <c r="F25" i="3" s="1"/>
  <c r="G25" i="3"/>
  <c r="E26" i="3"/>
  <c r="D27" i="3" s="1"/>
  <c r="F27" i="3" s="1"/>
  <c r="G27" i="3"/>
  <c r="E28" i="3"/>
  <c r="D29" i="3" s="1"/>
  <c r="F29" i="3" s="1"/>
  <c r="G29" i="3"/>
  <c r="E30" i="3"/>
  <c r="D31" i="3" s="1"/>
  <c r="F31" i="3" s="1"/>
  <c r="G31" i="3"/>
  <c r="E32" i="3"/>
  <c r="D33" i="3" s="1"/>
  <c r="F33" i="3" s="1"/>
  <c r="G33" i="3"/>
  <c r="E34" i="3"/>
  <c r="D35" i="3" s="1"/>
  <c r="F35" i="3" s="1"/>
  <c r="G35" i="3"/>
  <c r="E36" i="3"/>
  <c r="D37" i="3" s="1"/>
  <c r="F37" i="3" s="1"/>
  <c r="G37" i="3"/>
  <c r="E38" i="3"/>
  <c r="D39" i="3" s="1"/>
  <c r="F39" i="3" s="1"/>
  <c r="G39" i="3"/>
  <c r="E40" i="3"/>
  <c r="D41" i="3" s="1"/>
  <c r="F41" i="3" s="1"/>
  <c r="G41" i="3"/>
  <c r="E42" i="3"/>
  <c r="D43" i="3" s="1"/>
  <c r="F43" i="3" s="1"/>
  <c r="G43" i="3"/>
  <c r="E44" i="3"/>
  <c r="D45" i="3" s="1"/>
  <c r="F45" i="3" s="1"/>
  <c r="G45" i="3"/>
  <c r="E46" i="3"/>
  <c r="D47" i="3" s="1"/>
  <c r="F47" i="3" s="1"/>
  <c r="G48" i="3"/>
  <c r="E51" i="3"/>
  <c r="D52" i="3" s="1"/>
  <c r="F52" i="3" s="1"/>
  <c r="E55" i="3"/>
  <c r="D56" i="3" s="1"/>
  <c r="F56" i="3" s="1"/>
  <c r="G54" i="3"/>
  <c r="E59" i="3"/>
  <c r="D60" i="3" s="1"/>
  <c r="F60" i="3" s="1"/>
  <c r="G58" i="3"/>
  <c r="E63" i="3"/>
  <c r="D64" i="3" s="1"/>
  <c r="F64" i="3" s="1"/>
  <c r="G62" i="3"/>
  <c r="E67" i="3"/>
  <c r="D68" i="3" s="1"/>
  <c r="F68" i="3" s="1"/>
  <c r="G66" i="3"/>
  <c r="E71" i="3"/>
  <c r="D72" i="3" s="1"/>
  <c r="F72" i="3" s="1"/>
  <c r="G70" i="3"/>
  <c r="E75" i="3"/>
  <c r="D76" i="3" s="1"/>
  <c r="F76" i="3" s="1"/>
  <c r="G74" i="3"/>
  <c r="E79" i="3"/>
  <c r="D80" i="3" s="1"/>
  <c r="F80" i="3" s="1"/>
  <c r="G78" i="3"/>
  <c r="E83" i="3"/>
  <c r="D84" i="3" s="1"/>
  <c r="F84" i="3" s="1"/>
  <c r="G82" i="3"/>
  <c r="E87" i="3"/>
  <c r="D88" i="3" s="1"/>
  <c r="F88" i="3" s="1"/>
  <c r="G86" i="3"/>
  <c r="E91" i="3"/>
  <c r="D92" i="3" s="1"/>
  <c r="F92" i="3" s="1"/>
  <c r="G90" i="3"/>
  <c r="E95" i="3"/>
  <c r="D96" i="3" s="1"/>
  <c r="F96" i="3" s="1"/>
  <c r="G94" i="3"/>
  <c r="E99" i="3"/>
  <c r="D100" i="3" s="1"/>
  <c r="F100" i="3" s="1"/>
  <c r="G98" i="3"/>
  <c r="E103" i="3"/>
  <c r="D104" i="3" s="1"/>
  <c r="F104" i="3" s="1"/>
  <c r="G102" i="3"/>
  <c r="E107" i="3"/>
  <c r="D108" i="3" s="1"/>
  <c r="F108" i="3" s="1"/>
  <c r="G106" i="3"/>
  <c r="E110" i="3"/>
  <c r="D111" i="3" s="1"/>
  <c r="F111" i="3" s="1"/>
  <c r="G111" i="3"/>
  <c r="E112" i="3"/>
  <c r="D113" i="3" s="1"/>
  <c r="F113" i="3" s="1"/>
  <c r="E115" i="3"/>
  <c r="D116" i="3" s="1"/>
  <c r="F116" i="3" s="1"/>
  <c r="G114" i="3"/>
  <c r="E126" i="3"/>
  <c r="D127" i="3" s="1"/>
  <c r="F127" i="3" s="1"/>
  <c r="G125" i="3"/>
  <c r="E134" i="3"/>
  <c r="D135" i="3" s="1"/>
  <c r="F135" i="3" s="1"/>
  <c r="G133" i="3"/>
  <c r="E142" i="3"/>
  <c r="D143" i="3" s="1"/>
  <c r="F143" i="3" s="1"/>
  <c r="G141" i="3"/>
  <c r="E150" i="3"/>
  <c r="D151" i="3" s="1"/>
  <c r="F151" i="3" s="1"/>
  <c r="G149" i="3"/>
  <c r="E158" i="3"/>
  <c r="D159" i="3" s="1"/>
  <c r="F159" i="3" s="1"/>
  <c r="G157" i="3"/>
  <c r="E166" i="3"/>
  <c r="D167" i="3" s="1"/>
  <c r="F167" i="3" s="1"/>
  <c r="G165" i="3"/>
  <c r="E174" i="3"/>
  <c r="D175" i="3" s="1"/>
  <c r="F175" i="3" s="1"/>
  <c r="G173" i="3"/>
  <c r="E182" i="3"/>
  <c r="D183" i="3" s="1"/>
  <c r="F183" i="3" s="1"/>
  <c r="G181" i="3"/>
  <c r="G109" i="3"/>
  <c r="E113" i="3"/>
  <c r="D114" i="3" s="1"/>
  <c r="G112" i="3"/>
  <c r="E124" i="3"/>
  <c r="D125" i="3" s="1"/>
  <c r="F125" i="3" s="1"/>
  <c r="G123" i="3"/>
  <c r="E132" i="3"/>
  <c r="D133" i="3" s="1"/>
  <c r="F133" i="3" s="1"/>
  <c r="G131" i="3"/>
  <c r="E140" i="3"/>
  <c r="D141" i="3" s="1"/>
  <c r="F141" i="3" s="1"/>
  <c r="G139" i="3"/>
  <c r="E148" i="3"/>
  <c r="D149" i="3" s="1"/>
  <c r="F149" i="3" s="1"/>
  <c r="G147" i="3"/>
  <c r="E156" i="3"/>
  <c r="D157" i="3" s="1"/>
  <c r="F157" i="3" s="1"/>
  <c r="G155" i="3"/>
  <c r="E164" i="3"/>
  <c r="D165" i="3" s="1"/>
  <c r="F165" i="3" s="1"/>
  <c r="G163" i="3"/>
  <c r="E172" i="3"/>
  <c r="D173" i="3" s="1"/>
  <c r="F173" i="3" s="1"/>
  <c r="G171" i="3"/>
  <c r="E180" i="3"/>
  <c r="D181" i="3" s="1"/>
  <c r="F181" i="3" s="1"/>
  <c r="G179" i="3"/>
  <c r="E188" i="3"/>
  <c r="D189" i="3" s="1"/>
  <c r="F189" i="3" s="1"/>
  <c r="G187" i="3"/>
  <c r="E111" i="3"/>
  <c r="D112" i="3" s="1"/>
  <c r="F112" i="3" s="1"/>
  <c r="G110" i="3"/>
  <c r="E119" i="3"/>
  <c r="D120" i="3" s="1"/>
  <c r="G118" i="3"/>
  <c r="E122" i="3"/>
  <c r="D123" i="3" s="1"/>
  <c r="F123" i="3" s="1"/>
  <c r="G121" i="3"/>
  <c r="E130" i="3"/>
  <c r="D131" i="3" s="1"/>
  <c r="F131" i="3" s="1"/>
  <c r="G129" i="3"/>
  <c r="E138" i="3"/>
  <c r="D139" i="3" s="1"/>
  <c r="F139" i="3" s="1"/>
  <c r="G137" i="3"/>
  <c r="E146" i="3"/>
  <c r="D147" i="3" s="1"/>
  <c r="F147" i="3" s="1"/>
  <c r="G145" i="3"/>
  <c r="E154" i="3"/>
  <c r="D155" i="3" s="1"/>
  <c r="F155" i="3" s="1"/>
  <c r="G153" i="3"/>
  <c r="E162" i="3"/>
  <c r="D163" i="3" s="1"/>
  <c r="F163" i="3" s="1"/>
  <c r="G161" i="3"/>
  <c r="E170" i="3"/>
  <c r="D171" i="3" s="1"/>
  <c r="F171" i="3" s="1"/>
  <c r="G169" i="3"/>
  <c r="E178" i="3"/>
  <c r="D179" i="3" s="1"/>
  <c r="F179" i="3" s="1"/>
  <c r="G177" i="3"/>
  <c r="E186" i="3"/>
  <c r="D187" i="3" s="1"/>
  <c r="F187" i="3" s="1"/>
  <c r="G185" i="3"/>
  <c r="E117" i="3"/>
  <c r="G116" i="3"/>
  <c r="E128" i="3"/>
  <c r="D129" i="3" s="1"/>
  <c r="F129" i="3" s="1"/>
  <c r="G127" i="3"/>
  <c r="E136" i="3"/>
  <c r="D137" i="3" s="1"/>
  <c r="F137" i="3" s="1"/>
  <c r="G135" i="3"/>
  <c r="E144" i="3"/>
  <c r="D145" i="3" s="1"/>
  <c r="F145" i="3" s="1"/>
  <c r="G143" i="3"/>
  <c r="E152" i="3"/>
  <c r="D153" i="3" s="1"/>
  <c r="F153" i="3" s="1"/>
  <c r="G151" i="3"/>
  <c r="E160" i="3"/>
  <c r="D161" i="3" s="1"/>
  <c r="F161" i="3" s="1"/>
  <c r="G159" i="3"/>
  <c r="E168" i="3"/>
  <c r="D169" i="3" s="1"/>
  <c r="F169" i="3" s="1"/>
  <c r="G167" i="3"/>
  <c r="E176" i="3"/>
  <c r="D177" i="3" s="1"/>
  <c r="F177" i="3" s="1"/>
  <c r="G175" i="3"/>
  <c r="E184" i="3"/>
  <c r="D185" i="3" s="1"/>
  <c r="F185" i="3" s="1"/>
  <c r="G183" i="3"/>
  <c r="G120" i="3"/>
  <c r="E121" i="3"/>
  <c r="D122" i="3" s="1"/>
  <c r="F122" i="3" s="1"/>
  <c r="G122" i="3"/>
  <c r="E123" i="3"/>
  <c r="D124" i="3" s="1"/>
  <c r="F124" i="3" s="1"/>
  <c r="G124" i="3"/>
  <c r="E125" i="3"/>
  <c r="D126" i="3" s="1"/>
  <c r="F126" i="3" s="1"/>
  <c r="G126" i="3"/>
  <c r="E127" i="3"/>
  <c r="D128" i="3" s="1"/>
  <c r="F128" i="3" s="1"/>
  <c r="G128" i="3"/>
  <c r="E129" i="3"/>
  <c r="D130" i="3" s="1"/>
  <c r="F130" i="3" s="1"/>
  <c r="G130" i="3"/>
  <c r="E131" i="3"/>
  <c r="D132" i="3" s="1"/>
  <c r="F132" i="3" s="1"/>
  <c r="G132" i="3"/>
  <c r="E133" i="3"/>
  <c r="D134" i="3" s="1"/>
  <c r="F134" i="3" s="1"/>
  <c r="G134" i="3"/>
  <c r="E135" i="3"/>
  <c r="D136" i="3" s="1"/>
  <c r="F136" i="3" s="1"/>
  <c r="G136" i="3"/>
  <c r="E137" i="3"/>
  <c r="D138" i="3" s="1"/>
  <c r="F138" i="3" s="1"/>
  <c r="G138" i="3"/>
  <c r="E139" i="3"/>
  <c r="D140" i="3" s="1"/>
  <c r="F140" i="3" s="1"/>
  <c r="G140" i="3"/>
  <c r="E141" i="3"/>
  <c r="D142" i="3" s="1"/>
  <c r="F142" i="3" s="1"/>
  <c r="G142" i="3"/>
  <c r="E143" i="3"/>
  <c r="D144" i="3" s="1"/>
  <c r="F144" i="3" s="1"/>
  <c r="G144" i="3"/>
  <c r="E145" i="3"/>
  <c r="D146" i="3" s="1"/>
  <c r="F146" i="3" s="1"/>
  <c r="G146" i="3"/>
  <c r="E147" i="3"/>
  <c r="D148" i="3" s="1"/>
  <c r="F148" i="3" s="1"/>
  <c r="G148" i="3"/>
  <c r="E149" i="3"/>
  <c r="D150" i="3" s="1"/>
  <c r="F150" i="3" s="1"/>
  <c r="G150" i="3"/>
  <c r="E151" i="3"/>
  <c r="D152" i="3" s="1"/>
  <c r="F152" i="3" s="1"/>
  <c r="G152" i="3"/>
  <c r="E153" i="3"/>
  <c r="D154" i="3" s="1"/>
  <c r="F154" i="3" s="1"/>
  <c r="G154" i="3"/>
  <c r="E155" i="3"/>
  <c r="D156" i="3" s="1"/>
  <c r="F156" i="3" s="1"/>
  <c r="G156" i="3"/>
  <c r="E157" i="3"/>
  <c r="D158" i="3" s="1"/>
  <c r="F158" i="3" s="1"/>
  <c r="G158" i="3"/>
  <c r="E159" i="3"/>
  <c r="D160" i="3" s="1"/>
  <c r="F160" i="3" s="1"/>
  <c r="G160" i="3"/>
  <c r="E161" i="3"/>
  <c r="D162" i="3" s="1"/>
  <c r="F162" i="3" s="1"/>
  <c r="G162" i="3"/>
  <c r="E163" i="3"/>
  <c r="D164" i="3" s="1"/>
  <c r="F164" i="3" s="1"/>
  <c r="G164" i="3"/>
  <c r="E165" i="3"/>
  <c r="D166" i="3" s="1"/>
  <c r="F166" i="3" s="1"/>
  <c r="G166" i="3"/>
  <c r="E167" i="3"/>
  <c r="D168" i="3" s="1"/>
  <c r="F168" i="3" s="1"/>
  <c r="G168" i="3"/>
  <c r="E169" i="3"/>
  <c r="D170" i="3" s="1"/>
  <c r="F170" i="3" s="1"/>
  <c r="G170" i="3"/>
  <c r="E171" i="3"/>
  <c r="D172" i="3" s="1"/>
  <c r="F172" i="3" s="1"/>
  <c r="G172" i="3"/>
  <c r="E173" i="3"/>
  <c r="D174" i="3" s="1"/>
  <c r="F174" i="3" s="1"/>
  <c r="G174" i="3"/>
  <c r="E175" i="3"/>
  <c r="D176" i="3" s="1"/>
  <c r="F176" i="3" s="1"/>
  <c r="G176" i="3"/>
  <c r="E177" i="3"/>
  <c r="D178" i="3" s="1"/>
  <c r="F178" i="3" s="1"/>
  <c r="G178" i="3"/>
  <c r="E179" i="3"/>
  <c r="D180" i="3" s="1"/>
  <c r="F180" i="3" s="1"/>
  <c r="G180" i="3"/>
  <c r="E181" i="3"/>
  <c r="D182" i="3" s="1"/>
  <c r="F182" i="3" s="1"/>
  <c r="G182" i="3"/>
  <c r="E183" i="3"/>
  <c r="D184" i="3" s="1"/>
  <c r="F184" i="3" s="1"/>
  <c r="G184" i="3"/>
  <c r="E185" i="3"/>
  <c r="D186" i="3" s="1"/>
  <c r="F186" i="3" s="1"/>
  <c r="G186" i="3"/>
  <c r="E187" i="3"/>
  <c r="D188" i="3" s="1"/>
  <c r="F188" i="3" s="1"/>
  <c r="G188" i="3"/>
  <c r="E189" i="3"/>
  <c r="D190" i="3" s="1"/>
  <c r="F190" i="3" s="1"/>
  <c r="E195" i="3"/>
  <c r="D196" i="3" s="1"/>
  <c r="F196" i="3" s="1"/>
  <c r="G194" i="3"/>
  <c r="E203" i="3"/>
  <c r="D204" i="3" s="1"/>
  <c r="F204" i="3" s="1"/>
  <c r="G202" i="3"/>
  <c r="E211" i="3"/>
  <c r="D212" i="3" s="1"/>
  <c r="F212" i="3" s="1"/>
  <c r="G210" i="3"/>
  <c r="E219" i="3"/>
  <c r="D220" i="3" s="1"/>
  <c r="F220" i="3" s="1"/>
  <c r="G218" i="3"/>
  <c r="E227" i="3"/>
  <c r="D228" i="3" s="1"/>
  <c r="F228" i="3" s="1"/>
  <c r="G226" i="3"/>
  <c r="E235" i="3"/>
  <c r="D236" i="3" s="1"/>
  <c r="F236" i="3" s="1"/>
  <c r="G234" i="3"/>
  <c r="E243" i="3"/>
  <c r="D244" i="3" s="1"/>
  <c r="F244" i="3" s="1"/>
  <c r="G242" i="3"/>
  <c r="E251" i="3"/>
  <c r="D252" i="3" s="1"/>
  <c r="F252" i="3" s="1"/>
  <c r="G250" i="3"/>
  <c r="E190" i="3"/>
  <c r="D191" i="3" s="1"/>
  <c r="G189" i="3"/>
  <c r="E193" i="3"/>
  <c r="D194" i="3" s="1"/>
  <c r="F194" i="3" s="1"/>
  <c r="G192" i="3"/>
  <c r="E201" i="3"/>
  <c r="D202" i="3" s="1"/>
  <c r="F202" i="3" s="1"/>
  <c r="G200" i="3"/>
  <c r="E209" i="3"/>
  <c r="D210" i="3" s="1"/>
  <c r="F210" i="3" s="1"/>
  <c r="G208" i="3"/>
  <c r="E217" i="3"/>
  <c r="D218" i="3" s="1"/>
  <c r="F218" i="3" s="1"/>
  <c r="G216" i="3"/>
  <c r="E225" i="3"/>
  <c r="D226" i="3" s="1"/>
  <c r="F226" i="3" s="1"/>
  <c r="G224" i="3"/>
  <c r="E233" i="3"/>
  <c r="D234" i="3" s="1"/>
  <c r="F234" i="3" s="1"/>
  <c r="G232" i="3"/>
  <c r="E241" i="3"/>
  <c r="D242" i="3" s="1"/>
  <c r="F242" i="3" s="1"/>
  <c r="G240" i="3"/>
  <c r="E249" i="3"/>
  <c r="D250" i="3" s="1"/>
  <c r="F250" i="3" s="1"/>
  <c r="G248" i="3"/>
  <c r="E199" i="3"/>
  <c r="D200" i="3" s="1"/>
  <c r="F200" i="3" s="1"/>
  <c r="G198" i="3"/>
  <c r="E207" i="3"/>
  <c r="D208" i="3" s="1"/>
  <c r="F208" i="3" s="1"/>
  <c r="G206" i="3"/>
  <c r="E215" i="3"/>
  <c r="D216" i="3" s="1"/>
  <c r="F216" i="3" s="1"/>
  <c r="G214" i="3"/>
  <c r="E223" i="3"/>
  <c r="D224" i="3" s="1"/>
  <c r="F224" i="3" s="1"/>
  <c r="G222" i="3"/>
  <c r="E231" i="3"/>
  <c r="D232" i="3" s="1"/>
  <c r="F232" i="3" s="1"/>
  <c r="G230" i="3"/>
  <c r="E239" i="3"/>
  <c r="D240" i="3" s="1"/>
  <c r="F240" i="3" s="1"/>
  <c r="G238" i="3"/>
  <c r="E247" i="3"/>
  <c r="D248" i="3" s="1"/>
  <c r="F248" i="3" s="1"/>
  <c r="G246" i="3"/>
  <c r="E197" i="3"/>
  <c r="D198" i="3" s="1"/>
  <c r="F198" i="3" s="1"/>
  <c r="G196" i="3"/>
  <c r="E205" i="3"/>
  <c r="D206" i="3" s="1"/>
  <c r="F206" i="3" s="1"/>
  <c r="G204" i="3"/>
  <c r="E213" i="3"/>
  <c r="D214" i="3" s="1"/>
  <c r="F214" i="3" s="1"/>
  <c r="G212" i="3"/>
  <c r="E221" i="3"/>
  <c r="D222" i="3" s="1"/>
  <c r="F222" i="3" s="1"/>
  <c r="G220" i="3"/>
  <c r="E229" i="3"/>
  <c r="D230" i="3" s="1"/>
  <c r="F230" i="3" s="1"/>
  <c r="G228" i="3"/>
  <c r="E237" i="3"/>
  <c r="D238" i="3" s="1"/>
  <c r="F238" i="3" s="1"/>
  <c r="G236" i="3"/>
  <c r="E245" i="3"/>
  <c r="D246" i="3" s="1"/>
  <c r="F246" i="3" s="1"/>
  <c r="G244" i="3"/>
  <c r="E253" i="3"/>
  <c r="D254" i="3" s="1"/>
  <c r="F254" i="3" s="1"/>
  <c r="G252" i="3"/>
  <c r="G191" i="3"/>
  <c r="E192" i="3"/>
  <c r="D193" i="3" s="1"/>
  <c r="F193" i="3" s="1"/>
  <c r="G193" i="3"/>
  <c r="E194" i="3"/>
  <c r="D195" i="3" s="1"/>
  <c r="F195" i="3" s="1"/>
  <c r="G195" i="3"/>
  <c r="E196" i="3"/>
  <c r="D197" i="3" s="1"/>
  <c r="F197" i="3" s="1"/>
  <c r="G197" i="3"/>
  <c r="E198" i="3"/>
  <c r="D199" i="3" s="1"/>
  <c r="F199" i="3" s="1"/>
  <c r="G199" i="3"/>
  <c r="E200" i="3"/>
  <c r="D201" i="3" s="1"/>
  <c r="F201" i="3" s="1"/>
  <c r="G201" i="3"/>
  <c r="E202" i="3"/>
  <c r="D203" i="3" s="1"/>
  <c r="F203" i="3" s="1"/>
  <c r="G203" i="3"/>
  <c r="E204" i="3"/>
  <c r="G205" i="3"/>
  <c r="E206" i="3"/>
  <c r="D207" i="3" s="1"/>
  <c r="F207" i="3" s="1"/>
  <c r="G207" i="3"/>
  <c r="E208" i="3"/>
  <c r="D209" i="3" s="1"/>
  <c r="F209" i="3" s="1"/>
  <c r="G209" i="3"/>
  <c r="E210" i="3"/>
  <c r="D211" i="3" s="1"/>
  <c r="F211" i="3" s="1"/>
  <c r="G211" i="3"/>
  <c r="E212" i="3"/>
  <c r="D213" i="3" s="1"/>
  <c r="F213" i="3" s="1"/>
  <c r="G213" i="3"/>
  <c r="E214" i="3"/>
  <c r="D215" i="3" s="1"/>
  <c r="F215" i="3" s="1"/>
  <c r="G215" i="3"/>
  <c r="E216" i="3"/>
  <c r="G217" i="3"/>
  <c r="E218" i="3"/>
  <c r="D219" i="3" s="1"/>
  <c r="F219" i="3" s="1"/>
  <c r="G219" i="3"/>
  <c r="E220" i="3"/>
  <c r="D221" i="3" s="1"/>
  <c r="F221" i="3" s="1"/>
  <c r="G221" i="3"/>
  <c r="E222" i="3"/>
  <c r="D223" i="3" s="1"/>
  <c r="F223" i="3" s="1"/>
  <c r="G223" i="3"/>
  <c r="E224" i="3"/>
  <c r="D225" i="3" s="1"/>
  <c r="F225" i="3" s="1"/>
  <c r="G225" i="3"/>
  <c r="E226" i="3"/>
  <c r="D227" i="3" s="1"/>
  <c r="F227" i="3" s="1"/>
  <c r="G227" i="3"/>
  <c r="E228" i="3"/>
  <c r="D229" i="3" s="1"/>
  <c r="F229" i="3" s="1"/>
  <c r="G229" i="3"/>
  <c r="E230" i="3"/>
  <c r="D231" i="3" s="1"/>
  <c r="F231" i="3" s="1"/>
  <c r="G231" i="3"/>
  <c r="E232" i="3"/>
  <c r="D233" i="3" s="1"/>
  <c r="F233" i="3" s="1"/>
  <c r="G233" i="3"/>
  <c r="E234" i="3"/>
  <c r="D235" i="3" s="1"/>
  <c r="F235" i="3" s="1"/>
  <c r="G235" i="3"/>
  <c r="E236" i="3"/>
  <c r="D237" i="3" s="1"/>
  <c r="F237" i="3" s="1"/>
  <c r="G237" i="3"/>
  <c r="E238" i="3"/>
  <c r="D239" i="3" s="1"/>
  <c r="F239" i="3" s="1"/>
  <c r="G239" i="3"/>
  <c r="E240" i="3"/>
  <c r="D241" i="3" s="1"/>
  <c r="F241" i="3" s="1"/>
  <c r="G241" i="3"/>
  <c r="E242" i="3"/>
  <c r="D243" i="3" s="1"/>
  <c r="F243" i="3" s="1"/>
  <c r="G243" i="3"/>
  <c r="E244" i="3"/>
  <c r="D245" i="3" s="1"/>
  <c r="F245" i="3" s="1"/>
  <c r="G245" i="3"/>
  <c r="E246" i="3"/>
  <c r="D247" i="3" s="1"/>
  <c r="F247" i="3" s="1"/>
  <c r="G247" i="3"/>
  <c r="E248" i="3"/>
  <c r="D249" i="3" s="1"/>
  <c r="F249" i="3" s="1"/>
  <c r="G249" i="3"/>
  <c r="E250" i="3"/>
  <c r="D251" i="3" s="1"/>
  <c r="F251" i="3" s="1"/>
  <c r="G251" i="3"/>
  <c r="E252" i="3"/>
  <c r="G253" i="3"/>
  <c r="E254" i="3"/>
  <c r="D255" i="3" s="1"/>
  <c r="E258" i="3"/>
  <c r="D259" i="3" s="1"/>
  <c r="F259" i="3" s="1"/>
  <c r="G257" i="3"/>
  <c r="E261" i="3"/>
  <c r="D262" i="3" s="1"/>
  <c r="F262" i="3" s="1"/>
  <c r="G260" i="3"/>
  <c r="E269" i="3"/>
  <c r="D270" i="3" s="1"/>
  <c r="F270" i="3" s="1"/>
  <c r="G268" i="3"/>
  <c r="E275" i="3"/>
  <c r="D276" i="3" s="1"/>
  <c r="F276" i="3" s="1"/>
  <c r="G274" i="3"/>
  <c r="E279" i="3"/>
  <c r="D280" i="3" s="1"/>
  <c r="F280" i="3" s="1"/>
  <c r="G278" i="3"/>
  <c r="E283" i="3"/>
  <c r="D284" i="3" s="1"/>
  <c r="F284" i="3" s="1"/>
  <c r="G282" i="3"/>
  <c r="E288" i="3"/>
  <c r="D289" i="3" s="1"/>
  <c r="G287" i="3"/>
  <c r="E292" i="3"/>
  <c r="D293" i="3" s="1"/>
  <c r="G291" i="3"/>
  <c r="E256" i="3"/>
  <c r="D257" i="3" s="1"/>
  <c r="F257" i="3" s="1"/>
  <c r="G255" i="3"/>
  <c r="E259" i="3"/>
  <c r="D260" i="3" s="1"/>
  <c r="F260" i="3" s="1"/>
  <c r="G258" i="3"/>
  <c r="E267" i="3"/>
  <c r="D268" i="3" s="1"/>
  <c r="F268" i="3" s="1"/>
  <c r="G266" i="3"/>
  <c r="E276" i="3"/>
  <c r="D277" i="3" s="1"/>
  <c r="F277" i="3" s="1"/>
  <c r="G275" i="3"/>
  <c r="E280" i="3"/>
  <c r="D281" i="3" s="1"/>
  <c r="F281" i="3" s="1"/>
  <c r="G279" i="3"/>
  <c r="E284" i="3"/>
  <c r="D285" i="3" s="1"/>
  <c r="F285" i="3" s="1"/>
  <c r="G283" i="3"/>
  <c r="E290" i="3"/>
  <c r="D291" i="3" s="1"/>
  <c r="G289" i="3"/>
  <c r="E265" i="3"/>
  <c r="D266" i="3" s="1"/>
  <c r="F266" i="3" s="1"/>
  <c r="G264" i="3"/>
  <c r="E273" i="3"/>
  <c r="D274" i="3" s="1"/>
  <c r="F274" i="3" s="1"/>
  <c r="G272" i="3"/>
  <c r="E277" i="3"/>
  <c r="D278" i="3" s="1"/>
  <c r="F278" i="3" s="1"/>
  <c r="G276" i="3"/>
  <c r="E281" i="3"/>
  <c r="D282" i="3" s="1"/>
  <c r="F282" i="3" s="1"/>
  <c r="G280" i="3"/>
  <c r="E285" i="3"/>
  <c r="D286" i="3" s="1"/>
  <c r="F286" i="3" s="1"/>
  <c r="G284" i="3"/>
  <c r="G256" i="3"/>
  <c r="E263" i="3"/>
  <c r="D264" i="3" s="1"/>
  <c r="F264" i="3" s="1"/>
  <c r="G262" i="3"/>
  <c r="E271" i="3"/>
  <c r="D272" i="3" s="1"/>
  <c r="F272" i="3" s="1"/>
  <c r="G270" i="3"/>
  <c r="E274" i="3"/>
  <c r="D275" i="3" s="1"/>
  <c r="F275" i="3" s="1"/>
  <c r="G273" i="3"/>
  <c r="E278" i="3"/>
  <c r="D279" i="3" s="1"/>
  <c r="F279" i="3" s="1"/>
  <c r="G277" i="3"/>
  <c r="E282" i="3"/>
  <c r="D283" i="3" s="1"/>
  <c r="F283" i="3" s="1"/>
  <c r="G281" i="3"/>
  <c r="E286" i="3"/>
  <c r="D287" i="3" s="1"/>
  <c r="F287" i="3" s="1"/>
  <c r="G285" i="3"/>
  <c r="E300" i="3"/>
  <c r="D301" i="3" s="1"/>
  <c r="F301" i="3" s="1"/>
  <c r="G299" i="3"/>
  <c r="E304" i="3"/>
  <c r="D305" i="3" s="1"/>
  <c r="F305" i="3" s="1"/>
  <c r="G303" i="3"/>
  <c r="E308" i="3"/>
  <c r="D309" i="3" s="1"/>
  <c r="F309" i="3" s="1"/>
  <c r="G307" i="3"/>
  <c r="E312" i="3"/>
  <c r="D313" i="3" s="1"/>
  <c r="F313" i="3" s="1"/>
  <c r="G311" i="3"/>
  <c r="E316" i="3"/>
  <c r="D317" i="3" s="1"/>
  <c r="F317" i="3" s="1"/>
  <c r="G315" i="3"/>
  <c r="E320" i="3"/>
  <c r="D321" i="3" s="1"/>
  <c r="F321" i="3" s="1"/>
  <c r="G319" i="3"/>
  <c r="E324" i="3"/>
  <c r="D325" i="3" s="1"/>
  <c r="F325" i="3" s="1"/>
  <c r="G323" i="3"/>
  <c r="E328" i="3"/>
  <c r="D329" i="3" s="1"/>
  <c r="F329" i="3" s="1"/>
  <c r="G327" i="3"/>
  <c r="E294" i="3"/>
  <c r="D295" i="3" s="1"/>
  <c r="G293" i="3"/>
  <c r="E299" i="3"/>
  <c r="D300" i="3" s="1"/>
  <c r="F300" i="3" s="1"/>
  <c r="G298" i="3"/>
  <c r="E305" i="3"/>
  <c r="D306" i="3" s="1"/>
  <c r="F306" i="3" s="1"/>
  <c r="G304" i="3"/>
  <c r="E309" i="3"/>
  <c r="D310" i="3" s="1"/>
  <c r="F310" i="3" s="1"/>
  <c r="G308" i="3"/>
  <c r="E313" i="3"/>
  <c r="D314" i="3" s="1"/>
  <c r="F314" i="3" s="1"/>
  <c r="G312" i="3"/>
  <c r="E317" i="3"/>
  <c r="D318" i="3" s="1"/>
  <c r="F318" i="3" s="1"/>
  <c r="G316" i="3"/>
  <c r="E321" i="3"/>
  <c r="D322" i="3" s="1"/>
  <c r="F322" i="3" s="1"/>
  <c r="G320" i="3"/>
  <c r="E325" i="3"/>
  <c r="D326" i="3" s="1"/>
  <c r="F326" i="3" s="1"/>
  <c r="G324" i="3"/>
  <c r="E329" i="3"/>
  <c r="D330" i="3" s="1"/>
  <c r="F330" i="3" s="1"/>
  <c r="G328" i="3"/>
  <c r="G259" i="3"/>
  <c r="E260" i="3"/>
  <c r="D261" i="3" s="1"/>
  <c r="F261" i="3" s="1"/>
  <c r="G261" i="3"/>
  <c r="E262" i="3"/>
  <c r="D263" i="3" s="1"/>
  <c r="F263" i="3" s="1"/>
  <c r="G263" i="3"/>
  <c r="E264" i="3"/>
  <c r="D265" i="3" s="1"/>
  <c r="F265" i="3" s="1"/>
  <c r="G265" i="3"/>
  <c r="E266" i="3"/>
  <c r="D267" i="3" s="1"/>
  <c r="F267" i="3" s="1"/>
  <c r="G267" i="3"/>
  <c r="E268" i="3"/>
  <c r="D269" i="3" s="1"/>
  <c r="F269" i="3" s="1"/>
  <c r="G269" i="3"/>
  <c r="E270" i="3"/>
  <c r="D271" i="3" s="1"/>
  <c r="F271" i="3" s="1"/>
  <c r="G271" i="3"/>
  <c r="E272" i="3"/>
  <c r="D273" i="3" s="1"/>
  <c r="F273" i="3" s="1"/>
  <c r="E296" i="3"/>
  <c r="D297" i="3" s="1"/>
  <c r="F297" i="3" s="1"/>
  <c r="G295" i="3"/>
  <c r="E298" i="3"/>
  <c r="D299" i="3" s="1"/>
  <c r="F299" i="3" s="1"/>
  <c r="G297" i="3"/>
  <c r="E302" i="3"/>
  <c r="D303" i="3" s="1"/>
  <c r="F303" i="3" s="1"/>
  <c r="G301" i="3"/>
  <c r="E306" i="3"/>
  <c r="D307" i="3" s="1"/>
  <c r="F307" i="3" s="1"/>
  <c r="G305" i="3"/>
  <c r="E310" i="3"/>
  <c r="D311" i="3" s="1"/>
  <c r="F311" i="3" s="1"/>
  <c r="G309" i="3"/>
  <c r="E314" i="3"/>
  <c r="D315" i="3" s="1"/>
  <c r="F315" i="3" s="1"/>
  <c r="G313" i="3"/>
  <c r="E318" i="3"/>
  <c r="D319" i="3" s="1"/>
  <c r="F319" i="3" s="1"/>
  <c r="G317" i="3"/>
  <c r="E322" i="3"/>
  <c r="D323" i="3" s="1"/>
  <c r="F323" i="3" s="1"/>
  <c r="G321" i="3"/>
  <c r="E326" i="3"/>
  <c r="D327" i="3" s="1"/>
  <c r="F327" i="3" s="1"/>
  <c r="G325" i="3"/>
  <c r="E330" i="3"/>
  <c r="D331" i="3" s="1"/>
  <c r="F331" i="3" s="1"/>
  <c r="G329" i="3"/>
  <c r="E333" i="3"/>
  <c r="D334" i="3" s="1"/>
  <c r="F334" i="3" s="1"/>
  <c r="G332" i="3"/>
  <c r="E297" i="3"/>
  <c r="D298" i="3" s="1"/>
  <c r="F298" i="3" s="1"/>
  <c r="G296" i="3"/>
  <c r="E301" i="3"/>
  <c r="D302" i="3" s="1"/>
  <c r="F302" i="3" s="1"/>
  <c r="G300" i="3"/>
  <c r="E303" i="3"/>
  <c r="D304" i="3" s="1"/>
  <c r="F304" i="3" s="1"/>
  <c r="G302" i="3"/>
  <c r="E307" i="3"/>
  <c r="D308" i="3" s="1"/>
  <c r="F308" i="3" s="1"/>
  <c r="G306" i="3"/>
  <c r="E311" i="3"/>
  <c r="D312" i="3" s="1"/>
  <c r="F312" i="3" s="1"/>
  <c r="G310" i="3"/>
  <c r="E315" i="3"/>
  <c r="D316" i="3" s="1"/>
  <c r="F316" i="3" s="1"/>
  <c r="G314" i="3"/>
  <c r="E319" i="3"/>
  <c r="D320" i="3" s="1"/>
  <c r="F320" i="3" s="1"/>
  <c r="G318" i="3"/>
  <c r="E323" i="3"/>
  <c r="D324" i="3" s="1"/>
  <c r="F324" i="3" s="1"/>
  <c r="G322" i="3"/>
  <c r="E327" i="3"/>
  <c r="D328" i="3" s="1"/>
  <c r="F328" i="3" s="1"/>
  <c r="G326" i="3"/>
  <c r="E331" i="3"/>
  <c r="D332" i="3" s="1"/>
  <c r="F332" i="3" s="1"/>
  <c r="G330" i="3"/>
  <c r="E336" i="3"/>
  <c r="D337" i="3" s="1"/>
  <c r="F337" i="3" s="1"/>
  <c r="G335" i="3"/>
  <c r="E345" i="3"/>
  <c r="D346" i="3" s="1"/>
  <c r="F346" i="3" s="1"/>
  <c r="G344" i="3"/>
  <c r="E358" i="3"/>
  <c r="D359" i="3" s="1"/>
  <c r="G357" i="3"/>
  <c r="E366" i="3"/>
  <c r="D367" i="3" s="1"/>
  <c r="G365" i="3"/>
  <c r="E374" i="3"/>
  <c r="D375" i="3" s="1"/>
  <c r="G373" i="3"/>
  <c r="E382" i="3"/>
  <c r="D383" i="3" s="1"/>
  <c r="G381" i="3"/>
  <c r="E334" i="3"/>
  <c r="D335" i="3" s="1"/>
  <c r="E342" i="3"/>
  <c r="D343" i="3" s="1"/>
  <c r="G341" i="3"/>
  <c r="E351" i="3"/>
  <c r="D352" i="3" s="1"/>
  <c r="F352" i="3" s="1"/>
  <c r="G350" i="3"/>
  <c r="E340" i="3"/>
  <c r="D341" i="3" s="1"/>
  <c r="F341" i="3" s="1"/>
  <c r="G339" i="3"/>
  <c r="E349" i="3"/>
  <c r="D350" i="3" s="1"/>
  <c r="F350" i="3" s="1"/>
  <c r="G348" i="3"/>
  <c r="E352" i="3"/>
  <c r="D353" i="3" s="1"/>
  <c r="F353" i="3" s="1"/>
  <c r="G351" i="3"/>
  <c r="E354" i="3"/>
  <c r="D355" i="3" s="1"/>
  <c r="F355" i="3" s="1"/>
  <c r="G353" i="3"/>
  <c r="E360" i="3"/>
  <c r="D361" i="3" s="1"/>
  <c r="F361" i="3" s="1"/>
  <c r="G359" i="3"/>
  <c r="E362" i="3"/>
  <c r="D363" i="3" s="1"/>
  <c r="F363" i="3" s="1"/>
  <c r="G361" i="3"/>
  <c r="E368" i="3"/>
  <c r="D369" i="3" s="1"/>
  <c r="G367" i="3"/>
  <c r="E370" i="3"/>
  <c r="D371" i="3" s="1"/>
  <c r="G369" i="3"/>
  <c r="E376" i="3"/>
  <c r="D377" i="3" s="1"/>
  <c r="G375" i="3"/>
  <c r="E378" i="3"/>
  <c r="D379" i="3" s="1"/>
  <c r="G377" i="3"/>
  <c r="E384" i="3"/>
  <c r="G383" i="3"/>
  <c r="G331" i="3"/>
  <c r="E332" i="3"/>
  <c r="D333" i="3" s="1"/>
  <c r="F333" i="3" s="1"/>
  <c r="G333" i="3"/>
  <c r="E338" i="3"/>
  <c r="D339" i="3" s="1"/>
  <c r="G337" i="3"/>
  <c r="E344" i="3"/>
  <c r="D345" i="3" s="1"/>
  <c r="F345" i="3" s="1"/>
  <c r="G343" i="3"/>
  <c r="E347" i="3"/>
  <c r="D348" i="3" s="1"/>
  <c r="F348" i="3" s="1"/>
  <c r="G346" i="3"/>
  <c r="G345" i="3"/>
  <c r="E346" i="3"/>
  <c r="D347" i="3" s="1"/>
  <c r="F347" i="3" s="1"/>
  <c r="G347" i="3"/>
  <c r="E348" i="3"/>
  <c r="D349" i="3" s="1"/>
  <c r="F349" i="3" s="1"/>
  <c r="G349" i="3"/>
  <c r="E350" i="3"/>
  <c r="D351" i="3" s="1"/>
  <c r="F351" i="3" s="1"/>
  <c r="G356" i="3"/>
  <c r="G364" i="3"/>
  <c r="G372" i="3"/>
  <c r="G380" i="3"/>
  <c r="E357" i="3"/>
  <c r="D358" i="3" s="1"/>
  <c r="F358" i="3" s="1"/>
  <c r="E365" i="3"/>
  <c r="D366" i="3" s="1"/>
  <c r="F366" i="3" s="1"/>
  <c r="E373" i="3"/>
  <c r="D374" i="3" s="1"/>
  <c r="F374" i="3" s="1"/>
  <c r="E381" i="3"/>
  <c r="D382" i="3" s="1"/>
  <c r="F382" i="3" s="1"/>
  <c r="E356" i="3"/>
  <c r="D357" i="3" s="1"/>
  <c r="F357" i="3" s="1"/>
  <c r="G355" i="3"/>
  <c r="E364" i="3"/>
  <c r="D365" i="3" s="1"/>
  <c r="F365" i="3" s="1"/>
  <c r="G363" i="3"/>
  <c r="E372" i="3"/>
  <c r="D373" i="3" s="1"/>
  <c r="F373" i="3" s="1"/>
  <c r="G371" i="3"/>
  <c r="E380" i="3"/>
  <c r="D381" i="3" s="1"/>
  <c r="F381" i="3" s="1"/>
  <c r="G379" i="3"/>
  <c r="G25" i="2"/>
  <c r="E78" i="2"/>
  <c r="D79" i="2" s="1"/>
  <c r="G85" i="2"/>
  <c r="G93" i="2"/>
  <c r="G101" i="2"/>
  <c r="E106" i="2"/>
  <c r="D107" i="2" s="1"/>
  <c r="G125" i="2"/>
  <c r="E20" i="2"/>
  <c r="D21" i="2" s="1"/>
  <c r="G30" i="2"/>
  <c r="G62" i="2"/>
  <c r="E26" i="2"/>
  <c r="D27" i="2" s="1"/>
  <c r="E34" i="2"/>
  <c r="D35" i="2" s="1"/>
  <c r="G33" i="2"/>
  <c r="E86" i="2"/>
  <c r="D87" i="2" s="1"/>
  <c r="E94" i="2"/>
  <c r="D95" i="2" s="1"/>
  <c r="F20" i="2"/>
  <c r="E31" i="2"/>
  <c r="D32" i="2" s="1"/>
  <c r="E30" i="2"/>
  <c r="D31" i="2" s="1"/>
  <c r="F31" i="2" s="1"/>
  <c r="G29" i="2"/>
  <c r="C20" i="1"/>
  <c r="C30" i="1"/>
  <c r="E30" i="1" s="1"/>
  <c r="D31" i="1" s="1"/>
  <c r="C82" i="1"/>
  <c r="G81" i="1" s="1"/>
  <c r="C22" i="1"/>
  <c r="E22" i="1" s="1"/>
  <c r="D23" i="1" s="1"/>
  <c r="C38" i="1"/>
  <c r="G37" i="1" s="1"/>
  <c r="C33" i="1"/>
  <c r="E33" i="1" s="1"/>
  <c r="D34" i="1" s="1"/>
  <c r="C49" i="1"/>
  <c r="G48" i="1" s="1"/>
  <c r="C54" i="1"/>
  <c r="G53" i="1" s="1"/>
  <c r="C31" i="1"/>
  <c r="C71" i="1"/>
  <c r="C380" i="1"/>
  <c r="C372" i="1"/>
  <c r="C368" i="1"/>
  <c r="C366" i="1"/>
  <c r="C364" i="1"/>
  <c r="C356" i="1"/>
  <c r="C350" i="1"/>
  <c r="C346" i="1"/>
  <c r="C334" i="1"/>
  <c r="C336" i="1"/>
  <c r="C352" i="1"/>
  <c r="C340" i="1"/>
  <c r="C332" i="1"/>
  <c r="C328" i="1"/>
  <c r="C324" i="1"/>
  <c r="C296" i="1"/>
  <c r="C325" i="1"/>
  <c r="C327" i="1"/>
  <c r="C326" i="1"/>
  <c r="C300" i="1"/>
  <c r="C278" i="1"/>
  <c r="C274" i="1"/>
  <c r="C263" i="1"/>
  <c r="C322" i="1"/>
  <c r="C270" i="1"/>
  <c r="C216" i="1"/>
  <c r="C308" i="1"/>
  <c r="C226" i="1"/>
  <c r="C218" i="1"/>
  <c r="C213" i="1"/>
  <c r="C211" i="1"/>
  <c r="C207" i="1"/>
  <c r="C205" i="1"/>
  <c r="C203" i="1"/>
  <c r="C201" i="1"/>
  <c r="C195" i="1"/>
  <c r="C193" i="1"/>
  <c r="C187" i="1"/>
  <c r="C183" i="1"/>
  <c r="C262" i="1"/>
  <c r="C238" i="1"/>
  <c r="C204" i="1"/>
  <c r="C282" i="1"/>
  <c r="C230" i="1"/>
  <c r="C214" i="1"/>
  <c r="C198" i="1"/>
  <c r="C222" i="1"/>
  <c r="C200" i="1"/>
  <c r="C194" i="1"/>
  <c r="G12" i="1"/>
  <c r="C174" i="1"/>
  <c r="C182" i="1"/>
  <c r="C24" i="1"/>
  <c r="C27" i="1"/>
  <c r="C32" i="1"/>
  <c r="C43" i="1"/>
  <c r="C51" i="1"/>
  <c r="C59" i="1"/>
  <c r="C64" i="1"/>
  <c r="C67" i="1"/>
  <c r="C72" i="1"/>
  <c r="C84" i="1"/>
  <c r="C91" i="1"/>
  <c r="C97" i="1"/>
  <c r="C114" i="1"/>
  <c r="C122" i="1"/>
  <c r="C89" i="1"/>
  <c r="C76" i="1"/>
  <c r="C94" i="1"/>
  <c r="C96" i="1"/>
  <c r="C100" i="1"/>
  <c r="C104" i="1"/>
  <c r="C112" i="1"/>
  <c r="C21" i="1"/>
  <c r="C34" i="1"/>
  <c r="C42" i="1"/>
  <c r="C45" i="1"/>
  <c r="C50" i="1"/>
  <c r="C58" i="1"/>
  <c r="C61" i="1"/>
  <c r="C74" i="1"/>
  <c r="C78" i="1"/>
  <c r="C86" i="1"/>
  <c r="C93" i="1"/>
  <c r="C103" i="1"/>
  <c r="C127" i="1"/>
  <c r="C151" i="1"/>
  <c r="C167" i="1"/>
  <c r="C101" i="1"/>
  <c r="C126" i="1"/>
  <c r="C130" i="1"/>
  <c r="C134" i="1"/>
  <c r="C138" i="1"/>
  <c r="C142" i="1"/>
  <c r="C170" i="1"/>
  <c r="C186" i="1"/>
  <c r="C188" i="1"/>
  <c r="C111" i="1"/>
  <c r="C119" i="1"/>
  <c r="C131" i="1"/>
  <c r="C139" i="1"/>
  <c r="C147" i="1"/>
  <c r="C155" i="1"/>
  <c r="C163" i="1"/>
  <c r="C171" i="1"/>
  <c r="C107" i="1"/>
  <c r="C115" i="1"/>
  <c r="C123" i="1"/>
  <c r="C129" i="1"/>
  <c r="C133" i="1"/>
  <c r="C137" i="1"/>
  <c r="C141" i="1"/>
  <c r="C149" i="1"/>
  <c r="C153" i="1"/>
  <c r="C165" i="1"/>
  <c r="C192" i="1"/>
  <c r="C220" i="1"/>
  <c r="C105" i="1"/>
  <c r="C113" i="1"/>
  <c r="C121" i="1"/>
  <c r="C132" i="1"/>
  <c r="C136" i="1"/>
  <c r="C140" i="1"/>
  <c r="C144" i="1"/>
  <c r="C152" i="1"/>
  <c r="C156" i="1"/>
  <c r="C160" i="1"/>
  <c r="C168" i="1"/>
  <c r="C172" i="1"/>
  <c r="C233" i="1"/>
  <c r="C175" i="1"/>
  <c r="C228" i="1"/>
  <c r="C241" i="1"/>
  <c r="C236" i="1"/>
  <c r="C231" i="1"/>
  <c r="C239" i="1"/>
  <c r="C249" i="1"/>
  <c r="C257" i="1"/>
  <c r="C261" i="1"/>
  <c r="C268" i="1"/>
  <c r="C221" i="1"/>
  <c r="C229" i="1"/>
  <c r="C237" i="1"/>
  <c r="C244" i="1"/>
  <c r="C248" i="1"/>
  <c r="C252" i="1"/>
  <c r="C256" i="1"/>
  <c r="C260" i="1"/>
  <c r="C269" i="1"/>
  <c r="C284" i="1"/>
  <c r="C219" i="1"/>
  <c r="C227" i="1"/>
  <c r="C251" i="1"/>
  <c r="C255" i="1"/>
  <c r="C285" i="1"/>
  <c r="C273" i="1"/>
  <c r="C288" i="1"/>
  <c r="C290" i="1"/>
  <c r="C303" i="1"/>
  <c r="C309" i="1"/>
  <c r="C317" i="1"/>
  <c r="C276" i="1"/>
  <c r="C277" i="1"/>
  <c r="C294" i="1"/>
  <c r="C298" i="1"/>
  <c r="C281" i="1"/>
  <c r="C302" i="1"/>
  <c r="C306" i="1"/>
  <c r="C313" i="1"/>
  <c r="C267" i="1"/>
  <c r="C275" i="1"/>
  <c r="C289" i="1"/>
  <c r="C297" i="1"/>
  <c r="C305" i="1"/>
  <c r="C310" i="1"/>
  <c r="C271" i="1"/>
  <c r="C279" i="1"/>
  <c r="C293" i="1"/>
  <c r="C312" i="1"/>
  <c r="C316" i="1"/>
  <c r="C291" i="1"/>
  <c r="C307" i="1"/>
  <c r="C319" i="1"/>
  <c r="C335" i="1"/>
  <c r="C343" i="1"/>
  <c r="C341" i="1"/>
  <c r="C345" i="1"/>
  <c r="C347" i="1"/>
  <c r="C351" i="1"/>
  <c r="C339" i="1"/>
  <c r="C355" i="1"/>
  <c r="C337" i="1"/>
  <c r="C353" i="1"/>
  <c r="C357" i="1"/>
  <c r="C369" i="1"/>
  <c r="C381" i="1"/>
  <c r="C367" i="1"/>
  <c r="C375" i="1"/>
  <c r="C379" i="1"/>
  <c r="C383" i="1"/>
  <c r="G334" i="3" l="1"/>
  <c r="H334" i="3" s="1"/>
  <c r="F339" i="3"/>
  <c r="H339" i="3" s="1"/>
  <c r="H20" i="3"/>
  <c r="I20" i="3" s="1"/>
  <c r="G374" i="3"/>
  <c r="H374" i="3" s="1"/>
  <c r="G358" i="3"/>
  <c r="H358" i="3" s="1"/>
  <c r="F377" i="3"/>
  <c r="H377" i="3" s="1"/>
  <c r="J377" i="3" s="1"/>
  <c r="F289" i="3"/>
  <c r="H289" i="3" s="1"/>
  <c r="J289" i="3" s="1"/>
  <c r="F375" i="3"/>
  <c r="H375" i="3" s="1"/>
  <c r="F359" i="3"/>
  <c r="H359" i="3" s="1"/>
  <c r="F255" i="3"/>
  <c r="H255" i="3" s="1"/>
  <c r="J255" i="3" s="1"/>
  <c r="G113" i="3"/>
  <c r="H113" i="3" s="1"/>
  <c r="F114" i="3"/>
  <c r="H114" i="3" s="1"/>
  <c r="J114" i="3" s="1"/>
  <c r="E377" i="3"/>
  <c r="D378" i="3" s="1"/>
  <c r="F378" i="3" s="1"/>
  <c r="E255" i="3"/>
  <c r="D256" i="3" s="1"/>
  <c r="F256" i="3" s="1"/>
  <c r="H256" i="3" s="1"/>
  <c r="E339" i="3"/>
  <c r="D340" i="3" s="1"/>
  <c r="F340" i="3" s="1"/>
  <c r="H340" i="3" s="1"/>
  <c r="F369" i="3"/>
  <c r="H369" i="3" s="1"/>
  <c r="F343" i="3"/>
  <c r="H343" i="3" s="1"/>
  <c r="F291" i="3"/>
  <c r="H291" i="3" s="1"/>
  <c r="E369" i="3"/>
  <c r="D370" i="3" s="1"/>
  <c r="F370" i="3" s="1"/>
  <c r="F293" i="3"/>
  <c r="H293" i="3" s="1"/>
  <c r="F371" i="3"/>
  <c r="H371" i="3" s="1"/>
  <c r="J371" i="3" s="1"/>
  <c r="E295" i="3"/>
  <c r="D296" i="3" s="1"/>
  <c r="F296" i="3" s="1"/>
  <c r="H296" i="3" s="1"/>
  <c r="J296" i="3" s="1"/>
  <c r="C386" i="3"/>
  <c r="G342" i="3"/>
  <c r="H342" i="3" s="1"/>
  <c r="H286" i="3"/>
  <c r="I286" i="3" s="1"/>
  <c r="G370" i="3"/>
  <c r="F295" i="3"/>
  <c r="H295" i="3" s="1"/>
  <c r="J295" i="3" s="1"/>
  <c r="H288" i="3"/>
  <c r="J288" i="3" s="1"/>
  <c r="G50" i="3"/>
  <c r="H50" i="3" s="1"/>
  <c r="J50" i="3" s="1"/>
  <c r="G378" i="3"/>
  <c r="G362" i="3"/>
  <c r="H362" i="3" s="1"/>
  <c r="J362" i="3" s="1"/>
  <c r="F379" i="3"/>
  <c r="H379" i="3" s="1"/>
  <c r="J379" i="3" s="1"/>
  <c r="F51" i="3"/>
  <c r="H51" i="3" s="1"/>
  <c r="H115" i="3"/>
  <c r="J115" i="3" s="1"/>
  <c r="H338" i="3"/>
  <c r="J338" i="3" s="1"/>
  <c r="H254" i="3"/>
  <c r="J254" i="3" s="1"/>
  <c r="H368" i="3"/>
  <c r="J368" i="3" s="1"/>
  <c r="G366" i="3"/>
  <c r="H366" i="3" s="1"/>
  <c r="H360" i="3"/>
  <c r="J360" i="3" s="1"/>
  <c r="F335" i="3"/>
  <c r="H335" i="3" s="1"/>
  <c r="E383" i="3"/>
  <c r="G290" i="3"/>
  <c r="H290" i="3" s="1"/>
  <c r="E191" i="3"/>
  <c r="D192" i="3" s="1"/>
  <c r="F192" i="3" s="1"/>
  <c r="H192" i="3" s="1"/>
  <c r="E118" i="3"/>
  <c r="D119" i="3" s="1"/>
  <c r="F119" i="3" s="1"/>
  <c r="H119" i="3" s="1"/>
  <c r="J119" i="3" s="1"/>
  <c r="H372" i="3"/>
  <c r="J372" i="3" s="1"/>
  <c r="H376" i="3"/>
  <c r="J376" i="3" s="1"/>
  <c r="H356" i="3"/>
  <c r="J356" i="3" s="1"/>
  <c r="F383" i="3"/>
  <c r="H383" i="3" s="1"/>
  <c r="F367" i="3"/>
  <c r="H367" i="3" s="1"/>
  <c r="F191" i="3"/>
  <c r="H191" i="3" s="1"/>
  <c r="E120" i="3"/>
  <c r="D121" i="3" s="1"/>
  <c r="F121" i="3" s="1"/>
  <c r="H121" i="3" s="1"/>
  <c r="J121" i="3" s="1"/>
  <c r="F120" i="3"/>
  <c r="H120" i="3" s="1"/>
  <c r="H364" i="3"/>
  <c r="H292" i="3"/>
  <c r="J292" i="3" s="1"/>
  <c r="H109" i="3"/>
  <c r="J109" i="3" s="1"/>
  <c r="H354" i="3"/>
  <c r="J354" i="3" s="1"/>
  <c r="H355" i="3"/>
  <c r="J355" i="3" s="1"/>
  <c r="H81" i="3"/>
  <c r="J81" i="3" s="1"/>
  <c r="H57" i="3"/>
  <c r="J57" i="3" s="1"/>
  <c r="H116" i="3"/>
  <c r="J116" i="3" s="1"/>
  <c r="H74" i="3"/>
  <c r="J74" i="3" s="1"/>
  <c r="H53" i="3"/>
  <c r="J53" i="3" s="1"/>
  <c r="H94" i="3"/>
  <c r="J94" i="3" s="1"/>
  <c r="H101" i="3"/>
  <c r="J101" i="3" s="1"/>
  <c r="H294" i="3"/>
  <c r="J294" i="3" s="1"/>
  <c r="H85" i="3"/>
  <c r="J85" i="3" s="1"/>
  <c r="H77" i="3"/>
  <c r="J77" i="3" s="1"/>
  <c r="H380" i="3"/>
  <c r="J380" i="3" s="1"/>
  <c r="H54" i="3"/>
  <c r="J54" i="3" s="1"/>
  <c r="H105" i="3"/>
  <c r="J105" i="3" s="1"/>
  <c r="H58" i="3"/>
  <c r="J58" i="3" s="1"/>
  <c r="H352" i="3"/>
  <c r="I352" i="3" s="1"/>
  <c r="H62" i="3"/>
  <c r="J62" i="3" s="1"/>
  <c r="H336" i="3"/>
  <c r="J336" i="3" s="1"/>
  <c r="H228" i="3"/>
  <c r="H86" i="3"/>
  <c r="J86" i="3" s="1"/>
  <c r="H48" i="3"/>
  <c r="J48" i="3" s="1"/>
  <c r="H70" i="3"/>
  <c r="J70" i="3" s="1"/>
  <c r="H97" i="3"/>
  <c r="H300" i="3"/>
  <c r="J300" i="3" s="1"/>
  <c r="H90" i="3"/>
  <c r="J90" i="3" s="1"/>
  <c r="H66" i="3"/>
  <c r="J66" i="3" s="1"/>
  <c r="H258" i="3"/>
  <c r="J258" i="3" s="1"/>
  <c r="H89" i="3"/>
  <c r="J89" i="3" s="1"/>
  <c r="H329" i="3"/>
  <c r="J329" i="3" s="1"/>
  <c r="H249" i="3"/>
  <c r="H175" i="3"/>
  <c r="H143" i="3"/>
  <c r="H82" i="3"/>
  <c r="J82" i="3" s="1"/>
  <c r="H78" i="3"/>
  <c r="H93" i="3"/>
  <c r="J93" i="3" s="1"/>
  <c r="H196" i="3"/>
  <c r="H262" i="3"/>
  <c r="H237" i="3"/>
  <c r="H73" i="3"/>
  <c r="H69" i="3"/>
  <c r="H341" i="3"/>
  <c r="J341" i="3" s="1"/>
  <c r="H272" i="3"/>
  <c r="H98" i="3"/>
  <c r="H61" i="3"/>
  <c r="J61" i="3" s="1"/>
  <c r="H229" i="3"/>
  <c r="J229" i="3" s="1"/>
  <c r="H106" i="3"/>
  <c r="H102" i="3"/>
  <c r="J102" i="3" s="1"/>
  <c r="H65" i="3"/>
  <c r="H259" i="3"/>
  <c r="J259" i="3" s="1"/>
  <c r="H223" i="3"/>
  <c r="J223" i="3" s="1"/>
  <c r="H209" i="3"/>
  <c r="J209" i="3" s="1"/>
  <c r="H246" i="3"/>
  <c r="H124" i="3"/>
  <c r="J124" i="3" s="1"/>
  <c r="H117" i="3"/>
  <c r="H346" i="3"/>
  <c r="J346" i="3" s="1"/>
  <c r="H267" i="3"/>
  <c r="J267" i="3" s="1"/>
  <c r="H261" i="3"/>
  <c r="J261" i="3" s="1"/>
  <c r="H198" i="3"/>
  <c r="H353" i="3"/>
  <c r="J353" i="3" s="1"/>
  <c r="H317" i="3"/>
  <c r="J317" i="3" s="1"/>
  <c r="H313" i="3"/>
  <c r="H257" i="3"/>
  <c r="H201" i="3"/>
  <c r="J201" i="3" s="1"/>
  <c r="H193" i="3"/>
  <c r="H230" i="3"/>
  <c r="H214" i="3"/>
  <c r="J214" i="3" s="1"/>
  <c r="H189" i="3"/>
  <c r="J189" i="3" s="1"/>
  <c r="H172" i="3"/>
  <c r="J172" i="3" s="1"/>
  <c r="H140" i="3"/>
  <c r="J140" i="3" s="1"/>
  <c r="H331" i="3"/>
  <c r="H363" i="3"/>
  <c r="H350" i="3"/>
  <c r="H344" i="3"/>
  <c r="H265" i="3"/>
  <c r="H328" i="3"/>
  <c r="J328" i="3" s="1"/>
  <c r="H324" i="3"/>
  <c r="J324" i="3" s="1"/>
  <c r="H320" i="3"/>
  <c r="H316" i="3"/>
  <c r="H312" i="3"/>
  <c r="J312" i="3" s="1"/>
  <c r="H308" i="3"/>
  <c r="J308" i="3" s="1"/>
  <c r="H304" i="3"/>
  <c r="H298" i="3"/>
  <c r="J298" i="3" s="1"/>
  <c r="H319" i="3"/>
  <c r="H303" i="3"/>
  <c r="H280" i="3"/>
  <c r="H266" i="3"/>
  <c r="H260" i="3"/>
  <c r="H221" i="3"/>
  <c r="D217" i="3"/>
  <c r="F217" i="3" s="1"/>
  <c r="H217" i="3" s="1"/>
  <c r="J217" i="3" s="1"/>
  <c r="H345" i="3"/>
  <c r="J345" i="3" s="1"/>
  <c r="H337" i="3"/>
  <c r="J337" i="3" s="1"/>
  <c r="H323" i="3"/>
  <c r="J323" i="3" s="1"/>
  <c r="H307" i="3"/>
  <c r="H284" i="3"/>
  <c r="H287" i="3"/>
  <c r="J287" i="3" s="1"/>
  <c r="D253" i="3"/>
  <c r="F253" i="3" s="1"/>
  <c r="H253" i="3" s="1"/>
  <c r="J253" i="3" s="1"/>
  <c r="H241" i="3"/>
  <c r="J241" i="3" s="1"/>
  <c r="D205" i="3"/>
  <c r="F205" i="3" s="1"/>
  <c r="H205" i="3" s="1"/>
  <c r="J205" i="3" s="1"/>
  <c r="H347" i="3"/>
  <c r="J347" i="3" s="1"/>
  <c r="H382" i="3"/>
  <c r="H333" i="3"/>
  <c r="H361" i="3"/>
  <c r="H351" i="3"/>
  <c r="J351" i="3" s="1"/>
  <c r="H348" i="3"/>
  <c r="J348" i="3" s="1"/>
  <c r="H381" i="3"/>
  <c r="J381" i="3" s="1"/>
  <c r="H373" i="3"/>
  <c r="H365" i="3"/>
  <c r="H357" i="3"/>
  <c r="J357" i="3" s="1"/>
  <c r="H332" i="3"/>
  <c r="H297" i="3"/>
  <c r="J297" i="3" s="1"/>
  <c r="H269" i="3"/>
  <c r="J269" i="3" s="1"/>
  <c r="H327" i="3"/>
  <c r="J327" i="3" s="1"/>
  <c r="H311" i="3"/>
  <c r="H264" i="3"/>
  <c r="H349" i="3"/>
  <c r="H330" i="3"/>
  <c r="H326" i="3"/>
  <c r="H322" i="3"/>
  <c r="H318" i="3"/>
  <c r="H314" i="3"/>
  <c r="H310" i="3"/>
  <c r="H306" i="3"/>
  <c r="H302" i="3"/>
  <c r="J302" i="3" s="1"/>
  <c r="H325" i="3"/>
  <c r="H321" i="3"/>
  <c r="H309" i="3"/>
  <c r="J309" i="3" s="1"/>
  <c r="H305" i="3"/>
  <c r="H301" i="3"/>
  <c r="H271" i="3"/>
  <c r="H263" i="3"/>
  <c r="H315" i="3"/>
  <c r="J315" i="3" s="1"/>
  <c r="H276" i="3"/>
  <c r="H245" i="3"/>
  <c r="J245" i="3" s="1"/>
  <c r="H233" i="3"/>
  <c r="J233" i="3" s="1"/>
  <c r="H225" i="3"/>
  <c r="J225" i="3" s="1"/>
  <c r="H247" i="3"/>
  <c r="H239" i="3"/>
  <c r="J239" i="3" s="1"/>
  <c r="H231" i="3"/>
  <c r="J231" i="3" s="1"/>
  <c r="H215" i="3"/>
  <c r="H207" i="3"/>
  <c r="J207" i="3" s="1"/>
  <c r="H199" i="3"/>
  <c r="H236" i="3"/>
  <c r="H204" i="3"/>
  <c r="H222" i="3"/>
  <c r="H224" i="3"/>
  <c r="H234" i="3"/>
  <c r="H202" i="3"/>
  <c r="H188" i="3"/>
  <c r="H180" i="3"/>
  <c r="H164" i="3"/>
  <c r="J164" i="3" s="1"/>
  <c r="H156" i="3"/>
  <c r="J156" i="3" s="1"/>
  <c r="H148" i="3"/>
  <c r="J148" i="3" s="1"/>
  <c r="H132" i="3"/>
  <c r="H183" i="3"/>
  <c r="H151" i="3"/>
  <c r="H169" i="3"/>
  <c r="H137" i="3"/>
  <c r="J137" i="3" s="1"/>
  <c r="H110" i="3"/>
  <c r="J110" i="3" s="1"/>
  <c r="H187" i="3"/>
  <c r="H155" i="3"/>
  <c r="H123" i="3"/>
  <c r="H165" i="3"/>
  <c r="J165" i="3" s="1"/>
  <c r="H133" i="3"/>
  <c r="H111" i="3"/>
  <c r="H40" i="3"/>
  <c r="H34" i="3"/>
  <c r="J34" i="3" s="1"/>
  <c r="H28" i="3"/>
  <c r="J28" i="3" s="1"/>
  <c r="H22" i="3"/>
  <c r="J22" i="3" s="1"/>
  <c r="H248" i="3"/>
  <c r="H216" i="3"/>
  <c r="H226" i="3"/>
  <c r="H194" i="3"/>
  <c r="H182" i="3"/>
  <c r="J182" i="3" s="1"/>
  <c r="H174" i="3"/>
  <c r="H166" i="3"/>
  <c r="H158" i="3"/>
  <c r="J158" i="3" s="1"/>
  <c r="H150" i="3"/>
  <c r="J150" i="3" s="1"/>
  <c r="H142" i="3"/>
  <c r="J142" i="3" s="1"/>
  <c r="H134" i="3"/>
  <c r="J134" i="3" s="1"/>
  <c r="H126" i="3"/>
  <c r="J126" i="3" s="1"/>
  <c r="H161" i="3"/>
  <c r="H129" i="3"/>
  <c r="H179" i="3"/>
  <c r="H147" i="3"/>
  <c r="H157" i="3"/>
  <c r="H125" i="3"/>
  <c r="H43" i="3"/>
  <c r="H39" i="3"/>
  <c r="J39" i="3" s="1"/>
  <c r="H35" i="3"/>
  <c r="H31" i="3"/>
  <c r="H27" i="3"/>
  <c r="J27" i="3" s="1"/>
  <c r="H23" i="3"/>
  <c r="J23" i="3" s="1"/>
  <c r="H108" i="3"/>
  <c r="J108" i="3" s="1"/>
  <c r="H104" i="3"/>
  <c r="H100" i="3"/>
  <c r="J100" i="3" s="1"/>
  <c r="H96" i="3"/>
  <c r="J96" i="3" s="1"/>
  <c r="H92" i="3"/>
  <c r="J92" i="3" s="1"/>
  <c r="H88" i="3"/>
  <c r="H84" i="3"/>
  <c r="J84" i="3" s="1"/>
  <c r="H80" i="3"/>
  <c r="H76" i="3"/>
  <c r="J76" i="3" s="1"/>
  <c r="H72" i="3"/>
  <c r="H68" i="3"/>
  <c r="H64" i="3"/>
  <c r="H60" i="3"/>
  <c r="J60" i="3" s="1"/>
  <c r="H56" i="3"/>
  <c r="J56" i="3" s="1"/>
  <c r="H52" i="3"/>
  <c r="J52" i="3" s="1"/>
  <c r="H32" i="3"/>
  <c r="H26" i="3"/>
  <c r="H46" i="3"/>
  <c r="H299" i="3"/>
  <c r="H285" i="3"/>
  <c r="J285" i="3" s="1"/>
  <c r="H281" i="3"/>
  <c r="H277" i="3"/>
  <c r="H273" i="3"/>
  <c r="H270" i="3"/>
  <c r="H283" i="3"/>
  <c r="H279" i="3"/>
  <c r="J279" i="3" s="1"/>
  <c r="H275" i="3"/>
  <c r="J275" i="3" s="1"/>
  <c r="H282" i="3"/>
  <c r="H278" i="3"/>
  <c r="H274" i="3"/>
  <c r="H268" i="3"/>
  <c r="H251" i="3"/>
  <c r="J251" i="3" s="1"/>
  <c r="H243" i="3"/>
  <c r="H235" i="3"/>
  <c r="J235" i="3" s="1"/>
  <c r="H227" i="3"/>
  <c r="H219" i="3"/>
  <c r="J219" i="3" s="1"/>
  <c r="H211" i="3"/>
  <c r="J211" i="3" s="1"/>
  <c r="H203" i="3"/>
  <c r="H195" i="3"/>
  <c r="H252" i="3"/>
  <c r="H220" i="3"/>
  <c r="H190" i="3"/>
  <c r="H238" i="3"/>
  <c r="H206" i="3"/>
  <c r="H240" i="3"/>
  <c r="H208" i="3"/>
  <c r="J208" i="3" s="1"/>
  <c r="H250" i="3"/>
  <c r="H218" i="3"/>
  <c r="H184" i="3"/>
  <c r="H176" i="3"/>
  <c r="J176" i="3" s="1"/>
  <c r="H168" i="3"/>
  <c r="J168" i="3" s="1"/>
  <c r="H160" i="3"/>
  <c r="H152" i="3"/>
  <c r="H144" i="3"/>
  <c r="H136" i="3"/>
  <c r="J136" i="3" s="1"/>
  <c r="H128" i="3"/>
  <c r="H167" i="3"/>
  <c r="H135" i="3"/>
  <c r="D118" i="3"/>
  <c r="F118" i="3" s="1"/>
  <c r="H118" i="3" s="1"/>
  <c r="I118" i="3" s="1"/>
  <c r="H185" i="3"/>
  <c r="H153" i="3"/>
  <c r="H171" i="3"/>
  <c r="H139" i="3"/>
  <c r="H181" i="3"/>
  <c r="H149" i="3"/>
  <c r="H47" i="3"/>
  <c r="H24" i="3"/>
  <c r="H38" i="3"/>
  <c r="H213" i="3"/>
  <c r="J213" i="3" s="1"/>
  <c r="H197" i="3"/>
  <c r="H244" i="3"/>
  <c r="H212" i="3"/>
  <c r="H232" i="3"/>
  <c r="H200" i="3"/>
  <c r="H242" i="3"/>
  <c r="H210" i="3"/>
  <c r="H186" i="3"/>
  <c r="H178" i="3"/>
  <c r="H170" i="3"/>
  <c r="H162" i="3"/>
  <c r="J162" i="3" s="1"/>
  <c r="H154" i="3"/>
  <c r="H146" i="3"/>
  <c r="J146" i="3" s="1"/>
  <c r="H138" i="3"/>
  <c r="H130" i="3"/>
  <c r="H122" i="3"/>
  <c r="J122" i="3" s="1"/>
  <c r="H159" i="3"/>
  <c r="H127" i="3"/>
  <c r="H177" i="3"/>
  <c r="H145" i="3"/>
  <c r="H163" i="3"/>
  <c r="H131" i="3"/>
  <c r="H112" i="3"/>
  <c r="H173" i="3"/>
  <c r="H141" i="3"/>
  <c r="H45" i="3"/>
  <c r="H41" i="3"/>
  <c r="J41" i="3" s="1"/>
  <c r="H37" i="3"/>
  <c r="H33" i="3"/>
  <c r="J33" i="3" s="1"/>
  <c r="H29" i="3"/>
  <c r="J29" i="3" s="1"/>
  <c r="H25" i="3"/>
  <c r="H21" i="3"/>
  <c r="H107" i="3"/>
  <c r="H103" i="3"/>
  <c r="H99" i="3"/>
  <c r="H95" i="3"/>
  <c r="H91" i="3"/>
  <c r="H87" i="3"/>
  <c r="H83" i="3"/>
  <c r="H79" i="3"/>
  <c r="H75" i="3"/>
  <c r="H71" i="3"/>
  <c r="H67" i="3"/>
  <c r="H63" i="3"/>
  <c r="H59" i="3"/>
  <c r="H55" i="3"/>
  <c r="H49" i="3"/>
  <c r="H42" i="3"/>
  <c r="J42" i="3" s="1"/>
  <c r="H44" i="3"/>
  <c r="H36" i="3"/>
  <c r="H30" i="3"/>
  <c r="E126" i="2"/>
  <c r="D127" i="2" s="1"/>
  <c r="E63" i="2"/>
  <c r="D64" i="2" s="1"/>
  <c r="G77" i="2"/>
  <c r="E102" i="2"/>
  <c r="D103" i="2" s="1"/>
  <c r="F103" i="2" s="1"/>
  <c r="G105" i="2"/>
  <c r="E178" i="2"/>
  <c r="D179" i="2" s="1"/>
  <c r="G177" i="2"/>
  <c r="E374" i="2"/>
  <c r="G373" i="2"/>
  <c r="E339" i="2"/>
  <c r="D340" i="2" s="1"/>
  <c r="G338" i="2"/>
  <c r="E376" i="2"/>
  <c r="D377" i="2" s="1"/>
  <c r="F377" i="2" s="1"/>
  <c r="G375" i="2"/>
  <c r="E335" i="2"/>
  <c r="D336" i="2" s="1"/>
  <c r="G334" i="2"/>
  <c r="E273" i="2"/>
  <c r="G272" i="2"/>
  <c r="E161" i="2"/>
  <c r="D162" i="2" s="1"/>
  <c r="F162" i="2" s="1"/>
  <c r="G160" i="2"/>
  <c r="E203" i="2"/>
  <c r="D204" i="2" s="1"/>
  <c r="G202" i="2"/>
  <c r="G260" i="2"/>
  <c r="E261" i="2"/>
  <c r="D262" i="2" s="1"/>
  <c r="E159" i="2"/>
  <c r="D160" i="2" s="1"/>
  <c r="G158" i="2"/>
  <c r="E205" i="2"/>
  <c r="D206" i="2" s="1"/>
  <c r="F206" i="2" s="1"/>
  <c r="G204" i="2"/>
  <c r="E53" i="2"/>
  <c r="D54" i="2" s="1"/>
  <c r="F54" i="2" s="1"/>
  <c r="G52" i="2"/>
  <c r="E90" i="2"/>
  <c r="D91" i="2" s="1"/>
  <c r="G89" i="2"/>
  <c r="G75" i="2"/>
  <c r="E76" i="2"/>
  <c r="D77" i="2" s="1"/>
  <c r="E44" i="2"/>
  <c r="D45" i="2" s="1"/>
  <c r="F45" i="2" s="1"/>
  <c r="G43" i="2"/>
  <c r="E132" i="2"/>
  <c r="D133" i="2" s="1"/>
  <c r="G131" i="2"/>
  <c r="E220" i="2"/>
  <c r="D221" i="2" s="1"/>
  <c r="G219" i="2"/>
  <c r="E144" i="2"/>
  <c r="D145" i="2" s="1"/>
  <c r="G143" i="2"/>
  <c r="E240" i="2"/>
  <c r="D241" i="2" s="1"/>
  <c r="G239" i="2"/>
  <c r="E105" i="2"/>
  <c r="D106" i="2" s="1"/>
  <c r="F106" i="2" s="1"/>
  <c r="G104" i="2"/>
  <c r="G246" i="2"/>
  <c r="E247" i="2"/>
  <c r="D248" i="2" s="1"/>
  <c r="G360" i="2"/>
  <c r="E361" i="2"/>
  <c r="D362" i="2" s="1"/>
  <c r="G296" i="2"/>
  <c r="E297" i="2"/>
  <c r="D298" i="2" s="1"/>
  <c r="E217" i="2"/>
  <c r="D218" i="2" s="1"/>
  <c r="G216" i="2"/>
  <c r="E195" i="2"/>
  <c r="D196" i="2" s="1"/>
  <c r="F196" i="2" s="1"/>
  <c r="G194" i="2"/>
  <c r="E317" i="2"/>
  <c r="D318" i="2" s="1"/>
  <c r="G316" i="2"/>
  <c r="E149" i="2"/>
  <c r="D150" i="2" s="1"/>
  <c r="G148" i="2"/>
  <c r="E40" i="2"/>
  <c r="D41" i="2" s="1"/>
  <c r="G39" i="2"/>
  <c r="E108" i="2"/>
  <c r="D109" i="2" s="1"/>
  <c r="F109" i="2" s="1"/>
  <c r="G107" i="2"/>
  <c r="E277" i="2"/>
  <c r="D278" i="2" s="1"/>
  <c r="F278" i="2" s="1"/>
  <c r="G276" i="2"/>
  <c r="E152" i="2"/>
  <c r="D153" i="2" s="1"/>
  <c r="F153" i="2" s="1"/>
  <c r="G151" i="2"/>
  <c r="F107" i="2"/>
  <c r="G106" i="2"/>
  <c r="E107" i="2"/>
  <c r="D108" i="2" s="1"/>
  <c r="F108" i="2" s="1"/>
  <c r="G122" i="2"/>
  <c r="E123" i="2"/>
  <c r="D124" i="2" s="1"/>
  <c r="E230" i="2"/>
  <c r="D231" i="2" s="1"/>
  <c r="G229" i="2"/>
  <c r="G243" i="2"/>
  <c r="E244" i="2"/>
  <c r="D245" i="2" s="1"/>
  <c r="F245" i="2" s="1"/>
  <c r="G259" i="2"/>
  <c r="E260" i="2"/>
  <c r="D261" i="2" s="1"/>
  <c r="F261" i="2" s="1"/>
  <c r="E264" i="2"/>
  <c r="D265" i="2" s="1"/>
  <c r="G263" i="2"/>
  <c r="E272" i="2"/>
  <c r="D273" i="2" s="1"/>
  <c r="F273" i="2" s="1"/>
  <c r="G271" i="2"/>
  <c r="E334" i="2"/>
  <c r="D335" i="2" s="1"/>
  <c r="F335" i="2" s="1"/>
  <c r="G333" i="2"/>
  <c r="E365" i="2"/>
  <c r="D366" i="2" s="1"/>
  <c r="F366" i="2" s="1"/>
  <c r="G364" i="2"/>
  <c r="G374" i="2"/>
  <c r="E375" i="2"/>
  <c r="D376" i="2" s="1"/>
  <c r="F376" i="2" s="1"/>
  <c r="E381" i="2"/>
  <c r="D382" i="2" s="1"/>
  <c r="G380" i="2"/>
  <c r="E354" i="2"/>
  <c r="D355" i="2" s="1"/>
  <c r="G353" i="2"/>
  <c r="E346" i="2"/>
  <c r="D347" i="2" s="1"/>
  <c r="G345" i="2"/>
  <c r="E321" i="2"/>
  <c r="D322" i="2" s="1"/>
  <c r="F322" i="2" s="1"/>
  <c r="G320" i="2"/>
  <c r="E289" i="2"/>
  <c r="D290" i="2" s="1"/>
  <c r="F290" i="2" s="1"/>
  <c r="G288" i="2"/>
  <c r="G322" i="2"/>
  <c r="E323" i="2"/>
  <c r="D324" i="2" s="1"/>
  <c r="G290" i="2"/>
  <c r="E291" i="2"/>
  <c r="D292" i="2" s="1"/>
  <c r="E319" i="2"/>
  <c r="D320" i="2" s="1"/>
  <c r="F320" i="2" s="1"/>
  <c r="G318" i="2"/>
  <c r="E209" i="2"/>
  <c r="D210" i="2" s="1"/>
  <c r="G208" i="2"/>
  <c r="E187" i="2"/>
  <c r="D188" i="2" s="1"/>
  <c r="F188" i="2" s="1"/>
  <c r="G186" i="2"/>
  <c r="E143" i="2"/>
  <c r="D144" i="2" s="1"/>
  <c r="F144" i="2" s="1"/>
  <c r="G142" i="2"/>
  <c r="E275" i="2"/>
  <c r="D276" i="2" s="1"/>
  <c r="F276" i="2" s="1"/>
  <c r="G274" i="2"/>
  <c r="E45" i="2"/>
  <c r="D46" i="2" s="1"/>
  <c r="G44" i="2"/>
  <c r="E88" i="2"/>
  <c r="D89" i="2" s="1"/>
  <c r="F89" i="2" s="1"/>
  <c r="G87" i="2"/>
  <c r="E68" i="2"/>
  <c r="D69" i="2" s="1"/>
  <c r="G67" i="2"/>
  <c r="E116" i="2"/>
  <c r="D117" i="2" s="1"/>
  <c r="G115" i="2"/>
  <c r="E234" i="2"/>
  <c r="D235" i="2" s="1"/>
  <c r="F235" i="2" s="1"/>
  <c r="G233" i="2"/>
  <c r="E188" i="2"/>
  <c r="D189" i="2" s="1"/>
  <c r="G187" i="2"/>
  <c r="E109" i="2"/>
  <c r="D110" i="2" s="1"/>
  <c r="G108" i="2"/>
  <c r="E125" i="2"/>
  <c r="D126" i="2" s="1"/>
  <c r="F126" i="2" s="1"/>
  <c r="G124" i="2"/>
  <c r="E206" i="2"/>
  <c r="D207" i="2" s="1"/>
  <c r="G205" i="2"/>
  <c r="G244" i="2"/>
  <c r="E245" i="2"/>
  <c r="D246" i="2" s="1"/>
  <c r="G248" i="2"/>
  <c r="E249" i="2"/>
  <c r="D250" i="2" s="1"/>
  <c r="E378" i="2"/>
  <c r="D379" i="2" s="1"/>
  <c r="F379" i="2" s="1"/>
  <c r="G377" i="2"/>
  <c r="E274" i="2"/>
  <c r="D275" i="2" s="1"/>
  <c r="F275" i="2" s="1"/>
  <c r="G273" i="2"/>
  <c r="E285" i="2"/>
  <c r="D286" i="2" s="1"/>
  <c r="F286" i="2" s="1"/>
  <c r="G284" i="2"/>
  <c r="G356" i="2"/>
  <c r="E357" i="2"/>
  <c r="D358" i="2" s="1"/>
  <c r="F358" i="2" s="1"/>
  <c r="E372" i="2"/>
  <c r="D373" i="2" s="1"/>
  <c r="G371" i="2"/>
  <c r="E379" i="2"/>
  <c r="D380" i="2" s="1"/>
  <c r="G378" i="2"/>
  <c r="E358" i="2"/>
  <c r="D359" i="2" s="1"/>
  <c r="G357" i="2"/>
  <c r="E350" i="2"/>
  <c r="D351" i="2" s="1"/>
  <c r="G349" i="2"/>
  <c r="E305" i="2"/>
  <c r="D306" i="2" s="1"/>
  <c r="F306" i="2" s="1"/>
  <c r="G304" i="2"/>
  <c r="G306" i="2"/>
  <c r="E307" i="2"/>
  <c r="D308" i="2" s="1"/>
  <c r="F308" i="2" s="1"/>
  <c r="E303" i="2"/>
  <c r="D304" i="2" s="1"/>
  <c r="G302" i="2"/>
  <c r="E320" i="2"/>
  <c r="D321" i="2" s="1"/>
  <c r="F321" i="2" s="1"/>
  <c r="G319" i="2"/>
  <c r="E330" i="2"/>
  <c r="D331" i="2" s="1"/>
  <c r="F331" i="2" s="1"/>
  <c r="G329" i="2"/>
  <c r="E225" i="2"/>
  <c r="D226" i="2" s="1"/>
  <c r="G224" i="2"/>
  <c r="E193" i="2"/>
  <c r="D194" i="2" s="1"/>
  <c r="G192" i="2"/>
  <c r="E333" i="2"/>
  <c r="D334" i="2" s="1"/>
  <c r="F334" i="2" s="1"/>
  <c r="G332" i="2"/>
  <c r="E284" i="2"/>
  <c r="D285" i="2" s="1"/>
  <c r="F285" i="2" s="1"/>
  <c r="G283" i="2"/>
  <c r="E235" i="2"/>
  <c r="D236" i="2" s="1"/>
  <c r="F236" i="2" s="1"/>
  <c r="G234" i="2"/>
  <c r="E171" i="2"/>
  <c r="D172" i="2" s="1"/>
  <c r="G170" i="2"/>
  <c r="E337" i="2"/>
  <c r="D338" i="2" s="1"/>
  <c r="F338" i="2" s="1"/>
  <c r="G336" i="2"/>
  <c r="E290" i="2"/>
  <c r="D291" i="2" s="1"/>
  <c r="F291" i="2" s="1"/>
  <c r="G289" i="2"/>
  <c r="E223" i="2"/>
  <c r="D224" i="2" s="1"/>
  <c r="G222" i="2"/>
  <c r="E191" i="2"/>
  <c r="D192" i="2" s="1"/>
  <c r="G190" i="2"/>
  <c r="E322" i="2"/>
  <c r="D323" i="2" s="1"/>
  <c r="F323" i="2" s="1"/>
  <c r="G321" i="2"/>
  <c r="E237" i="2"/>
  <c r="D238" i="2" s="1"/>
  <c r="G236" i="2"/>
  <c r="E173" i="2"/>
  <c r="D174" i="2" s="1"/>
  <c r="G172" i="2"/>
  <c r="E141" i="2"/>
  <c r="D142" i="2" s="1"/>
  <c r="G140" i="2"/>
  <c r="E37" i="2"/>
  <c r="D38" i="2" s="1"/>
  <c r="G36" i="2"/>
  <c r="E21" i="2"/>
  <c r="D22" i="2" s="1"/>
  <c r="G20" i="2"/>
  <c r="H20" i="2" s="1"/>
  <c r="I20" i="2" s="1"/>
  <c r="F21" i="2"/>
  <c r="E54" i="2"/>
  <c r="D55" i="2" s="1"/>
  <c r="G53" i="2"/>
  <c r="E136" i="2"/>
  <c r="D137" i="2" s="1"/>
  <c r="G135" i="2"/>
  <c r="E104" i="2"/>
  <c r="G103" i="2"/>
  <c r="E60" i="2"/>
  <c r="D61" i="2" s="1"/>
  <c r="G59" i="2"/>
  <c r="E28" i="2"/>
  <c r="D29" i="2" s="1"/>
  <c r="G27" i="2"/>
  <c r="E100" i="2"/>
  <c r="D101" i="2" s="1"/>
  <c r="G99" i="2"/>
  <c r="E156" i="2"/>
  <c r="D157" i="2" s="1"/>
  <c r="G155" i="2"/>
  <c r="E196" i="2"/>
  <c r="D197" i="2" s="1"/>
  <c r="F197" i="2" s="1"/>
  <c r="G195" i="2"/>
  <c r="E208" i="2"/>
  <c r="D209" i="2" s="1"/>
  <c r="F209" i="2" s="1"/>
  <c r="G207" i="2"/>
  <c r="E89" i="2"/>
  <c r="D90" i="2" s="1"/>
  <c r="F90" i="2" s="1"/>
  <c r="G88" i="2"/>
  <c r="E158" i="2"/>
  <c r="D159" i="2" s="1"/>
  <c r="F159" i="2" s="1"/>
  <c r="G157" i="2"/>
  <c r="E343" i="2"/>
  <c r="D344" i="2" s="1"/>
  <c r="G342" i="2"/>
  <c r="E278" i="2"/>
  <c r="D279" i="2" s="1"/>
  <c r="G277" i="2"/>
  <c r="G344" i="2"/>
  <c r="E345" i="2"/>
  <c r="D346" i="2" s="1"/>
  <c r="F346" i="2" s="1"/>
  <c r="E371" i="2"/>
  <c r="D372" i="2" s="1"/>
  <c r="F372" i="2" s="1"/>
  <c r="G370" i="2"/>
  <c r="G330" i="2"/>
  <c r="E331" i="2"/>
  <c r="D332" i="2" s="1"/>
  <c r="F332" i="2" s="1"/>
  <c r="E153" i="2"/>
  <c r="D154" i="2" s="1"/>
  <c r="G152" i="2"/>
  <c r="G258" i="2"/>
  <c r="E259" i="2"/>
  <c r="D260" i="2" s="1"/>
  <c r="F260" i="2" s="1"/>
  <c r="E227" i="2"/>
  <c r="D228" i="2" s="1"/>
  <c r="G226" i="2"/>
  <c r="E163" i="2"/>
  <c r="D164" i="2" s="1"/>
  <c r="G162" i="2"/>
  <c r="G256" i="2"/>
  <c r="E257" i="2"/>
  <c r="D258" i="2" s="1"/>
  <c r="E281" i="2"/>
  <c r="D282" i="2" s="1"/>
  <c r="G280" i="2"/>
  <c r="G198" i="2"/>
  <c r="E199" i="2"/>
  <c r="D200" i="2" s="1"/>
  <c r="E128" i="2"/>
  <c r="D129" i="2" s="1"/>
  <c r="G127" i="2"/>
  <c r="E140" i="2"/>
  <c r="D141" i="2" s="1"/>
  <c r="F141" i="2" s="1"/>
  <c r="G139" i="2"/>
  <c r="E236" i="2"/>
  <c r="D237" i="2" s="1"/>
  <c r="F237" i="2" s="1"/>
  <c r="G235" i="2"/>
  <c r="H235" i="2" s="1"/>
  <c r="J235" i="2" s="1"/>
  <c r="G82" i="2"/>
  <c r="E83" i="2"/>
  <c r="D84" i="2" s="1"/>
  <c r="G98" i="2"/>
  <c r="E99" i="2"/>
  <c r="D100" i="2" s="1"/>
  <c r="F100" i="2" s="1"/>
  <c r="G130" i="2"/>
  <c r="E131" i="2"/>
  <c r="D132" i="2" s="1"/>
  <c r="F132" i="2" s="1"/>
  <c r="G376" i="2"/>
  <c r="E377" i="2"/>
  <c r="D378" i="2" s="1"/>
  <c r="F378" i="2" s="1"/>
  <c r="G341" i="2"/>
  <c r="E342" i="2"/>
  <c r="D343" i="2" s="1"/>
  <c r="F343" i="2" s="1"/>
  <c r="E360" i="2"/>
  <c r="D361" i="2" s="1"/>
  <c r="F361" i="2" s="1"/>
  <c r="G359" i="2"/>
  <c r="G312" i="2"/>
  <c r="E313" i="2"/>
  <c r="D314" i="2" s="1"/>
  <c r="E366" i="2"/>
  <c r="D367" i="2" s="1"/>
  <c r="G365" i="2"/>
  <c r="E309" i="2"/>
  <c r="D310" i="2" s="1"/>
  <c r="G308" i="2"/>
  <c r="E233" i="2"/>
  <c r="G232" i="2"/>
  <c r="E201" i="2"/>
  <c r="D202" i="2" s="1"/>
  <c r="G200" i="2"/>
  <c r="E338" i="2"/>
  <c r="D339" i="2" s="1"/>
  <c r="F339" i="2" s="1"/>
  <c r="G337" i="2"/>
  <c r="E296" i="2"/>
  <c r="D297" i="2" s="1"/>
  <c r="F297" i="2" s="1"/>
  <c r="G295" i="2"/>
  <c r="E211" i="2"/>
  <c r="D212" i="2" s="1"/>
  <c r="G210" i="2"/>
  <c r="E197" i="2"/>
  <c r="D198" i="2" s="1"/>
  <c r="G196" i="2"/>
  <c r="E165" i="2"/>
  <c r="D166" i="2" s="1"/>
  <c r="G164" i="2"/>
  <c r="E327" i="2"/>
  <c r="D328" i="2" s="1"/>
  <c r="G326" i="2"/>
  <c r="E271" i="2"/>
  <c r="G270" i="2"/>
  <c r="E25" i="2"/>
  <c r="D26" i="2" s="1"/>
  <c r="F26" i="2" s="1"/>
  <c r="G24" i="2"/>
  <c r="E112" i="2"/>
  <c r="D113" i="2" s="1"/>
  <c r="G111" i="2"/>
  <c r="E80" i="2"/>
  <c r="D81" i="2" s="1"/>
  <c r="G79" i="2"/>
  <c r="E32" i="2"/>
  <c r="D33" i="2" s="1"/>
  <c r="G31" i="2"/>
  <c r="H31" i="2" s="1"/>
  <c r="J31" i="2" s="1"/>
  <c r="F32" i="2"/>
  <c r="E162" i="2"/>
  <c r="D163" i="2" s="1"/>
  <c r="F163" i="2" s="1"/>
  <c r="G161" i="2"/>
  <c r="E306" i="2"/>
  <c r="D307" i="2" s="1"/>
  <c r="F307" i="2" s="1"/>
  <c r="G305" i="2"/>
  <c r="E267" i="2"/>
  <c r="D268" i="2" s="1"/>
  <c r="G266" i="2"/>
  <c r="E75" i="2"/>
  <c r="D76" i="2" s="1"/>
  <c r="F76" i="2" s="1"/>
  <c r="G74" i="2"/>
  <c r="E308" i="2"/>
  <c r="D309" i="2" s="1"/>
  <c r="F309" i="2" s="1"/>
  <c r="G307" i="2"/>
  <c r="F79" i="2"/>
  <c r="G78" i="2"/>
  <c r="E79" i="2"/>
  <c r="D80" i="2" s="1"/>
  <c r="F80" i="2" s="1"/>
  <c r="F87" i="2"/>
  <c r="G86" i="2"/>
  <c r="E87" i="2"/>
  <c r="D88" i="2" s="1"/>
  <c r="F88" i="2" s="1"/>
  <c r="G102" i="2"/>
  <c r="E103" i="2"/>
  <c r="D104" i="2" s="1"/>
  <c r="F104" i="2" s="1"/>
  <c r="G110" i="2"/>
  <c r="E111" i="2"/>
  <c r="D112" i="2" s="1"/>
  <c r="F112" i="2" s="1"/>
  <c r="G134" i="2"/>
  <c r="E135" i="2"/>
  <c r="D136" i="2" s="1"/>
  <c r="F136" i="2" s="1"/>
  <c r="E182" i="2"/>
  <c r="D183" i="2" s="1"/>
  <c r="G181" i="2"/>
  <c r="E214" i="2"/>
  <c r="D215" i="2" s="1"/>
  <c r="G213" i="2"/>
  <c r="E332" i="2"/>
  <c r="D333" i="2" s="1"/>
  <c r="F333" i="2" s="1"/>
  <c r="G331" i="2"/>
  <c r="G255" i="2"/>
  <c r="E256" i="2"/>
  <c r="D257" i="2" s="1"/>
  <c r="F257" i="2" s="1"/>
  <c r="G275" i="2"/>
  <c r="E276" i="2"/>
  <c r="E286" i="2"/>
  <c r="D287" i="2" s="1"/>
  <c r="G285" i="2"/>
  <c r="E370" i="2"/>
  <c r="G369" i="2"/>
  <c r="G368" i="2"/>
  <c r="E369" i="2"/>
  <c r="I31" i="2"/>
  <c r="G29" i="1"/>
  <c r="G32" i="1"/>
  <c r="E49" i="1"/>
  <c r="D50" i="1" s="1"/>
  <c r="F50" i="1" s="1"/>
  <c r="E82" i="1"/>
  <c r="D83" i="1" s="1"/>
  <c r="E54" i="1"/>
  <c r="D55" i="1" s="1"/>
  <c r="E38" i="1"/>
  <c r="D39" i="1" s="1"/>
  <c r="G21" i="1"/>
  <c r="E343" i="1"/>
  <c r="D344" i="1" s="1"/>
  <c r="G342" i="1"/>
  <c r="E289" i="1"/>
  <c r="D290" i="1" s="1"/>
  <c r="F290" i="1" s="1"/>
  <c r="G288" i="1"/>
  <c r="E290" i="1"/>
  <c r="D291" i="1" s="1"/>
  <c r="F291" i="1" s="1"/>
  <c r="G289" i="1"/>
  <c r="E256" i="1"/>
  <c r="D257" i="1" s="1"/>
  <c r="F257" i="1" s="1"/>
  <c r="G255" i="1"/>
  <c r="E261" i="1"/>
  <c r="D262" i="1" s="1"/>
  <c r="F262" i="1" s="1"/>
  <c r="G260" i="1"/>
  <c r="E241" i="1"/>
  <c r="D242" i="1" s="1"/>
  <c r="G240" i="1"/>
  <c r="E160" i="1"/>
  <c r="D161" i="1" s="1"/>
  <c r="G159" i="1"/>
  <c r="E153" i="1"/>
  <c r="D154" i="1" s="1"/>
  <c r="G152" i="1"/>
  <c r="G122" i="1"/>
  <c r="E123" i="1"/>
  <c r="D124" i="1" s="1"/>
  <c r="E147" i="1"/>
  <c r="D148" i="1" s="1"/>
  <c r="G146" i="1"/>
  <c r="E188" i="1"/>
  <c r="D189" i="1" s="1"/>
  <c r="G187" i="1"/>
  <c r="E167" i="1"/>
  <c r="D168" i="1" s="1"/>
  <c r="F168" i="1" s="1"/>
  <c r="G166" i="1"/>
  <c r="E86" i="1"/>
  <c r="D87" i="1" s="1"/>
  <c r="G85" i="1"/>
  <c r="E58" i="1"/>
  <c r="D59" i="1" s="1"/>
  <c r="F59" i="1" s="1"/>
  <c r="G57" i="1"/>
  <c r="G96" i="1"/>
  <c r="E97" i="1"/>
  <c r="D98" i="1" s="1"/>
  <c r="E64" i="1"/>
  <c r="D65" i="1" s="1"/>
  <c r="G63" i="1"/>
  <c r="E282" i="1"/>
  <c r="D283" i="1" s="1"/>
  <c r="G281" i="1"/>
  <c r="E367" i="1"/>
  <c r="D368" i="1" s="1"/>
  <c r="F368" i="1" s="1"/>
  <c r="G366" i="1"/>
  <c r="E347" i="1"/>
  <c r="D348" i="1" s="1"/>
  <c r="G346" i="1"/>
  <c r="E276" i="1"/>
  <c r="D277" i="1" s="1"/>
  <c r="F277" i="1" s="1"/>
  <c r="G275" i="1"/>
  <c r="G284" i="1"/>
  <c r="E285" i="1"/>
  <c r="D286" i="1" s="1"/>
  <c r="G236" i="1"/>
  <c r="E237" i="1"/>
  <c r="D238" i="1" s="1"/>
  <c r="F238" i="1" s="1"/>
  <c r="E236" i="1"/>
  <c r="D237" i="1" s="1"/>
  <c r="F237" i="1" s="1"/>
  <c r="G235" i="1"/>
  <c r="E233" i="1"/>
  <c r="D234" i="1" s="1"/>
  <c r="G232" i="1"/>
  <c r="E144" i="1"/>
  <c r="D145" i="1" s="1"/>
  <c r="G143" i="1"/>
  <c r="E137" i="1"/>
  <c r="D138" i="1" s="1"/>
  <c r="F138" i="1" s="1"/>
  <c r="G136" i="1"/>
  <c r="E111" i="1"/>
  <c r="D112" i="1" s="1"/>
  <c r="F112" i="1" s="1"/>
  <c r="G110" i="1"/>
  <c r="E134" i="1"/>
  <c r="D135" i="1" s="1"/>
  <c r="G133" i="1"/>
  <c r="E74" i="1"/>
  <c r="D75" i="1" s="1"/>
  <c r="G73" i="1"/>
  <c r="E42" i="1"/>
  <c r="D43" i="1" s="1"/>
  <c r="F43" i="1" s="1"/>
  <c r="G41" i="1"/>
  <c r="E100" i="1"/>
  <c r="D101" i="1" s="1"/>
  <c r="F101" i="1" s="1"/>
  <c r="G99" i="1"/>
  <c r="G88" i="1"/>
  <c r="E89" i="1"/>
  <c r="D90" i="1" s="1"/>
  <c r="E24" i="1"/>
  <c r="D25" i="1" s="1"/>
  <c r="G23" i="1"/>
  <c r="E174" i="1"/>
  <c r="D175" i="1" s="1"/>
  <c r="F175" i="1" s="1"/>
  <c r="G173" i="1"/>
  <c r="E194" i="1"/>
  <c r="D195" i="1" s="1"/>
  <c r="F195" i="1" s="1"/>
  <c r="G193" i="1"/>
  <c r="E198" i="1"/>
  <c r="D199" i="1" s="1"/>
  <c r="G197" i="1"/>
  <c r="E238" i="1"/>
  <c r="D239" i="1" s="1"/>
  <c r="F239" i="1" s="1"/>
  <c r="G237" i="1"/>
  <c r="E187" i="1"/>
  <c r="D188" i="1" s="1"/>
  <c r="F188" i="1" s="1"/>
  <c r="G186" i="1"/>
  <c r="G194" i="1"/>
  <c r="E195" i="1"/>
  <c r="D196" i="1" s="1"/>
  <c r="G202" i="1"/>
  <c r="E203" i="1"/>
  <c r="D204" i="1" s="1"/>
  <c r="F204" i="1" s="1"/>
  <c r="G210" i="1"/>
  <c r="E211" i="1"/>
  <c r="D212" i="1" s="1"/>
  <c r="E226" i="1"/>
  <c r="D227" i="1" s="1"/>
  <c r="F227" i="1" s="1"/>
  <c r="G225" i="1"/>
  <c r="E308" i="1"/>
  <c r="D309" i="1" s="1"/>
  <c r="F309" i="1" s="1"/>
  <c r="G307" i="1"/>
  <c r="E263" i="1"/>
  <c r="D264" i="1" s="1"/>
  <c r="G262" i="1"/>
  <c r="E278" i="1"/>
  <c r="D279" i="1" s="1"/>
  <c r="F279" i="1" s="1"/>
  <c r="G277" i="1"/>
  <c r="G326" i="1"/>
  <c r="E327" i="1"/>
  <c r="D328" i="1" s="1"/>
  <c r="F328" i="1" s="1"/>
  <c r="E296" i="1"/>
  <c r="D297" i="1" s="1"/>
  <c r="F297" i="1" s="1"/>
  <c r="G295" i="1"/>
  <c r="G327" i="1"/>
  <c r="E328" i="1"/>
  <c r="D329" i="1" s="1"/>
  <c r="E332" i="1"/>
  <c r="D333" i="1" s="1"/>
  <c r="G331" i="1"/>
  <c r="E336" i="1"/>
  <c r="D337" i="1" s="1"/>
  <c r="F337" i="1" s="1"/>
  <c r="G335" i="1"/>
  <c r="E346" i="1"/>
  <c r="D347" i="1" s="1"/>
  <c r="F347" i="1" s="1"/>
  <c r="G345" i="1"/>
  <c r="E364" i="1"/>
  <c r="D365" i="1" s="1"/>
  <c r="G363" i="1"/>
  <c r="E372" i="1"/>
  <c r="D373" i="1" s="1"/>
  <c r="G371" i="1"/>
  <c r="E380" i="1"/>
  <c r="D381" i="1" s="1"/>
  <c r="F381" i="1" s="1"/>
  <c r="G379" i="1"/>
  <c r="E71" i="1"/>
  <c r="D72" i="1" s="1"/>
  <c r="F72" i="1" s="1"/>
  <c r="G70" i="1"/>
  <c r="E379" i="1"/>
  <c r="D380" i="1" s="1"/>
  <c r="F380" i="1" s="1"/>
  <c r="G378" i="1"/>
  <c r="E357" i="1"/>
  <c r="D358" i="1" s="1"/>
  <c r="G356" i="1"/>
  <c r="E339" i="1"/>
  <c r="D340" i="1" s="1"/>
  <c r="F340" i="1" s="1"/>
  <c r="G338" i="1"/>
  <c r="G344" i="1"/>
  <c r="E345" i="1"/>
  <c r="D346" i="1" s="1"/>
  <c r="F346" i="1" s="1"/>
  <c r="E335" i="1"/>
  <c r="D336" i="1" s="1"/>
  <c r="F336" i="1" s="1"/>
  <c r="G334" i="1"/>
  <c r="G306" i="1"/>
  <c r="E307" i="1"/>
  <c r="D308" i="1" s="1"/>
  <c r="F308" i="1" s="1"/>
  <c r="E312" i="1"/>
  <c r="D313" i="1" s="1"/>
  <c r="F313" i="1" s="1"/>
  <c r="G311" i="1"/>
  <c r="G278" i="1"/>
  <c r="E279" i="1"/>
  <c r="D280" i="1" s="1"/>
  <c r="E310" i="1"/>
  <c r="D311" i="1" s="1"/>
  <c r="G309" i="1"/>
  <c r="E306" i="1"/>
  <c r="D307" i="1" s="1"/>
  <c r="F307" i="1" s="1"/>
  <c r="G305" i="1"/>
  <c r="E298" i="1"/>
  <c r="D299" i="1" s="1"/>
  <c r="G297" i="1"/>
  <c r="E317" i="1"/>
  <c r="D318" i="1" s="1"/>
  <c r="G316" i="1"/>
  <c r="E288" i="1"/>
  <c r="D289" i="1" s="1"/>
  <c r="F289" i="1" s="1"/>
  <c r="G287" i="1"/>
  <c r="E284" i="1"/>
  <c r="D285" i="1" s="1"/>
  <c r="F285" i="1" s="1"/>
  <c r="G283" i="1"/>
  <c r="E252" i="1"/>
  <c r="D253" i="1" s="1"/>
  <c r="G251" i="1"/>
  <c r="G228" i="1"/>
  <c r="E229" i="1"/>
  <c r="D230" i="1" s="1"/>
  <c r="F230" i="1" s="1"/>
  <c r="E257" i="1"/>
  <c r="D258" i="1" s="1"/>
  <c r="G256" i="1"/>
  <c r="E239" i="1"/>
  <c r="D240" i="1" s="1"/>
  <c r="G238" i="1"/>
  <c r="E228" i="1"/>
  <c r="D229" i="1" s="1"/>
  <c r="F229" i="1" s="1"/>
  <c r="G227" i="1"/>
  <c r="E172" i="1"/>
  <c r="D173" i="1" s="1"/>
  <c r="G171" i="1"/>
  <c r="E156" i="1"/>
  <c r="D157" i="1" s="1"/>
  <c r="G155" i="1"/>
  <c r="E140" i="1"/>
  <c r="D141" i="1" s="1"/>
  <c r="F141" i="1" s="1"/>
  <c r="G139" i="1"/>
  <c r="E220" i="1"/>
  <c r="D221" i="1" s="1"/>
  <c r="F221" i="1" s="1"/>
  <c r="G219" i="1"/>
  <c r="E165" i="1"/>
  <c r="D166" i="1" s="1"/>
  <c r="G164" i="1"/>
  <c r="E149" i="1"/>
  <c r="D150" i="1" s="1"/>
  <c r="G148" i="1"/>
  <c r="E133" i="1"/>
  <c r="D134" i="1" s="1"/>
  <c r="F134" i="1" s="1"/>
  <c r="G132" i="1"/>
  <c r="G114" i="1"/>
  <c r="E115" i="1"/>
  <c r="D116" i="1" s="1"/>
  <c r="E171" i="1"/>
  <c r="D172" i="1" s="1"/>
  <c r="F172" i="1" s="1"/>
  <c r="G170" i="1"/>
  <c r="E139" i="1"/>
  <c r="D140" i="1" s="1"/>
  <c r="F140" i="1" s="1"/>
  <c r="G138" i="1"/>
  <c r="E186" i="1"/>
  <c r="D187" i="1" s="1"/>
  <c r="F187" i="1" s="1"/>
  <c r="G185" i="1"/>
  <c r="E130" i="1"/>
  <c r="D131" i="1" s="1"/>
  <c r="F131" i="1" s="1"/>
  <c r="G129" i="1"/>
  <c r="E101" i="1"/>
  <c r="D102" i="1" s="1"/>
  <c r="G100" i="1"/>
  <c r="C159" i="1"/>
  <c r="E127" i="1"/>
  <c r="D128" i="1" s="1"/>
  <c r="G126" i="1"/>
  <c r="C69" i="1"/>
  <c r="C37" i="1"/>
  <c r="E21" i="1"/>
  <c r="D22" i="1" s="1"/>
  <c r="F22" i="1" s="1"/>
  <c r="G20" i="1"/>
  <c r="C87" i="1"/>
  <c r="E122" i="1"/>
  <c r="D123" i="1" s="1"/>
  <c r="F123" i="1" s="1"/>
  <c r="G121" i="1"/>
  <c r="C75" i="1"/>
  <c r="E59" i="1"/>
  <c r="D60" i="1" s="1"/>
  <c r="G58" i="1"/>
  <c r="C116" i="1"/>
  <c r="C210" i="1"/>
  <c r="C102" i="1"/>
  <c r="E200" i="1"/>
  <c r="D201" i="1" s="1"/>
  <c r="F201" i="1" s="1"/>
  <c r="G199" i="1"/>
  <c r="G261" i="1"/>
  <c r="E262" i="1"/>
  <c r="D263" i="1" s="1"/>
  <c r="F263" i="1" s="1"/>
  <c r="C189" i="1"/>
  <c r="C197" i="1"/>
  <c r="E205" i="1"/>
  <c r="D206" i="1" s="1"/>
  <c r="G204" i="1"/>
  <c r="E213" i="1"/>
  <c r="D214" i="1" s="1"/>
  <c r="F214" i="1" s="1"/>
  <c r="G212" i="1"/>
  <c r="E216" i="1"/>
  <c r="D217" i="1" s="1"/>
  <c r="G215" i="1"/>
  <c r="C266" i="1"/>
  <c r="C265" i="1"/>
  <c r="E300" i="1"/>
  <c r="D301" i="1" s="1"/>
  <c r="G299" i="1"/>
  <c r="C321" i="1"/>
  <c r="C304" i="1"/>
  <c r="C329" i="1"/>
  <c r="E340" i="1"/>
  <c r="D341" i="1" s="1"/>
  <c r="F341" i="1" s="1"/>
  <c r="G339" i="1"/>
  <c r="C344" i="1"/>
  <c r="C348" i="1"/>
  <c r="E366" i="1"/>
  <c r="D367" i="1" s="1"/>
  <c r="F367" i="1" s="1"/>
  <c r="G365" i="1"/>
  <c r="C382" i="1"/>
  <c r="E31" i="1"/>
  <c r="D32" i="1" s="1"/>
  <c r="F32" i="1" s="1"/>
  <c r="G30" i="1"/>
  <c r="F31" i="1"/>
  <c r="E383" i="1"/>
  <c r="D384" i="1" s="1"/>
  <c r="G382" i="1"/>
  <c r="E316" i="1"/>
  <c r="D317" i="1" s="1"/>
  <c r="F317" i="1" s="1"/>
  <c r="G315" i="1"/>
  <c r="E313" i="1"/>
  <c r="D314" i="1" s="1"/>
  <c r="G312" i="1"/>
  <c r="E219" i="1"/>
  <c r="D220" i="1" s="1"/>
  <c r="F220" i="1" s="1"/>
  <c r="G218" i="1"/>
  <c r="E375" i="1"/>
  <c r="D376" i="1" s="1"/>
  <c r="G374" i="1"/>
  <c r="E353" i="1"/>
  <c r="D354" i="1" s="1"/>
  <c r="G352" i="1"/>
  <c r="E351" i="1"/>
  <c r="D352" i="1" s="1"/>
  <c r="F352" i="1" s="1"/>
  <c r="G350" i="1"/>
  <c r="E341" i="1"/>
  <c r="D342" i="1" s="1"/>
  <c r="G340" i="1"/>
  <c r="E319" i="1"/>
  <c r="D320" i="1" s="1"/>
  <c r="G318" i="1"/>
  <c r="G270" i="1"/>
  <c r="E271" i="1"/>
  <c r="D272" i="1" s="1"/>
  <c r="E305" i="1"/>
  <c r="D306" i="1" s="1"/>
  <c r="F306" i="1" s="1"/>
  <c r="G304" i="1"/>
  <c r="E275" i="1"/>
  <c r="D276" i="1" s="1"/>
  <c r="F276" i="1" s="1"/>
  <c r="G274" i="1"/>
  <c r="E302" i="1"/>
  <c r="D303" i="1" s="1"/>
  <c r="F303" i="1" s="1"/>
  <c r="G301" i="1"/>
  <c r="E294" i="1"/>
  <c r="D295" i="1" s="1"/>
  <c r="G293" i="1"/>
  <c r="E309" i="1"/>
  <c r="D310" i="1" s="1"/>
  <c r="F310" i="1" s="1"/>
  <c r="G308" i="1"/>
  <c r="G272" i="1"/>
  <c r="E273" i="1"/>
  <c r="D274" i="1" s="1"/>
  <c r="F274" i="1" s="1"/>
  <c r="E255" i="1"/>
  <c r="D256" i="1" s="1"/>
  <c r="F256" i="1" s="1"/>
  <c r="G254" i="1"/>
  <c r="G268" i="1"/>
  <c r="E269" i="1"/>
  <c r="D270" i="1" s="1"/>
  <c r="F270" i="1" s="1"/>
  <c r="E248" i="1"/>
  <c r="D249" i="1" s="1"/>
  <c r="F249" i="1" s="1"/>
  <c r="G247" i="1"/>
  <c r="G220" i="1"/>
  <c r="E221" i="1"/>
  <c r="D222" i="1" s="1"/>
  <c r="F222" i="1" s="1"/>
  <c r="E231" i="1"/>
  <c r="D232" i="1" s="1"/>
  <c r="G230" i="1"/>
  <c r="E175" i="1"/>
  <c r="D176" i="1" s="1"/>
  <c r="G174" i="1"/>
  <c r="E168" i="1"/>
  <c r="D169" i="1" s="1"/>
  <c r="G167" i="1"/>
  <c r="E152" i="1"/>
  <c r="D153" i="1" s="1"/>
  <c r="F153" i="1" s="1"/>
  <c r="G151" i="1"/>
  <c r="E136" i="1"/>
  <c r="D137" i="1" s="1"/>
  <c r="F137" i="1" s="1"/>
  <c r="G135" i="1"/>
  <c r="G120" i="1"/>
  <c r="E121" i="1"/>
  <c r="D122" i="1" s="1"/>
  <c r="F122" i="1" s="1"/>
  <c r="E192" i="1"/>
  <c r="D193" i="1" s="1"/>
  <c r="F193" i="1" s="1"/>
  <c r="G191" i="1"/>
  <c r="E129" i="1"/>
  <c r="D130" i="1" s="1"/>
  <c r="F130" i="1" s="1"/>
  <c r="G128" i="1"/>
  <c r="G106" i="1"/>
  <c r="E107" i="1"/>
  <c r="D108" i="1" s="1"/>
  <c r="E163" i="1"/>
  <c r="D164" i="1" s="1"/>
  <c r="G162" i="1"/>
  <c r="E131" i="1"/>
  <c r="D132" i="1" s="1"/>
  <c r="F132" i="1" s="1"/>
  <c r="G130" i="1"/>
  <c r="E142" i="1"/>
  <c r="D143" i="1" s="1"/>
  <c r="G141" i="1"/>
  <c r="E126" i="1"/>
  <c r="D127" i="1" s="1"/>
  <c r="F127" i="1" s="1"/>
  <c r="G125" i="1"/>
  <c r="E151" i="1"/>
  <c r="D152" i="1" s="1"/>
  <c r="F152" i="1" s="1"/>
  <c r="G150" i="1"/>
  <c r="E103" i="1"/>
  <c r="D104" i="1" s="1"/>
  <c r="F104" i="1" s="1"/>
  <c r="G102" i="1"/>
  <c r="E78" i="1"/>
  <c r="D79" i="1" s="1"/>
  <c r="G77" i="1"/>
  <c r="E50" i="1"/>
  <c r="D51" i="1" s="1"/>
  <c r="F51" i="1" s="1"/>
  <c r="G49" i="1"/>
  <c r="F34" i="1"/>
  <c r="E34" i="1"/>
  <c r="D35" i="1" s="1"/>
  <c r="G33" i="1"/>
  <c r="E112" i="1"/>
  <c r="D113" i="1" s="1"/>
  <c r="F113" i="1" s="1"/>
  <c r="G111" i="1"/>
  <c r="E96" i="1"/>
  <c r="D97" i="1" s="1"/>
  <c r="F97" i="1" s="1"/>
  <c r="G95" i="1"/>
  <c r="E76" i="1"/>
  <c r="D77" i="1" s="1"/>
  <c r="G75" i="1"/>
  <c r="E114" i="1"/>
  <c r="D115" i="1" s="1"/>
  <c r="F115" i="1" s="1"/>
  <c r="G113" i="1"/>
  <c r="G90" i="1"/>
  <c r="E91" i="1"/>
  <c r="D92" i="1" s="1"/>
  <c r="E72" i="1"/>
  <c r="D73" i="1" s="1"/>
  <c r="G71" i="1"/>
  <c r="E43" i="1"/>
  <c r="D44" i="1" s="1"/>
  <c r="G42" i="1"/>
  <c r="E32" i="1"/>
  <c r="D33" i="1" s="1"/>
  <c r="F33" i="1" s="1"/>
  <c r="G31" i="1"/>
  <c r="E182" i="1"/>
  <c r="D183" i="1" s="1"/>
  <c r="F183" i="1" s="1"/>
  <c r="G181" i="1"/>
  <c r="C68" i="1"/>
  <c r="C60" i="1"/>
  <c r="C36" i="1"/>
  <c r="C28" i="1"/>
  <c r="C46" i="1"/>
  <c r="C80" i="1"/>
  <c r="C90" i="1"/>
  <c r="C70" i="1"/>
  <c r="C62" i="1"/>
  <c r="H12" i="1"/>
  <c r="C53" i="1" s="1"/>
  <c r="C52" i="1"/>
  <c r="C110" i="1"/>
  <c r="C208" i="1"/>
  <c r="E214" i="1"/>
  <c r="D215" i="1" s="1"/>
  <c r="G213" i="1"/>
  <c r="E204" i="1"/>
  <c r="D205" i="1" s="1"/>
  <c r="F205" i="1" s="1"/>
  <c r="G203" i="1"/>
  <c r="E183" i="1"/>
  <c r="D184" i="1" s="1"/>
  <c r="G182" i="1"/>
  <c r="C191" i="1"/>
  <c r="C199" i="1"/>
  <c r="G206" i="1"/>
  <c r="E207" i="1"/>
  <c r="D208" i="1" s="1"/>
  <c r="C215" i="1"/>
  <c r="C242" i="1"/>
  <c r="C224" i="1"/>
  <c r="E270" i="1"/>
  <c r="D271" i="1" s="1"/>
  <c r="F271" i="1" s="1"/>
  <c r="G269" i="1"/>
  <c r="E274" i="1"/>
  <c r="D275" i="1" s="1"/>
  <c r="F275" i="1" s="1"/>
  <c r="G273" i="1"/>
  <c r="G325" i="1"/>
  <c r="E326" i="1"/>
  <c r="D327" i="1" s="1"/>
  <c r="F327" i="1" s="1"/>
  <c r="G324" i="1"/>
  <c r="E325" i="1"/>
  <c r="D326" i="1" s="1"/>
  <c r="F326" i="1" s="1"/>
  <c r="C320" i="1"/>
  <c r="C330" i="1"/>
  <c r="E352" i="1"/>
  <c r="D353" i="1" s="1"/>
  <c r="F353" i="1" s="1"/>
  <c r="G351" i="1"/>
  <c r="E334" i="1"/>
  <c r="D335" i="1" s="1"/>
  <c r="F335" i="1" s="1"/>
  <c r="G333" i="1"/>
  <c r="E350" i="1"/>
  <c r="D351" i="1" s="1"/>
  <c r="F351" i="1" s="1"/>
  <c r="G349" i="1"/>
  <c r="C360" i="1"/>
  <c r="E368" i="1"/>
  <c r="D369" i="1" s="1"/>
  <c r="F369" i="1" s="1"/>
  <c r="G367" i="1"/>
  <c r="C376" i="1"/>
  <c r="C384" i="1"/>
  <c r="C47" i="1"/>
  <c r="E355" i="1"/>
  <c r="D356" i="1" s="1"/>
  <c r="F356" i="1" s="1"/>
  <c r="G354" i="1"/>
  <c r="E105" i="1"/>
  <c r="D106" i="1" s="1"/>
  <c r="G104" i="1"/>
  <c r="E369" i="1"/>
  <c r="D370" i="1" s="1"/>
  <c r="G368" i="1"/>
  <c r="E381" i="1"/>
  <c r="D382" i="1" s="1"/>
  <c r="G380" i="1"/>
  <c r="E337" i="1"/>
  <c r="D338" i="1" s="1"/>
  <c r="G336" i="1"/>
  <c r="G290" i="1"/>
  <c r="E291" i="1"/>
  <c r="D292" i="1" s="1"/>
  <c r="G292" i="1"/>
  <c r="E293" i="1"/>
  <c r="D294" i="1" s="1"/>
  <c r="F294" i="1" s="1"/>
  <c r="E297" i="1"/>
  <c r="D298" i="1" s="1"/>
  <c r="F298" i="1" s="1"/>
  <c r="G296" i="1"/>
  <c r="E267" i="1"/>
  <c r="D268" i="1" s="1"/>
  <c r="F268" i="1" s="1"/>
  <c r="G266" i="1"/>
  <c r="G280" i="1"/>
  <c r="E281" i="1"/>
  <c r="D282" i="1" s="1"/>
  <c r="F282" i="1" s="1"/>
  <c r="E277" i="1"/>
  <c r="D278" i="1" s="1"/>
  <c r="F278" i="1" s="1"/>
  <c r="G276" i="1"/>
  <c r="E303" i="1"/>
  <c r="D304" i="1" s="1"/>
  <c r="G302" i="1"/>
  <c r="E251" i="1"/>
  <c r="D252" i="1" s="1"/>
  <c r="F252" i="1" s="1"/>
  <c r="G250" i="1"/>
  <c r="E227" i="1"/>
  <c r="D228" i="1" s="1"/>
  <c r="F228" i="1" s="1"/>
  <c r="G226" i="1"/>
  <c r="E260" i="1"/>
  <c r="D261" i="1" s="1"/>
  <c r="F261" i="1" s="1"/>
  <c r="G259" i="1"/>
  <c r="E244" i="1"/>
  <c r="D245" i="1" s="1"/>
  <c r="G243" i="1"/>
  <c r="E268" i="1"/>
  <c r="D269" i="1" s="1"/>
  <c r="F269" i="1" s="1"/>
  <c r="G267" i="1"/>
  <c r="E249" i="1"/>
  <c r="D250" i="1" s="1"/>
  <c r="G248" i="1"/>
  <c r="E132" i="1"/>
  <c r="D133" i="1" s="1"/>
  <c r="F133" i="1" s="1"/>
  <c r="G131" i="1"/>
  <c r="G112" i="1"/>
  <c r="E113" i="1"/>
  <c r="D114" i="1" s="1"/>
  <c r="F114" i="1" s="1"/>
  <c r="E141" i="1"/>
  <c r="D142" i="1" s="1"/>
  <c r="F142" i="1" s="1"/>
  <c r="G140" i="1"/>
  <c r="E155" i="1"/>
  <c r="D156" i="1" s="1"/>
  <c r="F156" i="1" s="1"/>
  <c r="G154" i="1"/>
  <c r="E119" i="1"/>
  <c r="D120" i="1" s="1"/>
  <c r="G118" i="1"/>
  <c r="E170" i="1"/>
  <c r="D171" i="1" s="1"/>
  <c r="F171" i="1" s="1"/>
  <c r="G169" i="1"/>
  <c r="E138" i="1"/>
  <c r="D139" i="1" s="1"/>
  <c r="F139" i="1" s="1"/>
  <c r="G137" i="1"/>
  <c r="C117" i="1"/>
  <c r="C176" i="1"/>
  <c r="C143" i="1"/>
  <c r="G92" i="1"/>
  <c r="E93" i="1"/>
  <c r="D94" i="1" s="1"/>
  <c r="F94" i="1" s="1"/>
  <c r="C77" i="1"/>
  <c r="E61" i="1"/>
  <c r="D62" i="1" s="1"/>
  <c r="G60" i="1"/>
  <c r="E45" i="1"/>
  <c r="D46" i="1" s="1"/>
  <c r="G44" i="1"/>
  <c r="C29" i="1"/>
  <c r="C55" i="1"/>
  <c r="C23" i="1"/>
  <c r="E104" i="1"/>
  <c r="D105" i="1" s="1"/>
  <c r="F105" i="1" s="1"/>
  <c r="G103" i="1"/>
  <c r="E94" i="1"/>
  <c r="D95" i="1" s="1"/>
  <c r="G93" i="1"/>
  <c r="C41" i="1"/>
  <c r="C65" i="1"/>
  <c r="C106" i="1"/>
  <c r="E84" i="1"/>
  <c r="D85" i="1" s="1"/>
  <c r="G83" i="1"/>
  <c r="E67" i="1"/>
  <c r="D68" i="1" s="1"/>
  <c r="G66" i="1"/>
  <c r="G50" i="1"/>
  <c r="E51" i="1"/>
  <c r="D52" i="1" s="1"/>
  <c r="C40" i="1"/>
  <c r="G26" i="1"/>
  <c r="E27" i="1"/>
  <c r="D28" i="1" s="1"/>
  <c r="C108" i="1"/>
  <c r="C190" i="1"/>
  <c r="C118" i="1"/>
  <c r="E222" i="1"/>
  <c r="D223" i="1" s="1"/>
  <c r="G221" i="1"/>
  <c r="E230" i="1"/>
  <c r="D231" i="1" s="1"/>
  <c r="F231" i="1" s="1"/>
  <c r="G229" i="1"/>
  <c r="C212" i="1"/>
  <c r="C185" i="1"/>
  <c r="E193" i="1"/>
  <c r="D194" i="1" s="1"/>
  <c r="F194" i="1" s="1"/>
  <c r="G192" i="1"/>
  <c r="G200" i="1"/>
  <c r="E201" i="1"/>
  <c r="D202" i="1" s="1"/>
  <c r="C209" i="1"/>
  <c r="E218" i="1"/>
  <c r="D219" i="1" s="1"/>
  <c r="F219" i="1" s="1"/>
  <c r="G217" i="1"/>
  <c r="C264" i="1"/>
  <c r="C232" i="1"/>
  <c r="G321" i="1"/>
  <c r="E322" i="1"/>
  <c r="D323" i="1" s="1"/>
  <c r="C292" i="1"/>
  <c r="C323" i="1"/>
  <c r="C286" i="1"/>
  <c r="G323" i="1"/>
  <c r="E324" i="1"/>
  <c r="D325" i="1" s="1"/>
  <c r="F325" i="1" s="1"/>
  <c r="C331" i="1"/>
  <c r="C338" i="1"/>
  <c r="C342" i="1"/>
  <c r="E356" i="1"/>
  <c r="D357" i="1" s="1"/>
  <c r="F357" i="1" s="1"/>
  <c r="G355" i="1"/>
  <c r="C362" i="1"/>
  <c r="C370" i="1"/>
  <c r="C378" i="1"/>
  <c r="C79" i="1"/>
  <c r="I292" i="3" l="1"/>
  <c r="K292" i="3" s="1"/>
  <c r="I328" i="3"/>
  <c r="K328" i="3" s="1"/>
  <c r="I360" i="3"/>
  <c r="K360" i="3" s="1"/>
  <c r="I288" i="3"/>
  <c r="K288" i="3" s="1"/>
  <c r="I254" i="3"/>
  <c r="K254" i="3" s="1"/>
  <c r="J20" i="3"/>
  <c r="K20" i="3" s="1"/>
  <c r="I338" i="3"/>
  <c r="K338" i="3" s="1"/>
  <c r="I267" i="3"/>
  <c r="K267" i="3" s="1"/>
  <c r="H378" i="3"/>
  <c r="J378" i="3" s="1"/>
  <c r="J286" i="3"/>
  <c r="K286" i="3" s="1"/>
  <c r="I368" i="3"/>
  <c r="K368" i="3" s="1"/>
  <c r="I115" i="3"/>
  <c r="K115" i="3" s="1"/>
  <c r="I376" i="3"/>
  <c r="K376" i="3" s="1"/>
  <c r="I294" i="3"/>
  <c r="K294" i="3" s="1"/>
  <c r="I380" i="3"/>
  <c r="K380" i="3" s="1"/>
  <c r="I356" i="3"/>
  <c r="K356" i="3" s="1"/>
  <c r="I116" i="3"/>
  <c r="K116" i="3" s="1"/>
  <c r="I372" i="3"/>
  <c r="K372" i="3" s="1"/>
  <c r="I85" i="3"/>
  <c r="K85" i="3" s="1"/>
  <c r="I50" i="3"/>
  <c r="K50" i="3" s="1"/>
  <c r="H370" i="3"/>
  <c r="J370" i="3" s="1"/>
  <c r="I109" i="3"/>
  <c r="K109" i="3" s="1"/>
  <c r="I94" i="3"/>
  <c r="K94" i="3" s="1"/>
  <c r="I362" i="3"/>
  <c r="K362" i="3" s="1"/>
  <c r="I176" i="3"/>
  <c r="K176" i="3" s="1"/>
  <c r="I57" i="3"/>
  <c r="K57" i="3" s="1"/>
  <c r="J340" i="3"/>
  <c r="I340" i="3"/>
  <c r="I93" i="3"/>
  <c r="K93" i="3" s="1"/>
  <c r="I54" i="3"/>
  <c r="K54" i="3" s="1"/>
  <c r="J290" i="3"/>
  <c r="I290" i="3"/>
  <c r="I119" i="3"/>
  <c r="K119" i="3" s="1"/>
  <c r="D384" i="3"/>
  <c r="F384" i="3" s="1"/>
  <c r="H384" i="3" s="1"/>
  <c r="J384" i="3" s="1"/>
  <c r="I384" i="3"/>
  <c r="I105" i="3"/>
  <c r="K105" i="3" s="1"/>
  <c r="I379" i="3"/>
  <c r="K379" i="3" s="1"/>
  <c r="I66" i="3"/>
  <c r="K66" i="3" s="1"/>
  <c r="I148" i="3"/>
  <c r="K148" i="3" s="1"/>
  <c r="I201" i="3"/>
  <c r="K201" i="3" s="1"/>
  <c r="I296" i="3"/>
  <c r="K296" i="3" s="1"/>
  <c r="I81" i="3"/>
  <c r="K81" i="3" s="1"/>
  <c r="J364" i="3"/>
  <c r="I364" i="3"/>
  <c r="I189" i="3"/>
  <c r="K189" i="3" s="1"/>
  <c r="I355" i="3"/>
  <c r="K355" i="3" s="1"/>
  <c r="I336" i="3"/>
  <c r="K336" i="3" s="1"/>
  <c r="I346" i="3"/>
  <c r="K346" i="3" s="1"/>
  <c r="I261" i="3"/>
  <c r="K261" i="3" s="1"/>
  <c r="I329" i="3"/>
  <c r="K329" i="3" s="1"/>
  <c r="I300" i="3"/>
  <c r="K300" i="3" s="1"/>
  <c r="I209" i="3"/>
  <c r="K209" i="3" s="1"/>
  <c r="I101" i="3"/>
  <c r="K101" i="3" s="1"/>
  <c r="I82" i="3"/>
  <c r="K82" i="3" s="1"/>
  <c r="I86" i="3"/>
  <c r="K86" i="3" s="1"/>
  <c r="I223" i="3"/>
  <c r="K223" i="3" s="1"/>
  <c r="I229" i="3"/>
  <c r="K229" i="3" s="1"/>
  <c r="I354" i="3"/>
  <c r="K354" i="3" s="1"/>
  <c r="I58" i="3"/>
  <c r="K58" i="3" s="1"/>
  <c r="I76" i="3"/>
  <c r="K76" i="3" s="1"/>
  <c r="I324" i="3"/>
  <c r="K324" i="3" s="1"/>
  <c r="I74" i="3"/>
  <c r="K74" i="3" s="1"/>
  <c r="I255" i="3"/>
  <c r="K255" i="3" s="1"/>
  <c r="I23" i="3"/>
  <c r="K23" i="3" s="1"/>
  <c r="I140" i="3"/>
  <c r="K140" i="3" s="1"/>
  <c r="I235" i="3"/>
  <c r="K235" i="3" s="1"/>
  <c r="I90" i="3"/>
  <c r="K90" i="3" s="1"/>
  <c r="I259" i="3"/>
  <c r="K259" i="3" s="1"/>
  <c r="I84" i="3"/>
  <c r="K84" i="3" s="1"/>
  <c r="I258" i="3"/>
  <c r="K258" i="3" s="1"/>
  <c r="I53" i="3"/>
  <c r="K53" i="3" s="1"/>
  <c r="I295" i="3"/>
  <c r="K295" i="3" s="1"/>
  <c r="I289" i="3"/>
  <c r="K289" i="3" s="1"/>
  <c r="I214" i="3"/>
  <c r="K214" i="3" s="1"/>
  <c r="J228" i="3"/>
  <c r="I228" i="3"/>
  <c r="I100" i="3"/>
  <c r="K100" i="3" s="1"/>
  <c r="I172" i="3"/>
  <c r="K172" i="3" s="1"/>
  <c r="J69" i="3"/>
  <c r="I69" i="3"/>
  <c r="I60" i="3"/>
  <c r="K60" i="3" s="1"/>
  <c r="I162" i="3"/>
  <c r="K162" i="3" s="1"/>
  <c r="J352" i="3"/>
  <c r="K352" i="3" s="1"/>
  <c r="I34" i="3"/>
  <c r="K34" i="3" s="1"/>
  <c r="I269" i="3"/>
  <c r="K269" i="3" s="1"/>
  <c r="I347" i="3"/>
  <c r="K347" i="3" s="1"/>
  <c r="I233" i="3"/>
  <c r="K233" i="3" s="1"/>
  <c r="I165" i="3"/>
  <c r="K165" i="3" s="1"/>
  <c r="I77" i="3"/>
  <c r="K77" i="3" s="1"/>
  <c r="I137" i="3"/>
  <c r="K137" i="3" s="1"/>
  <c r="I48" i="3"/>
  <c r="K48" i="3" s="1"/>
  <c r="I381" i="3"/>
  <c r="K381" i="3" s="1"/>
  <c r="I134" i="3"/>
  <c r="K134" i="3" s="1"/>
  <c r="J252" i="3"/>
  <c r="I252" i="3"/>
  <c r="I315" i="3"/>
  <c r="K315" i="3" s="1"/>
  <c r="J79" i="3"/>
  <c r="I79" i="3"/>
  <c r="I298" i="3"/>
  <c r="K298" i="3" s="1"/>
  <c r="I61" i="3"/>
  <c r="K61" i="3" s="1"/>
  <c r="I62" i="3"/>
  <c r="K62" i="3" s="1"/>
  <c r="I70" i="3"/>
  <c r="K70" i="3" s="1"/>
  <c r="I371" i="3"/>
  <c r="K371" i="3" s="1"/>
  <c r="I245" i="3"/>
  <c r="K245" i="3" s="1"/>
  <c r="J293" i="3"/>
  <c r="I293" i="3"/>
  <c r="I114" i="3"/>
  <c r="K114" i="3" s="1"/>
  <c r="I102" i="3"/>
  <c r="K102" i="3" s="1"/>
  <c r="I142" i="3"/>
  <c r="K142" i="3" s="1"/>
  <c r="I89" i="3"/>
  <c r="K89" i="3" s="1"/>
  <c r="J97" i="3"/>
  <c r="I97" i="3"/>
  <c r="I302" i="3"/>
  <c r="K302" i="3" s="1"/>
  <c r="I146" i="3"/>
  <c r="K146" i="3" s="1"/>
  <c r="I122" i="3"/>
  <c r="K122" i="3" s="1"/>
  <c r="I52" i="3"/>
  <c r="K52" i="3" s="1"/>
  <c r="J183" i="3"/>
  <c r="I183" i="3"/>
  <c r="I327" i="3"/>
  <c r="K327" i="3" s="1"/>
  <c r="I239" i="3"/>
  <c r="K239" i="3" s="1"/>
  <c r="I337" i="3"/>
  <c r="K337" i="3" s="1"/>
  <c r="J167" i="3"/>
  <c r="I167" i="3"/>
  <c r="J305" i="3"/>
  <c r="I305" i="3"/>
  <c r="I309" i="3"/>
  <c r="K309" i="3" s="1"/>
  <c r="I377" i="3"/>
  <c r="K377" i="3" s="1"/>
  <c r="J24" i="3"/>
  <c r="I24" i="3"/>
  <c r="J129" i="3"/>
  <c r="I129" i="3"/>
  <c r="I22" i="3"/>
  <c r="K22" i="3" s="1"/>
  <c r="J257" i="3"/>
  <c r="I257" i="3"/>
  <c r="J181" i="3"/>
  <c r="I181" i="3"/>
  <c r="J238" i="3"/>
  <c r="I238" i="3"/>
  <c r="I108" i="3"/>
  <c r="K108" i="3" s="1"/>
  <c r="I317" i="3"/>
  <c r="K317" i="3" s="1"/>
  <c r="J222" i="3"/>
  <c r="I222" i="3"/>
  <c r="J330" i="3"/>
  <c r="I330" i="3"/>
  <c r="I205" i="3"/>
  <c r="K205" i="3" s="1"/>
  <c r="I39" i="3"/>
  <c r="K39" i="3" s="1"/>
  <c r="J98" i="3"/>
  <c r="I98" i="3"/>
  <c r="I287" i="3"/>
  <c r="K287" i="3" s="1"/>
  <c r="J143" i="3"/>
  <c r="I143" i="3"/>
  <c r="J95" i="3"/>
  <c r="I95" i="3"/>
  <c r="J177" i="3"/>
  <c r="I177" i="3"/>
  <c r="I136" i="3"/>
  <c r="K136" i="3" s="1"/>
  <c r="J306" i="3"/>
  <c r="I306" i="3"/>
  <c r="J322" i="3"/>
  <c r="I322" i="3"/>
  <c r="J375" i="3"/>
  <c r="I375" i="3"/>
  <c r="I168" i="3"/>
  <c r="K168" i="3" s="1"/>
  <c r="J198" i="3"/>
  <c r="I198" i="3"/>
  <c r="I121" i="3"/>
  <c r="K121" i="3" s="1"/>
  <c r="J179" i="3"/>
  <c r="I179" i="3"/>
  <c r="J151" i="3"/>
  <c r="I151" i="3"/>
  <c r="J280" i="3"/>
  <c r="I280" i="3"/>
  <c r="J212" i="3"/>
  <c r="I212" i="3"/>
  <c r="J194" i="3"/>
  <c r="I194" i="3"/>
  <c r="I208" i="3"/>
  <c r="K208" i="3" s="1"/>
  <c r="J44" i="3"/>
  <c r="I44" i="3"/>
  <c r="I33" i="3"/>
  <c r="K33" i="3" s="1"/>
  <c r="J75" i="3"/>
  <c r="I75" i="3"/>
  <c r="J65" i="3"/>
  <c r="I65" i="3"/>
  <c r="I27" i="3"/>
  <c r="K27" i="3" s="1"/>
  <c r="I92" i="3"/>
  <c r="K92" i="3" s="1"/>
  <c r="J249" i="3"/>
  <c r="I249" i="3"/>
  <c r="J63" i="3"/>
  <c r="I63" i="3"/>
  <c r="J38" i="3"/>
  <c r="I38" i="3"/>
  <c r="J190" i="3"/>
  <c r="I190" i="3"/>
  <c r="I225" i="3"/>
  <c r="K225" i="3" s="1"/>
  <c r="I211" i="3"/>
  <c r="K211" i="3" s="1"/>
  <c r="J196" i="3"/>
  <c r="I196" i="3"/>
  <c r="J268" i="3"/>
  <c r="I268" i="3"/>
  <c r="J132" i="3"/>
  <c r="I132" i="3"/>
  <c r="J326" i="3"/>
  <c r="I326" i="3"/>
  <c r="J367" i="3"/>
  <c r="I367" i="3"/>
  <c r="I351" i="3"/>
  <c r="K351" i="3" s="1"/>
  <c r="J272" i="3"/>
  <c r="I272" i="3"/>
  <c r="J51" i="3"/>
  <c r="I51" i="3"/>
  <c r="J185" i="3"/>
  <c r="I185" i="3"/>
  <c r="J250" i="3"/>
  <c r="I250" i="3"/>
  <c r="J220" i="3"/>
  <c r="I220" i="3"/>
  <c r="J187" i="3"/>
  <c r="I187" i="3"/>
  <c r="J311" i="3"/>
  <c r="I311" i="3"/>
  <c r="J284" i="3"/>
  <c r="I284" i="3"/>
  <c r="J246" i="3"/>
  <c r="I246" i="3"/>
  <c r="I164" i="3"/>
  <c r="K164" i="3" s="1"/>
  <c r="J262" i="3"/>
  <c r="I262" i="3"/>
  <c r="J68" i="3"/>
  <c r="I68" i="3"/>
  <c r="J230" i="3"/>
  <c r="I230" i="3"/>
  <c r="I182" i="3"/>
  <c r="K182" i="3" s="1"/>
  <c r="I308" i="3"/>
  <c r="K308" i="3" s="1"/>
  <c r="I345" i="3"/>
  <c r="K345" i="3" s="1"/>
  <c r="I297" i="3"/>
  <c r="K297" i="3" s="1"/>
  <c r="J107" i="3"/>
  <c r="I107" i="3"/>
  <c r="J232" i="3"/>
  <c r="I232" i="3"/>
  <c r="J361" i="3"/>
  <c r="I361" i="3"/>
  <c r="I42" i="3"/>
  <c r="K42" i="3" s="1"/>
  <c r="I275" i="3"/>
  <c r="K275" i="3" s="1"/>
  <c r="J117" i="3"/>
  <c r="I117" i="3"/>
  <c r="I110" i="3"/>
  <c r="K110" i="3" s="1"/>
  <c r="I357" i="3"/>
  <c r="K357" i="3" s="1"/>
  <c r="I341" i="3"/>
  <c r="K341" i="3" s="1"/>
  <c r="J78" i="3"/>
  <c r="I78" i="3"/>
  <c r="J45" i="3"/>
  <c r="I45" i="3"/>
  <c r="I217" i="3"/>
  <c r="K217" i="3" s="1"/>
  <c r="I124" i="3"/>
  <c r="K124" i="3" s="1"/>
  <c r="J83" i="3"/>
  <c r="I83" i="3"/>
  <c r="J145" i="3"/>
  <c r="I145" i="3"/>
  <c r="J200" i="3"/>
  <c r="I200" i="3"/>
  <c r="J278" i="3"/>
  <c r="I278" i="3"/>
  <c r="J321" i="3"/>
  <c r="I321" i="3"/>
  <c r="J366" i="3"/>
  <c r="I366" i="3"/>
  <c r="I353" i="3"/>
  <c r="K353" i="3" s="1"/>
  <c r="I158" i="3"/>
  <c r="K158" i="3" s="1"/>
  <c r="J36" i="3"/>
  <c r="I36" i="3"/>
  <c r="I96" i="3"/>
  <c r="K96" i="3" s="1"/>
  <c r="J314" i="3"/>
  <c r="I314" i="3"/>
  <c r="I156" i="3"/>
  <c r="K156" i="3" s="1"/>
  <c r="I323" i="3"/>
  <c r="K323" i="3" s="1"/>
  <c r="I219" i="3"/>
  <c r="K219" i="3" s="1"/>
  <c r="J175" i="3"/>
  <c r="I175" i="3"/>
  <c r="J32" i="3"/>
  <c r="I32" i="3"/>
  <c r="J358" i="3"/>
  <c r="I358" i="3"/>
  <c r="I312" i="3"/>
  <c r="K312" i="3" s="1"/>
  <c r="J265" i="3"/>
  <c r="I265" i="3"/>
  <c r="J350" i="3"/>
  <c r="I350" i="3"/>
  <c r="J193" i="3"/>
  <c r="I193" i="3"/>
  <c r="I126" i="3"/>
  <c r="K126" i="3" s="1"/>
  <c r="I241" i="3"/>
  <c r="K241" i="3" s="1"/>
  <c r="I207" i="3"/>
  <c r="K207" i="3" s="1"/>
  <c r="J173" i="3"/>
  <c r="I173" i="3"/>
  <c r="J127" i="3"/>
  <c r="I127" i="3"/>
  <c r="J171" i="3"/>
  <c r="I171" i="3"/>
  <c r="J153" i="3"/>
  <c r="I153" i="3"/>
  <c r="J135" i="3"/>
  <c r="I135" i="3"/>
  <c r="J281" i="3"/>
  <c r="I281" i="3"/>
  <c r="J161" i="3"/>
  <c r="I161" i="3"/>
  <c r="J248" i="3"/>
  <c r="I248" i="3"/>
  <c r="J234" i="3"/>
  <c r="I234" i="3"/>
  <c r="J344" i="3"/>
  <c r="I344" i="3"/>
  <c r="J106" i="3"/>
  <c r="I106" i="3"/>
  <c r="J342" i="3"/>
  <c r="I342" i="3"/>
  <c r="J73" i="3"/>
  <c r="I73" i="3"/>
  <c r="J113" i="3"/>
  <c r="I113" i="3"/>
  <c r="I251" i="3"/>
  <c r="K251" i="3" s="1"/>
  <c r="I285" i="3"/>
  <c r="K285" i="3" s="1"/>
  <c r="J263" i="3"/>
  <c r="I263" i="3"/>
  <c r="J335" i="3"/>
  <c r="I335" i="3"/>
  <c r="J320" i="3"/>
  <c r="I320" i="3"/>
  <c r="I28" i="3"/>
  <c r="K28" i="3" s="1"/>
  <c r="J237" i="3"/>
  <c r="I237" i="3"/>
  <c r="J21" i="3"/>
  <c r="I21" i="3"/>
  <c r="J141" i="3"/>
  <c r="I141" i="3"/>
  <c r="J131" i="3"/>
  <c r="I131" i="3"/>
  <c r="J149" i="3"/>
  <c r="I149" i="3"/>
  <c r="J139" i="3"/>
  <c r="I139" i="3"/>
  <c r="J274" i="3"/>
  <c r="I274" i="3"/>
  <c r="J188" i="3"/>
  <c r="I188" i="3"/>
  <c r="J192" i="3"/>
  <c r="I192" i="3"/>
  <c r="J333" i="3"/>
  <c r="I333" i="3"/>
  <c r="J210" i="3"/>
  <c r="I210" i="3"/>
  <c r="J277" i="3"/>
  <c r="I277" i="3"/>
  <c r="J202" i="3"/>
  <c r="I202" i="3"/>
  <c r="J339" i="3"/>
  <c r="I339" i="3"/>
  <c r="J359" i="3"/>
  <c r="I359" i="3"/>
  <c r="I56" i="3"/>
  <c r="K56" i="3" s="1"/>
  <c r="I213" i="3"/>
  <c r="K213" i="3" s="1"/>
  <c r="I41" i="3"/>
  <c r="K41" i="3" s="1"/>
  <c r="I231" i="3"/>
  <c r="K231" i="3" s="1"/>
  <c r="J59" i="3"/>
  <c r="I59" i="3"/>
  <c r="J91" i="3"/>
  <c r="I91" i="3"/>
  <c r="J163" i="3"/>
  <c r="I163" i="3"/>
  <c r="J154" i="3"/>
  <c r="I154" i="3"/>
  <c r="J244" i="3"/>
  <c r="I244" i="3"/>
  <c r="I29" i="3"/>
  <c r="K29" i="3" s="1"/>
  <c r="J46" i="3"/>
  <c r="I46" i="3"/>
  <c r="J43" i="3"/>
  <c r="I43" i="3"/>
  <c r="J226" i="3"/>
  <c r="I226" i="3"/>
  <c r="J133" i="3"/>
  <c r="I133" i="3"/>
  <c r="J318" i="3"/>
  <c r="I318" i="3"/>
  <c r="J369" i="3"/>
  <c r="I369" i="3"/>
  <c r="J313" i="3"/>
  <c r="I313" i="3"/>
  <c r="J242" i="3"/>
  <c r="I242" i="3"/>
  <c r="J160" i="3"/>
  <c r="I160" i="3"/>
  <c r="J26" i="3"/>
  <c r="I26" i="3"/>
  <c r="J31" i="3"/>
  <c r="I31" i="3"/>
  <c r="I150" i="3"/>
  <c r="K150" i="3" s="1"/>
  <c r="J204" i="3"/>
  <c r="I204" i="3"/>
  <c r="J199" i="3"/>
  <c r="I199" i="3"/>
  <c r="J271" i="3"/>
  <c r="I271" i="3"/>
  <c r="I279" i="3"/>
  <c r="K279" i="3" s="1"/>
  <c r="J373" i="3"/>
  <c r="I373" i="3"/>
  <c r="J291" i="3"/>
  <c r="I291" i="3"/>
  <c r="J343" i="3"/>
  <c r="I343" i="3"/>
  <c r="J67" i="3"/>
  <c r="I67" i="3"/>
  <c r="J130" i="3"/>
  <c r="I130" i="3"/>
  <c r="J197" i="3"/>
  <c r="I197" i="3"/>
  <c r="J184" i="3"/>
  <c r="I184" i="3"/>
  <c r="J299" i="3"/>
  <c r="I299" i="3"/>
  <c r="J147" i="3"/>
  <c r="I147" i="3"/>
  <c r="J216" i="3"/>
  <c r="I216" i="3"/>
  <c r="J310" i="3"/>
  <c r="I310" i="3"/>
  <c r="I253" i="3"/>
  <c r="K253" i="3" s="1"/>
  <c r="J260" i="3"/>
  <c r="I260" i="3"/>
  <c r="J304" i="3"/>
  <c r="I304" i="3"/>
  <c r="J256" i="3"/>
  <c r="I256" i="3"/>
  <c r="J334" i="3"/>
  <c r="I334" i="3"/>
  <c r="J103" i="3"/>
  <c r="I103" i="3"/>
  <c r="J170" i="3"/>
  <c r="I170" i="3"/>
  <c r="J283" i="3"/>
  <c r="I283" i="3"/>
  <c r="J72" i="3"/>
  <c r="I72" i="3"/>
  <c r="J88" i="3"/>
  <c r="I88" i="3"/>
  <c r="J111" i="3"/>
  <c r="I111" i="3"/>
  <c r="J325" i="3"/>
  <c r="I325" i="3"/>
  <c r="J383" i="3"/>
  <c r="I383" i="3"/>
  <c r="J266" i="3"/>
  <c r="I266" i="3"/>
  <c r="I348" i="3"/>
  <c r="K348" i="3" s="1"/>
  <c r="J331" i="3"/>
  <c r="I331" i="3"/>
  <c r="J118" i="3"/>
  <c r="K118" i="3" s="1"/>
  <c r="J49" i="3"/>
  <c r="I49" i="3"/>
  <c r="J25" i="3"/>
  <c r="I25" i="3"/>
  <c r="J112" i="3"/>
  <c r="I112" i="3"/>
  <c r="J138" i="3"/>
  <c r="I138" i="3"/>
  <c r="J47" i="3"/>
  <c r="I47" i="3"/>
  <c r="J128" i="3"/>
  <c r="I128" i="3"/>
  <c r="J144" i="3"/>
  <c r="I144" i="3"/>
  <c r="J240" i="3"/>
  <c r="I240" i="3"/>
  <c r="J227" i="3"/>
  <c r="I227" i="3"/>
  <c r="J155" i="3"/>
  <c r="I155" i="3"/>
  <c r="J169" i="3"/>
  <c r="I169" i="3"/>
  <c r="J180" i="3"/>
  <c r="I180" i="3"/>
  <c r="J224" i="3"/>
  <c r="I224" i="3"/>
  <c r="J301" i="3"/>
  <c r="I301" i="3"/>
  <c r="J221" i="3"/>
  <c r="I221" i="3"/>
  <c r="J99" i="3"/>
  <c r="I99" i="3"/>
  <c r="J159" i="3"/>
  <c r="I159" i="3"/>
  <c r="J178" i="3"/>
  <c r="I178" i="3"/>
  <c r="J206" i="3"/>
  <c r="I206" i="3"/>
  <c r="J195" i="3"/>
  <c r="I195" i="3"/>
  <c r="J282" i="3"/>
  <c r="I282" i="3"/>
  <c r="J64" i="3"/>
  <c r="I64" i="3"/>
  <c r="J80" i="3"/>
  <c r="I80" i="3"/>
  <c r="J125" i="3"/>
  <c r="I125" i="3"/>
  <c r="J174" i="3"/>
  <c r="I174" i="3"/>
  <c r="J40" i="3"/>
  <c r="I40" i="3"/>
  <c r="J215" i="3"/>
  <c r="I215" i="3"/>
  <c r="J303" i="3"/>
  <c r="I303" i="3"/>
  <c r="J316" i="3"/>
  <c r="I316" i="3"/>
  <c r="J363" i="3"/>
  <c r="I363" i="3"/>
  <c r="J30" i="3"/>
  <c r="I30" i="3"/>
  <c r="J55" i="3"/>
  <c r="I55" i="3"/>
  <c r="J71" i="3"/>
  <c r="I71" i="3"/>
  <c r="J87" i="3"/>
  <c r="I87" i="3"/>
  <c r="J152" i="3"/>
  <c r="I152" i="3"/>
  <c r="J218" i="3"/>
  <c r="I218" i="3"/>
  <c r="J270" i="3"/>
  <c r="I270" i="3"/>
  <c r="J35" i="3"/>
  <c r="I35" i="3"/>
  <c r="J123" i="3"/>
  <c r="I123" i="3"/>
  <c r="J236" i="3"/>
  <c r="I236" i="3"/>
  <c r="J276" i="3"/>
  <c r="I276" i="3"/>
  <c r="J349" i="3"/>
  <c r="I349" i="3"/>
  <c r="J307" i="3"/>
  <c r="I307" i="3"/>
  <c r="J374" i="3"/>
  <c r="I374" i="3"/>
  <c r="J37" i="3"/>
  <c r="I37" i="3"/>
  <c r="J186" i="3"/>
  <c r="I186" i="3"/>
  <c r="J120" i="3"/>
  <c r="I120" i="3"/>
  <c r="J203" i="3"/>
  <c r="I203" i="3"/>
  <c r="J243" i="3"/>
  <c r="I243" i="3"/>
  <c r="J273" i="3"/>
  <c r="I273" i="3"/>
  <c r="J104" i="3"/>
  <c r="I104" i="3"/>
  <c r="J157" i="3"/>
  <c r="I157" i="3"/>
  <c r="J166" i="3"/>
  <c r="I166" i="3"/>
  <c r="J191" i="3"/>
  <c r="I191" i="3"/>
  <c r="J247" i="3"/>
  <c r="I247" i="3"/>
  <c r="J264" i="3"/>
  <c r="I264" i="3"/>
  <c r="J332" i="3"/>
  <c r="I332" i="3"/>
  <c r="J365" i="3"/>
  <c r="I365" i="3"/>
  <c r="J382" i="3"/>
  <c r="I382" i="3"/>
  <c r="J319" i="3"/>
  <c r="I319" i="3"/>
  <c r="H108" i="2"/>
  <c r="J108" i="2" s="1"/>
  <c r="H273" i="2"/>
  <c r="J273" i="2" s="1"/>
  <c r="K31" i="2"/>
  <c r="I235" i="2"/>
  <c r="K235" i="2" s="1"/>
  <c r="H107" i="2"/>
  <c r="H285" i="2"/>
  <c r="H236" i="2"/>
  <c r="J236" i="2" s="1"/>
  <c r="H320" i="2"/>
  <c r="H104" i="2"/>
  <c r="E42" i="2"/>
  <c r="D43" i="2" s="1"/>
  <c r="F43" i="2" s="1"/>
  <c r="H43" i="2" s="1"/>
  <c r="G41" i="2"/>
  <c r="F359" i="2"/>
  <c r="H359" i="2" s="1"/>
  <c r="J359" i="2" s="1"/>
  <c r="G358" i="2"/>
  <c r="H358" i="2" s="1"/>
  <c r="J358" i="2" s="1"/>
  <c r="E359" i="2"/>
  <c r="E168" i="2"/>
  <c r="D169" i="2" s="1"/>
  <c r="F169" i="2" s="1"/>
  <c r="G167" i="2"/>
  <c r="F154" i="2"/>
  <c r="E154" i="2"/>
  <c r="D155" i="2" s="1"/>
  <c r="F155" i="2" s="1"/>
  <c r="H155" i="2" s="1"/>
  <c r="J155" i="2" s="1"/>
  <c r="G153" i="2"/>
  <c r="H153" i="2" s="1"/>
  <c r="J153" i="2" s="1"/>
  <c r="E266" i="2"/>
  <c r="D267" i="2" s="1"/>
  <c r="F267" i="2" s="1"/>
  <c r="G265" i="2"/>
  <c r="E318" i="2"/>
  <c r="D319" i="2" s="1"/>
  <c r="F319" i="2" s="1"/>
  <c r="H319" i="2" s="1"/>
  <c r="G317" i="2"/>
  <c r="F318" i="2"/>
  <c r="H318" i="2" s="1"/>
  <c r="J318" i="2" s="1"/>
  <c r="F246" i="2"/>
  <c r="H246" i="2" s="1"/>
  <c r="J246" i="2" s="1"/>
  <c r="G245" i="2"/>
  <c r="H245" i="2" s="1"/>
  <c r="J245" i="2" s="1"/>
  <c r="E246" i="2"/>
  <c r="D247" i="2" s="1"/>
  <c r="F247" i="2" s="1"/>
  <c r="F95" i="2"/>
  <c r="G94" i="2"/>
  <c r="E95" i="2"/>
  <c r="D96" i="2" s="1"/>
  <c r="F96" i="2" s="1"/>
  <c r="E180" i="2"/>
  <c r="D181" i="2" s="1"/>
  <c r="F181" i="2" s="1"/>
  <c r="H181" i="2" s="1"/>
  <c r="J181" i="2" s="1"/>
  <c r="G179" i="2"/>
  <c r="E67" i="2"/>
  <c r="D68" i="2" s="1"/>
  <c r="F68" i="2" s="1"/>
  <c r="G66" i="2"/>
  <c r="E48" i="2"/>
  <c r="D49" i="2" s="1"/>
  <c r="F49" i="2" s="1"/>
  <c r="G47" i="2"/>
  <c r="G150" i="2"/>
  <c r="E151" i="2"/>
  <c r="D272" i="2"/>
  <c r="F272" i="2" s="1"/>
  <c r="H272" i="2" s="1"/>
  <c r="J272" i="2" s="1"/>
  <c r="G314" i="2"/>
  <c r="E315" i="2"/>
  <c r="D316" i="2" s="1"/>
  <c r="F316" i="2" s="1"/>
  <c r="H316" i="2" s="1"/>
  <c r="J316" i="2" s="1"/>
  <c r="F194" i="2"/>
  <c r="H194" i="2" s="1"/>
  <c r="J194" i="2" s="1"/>
  <c r="E194" i="2"/>
  <c r="G193" i="2"/>
  <c r="E213" i="2"/>
  <c r="D214" i="2" s="1"/>
  <c r="F214" i="2" s="1"/>
  <c r="G212" i="2"/>
  <c r="E326" i="2"/>
  <c r="D327" i="2" s="1"/>
  <c r="F327" i="2" s="1"/>
  <c r="G325" i="2"/>
  <c r="F202" i="2"/>
  <c r="H202" i="2" s="1"/>
  <c r="J202" i="2" s="1"/>
  <c r="E202" i="2"/>
  <c r="D203" i="2" s="1"/>
  <c r="F203" i="2" s="1"/>
  <c r="G201" i="2"/>
  <c r="D105" i="2"/>
  <c r="F105" i="2" s="1"/>
  <c r="H105" i="2" s="1"/>
  <c r="J105" i="2" s="1"/>
  <c r="J20" i="2"/>
  <c r="K20" i="2" s="1"/>
  <c r="H378" i="2"/>
  <c r="F174" i="2"/>
  <c r="E174" i="2"/>
  <c r="D175" i="2" s="1"/>
  <c r="F175" i="2" s="1"/>
  <c r="G173" i="2"/>
  <c r="E36" i="2"/>
  <c r="G35" i="2"/>
  <c r="E43" i="2"/>
  <c r="G42" i="2"/>
  <c r="F248" i="2"/>
  <c r="H248" i="2" s="1"/>
  <c r="J248" i="2" s="1"/>
  <c r="G247" i="2"/>
  <c r="E248" i="2"/>
  <c r="D249" i="2" s="1"/>
  <c r="F249" i="2" s="1"/>
  <c r="G114" i="2"/>
  <c r="E115" i="2"/>
  <c r="D116" i="2" s="1"/>
  <c r="F116" i="2" s="1"/>
  <c r="E82" i="2"/>
  <c r="D83" i="2" s="1"/>
  <c r="F83" i="2" s="1"/>
  <c r="G81" i="2"/>
  <c r="F231" i="2"/>
  <c r="G230" i="2"/>
  <c r="E231" i="2"/>
  <c r="D232" i="2" s="1"/>
  <c r="F232" i="2" s="1"/>
  <c r="H232" i="2" s="1"/>
  <c r="J232" i="2" s="1"/>
  <c r="F340" i="2"/>
  <c r="E340" i="2"/>
  <c r="D341" i="2" s="1"/>
  <c r="F341" i="2" s="1"/>
  <c r="H341" i="2" s="1"/>
  <c r="G339" i="2"/>
  <c r="H339" i="2" s="1"/>
  <c r="J339" i="2" s="1"/>
  <c r="F262" i="2"/>
  <c r="E262" i="2"/>
  <c r="D263" i="2" s="1"/>
  <c r="F263" i="2" s="1"/>
  <c r="H263" i="2" s="1"/>
  <c r="J263" i="2" s="1"/>
  <c r="G261" i="2"/>
  <c r="H261" i="2" s="1"/>
  <c r="J261" i="2" s="1"/>
  <c r="D274" i="2"/>
  <c r="F274" i="2" s="1"/>
  <c r="H274" i="2" s="1"/>
  <c r="J274" i="2" s="1"/>
  <c r="D371" i="2"/>
  <c r="F371" i="2" s="1"/>
  <c r="H371" i="2" s="1"/>
  <c r="J371" i="2" s="1"/>
  <c r="G118" i="2"/>
  <c r="E119" i="2"/>
  <c r="D120" i="2" s="1"/>
  <c r="F120" i="2" s="1"/>
  <c r="E124" i="2"/>
  <c r="G123" i="2"/>
  <c r="F124" i="2"/>
  <c r="H124" i="2" s="1"/>
  <c r="J124" i="2" s="1"/>
  <c r="E147" i="2"/>
  <c r="D148" i="2" s="1"/>
  <c r="F148" i="2" s="1"/>
  <c r="H148" i="2" s="1"/>
  <c r="G146" i="2"/>
  <c r="D234" i="2"/>
  <c r="F234" i="2" s="1"/>
  <c r="H234" i="2" s="1"/>
  <c r="J234" i="2" s="1"/>
  <c r="F336" i="2"/>
  <c r="H336" i="2" s="1"/>
  <c r="J336" i="2" s="1"/>
  <c r="E336" i="2"/>
  <c r="G335" i="2"/>
  <c r="H335" i="2" s="1"/>
  <c r="J335" i="2" s="1"/>
  <c r="E352" i="2"/>
  <c r="D353" i="2" s="1"/>
  <c r="F353" i="2" s="1"/>
  <c r="H353" i="2" s="1"/>
  <c r="J353" i="2" s="1"/>
  <c r="G351" i="2"/>
  <c r="F198" i="2"/>
  <c r="H198" i="2" s="1"/>
  <c r="J198" i="2" s="1"/>
  <c r="E198" i="2"/>
  <c r="D199" i="2" s="1"/>
  <c r="F199" i="2" s="1"/>
  <c r="G197" i="2"/>
  <c r="H197" i="2" s="1"/>
  <c r="J197" i="2" s="1"/>
  <c r="E148" i="2"/>
  <c r="D149" i="2" s="1"/>
  <c r="F149" i="2" s="1"/>
  <c r="G147" i="2"/>
  <c r="E46" i="2"/>
  <c r="D47" i="2" s="1"/>
  <c r="F47" i="2" s="1"/>
  <c r="G45" i="2"/>
  <c r="H45" i="2" s="1"/>
  <c r="J45" i="2" s="1"/>
  <c r="F46" i="2"/>
  <c r="E368" i="2"/>
  <c r="G367" i="2"/>
  <c r="E110" i="2"/>
  <c r="G109" i="2"/>
  <c r="H109" i="2" s="1"/>
  <c r="J109" i="2" s="1"/>
  <c r="F110" i="2"/>
  <c r="H110" i="2" s="1"/>
  <c r="J110" i="2" s="1"/>
  <c r="F367" i="2"/>
  <c r="E367" i="2"/>
  <c r="D368" i="2" s="1"/>
  <c r="F368" i="2" s="1"/>
  <c r="H368" i="2" s="1"/>
  <c r="J368" i="2" s="1"/>
  <c r="G366" i="2"/>
  <c r="H366" i="2" s="1"/>
  <c r="G252" i="2"/>
  <c r="E253" i="2"/>
  <c r="D254" i="2" s="1"/>
  <c r="F254" i="2" s="1"/>
  <c r="E130" i="2"/>
  <c r="D131" i="2" s="1"/>
  <c r="F131" i="2" s="1"/>
  <c r="H131" i="2" s="1"/>
  <c r="G129" i="2"/>
  <c r="E51" i="2"/>
  <c r="D52" i="2" s="1"/>
  <c r="F52" i="2" s="1"/>
  <c r="H52" i="2" s="1"/>
  <c r="J52" i="2" s="1"/>
  <c r="G50" i="2"/>
  <c r="D277" i="2"/>
  <c r="F277" i="2" s="1"/>
  <c r="H277" i="2" s="1"/>
  <c r="J277" i="2" s="1"/>
  <c r="F268" i="2"/>
  <c r="G267" i="2"/>
  <c r="E268" i="2"/>
  <c r="D269" i="2" s="1"/>
  <c r="F269" i="2" s="1"/>
  <c r="E269" i="2"/>
  <c r="D270" i="2" s="1"/>
  <c r="F270" i="2" s="1"/>
  <c r="H270" i="2" s="1"/>
  <c r="J270" i="2" s="1"/>
  <c r="G268" i="2"/>
  <c r="E232" i="2"/>
  <c r="G231" i="2"/>
  <c r="H307" i="2"/>
  <c r="E186" i="2"/>
  <c r="G185" i="2"/>
  <c r="F64" i="2"/>
  <c r="G63" i="2"/>
  <c r="E64" i="2"/>
  <c r="D65" i="2" s="1"/>
  <c r="F65" i="2" s="1"/>
  <c r="E98" i="2"/>
  <c r="D99" i="2" s="1"/>
  <c r="F99" i="2" s="1"/>
  <c r="H99" i="2" s="1"/>
  <c r="G97" i="2"/>
  <c r="F183" i="2"/>
  <c r="G182" i="2"/>
  <c r="E183" i="2"/>
  <c r="D184" i="2" s="1"/>
  <c r="F184" i="2" s="1"/>
  <c r="H196" i="2"/>
  <c r="E295" i="2"/>
  <c r="G294" i="2"/>
  <c r="E243" i="2"/>
  <c r="G242" i="2"/>
  <c r="E279" i="2"/>
  <c r="D280" i="2" s="1"/>
  <c r="F280" i="2" s="1"/>
  <c r="H280" i="2" s="1"/>
  <c r="J280" i="2" s="1"/>
  <c r="G278" i="2"/>
  <c r="H278" i="2" s="1"/>
  <c r="J278" i="2" s="1"/>
  <c r="F279" i="2"/>
  <c r="H308" i="2"/>
  <c r="E382" i="2"/>
  <c r="D383" i="2" s="1"/>
  <c r="F383" i="2" s="1"/>
  <c r="G381" i="2"/>
  <c r="F382" i="2"/>
  <c r="E216" i="2"/>
  <c r="D217" i="2" s="1"/>
  <c r="F217" i="2" s="1"/>
  <c r="G215" i="2"/>
  <c r="E56" i="2"/>
  <c r="D57" i="2" s="1"/>
  <c r="F57" i="2" s="1"/>
  <c r="G55" i="2"/>
  <c r="E265" i="2"/>
  <c r="D266" i="2" s="1"/>
  <c r="F266" i="2" s="1"/>
  <c r="H266" i="2" s="1"/>
  <c r="J266" i="2" s="1"/>
  <c r="G264" i="2"/>
  <c r="F265" i="2"/>
  <c r="E348" i="2"/>
  <c r="D349" i="2" s="1"/>
  <c r="F349" i="2" s="1"/>
  <c r="H349" i="2" s="1"/>
  <c r="J349" i="2" s="1"/>
  <c r="G347" i="2"/>
  <c r="E97" i="2"/>
  <c r="D98" i="2" s="1"/>
  <c r="F98" i="2" s="1"/>
  <c r="H98" i="2" s="1"/>
  <c r="J98" i="2" s="1"/>
  <c r="G96" i="2"/>
  <c r="H332" i="2"/>
  <c r="F101" i="2"/>
  <c r="H101" i="2" s="1"/>
  <c r="J101" i="2" s="1"/>
  <c r="E101" i="2"/>
  <c r="G100" i="2"/>
  <c r="H100" i="2" s="1"/>
  <c r="J100" i="2" s="1"/>
  <c r="F224" i="2"/>
  <c r="H224" i="2" s="1"/>
  <c r="J224" i="2" s="1"/>
  <c r="E224" i="2"/>
  <c r="D225" i="2" s="1"/>
  <c r="F225" i="2" s="1"/>
  <c r="G223" i="2"/>
  <c r="F164" i="2"/>
  <c r="H164" i="2" s="1"/>
  <c r="E164" i="2"/>
  <c r="D165" i="2" s="1"/>
  <c r="F165" i="2" s="1"/>
  <c r="G163" i="2"/>
  <c r="H163" i="2" s="1"/>
  <c r="J163" i="2" s="1"/>
  <c r="E29" i="2"/>
  <c r="G28" i="2"/>
  <c r="F29" i="2"/>
  <c r="H29" i="2" s="1"/>
  <c r="J29" i="2" s="1"/>
  <c r="F221" i="2"/>
  <c r="E221" i="2"/>
  <c r="D222" i="2" s="1"/>
  <c r="F222" i="2" s="1"/>
  <c r="H222" i="2" s="1"/>
  <c r="J222" i="2" s="1"/>
  <c r="G220" i="2"/>
  <c r="E241" i="2"/>
  <c r="D242" i="2" s="1"/>
  <c r="F242" i="2" s="1"/>
  <c r="F241" i="2"/>
  <c r="G240" i="2"/>
  <c r="H276" i="2"/>
  <c r="F81" i="2"/>
  <c r="E81" i="2"/>
  <c r="D82" i="2" s="1"/>
  <c r="F82" i="2" s="1"/>
  <c r="H82" i="2" s="1"/>
  <c r="J82" i="2" s="1"/>
  <c r="G80" i="2"/>
  <c r="H80" i="2" s="1"/>
  <c r="D370" i="2"/>
  <c r="F370" i="2" s="1"/>
  <c r="H370" i="2" s="1"/>
  <c r="J370" i="2" s="1"/>
  <c r="E380" i="2"/>
  <c r="D381" i="2" s="1"/>
  <c r="F381" i="2" s="1"/>
  <c r="G379" i="2"/>
  <c r="H379" i="2" s="1"/>
  <c r="J379" i="2" s="1"/>
  <c r="F380" i="2"/>
  <c r="H380" i="2" s="1"/>
  <c r="J380" i="2" s="1"/>
  <c r="E384" i="2"/>
  <c r="G383" i="2"/>
  <c r="H331" i="2"/>
  <c r="F150" i="2"/>
  <c r="E150" i="2"/>
  <c r="D151" i="2" s="1"/>
  <c r="F151" i="2" s="1"/>
  <c r="H151" i="2" s="1"/>
  <c r="J151" i="2" s="1"/>
  <c r="G149" i="2"/>
  <c r="F226" i="2"/>
  <c r="H226" i="2" s="1"/>
  <c r="J226" i="2" s="1"/>
  <c r="E226" i="2"/>
  <c r="D227" i="2" s="1"/>
  <c r="F227" i="2" s="1"/>
  <c r="G225" i="2"/>
  <c r="E22" i="2"/>
  <c r="D23" i="2" s="1"/>
  <c r="F23" i="2" s="1"/>
  <c r="G21" i="2"/>
  <c r="H21" i="2" s="1"/>
  <c r="J21" i="2" s="1"/>
  <c r="F22" i="2"/>
  <c r="C386" i="2"/>
  <c r="E41" i="2"/>
  <c r="D42" i="2" s="1"/>
  <c r="F42" i="2" s="1"/>
  <c r="G40" i="2"/>
  <c r="F41" i="2"/>
  <c r="F215" i="2"/>
  <c r="G214" i="2"/>
  <c r="H214" i="2" s="1"/>
  <c r="E215" i="2"/>
  <c r="D216" i="2" s="1"/>
  <c r="F216" i="2" s="1"/>
  <c r="H216" i="2" s="1"/>
  <c r="J216" i="2" s="1"/>
  <c r="E312" i="2"/>
  <c r="D313" i="2" s="1"/>
  <c r="F313" i="2" s="1"/>
  <c r="G311" i="2"/>
  <c r="E169" i="2"/>
  <c r="D170" i="2" s="1"/>
  <c r="F170" i="2" s="1"/>
  <c r="H170" i="2" s="1"/>
  <c r="J170" i="2" s="1"/>
  <c r="G168" i="2"/>
  <c r="E96" i="2"/>
  <c r="D97" i="2" s="1"/>
  <c r="F97" i="2" s="1"/>
  <c r="G95" i="2"/>
  <c r="H162" i="2"/>
  <c r="E311" i="2"/>
  <c r="D312" i="2" s="1"/>
  <c r="F312" i="2" s="1"/>
  <c r="H312" i="2" s="1"/>
  <c r="G310" i="2"/>
  <c r="H321" i="2"/>
  <c r="E283" i="2"/>
  <c r="G282" i="2"/>
  <c r="G69" i="2"/>
  <c r="E70" i="2"/>
  <c r="D71" i="2" s="1"/>
  <c r="F71" i="2" s="1"/>
  <c r="G254" i="2"/>
  <c r="E255" i="2"/>
  <c r="E362" i="2"/>
  <c r="D363" i="2" s="1"/>
  <c r="F363" i="2" s="1"/>
  <c r="G361" i="2"/>
  <c r="H361" i="2" s="1"/>
  <c r="J361" i="2" s="1"/>
  <c r="F362" i="2"/>
  <c r="E114" i="2"/>
  <c r="D115" i="2" s="1"/>
  <c r="F115" i="2" s="1"/>
  <c r="H115" i="2" s="1"/>
  <c r="G113" i="2"/>
  <c r="F347" i="2"/>
  <c r="G346" i="2"/>
  <c r="H346" i="2" s="1"/>
  <c r="J346" i="2" s="1"/>
  <c r="E347" i="2"/>
  <c r="D348" i="2" s="1"/>
  <c r="F348" i="2" s="1"/>
  <c r="E71" i="2"/>
  <c r="D72" i="2" s="1"/>
  <c r="F72" i="2" s="1"/>
  <c r="G70" i="2"/>
  <c r="E23" i="2"/>
  <c r="D24" i="2" s="1"/>
  <c r="F24" i="2" s="1"/>
  <c r="H24" i="2" s="1"/>
  <c r="J24" i="2" s="1"/>
  <c r="G22" i="2"/>
  <c r="H260" i="2"/>
  <c r="J260" i="2" s="1"/>
  <c r="D375" i="2"/>
  <c r="F375" i="2" s="1"/>
  <c r="H375" i="2" s="1"/>
  <c r="J375" i="2" s="1"/>
  <c r="E304" i="2"/>
  <c r="G303" i="2"/>
  <c r="F304" i="2"/>
  <c r="H304" i="2" s="1"/>
  <c r="J304" i="2" s="1"/>
  <c r="E356" i="2"/>
  <c r="D357" i="2" s="1"/>
  <c r="F357" i="2" s="1"/>
  <c r="H357" i="2" s="1"/>
  <c r="G355" i="2"/>
  <c r="E118" i="2"/>
  <c r="D119" i="2" s="1"/>
  <c r="F119" i="2" s="1"/>
  <c r="G117" i="2"/>
  <c r="E270" i="2"/>
  <c r="G269" i="2"/>
  <c r="E222" i="2"/>
  <c r="D223" i="2" s="1"/>
  <c r="F223" i="2" s="1"/>
  <c r="G221" i="2"/>
  <c r="H88" i="2"/>
  <c r="J88" i="2" s="1"/>
  <c r="E176" i="2"/>
  <c r="D177" i="2" s="1"/>
  <c r="F177" i="2" s="1"/>
  <c r="H177" i="2" s="1"/>
  <c r="G175" i="2"/>
  <c r="E242" i="2"/>
  <c r="D243" i="2" s="1"/>
  <c r="F243" i="2" s="1"/>
  <c r="H243" i="2" s="1"/>
  <c r="J243" i="2" s="1"/>
  <c r="G241" i="2"/>
  <c r="H306" i="2"/>
  <c r="E134" i="2"/>
  <c r="G133" i="2"/>
  <c r="G348" i="2"/>
  <c r="E349" i="2"/>
  <c r="D350" i="2" s="1"/>
  <c r="F350" i="2" s="1"/>
  <c r="G253" i="2"/>
  <c r="E254" i="2"/>
  <c r="D255" i="2" s="1"/>
  <c r="F255" i="2" s="1"/>
  <c r="H255" i="2" s="1"/>
  <c r="J255" i="2" s="1"/>
  <c r="F142" i="2"/>
  <c r="H142" i="2" s="1"/>
  <c r="E142" i="2"/>
  <c r="G141" i="2"/>
  <c r="H141" i="2" s="1"/>
  <c r="E93" i="2"/>
  <c r="D94" i="2" s="1"/>
  <c r="F94" i="2" s="1"/>
  <c r="G92" i="2"/>
  <c r="F192" i="2"/>
  <c r="H192" i="2" s="1"/>
  <c r="J192" i="2" s="1"/>
  <c r="E192" i="2"/>
  <c r="D193" i="2" s="1"/>
  <c r="F193" i="2" s="1"/>
  <c r="G191" i="2"/>
  <c r="E73" i="2"/>
  <c r="D74" i="2" s="1"/>
  <c r="F74" i="2" s="1"/>
  <c r="H74" i="2" s="1"/>
  <c r="J74" i="2" s="1"/>
  <c r="G72" i="2"/>
  <c r="F210" i="2"/>
  <c r="H210" i="2" s="1"/>
  <c r="J210" i="2" s="1"/>
  <c r="E210" i="2"/>
  <c r="D211" i="2" s="1"/>
  <c r="F211" i="2" s="1"/>
  <c r="G209" i="2"/>
  <c r="H209" i="2" s="1"/>
  <c r="J209" i="2" s="1"/>
  <c r="E52" i="2"/>
  <c r="D53" i="2" s="1"/>
  <c r="F53" i="2" s="1"/>
  <c r="H53" i="2" s="1"/>
  <c r="G51" i="2"/>
  <c r="E61" i="2"/>
  <c r="D62" i="2" s="1"/>
  <c r="F62" i="2" s="1"/>
  <c r="H62" i="2" s="1"/>
  <c r="G60" i="2"/>
  <c r="F61" i="2"/>
  <c r="E175" i="2"/>
  <c r="D176" i="2" s="1"/>
  <c r="F176" i="2" s="1"/>
  <c r="G174" i="2"/>
  <c r="E314" i="2"/>
  <c r="D315" i="2" s="1"/>
  <c r="F315" i="2" s="1"/>
  <c r="G313" i="2"/>
  <c r="F314" i="2"/>
  <c r="E301" i="2"/>
  <c r="D302" i="2" s="1"/>
  <c r="F302" i="2" s="1"/>
  <c r="H302" i="2" s="1"/>
  <c r="J302" i="2" s="1"/>
  <c r="G300" i="2"/>
  <c r="E298" i="2"/>
  <c r="D299" i="2" s="1"/>
  <c r="F299" i="2" s="1"/>
  <c r="G297" i="2"/>
  <c r="H297" i="2" s="1"/>
  <c r="J297" i="2" s="1"/>
  <c r="F298" i="2"/>
  <c r="E59" i="2"/>
  <c r="D60" i="2" s="1"/>
  <c r="F60" i="2" s="1"/>
  <c r="G58" i="2"/>
  <c r="E302" i="2"/>
  <c r="D303" i="2" s="1"/>
  <c r="F303" i="2" s="1"/>
  <c r="G301" i="2"/>
  <c r="E300" i="2"/>
  <c r="D301" i="2" s="1"/>
  <c r="F301" i="2" s="1"/>
  <c r="G299" i="2"/>
  <c r="F91" i="2"/>
  <c r="G90" i="2"/>
  <c r="H90" i="2" s="1"/>
  <c r="J90" i="2" s="1"/>
  <c r="E91" i="2"/>
  <c r="D92" i="2" s="1"/>
  <c r="F92" i="2" s="1"/>
  <c r="F172" i="2"/>
  <c r="H172" i="2" s="1"/>
  <c r="E172" i="2"/>
  <c r="G171" i="2"/>
  <c r="E27" i="2"/>
  <c r="D28" i="2" s="1"/>
  <c r="F28" i="2" s="1"/>
  <c r="G26" i="2"/>
  <c r="H26" i="2" s="1"/>
  <c r="J26" i="2" s="1"/>
  <c r="F27" i="2"/>
  <c r="H27" i="2" s="1"/>
  <c r="J27" i="2" s="1"/>
  <c r="E328" i="2"/>
  <c r="D329" i="2" s="1"/>
  <c r="F329" i="2" s="1"/>
  <c r="H329" i="2" s="1"/>
  <c r="J329" i="2" s="1"/>
  <c r="G327" i="2"/>
  <c r="F328" i="2"/>
  <c r="E66" i="2"/>
  <c r="D67" i="2" s="1"/>
  <c r="F67" i="2" s="1"/>
  <c r="H67" i="2" s="1"/>
  <c r="J67" i="2" s="1"/>
  <c r="G65" i="2"/>
  <c r="E47" i="2"/>
  <c r="D48" i="2" s="1"/>
  <c r="F48" i="2" s="1"/>
  <c r="G46" i="2"/>
  <c r="E190" i="2"/>
  <c r="D191" i="2" s="1"/>
  <c r="F191" i="2" s="1"/>
  <c r="G189" i="2"/>
  <c r="G73" i="2"/>
  <c r="E74" i="2"/>
  <c r="D75" i="2" s="1"/>
  <c r="F75" i="2" s="1"/>
  <c r="H75" i="2" s="1"/>
  <c r="E35" i="2"/>
  <c r="D36" i="2" s="1"/>
  <c r="F36" i="2" s="1"/>
  <c r="H36" i="2" s="1"/>
  <c r="J36" i="2" s="1"/>
  <c r="G34" i="2"/>
  <c r="F35" i="2"/>
  <c r="F351" i="2"/>
  <c r="G350" i="2"/>
  <c r="E351" i="2"/>
  <c r="D352" i="2" s="1"/>
  <c r="F352" i="2" s="1"/>
  <c r="H275" i="2"/>
  <c r="F250" i="2"/>
  <c r="G249" i="2"/>
  <c r="E250" i="2"/>
  <c r="D251" i="2" s="1"/>
  <c r="F251" i="2" s="1"/>
  <c r="F127" i="2"/>
  <c r="H127" i="2" s="1"/>
  <c r="J127" i="2" s="1"/>
  <c r="G126" i="2"/>
  <c r="H126" i="2" s="1"/>
  <c r="J126" i="2" s="1"/>
  <c r="E127" i="2"/>
  <c r="D128" i="2" s="1"/>
  <c r="F128" i="2" s="1"/>
  <c r="F200" i="2"/>
  <c r="H200" i="2" s="1"/>
  <c r="J200" i="2" s="1"/>
  <c r="E200" i="2"/>
  <c r="D201" i="2" s="1"/>
  <c r="F201" i="2" s="1"/>
  <c r="G199" i="2"/>
  <c r="F204" i="2"/>
  <c r="H204" i="2" s="1"/>
  <c r="E204" i="2"/>
  <c r="D205" i="2" s="1"/>
  <c r="F205" i="2" s="1"/>
  <c r="H205" i="2" s="1"/>
  <c r="G203" i="2"/>
  <c r="E92" i="2"/>
  <c r="D93" i="2" s="1"/>
  <c r="F93" i="2" s="1"/>
  <c r="H93" i="2" s="1"/>
  <c r="J93" i="2" s="1"/>
  <c r="G91" i="2"/>
  <c r="H79" i="2"/>
  <c r="E62" i="2"/>
  <c r="D63" i="2" s="1"/>
  <c r="F63" i="2" s="1"/>
  <c r="G61" i="2"/>
  <c r="E57" i="2"/>
  <c r="D58" i="2" s="1"/>
  <c r="F58" i="2" s="1"/>
  <c r="G56" i="2"/>
  <c r="E229" i="2"/>
  <c r="D230" i="2" s="1"/>
  <c r="F230" i="2" s="1"/>
  <c r="G228" i="2"/>
  <c r="E179" i="2"/>
  <c r="D180" i="2" s="1"/>
  <c r="F180" i="2" s="1"/>
  <c r="G178" i="2"/>
  <c r="F179" i="2"/>
  <c r="E341" i="2"/>
  <c r="G340" i="2"/>
  <c r="E344" i="2"/>
  <c r="G343" i="2"/>
  <c r="H343" i="2" s="1"/>
  <c r="F344" i="2"/>
  <c r="H344" i="2" s="1"/>
  <c r="H376" i="2"/>
  <c r="J376" i="2" s="1"/>
  <c r="F212" i="2"/>
  <c r="E212" i="2"/>
  <c r="D213" i="2" s="1"/>
  <c r="F213" i="2" s="1"/>
  <c r="H213" i="2" s="1"/>
  <c r="J213" i="2" s="1"/>
  <c r="G211" i="2"/>
  <c r="E24" i="2"/>
  <c r="G23" i="2"/>
  <c r="E33" i="2"/>
  <c r="D34" i="2" s="1"/>
  <c r="F34" i="2" s="1"/>
  <c r="G32" i="2"/>
  <c r="H32" i="2" s="1"/>
  <c r="F33" i="2"/>
  <c r="H33" i="2" s="1"/>
  <c r="J33" i="2" s="1"/>
  <c r="E185" i="2"/>
  <c r="D186" i="2" s="1"/>
  <c r="F186" i="2" s="1"/>
  <c r="H186" i="2" s="1"/>
  <c r="J186" i="2" s="1"/>
  <c r="G184" i="2"/>
  <c r="E325" i="2"/>
  <c r="D326" i="2" s="1"/>
  <c r="F326" i="2" s="1"/>
  <c r="H326" i="2" s="1"/>
  <c r="J326" i="2" s="1"/>
  <c r="G324" i="2"/>
  <c r="F373" i="2"/>
  <c r="H373" i="2" s="1"/>
  <c r="J373" i="2" s="1"/>
  <c r="E373" i="2"/>
  <c r="G372" i="2"/>
  <c r="H372" i="2" s="1"/>
  <c r="F258" i="2"/>
  <c r="H258" i="2" s="1"/>
  <c r="G257" i="2"/>
  <c r="H257" i="2" s="1"/>
  <c r="E258" i="2"/>
  <c r="F137" i="2"/>
  <c r="E137" i="2"/>
  <c r="D138" i="2" s="1"/>
  <c r="F138" i="2" s="1"/>
  <c r="G136" i="2"/>
  <c r="H136" i="2" s="1"/>
  <c r="F77" i="2"/>
  <c r="H77" i="2" s="1"/>
  <c r="J77" i="2" s="1"/>
  <c r="E77" i="2"/>
  <c r="G76" i="2"/>
  <c r="H76" i="2" s="1"/>
  <c r="J76" i="2" s="1"/>
  <c r="E39" i="2"/>
  <c r="D40" i="2" s="1"/>
  <c r="F40" i="2" s="1"/>
  <c r="G38" i="2"/>
  <c r="E310" i="2"/>
  <c r="D311" i="2" s="1"/>
  <c r="F311" i="2" s="1"/>
  <c r="G309" i="2"/>
  <c r="H309" i="2" s="1"/>
  <c r="F310" i="2"/>
  <c r="H377" i="2"/>
  <c r="J377" i="2" s="1"/>
  <c r="E316" i="2"/>
  <c r="D317" i="2" s="1"/>
  <c r="F317" i="2" s="1"/>
  <c r="G315" i="2"/>
  <c r="F133" i="2"/>
  <c r="E133" i="2"/>
  <c r="D134" i="2" s="1"/>
  <c r="F134" i="2" s="1"/>
  <c r="H134" i="2" s="1"/>
  <c r="J134" i="2" s="1"/>
  <c r="G132" i="2"/>
  <c r="H132" i="2" s="1"/>
  <c r="J132" i="2" s="1"/>
  <c r="E85" i="2"/>
  <c r="G84" i="2"/>
  <c r="F160" i="2"/>
  <c r="H160" i="2" s="1"/>
  <c r="J160" i="2" s="1"/>
  <c r="E160" i="2"/>
  <c r="G159" i="2"/>
  <c r="H159" i="2" s="1"/>
  <c r="J159" i="2" s="1"/>
  <c r="E65" i="2"/>
  <c r="D66" i="2" s="1"/>
  <c r="F66" i="2" s="1"/>
  <c r="G64" i="2"/>
  <c r="E146" i="2"/>
  <c r="D147" i="2" s="1"/>
  <c r="F147" i="2" s="1"/>
  <c r="G145" i="2"/>
  <c r="E120" i="2"/>
  <c r="D121" i="2" s="1"/>
  <c r="F121" i="2" s="1"/>
  <c r="G119" i="2"/>
  <c r="E122" i="2"/>
  <c r="D123" i="2" s="1"/>
  <c r="F123" i="2" s="1"/>
  <c r="G121" i="2"/>
  <c r="F157" i="2"/>
  <c r="H157" i="2" s="1"/>
  <c r="J157" i="2" s="1"/>
  <c r="E157" i="2"/>
  <c r="D158" i="2" s="1"/>
  <c r="F158" i="2" s="1"/>
  <c r="H158" i="2" s="1"/>
  <c r="G156" i="2"/>
  <c r="F207" i="2"/>
  <c r="H207" i="2" s="1"/>
  <c r="J207" i="2" s="1"/>
  <c r="E207" i="2"/>
  <c r="G206" i="2"/>
  <c r="H206" i="2" s="1"/>
  <c r="E155" i="2"/>
  <c r="D156" i="2" s="1"/>
  <c r="F156" i="2" s="1"/>
  <c r="G154" i="2"/>
  <c r="E145" i="2"/>
  <c r="D146" i="2" s="1"/>
  <c r="F146" i="2" s="1"/>
  <c r="F145" i="2"/>
  <c r="G144" i="2"/>
  <c r="H144" i="2" s="1"/>
  <c r="J144" i="2" s="1"/>
  <c r="E288" i="2"/>
  <c r="D289" i="2" s="1"/>
  <c r="F289" i="2" s="1"/>
  <c r="H289" i="2" s="1"/>
  <c r="G287" i="2"/>
  <c r="H290" i="2"/>
  <c r="H322" i="2"/>
  <c r="J322" i="2" s="1"/>
  <c r="E138" i="2"/>
  <c r="D139" i="2" s="1"/>
  <c r="F139" i="2" s="1"/>
  <c r="H139" i="2" s="1"/>
  <c r="G137" i="2"/>
  <c r="E364" i="2"/>
  <c r="G363" i="2"/>
  <c r="H333" i="2"/>
  <c r="E280" i="2"/>
  <c r="D281" i="2" s="1"/>
  <c r="F281" i="2" s="1"/>
  <c r="G279" i="2"/>
  <c r="F166" i="2"/>
  <c r="E166" i="2"/>
  <c r="D167" i="2" s="1"/>
  <c r="F167" i="2" s="1"/>
  <c r="G165" i="2"/>
  <c r="E292" i="2"/>
  <c r="D293" i="2" s="1"/>
  <c r="F293" i="2" s="1"/>
  <c r="G291" i="2"/>
  <c r="H291" i="2" s="1"/>
  <c r="F292" i="2"/>
  <c r="F218" i="2"/>
  <c r="E218" i="2"/>
  <c r="D219" i="2" s="1"/>
  <c r="F219" i="2" s="1"/>
  <c r="H219" i="2" s="1"/>
  <c r="J219" i="2" s="1"/>
  <c r="G217" i="2"/>
  <c r="E49" i="2"/>
  <c r="D50" i="2" s="1"/>
  <c r="F50" i="2" s="1"/>
  <c r="G48" i="2"/>
  <c r="E293" i="2"/>
  <c r="D294" i="2" s="1"/>
  <c r="F294" i="2" s="1"/>
  <c r="G292" i="2"/>
  <c r="E363" i="2"/>
  <c r="D364" i="2" s="1"/>
  <c r="F364" i="2" s="1"/>
  <c r="H364" i="2" s="1"/>
  <c r="J364" i="2" s="1"/>
  <c r="G362" i="2"/>
  <c r="E121" i="2"/>
  <c r="D122" i="2" s="1"/>
  <c r="F122" i="2" s="1"/>
  <c r="H122" i="2" s="1"/>
  <c r="J122" i="2" s="1"/>
  <c r="G120" i="2"/>
  <c r="E181" i="2"/>
  <c r="D182" i="2" s="1"/>
  <c r="F182" i="2" s="1"/>
  <c r="G180" i="2"/>
  <c r="E263" i="2"/>
  <c r="D264" i="2" s="1"/>
  <c r="F264" i="2" s="1"/>
  <c r="G262" i="2"/>
  <c r="G328" i="2"/>
  <c r="E329" i="2"/>
  <c r="D330" i="2" s="1"/>
  <c r="F330" i="2" s="1"/>
  <c r="H330" i="2" s="1"/>
  <c r="E383" i="2"/>
  <c r="D384" i="2" s="1"/>
  <c r="F384" i="2" s="1"/>
  <c r="H384" i="2" s="1"/>
  <c r="J384" i="2" s="1"/>
  <c r="G382" i="2"/>
  <c r="G352" i="2"/>
  <c r="E353" i="2"/>
  <c r="D354" i="2" s="1"/>
  <c r="F354" i="2" s="1"/>
  <c r="G250" i="2"/>
  <c r="E251" i="2"/>
  <c r="D252" i="2" s="1"/>
  <c r="F252" i="2" s="1"/>
  <c r="F129" i="2"/>
  <c r="E129" i="2"/>
  <c r="D130" i="2" s="1"/>
  <c r="F130" i="2" s="1"/>
  <c r="H130" i="2" s="1"/>
  <c r="J130" i="2" s="1"/>
  <c r="G128" i="2"/>
  <c r="F69" i="2"/>
  <c r="E69" i="2"/>
  <c r="D70" i="2" s="1"/>
  <c r="F70" i="2" s="1"/>
  <c r="G68" i="2"/>
  <c r="H103" i="2"/>
  <c r="E50" i="2"/>
  <c r="D51" i="2" s="1"/>
  <c r="F51" i="2" s="1"/>
  <c r="G49" i="2"/>
  <c r="E55" i="2"/>
  <c r="D56" i="2" s="1"/>
  <c r="F56" i="2" s="1"/>
  <c r="G54" i="2"/>
  <c r="H54" i="2" s="1"/>
  <c r="F55" i="2"/>
  <c r="F282" i="2"/>
  <c r="E282" i="2"/>
  <c r="D283" i="2" s="1"/>
  <c r="F283" i="2" s="1"/>
  <c r="H283" i="2" s="1"/>
  <c r="J283" i="2" s="1"/>
  <c r="G281" i="2"/>
  <c r="F238" i="2"/>
  <c r="E238" i="2"/>
  <c r="D239" i="2" s="1"/>
  <c r="F239" i="2" s="1"/>
  <c r="H239" i="2" s="1"/>
  <c r="J239" i="2" s="1"/>
  <c r="G237" i="2"/>
  <c r="H237" i="2" s="1"/>
  <c r="J237" i="2" s="1"/>
  <c r="F117" i="2"/>
  <c r="E117" i="2"/>
  <c r="D118" i="2" s="1"/>
  <c r="F118" i="2" s="1"/>
  <c r="G116" i="2"/>
  <c r="E324" i="2"/>
  <c r="D325" i="2" s="1"/>
  <c r="F325" i="2" s="1"/>
  <c r="G323" i="2"/>
  <c r="H323" i="2" s="1"/>
  <c r="F324" i="2"/>
  <c r="F228" i="2"/>
  <c r="E228" i="2"/>
  <c r="D229" i="2" s="1"/>
  <c r="F229" i="2" s="1"/>
  <c r="H229" i="2" s="1"/>
  <c r="G227" i="2"/>
  <c r="E170" i="2"/>
  <c r="D171" i="2" s="1"/>
  <c r="F171" i="2" s="1"/>
  <c r="G169" i="2"/>
  <c r="E84" i="2"/>
  <c r="D85" i="2" s="1"/>
  <c r="F85" i="2" s="1"/>
  <c r="H85" i="2" s="1"/>
  <c r="J85" i="2" s="1"/>
  <c r="G83" i="2"/>
  <c r="F84" i="2"/>
  <c r="H87" i="2"/>
  <c r="E38" i="2"/>
  <c r="D39" i="2" s="1"/>
  <c r="F39" i="2" s="1"/>
  <c r="H39" i="2" s="1"/>
  <c r="J39" i="2" s="1"/>
  <c r="G37" i="2"/>
  <c r="F38" i="2"/>
  <c r="F189" i="2"/>
  <c r="E189" i="2"/>
  <c r="D190" i="2" s="1"/>
  <c r="F190" i="2" s="1"/>
  <c r="H190" i="2" s="1"/>
  <c r="J190" i="2" s="1"/>
  <c r="G188" i="2"/>
  <c r="H188" i="2" s="1"/>
  <c r="E239" i="2"/>
  <c r="D240" i="2" s="1"/>
  <c r="F240" i="2" s="1"/>
  <c r="G238" i="2"/>
  <c r="E219" i="2"/>
  <c r="D220" i="2" s="1"/>
  <c r="F220" i="2" s="1"/>
  <c r="G218" i="2"/>
  <c r="E177" i="2"/>
  <c r="D178" i="2" s="1"/>
  <c r="F178" i="2" s="1"/>
  <c r="G176" i="2"/>
  <c r="F287" i="2"/>
  <c r="E287" i="2"/>
  <c r="D288" i="2" s="1"/>
  <c r="F288" i="2" s="1"/>
  <c r="H288" i="2" s="1"/>
  <c r="J288" i="2" s="1"/>
  <c r="G286" i="2"/>
  <c r="H286" i="2" s="1"/>
  <c r="E58" i="2"/>
  <c r="D59" i="2" s="1"/>
  <c r="F59" i="2" s="1"/>
  <c r="H59" i="2" s="1"/>
  <c r="J59" i="2" s="1"/>
  <c r="G57" i="2"/>
  <c r="F355" i="2"/>
  <c r="G354" i="2"/>
  <c r="E355" i="2"/>
  <c r="D356" i="2" s="1"/>
  <c r="F356" i="2" s="1"/>
  <c r="H356" i="2" s="1"/>
  <c r="J356" i="2" s="1"/>
  <c r="G251" i="2"/>
  <c r="E252" i="2"/>
  <c r="D253" i="2" s="1"/>
  <c r="F253" i="2" s="1"/>
  <c r="G138" i="2"/>
  <c r="E139" i="2"/>
  <c r="D140" i="2" s="1"/>
  <c r="F140" i="2" s="1"/>
  <c r="H140" i="2" s="1"/>
  <c r="H106" i="2"/>
  <c r="E184" i="2"/>
  <c r="D185" i="2" s="1"/>
  <c r="F185" i="2" s="1"/>
  <c r="G183" i="2"/>
  <c r="G71" i="2"/>
  <c r="E72" i="2"/>
  <c r="D73" i="2" s="1"/>
  <c r="F73" i="2" s="1"/>
  <c r="G166" i="2"/>
  <c r="E167" i="2"/>
  <c r="D168" i="2" s="1"/>
  <c r="F168" i="2" s="1"/>
  <c r="G298" i="2"/>
  <c r="E299" i="2"/>
  <c r="D300" i="2" s="1"/>
  <c r="F300" i="2" s="1"/>
  <c r="E294" i="2"/>
  <c r="D295" i="2" s="1"/>
  <c r="F295" i="2" s="1"/>
  <c r="H295" i="2" s="1"/>
  <c r="J295" i="2" s="1"/>
  <c r="G293" i="2"/>
  <c r="F113" i="2"/>
  <c r="E113" i="2"/>
  <c r="D114" i="2" s="1"/>
  <c r="F114" i="2" s="1"/>
  <c r="G112" i="2"/>
  <c r="H112" i="2" s="1"/>
  <c r="H89" i="2"/>
  <c r="H334" i="2"/>
  <c r="H338" i="2"/>
  <c r="H32" i="1"/>
  <c r="J32" i="1" s="1"/>
  <c r="H112" i="1"/>
  <c r="J112" i="1" s="1"/>
  <c r="H104" i="1"/>
  <c r="H140" i="1"/>
  <c r="J140" i="1" s="1"/>
  <c r="H270" i="1"/>
  <c r="J270" i="1" s="1"/>
  <c r="H238" i="1"/>
  <c r="J238" i="1" s="1"/>
  <c r="H31" i="1"/>
  <c r="H336" i="1"/>
  <c r="H33" i="1"/>
  <c r="J33" i="1" s="1"/>
  <c r="E53" i="1"/>
  <c r="D54" i="1" s="1"/>
  <c r="F54" i="1" s="1"/>
  <c r="G52" i="1"/>
  <c r="G330" i="1"/>
  <c r="E331" i="1"/>
  <c r="D332" i="1" s="1"/>
  <c r="F332" i="1" s="1"/>
  <c r="I384" i="1"/>
  <c r="E384" i="1"/>
  <c r="G383" i="1"/>
  <c r="F384" i="1"/>
  <c r="H384" i="1" s="1"/>
  <c r="J384" i="1" s="1"/>
  <c r="F20" i="1"/>
  <c r="H20" i="1" s="1"/>
  <c r="I20" i="1" s="1"/>
  <c r="E20" i="1"/>
  <c r="H122" i="1"/>
  <c r="J122" i="1" s="1"/>
  <c r="F77" i="1"/>
  <c r="H77" i="1" s="1"/>
  <c r="J77" i="1" s="1"/>
  <c r="E77" i="1"/>
  <c r="D78" i="1" s="1"/>
  <c r="F78" i="1" s="1"/>
  <c r="G76" i="1"/>
  <c r="H276" i="1"/>
  <c r="J276" i="1" s="1"/>
  <c r="F199" i="1"/>
  <c r="H199" i="1" s="1"/>
  <c r="J199" i="1" s="1"/>
  <c r="G198" i="1"/>
  <c r="E199" i="1"/>
  <c r="F68" i="1"/>
  <c r="E68" i="1"/>
  <c r="D69" i="1" s="1"/>
  <c r="F69" i="1" s="1"/>
  <c r="G67" i="1"/>
  <c r="E362" i="1"/>
  <c r="D363" i="1" s="1"/>
  <c r="G361" i="1"/>
  <c r="E286" i="1"/>
  <c r="D287" i="1" s="1"/>
  <c r="G285" i="1"/>
  <c r="H285" i="1" s="1"/>
  <c r="J285" i="1" s="1"/>
  <c r="F286" i="1"/>
  <c r="F264" i="1"/>
  <c r="E264" i="1"/>
  <c r="D265" i="1" s="1"/>
  <c r="F265" i="1" s="1"/>
  <c r="G263" i="1"/>
  <c r="H263" i="1" s="1"/>
  <c r="J263" i="1" s="1"/>
  <c r="E118" i="1"/>
  <c r="D119" i="1" s="1"/>
  <c r="F119" i="1" s="1"/>
  <c r="G117" i="1"/>
  <c r="E106" i="1"/>
  <c r="D107" i="1" s="1"/>
  <c r="F107" i="1" s="1"/>
  <c r="G105" i="1"/>
  <c r="H105" i="1" s="1"/>
  <c r="J105" i="1" s="1"/>
  <c r="F106" i="1"/>
  <c r="H106" i="1" s="1"/>
  <c r="J106" i="1" s="1"/>
  <c r="E23" i="1"/>
  <c r="D24" i="1" s="1"/>
  <c r="F24" i="1" s="1"/>
  <c r="G22" i="1"/>
  <c r="H22" i="1" s="1"/>
  <c r="J22" i="1" s="1"/>
  <c r="F23" i="1"/>
  <c r="H23" i="1" s="1"/>
  <c r="J23" i="1" s="1"/>
  <c r="F143" i="1"/>
  <c r="H143" i="1" s="1"/>
  <c r="J143" i="1" s="1"/>
  <c r="E143" i="1"/>
  <c r="D144" i="1" s="1"/>
  <c r="F144" i="1" s="1"/>
  <c r="G142" i="1"/>
  <c r="H142" i="1" s="1"/>
  <c r="J142" i="1" s="1"/>
  <c r="H137" i="1"/>
  <c r="J137" i="1" s="1"/>
  <c r="H131" i="1"/>
  <c r="H290" i="1"/>
  <c r="J290" i="1" s="1"/>
  <c r="H380" i="1"/>
  <c r="J380" i="1" s="1"/>
  <c r="H368" i="1"/>
  <c r="E376" i="1"/>
  <c r="D377" i="1" s="1"/>
  <c r="G375" i="1"/>
  <c r="F376" i="1"/>
  <c r="E224" i="1"/>
  <c r="D225" i="1" s="1"/>
  <c r="G223" i="1"/>
  <c r="E191" i="1"/>
  <c r="G190" i="1"/>
  <c r="F52" i="1"/>
  <c r="E52" i="1"/>
  <c r="D53" i="1" s="1"/>
  <c r="F53" i="1" s="1"/>
  <c r="H53" i="1" s="1"/>
  <c r="J53" i="1" s="1"/>
  <c r="G51" i="1"/>
  <c r="H51" i="1" s="1"/>
  <c r="F90" i="1"/>
  <c r="H90" i="1" s="1"/>
  <c r="J90" i="1" s="1"/>
  <c r="E90" i="1"/>
  <c r="D91" i="1" s="1"/>
  <c r="F91" i="1" s="1"/>
  <c r="G89" i="1"/>
  <c r="E36" i="1"/>
  <c r="D37" i="1" s="1"/>
  <c r="F37" i="1" s="1"/>
  <c r="H37" i="1" s="1"/>
  <c r="J37" i="1" s="1"/>
  <c r="G35" i="1"/>
  <c r="H130" i="1"/>
  <c r="J130" i="1" s="1"/>
  <c r="H308" i="1"/>
  <c r="J308" i="1" s="1"/>
  <c r="E382" i="1"/>
  <c r="D383" i="1" s="1"/>
  <c r="F383" i="1" s="1"/>
  <c r="G381" i="1"/>
  <c r="H381" i="1" s="1"/>
  <c r="J381" i="1" s="1"/>
  <c r="F382" i="1"/>
  <c r="H382" i="1" s="1"/>
  <c r="J382" i="1" s="1"/>
  <c r="F344" i="1"/>
  <c r="H344" i="1" s="1"/>
  <c r="J344" i="1" s="1"/>
  <c r="E344" i="1"/>
  <c r="G343" i="1"/>
  <c r="E265" i="1"/>
  <c r="D266" i="1" s="1"/>
  <c r="F266" i="1" s="1"/>
  <c r="H266" i="1" s="1"/>
  <c r="J266" i="1" s="1"/>
  <c r="G264" i="1"/>
  <c r="H204" i="1"/>
  <c r="F189" i="1"/>
  <c r="G188" i="1"/>
  <c r="H188" i="1" s="1"/>
  <c r="J188" i="1" s="1"/>
  <c r="E189" i="1"/>
  <c r="D190" i="1" s="1"/>
  <c r="F190" i="1" s="1"/>
  <c r="E210" i="1"/>
  <c r="D211" i="1" s="1"/>
  <c r="F211" i="1" s="1"/>
  <c r="G209" i="1"/>
  <c r="C92" i="1"/>
  <c r="C98" i="1"/>
  <c r="H138" i="1"/>
  <c r="J138" i="1" s="1"/>
  <c r="H132" i="1"/>
  <c r="H256" i="1"/>
  <c r="J256" i="1" s="1"/>
  <c r="H326" i="1"/>
  <c r="I276" i="1"/>
  <c r="E370" i="1"/>
  <c r="D371" i="1" s="1"/>
  <c r="G369" i="1"/>
  <c r="H369" i="1" s="1"/>
  <c r="J369" i="1" s="1"/>
  <c r="F370" i="1"/>
  <c r="E232" i="1"/>
  <c r="D233" i="1" s="1"/>
  <c r="F233" i="1" s="1"/>
  <c r="G231" i="1"/>
  <c r="H231" i="1" s="1"/>
  <c r="J231" i="1" s="1"/>
  <c r="F232" i="1"/>
  <c r="H232" i="1" s="1"/>
  <c r="J232" i="1" s="1"/>
  <c r="E40" i="1"/>
  <c r="D41" i="1" s="1"/>
  <c r="F41" i="1" s="1"/>
  <c r="H41" i="1" s="1"/>
  <c r="J41" i="1" s="1"/>
  <c r="G39" i="1"/>
  <c r="F28" i="1"/>
  <c r="E28" i="1"/>
  <c r="D29" i="1" s="1"/>
  <c r="F29" i="1" s="1"/>
  <c r="H29" i="1" s="1"/>
  <c r="J29" i="1" s="1"/>
  <c r="G27" i="1"/>
  <c r="G320" i="1"/>
  <c r="E321" i="1"/>
  <c r="D322" i="1" s="1"/>
  <c r="F322" i="1" s="1"/>
  <c r="E37" i="1"/>
  <c r="D38" i="1" s="1"/>
  <c r="F38" i="1" s="1"/>
  <c r="G36" i="1"/>
  <c r="H327" i="1"/>
  <c r="J327" i="1" s="1"/>
  <c r="F79" i="1"/>
  <c r="E79" i="1"/>
  <c r="D80" i="1" s="1"/>
  <c r="F80" i="1" s="1"/>
  <c r="G78" i="1"/>
  <c r="F342" i="1"/>
  <c r="H342" i="1" s="1"/>
  <c r="J342" i="1" s="1"/>
  <c r="E342" i="1"/>
  <c r="D343" i="1" s="1"/>
  <c r="F343" i="1" s="1"/>
  <c r="G341" i="1"/>
  <c r="H341" i="1" s="1"/>
  <c r="J341" i="1" s="1"/>
  <c r="G322" i="1"/>
  <c r="F323" i="1"/>
  <c r="H323" i="1" s="1"/>
  <c r="J323" i="1" s="1"/>
  <c r="E323" i="1"/>
  <c r="G208" i="1"/>
  <c r="E209" i="1"/>
  <c r="D210" i="1" s="1"/>
  <c r="F210" i="1" s="1"/>
  <c r="H210" i="1" s="1"/>
  <c r="J210" i="1" s="1"/>
  <c r="H229" i="1"/>
  <c r="J229" i="1" s="1"/>
  <c r="H221" i="1"/>
  <c r="E190" i="1"/>
  <c r="D191" i="1" s="1"/>
  <c r="F191" i="1" s="1"/>
  <c r="H191" i="1" s="1"/>
  <c r="J191" i="1" s="1"/>
  <c r="G189" i="1"/>
  <c r="F65" i="1"/>
  <c r="E65" i="1"/>
  <c r="D66" i="1" s="1"/>
  <c r="G64" i="1"/>
  <c r="E55" i="1"/>
  <c r="D56" i="1" s="1"/>
  <c r="G54" i="1"/>
  <c r="F55" i="1"/>
  <c r="E176" i="1"/>
  <c r="D177" i="1" s="1"/>
  <c r="G175" i="1"/>
  <c r="H175" i="1" s="1"/>
  <c r="F176" i="1"/>
  <c r="E360" i="1"/>
  <c r="D361" i="1" s="1"/>
  <c r="G359" i="1"/>
  <c r="H269" i="1"/>
  <c r="J269" i="1" s="1"/>
  <c r="E242" i="1"/>
  <c r="D243" i="1" s="1"/>
  <c r="G241" i="1"/>
  <c r="F242" i="1"/>
  <c r="F208" i="1"/>
  <c r="E208" i="1"/>
  <c r="D209" i="1" s="1"/>
  <c r="F209" i="1" s="1"/>
  <c r="G207" i="1"/>
  <c r="C154" i="1"/>
  <c r="C250" i="1"/>
  <c r="C99" i="1"/>
  <c r="C125" i="1"/>
  <c r="C157" i="1"/>
  <c r="C177" i="1"/>
  <c r="C148" i="1"/>
  <c r="C164" i="1"/>
  <c r="C258" i="1"/>
  <c r="C173" i="1"/>
  <c r="C246" i="1"/>
  <c r="C223" i="1"/>
  <c r="C272" i="1"/>
  <c r="C318" i="1"/>
  <c r="C315" i="1"/>
  <c r="C333" i="1"/>
  <c r="C349" i="1"/>
  <c r="C365" i="1"/>
  <c r="C371" i="1"/>
  <c r="C247" i="1"/>
  <c r="C280" i="1"/>
  <c r="C314" i="1"/>
  <c r="C311" i="1"/>
  <c r="C56" i="1"/>
  <c r="C73" i="1"/>
  <c r="C39" i="1"/>
  <c r="C66" i="1"/>
  <c r="C178" i="1"/>
  <c r="C158" i="1"/>
  <c r="C184" i="1"/>
  <c r="C295" i="1"/>
  <c r="C145" i="1"/>
  <c r="C161" i="1"/>
  <c r="C181" i="1"/>
  <c r="C254" i="1"/>
  <c r="C253" i="1"/>
  <c r="C235" i="1"/>
  <c r="C301" i="1"/>
  <c r="C299" i="1"/>
  <c r="C359" i="1"/>
  <c r="C128" i="1"/>
  <c r="C361" i="1"/>
  <c r="C146" i="1"/>
  <c r="C162" i="1"/>
  <c r="C95" i="1"/>
  <c r="C124" i="1"/>
  <c r="C217" i="1"/>
  <c r="C179" i="1"/>
  <c r="C243" i="1"/>
  <c r="C259" i="1"/>
  <c r="C283" i="1"/>
  <c r="C373" i="1"/>
  <c r="C363" i="1"/>
  <c r="C354" i="1"/>
  <c r="C240" i="1"/>
  <c r="C202" i="1"/>
  <c r="C35" i="1"/>
  <c r="C83" i="1"/>
  <c r="C57" i="1"/>
  <c r="C88" i="1"/>
  <c r="C135" i="1"/>
  <c r="C109" i="1"/>
  <c r="C166" i="1"/>
  <c r="C180" i="1"/>
  <c r="C169" i="1"/>
  <c r="C245" i="1"/>
  <c r="C287" i="1"/>
  <c r="C25" i="1"/>
  <c r="C26" i="1"/>
  <c r="C150" i="1"/>
  <c r="C225" i="1"/>
  <c r="C377" i="1"/>
  <c r="E80" i="1"/>
  <c r="D81" i="1" s="1"/>
  <c r="G79" i="1"/>
  <c r="C44" i="1"/>
  <c r="H113" i="1"/>
  <c r="H141" i="1"/>
  <c r="H230" i="1"/>
  <c r="H268" i="1"/>
  <c r="J268" i="1" s="1"/>
  <c r="H340" i="1"/>
  <c r="H352" i="1"/>
  <c r="J352" i="1" s="1"/>
  <c r="C374" i="1"/>
  <c r="G328" i="1"/>
  <c r="H328" i="1" s="1"/>
  <c r="J328" i="1" s="1"/>
  <c r="F329" i="1"/>
  <c r="E329" i="1"/>
  <c r="D330" i="1" s="1"/>
  <c r="F330" i="1" s="1"/>
  <c r="E266" i="1"/>
  <c r="G265" i="1"/>
  <c r="C196" i="1"/>
  <c r="E116" i="1"/>
  <c r="D117" i="1" s="1"/>
  <c r="F117" i="1" s="1"/>
  <c r="G115" i="1"/>
  <c r="H115" i="1" s="1"/>
  <c r="J115" i="1" s="1"/>
  <c r="F116" i="1"/>
  <c r="C81" i="1"/>
  <c r="C120" i="1"/>
  <c r="E69" i="1"/>
  <c r="D70" i="1" s="1"/>
  <c r="F70" i="1" s="1"/>
  <c r="H70" i="1" s="1"/>
  <c r="J70" i="1" s="1"/>
  <c r="G68" i="1"/>
  <c r="H219" i="1"/>
  <c r="J219" i="1" s="1"/>
  <c r="H139" i="1"/>
  <c r="J139" i="1" s="1"/>
  <c r="H171" i="1"/>
  <c r="J171" i="1" s="1"/>
  <c r="H227" i="1"/>
  <c r="J227" i="1" s="1"/>
  <c r="H297" i="1"/>
  <c r="J297" i="1" s="1"/>
  <c r="H309" i="1"/>
  <c r="J309" i="1" s="1"/>
  <c r="H306" i="1"/>
  <c r="J306" i="1" s="1"/>
  <c r="H356" i="1"/>
  <c r="H335" i="1"/>
  <c r="J335" i="1" s="1"/>
  <c r="I263" i="1"/>
  <c r="H193" i="1"/>
  <c r="H346" i="1"/>
  <c r="H152" i="1"/>
  <c r="J152" i="1" s="1"/>
  <c r="F212" i="1"/>
  <c r="H212" i="1" s="1"/>
  <c r="J212" i="1" s="1"/>
  <c r="E212" i="1"/>
  <c r="G211" i="1"/>
  <c r="F320" i="1"/>
  <c r="G319" i="1"/>
  <c r="E320" i="1"/>
  <c r="D321" i="1" s="1"/>
  <c r="F321" i="1" s="1"/>
  <c r="H321" i="1" s="1"/>
  <c r="J321" i="1" s="1"/>
  <c r="E70" i="1"/>
  <c r="G69" i="1"/>
  <c r="F348" i="1"/>
  <c r="E348" i="1"/>
  <c r="D349" i="1" s="1"/>
  <c r="G347" i="1"/>
  <c r="H347" i="1" s="1"/>
  <c r="J347" i="1" s="1"/>
  <c r="E197" i="1"/>
  <c r="D198" i="1" s="1"/>
  <c r="F198" i="1" s="1"/>
  <c r="G196" i="1"/>
  <c r="E102" i="1"/>
  <c r="G101" i="1"/>
  <c r="H101" i="1" s="1"/>
  <c r="J101" i="1" s="1"/>
  <c r="F102" i="1"/>
  <c r="H102" i="1" s="1"/>
  <c r="J102" i="1" s="1"/>
  <c r="F75" i="1"/>
  <c r="H75" i="1" s="1"/>
  <c r="J75" i="1" s="1"/>
  <c r="E75" i="1"/>
  <c r="D76" i="1" s="1"/>
  <c r="F76" i="1" s="1"/>
  <c r="G74" i="1"/>
  <c r="F87" i="1"/>
  <c r="E87" i="1"/>
  <c r="D88" i="1" s="1"/>
  <c r="G86" i="1"/>
  <c r="E159" i="1"/>
  <c r="D160" i="1" s="1"/>
  <c r="F160" i="1" s="1"/>
  <c r="G158" i="1"/>
  <c r="H278" i="1"/>
  <c r="J278" i="1" s="1"/>
  <c r="E378" i="1"/>
  <c r="G377" i="1"/>
  <c r="F338" i="1"/>
  <c r="H338" i="1" s="1"/>
  <c r="J338" i="1" s="1"/>
  <c r="E338" i="1"/>
  <c r="G337" i="1"/>
  <c r="H337" i="1" s="1"/>
  <c r="J337" i="1" s="1"/>
  <c r="E292" i="1"/>
  <c r="G291" i="1"/>
  <c r="H291" i="1" s="1"/>
  <c r="J291" i="1" s="1"/>
  <c r="F292" i="1"/>
  <c r="H292" i="1" s="1"/>
  <c r="J292" i="1" s="1"/>
  <c r="E185" i="1"/>
  <c r="G184" i="1"/>
  <c r="E108" i="1"/>
  <c r="D109" i="1" s="1"/>
  <c r="G107" i="1"/>
  <c r="F108" i="1"/>
  <c r="H50" i="1"/>
  <c r="G40" i="1"/>
  <c r="E41" i="1"/>
  <c r="E29" i="1"/>
  <c r="G28" i="1"/>
  <c r="E117" i="1"/>
  <c r="D118" i="1" s="1"/>
  <c r="F118" i="1" s="1"/>
  <c r="H118" i="1" s="1"/>
  <c r="J118" i="1" s="1"/>
  <c r="G116" i="1"/>
  <c r="E47" i="1"/>
  <c r="D48" i="1" s="1"/>
  <c r="G46" i="1"/>
  <c r="H367" i="1"/>
  <c r="J367" i="1" s="1"/>
  <c r="H351" i="1"/>
  <c r="J351" i="1" s="1"/>
  <c r="G329" i="1"/>
  <c r="E330" i="1"/>
  <c r="D331" i="1" s="1"/>
  <c r="F331" i="1" s="1"/>
  <c r="H331" i="1" s="1"/>
  <c r="J331" i="1" s="1"/>
  <c r="H325" i="1"/>
  <c r="F215" i="1"/>
  <c r="H215" i="1" s="1"/>
  <c r="J215" i="1" s="1"/>
  <c r="G214" i="1"/>
  <c r="H214" i="1" s="1"/>
  <c r="J214" i="1" s="1"/>
  <c r="E215" i="1"/>
  <c r="D216" i="1" s="1"/>
  <c r="F216" i="1" s="1"/>
  <c r="E110" i="1"/>
  <c r="G109" i="1"/>
  <c r="F62" i="1"/>
  <c r="E62" i="1"/>
  <c r="D63" i="1" s="1"/>
  <c r="G61" i="1"/>
  <c r="F46" i="1"/>
  <c r="E46" i="1"/>
  <c r="D47" i="1" s="1"/>
  <c r="F47" i="1" s="1"/>
  <c r="G45" i="1"/>
  <c r="F60" i="1"/>
  <c r="H60" i="1" s="1"/>
  <c r="J60" i="1" s="1"/>
  <c r="E60" i="1"/>
  <c r="D61" i="1" s="1"/>
  <c r="F61" i="1" s="1"/>
  <c r="G59" i="1"/>
  <c r="H59" i="1" s="1"/>
  <c r="J59" i="1" s="1"/>
  <c r="H220" i="1"/>
  <c r="J220" i="1" s="1"/>
  <c r="H274" i="1"/>
  <c r="C358" i="1"/>
  <c r="E304" i="1"/>
  <c r="G303" i="1"/>
  <c r="H303" i="1" s="1"/>
  <c r="J303" i="1" s="1"/>
  <c r="F304" i="1"/>
  <c r="H304" i="1" s="1"/>
  <c r="J304" i="1" s="1"/>
  <c r="C234" i="1"/>
  <c r="H261" i="1"/>
  <c r="J261" i="1" s="1"/>
  <c r="C206" i="1"/>
  <c r="C48" i="1"/>
  <c r="C85" i="1"/>
  <c r="H114" i="1"/>
  <c r="J114" i="1" s="1"/>
  <c r="H228" i="1"/>
  <c r="J228" i="1" s="1"/>
  <c r="H277" i="1"/>
  <c r="J277" i="1" s="1"/>
  <c r="H262" i="1"/>
  <c r="H307" i="1"/>
  <c r="J307" i="1" s="1"/>
  <c r="H194" i="1"/>
  <c r="J194" i="1" s="1"/>
  <c r="H237" i="1"/>
  <c r="J237" i="1" s="1"/>
  <c r="H133" i="1"/>
  <c r="J133" i="1" s="1"/>
  <c r="H275" i="1"/>
  <c r="J275" i="1" s="1"/>
  <c r="H187" i="1"/>
  <c r="J187" i="1" s="1"/>
  <c r="H289" i="1"/>
  <c r="J289" i="1" s="1"/>
  <c r="C63" i="1"/>
  <c r="I378" i="3" l="1"/>
  <c r="K378" i="3" s="1"/>
  <c r="I370" i="3"/>
  <c r="K370" i="3" s="1"/>
  <c r="D386" i="3"/>
  <c r="K340" i="3"/>
  <c r="K290" i="3"/>
  <c r="H386" i="3"/>
  <c r="K384" i="3"/>
  <c r="I108" i="2"/>
  <c r="K108" i="2" s="1"/>
  <c r="K364" i="3"/>
  <c r="K240" i="3"/>
  <c r="K128" i="3"/>
  <c r="K138" i="3"/>
  <c r="K25" i="3"/>
  <c r="K228" i="3"/>
  <c r="K69" i="3"/>
  <c r="K111" i="3"/>
  <c r="K334" i="3"/>
  <c r="K304" i="3"/>
  <c r="K183" i="3"/>
  <c r="K191" i="3"/>
  <c r="K166" i="3"/>
  <c r="K104" i="3"/>
  <c r="K243" i="3"/>
  <c r="K120" i="3"/>
  <c r="K37" i="3"/>
  <c r="K374" i="3"/>
  <c r="K123" i="3"/>
  <c r="K218" i="3"/>
  <c r="K71" i="3"/>
  <c r="K227" i="3"/>
  <c r="K144" i="3"/>
  <c r="K47" i="3"/>
  <c r="K112" i="3"/>
  <c r="K49" i="3"/>
  <c r="K331" i="3"/>
  <c r="K266" i="3"/>
  <c r="K88" i="3"/>
  <c r="K256" i="3"/>
  <c r="K216" i="3"/>
  <c r="K167" i="3"/>
  <c r="K97" i="3"/>
  <c r="K252" i="3"/>
  <c r="K79" i="3"/>
  <c r="K222" i="3"/>
  <c r="K330" i="3"/>
  <c r="K293" i="3"/>
  <c r="K194" i="3"/>
  <c r="K280" i="3"/>
  <c r="K187" i="3"/>
  <c r="K63" i="3"/>
  <c r="K198" i="3"/>
  <c r="K95" i="3"/>
  <c r="K98" i="3"/>
  <c r="K197" i="3"/>
  <c r="K67" i="3"/>
  <c r="K31" i="3"/>
  <c r="K265" i="3"/>
  <c r="K78" i="3"/>
  <c r="K132" i="3"/>
  <c r="K196" i="3"/>
  <c r="K38" i="3"/>
  <c r="K212" i="3"/>
  <c r="K322" i="3"/>
  <c r="K143" i="3"/>
  <c r="K181" i="3"/>
  <c r="K24" i="3"/>
  <c r="K305" i="3"/>
  <c r="K147" i="3"/>
  <c r="K238" i="3"/>
  <c r="K257" i="3"/>
  <c r="K129" i="3"/>
  <c r="K249" i="3"/>
  <c r="K65" i="3"/>
  <c r="K151" i="3"/>
  <c r="K375" i="3"/>
  <c r="K306" i="3"/>
  <c r="K177" i="3"/>
  <c r="K326" i="3"/>
  <c r="K179" i="3"/>
  <c r="K246" i="3"/>
  <c r="K51" i="3"/>
  <c r="K44" i="3"/>
  <c r="K117" i="3"/>
  <c r="K361" i="3"/>
  <c r="K284" i="3"/>
  <c r="K190" i="3"/>
  <c r="K75" i="3"/>
  <c r="K184" i="3"/>
  <c r="K130" i="3"/>
  <c r="K343" i="3"/>
  <c r="K202" i="3"/>
  <c r="K135" i="3"/>
  <c r="K316" i="3"/>
  <c r="K40" i="3"/>
  <c r="K237" i="3"/>
  <c r="K113" i="3"/>
  <c r="K342" i="3"/>
  <c r="K193" i="3"/>
  <c r="K107" i="3"/>
  <c r="K262" i="3"/>
  <c r="K220" i="3"/>
  <c r="K185" i="3"/>
  <c r="K272" i="3"/>
  <c r="K339" i="3"/>
  <c r="K232" i="3"/>
  <c r="K230" i="3"/>
  <c r="K68" i="3"/>
  <c r="K250" i="3"/>
  <c r="K277" i="3"/>
  <c r="K333" i="3"/>
  <c r="K32" i="3"/>
  <c r="K311" i="3"/>
  <c r="K367" i="3"/>
  <c r="K268" i="3"/>
  <c r="K359" i="3"/>
  <c r="K263" i="3"/>
  <c r="K234" i="3"/>
  <c r="K161" i="3"/>
  <c r="K350" i="3"/>
  <c r="K36" i="3"/>
  <c r="K366" i="3"/>
  <c r="K313" i="3"/>
  <c r="K358" i="3"/>
  <c r="K175" i="3"/>
  <c r="K278" i="3"/>
  <c r="K145" i="3"/>
  <c r="K335" i="3"/>
  <c r="K73" i="3"/>
  <c r="K106" i="3"/>
  <c r="K314" i="3"/>
  <c r="K321" i="3"/>
  <c r="K200" i="3"/>
  <c r="K83" i="3"/>
  <c r="K45" i="3"/>
  <c r="K271" i="3"/>
  <c r="K204" i="3"/>
  <c r="K369" i="3"/>
  <c r="K133" i="3"/>
  <c r="K43" i="3"/>
  <c r="K210" i="3"/>
  <c r="K192" i="3"/>
  <c r="K139" i="3"/>
  <c r="K131" i="3"/>
  <c r="K21" i="3"/>
  <c r="K320" i="3"/>
  <c r="K281" i="3"/>
  <c r="K153" i="3"/>
  <c r="K127" i="3"/>
  <c r="K247" i="3"/>
  <c r="K157" i="3"/>
  <c r="K273" i="3"/>
  <c r="K203" i="3"/>
  <c r="K186" i="3"/>
  <c r="K307" i="3"/>
  <c r="K270" i="3"/>
  <c r="K152" i="3"/>
  <c r="K87" i="3"/>
  <c r="K55" i="3"/>
  <c r="K46" i="3"/>
  <c r="K188" i="3"/>
  <c r="K274" i="3"/>
  <c r="K149" i="3"/>
  <c r="K141" i="3"/>
  <c r="K344" i="3"/>
  <c r="K248" i="3"/>
  <c r="K171" i="3"/>
  <c r="K173" i="3"/>
  <c r="J386" i="3"/>
  <c r="K125" i="3"/>
  <c r="K64" i="3"/>
  <c r="K195" i="3"/>
  <c r="K159" i="3"/>
  <c r="K221" i="3"/>
  <c r="K383" i="3"/>
  <c r="K72" i="3"/>
  <c r="K170" i="3"/>
  <c r="K310" i="3"/>
  <c r="K373" i="3"/>
  <c r="K199" i="3"/>
  <c r="K26" i="3"/>
  <c r="K242" i="3"/>
  <c r="K154" i="3"/>
  <c r="K91" i="3"/>
  <c r="K303" i="3"/>
  <c r="K174" i="3"/>
  <c r="K80" i="3"/>
  <c r="K282" i="3"/>
  <c r="K206" i="3"/>
  <c r="K178" i="3"/>
  <c r="K99" i="3"/>
  <c r="K325" i="3"/>
  <c r="K283" i="3"/>
  <c r="K103" i="3"/>
  <c r="K260" i="3"/>
  <c r="K299" i="3"/>
  <c r="K291" i="3"/>
  <c r="K160" i="3"/>
  <c r="K318" i="3"/>
  <c r="K226" i="3"/>
  <c r="K244" i="3"/>
  <c r="K163" i="3"/>
  <c r="K59" i="3"/>
  <c r="K319" i="3"/>
  <c r="K382" i="3"/>
  <c r="K332" i="3"/>
  <c r="K349" i="3"/>
  <c r="K236" i="3"/>
  <c r="K30" i="3"/>
  <c r="K301" i="3"/>
  <c r="K180" i="3"/>
  <c r="K155" i="3"/>
  <c r="K365" i="3"/>
  <c r="K264" i="3"/>
  <c r="K276" i="3"/>
  <c r="K35" i="3"/>
  <c r="K363" i="3"/>
  <c r="K215" i="3"/>
  <c r="K224" i="3"/>
  <c r="K169" i="3"/>
  <c r="I246" i="2"/>
  <c r="K246" i="2" s="1"/>
  <c r="H154" i="2"/>
  <c r="J154" i="2" s="1"/>
  <c r="I273" i="2"/>
  <c r="K273" i="2" s="1"/>
  <c r="H116" i="2"/>
  <c r="J116" i="2" s="1"/>
  <c r="I45" i="2"/>
  <c r="K45" i="2" s="1"/>
  <c r="H183" i="2"/>
  <c r="J183" i="2" s="1"/>
  <c r="I236" i="2"/>
  <c r="K236" i="2" s="1"/>
  <c r="I105" i="2"/>
  <c r="K105" i="2" s="1"/>
  <c r="H298" i="2"/>
  <c r="J298" i="2" s="1"/>
  <c r="I224" i="2"/>
  <c r="K224" i="2" s="1"/>
  <c r="I263" i="2"/>
  <c r="K263" i="2" s="1"/>
  <c r="H250" i="2"/>
  <c r="J250" i="2" s="1"/>
  <c r="I181" i="2"/>
  <c r="K181" i="2" s="1"/>
  <c r="I349" i="2"/>
  <c r="K349" i="2" s="1"/>
  <c r="I27" i="2"/>
  <c r="K27" i="2" s="1"/>
  <c r="I278" i="2"/>
  <c r="K278" i="2" s="1"/>
  <c r="H241" i="2"/>
  <c r="J241" i="2" s="1"/>
  <c r="H362" i="2"/>
  <c r="J362" i="2" s="1"/>
  <c r="I209" i="2"/>
  <c r="K209" i="2" s="1"/>
  <c r="I24" i="2"/>
  <c r="K24" i="2" s="1"/>
  <c r="I207" i="2"/>
  <c r="K207" i="2" s="1"/>
  <c r="J338" i="2"/>
  <c r="I338" i="2"/>
  <c r="I377" i="2"/>
  <c r="K377" i="2" s="1"/>
  <c r="I74" i="2"/>
  <c r="K74" i="2" s="1"/>
  <c r="I29" i="2"/>
  <c r="K29" i="2" s="1"/>
  <c r="I219" i="2"/>
  <c r="K219" i="2" s="1"/>
  <c r="I157" i="2"/>
  <c r="K157" i="2" s="1"/>
  <c r="I170" i="2"/>
  <c r="K170" i="2" s="1"/>
  <c r="H203" i="2"/>
  <c r="H174" i="2"/>
  <c r="J174" i="2" s="1"/>
  <c r="I370" i="2"/>
  <c r="K370" i="2" s="1"/>
  <c r="I100" i="2"/>
  <c r="K100" i="2" s="1"/>
  <c r="I77" i="2"/>
  <c r="K77" i="2" s="1"/>
  <c r="I198" i="2"/>
  <c r="K198" i="2" s="1"/>
  <c r="I90" i="2"/>
  <c r="K90" i="2" s="1"/>
  <c r="I248" i="2"/>
  <c r="K248" i="2" s="1"/>
  <c r="I304" i="2"/>
  <c r="K304" i="2" s="1"/>
  <c r="H292" i="2"/>
  <c r="J292" i="2" s="1"/>
  <c r="I160" i="2"/>
  <c r="K160" i="2" s="1"/>
  <c r="I190" i="2"/>
  <c r="K190" i="2" s="1"/>
  <c r="I322" i="2"/>
  <c r="K322" i="2" s="1"/>
  <c r="H83" i="2"/>
  <c r="J83" i="2" s="1"/>
  <c r="I280" i="2"/>
  <c r="K280" i="2" s="1"/>
  <c r="J331" i="2"/>
  <c r="I331" i="2"/>
  <c r="I110" i="2"/>
  <c r="K110" i="2" s="1"/>
  <c r="H217" i="2"/>
  <c r="J217" i="2" s="1"/>
  <c r="I232" i="2"/>
  <c r="K232" i="2" s="1"/>
  <c r="H267" i="2"/>
  <c r="J267" i="2" s="1"/>
  <c r="H354" i="2"/>
  <c r="J354" i="2" s="1"/>
  <c r="I329" i="2"/>
  <c r="K329" i="2" s="1"/>
  <c r="H149" i="2"/>
  <c r="I353" i="2"/>
  <c r="K353" i="2" s="1"/>
  <c r="H340" i="2"/>
  <c r="J340" i="2" s="1"/>
  <c r="H221" i="2"/>
  <c r="I109" i="2"/>
  <c r="K109" i="2" s="1"/>
  <c r="I213" i="2"/>
  <c r="K213" i="2" s="1"/>
  <c r="I373" i="2"/>
  <c r="K373" i="2" s="1"/>
  <c r="H68" i="2"/>
  <c r="J68" i="2" s="1"/>
  <c r="J341" i="2"/>
  <c r="I341" i="2"/>
  <c r="J177" i="2"/>
  <c r="I177" i="2"/>
  <c r="J43" i="2"/>
  <c r="I43" i="2"/>
  <c r="H382" i="2"/>
  <c r="J382" i="2" s="1"/>
  <c r="H46" i="2"/>
  <c r="J46" i="2" s="1"/>
  <c r="I52" i="2"/>
  <c r="K52" i="2" s="1"/>
  <c r="I270" i="2"/>
  <c r="K270" i="2" s="1"/>
  <c r="I226" i="2"/>
  <c r="K226" i="2" s="1"/>
  <c r="I359" i="2"/>
  <c r="K359" i="2" s="1"/>
  <c r="H64" i="2"/>
  <c r="J64" i="2" s="1"/>
  <c r="H165" i="2"/>
  <c r="J165" i="2" s="1"/>
  <c r="I197" i="2"/>
  <c r="K197" i="2" s="1"/>
  <c r="H247" i="2"/>
  <c r="J247" i="2" s="1"/>
  <c r="I192" i="2"/>
  <c r="K192" i="2" s="1"/>
  <c r="J196" i="2"/>
  <c r="I196" i="2"/>
  <c r="I266" i="2"/>
  <c r="K266" i="2" s="1"/>
  <c r="J139" i="2"/>
  <c r="I139" i="2"/>
  <c r="J204" i="2"/>
  <c r="I204" i="2"/>
  <c r="H293" i="2"/>
  <c r="J293" i="2" s="1"/>
  <c r="H227" i="2"/>
  <c r="I227" i="2" s="1"/>
  <c r="H279" i="2"/>
  <c r="J279" i="2" s="1"/>
  <c r="I255" i="2"/>
  <c r="K255" i="2" s="1"/>
  <c r="I88" i="2"/>
  <c r="K88" i="2" s="1"/>
  <c r="H262" i="2"/>
  <c r="H120" i="2"/>
  <c r="J120" i="2" s="1"/>
  <c r="I316" i="2"/>
  <c r="K316" i="2" s="1"/>
  <c r="H61" i="2"/>
  <c r="H91" i="2"/>
  <c r="J91" i="2" s="1"/>
  <c r="H327" i="2"/>
  <c r="J327" i="2" s="1"/>
  <c r="I222" i="2"/>
  <c r="K222" i="2" s="1"/>
  <c r="J162" i="2"/>
  <c r="I162" i="2"/>
  <c r="I380" i="2"/>
  <c r="K380" i="2" s="1"/>
  <c r="J308" i="2"/>
  <c r="I308" i="2"/>
  <c r="I371" i="2"/>
  <c r="K371" i="2" s="1"/>
  <c r="I36" i="2"/>
  <c r="K36" i="2" s="1"/>
  <c r="J320" i="2"/>
  <c r="I320" i="2"/>
  <c r="H23" i="2"/>
  <c r="J23" i="2" s="1"/>
  <c r="I200" i="2"/>
  <c r="K200" i="2" s="1"/>
  <c r="H249" i="2"/>
  <c r="J249" i="2" s="1"/>
  <c r="I302" i="2"/>
  <c r="K302" i="2" s="1"/>
  <c r="I361" i="2"/>
  <c r="K361" i="2" s="1"/>
  <c r="H225" i="2"/>
  <c r="J225" i="2" s="1"/>
  <c r="I260" i="2"/>
  <c r="K260" i="2" s="1"/>
  <c r="I33" i="2"/>
  <c r="K33" i="2" s="1"/>
  <c r="I98" i="2"/>
  <c r="K98" i="2" s="1"/>
  <c r="I202" i="2"/>
  <c r="K202" i="2" s="1"/>
  <c r="I237" i="2"/>
  <c r="K237" i="2" s="1"/>
  <c r="I122" i="2"/>
  <c r="K122" i="2" s="1"/>
  <c r="I127" i="2"/>
  <c r="K127" i="2" s="1"/>
  <c r="D173" i="2"/>
  <c r="F173" i="2" s="1"/>
  <c r="H173" i="2" s="1"/>
  <c r="J173" i="2" s="1"/>
  <c r="I194" i="2"/>
  <c r="K194" i="2" s="1"/>
  <c r="I272" i="2"/>
  <c r="K272" i="2" s="1"/>
  <c r="J276" i="2"/>
  <c r="I276" i="2"/>
  <c r="I82" i="2"/>
  <c r="K82" i="2" s="1"/>
  <c r="J54" i="2"/>
  <c r="I54" i="2"/>
  <c r="I243" i="2"/>
  <c r="K243" i="2" s="1"/>
  <c r="I124" i="2"/>
  <c r="K124" i="2" s="1"/>
  <c r="J107" i="2"/>
  <c r="I107" i="2"/>
  <c r="J164" i="2"/>
  <c r="I164" i="2"/>
  <c r="J62" i="2"/>
  <c r="I62" i="2"/>
  <c r="J142" i="2"/>
  <c r="I142" i="2"/>
  <c r="I364" i="2"/>
  <c r="K364" i="2" s="1"/>
  <c r="I375" i="2"/>
  <c r="K375" i="2" s="1"/>
  <c r="I274" i="2"/>
  <c r="K274" i="2" s="1"/>
  <c r="D37" i="2"/>
  <c r="F37" i="2" s="1"/>
  <c r="H37" i="2" s="1"/>
  <c r="J37" i="2" s="1"/>
  <c r="I288" i="2"/>
  <c r="K288" i="2" s="1"/>
  <c r="I39" i="2"/>
  <c r="K39" i="2" s="1"/>
  <c r="H350" i="2"/>
  <c r="J350" i="2" s="1"/>
  <c r="H95" i="2"/>
  <c r="I295" i="2"/>
  <c r="K295" i="2" s="1"/>
  <c r="I335" i="2"/>
  <c r="K335" i="2" s="1"/>
  <c r="J290" i="2"/>
  <c r="I290" i="2"/>
  <c r="H231" i="2"/>
  <c r="I159" i="2"/>
  <c r="K159" i="2" s="1"/>
  <c r="I239" i="2"/>
  <c r="K239" i="2" s="1"/>
  <c r="H328" i="2"/>
  <c r="J328" i="2" s="1"/>
  <c r="I384" i="2"/>
  <c r="K384" i="2" s="1"/>
  <c r="I216" i="2"/>
  <c r="K216" i="2" s="1"/>
  <c r="I277" i="2"/>
  <c r="K277" i="2" s="1"/>
  <c r="I67" i="2"/>
  <c r="K67" i="2" s="1"/>
  <c r="I76" i="2"/>
  <c r="K76" i="2" s="1"/>
  <c r="I132" i="2"/>
  <c r="K132" i="2" s="1"/>
  <c r="J172" i="2"/>
  <c r="I172" i="2"/>
  <c r="J312" i="2"/>
  <c r="I312" i="2"/>
  <c r="J344" i="2"/>
  <c r="I344" i="2"/>
  <c r="J258" i="2"/>
  <c r="I258" i="2"/>
  <c r="J115" i="2"/>
  <c r="I115" i="2"/>
  <c r="J148" i="2"/>
  <c r="I148" i="2"/>
  <c r="J229" i="2"/>
  <c r="I229" i="2"/>
  <c r="J87" i="2"/>
  <c r="I87" i="2"/>
  <c r="J53" i="2"/>
  <c r="I53" i="2"/>
  <c r="J330" i="2"/>
  <c r="I330" i="2"/>
  <c r="J333" i="2"/>
  <c r="I333" i="2"/>
  <c r="H315" i="2"/>
  <c r="J315" i="2" s="1"/>
  <c r="J79" i="2"/>
  <c r="I79" i="2"/>
  <c r="I59" i="2"/>
  <c r="K59" i="2" s="1"/>
  <c r="I93" i="2"/>
  <c r="K93" i="2" s="1"/>
  <c r="I134" i="2"/>
  <c r="K134" i="2" s="1"/>
  <c r="H223" i="2"/>
  <c r="I186" i="2"/>
  <c r="K186" i="2" s="1"/>
  <c r="I368" i="2"/>
  <c r="K368" i="2" s="1"/>
  <c r="H212" i="2"/>
  <c r="H47" i="2"/>
  <c r="I318" i="2"/>
  <c r="K318" i="2" s="1"/>
  <c r="J106" i="2"/>
  <c r="I106" i="2"/>
  <c r="H287" i="2"/>
  <c r="I155" i="2"/>
  <c r="K155" i="2" s="1"/>
  <c r="I85" i="2"/>
  <c r="K85" i="2" s="1"/>
  <c r="H38" i="2"/>
  <c r="D374" i="2"/>
  <c r="F374" i="2" s="1"/>
  <c r="H374" i="2" s="1"/>
  <c r="J374" i="2" s="1"/>
  <c r="H228" i="2"/>
  <c r="H355" i="2"/>
  <c r="H254" i="2"/>
  <c r="I283" i="2"/>
  <c r="K283" i="2" s="1"/>
  <c r="I101" i="2"/>
  <c r="K101" i="2" s="1"/>
  <c r="H215" i="2"/>
  <c r="J307" i="2"/>
  <c r="I307" i="2"/>
  <c r="H268" i="2"/>
  <c r="I326" i="2"/>
  <c r="K326" i="2" s="1"/>
  <c r="I358" i="2"/>
  <c r="K358" i="2" s="1"/>
  <c r="H156" i="2"/>
  <c r="I156" i="2" s="1"/>
  <c r="J205" i="2"/>
  <c r="I205" i="2"/>
  <c r="J275" i="2"/>
  <c r="I275" i="2"/>
  <c r="I210" i="2"/>
  <c r="K210" i="2" s="1"/>
  <c r="H133" i="2"/>
  <c r="H117" i="2"/>
  <c r="I356" i="2"/>
  <c r="K356" i="2" s="1"/>
  <c r="H55" i="2"/>
  <c r="H367" i="2"/>
  <c r="I336" i="2"/>
  <c r="K336" i="2" s="1"/>
  <c r="I234" i="2"/>
  <c r="K234" i="2" s="1"/>
  <c r="H317" i="2"/>
  <c r="J317" i="2" s="1"/>
  <c r="J104" i="2"/>
  <c r="I104" i="2"/>
  <c r="J285" i="2"/>
  <c r="I285" i="2"/>
  <c r="I376" i="2"/>
  <c r="K376" i="2" s="1"/>
  <c r="J141" i="2"/>
  <c r="I141" i="2"/>
  <c r="H240" i="2"/>
  <c r="J240" i="2" s="1"/>
  <c r="H347" i="2"/>
  <c r="H242" i="2"/>
  <c r="I130" i="2"/>
  <c r="K130" i="2" s="1"/>
  <c r="I151" i="2"/>
  <c r="K151" i="2" s="1"/>
  <c r="I379" i="2"/>
  <c r="K379" i="2" s="1"/>
  <c r="J357" i="2"/>
  <c r="I357" i="2"/>
  <c r="J289" i="2"/>
  <c r="I289" i="2"/>
  <c r="J131" i="2"/>
  <c r="I131" i="2"/>
  <c r="J140" i="2"/>
  <c r="I140" i="2"/>
  <c r="H352" i="2"/>
  <c r="H180" i="2"/>
  <c r="J180" i="2" s="1"/>
  <c r="D259" i="2"/>
  <c r="F259" i="2" s="1"/>
  <c r="H259" i="2" s="1"/>
  <c r="J259" i="2" s="1"/>
  <c r="H73" i="2"/>
  <c r="D305" i="2"/>
  <c r="F305" i="2" s="1"/>
  <c r="H305" i="2" s="1"/>
  <c r="J305" i="2" s="1"/>
  <c r="H310" i="2"/>
  <c r="D30" i="2"/>
  <c r="F30" i="2" s="1"/>
  <c r="H30" i="2" s="1"/>
  <c r="J30" i="2" s="1"/>
  <c r="D345" i="2"/>
  <c r="F345" i="2" s="1"/>
  <c r="H345" i="2" s="1"/>
  <c r="J345" i="2" s="1"/>
  <c r="H72" i="2"/>
  <c r="D284" i="2"/>
  <c r="F284" i="2" s="1"/>
  <c r="H284" i="2" s="1"/>
  <c r="J284" i="2" s="1"/>
  <c r="H381" i="2"/>
  <c r="J366" i="2"/>
  <c r="I366" i="2"/>
  <c r="D360" i="2"/>
  <c r="F360" i="2" s="1"/>
  <c r="H360" i="2" s="1"/>
  <c r="J360" i="2" s="1"/>
  <c r="J334" i="2"/>
  <c r="I334" i="2"/>
  <c r="H138" i="2"/>
  <c r="H57" i="2"/>
  <c r="J286" i="2"/>
  <c r="I286" i="2"/>
  <c r="H176" i="2"/>
  <c r="H238" i="2"/>
  <c r="J323" i="2"/>
  <c r="I323" i="2"/>
  <c r="H281" i="2"/>
  <c r="J158" i="2"/>
  <c r="I158" i="2"/>
  <c r="D365" i="2"/>
  <c r="F365" i="2" s="1"/>
  <c r="H365" i="2" s="1"/>
  <c r="J365" i="2" s="1"/>
  <c r="H137" i="2"/>
  <c r="D208" i="2"/>
  <c r="F208" i="2" s="1"/>
  <c r="H208" i="2" s="1"/>
  <c r="J208" i="2" s="1"/>
  <c r="D86" i="2"/>
  <c r="F86" i="2" s="1"/>
  <c r="H86" i="2" s="1"/>
  <c r="J86" i="2" s="1"/>
  <c r="J309" i="2"/>
  <c r="I309" i="2"/>
  <c r="J136" i="2"/>
  <c r="I136" i="2"/>
  <c r="J257" i="2"/>
  <c r="I257" i="2"/>
  <c r="J372" i="2"/>
  <c r="I372" i="2"/>
  <c r="H324" i="2"/>
  <c r="D25" i="2"/>
  <c r="H199" i="2"/>
  <c r="H189" i="2"/>
  <c r="H65" i="2"/>
  <c r="H301" i="2"/>
  <c r="H58" i="2"/>
  <c r="H313" i="2"/>
  <c r="H253" i="2"/>
  <c r="J253" i="2" s="1"/>
  <c r="D135" i="2"/>
  <c r="F135" i="2" s="1"/>
  <c r="H135" i="2" s="1"/>
  <c r="J135" i="2" s="1"/>
  <c r="J306" i="2"/>
  <c r="I306" i="2"/>
  <c r="H269" i="2"/>
  <c r="H113" i="2"/>
  <c r="H311" i="2"/>
  <c r="J311" i="2" s="1"/>
  <c r="H383" i="2"/>
  <c r="H96" i="2"/>
  <c r="D244" i="2"/>
  <c r="F244" i="2" s="1"/>
  <c r="H244" i="2" s="1"/>
  <c r="J244" i="2" s="1"/>
  <c r="D296" i="2"/>
  <c r="F296" i="2" s="1"/>
  <c r="H296" i="2" s="1"/>
  <c r="J296" i="2" s="1"/>
  <c r="H182" i="2"/>
  <c r="H97" i="2"/>
  <c r="D233" i="2"/>
  <c r="F233" i="2" s="1"/>
  <c r="H233" i="2" s="1"/>
  <c r="J233" i="2" s="1"/>
  <c r="H252" i="2"/>
  <c r="J319" i="2"/>
  <c r="I319" i="2"/>
  <c r="D369" i="2"/>
  <c r="F369" i="2" s="1"/>
  <c r="H369" i="2" s="1"/>
  <c r="J369" i="2" s="1"/>
  <c r="H147" i="2"/>
  <c r="J147" i="2" s="1"/>
  <c r="H230" i="2"/>
  <c r="H81" i="2"/>
  <c r="H35" i="2"/>
  <c r="J378" i="2"/>
  <c r="I378" i="2"/>
  <c r="H201" i="2"/>
  <c r="I245" i="2"/>
  <c r="K245" i="2" s="1"/>
  <c r="H265" i="2"/>
  <c r="H41" i="2"/>
  <c r="J112" i="2"/>
  <c r="I112" i="2"/>
  <c r="J291" i="2"/>
  <c r="I291" i="2"/>
  <c r="H363" i="2"/>
  <c r="J206" i="2"/>
  <c r="I206" i="2"/>
  <c r="H184" i="2"/>
  <c r="H299" i="2"/>
  <c r="H300" i="2"/>
  <c r="H51" i="2"/>
  <c r="J51" i="2" s="1"/>
  <c r="H351" i="2"/>
  <c r="D125" i="2"/>
  <c r="F125" i="2" s="1"/>
  <c r="H125" i="2" s="1"/>
  <c r="J125" i="2" s="1"/>
  <c r="H150" i="2"/>
  <c r="H66" i="2"/>
  <c r="H60" i="2"/>
  <c r="H175" i="2"/>
  <c r="D271" i="2"/>
  <c r="F271" i="2" s="1"/>
  <c r="H271" i="2" s="1"/>
  <c r="J271" i="2" s="1"/>
  <c r="J214" i="2"/>
  <c r="I214" i="2"/>
  <c r="H220" i="2"/>
  <c r="D102" i="2"/>
  <c r="F102" i="2" s="1"/>
  <c r="H102" i="2" s="1"/>
  <c r="J102" i="2" s="1"/>
  <c r="H63" i="2"/>
  <c r="H185" i="2"/>
  <c r="D337" i="2"/>
  <c r="F337" i="2" s="1"/>
  <c r="H337" i="2" s="1"/>
  <c r="J337" i="2" s="1"/>
  <c r="H146" i="2"/>
  <c r="I261" i="2"/>
  <c r="K261" i="2" s="1"/>
  <c r="H325" i="2"/>
  <c r="J325" i="2" s="1"/>
  <c r="H94" i="2"/>
  <c r="D161" i="2"/>
  <c r="F161" i="2" s="1"/>
  <c r="H161" i="2" s="1"/>
  <c r="J161" i="2" s="1"/>
  <c r="H34" i="2"/>
  <c r="D143" i="2"/>
  <c r="F143" i="2" s="1"/>
  <c r="H143" i="2" s="1"/>
  <c r="J143" i="2" s="1"/>
  <c r="H348" i="2"/>
  <c r="H118" i="2"/>
  <c r="J118" i="2" s="1"/>
  <c r="D44" i="2"/>
  <c r="F44" i="2" s="1"/>
  <c r="H44" i="2" s="1"/>
  <c r="J44" i="2" s="1"/>
  <c r="D195" i="2"/>
  <c r="F195" i="2" s="1"/>
  <c r="H195" i="2" s="1"/>
  <c r="J195" i="2" s="1"/>
  <c r="J89" i="2"/>
  <c r="I89" i="2"/>
  <c r="H251" i="2"/>
  <c r="J188" i="2"/>
  <c r="I188" i="2"/>
  <c r="H169" i="2"/>
  <c r="J99" i="2"/>
  <c r="I99" i="2"/>
  <c r="I297" i="2"/>
  <c r="K297" i="2" s="1"/>
  <c r="D78" i="2"/>
  <c r="F78" i="2" s="1"/>
  <c r="H78" i="2" s="1"/>
  <c r="J78" i="2" s="1"/>
  <c r="J343" i="2"/>
  <c r="I343" i="2"/>
  <c r="I26" i="2"/>
  <c r="K26" i="2" s="1"/>
  <c r="I144" i="2"/>
  <c r="K144" i="2" s="1"/>
  <c r="H166" i="2"/>
  <c r="H71" i="2"/>
  <c r="H218" i="2"/>
  <c r="H49" i="2"/>
  <c r="J103" i="2"/>
  <c r="I103" i="2"/>
  <c r="H128" i="2"/>
  <c r="J75" i="2"/>
  <c r="I75" i="2"/>
  <c r="H48" i="2"/>
  <c r="H121" i="2"/>
  <c r="H119" i="2"/>
  <c r="H145" i="2"/>
  <c r="H84" i="2"/>
  <c r="J32" i="2"/>
  <c r="I32" i="2"/>
  <c r="H211" i="2"/>
  <c r="D342" i="2"/>
  <c r="F342" i="2" s="1"/>
  <c r="H342" i="2" s="1"/>
  <c r="J342" i="2" s="1"/>
  <c r="H178" i="2"/>
  <c r="J178" i="2" s="1"/>
  <c r="H56" i="2"/>
  <c r="J56" i="2" s="1"/>
  <c r="I126" i="2"/>
  <c r="K126" i="2" s="1"/>
  <c r="H171" i="2"/>
  <c r="H191" i="2"/>
  <c r="H92" i="2"/>
  <c r="H303" i="2"/>
  <c r="H22" i="2"/>
  <c r="H70" i="2"/>
  <c r="I346" i="2"/>
  <c r="K346" i="2" s="1"/>
  <c r="D256" i="2"/>
  <c r="F256" i="2" s="1"/>
  <c r="H256" i="2" s="1"/>
  <c r="J256" i="2" s="1"/>
  <c r="H69" i="2"/>
  <c r="H282" i="2"/>
  <c r="J321" i="2"/>
  <c r="I321" i="2"/>
  <c r="H168" i="2"/>
  <c r="H40" i="2"/>
  <c r="I21" i="2"/>
  <c r="J80" i="2"/>
  <c r="I80" i="2"/>
  <c r="H28" i="2"/>
  <c r="I163" i="2"/>
  <c r="K163" i="2" s="1"/>
  <c r="J332" i="2"/>
  <c r="I332" i="2"/>
  <c r="H264" i="2"/>
  <c r="H294" i="2"/>
  <c r="D187" i="2"/>
  <c r="F187" i="2" s="1"/>
  <c r="H187" i="2" s="1"/>
  <c r="J187" i="2" s="1"/>
  <c r="H50" i="2"/>
  <c r="H129" i="2"/>
  <c r="D111" i="2"/>
  <c r="F111" i="2" s="1"/>
  <c r="H111" i="2" s="1"/>
  <c r="J111" i="2" s="1"/>
  <c r="H123" i="2"/>
  <c r="I339" i="2"/>
  <c r="K339" i="2" s="1"/>
  <c r="H114" i="2"/>
  <c r="J114" i="2" s="1"/>
  <c r="H42" i="2"/>
  <c r="J42" i="2" s="1"/>
  <c r="H193" i="2"/>
  <c r="H314" i="2"/>
  <c r="D152" i="2"/>
  <c r="F152" i="2" s="1"/>
  <c r="H152" i="2" s="1"/>
  <c r="J152" i="2" s="1"/>
  <c r="H179" i="2"/>
  <c r="I153" i="2"/>
  <c r="K153" i="2" s="1"/>
  <c r="H167" i="2"/>
  <c r="I270" i="1"/>
  <c r="K270" i="1" s="1"/>
  <c r="I32" i="1"/>
  <c r="K32" i="1" s="1"/>
  <c r="I33" i="1"/>
  <c r="K33" i="1" s="1"/>
  <c r="I381" i="1"/>
  <c r="K381" i="1" s="1"/>
  <c r="I171" i="1"/>
  <c r="K171" i="1" s="1"/>
  <c r="I269" i="1"/>
  <c r="K269" i="1" s="1"/>
  <c r="I122" i="1"/>
  <c r="K122" i="1" s="1"/>
  <c r="I112" i="1"/>
  <c r="K112" i="1" s="1"/>
  <c r="H189" i="1"/>
  <c r="J189" i="1" s="1"/>
  <c r="H211" i="1"/>
  <c r="J211" i="1" s="1"/>
  <c r="I29" i="1"/>
  <c r="K29" i="1" s="1"/>
  <c r="I256" i="1"/>
  <c r="K256" i="1" s="1"/>
  <c r="I219" i="1"/>
  <c r="K219" i="1" s="1"/>
  <c r="H322" i="1"/>
  <c r="J322" i="1" s="1"/>
  <c r="I327" i="1"/>
  <c r="K327" i="1" s="1"/>
  <c r="I308" i="1"/>
  <c r="K308" i="1" s="1"/>
  <c r="I140" i="1"/>
  <c r="K140" i="1" s="1"/>
  <c r="I347" i="1"/>
  <c r="K347" i="1" s="1"/>
  <c r="I105" i="1"/>
  <c r="K105" i="1" s="1"/>
  <c r="K263" i="1"/>
  <c r="H54" i="1"/>
  <c r="J54" i="1" s="1"/>
  <c r="H78" i="1"/>
  <c r="J78" i="1" s="1"/>
  <c r="H265" i="1"/>
  <c r="J265" i="1" s="1"/>
  <c r="H107" i="1"/>
  <c r="J107" i="1" s="1"/>
  <c r="I352" i="1"/>
  <c r="K352" i="1" s="1"/>
  <c r="I60" i="1"/>
  <c r="K60" i="1" s="1"/>
  <c r="I238" i="1"/>
  <c r="K238" i="1" s="1"/>
  <c r="I337" i="1"/>
  <c r="K337" i="1" s="1"/>
  <c r="I304" i="1"/>
  <c r="K304" i="1" s="1"/>
  <c r="I309" i="1"/>
  <c r="K309" i="1" s="1"/>
  <c r="I328" i="1"/>
  <c r="K328" i="1" s="1"/>
  <c r="I139" i="1"/>
  <c r="K139" i="1" s="1"/>
  <c r="H79" i="1"/>
  <c r="J79" i="1" s="1"/>
  <c r="I369" i="1"/>
  <c r="K369" i="1" s="1"/>
  <c r="I237" i="1"/>
  <c r="K237" i="1" s="1"/>
  <c r="I290" i="1"/>
  <c r="K290" i="1" s="1"/>
  <c r="I229" i="1"/>
  <c r="K229" i="1" s="1"/>
  <c r="H28" i="1"/>
  <c r="J28" i="1" s="1"/>
  <c r="H68" i="1"/>
  <c r="H69" i="1"/>
  <c r="J69" i="1" s="1"/>
  <c r="K276" i="1"/>
  <c r="I37" i="1"/>
  <c r="K37" i="1" s="1"/>
  <c r="I188" i="1"/>
  <c r="K188" i="1" s="1"/>
  <c r="I41" i="1"/>
  <c r="K41" i="1" s="1"/>
  <c r="I215" i="1"/>
  <c r="K215" i="1" s="1"/>
  <c r="I275" i="1"/>
  <c r="K275" i="1" s="1"/>
  <c r="H264" i="1"/>
  <c r="J264" i="1" s="1"/>
  <c r="I338" i="1"/>
  <c r="K338" i="1" s="1"/>
  <c r="I277" i="1"/>
  <c r="K277" i="1" s="1"/>
  <c r="J51" i="1"/>
  <c r="I51" i="1"/>
  <c r="I138" i="1"/>
  <c r="K138" i="1" s="1"/>
  <c r="I212" i="1"/>
  <c r="K212" i="1" s="1"/>
  <c r="I306" i="1"/>
  <c r="K306" i="1" s="1"/>
  <c r="J104" i="1"/>
  <c r="I104" i="1"/>
  <c r="I382" i="1"/>
  <c r="K382" i="1" s="1"/>
  <c r="I130" i="1"/>
  <c r="K130" i="1" s="1"/>
  <c r="I75" i="1"/>
  <c r="K75" i="1" s="1"/>
  <c r="J132" i="1"/>
  <c r="I132" i="1"/>
  <c r="I194" i="1"/>
  <c r="K194" i="1" s="1"/>
  <c r="J356" i="1"/>
  <c r="I356" i="1"/>
  <c r="I228" i="1"/>
  <c r="K228" i="1" s="1"/>
  <c r="I266" i="1"/>
  <c r="K266" i="1" s="1"/>
  <c r="I289" i="1"/>
  <c r="K289" i="1" s="1"/>
  <c r="I307" i="1"/>
  <c r="K307" i="1" s="1"/>
  <c r="J262" i="1"/>
  <c r="I262" i="1"/>
  <c r="I335" i="1"/>
  <c r="K335" i="1" s="1"/>
  <c r="I220" i="1"/>
  <c r="K220" i="1" s="1"/>
  <c r="I114" i="1"/>
  <c r="K114" i="1" s="1"/>
  <c r="I344" i="1"/>
  <c r="K344" i="1" s="1"/>
  <c r="J221" i="1"/>
  <c r="I221" i="1"/>
  <c r="I232" i="1"/>
  <c r="K232" i="1" s="1"/>
  <c r="I23" i="1"/>
  <c r="K23" i="1" s="1"/>
  <c r="I199" i="1"/>
  <c r="K199" i="1" s="1"/>
  <c r="I133" i="1"/>
  <c r="K133" i="1" s="1"/>
  <c r="I152" i="1"/>
  <c r="K152" i="1" s="1"/>
  <c r="I142" i="1"/>
  <c r="K142" i="1" s="1"/>
  <c r="I102" i="1"/>
  <c r="K102" i="1" s="1"/>
  <c r="J326" i="1"/>
  <c r="I326" i="1"/>
  <c r="I137" i="1"/>
  <c r="K137" i="1" s="1"/>
  <c r="I70" i="1"/>
  <c r="K70" i="1" s="1"/>
  <c r="J204" i="1"/>
  <c r="I204" i="1"/>
  <c r="J31" i="1"/>
  <c r="I31" i="1"/>
  <c r="J193" i="1"/>
  <c r="I193" i="1"/>
  <c r="J131" i="1"/>
  <c r="I131" i="1"/>
  <c r="I106" i="1"/>
  <c r="K106" i="1" s="1"/>
  <c r="I261" i="1"/>
  <c r="K261" i="1" s="1"/>
  <c r="J230" i="1"/>
  <c r="I230" i="1"/>
  <c r="J368" i="1"/>
  <c r="I368" i="1"/>
  <c r="I143" i="1"/>
  <c r="K143" i="1" s="1"/>
  <c r="I380" i="1"/>
  <c r="K380" i="1" s="1"/>
  <c r="I268" i="1"/>
  <c r="K268" i="1" s="1"/>
  <c r="J336" i="1"/>
  <c r="I336" i="1"/>
  <c r="J274" i="1"/>
  <c r="I274" i="1"/>
  <c r="J346" i="1"/>
  <c r="I346" i="1"/>
  <c r="I115" i="1"/>
  <c r="K115" i="1" s="1"/>
  <c r="I53" i="1"/>
  <c r="K53" i="1" s="1"/>
  <c r="I351" i="1"/>
  <c r="K351" i="1" s="1"/>
  <c r="I342" i="1"/>
  <c r="K342" i="1" s="1"/>
  <c r="I297" i="1"/>
  <c r="K297" i="1" s="1"/>
  <c r="I187" i="1"/>
  <c r="K187" i="1" s="1"/>
  <c r="I214" i="1"/>
  <c r="K214" i="1" s="1"/>
  <c r="I292" i="1"/>
  <c r="K292" i="1" s="1"/>
  <c r="J113" i="1"/>
  <c r="I113" i="1"/>
  <c r="I227" i="1"/>
  <c r="K227" i="1" s="1"/>
  <c r="I90" i="1"/>
  <c r="K90" i="1" s="1"/>
  <c r="I77" i="1"/>
  <c r="K77" i="1" s="1"/>
  <c r="K384" i="1"/>
  <c r="J325" i="1"/>
  <c r="I325" i="1"/>
  <c r="H46" i="1"/>
  <c r="C386" i="1"/>
  <c r="I118" i="1"/>
  <c r="K118" i="1" s="1"/>
  <c r="J50" i="1"/>
  <c r="I50" i="1"/>
  <c r="J340" i="1"/>
  <c r="I340" i="1"/>
  <c r="I323" i="1"/>
  <c r="K323" i="1" s="1"/>
  <c r="I367" i="1"/>
  <c r="K367" i="1" s="1"/>
  <c r="I278" i="1"/>
  <c r="K278" i="1" s="1"/>
  <c r="I210" i="1"/>
  <c r="K210" i="1" s="1"/>
  <c r="H61" i="1"/>
  <c r="J61" i="1" s="1"/>
  <c r="J141" i="1"/>
  <c r="I141" i="1"/>
  <c r="I321" i="1"/>
  <c r="K321" i="1" s="1"/>
  <c r="I303" i="1"/>
  <c r="K303" i="1" s="1"/>
  <c r="J20" i="1"/>
  <c r="K20" i="1" s="1"/>
  <c r="D192" i="1"/>
  <c r="F192" i="1" s="1"/>
  <c r="H192" i="1" s="1"/>
  <c r="J192" i="1" s="1"/>
  <c r="D200" i="1"/>
  <c r="F200" i="1" s="1"/>
  <c r="H200" i="1" s="1"/>
  <c r="J200" i="1" s="1"/>
  <c r="I285" i="1"/>
  <c r="K285" i="1" s="1"/>
  <c r="F206" i="1"/>
  <c r="H206" i="1" s="1"/>
  <c r="J206" i="1" s="1"/>
  <c r="E206" i="1"/>
  <c r="G205" i="1"/>
  <c r="H205" i="1" s="1"/>
  <c r="J205" i="1" s="1"/>
  <c r="H329" i="1"/>
  <c r="D42" i="1"/>
  <c r="F42" i="1" s="1"/>
  <c r="H42" i="1" s="1"/>
  <c r="J42" i="1" s="1"/>
  <c r="D379" i="1"/>
  <c r="F379" i="1" s="1"/>
  <c r="H379" i="1" s="1"/>
  <c r="J379" i="1" s="1"/>
  <c r="E150" i="1"/>
  <c r="G149" i="1"/>
  <c r="F150" i="1"/>
  <c r="H150" i="1" s="1"/>
  <c r="J150" i="1" s="1"/>
  <c r="F109" i="1"/>
  <c r="H109" i="1" s="1"/>
  <c r="J109" i="1" s="1"/>
  <c r="E109" i="1"/>
  <c r="G108" i="1"/>
  <c r="H108" i="1" s="1"/>
  <c r="J108" i="1" s="1"/>
  <c r="E354" i="1"/>
  <c r="G353" i="1"/>
  <c r="H353" i="1" s="1"/>
  <c r="J353" i="1" s="1"/>
  <c r="F354" i="1"/>
  <c r="H354" i="1" s="1"/>
  <c r="J354" i="1" s="1"/>
  <c r="E124" i="1"/>
  <c r="D125" i="1" s="1"/>
  <c r="F125" i="1" s="1"/>
  <c r="H125" i="1" s="1"/>
  <c r="J125" i="1" s="1"/>
  <c r="G123" i="1"/>
  <c r="H123" i="1" s="1"/>
  <c r="J123" i="1" s="1"/>
  <c r="F124" i="1"/>
  <c r="E361" i="1"/>
  <c r="D362" i="1" s="1"/>
  <c r="F362" i="1" s="1"/>
  <c r="G360" i="1"/>
  <c r="F361" i="1"/>
  <c r="H361" i="1" s="1"/>
  <c r="J361" i="1" s="1"/>
  <c r="F301" i="1"/>
  <c r="H301" i="1" s="1"/>
  <c r="J301" i="1" s="1"/>
  <c r="G300" i="1"/>
  <c r="E301" i="1"/>
  <c r="G180" i="1"/>
  <c r="E181" i="1"/>
  <c r="E184" i="1"/>
  <c r="D185" i="1" s="1"/>
  <c r="F185" i="1" s="1"/>
  <c r="H185" i="1" s="1"/>
  <c r="G183" i="1"/>
  <c r="H183" i="1" s="1"/>
  <c r="J183" i="1" s="1"/>
  <c r="F184" i="1"/>
  <c r="H184" i="1" s="1"/>
  <c r="J184" i="1" s="1"/>
  <c r="E39" i="1"/>
  <c r="D40" i="1" s="1"/>
  <c r="F40" i="1" s="1"/>
  <c r="H40" i="1" s="1"/>
  <c r="G38" i="1"/>
  <c r="H38" i="1" s="1"/>
  <c r="J38" i="1" s="1"/>
  <c r="F39" i="1"/>
  <c r="H39" i="1" s="1"/>
  <c r="J39" i="1" s="1"/>
  <c r="E318" i="1"/>
  <c r="D319" i="1" s="1"/>
  <c r="F319" i="1" s="1"/>
  <c r="H319" i="1" s="1"/>
  <c r="G317" i="1"/>
  <c r="H317" i="1" s="1"/>
  <c r="J317" i="1" s="1"/>
  <c r="F318" i="1"/>
  <c r="H318" i="1" s="1"/>
  <c r="J318" i="1" s="1"/>
  <c r="F173" i="1"/>
  <c r="H173" i="1" s="1"/>
  <c r="J173" i="1" s="1"/>
  <c r="G172" i="1"/>
  <c r="H172" i="1" s="1"/>
  <c r="J172" i="1" s="1"/>
  <c r="E173" i="1"/>
  <c r="F177" i="1"/>
  <c r="E177" i="1"/>
  <c r="D178" i="1" s="1"/>
  <c r="F178" i="1" s="1"/>
  <c r="G176" i="1"/>
  <c r="H176" i="1" s="1"/>
  <c r="J176" i="1" s="1"/>
  <c r="E250" i="1"/>
  <c r="G249" i="1"/>
  <c r="H249" i="1" s="1"/>
  <c r="J249" i="1" s="1"/>
  <c r="F250" i="1"/>
  <c r="H250" i="1" s="1"/>
  <c r="J250" i="1" s="1"/>
  <c r="D305" i="1"/>
  <c r="F305" i="1" s="1"/>
  <c r="H305" i="1" s="1"/>
  <c r="J305" i="1" s="1"/>
  <c r="H116" i="1"/>
  <c r="D30" i="1"/>
  <c r="F30" i="1" s="1"/>
  <c r="H30" i="1" s="1"/>
  <c r="J30" i="1" s="1"/>
  <c r="D71" i="1"/>
  <c r="F71" i="1" s="1"/>
  <c r="H71" i="1" s="1"/>
  <c r="J71" i="1" s="1"/>
  <c r="F44" i="1"/>
  <c r="H44" i="1" s="1"/>
  <c r="J44" i="1" s="1"/>
  <c r="E44" i="1"/>
  <c r="G43" i="1"/>
  <c r="H43" i="1" s="1"/>
  <c r="J43" i="1" s="1"/>
  <c r="E26" i="1"/>
  <c r="D27" i="1" s="1"/>
  <c r="F27" i="1" s="1"/>
  <c r="H27" i="1" s="1"/>
  <c r="G25" i="1"/>
  <c r="F169" i="1"/>
  <c r="H169" i="1" s="1"/>
  <c r="J169" i="1" s="1"/>
  <c r="E169" i="1"/>
  <c r="G168" i="1"/>
  <c r="H168" i="1" s="1"/>
  <c r="J168" i="1" s="1"/>
  <c r="F135" i="1"/>
  <c r="H135" i="1" s="1"/>
  <c r="J135" i="1" s="1"/>
  <c r="E135" i="1"/>
  <c r="G134" i="1"/>
  <c r="H134" i="1" s="1"/>
  <c r="J134" i="1" s="1"/>
  <c r="E35" i="1"/>
  <c r="G34" i="1"/>
  <c r="H34" i="1" s="1"/>
  <c r="J34" i="1" s="1"/>
  <c r="F35" i="1"/>
  <c r="H35" i="1" s="1"/>
  <c r="J35" i="1" s="1"/>
  <c r="E363" i="1"/>
  <c r="D364" i="1" s="1"/>
  <c r="F364" i="1" s="1"/>
  <c r="G362" i="1"/>
  <c r="F363" i="1"/>
  <c r="H363" i="1" s="1"/>
  <c r="J363" i="1" s="1"/>
  <c r="F243" i="1"/>
  <c r="H243" i="1" s="1"/>
  <c r="J243" i="1" s="1"/>
  <c r="E243" i="1"/>
  <c r="D244" i="1" s="1"/>
  <c r="F244" i="1" s="1"/>
  <c r="G242" i="1"/>
  <c r="H242" i="1" s="1"/>
  <c r="J242" i="1" s="1"/>
  <c r="F95" i="1"/>
  <c r="H95" i="1" s="1"/>
  <c r="J95" i="1" s="1"/>
  <c r="E95" i="1"/>
  <c r="G94" i="1"/>
  <c r="H94" i="1" s="1"/>
  <c r="J94" i="1" s="1"/>
  <c r="E128" i="1"/>
  <c r="G127" i="1"/>
  <c r="H127" i="1" s="1"/>
  <c r="J127" i="1" s="1"/>
  <c r="F128" i="1"/>
  <c r="H128" i="1" s="1"/>
  <c r="J128" i="1" s="1"/>
  <c r="E235" i="1"/>
  <c r="G234" i="1"/>
  <c r="F161" i="1"/>
  <c r="E161" i="1"/>
  <c r="D162" i="1" s="1"/>
  <c r="F162" i="1" s="1"/>
  <c r="H162" i="1" s="1"/>
  <c r="J162" i="1" s="1"/>
  <c r="G160" i="1"/>
  <c r="H160" i="1" s="1"/>
  <c r="J160" i="1" s="1"/>
  <c r="E158" i="1"/>
  <c r="G157" i="1"/>
  <c r="F73" i="1"/>
  <c r="H73" i="1" s="1"/>
  <c r="J73" i="1" s="1"/>
  <c r="E73" i="1"/>
  <c r="G72" i="1"/>
  <c r="H72" i="1" s="1"/>
  <c r="J72" i="1" s="1"/>
  <c r="E280" i="1"/>
  <c r="G279" i="1"/>
  <c r="H279" i="1" s="1"/>
  <c r="J279" i="1" s="1"/>
  <c r="F280" i="1"/>
  <c r="H280" i="1" s="1"/>
  <c r="J280" i="1" s="1"/>
  <c r="F349" i="1"/>
  <c r="H349" i="1" s="1"/>
  <c r="J349" i="1" s="1"/>
  <c r="E349" i="1"/>
  <c r="G348" i="1"/>
  <c r="H348" i="1" s="1"/>
  <c r="E272" i="1"/>
  <c r="G271" i="1"/>
  <c r="H271" i="1" s="1"/>
  <c r="J271" i="1" s="1"/>
  <c r="F272" i="1"/>
  <c r="H272" i="1" s="1"/>
  <c r="J272" i="1" s="1"/>
  <c r="E258" i="1"/>
  <c r="D259" i="1" s="1"/>
  <c r="F259" i="1" s="1"/>
  <c r="H259" i="1" s="1"/>
  <c r="G257" i="1"/>
  <c r="H257" i="1" s="1"/>
  <c r="J257" i="1" s="1"/>
  <c r="F258" i="1"/>
  <c r="F157" i="1"/>
  <c r="E157" i="1"/>
  <c r="D158" i="1" s="1"/>
  <c r="F158" i="1" s="1"/>
  <c r="H158" i="1" s="1"/>
  <c r="J158" i="1" s="1"/>
  <c r="G156" i="1"/>
  <c r="H156" i="1" s="1"/>
  <c r="J156" i="1" s="1"/>
  <c r="E154" i="1"/>
  <c r="G153" i="1"/>
  <c r="H153" i="1" s="1"/>
  <c r="J153" i="1" s="1"/>
  <c r="F154" i="1"/>
  <c r="H154" i="1" s="1"/>
  <c r="J154" i="1" s="1"/>
  <c r="E98" i="1"/>
  <c r="D99" i="1" s="1"/>
  <c r="F99" i="1" s="1"/>
  <c r="H99" i="1" s="1"/>
  <c r="J99" i="1" s="1"/>
  <c r="G97" i="1"/>
  <c r="H97" i="1" s="1"/>
  <c r="J97" i="1" s="1"/>
  <c r="F98" i="1"/>
  <c r="H209" i="1"/>
  <c r="H198" i="1"/>
  <c r="J198" i="1" s="1"/>
  <c r="D21" i="1"/>
  <c r="I101" i="1"/>
  <c r="K101" i="1" s="1"/>
  <c r="I341" i="1"/>
  <c r="K341" i="1" s="1"/>
  <c r="E314" i="1"/>
  <c r="D315" i="1" s="1"/>
  <c r="F315" i="1" s="1"/>
  <c r="H315" i="1" s="1"/>
  <c r="J315" i="1" s="1"/>
  <c r="G313" i="1"/>
  <c r="H313" i="1" s="1"/>
  <c r="J313" i="1" s="1"/>
  <c r="F314" i="1"/>
  <c r="E234" i="1"/>
  <c r="D235" i="1" s="1"/>
  <c r="F235" i="1" s="1"/>
  <c r="H235" i="1" s="1"/>
  <c r="G233" i="1"/>
  <c r="H233" i="1" s="1"/>
  <c r="J233" i="1" s="1"/>
  <c r="F234" i="1"/>
  <c r="D111" i="1"/>
  <c r="F111" i="1" s="1"/>
  <c r="H111" i="1" s="1"/>
  <c r="J111" i="1" s="1"/>
  <c r="D293" i="1"/>
  <c r="F293" i="1" s="1"/>
  <c r="H293" i="1" s="1"/>
  <c r="J293" i="1" s="1"/>
  <c r="D339" i="1"/>
  <c r="F339" i="1" s="1"/>
  <c r="H339" i="1" s="1"/>
  <c r="J339" i="1" s="1"/>
  <c r="D213" i="1"/>
  <c r="F213" i="1" s="1"/>
  <c r="H213" i="1" s="1"/>
  <c r="J213" i="1" s="1"/>
  <c r="E120" i="1"/>
  <c r="G119" i="1"/>
  <c r="H119" i="1" s="1"/>
  <c r="J119" i="1" s="1"/>
  <c r="F120" i="1"/>
  <c r="H120" i="1" s="1"/>
  <c r="J120" i="1" s="1"/>
  <c r="E377" i="1"/>
  <c r="G376" i="1"/>
  <c r="H376" i="1" s="1"/>
  <c r="J376" i="1" s="1"/>
  <c r="F377" i="1"/>
  <c r="H377" i="1" s="1"/>
  <c r="J377" i="1" s="1"/>
  <c r="F25" i="1"/>
  <c r="E25" i="1"/>
  <c r="D26" i="1" s="1"/>
  <c r="F26" i="1" s="1"/>
  <c r="H26" i="1" s="1"/>
  <c r="J26" i="1" s="1"/>
  <c r="G24" i="1"/>
  <c r="H24" i="1" s="1"/>
  <c r="J24" i="1" s="1"/>
  <c r="E180" i="1"/>
  <c r="D181" i="1" s="1"/>
  <c r="F181" i="1" s="1"/>
  <c r="H181" i="1" s="1"/>
  <c r="J181" i="1" s="1"/>
  <c r="G179" i="1"/>
  <c r="F88" i="1"/>
  <c r="H88" i="1" s="1"/>
  <c r="J88" i="1" s="1"/>
  <c r="E88" i="1"/>
  <c r="G87" i="1"/>
  <c r="H87" i="1" s="1"/>
  <c r="F202" i="1"/>
  <c r="H202" i="1" s="1"/>
  <c r="J202" i="1" s="1"/>
  <c r="E202" i="1"/>
  <c r="G201" i="1"/>
  <c r="H201" i="1" s="1"/>
  <c r="J201" i="1" s="1"/>
  <c r="E373" i="1"/>
  <c r="D374" i="1" s="1"/>
  <c r="F374" i="1" s="1"/>
  <c r="H374" i="1" s="1"/>
  <c r="G372" i="1"/>
  <c r="F373" i="1"/>
  <c r="E179" i="1"/>
  <c r="D180" i="1" s="1"/>
  <c r="F180" i="1" s="1"/>
  <c r="G178" i="1"/>
  <c r="E162" i="1"/>
  <c r="D163" i="1" s="1"/>
  <c r="F163" i="1" s="1"/>
  <c r="G161" i="1"/>
  <c r="E359" i="1"/>
  <c r="D360" i="1" s="1"/>
  <c r="F360" i="1" s="1"/>
  <c r="G358" i="1"/>
  <c r="F253" i="1"/>
  <c r="E253" i="1"/>
  <c r="D254" i="1" s="1"/>
  <c r="F254" i="1" s="1"/>
  <c r="H254" i="1" s="1"/>
  <c r="J254" i="1" s="1"/>
  <c r="G252" i="1"/>
  <c r="H252" i="1" s="1"/>
  <c r="J252" i="1" s="1"/>
  <c r="F145" i="1"/>
  <c r="E145" i="1"/>
  <c r="D146" i="1" s="1"/>
  <c r="F146" i="1" s="1"/>
  <c r="H146" i="1" s="1"/>
  <c r="J146" i="1" s="1"/>
  <c r="G144" i="1"/>
  <c r="H144" i="1" s="1"/>
  <c r="J144" i="1" s="1"/>
  <c r="E178" i="1"/>
  <c r="D179" i="1" s="1"/>
  <c r="F179" i="1" s="1"/>
  <c r="G177" i="1"/>
  <c r="F56" i="1"/>
  <c r="E56" i="1"/>
  <c r="D57" i="1" s="1"/>
  <c r="F57" i="1" s="1"/>
  <c r="H57" i="1" s="1"/>
  <c r="J57" i="1" s="1"/>
  <c r="G55" i="1"/>
  <c r="H55" i="1" s="1"/>
  <c r="J55" i="1" s="1"/>
  <c r="E247" i="1"/>
  <c r="G246" i="1"/>
  <c r="F333" i="1"/>
  <c r="H333" i="1" s="1"/>
  <c r="J333" i="1" s="1"/>
  <c r="E333" i="1"/>
  <c r="G332" i="1"/>
  <c r="H332" i="1" s="1"/>
  <c r="J332" i="1" s="1"/>
  <c r="F223" i="1"/>
  <c r="H223" i="1" s="1"/>
  <c r="J223" i="1" s="1"/>
  <c r="E223" i="1"/>
  <c r="D224" i="1" s="1"/>
  <c r="F224" i="1" s="1"/>
  <c r="G222" i="1"/>
  <c r="H222" i="1" s="1"/>
  <c r="J222" i="1" s="1"/>
  <c r="E164" i="1"/>
  <c r="D165" i="1" s="1"/>
  <c r="F165" i="1" s="1"/>
  <c r="G163" i="1"/>
  <c r="F164" i="1"/>
  <c r="H164" i="1" s="1"/>
  <c r="J164" i="1" s="1"/>
  <c r="E125" i="1"/>
  <c r="G124" i="1"/>
  <c r="H208" i="1"/>
  <c r="H343" i="1"/>
  <c r="I191" i="1"/>
  <c r="K191" i="1" s="1"/>
  <c r="H383" i="1"/>
  <c r="H330" i="1"/>
  <c r="J330" i="1" s="1"/>
  <c r="H52" i="1"/>
  <c r="I291" i="1"/>
  <c r="K291" i="1" s="1"/>
  <c r="F85" i="1"/>
  <c r="H85" i="1" s="1"/>
  <c r="J85" i="1" s="1"/>
  <c r="G84" i="1"/>
  <c r="E85" i="1"/>
  <c r="D86" i="1" s="1"/>
  <c r="F86" i="1" s="1"/>
  <c r="H86" i="1" s="1"/>
  <c r="D186" i="1"/>
  <c r="F186" i="1" s="1"/>
  <c r="H186" i="1" s="1"/>
  <c r="J186" i="1" s="1"/>
  <c r="F196" i="1"/>
  <c r="H196" i="1" s="1"/>
  <c r="J196" i="1" s="1"/>
  <c r="E196" i="1"/>
  <c r="G195" i="1"/>
  <c r="H195" i="1" s="1"/>
  <c r="J195" i="1" s="1"/>
  <c r="F245" i="1"/>
  <c r="E245" i="1"/>
  <c r="D246" i="1" s="1"/>
  <c r="F246" i="1" s="1"/>
  <c r="G244" i="1"/>
  <c r="F83" i="1"/>
  <c r="H83" i="1" s="1"/>
  <c r="J83" i="1" s="1"/>
  <c r="G82" i="1"/>
  <c r="E83" i="1"/>
  <c r="D84" i="1" s="1"/>
  <c r="F84" i="1" s="1"/>
  <c r="E259" i="1"/>
  <c r="G258" i="1"/>
  <c r="E365" i="1"/>
  <c r="G364" i="1"/>
  <c r="F365" i="1"/>
  <c r="H365" i="1" s="1"/>
  <c r="J365" i="1" s="1"/>
  <c r="E63" i="1"/>
  <c r="D64" i="1" s="1"/>
  <c r="F64" i="1" s="1"/>
  <c r="H64" i="1" s="1"/>
  <c r="G62" i="1"/>
  <c r="H62" i="1" s="1"/>
  <c r="J62" i="1" s="1"/>
  <c r="F63" i="1"/>
  <c r="H63" i="1" s="1"/>
  <c r="J63" i="1" s="1"/>
  <c r="I59" i="1"/>
  <c r="K59" i="1" s="1"/>
  <c r="F48" i="1"/>
  <c r="H48" i="1" s="1"/>
  <c r="J48" i="1" s="1"/>
  <c r="E48" i="1"/>
  <c r="G47" i="1"/>
  <c r="H47" i="1" s="1"/>
  <c r="J47" i="1" s="1"/>
  <c r="E358" i="1"/>
  <c r="D359" i="1" s="1"/>
  <c r="F359" i="1" s="1"/>
  <c r="H359" i="1" s="1"/>
  <c r="J359" i="1" s="1"/>
  <c r="G357" i="1"/>
  <c r="H357" i="1" s="1"/>
  <c r="J357" i="1" s="1"/>
  <c r="F358" i="1"/>
  <c r="D103" i="1"/>
  <c r="F103" i="1" s="1"/>
  <c r="H103" i="1" s="1"/>
  <c r="J103" i="1" s="1"/>
  <c r="F81" i="1"/>
  <c r="H81" i="1" s="1"/>
  <c r="J81" i="1" s="1"/>
  <c r="G80" i="1"/>
  <c r="H80" i="1" s="1"/>
  <c r="E81" i="1"/>
  <c r="D82" i="1" s="1"/>
  <c r="F82" i="1" s="1"/>
  <c r="D267" i="1"/>
  <c r="F267" i="1" s="1"/>
  <c r="H267" i="1" s="1"/>
  <c r="J267" i="1" s="1"/>
  <c r="E374" i="1"/>
  <c r="G373" i="1"/>
  <c r="F225" i="1"/>
  <c r="H225" i="1" s="1"/>
  <c r="J225" i="1" s="1"/>
  <c r="E225" i="1"/>
  <c r="G224" i="1"/>
  <c r="G286" i="1"/>
  <c r="H286" i="1" s="1"/>
  <c r="J286" i="1" s="1"/>
  <c r="E287" i="1"/>
  <c r="F287" i="1"/>
  <c r="H287" i="1" s="1"/>
  <c r="J287" i="1" s="1"/>
  <c r="E166" i="1"/>
  <c r="G165" i="1"/>
  <c r="F166" i="1"/>
  <c r="H166" i="1" s="1"/>
  <c r="J166" i="1" s="1"/>
  <c r="G56" i="1"/>
  <c r="E57" i="1"/>
  <c r="E240" i="1"/>
  <c r="D241" i="1" s="1"/>
  <c r="F241" i="1" s="1"/>
  <c r="H241" i="1" s="1"/>
  <c r="G239" i="1"/>
  <c r="H239" i="1" s="1"/>
  <c r="J239" i="1" s="1"/>
  <c r="F240" i="1"/>
  <c r="H240" i="1" s="1"/>
  <c r="J240" i="1" s="1"/>
  <c r="E283" i="1"/>
  <c r="G282" i="1"/>
  <c r="H282" i="1" s="1"/>
  <c r="J282" i="1" s="1"/>
  <c r="F283" i="1"/>
  <c r="H283" i="1" s="1"/>
  <c r="J283" i="1" s="1"/>
  <c r="F217" i="1"/>
  <c r="H217" i="1" s="1"/>
  <c r="J217" i="1" s="1"/>
  <c r="E217" i="1"/>
  <c r="G216" i="1"/>
  <c r="H216" i="1" s="1"/>
  <c r="J216" i="1" s="1"/>
  <c r="E146" i="1"/>
  <c r="D147" i="1" s="1"/>
  <c r="F147" i="1" s="1"/>
  <c r="G145" i="1"/>
  <c r="F299" i="1"/>
  <c r="H299" i="1" s="1"/>
  <c r="J299" i="1" s="1"/>
  <c r="G298" i="1"/>
  <c r="H298" i="1" s="1"/>
  <c r="J298" i="1" s="1"/>
  <c r="E299" i="1"/>
  <c r="D300" i="1" s="1"/>
  <c r="F300" i="1" s="1"/>
  <c r="E254" i="1"/>
  <c r="G253" i="1"/>
  <c r="F295" i="1"/>
  <c r="H295" i="1" s="1"/>
  <c r="J295" i="1" s="1"/>
  <c r="E295" i="1"/>
  <c r="G294" i="1"/>
  <c r="H294" i="1" s="1"/>
  <c r="J294" i="1" s="1"/>
  <c r="F66" i="1"/>
  <c r="H66" i="1" s="1"/>
  <c r="J66" i="1" s="1"/>
  <c r="E66" i="1"/>
  <c r="D67" i="1" s="1"/>
  <c r="F67" i="1" s="1"/>
  <c r="H67" i="1" s="1"/>
  <c r="G65" i="1"/>
  <c r="H65" i="1" s="1"/>
  <c r="J65" i="1" s="1"/>
  <c r="F311" i="1"/>
  <c r="H311" i="1" s="1"/>
  <c r="J311" i="1" s="1"/>
  <c r="E311" i="1"/>
  <c r="G310" i="1"/>
  <c r="H310" i="1" s="1"/>
  <c r="J310" i="1" s="1"/>
  <c r="E371" i="1"/>
  <c r="D372" i="1" s="1"/>
  <c r="F372" i="1" s="1"/>
  <c r="G370" i="1"/>
  <c r="H370" i="1" s="1"/>
  <c r="F371" i="1"/>
  <c r="H371" i="1" s="1"/>
  <c r="J371" i="1" s="1"/>
  <c r="E315" i="1"/>
  <c r="G314" i="1"/>
  <c r="E246" i="1"/>
  <c r="D247" i="1" s="1"/>
  <c r="F247" i="1" s="1"/>
  <c r="H247" i="1" s="1"/>
  <c r="J247" i="1" s="1"/>
  <c r="G245" i="1"/>
  <c r="E148" i="1"/>
  <c r="D149" i="1" s="1"/>
  <c r="F149" i="1" s="1"/>
  <c r="G147" i="1"/>
  <c r="F148" i="1"/>
  <c r="H148" i="1" s="1"/>
  <c r="J148" i="1" s="1"/>
  <c r="E99" i="1"/>
  <c r="G98" i="1"/>
  <c r="J175" i="1"/>
  <c r="I175" i="1"/>
  <c r="D324" i="1"/>
  <c r="F324" i="1" s="1"/>
  <c r="H324" i="1" s="1"/>
  <c r="J324" i="1" s="1"/>
  <c r="H320" i="1"/>
  <c r="F92" i="1"/>
  <c r="H92" i="1" s="1"/>
  <c r="J92" i="1" s="1"/>
  <c r="E92" i="1"/>
  <c r="G91" i="1"/>
  <c r="H91" i="1" s="1"/>
  <c r="J91" i="1" s="1"/>
  <c r="D345" i="1"/>
  <c r="F345" i="1" s="1"/>
  <c r="H345" i="1" s="1"/>
  <c r="J345" i="1" s="1"/>
  <c r="H190" i="1"/>
  <c r="I22" i="1"/>
  <c r="K22" i="1" s="1"/>
  <c r="H117" i="1"/>
  <c r="H76" i="1"/>
  <c r="I331" i="1"/>
  <c r="K331" i="1" s="1"/>
  <c r="I231" i="1"/>
  <c r="K231" i="1" s="1"/>
  <c r="I386" i="3" l="1"/>
  <c r="I154" i="2"/>
  <c r="K154" i="2" s="1"/>
  <c r="I298" i="2"/>
  <c r="K298" i="2" s="1"/>
  <c r="I183" i="2"/>
  <c r="K183" i="2" s="1"/>
  <c r="I249" i="2"/>
  <c r="K249" i="2" s="1"/>
  <c r="I247" i="2"/>
  <c r="K247" i="2" s="1"/>
  <c r="K386" i="3"/>
  <c r="F9" i="3" s="1"/>
  <c r="D386" i="2"/>
  <c r="I165" i="2"/>
  <c r="K165" i="2" s="1"/>
  <c r="I327" i="2"/>
  <c r="K327" i="2" s="1"/>
  <c r="I362" i="2"/>
  <c r="K362" i="2" s="1"/>
  <c r="I120" i="2"/>
  <c r="K120" i="2" s="1"/>
  <c r="I354" i="2"/>
  <c r="K354" i="2" s="1"/>
  <c r="I340" i="2"/>
  <c r="K340" i="2" s="1"/>
  <c r="I116" i="2"/>
  <c r="K116" i="2" s="1"/>
  <c r="I225" i="2"/>
  <c r="K225" i="2" s="1"/>
  <c r="I83" i="2"/>
  <c r="K83" i="2" s="1"/>
  <c r="I293" i="2"/>
  <c r="K293" i="2" s="1"/>
  <c r="I250" i="2"/>
  <c r="K250" i="2" s="1"/>
  <c r="I267" i="2"/>
  <c r="K267" i="2" s="1"/>
  <c r="I382" i="2"/>
  <c r="K382" i="2" s="1"/>
  <c r="I240" i="2"/>
  <c r="K240" i="2" s="1"/>
  <c r="I317" i="2"/>
  <c r="K317" i="2" s="1"/>
  <c r="I174" i="2"/>
  <c r="K174" i="2" s="1"/>
  <c r="K62" i="2"/>
  <c r="I217" i="2"/>
  <c r="K217" i="2" s="1"/>
  <c r="I46" i="2"/>
  <c r="K46" i="2" s="1"/>
  <c r="I68" i="2"/>
  <c r="K68" i="2" s="1"/>
  <c r="J156" i="2"/>
  <c r="K156" i="2" s="1"/>
  <c r="I279" i="2"/>
  <c r="K279" i="2" s="1"/>
  <c r="I64" i="2"/>
  <c r="K64" i="2" s="1"/>
  <c r="I241" i="2"/>
  <c r="K241" i="2" s="1"/>
  <c r="I328" i="2"/>
  <c r="K328" i="2" s="1"/>
  <c r="I23" i="2"/>
  <c r="K23" i="2" s="1"/>
  <c r="I30" i="2"/>
  <c r="K30" i="2" s="1"/>
  <c r="J227" i="2"/>
  <c r="K227" i="2" s="1"/>
  <c r="I292" i="2"/>
  <c r="K292" i="2" s="1"/>
  <c r="I125" i="2"/>
  <c r="K125" i="2" s="1"/>
  <c r="J238" i="2"/>
  <c r="I238" i="2"/>
  <c r="J262" i="2"/>
  <c r="I262" i="2"/>
  <c r="K338" i="2"/>
  <c r="J58" i="2"/>
  <c r="I58" i="2"/>
  <c r="J221" i="2"/>
  <c r="I221" i="2"/>
  <c r="K229" i="2"/>
  <c r="K115" i="2"/>
  <c r="K344" i="2"/>
  <c r="K172" i="2"/>
  <c r="J137" i="2"/>
  <c r="I137" i="2"/>
  <c r="J203" i="2"/>
  <c r="I203" i="2"/>
  <c r="J355" i="2"/>
  <c r="I355" i="2"/>
  <c r="K177" i="2"/>
  <c r="I86" i="2"/>
  <c r="K86" i="2" s="1"/>
  <c r="I178" i="2"/>
  <c r="K178" i="2" s="1"/>
  <c r="K204" i="2"/>
  <c r="J212" i="2"/>
  <c r="I212" i="2"/>
  <c r="K139" i="2"/>
  <c r="K43" i="2"/>
  <c r="K341" i="2"/>
  <c r="J49" i="2"/>
  <c r="I49" i="2"/>
  <c r="K331" i="2"/>
  <c r="J145" i="2"/>
  <c r="I145" i="2"/>
  <c r="I350" i="2"/>
  <c r="K350" i="2" s="1"/>
  <c r="I369" i="2"/>
  <c r="K369" i="2" s="1"/>
  <c r="K142" i="2"/>
  <c r="K164" i="2"/>
  <c r="J69" i="2"/>
  <c r="I69" i="2"/>
  <c r="I244" i="2"/>
  <c r="K244" i="2" s="1"/>
  <c r="I259" i="2"/>
  <c r="K259" i="2" s="1"/>
  <c r="K258" i="2"/>
  <c r="I311" i="2"/>
  <c r="K311" i="2" s="1"/>
  <c r="J166" i="2"/>
  <c r="I166" i="2"/>
  <c r="K148" i="2"/>
  <c r="K312" i="2"/>
  <c r="I91" i="2"/>
  <c r="K91" i="2" s="1"/>
  <c r="J150" i="2"/>
  <c r="I150" i="2"/>
  <c r="J133" i="2"/>
  <c r="I133" i="2"/>
  <c r="I337" i="2"/>
  <c r="K337" i="2" s="1"/>
  <c r="I325" i="2"/>
  <c r="K325" i="2" s="1"/>
  <c r="I56" i="2"/>
  <c r="K56" i="2" s="1"/>
  <c r="J149" i="2"/>
  <c r="I149" i="2"/>
  <c r="I51" i="2"/>
  <c r="K51" i="2" s="1"/>
  <c r="I78" i="2"/>
  <c r="K78" i="2" s="1"/>
  <c r="I143" i="2"/>
  <c r="K143" i="2" s="1"/>
  <c r="I233" i="2"/>
  <c r="K233" i="2" s="1"/>
  <c r="J96" i="2"/>
  <c r="I96" i="2"/>
  <c r="K54" i="2"/>
  <c r="K276" i="2"/>
  <c r="I195" i="2"/>
  <c r="K195" i="2" s="1"/>
  <c r="J65" i="2"/>
  <c r="I65" i="2"/>
  <c r="K275" i="2"/>
  <c r="K205" i="2"/>
  <c r="I114" i="2"/>
  <c r="K114" i="2" s="1"/>
  <c r="J252" i="2"/>
  <c r="I252" i="2"/>
  <c r="I147" i="2"/>
  <c r="K147" i="2" s="1"/>
  <c r="I111" i="2"/>
  <c r="K111" i="2" s="1"/>
  <c r="I161" i="2"/>
  <c r="K161" i="2" s="1"/>
  <c r="J383" i="2"/>
  <c r="I383" i="2"/>
  <c r="J117" i="2"/>
  <c r="I117" i="2"/>
  <c r="I173" i="2"/>
  <c r="K173" i="2" s="1"/>
  <c r="I271" i="2"/>
  <c r="K271" i="2" s="1"/>
  <c r="I374" i="2"/>
  <c r="K374" i="2" s="1"/>
  <c r="K320" i="2"/>
  <c r="I152" i="2"/>
  <c r="K152" i="2" s="1"/>
  <c r="I187" i="2"/>
  <c r="K187" i="2" s="1"/>
  <c r="I256" i="2"/>
  <c r="K256" i="2" s="1"/>
  <c r="J301" i="2"/>
  <c r="I301" i="2"/>
  <c r="K196" i="2"/>
  <c r="I42" i="2"/>
  <c r="K42" i="2" s="1"/>
  <c r="J84" i="2"/>
  <c r="I84" i="2"/>
  <c r="I180" i="2"/>
  <c r="K180" i="2" s="1"/>
  <c r="J282" i="2"/>
  <c r="I282" i="2"/>
  <c r="J348" i="2"/>
  <c r="I348" i="2"/>
  <c r="J299" i="2"/>
  <c r="I299" i="2"/>
  <c r="J269" i="2"/>
  <c r="I269" i="2"/>
  <c r="J72" i="2"/>
  <c r="I72" i="2"/>
  <c r="J367" i="2"/>
  <c r="I367" i="2"/>
  <c r="K53" i="2"/>
  <c r="K162" i="2"/>
  <c r="J61" i="2"/>
  <c r="I61" i="2"/>
  <c r="K323" i="2"/>
  <c r="K285" i="2"/>
  <c r="J231" i="2"/>
  <c r="I231" i="2"/>
  <c r="K308" i="2"/>
  <c r="K321" i="2"/>
  <c r="J92" i="2"/>
  <c r="I92" i="2"/>
  <c r="J169" i="2"/>
  <c r="I169" i="2"/>
  <c r="J251" i="2"/>
  <c r="I251" i="2"/>
  <c r="I284" i="2"/>
  <c r="K284" i="2" s="1"/>
  <c r="I345" i="2"/>
  <c r="K345" i="2" s="1"/>
  <c r="J287" i="2"/>
  <c r="I287" i="2"/>
  <c r="I37" i="2"/>
  <c r="K37" i="2" s="1"/>
  <c r="J146" i="2"/>
  <c r="I146" i="2"/>
  <c r="I315" i="2"/>
  <c r="K315" i="2" s="1"/>
  <c r="J71" i="2"/>
  <c r="I71" i="2"/>
  <c r="I305" i="2"/>
  <c r="K305" i="2" s="1"/>
  <c r="K289" i="2"/>
  <c r="I118" i="2"/>
  <c r="K118" i="2" s="1"/>
  <c r="J129" i="2"/>
  <c r="I129" i="2"/>
  <c r="I253" i="2"/>
  <c r="K253" i="2" s="1"/>
  <c r="J215" i="2"/>
  <c r="I215" i="2"/>
  <c r="J22" i="2"/>
  <c r="I22" i="2"/>
  <c r="J48" i="2"/>
  <c r="I48" i="2"/>
  <c r="J185" i="2"/>
  <c r="I185" i="2"/>
  <c r="K107" i="2"/>
  <c r="K343" i="2"/>
  <c r="K188" i="2"/>
  <c r="J175" i="2"/>
  <c r="I175" i="2"/>
  <c r="I296" i="2"/>
  <c r="K296" i="2" s="1"/>
  <c r="J113" i="2"/>
  <c r="I113" i="2"/>
  <c r="K306" i="2"/>
  <c r="I208" i="2"/>
  <c r="K208" i="2" s="1"/>
  <c r="I360" i="2"/>
  <c r="K360" i="2" s="1"/>
  <c r="J347" i="2"/>
  <c r="I347" i="2"/>
  <c r="K141" i="2"/>
  <c r="K307" i="2"/>
  <c r="J95" i="2"/>
  <c r="I95" i="2"/>
  <c r="J351" i="2"/>
  <c r="I351" i="2"/>
  <c r="J167" i="2"/>
  <c r="I167" i="2"/>
  <c r="J191" i="2"/>
  <c r="I191" i="2"/>
  <c r="K89" i="2"/>
  <c r="I102" i="2"/>
  <c r="K102" i="2" s="1"/>
  <c r="K32" i="2"/>
  <c r="K103" i="2"/>
  <c r="I44" i="2"/>
  <c r="K44" i="2" s="1"/>
  <c r="K319" i="2"/>
  <c r="K104" i="2"/>
  <c r="J228" i="2"/>
  <c r="I228" i="2"/>
  <c r="K290" i="2"/>
  <c r="J28" i="2"/>
  <c r="I28" i="2"/>
  <c r="I342" i="2"/>
  <c r="K342" i="2" s="1"/>
  <c r="J218" i="2"/>
  <c r="I218" i="2"/>
  <c r="J60" i="2"/>
  <c r="I60" i="2"/>
  <c r="J184" i="2"/>
  <c r="I184" i="2"/>
  <c r="J363" i="2"/>
  <c r="I363" i="2"/>
  <c r="J73" i="2"/>
  <c r="I73" i="2"/>
  <c r="J352" i="2"/>
  <c r="I352" i="2"/>
  <c r="K106" i="2"/>
  <c r="J294" i="2"/>
  <c r="I294" i="2"/>
  <c r="J119" i="2"/>
  <c r="I119" i="2"/>
  <c r="K75" i="2"/>
  <c r="J66" i="2"/>
  <c r="I66" i="2"/>
  <c r="K291" i="2"/>
  <c r="K378" i="2"/>
  <c r="J81" i="2"/>
  <c r="I81" i="2"/>
  <c r="J97" i="2"/>
  <c r="I97" i="2"/>
  <c r="I135" i="2"/>
  <c r="K135" i="2" s="1"/>
  <c r="K257" i="2"/>
  <c r="K309" i="2"/>
  <c r="I365" i="2"/>
  <c r="K365" i="2" s="1"/>
  <c r="J310" i="2"/>
  <c r="I310" i="2"/>
  <c r="K140" i="2"/>
  <c r="J223" i="2"/>
  <c r="I223" i="2"/>
  <c r="K330" i="2"/>
  <c r="K87" i="2"/>
  <c r="J179" i="2"/>
  <c r="I179" i="2"/>
  <c r="J314" i="2"/>
  <c r="I314" i="2"/>
  <c r="J168" i="2"/>
  <c r="I168" i="2"/>
  <c r="J121" i="2"/>
  <c r="I121" i="2"/>
  <c r="J300" i="2"/>
  <c r="I300" i="2"/>
  <c r="J41" i="2"/>
  <c r="I41" i="2"/>
  <c r="J189" i="2"/>
  <c r="I189" i="2"/>
  <c r="J324" i="2"/>
  <c r="I324" i="2"/>
  <c r="J57" i="2"/>
  <c r="I57" i="2"/>
  <c r="J242" i="2"/>
  <c r="I242" i="2"/>
  <c r="J55" i="2"/>
  <c r="I55" i="2"/>
  <c r="J268" i="2"/>
  <c r="I268" i="2"/>
  <c r="J254" i="2"/>
  <c r="I254" i="2"/>
  <c r="J38" i="2"/>
  <c r="I38" i="2"/>
  <c r="J193" i="2"/>
  <c r="I193" i="2"/>
  <c r="J50" i="2"/>
  <c r="I50" i="2"/>
  <c r="J70" i="2"/>
  <c r="I70" i="2"/>
  <c r="J265" i="2"/>
  <c r="I265" i="2"/>
  <c r="J35" i="2"/>
  <c r="I35" i="2"/>
  <c r="J176" i="2"/>
  <c r="I176" i="2"/>
  <c r="J138" i="2"/>
  <c r="I138" i="2"/>
  <c r="J47" i="2"/>
  <c r="I47" i="2"/>
  <c r="K79" i="2"/>
  <c r="K333" i="2"/>
  <c r="J264" i="2"/>
  <c r="I264" i="2"/>
  <c r="J171" i="2"/>
  <c r="I171" i="2"/>
  <c r="J94" i="2"/>
  <c r="I94" i="2"/>
  <c r="K80" i="2"/>
  <c r="J303" i="2"/>
  <c r="I303" i="2"/>
  <c r="J211" i="2"/>
  <c r="I211" i="2"/>
  <c r="K99" i="2"/>
  <c r="J63" i="2"/>
  <c r="I63" i="2"/>
  <c r="K214" i="2"/>
  <c r="K112" i="2"/>
  <c r="J230" i="2"/>
  <c r="I230" i="2"/>
  <c r="J199" i="2"/>
  <c r="I199" i="2"/>
  <c r="K372" i="2"/>
  <c r="K136" i="2"/>
  <c r="K334" i="2"/>
  <c r="J381" i="2"/>
  <c r="I381" i="2"/>
  <c r="K21" i="2"/>
  <c r="J220" i="2"/>
  <c r="I220" i="2"/>
  <c r="J201" i="2"/>
  <c r="I201" i="2"/>
  <c r="J182" i="2"/>
  <c r="I182" i="2"/>
  <c r="J313" i="2"/>
  <c r="I313" i="2"/>
  <c r="F25" i="2"/>
  <c r="H25" i="2" s="1"/>
  <c r="K158" i="2"/>
  <c r="J281" i="2"/>
  <c r="I281" i="2"/>
  <c r="K286" i="2"/>
  <c r="K366" i="2"/>
  <c r="K131" i="2"/>
  <c r="K357" i="2"/>
  <c r="J123" i="2"/>
  <c r="I123" i="2"/>
  <c r="K332" i="2"/>
  <c r="J40" i="2"/>
  <c r="I40" i="2"/>
  <c r="J128" i="2"/>
  <c r="I128" i="2"/>
  <c r="J34" i="2"/>
  <c r="I34" i="2"/>
  <c r="K206" i="2"/>
  <c r="I69" i="1"/>
  <c r="K69" i="1" s="1"/>
  <c r="I322" i="1"/>
  <c r="K322" i="1" s="1"/>
  <c r="I189" i="1"/>
  <c r="K189" i="1" s="1"/>
  <c r="I211" i="1"/>
  <c r="K211" i="1" s="1"/>
  <c r="I200" i="1"/>
  <c r="K200" i="1" s="1"/>
  <c r="I107" i="1"/>
  <c r="K107" i="1" s="1"/>
  <c r="I54" i="1"/>
  <c r="K54" i="1" s="1"/>
  <c r="I264" i="1"/>
  <c r="K264" i="1" s="1"/>
  <c r="I28" i="1"/>
  <c r="K28" i="1" s="1"/>
  <c r="I61" i="1"/>
  <c r="K61" i="1" s="1"/>
  <c r="I198" i="1"/>
  <c r="K198" i="1" s="1"/>
  <c r="I265" i="1"/>
  <c r="K265" i="1" s="1"/>
  <c r="H314" i="1"/>
  <c r="J314" i="1" s="1"/>
  <c r="H145" i="1"/>
  <c r="J145" i="1" s="1"/>
  <c r="I78" i="1"/>
  <c r="K78" i="1" s="1"/>
  <c r="I79" i="1"/>
  <c r="K79" i="1" s="1"/>
  <c r="I95" i="1"/>
  <c r="K95" i="1" s="1"/>
  <c r="I252" i="1"/>
  <c r="K252" i="1" s="1"/>
  <c r="I134" i="1"/>
  <c r="K134" i="1" s="1"/>
  <c r="I85" i="1"/>
  <c r="K85" i="1" s="1"/>
  <c r="H245" i="1"/>
  <c r="J245" i="1" s="1"/>
  <c r="H161" i="1"/>
  <c r="J161" i="1" s="1"/>
  <c r="I313" i="1"/>
  <c r="K313" i="1" s="1"/>
  <c r="I202" i="1"/>
  <c r="K202" i="1" s="1"/>
  <c r="I294" i="1"/>
  <c r="K294" i="1" s="1"/>
  <c r="I47" i="1"/>
  <c r="K47" i="1" s="1"/>
  <c r="I44" i="1"/>
  <c r="K44" i="1" s="1"/>
  <c r="I111" i="1"/>
  <c r="K111" i="1" s="1"/>
  <c r="I42" i="1"/>
  <c r="K42" i="1" s="1"/>
  <c r="H224" i="1"/>
  <c r="J224" i="1" s="1"/>
  <c r="I186" i="1"/>
  <c r="K186" i="1" s="1"/>
  <c r="K51" i="1"/>
  <c r="I154" i="1"/>
  <c r="K154" i="1" s="1"/>
  <c r="J374" i="1"/>
  <c r="I374" i="1"/>
  <c r="I192" i="1"/>
  <c r="K192" i="1" s="1"/>
  <c r="I267" i="1"/>
  <c r="K267" i="1" s="1"/>
  <c r="H258" i="1"/>
  <c r="J258" i="1" s="1"/>
  <c r="I164" i="1"/>
  <c r="K164" i="1" s="1"/>
  <c r="I120" i="1"/>
  <c r="K120" i="1" s="1"/>
  <c r="J259" i="1"/>
  <c r="I259" i="1"/>
  <c r="H165" i="1"/>
  <c r="J165" i="1" s="1"/>
  <c r="I162" i="1"/>
  <c r="K162" i="1" s="1"/>
  <c r="J68" i="1"/>
  <c r="I68" i="1"/>
  <c r="I166" i="1"/>
  <c r="K166" i="1" s="1"/>
  <c r="I81" i="1"/>
  <c r="K81" i="1" s="1"/>
  <c r="I377" i="1"/>
  <c r="K377" i="1" s="1"/>
  <c r="I108" i="1"/>
  <c r="K108" i="1" s="1"/>
  <c r="I38" i="1"/>
  <c r="K38" i="1" s="1"/>
  <c r="I305" i="1"/>
  <c r="K305" i="1" s="1"/>
  <c r="I310" i="1"/>
  <c r="K310" i="1" s="1"/>
  <c r="I317" i="1"/>
  <c r="K317" i="1" s="1"/>
  <c r="I315" i="1"/>
  <c r="K315" i="1" s="1"/>
  <c r="I196" i="1"/>
  <c r="K196" i="1" s="1"/>
  <c r="J320" i="1"/>
  <c r="I320" i="1"/>
  <c r="I213" i="1"/>
  <c r="K213" i="1" s="1"/>
  <c r="I71" i="1"/>
  <c r="K71" i="1" s="1"/>
  <c r="I361" i="1"/>
  <c r="K361" i="1" s="1"/>
  <c r="H147" i="1"/>
  <c r="J147" i="1" s="1"/>
  <c r="H362" i="1"/>
  <c r="J362" i="1" s="1"/>
  <c r="I345" i="1"/>
  <c r="K345" i="1" s="1"/>
  <c r="I103" i="1"/>
  <c r="K103" i="1" s="1"/>
  <c r="I333" i="1"/>
  <c r="K333" i="1" s="1"/>
  <c r="I354" i="1"/>
  <c r="K354" i="1" s="1"/>
  <c r="I91" i="1"/>
  <c r="K91" i="1" s="1"/>
  <c r="I43" i="1"/>
  <c r="K43" i="1" s="1"/>
  <c r="I184" i="1"/>
  <c r="K184" i="1" s="1"/>
  <c r="K104" i="1"/>
  <c r="I349" i="1"/>
  <c r="K349" i="1" s="1"/>
  <c r="I92" i="1"/>
  <c r="K92" i="1" s="1"/>
  <c r="I365" i="1"/>
  <c r="K365" i="1" s="1"/>
  <c r="I272" i="1"/>
  <c r="K272" i="1" s="1"/>
  <c r="I173" i="1"/>
  <c r="K173" i="1" s="1"/>
  <c r="K336" i="1"/>
  <c r="I150" i="1"/>
  <c r="K150" i="1" s="1"/>
  <c r="I332" i="1"/>
  <c r="K332" i="1" s="1"/>
  <c r="I243" i="1"/>
  <c r="K243" i="1" s="1"/>
  <c r="I353" i="1"/>
  <c r="K353" i="1" s="1"/>
  <c r="K132" i="1"/>
  <c r="I279" i="1"/>
  <c r="K279" i="1" s="1"/>
  <c r="I48" i="1"/>
  <c r="K48" i="1" s="1"/>
  <c r="K356" i="1"/>
  <c r="J116" i="1"/>
  <c r="I116" i="1"/>
  <c r="K221" i="1"/>
  <c r="I148" i="1"/>
  <c r="K148" i="1" s="1"/>
  <c r="I295" i="1"/>
  <c r="K295" i="1" s="1"/>
  <c r="I240" i="1"/>
  <c r="K240" i="1" s="1"/>
  <c r="I330" i="1"/>
  <c r="K330" i="1" s="1"/>
  <c r="I299" i="1"/>
  <c r="K299" i="1" s="1"/>
  <c r="I282" i="1"/>
  <c r="K282" i="1" s="1"/>
  <c r="J208" i="1"/>
  <c r="I208" i="1"/>
  <c r="K131" i="1"/>
  <c r="I62" i="1"/>
  <c r="K62" i="1" s="1"/>
  <c r="I286" i="1"/>
  <c r="K286" i="1" s="1"/>
  <c r="I160" i="1"/>
  <c r="K160" i="1" s="1"/>
  <c r="I94" i="1"/>
  <c r="K94" i="1" s="1"/>
  <c r="I176" i="1"/>
  <c r="K176" i="1" s="1"/>
  <c r="J87" i="1"/>
  <c r="I87" i="1"/>
  <c r="I339" i="1"/>
  <c r="K339" i="1" s="1"/>
  <c r="K230" i="1"/>
  <c r="I158" i="1"/>
  <c r="K158" i="1" s="1"/>
  <c r="K31" i="1"/>
  <c r="K262" i="1"/>
  <c r="I99" i="1"/>
  <c r="K99" i="1" s="1"/>
  <c r="I195" i="1"/>
  <c r="K195" i="1" s="1"/>
  <c r="I223" i="1"/>
  <c r="K223" i="1" s="1"/>
  <c r="I318" i="1"/>
  <c r="K318" i="1" s="1"/>
  <c r="I379" i="1"/>
  <c r="K379" i="1" s="1"/>
  <c r="J76" i="1"/>
  <c r="I76" i="1"/>
  <c r="J190" i="1"/>
  <c r="I190" i="1"/>
  <c r="I125" i="1"/>
  <c r="K125" i="1" s="1"/>
  <c r="I88" i="1"/>
  <c r="K88" i="1" s="1"/>
  <c r="I217" i="1"/>
  <c r="K217" i="1" s="1"/>
  <c r="I35" i="1"/>
  <c r="K35" i="1" s="1"/>
  <c r="K204" i="1"/>
  <c r="K274" i="1"/>
  <c r="K193" i="1"/>
  <c r="I225" i="1"/>
  <c r="K225" i="1" s="1"/>
  <c r="J46" i="1"/>
  <c r="I46" i="1"/>
  <c r="K326" i="1"/>
  <c r="I324" i="1"/>
  <c r="K324" i="1" s="1"/>
  <c r="I371" i="1"/>
  <c r="K371" i="1" s="1"/>
  <c r="I311" i="1"/>
  <c r="K311" i="1" s="1"/>
  <c r="I280" i="1"/>
  <c r="K280" i="1" s="1"/>
  <c r="K113" i="1"/>
  <c r="I242" i="1"/>
  <c r="K242" i="1" s="1"/>
  <c r="I65" i="1"/>
  <c r="K65" i="1" s="1"/>
  <c r="I254" i="1"/>
  <c r="K254" i="1" s="1"/>
  <c r="I201" i="1"/>
  <c r="K201" i="1" s="1"/>
  <c r="I293" i="1"/>
  <c r="K293" i="1" s="1"/>
  <c r="I26" i="1"/>
  <c r="K26" i="1" s="1"/>
  <c r="D197" i="1"/>
  <c r="F197" i="1" s="1"/>
  <c r="H197" i="1" s="1"/>
  <c r="J197" i="1" s="1"/>
  <c r="I283" i="1"/>
  <c r="K283" i="1" s="1"/>
  <c r="I57" i="1"/>
  <c r="K57" i="1" s="1"/>
  <c r="J383" i="1"/>
  <c r="I383" i="1"/>
  <c r="I172" i="1"/>
  <c r="K172" i="1" s="1"/>
  <c r="H244" i="1"/>
  <c r="J244" i="1" s="1"/>
  <c r="I301" i="1"/>
  <c r="K301" i="1" s="1"/>
  <c r="I109" i="1"/>
  <c r="K109" i="1" s="1"/>
  <c r="K141" i="1"/>
  <c r="K340" i="1"/>
  <c r="K325" i="1"/>
  <c r="H364" i="1"/>
  <c r="J364" i="1" s="1"/>
  <c r="H177" i="1"/>
  <c r="J177" i="1" s="1"/>
  <c r="I153" i="1"/>
  <c r="K153" i="1" s="1"/>
  <c r="I206" i="1"/>
  <c r="K206" i="1" s="1"/>
  <c r="K346" i="1"/>
  <c r="K368" i="1"/>
  <c r="J235" i="1"/>
  <c r="I235" i="1"/>
  <c r="I66" i="1"/>
  <c r="K66" i="1" s="1"/>
  <c r="I287" i="1"/>
  <c r="K287" i="1" s="1"/>
  <c r="I83" i="1"/>
  <c r="K83" i="1" s="1"/>
  <c r="I247" i="1"/>
  <c r="K247" i="1" s="1"/>
  <c r="D159" i="1"/>
  <c r="F159" i="1" s="1"/>
  <c r="H159" i="1" s="1"/>
  <c r="J159" i="1" s="1"/>
  <c r="I39" i="1"/>
  <c r="K39" i="1" s="1"/>
  <c r="I181" i="1"/>
  <c r="K181" i="1" s="1"/>
  <c r="H358" i="1"/>
  <c r="H25" i="1"/>
  <c r="J185" i="1"/>
  <c r="I185" i="1"/>
  <c r="I63" i="1"/>
  <c r="K63" i="1" s="1"/>
  <c r="H84" i="1"/>
  <c r="J84" i="1" s="1"/>
  <c r="H163" i="1"/>
  <c r="J163" i="1" s="1"/>
  <c r="D378" i="1"/>
  <c r="F378" i="1" s="1"/>
  <c r="H378" i="1" s="1"/>
  <c r="J378" i="1" s="1"/>
  <c r="I128" i="1"/>
  <c r="K128" i="1" s="1"/>
  <c r="D36" i="1"/>
  <c r="F36" i="1" s="1"/>
  <c r="H36" i="1" s="1"/>
  <c r="J36" i="1" s="1"/>
  <c r="I123" i="1"/>
  <c r="K123" i="1" s="1"/>
  <c r="I298" i="1"/>
  <c r="K298" i="1" s="1"/>
  <c r="I146" i="1"/>
  <c r="K146" i="1" s="1"/>
  <c r="H82" i="1"/>
  <c r="J82" i="1" s="1"/>
  <c r="I359" i="1"/>
  <c r="K359" i="1" s="1"/>
  <c r="I24" i="1"/>
  <c r="K24" i="1" s="1"/>
  <c r="I73" i="1"/>
  <c r="K73" i="1" s="1"/>
  <c r="I363" i="1"/>
  <c r="K363" i="1" s="1"/>
  <c r="I135" i="1"/>
  <c r="K135" i="1" s="1"/>
  <c r="I169" i="1"/>
  <c r="K169" i="1" s="1"/>
  <c r="I30" i="1"/>
  <c r="K30" i="1" s="1"/>
  <c r="I250" i="1"/>
  <c r="K250" i="1" s="1"/>
  <c r="H360" i="1"/>
  <c r="I205" i="1"/>
  <c r="K205" i="1" s="1"/>
  <c r="K50" i="1"/>
  <c r="J64" i="1"/>
  <c r="I64" i="1"/>
  <c r="J40" i="1"/>
  <c r="I40" i="1"/>
  <c r="J67" i="1"/>
  <c r="I67" i="1"/>
  <c r="J241" i="1"/>
  <c r="I241" i="1"/>
  <c r="J86" i="1"/>
  <c r="I86" i="1"/>
  <c r="J117" i="1"/>
  <c r="I117" i="1"/>
  <c r="D218" i="1"/>
  <c r="F218" i="1" s="1"/>
  <c r="H218" i="1" s="1"/>
  <c r="J218" i="1" s="1"/>
  <c r="D58" i="1"/>
  <c r="F58" i="1" s="1"/>
  <c r="H58" i="1" s="1"/>
  <c r="J58" i="1" s="1"/>
  <c r="D49" i="1"/>
  <c r="F49" i="1" s="1"/>
  <c r="H49" i="1" s="1"/>
  <c r="J49" i="1" s="1"/>
  <c r="D74" i="1"/>
  <c r="F74" i="1" s="1"/>
  <c r="H74" i="1" s="1"/>
  <c r="J74" i="1" s="1"/>
  <c r="D236" i="1"/>
  <c r="F236" i="1" s="1"/>
  <c r="H236" i="1" s="1"/>
  <c r="J236" i="1" s="1"/>
  <c r="D136" i="1"/>
  <c r="F136" i="1" s="1"/>
  <c r="H136" i="1" s="1"/>
  <c r="J136" i="1" s="1"/>
  <c r="D251" i="1"/>
  <c r="F251" i="1" s="1"/>
  <c r="H251" i="1" s="1"/>
  <c r="J251" i="1" s="1"/>
  <c r="D151" i="1"/>
  <c r="F151" i="1" s="1"/>
  <c r="H151" i="1" s="1"/>
  <c r="J151" i="1" s="1"/>
  <c r="K175" i="1"/>
  <c r="H98" i="1"/>
  <c r="H253" i="1"/>
  <c r="I216" i="1"/>
  <c r="K216" i="1" s="1"/>
  <c r="D260" i="1"/>
  <c r="F260" i="1" s="1"/>
  <c r="H260" i="1" s="1"/>
  <c r="J260" i="1" s="1"/>
  <c r="H246" i="1"/>
  <c r="I144" i="1"/>
  <c r="K144" i="1" s="1"/>
  <c r="H372" i="1"/>
  <c r="D121" i="1"/>
  <c r="F121" i="1" s="1"/>
  <c r="H121" i="1" s="1"/>
  <c r="J121" i="1" s="1"/>
  <c r="F21" i="1"/>
  <c r="H21" i="1" s="1"/>
  <c r="I21" i="1" s="1"/>
  <c r="I156" i="1"/>
  <c r="K156" i="1" s="1"/>
  <c r="I72" i="1"/>
  <c r="K72" i="1" s="1"/>
  <c r="I34" i="1"/>
  <c r="K34" i="1" s="1"/>
  <c r="D170" i="1"/>
  <c r="F170" i="1" s="1"/>
  <c r="H170" i="1" s="1"/>
  <c r="J170" i="1" s="1"/>
  <c r="I249" i="1"/>
  <c r="K249" i="1" s="1"/>
  <c r="I183" i="1"/>
  <c r="K183" i="1" s="1"/>
  <c r="H300" i="1"/>
  <c r="D312" i="1"/>
  <c r="F312" i="1" s="1"/>
  <c r="H312" i="1" s="1"/>
  <c r="J312" i="1" s="1"/>
  <c r="D375" i="1"/>
  <c r="F375" i="1" s="1"/>
  <c r="H375" i="1" s="1"/>
  <c r="J375" i="1" s="1"/>
  <c r="J348" i="1"/>
  <c r="I348" i="1"/>
  <c r="H180" i="1"/>
  <c r="J180" i="1" s="1"/>
  <c r="J329" i="1"/>
  <c r="I329" i="1"/>
  <c r="D207" i="1"/>
  <c r="F207" i="1" s="1"/>
  <c r="H207" i="1" s="1"/>
  <c r="J207" i="1" s="1"/>
  <c r="D93" i="1"/>
  <c r="F93" i="1" s="1"/>
  <c r="H93" i="1" s="1"/>
  <c r="J93" i="1" s="1"/>
  <c r="J27" i="1"/>
  <c r="I27" i="1"/>
  <c r="D100" i="1"/>
  <c r="F100" i="1" s="1"/>
  <c r="H100" i="1" s="1"/>
  <c r="J100" i="1" s="1"/>
  <c r="D296" i="1"/>
  <c r="F296" i="1" s="1"/>
  <c r="H296" i="1" s="1"/>
  <c r="J296" i="1" s="1"/>
  <c r="D255" i="1"/>
  <c r="F255" i="1" s="1"/>
  <c r="H255" i="1" s="1"/>
  <c r="J255" i="1" s="1"/>
  <c r="D284" i="1"/>
  <c r="F284" i="1" s="1"/>
  <c r="H284" i="1" s="1"/>
  <c r="J284" i="1" s="1"/>
  <c r="H56" i="1"/>
  <c r="D288" i="1"/>
  <c r="F288" i="1" s="1"/>
  <c r="H288" i="1" s="1"/>
  <c r="J288" i="1" s="1"/>
  <c r="J80" i="1"/>
  <c r="I80" i="1"/>
  <c r="J319" i="1"/>
  <c r="I319" i="1"/>
  <c r="I357" i="1"/>
  <c r="K357" i="1" s="1"/>
  <c r="D366" i="1"/>
  <c r="F366" i="1" s="1"/>
  <c r="H366" i="1" s="1"/>
  <c r="J366" i="1" s="1"/>
  <c r="J343" i="1"/>
  <c r="I343" i="1"/>
  <c r="H124" i="1"/>
  <c r="D248" i="1"/>
  <c r="F248" i="1" s="1"/>
  <c r="H248" i="1" s="1"/>
  <c r="J248" i="1" s="1"/>
  <c r="D203" i="1"/>
  <c r="F203" i="1" s="1"/>
  <c r="H203" i="1" s="1"/>
  <c r="J203" i="1" s="1"/>
  <c r="D89" i="1"/>
  <c r="F89" i="1" s="1"/>
  <c r="H89" i="1" s="1"/>
  <c r="J89" i="1" s="1"/>
  <c r="H179" i="1"/>
  <c r="I119" i="1"/>
  <c r="K119" i="1" s="1"/>
  <c r="I233" i="1"/>
  <c r="K233" i="1" s="1"/>
  <c r="J209" i="1"/>
  <c r="I209" i="1"/>
  <c r="I257" i="1"/>
  <c r="K257" i="1" s="1"/>
  <c r="D273" i="1"/>
  <c r="F273" i="1" s="1"/>
  <c r="H273" i="1" s="1"/>
  <c r="J273" i="1" s="1"/>
  <c r="D350" i="1"/>
  <c r="F350" i="1" s="1"/>
  <c r="H350" i="1" s="1"/>
  <c r="J350" i="1" s="1"/>
  <c r="D129" i="1"/>
  <c r="F129" i="1" s="1"/>
  <c r="H129" i="1" s="1"/>
  <c r="J129" i="1" s="1"/>
  <c r="D45" i="1"/>
  <c r="F45" i="1" s="1"/>
  <c r="H45" i="1" s="1"/>
  <c r="J45" i="1" s="1"/>
  <c r="D182" i="1"/>
  <c r="F182" i="1" s="1"/>
  <c r="H182" i="1" s="1"/>
  <c r="J182" i="1" s="1"/>
  <c r="I376" i="1"/>
  <c r="K376" i="1" s="1"/>
  <c r="D316" i="1"/>
  <c r="F316" i="1" s="1"/>
  <c r="H316" i="1" s="1"/>
  <c r="J316" i="1" s="1"/>
  <c r="J370" i="1"/>
  <c r="I370" i="1"/>
  <c r="I239" i="1"/>
  <c r="K239" i="1" s="1"/>
  <c r="D167" i="1"/>
  <c r="F167" i="1" s="1"/>
  <c r="H167" i="1" s="1"/>
  <c r="J167" i="1" s="1"/>
  <c r="D226" i="1"/>
  <c r="F226" i="1" s="1"/>
  <c r="H226" i="1" s="1"/>
  <c r="J226" i="1" s="1"/>
  <c r="H373" i="1"/>
  <c r="J52" i="1"/>
  <c r="I52" i="1"/>
  <c r="D126" i="1"/>
  <c r="F126" i="1" s="1"/>
  <c r="H126" i="1" s="1"/>
  <c r="J126" i="1" s="1"/>
  <c r="I222" i="1"/>
  <c r="K222" i="1" s="1"/>
  <c r="D334" i="1"/>
  <c r="F334" i="1" s="1"/>
  <c r="H334" i="1" s="1"/>
  <c r="J334" i="1" s="1"/>
  <c r="H178" i="1"/>
  <c r="I97" i="1"/>
  <c r="K97" i="1" s="1"/>
  <c r="D155" i="1"/>
  <c r="F155" i="1" s="1"/>
  <c r="H155" i="1" s="1"/>
  <c r="J155" i="1" s="1"/>
  <c r="I271" i="1"/>
  <c r="K271" i="1" s="1"/>
  <c r="D281" i="1"/>
  <c r="F281" i="1" s="1"/>
  <c r="H281" i="1" s="1"/>
  <c r="J281" i="1" s="1"/>
  <c r="H157" i="1"/>
  <c r="H234" i="1"/>
  <c r="I127" i="1"/>
  <c r="K127" i="1" s="1"/>
  <c r="D96" i="1"/>
  <c r="F96" i="1" s="1"/>
  <c r="H96" i="1" s="1"/>
  <c r="J96" i="1" s="1"/>
  <c r="I168" i="1"/>
  <c r="K168" i="1" s="1"/>
  <c r="D174" i="1"/>
  <c r="F174" i="1" s="1"/>
  <c r="H174" i="1" s="1"/>
  <c r="J174" i="1" s="1"/>
  <c r="D302" i="1"/>
  <c r="F302" i="1" s="1"/>
  <c r="H302" i="1" s="1"/>
  <c r="J302" i="1" s="1"/>
  <c r="D355" i="1"/>
  <c r="F355" i="1" s="1"/>
  <c r="H355" i="1" s="1"/>
  <c r="J355" i="1" s="1"/>
  <c r="D110" i="1"/>
  <c r="F110" i="1" s="1"/>
  <c r="H110" i="1" s="1"/>
  <c r="J110" i="1" s="1"/>
  <c r="H149" i="1"/>
  <c r="I55" i="1"/>
  <c r="K55" i="1" s="1"/>
  <c r="K137" i="2" l="1"/>
  <c r="K262" i="2"/>
  <c r="K238" i="2"/>
  <c r="K221" i="2"/>
  <c r="K58" i="2"/>
  <c r="K203" i="2"/>
  <c r="K352" i="2"/>
  <c r="K363" i="2"/>
  <c r="K150" i="2"/>
  <c r="K228" i="2"/>
  <c r="K145" i="2"/>
  <c r="K355" i="2"/>
  <c r="K96" i="2"/>
  <c r="K254" i="2"/>
  <c r="K55" i="2"/>
  <c r="K57" i="2"/>
  <c r="K95" i="2"/>
  <c r="K212" i="2"/>
  <c r="K81" i="2"/>
  <c r="K66" i="2"/>
  <c r="K119" i="2"/>
  <c r="K49" i="2"/>
  <c r="K22" i="2"/>
  <c r="K211" i="2"/>
  <c r="K133" i="2"/>
  <c r="K231" i="2"/>
  <c r="K117" i="2"/>
  <c r="K69" i="2"/>
  <c r="K300" i="2"/>
  <c r="K282" i="2"/>
  <c r="K73" i="2"/>
  <c r="K184" i="2"/>
  <c r="K351" i="2"/>
  <c r="K113" i="2"/>
  <c r="K215" i="2"/>
  <c r="K287" i="2"/>
  <c r="K92" i="2"/>
  <c r="K65" i="2"/>
  <c r="K149" i="2"/>
  <c r="K128" i="2"/>
  <c r="K281" i="2"/>
  <c r="K94" i="2"/>
  <c r="K264" i="2"/>
  <c r="K47" i="2"/>
  <c r="K38" i="2"/>
  <c r="K166" i="2"/>
  <c r="K269" i="2"/>
  <c r="K383" i="2"/>
  <c r="J25" i="2"/>
  <c r="J386" i="2" s="1"/>
  <c r="I25" i="2"/>
  <c r="K252" i="2"/>
  <c r="K301" i="2"/>
  <c r="K72" i="2"/>
  <c r="K348" i="2"/>
  <c r="K61" i="2"/>
  <c r="K367" i="2"/>
  <c r="K169" i="2"/>
  <c r="K251" i="2"/>
  <c r="K299" i="2"/>
  <c r="K84" i="2"/>
  <c r="K381" i="2"/>
  <c r="K230" i="2"/>
  <c r="K129" i="2"/>
  <c r="K185" i="2"/>
  <c r="K48" i="2"/>
  <c r="K71" i="2"/>
  <c r="K146" i="2"/>
  <c r="K313" i="2"/>
  <c r="K201" i="2"/>
  <c r="H386" i="2"/>
  <c r="K303" i="2"/>
  <c r="K223" i="2"/>
  <c r="K310" i="2"/>
  <c r="K97" i="2"/>
  <c r="K294" i="2"/>
  <c r="K191" i="2"/>
  <c r="K175" i="2"/>
  <c r="K41" i="2"/>
  <c r="K167" i="2"/>
  <c r="K347" i="2"/>
  <c r="K182" i="2"/>
  <c r="K220" i="2"/>
  <c r="K176" i="2"/>
  <c r="K265" i="2"/>
  <c r="K50" i="2"/>
  <c r="K218" i="2"/>
  <c r="K138" i="2"/>
  <c r="K121" i="2"/>
  <c r="K314" i="2"/>
  <c r="K35" i="2"/>
  <c r="K70" i="2"/>
  <c r="K193" i="2"/>
  <c r="K189" i="2"/>
  <c r="K60" i="2"/>
  <c r="K268" i="2"/>
  <c r="K242" i="2"/>
  <c r="K324" i="2"/>
  <c r="K168" i="2"/>
  <c r="K179" i="2"/>
  <c r="K28" i="2"/>
  <c r="K63" i="2"/>
  <c r="K34" i="2"/>
  <c r="K40" i="2"/>
  <c r="K123" i="2"/>
  <c r="K199" i="2"/>
  <c r="K171" i="2"/>
  <c r="I244" i="1"/>
  <c r="K244" i="1" s="1"/>
  <c r="I362" i="1"/>
  <c r="K362" i="1" s="1"/>
  <c r="I224" i="1"/>
  <c r="K224" i="1" s="1"/>
  <c r="I165" i="1"/>
  <c r="K165" i="1" s="1"/>
  <c r="I147" i="1"/>
  <c r="K147" i="1" s="1"/>
  <c r="I177" i="1"/>
  <c r="K177" i="1" s="1"/>
  <c r="I245" i="1"/>
  <c r="K245" i="1" s="1"/>
  <c r="I161" i="1"/>
  <c r="K161" i="1" s="1"/>
  <c r="I314" i="1"/>
  <c r="K314" i="1" s="1"/>
  <c r="I145" i="1"/>
  <c r="K145" i="1" s="1"/>
  <c r="I364" i="1"/>
  <c r="K364" i="1" s="1"/>
  <c r="I163" i="1"/>
  <c r="K163" i="1" s="1"/>
  <c r="K259" i="1"/>
  <c r="I129" i="1"/>
  <c r="K129" i="1" s="1"/>
  <c r="K374" i="1"/>
  <c r="I203" i="1"/>
  <c r="K203" i="1" s="1"/>
  <c r="I258" i="1"/>
  <c r="K258" i="1" s="1"/>
  <c r="I170" i="1"/>
  <c r="K170" i="1" s="1"/>
  <c r="I136" i="1"/>
  <c r="K136" i="1" s="1"/>
  <c r="I89" i="1"/>
  <c r="K89" i="1" s="1"/>
  <c r="I255" i="1"/>
  <c r="K255" i="1" s="1"/>
  <c r="K68" i="1"/>
  <c r="J358" i="1"/>
  <c r="I358" i="1"/>
  <c r="I182" i="1"/>
  <c r="K182" i="1" s="1"/>
  <c r="I155" i="1"/>
  <c r="K155" i="1" s="1"/>
  <c r="I312" i="1"/>
  <c r="K312" i="1" s="1"/>
  <c r="K320" i="1"/>
  <c r="K235" i="1"/>
  <c r="I82" i="1"/>
  <c r="K82" i="1" s="1"/>
  <c r="I316" i="1"/>
  <c r="K316" i="1" s="1"/>
  <c r="I93" i="1"/>
  <c r="K93" i="1" s="1"/>
  <c r="I334" i="1"/>
  <c r="K334" i="1" s="1"/>
  <c r="I110" i="1"/>
  <c r="K110" i="1" s="1"/>
  <c r="I288" i="1"/>
  <c r="K288" i="1" s="1"/>
  <c r="J246" i="1"/>
  <c r="I246" i="1"/>
  <c r="J56" i="1"/>
  <c r="I56" i="1"/>
  <c r="I49" i="1"/>
  <c r="K49" i="1" s="1"/>
  <c r="K116" i="1"/>
  <c r="J98" i="1"/>
  <c r="I98" i="1"/>
  <c r="I366" i="1"/>
  <c r="K366" i="1" s="1"/>
  <c r="I207" i="1"/>
  <c r="K207" i="1" s="1"/>
  <c r="I96" i="1"/>
  <c r="K96" i="1" s="1"/>
  <c r="I126" i="1"/>
  <c r="K126" i="1" s="1"/>
  <c r="K319" i="1"/>
  <c r="J124" i="1"/>
  <c r="I124" i="1"/>
  <c r="I84" i="1"/>
  <c r="K84" i="1" s="1"/>
  <c r="K76" i="1"/>
  <c r="K208" i="1"/>
  <c r="J234" i="1"/>
  <c r="I234" i="1"/>
  <c r="I167" i="1"/>
  <c r="K167" i="1" s="1"/>
  <c r="I100" i="1"/>
  <c r="K100" i="1" s="1"/>
  <c r="I74" i="1"/>
  <c r="K74" i="1" s="1"/>
  <c r="I378" i="1"/>
  <c r="K378" i="1" s="1"/>
  <c r="J25" i="1"/>
  <c r="I25" i="1"/>
  <c r="I281" i="1"/>
  <c r="K281" i="1" s="1"/>
  <c r="I273" i="1"/>
  <c r="K273" i="1" s="1"/>
  <c r="K209" i="1"/>
  <c r="I248" i="1"/>
  <c r="K248" i="1" s="1"/>
  <c r="K343" i="1"/>
  <c r="K87" i="1"/>
  <c r="J179" i="1"/>
  <c r="I179" i="1"/>
  <c r="I284" i="1"/>
  <c r="K284" i="1" s="1"/>
  <c r="K348" i="1"/>
  <c r="I121" i="1"/>
  <c r="K121" i="1" s="1"/>
  <c r="K185" i="1"/>
  <c r="I302" i="1"/>
  <c r="K302" i="1" s="1"/>
  <c r="I226" i="1"/>
  <c r="K226" i="1" s="1"/>
  <c r="I350" i="1"/>
  <c r="K350" i="1" s="1"/>
  <c r="K46" i="1"/>
  <c r="K190" i="1"/>
  <c r="I151" i="1"/>
  <c r="K151" i="1" s="1"/>
  <c r="I159" i="1"/>
  <c r="K159" i="1" s="1"/>
  <c r="I180" i="1"/>
  <c r="K180" i="1" s="1"/>
  <c r="I296" i="1"/>
  <c r="K296" i="1" s="1"/>
  <c r="I36" i="1"/>
  <c r="K36" i="1" s="1"/>
  <c r="I197" i="1"/>
  <c r="K197" i="1" s="1"/>
  <c r="I355" i="1"/>
  <c r="K355" i="1" s="1"/>
  <c r="I58" i="1"/>
  <c r="K58" i="1" s="1"/>
  <c r="K117" i="1"/>
  <c r="K241" i="1"/>
  <c r="K40" i="1"/>
  <c r="J360" i="1"/>
  <c r="I360" i="1"/>
  <c r="I174" i="1"/>
  <c r="K174" i="1" s="1"/>
  <c r="J178" i="1"/>
  <c r="I178" i="1"/>
  <c r="K52" i="1"/>
  <c r="J373" i="1"/>
  <c r="I373" i="1"/>
  <c r="I251" i="1"/>
  <c r="K251" i="1" s="1"/>
  <c r="I236" i="1"/>
  <c r="K236" i="1" s="1"/>
  <c r="I218" i="1"/>
  <c r="K218" i="1" s="1"/>
  <c r="K86" i="1"/>
  <c r="K383" i="1"/>
  <c r="J253" i="1"/>
  <c r="I253" i="1"/>
  <c r="K67" i="1"/>
  <c r="K64" i="1"/>
  <c r="K370" i="1"/>
  <c r="I45" i="1"/>
  <c r="K45" i="1" s="1"/>
  <c r="K27" i="1"/>
  <c r="I375" i="1"/>
  <c r="K375" i="1" s="1"/>
  <c r="I260" i="1"/>
  <c r="K260" i="1" s="1"/>
  <c r="J157" i="1"/>
  <c r="I157" i="1"/>
  <c r="D386" i="1"/>
  <c r="J372" i="1"/>
  <c r="I372" i="1"/>
  <c r="J149" i="1"/>
  <c r="I149" i="1"/>
  <c r="K329" i="1"/>
  <c r="K80" i="1"/>
  <c r="J300" i="1"/>
  <c r="I300" i="1"/>
  <c r="J21" i="1"/>
  <c r="H386" i="1"/>
  <c r="K25" i="2" l="1"/>
  <c r="K386" i="2" s="1"/>
  <c r="F9" i="2" s="1"/>
  <c r="I386" i="2"/>
  <c r="K358" i="1"/>
  <c r="K246" i="1"/>
  <c r="K25" i="1"/>
  <c r="K98" i="1"/>
  <c r="K56" i="1"/>
  <c r="K124" i="1"/>
  <c r="K372" i="1"/>
  <c r="K373" i="1"/>
  <c r="K360" i="1"/>
  <c r="K234" i="1"/>
  <c r="K179" i="1"/>
  <c r="I386" i="1"/>
  <c r="K178" i="1"/>
  <c r="K157" i="1"/>
  <c r="K253" i="1"/>
  <c r="K21" i="1"/>
  <c r="J386" i="1"/>
  <c r="K300" i="1"/>
  <c r="K149" i="1"/>
  <c r="K386" i="1" l="1"/>
  <c r="F9" i="1" s="1"/>
</calcChain>
</file>

<file path=xl/sharedStrings.xml><?xml version="1.0" encoding="utf-8"?>
<sst xmlns="http://schemas.openxmlformats.org/spreadsheetml/2006/main" count="113" uniqueCount="36">
  <si>
    <t>Cost</t>
  </si>
  <si>
    <t>Demand</t>
  </si>
  <si>
    <t>Random</t>
  </si>
  <si>
    <t>Days</t>
  </si>
  <si>
    <t>Current Policy</t>
  </si>
  <si>
    <t>281-300</t>
  </si>
  <si>
    <t>261-280</t>
  </si>
  <si>
    <t>241-260</t>
  </si>
  <si>
    <t>221-240</t>
  </si>
  <si>
    <t>200-220</t>
  </si>
  <si>
    <t>Additional cost for storing per pound per night:</t>
  </si>
  <si>
    <t>Cumulative Probability</t>
  </si>
  <si>
    <t>Sale price for Dry pet food per pound:</t>
  </si>
  <si>
    <t>Probability</t>
  </si>
  <si>
    <t>Sale price for fresh meat per pound:</t>
  </si>
  <si>
    <t>Demand (D)</t>
  </si>
  <si>
    <t>Production Price of Dry pet food per pound:</t>
  </si>
  <si>
    <t>Lower Ends (Modified CP)</t>
  </si>
  <si>
    <t>Production Price of fresh meat per pound:</t>
  </si>
  <si>
    <t>Demanad Distribution</t>
  </si>
  <si>
    <t>Given Data</t>
  </si>
  <si>
    <t>Revenue</t>
  </si>
  <si>
    <t>Averages</t>
  </si>
  <si>
    <t>CP</t>
  </si>
  <si>
    <t>Profit</t>
  </si>
  <si>
    <t>Udated Demand</t>
  </si>
  <si>
    <t>Left Over(250-D)</t>
  </si>
  <si>
    <t>Updated LEFT Over</t>
  </si>
  <si>
    <t>Future-Dem</t>
  </si>
  <si>
    <t>WASTE For Pet Food</t>
  </si>
  <si>
    <t>Maximum Profit</t>
  </si>
  <si>
    <t>Optimal Policy</t>
  </si>
  <si>
    <t>ABC Company (Meat Production)</t>
  </si>
  <si>
    <t>Mean/Avg. Value</t>
  </si>
  <si>
    <t>Standard Deviation</t>
  </si>
  <si>
    <t>Uniform Distribution Between 200 to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</si>
</sst>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0.000"/>
    <numFmt numFmtId="166" formatCode="0.0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1D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64" fontId="0" fillId="0" borderId="2" xfId="0" applyNumberFormat="1" applyBorder="1"/>
    <xf numFmtId="0" fontId="1" fillId="3" borderId="3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/>
    </xf>
    <xf numFmtId="2" fontId="0" fillId="2" borderId="1" xfId="0" applyNumberFormat="1" applyFill="1" applyBorder="1"/>
    <xf numFmtId="1" fontId="0" fillId="2" borderId="5" xfId="0" applyNumberFormat="1" applyFill="1" applyBorder="1" applyAlignment="1">
      <alignment horizontal="right" vertical="center"/>
    </xf>
    <xf numFmtId="2" fontId="0" fillId="2" borderId="5" xfId="0" applyNumberFormat="1" applyFill="1" applyBorder="1"/>
    <xf numFmtId="0" fontId="2" fillId="6" borderId="3" xfId="0" applyFont="1" applyFill="1" applyBorder="1" applyAlignment="1">
      <alignment horizontal="right"/>
    </xf>
    <xf numFmtId="164" fontId="0" fillId="0" borderId="0" xfId="0" applyNumberFormat="1" applyBorder="1"/>
    <xf numFmtId="0" fontId="0" fillId="9" borderId="3" xfId="0" applyFill="1" applyBorder="1"/>
    <xf numFmtId="164" fontId="2" fillId="6" borderId="3" xfId="0" applyNumberFormat="1" applyFont="1" applyFill="1" applyBorder="1"/>
    <xf numFmtId="0" fontId="0" fillId="9" borderId="11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164" fontId="0" fillId="6" borderId="7" xfId="0" applyNumberFormat="1" applyFill="1" applyBorder="1"/>
    <xf numFmtId="164" fontId="0" fillId="6" borderId="7" xfId="0" applyNumberFormat="1" applyFont="1" applyFill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/>
    <xf numFmtId="1" fontId="0" fillId="6" borderId="13" xfId="0" applyNumberFormat="1" applyFill="1" applyBorder="1"/>
    <xf numFmtId="0" fontId="0" fillId="0" borderId="0" xfId="0" applyFill="1" applyBorder="1"/>
    <xf numFmtId="0" fontId="0" fillId="0" borderId="0" xfId="0" applyFill="1" applyBorder="1" applyAlignment="1"/>
    <xf numFmtId="0" fontId="2" fillId="0" borderId="0" xfId="0" applyFont="1" applyFill="1" applyBorder="1" applyAlignment="1"/>
    <xf numFmtId="164" fontId="0" fillId="6" borderId="3" xfId="0" applyNumberFormat="1" applyFill="1" applyBorder="1"/>
    <xf numFmtId="167" fontId="0" fillId="0" borderId="0" xfId="0" applyNumberForma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164" fontId="0" fillId="0" borderId="0" xfId="0" applyNumberFormat="1" applyFill="1" applyBorder="1"/>
    <xf numFmtId="1" fontId="0" fillId="10" borderId="16" xfId="0" applyNumberFormat="1" applyFill="1" applyBorder="1"/>
    <xf numFmtId="0" fontId="0" fillId="0" borderId="0" xfId="0" applyFill="1" applyBorder="1" applyAlignment="1">
      <alignment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165" fontId="0" fillId="0" borderId="0" xfId="0" applyNumberFormat="1" applyFill="1" applyBorder="1"/>
    <xf numFmtId="1" fontId="0" fillId="6" borderId="15" xfId="0" applyNumberFormat="1" applyFill="1" applyBorder="1"/>
    <xf numFmtId="1" fontId="0" fillId="10" borderId="14" xfId="0" applyNumberFormat="1" applyFill="1" applyBorder="1"/>
    <xf numFmtId="0" fontId="2" fillId="15" borderId="3" xfId="0" applyFont="1" applyFill="1" applyBorder="1"/>
    <xf numFmtId="0" fontId="1" fillId="11" borderId="3" xfId="0" applyFont="1" applyFill="1" applyBorder="1" applyAlignment="1">
      <alignment horizontal="center"/>
    </xf>
    <xf numFmtId="0" fontId="0" fillId="9" borderId="7" xfId="0" applyFill="1" applyBorder="1"/>
    <xf numFmtId="1" fontId="0" fillId="6" borderId="20" xfId="0" applyNumberFormat="1" applyFill="1" applyBorder="1"/>
    <xf numFmtId="1" fontId="0" fillId="10" borderId="21" xfId="0" applyNumberFormat="1" applyFill="1" applyBorder="1"/>
    <xf numFmtId="167" fontId="0" fillId="0" borderId="2" xfId="0" applyNumberFormat="1" applyBorder="1"/>
    <xf numFmtId="1" fontId="0" fillId="0" borderId="2" xfId="0" applyNumberFormat="1" applyBorder="1"/>
    <xf numFmtId="1" fontId="0" fillId="6" borderId="22" xfId="0" applyNumberFormat="1" applyFill="1" applyBorder="1"/>
    <xf numFmtId="1" fontId="0" fillId="10" borderId="23" xfId="0" applyNumberFormat="1" applyFill="1" applyBorder="1"/>
    <xf numFmtId="164" fontId="0" fillId="0" borderId="2" xfId="0" applyNumberFormat="1" applyFill="1" applyBorder="1"/>
    <xf numFmtId="167" fontId="0" fillId="0" borderId="10" xfId="0" applyNumberFormat="1" applyBorder="1"/>
    <xf numFmtId="1" fontId="0" fillId="0" borderId="10" xfId="0" applyNumberFormat="1" applyBorder="1"/>
    <xf numFmtId="1" fontId="0" fillId="6" borderId="18" xfId="0" applyNumberFormat="1" applyFill="1" applyBorder="1"/>
    <xf numFmtId="1" fontId="0" fillId="10" borderId="19" xfId="0" applyNumberFormat="1" applyFill="1" applyBorder="1"/>
    <xf numFmtId="164" fontId="0" fillId="0" borderId="10" xfId="0" applyNumberFormat="1" applyBorder="1"/>
    <xf numFmtId="164" fontId="0" fillId="0" borderId="10" xfId="0" applyNumberFormat="1" applyFill="1" applyBorder="1"/>
    <xf numFmtId="1" fontId="0" fillId="6" borderId="24" xfId="0" applyNumberFormat="1" applyFill="1" applyBorder="1"/>
    <xf numFmtId="1" fontId="0" fillId="10" borderId="25" xfId="0" applyNumberFormat="1" applyFill="1" applyBorder="1"/>
    <xf numFmtId="164" fontId="0" fillId="0" borderId="26" xfId="0" applyNumberFormat="1" applyBorder="1"/>
    <xf numFmtId="1" fontId="0" fillId="0" borderId="17" xfId="0" applyNumberFormat="1" applyBorder="1"/>
    <xf numFmtId="167" fontId="0" fillId="0" borderId="9" xfId="0" applyNumberFormat="1" applyBorder="1"/>
    <xf numFmtId="0" fontId="1" fillId="2" borderId="4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3" xfId="0" applyFill="1" applyBorder="1" applyAlignment="1"/>
    <xf numFmtId="0" fontId="0" fillId="16" borderId="1" xfId="0" applyFill="1" applyBorder="1" applyAlignment="1">
      <alignment horizontal="center"/>
    </xf>
    <xf numFmtId="1" fontId="0" fillId="16" borderId="3" xfId="0" applyNumberFormat="1" applyFill="1" applyBorder="1"/>
    <xf numFmtId="1" fontId="0" fillId="16" borderId="4" xfId="0" applyNumberFormat="1" applyFill="1" applyBorder="1"/>
    <xf numFmtId="0" fontId="1" fillId="17" borderId="4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2" fillId="7" borderId="4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164" fontId="2" fillId="7" borderId="7" xfId="0" applyNumberFormat="1" applyFont="1" applyFill="1" applyBorder="1"/>
    <xf numFmtId="164" fontId="2" fillId="7" borderId="8" xfId="0" applyNumberFormat="1" applyFont="1" applyFill="1" applyBorder="1"/>
    <xf numFmtId="164" fontId="2" fillId="7" borderId="2" xfId="0" applyNumberFormat="1" applyFont="1" applyFill="1" applyBorder="1"/>
    <xf numFmtId="164" fontId="2" fillId="7" borderId="3" xfId="0" applyNumberFormat="1" applyFont="1" applyFill="1" applyBorder="1"/>
    <xf numFmtId="0" fontId="2" fillId="12" borderId="0" xfId="0" applyFont="1" applyFill="1"/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1" fontId="2" fillId="6" borderId="3" xfId="0" applyNumberFormat="1" applyFont="1" applyFill="1" applyBorder="1"/>
    <xf numFmtId="0" fontId="2" fillId="6" borderId="3" xfId="0" applyFont="1" applyFill="1" applyBorder="1"/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2" fontId="0" fillId="18" borderId="3" xfId="0" applyNumberFormat="1" applyFill="1" applyBorder="1"/>
    <xf numFmtId="2" fontId="0" fillId="18" borderId="4" xfId="0" applyNumberFormat="1" applyFill="1" applyBorder="1" applyAlignment="1">
      <alignment horizontal="center"/>
    </xf>
    <xf numFmtId="2" fontId="0" fillId="18" borderId="1" xfId="0" applyNumberFormat="1" applyFill="1" applyBorder="1" applyAlignment="1">
      <alignment horizontal="center"/>
    </xf>
    <xf numFmtId="2" fontId="0" fillId="18" borderId="5" xfId="0" applyNumberFormat="1" applyFill="1" applyBorder="1" applyAlignment="1">
      <alignment horizontal="center"/>
    </xf>
    <xf numFmtId="1" fontId="0" fillId="18" borderId="3" xfId="0" applyNumberFormat="1" applyFill="1" applyBorder="1"/>
    <xf numFmtId="1" fontId="0" fillId="18" borderId="5" xfId="0" applyNumberFormat="1" applyFill="1" applyBorder="1"/>
    <xf numFmtId="0" fontId="1" fillId="17" borderId="6" xfId="0" applyFont="1" applyFill="1" applyBorder="1" applyAlignment="1">
      <alignment horizontal="center"/>
    </xf>
    <xf numFmtId="1" fontId="1" fillId="17" borderId="3" xfId="0" applyNumberFormat="1" applyFont="1" applyFill="1" applyBorder="1" applyAlignment="1"/>
    <xf numFmtId="0" fontId="1" fillId="17" borderId="1" xfId="0" applyFont="1" applyFill="1" applyBorder="1" applyAlignment="1"/>
    <xf numFmtId="0" fontId="1" fillId="17" borderId="2" xfId="0" applyFont="1" applyFill="1" applyBorder="1" applyAlignment="1"/>
    <xf numFmtId="166" fontId="1" fillId="17" borderId="7" xfId="0" applyNumberFormat="1" applyFont="1" applyFill="1" applyBorder="1"/>
    <xf numFmtId="164" fontId="1" fillId="17" borderId="3" xfId="0" applyNumberFormat="1" applyFont="1" applyFill="1" applyBorder="1"/>
    <xf numFmtId="166" fontId="1" fillId="17" borderId="3" xfId="0" applyNumberFormat="1" applyFont="1" applyFill="1" applyBorder="1"/>
    <xf numFmtId="164" fontId="0" fillId="19" borderId="27" xfId="0" applyNumberFormat="1" applyFill="1" applyBorder="1"/>
    <xf numFmtId="164" fontId="0" fillId="19" borderId="7" xfId="0" applyNumberFormat="1" applyFill="1" applyBorder="1"/>
    <xf numFmtId="164" fontId="0" fillId="19" borderId="11" xfId="0" applyNumberFormat="1" applyFill="1" applyBorder="1"/>
    <xf numFmtId="1" fontId="0" fillId="19" borderId="3" xfId="0" applyNumberFormat="1" applyFill="1" applyBorder="1"/>
    <xf numFmtId="0" fontId="1" fillId="3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/>
    <xf numFmtId="2" fontId="0" fillId="6" borderId="24" xfId="0" applyNumberFormat="1" applyFill="1" applyBorder="1"/>
    <xf numFmtId="2" fontId="0" fillId="10" borderId="25" xfId="0" applyNumberFormat="1" applyFill="1" applyBorder="1"/>
    <xf numFmtId="0" fontId="0" fillId="0" borderId="1" xfId="0" applyBorder="1"/>
    <xf numFmtId="1" fontId="0" fillId="0" borderId="5" xfId="0" applyNumberFormat="1" applyFill="1" applyBorder="1"/>
    <xf numFmtId="0" fontId="1" fillId="3" borderId="12" xfId="0" applyFont="1" applyFill="1" applyBorder="1" applyAlignment="1">
      <alignment horizontal="center"/>
    </xf>
    <xf numFmtId="1" fontId="0" fillId="0" borderId="1" xfId="0" applyNumberFormat="1" applyFill="1" applyBorder="1"/>
    <xf numFmtId="0" fontId="1" fillId="13" borderId="14" xfId="0" applyFont="1" applyFill="1" applyBorder="1" applyAlignment="1">
      <alignment horizontal="left"/>
    </xf>
    <xf numFmtId="0" fontId="1" fillId="13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E847-5761-43A9-8836-FF5520793173}">
  <sheetPr>
    <tabColor rgb="FFFF0000"/>
  </sheetPr>
  <dimension ref="A1:AA389"/>
  <sheetViews>
    <sheetView tabSelected="1" zoomScaleNormal="100" workbookViewId="0">
      <selection activeCell="J14" sqref="J14"/>
    </sheetView>
  </sheetViews>
  <sheetFormatPr defaultRowHeight="15" x14ac:dyDescent="0.25"/>
  <cols>
    <col min="2" max="2" width="8.28515625" bestFit="1" customWidth="1"/>
    <col min="3" max="3" width="8.42578125" bestFit="1" customWidth="1"/>
    <col min="4" max="4" width="13.42578125" customWidth="1"/>
    <col min="5" max="5" width="15" customWidth="1"/>
    <col min="6" max="6" width="15.140625" customWidth="1"/>
    <col min="7" max="7" width="11.5703125" customWidth="1"/>
    <col min="8" max="8" width="15.85546875" customWidth="1"/>
    <col min="9" max="9" width="11.85546875" customWidth="1"/>
    <col min="10" max="10" width="11.140625" customWidth="1"/>
    <col min="11" max="11" width="10.5703125" customWidth="1"/>
    <col min="12" max="12" width="11" bestFit="1" customWidth="1"/>
    <col min="13" max="13" width="10.85546875" bestFit="1" customWidth="1"/>
    <col min="14" max="15" width="10.5703125" bestFit="1" customWidth="1"/>
    <col min="16" max="16" width="12.28515625" bestFit="1" customWidth="1"/>
    <col min="17" max="17" width="10.5703125" bestFit="1" customWidth="1"/>
    <col min="18" max="18" width="10.28515625" bestFit="1" customWidth="1"/>
    <col min="24" max="24" width="9.42578125" customWidth="1"/>
    <col min="31" max="31" width="10.28515625" bestFit="1" customWidth="1"/>
  </cols>
  <sheetData>
    <row r="1" spans="1:27" ht="15" customHeight="1" x14ac:dyDescent="0.25">
      <c r="A1" s="63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5"/>
      <c r="R1" s="23"/>
      <c r="S1" s="32"/>
      <c r="T1" s="32"/>
    </row>
    <row r="2" spans="1:2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8"/>
      <c r="R2" s="20"/>
      <c r="S2" s="32"/>
      <c r="T2" s="32"/>
    </row>
    <row r="3" spans="1:27" x14ac:dyDescent="0.25">
      <c r="R3" s="30"/>
      <c r="S3" s="23"/>
      <c r="T3" s="23"/>
    </row>
    <row r="4" spans="1:27" ht="18.75" x14ac:dyDescent="0.3">
      <c r="A4" s="70" t="s">
        <v>20</v>
      </c>
      <c r="B4" s="71"/>
      <c r="C4" s="71"/>
      <c r="D4" s="71"/>
      <c r="E4" s="72"/>
      <c r="F4" s="69" t="s">
        <v>30</v>
      </c>
      <c r="G4" s="69"/>
      <c r="H4" s="69"/>
      <c r="I4" s="11">
        <f>MAX(G9:K9)</f>
        <v>325.8813772651522</v>
      </c>
      <c r="R4" s="20"/>
      <c r="S4" s="23"/>
      <c r="T4" s="23"/>
    </row>
    <row r="5" spans="1:27" x14ac:dyDescent="0.25">
      <c r="A5" s="61" t="s">
        <v>18</v>
      </c>
      <c r="B5" s="73"/>
      <c r="C5" s="73"/>
      <c r="D5" s="73"/>
      <c r="E5" s="26">
        <v>4</v>
      </c>
      <c r="F5" s="69" t="s">
        <v>31</v>
      </c>
      <c r="G5" s="69"/>
      <c r="H5" s="69"/>
      <c r="I5" s="8" t="str">
        <f>HLOOKUP(I4,G9:K10,2,FALSE)</f>
        <v>221-240</v>
      </c>
      <c r="L5" s="23"/>
      <c r="M5" s="23"/>
      <c r="N5" s="23"/>
      <c r="R5" s="23"/>
      <c r="S5" s="23"/>
    </row>
    <row r="6" spans="1:27" x14ac:dyDescent="0.25">
      <c r="A6" s="61" t="s">
        <v>16</v>
      </c>
      <c r="B6" s="73"/>
      <c r="C6" s="73"/>
      <c r="D6" s="73"/>
      <c r="E6" s="17">
        <v>1.5</v>
      </c>
      <c r="R6" s="23"/>
      <c r="S6" s="23"/>
    </row>
    <row r="7" spans="1:27" x14ac:dyDescent="0.25">
      <c r="A7" s="61" t="s">
        <v>14</v>
      </c>
      <c r="B7" s="73"/>
      <c r="C7" s="73"/>
      <c r="D7" s="73"/>
      <c r="E7" s="17">
        <v>5.5</v>
      </c>
      <c r="F7" s="39" t="s">
        <v>23</v>
      </c>
    </row>
    <row r="8" spans="1:27" x14ac:dyDescent="0.25">
      <c r="A8" s="61" t="s">
        <v>12</v>
      </c>
      <c r="B8" s="73"/>
      <c r="C8" s="73"/>
      <c r="D8" s="73"/>
      <c r="E8" s="17">
        <v>3</v>
      </c>
      <c r="F8" s="94"/>
      <c r="G8" s="95">
        <v>210</v>
      </c>
      <c r="H8" s="95">
        <v>225</v>
      </c>
      <c r="I8" s="95">
        <v>251</v>
      </c>
      <c r="J8" s="95">
        <v>280</v>
      </c>
      <c r="K8" s="96">
        <v>285</v>
      </c>
    </row>
    <row r="9" spans="1:27" x14ac:dyDescent="0.25">
      <c r="A9" s="61" t="s">
        <v>10</v>
      </c>
      <c r="B9" s="73"/>
      <c r="C9" s="73"/>
      <c r="D9" s="73"/>
      <c r="E9" s="18">
        <v>0.25</v>
      </c>
      <c r="F9" s="97">
        <f ca="1">K386</f>
        <v>299.02506022138874</v>
      </c>
      <c r="G9" s="98">
        <f t="dataTable" ref="G9:K9" dt2D="0" dtr="1" r1="E10" ca="1"/>
        <v>315</v>
      </c>
      <c r="H9" s="98">
        <v>325.8813772651522</v>
      </c>
      <c r="I9" s="98">
        <v>319.93226489714579</v>
      </c>
      <c r="J9" s="99">
        <v>236.33830396769926</v>
      </c>
      <c r="K9" s="100">
        <v>207.40869122508542</v>
      </c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x14ac:dyDescent="0.25">
      <c r="A10" s="74" t="s">
        <v>4</v>
      </c>
      <c r="B10" s="75"/>
      <c r="C10" s="75"/>
      <c r="D10" s="75"/>
      <c r="E10" s="105">
        <f ca="1">241+(260-241)*RAND()</f>
        <v>252.04070159620713</v>
      </c>
      <c r="F10" s="101"/>
      <c r="G10" s="102" t="s">
        <v>9</v>
      </c>
      <c r="H10" s="102" t="s">
        <v>8</v>
      </c>
      <c r="I10" s="102" t="s">
        <v>7</v>
      </c>
      <c r="J10" s="103" t="s">
        <v>6</v>
      </c>
      <c r="K10" s="104" t="s">
        <v>5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8.75" x14ac:dyDescent="0.3">
      <c r="A11" s="70" t="s">
        <v>19</v>
      </c>
      <c r="B11" s="71"/>
      <c r="C11" s="71"/>
      <c r="D11" s="71"/>
      <c r="E11" s="71"/>
      <c r="F11" s="71"/>
      <c r="G11" s="71"/>
      <c r="H11" s="72"/>
      <c r="R11" s="25"/>
      <c r="S11" s="25"/>
      <c r="T11" s="25"/>
      <c r="U11" s="33"/>
      <c r="V11" s="23"/>
      <c r="W11" s="23"/>
      <c r="X11" s="23"/>
      <c r="Y11" s="23"/>
      <c r="Z11" s="23"/>
      <c r="AA11" s="23"/>
    </row>
    <row r="12" spans="1:27" x14ac:dyDescent="0.25">
      <c r="A12" s="59" t="s">
        <v>17</v>
      </c>
      <c r="B12" s="60"/>
      <c r="C12" s="60"/>
      <c r="D12" s="5">
        <v>0</v>
      </c>
      <c r="E12" s="5">
        <f>D12+D14</f>
        <v>0.15</v>
      </c>
      <c r="F12" s="5">
        <f>E12+E14</f>
        <v>0.4</v>
      </c>
      <c r="G12" s="5">
        <f>F12+F14</f>
        <v>0.7</v>
      </c>
      <c r="H12" s="7">
        <f>G12+G14</f>
        <v>0.89999999999999991</v>
      </c>
      <c r="R12" s="25"/>
      <c r="S12" s="25"/>
      <c r="T12" s="25"/>
      <c r="U12" s="34"/>
      <c r="V12" s="23"/>
      <c r="W12" s="23"/>
      <c r="X12" s="23"/>
      <c r="Y12" s="23"/>
      <c r="Z12" s="23"/>
      <c r="AA12" s="23"/>
    </row>
    <row r="13" spans="1:27" x14ac:dyDescent="0.25">
      <c r="A13" s="59" t="s">
        <v>15</v>
      </c>
      <c r="B13" s="60"/>
      <c r="C13" s="60"/>
      <c r="D13" s="3">
        <f ca="1">200+20*RAND()</f>
        <v>201.46234925421527</v>
      </c>
      <c r="E13" s="4">
        <f ca="1">221+(240-221)*RAND()</f>
        <v>230.79639892259075</v>
      </c>
      <c r="F13" s="4">
        <f ca="1">241+(260-241)*RAND()</f>
        <v>249.32041196681521</v>
      </c>
      <c r="G13" s="4">
        <f ca="1">261+(280-261)*RAND()</f>
        <v>271.41240830025492</v>
      </c>
      <c r="H13" s="6">
        <f ca="1">281+(300-281)*RAND()</f>
        <v>297.02348263163776</v>
      </c>
      <c r="R13" s="28"/>
      <c r="S13" s="23"/>
      <c r="T13" s="23"/>
      <c r="U13" s="23"/>
      <c r="V13" s="23"/>
      <c r="W13" s="23"/>
      <c r="X13" s="23"/>
      <c r="Y13" s="23"/>
      <c r="Z13" s="23"/>
      <c r="AA13" s="23"/>
    </row>
    <row r="14" spans="1:27" x14ac:dyDescent="0.25">
      <c r="A14" s="59" t="s">
        <v>13</v>
      </c>
      <c r="B14" s="60"/>
      <c r="C14" s="60"/>
      <c r="D14" s="5">
        <v>0.15</v>
      </c>
      <c r="E14" s="5">
        <v>0.25</v>
      </c>
      <c r="F14" s="5">
        <v>0.3</v>
      </c>
      <c r="G14" s="5">
        <v>0.2</v>
      </c>
      <c r="H14" s="7">
        <v>0.1</v>
      </c>
      <c r="R14" s="30"/>
      <c r="S14" s="23"/>
      <c r="T14" s="23"/>
      <c r="U14" s="23"/>
      <c r="V14" s="23"/>
      <c r="W14" s="23"/>
      <c r="X14" s="35"/>
      <c r="Y14" s="23"/>
      <c r="Z14" s="23"/>
      <c r="AA14" s="23"/>
    </row>
    <row r="15" spans="1:27" x14ac:dyDescent="0.25">
      <c r="A15" s="59" t="s">
        <v>11</v>
      </c>
      <c r="B15" s="60"/>
      <c r="C15" s="60"/>
      <c r="D15" s="5">
        <f>D14</f>
        <v>0.15</v>
      </c>
      <c r="E15" s="5">
        <f>D15+E14</f>
        <v>0.4</v>
      </c>
      <c r="F15" s="5">
        <f>E15+F14</f>
        <v>0.7</v>
      </c>
      <c r="G15" s="5">
        <f>F15+G14</f>
        <v>0.89999999999999991</v>
      </c>
      <c r="H15" s="7">
        <f>G15+H14</f>
        <v>0.99999999999999989</v>
      </c>
      <c r="R15" s="23"/>
      <c r="S15" s="20"/>
      <c r="T15" s="20"/>
      <c r="U15" s="20"/>
      <c r="V15" s="20"/>
      <c r="W15" s="20"/>
      <c r="X15" s="20"/>
      <c r="Y15" s="20"/>
      <c r="Z15" s="20"/>
      <c r="AA15" s="23"/>
    </row>
    <row r="16" spans="1:27" x14ac:dyDescent="0.25">
      <c r="A16" s="13"/>
      <c r="B16" s="14"/>
      <c r="C16" s="14"/>
      <c r="D16" s="15" t="s">
        <v>9</v>
      </c>
      <c r="E16" s="15" t="s">
        <v>8</v>
      </c>
      <c r="F16" s="15" t="s">
        <v>7</v>
      </c>
      <c r="G16" s="15" t="s">
        <v>6</v>
      </c>
      <c r="H16" s="16" t="s">
        <v>5</v>
      </c>
      <c r="R16" s="28"/>
      <c r="S16" s="23"/>
      <c r="T16" s="23"/>
      <c r="U16" s="23"/>
      <c r="V16" s="23"/>
      <c r="W16" s="23"/>
      <c r="X16" s="23"/>
      <c r="Y16" s="23"/>
      <c r="Z16" s="23"/>
      <c r="AA16" s="23"/>
    </row>
    <row r="17" spans="1:27" x14ac:dyDescent="0.25"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25">
      <c r="A18" s="2" t="s">
        <v>3</v>
      </c>
      <c r="B18" s="126" t="s">
        <v>2</v>
      </c>
      <c r="C18" s="126" t="s">
        <v>1</v>
      </c>
      <c r="D18" s="127" t="s">
        <v>25</v>
      </c>
      <c r="E18" s="128" t="s">
        <v>26</v>
      </c>
      <c r="F18" s="139" t="s">
        <v>27</v>
      </c>
      <c r="G18" s="140" t="s">
        <v>28</v>
      </c>
      <c r="H18" s="139" t="s">
        <v>29</v>
      </c>
      <c r="I18" s="126" t="s">
        <v>21</v>
      </c>
      <c r="J18" s="126" t="s">
        <v>0</v>
      </c>
      <c r="K18" s="137" t="s">
        <v>24</v>
      </c>
      <c r="L18" s="28"/>
      <c r="M18" s="28"/>
      <c r="N18" s="28"/>
      <c r="O18" s="29"/>
      <c r="R18" s="30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25">
      <c r="A19" s="10"/>
      <c r="B19" s="131"/>
      <c r="C19" s="132">
        <v>0</v>
      </c>
      <c r="D19" s="132">
        <v>0</v>
      </c>
      <c r="E19" s="132">
        <v>0</v>
      </c>
      <c r="F19" s="133"/>
      <c r="G19" s="133"/>
      <c r="H19" s="134"/>
      <c r="I19" s="135"/>
      <c r="J19" s="138"/>
      <c r="K19" s="125"/>
      <c r="L19" s="23"/>
      <c r="M19" s="23"/>
      <c r="N19" s="23"/>
      <c r="O19" s="23"/>
      <c r="R19" s="23"/>
      <c r="S19" s="20"/>
      <c r="T19" s="20"/>
      <c r="U19" s="20"/>
      <c r="V19" s="20"/>
      <c r="W19" s="20"/>
      <c r="X19" s="20"/>
      <c r="Y19" s="20"/>
      <c r="Z19" s="20"/>
      <c r="AA19" s="23"/>
    </row>
    <row r="20" spans="1:27" x14ac:dyDescent="0.25">
      <c r="A20" s="10">
        <v>1</v>
      </c>
      <c r="B20" s="27">
        <f t="shared" ref="B20:B83" ca="1" si="0">RAND()</f>
        <v>0.76841115477530009</v>
      </c>
      <c r="C20" s="21">
        <f t="shared" ref="C20:C83" ca="1" si="1">HLOOKUP(B20,$D$12:$H$13,2,TRUE)</f>
        <v>271.41240830025492</v>
      </c>
      <c r="D20" s="21">
        <f t="shared" ref="D20:D83" ca="1" si="2">$E$10+E19</f>
        <v>252.04070159620713</v>
      </c>
      <c r="E20" s="21">
        <f t="shared" ref="E20:E83" ca="1" si="3">IF(C20&gt;$E$10,0,$E$10-C20)</f>
        <v>0</v>
      </c>
      <c r="F20" s="41">
        <f ca="1">IF(C20&gt;D20,0,D20-C20)</f>
        <v>0</v>
      </c>
      <c r="G20" s="41">
        <f t="shared" ref="G20:G83" ca="1" si="4">IF(C21&gt;$E$10,C21-$E$10,0)</f>
        <v>44.982781035430634</v>
      </c>
      <c r="H20" s="42">
        <f ca="1">IF(G20&gt;F20,0,IF(G20&lt;F20,F20-G20,0))</f>
        <v>0</v>
      </c>
      <c r="I20" s="9">
        <f t="shared" ref="I20:I83" ca="1" si="5">IF($E$10&lt;C20,$E$10*$E$7,$E$9*($E$10-C20)+(C20*$E$7)+IF($E$10&lt;C21,H20*$E$8,E19*$E$8))</f>
        <v>1386.2238587791392</v>
      </c>
      <c r="J20" s="30">
        <f t="shared" ref="J20:J83" ca="1" si="6">IF(H20&gt;0,$E$10*$E$5+H20*$E$6,$E$10*$E$5)</f>
        <v>1008.1628063848285</v>
      </c>
      <c r="K20" s="122">
        <f ca="1">I20-J20</f>
        <v>378.06105239431065</v>
      </c>
      <c r="L20" s="30"/>
      <c r="M20" s="30"/>
      <c r="N20" s="30"/>
      <c r="O20" s="30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x14ac:dyDescent="0.25">
      <c r="A21" s="10">
        <v>2</v>
      </c>
      <c r="B21" s="27">
        <f t="shared" ca="1" si="0"/>
        <v>0.9829474110388956</v>
      </c>
      <c r="C21" s="21">
        <f t="shared" ca="1" si="1"/>
        <v>297.02348263163776</v>
      </c>
      <c r="D21" s="21">
        <f t="shared" ca="1" si="2"/>
        <v>252.04070159620713</v>
      </c>
      <c r="E21" s="21">
        <f t="shared" ca="1" si="3"/>
        <v>0</v>
      </c>
      <c r="F21" s="22">
        <f t="shared" ref="F21:F84" ca="1" si="7">IF(C21&gt;D21,0,D21-C21)</f>
        <v>0</v>
      </c>
      <c r="G21" s="22">
        <f t="shared" ca="1" si="4"/>
        <v>0</v>
      </c>
      <c r="H21" s="31">
        <f t="shared" ref="H21:H84" ca="1" si="8">IF(G21&gt;F21,0,IF(G21&lt;F21,F21-G21,0))</f>
        <v>0</v>
      </c>
      <c r="I21" s="9">
        <f t="shared" ca="1" si="5"/>
        <v>1386.2238587791392</v>
      </c>
      <c r="J21" s="30">
        <f t="shared" ca="1" si="6"/>
        <v>1008.1628063848285</v>
      </c>
      <c r="K21" s="122">
        <f t="shared" ref="K21:K84" ca="1" si="9">I21-J21</f>
        <v>378.06105239431065</v>
      </c>
      <c r="L21" s="30"/>
      <c r="M21" s="30"/>
      <c r="N21" s="30"/>
      <c r="O21" s="30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10">
        <v>3</v>
      </c>
      <c r="B22" s="27">
        <f t="shared" ca="1" si="0"/>
        <v>0.40589579886009441</v>
      </c>
      <c r="C22" s="21">
        <f t="shared" ca="1" si="1"/>
        <v>249.32041196681521</v>
      </c>
      <c r="D22" s="21">
        <f t="shared" ca="1" si="2"/>
        <v>252.04070159620713</v>
      </c>
      <c r="E22" s="21">
        <f t="shared" ca="1" si="3"/>
        <v>2.7202896293919139</v>
      </c>
      <c r="F22" s="22">
        <f t="shared" ca="1" si="7"/>
        <v>2.7202896293919139</v>
      </c>
      <c r="G22" s="22">
        <f t="shared" ca="1" si="4"/>
        <v>0</v>
      </c>
      <c r="H22" s="31">
        <f t="shared" ca="1" si="8"/>
        <v>2.7202896293919139</v>
      </c>
      <c r="I22" s="9">
        <f t="shared" ca="1" si="5"/>
        <v>1371.9423382248317</v>
      </c>
      <c r="J22" s="30">
        <f t="shared" ca="1" si="6"/>
        <v>1012.2432408289164</v>
      </c>
      <c r="K22" s="122">
        <f t="shared" ca="1" si="9"/>
        <v>359.69909739591526</v>
      </c>
      <c r="L22" s="30"/>
      <c r="M22" s="30"/>
      <c r="N22" s="30"/>
      <c r="O22" s="30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x14ac:dyDescent="0.25">
      <c r="A23" s="10">
        <v>4</v>
      </c>
      <c r="B23" s="27">
        <f t="shared" ca="1" si="0"/>
        <v>0.37882810324058358</v>
      </c>
      <c r="C23" s="21">
        <f t="shared" ca="1" si="1"/>
        <v>230.79639892259075</v>
      </c>
      <c r="D23" s="21">
        <f t="shared" ca="1" si="2"/>
        <v>254.76099122559904</v>
      </c>
      <c r="E23" s="21">
        <f t="shared" ca="1" si="3"/>
        <v>21.244302673616374</v>
      </c>
      <c r="F23" s="22">
        <f t="shared" ca="1" si="7"/>
        <v>23.964592303008288</v>
      </c>
      <c r="G23" s="22">
        <f t="shared" ca="1" si="4"/>
        <v>0</v>
      </c>
      <c r="H23" s="31">
        <f t="shared" ca="1" si="8"/>
        <v>23.964592303008288</v>
      </c>
      <c r="I23" s="9">
        <f t="shared" ca="1" si="5"/>
        <v>1282.8521386308289</v>
      </c>
      <c r="J23" s="30">
        <f t="shared" ca="1" si="6"/>
        <v>1044.109694839341</v>
      </c>
      <c r="K23" s="122">
        <f ca="1">I23-J23</f>
        <v>238.74244379148786</v>
      </c>
      <c r="L23" s="30"/>
      <c r="M23" s="30"/>
      <c r="N23" s="30"/>
      <c r="O23" s="30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x14ac:dyDescent="0.25">
      <c r="A24" s="10">
        <v>5</v>
      </c>
      <c r="B24" s="27">
        <f t="shared" ca="1" si="0"/>
        <v>0.6452758907039039</v>
      </c>
      <c r="C24" s="21">
        <f t="shared" ca="1" si="1"/>
        <v>249.32041196681521</v>
      </c>
      <c r="D24" s="21">
        <f t="shared" ca="1" si="2"/>
        <v>273.2850042698235</v>
      </c>
      <c r="E24" s="21">
        <f t="shared" ca="1" si="3"/>
        <v>2.7202896293919139</v>
      </c>
      <c r="F24" s="22">
        <f t="shared" ca="1" si="7"/>
        <v>23.964592303008288</v>
      </c>
      <c r="G24" s="22">
        <f t="shared" ca="1" si="4"/>
        <v>0</v>
      </c>
      <c r="H24" s="31">
        <f t="shared" ca="1" si="8"/>
        <v>23.964592303008288</v>
      </c>
      <c r="I24" s="9">
        <f t="shared" ca="1" si="5"/>
        <v>1435.6752462456809</v>
      </c>
      <c r="J24" s="30">
        <f t="shared" ca="1" si="6"/>
        <v>1044.109694839341</v>
      </c>
      <c r="K24" s="122">
        <f t="shared" ca="1" si="9"/>
        <v>391.56555140633986</v>
      </c>
      <c r="L24" s="30"/>
      <c r="M24" s="30"/>
      <c r="N24" s="30"/>
      <c r="O24" s="30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x14ac:dyDescent="0.25">
      <c r="A25" s="10">
        <v>6</v>
      </c>
      <c r="B25" s="27">
        <f t="shared" ca="1" si="0"/>
        <v>0.5529507091828838</v>
      </c>
      <c r="C25" s="21">
        <f t="shared" ca="1" si="1"/>
        <v>249.32041196681521</v>
      </c>
      <c r="D25" s="21">
        <f t="shared" ca="1" si="2"/>
        <v>254.76099122559904</v>
      </c>
      <c r="E25" s="21">
        <f t="shared" ca="1" si="3"/>
        <v>2.7202896293919139</v>
      </c>
      <c r="F25" s="22">
        <f t="shared" ca="1" si="7"/>
        <v>5.4405792587838278</v>
      </c>
      <c r="G25" s="22">
        <f t="shared" ca="1" si="4"/>
        <v>0</v>
      </c>
      <c r="H25" s="31">
        <f t="shared" ca="1" si="8"/>
        <v>5.4405792587838278</v>
      </c>
      <c r="I25" s="9">
        <f t="shared" ca="1" si="5"/>
        <v>1380.1032071130076</v>
      </c>
      <c r="J25" s="30">
        <f t="shared" ca="1" si="6"/>
        <v>1016.3236752730043</v>
      </c>
      <c r="K25" s="122">
        <f t="shared" ca="1" si="9"/>
        <v>363.7795318400033</v>
      </c>
      <c r="L25" s="30"/>
      <c r="M25" s="30"/>
      <c r="N25" s="30"/>
      <c r="O25" s="30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x14ac:dyDescent="0.25">
      <c r="A26" s="10">
        <v>7</v>
      </c>
      <c r="B26" s="27">
        <f t="shared" ca="1" si="0"/>
        <v>5.9804720576007719E-2</v>
      </c>
      <c r="C26" s="21">
        <f t="shared" ca="1" si="1"/>
        <v>201.46234925421527</v>
      </c>
      <c r="D26" s="21">
        <f t="shared" ca="1" si="2"/>
        <v>254.76099122559904</v>
      </c>
      <c r="E26" s="21">
        <f t="shared" ca="1" si="3"/>
        <v>50.578352341991859</v>
      </c>
      <c r="F26" s="22">
        <f t="shared" ca="1" si="7"/>
        <v>53.298641971383773</v>
      </c>
      <c r="G26" s="22">
        <f t="shared" ca="1" si="4"/>
        <v>0</v>
      </c>
      <c r="H26" s="31">
        <f t="shared" ca="1" si="8"/>
        <v>53.298641971383773</v>
      </c>
      <c r="I26" s="9">
        <f t="shared" ca="1" si="5"/>
        <v>1128.8483778718578</v>
      </c>
      <c r="J26" s="30">
        <f t="shared" ca="1" si="6"/>
        <v>1088.1107693419042</v>
      </c>
      <c r="K26" s="122">
        <f t="shared" ca="1" si="9"/>
        <v>40.737608529953604</v>
      </c>
      <c r="L26" s="30"/>
      <c r="M26" s="30"/>
      <c r="N26" s="30"/>
      <c r="O26" s="30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x14ac:dyDescent="0.25">
      <c r="A27" s="10">
        <v>8</v>
      </c>
      <c r="B27" s="27">
        <f t="shared" ca="1" si="0"/>
        <v>8.4130421301614633E-2</v>
      </c>
      <c r="C27" s="21">
        <f t="shared" ca="1" si="1"/>
        <v>201.46234925421527</v>
      </c>
      <c r="D27" s="21">
        <f t="shared" ca="1" si="2"/>
        <v>302.61905393819899</v>
      </c>
      <c r="E27" s="21">
        <f t="shared" ca="1" si="3"/>
        <v>50.578352341991859</v>
      </c>
      <c r="F27" s="22">
        <f t="shared" ca="1" si="7"/>
        <v>101.15670468398372</v>
      </c>
      <c r="G27" s="22">
        <f t="shared" ca="1" si="4"/>
        <v>0</v>
      </c>
      <c r="H27" s="31">
        <f t="shared" ca="1" si="8"/>
        <v>101.15670468398372</v>
      </c>
      <c r="I27" s="9">
        <f t="shared" ca="1" si="5"/>
        <v>1272.4225660096577</v>
      </c>
      <c r="J27" s="30">
        <f t="shared" ca="1" si="6"/>
        <v>1159.8978634108041</v>
      </c>
      <c r="K27" s="122">
        <f t="shared" ca="1" si="9"/>
        <v>112.52470259885354</v>
      </c>
      <c r="L27" s="30"/>
      <c r="M27" s="30"/>
      <c r="N27" s="30"/>
      <c r="O27" s="30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25">
      <c r="A28" s="10">
        <v>9</v>
      </c>
      <c r="B28" s="27">
        <f t="shared" ca="1" si="0"/>
        <v>0.15152179594529824</v>
      </c>
      <c r="C28" s="21">
        <f t="shared" ca="1" si="1"/>
        <v>230.79639892259075</v>
      </c>
      <c r="D28" s="21">
        <f t="shared" ca="1" si="2"/>
        <v>302.61905393819899</v>
      </c>
      <c r="E28" s="21">
        <f t="shared" ca="1" si="3"/>
        <v>21.244302673616374</v>
      </c>
      <c r="F28" s="22">
        <f t="shared" ca="1" si="7"/>
        <v>71.822655015608234</v>
      </c>
      <c r="G28" s="22">
        <f t="shared" ca="1" si="4"/>
        <v>0</v>
      </c>
      <c r="H28" s="31">
        <f t="shared" ca="1" si="8"/>
        <v>71.822655015608234</v>
      </c>
      <c r="I28" s="9">
        <f t="shared" ca="1" si="5"/>
        <v>1426.4263267686288</v>
      </c>
      <c r="J28" s="30">
        <f t="shared" ca="1" si="6"/>
        <v>1115.896788908241</v>
      </c>
      <c r="K28" s="122">
        <f t="shared" ca="1" si="9"/>
        <v>310.52953786038779</v>
      </c>
      <c r="L28" s="30"/>
      <c r="M28" s="30"/>
      <c r="N28" s="30"/>
      <c r="O28" s="30"/>
      <c r="R28" s="25"/>
      <c r="S28" s="25"/>
      <c r="T28" s="25"/>
      <c r="U28" s="33"/>
      <c r="V28" s="23"/>
      <c r="W28" s="23"/>
      <c r="X28" s="23"/>
      <c r="Y28" s="23"/>
      <c r="Z28" s="23"/>
      <c r="AA28" s="23"/>
    </row>
    <row r="29" spans="1:27" x14ac:dyDescent="0.25">
      <c r="A29" s="10">
        <v>10</v>
      </c>
      <c r="B29" s="27">
        <f t="shared" ca="1" si="0"/>
        <v>0.33201314558370476</v>
      </c>
      <c r="C29" s="21">
        <f t="shared" ca="1" si="1"/>
        <v>230.79639892259075</v>
      </c>
      <c r="D29" s="21">
        <f t="shared" ca="1" si="2"/>
        <v>273.2850042698235</v>
      </c>
      <c r="E29" s="21">
        <f t="shared" ca="1" si="3"/>
        <v>21.244302673616374</v>
      </c>
      <c r="F29" s="22">
        <f t="shared" ca="1" si="7"/>
        <v>42.488605347232749</v>
      </c>
      <c r="G29" s="22">
        <f t="shared" ca="1" si="4"/>
        <v>19.371706704047796</v>
      </c>
      <c r="H29" s="31">
        <f t="shared" ca="1" si="8"/>
        <v>23.116898643184953</v>
      </c>
      <c r="I29" s="9">
        <f t="shared" ca="1" si="5"/>
        <v>1344.0419656722081</v>
      </c>
      <c r="J29" s="30">
        <f t="shared" ca="1" si="6"/>
        <v>1042.8381543496059</v>
      </c>
      <c r="K29" s="122">
        <f t="shared" ca="1" si="9"/>
        <v>301.20381132260218</v>
      </c>
      <c r="L29" s="30"/>
      <c r="M29" s="30"/>
      <c r="N29" s="30"/>
      <c r="O29" s="30"/>
      <c r="R29" s="25"/>
      <c r="S29" s="25"/>
      <c r="T29" s="25"/>
      <c r="U29" s="34"/>
      <c r="V29" s="23"/>
      <c r="W29" s="23"/>
      <c r="X29" s="23"/>
      <c r="Y29" s="23"/>
      <c r="Z29" s="23"/>
      <c r="AA29" s="23"/>
    </row>
    <row r="30" spans="1:27" x14ac:dyDescent="0.25">
      <c r="A30" s="10">
        <v>11</v>
      </c>
      <c r="B30" s="27">
        <f t="shared" ca="1" si="0"/>
        <v>0.73652403845372272</v>
      </c>
      <c r="C30" s="21">
        <f t="shared" ca="1" si="1"/>
        <v>271.41240830025492</v>
      </c>
      <c r="D30" s="21">
        <f t="shared" ca="1" si="2"/>
        <v>273.2850042698235</v>
      </c>
      <c r="E30" s="21">
        <f t="shared" ca="1" si="3"/>
        <v>0</v>
      </c>
      <c r="F30" s="22">
        <f t="shared" ca="1" si="7"/>
        <v>1.8725959695685788</v>
      </c>
      <c r="G30" s="22">
        <f t="shared" ca="1" si="4"/>
        <v>0</v>
      </c>
      <c r="H30" s="31">
        <f t="shared" ca="1" si="8"/>
        <v>1.8725959695685788</v>
      </c>
      <c r="I30" s="9">
        <f t="shared" ca="1" si="5"/>
        <v>1386.2238587791392</v>
      </c>
      <c r="J30" s="30">
        <f t="shared" ca="1" si="6"/>
        <v>1010.9717003391813</v>
      </c>
      <c r="K30" s="122">
        <f t="shared" ca="1" si="9"/>
        <v>375.25215843995784</v>
      </c>
      <c r="L30" s="30"/>
      <c r="M30" s="30"/>
      <c r="N30" s="30"/>
      <c r="O30" s="30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x14ac:dyDescent="0.25">
      <c r="A31" s="10">
        <v>12</v>
      </c>
      <c r="B31" s="27">
        <f t="shared" ca="1" si="0"/>
        <v>0.14418073034603152</v>
      </c>
      <c r="C31" s="21">
        <f t="shared" ca="1" si="1"/>
        <v>201.46234925421527</v>
      </c>
      <c r="D31" s="21">
        <f t="shared" ca="1" si="2"/>
        <v>252.04070159620713</v>
      </c>
      <c r="E31" s="21">
        <f t="shared" ca="1" si="3"/>
        <v>50.578352341991859</v>
      </c>
      <c r="F31" s="22">
        <f t="shared" ca="1" si="7"/>
        <v>50.578352341991859</v>
      </c>
      <c r="G31" s="22">
        <f t="shared" ca="1" si="4"/>
        <v>44.982781035430634</v>
      </c>
      <c r="H31" s="31">
        <f t="shared" ca="1" si="8"/>
        <v>5.5955713065612258</v>
      </c>
      <c r="I31" s="9">
        <f t="shared" ca="1" si="5"/>
        <v>1137.4742229033659</v>
      </c>
      <c r="J31" s="30">
        <f t="shared" ca="1" si="6"/>
        <v>1016.5561633446704</v>
      </c>
      <c r="K31" s="122">
        <f t="shared" ca="1" si="9"/>
        <v>120.91805955869552</v>
      </c>
      <c r="L31" s="30"/>
      <c r="M31" s="30"/>
      <c r="N31" s="30"/>
      <c r="O31" s="30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5">
      <c r="A32" s="10">
        <v>13</v>
      </c>
      <c r="B32" s="27">
        <f t="shared" ca="1" si="0"/>
        <v>0.9894765423966948</v>
      </c>
      <c r="C32" s="21">
        <f t="shared" ca="1" si="1"/>
        <v>297.02348263163776</v>
      </c>
      <c r="D32" s="21">
        <f t="shared" ca="1" si="2"/>
        <v>302.61905393819899</v>
      </c>
      <c r="E32" s="21">
        <f t="shared" ca="1" si="3"/>
        <v>0</v>
      </c>
      <c r="F32" s="22">
        <f t="shared" ca="1" si="7"/>
        <v>5.5955713065612258</v>
      </c>
      <c r="G32" s="22">
        <f t="shared" ca="1" si="4"/>
        <v>0</v>
      </c>
      <c r="H32" s="31">
        <f t="shared" ca="1" si="8"/>
        <v>5.5955713065612258</v>
      </c>
      <c r="I32" s="9">
        <f t="shared" ca="1" si="5"/>
        <v>1386.2238587791392</v>
      </c>
      <c r="J32" s="30">
        <f t="shared" ca="1" si="6"/>
        <v>1016.5561633446704</v>
      </c>
      <c r="K32" s="122">
        <f t="shared" ca="1" si="9"/>
        <v>369.66769543446878</v>
      </c>
      <c r="L32" s="30"/>
      <c r="M32" s="30"/>
      <c r="N32" s="30"/>
      <c r="O32" s="30"/>
      <c r="R32" s="25"/>
      <c r="S32" s="25"/>
      <c r="T32" s="25"/>
      <c r="U32" s="33"/>
      <c r="V32" s="23"/>
      <c r="W32" s="23"/>
      <c r="X32" s="23"/>
      <c r="Y32" s="23"/>
      <c r="Z32" s="23"/>
      <c r="AA32" s="23"/>
    </row>
    <row r="33" spans="1:27" x14ac:dyDescent="0.25">
      <c r="A33" s="10">
        <v>14</v>
      </c>
      <c r="B33" s="43">
        <f t="shared" ca="1" si="0"/>
        <v>9.9129533192890307E-2</v>
      </c>
      <c r="C33" s="44">
        <f t="shared" ca="1" si="1"/>
        <v>201.46234925421527</v>
      </c>
      <c r="D33" s="44">
        <f t="shared" ca="1" si="2"/>
        <v>252.04070159620713</v>
      </c>
      <c r="E33" s="44">
        <f t="shared" ca="1" si="3"/>
        <v>50.578352341991859</v>
      </c>
      <c r="F33" s="45">
        <f t="shared" ca="1" si="7"/>
        <v>50.578352341991859</v>
      </c>
      <c r="G33" s="45">
        <f t="shared" ca="1" si="4"/>
        <v>0</v>
      </c>
      <c r="H33" s="46">
        <f t="shared" ca="1" si="8"/>
        <v>50.578352341991859</v>
      </c>
      <c r="I33" s="1">
        <f t="shared" ca="1" si="5"/>
        <v>1120.6875089836822</v>
      </c>
      <c r="J33" s="47">
        <f t="shared" ca="1" si="6"/>
        <v>1084.0303348978164</v>
      </c>
      <c r="K33" s="123">
        <f t="shared" ca="1" si="9"/>
        <v>36.65717408586579</v>
      </c>
      <c r="L33" s="30"/>
      <c r="M33" s="30"/>
      <c r="N33" s="30"/>
      <c r="O33" s="30"/>
      <c r="R33" s="25"/>
      <c r="S33" s="25"/>
      <c r="T33" s="25"/>
      <c r="U33" s="34"/>
      <c r="V33" s="23"/>
      <c r="W33" s="23"/>
      <c r="X33" s="23"/>
      <c r="Y33" s="23"/>
      <c r="Z33" s="23"/>
      <c r="AA33" s="23"/>
    </row>
    <row r="34" spans="1:27" x14ac:dyDescent="0.25">
      <c r="A34" s="10">
        <v>15</v>
      </c>
      <c r="B34" s="48">
        <f t="shared" ca="1" si="0"/>
        <v>0.54964090360762674</v>
      </c>
      <c r="C34" s="49">
        <f t="shared" ca="1" si="1"/>
        <v>249.32041196681521</v>
      </c>
      <c r="D34" s="49">
        <f t="shared" ca="1" si="2"/>
        <v>302.61905393819899</v>
      </c>
      <c r="E34" s="49">
        <f t="shared" ca="1" si="3"/>
        <v>2.7202896293919139</v>
      </c>
      <c r="F34" s="50">
        <f t="shared" ca="1" si="7"/>
        <v>53.298641971383773</v>
      </c>
      <c r="G34" s="50">
        <f t="shared" ca="1" si="4"/>
        <v>0</v>
      </c>
      <c r="H34" s="51">
        <f t="shared" ca="1" si="8"/>
        <v>53.298641971383773</v>
      </c>
      <c r="I34" s="52">
        <f t="shared" ca="1" si="5"/>
        <v>1523.6773952508072</v>
      </c>
      <c r="J34" s="53">
        <f t="shared" ca="1" si="6"/>
        <v>1088.1107693419042</v>
      </c>
      <c r="K34" s="124">
        <f t="shared" ca="1" si="9"/>
        <v>435.56662590890301</v>
      </c>
      <c r="L34" s="30"/>
      <c r="M34" s="30"/>
      <c r="N34" s="30"/>
      <c r="O34" s="30"/>
      <c r="R34" s="28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A35" s="10">
        <v>16</v>
      </c>
      <c r="B35" s="27">
        <f t="shared" ca="1" si="0"/>
        <v>0.64866474485652637</v>
      </c>
      <c r="C35" s="21">
        <f t="shared" ca="1" si="1"/>
        <v>249.32041196681521</v>
      </c>
      <c r="D35" s="21">
        <f t="shared" ca="1" si="2"/>
        <v>254.76099122559904</v>
      </c>
      <c r="E35" s="21">
        <f t="shared" ca="1" si="3"/>
        <v>2.7202896293919139</v>
      </c>
      <c r="F35" s="22">
        <f t="shared" ca="1" si="7"/>
        <v>5.4405792587838278</v>
      </c>
      <c r="G35" s="22">
        <f t="shared" ca="1" si="4"/>
        <v>19.371706704047796</v>
      </c>
      <c r="H35" s="31">
        <f t="shared" ca="1" si="8"/>
        <v>0</v>
      </c>
      <c r="I35" s="9">
        <f t="shared" ca="1" si="5"/>
        <v>1371.9423382248317</v>
      </c>
      <c r="J35" s="30">
        <f t="shared" ca="1" si="6"/>
        <v>1008.1628063848285</v>
      </c>
      <c r="K35" s="122">
        <f t="shared" ca="1" si="9"/>
        <v>363.77953184000319</v>
      </c>
      <c r="L35" s="30"/>
      <c r="M35" s="30"/>
      <c r="N35" s="30"/>
      <c r="O35" s="30"/>
      <c r="R35" s="30"/>
      <c r="S35" s="23"/>
      <c r="T35" s="23"/>
      <c r="U35" s="23"/>
      <c r="V35" s="23"/>
      <c r="W35" s="23"/>
      <c r="X35" s="35"/>
      <c r="Y35" s="23"/>
      <c r="Z35" s="23"/>
      <c r="AA35" s="23"/>
    </row>
    <row r="36" spans="1:27" x14ac:dyDescent="0.25">
      <c r="A36" s="10">
        <v>17</v>
      </c>
      <c r="B36" s="27">
        <f t="shared" ca="1" si="0"/>
        <v>0.82044947608891361</v>
      </c>
      <c r="C36" s="21">
        <f t="shared" ca="1" si="1"/>
        <v>271.41240830025492</v>
      </c>
      <c r="D36" s="21">
        <f t="shared" ca="1" si="2"/>
        <v>254.76099122559904</v>
      </c>
      <c r="E36" s="21">
        <f t="shared" ca="1" si="3"/>
        <v>0</v>
      </c>
      <c r="F36" s="22">
        <f t="shared" ca="1" si="7"/>
        <v>0</v>
      </c>
      <c r="G36" s="22">
        <f t="shared" ca="1" si="4"/>
        <v>0</v>
      </c>
      <c r="H36" s="31">
        <f t="shared" ca="1" si="8"/>
        <v>0</v>
      </c>
      <c r="I36" s="9">
        <f t="shared" ca="1" si="5"/>
        <v>1386.2238587791392</v>
      </c>
      <c r="J36" s="30">
        <f t="shared" ca="1" si="6"/>
        <v>1008.1628063848285</v>
      </c>
      <c r="K36" s="122">
        <f t="shared" ca="1" si="9"/>
        <v>378.06105239431065</v>
      </c>
      <c r="L36" s="30"/>
      <c r="M36" s="30"/>
      <c r="N36" s="30"/>
      <c r="O36" s="30"/>
      <c r="R36" s="23"/>
      <c r="S36" s="20"/>
      <c r="T36" s="20"/>
      <c r="U36" s="20"/>
      <c r="V36" s="20"/>
      <c r="W36" s="20"/>
      <c r="X36" s="20"/>
      <c r="Y36" s="20"/>
      <c r="Z36" s="20"/>
      <c r="AA36" s="23"/>
    </row>
    <row r="37" spans="1:27" x14ac:dyDescent="0.25">
      <c r="A37" s="10">
        <v>18</v>
      </c>
      <c r="B37" s="27">
        <f t="shared" ca="1" si="0"/>
        <v>0.2662852065086907</v>
      </c>
      <c r="C37" s="21">
        <f t="shared" ca="1" si="1"/>
        <v>230.79639892259075</v>
      </c>
      <c r="D37" s="21">
        <f t="shared" ca="1" si="2"/>
        <v>252.04070159620713</v>
      </c>
      <c r="E37" s="21">
        <f t="shared" ca="1" si="3"/>
        <v>21.244302673616374</v>
      </c>
      <c r="F37" s="22">
        <f t="shared" ca="1" si="7"/>
        <v>21.244302673616374</v>
      </c>
      <c r="G37" s="22">
        <f t="shared" ca="1" si="4"/>
        <v>0</v>
      </c>
      <c r="H37" s="31">
        <f t="shared" ca="1" si="8"/>
        <v>21.244302673616374</v>
      </c>
      <c r="I37" s="9">
        <f t="shared" ca="1" si="5"/>
        <v>1274.6912697426533</v>
      </c>
      <c r="J37" s="30">
        <f t="shared" ca="1" si="6"/>
        <v>1040.029260395253</v>
      </c>
      <c r="K37" s="122">
        <f t="shared" ca="1" si="9"/>
        <v>234.66200934740027</v>
      </c>
      <c r="L37" s="30"/>
      <c r="M37" s="30"/>
      <c r="N37" s="30"/>
      <c r="O37" s="30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5">
      <c r="A38" s="10">
        <v>19</v>
      </c>
      <c r="B38" s="27">
        <f t="shared" ca="1" si="0"/>
        <v>0.37730408949818761</v>
      </c>
      <c r="C38" s="21">
        <f t="shared" ca="1" si="1"/>
        <v>230.79639892259075</v>
      </c>
      <c r="D38" s="21">
        <f t="shared" ca="1" si="2"/>
        <v>273.2850042698235</v>
      </c>
      <c r="E38" s="21">
        <f t="shared" ca="1" si="3"/>
        <v>21.244302673616374</v>
      </c>
      <c r="F38" s="22">
        <f t="shared" ca="1" si="7"/>
        <v>42.488605347232749</v>
      </c>
      <c r="G38" s="22">
        <f t="shared" ca="1" si="4"/>
        <v>19.371706704047796</v>
      </c>
      <c r="H38" s="31">
        <f t="shared" ca="1" si="8"/>
        <v>23.116898643184953</v>
      </c>
      <c r="I38" s="9">
        <f t="shared" ca="1" si="5"/>
        <v>1344.0419656722081</v>
      </c>
      <c r="J38" s="30">
        <f t="shared" ca="1" si="6"/>
        <v>1042.8381543496059</v>
      </c>
      <c r="K38" s="122">
        <f t="shared" ca="1" si="9"/>
        <v>301.20381132260218</v>
      </c>
      <c r="L38" s="30"/>
      <c r="M38" s="30"/>
      <c r="N38" s="30"/>
      <c r="O38" s="30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5">
      <c r="A39" s="10">
        <v>20</v>
      </c>
      <c r="B39" s="27">
        <f t="shared" ca="1" si="0"/>
        <v>0.83554816464094794</v>
      </c>
      <c r="C39" s="21">
        <f t="shared" ca="1" si="1"/>
        <v>271.41240830025492</v>
      </c>
      <c r="D39" s="21">
        <f t="shared" ca="1" si="2"/>
        <v>273.2850042698235</v>
      </c>
      <c r="E39" s="21">
        <f t="shared" ca="1" si="3"/>
        <v>0</v>
      </c>
      <c r="F39" s="22">
        <f t="shared" ca="1" si="7"/>
        <v>1.8725959695685788</v>
      </c>
      <c r="G39" s="22">
        <f t="shared" ca="1" si="4"/>
        <v>44.982781035430634</v>
      </c>
      <c r="H39" s="31">
        <f t="shared" ca="1" si="8"/>
        <v>0</v>
      </c>
      <c r="I39" s="9">
        <f t="shared" ca="1" si="5"/>
        <v>1386.2238587791392</v>
      </c>
      <c r="J39" s="30">
        <f t="shared" ca="1" si="6"/>
        <v>1008.1628063848285</v>
      </c>
      <c r="K39" s="122">
        <f t="shared" ca="1" si="9"/>
        <v>378.06105239431065</v>
      </c>
      <c r="L39" s="30"/>
      <c r="M39" s="30"/>
      <c r="N39" s="30"/>
      <c r="O39" s="30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5">
      <c r="A40" s="10">
        <v>21</v>
      </c>
      <c r="B40" s="27">
        <f t="shared" ca="1" si="0"/>
        <v>0.96772078915241155</v>
      </c>
      <c r="C40" s="21">
        <f t="shared" ca="1" si="1"/>
        <v>297.02348263163776</v>
      </c>
      <c r="D40" s="21">
        <f t="shared" ca="1" si="2"/>
        <v>252.04070159620713</v>
      </c>
      <c r="E40" s="21">
        <f t="shared" ca="1" si="3"/>
        <v>0</v>
      </c>
      <c r="F40" s="22">
        <f t="shared" ca="1" si="7"/>
        <v>0</v>
      </c>
      <c r="G40" s="22">
        <f t="shared" ca="1" si="4"/>
        <v>0</v>
      </c>
      <c r="H40" s="31">
        <f t="shared" ca="1" si="8"/>
        <v>0</v>
      </c>
      <c r="I40" s="9">
        <f t="shared" ca="1" si="5"/>
        <v>1386.2238587791392</v>
      </c>
      <c r="J40" s="30">
        <f t="shared" ca="1" si="6"/>
        <v>1008.1628063848285</v>
      </c>
      <c r="K40" s="122">
        <f t="shared" ca="1" si="9"/>
        <v>378.06105239431065</v>
      </c>
      <c r="L40" s="30"/>
      <c r="M40" s="30"/>
      <c r="N40" s="30"/>
      <c r="O40" s="30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5">
      <c r="A41" s="10">
        <v>22</v>
      </c>
      <c r="B41" s="27">
        <f t="shared" ca="1" si="0"/>
        <v>0.66350856176265038</v>
      </c>
      <c r="C41" s="21">
        <f t="shared" ca="1" si="1"/>
        <v>249.32041196681521</v>
      </c>
      <c r="D41" s="21">
        <f t="shared" ca="1" si="2"/>
        <v>252.04070159620713</v>
      </c>
      <c r="E41" s="21">
        <f t="shared" ca="1" si="3"/>
        <v>2.7202896293919139</v>
      </c>
      <c r="F41" s="22">
        <f t="shared" ca="1" si="7"/>
        <v>2.7202896293919139</v>
      </c>
      <c r="G41" s="22">
        <f t="shared" ca="1" si="4"/>
        <v>0</v>
      </c>
      <c r="H41" s="31">
        <f t="shared" ca="1" si="8"/>
        <v>2.7202896293919139</v>
      </c>
      <c r="I41" s="9">
        <f t="shared" ca="1" si="5"/>
        <v>1371.9423382248317</v>
      </c>
      <c r="J41" s="30">
        <f t="shared" ca="1" si="6"/>
        <v>1012.2432408289164</v>
      </c>
      <c r="K41" s="122">
        <f t="shared" ca="1" si="9"/>
        <v>359.69909739591526</v>
      </c>
      <c r="L41" s="30"/>
      <c r="M41" s="30"/>
      <c r="N41" s="30"/>
      <c r="O41" s="30"/>
    </row>
    <row r="42" spans="1:27" x14ac:dyDescent="0.25">
      <c r="A42" s="10">
        <v>23</v>
      </c>
      <c r="B42" s="27">
        <f t="shared" ca="1" si="0"/>
        <v>2.0627442258753459E-2</v>
      </c>
      <c r="C42" s="21">
        <f t="shared" ca="1" si="1"/>
        <v>201.46234925421527</v>
      </c>
      <c r="D42" s="21">
        <f t="shared" ca="1" si="2"/>
        <v>254.76099122559904</v>
      </c>
      <c r="E42" s="21">
        <f t="shared" ca="1" si="3"/>
        <v>50.578352341991859</v>
      </c>
      <c r="F42" s="22">
        <f t="shared" ca="1" si="7"/>
        <v>53.298641971383773</v>
      </c>
      <c r="G42" s="22">
        <f t="shared" ca="1" si="4"/>
        <v>0</v>
      </c>
      <c r="H42" s="31">
        <f t="shared" ca="1" si="8"/>
        <v>53.298641971383773</v>
      </c>
      <c r="I42" s="9">
        <f t="shared" ca="1" si="5"/>
        <v>1128.8483778718578</v>
      </c>
      <c r="J42" s="30">
        <f t="shared" ca="1" si="6"/>
        <v>1088.1107693419042</v>
      </c>
      <c r="K42" s="122">
        <f t="shared" ca="1" si="9"/>
        <v>40.737608529953604</v>
      </c>
      <c r="L42" s="30"/>
      <c r="M42" s="30"/>
      <c r="N42" s="30"/>
      <c r="O42" s="30"/>
    </row>
    <row r="43" spans="1:27" x14ac:dyDescent="0.25">
      <c r="A43" s="10">
        <v>24</v>
      </c>
      <c r="B43" s="27">
        <f t="shared" ca="1" si="0"/>
        <v>0.17970545792807446</v>
      </c>
      <c r="C43" s="21">
        <f t="shared" ca="1" si="1"/>
        <v>230.79639892259075</v>
      </c>
      <c r="D43" s="21">
        <f t="shared" ca="1" si="2"/>
        <v>302.61905393819899</v>
      </c>
      <c r="E43" s="21">
        <f t="shared" ca="1" si="3"/>
        <v>21.244302673616374</v>
      </c>
      <c r="F43" s="22">
        <f t="shared" ca="1" si="7"/>
        <v>71.822655015608234</v>
      </c>
      <c r="G43" s="22">
        <f t="shared" ca="1" si="4"/>
        <v>0</v>
      </c>
      <c r="H43" s="31">
        <f t="shared" ca="1" si="8"/>
        <v>71.822655015608234</v>
      </c>
      <c r="I43" s="9">
        <f t="shared" ca="1" si="5"/>
        <v>1426.4263267686288</v>
      </c>
      <c r="J43" s="30">
        <f t="shared" ca="1" si="6"/>
        <v>1115.896788908241</v>
      </c>
      <c r="K43" s="122">
        <f t="shared" ca="1" si="9"/>
        <v>310.52953786038779</v>
      </c>
      <c r="L43" s="30"/>
      <c r="M43" s="30"/>
      <c r="N43" s="30"/>
      <c r="O43" s="30"/>
    </row>
    <row r="44" spans="1:27" x14ac:dyDescent="0.25">
      <c r="A44" s="10">
        <v>25</v>
      </c>
      <c r="B44" s="27">
        <f t="shared" ca="1" si="0"/>
        <v>0.32112560205051011</v>
      </c>
      <c r="C44" s="21">
        <f t="shared" ca="1" si="1"/>
        <v>230.79639892259075</v>
      </c>
      <c r="D44" s="21">
        <f t="shared" ca="1" si="2"/>
        <v>273.2850042698235</v>
      </c>
      <c r="E44" s="21">
        <f t="shared" ca="1" si="3"/>
        <v>21.244302673616374</v>
      </c>
      <c r="F44" s="22">
        <f t="shared" ca="1" si="7"/>
        <v>42.488605347232749</v>
      </c>
      <c r="G44" s="22">
        <f t="shared" ca="1" si="4"/>
        <v>44.982781035430634</v>
      </c>
      <c r="H44" s="31">
        <f t="shared" ca="1" si="8"/>
        <v>0</v>
      </c>
      <c r="I44" s="9">
        <f t="shared" ca="1" si="5"/>
        <v>1274.6912697426533</v>
      </c>
      <c r="J44" s="30">
        <f t="shared" ca="1" si="6"/>
        <v>1008.1628063848285</v>
      </c>
      <c r="K44" s="122">
        <f t="shared" ca="1" si="9"/>
        <v>266.52846335782476</v>
      </c>
      <c r="L44" s="30"/>
      <c r="M44" s="30"/>
      <c r="N44" s="30"/>
      <c r="O44" s="30"/>
    </row>
    <row r="45" spans="1:27" x14ac:dyDescent="0.25">
      <c r="A45" s="10">
        <v>26</v>
      </c>
      <c r="B45" s="27">
        <f t="shared" ca="1" si="0"/>
        <v>0.94745440962071725</v>
      </c>
      <c r="C45" s="21">
        <f t="shared" ca="1" si="1"/>
        <v>297.02348263163776</v>
      </c>
      <c r="D45" s="21">
        <f t="shared" ca="1" si="2"/>
        <v>273.2850042698235</v>
      </c>
      <c r="E45" s="21">
        <f t="shared" ca="1" si="3"/>
        <v>0</v>
      </c>
      <c r="F45" s="22">
        <f t="shared" ca="1" si="7"/>
        <v>0</v>
      </c>
      <c r="G45" s="22">
        <f t="shared" ca="1" si="4"/>
        <v>0</v>
      </c>
      <c r="H45" s="31">
        <f t="shared" ca="1" si="8"/>
        <v>0</v>
      </c>
      <c r="I45" s="9">
        <f t="shared" ca="1" si="5"/>
        <v>1386.2238587791392</v>
      </c>
      <c r="J45" s="30">
        <f t="shared" ca="1" si="6"/>
        <v>1008.1628063848285</v>
      </c>
      <c r="K45" s="122">
        <f t="shared" ca="1" si="9"/>
        <v>378.06105239431065</v>
      </c>
      <c r="L45" s="30"/>
      <c r="M45" s="30"/>
      <c r="N45" s="30"/>
      <c r="O45" s="30"/>
    </row>
    <row r="46" spans="1:27" x14ac:dyDescent="0.25">
      <c r="A46" s="10">
        <v>27</v>
      </c>
      <c r="B46" s="27">
        <f t="shared" ca="1" si="0"/>
        <v>0.12182216985660066</v>
      </c>
      <c r="C46" s="21">
        <f t="shared" ca="1" si="1"/>
        <v>201.46234925421527</v>
      </c>
      <c r="D46" s="21">
        <f t="shared" ca="1" si="2"/>
        <v>252.04070159620713</v>
      </c>
      <c r="E46" s="21">
        <f t="shared" ca="1" si="3"/>
        <v>50.578352341991859</v>
      </c>
      <c r="F46" s="22">
        <f t="shared" ca="1" si="7"/>
        <v>50.578352341991859</v>
      </c>
      <c r="G46" s="22">
        <f t="shared" ca="1" si="4"/>
        <v>0</v>
      </c>
      <c r="H46" s="31">
        <f t="shared" ca="1" si="8"/>
        <v>50.578352341991859</v>
      </c>
      <c r="I46" s="9">
        <f t="shared" ca="1" si="5"/>
        <v>1120.6875089836822</v>
      </c>
      <c r="J46" s="30">
        <f t="shared" ca="1" si="6"/>
        <v>1084.0303348978164</v>
      </c>
      <c r="K46" s="122">
        <f t="shared" ca="1" si="9"/>
        <v>36.65717408586579</v>
      </c>
      <c r="L46" s="30"/>
      <c r="M46" s="30"/>
      <c r="N46" s="30"/>
      <c r="O46" s="30"/>
    </row>
    <row r="47" spans="1:27" x14ac:dyDescent="0.25">
      <c r="A47" s="10">
        <v>28</v>
      </c>
      <c r="B47" s="27">
        <f t="shared" ca="1" si="0"/>
        <v>0.38045602684215041</v>
      </c>
      <c r="C47" s="21">
        <f t="shared" ca="1" si="1"/>
        <v>230.79639892259075</v>
      </c>
      <c r="D47" s="21">
        <f t="shared" ca="1" si="2"/>
        <v>302.61905393819899</v>
      </c>
      <c r="E47" s="21">
        <f t="shared" ca="1" si="3"/>
        <v>21.244302673616374</v>
      </c>
      <c r="F47" s="22">
        <f t="shared" ca="1" si="7"/>
        <v>71.822655015608234</v>
      </c>
      <c r="G47" s="22">
        <f t="shared" ca="1" si="4"/>
        <v>19.371706704047796</v>
      </c>
      <c r="H47" s="31">
        <f t="shared" ca="1" si="8"/>
        <v>52.450948311560438</v>
      </c>
      <c r="I47" s="9">
        <f t="shared" ca="1" si="5"/>
        <v>1432.0441146773346</v>
      </c>
      <c r="J47" s="30">
        <f t="shared" ca="1" si="6"/>
        <v>1086.8392288521691</v>
      </c>
      <c r="K47" s="122">
        <f t="shared" ca="1" si="9"/>
        <v>345.20488582516555</v>
      </c>
      <c r="L47" s="30"/>
      <c r="M47" s="30"/>
      <c r="N47" s="30"/>
      <c r="O47" s="30"/>
    </row>
    <row r="48" spans="1:27" x14ac:dyDescent="0.25">
      <c r="A48" s="10">
        <v>29</v>
      </c>
      <c r="B48" s="27">
        <f t="shared" ca="1" si="0"/>
        <v>0.83953468373272999</v>
      </c>
      <c r="C48" s="21">
        <f t="shared" ca="1" si="1"/>
        <v>271.41240830025492</v>
      </c>
      <c r="D48" s="21">
        <f t="shared" ca="1" si="2"/>
        <v>273.2850042698235</v>
      </c>
      <c r="E48" s="21">
        <f t="shared" ca="1" si="3"/>
        <v>0</v>
      </c>
      <c r="F48" s="22">
        <f t="shared" ca="1" si="7"/>
        <v>1.8725959695685788</v>
      </c>
      <c r="G48" s="22">
        <f t="shared" ca="1" si="4"/>
        <v>19.371706704047796</v>
      </c>
      <c r="H48" s="31">
        <f t="shared" ca="1" si="8"/>
        <v>0</v>
      </c>
      <c r="I48" s="9">
        <f t="shared" ca="1" si="5"/>
        <v>1386.2238587791392</v>
      </c>
      <c r="J48" s="30">
        <f t="shared" ca="1" si="6"/>
        <v>1008.1628063848285</v>
      </c>
      <c r="K48" s="122">
        <f t="shared" ca="1" si="9"/>
        <v>378.06105239431065</v>
      </c>
      <c r="L48" s="30"/>
      <c r="M48" s="30"/>
      <c r="N48" s="30"/>
      <c r="O48" s="30"/>
    </row>
    <row r="49" spans="1:15" x14ac:dyDescent="0.25">
      <c r="A49" s="10">
        <v>30</v>
      </c>
      <c r="B49" s="27">
        <f t="shared" ca="1" si="0"/>
        <v>0.78971433068634422</v>
      </c>
      <c r="C49" s="21">
        <f t="shared" ca="1" si="1"/>
        <v>271.41240830025492</v>
      </c>
      <c r="D49" s="21">
        <f t="shared" ca="1" si="2"/>
        <v>252.04070159620713</v>
      </c>
      <c r="E49" s="21">
        <f t="shared" ca="1" si="3"/>
        <v>0</v>
      </c>
      <c r="F49" s="22">
        <f t="shared" ca="1" si="7"/>
        <v>0</v>
      </c>
      <c r="G49" s="22">
        <f t="shared" ca="1" si="4"/>
        <v>19.371706704047796</v>
      </c>
      <c r="H49" s="31">
        <f t="shared" ca="1" si="8"/>
        <v>0</v>
      </c>
      <c r="I49" s="9">
        <f t="shared" ca="1" si="5"/>
        <v>1386.2238587791392</v>
      </c>
      <c r="J49" s="30">
        <f t="shared" ca="1" si="6"/>
        <v>1008.1628063848285</v>
      </c>
      <c r="K49" s="122">
        <f t="shared" ca="1" si="9"/>
        <v>378.06105239431065</v>
      </c>
      <c r="L49" s="30"/>
      <c r="M49" s="30"/>
      <c r="N49" s="30"/>
      <c r="O49" s="30"/>
    </row>
    <row r="50" spans="1:15" x14ac:dyDescent="0.25">
      <c r="A50" s="10">
        <v>31</v>
      </c>
      <c r="B50" s="27">
        <f t="shared" ca="1" si="0"/>
        <v>0.77127075358724329</v>
      </c>
      <c r="C50" s="21">
        <f t="shared" ca="1" si="1"/>
        <v>271.41240830025492</v>
      </c>
      <c r="D50" s="21">
        <f t="shared" ca="1" si="2"/>
        <v>252.04070159620713</v>
      </c>
      <c r="E50" s="21">
        <f t="shared" ca="1" si="3"/>
        <v>0</v>
      </c>
      <c r="F50" s="22">
        <f t="shared" ca="1" si="7"/>
        <v>0</v>
      </c>
      <c r="G50" s="22">
        <f t="shared" ca="1" si="4"/>
        <v>0</v>
      </c>
      <c r="H50" s="31">
        <f t="shared" ca="1" si="8"/>
        <v>0</v>
      </c>
      <c r="I50" s="9">
        <f t="shared" ca="1" si="5"/>
        <v>1386.2238587791392</v>
      </c>
      <c r="J50" s="30">
        <f t="shared" ca="1" si="6"/>
        <v>1008.1628063848285</v>
      </c>
      <c r="K50" s="122">
        <f t="shared" ca="1" si="9"/>
        <v>378.06105239431065</v>
      </c>
      <c r="L50" s="30"/>
      <c r="M50" s="30"/>
      <c r="N50" s="30"/>
      <c r="O50" s="30"/>
    </row>
    <row r="51" spans="1:15" x14ac:dyDescent="0.25">
      <c r="A51" s="10">
        <v>32</v>
      </c>
      <c r="B51" s="27">
        <f t="shared" ca="1" si="0"/>
        <v>0.32525480897546888</v>
      </c>
      <c r="C51" s="21">
        <f t="shared" ca="1" si="1"/>
        <v>230.79639892259075</v>
      </c>
      <c r="D51" s="21">
        <f t="shared" ca="1" si="2"/>
        <v>252.04070159620713</v>
      </c>
      <c r="E51" s="21">
        <f t="shared" ca="1" si="3"/>
        <v>21.244302673616374</v>
      </c>
      <c r="F51" s="22">
        <f t="shared" ca="1" si="7"/>
        <v>21.244302673616374</v>
      </c>
      <c r="G51" s="22">
        <f t="shared" ca="1" si="4"/>
        <v>0</v>
      </c>
      <c r="H51" s="31">
        <f t="shared" ca="1" si="8"/>
        <v>21.244302673616374</v>
      </c>
      <c r="I51" s="9">
        <f t="shared" ca="1" si="5"/>
        <v>1274.6912697426533</v>
      </c>
      <c r="J51" s="30">
        <f t="shared" ca="1" si="6"/>
        <v>1040.029260395253</v>
      </c>
      <c r="K51" s="122">
        <f t="shared" ca="1" si="9"/>
        <v>234.66200934740027</v>
      </c>
      <c r="L51" s="30"/>
      <c r="M51" s="30"/>
      <c r="N51" s="30"/>
      <c r="O51" s="30"/>
    </row>
    <row r="52" spans="1:15" x14ac:dyDescent="0.25">
      <c r="A52" s="10">
        <v>33</v>
      </c>
      <c r="B52" s="27">
        <f t="shared" ca="1" si="0"/>
        <v>9.3471169309475521E-2</v>
      </c>
      <c r="C52" s="21">
        <f t="shared" ca="1" si="1"/>
        <v>201.46234925421527</v>
      </c>
      <c r="D52" s="21">
        <f t="shared" ca="1" si="2"/>
        <v>273.2850042698235</v>
      </c>
      <c r="E52" s="21">
        <f t="shared" ca="1" si="3"/>
        <v>50.578352341991859</v>
      </c>
      <c r="F52" s="22">
        <f t="shared" ca="1" si="7"/>
        <v>71.822655015608234</v>
      </c>
      <c r="G52" s="22">
        <f t="shared" ca="1" si="4"/>
        <v>19.371706704047796</v>
      </c>
      <c r="H52" s="31">
        <f t="shared" ca="1" si="8"/>
        <v>52.450948311560438</v>
      </c>
      <c r="I52" s="9">
        <f t="shared" ca="1" si="5"/>
        <v>1278.0403539183635</v>
      </c>
      <c r="J52" s="30">
        <f t="shared" ca="1" si="6"/>
        <v>1086.8392288521691</v>
      </c>
      <c r="K52" s="122">
        <f t="shared" ca="1" si="9"/>
        <v>191.20112506619444</v>
      </c>
      <c r="L52" s="30"/>
      <c r="M52" s="30"/>
      <c r="N52" s="30"/>
      <c r="O52" s="30"/>
    </row>
    <row r="53" spans="1:15" x14ac:dyDescent="0.25">
      <c r="A53" s="10">
        <v>34</v>
      </c>
      <c r="B53" s="27">
        <f t="shared" ca="1" si="0"/>
        <v>0.76009909341880089</v>
      </c>
      <c r="C53" s="21">
        <f t="shared" ca="1" si="1"/>
        <v>271.41240830025492</v>
      </c>
      <c r="D53" s="21">
        <f t="shared" ca="1" si="2"/>
        <v>302.61905393819899</v>
      </c>
      <c r="E53" s="21">
        <f t="shared" ca="1" si="3"/>
        <v>0</v>
      </c>
      <c r="F53" s="22">
        <f t="shared" ca="1" si="7"/>
        <v>31.206645637944064</v>
      </c>
      <c r="G53" s="22">
        <f t="shared" ca="1" si="4"/>
        <v>0</v>
      </c>
      <c r="H53" s="31">
        <f t="shared" ca="1" si="8"/>
        <v>31.206645637944064</v>
      </c>
      <c r="I53" s="9">
        <f t="shared" ca="1" si="5"/>
        <v>1386.2238587791392</v>
      </c>
      <c r="J53" s="30">
        <f t="shared" ca="1" si="6"/>
        <v>1054.9727748417447</v>
      </c>
      <c r="K53" s="122">
        <f t="shared" ca="1" si="9"/>
        <v>331.25108393739447</v>
      </c>
      <c r="L53" s="30"/>
      <c r="M53" s="30"/>
      <c r="N53" s="30"/>
      <c r="O53" s="30"/>
    </row>
    <row r="54" spans="1:15" x14ac:dyDescent="0.25">
      <c r="A54" s="10">
        <v>35</v>
      </c>
      <c r="B54" s="27">
        <f t="shared" ca="1" si="0"/>
        <v>0.42335683337054808</v>
      </c>
      <c r="C54" s="21">
        <f t="shared" ca="1" si="1"/>
        <v>249.32041196681521</v>
      </c>
      <c r="D54" s="21">
        <f t="shared" ca="1" si="2"/>
        <v>252.04070159620713</v>
      </c>
      <c r="E54" s="21">
        <f t="shared" ca="1" si="3"/>
        <v>2.7202896293919139</v>
      </c>
      <c r="F54" s="22">
        <f t="shared" ca="1" si="7"/>
        <v>2.7202896293919139</v>
      </c>
      <c r="G54" s="22">
        <f t="shared" ca="1" si="4"/>
        <v>0</v>
      </c>
      <c r="H54" s="31">
        <f t="shared" ca="1" si="8"/>
        <v>2.7202896293919139</v>
      </c>
      <c r="I54" s="9">
        <f t="shared" ca="1" si="5"/>
        <v>1371.9423382248317</v>
      </c>
      <c r="J54" s="30">
        <f t="shared" ca="1" si="6"/>
        <v>1012.2432408289164</v>
      </c>
      <c r="K54" s="122">
        <f t="shared" ca="1" si="9"/>
        <v>359.69909739591526</v>
      </c>
      <c r="L54" s="30"/>
      <c r="M54" s="30"/>
      <c r="N54" s="30"/>
      <c r="O54" s="30"/>
    </row>
    <row r="55" spans="1:15" x14ac:dyDescent="0.25">
      <c r="A55" s="10">
        <v>36</v>
      </c>
      <c r="B55" s="27">
        <f t="shared" ca="1" si="0"/>
        <v>0.25143819078934704</v>
      </c>
      <c r="C55" s="21">
        <f t="shared" ca="1" si="1"/>
        <v>230.79639892259075</v>
      </c>
      <c r="D55" s="21">
        <f t="shared" ca="1" si="2"/>
        <v>254.76099122559904</v>
      </c>
      <c r="E55" s="21">
        <f t="shared" ca="1" si="3"/>
        <v>21.244302673616374</v>
      </c>
      <c r="F55" s="22">
        <f t="shared" ca="1" si="7"/>
        <v>23.964592303008288</v>
      </c>
      <c r="G55" s="22">
        <f t="shared" ca="1" si="4"/>
        <v>0</v>
      </c>
      <c r="H55" s="31">
        <f t="shared" ca="1" si="8"/>
        <v>23.964592303008288</v>
      </c>
      <c r="I55" s="9">
        <f t="shared" ca="1" si="5"/>
        <v>1282.8521386308289</v>
      </c>
      <c r="J55" s="30">
        <f t="shared" ca="1" si="6"/>
        <v>1044.109694839341</v>
      </c>
      <c r="K55" s="122">
        <f t="shared" ca="1" si="9"/>
        <v>238.74244379148786</v>
      </c>
      <c r="L55" s="30"/>
      <c r="M55" s="30"/>
      <c r="N55" s="30"/>
      <c r="O55" s="30"/>
    </row>
    <row r="56" spans="1:15" x14ac:dyDescent="0.25">
      <c r="A56" s="10">
        <v>37</v>
      </c>
      <c r="B56" s="27">
        <f t="shared" ca="1" si="0"/>
        <v>0.37924164632992752</v>
      </c>
      <c r="C56" s="21">
        <f t="shared" ca="1" si="1"/>
        <v>230.79639892259075</v>
      </c>
      <c r="D56" s="21">
        <f t="shared" ca="1" si="2"/>
        <v>273.2850042698235</v>
      </c>
      <c r="E56" s="21">
        <f t="shared" ca="1" si="3"/>
        <v>21.244302673616374</v>
      </c>
      <c r="F56" s="22">
        <f t="shared" ca="1" si="7"/>
        <v>42.488605347232749</v>
      </c>
      <c r="G56" s="22">
        <f t="shared" ca="1" si="4"/>
        <v>0</v>
      </c>
      <c r="H56" s="31">
        <f t="shared" ca="1" si="8"/>
        <v>42.488605347232749</v>
      </c>
      <c r="I56" s="9">
        <f t="shared" ca="1" si="5"/>
        <v>1338.4241777635025</v>
      </c>
      <c r="J56" s="30">
        <f t="shared" ca="1" si="6"/>
        <v>1071.8957144056776</v>
      </c>
      <c r="K56" s="122">
        <f t="shared" ca="1" si="9"/>
        <v>266.52846335782488</v>
      </c>
      <c r="L56" s="30"/>
      <c r="M56" s="30"/>
      <c r="N56" s="30"/>
      <c r="O56" s="30"/>
    </row>
    <row r="57" spans="1:15" x14ac:dyDescent="0.25">
      <c r="A57" s="10">
        <v>38</v>
      </c>
      <c r="B57" s="27">
        <f t="shared" ca="1" si="0"/>
        <v>0.62494654894351087</v>
      </c>
      <c r="C57" s="21">
        <f t="shared" ca="1" si="1"/>
        <v>249.32041196681521</v>
      </c>
      <c r="D57" s="21">
        <f t="shared" ca="1" si="2"/>
        <v>273.2850042698235</v>
      </c>
      <c r="E57" s="21">
        <f t="shared" ca="1" si="3"/>
        <v>2.7202896293919139</v>
      </c>
      <c r="F57" s="22">
        <f t="shared" ca="1" si="7"/>
        <v>23.964592303008288</v>
      </c>
      <c r="G57" s="22">
        <f t="shared" ca="1" si="4"/>
        <v>0</v>
      </c>
      <c r="H57" s="31">
        <f t="shared" ca="1" si="8"/>
        <v>23.964592303008288</v>
      </c>
      <c r="I57" s="9">
        <f t="shared" ca="1" si="5"/>
        <v>1435.6752462456809</v>
      </c>
      <c r="J57" s="30">
        <f t="shared" ca="1" si="6"/>
        <v>1044.109694839341</v>
      </c>
      <c r="K57" s="122">
        <f t="shared" ca="1" si="9"/>
        <v>391.56555140633986</v>
      </c>
      <c r="L57" s="30"/>
      <c r="M57" s="30"/>
      <c r="N57" s="30"/>
      <c r="O57" s="30"/>
    </row>
    <row r="58" spans="1:15" x14ac:dyDescent="0.25">
      <c r="A58" s="10">
        <v>39</v>
      </c>
      <c r="B58" s="27">
        <f t="shared" ca="1" si="0"/>
        <v>0.24990992291610337</v>
      </c>
      <c r="C58" s="21">
        <f t="shared" ca="1" si="1"/>
        <v>230.79639892259075</v>
      </c>
      <c r="D58" s="21">
        <f t="shared" ca="1" si="2"/>
        <v>254.76099122559904</v>
      </c>
      <c r="E58" s="21">
        <f t="shared" ca="1" si="3"/>
        <v>21.244302673616374</v>
      </c>
      <c r="F58" s="22">
        <f t="shared" ca="1" si="7"/>
        <v>23.964592303008288</v>
      </c>
      <c r="G58" s="22">
        <f t="shared" ca="1" si="4"/>
        <v>0</v>
      </c>
      <c r="H58" s="31">
        <f t="shared" ca="1" si="8"/>
        <v>23.964592303008288</v>
      </c>
      <c r="I58" s="9">
        <f t="shared" ca="1" si="5"/>
        <v>1282.8521386308289</v>
      </c>
      <c r="J58" s="30">
        <f t="shared" ca="1" si="6"/>
        <v>1044.109694839341</v>
      </c>
      <c r="K58" s="122">
        <f t="shared" ca="1" si="9"/>
        <v>238.74244379148786</v>
      </c>
      <c r="L58" s="30"/>
      <c r="M58" s="30"/>
      <c r="N58" s="30"/>
      <c r="O58" s="30"/>
    </row>
    <row r="59" spans="1:15" x14ac:dyDescent="0.25">
      <c r="A59" s="10">
        <v>40</v>
      </c>
      <c r="B59" s="27">
        <f t="shared" ca="1" si="0"/>
        <v>0.52467971423802962</v>
      </c>
      <c r="C59" s="21">
        <f t="shared" ca="1" si="1"/>
        <v>249.32041196681521</v>
      </c>
      <c r="D59" s="21">
        <f t="shared" ca="1" si="2"/>
        <v>273.2850042698235</v>
      </c>
      <c r="E59" s="21">
        <f t="shared" ca="1" si="3"/>
        <v>2.7202896293919139</v>
      </c>
      <c r="F59" s="22">
        <f t="shared" ca="1" si="7"/>
        <v>23.964592303008288</v>
      </c>
      <c r="G59" s="22">
        <f t="shared" ca="1" si="4"/>
        <v>0</v>
      </c>
      <c r="H59" s="31">
        <f t="shared" ca="1" si="8"/>
        <v>23.964592303008288</v>
      </c>
      <c r="I59" s="9">
        <f t="shared" ca="1" si="5"/>
        <v>1435.6752462456809</v>
      </c>
      <c r="J59" s="30">
        <f t="shared" ca="1" si="6"/>
        <v>1044.109694839341</v>
      </c>
      <c r="K59" s="122">
        <f t="shared" ca="1" si="9"/>
        <v>391.56555140633986</v>
      </c>
      <c r="L59" s="30"/>
      <c r="M59" s="30"/>
      <c r="N59" s="30"/>
      <c r="O59" s="30"/>
    </row>
    <row r="60" spans="1:15" x14ac:dyDescent="0.25">
      <c r="A60" s="10">
        <v>41</v>
      </c>
      <c r="B60" s="27">
        <f t="shared" ca="1" si="0"/>
        <v>3.8283100958506733E-2</v>
      </c>
      <c r="C60" s="21">
        <f t="shared" ca="1" si="1"/>
        <v>201.46234925421527</v>
      </c>
      <c r="D60" s="21">
        <f t="shared" ca="1" si="2"/>
        <v>254.76099122559904</v>
      </c>
      <c r="E60" s="21">
        <f t="shared" ca="1" si="3"/>
        <v>50.578352341991859</v>
      </c>
      <c r="F60" s="22">
        <f t="shared" ca="1" si="7"/>
        <v>53.298641971383773</v>
      </c>
      <c r="G60" s="22">
        <f t="shared" ca="1" si="4"/>
        <v>19.371706704047796</v>
      </c>
      <c r="H60" s="31">
        <f t="shared" ca="1" si="8"/>
        <v>33.926935267335978</v>
      </c>
      <c r="I60" s="9">
        <f t="shared" ca="1" si="5"/>
        <v>1222.4683147856902</v>
      </c>
      <c r="J60" s="30">
        <f t="shared" ca="1" si="6"/>
        <v>1059.0532092858325</v>
      </c>
      <c r="K60" s="122">
        <f t="shared" ca="1" si="9"/>
        <v>163.41510549985765</v>
      </c>
      <c r="L60" s="30"/>
      <c r="M60" s="30"/>
      <c r="N60" s="30"/>
      <c r="O60" s="30"/>
    </row>
    <row r="61" spans="1:15" x14ac:dyDescent="0.25">
      <c r="A61" s="10">
        <v>42</v>
      </c>
      <c r="B61" s="27">
        <f t="shared" ca="1" si="0"/>
        <v>0.84185810588519483</v>
      </c>
      <c r="C61" s="21">
        <f t="shared" ca="1" si="1"/>
        <v>271.41240830025492</v>
      </c>
      <c r="D61" s="21">
        <f t="shared" ca="1" si="2"/>
        <v>302.61905393819899</v>
      </c>
      <c r="E61" s="21">
        <f t="shared" ca="1" si="3"/>
        <v>0</v>
      </c>
      <c r="F61" s="22">
        <f t="shared" ca="1" si="7"/>
        <v>31.206645637944064</v>
      </c>
      <c r="G61" s="22">
        <f t="shared" ca="1" si="4"/>
        <v>0</v>
      </c>
      <c r="H61" s="31">
        <f t="shared" ca="1" si="8"/>
        <v>31.206645637944064</v>
      </c>
      <c r="I61" s="9">
        <f t="shared" ca="1" si="5"/>
        <v>1386.2238587791392</v>
      </c>
      <c r="J61" s="30">
        <f t="shared" ca="1" si="6"/>
        <v>1054.9727748417447</v>
      </c>
      <c r="K61" s="122">
        <f t="shared" ca="1" si="9"/>
        <v>331.25108393739447</v>
      </c>
      <c r="L61" s="30"/>
      <c r="M61" s="30"/>
      <c r="N61" s="30"/>
      <c r="O61" s="30"/>
    </row>
    <row r="62" spans="1:15" x14ac:dyDescent="0.25">
      <c r="A62" s="10">
        <v>43</v>
      </c>
      <c r="B62" s="27">
        <f t="shared" ca="1" si="0"/>
        <v>0.38530962047960959</v>
      </c>
      <c r="C62" s="21">
        <f t="shared" ca="1" si="1"/>
        <v>230.79639892259075</v>
      </c>
      <c r="D62" s="21">
        <f t="shared" ca="1" si="2"/>
        <v>252.04070159620713</v>
      </c>
      <c r="E62" s="21">
        <f t="shared" ca="1" si="3"/>
        <v>21.244302673616374</v>
      </c>
      <c r="F62" s="22">
        <f t="shared" ca="1" si="7"/>
        <v>21.244302673616374</v>
      </c>
      <c r="G62" s="22">
        <f t="shared" ca="1" si="4"/>
        <v>0</v>
      </c>
      <c r="H62" s="31">
        <f t="shared" ca="1" si="8"/>
        <v>21.244302673616374</v>
      </c>
      <c r="I62" s="9">
        <f t="shared" ca="1" si="5"/>
        <v>1274.6912697426533</v>
      </c>
      <c r="J62" s="30">
        <f t="shared" ca="1" si="6"/>
        <v>1040.029260395253</v>
      </c>
      <c r="K62" s="122">
        <f t="shared" ca="1" si="9"/>
        <v>234.66200934740027</v>
      </c>
      <c r="L62" s="30"/>
      <c r="M62" s="30"/>
      <c r="N62" s="30"/>
      <c r="O62" s="30"/>
    </row>
    <row r="63" spans="1:15" x14ac:dyDescent="0.25">
      <c r="A63" s="10">
        <v>44</v>
      </c>
      <c r="B63" s="27">
        <f t="shared" ca="1" si="0"/>
        <v>0.45459834396812882</v>
      </c>
      <c r="C63" s="21">
        <f t="shared" ca="1" si="1"/>
        <v>249.32041196681521</v>
      </c>
      <c r="D63" s="21">
        <f t="shared" ca="1" si="2"/>
        <v>273.2850042698235</v>
      </c>
      <c r="E63" s="21">
        <f t="shared" ca="1" si="3"/>
        <v>2.7202896293919139</v>
      </c>
      <c r="F63" s="22">
        <f t="shared" ca="1" si="7"/>
        <v>23.964592303008288</v>
      </c>
      <c r="G63" s="22">
        <f t="shared" ca="1" si="4"/>
        <v>0</v>
      </c>
      <c r="H63" s="31">
        <f t="shared" ca="1" si="8"/>
        <v>23.964592303008288</v>
      </c>
      <c r="I63" s="9">
        <f t="shared" ca="1" si="5"/>
        <v>1435.6752462456809</v>
      </c>
      <c r="J63" s="30">
        <f t="shared" ca="1" si="6"/>
        <v>1044.109694839341</v>
      </c>
      <c r="K63" s="122">
        <f t="shared" ca="1" si="9"/>
        <v>391.56555140633986</v>
      </c>
      <c r="L63" s="30"/>
      <c r="M63" s="30"/>
      <c r="N63" s="30"/>
      <c r="O63" s="30"/>
    </row>
    <row r="64" spans="1:15" x14ac:dyDescent="0.25">
      <c r="A64" s="10">
        <v>45</v>
      </c>
      <c r="B64" s="27">
        <f t="shared" ca="1" si="0"/>
        <v>0.12851623776384635</v>
      </c>
      <c r="C64" s="21">
        <f t="shared" ca="1" si="1"/>
        <v>201.46234925421527</v>
      </c>
      <c r="D64" s="21">
        <f t="shared" ca="1" si="2"/>
        <v>254.76099122559904</v>
      </c>
      <c r="E64" s="21">
        <f t="shared" ca="1" si="3"/>
        <v>50.578352341991859</v>
      </c>
      <c r="F64" s="22">
        <f t="shared" ca="1" si="7"/>
        <v>53.298641971383773</v>
      </c>
      <c r="G64" s="22">
        <f t="shared" ca="1" si="4"/>
        <v>0</v>
      </c>
      <c r="H64" s="31">
        <f t="shared" ca="1" si="8"/>
        <v>53.298641971383773</v>
      </c>
      <c r="I64" s="9">
        <f t="shared" ca="1" si="5"/>
        <v>1128.8483778718578</v>
      </c>
      <c r="J64" s="30">
        <f t="shared" ca="1" si="6"/>
        <v>1088.1107693419042</v>
      </c>
      <c r="K64" s="122">
        <f t="shared" ca="1" si="9"/>
        <v>40.737608529953604</v>
      </c>
      <c r="L64" s="30"/>
      <c r="M64" s="30"/>
      <c r="N64" s="30"/>
      <c r="O64" s="30"/>
    </row>
    <row r="65" spans="1:15" x14ac:dyDescent="0.25">
      <c r="A65" s="10">
        <v>46</v>
      </c>
      <c r="B65" s="27">
        <f t="shared" ca="1" si="0"/>
        <v>0.60338229334400739</v>
      </c>
      <c r="C65" s="21">
        <f t="shared" ca="1" si="1"/>
        <v>249.32041196681521</v>
      </c>
      <c r="D65" s="21">
        <f t="shared" ca="1" si="2"/>
        <v>302.61905393819899</v>
      </c>
      <c r="E65" s="21">
        <f t="shared" ca="1" si="3"/>
        <v>2.7202896293919139</v>
      </c>
      <c r="F65" s="22">
        <f t="shared" ca="1" si="7"/>
        <v>53.298641971383773</v>
      </c>
      <c r="G65" s="22">
        <f t="shared" ca="1" si="4"/>
        <v>0</v>
      </c>
      <c r="H65" s="31">
        <f t="shared" ca="1" si="8"/>
        <v>53.298641971383773</v>
      </c>
      <c r="I65" s="9">
        <f t="shared" ca="1" si="5"/>
        <v>1523.6773952508072</v>
      </c>
      <c r="J65" s="30">
        <f t="shared" ca="1" si="6"/>
        <v>1088.1107693419042</v>
      </c>
      <c r="K65" s="122">
        <f t="shared" ca="1" si="9"/>
        <v>435.56662590890301</v>
      </c>
      <c r="L65" s="30"/>
      <c r="M65" s="30"/>
      <c r="N65" s="30"/>
      <c r="O65" s="30"/>
    </row>
    <row r="66" spans="1:15" x14ac:dyDescent="0.25">
      <c r="A66" s="10">
        <v>47</v>
      </c>
      <c r="B66" s="43">
        <f t="shared" ca="1" si="0"/>
        <v>0.1019050421772808</v>
      </c>
      <c r="C66" s="44">
        <f t="shared" ca="1" si="1"/>
        <v>201.46234925421527</v>
      </c>
      <c r="D66" s="44">
        <f t="shared" ca="1" si="2"/>
        <v>254.76099122559904</v>
      </c>
      <c r="E66" s="44">
        <f t="shared" ca="1" si="3"/>
        <v>50.578352341991859</v>
      </c>
      <c r="F66" s="45">
        <f t="shared" ca="1" si="7"/>
        <v>53.298641971383773</v>
      </c>
      <c r="G66" s="45">
        <f t="shared" ca="1" si="4"/>
        <v>0</v>
      </c>
      <c r="H66" s="46">
        <f t="shared" ca="1" si="8"/>
        <v>53.298641971383773</v>
      </c>
      <c r="I66" s="1">
        <f t="shared" ca="1" si="5"/>
        <v>1128.8483778718578</v>
      </c>
      <c r="J66" s="47">
        <f t="shared" ca="1" si="6"/>
        <v>1088.1107693419042</v>
      </c>
      <c r="K66" s="123">
        <f t="shared" ca="1" si="9"/>
        <v>40.737608529953604</v>
      </c>
      <c r="L66" s="30"/>
      <c r="M66" s="30"/>
      <c r="N66" s="30"/>
      <c r="O66" s="30"/>
    </row>
    <row r="67" spans="1:15" x14ac:dyDescent="0.25">
      <c r="A67" s="10">
        <v>48</v>
      </c>
      <c r="B67" s="48">
        <f t="shared" ca="1" si="0"/>
        <v>0.50506519870688249</v>
      </c>
      <c r="C67" s="49">
        <f t="shared" ca="1" si="1"/>
        <v>249.32041196681521</v>
      </c>
      <c r="D67" s="49">
        <f t="shared" ca="1" si="2"/>
        <v>302.61905393819899</v>
      </c>
      <c r="E67" s="49">
        <f t="shared" ca="1" si="3"/>
        <v>2.7202896293919139</v>
      </c>
      <c r="F67" s="50">
        <f t="shared" ca="1" si="7"/>
        <v>53.298641971383773</v>
      </c>
      <c r="G67" s="50">
        <f t="shared" ca="1" si="4"/>
        <v>0</v>
      </c>
      <c r="H67" s="51">
        <f t="shared" ca="1" si="8"/>
        <v>53.298641971383773</v>
      </c>
      <c r="I67" s="52">
        <f t="shared" ca="1" si="5"/>
        <v>1523.6773952508072</v>
      </c>
      <c r="J67" s="53">
        <f t="shared" ca="1" si="6"/>
        <v>1088.1107693419042</v>
      </c>
      <c r="K67" s="124">
        <f t="shared" ca="1" si="9"/>
        <v>435.56662590890301</v>
      </c>
      <c r="L67" s="30"/>
      <c r="M67" s="30"/>
      <c r="N67" s="30"/>
      <c r="O67" s="30"/>
    </row>
    <row r="68" spans="1:15" x14ac:dyDescent="0.25">
      <c r="A68" s="10">
        <v>49</v>
      </c>
      <c r="B68" s="27">
        <f t="shared" ca="1" si="0"/>
        <v>3.69998791526579E-2</v>
      </c>
      <c r="C68" s="21">
        <f t="shared" ca="1" si="1"/>
        <v>201.46234925421527</v>
      </c>
      <c r="D68" s="21">
        <f t="shared" ca="1" si="2"/>
        <v>254.76099122559904</v>
      </c>
      <c r="E68" s="21">
        <f t="shared" ca="1" si="3"/>
        <v>50.578352341991859</v>
      </c>
      <c r="F68" s="22">
        <f t="shared" ca="1" si="7"/>
        <v>53.298641971383773</v>
      </c>
      <c r="G68" s="22">
        <f t="shared" ca="1" si="4"/>
        <v>19.371706704047796</v>
      </c>
      <c r="H68" s="31">
        <f t="shared" ca="1" si="8"/>
        <v>33.926935267335978</v>
      </c>
      <c r="I68" s="9">
        <f t="shared" ca="1" si="5"/>
        <v>1222.4683147856902</v>
      </c>
      <c r="J68" s="30">
        <f t="shared" ca="1" si="6"/>
        <v>1059.0532092858325</v>
      </c>
      <c r="K68" s="122">
        <f t="shared" ca="1" si="9"/>
        <v>163.41510549985765</v>
      </c>
      <c r="L68" s="30"/>
      <c r="M68" s="30"/>
      <c r="N68" s="30"/>
      <c r="O68" s="30"/>
    </row>
    <row r="69" spans="1:15" x14ac:dyDescent="0.25">
      <c r="A69" s="10">
        <v>50</v>
      </c>
      <c r="B69" s="27">
        <f t="shared" ca="1" si="0"/>
        <v>0.87964656917123052</v>
      </c>
      <c r="C69" s="21">
        <f t="shared" ca="1" si="1"/>
        <v>271.41240830025492</v>
      </c>
      <c r="D69" s="21">
        <f t="shared" ca="1" si="2"/>
        <v>302.61905393819899</v>
      </c>
      <c r="E69" s="21">
        <f t="shared" ca="1" si="3"/>
        <v>0</v>
      </c>
      <c r="F69" s="22">
        <f t="shared" ca="1" si="7"/>
        <v>31.206645637944064</v>
      </c>
      <c r="G69" s="22">
        <f t="shared" ca="1" si="4"/>
        <v>0</v>
      </c>
      <c r="H69" s="31">
        <f t="shared" ca="1" si="8"/>
        <v>31.206645637944064</v>
      </c>
      <c r="I69" s="9">
        <f t="shared" ca="1" si="5"/>
        <v>1386.2238587791392</v>
      </c>
      <c r="J69" s="30">
        <f t="shared" ca="1" si="6"/>
        <v>1054.9727748417447</v>
      </c>
      <c r="K69" s="122">
        <f t="shared" ca="1" si="9"/>
        <v>331.25108393739447</v>
      </c>
      <c r="L69" s="30"/>
      <c r="M69" s="30"/>
      <c r="N69" s="30"/>
      <c r="O69" s="30"/>
    </row>
    <row r="70" spans="1:15" x14ac:dyDescent="0.25">
      <c r="A70" s="10">
        <v>51</v>
      </c>
      <c r="B70" s="27">
        <f t="shared" ca="1" si="0"/>
        <v>0.23362718171744801</v>
      </c>
      <c r="C70" s="21">
        <f t="shared" ca="1" si="1"/>
        <v>230.79639892259075</v>
      </c>
      <c r="D70" s="21">
        <f t="shared" ca="1" si="2"/>
        <v>252.04070159620713</v>
      </c>
      <c r="E70" s="21">
        <f t="shared" ca="1" si="3"/>
        <v>21.244302673616374</v>
      </c>
      <c r="F70" s="22">
        <f t="shared" ca="1" si="7"/>
        <v>21.244302673616374</v>
      </c>
      <c r="G70" s="22">
        <f t="shared" ca="1" si="4"/>
        <v>19.371706704047796</v>
      </c>
      <c r="H70" s="31">
        <f t="shared" ca="1" si="8"/>
        <v>1.8725959695685788</v>
      </c>
      <c r="I70" s="9">
        <f t="shared" ca="1" si="5"/>
        <v>1280.3090576513591</v>
      </c>
      <c r="J70" s="30">
        <f t="shared" ca="1" si="6"/>
        <v>1010.9717003391813</v>
      </c>
      <c r="K70" s="122">
        <f t="shared" ca="1" si="9"/>
        <v>269.3373573121778</v>
      </c>
      <c r="L70" s="30"/>
      <c r="M70" s="30"/>
      <c r="N70" s="30"/>
      <c r="O70" s="30"/>
    </row>
    <row r="71" spans="1:15" x14ac:dyDescent="0.25">
      <c r="A71" s="10">
        <v>52</v>
      </c>
      <c r="B71" s="27">
        <f t="shared" ca="1" si="0"/>
        <v>0.71063491287487957</v>
      </c>
      <c r="C71" s="21">
        <f t="shared" ca="1" si="1"/>
        <v>271.41240830025492</v>
      </c>
      <c r="D71" s="21">
        <f t="shared" ca="1" si="2"/>
        <v>273.2850042698235</v>
      </c>
      <c r="E71" s="21">
        <f t="shared" ca="1" si="3"/>
        <v>0</v>
      </c>
      <c r="F71" s="22">
        <f t="shared" ca="1" si="7"/>
        <v>1.8725959695685788</v>
      </c>
      <c r="G71" s="22">
        <f t="shared" ca="1" si="4"/>
        <v>0</v>
      </c>
      <c r="H71" s="31">
        <f t="shared" ca="1" si="8"/>
        <v>1.8725959695685788</v>
      </c>
      <c r="I71" s="9">
        <f t="shared" ca="1" si="5"/>
        <v>1386.2238587791392</v>
      </c>
      <c r="J71" s="30">
        <f t="shared" ca="1" si="6"/>
        <v>1010.9717003391813</v>
      </c>
      <c r="K71" s="122">
        <f t="shared" ca="1" si="9"/>
        <v>375.25215843995784</v>
      </c>
      <c r="L71" s="30"/>
      <c r="M71" s="30"/>
      <c r="N71" s="30"/>
      <c r="O71" s="30"/>
    </row>
    <row r="72" spans="1:15" x14ac:dyDescent="0.25">
      <c r="A72" s="10">
        <v>53</v>
      </c>
      <c r="B72" s="27">
        <f t="shared" ca="1" si="0"/>
        <v>0.48354648369191577</v>
      </c>
      <c r="C72" s="21">
        <f t="shared" ca="1" si="1"/>
        <v>249.32041196681521</v>
      </c>
      <c r="D72" s="21">
        <f t="shared" ca="1" si="2"/>
        <v>252.04070159620713</v>
      </c>
      <c r="E72" s="21">
        <f t="shared" ca="1" si="3"/>
        <v>2.7202896293919139</v>
      </c>
      <c r="F72" s="22">
        <f t="shared" ca="1" si="7"/>
        <v>2.7202896293919139</v>
      </c>
      <c r="G72" s="22">
        <f t="shared" ca="1" si="4"/>
        <v>0</v>
      </c>
      <c r="H72" s="31">
        <f t="shared" ca="1" si="8"/>
        <v>2.7202896293919139</v>
      </c>
      <c r="I72" s="9">
        <f t="shared" ca="1" si="5"/>
        <v>1371.9423382248317</v>
      </c>
      <c r="J72" s="30">
        <f t="shared" ca="1" si="6"/>
        <v>1012.2432408289164</v>
      </c>
      <c r="K72" s="122">
        <f t="shared" ca="1" si="9"/>
        <v>359.69909739591526</v>
      </c>
      <c r="L72" s="30"/>
      <c r="M72" s="30"/>
      <c r="N72" s="30"/>
      <c r="O72" s="30"/>
    </row>
    <row r="73" spans="1:15" x14ac:dyDescent="0.25">
      <c r="A73" s="10">
        <v>54</v>
      </c>
      <c r="B73" s="27">
        <f t="shared" ca="1" si="0"/>
        <v>8.9970525671385526E-2</v>
      </c>
      <c r="C73" s="21">
        <f t="shared" ca="1" si="1"/>
        <v>201.46234925421527</v>
      </c>
      <c r="D73" s="21">
        <f t="shared" ca="1" si="2"/>
        <v>254.76099122559904</v>
      </c>
      <c r="E73" s="21">
        <f t="shared" ca="1" si="3"/>
        <v>50.578352341991859</v>
      </c>
      <c r="F73" s="22">
        <f t="shared" ca="1" si="7"/>
        <v>53.298641971383773</v>
      </c>
      <c r="G73" s="22">
        <f t="shared" ca="1" si="4"/>
        <v>0</v>
      </c>
      <c r="H73" s="31">
        <f t="shared" ca="1" si="8"/>
        <v>53.298641971383773</v>
      </c>
      <c r="I73" s="9">
        <f t="shared" ca="1" si="5"/>
        <v>1128.8483778718578</v>
      </c>
      <c r="J73" s="30">
        <f t="shared" ca="1" si="6"/>
        <v>1088.1107693419042</v>
      </c>
      <c r="K73" s="122">
        <f t="shared" ca="1" si="9"/>
        <v>40.737608529953604</v>
      </c>
      <c r="L73" s="30"/>
      <c r="M73" s="30"/>
      <c r="N73" s="30"/>
      <c r="O73" s="30"/>
    </row>
    <row r="74" spans="1:15" x14ac:dyDescent="0.25">
      <c r="A74" s="10">
        <v>55</v>
      </c>
      <c r="B74" s="27">
        <f t="shared" ca="1" si="0"/>
        <v>5.650673499162695E-2</v>
      </c>
      <c r="C74" s="21">
        <f t="shared" ca="1" si="1"/>
        <v>201.46234925421527</v>
      </c>
      <c r="D74" s="21">
        <f t="shared" ca="1" si="2"/>
        <v>302.61905393819899</v>
      </c>
      <c r="E74" s="21">
        <f t="shared" ca="1" si="3"/>
        <v>50.578352341991859</v>
      </c>
      <c r="F74" s="22">
        <f t="shared" ca="1" si="7"/>
        <v>101.15670468398372</v>
      </c>
      <c r="G74" s="22">
        <f t="shared" ca="1" si="4"/>
        <v>44.982781035430634</v>
      </c>
      <c r="H74" s="31">
        <f t="shared" ca="1" si="8"/>
        <v>56.173923648553085</v>
      </c>
      <c r="I74" s="9">
        <f t="shared" ca="1" si="5"/>
        <v>1289.2092799293414</v>
      </c>
      <c r="J74" s="30">
        <f t="shared" ca="1" si="6"/>
        <v>1092.4236918576582</v>
      </c>
      <c r="K74" s="122">
        <f t="shared" ca="1" si="9"/>
        <v>196.78558807168315</v>
      </c>
      <c r="L74" s="30"/>
      <c r="M74" s="30"/>
      <c r="N74" s="30"/>
      <c r="O74" s="30"/>
    </row>
    <row r="75" spans="1:15" x14ac:dyDescent="0.25">
      <c r="A75" s="10">
        <v>56</v>
      </c>
      <c r="B75" s="27">
        <f t="shared" ca="1" si="0"/>
        <v>0.93316519948116827</v>
      </c>
      <c r="C75" s="21">
        <f t="shared" ca="1" si="1"/>
        <v>297.02348263163776</v>
      </c>
      <c r="D75" s="21">
        <f t="shared" ca="1" si="2"/>
        <v>302.61905393819899</v>
      </c>
      <c r="E75" s="21">
        <f t="shared" ca="1" si="3"/>
        <v>0</v>
      </c>
      <c r="F75" s="22">
        <f t="shared" ca="1" si="7"/>
        <v>5.5955713065612258</v>
      </c>
      <c r="G75" s="22">
        <f t="shared" ca="1" si="4"/>
        <v>0</v>
      </c>
      <c r="H75" s="31">
        <f t="shared" ca="1" si="8"/>
        <v>5.5955713065612258</v>
      </c>
      <c r="I75" s="9">
        <f t="shared" ca="1" si="5"/>
        <v>1386.2238587791392</v>
      </c>
      <c r="J75" s="30">
        <f t="shared" ca="1" si="6"/>
        <v>1016.5561633446704</v>
      </c>
      <c r="K75" s="122">
        <f t="shared" ca="1" si="9"/>
        <v>369.66769543446878</v>
      </c>
      <c r="L75" s="30"/>
      <c r="M75" s="30"/>
      <c r="N75" s="30"/>
      <c r="O75" s="30"/>
    </row>
    <row r="76" spans="1:15" x14ac:dyDescent="0.25">
      <c r="A76" s="10">
        <v>57</v>
      </c>
      <c r="B76" s="27">
        <f t="shared" ca="1" si="0"/>
        <v>0.64190126578921625</v>
      </c>
      <c r="C76" s="21">
        <f t="shared" ca="1" si="1"/>
        <v>249.32041196681521</v>
      </c>
      <c r="D76" s="21">
        <f t="shared" ca="1" si="2"/>
        <v>252.04070159620713</v>
      </c>
      <c r="E76" s="21">
        <f t="shared" ca="1" si="3"/>
        <v>2.7202896293919139</v>
      </c>
      <c r="F76" s="22">
        <f t="shared" ca="1" si="7"/>
        <v>2.7202896293919139</v>
      </c>
      <c r="G76" s="22">
        <f t="shared" ca="1" si="4"/>
        <v>0</v>
      </c>
      <c r="H76" s="31">
        <f t="shared" ca="1" si="8"/>
        <v>2.7202896293919139</v>
      </c>
      <c r="I76" s="9">
        <f t="shared" ca="1" si="5"/>
        <v>1371.9423382248317</v>
      </c>
      <c r="J76" s="30">
        <f t="shared" ca="1" si="6"/>
        <v>1012.2432408289164</v>
      </c>
      <c r="K76" s="122">
        <f t="shared" ca="1" si="9"/>
        <v>359.69909739591526</v>
      </c>
      <c r="L76" s="30"/>
      <c r="M76" s="30"/>
      <c r="N76" s="30"/>
      <c r="O76" s="30"/>
    </row>
    <row r="77" spans="1:15" x14ac:dyDescent="0.25">
      <c r="A77" s="10">
        <v>58</v>
      </c>
      <c r="B77" s="27">
        <f t="shared" ca="1" si="0"/>
        <v>0.38719928064614695</v>
      </c>
      <c r="C77" s="21">
        <f t="shared" ca="1" si="1"/>
        <v>230.79639892259075</v>
      </c>
      <c r="D77" s="21">
        <f t="shared" ca="1" si="2"/>
        <v>254.76099122559904</v>
      </c>
      <c r="E77" s="21">
        <f t="shared" ca="1" si="3"/>
        <v>21.244302673616374</v>
      </c>
      <c r="F77" s="22">
        <f t="shared" ca="1" si="7"/>
        <v>23.964592303008288</v>
      </c>
      <c r="G77" s="22">
        <f t="shared" ca="1" si="4"/>
        <v>19.371706704047796</v>
      </c>
      <c r="H77" s="31">
        <f t="shared" ca="1" si="8"/>
        <v>4.5928855989604926</v>
      </c>
      <c r="I77" s="9">
        <f t="shared" ca="1" si="5"/>
        <v>1288.4699265395348</v>
      </c>
      <c r="J77" s="30">
        <f t="shared" ca="1" si="6"/>
        <v>1015.0521347832693</v>
      </c>
      <c r="K77" s="122">
        <f t="shared" ca="1" si="9"/>
        <v>273.4177917562655</v>
      </c>
      <c r="L77" s="30"/>
      <c r="M77" s="30"/>
      <c r="N77" s="30"/>
      <c r="O77" s="30"/>
    </row>
    <row r="78" spans="1:15" x14ac:dyDescent="0.25">
      <c r="A78" s="10">
        <v>59</v>
      </c>
      <c r="B78" s="27">
        <f t="shared" ca="1" si="0"/>
        <v>0.73506579656338134</v>
      </c>
      <c r="C78" s="21">
        <f t="shared" ca="1" si="1"/>
        <v>271.41240830025492</v>
      </c>
      <c r="D78" s="21">
        <f t="shared" ca="1" si="2"/>
        <v>273.2850042698235</v>
      </c>
      <c r="E78" s="21">
        <f t="shared" ca="1" si="3"/>
        <v>0</v>
      </c>
      <c r="F78" s="22">
        <f t="shared" ca="1" si="7"/>
        <v>1.8725959695685788</v>
      </c>
      <c r="G78" s="22">
        <f t="shared" ca="1" si="4"/>
        <v>0</v>
      </c>
      <c r="H78" s="31">
        <f t="shared" ca="1" si="8"/>
        <v>1.8725959695685788</v>
      </c>
      <c r="I78" s="9">
        <f t="shared" ca="1" si="5"/>
        <v>1386.2238587791392</v>
      </c>
      <c r="J78" s="30">
        <f t="shared" ca="1" si="6"/>
        <v>1010.9717003391813</v>
      </c>
      <c r="K78" s="122">
        <f t="shared" ca="1" si="9"/>
        <v>375.25215843995784</v>
      </c>
      <c r="L78" s="30"/>
      <c r="M78" s="30"/>
      <c r="N78" s="30"/>
      <c r="O78" s="30"/>
    </row>
    <row r="79" spans="1:15" x14ac:dyDescent="0.25">
      <c r="A79" s="10">
        <v>60</v>
      </c>
      <c r="B79" s="27">
        <f t="shared" ca="1" si="0"/>
        <v>0.42853992569340682</v>
      </c>
      <c r="C79" s="21">
        <f t="shared" ca="1" si="1"/>
        <v>249.32041196681521</v>
      </c>
      <c r="D79" s="21">
        <f t="shared" ca="1" si="2"/>
        <v>252.04070159620713</v>
      </c>
      <c r="E79" s="21">
        <f t="shared" ca="1" si="3"/>
        <v>2.7202896293919139</v>
      </c>
      <c r="F79" s="22">
        <f t="shared" ca="1" si="7"/>
        <v>2.7202896293919139</v>
      </c>
      <c r="G79" s="22">
        <f t="shared" ca="1" si="4"/>
        <v>0</v>
      </c>
      <c r="H79" s="31">
        <f t="shared" ca="1" si="8"/>
        <v>2.7202896293919139</v>
      </c>
      <c r="I79" s="9">
        <f t="shared" ca="1" si="5"/>
        <v>1371.9423382248317</v>
      </c>
      <c r="J79" s="30">
        <f t="shared" ca="1" si="6"/>
        <v>1012.2432408289164</v>
      </c>
      <c r="K79" s="122">
        <f t="shared" ca="1" si="9"/>
        <v>359.69909739591526</v>
      </c>
      <c r="L79" s="30"/>
      <c r="M79" s="30"/>
      <c r="N79" s="30"/>
      <c r="O79" s="30"/>
    </row>
    <row r="80" spans="1:15" x14ac:dyDescent="0.25">
      <c r="A80" s="10">
        <v>61</v>
      </c>
      <c r="B80" s="27">
        <f t="shared" ca="1" si="0"/>
        <v>0.67374207425454624</v>
      </c>
      <c r="C80" s="21">
        <f t="shared" ca="1" si="1"/>
        <v>249.32041196681521</v>
      </c>
      <c r="D80" s="21">
        <f t="shared" ca="1" si="2"/>
        <v>254.76099122559904</v>
      </c>
      <c r="E80" s="21">
        <f t="shared" ca="1" si="3"/>
        <v>2.7202896293919139</v>
      </c>
      <c r="F80" s="22">
        <f t="shared" ca="1" si="7"/>
        <v>5.4405792587838278</v>
      </c>
      <c r="G80" s="22">
        <f t="shared" ca="1" si="4"/>
        <v>0</v>
      </c>
      <c r="H80" s="31">
        <f t="shared" ca="1" si="8"/>
        <v>5.4405792587838278</v>
      </c>
      <c r="I80" s="9">
        <f t="shared" ca="1" si="5"/>
        <v>1380.1032071130076</v>
      </c>
      <c r="J80" s="30">
        <f t="shared" ca="1" si="6"/>
        <v>1016.3236752730043</v>
      </c>
      <c r="K80" s="122">
        <f t="shared" ca="1" si="9"/>
        <v>363.7795318400033</v>
      </c>
      <c r="L80" s="30"/>
      <c r="M80" s="30"/>
      <c r="N80" s="30"/>
      <c r="O80" s="30"/>
    </row>
    <row r="81" spans="1:15" x14ac:dyDescent="0.25">
      <c r="A81" s="10">
        <v>62</v>
      </c>
      <c r="B81" s="27">
        <f t="shared" ca="1" si="0"/>
        <v>0.37365849996009526</v>
      </c>
      <c r="C81" s="21">
        <f t="shared" ca="1" si="1"/>
        <v>230.79639892259075</v>
      </c>
      <c r="D81" s="21">
        <f t="shared" ca="1" si="2"/>
        <v>254.76099122559904</v>
      </c>
      <c r="E81" s="21">
        <f t="shared" ca="1" si="3"/>
        <v>21.244302673616374</v>
      </c>
      <c r="F81" s="22">
        <f t="shared" ca="1" si="7"/>
        <v>23.964592303008288</v>
      </c>
      <c r="G81" s="22">
        <f t="shared" ca="1" si="4"/>
        <v>0</v>
      </c>
      <c r="H81" s="31">
        <f t="shared" ca="1" si="8"/>
        <v>23.964592303008288</v>
      </c>
      <c r="I81" s="9">
        <f t="shared" ca="1" si="5"/>
        <v>1282.8521386308289</v>
      </c>
      <c r="J81" s="30">
        <f t="shared" ca="1" si="6"/>
        <v>1044.109694839341</v>
      </c>
      <c r="K81" s="122">
        <f t="shared" ca="1" si="9"/>
        <v>238.74244379148786</v>
      </c>
      <c r="L81" s="30"/>
      <c r="M81" s="30"/>
      <c r="N81" s="30"/>
      <c r="O81" s="30"/>
    </row>
    <row r="82" spans="1:15" x14ac:dyDescent="0.25">
      <c r="A82" s="10">
        <v>63</v>
      </c>
      <c r="B82" s="27">
        <f t="shared" ca="1" si="0"/>
        <v>0.68510871772381587</v>
      </c>
      <c r="C82" s="21">
        <f t="shared" ca="1" si="1"/>
        <v>249.32041196681521</v>
      </c>
      <c r="D82" s="21">
        <f t="shared" ca="1" si="2"/>
        <v>273.2850042698235</v>
      </c>
      <c r="E82" s="21">
        <f t="shared" ca="1" si="3"/>
        <v>2.7202896293919139</v>
      </c>
      <c r="F82" s="22">
        <f t="shared" ca="1" si="7"/>
        <v>23.964592303008288</v>
      </c>
      <c r="G82" s="22">
        <f t="shared" ca="1" si="4"/>
        <v>0</v>
      </c>
      <c r="H82" s="31">
        <f t="shared" ca="1" si="8"/>
        <v>23.964592303008288</v>
      </c>
      <c r="I82" s="9">
        <f t="shared" ca="1" si="5"/>
        <v>1435.6752462456809</v>
      </c>
      <c r="J82" s="30">
        <f t="shared" ca="1" si="6"/>
        <v>1044.109694839341</v>
      </c>
      <c r="K82" s="122">
        <f t="shared" ca="1" si="9"/>
        <v>391.56555140633986</v>
      </c>
      <c r="L82" s="30"/>
      <c r="M82" s="30"/>
      <c r="N82" s="30"/>
      <c r="O82" s="30"/>
    </row>
    <row r="83" spans="1:15" x14ac:dyDescent="0.25">
      <c r="A83" s="10">
        <v>64</v>
      </c>
      <c r="B83" s="27">
        <f t="shared" ca="1" si="0"/>
        <v>0.36792627691617152</v>
      </c>
      <c r="C83" s="21">
        <f t="shared" ca="1" si="1"/>
        <v>230.79639892259075</v>
      </c>
      <c r="D83" s="21">
        <f t="shared" ca="1" si="2"/>
        <v>254.76099122559904</v>
      </c>
      <c r="E83" s="21">
        <f t="shared" ca="1" si="3"/>
        <v>21.244302673616374</v>
      </c>
      <c r="F83" s="22">
        <f t="shared" ca="1" si="7"/>
        <v>23.964592303008288</v>
      </c>
      <c r="G83" s="22">
        <f t="shared" ca="1" si="4"/>
        <v>19.371706704047796</v>
      </c>
      <c r="H83" s="31">
        <f t="shared" ca="1" si="8"/>
        <v>4.5928855989604926</v>
      </c>
      <c r="I83" s="9">
        <f t="shared" ca="1" si="5"/>
        <v>1288.4699265395348</v>
      </c>
      <c r="J83" s="30">
        <f t="shared" ca="1" si="6"/>
        <v>1015.0521347832693</v>
      </c>
      <c r="K83" s="122">
        <f t="shared" ca="1" si="9"/>
        <v>273.4177917562655</v>
      </c>
      <c r="L83" s="30"/>
      <c r="M83" s="30"/>
      <c r="N83" s="30"/>
      <c r="O83" s="30"/>
    </row>
    <row r="84" spans="1:15" x14ac:dyDescent="0.25">
      <c r="A84" s="10">
        <v>65</v>
      </c>
      <c r="B84" s="27">
        <f t="shared" ref="B84:B147" ca="1" si="10">RAND()</f>
        <v>0.79628779034164687</v>
      </c>
      <c r="C84" s="21">
        <f t="shared" ref="C84:C147" ca="1" si="11">HLOOKUP(B84,$D$12:$H$13,2,TRUE)</f>
        <v>271.41240830025492</v>
      </c>
      <c r="D84" s="21">
        <f t="shared" ref="D84:D147" ca="1" si="12">$E$10+E83</f>
        <v>273.2850042698235</v>
      </c>
      <c r="E84" s="21">
        <f t="shared" ref="E84:E147" ca="1" si="13">IF(C84&gt;$E$10,0,$E$10-C84)</f>
        <v>0</v>
      </c>
      <c r="F84" s="22">
        <f t="shared" ca="1" si="7"/>
        <v>1.8725959695685788</v>
      </c>
      <c r="G84" s="22">
        <f t="shared" ref="G84:G147" ca="1" si="14">IF(C85&gt;$E$10,C85-$E$10,0)</f>
        <v>0</v>
      </c>
      <c r="H84" s="31">
        <f t="shared" ca="1" si="8"/>
        <v>1.8725959695685788</v>
      </c>
      <c r="I84" s="9">
        <f t="shared" ref="I84:I147" ca="1" si="15">IF($E$10&lt;C84,$E$10*$E$7,$E$9*($E$10-C84)+(C84*$E$7)+IF($E$10&lt;C85,H84*$E$8,E83*$E$8))</f>
        <v>1386.2238587791392</v>
      </c>
      <c r="J84" s="30">
        <f t="shared" ref="J84:J147" ca="1" si="16">IF(H84&gt;0,$E$10*$E$5+H84*$E$6,$E$10*$E$5)</f>
        <v>1010.9717003391813</v>
      </c>
      <c r="K84" s="122">
        <f t="shared" ca="1" si="9"/>
        <v>375.25215843995784</v>
      </c>
      <c r="L84" s="30"/>
      <c r="M84" s="30"/>
      <c r="N84" s="30"/>
      <c r="O84" s="30"/>
    </row>
    <row r="85" spans="1:15" x14ac:dyDescent="0.25">
      <c r="A85" s="10">
        <v>66</v>
      </c>
      <c r="B85" s="27">
        <f t="shared" ca="1" si="10"/>
        <v>0.18072856936578308</v>
      </c>
      <c r="C85" s="21">
        <f t="shared" ca="1" si="11"/>
        <v>230.79639892259075</v>
      </c>
      <c r="D85" s="21">
        <f t="shared" ca="1" si="12"/>
        <v>252.04070159620713</v>
      </c>
      <c r="E85" s="21">
        <f t="shared" ca="1" si="13"/>
        <v>21.244302673616374</v>
      </c>
      <c r="F85" s="22">
        <f t="shared" ref="F85:F148" ca="1" si="17">IF(C85&gt;D85,0,D85-C85)</f>
        <v>21.244302673616374</v>
      </c>
      <c r="G85" s="22">
        <f t="shared" ca="1" si="14"/>
        <v>0</v>
      </c>
      <c r="H85" s="31">
        <f t="shared" ref="H85:H148" ca="1" si="18">IF(G85&gt;F85,0,IF(G85&lt;F85,F85-G85,0))</f>
        <v>21.244302673616374</v>
      </c>
      <c r="I85" s="9">
        <f t="shared" ca="1" si="15"/>
        <v>1274.6912697426533</v>
      </c>
      <c r="J85" s="30">
        <f t="shared" ca="1" si="16"/>
        <v>1040.029260395253</v>
      </c>
      <c r="K85" s="122">
        <f t="shared" ref="K85:K148" ca="1" si="19">I85-J85</f>
        <v>234.66200934740027</v>
      </c>
      <c r="L85" s="30"/>
      <c r="M85" s="30"/>
      <c r="N85" s="30"/>
      <c r="O85" s="30"/>
    </row>
    <row r="86" spans="1:15" x14ac:dyDescent="0.25">
      <c r="A86" s="10">
        <v>67</v>
      </c>
      <c r="B86" s="27">
        <f t="shared" ca="1" si="10"/>
        <v>0.27614620465121908</v>
      </c>
      <c r="C86" s="21">
        <f t="shared" ca="1" si="11"/>
        <v>230.79639892259075</v>
      </c>
      <c r="D86" s="21">
        <f t="shared" ca="1" si="12"/>
        <v>273.2850042698235</v>
      </c>
      <c r="E86" s="21">
        <f t="shared" ca="1" si="13"/>
        <v>21.244302673616374</v>
      </c>
      <c r="F86" s="22">
        <f t="shared" ca="1" si="17"/>
        <v>42.488605347232749</v>
      </c>
      <c r="G86" s="22">
        <f t="shared" ca="1" si="14"/>
        <v>44.982781035430634</v>
      </c>
      <c r="H86" s="31">
        <f t="shared" ca="1" si="18"/>
        <v>0</v>
      </c>
      <c r="I86" s="9">
        <f t="shared" ca="1" si="15"/>
        <v>1274.6912697426533</v>
      </c>
      <c r="J86" s="30">
        <f t="shared" ca="1" si="16"/>
        <v>1008.1628063848285</v>
      </c>
      <c r="K86" s="122">
        <f t="shared" ca="1" si="19"/>
        <v>266.52846335782476</v>
      </c>
      <c r="L86" s="30"/>
      <c r="M86" s="30"/>
      <c r="N86" s="30"/>
      <c r="O86" s="30"/>
    </row>
    <row r="87" spans="1:15" x14ac:dyDescent="0.25">
      <c r="A87" s="10">
        <v>68</v>
      </c>
      <c r="B87" s="27">
        <f t="shared" ca="1" si="10"/>
        <v>0.97006461803051069</v>
      </c>
      <c r="C87" s="21">
        <f t="shared" ca="1" si="11"/>
        <v>297.02348263163776</v>
      </c>
      <c r="D87" s="21">
        <f t="shared" ca="1" si="12"/>
        <v>273.2850042698235</v>
      </c>
      <c r="E87" s="21">
        <f t="shared" ca="1" si="13"/>
        <v>0</v>
      </c>
      <c r="F87" s="22">
        <f t="shared" ca="1" si="17"/>
        <v>0</v>
      </c>
      <c r="G87" s="22">
        <f t="shared" ca="1" si="14"/>
        <v>19.371706704047796</v>
      </c>
      <c r="H87" s="31">
        <f t="shared" ca="1" si="18"/>
        <v>0</v>
      </c>
      <c r="I87" s="9">
        <f t="shared" ca="1" si="15"/>
        <v>1386.2238587791392</v>
      </c>
      <c r="J87" s="30">
        <f t="shared" ca="1" si="16"/>
        <v>1008.1628063848285</v>
      </c>
      <c r="K87" s="122">
        <f t="shared" ca="1" si="19"/>
        <v>378.06105239431065</v>
      </c>
      <c r="L87" s="30"/>
      <c r="M87" s="30"/>
      <c r="N87" s="30"/>
      <c r="O87" s="30"/>
    </row>
    <row r="88" spans="1:15" x14ac:dyDescent="0.25">
      <c r="A88" s="10">
        <v>69</v>
      </c>
      <c r="B88" s="27">
        <f t="shared" ca="1" si="10"/>
        <v>0.72180220627520009</v>
      </c>
      <c r="C88" s="21">
        <f t="shared" ca="1" si="11"/>
        <v>271.41240830025492</v>
      </c>
      <c r="D88" s="21">
        <f t="shared" ca="1" si="12"/>
        <v>252.04070159620713</v>
      </c>
      <c r="E88" s="21">
        <f t="shared" ca="1" si="13"/>
        <v>0</v>
      </c>
      <c r="F88" s="22">
        <f t="shared" ca="1" si="17"/>
        <v>0</v>
      </c>
      <c r="G88" s="22">
        <f t="shared" ca="1" si="14"/>
        <v>0</v>
      </c>
      <c r="H88" s="31">
        <f t="shared" ca="1" si="18"/>
        <v>0</v>
      </c>
      <c r="I88" s="9">
        <f t="shared" ca="1" si="15"/>
        <v>1386.2238587791392</v>
      </c>
      <c r="J88" s="30">
        <f t="shared" ca="1" si="16"/>
        <v>1008.1628063848285</v>
      </c>
      <c r="K88" s="122">
        <f t="shared" ca="1" si="19"/>
        <v>378.06105239431065</v>
      </c>
      <c r="L88" s="30"/>
      <c r="M88" s="30"/>
      <c r="N88" s="30"/>
      <c r="O88" s="30"/>
    </row>
    <row r="89" spans="1:15" x14ac:dyDescent="0.25">
      <c r="A89" s="10">
        <v>70</v>
      </c>
      <c r="B89" s="27">
        <f t="shared" ca="1" si="10"/>
        <v>0.4986572101765917</v>
      </c>
      <c r="C89" s="21">
        <f t="shared" ca="1" si="11"/>
        <v>249.32041196681521</v>
      </c>
      <c r="D89" s="21">
        <f t="shared" ca="1" si="12"/>
        <v>252.04070159620713</v>
      </c>
      <c r="E89" s="21">
        <f t="shared" ca="1" si="13"/>
        <v>2.7202896293919139</v>
      </c>
      <c r="F89" s="22">
        <f t="shared" ca="1" si="17"/>
        <v>2.7202896293919139</v>
      </c>
      <c r="G89" s="22">
        <f t="shared" ca="1" si="14"/>
        <v>0</v>
      </c>
      <c r="H89" s="31">
        <f t="shared" ca="1" si="18"/>
        <v>2.7202896293919139</v>
      </c>
      <c r="I89" s="9">
        <f t="shared" ca="1" si="15"/>
        <v>1371.9423382248317</v>
      </c>
      <c r="J89" s="30">
        <f t="shared" ca="1" si="16"/>
        <v>1012.2432408289164</v>
      </c>
      <c r="K89" s="122">
        <f t="shared" ca="1" si="19"/>
        <v>359.69909739591526</v>
      </c>
      <c r="L89" s="30"/>
      <c r="M89" s="30"/>
      <c r="N89" s="30"/>
      <c r="O89" s="30"/>
    </row>
    <row r="90" spans="1:15" x14ac:dyDescent="0.25">
      <c r="A90" s="10">
        <v>71</v>
      </c>
      <c r="B90" s="27">
        <f t="shared" ca="1" si="10"/>
        <v>8.0998621008336991E-2</v>
      </c>
      <c r="C90" s="21">
        <f t="shared" ca="1" si="11"/>
        <v>201.46234925421527</v>
      </c>
      <c r="D90" s="21">
        <f t="shared" ca="1" si="12"/>
        <v>254.76099122559904</v>
      </c>
      <c r="E90" s="21">
        <f t="shared" ca="1" si="13"/>
        <v>50.578352341991859</v>
      </c>
      <c r="F90" s="22">
        <f t="shared" ca="1" si="17"/>
        <v>53.298641971383773</v>
      </c>
      <c r="G90" s="22">
        <f t="shared" ca="1" si="14"/>
        <v>0</v>
      </c>
      <c r="H90" s="31">
        <f t="shared" ca="1" si="18"/>
        <v>53.298641971383773</v>
      </c>
      <c r="I90" s="9">
        <f t="shared" ca="1" si="15"/>
        <v>1128.8483778718578</v>
      </c>
      <c r="J90" s="30">
        <f t="shared" ca="1" si="16"/>
        <v>1088.1107693419042</v>
      </c>
      <c r="K90" s="122">
        <f t="shared" ca="1" si="19"/>
        <v>40.737608529953604</v>
      </c>
      <c r="L90" s="30"/>
      <c r="M90" s="30"/>
      <c r="N90" s="30"/>
      <c r="O90" s="30"/>
    </row>
    <row r="91" spans="1:15" x14ac:dyDescent="0.25">
      <c r="A91" s="10">
        <v>72</v>
      </c>
      <c r="B91" s="27">
        <f t="shared" ca="1" si="10"/>
        <v>4.0858425139629784E-2</v>
      </c>
      <c r="C91" s="21">
        <f t="shared" ca="1" si="11"/>
        <v>201.46234925421527</v>
      </c>
      <c r="D91" s="21">
        <f t="shared" ca="1" si="12"/>
        <v>302.61905393819899</v>
      </c>
      <c r="E91" s="21">
        <f t="shared" ca="1" si="13"/>
        <v>50.578352341991859</v>
      </c>
      <c r="F91" s="22">
        <f t="shared" ca="1" si="17"/>
        <v>101.15670468398372</v>
      </c>
      <c r="G91" s="22">
        <f t="shared" ca="1" si="14"/>
        <v>44.982781035430634</v>
      </c>
      <c r="H91" s="31">
        <f t="shared" ca="1" si="18"/>
        <v>56.173923648553085</v>
      </c>
      <c r="I91" s="9">
        <f t="shared" ca="1" si="15"/>
        <v>1289.2092799293414</v>
      </c>
      <c r="J91" s="30">
        <f t="shared" ca="1" si="16"/>
        <v>1092.4236918576582</v>
      </c>
      <c r="K91" s="122">
        <f t="shared" ca="1" si="19"/>
        <v>196.78558807168315</v>
      </c>
      <c r="L91" s="30"/>
      <c r="M91" s="30"/>
      <c r="N91" s="30"/>
      <c r="O91" s="30"/>
    </row>
    <row r="92" spans="1:15" x14ac:dyDescent="0.25">
      <c r="A92" s="10">
        <v>73</v>
      </c>
      <c r="B92" s="27">
        <f t="shared" ca="1" si="10"/>
        <v>0.91070342611712574</v>
      </c>
      <c r="C92" s="21">
        <f t="shared" ca="1" si="11"/>
        <v>297.02348263163776</v>
      </c>
      <c r="D92" s="21">
        <f t="shared" ca="1" si="12"/>
        <v>302.61905393819899</v>
      </c>
      <c r="E92" s="21">
        <f t="shared" ca="1" si="13"/>
        <v>0</v>
      </c>
      <c r="F92" s="22">
        <f t="shared" ca="1" si="17"/>
        <v>5.5955713065612258</v>
      </c>
      <c r="G92" s="22">
        <f t="shared" ca="1" si="14"/>
        <v>0</v>
      </c>
      <c r="H92" s="31">
        <f t="shared" ca="1" si="18"/>
        <v>5.5955713065612258</v>
      </c>
      <c r="I92" s="9">
        <f t="shared" ca="1" si="15"/>
        <v>1386.2238587791392</v>
      </c>
      <c r="J92" s="30">
        <f t="shared" ca="1" si="16"/>
        <v>1016.5561633446704</v>
      </c>
      <c r="K92" s="122">
        <f t="shared" ca="1" si="19"/>
        <v>369.66769543446878</v>
      </c>
      <c r="L92" s="30"/>
      <c r="M92" s="30"/>
      <c r="N92" s="30"/>
      <c r="O92" s="30"/>
    </row>
    <row r="93" spans="1:15" x14ac:dyDescent="0.25">
      <c r="A93" s="10">
        <v>74</v>
      </c>
      <c r="B93" s="27">
        <f t="shared" ca="1" si="10"/>
        <v>0.54869020333476159</v>
      </c>
      <c r="C93" s="21">
        <f t="shared" ca="1" si="11"/>
        <v>249.32041196681521</v>
      </c>
      <c r="D93" s="21">
        <f t="shared" ca="1" si="12"/>
        <v>252.04070159620713</v>
      </c>
      <c r="E93" s="21">
        <f t="shared" ca="1" si="13"/>
        <v>2.7202896293919139</v>
      </c>
      <c r="F93" s="22">
        <f t="shared" ca="1" si="17"/>
        <v>2.7202896293919139</v>
      </c>
      <c r="G93" s="22">
        <f t="shared" ca="1" si="14"/>
        <v>0</v>
      </c>
      <c r="H93" s="31">
        <f t="shared" ca="1" si="18"/>
        <v>2.7202896293919139</v>
      </c>
      <c r="I93" s="9">
        <f t="shared" ca="1" si="15"/>
        <v>1371.9423382248317</v>
      </c>
      <c r="J93" s="30">
        <f t="shared" ca="1" si="16"/>
        <v>1012.2432408289164</v>
      </c>
      <c r="K93" s="122">
        <f t="shared" ca="1" si="19"/>
        <v>359.69909739591526</v>
      </c>
      <c r="L93" s="30"/>
      <c r="M93" s="30"/>
      <c r="N93" s="30"/>
      <c r="O93" s="30"/>
    </row>
    <row r="94" spans="1:15" x14ac:dyDescent="0.25">
      <c r="A94" s="10">
        <v>75</v>
      </c>
      <c r="B94" s="27">
        <f t="shared" ca="1" si="10"/>
        <v>0.58700136258131974</v>
      </c>
      <c r="C94" s="21">
        <f t="shared" ca="1" si="11"/>
        <v>249.32041196681521</v>
      </c>
      <c r="D94" s="21">
        <f t="shared" ca="1" si="12"/>
        <v>254.76099122559904</v>
      </c>
      <c r="E94" s="21">
        <f t="shared" ca="1" si="13"/>
        <v>2.7202896293919139</v>
      </c>
      <c r="F94" s="22">
        <f t="shared" ca="1" si="17"/>
        <v>5.4405792587838278</v>
      </c>
      <c r="G94" s="22">
        <f t="shared" ca="1" si="14"/>
        <v>0</v>
      </c>
      <c r="H94" s="31">
        <f t="shared" ca="1" si="18"/>
        <v>5.4405792587838278</v>
      </c>
      <c r="I94" s="9">
        <f t="shared" ca="1" si="15"/>
        <v>1380.1032071130076</v>
      </c>
      <c r="J94" s="30">
        <f t="shared" ca="1" si="16"/>
        <v>1016.3236752730043</v>
      </c>
      <c r="K94" s="122">
        <f t="shared" ca="1" si="19"/>
        <v>363.7795318400033</v>
      </c>
      <c r="L94" s="30"/>
      <c r="M94" s="30"/>
      <c r="N94" s="30"/>
      <c r="O94" s="30"/>
    </row>
    <row r="95" spans="1:15" x14ac:dyDescent="0.25">
      <c r="A95" s="10">
        <v>76</v>
      </c>
      <c r="B95" s="27">
        <f t="shared" ca="1" si="10"/>
        <v>0.21553176738427982</v>
      </c>
      <c r="C95" s="21">
        <f t="shared" ca="1" si="11"/>
        <v>230.79639892259075</v>
      </c>
      <c r="D95" s="21">
        <f t="shared" ca="1" si="12"/>
        <v>254.76099122559904</v>
      </c>
      <c r="E95" s="21">
        <f t="shared" ca="1" si="13"/>
        <v>21.244302673616374</v>
      </c>
      <c r="F95" s="22">
        <f t="shared" ca="1" si="17"/>
        <v>23.964592303008288</v>
      </c>
      <c r="G95" s="22">
        <f t="shared" ca="1" si="14"/>
        <v>44.982781035430634</v>
      </c>
      <c r="H95" s="31">
        <f t="shared" ca="1" si="18"/>
        <v>0</v>
      </c>
      <c r="I95" s="9">
        <f t="shared" ca="1" si="15"/>
        <v>1274.6912697426533</v>
      </c>
      <c r="J95" s="30">
        <f t="shared" ca="1" si="16"/>
        <v>1008.1628063848285</v>
      </c>
      <c r="K95" s="122">
        <f t="shared" ca="1" si="19"/>
        <v>266.52846335782476</v>
      </c>
      <c r="L95" s="30"/>
      <c r="M95" s="30"/>
      <c r="N95" s="30"/>
      <c r="O95" s="30"/>
    </row>
    <row r="96" spans="1:15" x14ac:dyDescent="0.25">
      <c r="A96" s="10">
        <v>77</v>
      </c>
      <c r="B96" s="27">
        <f t="shared" ca="1" si="10"/>
        <v>0.90423973900241195</v>
      </c>
      <c r="C96" s="21">
        <f t="shared" ca="1" si="11"/>
        <v>297.02348263163776</v>
      </c>
      <c r="D96" s="21">
        <f t="shared" ca="1" si="12"/>
        <v>273.2850042698235</v>
      </c>
      <c r="E96" s="21">
        <f t="shared" ca="1" si="13"/>
        <v>0</v>
      </c>
      <c r="F96" s="22">
        <f t="shared" ca="1" si="17"/>
        <v>0</v>
      </c>
      <c r="G96" s="22">
        <f t="shared" ca="1" si="14"/>
        <v>0</v>
      </c>
      <c r="H96" s="31">
        <f t="shared" ca="1" si="18"/>
        <v>0</v>
      </c>
      <c r="I96" s="9">
        <f t="shared" ca="1" si="15"/>
        <v>1386.2238587791392</v>
      </c>
      <c r="J96" s="30">
        <f t="shared" ca="1" si="16"/>
        <v>1008.1628063848285</v>
      </c>
      <c r="K96" s="122">
        <f t="shared" ca="1" si="19"/>
        <v>378.06105239431065</v>
      </c>
      <c r="L96" s="30"/>
      <c r="M96" s="30"/>
      <c r="N96" s="30"/>
      <c r="O96" s="30"/>
    </row>
    <row r="97" spans="1:15" x14ac:dyDescent="0.25">
      <c r="A97" s="10">
        <v>78</v>
      </c>
      <c r="B97" s="27">
        <f t="shared" ca="1" si="10"/>
        <v>0.62624610394463021</v>
      </c>
      <c r="C97" s="21">
        <f t="shared" ca="1" si="11"/>
        <v>249.32041196681521</v>
      </c>
      <c r="D97" s="21">
        <f t="shared" ca="1" si="12"/>
        <v>252.04070159620713</v>
      </c>
      <c r="E97" s="21">
        <f t="shared" ca="1" si="13"/>
        <v>2.7202896293919139</v>
      </c>
      <c r="F97" s="22">
        <f t="shared" ca="1" si="17"/>
        <v>2.7202896293919139</v>
      </c>
      <c r="G97" s="22">
        <f t="shared" ca="1" si="14"/>
        <v>0</v>
      </c>
      <c r="H97" s="31">
        <f t="shared" ca="1" si="18"/>
        <v>2.7202896293919139</v>
      </c>
      <c r="I97" s="9">
        <f t="shared" ca="1" si="15"/>
        <v>1371.9423382248317</v>
      </c>
      <c r="J97" s="30">
        <f t="shared" ca="1" si="16"/>
        <v>1012.2432408289164</v>
      </c>
      <c r="K97" s="122">
        <f t="shared" ca="1" si="19"/>
        <v>359.69909739591526</v>
      </c>
      <c r="L97" s="30"/>
      <c r="M97" s="30"/>
      <c r="N97" s="30"/>
      <c r="O97" s="30"/>
    </row>
    <row r="98" spans="1:15" x14ac:dyDescent="0.25">
      <c r="A98" s="10">
        <v>79</v>
      </c>
      <c r="B98" s="27">
        <f t="shared" ca="1" si="10"/>
        <v>0.47509009756598908</v>
      </c>
      <c r="C98" s="21">
        <f t="shared" ca="1" si="11"/>
        <v>249.32041196681521</v>
      </c>
      <c r="D98" s="21">
        <f t="shared" ca="1" si="12"/>
        <v>254.76099122559904</v>
      </c>
      <c r="E98" s="21">
        <f t="shared" ca="1" si="13"/>
        <v>2.7202896293919139</v>
      </c>
      <c r="F98" s="22">
        <f t="shared" ca="1" si="17"/>
        <v>5.4405792587838278</v>
      </c>
      <c r="G98" s="22">
        <f t="shared" ca="1" si="14"/>
        <v>0</v>
      </c>
      <c r="H98" s="31">
        <f t="shared" ca="1" si="18"/>
        <v>5.4405792587838278</v>
      </c>
      <c r="I98" s="9">
        <f t="shared" ca="1" si="15"/>
        <v>1380.1032071130076</v>
      </c>
      <c r="J98" s="30">
        <f t="shared" ca="1" si="16"/>
        <v>1016.3236752730043</v>
      </c>
      <c r="K98" s="122">
        <f t="shared" ca="1" si="19"/>
        <v>363.7795318400033</v>
      </c>
      <c r="L98" s="30"/>
      <c r="M98" s="30"/>
      <c r="N98" s="30"/>
      <c r="O98" s="30"/>
    </row>
    <row r="99" spans="1:15" x14ac:dyDescent="0.25">
      <c r="A99" s="10">
        <v>80</v>
      </c>
      <c r="B99" s="43">
        <f t="shared" ca="1" si="10"/>
        <v>0.10431294098339838</v>
      </c>
      <c r="C99" s="44">
        <f t="shared" ca="1" si="11"/>
        <v>201.46234925421527</v>
      </c>
      <c r="D99" s="44">
        <f t="shared" ca="1" si="12"/>
        <v>254.76099122559904</v>
      </c>
      <c r="E99" s="44">
        <f t="shared" ca="1" si="13"/>
        <v>50.578352341991859</v>
      </c>
      <c r="F99" s="45">
        <f t="shared" ca="1" si="17"/>
        <v>53.298641971383773</v>
      </c>
      <c r="G99" s="45">
        <f t="shared" ca="1" si="14"/>
        <v>0</v>
      </c>
      <c r="H99" s="46">
        <f t="shared" ca="1" si="18"/>
        <v>53.298641971383773</v>
      </c>
      <c r="I99" s="1">
        <f t="shared" ca="1" si="15"/>
        <v>1128.8483778718578</v>
      </c>
      <c r="J99" s="47">
        <f t="shared" ca="1" si="16"/>
        <v>1088.1107693419042</v>
      </c>
      <c r="K99" s="123">
        <f t="shared" ca="1" si="19"/>
        <v>40.737608529953604</v>
      </c>
      <c r="L99" s="30"/>
      <c r="M99" s="30"/>
      <c r="N99" s="30"/>
      <c r="O99" s="30"/>
    </row>
    <row r="100" spans="1:15" x14ac:dyDescent="0.25">
      <c r="A100" s="10">
        <v>81</v>
      </c>
      <c r="B100" s="48">
        <f t="shared" ca="1" si="10"/>
        <v>5.1766771321269833E-2</v>
      </c>
      <c r="C100" s="49">
        <f t="shared" ca="1" si="11"/>
        <v>201.46234925421527</v>
      </c>
      <c r="D100" s="49">
        <f t="shared" ca="1" si="12"/>
        <v>302.61905393819899</v>
      </c>
      <c r="E100" s="49">
        <f t="shared" ca="1" si="13"/>
        <v>50.578352341991859</v>
      </c>
      <c r="F100" s="50">
        <f t="shared" ca="1" si="17"/>
        <v>101.15670468398372</v>
      </c>
      <c r="G100" s="50">
        <f t="shared" ca="1" si="14"/>
        <v>0</v>
      </c>
      <c r="H100" s="51">
        <f t="shared" ca="1" si="18"/>
        <v>101.15670468398372</v>
      </c>
      <c r="I100" s="52">
        <f t="shared" ca="1" si="15"/>
        <v>1272.4225660096577</v>
      </c>
      <c r="J100" s="53">
        <f t="shared" ca="1" si="16"/>
        <v>1159.8978634108041</v>
      </c>
      <c r="K100" s="124">
        <f t="shared" ca="1" si="19"/>
        <v>112.52470259885354</v>
      </c>
      <c r="L100" s="30"/>
      <c r="M100" s="30"/>
      <c r="N100" s="30"/>
      <c r="O100" s="30"/>
    </row>
    <row r="101" spans="1:15" x14ac:dyDescent="0.25">
      <c r="A101" s="10">
        <v>82</v>
      </c>
      <c r="B101" s="27">
        <f t="shared" ca="1" si="10"/>
        <v>0.19646172678862883</v>
      </c>
      <c r="C101" s="21">
        <f t="shared" ca="1" si="11"/>
        <v>230.79639892259075</v>
      </c>
      <c r="D101" s="21">
        <f t="shared" ca="1" si="12"/>
        <v>302.61905393819899</v>
      </c>
      <c r="E101" s="21">
        <f t="shared" ca="1" si="13"/>
        <v>21.244302673616374</v>
      </c>
      <c r="F101" s="22">
        <f t="shared" ca="1" si="17"/>
        <v>71.822655015608234</v>
      </c>
      <c r="G101" s="22">
        <f t="shared" ca="1" si="14"/>
        <v>0</v>
      </c>
      <c r="H101" s="31">
        <f t="shared" ca="1" si="18"/>
        <v>71.822655015608234</v>
      </c>
      <c r="I101" s="9">
        <f t="shared" ca="1" si="15"/>
        <v>1426.4263267686288</v>
      </c>
      <c r="J101" s="30">
        <f t="shared" ca="1" si="16"/>
        <v>1115.896788908241</v>
      </c>
      <c r="K101" s="122">
        <f t="shared" ca="1" si="19"/>
        <v>310.52953786038779</v>
      </c>
      <c r="L101" s="30"/>
      <c r="M101" s="30"/>
      <c r="N101" s="30"/>
      <c r="O101" s="30"/>
    </row>
    <row r="102" spans="1:15" x14ac:dyDescent="0.25">
      <c r="A102" s="10">
        <v>83</v>
      </c>
      <c r="B102" s="27">
        <f t="shared" ca="1" si="10"/>
        <v>0.33904435217922324</v>
      </c>
      <c r="C102" s="21">
        <f t="shared" ca="1" si="11"/>
        <v>230.79639892259075</v>
      </c>
      <c r="D102" s="21">
        <f t="shared" ca="1" si="12"/>
        <v>273.2850042698235</v>
      </c>
      <c r="E102" s="21">
        <f t="shared" ca="1" si="13"/>
        <v>21.244302673616374</v>
      </c>
      <c r="F102" s="22">
        <f t="shared" ca="1" si="17"/>
        <v>42.488605347232749</v>
      </c>
      <c r="G102" s="22">
        <f t="shared" ca="1" si="14"/>
        <v>0</v>
      </c>
      <c r="H102" s="31">
        <f t="shared" ca="1" si="18"/>
        <v>42.488605347232749</v>
      </c>
      <c r="I102" s="9">
        <f t="shared" ca="1" si="15"/>
        <v>1338.4241777635025</v>
      </c>
      <c r="J102" s="30">
        <f t="shared" ca="1" si="16"/>
        <v>1071.8957144056776</v>
      </c>
      <c r="K102" s="122">
        <f t="shared" ca="1" si="19"/>
        <v>266.52846335782488</v>
      </c>
      <c r="L102" s="30"/>
      <c r="M102" s="30"/>
      <c r="N102" s="30"/>
      <c r="O102" s="30"/>
    </row>
    <row r="103" spans="1:15" x14ac:dyDescent="0.25">
      <c r="A103" s="10">
        <v>84</v>
      </c>
      <c r="B103" s="27">
        <f t="shared" ca="1" si="10"/>
        <v>0.57625914602829209</v>
      </c>
      <c r="C103" s="21">
        <f t="shared" ca="1" si="11"/>
        <v>249.32041196681521</v>
      </c>
      <c r="D103" s="21">
        <f t="shared" ca="1" si="12"/>
        <v>273.2850042698235</v>
      </c>
      <c r="E103" s="21">
        <f t="shared" ca="1" si="13"/>
        <v>2.7202896293919139</v>
      </c>
      <c r="F103" s="22">
        <f t="shared" ca="1" si="17"/>
        <v>23.964592303008288</v>
      </c>
      <c r="G103" s="22">
        <f t="shared" ca="1" si="14"/>
        <v>19.371706704047796</v>
      </c>
      <c r="H103" s="31">
        <f t="shared" ca="1" si="18"/>
        <v>4.5928855989604926</v>
      </c>
      <c r="I103" s="9">
        <f t="shared" ca="1" si="15"/>
        <v>1385.7209950217132</v>
      </c>
      <c r="J103" s="30">
        <f t="shared" ca="1" si="16"/>
        <v>1015.0521347832693</v>
      </c>
      <c r="K103" s="122">
        <f t="shared" ca="1" si="19"/>
        <v>370.66886023844393</v>
      </c>
      <c r="L103" s="30"/>
      <c r="M103" s="30"/>
      <c r="N103" s="30"/>
      <c r="O103" s="30"/>
    </row>
    <row r="104" spans="1:15" x14ac:dyDescent="0.25">
      <c r="A104" s="10">
        <v>85</v>
      </c>
      <c r="B104" s="27">
        <f t="shared" ca="1" si="10"/>
        <v>0.8589060268566433</v>
      </c>
      <c r="C104" s="21">
        <f t="shared" ca="1" si="11"/>
        <v>271.41240830025492</v>
      </c>
      <c r="D104" s="21">
        <f t="shared" ca="1" si="12"/>
        <v>254.76099122559904</v>
      </c>
      <c r="E104" s="21">
        <f t="shared" ca="1" si="13"/>
        <v>0</v>
      </c>
      <c r="F104" s="22">
        <f t="shared" ca="1" si="17"/>
        <v>0</v>
      </c>
      <c r="G104" s="22">
        <f t="shared" ca="1" si="14"/>
        <v>0</v>
      </c>
      <c r="H104" s="31">
        <f t="shared" ca="1" si="18"/>
        <v>0</v>
      </c>
      <c r="I104" s="9">
        <f t="shared" ca="1" si="15"/>
        <v>1386.2238587791392</v>
      </c>
      <c r="J104" s="30">
        <f t="shared" ca="1" si="16"/>
        <v>1008.1628063848285</v>
      </c>
      <c r="K104" s="122">
        <f t="shared" ca="1" si="19"/>
        <v>378.06105239431065</v>
      </c>
      <c r="L104" s="30"/>
      <c r="M104" s="30"/>
      <c r="N104" s="30"/>
      <c r="O104" s="30"/>
    </row>
    <row r="105" spans="1:15" x14ac:dyDescent="0.25">
      <c r="A105" s="10">
        <v>86</v>
      </c>
      <c r="B105" s="27">
        <f t="shared" ca="1" si="10"/>
        <v>0.12447039533215598</v>
      </c>
      <c r="C105" s="21">
        <f t="shared" ca="1" si="11"/>
        <v>201.46234925421527</v>
      </c>
      <c r="D105" s="21">
        <f t="shared" ca="1" si="12"/>
        <v>252.04070159620713</v>
      </c>
      <c r="E105" s="21">
        <f t="shared" ca="1" si="13"/>
        <v>50.578352341991859</v>
      </c>
      <c r="F105" s="22">
        <f t="shared" ca="1" si="17"/>
        <v>50.578352341991859</v>
      </c>
      <c r="G105" s="22">
        <f t="shared" ca="1" si="14"/>
        <v>19.371706704047796</v>
      </c>
      <c r="H105" s="31">
        <f t="shared" ca="1" si="18"/>
        <v>31.206645637944064</v>
      </c>
      <c r="I105" s="9">
        <f t="shared" ca="1" si="15"/>
        <v>1214.3074458975143</v>
      </c>
      <c r="J105" s="30">
        <f t="shared" ca="1" si="16"/>
        <v>1054.9727748417447</v>
      </c>
      <c r="K105" s="122">
        <f t="shared" ca="1" si="19"/>
        <v>159.3346710557696</v>
      </c>
      <c r="L105" s="30"/>
      <c r="M105" s="30"/>
      <c r="N105" s="30"/>
      <c r="O105" s="30"/>
    </row>
    <row r="106" spans="1:15" x14ac:dyDescent="0.25">
      <c r="A106" s="10">
        <v>87</v>
      </c>
      <c r="B106" s="27">
        <f t="shared" ca="1" si="10"/>
        <v>0.71583399517769297</v>
      </c>
      <c r="C106" s="21">
        <f t="shared" ca="1" si="11"/>
        <v>271.41240830025492</v>
      </c>
      <c r="D106" s="21">
        <f t="shared" ca="1" si="12"/>
        <v>302.61905393819899</v>
      </c>
      <c r="E106" s="21">
        <f t="shared" ca="1" si="13"/>
        <v>0</v>
      </c>
      <c r="F106" s="22">
        <f t="shared" ca="1" si="17"/>
        <v>31.206645637944064</v>
      </c>
      <c r="G106" s="22">
        <f t="shared" ca="1" si="14"/>
        <v>0</v>
      </c>
      <c r="H106" s="31">
        <f t="shared" ca="1" si="18"/>
        <v>31.206645637944064</v>
      </c>
      <c r="I106" s="9">
        <f t="shared" ca="1" si="15"/>
        <v>1386.2238587791392</v>
      </c>
      <c r="J106" s="30">
        <f t="shared" ca="1" si="16"/>
        <v>1054.9727748417447</v>
      </c>
      <c r="K106" s="122">
        <f t="shared" ca="1" si="19"/>
        <v>331.25108393739447</v>
      </c>
      <c r="L106" s="30"/>
      <c r="M106" s="30"/>
      <c r="N106" s="30"/>
      <c r="O106" s="30"/>
    </row>
    <row r="107" spans="1:15" x14ac:dyDescent="0.25">
      <c r="A107" s="10">
        <v>88</v>
      </c>
      <c r="B107" s="27">
        <f t="shared" ca="1" si="10"/>
        <v>0.53916289842135301</v>
      </c>
      <c r="C107" s="21">
        <f t="shared" ca="1" si="11"/>
        <v>249.32041196681521</v>
      </c>
      <c r="D107" s="21">
        <f t="shared" ca="1" si="12"/>
        <v>252.04070159620713</v>
      </c>
      <c r="E107" s="21">
        <f t="shared" ca="1" si="13"/>
        <v>2.7202896293919139</v>
      </c>
      <c r="F107" s="22">
        <f t="shared" ca="1" si="17"/>
        <v>2.7202896293919139</v>
      </c>
      <c r="G107" s="22">
        <f t="shared" ca="1" si="14"/>
        <v>0</v>
      </c>
      <c r="H107" s="31">
        <f t="shared" ca="1" si="18"/>
        <v>2.7202896293919139</v>
      </c>
      <c r="I107" s="9">
        <f t="shared" ca="1" si="15"/>
        <v>1371.9423382248317</v>
      </c>
      <c r="J107" s="30">
        <f t="shared" ca="1" si="16"/>
        <v>1012.2432408289164</v>
      </c>
      <c r="K107" s="122">
        <f t="shared" ca="1" si="19"/>
        <v>359.69909739591526</v>
      </c>
      <c r="L107" s="30"/>
      <c r="M107" s="30"/>
      <c r="N107" s="30"/>
      <c r="O107" s="30"/>
    </row>
    <row r="108" spans="1:15" x14ac:dyDescent="0.25">
      <c r="A108" s="10">
        <v>89</v>
      </c>
      <c r="B108" s="27">
        <f t="shared" ca="1" si="10"/>
        <v>0.68226870250679283</v>
      </c>
      <c r="C108" s="21">
        <f t="shared" ca="1" si="11"/>
        <v>249.32041196681521</v>
      </c>
      <c r="D108" s="21">
        <f t="shared" ca="1" si="12"/>
        <v>254.76099122559904</v>
      </c>
      <c r="E108" s="21">
        <f t="shared" ca="1" si="13"/>
        <v>2.7202896293919139</v>
      </c>
      <c r="F108" s="22">
        <f t="shared" ca="1" si="17"/>
        <v>5.4405792587838278</v>
      </c>
      <c r="G108" s="22">
        <f t="shared" ca="1" si="14"/>
        <v>0</v>
      </c>
      <c r="H108" s="31">
        <f t="shared" ca="1" si="18"/>
        <v>5.4405792587838278</v>
      </c>
      <c r="I108" s="9">
        <f t="shared" ca="1" si="15"/>
        <v>1380.1032071130076</v>
      </c>
      <c r="J108" s="30">
        <f t="shared" ca="1" si="16"/>
        <v>1016.3236752730043</v>
      </c>
      <c r="K108" s="122">
        <f t="shared" ca="1" si="19"/>
        <v>363.7795318400033</v>
      </c>
      <c r="L108" s="30"/>
      <c r="M108" s="30"/>
      <c r="N108" s="30"/>
      <c r="O108" s="30"/>
    </row>
    <row r="109" spans="1:15" x14ac:dyDescent="0.25">
      <c r="A109" s="10">
        <v>90</v>
      </c>
      <c r="B109" s="27">
        <f t="shared" ca="1" si="10"/>
        <v>4.7254452734470931E-2</v>
      </c>
      <c r="C109" s="21">
        <f t="shared" ca="1" si="11"/>
        <v>201.46234925421527</v>
      </c>
      <c r="D109" s="21">
        <f t="shared" ca="1" si="12"/>
        <v>254.76099122559904</v>
      </c>
      <c r="E109" s="21">
        <f t="shared" ca="1" si="13"/>
        <v>50.578352341991859</v>
      </c>
      <c r="F109" s="22">
        <f t="shared" ca="1" si="17"/>
        <v>53.298641971383773</v>
      </c>
      <c r="G109" s="22">
        <f t="shared" ca="1" si="14"/>
        <v>44.982781035430634</v>
      </c>
      <c r="H109" s="31">
        <f t="shared" ca="1" si="18"/>
        <v>8.3158609359531397</v>
      </c>
      <c r="I109" s="9">
        <f t="shared" ca="1" si="15"/>
        <v>1145.6350917915415</v>
      </c>
      <c r="J109" s="30">
        <f t="shared" ca="1" si="16"/>
        <v>1020.6365977887582</v>
      </c>
      <c r="K109" s="122">
        <f t="shared" ca="1" si="19"/>
        <v>124.99849400278333</v>
      </c>
      <c r="L109" s="30"/>
      <c r="M109" s="30"/>
      <c r="N109" s="30"/>
      <c r="O109" s="30"/>
    </row>
    <row r="110" spans="1:15" x14ac:dyDescent="0.25">
      <c r="A110" s="10">
        <v>91</v>
      </c>
      <c r="B110" s="27">
        <f t="shared" ca="1" si="10"/>
        <v>0.96783743838374314</v>
      </c>
      <c r="C110" s="21">
        <f t="shared" ca="1" si="11"/>
        <v>297.02348263163776</v>
      </c>
      <c r="D110" s="21">
        <f t="shared" ca="1" si="12"/>
        <v>302.61905393819899</v>
      </c>
      <c r="E110" s="21">
        <f t="shared" ca="1" si="13"/>
        <v>0</v>
      </c>
      <c r="F110" s="22">
        <f t="shared" ca="1" si="17"/>
        <v>5.5955713065612258</v>
      </c>
      <c r="G110" s="22">
        <f t="shared" ca="1" si="14"/>
        <v>0</v>
      </c>
      <c r="H110" s="31">
        <f t="shared" ca="1" si="18"/>
        <v>5.5955713065612258</v>
      </c>
      <c r="I110" s="9">
        <f t="shared" ca="1" si="15"/>
        <v>1386.2238587791392</v>
      </c>
      <c r="J110" s="30">
        <f t="shared" ca="1" si="16"/>
        <v>1016.5561633446704</v>
      </c>
      <c r="K110" s="122">
        <f t="shared" ca="1" si="19"/>
        <v>369.66769543446878</v>
      </c>
      <c r="L110" s="30"/>
      <c r="M110" s="30"/>
      <c r="N110" s="30"/>
      <c r="O110" s="30"/>
    </row>
    <row r="111" spans="1:15" x14ac:dyDescent="0.25">
      <c r="A111" s="10">
        <v>92</v>
      </c>
      <c r="B111" s="27">
        <f t="shared" ca="1" si="10"/>
        <v>0.34607887367593049</v>
      </c>
      <c r="C111" s="21">
        <f t="shared" ca="1" si="11"/>
        <v>230.79639892259075</v>
      </c>
      <c r="D111" s="21">
        <f t="shared" ca="1" si="12"/>
        <v>252.04070159620713</v>
      </c>
      <c r="E111" s="21">
        <f t="shared" ca="1" si="13"/>
        <v>21.244302673616374</v>
      </c>
      <c r="F111" s="22">
        <f t="shared" ca="1" si="17"/>
        <v>21.244302673616374</v>
      </c>
      <c r="G111" s="22">
        <f t="shared" ca="1" si="14"/>
        <v>0</v>
      </c>
      <c r="H111" s="31">
        <f t="shared" ca="1" si="18"/>
        <v>21.244302673616374</v>
      </c>
      <c r="I111" s="9">
        <f t="shared" ca="1" si="15"/>
        <v>1274.6912697426533</v>
      </c>
      <c r="J111" s="30">
        <f t="shared" ca="1" si="16"/>
        <v>1040.029260395253</v>
      </c>
      <c r="K111" s="122">
        <f t="shared" ca="1" si="19"/>
        <v>234.66200934740027</v>
      </c>
      <c r="L111" s="30"/>
      <c r="M111" s="30"/>
      <c r="N111" s="30"/>
      <c r="O111" s="30"/>
    </row>
    <row r="112" spans="1:15" x14ac:dyDescent="0.25">
      <c r="A112" s="10">
        <v>93</v>
      </c>
      <c r="B112" s="27">
        <f t="shared" ca="1" si="10"/>
        <v>0.27526661746162306</v>
      </c>
      <c r="C112" s="21">
        <f t="shared" ca="1" si="11"/>
        <v>230.79639892259075</v>
      </c>
      <c r="D112" s="21">
        <f t="shared" ca="1" si="12"/>
        <v>273.2850042698235</v>
      </c>
      <c r="E112" s="21">
        <f t="shared" ca="1" si="13"/>
        <v>21.244302673616374</v>
      </c>
      <c r="F112" s="22">
        <f t="shared" ca="1" si="17"/>
        <v>42.488605347232749</v>
      </c>
      <c r="G112" s="22">
        <f t="shared" ca="1" si="14"/>
        <v>0</v>
      </c>
      <c r="H112" s="31">
        <f t="shared" ca="1" si="18"/>
        <v>42.488605347232749</v>
      </c>
      <c r="I112" s="9">
        <f t="shared" ca="1" si="15"/>
        <v>1338.4241777635025</v>
      </c>
      <c r="J112" s="30">
        <f t="shared" ca="1" si="16"/>
        <v>1071.8957144056776</v>
      </c>
      <c r="K112" s="122">
        <f t="shared" ca="1" si="19"/>
        <v>266.52846335782488</v>
      </c>
      <c r="L112" s="30"/>
      <c r="M112" s="30"/>
      <c r="N112" s="30"/>
      <c r="O112" s="30"/>
    </row>
    <row r="113" spans="1:15" x14ac:dyDescent="0.25">
      <c r="A113" s="10">
        <v>94</v>
      </c>
      <c r="B113" s="27">
        <f t="shared" ca="1" si="10"/>
        <v>0.4305848666338068</v>
      </c>
      <c r="C113" s="21">
        <f t="shared" ca="1" si="11"/>
        <v>249.32041196681521</v>
      </c>
      <c r="D113" s="21">
        <f t="shared" ca="1" si="12"/>
        <v>273.2850042698235</v>
      </c>
      <c r="E113" s="21">
        <f t="shared" ca="1" si="13"/>
        <v>2.7202896293919139</v>
      </c>
      <c r="F113" s="22">
        <f t="shared" ca="1" si="17"/>
        <v>23.964592303008288</v>
      </c>
      <c r="G113" s="22">
        <f t="shared" ca="1" si="14"/>
        <v>44.982781035430634</v>
      </c>
      <c r="H113" s="31">
        <f t="shared" ca="1" si="18"/>
        <v>0</v>
      </c>
      <c r="I113" s="9">
        <f t="shared" ca="1" si="15"/>
        <v>1371.9423382248317</v>
      </c>
      <c r="J113" s="30">
        <f t="shared" ca="1" si="16"/>
        <v>1008.1628063848285</v>
      </c>
      <c r="K113" s="122">
        <f t="shared" ca="1" si="19"/>
        <v>363.77953184000319</v>
      </c>
      <c r="L113" s="30"/>
      <c r="M113" s="30"/>
      <c r="N113" s="30"/>
      <c r="O113" s="30"/>
    </row>
    <row r="114" spans="1:15" x14ac:dyDescent="0.25">
      <c r="A114" s="10">
        <v>95</v>
      </c>
      <c r="B114" s="27">
        <f t="shared" ca="1" si="10"/>
        <v>0.9354233793261223</v>
      </c>
      <c r="C114" s="21">
        <f t="shared" ca="1" si="11"/>
        <v>297.02348263163776</v>
      </c>
      <c r="D114" s="21">
        <f t="shared" ca="1" si="12"/>
        <v>254.76099122559904</v>
      </c>
      <c r="E114" s="21">
        <f t="shared" ca="1" si="13"/>
        <v>0</v>
      </c>
      <c r="F114" s="22">
        <f t="shared" ca="1" si="17"/>
        <v>0</v>
      </c>
      <c r="G114" s="22">
        <f t="shared" ca="1" si="14"/>
        <v>0</v>
      </c>
      <c r="H114" s="31">
        <f t="shared" ca="1" si="18"/>
        <v>0</v>
      </c>
      <c r="I114" s="9">
        <f t="shared" ca="1" si="15"/>
        <v>1386.2238587791392</v>
      </c>
      <c r="J114" s="30">
        <f t="shared" ca="1" si="16"/>
        <v>1008.1628063848285</v>
      </c>
      <c r="K114" s="122">
        <f t="shared" ca="1" si="19"/>
        <v>378.06105239431065</v>
      </c>
      <c r="L114" s="30"/>
      <c r="M114" s="30"/>
      <c r="N114" s="30"/>
      <c r="O114" s="30"/>
    </row>
    <row r="115" spans="1:15" x14ac:dyDescent="0.25">
      <c r="A115" s="10">
        <v>96</v>
      </c>
      <c r="B115" s="27">
        <f t="shared" ca="1" si="10"/>
        <v>0.62211776375526373</v>
      </c>
      <c r="C115" s="21">
        <f t="shared" ca="1" si="11"/>
        <v>249.32041196681521</v>
      </c>
      <c r="D115" s="21">
        <f t="shared" ca="1" si="12"/>
        <v>252.04070159620713</v>
      </c>
      <c r="E115" s="21">
        <f t="shared" ca="1" si="13"/>
        <v>2.7202896293919139</v>
      </c>
      <c r="F115" s="22">
        <f t="shared" ca="1" si="17"/>
        <v>2.7202896293919139</v>
      </c>
      <c r="G115" s="22">
        <f t="shared" ca="1" si="14"/>
        <v>0</v>
      </c>
      <c r="H115" s="31">
        <f t="shared" ca="1" si="18"/>
        <v>2.7202896293919139</v>
      </c>
      <c r="I115" s="9">
        <f t="shared" ca="1" si="15"/>
        <v>1371.9423382248317</v>
      </c>
      <c r="J115" s="30">
        <f t="shared" ca="1" si="16"/>
        <v>1012.2432408289164</v>
      </c>
      <c r="K115" s="122">
        <f t="shared" ca="1" si="19"/>
        <v>359.69909739591526</v>
      </c>
      <c r="L115" s="30"/>
      <c r="M115" s="30"/>
      <c r="N115" s="30"/>
      <c r="O115" s="30"/>
    </row>
    <row r="116" spans="1:15" x14ac:dyDescent="0.25">
      <c r="A116" s="10">
        <v>97</v>
      </c>
      <c r="B116" s="27">
        <f t="shared" ca="1" si="10"/>
        <v>0.3938528919286618</v>
      </c>
      <c r="C116" s="21">
        <f t="shared" ca="1" si="11"/>
        <v>230.79639892259075</v>
      </c>
      <c r="D116" s="21">
        <f t="shared" ca="1" si="12"/>
        <v>254.76099122559904</v>
      </c>
      <c r="E116" s="21">
        <f t="shared" ca="1" si="13"/>
        <v>21.244302673616374</v>
      </c>
      <c r="F116" s="22">
        <f t="shared" ca="1" si="17"/>
        <v>23.964592303008288</v>
      </c>
      <c r="G116" s="22">
        <f t="shared" ca="1" si="14"/>
        <v>0</v>
      </c>
      <c r="H116" s="31">
        <f t="shared" ca="1" si="18"/>
        <v>23.964592303008288</v>
      </c>
      <c r="I116" s="9">
        <f t="shared" ca="1" si="15"/>
        <v>1282.8521386308289</v>
      </c>
      <c r="J116" s="30">
        <f t="shared" ca="1" si="16"/>
        <v>1044.109694839341</v>
      </c>
      <c r="K116" s="122">
        <f t="shared" ca="1" si="19"/>
        <v>238.74244379148786</v>
      </c>
      <c r="L116" s="30"/>
      <c r="M116" s="30"/>
      <c r="N116" s="30"/>
      <c r="O116" s="30"/>
    </row>
    <row r="117" spans="1:15" x14ac:dyDescent="0.25">
      <c r="A117" s="10">
        <v>98</v>
      </c>
      <c r="B117" s="27">
        <f t="shared" ca="1" si="10"/>
        <v>0.16485214230244538</v>
      </c>
      <c r="C117" s="21">
        <f t="shared" ca="1" si="11"/>
        <v>230.79639892259075</v>
      </c>
      <c r="D117" s="21">
        <f t="shared" ca="1" si="12"/>
        <v>273.2850042698235</v>
      </c>
      <c r="E117" s="21">
        <f t="shared" ca="1" si="13"/>
        <v>21.244302673616374</v>
      </c>
      <c r="F117" s="22">
        <f t="shared" ca="1" si="17"/>
        <v>42.488605347232749</v>
      </c>
      <c r="G117" s="22">
        <f t="shared" ca="1" si="14"/>
        <v>0</v>
      </c>
      <c r="H117" s="31">
        <f t="shared" ca="1" si="18"/>
        <v>42.488605347232749</v>
      </c>
      <c r="I117" s="9">
        <f t="shared" ca="1" si="15"/>
        <v>1338.4241777635025</v>
      </c>
      <c r="J117" s="30">
        <f t="shared" ca="1" si="16"/>
        <v>1071.8957144056776</v>
      </c>
      <c r="K117" s="122">
        <f t="shared" ca="1" si="19"/>
        <v>266.52846335782488</v>
      </c>
      <c r="L117" s="30"/>
      <c r="M117" s="30"/>
      <c r="N117" s="30"/>
      <c r="O117" s="30"/>
    </row>
    <row r="118" spans="1:15" x14ac:dyDescent="0.25">
      <c r="A118" s="10">
        <v>99</v>
      </c>
      <c r="B118" s="27">
        <f t="shared" ca="1" si="10"/>
        <v>0.16583149659066321</v>
      </c>
      <c r="C118" s="21">
        <f t="shared" ca="1" si="11"/>
        <v>230.79639892259075</v>
      </c>
      <c r="D118" s="21">
        <f t="shared" ca="1" si="12"/>
        <v>273.2850042698235</v>
      </c>
      <c r="E118" s="21">
        <f t="shared" ca="1" si="13"/>
        <v>21.244302673616374</v>
      </c>
      <c r="F118" s="22">
        <f t="shared" ca="1" si="17"/>
        <v>42.488605347232749</v>
      </c>
      <c r="G118" s="22">
        <f t="shared" ca="1" si="14"/>
        <v>0</v>
      </c>
      <c r="H118" s="31">
        <f t="shared" ca="1" si="18"/>
        <v>42.488605347232749</v>
      </c>
      <c r="I118" s="9">
        <f t="shared" ca="1" si="15"/>
        <v>1338.4241777635025</v>
      </c>
      <c r="J118" s="30">
        <f t="shared" ca="1" si="16"/>
        <v>1071.8957144056776</v>
      </c>
      <c r="K118" s="122">
        <f t="shared" ca="1" si="19"/>
        <v>266.52846335782488</v>
      </c>
      <c r="L118" s="30"/>
      <c r="M118" s="30"/>
      <c r="N118" s="30"/>
      <c r="O118" s="30"/>
    </row>
    <row r="119" spans="1:15" x14ac:dyDescent="0.25">
      <c r="A119" s="10">
        <v>100</v>
      </c>
      <c r="B119" s="27">
        <f t="shared" ca="1" si="10"/>
        <v>0.45645005675634198</v>
      </c>
      <c r="C119" s="21">
        <f t="shared" ca="1" si="11"/>
        <v>249.32041196681521</v>
      </c>
      <c r="D119" s="21">
        <f t="shared" ca="1" si="12"/>
        <v>273.2850042698235</v>
      </c>
      <c r="E119" s="21">
        <f t="shared" ca="1" si="13"/>
        <v>2.7202896293919139</v>
      </c>
      <c r="F119" s="22">
        <f t="shared" ca="1" si="17"/>
        <v>23.964592303008288</v>
      </c>
      <c r="G119" s="22">
        <f t="shared" ca="1" si="14"/>
        <v>44.982781035430634</v>
      </c>
      <c r="H119" s="31">
        <f t="shared" ca="1" si="18"/>
        <v>0</v>
      </c>
      <c r="I119" s="9">
        <f t="shared" ca="1" si="15"/>
        <v>1371.9423382248317</v>
      </c>
      <c r="J119" s="30">
        <f t="shared" ca="1" si="16"/>
        <v>1008.1628063848285</v>
      </c>
      <c r="K119" s="122">
        <f t="shared" ca="1" si="19"/>
        <v>363.77953184000319</v>
      </c>
      <c r="L119" s="30"/>
      <c r="M119" s="30"/>
      <c r="N119" s="30"/>
      <c r="O119" s="30"/>
    </row>
    <row r="120" spans="1:15" x14ac:dyDescent="0.25">
      <c r="A120" s="10">
        <v>101</v>
      </c>
      <c r="B120" s="27">
        <f t="shared" ca="1" si="10"/>
        <v>0.97554584154713886</v>
      </c>
      <c r="C120" s="21">
        <f t="shared" ca="1" si="11"/>
        <v>297.02348263163776</v>
      </c>
      <c r="D120" s="21">
        <f t="shared" ca="1" si="12"/>
        <v>254.76099122559904</v>
      </c>
      <c r="E120" s="21">
        <f t="shared" ca="1" si="13"/>
        <v>0</v>
      </c>
      <c r="F120" s="22">
        <f t="shared" ca="1" si="17"/>
        <v>0</v>
      </c>
      <c r="G120" s="22">
        <f t="shared" ca="1" si="14"/>
        <v>0</v>
      </c>
      <c r="H120" s="31">
        <f t="shared" ca="1" si="18"/>
        <v>0</v>
      </c>
      <c r="I120" s="9">
        <f t="shared" ca="1" si="15"/>
        <v>1386.2238587791392</v>
      </c>
      <c r="J120" s="30">
        <f t="shared" ca="1" si="16"/>
        <v>1008.1628063848285</v>
      </c>
      <c r="K120" s="122">
        <f t="shared" ca="1" si="19"/>
        <v>378.06105239431065</v>
      </c>
      <c r="L120" s="30"/>
      <c r="M120" s="30"/>
      <c r="N120" s="30"/>
      <c r="O120" s="30"/>
    </row>
    <row r="121" spans="1:15" x14ac:dyDescent="0.25">
      <c r="A121" s="10">
        <v>102</v>
      </c>
      <c r="B121" s="27">
        <f t="shared" ca="1" si="10"/>
        <v>0.47118967486007801</v>
      </c>
      <c r="C121" s="21">
        <f t="shared" ca="1" si="11"/>
        <v>249.32041196681521</v>
      </c>
      <c r="D121" s="21">
        <f t="shared" ca="1" si="12"/>
        <v>252.04070159620713</v>
      </c>
      <c r="E121" s="21">
        <f t="shared" ca="1" si="13"/>
        <v>2.7202896293919139</v>
      </c>
      <c r="F121" s="22">
        <f t="shared" ca="1" si="17"/>
        <v>2.7202896293919139</v>
      </c>
      <c r="G121" s="22">
        <f t="shared" ca="1" si="14"/>
        <v>0</v>
      </c>
      <c r="H121" s="31">
        <f t="shared" ca="1" si="18"/>
        <v>2.7202896293919139</v>
      </c>
      <c r="I121" s="9">
        <f t="shared" ca="1" si="15"/>
        <v>1371.9423382248317</v>
      </c>
      <c r="J121" s="30">
        <f t="shared" ca="1" si="16"/>
        <v>1012.2432408289164</v>
      </c>
      <c r="K121" s="122">
        <f t="shared" ca="1" si="19"/>
        <v>359.69909739591526</v>
      </c>
      <c r="L121" s="30"/>
      <c r="M121" s="30"/>
      <c r="N121" s="30"/>
      <c r="O121" s="30"/>
    </row>
    <row r="122" spans="1:15" x14ac:dyDescent="0.25">
      <c r="A122" s="10">
        <v>103</v>
      </c>
      <c r="B122" s="27">
        <f t="shared" ca="1" si="10"/>
        <v>0.67809974968627984</v>
      </c>
      <c r="C122" s="21">
        <f t="shared" ca="1" si="11"/>
        <v>249.32041196681521</v>
      </c>
      <c r="D122" s="21">
        <f t="shared" ca="1" si="12"/>
        <v>254.76099122559904</v>
      </c>
      <c r="E122" s="21">
        <f t="shared" ca="1" si="13"/>
        <v>2.7202896293919139</v>
      </c>
      <c r="F122" s="22">
        <f t="shared" ca="1" si="17"/>
        <v>5.4405792587838278</v>
      </c>
      <c r="G122" s="22">
        <f t="shared" ca="1" si="14"/>
        <v>0</v>
      </c>
      <c r="H122" s="31">
        <f t="shared" ca="1" si="18"/>
        <v>5.4405792587838278</v>
      </c>
      <c r="I122" s="9">
        <f t="shared" ca="1" si="15"/>
        <v>1380.1032071130076</v>
      </c>
      <c r="J122" s="30">
        <f t="shared" ca="1" si="16"/>
        <v>1016.3236752730043</v>
      </c>
      <c r="K122" s="122">
        <f t="shared" ca="1" si="19"/>
        <v>363.7795318400033</v>
      </c>
      <c r="L122" s="30"/>
      <c r="M122" s="30"/>
      <c r="N122" s="30"/>
      <c r="O122" s="30"/>
    </row>
    <row r="123" spans="1:15" x14ac:dyDescent="0.25">
      <c r="A123" s="10">
        <v>104</v>
      </c>
      <c r="B123" s="27">
        <f t="shared" ca="1" si="10"/>
        <v>0.53579580487531009</v>
      </c>
      <c r="C123" s="21">
        <f t="shared" ca="1" si="11"/>
        <v>249.32041196681521</v>
      </c>
      <c r="D123" s="21">
        <f t="shared" ca="1" si="12"/>
        <v>254.76099122559904</v>
      </c>
      <c r="E123" s="21">
        <f t="shared" ca="1" si="13"/>
        <v>2.7202896293919139</v>
      </c>
      <c r="F123" s="22">
        <f t="shared" ca="1" si="17"/>
        <v>5.4405792587838278</v>
      </c>
      <c r="G123" s="22">
        <f t="shared" ca="1" si="14"/>
        <v>0</v>
      </c>
      <c r="H123" s="31">
        <f t="shared" ca="1" si="18"/>
        <v>5.4405792587838278</v>
      </c>
      <c r="I123" s="9">
        <f t="shared" ca="1" si="15"/>
        <v>1380.1032071130076</v>
      </c>
      <c r="J123" s="30">
        <f t="shared" ca="1" si="16"/>
        <v>1016.3236752730043</v>
      </c>
      <c r="K123" s="122">
        <f t="shared" ca="1" si="19"/>
        <v>363.7795318400033</v>
      </c>
      <c r="L123" s="30"/>
      <c r="M123" s="30"/>
      <c r="N123" s="30"/>
      <c r="O123" s="30"/>
    </row>
    <row r="124" spans="1:15" x14ac:dyDescent="0.25">
      <c r="A124" s="10">
        <v>105</v>
      </c>
      <c r="B124" s="27">
        <f t="shared" ca="1" si="10"/>
        <v>0.50946779127421082</v>
      </c>
      <c r="C124" s="21">
        <f t="shared" ca="1" si="11"/>
        <v>249.32041196681521</v>
      </c>
      <c r="D124" s="21">
        <f t="shared" ca="1" si="12"/>
        <v>254.76099122559904</v>
      </c>
      <c r="E124" s="21">
        <f t="shared" ca="1" si="13"/>
        <v>2.7202896293919139</v>
      </c>
      <c r="F124" s="22">
        <f t="shared" ca="1" si="17"/>
        <v>5.4405792587838278</v>
      </c>
      <c r="G124" s="22">
        <f t="shared" ca="1" si="14"/>
        <v>0</v>
      </c>
      <c r="H124" s="31">
        <f t="shared" ca="1" si="18"/>
        <v>5.4405792587838278</v>
      </c>
      <c r="I124" s="9">
        <f t="shared" ca="1" si="15"/>
        <v>1380.1032071130076</v>
      </c>
      <c r="J124" s="30">
        <f t="shared" ca="1" si="16"/>
        <v>1016.3236752730043</v>
      </c>
      <c r="K124" s="122">
        <f t="shared" ca="1" si="19"/>
        <v>363.7795318400033</v>
      </c>
      <c r="L124" s="30"/>
      <c r="M124" s="30"/>
      <c r="N124" s="30"/>
      <c r="O124" s="30"/>
    </row>
    <row r="125" spans="1:15" x14ac:dyDescent="0.25">
      <c r="A125" s="10">
        <v>106</v>
      </c>
      <c r="B125" s="27">
        <f t="shared" ca="1" si="10"/>
        <v>0.10719981874323448</v>
      </c>
      <c r="C125" s="21">
        <f t="shared" ca="1" si="11"/>
        <v>201.46234925421527</v>
      </c>
      <c r="D125" s="21">
        <f t="shared" ca="1" si="12"/>
        <v>254.76099122559904</v>
      </c>
      <c r="E125" s="21">
        <f t="shared" ca="1" si="13"/>
        <v>50.578352341991859</v>
      </c>
      <c r="F125" s="22">
        <f t="shared" ca="1" si="17"/>
        <v>53.298641971383773</v>
      </c>
      <c r="G125" s="22">
        <f t="shared" ca="1" si="14"/>
        <v>44.982781035430634</v>
      </c>
      <c r="H125" s="31">
        <f t="shared" ca="1" si="18"/>
        <v>8.3158609359531397</v>
      </c>
      <c r="I125" s="9">
        <f t="shared" ca="1" si="15"/>
        <v>1145.6350917915415</v>
      </c>
      <c r="J125" s="30">
        <f t="shared" ca="1" si="16"/>
        <v>1020.6365977887582</v>
      </c>
      <c r="K125" s="122">
        <f t="shared" ca="1" si="19"/>
        <v>124.99849400278333</v>
      </c>
      <c r="L125" s="30"/>
      <c r="M125" s="30"/>
      <c r="N125" s="30"/>
      <c r="O125" s="30"/>
    </row>
    <row r="126" spans="1:15" x14ac:dyDescent="0.25">
      <c r="A126" s="10">
        <v>107</v>
      </c>
      <c r="B126" s="27">
        <f t="shared" ca="1" si="10"/>
        <v>0.95174780424089855</v>
      </c>
      <c r="C126" s="21">
        <f t="shared" ca="1" si="11"/>
        <v>297.02348263163776</v>
      </c>
      <c r="D126" s="21">
        <f t="shared" ca="1" si="12"/>
        <v>302.61905393819899</v>
      </c>
      <c r="E126" s="21">
        <f t="shared" ca="1" si="13"/>
        <v>0</v>
      </c>
      <c r="F126" s="22">
        <f t="shared" ca="1" si="17"/>
        <v>5.5955713065612258</v>
      </c>
      <c r="G126" s="22">
        <f t="shared" ca="1" si="14"/>
        <v>0</v>
      </c>
      <c r="H126" s="31">
        <f t="shared" ca="1" si="18"/>
        <v>5.5955713065612258</v>
      </c>
      <c r="I126" s="9">
        <f t="shared" ca="1" si="15"/>
        <v>1386.2238587791392</v>
      </c>
      <c r="J126" s="30">
        <f t="shared" ca="1" si="16"/>
        <v>1016.5561633446704</v>
      </c>
      <c r="K126" s="122">
        <f t="shared" ca="1" si="19"/>
        <v>369.66769543446878</v>
      </c>
      <c r="L126" s="30"/>
      <c r="M126" s="30"/>
      <c r="N126" s="30"/>
      <c r="O126" s="30"/>
    </row>
    <row r="127" spans="1:15" x14ac:dyDescent="0.25">
      <c r="A127" s="10">
        <v>108</v>
      </c>
      <c r="B127" s="27">
        <f t="shared" ca="1" si="10"/>
        <v>0.59665633447386113</v>
      </c>
      <c r="C127" s="21">
        <f t="shared" ca="1" si="11"/>
        <v>249.32041196681521</v>
      </c>
      <c r="D127" s="21">
        <f t="shared" ca="1" si="12"/>
        <v>252.04070159620713</v>
      </c>
      <c r="E127" s="21">
        <f t="shared" ca="1" si="13"/>
        <v>2.7202896293919139</v>
      </c>
      <c r="F127" s="22">
        <f t="shared" ca="1" si="17"/>
        <v>2.7202896293919139</v>
      </c>
      <c r="G127" s="22">
        <f t="shared" ca="1" si="14"/>
        <v>0</v>
      </c>
      <c r="H127" s="31">
        <f t="shared" ca="1" si="18"/>
        <v>2.7202896293919139</v>
      </c>
      <c r="I127" s="9">
        <f t="shared" ca="1" si="15"/>
        <v>1371.9423382248317</v>
      </c>
      <c r="J127" s="30">
        <f t="shared" ca="1" si="16"/>
        <v>1012.2432408289164</v>
      </c>
      <c r="K127" s="122">
        <f t="shared" ca="1" si="19"/>
        <v>359.69909739591526</v>
      </c>
      <c r="L127" s="30"/>
      <c r="M127" s="30"/>
      <c r="N127" s="30"/>
      <c r="O127" s="30"/>
    </row>
    <row r="128" spans="1:15" x14ac:dyDescent="0.25">
      <c r="A128" s="10">
        <v>109</v>
      </c>
      <c r="B128" s="27">
        <f t="shared" ca="1" si="10"/>
        <v>0.56791605617593011</v>
      </c>
      <c r="C128" s="21">
        <f t="shared" ca="1" si="11"/>
        <v>249.32041196681521</v>
      </c>
      <c r="D128" s="21">
        <f t="shared" ca="1" si="12"/>
        <v>254.76099122559904</v>
      </c>
      <c r="E128" s="21">
        <f t="shared" ca="1" si="13"/>
        <v>2.7202896293919139</v>
      </c>
      <c r="F128" s="22">
        <f t="shared" ca="1" si="17"/>
        <v>5.4405792587838278</v>
      </c>
      <c r="G128" s="22">
        <f t="shared" ca="1" si="14"/>
        <v>0</v>
      </c>
      <c r="H128" s="31">
        <f t="shared" ca="1" si="18"/>
        <v>5.4405792587838278</v>
      </c>
      <c r="I128" s="9">
        <f t="shared" ca="1" si="15"/>
        <v>1380.1032071130076</v>
      </c>
      <c r="J128" s="30">
        <f t="shared" ca="1" si="16"/>
        <v>1016.3236752730043</v>
      </c>
      <c r="K128" s="122">
        <f t="shared" ca="1" si="19"/>
        <v>363.7795318400033</v>
      </c>
      <c r="L128" s="30"/>
      <c r="M128" s="30"/>
      <c r="N128" s="30"/>
      <c r="O128" s="30"/>
    </row>
    <row r="129" spans="1:15" x14ac:dyDescent="0.25">
      <c r="A129" s="10">
        <v>110</v>
      </c>
      <c r="B129" s="27">
        <f t="shared" ca="1" si="10"/>
        <v>0.56698672561414942</v>
      </c>
      <c r="C129" s="21">
        <f t="shared" ca="1" si="11"/>
        <v>249.32041196681521</v>
      </c>
      <c r="D129" s="21">
        <f t="shared" ca="1" si="12"/>
        <v>254.76099122559904</v>
      </c>
      <c r="E129" s="21">
        <f t="shared" ca="1" si="13"/>
        <v>2.7202896293919139</v>
      </c>
      <c r="F129" s="22">
        <f t="shared" ca="1" si="17"/>
        <v>5.4405792587838278</v>
      </c>
      <c r="G129" s="22">
        <f t="shared" ca="1" si="14"/>
        <v>0</v>
      </c>
      <c r="H129" s="31">
        <f t="shared" ca="1" si="18"/>
        <v>5.4405792587838278</v>
      </c>
      <c r="I129" s="9">
        <f t="shared" ca="1" si="15"/>
        <v>1380.1032071130076</v>
      </c>
      <c r="J129" s="30">
        <f t="shared" ca="1" si="16"/>
        <v>1016.3236752730043</v>
      </c>
      <c r="K129" s="122">
        <f t="shared" ca="1" si="19"/>
        <v>363.7795318400033</v>
      </c>
      <c r="L129" s="30"/>
      <c r="M129" s="30"/>
      <c r="N129" s="30"/>
      <c r="O129" s="30"/>
    </row>
    <row r="130" spans="1:15" x14ac:dyDescent="0.25">
      <c r="A130" s="10">
        <v>111</v>
      </c>
      <c r="B130" s="27">
        <f t="shared" ca="1" si="10"/>
        <v>0.63665256023281858</v>
      </c>
      <c r="C130" s="21">
        <f t="shared" ca="1" si="11"/>
        <v>249.32041196681521</v>
      </c>
      <c r="D130" s="21">
        <f t="shared" ca="1" si="12"/>
        <v>254.76099122559904</v>
      </c>
      <c r="E130" s="21">
        <f t="shared" ca="1" si="13"/>
        <v>2.7202896293919139</v>
      </c>
      <c r="F130" s="22">
        <f t="shared" ca="1" si="17"/>
        <v>5.4405792587838278</v>
      </c>
      <c r="G130" s="22">
        <f t="shared" ca="1" si="14"/>
        <v>19.371706704047796</v>
      </c>
      <c r="H130" s="31">
        <f t="shared" ca="1" si="18"/>
        <v>0</v>
      </c>
      <c r="I130" s="9">
        <f t="shared" ca="1" si="15"/>
        <v>1371.9423382248317</v>
      </c>
      <c r="J130" s="30">
        <f t="shared" ca="1" si="16"/>
        <v>1008.1628063848285</v>
      </c>
      <c r="K130" s="122">
        <f t="shared" ca="1" si="19"/>
        <v>363.77953184000319</v>
      </c>
      <c r="L130" s="30"/>
      <c r="M130" s="30"/>
      <c r="N130" s="30"/>
      <c r="O130" s="30"/>
    </row>
    <row r="131" spans="1:15" x14ac:dyDescent="0.25">
      <c r="A131" s="10">
        <v>112</v>
      </c>
      <c r="B131" s="27">
        <f t="shared" ca="1" si="10"/>
        <v>0.8774793225683748</v>
      </c>
      <c r="C131" s="21">
        <f t="shared" ca="1" si="11"/>
        <v>271.41240830025492</v>
      </c>
      <c r="D131" s="21">
        <f t="shared" ca="1" si="12"/>
        <v>254.76099122559904</v>
      </c>
      <c r="E131" s="21">
        <f t="shared" ca="1" si="13"/>
        <v>0</v>
      </c>
      <c r="F131" s="22">
        <f t="shared" ca="1" si="17"/>
        <v>0</v>
      </c>
      <c r="G131" s="22">
        <f t="shared" ca="1" si="14"/>
        <v>0</v>
      </c>
      <c r="H131" s="31">
        <f t="shared" ca="1" si="18"/>
        <v>0</v>
      </c>
      <c r="I131" s="9">
        <f t="shared" ca="1" si="15"/>
        <v>1386.2238587791392</v>
      </c>
      <c r="J131" s="30">
        <f t="shared" ca="1" si="16"/>
        <v>1008.1628063848285</v>
      </c>
      <c r="K131" s="122">
        <f t="shared" ca="1" si="19"/>
        <v>378.06105239431065</v>
      </c>
      <c r="L131" s="30"/>
      <c r="M131" s="30"/>
      <c r="N131" s="30"/>
      <c r="O131" s="30"/>
    </row>
    <row r="132" spans="1:15" x14ac:dyDescent="0.25">
      <c r="A132" s="10">
        <v>113</v>
      </c>
      <c r="B132" s="43">
        <f t="shared" ca="1" si="10"/>
        <v>0.61566557086646145</v>
      </c>
      <c r="C132" s="44">
        <f t="shared" ca="1" si="11"/>
        <v>249.32041196681521</v>
      </c>
      <c r="D132" s="44">
        <f t="shared" ca="1" si="12"/>
        <v>252.04070159620713</v>
      </c>
      <c r="E132" s="44">
        <f t="shared" ca="1" si="13"/>
        <v>2.7202896293919139</v>
      </c>
      <c r="F132" s="45">
        <f t="shared" ca="1" si="17"/>
        <v>2.7202896293919139</v>
      </c>
      <c r="G132" s="45">
        <f t="shared" ca="1" si="14"/>
        <v>0</v>
      </c>
      <c r="H132" s="46">
        <f t="shared" ca="1" si="18"/>
        <v>2.7202896293919139</v>
      </c>
      <c r="I132" s="1">
        <f t="shared" ca="1" si="15"/>
        <v>1371.9423382248317</v>
      </c>
      <c r="J132" s="47">
        <f t="shared" ca="1" si="16"/>
        <v>1012.2432408289164</v>
      </c>
      <c r="K132" s="123">
        <f t="shared" ca="1" si="19"/>
        <v>359.69909739591526</v>
      </c>
      <c r="L132" s="30"/>
      <c r="M132" s="30"/>
      <c r="N132" s="30"/>
      <c r="O132" s="30"/>
    </row>
    <row r="133" spans="1:15" x14ac:dyDescent="0.25">
      <c r="A133" s="10">
        <v>114</v>
      </c>
      <c r="B133" s="48">
        <f t="shared" ca="1" si="10"/>
        <v>0.13557114618855892</v>
      </c>
      <c r="C133" s="49">
        <f t="shared" ca="1" si="11"/>
        <v>201.46234925421527</v>
      </c>
      <c r="D133" s="49">
        <f t="shared" ca="1" si="12"/>
        <v>254.76099122559904</v>
      </c>
      <c r="E133" s="49">
        <f t="shared" ca="1" si="13"/>
        <v>50.578352341991859</v>
      </c>
      <c r="F133" s="50">
        <f t="shared" ca="1" si="17"/>
        <v>53.298641971383773</v>
      </c>
      <c r="G133" s="50">
        <f t="shared" ca="1" si="14"/>
        <v>0</v>
      </c>
      <c r="H133" s="51">
        <f t="shared" ca="1" si="18"/>
        <v>53.298641971383773</v>
      </c>
      <c r="I133" s="52">
        <f t="shared" ca="1" si="15"/>
        <v>1128.8483778718578</v>
      </c>
      <c r="J133" s="53">
        <f t="shared" ca="1" si="16"/>
        <v>1088.1107693419042</v>
      </c>
      <c r="K133" s="124">
        <f t="shared" ca="1" si="19"/>
        <v>40.737608529953604</v>
      </c>
      <c r="L133" s="30"/>
      <c r="M133" s="30"/>
      <c r="N133" s="30"/>
      <c r="O133" s="30"/>
    </row>
    <row r="134" spans="1:15" x14ac:dyDescent="0.25">
      <c r="A134" s="10">
        <v>115</v>
      </c>
      <c r="B134" s="27">
        <f t="shared" ca="1" si="10"/>
        <v>0.16733899266353813</v>
      </c>
      <c r="C134" s="21">
        <f t="shared" ca="1" si="11"/>
        <v>230.79639892259075</v>
      </c>
      <c r="D134" s="21">
        <f t="shared" ca="1" si="12"/>
        <v>302.61905393819899</v>
      </c>
      <c r="E134" s="21">
        <f t="shared" ca="1" si="13"/>
        <v>21.244302673616374</v>
      </c>
      <c r="F134" s="22">
        <f t="shared" ca="1" si="17"/>
        <v>71.822655015608234</v>
      </c>
      <c r="G134" s="22">
        <f t="shared" ca="1" si="14"/>
        <v>44.982781035430634</v>
      </c>
      <c r="H134" s="31">
        <f t="shared" ca="1" si="18"/>
        <v>26.8398739801776</v>
      </c>
      <c r="I134" s="9">
        <f t="shared" ca="1" si="15"/>
        <v>1355.210891683186</v>
      </c>
      <c r="J134" s="30">
        <f t="shared" ca="1" si="16"/>
        <v>1048.4226173550949</v>
      </c>
      <c r="K134" s="122">
        <f t="shared" ca="1" si="19"/>
        <v>306.78827432809112</v>
      </c>
      <c r="L134" s="30"/>
      <c r="M134" s="30"/>
      <c r="N134" s="30"/>
      <c r="O134" s="30"/>
    </row>
    <row r="135" spans="1:15" x14ac:dyDescent="0.25">
      <c r="A135" s="10">
        <v>116</v>
      </c>
      <c r="B135" s="27">
        <f t="shared" ca="1" si="10"/>
        <v>0.9932582831805008</v>
      </c>
      <c r="C135" s="21">
        <f t="shared" ca="1" si="11"/>
        <v>297.02348263163776</v>
      </c>
      <c r="D135" s="21">
        <f t="shared" ca="1" si="12"/>
        <v>273.2850042698235</v>
      </c>
      <c r="E135" s="21">
        <f t="shared" ca="1" si="13"/>
        <v>0</v>
      </c>
      <c r="F135" s="22">
        <f t="shared" ca="1" si="17"/>
        <v>0</v>
      </c>
      <c r="G135" s="22">
        <f t="shared" ca="1" si="14"/>
        <v>44.982781035430634</v>
      </c>
      <c r="H135" s="31">
        <f t="shared" ca="1" si="18"/>
        <v>0</v>
      </c>
      <c r="I135" s="9">
        <f t="shared" ca="1" si="15"/>
        <v>1386.2238587791392</v>
      </c>
      <c r="J135" s="30">
        <f t="shared" ca="1" si="16"/>
        <v>1008.1628063848285</v>
      </c>
      <c r="K135" s="122">
        <f t="shared" ca="1" si="19"/>
        <v>378.06105239431065</v>
      </c>
      <c r="L135" s="30"/>
      <c r="M135" s="30"/>
      <c r="N135" s="30"/>
      <c r="O135" s="30"/>
    </row>
    <row r="136" spans="1:15" x14ac:dyDescent="0.25">
      <c r="A136" s="10">
        <v>117</v>
      </c>
      <c r="B136" s="27">
        <f t="shared" ca="1" si="10"/>
        <v>0.92791860761418365</v>
      </c>
      <c r="C136" s="21">
        <f t="shared" ca="1" si="11"/>
        <v>297.02348263163776</v>
      </c>
      <c r="D136" s="21">
        <f t="shared" ca="1" si="12"/>
        <v>252.04070159620713</v>
      </c>
      <c r="E136" s="21">
        <f t="shared" ca="1" si="13"/>
        <v>0</v>
      </c>
      <c r="F136" s="22">
        <f t="shared" ca="1" si="17"/>
        <v>0</v>
      </c>
      <c r="G136" s="22">
        <f t="shared" ca="1" si="14"/>
        <v>0</v>
      </c>
      <c r="H136" s="31">
        <f t="shared" ca="1" si="18"/>
        <v>0</v>
      </c>
      <c r="I136" s="9">
        <f t="shared" ca="1" si="15"/>
        <v>1386.2238587791392</v>
      </c>
      <c r="J136" s="30">
        <f t="shared" ca="1" si="16"/>
        <v>1008.1628063848285</v>
      </c>
      <c r="K136" s="122">
        <f t="shared" ca="1" si="19"/>
        <v>378.06105239431065</v>
      </c>
      <c r="L136" s="30"/>
      <c r="M136" s="30"/>
      <c r="N136" s="30"/>
      <c r="O136" s="30"/>
    </row>
    <row r="137" spans="1:15" x14ac:dyDescent="0.25">
      <c r="A137" s="10">
        <v>118</v>
      </c>
      <c r="B137" s="27">
        <f t="shared" ca="1" si="10"/>
        <v>0.41728292925454968</v>
      </c>
      <c r="C137" s="21">
        <f t="shared" ca="1" si="11"/>
        <v>249.32041196681521</v>
      </c>
      <c r="D137" s="21">
        <f t="shared" ca="1" si="12"/>
        <v>252.04070159620713</v>
      </c>
      <c r="E137" s="21">
        <f t="shared" ca="1" si="13"/>
        <v>2.7202896293919139</v>
      </c>
      <c r="F137" s="22">
        <f t="shared" ca="1" si="17"/>
        <v>2.7202896293919139</v>
      </c>
      <c r="G137" s="22">
        <f t="shared" ca="1" si="14"/>
        <v>19.371706704047796</v>
      </c>
      <c r="H137" s="31">
        <f t="shared" ca="1" si="18"/>
        <v>0</v>
      </c>
      <c r="I137" s="9">
        <f t="shared" ca="1" si="15"/>
        <v>1371.9423382248317</v>
      </c>
      <c r="J137" s="30">
        <f t="shared" ca="1" si="16"/>
        <v>1008.1628063848285</v>
      </c>
      <c r="K137" s="122">
        <f t="shared" ca="1" si="19"/>
        <v>363.77953184000319</v>
      </c>
      <c r="L137" s="30"/>
      <c r="M137" s="30"/>
      <c r="N137" s="30"/>
      <c r="O137" s="30"/>
    </row>
    <row r="138" spans="1:15" x14ac:dyDescent="0.25">
      <c r="A138" s="10">
        <v>119</v>
      </c>
      <c r="B138" s="27">
        <f t="shared" ca="1" si="10"/>
        <v>0.82326022450661829</v>
      </c>
      <c r="C138" s="21">
        <f t="shared" ca="1" si="11"/>
        <v>271.41240830025492</v>
      </c>
      <c r="D138" s="21">
        <f t="shared" ca="1" si="12"/>
        <v>254.76099122559904</v>
      </c>
      <c r="E138" s="21">
        <f t="shared" ca="1" si="13"/>
        <v>0</v>
      </c>
      <c r="F138" s="22">
        <f t="shared" ca="1" si="17"/>
        <v>0</v>
      </c>
      <c r="G138" s="22">
        <f t="shared" ca="1" si="14"/>
        <v>0</v>
      </c>
      <c r="H138" s="31">
        <f t="shared" ca="1" si="18"/>
        <v>0</v>
      </c>
      <c r="I138" s="9">
        <f t="shared" ca="1" si="15"/>
        <v>1386.2238587791392</v>
      </c>
      <c r="J138" s="30">
        <f t="shared" ca="1" si="16"/>
        <v>1008.1628063848285</v>
      </c>
      <c r="K138" s="122">
        <f t="shared" ca="1" si="19"/>
        <v>378.06105239431065</v>
      </c>
      <c r="L138" s="30"/>
      <c r="M138" s="30"/>
      <c r="N138" s="30"/>
      <c r="O138" s="30"/>
    </row>
    <row r="139" spans="1:15" x14ac:dyDescent="0.25">
      <c r="A139" s="10">
        <v>120</v>
      </c>
      <c r="B139" s="27">
        <f t="shared" ca="1" si="10"/>
        <v>0.60751734742933805</v>
      </c>
      <c r="C139" s="21">
        <f t="shared" ca="1" si="11"/>
        <v>249.32041196681521</v>
      </c>
      <c r="D139" s="21">
        <f t="shared" ca="1" si="12"/>
        <v>252.04070159620713</v>
      </c>
      <c r="E139" s="21">
        <f t="shared" ca="1" si="13"/>
        <v>2.7202896293919139</v>
      </c>
      <c r="F139" s="22">
        <f t="shared" ca="1" si="17"/>
        <v>2.7202896293919139</v>
      </c>
      <c r="G139" s="22">
        <f t="shared" ca="1" si="14"/>
        <v>0</v>
      </c>
      <c r="H139" s="31">
        <f t="shared" ca="1" si="18"/>
        <v>2.7202896293919139</v>
      </c>
      <c r="I139" s="9">
        <f t="shared" ca="1" si="15"/>
        <v>1371.9423382248317</v>
      </c>
      <c r="J139" s="30">
        <f t="shared" ca="1" si="16"/>
        <v>1012.2432408289164</v>
      </c>
      <c r="K139" s="122">
        <f t="shared" ca="1" si="19"/>
        <v>359.69909739591526</v>
      </c>
      <c r="L139" s="30"/>
      <c r="M139" s="30"/>
      <c r="N139" s="30"/>
      <c r="O139" s="30"/>
    </row>
    <row r="140" spans="1:15" x14ac:dyDescent="0.25">
      <c r="A140" s="10">
        <v>121</v>
      </c>
      <c r="B140" s="27">
        <f t="shared" ca="1" si="10"/>
        <v>0.44025566474028655</v>
      </c>
      <c r="C140" s="21">
        <f t="shared" ca="1" si="11"/>
        <v>249.32041196681521</v>
      </c>
      <c r="D140" s="21">
        <f t="shared" ca="1" si="12"/>
        <v>254.76099122559904</v>
      </c>
      <c r="E140" s="21">
        <f t="shared" ca="1" si="13"/>
        <v>2.7202896293919139</v>
      </c>
      <c r="F140" s="22">
        <f t="shared" ca="1" si="17"/>
        <v>5.4405792587838278</v>
      </c>
      <c r="G140" s="22">
        <f t="shared" ca="1" si="14"/>
        <v>0</v>
      </c>
      <c r="H140" s="31">
        <f t="shared" ca="1" si="18"/>
        <v>5.4405792587838278</v>
      </c>
      <c r="I140" s="9">
        <f t="shared" ca="1" si="15"/>
        <v>1380.1032071130076</v>
      </c>
      <c r="J140" s="30">
        <f t="shared" ca="1" si="16"/>
        <v>1016.3236752730043</v>
      </c>
      <c r="K140" s="122">
        <f t="shared" ca="1" si="19"/>
        <v>363.7795318400033</v>
      </c>
      <c r="L140" s="30"/>
      <c r="M140" s="30"/>
      <c r="N140" s="30"/>
      <c r="O140" s="30"/>
    </row>
    <row r="141" spans="1:15" x14ac:dyDescent="0.25">
      <c r="A141" s="10">
        <v>122</v>
      </c>
      <c r="B141" s="27">
        <f t="shared" ca="1" si="10"/>
        <v>0.40303345559661063</v>
      </c>
      <c r="C141" s="21">
        <f t="shared" ca="1" si="11"/>
        <v>249.32041196681521</v>
      </c>
      <c r="D141" s="21">
        <f t="shared" ca="1" si="12"/>
        <v>254.76099122559904</v>
      </c>
      <c r="E141" s="21">
        <f t="shared" ca="1" si="13"/>
        <v>2.7202896293919139</v>
      </c>
      <c r="F141" s="22">
        <f t="shared" ca="1" si="17"/>
        <v>5.4405792587838278</v>
      </c>
      <c r="G141" s="22">
        <f t="shared" ca="1" si="14"/>
        <v>19.371706704047796</v>
      </c>
      <c r="H141" s="31">
        <f t="shared" ca="1" si="18"/>
        <v>0</v>
      </c>
      <c r="I141" s="9">
        <f t="shared" ca="1" si="15"/>
        <v>1371.9423382248317</v>
      </c>
      <c r="J141" s="30">
        <f t="shared" ca="1" si="16"/>
        <v>1008.1628063848285</v>
      </c>
      <c r="K141" s="122">
        <f t="shared" ca="1" si="19"/>
        <v>363.77953184000319</v>
      </c>
      <c r="L141" s="30"/>
      <c r="M141" s="30"/>
      <c r="N141" s="30"/>
      <c r="O141" s="30"/>
    </row>
    <row r="142" spans="1:15" x14ac:dyDescent="0.25">
      <c r="A142" s="10">
        <v>123</v>
      </c>
      <c r="B142" s="27">
        <f t="shared" ca="1" si="10"/>
        <v>0.71263756970776004</v>
      </c>
      <c r="C142" s="21">
        <f t="shared" ca="1" si="11"/>
        <v>271.41240830025492</v>
      </c>
      <c r="D142" s="21">
        <f t="shared" ca="1" si="12"/>
        <v>254.76099122559904</v>
      </c>
      <c r="E142" s="21">
        <f t="shared" ca="1" si="13"/>
        <v>0</v>
      </c>
      <c r="F142" s="22">
        <f t="shared" ca="1" si="17"/>
        <v>0</v>
      </c>
      <c r="G142" s="22">
        <f t="shared" ca="1" si="14"/>
        <v>44.982781035430634</v>
      </c>
      <c r="H142" s="31">
        <f t="shared" ca="1" si="18"/>
        <v>0</v>
      </c>
      <c r="I142" s="9">
        <f t="shared" ca="1" si="15"/>
        <v>1386.2238587791392</v>
      </c>
      <c r="J142" s="30">
        <f t="shared" ca="1" si="16"/>
        <v>1008.1628063848285</v>
      </c>
      <c r="K142" s="122">
        <f t="shared" ca="1" si="19"/>
        <v>378.06105239431065</v>
      </c>
      <c r="L142" s="30"/>
      <c r="M142" s="30"/>
      <c r="N142" s="30"/>
      <c r="O142" s="30"/>
    </row>
    <row r="143" spans="1:15" x14ac:dyDescent="0.25">
      <c r="A143" s="10">
        <v>124</v>
      </c>
      <c r="B143" s="27">
        <f t="shared" ca="1" si="10"/>
        <v>0.92950563038849721</v>
      </c>
      <c r="C143" s="21">
        <f t="shared" ca="1" si="11"/>
        <v>297.02348263163776</v>
      </c>
      <c r="D143" s="21">
        <f t="shared" ca="1" si="12"/>
        <v>252.04070159620713</v>
      </c>
      <c r="E143" s="21">
        <f t="shared" ca="1" si="13"/>
        <v>0</v>
      </c>
      <c r="F143" s="22">
        <f t="shared" ca="1" si="17"/>
        <v>0</v>
      </c>
      <c r="G143" s="22">
        <f t="shared" ca="1" si="14"/>
        <v>0</v>
      </c>
      <c r="H143" s="31">
        <f t="shared" ca="1" si="18"/>
        <v>0</v>
      </c>
      <c r="I143" s="9">
        <f t="shared" ca="1" si="15"/>
        <v>1386.2238587791392</v>
      </c>
      <c r="J143" s="30">
        <f t="shared" ca="1" si="16"/>
        <v>1008.1628063848285</v>
      </c>
      <c r="K143" s="122">
        <f t="shared" ca="1" si="19"/>
        <v>378.06105239431065</v>
      </c>
      <c r="L143" s="30"/>
      <c r="M143" s="30"/>
      <c r="N143" s="30"/>
      <c r="O143" s="30"/>
    </row>
    <row r="144" spans="1:15" x14ac:dyDescent="0.25">
      <c r="A144" s="10">
        <v>125</v>
      </c>
      <c r="B144" s="27">
        <f t="shared" ca="1" si="10"/>
        <v>0.46564147033846726</v>
      </c>
      <c r="C144" s="21">
        <f t="shared" ca="1" si="11"/>
        <v>249.32041196681521</v>
      </c>
      <c r="D144" s="21">
        <f t="shared" ca="1" si="12"/>
        <v>252.04070159620713</v>
      </c>
      <c r="E144" s="21">
        <f t="shared" ca="1" si="13"/>
        <v>2.7202896293919139</v>
      </c>
      <c r="F144" s="22">
        <f t="shared" ca="1" si="17"/>
        <v>2.7202896293919139</v>
      </c>
      <c r="G144" s="22">
        <f t="shared" ca="1" si="14"/>
        <v>44.982781035430634</v>
      </c>
      <c r="H144" s="31">
        <f t="shared" ca="1" si="18"/>
        <v>0</v>
      </c>
      <c r="I144" s="9">
        <f t="shared" ca="1" si="15"/>
        <v>1371.9423382248317</v>
      </c>
      <c r="J144" s="30">
        <f t="shared" ca="1" si="16"/>
        <v>1008.1628063848285</v>
      </c>
      <c r="K144" s="122">
        <f t="shared" ca="1" si="19"/>
        <v>363.77953184000319</v>
      </c>
      <c r="L144" s="30"/>
      <c r="M144" s="30"/>
      <c r="N144" s="30"/>
      <c r="O144" s="30"/>
    </row>
    <row r="145" spans="1:15" x14ac:dyDescent="0.25">
      <c r="A145" s="10">
        <v>126</v>
      </c>
      <c r="B145" s="27">
        <f t="shared" ca="1" si="10"/>
        <v>0.99697853784935564</v>
      </c>
      <c r="C145" s="21">
        <f t="shared" ca="1" si="11"/>
        <v>297.02348263163776</v>
      </c>
      <c r="D145" s="21">
        <f t="shared" ca="1" si="12"/>
        <v>254.76099122559904</v>
      </c>
      <c r="E145" s="21">
        <f t="shared" ca="1" si="13"/>
        <v>0</v>
      </c>
      <c r="F145" s="22">
        <f t="shared" ca="1" si="17"/>
        <v>0</v>
      </c>
      <c r="G145" s="22">
        <f t="shared" ca="1" si="14"/>
        <v>44.982781035430634</v>
      </c>
      <c r="H145" s="31">
        <f t="shared" ca="1" si="18"/>
        <v>0</v>
      </c>
      <c r="I145" s="9">
        <f t="shared" ca="1" si="15"/>
        <v>1386.2238587791392</v>
      </c>
      <c r="J145" s="30">
        <f t="shared" ca="1" si="16"/>
        <v>1008.1628063848285</v>
      </c>
      <c r="K145" s="122">
        <f t="shared" ca="1" si="19"/>
        <v>378.06105239431065</v>
      </c>
      <c r="L145" s="30"/>
      <c r="M145" s="30"/>
      <c r="N145" s="30"/>
      <c r="O145" s="30"/>
    </row>
    <row r="146" spans="1:15" x14ac:dyDescent="0.25">
      <c r="A146" s="10">
        <v>127</v>
      </c>
      <c r="B146" s="27">
        <f t="shared" ca="1" si="10"/>
        <v>0.97837038926509035</v>
      </c>
      <c r="C146" s="21">
        <f t="shared" ca="1" si="11"/>
        <v>297.02348263163776</v>
      </c>
      <c r="D146" s="21">
        <f t="shared" ca="1" si="12"/>
        <v>252.04070159620713</v>
      </c>
      <c r="E146" s="21">
        <f t="shared" ca="1" si="13"/>
        <v>0</v>
      </c>
      <c r="F146" s="22">
        <f t="shared" ca="1" si="17"/>
        <v>0</v>
      </c>
      <c r="G146" s="22">
        <f t="shared" ca="1" si="14"/>
        <v>0</v>
      </c>
      <c r="H146" s="31">
        <f t="shared" ca="1" si="18"/>
        <v>0</v>
      </c>
      <c r="I146" s="9">
        <f t="shared" ca="1" si="15"/>
        <v>1386.2238587791392</v>
      </c>
      <c r="J146" s="30">
        <f t="shared" ca="1" si="16"/>
        <v>1008.1628063848285</v>
      </c>
      <c r="K146" s="122">
        <f t="shared" ca="1" si="19"/>
        <v>378.06105239431065</v>
      </c>
      <c r="L146" s="30"/>
      <c r="M146" s="30"/>
      <c r="N146" s="30"/>
      <c r="O146" s="30"/>
    </row>
    <row r="147" spans="1:15" x14ac:dyDescent="0.25">
      <c r="A147" s="10">
        <v>128</v>
      </c>
      <c r="B147" s="27">
        <f t="shared" ca="1" si="10"/>
        <v>0.67879197572468075</v>
      </c>
      <c r="C147" s="21">
        <f t="shared" ca="1" si="11"/>
        <v>249.32041196681521</v>
      </c>
      <c r="D147" s="21">
        <f t="shared" ca="1" si="12"/>
        <v>252.04070159620713</v>
      </c>
      <c r="E147" s="21">
        <f t="shared" ca="1" si="13"/>
        <v>2.7202896293919139</v>
      </c>
      <c r="F147" s="22">
        <f t="shared" ca="1" si="17"/>
        <v>2.7202896293919139</v>
      </c>
      <c r="G147" s="22">
        <f t="shared" ca="1" si="14"/>
        <v>0</v>
      </c>
      <c r="H147" s="31">
        <f t="shared" ca="1" si="18"/>
        <v>2.7202896293919139</v>
      </c>
      <c r="I147" s="9">
        <f t="shared" ca="1" si="15"/>
        <v>1371.9423382248317</v>
      </c>
      <c r="J147" s="30">
        <f t="shared" ca="1" si="16"/>
        <v>1012.2432408289164</v>
      </c>
      <c r="K147" s="122">
        <f t="shared" ca="1" si="19"/>
        <v>359.69909739591526</v>
      </c>
      <c r="L147" s="30"/>
      <c r="M147" s="30"/>
      <c r="N147" s="30"/>
      <c r="O147" s="30"/>
    </row>
    <row r="148" spans="1:15" x14ac:dyDescent="0.25">
      <c r="A148" s="10">
        <v>129</v>
      </c>
      <c r="B148" s="27">
        <f t="shared" ref="B148:B211" ca="1" si="20">RAND()</f>
        <v>0.25711193934517163</v>
      </c>
      <c r="C148" s="21">
        <f t="shared" ref="C148:C211" ca="1" si="21">HLOOKUP(B148,$D$12:$H$13,2,TRUE)</f>
        <v>230.79639892259075</v>
      </c>
      <c r="D148" s="21">
        <f t="shared" ref="D148:D211" ca="1" si="22">$E$10+E147</f>
        <v>254.76099122559904</v>
      </c>
      <c r="E148" s="21">
        <f t="shared" ref="E148:E211" ca="1" si="23">IF(C148&gt;$E$10,0,$E$10-C148)</f>
        <v>21.244302673616374</v>
      </c>
      <c r="F148" s="22">
        <f t="shared" ca="1" si="17"/>
        <v>23.964592303008288</v>
      </c>
      <c r="G148" s="22">
        <f t="shared" ref="G148:G211" ca="1" si="24">IF(C149&gt;$E$10,C149-$E$10,0)</f>
        <v>0</v>
      </c>
      <c r="H148" s="31">
        <f t="shared" ca="1" si="18"/>
        <v>23.964592303008288</v>
      </c>
      <c r="I148" s="9">
        <f t="shared" ref="I148:I211" ca="1" si="25">IF($E$10&lt;C148,$E$10*$E$7,$E$9*($E$10-C148)+(C148*$E$7)+IF($E$10&lt;C149,H148*$E$8,E147*$E$8))</f>
        <v>1282.8521386308289</v>
      </c>
      <c r="J148" s="30">
        <f t="shared" ref="J148:J211" ca="1" si="26">IF(H148&gt;0,$E$10*$E$5+H148*$E$6,$E$10*$E$5)</f>
        <v>1044.109694839341</v>
      </c>
      <c r="K148" s="122">
        <f t="shared" ca="1" si="19"/>
        <v>238.74244379148786</v>
      </c>
      <c r="L148" s="30"/>
      <c r="M148" s="30"/>
      <c r="N148" s="30"/>
      <c r="O148" s="30"/>
    </row>
    <row r="149" spans="1:15" x14ac:dyDescent="0.25">
      <c r="A149" s="10">
        <v>130</v>
      </c>
      <c r="B149" s="27">
        <f t="shared" ca="1" si="20"/>
        <v>0.11039079168277699</v>
      </c>
      <c r="C149" s="21">
        <f t="shared" ca="1" si="21"/>
        <v>201.46234925421527</v>
      </c>
      <c r="D149" s="21">
        <f t="shared" ca="1" si="22"/>
        <v>273.2850042698235</v>
      </c>
      <c r="E149" s="21">
        <f t="shared" ca="1" si="23"/>
        <v>50.578352341991859</v>
      </c>
      <c r="F149" s="22">
        <f t="shared" ref="F149:F212" ca="1" si="27">IF(C149&gt;D149,0,D149-C149)</f>
        <v>71.822655015608234</v>
      </c>
      <c r="G149" s="22">
        <f t="shared" ca="1" si="24"/>
        <v>19.371706704047796</v>
      </c>
      <c r="H149" s="31">
        <f t="shared" ref="H149:H212" ca="1" si="28">IF(G149&gt;F149,0,IF(G149&lt;F149,F149-G149,0))</f>
        <v>52.450948311560438</v>
      </c>
      <c r="I149" s="9">
        <f t="shared" ca="1" si="25"/>
        <v>1278.0403539183635</v>
      </c>
      <c r="J149" s="30">
        <f t="shared" ca="1" si="26"/>
        <v>1086.8392288521691</v>
      </c>
      <c r="K149" s="122">
        <f t="shared" ref="K149:K212" ca="1" si="29">I149-J149</f>
        <v>191.20112506619444</v>
      </c>
      <c r="L149" s="30"/>
      <c r="M149" s="30"/>
      <c r="N149" s="30"/>
      <c r="O149" s="30"/>
    </row>
    <row r="150" spans="1:15" x14ac:dyDescent="0.25">
      <c r="A150" s="10">
        <v>131</v>
      </c>
      <c r="B150" s="27">
        <f t="shared" ca="1" si="20"/>
        <v>0.8001563136063139</v>
      </c>
      <c r="C150" s="21">
        <f t="shared" ca="1" si="21"/>
        <v>271.41240830025492</v>
      </c>
      <c r="D150" s="21">
        <f t="shared" ca="1" si="22"/>
        <v>302.61905393819899</v>
      </c>
      <c r="E150" s="21">
        <f t="shared" ca="1" si="23"/>
        <v>0</v>
      </c>
      <c r="F150" s="22">
        <f t="shared" ca="1" si="27"/>
        <v>31.206645637944064</v>
      </c>
      <c r="G150" s="22">
        <f t="shared" ca="1" si="24"/>
        <v>44.982781035430634</v>
      </c>
      <c r="H150" s="31">
        <f t="shared" ca="1" si="28"/>
        <v>0</v>
      </c>
      <c r="I150" s="9">
        <f t="shared" ca="1" si="25"/>
        <v>1386.2238587791392</v>
      </c>
      <c r="J150" s="30">
        <f t="shared" ca="1" si="26"/>
        <v>1008.1628063848285</v>
      </c>
      <c r="K150" s="122">
        <f t="shared" ca="1" si="29"/>
        <v>378.06105239431065</v>
      </c>
      <c r="L150" s="30"/>
      <c r="M150" s="30"/>
      <c r="N150" s="30"/>
      <c r="O150" s="30"/>
    </row>
    <row r="151" spans="1:15" x14ac:dyDescent="0.25">
      <c r="A151" s="10">
        <v>132</v>
      </c>
      <c r="B151" s="27">
        <f t="shared" ca="1" si="20"/>
        <v>0.97802032489170942</v>
      </c>
      <c r="C151" s="21">
        <f t="shared" ca="1" si="21"/>
        <v>297.02348263163776</v>
      </c>
      <c r="D151" s="21">
        <f t="shared" ca="1" si="22"/>
        <v>252.04070159620713</v>
      </c>
      <c r="E151" s="21">
        <f t="shared" ca="1" si="23"/>
        <v>0</v>
      </c>
      <c r="F151" s="22">
        <f t="shared" ca="1" si="27"/>
        <v>0</v>
      </c>
      <c r="G151" s="22">
        <f t="shared" ca="1" si="24"/>
        <v>0</v>
      </c>
      <c r="H151" s="31">
        <f t="shared" ca="1" si="28"/>
        <v>0</v>
      </c>
      <c r="I151" s="9">
        <f t="shared" ca="1" si="25"/>
        <v>1386.2238587791392</v>
      </c>
      <c r="J151" s="30">
        <f t="shared" ca="1" si="26"/>
        <v>1008.1628063848285</v>
      </c>
      <c r="K151" s="122">
        <f t="shared" ca="1" si="29"/>
        <v>378.06105239431065</v>
      </c>
      <c r="L151" s="30"/>
      <c r="M151" s="30"/>
      <c r="N151" s="30"/>
      <c r="O151" s="30"/>
    </row>
    <row r="152" spans="1:15" x14ac:dyDescent="0.25">
      <c r="A152" s="10">
        <v>133</v>
      </c>
      <c r="B152" s="27">
        <f t="shared" ca="1" si="20"/>
        <v>0.1752845163411092</v>
      </c>
      <c r="C152" s="21">
        <f t="shared" ca="1" si="21"/>
        <v>230.79639892259075</v>
      </c>
      <c r="D152" s="21">
        <f t="shared" ca="1" si="22"/>
        <v>252.04070159620713</v>
      </c>
      <c r="E152" s="21">
        <f t="shared" ca="1" si="23"/>
        <v>21.244302673616374</v>
      </c>
      <c r="F152" s="22">
        <f t="shared" ca="1" si="27"/>
        <v>21.244302673616374</v>
      </c>
      <c r="G152" s="22">
        <f t="shared" ca="1" si="24"/>
        <v>0</v>
      </c>
      <c r="H152" s="31">
        <f t="shared" ca="1" si="28"/>
        <v>21.244302673616374</v>
      </c>
      <c r="I152" s="9">
        <f t="shared" ca="1" si="25"/>
        <v>1274.6912697426533</v>
      </c>
      <c r="J152" s="30">
        <f t="shared" ca="1" si="26"/>
        <v>1040.029260395253</v>
      </c>
      <c r="K152" s="122">
        <f t="shared" ca="1" si="29"/>
        <v>234.66200934740027</v>
      </c>
      <c r="L152" s="30"/>
      <c r="M152" s="30"/>
      <c r="N152" s="30"/>
      <c r="O152" s="30"/>
    </row>
    <row r="153" spans="1:15" x14ac:dyDescent="0.25">
      <c r="A153" s="10">
        <v>134</v>
      </c>
      <c r="B153" s="27">
        <f t="shared" ca="1" si="20"/>
        <v>0.10785169916730009</v>
      </c>
      <c r="C153" s="21">
        <f t="shared" ca="1" si="21"/>
        <v>201.46234925421527</v>
      </c>
      <c r="D153" s="21">
        <f t="shared" ca="1" si="22"/>
        <v>273.2850042698235</v>
      </c>
      <c r="E153" s="21">
        <f t="shared" ca="1" si="23"/>
        <v>50.578352341991859</v>
      </c>
      <c r="F153" s="22">
        <f t="shared" ca="1" si="27"/>
        <v>71.822655015608234</v>
      </c>
      <c r="G153" s="22">
        <f t="shared" ca="1" si="24"/>
        <v>19.371706704047796</v>
      </c>
      <c r="H153" s="31">
        <f t="shared" ca="1" si="28"/>
        <v>52.450948311560438</v>
      </c>
      <c r="I153" s="9">
        <f t="shared" ca="1" si="25"/>
        <v>1278.0403539183635</v>
      </c>
      <c r="J153" s="30">
        <f t="shared" ca="1" si="26"/>
        <v>1086.8392288521691</v>
      </c>
      <c r="K153" s="122">
        <f t="shared" ca="1" si="29"/>
        <v>191.20112506619444</v>
      </c>
      <c r="L153" s="30"/>
      <c r="M153" s="30"/>
      <c r="N153" s="30"/>
      <c r="O153" s="30"/>
    </row>
    <row r="154" spans="1:15" x14ac:dyDescent="0.25">
      <c r="A154" s="10">
        <v>135</v>
      </c>
      <c r="B154" s="27">
        <f t="shared" ca="1" si="20"/>
        <v>0.75053545054369741</v>
      </c>
      <c r="C154" s="21">
        <f t="shared" ca="1" si="21"/>
        <v>271.41240830025492</v>
      </c>
      <c r="D154" s="21">
        <f t="shared" ca="1" si="22"/>
        <v>302.61905393819899</v>
      </c>
      <c r="E154" s="21">
        <f t="shared" ca="1" si="23"/>
        <v>0</v>
      </c>
      <c r="F154" s="22">
        <f t="shared" ca="1" si="27"/>
        <v>31.206645637944064</v>
      </c>
      <c r="G154" s="22">
        <f t="shared" ca="1" si="24"/>
        <v>19.371706704047796</v>
      </c>
      <c r="H154" s="31">
        <f t="shared" ca="1" si="28"/>
        <v>11.834938933896268</v>
      </c>
      <c r="I154" s="9">
        <f t="shared" ca="1" si="25"/>
        <v>1386.2238587791392</v>
      </c>
      <c r="J154" s="30">
        <f t="shared" ca="1" si="26"/>
        <v>1025.915214785673</v>
      </c>
      <c r="K154" s="122">
        <f t="shared" ca="1" si="29"/>
        <v>360.30864399346615</v>
      </c>
      <c r="L154" s="30"/>
      <c r="M154" s="30"/>
      <c r="N154" s="30"/>
      <c r="O154" s="30"/>
    </row>
    <row r="155" spans="1:15" x14ac:dyDescent="0.25">
      <c r="A155" s="10">
        <v>136</v>
      </c>
      <c r="B155" s="27">
        <f t="shared" ca="1" si="20"/>
        <v>0.75806147144390623</v>
      </c>
      <c r="C155" s="21">
        <f t="shared" ca="1" si="21"/>
        <v>271.41240830025492</v>
      </c>
      <c r="D155" s="21">
        <f t="shared" ca="1" si="22"/>
        <v>252.04070159620713</v>
      </c>
      <c r="E155" s="21">
        <f t="shared" ca="1" si="23"/>
        <v>0</v>
      </c>
      <c r="F155" s="22">
        <f t="shared" ca="1" si="27"/>
        <v>0</v>
      </c>
      <c r="G155" s="22">
        <f t="shared" ca="1" si="24"/>
        <v>0</v>
      </c>
      <c r="H155" s="31">
        <f t="shared" ca="1" si="28"/>
        <v>0</v>
      </c>
      <c r="I155" s="9">
        <f t="shared" ca="1" si="25"/>
        <v>1386.2238587791392</v>
      </c>
      <c r="J155" s="30">
        <f t="shared" ca="1" si="26"/>
        <v>1008.1628063848285</v>
      </c>
      <c r="K155" s="122">
        <f t="shared" ca="1" si="29"/>
        <v>378.06105239431065</v>
      </c>
      <c r="L155" s="30"/>
      <c r="M155" s="30"/>
      <c r="N155" s="30"/>
      <c r="O155" s="30"/>
    </row>
    <row r="156" spans="1:15" x14ac:dyDescent="0.25">
      <c r="A156" s="10">
        <v>137</v>
      </c>
      <c r="B156" s="27">
        <f t="shared" ca="1" si="20"/>
        <v>0.44273343240635321</v>
      </c>
      <c r="C156" s="21">
        <f t="shared" ca="1" si="21"/>
        <v>249.32041196681521</v>
      </c>
      <c r="D156" s="21">
        <f t="shared" ca="1" si="22"/>
        <v>252.04070159620713</v>
      </c>
      <c r="E156" s="21">
        <f t="shared" ca="1" si="23"/>
        <v>2.7202896293919139</v>
      </c>
      <c r="F156" s="22">
        <f t="shared" ca="1" si="27"/>
        <v>2.7202896293919139</v>
      </c>
      <c r="G156" s="22">
        <f t="shared" ca="1" si="24"/>
        <v>0</v>
      </c>
      <c r="H156" s="31">
        <f t="shared" ca="1" si="28"/>
        <v>2.7202896293919139</v>
      </c>
      <c r="I156" s="9">
        <f t="shared" ca="1" si="25"/>
        <v>1371.9423382248317</v>
      </c>
      <c r="J156" s="30">
        <f t="shared" ca="1" si="26"/>
        <v>1012.2432408289164</v>
      </c>
      <c r="K156" s="122">
        <f t="shared" ca="1" si="29"/>
        <v>359.69909739591526</v>
      </c>
      <c r="L156" s="30"/>
      <c r="M156" s="30"/>
      <c r="N156" s="30"/>
      <c r="O156" s="30"/>
    </row>
    <row r="157" spans="1:15" x14ac:dyDescent="0.25">
      <c r="A157" s="10">
        <v>138</v>
      </c>
      <c r="B157" s="27">
        <f t="shared" ca="1" si="20"/>
        <v>0.38609961353293532</v>
      </c>
      <c r="C157" s="21">
        <f t="shared" ca="1" si="21"/>
        <v>230.79639892259075</v>
      </c>
      <c r="D157" s="21">
        <f t="shared" ca="1" si="22"/>
        <v>254.76099122559904</v>
      </c>
      <c r="E157" s="21">
        <f t="shared" ca="1" si="23"/>
        <v>21.244302673616374</v>
      </c>
      <c r="F157" s="22">
        <f t="shared" ca="1" si="27"/>
        <v>23.964592303008288</v>
      </c>
      <c r="G157" s="22">
        <f t="shared" ca="1" si="24"/>
        <v>0</v>
      </c>
      <c r="H157" s="31">
        <f t="shared" ca="1" si="28"/>
        <v>23.964592303008288</v>
      </c>
      <c r="I157" s="9">
        <f t="shared" ca="1" si="25"/>
        <v>1282.8521386308289</v>
      </c>
      <c r="J157" s="30">
        <f t="shared" ca="1" si="26"/>
        <v>1044.109694839341</v>
      </c>
      <c r="K157" s="122">
        <f t="shared" ca="1" si="29"/>
        <v>238.74244379148786</v>
      </c>
      <c r="L157" s="30"/>
      <c r="M157" s="30"/>
      <c r="N157" s="30"/>
      <c r="O157" s="30"/>
    </row>
    <row r="158" spans="1:15" x14ac:dyDescent="0.25">
      <c r="A158" s="10">
        <v>139</v>
      </c>
      <c r="B158" s="27">
        <f t="shared" ca="1" si="20"/>
        <v>0.27079740056931978</v>
      </c>
      <c r="C158" s="21">
        <f t="shared" ca="1" si="21"/>
        <v>230.79639892259075</v>
      </c>
      <c r="D158" s="21">
        <f t="shared" ca="1" si="22"/>
        <v>273.2850042698235</v>
      </c>
      <c r="E158" s="21">
        <f t="shared" ca="1" si="23"/>
        <v>21.244302673616374</v>
      </c>
      <c r="F158" s="22">
        <f t="shared" ca="1" si="27"/>
        <v>42.488605347232749</v>
      </c>
      <c r="G158" s="22">
        <f t="shared" ca="1" si="24"/>
        <v>0</v>
      </c>
      <c r="H158" s="31">
        <f t="shared" ca="1" si="28"/>
        <v>42.488605347232749</v>
      </c>
      <c r="I158" s="9">
        <f t="shared" ca="1" si="25"/>
        <v>1338.4241777635025</v>
      </c>
      <c r="J158" s="30">
        <f t="shared" ca="1" si="26"/>
        <v>1071.8957144056776</v>
      </c>
      <c r="K158" s="122">
        <f t="shared" ca="1" si="29"/>
        <v>266.52846335782488</v>
      </c>
      <c r="L158" s="30"/>
      <c r="M158" s="30"/>
      <c r="N158" s="30"/>
      <c r="O158" s="30"/>
    </row>
    <row r="159" spans="1:15" x14ac:dyDescent="0.25">
      <c r="A159" s="10">
        <v>140</v>
      </c>
      <c r="B159" s="27">
        <f t="shared" ca="1" si="20"/>
        <v>0.45282447239667023</v>
      </c>
      <c r="C159" s="21">
        <f t="shared" ca="1" si="21"/>
        <v>249.32041196681521</v>
      </c>
      <c r="D159" s="21">
        <f t="shared" ca="1" si="22"/>
        <v>273.2850042698235</v>
      </c>
      <c r="E159" s="21">
        <f t="shared" ca="1" si="23"/>
        <v>2.7202896293919139</v>
      </c>
      <c r="F159" s="22">
        <f t="shared" ca="1" si="27"/>
        <v>23.964592303008288</v>
      </c>
      <c r="G159" s="22">
        <f t="shared" ca="1" si="24"/>
        <v>0</v>
      </c>
      <c r="H159" s="31">
        <f t="shared" ca="1" si="28"/>
        <v>23.964592303008288</v>
      </c>
      <c r="I159" s="9">
        <f t="shared" ca="1" si="25"/>
        <v>1435.6752462456809</v>
      </c>
      <c r="J159" s="30">
        <f t="shared" ca="1" si="26"/>
        <v>1044.109694839341</v>
      </c>
      <c r="K159" s="122">
        <f t="shared" ca="1" si="29"/>
        <v>391.56555140633986</v>
      </c>
      <c r="L159" s="30"/>
      <c r="M159" s="30"/>
      <c r="N159" s="30"/>
      <c r="O159" s="30"/>
    </row>
    <row r="160" spans="1:15" x14ac:dyDescent="0.25">
      <c r="A160" s="10">
        <v>141</v>
      </c>
      <c r="B160" s="27">
        <f t="shared" ca="1" si="20"/>
        <v>0.114646082379396</v>
      </c>
      <c r="C160" s="21">
        <f t="shared" ca="1" si="21"/>
        <v>201.46234925421527</v>
      </c>
      <c r="D160" s="21">
        <f t="shared" ca="1" si="22"/>
        <v>254.76099122559904</v>
      </c>
      <c r="E160" s="21">
        <f t="shared" ca="1" si="23"/>
        <v>50.578352341991859</v>
      </c>
      <c r="F160" s="22">
        <f t="shared" ca="1" si="27"/>
        <v>53.298641971383773</v>
      </c>
      <c r="G160" s="22">
        <f t="shared" ca="1" si="24"/>
        <v>0</v>
      </c>
      <c r="H160" s="31">
        <f t="shared" ca="1" si="28"/>
        <v>53.298641971383773</v>
      </c>
      <c r="I160" s="9">
        <f t="shared" ca="1" si="25"/>
        <v>1128.8483778718578</v>
      </c>
      <c r="J160" s="30">
        <f t="shared" ca="1" si="26"/>
        <v>1088.1107693419042</v>
      </c>
      <c r="K160" s="122">
        <f t="shared" ca="1" si="29"/>
        <v>40.737608529953604</v>
      </c>
      <c r="L160" s="30"/>
      <c r="M160" s="30"/>
      <c r="N160" s="30"/>
      <c r="O160" s="30"/>
    </row>
    <row r="161" spans="1:15" x14ac:dyDescent="0.25">
      <c r="A161" s="10">
        <v>142</v>
      </c>
      <c r="B161" s="27">
        <f t="shared" ca="1" si="20"/>
        <v>3.1689581696140112E-2</v>
      </c>
      <c r="C161" s="21">
        <f t="shared" ca="1" si="21"/>
        <v>201.46234925421527</v>
      </c>
      <c r="D161" s="21">
        <f t="shared" ca="1" si="22"/>
        <v>302.61905393819899</v>
      </c>
      <c r="E161" s="21">
        <f t="shared" ca="1" si="23"/>
        <v>50.578352341991859</v>
      </c>
      <c r="F161" s="22">
        <f t="shared" ca="1" si="27"/>
        <v>101.15670468398372</v>
      </c>
      <c r="G161" s="22">
        <f t="shared" ca="1" si="24"/>
        <v>0</v>
      </c>
      <c r="H161" s="31">
        <f t="shared" ca="1" si="28"/>
        <v>101.15670468398372</v>
      </c>
      <c r="I161" s="9">
        <f t="shared" ca="1" si="25"/>
        <v>1272.4225660096577</v>
      </c>
      <c r="J161" s="30">
        <f t="shared" ca="1" si="26"/>
        <v>1159.8978634108041</v>
      </c>
      <c r="K161" s="122">
        <f t="shared" ca="1" si="29"/>
        <v>112.52470259885354</v>
      </c>
      <c r="L161" s="30"/>
      <c r="M161" s="30"/>
      <c r="N161" s="30"/>
      <c r="O161" s="30"/>
    </row>
    <row r="162" spans="1:15" x14ac:dyDescent="0.25">
      <c r="A162" s="10">
        <v>143</v>
      </c>
      <c r="B162" s="27">
        <f t="shared" ca="1" si="20"/>
        <v>0.64176472387733952</v>
      </c>
      <c r="C162" s="21">
        <f t="shared" ca="1" si="21"/>
        <v>249.32041196681521</v>
      </c>
      <c r="D162" s="21">
        <f t="shared" ca="1" si="22"/>
        <v>302.61905393819899</v>
      </c>
      <c r="E162" s="21">
        <f t="shared" ca="1" si="23"/>
        <v>2.7202896293919139</v>
      </c>
      <c r="F162" s="22">
        <f t="shared" ca="1" si="27"/>
        <v>53.298641971383773</v>
      </c>
      <c r="G162" s="22">
        <f t="shared" ca="1" si="24"/>
        <v>0</v>
      </c>
      <c r="H162" s="31">
        <f t="shared" ca="1" si="28"/>
        <v>53.298641971383773</v>
      </c>
      <c r="I162" s="9">
        <f t="shared" ca="1" si="25"/>
        <v>1523.6773952508072</v>
      </c>
      <c r="J162" s="30">
        <f t="shared" ca="1" si="26"/>
        <v>1088.1107693419042</v>
      </c>
      <c r="K162" s="122">
        <f t="shared" ca="1" si="29"/>
        <v>435.56662590890301</v>
      </c>
      <c r="L162" s="30"/>
      <c r="M162" s="30"/>
      <c r="N162" s="30"/>
      <c r="O162" s="30"/>
    </row>
    <row r="163" spans="1:15" x14ac:dyDescent="0.25">
      <c r="A163" s="10">
        <v>144</v>
      </c>
      <c r="B163" s="27">
        <f t="shared" ca="1" si="20"/>
        <v>0.6372808365115572</v>
      </c>
      <c r="C163" s="21">
        <f t="shared" ca="1" si="21"/>
        <v>249.32041196681521</v>
      </c>
      <c r="D163" s="21">
        <f t="shared" ca="1" si="22"/>
        <v>254.76099122559904</v>
      </c>
      <c r="E163" s="21">
        <f t="shared" ca="1" si="23"/>
        <v>2.7202896293919139</v>
      </c>
      <c r="F163" s="22">
        <f t="shared" ca="1" si="27"/>
        <v>5.4405792587838278</v>
      </c>
      <c r="G163" s="22">
        <f t="shared" ca="1" si="24"/>
        <v>0</v>
      </c>
      <c r="H163" s="31">
        <f t="shared" ca="1" si="28"/>
        <v>5.4405792587838278</v>
      </c>
      <c r="I163" s="9">
        <f t="shared" ca="1" si="25"/>
        <v>1380.1032071130076</v>
      </c>
      <c r="J163" s="30">
        <f t="shared" ca="1" si="26"/>
        <v>1016.3236752730043</v>
      </c>
      <c r="K163" s="122">
        <f t="shared" ca="1" si="29"/>
        <v>363.7795318400033</v>
      </c>
      <c r="L163" s="30"/>
      <c r="M163" s="30"/>
      <c r="N163" s="30"/>
      <c r="O163" s="30"/>
    </row>
    <row r="164" spans="1:15" x14ac:dyDescent="0.25">
      <c r="A164" s="10">
        <v>145</v>
      </c>
      <c r="B164" s="27">
        <f t="shared" ca="1" si="20"/>
        <v>0.34993808720318365</v>
      </c>
      <c r="C164" s="21">
        <f t="shared" ca="1" si="21"/>
        <v>230.79639892259075</v>
      </c>
      <c r="D164" s="21">
        <f t="shared" ca="1" si="22"/>
        <v>254.76099122559904</v>
      </c>
      <c r="E164" s="21">
        <f t="shared" ca="1" si="23"/>
        <v>21.244302673616374</v>
      </c>
      <c r="F164" s="22">
        <f t="shared" ca="1" si="27"/>
        <v>23.964592303008288</v>
      </c>
      <c r="G164" s="22">
        <f t="shared" ca="1" si="24"/>
        <v>0</v>
      </c>
      <c r="H164" s="31">
        <f t="shared" ca="1" si="28"/>
        <v>23.964592303008288</v>
      </c>
      <c r="I164" s="9">
        <f t="shared" ca="1" si="25"/>
        <v>1282.8521386308289</v>
      </c>
      <c r="J164" s="30">
        <f t="shared" ca="1" si="26"/>
        <v>1044.109694839341</v>
      </c>
      <c r="K164" s="122">
        <f t="shared" ca="1" si="29"/>
        <v>238.74244379148786</v>
      </c>
      <c r="L164" s="30"/>
      <c r="M164" s="30"/>
      <c r="N164" s="30"/>
      <c r="O164" s="30"/>
    </row>
    <row r="165" spans="1:15" x14ac:dyDescent="0.25">
      <c r="A165" s="10">
        <v>146</v>
      </c>
      <c r="B165" s="43">
        <f t="shared" ca="1" si="20"/>
        <v>8.060291115751983E-2</v>
      </c>
      <c r="C165" s="44">
        <f t="shared" ca="1" si="21"/>
        <v>201.46234925421527</v>
      </c>
      <c r="D165" s="44">
        <f t="shared" ca="1" si="22"/>
        <v>273.2850042698235</v>
      </c>
      <c r="E165" s="44">
        <f t="shared" ca="1" si="23"/>
        <v>50.578352341991859</v>
      </c>
      <c r="F165" s="45">
        <f t="shared" ca="1" si="27"/>
        <v>71.822655015608234</v>
      </c>
      <c r="G165" s="45">
        <f t="shared" ca="1" si="24"/>
        <v>0</v>
      </c>
      <c r="H165" s="46">
        <f t="shared" ca="1" si="28"/>
        <v>71.822655015608234</v>
      </c>
      <c r="I165" s="1">
        <f t="shared" ca="1" si="25"/>
        <v>1184.4204170045314</v>
      </c>
      <c r="J165" s="47">
        <f t="shared" ca="1" si="26"/>
        <v>1115.896788908241</v>
      </c>
      <c r="K165" s="123">
        <f t="shared" ca="1" si="29"/>
        <v>68.523628096290395</v>
      </c>
      <c r="L165" s="30"/>
      <c r="M165" s="30"/>
      <c r="N165" s="30"/>
      <c r="O165" s="30"/>
    </row>
    <row r="166" spans="1:15" x14ac:dyDescent="0.25">
      <c r="A166" s="10">
        <v>147</v>
      </c>
      <c r="B166" s="48">
        <f t="shared" ca="1" si="20"/>
        <v>0.24997255454454326</v>
      </c>
      <c r="C166" s="49">
        <f t="shared" ca="1" si="21"/>
        <v>230.79639892259075</v>
      </c>
      <c r="D166" s="49">
        <f t="shared" ca="1" si="22"/>
        <v>302.61905393819899</v>
      </c>
      <c r="E166" s="49">
        <f t="shared" ca="1" si="23"/>
        <v>21.244302673616374</v>
      </c>
      <c r="F166" s="50">
        <f t="shared" ca="1" si="27"/>
        <v>71.822655015608234</v>
      </c>
      <c r="G166" s="50">
        <f t="shared" ca="1" si="24"/>
        <v>0</v>
      </c>
      <c r="H166" s="51">
        <f t="shared" ca="1" si="28"/>
        <v>71.822655015608234</v>
      </c>
      <c r="I166" s="52">
        <f t="shared" ca="1" si="25"/>
        <v>1426.4263267686288</v>
      </c>
      <c r="J166" s="53">
        <f t="shared" ca="1" si="26"/>
        <v>1115.896788908241</v>
      </c>
      <c r="K166" s="124">
        <f t="shared" ca="1" si="29"/>
        <v>310.52953786038779</v>
      </c>
      <c r="L166" s="30"/>
      <c r="M166" s="30"/>
      <c r="N166" s="30"/>
      <c r="O166" s="30"/>
    </row>
    <row r="167" spans="1:15" x14ac:dyDescent="0.25">
      <c r="A167" s="10">
        <v>148</v>
      </c>
      <c r="B167" s="27">
        <f t="shared" ca="1" si="20"/>
        <v>0.10076899222478386</v>
      </c>
      <c r="C167" s="21">
        <f t="shared" ca="1" si="21"/>
        <v>201.46234925421527</v>
      </c>
      <c r="D167" s="21">
        <f t="shared" ca="1" si="22"/>
        <v>273.2850042698235</v>
      </c>
      <c r="E167" s="21">
        <f t="shared" ca="1" si="23"/>
        <v>50.578352341991859</v>
      </c>
      <c r="F167" s="22">
        <f t="shared" ca="1" si="27"/>
        <v>71.822655015608234</v>
      </c>
      <c r="G167" s="22">
        <f t="shared" ca="1" si="24"/>
        <v>19.371706704047796</v>
      </c>
      <c r="H167" s="31">
        <f t="shared" ca="1" si="28"/>
        <v>52.450948311560438</v>
      </c>
      <c r="I167" s="9">
        <f t="shared" ca="1" si="25"/>
        <v>1278.0403539183635</v>
      </c>
      <c r="J167" s="30">
        <f t="shared" ca="1" si="26"/>
        <v>1086.8392288521691</v>
      </c>
      <c r="K167" s="122">
        <f t="shared" ca="1" si="29"/>
        <v>191.20112506619444</v>
      </c>
      <c r="L167" s="30"/>
      <c r="M167" s="30"/>
      <c r="N167" s="30"/>
      <c r="O167" s="30"/>
    </row>
    <row r="168" spans="1:15" x14ac:dyDescent="0.25">
      <c r="A168" s="10">
        <v>149</v>
      </c>
      <c r="B168" s="27">
        <f t="shared" ca="1" si="20"/>
        <v>0.85442367981849299</v>
      </c>
      <c r="C168" s="21">
        <f t="shared" ca="1" si="21"/>
        <v>271.41240830025492</v>
      </c>
      <c r="D168" s="21">
        <f t="shared" ca="1" si="22"/>
        <v>302.61905393819899</v>
      </c>
      <c r="E168" s="21">
        <f t="shared" ca="1" si="23"/>
        <v>0</v>
      </c>
      <c r="F168" s="22">
        <f t="shared" ca="1" si="27"/>
        <v>31.206645637944064</v>
      </c>
      <c r="G168" s="22">
        <f t="shared" ca="1" si="24"/>
        <v>0</v>
      </c>
      <c r="H168" s="31">
        <f t="shared" ca="1" si="28"/>
        <v>31.206645637944064</v>
      </c>
      <c r="I168" s="9">
        <f t="shared" ca="1" si="25"/>
        <v>1386.2238587791392</v>
      </c>
      <c r="J168" s="30">
        <f t="shared" ca="1" si="26"/>
        <v>1054.9727748417447</v>
      </c>
      <c r="K168" s="122">
        <f t="shared" ca="1" si="29"/>
        <v>331.25108393739447</v>
      </c>
      <c r="L168" s="30"/>
      <c r="M168" s="30"/>
      <c r="N168" s="30"/>
      <c r="O168" s="30"/>
    </row>
    <row r="169" spans="1:15" x14ac:dyDescent="0.25">
      <c r="A169" s="10">
        <v>150</v>
      </c>
      <c r="B169" s="27">
        <f t="shared" ca="1" si="20"/>
        <v>0.13057604725258143</v>
      </c>
      <c r="C169" s="21">
        <f t="shared" ca="1" si="21"/>
        <v>201.46234925421527</v>
      </c>
      <c r="D169" s="21">
        <f t="shared" ca="1" si="22"/>
        <v>252.04070159620713</v>
      </c>
      <c r="E169" s="21">
        <f t="shared" ca="1" si="23"/>
        <v>50.578352341991859</v>
      </c>
      <c r="F169" s="22">
        <f t="shared" ca="1" si="27"/>
        <v>50.578352341991859</v>
      </c>
      <c r="G169" s="22">
        <f t="shared" ca="1" si="24"/>
        <v>0</v>
      </c>
      <c r="H169" s="31">
        <f t="shared" ca="1" si="28"/>
        <v>50.578352341991859</v>
      </c>
      <c r="I169" s="9">
        <f t="shared" ca="1" si="25"/>
        <v>1120.6875089836822</v>
      </c>
      <c r="J169" s="30">
        <f t="shared" ca="1" si="26"/>
        <v>1084.0303348978164</v>
      </c>
      <c r="K169" s="122">
        <f t="shared" ca="1" si="29"/>
        <v>36.65717408586579</v>
      </c>
      <c r="L169" s="30"/>
      <c r="M169" s="30"/>
      <c r="N169" s="30"/>
      <c r="O169" s="30"/>
    </row>
    <row r="170" spans="1:15" x14ac:dyDescent="0.25">
      <c r="A170" s="10">
        <v>151</v>
      </c>
      <c r="B170" s="27">
        <f t="shared" ca="1" si="20"/>
        <v>0.34382079479361505</v>
      </c>
      <c r="C170" s="21">
        <f t="shared" ca="1" si="21"/>
        <v>230.79639892259075</v>
      </c>
      <c r="D170" s="21">
        <f t="shared" ca="1" si="22"/>
        <v>302.61905393819899</v>
      </c>
      <c r="E170" s="21">
        <f t="shared" ca="1" si="23"/>
        <v>21.244302673616374</v>
      </c>
      <c r="F170" s="22">
        <f t="shared" ca="1" si="27"/>
        <v>71.822655015608234</v>
      </c>
      <c r="G170" s="22">
        <f t="shared" ca="1" si="24"/>
        <v>44.982781035430634</v>
      </c>
      <c r="H170" s="31">
        <f t="shared" ca="1" si="28"/>
        <v>26.8398739801776</v>
      </c>
      <c r="I170" s="9">
        <f t="shared" ca="1" si="25"/>
        <v>1355.210891683186</v>
      </c>
      <c r="J170" s="30">
        <f t="shared" ca="1" si="26"/>
        <v>1048.4226173550949</v>
      </c>
      <c r="K170" s="122">
        <f t="shared" ca="1" si="29"/>
        <v>306.78827432809112</v>
      </c>
      <c r="L170" s="30"/>
      <c r="M170" s="30"/>
      <c r="N170" s="30"/>
      <c r="O170" s="30"/>
    </row>
    <row r="171" spans="1:15" x14ac:dyDescent="0.25">
      <c r="A171" s="10">
        <v>152</v>
      </c>
      <c r="B171" s="27">
        <f t="shared" ca="1" si="20"/>
        <v>0.93009550152696507</v>
      </c>
      <c r="C171" s="21">
        <f t="shared" ca="1" si="21"/>
        <v>297.02348263163776</v>
      </c>
      <c r="D171" s="21">
        <f t="shared" ca="1" si="22"/>
        <v>273.2850042698235</v>
      </c>
      <c r="E171" s="21">
        <f t="shared" ca="1" si="23"/>
        <v>0</v>
      </c>
      <c r="F171" s="22">
        <f t="shared" ca="1" si="27"/>
        <v>0</v>
      </c>
      <c r="G171" s="22">
        <f t="shared" ca="1" si="24"/>
        <v>44.982781035430634</v>
      </c>
      <c r="H171" s="31">
        <f t="shared" ca="1" si="28"/>
        <v>0</v>
      </c>
      <c r="I171" s="9">
        <f t="shared" ca="1" si="25"/>
        <v>1386.2238587791392</v>
      </c>
      <c r="J171" s="30">
        <f t="shared" ca="1" si="26"/>
        <v>1008.1628063848285</v>
      </c>
      <c r="K171" s="122">
        <f t="shared" ca="1" si="29"/>
        <v>378.06105239431065</v>
      </c>
      <c r="L171" s="30"/>
      <c r="M171" s="30"/>
      <c r="N171" s="30"/>
      <c r="O171" s="30"/>
    </row>
    <row r="172" spans="1:15" x14ac:dyDescent="0.25">
      <c r="A172" s="10">
        <v>153</v>
      </c>
      <c r="B172" s="27">
        <f t="shared" ca="1" si="20"/>
        <v>0.94225853700513451</v>
      </c>
      <c r="C172" s="21">
        <f t="shared" ca="1" si="21"/>
        <v>297.02348263163776</v>
      </c>
      <c r="D172" s="21">
        <f t="shared" ca="1" si="22"/>
        <v>252.04070159620713</v>
      </c>
      <c r="E172" s="21">
        <f t="shared" ca="1" si="23"/>
        <v>0</v>
      </c>
      <c r="F172" s="22">
        <f t="shared" ca="1" si="27"/>
        <v>0</v>
      </c>
      <c r="G172" s="22">
        <f t="shared" ca="1" si="24"/>
        <v>0</v>
      </c>
      <c r="H172" s="31">
        <f t="shared" ca="1" si="28"/>
        <v>0</v>
      </c>
      <c r="I172" s="9">
        <f t="shared" ca="1" si="25"/>
        <v>1386.2238587791392</v>
      </c>
      <c r="J172" s="30">
        <f t="shared" ca="1" si="26"/>
        <v>1008.1628063848285</v>
      </c>
      <c r="K172" s="122">
        <f t="shared" ca="1" si="29"/>
        <v>378.06105239431065</v>
      </c>
      <c r="L172" s="30"/>
      <c r="M172" s="30"/>
      <c r="N172" s="30"/>
      <c r="O172" s="30"/>
    </row>
    <row r="173" spans="1:15" x14ac:dyDescent="0.25">
      <c r="A173" s="10">
        <v>154</v>
      </c>
      <c r="B173" s="27">
        <f t="shared" ca="1" si="20"/>
        <v>0.44678039338239328</v>
      </c>
      <c r="C173" s="21">
        <f t="shared" ca="1" si="21"/>
        <v>249.32041196681521</v>
      </c>
      <c r="D173" s="21">
        <f t="shared" ca="1" si="22"/>
        <v>252.04070159620713</v>
      </c>
      <c r="E173" s="21">
        <f t="shared" ca="1" si="23"/>
        <v>2.7202896293919139</v>
      </c>
      <c r="F173" s="22">
        <f t="shared" ca="1" si="27"/>
        <v>2.7202896293919139</v>
      </c>
      <c r="G173" s="22">
        <f t="shared" ca="1" si="24"/>
        <v>0</v>
      </c>
      <c r="H173" s="31">
        <f t="shared" ca="1" si="28"/>
        <v>2.7202896293919139</v>
      </c>
      <c r="I173" s="9">
        <f t="shared" ca="1" si="25"/>
        <v>1371.9423382248317</v>
      </c>
      <c r="J173" s="30">
        <f t="shared" ca="1" si="26"/>
        <v>1012.2432408289164</v>
      </c>
      <c r="K173" s="122">
        <f t="shared" ca="1" si="29"/>
        <v>359.69909739591526</v>
      </c>
      <c r="L173" s="30"/>
      <c r="M173" s="30"/>
      <c r="N173" s="30"/>
      <c r="O173" s="30"/>
    </row>
    <row r="174" spans="1:15" x14ac:dyDescent="0.25">
      <c r="A174" s="10">
        <v>155</v>
      </c>
      <c r="B174" s="27">
        <f t="shared" ca="1" si="20"/>
        <v>0.63274098624059172</v>
      </c>
      <c r="C174" s="21">
        <f t="shared" ca="1" si="21"/>
        <v>249.32041196681521</v>
      </c>
      <c r="D174" s="21">
        <f t="shared" ca="1" si="22"/>
        <v>254.76099122559904</v>
      </c>
      <c r="E174" s="21">
        <f t="shared" ca="1" si="23"/>
        <v>2.7202896293919139</v>
      </c>
      <c r="F174" s="22">
        <f t="shared" ca="1" si="27"/>
        <v>5.4405792587838278</v>
      </c>
      <c r="G174" s="22">
        <f t="shared" ca="1" si="24"/>
        <v>19.371706704047796</v>
      </c>
      <c r="H174" s="31">
        <f t="shared" ca="1" si="28"/>
        <v>0</v>
      </c>
      <c r="I174" s="9">
        <f t="shared" ca="1" si="25"/>
        <v>1371.9423382248317</v>
      </c>
      <c r="J174" s="30">
        <f t="shared" ca="1" si="26"/>
        <v>1008.1628063848285</v>
      </c>
      <c r="K174" s="122">
        <f t="shared" ca="1" si="29"/>
        <v>363.77953184000319</v>
      </c>
      <c r="L174" s="30"/>
      <c r="M174" s="30"/>
      <c r="N174" s="30"/>
      <c r="O174" s="30"/>
    </row>
    <row r="175" spans="1:15" x14ac:dyDescent="0.25">
      <c r="A175" s="10">
        <v>156</v>
      </c>
      <c r="B175" s="27">
        <f t="shared" ca="1" si="20"/>
        <v>0.80666004719503026</v>
      </c>
      <c r="C175" s="21">
        <f t="shared" ca="1" si="21"/>
        <v>271.41240830025492</v>
      </c>
      <c r="D175" s="21">
        <f t="shared" ca="1" si="22"/>
        <v>254.76099122559904</v>
      </c>
      <c r="E175" s="21">
        <f t="shared" ca="1" si="23"/>
        <v>0</v>
      </c>
      <c r="F175" s="22">
        <f t="shared" ca="1" si="27"/>
        <v>0</v>
      </c>
      <c r="G175" s="22">
        <f t="shared" ca="1" si="24"/>
        <v>0</v>
      </c>
      <c r="H175" s="31">
        <f t="shared" ca="1" si="28"/>
        <v>0</v>
      </c>
      <c r="I175" s="9">
        <f t="shared" ca="1" si="25"/>
        <v>1386.2238587791392</v>
      </c>
      <c r="J175" s="30">
        <f t="shared" ca="1" si="26"/>
        <v>1008.1628063848285</v>
      </c>
      <c r="K175" s="122">
        <f t="shared" ca="1" si="29"/>
        <v>378.06105239431065</v>
      </c>
      <c r="L175" s="30"/>
      <c r="M175" s="30"/>
      <c r="N175" s="30"/>
      <c r="O175" s="30"/>
    </row>
    <row r="176" spans="1:15" x14ac:dyDescent="0.25">
      <c r="A176" s="10">
        <v>157</v>
      </c>
      <c r="B176" s="27">
        <f t="shared" ca="1" si="20"/>
        <v>0.69523379105476568</v>
      </c>
      <c r="C176" s="21">
        <f t="shared" ca="1" si="21"/>
        <v>249.32041196681521</v>
      </c>
      <c r="D176" s="21">
        <f t="shared" ca="1" si="22"/>
        <v>252.04070159620713</v>
      </c>
      <c r="E176" s="21">
        <f t="shared" ca="1" si="23"/>
        <v>2.7202896293919139</v>
      </c>
      <c r="F176" s="22">
        <f t="shared" ca="1" si="27"/>
        <v>2.7202896293919139</v>
      </c>
      <c r="G176" s="22">
        <f t="shared" ca="1" si="24"/>
        <v>0</v>
      </c>
      <c r="H176" s="31">
        <f t="shared" ca="1" si="28"/>
        <v>2.7202896293919139</v>
      </c>
      <c r="I176" s="9">
        <f t="shared" ca="1" si="25"/>
        <v>1371.9423382248317</v>
      </c>
      <c r="J176" s="30">
        <f t="shared" ca="1" si="26"/>
        <v>1012.2432408289164</v>
      </c>
      <c r="K176" s="122">
        <f t="shared" ca="1" si="29"/>
        <v>359.69909739591526</v>
      </c>
      <c r="L176" s="30"/>
      <c r="M176" s="30"/>
      <c r="N176" s="30"/>
      <c r="O176" s="30"/>
    </row>
    <row r="177" spans="1:15" x14ac:dyDescent="0.25">
      <c r="A177" s="10">
        <v>158</v>
      </c>
      <c r="B177" s="27">
        <f t="shared" ca="1" si="20"/>
        <v>0.36243494839226986</v>
      </c>
      <c r="C177" s="21">
        <f t="shared" ca="1" si="21"/>
        <v>230.79639892259075</v>
      </c>
      <c r="D177" s="21">
        <f t="shared" ca="1" si="22"/>
        <v>254.76099122559904</v>
      </c>
      <c r="E177" s="21">
        <f t="shared" ca="1" si="23"/>
        <v>21.244302673616374</v>
      </c>
      <c r="F177" s="22">
        <f t="shared" ca="1" si="27"/>
        <v>23.964592303008288</v>
      </c>
      <c r="G177" s="22">
        <f t="shared" ca="1" si="24"/>
        <v>44.982781035430634</v>
      </c>
      <c r="H177" s="31">
        <f t="shared" ca="1" si="28"/>
        <v>0</v>
      </c>
      <c r="I177" s="9">
        <f t="shared" ca="1" si="25"/>
        <v>1274.6912697426533</v>
      </c>
      <c r="J177" s="30">
        <f t="shared" ca="1" si="26"/>
        <v>1008.1628063848285</v>
      </c>
      <c r="K177" s="122">
        <f t="shared" ca="1" si="29"/>
        <v>266.52846335782476</v>
      </c>
      <c r="L177" s="30"/>
      <c r="M177" s="30"/>
      <c r="N177" s="30"/>
      <c r="O177" s="30"/>
    </row>
    <row r="178" spans="1:15" x14ac:dyDescent="0.25">
      <c r="A178" s="10">
        <v>159</v>
      </c>
      <c r="B178" s="27">
        <f t="shared" ca="1" si="20"/>
        <v>0.91653214764381252</v>
      </c>
      <c r="C178" s="21">
        <f t="shared" ca="1" si="21"/>
        <v>297.02348263163776</v>
      </c>
      <c r="D178" s="21">
        <f t="shared" ca="1" si="22"/>
        <v>273.2850042698235</v>
      </c>
      <c r="E178" s="21">
        <f t="shared" ca="1" si="23"/>
        <v>0</v>
      </c>
      <c r="F178" s="22">
        <f t="shared" ca="1" si="27"/>
        <v>0</v>
      </c>
      <c r="G178" s="22">
        <f t="shared" ca="1" si="24"/>
        <v>0</v>
      </c>
      <c r="H178" s="31">
        <f t="shared" ca="1" si="28"/>
        <v>0</v>
      </c>
      <c r="I178" s="9">
        <f t="shared" ca="1" si="25"/>
        <v>1386.2238587791392</v>
      </c>
      <c r="J178" s="30">
        <f t="shared" ca="1" si="26"/>
        <v>1008.1628063848285</v>
      </c>
      <c r="K178" s="122">
        <f t="shared" ca="1" si="29"/>
        <v>378.06105239431065</v>
      </c>
      <c r="L178" s="30"/>
      <c r="M178" s="30"/>
      <c r="N178" s="30"/>
      <c r="O178" s="30"/>
    </row>
    <row r="179" spans="1:15" x14ac:dyDescent="0.25">
      <c r="A179" s="10">
        <v>160</v>
      </c>
      <c r="B179" s="27">
        <f t="shared" ca="1" si="20"/>
        <v>0.56555586516104916</v>
      </c>
      <c r="C179" s="21">
        <f t="shared" ca="1" si="21"/>
        <v>249.32041196681521</v>
      </c>
      <c r="D179" s="21">
        <f t="shared" ca="1" si="22"/>
        <v>252.04070159620713</v>
      </c>
      <c r="E179" s="21">
        <f t="shared" ca="1" si="23"/>
        <v>2.7202896293919139</v>
      </c>
      <c r="F179" s="22">
        <f t="shared" ca="1" si="27"/>
        <v>2.7202896293919139</v>
      </c>
      <c r="G179" s="22">
        <f t="shared" ca="1" si="24"/>
        <v>19.371706704047796</v>
      </c>
      <c r="H179" s="31">
        <f t="shared" ca="1" si="28"/>
        <v>0</v>
      </c>
      <c r="I179" s="9">
        <f t="shared" ca="1" si="25"/>
        <v>1371.9423382248317</v>
      </c>
      <c r="J179" s="30">
        <f t="shared" ca="1" si="26"/>
        <v>1008.1628063848285</v>
      </c>
      <c r="K179" s="122">
        <f t="shared" ca="1" si="29"/>
        <v>363.77953184000319</v>
      </c>
      <c r="L179" s="30"/>
      <c r="M179" s="30"/>
      <c r="N179" s="30"/>
      <c r="O179" s="30"/>
    </row>
    <row r="180" spans="1:15" x14ac:dyDescent="0.25">
      <c r="A180" s="10">
        <v>161</v>
      </c>
      <c r="B180" s="27">
        <f t="shared" ca="1" si="20"/>
        <v>0.70506033325842832</v>
      </c>
      <c r="C180" s="21">
        <f t="shared" ca="1" si="21"/>
        <v>271.41240830025492</v>
      </c>
      <c r="D180" s="21">
        <f t="shared" ca="1" si="22"/>
        <v>254.76099122559904</v>
      </c>
      <c r="E180" s="21">
        <f t="shared" ca="1" si="23"/>
        <v>0</v>
      </c>
      <c r="F180" s="22">
        <f t="shared" ca="1" si="27"/>
        <v>0</v>
      </c>
      <c r="G180" s="22">
        <f t="shared" ca="1" si="24"/>
        <v>0</v>
      </c>
      <c r="H180" s="31">
        <f t="shared" ca="1" si="28"/>
        <v>0</v>
      </c>
      <c r="I180" s="9">
        <f t="shared" ca="1" si="25"/>
        <v>1386.2238587791392</v>
      </c>
      <c r="J180" s="30">
        <f t="shared" ca="1" si="26"/>
        <v>1008.1628063848285</v>
      </c>
      <c r="K180" s="122">
        <f t="shared" ca="1" si="29"/>
        <v>378.06105239431065</v>
      </c>
      <c r="L180" s="30"/>
      <c r="M180" s="30"/>
      <c r="N180" s="30"/>
      <c r="O180" s="30"/>
    </row>
    <row r="181" spans="1:15" x14ac:dyDescent="0.25">
      <c r="A181" s="10">
        <v>162</v>
      </c>
      <c r="B181" s="27">
        <f t="shared" ca="1" si="20"/>
        <v>0.47736771791660948</v>
      </c>
      <c r="C181" s="21">
        <f t="shared" ca="1" si="21"/>
        <v>249.32041196681521</v>
      </c>
      <c r="D181" s="21">
        <f t="shared" ca="1" si="22"/>
        <v>252.04070159620713</v>
      </c>
      <c r="E181" s="21">
        <f t="shared" ca="1" si="23"/>
        <v>2.7202896293919139</v>
      </c>
      <c r="F181" s="22">
        <f t="shared" ca="1" si="27"/>
        <v>2.7202896293919139</v>
      </c>
      <c r="G181" s="22">
        <f t="shared" ca="1" si="24"/>
        <v>0</v>
      </c>
      <c r="H181" s="31">
        <f t="shared" ca="1" si="28"/>
        <v>2.7202896293919139</v>
      </c>
      <c r="I181" s="9">
        <f t="shared" ca="1" si="25"/>
        <v>1371.9423382248317</v>
      </c>
      <c r="J181" s="30">
        <f t="shared" ca="1" si="26"/>
        <v>1012.2432408289164</v>
      </c>
      <c r="K181" s="122">
        <f t="shared" ca="1" si="29"/>
        <v>359.69909739591526</v>
      </c>
      <c r="L181" s="30"/>
      <c r="M181" s="30"/>
      <c r="N181" s="30"/>
      <c r="O181" s="30"/>
    </row>
    <row r="182" spans="1:15" x14ac:dyDescent="0.25">
      <c r="A182" s="10">
        <v>163</v>
      </c>
      <c r="B182" s="27">
        <f t="shared" ca="1" si="20"/>
        <v>0.29679335820475383</v>
      </c>
      <c r="C182" s="21">
        <f t="shared" ca="1" si="21"/>
        <v>230.79639892259075</v>
      </c>
      <c r="D182" s="21">
        <f t="shared" ca="1" si="22"/>
        <v>254.76099122559904</v>
      </c>
      <c r="E182" s="21">
        <f t="shared" ca="1" si="23"/>
        <v>21.244302673616374</v>
      </c>
      <c r="F182" s="22">
        <f t="shared" ca="1" si="27"/>
        <v>23.964592303008288</v>
      </c>
      <c r="G182" s="22">
        <f t="shared" ca="1" si="24"/>
        <v>0</v>
      </c>
      <c r="H182" s="31">
        <f t="shared" ca="1" si="28"/>
        <v>23.964592303008288</v>
      </c>
      <c r="I182" s="9">
        <f t="shared" ca="1" si="25"/>
        <v>1282.8521386308289</v>
      </c>
      <c r="J182" s="30">
        <f t="shared" ca="1" si="26"/>
        <v>1044.109694839341</v>
      </c>
      <c r="K182" s="122">
        <f t="shared" ca="1" si="29"/>
        <v>238.74244379148786</v>
      </c>
      <c r="L182" s="30"/>
      <c r="M182" s="30"/>
      <c r="N182" s="30"/>
      <c r="O182" s="30"/>
    </row>
    <row r="183" spans="1:15" x14ac:dyDescent="0.25">
      <c r="A183" s="10">
        <v>164</v>
      </c>
      <c r="B183" s="27">
        <f t="shared" ca="1" si="20"/>
        <v>0.28248590460567513</v>
      </c>
      <c r="C183" s="21">
        <f t="shared" ca="1" si="21"/>
        <v>230.79639892259075</v>
      </c>
      <c r="D183" s="21">
        <f t="shared" ca="1" si="22"/>
        <v>273.2850042698235</v>
      </c>
      <c r="E183" s="21">
        <f t="shared" ca="1" si="23"/>
        <v>21.244302673616374</v>
      </c>
      <c r="F183" s="22">
        <f t="shared" ca="1" si="27"/>
        <v>42.488605347232749</v>
      </c>
      <c r="G183" s="22">
        <f t="shared" ca="1" si="24"/>
        <v>0</v>
      </c>
      <c r="H183" s="31">
        <f t="shared" ca="1" si="28"/>
        <v>42.488605347232749</v>
      </c>
      <c r="I183" s="9">
        <f t="shared" ca="1" si="25"/>
        <v>1338.4241777635025</v>
      </c>
      <c r="J183" s="30">
        <f t="shared" ca="1" si="26"/>
        <v>1071.8957144056776</v>
      </c>
      <c r="K183" s="122">
        <f t="shared" ca="1" si="29"/>
        <v>266.52846335782488</v>
      </c>
      <c r="L183" s="30"/>
      <c r="M183" s="30"/>
      <c r="N183" s="30"/>
      <c r="O183" s="30"/>
    </row>
    <row r="184" spans="1:15" x14ac:dyDescent="0.25">
      <c r="A184" s="10">
        <v>165</v>
      </c>
      <c r="B184" s="27">
        <f t="shared" ca="1" si="20"/>
        <v>0.33431547143120222</v>
      </c>
      <c r="C184" s="21">
        <f t="shared" ca="1" si="21"/>
        <v>230.79639892259075</v>
      </c>
      <c r="D184" s="21">
        <f t="shared" ca="1" si="22"/>
        <v>273.2850042698235</v>
      </c>
      <c r="E184" s="21">
        <f t="shared" ca="1" si="23"/>
        <v>21.244302673616374</v>
      </c>
      <c r="F184" s="22">
        <f t="shared" ca="1" si="27"/>
        <v>42.488605347232749</v>
      </c>
      <c r="G184" s="22">
        <f t="shared" ca="1" si="24"/>
        <v>0</v>
      </c>
      <c r="H184" s="31">
        <f t="shared" ca="1" si="28"/>
        <v>42.488605347232749</v>
      </c>
      <c r="I184" s="9">
        <f t="shared" ca="1" si="25"/>
        <v>1338.4241777635025</v>
      </c>
      <c r="J184" s="30">
        <f t="shared" ca="1" si="26"/>
        <v>1071.8957144056776</v>
      </c>
      <c r="K184" s="122">
        <f t="shared" ca="1" si="29"/>
        <v>266.52846335782488</v>
      </c>
      <c r="L184" s="30"/>
      <c r="M184" s="30"/>
      <c r="N184" s="30"/>
      <c r="O184" s="30"/>
    </row>
    <row r="185" spans="1:15" x14ac:dyDescent="0.25">
      <c r="A185" s="10">
        <v>166</v>
      </c>
      <c r="B185" s="27">
        <f t="shared" ca="1" si="20"/>
        <v>0.19262604879781531</v>
      </c>
      <c r="C185" s="21">
        <f t="shared" ca="1" si="21"/>
        <v>230.79639892259075</v>
      </c>
      <c r="D185" s="21">
        <f t="shared" ca="1" si="22"/>
        <v>273.2850042698235</v>
      </c>
      <c r="E185" s="21">
        <f t="shared" ca="1" si="23"/>
        <v>21.244302673616374</v>
      </c>
      <c r="F185" s="22">
        <f t="shared" ca="1" si="27"/>
        <v>42.488605347232749</v>
      </c>
      <c r="G185" s="22">
        <f t="shared" ca="1" si="24"/>
        <v>19.371706704047796</v>
      </c>
      <c r="H185" s="31">
        <f t="shared" ca="1" si="28"/>
        <v>23.116898643184953</v>
      </c>
      <c r="I185" s="9">
        <f t="shared" ca="1" si="25"/>
        <v>1344.0419656722081</v>
      </c>
      <c r="J185" s="30">
        <f t="shared" ca="1" si="26"/>
        <v>1042.8381543496059</v>
      </c>
      <c r="K185" s="122">
        <f t="shared" ca="1" si="29"/>
        <v>301.20381132260218</v>
      </c>
      <c r="L185" s="30"/>
      <c r="M185" s="30"/>
      <c r="N185" s="30"/>
      <c r="O185" s="30"/>
    </row>
    <row r="186" spans="1:15" x14ac:dyDescent="0.25">
      <c r="A186" s="10">
        <v>167</v>
      </c>
      <c r="B186" s="27">
        <f t="shared" ca="1" si="20"/>
        <v>0.85087324189196922</v>
      </c>
      <c r="C186" s="21">
        <f t="shared" ca="1" si="21"/>
        <v>271.41240830025492</v>
      </c>
      <c r="D186" s="21">
        <f t="shared" ca="1" si="22"/>
        <v>273.2850042698235</v>
      </c>
      <c r="E186" s="21">
        <f t="shared" ca="1" si="23"/>
        <v>0</v>
      </c>
      <c r="F186" s="22">
        <f t="shared" ca="1" si="27"/>
        <v>1.8725959695685788</v>
      </c>
      <c r="G186" s="22">
        <f t="shared" ca="1" si="24"/>
        <v>0</v>
      </c>
      <c r="H186" s="31">
        <f t="shared" ca="1" si="28"/>
        <v>1.8725959695685788</v>
      </c>
      <c r="I186" s="9">
        <f t="shared" ca="1" si="25"/>
        <v>1386.2238587791392</v>
      </c>
      <c r="J186" s="30">
        <f t="shared" ca="1" si="26"/>
        <v>1010.9717003391813</v>
      </c>
      <c r="K186" s="122">
        <f t="shared" ca="1" si="29"/>
        <v>375.25215843995784</v>
      </c>
      <c r="L186" s="30"/>
      <c r="M186" s="30"/>
      <c r="N186" s="30"/>
      <c r="O186" s="30"/>
    </row>
    <row r="187" spans="1:15" x14ac:dyDescent="0.25">
      <c r="A187" s="10">
        <v>168</v>
      </c>
      <c r="B187" s="27">
        <f t="shared" ca="1" si="20"/>
        <v>0.46788726235034028</v>
      </c>
      <c r="C187" s="21">
        <f t="shared" ca="1" si="21"/>
        <v>249.32041196681521</v>
      </c>
      <c r="D187" s="21">
        <f t="shared" ca="1" si="22"/>
        <v>252.04070159620713</v>
      </c>
      <c r="E187" s="21">
        <f t="shared" ca="1" si="23"/>
        <v>2.7202896293919139</v>
      </c>
      <c r="F187" s="22">
        <f t="shared" ca="1" si="27"/>
        <v>2.7202896293919139</v>
      </c>
      <c r="G187" s="22">
        <f t="shared" ca="1" si="24"/>
        <v>0</v>
      </c>
      <c r="H187" s="31">
        <f t="shared" ca="1" si="28"/>
        <v>2.7202896293919139</v>
      </c>
      <c r="I187" s="9">
        <f t="shared" ca="1" si="25"/>
        <v>1371.9423382248317</v>
      </c>
      <c r="J187" s="30">
        <f t="shared" ca="1" si="26"/>
        <v>1012.2432408289164</v>
      </c>
      <c r="K187" s="122">
        <f t="shared" ca="1" si="29"/>
        <v>359.69909739591526</v>
      </c>
      <c r="L187" s="30"/>
      <c r="M187" s="30"/>
      <c r="N187" s="30"/>
      <c r="O187" s="30"/>
    </row>
    <row r="188" spans="1:15" x14ac:dyDescent="0.25">
      <c r="A188" s="10">
        <v>169</v>
      </c>
      <c r="B188" s="27">
        <f t="shared" ca="1" si="20"/>
        <v>0.55214931994188332</v>
      </c>
      <c r="C188" s="21">
        <f t="shared" ca="1" si="21"/>
        <v>249.32041196681521</v>
      </c>
      <c r="D188" s="21">
        <f t="shared" ca="1" si="22"/>
        <v>254.76099122559904</v>
      </c>
      <c r="E188" s="21">
        <f t="shared" ca="1" si="23"/>
        <v>2.7202896293919139</v>
      </c>
      <c r="F188" s="22">
        <f t="shared" ca="1" si="27"/>
        <v>5.4405792587838278</v>
      </c>
      <c r="G188" s="22">
        <f t="shared" ca="1" si="24"/>
        <v>0</v>
      </c>
      <c r="H188" s="31">
        <f t="shared" ca="1" si="28"/>
        <v>5.4405792587838278</v>
      </c>
      <c r="I188" s="9">
        <f t="shared" ca="1" si="25"/>
        <v>1380.1032071130076</v>
      </c>
      <c r="J188" s="30">
        <f t="shared" ca="1" si="26"/>
        <v>1016.3236752730043</v>
      </c>
      <c r="K188" s="122">
        <f t="shared" ca="1" si="29"/>
        <v>363.7795318400033</v>
      </c>
      <c r="L188" s="30"/>
      <c r="M188" s="30"/>
      <c r="N188" s="30"/>
      <c r="O188" s="30"/>
    </row>
    <row r="189" spans="1:15" x14ac:dyDescent="0.25">
      <c r="A189" s="10">
        <v>170</v>
      </c>
      <c r="B189" s="27">
        <f t="shared" ca="1" si="20"/>
        <v>0.38638745807681207</v>
      </c>
      <c r="C189" s="21">
        <f t="shared" ca="1" si="21"/>
        <v>230.79639892259075</v>
      </c>
      <c r="D189" s="21">
        <f t="shared" ca="1" si="22"/>
        <v>254.76099122559904</v>
      </c>
      <c r="E189" s="21">
        <f t="shared" ca="1" si="23"/>
        <v>21.244302673616374</v>
      </c>
      <c r="F189" s="22">
        <f t="shared" ca="1" si="27"/>
        <v>23.964592303008288</v>
      </c>
      <c r="G189" s="22">
        <f t="shared" ca="1" si="24"/>
        <v>44.982781035430634</v>
      </c>
      <c r="H189" s="31">
        <f t="shared" ca="1" si="28"/>
        <v>0</v>
      </c>
      <c r="I189" s="9">
        <f t="shared" ca="1" si="25"/>
        <v>1274.6912697426533</v>
      </c>
      <c r="J189" s="30">
        <f t="shared" ca="1" si="26"/>
        <v>1008.1628063848285</v>
      </c>
      <c r="K189" s="122">
        <f t="shared" ca="1" si="29"/>
        <v>266.52846335782476</v>
      </c>
      <c r="L189" s="30"/>
      <c r="M189" s="30"/>
      <c r="N189" s="30"/>
      <c r="O189" s="30"/>
    </row>
    <row r="190" spans="1:15" x14ac:dyDescent="0.25">
      <c r="A190" s="10">
        <v>171</v>
      </c>
      <c r="B190" s="27">
        <f t="shared" ca="1" si="20"/>
        <v>0.90436352234933692</v>
      </c>
      <c r="C190" s="21">
        <f t="shared" ca="1" si="21"/>
        <v>297.02348263163776</v>
      </c>
      <c r="D190" s="21">
        <f t="shared" ca="1" si="22"/>
        <v>273.2850042698235</v>
      </c>
      <c r="E190" s="21">
        <f t="shared" ca="1" si="23"/>
        <v>0</v>
      </c>
      <c r="F190" s="22">
        <f t="shared" ca="1" si="27"/>
        <v>0</v>
      </c>
      <c r="G190" s="22">
        <f t="shared" ca="1" si="24"/>
        <v>0</v>
      </c>
      <c r="H190" s="31">
        <f t="shared" ca="1" si="28"/>
        <v>0</v>
      </c>
      <c r="I190" s="9">
        <f t="shared" ca="1" si="25"/>
        <v>1386.2238587791392</v>
      </c>
      <c r="J190" s="30">
        <f t="shared" ca="1" si="26"/>
        <v>1008.1628063848285</v>
      </c>
      <c r="K190" s="122">
        <f t="shared" ca="1" si="29"/>
        <v>378.06105239431065</v>
      </c>
      <c r="L190" s="30"/>
      <c r="M190" s="30"/>
      <c r="N190" s="30"/>
      <c r="O190" s="30"/>
    </row>
    <row r="191" spans="1:15" x14ac:dyDescent="0.25">
      <c r="A191" s="10">
        <v>172</v>
      </c>
      <c r="B191" s="27">
        <f t="shared" ca="1" si="20"/>
        <v>0.48761243889966033</v>
      </c>
      <c r="C191" s="21">
        <f t="shared" ca="1" si="21"/>
        <v>249.32041196681521</v>
      </c>
      <c r="D191" s="21">
        <f t="shared" ca="1" si="22"/>
        <v>252.04070159620713</v>
      </c>
      <c r="E191" s="21">
        <f t="shared" ca="1" si="23"/>
        <v>2.7202896293919139</v>
      </c>
      <c r="F191" s="22">
        <f t="shared" ca="1" si="27"/>
        <v>2.7202896293919139</v>
      </c>
      <c r="G191" s="22">
        <f t="shared" ca="1" si="24"/>
        <v>19.371706704047796</v>
      </c>
      <c r="H191" s="31">
        <f t="shared" ca="1" si="28"/>
        <v>0</v>
      </c>
      <c r="I191" s="9">
        <f t="shared" ca="1" si="25"/>
        <v>1371.9423382248317</v>
      </c>
      <c r="J191" s="30">
        <f t="shared" ca="1" si="26"/>
        <v>1008.1628063848285</v>
      </c>
      <c r="K191" s="122">
        <f t="shared" ca="1" si="29"/>
        <v>363.77953184000319</v>
      </c>
      <c r="L191" s="30"/>
      <c r="M191" s="30"/>
      <c r="N191" s="30"/>
      <c r="O191" s="30"/>
    </row>
    <row r="192" spans="1:15" x14ac:dyDescent="0.25">
      <c r="A192" s="10">
        <v>173</v>
      </c>
      <c r="B192" s="27">
        <f t="shared" ca="1" si="20"/>
        <v>0.82621174930269603</v>
      </c>
      <c r="C192" s="21">
        <f t="shared" ca="1" si="21"/>
        <v>271.41240830025492</v>
      </c>
      <c r="D192" s="21">
        <f t="shared" ca="1" si="22"/>
        <v>254.76099122559904</v>
      </c>
      <c r="E192" s="21">
        <f t="shared" ca="1" si="23"/>
        <v>0</v>
      </c>
      <c r="F192" s="22">
        <f t="shared" ca="1" si="27"/>
        <v>0</v>
      </c>
      <c r="G192" s="22">
        <f t="shared" ca="1" si="24"/>
        <v>0</v>
      </c>
      <c r="H192" s="31">
        <f t="shared" ca="1" si="28"/>
        <v>0</v>
      </c>
      <c r="I192" s="9">
        <f t="shared" ca="1" si="25"/>
        <v>1386.2238587791392</v>
      </c>
      <c r="J192" s="30">
        <f t="shared" ca="1" si="26"/>
        <v>1008.1628063848285</v>
      </c>
      <c r="K192" s="122">
        <f t="shared" ca="1" si="29"/>
        <v>378.06105239431065</v>
      </c>
      <c r="L192" s="30"/>
      <c r="M192" s="30"/>
      <c r="N192" s="30"/>
      <c r="O192" s="30"/>
    </row>
    <row r="193" spans="1:15" x14ac:dyDescent="0.25">
      <c r="A193" s="10">
        <v>174</v>
      </c>
      <c r="B193" s="27">
        <f t="shared" ca="1" si="20"/>
        <v>0.39545124904492379</v>
      </c>
      <c r="C193" s="21">
        <f t="shared" ca="1" si="21"/>
        <v>230.79639892259075</v>
      </c>
      <c r="D193" s="21">
        <f t="shared" ca="1" si="22"/>
        <v>252.04070159620713</v>
      </c>
      <c r="E193" s="21">
        <f t="shared" ca="1" si="23"/>
        <v>21.244302673616374</v>
      </c>
      <c r="F193" s="22">
        <f t="shared" ca="1" si="27"/>
        <v>21.244302673616374</v>
      </c>
      <c r="G193" s="22">
        <f t="shared" ca="1" si="24"/>
        <v>19.371706704047796</v>
      </c>
      <c r="H193" s="31">
        <f t="shared" ca="1" si="28"/>
        <v>1.8725959695685788</v>
      </c>
      <c r="I193" s="9">
        <f t="shared" ca="1" si="25"/>
        <v>1280.3090576513591</v>
      </c>
      <c r="J193" s="30">
        <f t="shared" ca="1" si="26"/>
        <v>1010.9717003391813</v>
      </c>
      <c r="K193" s="122">
        <f t="shared" ca="1" si="29"/>
        <v>269.3373573121778</v>
      </c>
      <c r="L193" s="30"/>
      <c r="M193" s="30"/>
      <c r="N193" s="30"/>
      <c r="O193" s="30"/>
    </row>
    <row r="194" spans="1:15" x14ac:dyDescent="0.25">
      <c r="A194" s="10">
        <v>175</v>
      </c>
      <c r="B194" s="27">
        <f t="shared" ca="1" si="20"/>
        <v>0.71229260787102744</v>
      </c>
      <c r="C194" s="21">
        <f t="shared" ca="1" si="21"/>
        <v>271.41240830025492</v>
      </c>
      <c r="D194" s="21">
        <f t="shared" ca="1" si="22"/>
        <v>273.2850042698235</v>
      </c>
      <c r="E194" s="21">
        <f t="shared" ca="1" si="23"/>
        <v>0</v>
      </c>
      <c r="F194" s="22">
        <f t="shared" ca="1" si="27"/>
        <v>1.8725959695685788</v>
      </c>
      <c r="G194" s="22">
        <f t="shared" ca="1" si="24"/>
        <v>0</v>
      </c>
      <c r="H194" s="31">
        <f t="shared" ca="1" si="28"/>
        <v>1.8725959695685788</v>
      </c>
      <c r="I194" s="9">
        <f t="shared" ca="1" si="25"/>
        <v>1386.2238587791392</v>
      </c>
      <c r="J194" s="30">
        <f t="shared" ca="1" si="26"/>
        <v>1010.9717003391813</v>
      </c>
      <c r="K194" s="122">
        <f t="shared" ca="1" si="29"/>
        <v>375.25215843995784</v>
      </c>
      <c r="L194" s="30"/>
      <c r="M194" s="30"/>
      <c r="N194" s="30"/>
      <c r="O194" s="30"/>
    </row>
    <row r="195" spans="1:15" x14ac:dyDescent="0.25">
      <c r="A195" s="10">
        <v>176</v>
      </c>
      <c r="B195" s="27">
        <f t="shared" ca="1" si="20"/>
        <v>0.13463681700876906</v>
      </c>
      <c r="C195" s="21">
        <f t="shared" ca="1" si="21"/>
        <v>201.46234925421527</v>
      </c>
      <c r="D195" s="21">
        <f t="shared" ca="1" si="22"/>
        <v>252.04070159620713</v>
      </c>
      <c r="E195" s="21">
        <f t="shared" ca="1" si="23"/>
        <v>50.578352341991859</v>
      </c>
      <c r="F195" s="22">
        <f t="shared" ca="1" si="27"/>
        <v>50.578352341991859</v>
      </c>
      <c r="G195" s="22">
        <f t="shared" ca="1" si="24"/>
        <v>0</v>
      </c>
      <c r="H195" s="31">
        <f t="shared" ca="1" si="28"/>
        <v>50.578352341991859</v>
      </c>
      <c r="I195" s="9">
        <f t="shared" ca="1" si="25"/>
        <v>1120.6875089836822</v>
      </c>
      <c r="J195" s="30">
        <f t="shared" ca="1" si="26"/>
        <v>1084.0303348978164</v>
      </c>
      <c r="K195" s="122">
        <f t="shared" ca="1" si="29"/>
        <v>36.65717408586579</v>
      </c>
      <c r="L195" s="30"/>
      <c r="M195" s="30"/>
      <c r="N195" s="30"/>
      <c r="O195" s="30"/>
    </row>
    <row r="196" spans="1:15" x14ac:dyDescent="0.25">
      <c r="A196" s="10">
        <v>177</v>
      </c>
      <c r="B196" s="27">
        <f t="shared" ca="1" si="20"/>
        <v>0.19079221890415787</v>
      </c>
      <c r="C196" s="21">
        <f t="shared" ca="1" si="21"/>
        <v>230.79639892259075</v>
      </c>
      <c r="D196" s="21">
        <f t="shared" ca="1" si="22"/>
        <v>302.61905393819899</v>
      </c>
      <c r="E196" s="21">
        <f t="shared" ca="1" si="23"/>
        <v>21.244302673616374</v>
      </c>
      <c r="F196" s="22">
        <f t="shared" ca="1" si="27"/>
        <v>71.822655015608234</v>
      </c>
      <c r="G196" s="22">
        <f t="shared" ca="1" si="24"/>
        <v>44.982781035430634</v>
      </c>
      <c r="H196" s="31">
        <f t="shared" ca="1" si="28"/>
        <v>26.8398739801776</v>
      </c>
      <c r="I196" s="9">
        <f t="shared" ca="1" si="25"/>
        <v>1355.210891683186</v>
      </c>
      <c r="J196" s="30">
        <f t="shared" ca="1" si="26"/>
        <v>1048.4226173550949</v>
      </c>
      <c r="K196" s="122">
        <f t="shared" ca="1" si="29"/>
        <v>306.78827432809112</v>
      </c>
      <c r="L196" s="30"/>
      <c r="M196" s="30"/>
      <c r="N196" s="30"/>
      <c r="O196" s="30"/>
    </row>
    <row r="197" spans="1:15" x14ac:dyDescent="0.25">
      <c r="A197" s="10">
        <v>178</v>
      </c>
      <c r="B197" s="27">
        <f t="shared" ca="1" si="20"/>
        <v>0.91545229614354706</v>
      </c>
      <c r="C197" s="21">
        <f t="shared" ca="1" si="21"/>
        <v>297.02348263163776</v>
      </c>
      <c r="D197" s="21">
        <f t="shared" ca="1" si="22"/>
        <v>273.2850042698235</v>
      </c>
      <c r="E197" s="21">
        <f t="shared" ca="1" si="23"/>
        <v>0</v>
      </c>
      <c r="F197" s="22">
        <f t="shared" ca="1" si="27"/>
        <v>0</v>
      </c>
      <c r="G197" s="22">
        <f t="shared" ca="1" si="24"/>
        <v>0</v>
      </c>
      <c r="H197" s="31">
        <f t="shared" ca="1" si="28"/>
        <v>0</v>
      </c>
      <c r="I197" s="9">
        <f t="shared" ca="1" si="25"/>
        <v>1386.2238587791392</v>
      </c>
      <c r="J197" s="30">
        <f t="shared" ca="1" si="26"/>
        <v>1008.1628063848285</v>
      </c>
      <c r="K197" s="122">
        <f t="shared" ca="1" si="29"/>
        <v>378.06105239431065</v>
      </c>
      <c r="L197" s="30"/>
      <c r="M197" s="30"/>
      <c r="N197" s="30"/>
      <c r="O197" s="30"/>
    </row>
    <row r="198" spans="1:15" x14ac:dyDescent="0.25">
      <c r="A198" s="10">
        <v>179</v>
      </c>
      <c r="B198" s="43">
        <f t="shared" ca="1" si="20"/>
        <v>4.9480124500018929E-2</v>
      </c>
      <c r="C198" s="44">
        <f t="shared" ca="1" si="21"/>
        <v>201.46234925421527</v>
      </c>
      <c r="D198" s="44">
        <f t="shared" ca="1" si="22"/>
        <v>252.04070159620713</v>
      </c>
      <c r="E198" s="44">
        <f t="shared" ca="1" si="23"/>
        <v>50.578352341991859</v>
      </c>
      <c r="F198" s="45">
        <f t="shared" ca="1" si="27"/>
        <v>50.578352341991859</v>
      </c>
      <c r="G198" s="45">
        <f t="shared" ca="1" si="24"/>
        <v>0</v>
      </c>
      <c r="H198" s="46">
        <f t="shared" ca="1" si="28"/>
        <v>50.578352341991859</v>
      </c>
      <c r="I198" s="1">
        <f t="shared" ca="1" si="25"/>
        <v>1120.6875089836822</v>
      </c>
      <c r="J198" s="47">
        <f t="shared" ca="1" si="26"/>
        <v>1084.0303348978164</v>
      </c>
      <c r="K198" s="123">
        <f t="shared" ca="1" si="29"/>
        <v>36.65717408586579</v>
      </c>
      <c r="L198" s="30"/>
      <c r="M198" s="30"/>
      <c r="N198" s="30"/>
      <c r="O198" s="30"/>
    </row>
    <row r="199" spans="1:15" x14ac:dyDescent="0.25">
      <c r="A199" s="10">
        <v>180</v>
      </c>
      <c r="B199" s="48">
        <f t="shared" ca="1" si="20"/>
        <v>9.6896819338651685E-2</v>
      </c>
      <c r="C199" s="49">
        <f t="shared" ca="1" si="21"/>
        <v>201.46234925421527</v>
      </c>
      <c r="D199" s="49">
        <f t="shared" ca="1" si="22"/>
        <v>302.61905393819899</v>
      </c>
      <c r="E199" s="49">
        <f t="shared" ca="1" si="23"/>
        <v>50.578352341991859</v>
      </c>
      <c r="F199" s="50">
        <f t="shared" ca="1" si="27"/>
        <v>101.15670468398372</v>
      </c>
      <c r="G199" s="50">
        <f t="shared" ca="1" si="24"/>
        <v>0</v>
      </c>
      <c r="H199" s="51">
        <f t="shared" ca="1" si="28"/>
        <v>101.15670468398372</v>
      </c>
      <c r="I199" s="52">
        <f t="shared" ca="1" si="25"/>
        <v>1272.4225660096577</v>
      </c>
      <c r="J199" s="53">
        <f t="shared" ca="1" si="26"/>
        <v>1159.8978634108041</v>
      </c>
      <c r="K199" s="124">
        <f t="shared" ca="1" si="29"/>
        <v>112.52470259885354</v>
      </c>
      <c r="L199" s="30"/>
      <c r="M199" s="30"/>
      <c r="N199" s="30"/>
      <c r="O199" s="30"/>
    </row>
    <row r="200" spans="1:15" x14ac:dyDescent="0.25">
      <c r="A200" s="10">
        <v>181</v>
      </c>
      <c r="B200" s="27">
        <f t="shared" ca="1" si="20"/>
        <v>9.1685385678088593E-3</v>
      </c>
      <c r="C200" s="21">
        <f t="shared" ca="1" si="21"/>
        <v>201.46234925421527</v>
      </c>
      <c r="D200" s="21">
        <f t="shared" ca="1" si="22"/>
        <v>302.61905393819899</v>
      </c>
      <c r="E200" s="21">
        <f t="shared" ca="1" si="23"/>
        <v>50.578352341991859</v>
      </c>
      <c r="F200" s="22">
        <f t="shared" ca="1" si="27"/>
        <v>101.15670468398372</v>
      </c>
      <c r="G200" s="22">
        <f t="shared" ca="1" si="24"/>
        <v>0</v>
      </c>
      <c r="H200" s="31">
        <f t="shared" ca="1" si="28"/>
        <v>101.15670468398372</v>
      </c>
      <c r="I200" s="9">
        <f t="shared" ca="1" si="25"/>
        <v>1272.4225660096577</v>
      </c>
      <c r="J200" s="30">
        <f t="shared" ca="1" si="26"/>
        <v>1159.8978634108041</v>
      </c>
      <c r="K200" s="122">
        <f t="shared" ca="1" si="29"/>
        <v>112.52470259885354</v>
      </c>
      <c r="L200" s="30"/>
      <c r="M200" s="30"/>
      <c r="N200" s="30"/>
      <c r="O200" s="30"/>
    </row>
    <row r="201" spans="1:15" x14ac:dyDescent="0.25">
      <c r="A201" s="10">
        <v>182</v>
      </c>
      <c r="B201" s="27">
        <f t="shared" ca="1" si="20"/>
        <v>0.5021110041763519</v>
      </c>
      <c r="C201" s="21">
        <f t="shared" ca="1" si="21"/>
        <v>249.32041196681521</v>
      </c>
      <c r="D201" s="21">
        <f t="shared" ca="1" si="22"/>
        <v>302.61905393819899</v>
      </c>
      <c r="E201" s="21">
        <f t="shared" ca="1" si="23"/>
        <v>2.7202896293919139</v>
      </c>
      <c r="F201" s="22">
        <f t="shared" ca="1" si="27"/>
        <v>53.298641971383773</v>
      </c>
      <c r="G201" s="22">
        <f t="shared" ca="1" si="24"/>
        <v>44.982781035430634</v>
      </c>
      <c r="H201" s="31">
        <f t="shared" ca="1" si="28"/>
        <v>8.3158609359531397</v>
      </c>
      <c r="I201" s="9">
        <f t="shared" ca="1" si="25"/>
        <v>1396.8899210326911</v>
      </c>
      <c r="J201" s="30">
        <f t="shared" ca="1" si="26"/>
        <v>1020.6365977887582</v>
      </c>
      <c r="K201" s="122">
        <f t="shared" ca="1" si="29"/>
        <v>376.25332324393287</v>
      </c>
      <c r="L201" s="30"/>
      <c r="M201" s="30"/>
      <c r="N201" s="30"/>
      <c r="O201" s="30"/>
    </row>
    <row r="202" spans="1:15" x14ac:dyDescent="0.25">
      <c r="A202" s="10">
        <v>183</v>
      </c>
      <c r="B202" s="27">
        <f t="shared" ca="1" si="20"/>
        <v>0.97953709337741657</v>
      </c>
      <c r="C202" s="21">
        <f t="shared" ca="1" si="21"/>
        <v>297.02348263163776</v>
      </c>
      <c r="D202" s="21">
        <f t="shared" ca="1" si="22"/>
        <v>254.76099122559904</v>
      </c>
      <c r="E202" s="21">
        <f t="shared" ca="1" si="23"/>
        <v>0</v>
      </c>
      <c r="F202" s="22">
        <f t="shared" ca="1" si="27"/>
        <v>0</v>
      </c>
      <c r="G202" s="22">
        <f t="shared" ca="1" si="24"/>
        <v>0</v>
      </c>
      <c r="H202" s="31">
        <f t="shared" ca="1" si="28"/>
        <v>0</v>
      </c>
      <c r="I202" s="9">
        <f t="shared" ca="1" si="25"/>
        <v>1386.2238587791392</v>
      </c>
      <c r="J202" s="30">
        <f t="shared" ca="1" si="26"/>
        <v>1008.1628063848285</v>
      </c>
      <c r="K202" s="122">
        <f t="shared" ca="1" si="29"/>
        <v>378.06105239431065</v>
      </c>
      <c r="L202" s="30"/>
      <c r="M202" s="30"/>
      <c r="N202" s="30"/>
      <c r="O202" s="30"/>
    </row>
    <row r="203" spans="1:15" x14ac:dyDescent="0.25">
      <c r="A203" s="10">
        <v>184</v>
      </c>
      <c r="B203" s="27">
        <f t="shared" ca="1" si="20"/>
        <v>0.68477309831559874</v>
      </c>
      <c r="C203" s="21">
        <f t="shared" ca="1" si="21"/>
        <v>249.32041196681521</v>
      </c>
      <c r="D203" s="21">
        <f t="shared" ca="1" si="22"/>
        <v>252.04070159620713</v>
      </c>
      <c r="E203" s="21">
        <f t="shared" ca="1" si="23"/>
        <v>2.7202896293919139</v>
      </c>
      <c r="F203" s="22">
        <f t="shared" ca="1" si="27"/>
        <v>2.7202896293919139</v>
      </c>
      <c r="G203" s="22">
        <f t="shared" ca="1" si="24"/>
        <v>0</v>
      </c>
      <c r="H203" s="31">
        <f t="shared" ca="1" si="28"/>
        <v>2.7202896293919139</v>
      </c>
      <c r="I203" s="9">
        <f t="shared" ca="1" si="25"/>
        <v>1371.9423382248317</v>
      </c>
      <c r="J203" s="30">
        <f t="shared" ca="1" si="26"/>
        <v>1012.2432408289164</v>
      </c>
      <c r="K203" s="122">
        <f t="shared" ca="1" si="29"/>
        <v>359.69909739591526</v>
      </c>
      <c r="L203" s="30"/>
      <c r="M203" s="30"/>
      <c r="N203" s="30"/>
      <c r="O203" s="30"/>
    </row>
    <row r="204" spans="1:15" x14ac:dyDescent="0.25">
      <c r="A204" s="10">
        <v>185</v>
      </c>
      <c r="B204" s="27">
        <f t="shared" ca="1" si="20"/>
        <v>0.57987473104798182</v>
      </c>
      <c r="C204" s="21">
        <f t="shared" ca="1" si="21"/>
        <v>249.32041196681521</v>
      </c>
      <c r="D204" s="21">
        <f t="shared" ca="1" si="22"/>
        <v>254.76099122559904</v>
      </c>
      <c r="E204" s="21">
        <f t="shared" ca="1" si="23"/>
        <v>2.7202896293919139</v>
      </c>
      <c r="F204" s="22">
        <f t="shared" ca="1" si="27"/>
        <v>5.4405792587838278</v>
      </c>
      <c r="G204" s="22">
        <f t="shared" ca="1" si="24"/>
        <v>0</v>
      </c>
      <c r="H204" s="31">
        <f t="shared" ca="1" si="28"/>
        <v>5.4405792587838278</v>
      </c>
      <c r="I204" s="9">
        <f t="shared" ca="1" si="25"/>
        <v>1380.1032071130076</v>
      </c>
      <c r="J204" s="30">
        <f t="shared" ca="1" si="26"/>
        <v>1016.3236752730043</v>
      </c>
      <c r="K204" s="122">
        <f t="shared" ca="1" si="29"/>
        <v>363.7795318400033</v>
      </c>
      <c r="L204" s="30"/>
      <c r="M204" s="30"/>
      <c r="N204" s="30"/>
      <c r="O204" s="30"/>
    </row>
    <row r="205" spans="1:15" x14ac:dyDescent="0.25">
      <c r="A205" s="10">
        <v>186</v>
      </c>
      <c r="B205" s="27">
        <f t="shared" ca="1" si="20"/>
        <v>8.0224223625865898E-2</v>
      </c>
      <c r="C205" s="21">
        <f t="shared" ca="1" si="21"/>
        <v>201.46234925421527</v>
      </c>
      <c r="D205" s="21">
        <f t="shared" ca="1" si="22"/>
        <v>254.76099122559904</v>
      </c>
      <c r="E205" s="21">
        <f t="shared" ca="1" si="23"/>
        <v>50.578352341991859</v>
      </c>
      <c r="F205" s="22">
        <f t="shared" ca="1" si="27"/>
        <v>53.298641971383773</v>
      </c>
      <c r="G205" s="22">
        <f t="shared" ca="1" si="24"/>
        <v>0</v>
      </c>
      <c r="H205" s="31">
        <f t="shared" ca="1" si="28"/>
        <v>53.298641971383773</v>
      </c>
      <c r="I205" s="9">
        <f t="shared" ca="1" si="25"/>
        <v>1128.8483778718578</v>
      </c>
      <c r="J205" s="30">
        <f t="shared" ca="1" si="26"/>
        <v>1088.1107693419042</v>
      </c>
      <c r="K205" s="122">
        <f t="shared" ca="1" si="29"/>
        <v>40.737608529953604</v>
      </c>
      <c r="L205" s="30"/>
      <c r="M205" s="30"/>
      <c r="N205" s="30"/>
      <c r="O205" s="30"/>
    </row>
    <row r="206" spans="1:15" x14ac:dyDescent="0.25">
      <c r="A206" s="10">
        <v>187</v>
      </c>
      <c r="B206" s="27">
        <f t="shared" ca="1" si="20"/>
        <v>7.1778720368690485E-2</v>
      </c>
      <c r="C206" s="21">
        <f t="shared" ca="1" si="21"/>
        <v>201.46234925421527</v>
      </c>
      <c r="D206" s="21">
        <f t="shared" ca="1" si="22"/>
        <v>302.61905393819899</v>
      </c>
      <c r="E206" s="21">
        <f t="shared" ca="1" si="23"/>
        <v>50.578352341991859</v>
      </c>
      <c r="F206" s="22">
        <f t="shared" ca="1" si="27"/>
        <v>101.15670468398372</v>
      </c>
      <c r="G206" s="22">
        <f t="shared" ca="1" si="24"/>
        <v>44.982781035430634</v>
      </c>
      <c r="H206" s="31">
        <f t="shared" ca="1" si="28"/>
        <v>56.173923648553085</v>
      </c>
      <c r="I206" s="9">
        <f t="shared" ca="1" si="25"/>
        <v>1289.2092799293414</v>
      </c>
      <c r="J206" s="30">
        <f t="shared" ca="1" si="26"/>
        <v>1092.4236918576582</v>
      </c>
      <c r="K206" s="122">
        <f t="shared" ca="1" si="29"/>
        <v>196.78558807168315</v>
      </c>
      <c r="L206" s="30"/>
      <c r="M206" s="30"/>
      <c r="N206" s="30"/>
      <c r="O206" s="30"/>
    </row>
    <row r="207" spans="1:15" x14ac:dyDescent="0.25">
      <c r="A207" s="10">
        <v>188</v>
      </c>
      <c r="B207" s="27">
        <f t="shared" ca="1" si="20"/>
        <v>0.927471337848499</v>
      </c>
      <c r="C207" s="21">
        <f t="shared" ca="1" si="21"/>
        <v>297.02348263163776</v>
      </c>
      <c r="D207" s="21">
        <f t="shared" ca="1" si="22"/>
        <v>302.61905393819899</v>
      </c>
      <c r="E207" s="21">
        <f t="shared" ca="1" si="23"/>
        <v>0</v>
      </c>
      <c r="F207" s="22">
        <f t="shared" ca="1" si="27"/>
        <v>5.5955713065612258</v>
      </c>
      <c r="G207" s="22">
        <f t="shared" ca="1" si="24"/>
        <v>0</v>
      </c>
      <c r="H207" s="31">
        <f t="shared" ca="1" si="28"/>
        <v>5.5955713065612258</v>
      </c>
      <c r="I207" s="9">
        <f t="shared" ca="1" si="25"/>
        <v>1386.2238587791392</v>
      </c>
      <c r="J207" s="30">
        <f t="shared" ca="1" si="26"/>
        <v>1016.5561633446704</v>
      </c>
      <c r="K207" s="122">
        <f t="shared" ca="1" si="29"/>
        <v>369.66769543446878</v>
      </c>
      <c r="L207" s="30"/>
      <c r="M207" s="30"/>
      <c r="N207" s="30"/>
      <c r="O207" s="30"/>
    </row>
    <row r="208" spans="1:15" x14ac:dyDescent="0.25">
      <c r="A208" s="10">
        <v>189</v>
      </c>
      <c r="B208" s="27">
        <f t="shared" ca="1" si="20"/>
        <v>0.36667796949014475</v>
      </c>
      <c r="C208" s="21">
        <f t="shared" ca="1" si="21"/>
        <v>230.79639892259075</v>
      </c>
      <c r="D208" s="21">
        <f t="shared" ca="1" si="22"/>
        <v>252.04070159620713</v>
      </c>
      <c r="E208" s="21">
        <f t="shared" ca="1" si="23"/>
        <v>21.244302673616374</v>
      </c>
      <c r="F208" s="22">
        <f t="shared" ca="1" si="27"/>
        <v>21.244302673616374</v>
      </c>
      <c r="G208" s="22">
        <f t="shared" ca="1" si="24"/>
        <v>0</v>
      </c>
      <c r="H208" s="31">
        <f t="shared" ca="1" si="28"/>
        <v>21.244302673616374</v>
      </c>
      <c r="I208" s="9">
        <f t="shared" ca="1" si="25"/>
        <v>1274.6912697426533</v>
      </c>
      <c r="J208" s="30">
        <f t="shared" ca="1" si="26"/>
        <v>1040.029260395253</v>
      </c>
      <c r="K208" s="122">
        <f t="shared" ca="1" si="29"/>
        <v>234.66200934740027</v>
      </c>
      <c r="L208" s="30"/>
      <c r="M208" s="30"/>
      <c r="N208" s="30"/>
      <c r="O208" s="30"/>
    </row>
    <row r="209" spans="1:15" x14ac:dyDescent="0.25">
      <c r="A209" s="10">
        <v>190</v>
      </c>
      <c r="B209" s="27">
        <f t="shared" ca="1" si="20"/>
        <v>0.18917922703813861</v>
      </c>
      <c r="C209" s="21">
        <f t="shared" ca="1" si="21"/>
        <v>230.79639892259075</v>
      </c>
      <c r="D209" s="21">
        <f t="shared" ca="1" si="22"/>
        <v>273.2850042698235</v>
      </c>
      <c r="E209" s="21">
        <f t="shared" ca="1" si="23"/>
        <v>21.244302673616374</v>
      </c>
      <c r="F209" s="22">
        <f t="shared" ca="1" si="27"/>
        <v>42.488605347232749</v>
      </c>
      <c r="G209" s="22">
        <f t="shared" ca="1" si="24"/>
        <v>0</v>
      </c>
      <c r="H209" s="31">
        <f t="shared" ca="1" si="28"/>
        <v>42.488605347232749</v>
      </c>
      <c r="I209" s="9">
        <f t="shared" ca="1" si="25"/>
        <v>1338.4241777635025</v>
      </c>
      <c r="J209" s="30">
        <f t="shared" ca="1" si="26"/>
        <v>1071.8957144056776</v>
      </c>
      <c r="K209" s="122">
        <f t="shared" ca="1" si="29"/>
        <v>266.52846335782488</v>
      </c>
      <c r="L209" s="30"/>
      <c r="M209" s="30"/>
      <c r="N209" s="30"/>
      <c r="O209" s="30"/>
    </row>
    <row r="210" spans="1:15" x14ac:dyDescent="0.25">
      <c r="A210" s="10">
        <v>191</v>
      </c>
      <c r="B210" s="27">
        <f t="shared" ca="1" si="20"/>
        <v>0.61361736226075059</v>
      </c>
      <c r="C210" s="21">
        <f t="shared" ca="1" si="21"/>
        <v>249.32041196681521</v>
      </c>
      <c r="D210" s="21">
        <f t="shared" ca="1" si="22"/>
        <v>273.2850042698235</v>
      </c>
      <c r="E210" s="21">
        <f t="shared" ca="1" si="23"/>
        <v>2.7202896293919139</v>
      </c>
      <c r="F210" s="22">
        <f t="shared" ca="1" si="27"/>
        <v>23.964592303008288</v>
      </c>
      <c r="G210" s="22">
        <f t="shared" ca="1" si="24"/>
        <v>19.371706704047796</v>
      </c>
      <c r="H210" s="31">
        <f t="shared" ca="1" si="28"/>
        <v>4.5928855989604926</v>
      </c>
      <c r="I210" s="9">
        <f t="shared" ca="1" si="25"/>
        <v>1385.7209950217132</v>
      </c>
      <c r="J210" s="30">
        <f t="shared" ca="1" si="26"/>
        <v>1015.0521347832693</v>
      </c>
      <c r="K210" s="122">
        <f t="shared" ca="1" si="29"/>
        <v>370.66886023844393</v>
      </c>
      <c r="L210" s="30"/>
      <c r="M210" s="30"/>
      <c r="N210" s="30"/>
      <c r="O210" s="30"/>
    </row>
    <row r="211" spans="1:15" x14ac:dyDescent="0.25">
      <c r="A211" s="10">
        <v>192</v>
      </c>
      <c r="B211" s="27">
        <f t="shared" ca="1" si="20"/>
        <v>0.82785504225668138</v>
      </c>
      <c r="C211" s="21">
        <f t="shared" ca="1" si="21"/>
        <v>271.41240830025492</v>
      </c>
      <c r="D211" s="21">
        <f t="shared" ca="1" si="22"/>
        <v>254.76099122559904</v>
      </c>
      <c r="E211" s="21">
        <f t="shared" ca="1" si="23"/>
        <v>0</v>
      </c>
      <c r="F211" s="22">
        <f t="shared" ca="1" si="27"/>
        <v>0</v>
      </c>
      <c r="G211" s="22">
        <f t="shared" ca="1" si="24"/>
        <v>44.982781035430634</v>
      </c>
      <c r="H211" s="31">
        <f t="shared" ca="1" si="28"/>
        <v>0</v>
      </c>
      <c r="I211" s="9">
        <f t="shared" ca="1" si="25"/>
        <v>1386.2238587791392</v>
      </c>
      <c r="J211" s="30">
        <f t="shared" ca="1" si="26"/>
        <v>1008.1628063848285</v>
      </c>
      <c r="K211" s="122">
        <f t="shared" ca="1" si="29"/>
        <v>378.06105239431065</v>
      </c>
      <c r="L211" s="30"/>
      <c r="M211" s="30"/>
      <c r="N211" s="30"/>
      <c r="O211" s="30"/>
    </row>
    <row r="212" spans="1:15" x14ac:dyDescent="0.25">
      <c r="A212" s="10">
        <v>193</v>
      </c>
      <c r="B212" s="27">
        <f t="shared" ref="B212:B275" ca="1" si="30">RAND()</f>
        <v>0.98050882838790077</v>
      </c>
      <c r="C212" s="21">
        <f t="shared" ref="C212:C275" ca="1" si="31">HLOOKUP(B212,$D$12:$H$13,2,TRUE)</f>
        <v>297.02348263163776</v>
      </c>
      <c r="D212" s="21">
        <f t="shared" ref="D212:D275" ca="1" si="32">$E$10+E211</f>
        <v>252.04070159620713</v>
      </c>
      <c r="E212" s="21">
        <f t="shared" ref="E212:E275" ca="1" si="33">IF(C212&gt;$E$10,0,$E$10-C212)</f>
        <v>0</v>
      </c>
      <c r="F212" s="22">
        <f t="shared" ca="1" si="27"/>
        <v>0</v>
      </c>
      <c r="G212" s="22">
        <f t="shared" ref="G212:G275" ca="1" si="34">IF(C213&gt;$E$10,C213-$E$10,0)</f>
        <v>19.371706704047796</v>
      </c>
      <c r="H212" s="31">
        <f t="shared" ca="1" si="28"/>
        <v>0</v>
      </c>
      <c r="I212" s="9">
        <f t="shared" ref="I212:I275" ca="1" si="35">IF($E$10&lt;C212,$E$10*$E$7,$E$9*($E$10-C212)+(C212*$E$7)+IF($E$10&lt;C213,H212*$E$8,E211*$E$8))</f>
        <v>1386.2238587791392</v>
      </c>
      <c r="J212" s="30">
        <f t="shared" ref="J212:J275" ca="1" si="36">IF(H212&gt;0,$E$10*$E$5+H212*$E$6,$E$10*$E$5)</f>
        <v>1008.1628063848285</v>
      </c>
      <c r="K212" s="122">
        <f t="shared" ca="1" si="29"/>
        <v>378.06105239431065</v>
      </c>
      <c r="L212" s="30"/>
      <c r="M212" s="30"/>
      <c r="N212" s="30"/>
      <c r="O212" s="30"/>
    </row>
    <row r="213" spans="1:15" x14ac:dyDescent="0.25">
      <c r="A213" s="10">
        <v>194</v>
      </c>
      <c r="B213" s="27">
        <f t="shared" ca="1" si="30"/>
        <v>0.85078048897577896</v>
      </c>
      <c r="C213" s="21">
        <f t="shared" ca="1" si="31"/>
        <v>271.41240830025492</v>
      </c>
      <c r="D213" s="21">
        <f t="shared" ca="1" si="32"/>
        <v>252.04070159620713</v>
      </c>
      <c r="E213" s="21">
        <f t="shared" ca="1" si="33"/>
        <v>0</v>
      </c>
      <c r="F213" s="22">
        <f t="shared" ref="F213:F276" ca="1" si="37">IF(C213&gt;D213,0,D213-C213)</f>
        <v>0</v>
      </c>
      <c r="G213" s="22">
        <f t="shared" ca="1" si="34"/>
        <v>0</v>
      </c>
      <c r="H213" s="31">
        <f t="shared" ref="H213:H276" ca="1" si="38">IF(G213&gt;F213,0,IF(G213&lt;F213,F213-G213,0))</f>
        <v>0</v>
      </c>
      <c r="I213" s="9">
        <f t="shared" ca="1" si="35"/>
        <v>1386.2238587791392</v>
      </c>
      <c r="J213" s="30">
        <f t="shared" ca="1" si="36"/>
        <v>1008.1628063848285</v>
      </c>
      <c r="K213" s="122">
        <f t="shared" ref="K213:K276" ca="1" si="39">I213-J213</f>
        <v>378.06105239431065</v>
      </c>
      <c r="L213" s="30"/>
      <c r="M213" s="30"/>
      <c r="N213" s="30"/>
      <c r="O213" s="30"/>
    </row>
    <row r="214" spans="1:15" x14ac:dyDescent="0.25">
      <c r="A214" s="10">
        <v>195</v>
      </c>
      <c r="B214" s="27">
        <f t="shared" ca="1" si="30"/>
        <v>3.0129543829563787E-2</v>
      </c>
      <c r="C214" s="21">
        <f t="shared" ca="1" si="31"/>
        <v>201.46234925421527</v>
      </c>
      <c r="D214" s="21">
        <f t="shared" ca="1" si="32"/>
        <v>252.04070159620713</v>
      </c>
      <c r="E214" s="21">
        <f t="shared" ca="1" si="33"/>
        <v>50.578352341991859</v>
      </c>
      <c r="F214" s="22">
        <f t="shared" ca="1" si="37"/>
        <v>50.578352341991859</v>
      </c>
      <c r="G214" s="22">
        <f t="shared" ca="1" si="34"/>
        <v>0</v>
      </c>
      <c r="H214" s="31">
        <f t="shared" ca="1" si="38"/>
        <v>50.578352341991859</v>
      </c>
      <c r="I214" s="9">
        <f t="shared" ca="1" si="35"/>
        <v>1120.6875089836822</v>
      </c>
      <c r="J214" s="30">
        <f t="shared" ca="1" si="36"/>
        <v>1084.0303348978164</v>
      </c>
      <c r="K214" s="122">
        <f t="shared" ca="1" si="39"/>
        <v>36.65717408586579</v>
      </c>
      <c r="L214" s="30"/>
      <c r="M214" s="30"/>
      <c r="N214" s="30"/>
      <c r="O214" s="30"/>
    </row>
    <row r="215" spans="1:15" x14ac:dyDescent="0.25">
      <c r="A215" s="10">
        <v>196</v>
      </c>
      <c r="B215" s="27">
        <f t="shared" ca="1" si="30"/>
        <v>0.3310304244460629</v>
      </c>
      <c r="C215" s="21">
        <f t="shared" ca="1" si="31"/>
        <v>230.79639892259075</v>
      </c>
      <c r="D215" s="21">
        <f t="shared" ca="1" si="32"/>
        <v>302.61905393819899</v>
      </c>
      <c r="E215" s="21">
        <f t="shared" ca="1" si="33"/>
        <v>21.244302673616374</v>
      </c>
      <c r="F215" s="22">
        <f t="shared" ca="1" si="37"/>
        <v>71.822655015608234</v>
      </c>
      <c r="G215" s="22">
        <f t="shared" ca="1" si="34"/>
        <v>0</v>
      </c>
      <c r="H215" s="31">
        <f t="shared" ca="1" si="38"/>
        <v>71.822655015608234</v>
      </c>
      <c r="I215" s="9">
        <f t="shared" ca="1" si="35"/>
        <v>1426.4263267686288</v>
      </c>
      <c r="J215" s="30">
        <f t="shared" ca="1" si="36"/>
        <v>1115.896788908241</v>
      </c>
      <c r="K215" s="122">
        <f t="shared" ca="1" si="39"/>
        <v>310.52953786038779</v>
      </c>
      <c r="L215" s="30"/>
      <c r="M215" s="30"/>
      <c r="N215" s="30"/>
      <c r="O215" s="30"/>
    </row>
    <row r="216" spans="1:15" x14ac:dyDescent="0.25">
      <c r="A216" s="10">
        <v>197</v>
      </c>
      <c r="B216" s="27">
        <f t="shared" ca="1" si="30"/>
        <v>0.1106909106239764</v>
      </c>
      <c r="C216" s="21">
        <f t="shared" ca="1" si="31"/>
        <v>201.46234925421527</v>
      </c>
      <c r="D216" s="21">
        <f t="shared" ca="1" si="32"/>
        <v>273.2850042698235</v>
      </c>
      <c r="E216" s="21">
        <f t="shared" ca="1" si="33"/>
        <v>50.578352341991859</v>
      </c>
      <c r="F216" s="22">
        <f t="shared" ca="1" si="37"/>
        <v>71.822655015608234</v>
      </c>
      <c r="G216" s="22">
        <f t="shared" ca="1" si="34"/>
        <v>19.371706704047796</v>
      </c>
      <c r="H216" s="31">
        <f t="shared" ca="1" si="38"/>
        <v>52.450948311560438</v>
      </c>
      <c r="I216" s="9">
        <f t="shared" ca="1" si="35"/>
        <v>1278.0403539183635</v>
      </c>
      <c r="J216" s="30">
        <f t="shared" ca="1" si="36"/>
        <v>1086.8392288521691</v>
      </c>
      <c r="K216" s="122">
        <f t="shared" ca="1" si="39"/>
        <v>191.20112506619444</v>
      </c>
      <c r="L216" s="30"/>
      <c r="M216" s="30"/>
      <c r="N216" s="30"/>
      <c r="O216" s="30"/>
    </row>
    <row r="217" spans="1:15" x14ac:dyDescent="0.25">
      <c r="A217" s="10">
        <v>198</v>
      </c>
      <c r="B217" s="27">
        <f t="shared" ca="1" si="30"/>
        <v>0.86063520794853754</v>
      </c>
      <c r="C217" s="21">
        <f t="shared" ca="1" si="31"/>
        <v>271.41240830025492</v>
      </c>
      <c r="D217" s="21">
        <f t="shared" ca="1" si="32"/>
        <v>302.61905393819899</v>
      </c>
      <c r="E217" s="21">
        <f t="shared" ca="1" si="33"/>
        <v>0</v>
      </c>
      <c r="F217" s="22">
        <f t="shared" ca="1" si="37"/>
        <v>31.206645637944064</v>
      </c>
      <c r="G217" s="22">
        <f t="shared" ca="1" si="34"/>
        <v>0</v>
      </c>
      <c r="H217" s="31">
        <f t="shared" ca="1" si="38"/>
        <v>31.206645637944064</v>
      </c>
      <c r="I217" s="9">
        <f t="shared" ca="1" si="35"/>
        <v>1386.2238587791392</v>
      </c>
      <c r="J217" s="30">
        <f t="shared" ca="1" si="36"/>
        <v>1054.9727748417447</v>
      </c>
      <c r="K217" s="122">
        <f t="shared" ca="1" si="39"/>
        <v>331.25108393739447</v>
      </c>
      <c r="L217" s="30"/>
      <c r="M217" s="30"/>
      <c r="N217" s="30"/>
      <c r="O217" s="30"/>
    </row>
    <row r="218" spans="1:15" x14ac:dyDescent="0.25">
      <c r="A218" s="10">
        <v>199</v>
      </c>
      <c r="B218" s="27">
        <f t="shared" ca="1" si="30"/>
        <v>0.69780805922103917</v>
      </c>
      <c r="C218" s="21">
        <f t="shared" ca="1" si="31"/>
        <v>249.32041196681521</v>
      </c>
      <c r="D218" s="21">
        <f t="shared" ca="1" si="32"/>
        <v>252.04070159620713</v>
      </c>
      <c r="E218" s="21">
        <f t="shared" ca="1" si="33"/>
        <v>2.7202896293919139</v>
      </c>
      <c r="F218" s="22">
        <f t="shared" ca="1" si="37"/>
        <v>2.7202896293919139</v>
      </c>
      <c r="G218" s="22">
        <f t="shared" ca="1" si="34"/>
        <v>0</v>
      </c>
      <c r="H218" s="31">
        <f t="shared" ca="1" si="38"/>
        <v>2.7202896293919139</v>
      </c>
      <c r="I218" s="9">
        <f t="shared" ca="1" si="35"/>
        <v>1371.9423382248317</v>
      </c>
      <c r="J218" s="30">
        <f t="shared" ca="1" si="36"/>
        <v>1012.2432408289164</v>
      </c>
      <c r="K218" s="122">
        <f t="shared" ca="1" si="39"/>
        <v>359.69909739591526</v>
      </c>
      <c r="L218" s="30"/>
      <c r="M218" s="30"/>
      <c r="N218" s="30"/>
      <c r="O218" s="30"/>
    </row>
    <row r="219" spans="1:15" x14ac:dyDescent="0.25">
      <c r="A219" s="10">
        <v>200</v>
      </c>
      <c r="B219" s="27">
        <f t="shared" ca="1" si="30"/>
        <v>0.53888693791244635</v>
      </c>
      <c r="C219" s="21">
        <f t="shared" ca="1" si="31"/>
        <v>249.32041196681521</v>
      </c>
      <c r="D219" s="21">
        <f t="shared" ca="1" si="32"/>
        <v>254.76099122559904</v>
      </c>
      <c r="E219" s="21">
        <f t="shared" ca="1" si="33"/>
        <v>2.7202896293919139</v>
      </c>
      <c r="F219" s="22">
        <f t="shared" ca="1" si="37"/>
        <v>5.4405792587838278</v>
      </c>
      <c r="G219" s="22">
        <f t="shared" ca="1" si="34"/>
        <v>44.982781035430634</v>
      </c>
      <c r="H219" s="31">
        <f t="shared" ca="1" si="38"/>
        <v>0</v>
      </c>
      <c r="I219" s="9">
        <f t="shared" ca="1" si="35"/>
        <v>1371.9423382248317</v>
      </c>
      <c r="J219" s="30">
        <f t="shared" ca="1" si="36"/>
        <v>1008.1628063848285</v>
      </c>
      <c r="K219" s="122">
        <f t="shared" ca="1" si="39"/>
        <v>363.77953184000319</v>
      </c>
      <c r="L219" s="30"/>
      <c r="M219" s="30"/>
      <c r="N219" s="30"/>
      <c r="O219" s="30"/>
    </row>
    <row r="220" spans="1:15" x14ac:dyDescent="0.25">
      <c r="A220" s="10">
        <v>201</v>
      </c>
      <c r="B220" s="27">
        <f t="shared" ca="1" si="30"/>
        <v>0.94299608809034885</v>
      </c>
      <c r="C220" s="21">
        <f t="shared" ca="1" si="31"/>
        <v>297.02348263163776</v>
      </c>
      <c r="D220" s="21">
        <f t="shared" ca="1" si="32"/>
        <v>254.76099122559904</v>
      </c>
      <c r="E220" s="21">
        <f t="shared" ca="1" si="33"/>
        <v>0</v>
      </c>
      <c r="F220" s="22">
        <f t="shared" ca="1" si="37"/>
        <v>0</v>
      </c>
      <c r="G220" s="22">
        <f t="shared" ca="1" si="34"/>
        <v>0</v>
      </c>
      <c r="H220" s="31">
        <f t="shared" ca="1" si="38"/>
        <v>0</v>
      </c>
      <c r="I220" s="9">
        <f t="shared" ca="1" si="35"/>
        <v>1386.2238587791392</v>
      </c>
      <c r="J220" s="30">
        <f t="shared" ca="1" si="36"/>
        <v>1008.1628063848285</v>
      </c>
      <c r="K220" s="122">
        <f t="shared" ca="1" si="39"/>
        <v>378.06105239431065</v>
      </c>
      <c r="L220" s="30"/>
      <c r="M220" s="30"/>
      <c r="N220" s="30"/>
      <c r="O220" s="30"/>
    </row>
    <row r="221" spans="1:15" x14ac:dyDescent="0.25">
      <c r="A221" s="10">
        <v>202</v>
      </c>
      <c r="B221" s="27">
        <f t="shared" ca="1" si="30"/>
        <v>0.38410047136841063</v>
      </c>
      <c r="C221" s="21">
        <f t="shared" ca="1" si="31"/>
        <v>230.79639892259075</v>
      </c>
      <c r="D221" s="21">
        <f t="shared" ca="1" si="32"/>
        <v>252.04070159620713</v>
      </c>
      <c r="E221" s="21">
        <f t="shared" ca="1" si="33"/>
        <v>21.244302673616374</v>
      </c>
      <c r="F221" s="22">
        <f t="shared" ca="1" si="37"/>
        <v>21.244302673616374</v>
      </c>
      <c r="G221" s="22">
        <f t="shared" ca="1" si="34"/>
        <v>0</v>
      </c>
      <c r="H221" s="31">
        <f t="shared" ca="1" si="38"/>
        <v>21.244302673616374</v>
      </c>
      <c r="I221" s="9">
        <f t="shared" ca="1" si="35"/>
        <v>1274.6912697426533</v>
      </c>
      <c r="J221" s="30">
        <f t="shared" ca="1" si="36"/>
        <v>1040.029260395253</v>
      </c>
      <c r="K221" s="122">
        <f t="shared" ca="1" si="39"/>
        <v>234.66200934740027</v>
      </c>
      <c r="L221" s="30"/>
      <c r="M221" s="30"/>
      <c r="N221" s="30"/>
      <c r="O221" s="30"/>
    </row>
    <row r="222" spans="1:15" x14ac:dyDescent="0.25">
      <c r="A222" s="10">
        <v>203</v>
      </c>
      <c r="B222" s="27">
        <f t="shared" ca="1" si="30"/>
        <v>0.33048019649357585</v>
      </c>
      <c r="C222" s="21">
        <f t="shared" ca="1" si="31"/>
        <v>230.79639892259075</v>
      </c>
      <c r="D222" s="21">
        <f t="shared" ca="1" si="32"/>
        <v>273.2850042698235</v>
      </c>
      <c r="E222" s="21">
        <f t="shared" ca="1" si="33"/>
        <v>21.244302673616374</v>
      </c>
      <c r="F222" s="22">
        <f t="shared" ca="1" si="37"/>
        <v>42.488605347232749</v>
      </c>
      <c r="G222" s="22">
        <f t="shared" ca="1" si="34"/>
        <v>0</v>
      </c>
      <c r="H222" s="31">
        <f t="shared" ca="1" si="38"/>
        <v>42.488605347232749</v>
      </c>
      <c r="I222" s="9">
        <f t="shared" ca="1" si="35"/>
        <v>1338.4241777635025</v>
      </c>
      <c r="J222" s="30">
        <f t="shared" ca="1" si="36"/>
        <v>1071.8957144056776</v>
      </c>
      <c r="K222" s="122">
        <f t="shared" ca="1" si="39"/>
        <v>266.52846335782488</v>
      </c>
      <c r="L222" s="30"/>
      <c r="M222" s="30"/>
      <c r="N222" s="30"/>
      <c r="O222" s="30"/>
    </row>
    <row r="223" spans="1:15" x14ac:dyDescent="0.25">
      <c r="A223" s="10">
        <v>204</v>
      </c>
      <c r="B223" s="27">
        <f t="shared" ca="1" si="30"/>
        <v>0.45065887925006409</v>
      </c>
      <c r="C223" s="21">
        <f t="shared" ca="1" si="31"/>
        <v>249.32041196681521</v>
      </c>
      <c r="D223" s="21">
        <f t="shared" ca="1" si="32"/>
        <v>273.2850042698235</v>
      </c>
      <c r="E223" s="21">
        <f t="shared" ca="1" si="33"/>
        <v>2.7202896293919139</v>
      </c>
      <c r="F223" s="22">
        <f t="shared" ca="1" si="37"/>
        <v>23.964592303008288</v>
      </c>
      <c r="G223" s="22">
        <f t="shared" ca="1" si="34"/>
        <v>0</v>
      </c>
      <c r="H223" s="31">
        <f t="shared" ca="1" si="38"/>
        <v>23.964592303008288</v>
      </c>
      <c r="I223" s="9">
        <f t="shared" ca="1" si="35"/>
        <v>1435.6752462456809</v>
      </c>
      <c r="J223" s="30">
        <f t="shared" ca="1" si="36"/>
        <v>1044.109694839341</v>
      </c>
      <c r="K223" s="122">
        <f t="shared" ca="1" si="39"/>
        <v>391.56555140633986</v>
      </c>
      <c r="L223" s="30"/>
      <c r="M223" s="30"/>
      <c r="N223" s="30"/>
      <c r="O223" s="30"/>
    </row>
    <row r="224" spans="1:15" x14ac:dyDescent="0.25">
      <c r="A224" s="10">
        <v>205</v>
      </c>
      <c r="B224" s="27">
        <f t="shared" ca="1" si="30"/>
        <v>0.57034370612420737</v>
      </c>
      <c r="C224" s="21">
        <f t="shared" ca="1" si="31"/>
        <v>249.32041196681521</v>
      </c>
      <c r="D224" s="21">
        <f t="shared" ca="1" si="32"/>
        <v>254.76099122559904</v>
      </c>
      <c r="E224" s="21">
        <f t="shared" ca="1" si="33"/>
        <v>2.7202896293919139</v>
      </c>
      <c r="F224" s="22">
        <f t="shared" ca="1" si="37"/>
        <v>5.4405792587838278</v>
      </c>
      <c r="G224" s="22">
        <f t="shared" ca="1" si="34"/>
        <v>0</v>
      </c>
      <c r="H224" s="31">
        <f t="shared" ca="1" si="38"/>
        <v>5.4405792587838278</v>
      </c>
      <c r="I224" s="9">
        <f t="shared" ca="1" si="35"/>
        <v>1380.1032071130076</v>
      </c>
      <c r="J224" s="30">
        <f t="shared" ca="1" si="36"/>
        <v>1016.3236752730043</v>
      </c>
      <c r="K224" s="122">
        <f t="shared" ca="1" si="39"/>
        <v>363.7795318400033</v>
      </c>
      <c r="L224" s="30"/>
      <c r="M224" s="30"/>
      <c r="N224" s="30"/>
      <c r="O224" s="30"/>
    </row>
    <row r="225" spans="1:15" x14ac:dyDescent="0.25">
      <c r="A225" s="10">
        <v>206</v>
      </c>
      <c r="B225" s="27">
        <f t="shared" ca="1" si="30"/>
        <v>0.47717761268692616</v>
      </c>
      <c r="C225" s="21">
        <f t="shared" ca="1" si="31"/>
        <v>249.32041196681521</v>
      </c>
      <c r="D225" s="21">
        <f t="shared" ca="1" si="32"/>
        <v>254.76099122559904</v>
      </c>
      <c r="E225" s="21">
        <f t="shared" ca="1" si="33"/>
        <v>2.7202896293919139</v>
      </c>
      <c r="F225" s="22">
        <f t="shared" ca="1" si="37"/>
        <v>5.4405792587838278</v>
      </c>
      <c r="G225" s="22">
        <f t="shared" ca="1" si="34"/>
        <v>0</v>
      </c>
      <c r="H225" s="31">
        <f t="shared" ca="1" si="38"/>
        <v>5.4405792587838278</v>
      </c>
      <c r="I225" s="9">
        <f t="shared" ca="1" si="35"/>
        <v>1380.1032071130076</v>
      </c>
      <c r="J225" s="30">
        <f t="shared" ca="1" si="36"/>
        <v>1016.3236752730043</v>
      </c>
      <c r="K225" s="122">
        <f t="shared" ca="1" si="39"/>
        <v>363.7795318400033</v>
      </c>
      <c r="L225" s="30"/>
      <c r="M225" s="30"/>
      <c r="N225" s="30"/>
      <c r="O225" s="30"/>
    </row>
    <row r="226" spans="1:15" x14ac:dyDescent="0.25">
      <c r="A226" s="10">
        <v>207</v>
      </c>
      <c r="B226" s="27">
        <f t="shared" ca="1" si="30"/>
        <v>0.53874940028568763</v>
      </c>
      <c r="C226" s="21">
        <f t="shared" ca="1" si="31"/>
        <v>249.32041196681521</v>
      </c>
      <c r="D226" s="21">
        <f t="shared" ca="1" si="32"/>
        <v>254.76099122559904</v>
      </c>
      <c r="E226" s="21">
        <f t="shared" ca="1" si="33"/>
        <v>2.7202896293919139</v>
      </c>
      <c r="F226" s="22">
        <f t="shared" ca="1" si="37"/>
        <v>5.4405792587838278</v>
      </c>
      <c r="G226" s="22">
        <f t="shared" ca="1" si="34"/>
        <v>0</v>
      </c>
      <c r="H226" s="31">
        <f t="shared" ca="1" si="38"/>
        <v>5.4405792587838278</v>
      </c>
      <c r="I226" s="9">
        <f t="shared" ca="1" si="35"/>
        <v>1380.1032071130076</v>
      </c>
      <c r="J226" s="30">
        <f t="shared" ca="1" si="36"/>
        <v>1016.3236752730043</v>
      </c>
      <c r="K226" s="122">
        <f t="shared" ca="1" si="39"/>
        <v>363.7795318400033</v>
      </c>
      <c r="L226" s="30"/>
      <c r="M226" s="30"/>
      <c r="N226" s="30"/>
      <c r="O226" s="30"/>
    </row>
    <row r="227" spans="1:15" x14ac:dyDescent="0.25">
      <c r="A227" s="10">
        <v>208</v>
      </c>
      <c r="B227" s="27">
        <f t="shared" ca="1" si="30"/>
        <v>0.16618418590255424</v>
      </c>
      <c r="C227" s="21">
        <f t="shared" ca="1" si="31"/>
        <v>230.79639892259075</v>
      </c>
      <c r="D227" s="21">
        <f t="shared" ca="1" si="32"/>
        <v>254.76099122559904</v>
      </c>
      <c r="E227" s="21">
        <f t="shared" ca="1" si="33"/>
        <v>21.244302673616374</v>
      </c>
      <c r="F227" s="22">
        <f t="shared" ca="1" si="37"/>
        <v>23.964592303008288</v>
      </c>
      <c r="G227" s="22">
        <f t="shared" ca="1" si="34"/>
        <v>0</v>
      </c>
      <c r="H227" s="31">
        <f t="shared" ca="1" si="38"/>
        <v>23.964592303008288</v>
      </c>
      <c r="I227" s="9">
        <f t="shared" ca="1" si="35"/>
        <v>1282.8521386308289</v>
      </c>
      <c r="J227" s="30">
        <f t="shared" ca="1" si="36"/>
        <v>1044.109694839341</v>
      </c>
      <c r="K227" s="122">
        <f t="shared" ca="1" si="39"/>
        <v>238.74244379148786</v>
      </c>
      <c r="L227" s="30"/>
      <c r="M227" s="30"/>
      <c r="N227" s="30"/>
      <c r="O227" s="30"/>
    </row>
    <row r="228" spans="1:15" x14ac:dyDescent="0.25">
      <c r="A228" s="10">
        <v>209</v>
      </c>
      <c r="B228" s="27">
        <f t="shared" ca="1" si="30"/>
        <v>0.45549216179662166</v>
      </c>
      <c r="C228" s="21">
        <f t="shared" ca="1" si="31"/>
        <v>249.32041196681521</v>
      </c>
      <c r="D228" s="21">
        <f t="shared" ca="1" si="32"/>
        <v>273.2850042698235</v>
      </c>
      <c r="E228" s="21">
        <f t="shared" ca="1" si="33"/>
        <v>2.7202896293919139</v>
      </c>
      <c r="F228" s="22">
        <f t="shared" ca="1" si="37"/>
        <v>23.964592303008288</v>
      </c>
      <c r="G228" s="22">
        <f t="shared" ca="1" si="34"/>
        <v>0</v>
      </c>
      <c r="H228" s="31">
        <f t="shared" ca="1" si="38"/>
        <v>23.964592303008288</v>
      </c>
      <c r="I228" s="9">
        <f t="shared" ca="1" si="35"/>
        <v>1435.6752462456809</v>
      </c>
      <c r="J228" s="30">
        <f t="shared" ca="1" si="36"/>
        <v>1044.109694839341</v>
      </c>
      <c r="K228" s="122">
        <f t="shared" ca="1" si="39"/>
        <v>391.56555140633986</v>
      </c>
      <c r="L228" s="30"/>
      <c r="M228" s="30"/>
      <c r="N228" s="30"/>
      <c r="O228" s="30"/>
    </row>
    <row r="229" spans="1:15" x14ac:dyDescent="0.25">
      <c r="A229" s="10">
        <v>210</v>
      </c>
      <c r="B229" s="27">
        <f t="shared" ca="1" si="30"/>
        <v>0.53585321518238915</v>
      </c>
      <c r="C229" s="21">
        <f t="shared" ca="1" si="31"/>
        <v>249.32041196681521</v>
      </c>
      <c r="D229" s="21">
        <f t="shared" ca="1" si="32"/>
        <v>254.76099122559904</v>
      </c>
      <c r="E229" s="21">
        <f t="shared" ca="1" si="33"/>
        <v>2.7202896293919139</v>
      </c>
      <c r="F229" s="22">
        <f t="shared" ca="1" si="37"/>
        <v>5.4405792587838278</v>
      </c>
      <c r="G229" s="22">
        <f t="shared" ca="1" si="34"/>
        <v>19.371706704047796</v>
      </c>
      <c r="H229" s="31">
        <f t="shared" ca="1" si="38"/>
        <v>0</v>
      </c>
      <c r="I229" s="9">
        <f t="shared" ca="1" si="35"/>
        <v>1371.9423382248317</v>
      </c>
      <c r="J229" s="30">
        <f t="shared" ca="1" si="36"/>
        <v>1008.1628063848285</v>
      </c>
      <c r="K229" s="122">
        <f t="shared" ca="1" si="39"/>
        <v>363.77953184000319</v>
      </c>
      <c r="L229" s="30"/>
      <c r="M229" s="30"/>
      <c r="N229" s="30"/>
      <c r="O229" s="30"/>
    </row>
    <row r="230" spans="1:15" x14ac:dyDescent="0.25">
      <c r="A230" s="10">
        <v>211</v>
      </c>
      <c r="B230" s="27">
        <f t="shared" ca="1" si="30"/>
        <v>0.81750198755051762</v>
      </c>
      <c r="C230" s="21">
        <f t="shared" ca="1" si="31"/>
        <v>271.41240830025492</v>
      </c>
      <c r="D230" s="21">
        <f t="shared" ca="1" si="32"/>
        <v>254.76099122559904</v>
      </c>
      <c r="E230" s="21">
        <f t="shared" ca="1" si="33"/>
        <v>0</v>
      </c>
      <c r="F230" s="22">
        <f t="shared" ca="1" si="37"/>
        <v>0</v>
      </c>
      <c r="G230" s="22">
        <f t="shared" ca="1" si="34"/>
        <v>0</v>
      </c>
      <c r="H230" s="31">
        <f t="shared" ca="1" si="38"/>
        <v>0</v>
      </c>
      <c r="I230" s="9">
        <f t="shared" ca="1" si="35"/>
        <v>1386.2238587791392</v>
      </c>
      <c r="J230" s="30">
        <f t="shared" ca="1" si="36"/>
        <v>1008.1628063848285</v>
      </c>
      <c r="K230" s="122">
        <f t="shared" ca="1" si="39"/>
        <v>378.06105239431065</v>
      </c>
      <c r="L230" s="30"/>
      <c r="M230" s="30"/>
      <c r="N230" s="30"/>
      <c r="O230" s="30"/>
    </row>
    <row r="231" spans="1:15" x14ac:dyDescent="0.25">
      <c r="A231" s="10">
        <v>212</v>
      </c>
      <c r="B231" s="43">
        <f t="shared" ca="1" si="30"/>
        <v>0.63181511039947913</v>
      </c>
      <c r="C231" s="44">
        <f t="shared" ca="1" si="31"/>
        <v>249.32041196681521</v>
      </c>
      <c r="D231" s="44">
        <f t="shared" ca="1" si="32"/>
        <v>252.04070159620713</v>
      </c>
      <c r="E231" s="44">
        <f t="shared" ca="1" si="33"/>
        <v>2.7202896293919139</v>
      </c>
      <c r="F231" s="45">
        <f t="shared" ca="1" si="37"/>
        <v>2.7202896293919139</v>
      </c>
      <c r="G231" s="45">
        <f t="shared" ca="1" si="34"/>
        <v>0</v>
      </c>
      <c r="H231" s="46">
        <f t="shared" ca="1" si="38"/>
        <v>2.7202896293919139</v>
      </c>
      <c r="I231" s="1">
        <f t="shared" ca="1" si="35"/>
        <v>1371.9423382248317</v>
      </c>
      <c r="J231" s="47">
        <f t="shared" ca="1" si="36"/>
        <v>1012.2432408289164</v>
      </c>
      <c r="K231" s="123">
        <f t="shared" ca="1" si="39"/>
        <v>359.69909739591526</v>
      </c>
      <c r="L231" s="30"/>
      <c r="M231" s="30"/>
      <c r="N231" s="30"/>
      <c r="O231" s="30"/>
    </row>
    <row r="232" spans="1:15" x14ac:dyDescent="0.25">
      <c r="A232" s="10">
        <v>213</v>
      </c>
      <c r="B232" s="48">
        <f t="shared" ca="1" si="30"/>
        <v>0.49302135297700855</v>
      </c>
      <c r="C232" s="49">
        <f t="shared" ca="1" si="31"/>
        <v>249.32041196681521</v>
      </c>
      <c r="D232" s="49">
        <f t="shared" ca="1" si="32"/>
        <v>254.76099122559904</v>
      </c>
      <c r="E232" s="49">
        <f t="shared" ca="1" si="33"/>
        <v>2.7202896293919139</v>
      </c>
      <c r="F232" s="50">
        <f t="shared" ca="1" si="37"/>
        <v>5.4405792587838278</v>
      </c>
      <c r="G232" s="50">
        <f t="shared" ca="1" si="34"/>
        <v>0</v>
      </c>
      <c r="H232" s="51">
        <f t="shared" ca="1" si="38"/>
        <v>5.4405792587838278</v>
      </c>
      <c r="I232" s="52">
        <f t="shared" ca="1" si="35"/>
        <v>1380.1032071130076</v>
      </c>
      <c r="J232" s="53">
        <f t="shared" ca="1" si="36"/>
        <v>1016.3236752730043</v>
      </c>
      <c r="K232" s="124">
        <f t="shared" ca="1" si="39"/>
        <v>363.7795318400033</v>
      </c>
      <c r="L232" s="30"/>
      <c r="M232" s="30"/>
      <c r="N232" s="30"/>
      <c r="O232" s="30"/>
    </row>
    <row r="233" spans="1:15" x14ac:dyDescent="0.25">
      <c r="A233" s="10">
        <v>214</v>
      </c>
      <c r="B233" s="27">
        <f t="shared" ca="1" si="30"/>
        <v>3.4451127197551834E-2</v>
      </c>
      <c r="C233" s="21">
        <f t="shared" ca="1" si="31"/>
        <v>201.46234925421527</v>
      </c>
      <c r="D233" s="21">
        <f t="shared" ca="1" si="32"/>
        <v>254.76099122559904</v>
      </c>
      <c r="E233" s="21">
        <f t="shared" ca="1" si="33"/>
        <v>50.578352341991859</v>
      </c>
      <c r="F233" s="22">
        <f t="shared" ca="1" si="37"/>
        <v>53.298641971383773</v>
      </c>
      <c r="G233" s="22">
        <f t="shared" ca="1" si="34"/>
        <v>0</v>
      </c>
      <c r="H233" s="31">
        <f t="shared" ca="1" si="38"/>
        <v>53.298641971383773</v>
      </c>
      <c r="I233" s="9">
        <f t="shared" ca="1" si="35"/>
        <v>1128.8483778718578</v>
      </c>
      <c r="J233" s="30">
        <f t="shared" ca="1" si="36"/>
        <v>1088.1107693419042</v>
      </c>
      <c r="K233" s="122">
        <f t="shared" ca="1" si="39"/>
        <v>40.737608529953604</v>
      </c>
      <c r="L233" s="30"/>
      <c r="M233" s="30"/>
      <c r="N233" s="30"/>
      <c r="O233" s="30"/>
    </row>
    <row r="234" spans="1:15" x14ac:dyDescent="0.25">
      <c r="A234" s="10">
        <v>215</v>
      </c>
      <c r="B234" s="27">
        <f t="shared" ca="1" si="30"/>
        <v>0.63781729062603876</v>
      </c>
      <c r="C234" s="21">
        <f t="shared" ca="1" si="31"/>
        <v>249.32041196681521</v>
      </c>
      <c r="D234" s="21">
        <f t="shared" ca="1" si="32"/>
        <v>302.61905393819899</v>
      </c>
      <c r="E234" s="21">
        <f t="shared" ca="1" si="33"/>
        <v>2.7202896293919139</v>
      </c>
      <c r="F234" s="22">
        <f t="shared" ca="1" si="37"/>
        <v>53.298641971383773</v>
      </c>
      <c r="G234" s="22">
        <f t="shared" ca="1" si="34"/>
        <v>19.371706704047796</v>
      </c>
      <c r="H234" s="31">
        <f t="shared" ca="1" si="38"/>
        <v>33.926935267335978</v>
      </c>
      <c r="I234" s="9">
        <f t="shared" ca="1" si="35"/>
        <v>1473.7231440268397</v>
      </c>
      <c r="J234" s="30">
        <f t="shared" ca="1" si="36"/>
        <v>1059.0532092858325</v>
      </c>
      <c r="K234" s="122">
        <f t="shared" ca="1" si="39"/>
        <v>414.66993474100718</v>
      </c>
      <c r="L234" s="30"/>
      <c r="M234" s="30"/>
      <c r="N234" s="30"/>
      <c r="O234" s="30"/>
    </row>
    <row r="235" spans="1:15" x14ac:dyDescent="0.25">
      <c r="A235" s="10">
        <v>216</v>
      </c>
      <c r="B235" s="27">
        <f t="shared" ca="1" si="30"/>
        <v>0.80202789101011018</v>
      </c>
      <c r="C235" s="21">
        <f t="shared" ca="1" si="31"/>
        <v>271.41240830025492</v>
      </c>
      <c r="D235" s="21">
        <f t="shared" ca="1" si="32"/>
        <v>254.76099122559904</v>
      </c>
      <c r="E235" s="21">
        <f t="shared" ca="1" si="33"/>
        <v>0</v>
      </c>
      <c r="F235" s="22">
        <f t="shared" ca="1" si="37"/>
        <v>0</v>
      </c>
      <c r="G235" s="22">
        <f t="shared" ca="1" si="34"/>
        <v>0</v>
      </c>
      <c r="H235" s="31">
        <f t="shared" ca="1" si="38"/>
        <v>0</v>
      </c>
      <c r="I235" s="9">
        <f t="shared" ca="1" si="35"/>
        <v>1386.2238587791392</v>
      </c>
      <c r="J235" s="30">
        <f t="shared" ca="1" si="36"/>
        <v>1008.1628063848285</v>
      </c>
      <c r="K235" s="122">
        <f t="shared" ca="1" si="39"/>
        <v>378.06105239431065</v>
      </c>
      <c r="L235" s="30"/>
      <c r="M235" s="30"/>
      <c r="N235" s="30"/>
      <c r="O235" s="30"/>
    </row>
    <row r="236" spans="1:15" x14ac:dyDescent="0.25">
      <c r="A236" s="10">
        <v>217</v>
      </c>
      <c r="B236" s="27">
        <f t="shared" ca="1" si="30"/>
        <v>0.21584903047871018</v>
      </c>
      <c r="C236" s="21">
        <f t="shared" ca="1" si="31"/>
        <v>230.79639892259075</v>
      </c>
      <c r="D236" s="21">
        <f t="shared" ca="1" si="32"/>
        <v>252.04070159620713</v>
      </c>
      <c r="E236" s="21">
        <f t="shared" ca="1" si="33"/>
        <v>21.244302673616374</v>
      </c>
      <c r="F236" s="22">
        <f t="shared" ca="1" si="37"/>
        <v>21.244302673616374</v>
      </c>
      <c r="G236" s="22">
        <f t="shared" ca="1" si="34"/>
        <v>0</v>
      </c>
      <c r="H236" s="31">
        <f t="shared" ca="1" si="38"/>
        <v>21.244302673616374</v>
      </c>
      <c r="I236" s="9">
        <f t="shared" ca="1" si="35"/>
        <v>1274.6912697426533</v>
      </c>
      <c r="J236" s="30">
        <f t="shared" ca="1" si="36"/>
        <v>1040.029260395253</v>
      </c>
      <c r="K236" s="122">
        <f t="shared" ca="1" si="39"/>
        <v>234.66200934740027</v>
      </c>
      <c r="L236" s="30"/>
      <c r="M236" s="30"/>
      <c r="N236" s="30"/>
      <c r="O236" s="30"/>
    </row>
    <row r="237" spans="1:15" x14ac:dyDescent="0.25">
      <c r="A237" s="10">
        <v>218</v>
      </c>
      <c r="B237" s="27">
        <f t="shared" ca="1" si="30"/>
        <v>0.61118143670704239</v>
      </c>
      <c r="C237" s="21">
        <f t="shared" ca="1" si="31"/>
        <v>249.32041196681521</v>
      </c>
      <c r="D237" s="21">
        <f t="shared" ca="1" si="32"/>
        <v>273.2850042698235</v>
      </c>
      <c r="E237" s="21">
        <f t="shared" ca="1" si="33"/>
        <v>2.7202896293919139</v>
      </c>
      <c r="F237" s="22">
        <f t="shared" ca="1" si="37"/>
        <v>23.964592303008288</v>
      </c>
      <c r="G237" s="22">
        <f t="shared" ca="1" si="34"/>
        <v>0</v>
      </c>
      <c r="H237" s="31">
        <f t="shared" ca="1" si="38"/>
        <v>23.964592303008288</v>
      </c>
      <c r="I237" s="9">
        <f t="shared" ca="1" si="35"/>
        <v>1435.6752462456809</v>
      </c>
      <c r="J237" s="30">
        <f t="shared" ca="1" si="36"/>
        <v>1044.109694839341</v>
      </c>
      <c r="K237" s="122">
        <f t="shared" ca="1" si="39"/>
        <v>391.56555140633986</v>
      </c>
      <c r="L237" s="30"/>
      <c r="M237" s="30"/>
      <c r="N237" s="30"/>
      <c r="O237" s="30"/>
    </row>
    <row r="238" spans="1:15" x14ac:dyDescent="0.25">
      <c r="A238" s="10">
        <v>219</v>
      </c>
      <c r="B238" s="27">
        <f t="shared" ca="1" si="30"/>
        <v>0.33944507532206236</v>
      </c>
      <c r="C238" s="21">
        <f t="shared" ca="1" si="31"/>
        <v>230.79639892259075</v>
      </c>
      <c r="D238" s="21">
        <f t="shared" ca="1" si="32"/>
        <v>254.76099122559904</v>
      </c>
      <c r="E238" s="21">
        <f t="shared" ca="1" si="33"/>
        <v>21.244302673616374</v>
      </c>
      <c r="F238" s="22">
        <f t="shared" ca="1" si="37"/>
        <v>23.964592303008288</v>
      </c>
      <c r="G238" s="22">
        <f t="shared" ca="1" si="34"/>
        <v>0</v>
      </c>
      <c r="H238" s="31">
        <f t="shared" ca="1" si="38"/>
        <v>23.964592303008288</v>
      </c>
      <c r="I238" s="9">
        <f t="shared" ca="1" si="35"/>
        <v>1282.8521386308289</v>
      </c>
      <c r="J238" s="30">
        <f t="shared" ca="1" si="36"/>
        <v>1044.109694839341</v>
      </c>
      <c r="K238" s="122">
        <f t="shared" ca="1" si="39"/>
        <v>238.74244379148786</v>
      </c>
      <c r="L238" s="30"/>
      <c r="M238" s="30"/>
      <c r="N238" s="30"/>
      <c r="O238" s="30"/>
    </row>
    <row r="239" spans="1:15" x14ac:dyDescent="0.25">
      <c r="A239" s="10">
        <v>220</v>
      </c>
      <c r="B239" s="27">
        <f t="shared" ca="1" si="30"/>
        <v>0.16019871906724681</v>
      </c>
      <c r="C239" s="21">
        <f t="shared" ca="1" si="31"/>
        <v>230.79639892259075</v>
      </c>
      <c r="D239" s="21">
        <f t="shared" ca="1" si="32"/>
        <v>273.2850042698235</v>
      </c>
      <c r="E239" s="21">
        <f t="shared" ca="1" si="33"/>
        <v>21.244302673616374</v>
      </c>
      <c r="F239" s="22">
        <f t="shared" ca="1" si="37"/>
        <v>42.488605347232749</v>
      </c>
      <c r="G239" s="22">
        <f t="shared" ca="1" si="34"/>
        <v>19.371706704047796</v>
      </c>
      <c r="H239" s="31">
        <f t="shared" ca="1" si="38"/>
        <v>23.116898643184953</v>
      </c>
      <c r="I239" s="9">
        <f t="shared" ca="1" si="35"/>
        <v>1344.0419656722081</v>
      </c>
      <c r="J239" s="30">
        <f t="shared" ca="1" si="36"/>
        <v>1042.8381543496059</v>
      </c>
      <c r="K239" s="122">
        <f t="shared" ca="1" si="39"/>
        <v>301.20381132260218</v>
      </c>
      <c r="L239" s="30"/>
      <c r="M239" s="30"/>
      <c r="N239" s="30"/>
      <c r="O239" s="30"/>
    </row>
    <row r="240" spans="1:15" x14ac:dyDescent="0.25">
      <c r="A240" s="10">
        <v>221</v>
      </c>
      <c r="B240" s="27">
        <f t="shared" ca="1" si="30"/>
        <v>0.71308032451089576</v>
      </c>
      <c r="C240" s="21">
        <f t="shared" ca="1" si="31"/>
        <v>271.41240830025492</v>
      </c>
      <c r="D240" s="21">
        <f t="shared" ca="1" si="32"/>
        <v>273.2850042698235</v>
      </c>
      <c r="E240" s="21">
        <f t="shared" ca="1" si="33"/>
        <v>0</v>
      </c>
      <c r="F240" s="22">
        <f t="shared" ca="1" si="37"/>
        <v>1.8725959695685788</v>
      </c>
      <c r="G240" s="22">
        <f t="shared" ca="1" si="34"/>
        <v>0</v>
      </c>
      <c r="H240" s="31">
        <f t="shared" ca="1" si="38"/>
        <v>1.8725959695685788</v>
      </c>
      <c r="I240" s="9">
        <f t="shared" ca="1" si="35"/>
        <v>1386.2238587791392</v>
      </c>
      <c r="J240" s="30">
        <f t="shared" ca="1" si="36"/>
        <v>1010.9717003391813</v>
      </c>
      <c r="K240" s="122">
        <f t="shared" ca="1" si="39"/>
        <v>375.25215843995784</v>
      </c>
      <c r="L240" s="30"/>
      <c r="M240" s="30"/>
      <c r="N240" s="30"/>
      <c r="O240" s="30"/>
    </row>
    <row r="241" spans="1:15" x14ac:dyDescent="0.25">
      <c r="A241" s="10">
        <v>222</v>
      </c>
      <c r="B241" s="27">
        <f t="shared" ca="1" si="30"/>
        <v>0.14639383672005557</v>
      </c>
      <c r="C241" s="21">
        <f t="shared" ca="1" si="31"/>
        <v>201.46234925421527</v>
      </c>
      <c r="D241" s="21">
        <f t="shared" ca="1" si="32"/>
        <v>252.04070159620713</v>
      </c>
      <c r="E241" s="21">
        <f t="shared" ca="1" si="33"/>
        <v>50.578352341991859</v>
      </c>
      <c r="F241" s="22">
        <f t="shared" ca="1" si="37"/>
        <v>50.578352341991859</v>
      </c>
      <c r="G241" s="22">
        <f t="shared" ca="1" si="34"/>
        <v>0</v>
      </c>
      <c r="H241" s="31">
        <f t="shared" ca="1" si="38"/>
        <v>50.578352341991859</v>
      </c>
      <c r="I241" s="9">
        <f t="shared" ca="1" si="35"/>
        <v>1120.6875089836822</v>
      </c>
      <c r="J241" s="30">
        <f t="shared" ca="1" si="36"/>
        <v>1084.0303348978164</v>
      </c>
      <c r="K241" s="122">
        <f t="shared" ca="1" si="39"/>
        <v>36.65717408586579</v>
      </c>
      <c r="L241" s="30"/>
      <c r="M241" s="30"/>
      <c r="N241" s="30"/>
      <c r="O241" s="30"/>
    </row>
    <row r="242" spans="1:15" x14ac:dyDescent="0.25">
      <c r="A242" s="10">
        <v>223</v>
      </c>
      <c r="B242" s="27">
        <f t="shared" ca="1" si="30"/>
        <v>0.5382638753090514</v>
      </c>
      <c r="C242" s="21">
        <f t="shared" ca="1" si="31"/>
        <v>249.32041196681521</v>
      </c>
      <c r="D242" s="21">
        <f t="shared" ca="1" si="32"/>
        <v>302.61905393819899</v>
      </c>
      <c r="E242" s="21">
        <f t="shared" ca="1" si="33"/>
        <v>2.7202896293919139</v>
      </c>
      <c r="F242" s="22">
        <f t="shared" ca="1" si="37"/>
        <v>53.298641971383773</v>
      </c>
      <c r="G242" s="22">
        <f t="shared" ca="1" si="34"/>
        <v>0</v>
      </c>
      <c r="H242" s="31">
        <f t="shared" ca="1" si="38"/>
        <v>53.298641971383773</v>
      </c>
      <c r="I242" s="9">
        <f t="shared" ca="1" si="35"/>
        <v>1523.6773952508072</v>
      </c>
      <c r="J242" s="30">
        <f t="shared" ca="1" si="36"/>
        <v>1088.1107693419042</v>
      </c>
      <c r="K242" s="122">
        <f t="shared" ca="1" si="39"/>
        <v>435.56662590890301</v>
      </c>
      <c r="L242" s="30"/>
      <c r="M242" s="30"/>
      <c r="N242" s="30"/>
      <c r="O242" s="30"/>
    </row>
    <row r="243" spans="1:15" x14ac:dyDescent="0.25">
      <c r="A243" s="10">
        <v>224</v>
      </c>
      <c r="B243" s="27">
        <f t="shared" ca="1" si="30"/>
        <v>0.66142886617494179</v>
      </c>
      <c r="C243" s="21">
        <f t="shared" ca="1" si="31"/>
        <v>249.32041196681521</v>
      </c>
      <c r="D243" s="21">
        <f t="shared" ca="1" si="32"/>
        <v>254.76099122559904</v>
      </c>
      <c r="E243" s="21">
        <f t="shared" ca="1" si="33"/>
        <v>2.7202896293919139</v>
      </c>
      <c r="F243" s="22">
        <f t="shared" ca="1" si="37"/>
        <v>5.4405792587838278</v>
      </c>
      <c r="G243" s="22">
        <f t="shared" ca="1" si="34"/>
        <v>44.982781035430634</v>
      </c>
      <c r="H243" s="31">
        <f t="shared" ca="1" si="38"/>
        <v>0</v>
      </c>
      <c r="I243" s="9">
        <f t="shared" ca="1" si="35"/>
        <v>1371.9423382248317</v>
      </c>
      <c r="J243" s="30">
        <f t="shared" ca="1" si="36"/>
        <v>1008.1628063848285</v>
      </c>
      <c r="K243" s="122">
        <f t="shared" ca="1" si="39"/>
        <v>363.77953184000319</v>
      </c>
      <c r="L243" s="30"/>
      <c r="M243" s="30"/>
      <c r="N243" s="30"/>
      <c r="O243" s="30"/>
    </row>
    <row r="244" spans="1:15" x14ac:dyDescent="0.25">
      <c r="A244" s="10">
        <v>225</v>
      </c>
      <c r="B244" s="27">
        <f t="shared" ca="1" si="30"/>
        <v>0.9609266984455378</v>
      </c>
      <c r="C244" s="21">
        <f t="shared" ca="1" si="31"/>
        <v>297.02348263163776</v>
      </c>
      <c r="D244" s="21">
        <f t="shared" ca="1" si="32"/>
        <v>254.76099122559904</v>
      </c>
      <c r="E244" s="21">
        <f t="shared" ca="1" si="33"/>
        <v>0</v>
      </c>
      <c r="F244" s="22">
        <f t="shared" ca="1" si="37"/>
        <v>0</v>
      </c>
      <c r="G244" s="22">
        <f t="shared" ca="1" si="34"/>
        <v>0</v>
      </c>
      <c r="H244" s="31">
        <f t="shared" ca="1" si="38"/>
        <v>0</v>
      </c>
      <c r="I244" s="9">
        <f t="shared" ca="1" si="35"/>
        <v>1386.2238587791392</v>
      </c>
      <c r="J244" s="30">
        <f t="shared" ca="1" si="36"/>
        <v>1008.1628063848285</v>
      </c>
      <c r="K244" s="122">
        <f t="shared" ca="1" si="39"/>
        <v>378.06105239431065</v>
      </c>
      <c r="L244" s="30"/>
      <c r="M244" s="30"/>
      <c r="N244" s="30"/>
      <c r="O244" s="30"/>
    </row>
    <row r="245" spans="1:15" x14ac:dyDescent="0.25">
      <c r="A245" s="10">
        <v>226</v>
      </c>
      <c r="B245" s="27">
        <f t="shared" ca="1" si="30"/>
        <v>0.61033116753352756</v>
      </c>
      <c r="C245" s="21">
        <f t="shared" ca="1" si="31"/>
        <v>249.32041196681521</v>
      </c>
      <c r="D245" s="21">
        <f t="shared" ca="1" si="32"/>
        <v>252.04070159620713</v>
      </c>
      <c r="E245" s="21">
        <f t="shared" ca="1" si="33"/>
        <v>2.7202896293919139</v>
      </c>
      <c r="F245" s="22">
        <f t="shared" ca="1" si="37"/>
        <v>2.7202896293919139</v>
      </c>
      <c r="G245" s="22">
        <f t="shared" ca="1" si="34"/>
        <v>0</v>
      </c>
      <c r="H245" s="31">
        <f t="shared" ca="1" si="38"/>
        <v>2.7202896293919139</v>
      </c>
      <c r="I245" s="9">
        <f t="shared" ca="1" si="35"/>
        <v>1371.9423382248317</v>
      </c>
      <c r="J245" s="30">
        <f t="shared" ca="1" si="36"/>
        <v>1012.2432408289164</v>
      </c>
      <c r="K245" s="122">
        <f t="shared" ca="1" si="39"/>
        <v>359.69909739591526</v>
      </c>
      <c r="L245" s="30"/>
      <c r="M245" s="30"/>
      <c r="N245" s="30"/>
      <c r="O245" s="30"/>
    </row>
    <row r="246" spans="1:15" x14ac:dyDescent="0.25">
      <c r="A246" s="10">
        <v>227</v>
      </c>
      <c r="B246" s="27">
        <f t="shared" ca="1" si="30"/>
        <v>0.5828213983992877</v>
      </c>
      <c r="C246" s="21">
        <f t="shared" ca="1" si="31"/>
        <v>249.32041196681521</v>
      </c>
      <c r="D246" s="21">
        <f t="shared" ca="1" si="32"/>
        <v>254.76099122559904</v>
      </c>
      <c r="E246" s="21">
        <f t="shared" ca="1" si="33"/>
        <v>2.7202896293919139</v>
      </c>
      <c r="F246" s="22">
        <f t="shared" ca="1" si="37"/>
        <v>5.4405792587838278</v>
      </c>
      <c r="G246" s="22">
        <f t="shared" ca="1" si="34"/>
        <v>0</v>
      </c>
      <c r="H246" s="31">
        <f t="shared" ca="1" si="38"/>
        <v>5.4405792587838278</v>
      </c>
      <c r="I246" s="9">
        <f t="shared" ca="1" si="35"/>
        <v>1380.1032071130076</v>
      </c>
      <c r="J246" s="30">
        <f t="shared" ca="1" si="36"/>
        <v>1016.3236752730043</v>
      </c>
      <c r="K246" s="122">
        <f t="shared" ca="1" si="39"/>
        <v>363.7795318400033</v>
      </c>
      <c r="L246" s="30"/>
      <c r="M246" s="30"/>
      <c r="N246" s="30"/>
      <c r="O246" s="30"/>
    </row>
    <row r="247" spans="1:15" x14ac:dyDescent="0.25">
      <c r="A247" s="10">
        <v>228</v>
      </c>
      <c r="B247" s="27">
        <f t="shared" ca="1" si="30"/>
        <v>4.2086624459267585E-2</v>
      </c>
      <c r="C247" s="21">
        <f t="shared" ca="1" si="31"/>
        <v>201.46234925421527</v>
      </c>
      <c r="D247" s="21">
        <f t="shared" ca="1" si="32"/>
        <v>254.76099122559904</v>
      </c>
      <c r="E247" s="21">
        <f t="shared" ca="1" si="33"/>
        <v>50.578352341991859</v>
      </c>
      <c r="F247" s="22">
        <f t="shared" ca="1" si="37"/>
        <v>53.298641971383773</v>
      </c>
      <c r="G247" s="22">
        <f t="shared" ca="1" si="34"/>
        <v>19.371706704047796</v>
      </c>
      <c r="H247" s="31">
        <f t="shared" ca="1" si="38"/>
        <v>33.926935267335978</v>
      </c>
      <c r="I247" s="9">
        <f t="shared" ca="1" si="35"/>
        <v>1222.4683147856902</v>
      </c>
      <c r="J247" s="30">
        <f t="shared" ca="1" si="36"/>
        <v>1059.0532092858325</v>
      </c>
      <c r="K247" s="122">
        <f t="shared" ca="1" si="39"/>
        <v>163.41510549985765</v>
      </c>
      <c r="L247" s="30"/>
      <c r="M247" s="30"/>
      <c r="N247" s="30"/>
      <c r="O247" s="30"/>
    </row>
    <row r="248" spans="1:15" x14ac:dyDescent="0.25">
      <c r="A248" s="10">
        <v>229</v>
      </c>
      <c r="B248" s="27">
        <f t="shared" ca="1" si="30"/>
        <v>0.73820177326743486</v>
      </c>
      <c r="C248" s="21">
        <f t="shared" ca="1" si="31"/>
        <v>271.41240830025492</v>
      </c>
      <c r="D248" s="21">
        <f t="shared" ca="1" si="32"/>
        <v>302.61905393819899</v>
      </c>
      <c r="E248" s="21">
        <f t="shared" ca="1" si="33"/>
        <v>0</v>
      </c>
      <c r="F248" s="22">
        <f t="shared" ca="1" si="37"/>
        <v>31.206645637944064</v>
      </c>
      <c r="G248" s="22">
        <f t="shared" ca="1" si="34"/>
        <v>0</v>
      </c>
      <c r="H248" s="31">
        <f t="shared" ca="1" si="38"/>
        <v>31.206645637944064</v>
      </c>
      <c r="I248" s="9">
        <f t="shared" ca="1" si="35"/>
        <v>1386.2238587791392</v>
      </c>
      <c r="J248" s="30">
        <f t="shared" ca="1" si="36"/>
        <v>1054.9727748417447</v>
      </c>
      <c r="K248" s="122">
        <f t="shared" ca="1" si="39"/>
        <v>331.25108393739447</v>
      </c>
      <c r="L248" s="30"/>
      <c r="M248" s="30"/>
      <c r="N248" s="30"/>
      <c r="O248" s="30"/>
    </row>
    <row r="249" spans="1:15" x14ac:dyDescent="0.25">
      <c r="A249" s="10">
        <v>230</v>
      </c>
      <c r="B249" s="27">
        <f t="shared" ca="1" si="30"/>
        <v>0.11748867914295658</v>
      </c>
      <c r="C249" s="21">
        <f t="shared" ca="1" si="31"/>
        <v>201.46234925421527</v>
      </c>
      <c r="D249" s="21">
        <f t="shared" ca="1" si="32"/>
        <v>252.04070159620713</v>
      </c>
      <c r="E249" s="21">
        <f t="shared" ca="1" si="33"/>
        <v>50.578352341991859</v>
      </c>
      <c r="F249" s="22">
        <f t="shared" ca="1" si="37"/>
        <v>50.578352341991859</v>
      </c>
      <c r="G249" s="22">
        <f t="shared" ca="1" si="34"/>
        <v>19.371706704047796</v>
      </c>
      <c r="H249" s="31">
        <f t="shared" ca="1" si="38"/>
        <v>31.206645637944064</v>
      </c>
      <c r="I249" s="9">
        <f t="shared" ca="1" si="35"/>
        <v>1214.3074458975143</v>
      </c>
      <c r="J249" s="30">
        <f t="shared" ca="1" si="36"/>
        <v>1054.9727748417447</v>
      </c>
      <c r="K249" s="122">
        <f t="shared" ca="1" si="39"/>
        <v>159.3346710557696</v>
      </c>
      <c r="L249" s="30"/>
      <c r="M249" s="30"/>
      <c r="N249" s="30"/>
      <c r="O249" s="30"/>
    </row>
    <row r="250" spans="1:15" x14ac:dyDescent="0.25">
      <c r="A250" s="10">
        <v>231</v>
      </c>
      <c r="B250" s="27">
        <f t="shared" ca="1" si="30"/>
        <v>0.73659388232712075</v>
      </c>
      <c r="C250" s="21">
        <f t="shared" ca="1" si="31"/>
        <v>271.41240830025492</v>
      </c>
      <c r="D250" s="21">
        <f t="shared" ca="1" si="32"/>
        <v>302.61905393819899</v>
      </c>
      <c r="E250" s="21">
        <f t="shared" ca="1" si="33"/>
        <v>0</v>
      </c>
      <c r="F250" s="22">
        <f t="shared" ca="1" si="37"/>
        <v>31.206645637944064</v>
      </c>
      <c r="G250" s="22">
        <f t="shared" ca="1" si="34"/>
        <v>19.371706704047796</v>
      </c>
      <c r="H250" s="31">
        <f t="shared" ca="1" si="38"/>
        <v>11.834938933896268</v>
      </c>
      <c r="I250" s="9">
        <f t="shared" ca="1" si="35"/>
        <v>1386.2238587791392</v>
      </c>
      <c r="J250" s="30">
        <f t="shared" ca="1" si="36"/>
        <v>1025.915214785673</v>
      </c>
      <c r="K250" s="122">
        <f t="shared" ca="1" si="39"/>
        <v>360.30864399346615</v>
      </c>
      <c r="L250" s="30"/>
      <c r="M250" s="30"/>
      <c r="N250" s="30"/>
      <c r="O250" s="30"/>
    </row>
    <row r="251" spans="1:15" x14ac:dyDescent="0.25">
      <c r="A251" s="10">
        <v>232</v>
      </c>
      <c r="B251" s="27">
        <f t="shared" ca="1" si="30"/>
        <v>0.85889351677380898</v>
      </c>
      <c r="C251" s="21">
        <f t="shared" ca="1" si="31"/>
        <v>271.41240830025492</v>
      </c>
      <c r="D251" s="21">
        <f t="shared" ca="1" si="32"/>
        <v>252.04070159620713</v>
      </c>
      <c r="E251" s="21">
        <f t="shared" ca="1" si="33"/>
        <v>0</v>
      </c>
      <c r="F251" s="22">
        <f t="shared" ca="1" si="37"/>
        <v>0</v>
      </c>
      <c r="G251" s="22">
        <f t="shared" ca="1" si="34"/>
        <v>19.371706704047796</v>
      </c>
      <c r="H251" s="31">
        <f t="shared" ca="1" si="38"/>
        <v>0</v>
      </c>
      <c r="I251" s="9">
        <f t="shared" ca="1" si="35"/>
        <v>1386.2238587791392</v>
      </c>
      <c r="J251" s="30">
        <f t="shared" ca="1" si="36"/>
        <v>1008.1628063848285</v>
      </c>
      <c r="K251" s="122">
        <f t="shared" ca="1" si="39"/>
        <v>378.06105239431065</v>
      </c>
      <c r="L251" s="30"/>
      <c r="M251" s="30"/>
      <c r="N251" s="30"/>
      <c r="O251" s="30"/>
    </row>
    <row r="252" spans="1:15" x14ac:dyDescent="0.25">
      <c r="A252" s="10">
        <v>233</v>
      </c>
      <c r="B252" s="27">
        <f t="shared" ca="1" si="30"/>
        <v>0.74817373991587077</v>
      </c>
      <c r="C252" s="21">
        <f t="shared" ca="1" si="31"/>
        <v>271.41240830025492</v>
      </c>
      <c r="D252" s="21">
        <f t="shared" ca="1" si="32"/>
        <v>252.04070159620713</v>
      </c>
      <c r="E252" s="21">
        <f t="shared" ca="1" si="33"/>
        <v>0</v>
      </c>
      <c r="F252" s="22">
        <f t="shared" ca="1" si="37"/>
        <v>0</v>
      </c>
      <c r="G252" s="22">
        <f t="shared" ca="1" si="34"/>
        <v>0</v>
      </c>
      <c r="H252" s="31">
        <f t="shared" ca="1" si="38"/>
        <v>0</v>
      </c>
      <c r="I252" s="9">
        <f t="shared" ca="1" si="35"/>
        <v>1386.2238587791392</v>
      </c>
      <c r="J252" s="30">
        <f t="shared" ca="1" si="36"/>
        <v>1008.1628063848285</v>
      </c>
      <c r="K252" s="122">
        <f t="shared" ca="1" si="39"/>
        <v>378.06105239431065</v>
      </c>
      <c r="L252" s="30"/>
      <c r="M252" s="30"/>
      <c r="N252" s="30"/>
      <c r="O252" s="30"/>
    </row>
    <row r="253" spans="1:15" x14ac:dyDescent="0.25">
      <c r="A253" s="10">
        <v>234</v>
      </c>
      <c r="B253" s="27">
        <f t="shared" ca="1" si="30"/>
        <v>0.32283172564545615</v>
      </c>
      <c r="C253" s="21">
        <f t="shared" ca="1" si="31"/>
        <v>230.79639892259075</v>
      </c>
      <c r="D253" s="21">
        <f t="shared" ca="1" si="32"/>
        <v>252.04070159620713</v>
      </c>
      <c r="E253" s="21">
        <f t="shared" ca="1" si="33"/>
        <v>21.244302673616374</v>
      </c>
      <c r="F253" s="22">
        <f t="shared" ca="1" si="37"/>
        <v>21.244302673616374</v>
      </c>
      <c r="G253" s="22">
        <f t="shared" ca="1" si="34"/>
        <v>0</v>
      </c>
      <c r="H253" s="31">
        <f t="shared" ca="1" si="38"/>
        <v>21.244302673616374</v>
      </c>
      <c r="I253" s="9">
        <f t="shared" ca="1" si="35"/>
        <v>1274.6912697426533</v>
      </c>
      <c r="J253" s="30">
        <f t="shared" ca="1" si="36"/>
        <v>1040.029260395253</v>
      </c>
      <c r="K253" s="122">
        <f t="shared" ca="1" si="39"/>
        <v>234.66200934740027</v>
      </c>
      <c r="L253" s="30"/>
      <c r="M253" s="30"/>
      <c r="N253" s="30"/>
      <c r="O253" s="30"/>
    </row>
    <row r="254" spans="1:15" x14ac:dyDescent="0.25">
      <c r="A254" s="10">
        <v>235</v>
      </c>
      <c r="B254" s="27">
        <f t="shared" ca="1" si="30"/>
        <v>0.56215293012949263</v>
      </c>
      <c r="C254" s="21">
        <f t="shared" ca="1" si="31"/>
        <v>249.32041196681521</v>
      </c>
      <c r="D254" s="21">
        <f t="shared" ca="1" si="32"/>
        <v>273.2850042698235</v>
      </c>
      <c r="E254" s="21">
        <f t="shared" ca="1" si="33"/>
        <v>2.7202896293919139</v>
      </c>
      <c r="F254" s="22">
        <f t="shared" ca="1" si="37"/>
        <v>23.964592303008288</v>
      </c>
      <c r="G254" s="22">
        <f t="shared" ca="1" si="34"/>
        <v>0</v>
      </c>
      <c r="H254" s="31">
        <f t="shared" ca="1" si="38"/>
        <v>23.964592303008288</v>
      </c>
      <c r="I254" s="9">
        <f t="shared" ca="1" si="35"/>
        <v>1435.6752462456809</v>
      </c>
      <c r="J254" s="30">
        <f t="shared" ca="1" si="36"/>
        <v>1044.109694839341</v>
      </c>
      <c r="K254" s="122">
        <f t="shared" ca="1" si="39"/>
        <v>391.56555140633986</v>
      </c>
      <c r="L254" s="30"/>
      <c r="M254" s="30"/>
      <c r="N254" s="30"/>
      <c r="O254" s="30"/>
    </row>
    <row r="255" spans="1:15" x14ac:dyDescent="0.25">
      <c r="A255" s="10">
        <v>236</v>
      </c>
      <c r="B255" s="27">
        <f t="shared" ca="1" si="30"/>
        <v>0.63612451074163334</v>
      </c>
      <c r="C255" s="21">
        <f t="shared" ca="1" si="31"/>
        <v>249.32041196681521</v>
      </c>
      <c r="D255" s="21">
        <f t="shared" ca="1" si="32"/>
        <v>254.76099122559904</v>
      </c>
      <c r="E255" s="21">
        <f t="shared" ca="1" si="33"/>
        <v>2.7202896293919139</v>
      </c>
      <c r="F255" s="22">
        <f t="shared" ca="1" si="37"/>
        <v>5.4405792587838278</v>
      </c>
      <c r="G255" s="22">
        <f t="shared" ca="1" si="34"/>
        <v>0</v>
      </c>
      <c r="H255" s="31">
        <f t="shared" ca="1" si="38"/>
        <v>5.4405792587838278</v>
      </c>
      <c r="I255" s="9">
        <f t="shared" ca="1" si="35"/>
        <v>1380.1032071130076</v>
      </c>
      <c r="J255" s="30">
        <f t="shared" ca="1" si="36"/>
        <v>1016.3236752730043</v>
      </c>
      <c r="K255" s="122">
        <f t="shared" ca="1" si="39"/>
        <v>363.7795318400033</v>
      </c>
      <c r="L255" s="30"/>
      <c r="M255" s="30"/>
      <c r="N255" s="30"/>
      <c r="O255" s="30"/>
    </row>
    <row r="256" spans="1:15" x14ac:dyDescent="0.25">
      <c r="A256" s="10">
        <v>237</v>
      </c>
      <c r="B256" s="27">
        <f t="shared" ca="1" si="30"/>
        <v>0.60150115557750961</v>
      </c>
      <c r="C256" s="21">
        <f t="shared" ca="1" si="31"/>
        <v>249.32041196681521</v>
      </c>
      <c r="D256" s="21">
        <f t="shared" ca="1" si="32"/>
        <v>254.76099122559904</v>
      </c>
      <c r="E256" s="21">
        <f t="shared" ca="1" si="33"/>
        <v>2.7202896293919139</v>
      </c>
      <c r="F256" s="22">
        <f t="shared" ca="1" si="37"/>
        <v>5.4405792587838278</v>
      </c>
      <c r="G256" s="22">
        <f t="shared" ca="1" si="34"/>
        <v>0</v>
      </c>
      <c r="H256" s="31">
        <f t="shared" ca="1" si="38"/>
        <v>5.4405792587838278</v>
      </c>
      <c r="I256" s="9">
        <f t="shared" ca="1" si="35"/>
        <v>1380.1032071130076</v>
      </c>
      <c r="J256" s="30">
        <f t="shared" ca="1" si="36"/>
        <v>1016.3236752730043</v>
      </c>
      <c r="K256" s="122">
        <f t="shared" ca="1" si="39"/>
        <v>363.7795318400033</v>
      </c>
      <c r="L256" s="30"/>
      <c r="M256" s="30"/>
      <c r="N256" s="30"/>
      <c r="O256" s="30"/>
    </row>
    <row r="257" spans="1:15" x14ac:dyDescent="0.25">
      <c r="A257" s="10">
        <v>238</v>
      </c>
      <c r="B257" s="27">
        <f t="shared" ca="1" si="30"/>
        <v>3.0374302952121401E-2</v>
      </c>
      <c r="C257" s="21">
        <f t="shared" ca="1" si="31"/>
        <v>201.46234925421527</v>
      </c>
      <c r="D257" s="21">
        <f t="shared" ca="1" si="32"/>
        <v>254.76099122559904</v>
      </c>
      <c r="E257" s="21">
        <f t="shared" ca="1" si="33"/>
        <v>50.578352341991859</v>
      </c>
      <c r="F257" s="22">
        <f t="shared" ca="1" si="37"/>
        <v>53.298641971383773</v>
      </c>
      <c r="G257" s="22">
        <f t="shared" ca="1" si="34"/>
        <v>0</v>
      </c>
      <c r="H257" s="31">
        <f t="shared" ca="1" si="38"/>
        <v>53.298641971383773</v>
      </c>
      <c r="I257" s="9">
        <f t="shared" ca="1" si="35"/>
        <v>1128.8483778718578</v>
      </c>
      <c r="J257" s="30">
        <f t="shared" ca="1" si="36"/>
        <v>1088.1107693419042</v>
      </c>
      <c r="K257" s="122">
        <f t="shared" ca="1" si="39"/>
        <v>40.737608529953604</v>
      </c>
      <c r="L257" s="30"/>
      <c r="M257" s="30"/>
      <c r="N257" s="30"/>
      <c r="O257" s="30"/>
    </row>
    <row r="258" spans="1:15" x14ac:dyDescent="0.25">
      <c r="A258" s="10">
        <v>239</v>
      </c>
      <c r="B258" s="27">
        <f t="shared" ca="1" si="30"/>
        <v>0.63714230872351718</v>
      </c>
      <c r="C258" s="21">
        <f t="shared" ca="1" si="31"/>
        <v>249.32041196681521</v>
      </c>
      <c r="D258" s="21">
        <f t="shared" ca="1" si="32"/>
        <v>302.61905393819899</v>
      </c>
      <c r="E258" s="21">
        <f t="shared" ca="1" si="33"/>
        <v>2.7202896293919139</v>
      </c>
      <c r="F258" s="22">
        <f t="shared" ca="1" si="37"/>
        <v>53.298641971383773</v>
      </c>
      <c r="G258" s="22">
        <f t="shared" ca="1" si="34"/>
        <v>0</v>
      </c>
      <c r="H258" s="31">
        <f t="shared" ca="1" si="38"/>
        <v>53.298641971383773</v>
      </c>
      <c r="I258" s="9">
        <f t="shared" ca="1" si="35"/>
        <v>1523.6773952508072</v>
      </c>
      <c r="J258" s="30">
        <f t="shared" ca="1" si="36"/>
        <v>1088.1107693419042</v>
      </c>
      <c r="K258" s="122">
        <f t="shared" ca="1" si="39"/>
        <v>435.56662590890301</v>
      </c>
      <c r="L258" s="30"/>
      <c r="M258" s="30"/>
      <c r="N258" s="30"/>
      <c r="O258" s="30"/>
    </row>
    <row r="259" spans="1:15" x14ac:dyDescent="0.25">
      <c r="A259" s="10">
        <v>240</v>
      </c>
      <c r="B259" s="27">
        <f t="shared" ca="1" si="30"/>
        <v>0.31053565702358243</v>
      </c>
      <c r="C259" s="21">
        <f t="shared" ca="1" si="31"/>
        <v>230.79639892259075</v>
      </c>
      <c r="D259" s="21">
        <f t="shared" ca="1" si="32"/>
        <v>254.76099122559904</v>
      </c>
      <c r="E259" s="21">
        <f t="shared" ca="1" si="33"/>
        <v>21.244302673616374</v>
      </c>
      <c r="F259" s="22">
        <f t="shared" ca="1" si="37"/>
        <v>23.964592303008288</v>
      </c>
      <c r="G259" s="22">
        <f t="shared" ca="1" si="34"/>
        <v>0</v>
      </c>
      <c r="H259" s="31">
        <f t="shared" ca="1" si="38"/>
        <v>23.964592303008288</v>
      </c>
      <c r="I259" s="9">
        <f t="shared" ca="1" si="35"/>
        <v>1282.8521386308289</v>
      </c>
      <c r="J259" s="30">
        <f t="shared" ca="1" si="36"/>
        <v>1044.109694839341</v>
      </c>
      <c r="K259" s="122">
        <f t="shared" ca="1" si="39"/>
        <v>238.74244379148786</v>
      </c>
      <c r="L259" s="30"/>
      <c r="M259" s="30"/>
      <c r="N259" s="30"/>
      <c r="O259" s="30"/>
    </row>
    <row r="260" spans="1:15" x14ac:dyDescent="0.25">
      <c r="A260" s="10">
        <v>241</v>
      </c>
      <c r="B260" s="27">
        <f t="shared" ca="1" si="30"/>
        <v>0.50577840263381801</v>
      </c>
      <c r="C260" s="21">
        <f t="shared" ca="1" si="31"/>
        <v>249.32041196681521</v>
      </c>
      <c r="D260" s="21">
        <f t="shared" ca="1" si="32"/>
        <v>273.2850042698235</v>
      </c>
      <c r="E260" s="21">
        <f t="shared" ca="1" si="33"/>
        <v>2.7202896293919139</v>
      </c>
      <c r="F260" s="22">
        <f t="shared" ca="1" si="37"/>
        <v>23.964592303008288</v>
      </c>
      <c r="G260" s="22">
        <f t="shared" ca="1" si="34"/>
        <v>19.371706704047796</v>
      </c>
      <c r="H260" s="31">
        <f t="shared" ca="1" si="38"/>
        <v>4.5928855989604926</v>
      </c>
      <c r="I260" s="9">
        <f t="shared" ca="1" si="35"/>
        <v>1385.7209950217132</v>
      </c>
      <c r="J260" s="30">
        <f t="shared" ca="1" si="36"/>
        <v>1015.0521347832693</v>
      </c>
      <c r="K260" s="122">
        <f t="shared" ca="1" si="39"/>
        <v>370.66886023844393</v>
      </c>
      <c r="L260" s="30"/>
      <c r="M260" s="30"/>
      <c r="N260" s="30"/>
      <c r="O260" s="30"/>
    </row>
    <row r="261" spans="1:15" x14ac:dyDescent="0.25">
      <c r="A261" s="10">
        <v>242</v>
      </c>
      <c r="B261" s="27">
        <f t="shared" ca="1" si="30"/>
        <v>0.73409162821010954</v>
      </c>
      <c r="C261" s="21">
        <f t="shared" ca="1" si="31"/>
        <v>271.41240830025492</v>
      </c>
      <c r="D261" s="21">
        <f t="shared" ca="1" si="32"/>
        <v>254.76099122559904</v>
      </c>
      <c r="E261" s="21">
        <f t="shared" ca="1" si="33"/>
        <v>0</v>
      </c>
      <c r="F261" s="22">
        <f t="shared" ca="1" si="37"/>
        <v>0</v>
      </c>
      <c r="G261" s="22">
        <f t="shared" ca="1" si="34"/>
        <v>19.371706704047796</v>
      </c>
      <c r="H261" s="31">
        <f t="shared" ca="1" si="38"/>
        <v>0</v>
      </c>
      <c r="I261" s="9">
        <f t="shared" ca="1" si="35"/>
        <v>1386.2238587791392</v>
      </c>
      <c r="J261" s="30">
        <f t="shared" ca="1" si="36"/>
        <v>1008.1628063848285</v>
      </c>
      <c r="K261" s="122">
        <f t="shared" ca="1" si="39"/>
        <v>378.06105239431065</v>
      </c>
      <c r="L261" s="30"/>
      <c r="M261" s="30"/>
      <c r="N261" s="30"/>
      <c r="O261" s="30"/>
    </row>
    <row r="262" spans="1:15" x14ac:dyDescent="0.25">
      <c r="A262" s="10">
        <v>243</v>
      </c>
      <c r="B262" s="27">
        <f t="shared" ca="1" si="30"/>
        <v>0.75848210185249154</v>
      </c>
      <c r="C262" s="21">
        <f t="shared" ca="1" si="31"/>
        <v>271.41240830025492</v>
      </c>
      <c r="D262" s="21">
        <f t="shared" ca="1" si="32"/>
        <v>252.04070159620713</v>
      </c>
      <c r="E262" s="21">
        <f t="shared" ca="1" si="33"/>
        <v>0</v>
      </c>
      <c r="F262" s="22">
        <f t="shared" ca="1" si="37"/>
        <v>0</v>
      </c>
      <c r="G262" s="22">
        <f t="shared" ca="1" si="34"/>
        <v>0</v>
      </c>
      <c r="H262" s="31">
        <f t="shared" ca="1" si="38"/>
        <v>0</v>
      </c>
      <c r="I262" s="9">
        <f t="shared" ca="1" si="35"/>
        <v>1386.2238587791392</v>
      </c>
      <c r="J262" s="30">
        <f t="shared" ca="1" si="36"/>
        <v>1008.1628063848285</v>
      </c>
      <c r="K262" s="122">
        <f t="shared" ca="1" si="39"/>
        <v>378.06105239431065</v>
      </c>
      <c r="L262" s="30"/>
      <c r="M262" s="30"/>
      <c r="N262" s="30"/>
      <c r="O262" s="30"/>
    </row>
    <row r="263" spans="1:15" x14ac:dyDescent="0.25">
      <c r="A263" s="10">
        <v>244</v>
      </c>
      <c r="B263" s="27">
        <f t="shared" ca="1" si="30"/>
        <v>6.8253532639361958E-2</v>
      </c>
      <c r="C263" s="21">
        <f t="shared" ca="1" si="31"/>
        <v>201.46234925421527</v>
      </c>
      <c r="D263" s="21">
        <f t="shared" ca="1" si="32"/>
        <v>252.04070159620713</v>
      </c>
      <c r="E263" s="21">
        <f t="shared" ca="1" si="33"/>
        <v>50.578352341991859</v>
      </c>
      <c r="F263" s="22">
        <f t="shared" ca="1" si="37"/>
        <v>50.578352341991859</v>
      </c>
      <c r="G263" s="22">
        <f t="shared" ca="1" si="34"/>
        <v>19.371706704047796</v>
      </c>
      <c r="H263" s="31">
        <f t="shared" ca="1" si="38"/>
        <v>31.206645637944064</v>
      </c>
      <c r="I263" s="9">
        <f t="shared" ca="1" si="35"/>
        <v>1214.3074458975143</v>
      </c>
      <c r="J263" s="30">
        <f t="shared" ca="1" si="36"/>
        <v>1054.9727748417447</v>
      </c>
      <c r="K263" s="122">
        <f t="shared" ca="1" si="39"/>
        <v>159.3346710557696</v>
      </c>
      <c r="L263" s="30"/>
      <c r="M263" s="30"/>
      <c r="N263" s="30"/>
      <c r="O263" s="30"/>
    </row>
    <row r="264" spans="1:15" x14ac:dyDescent="0.25">
      <c r="A264" s="10">
        <v>245</v>
      </c>
      <c r="B264" s="43">
        <f t="shared" ca="1" si="30"/>
        <v>0.72256742353543191</v>
      </c>
      <c r="C264" s="44">
        <f t="shared" ca="1" si="31"/>
        <v>271.41240830025492</v>
      </c>
      <c r="D264" s="44">
        <f t="shared" ca="1" si="32"/>
        <v>302.61905393819899</v>
      </c>
      <c r="E264" s="44">
        <f t="shared" ca="1" si="33"/>
        <v>0</v>
      </c>
      <c r="F264" s="45">
        <f t="shared" ca="1" si="37"/>
        <v>31.206645637944064</v>
      </c>
      <c r="G264" s="45">
        <f t="shared" ca="1" si="34"/>
        <v>0</v>
      </c>
      <c r="H264" s="46">
        <f t="shared" ca="1" si="38"/>
        <v>31.206645637944064</v>
      </c>
      <c r="I264" s="1">
        <f t="shared" ca="1" si="35"/>
        <v>1386.2238587791392</v>
      </c>
      <c r="J264" s="47">
        <f t="shared" ca="1" si="36"/>
        <v>1054.9727748417447</v>
      </c>
      <c r="K264" s="123">
        <f t="shared" ca="1" si="39"/>
        <v>331.25108393739447</v>
      </c>
      <c r="L264" s="30"/>
      <c r="M264" s="30"/>
      <c r="N264" s="30"/>
      <c r="O264" s="30"/>
    </row>
    <row r="265" spans="1:15" x14ac:dyDescent="0.25">
      <c r="A265" s="10">
        <v>246</v>
      </c>
      <c r="B265" s="48">
        <f t="shared" ca="1" si="30"/>
        <v>0.31791303419282879</v>
      </c>
      <c r="C265" s="49">
        <f t="shared" ca="1" si="31"/>
        <v>230.79639892259075</v>
      </c>
      <c r="D265" s="49">
        <f t="shared" ca="1" si="32"/>
        <v>252.04070159620713</v>
      </c>
      <c r="E265" s="49">
        <f t="shared" ca="1" si="33"/>
        <v>21.244302673616374</v>
      </c>
      <c r="F265" s="50">
        <f t="shared" ca="1" si="37"/>
        <v>21.244302673616374</v>
      </c>
      <c r="G265" s="50">
        <f t="shared" ca="1" si="34"/>
        <v>0</v>
      </c>
      <c r="H265" s="51">
        <f t="shared" ca="1" si="38"/>
        <v>21.244302673616374</v>
      </c>
      <c r="I265" s="52">
        <f t="shared" ca="1" si="35"/>
        <v>1274.6912697426533</v>
      </c>
      <c r="J265" s="53">
        <f t="shared" ca="1" si="36"/>
        <v>1040.029260395253</v>
      </c>
      <c r="K265" s="124">
        <f t="shared" ca="1" si="39"/>
        <v>234.66200934740027</v>
      </c>
      <c r="L265" s="30"/>
      <c r="M265" s="30"/>
      <c r="N265" s="30"/>
      <c r="O265" s="30"/>
    </row>
    <row r="266" spans="1:15" x14ac:dyDescent="0.25">
      <c r="A266" s="10">
        <v>247</v>
      </c>
      <c r="B266" s="27">
        <f t="shared" ca="1" si="30"/>
        <v>0.3304895489536378</v>
      </c>
      <c r="C266" s="21">
        <f t="shared" ca="1" si="31"/>
        <v>230.79639892259075</v>
      </c>
      <c r="D266" s="21">
        <f t="shared" ca="1" si="32"/>
        <v>273.2850042698235</v>
      </c>
      <c r="E266" s="21">
        <f t="shared" ca="1" si="33"/>
        <v>21.244302673616374</v>
      </c>
      <c r="F266" s="22">
        <f t="shared" ca="1" si="37"/>
        <v>42.488605347232749</v>
      </c>
      <c r="G266" s="22">
        <f t="shared" ca="1" si="34"/>
        <v>19.371706704047796</v>
      </c>
      <c r="H266" s="31">
        <f t="shared" ca="1" si="38"/>
        <v>23.116898643184953</v>
      </c>
      <c r="I266" s="9">
        <f t="shared" ca="1" si="35"/>
        <v>1344.0419656722081</v>
      </c>
      <c r="J266" s="30">
        <f t="shared" ca="1" si="36"/>
        <v>1042.8381543496059</v>
      </c>
      <c r="K266" s="122">
        <f t="shared" ca="1" si="39"/>
        <v>301.20381132260218</v>
      </c>
      <c r="L266" s="30"/>
      <c r="M266" s="30"/>
      <c r="N266" s="30"/>
      <c r="O266" s="30"/>
    </row>
    <row r="267" spans="1:15" x14ac:dyDescent="0.25">
      <c r="A267" s="10">
        <v>248</v>
      </c>
      <c r="B267" s="27">
        <f t="shared" ca="1" si="30"/>
        <v>0.80909459666830263</v>
      </c>
      <c r="C267" s="21">
        <f t="shared" ca="1" si="31"/>
        <v>271.41240830025492</v>
      </c>
      <c r="D267" s="21">
        <f t="shared" ca="1" si="32"/>
        <v>273.2850042698235</v>
      </c>
      <c r="E267" s="21">
        <f t="shared" ca="1" si="33"/>
        <v>0</v>
      </c>
      <c r="F267" s="22">
        <f t="shared" ca="1" si="37"/>
        <v>1.8725959695685788</v>
      </c>
      <c r="G267" s="22">
        <f t="shared" ca="1" si="34"/>
        <v>0</v>
      </c>
      <c r="H267" s="31">
        <f t="shared" ca="1" si="38"/>
        <v>1.8725959695685788</v>
      </c>
      <c r="I267" s="9">
        <f t="shared" ca="1" si="35"/>
        <v>1386.2238587791392</v>
      </c>
      <c r="J267" s="30">
        <f t="shared" ca="1" si="36"/>
        <v>1010.9717003391813</v>
      </c>
      <c r="K267" s="122">
        <f t="shared" ca="1" si="39"/>
        <v>375.25215843995784</v>
      </c>
      <c r="L267" s="30"/>
      <c r="M267" s="30"/>
      <c r="N267" s="30"/>
      <c r="O267" s="30"/>
    </row>
    <row r="268" spans="1:15" x14ac:dyDescent="0.25">
      <c r="A268" s="10">
        <v>249</v>
      </c>
      <c r="B268" s="27">
        <f t="shared" ca="1" si="30"/>
        <v>0.31903805057682189</v>
      </c>
      <c r="C268" s="21">
        <f t="shared" ca="1" si="31"/>
        <v>230.79639892259075</v>
      </c>
      <c r="D268" s="21">
        <f t="shared" ca="1" si="32"/>
        <v>252.04070159620713</v>
      </c>
      <c r="E268" s="21">
        <f t="shared" ca="1" si="33"/>
        <v>21.244302673616374</v>
      </c>
      <c r="F268" s="22">
        <f t="shared" ca="1" si="37"/>
        <v>21.244302673616374</v>
      </c>
      <c r="G268" s="22">
        <f t="shared" ca="1" si="34"/>
        <v>19.371706704047796</v>
      </c>
      <c r="H268" s="31">
        <f t="shared" ca="1" si="38"/>
        <v>1.8725959695685788</v>
      </c>
      <c r="I268" s="9">
        <f t="shared" ca="1" si="35"/>
        <v>1280.3090576513591</v>
      </c>
      <c r="J268" s="30">
        <f t="shared" ca="1" si="36"/>
        <v>1010.9717003391813</v>
      </c>
      <c r="K268" s="122">
        <f t="shared" ca="1" si="39"/>
        <v>269.3373573121778</v>
      </c>
      <c r="L268" s="30"/>
      <c r="M268" s="30"/>
      <c r="N268" s="30"/>
      <c r="O268" s="30"/>
    </row>
    <row r="269" spans="1:15" x14ac:dyDescent="0.25">
      <c r="A269" s="10">
        <v>250</v>
      </c>
      <c r="B269" s="27">
        <f t="shared" ca="1" si="30"/>
        <v>0.75066830034636134</v>
      </c>
      <c r="C269" s="21">
        <f t="shared" ca="1" si="31"/>
        <v>271.41240830025492</v>
      </c>
      <c r="D269" s="21">
        <f t="shared" ca="1" si="32"/>
        <v>273.2850042698235</v>
      </c>
      <c r="E269" s="21">
        <f t="shared" ca="1" si="33"/>
        <v>0</v>
      </c>
      <c r="F269" s="22">
        <f t="shared" ca="1" si="37"/>
        <v>1.8725959695685788</v>
      </c>
      <c r="G269" s="22">
        <f t="shared" ca="1" si="34"/>
        <v>0</v>
      </c>
      <c r="H269" s="31">
        <f t="shared" ca="1" si="38"/>
        <v>1.8725959695685788</v>
      </c>
      <c r="I269" s="9">
        <f t="shared" ca="1" si="35"/>
        <v>1386.2238587791392</v>
      </c>
      <c r="J269" s="30">
        <f t="shared" ca="1" si="36"/>
        <v>1010.9717003391813</v>
      </c>
      <c r="K269" s="122">
        <f t="shared" ca="1" si="39"/>
        <v>375.25215843995784</v>
      </c>
      <c r="L269" s="30"/>
      <c r="M269" s="30"/>
      <c r="N269" s="30"/>
      <c r="O269" s="30"/>
    </row>
    <row r="270" spans="1:15" x14ac:dyDescent="0.25">
      <c r="A270" s="10">
        <v>251</v>
      </c>
      <c r="B270" s="27">
        <f t="shared" ca="1" si="30"/>
        <v>1.010025630295841E-3</v>
      </c>
      <c r="C270" s="21">
        <f t="shared" ca="1" si="31"/>
        <v>201.46234925421527</v>
      </c>
      <c r="D270" s="21">
        <f t="shared" ca="1" si="32"/>
        <v>252.04070159620713</v>
      </c>
      <c r="E270" s="21">
        <f t="shared" ca="1" si="33"/>
        <v>50.578352341991859</v>
      </c>
      <c r="F270" s="22">
        <f t="shared" ca="1" si="37"/>
        <v>50.578352341991859</v>
      </c>
      <c r="G270" s="22">
        <f t="shared" ca="1" si="34"/>
        <v>0</v>
      </c>
      <c r="H270" s="31">
        <f t="shared" ca="1" si="38"/>
        <v>50.578352341991859</v>
      </c>
      <c r="I270" s="9">
        <f t="shared" ca="1" si="35"/>
        <v>1120.6875089836822</v>
      </c>
      <c r="J270" s="30">
        <f t="shared" ca="1" si="36"/>
        <v>1084.0303348978164</v>
      </c>
      <c r="K270" s="122">
        <f t="shared" ca="1" si="39"/>
        <v>36.65717408586579</v>
      </c>
      <c r="L270" s="30"/>
      <c r="M270" s="30"/>
      <c r="N270" s="30"/>
      <c r="O270" s="30"/>
    </row>
    <row r="271" spans="1:15" x14ac:dyDescent="0.25">
      <c r="A271" s="10">
        <v>252</v>
      </c>
      <c r="B271" s="27">
        <f t="shared" ca="1" si="30"/>
        <v>0.11877332159121956</v>
      </c>
      <c r="C271" s="21">
        <f t="shared" ca="1" si="31"/>
        <v>201.46234925421527</v>
      </c>
      <c r="D271" s="21">
        <f t="shared" ca="1" si="32"/>
        <v>302.61905393819899</v>
      </c>
      <c r="E271" s="21">
        <f t="shared" ca="1" si="33"/>
        <v>50.578352341991859</v>
      </c>
      <c r="F271" s="22">
        <f t="shared" ca="1" si="37"/>
        <v>101.15670468398372</v>
      </c>
      <c r="G271" s="22">
        <f t="shared" ca="1" si="34"/>
        <v>0</v>
      </c>
      <c r="H271" s="31">
        <f t="shared" ca="1" si="38"/>
        <v>101.15670468398372</v>
      </c>
      <c r="I271" s="9">
        <f t="shared" ca="1" si="35"/>
        <v>1272.4225660096577</v>
      </c>
      <c r="J271" s="30">
        <f t="shared" ca="1" si="36"/>
        <v>1159.8978634108041</v>
      </c>
      <c r="K271" s="122">
        <f t="shared" ca="1" si="39"/>
        <v>112.52470259885354</v>
      </c>
      <c r="L271" s="30"/>
      <c r="M271" s="30"/>
      <c r="N271" s="30"/>
      <c r="O271" s="30"/>
    </row>
    <row r="272" spans="1:15" x14ac:dyDescent="0.25">
      <c r="A272" s="10">
        <v>253</v>
      </c>
      <c r="B272" s="27">
        <f t="shared" ca="1" si="30"/>
        <v>0.46282773999323157</v>
      </c>
      <c r="C272" s="21">
        <f t="shared" ca="1" si="31"/>
        <v>249.32041196681521</v>
      </c>
      <c r="D272" s="21">
        <f t="shared" ca="1" si="32"/>
        <v>302.61905393819899</v>
      </c>
      <c r="E272" s="21">
        <f t="shared" ca="1" si="33"/>
        <v>2.7202896293919139</v>
      </c>
      <c r="F272" s="22">
        <f t="shared" ca="1" si="37"/>
        <v>53.298641971383773</v>
      </c>
      <c r="G272" s="22">
        <f t="shared" ca="1" si="34"/>
        <v>0</v>
      </c>
      <c r="H272" s="31">
        <f t="shared" ca="1" si="38"/>
        <v>53.298641971383773</v>
      </c>
      <c r="I272" s="9">
        <f t="shared" ca="1" si="35"/>
        <v>1523.6773952508072</v>
      </c>
      <c r="J272" s="30">
        <f t="shared" ca="1" si="36"/>
        <v>1088.1107693419042</v>
      </c>
      <c r="K272" s="122">
        <f t="shared" ca="1" si="39"/>
        <v>435.56662590890301</v>
      </c>
      <c r="L272" s="30"/>
      <c r="M272" s="30"/>
      <c r="N272" s="30"/>
      <c r="O272" s="30"/>
    </row>
    <row r="273" spans="1:15" x14ac:dyDescent="0.25">
      <c r="A273" s="10">
        <v>254</v>
      </c>
      <c r="B273" s="27">
        <f t="shared" ca="1" si="30"/>
        <v>0.15973435017743765</v>
      </c>
      <c r="C273" s="21">
        <f t="shared" ca="1" si="31"/>
        <v>230.79639892259075</v>
      </c>
      <c r="D273" s="21">
        <f t="shared" ca="1" si="32"/>
        <v>254.76099122559904</v>
      </c>
      <c r="E273" s="21">
        <f t="shared" ca="1" si="33"/>
        <v>21.244302673616374</v>
      </c>
      <c r="F273" s="22">
        <f t="shared" ca="1" si="37"/>
        <v>23.964592303008288</v>
      </c>
      <c r="G273" s="22">
        <f t="shared" ca="1" si="34"/>
        <v>19.371706704047796</v>
      </c>
      <c r="H273" s="31">
        <f t="shared" ca="1" si="38"/>
        <v>4.5928855989604926</v>
      </c>
      <c r="I273" s="9">
        <f t="shared" ca="1" si="35"/>
        <v>1288.4699265395348</v>
      </c>
      <c r="J273" s="30">
        <f t="shared" ca="1" si="36"/>
        <v>1015.0521347832693</v>
      </c>
      <c r="K273" s="122">
        <f t="shared" ca="1" si="39"/>
        <v>273.4177917562655</v>
      </c>
      <c r="L273" s="30"/>
      <c r="M273" s="30"/>
      <c r="N273" s="30"/>
      <c r="O273" s="30"/>
    </row>
    <row r="274" spans="1:15" x14ac:dyDescent="0.25">
      <c r="A274" s="10">
        <v>255</v>
      </c>
      <c r="B274" s="27">
        <f t="shared" ca="1" si="30"/>
        <v>0.79648428149143102</v>
      </c>
      <c r="C274" s="21">
        <f t="shared" ca="1" si="31"/>
        <v>271.41240830025492</v>
      </c>
      <c r="D274" s="21">
        <f t="shared" ca="1" si="32"/>
        <v>273.2850042698235</v>
      </c>
      <c r="E274" s="21">
        <f t="shared" ca="1" si="33"/>
        <v>0</v>
      </c>
      <c r="F274" s="22">
        <f t="shared" ca="1" si="37"/>
        <v>1.8725959695685788</v>
      </c>
      <c r="G274" s="22">
        <f t="shared" ca="1" si="34"/>
        <v>0</v>
      </c>
      <c r="H274" s="31">
        <f t="shared" ca="1" si="38"/>
        <v>1.8725959695685788</v>
      </c>
      <c r="I274" s="9">
        <f t="shared" ca="1" si="35"/>
        <v>1386.2238587791392</v>
      </c>
      <c r="J274" s="30">
        <f t="shared" ca="1" si="36"/>
        <v>1010.9717003391813</v>
      </c>
      <c r="K274" s="122">
        <f t="shared" ca="1" si="39"/>
        <v>375.25215843995784</v>
      </c>
      <c r="L274" s="30"/>
      <c r="M274" s="30"/>
      <c r="N274" s="30"/>
      <c r="O274" s="30"/>
    </row>
    <row r="275" spans="1:15" x14ac:dyDescent="0.25">
      <c r="A275" s="10">
        <v>256</v>
      </c>
      <c r="B275" s="27">
        <f t="shared" ca="1" si="30"/>
        <v>0.62140353948094507</v>
      </c>
      <c r="C275" s="21">
        <f t="shared" ca="1" si="31"/>
        <v>249.32041196681521</v>
      </c>
      <c r="D275" s="21">
        <f t="shared" ca="1" si="32"/>
        <v>252.04070159620713</v>
      </c>
      <c r="E275" s="21">
        <f t="shared" ca="1" si="33"/>
        <v>2.7202896293919139</v>
      </c>
      <c r="F275" s="22">
        <f t="shared" ca="1" si="37"/>
        <v>2.7202896293919139</v>
      </c>
      <c r="G275" s="22">
        <f t="shared" ca="1" si="34"/>
        <v>0</v>
      </c>
      <c r="H275" s="31">
        <f t="shared" ca="1" si="38"/>
        <v>2.7202896293919139</v>
      </c>
      <c r="I275" s="9">
        <f t="shared" ca="1" si="35"/>
        <v>1371.9423382248317</v>
      </c>
      <c r="J275" s="30">
        <f t="shared" ca="1" si="36"/>
        <v>1012.2432408289164</v>
      </c>
      <c r="K275" s="122">
        <f t="shared" ca="1" si="39"/>
        <v>359.69909739591526</v>
      </c>
      <c r="L275" s="30"/>
      <c r="M275" s="30"/>
      <c r="N275" s="30"/>
      <c r="O275" s="30"/>
    </row>
    <row r="276" spans="1:15" x14ac:dyDescent="0.25">
      <c r="A276" s="10">
        <v>257</v>
      </c>
      <c r="B276" s="27">
        <f t="shared" ref="B276:B339" ca="1" si="40">RAND()</f>
        <v>0.25620956020202568</v>
      </c>
      <c r="C276" s="21">
        <f t="shared" ref="C276:C339" ca="1" si="41">HLOOKUP(B276,$D$12:$H$13,2,TRUE)</f>
        <v>230.79639892259075</v>
      </c>
      <c r="D276" s="21">
        <f t="shared" ref="D276:D339" ca="1" si="42">$E$10+E275</f>
        <v>254.76099122559904</v>
      </c>
      <c r="E276" s="21">
        <f t="shared" ref="E276:E339" ca="1" si="43">IF(C276&gt;$E$10,0,$E$10-C276)</f>
        <v>21.244302673616374</v>
      </c>
      <c r="F276" s="22">
        <f t="shared" ca="1" si="37"/>
        <v>23.964592303008288</v>
      </c>
      <c r="G276" s="22">
        <f t="shared" ref="G276:G339" ca="1" si="44">IF(C277&gt;$E$10,C277-$E$10,0)</f>
        <v>0</v>
      </c>
      <c r="H276" s="31">
        <f t="shared" ca="1" si="38"/>
        <v>23.964592303008288</v>
      </c>
      <c r="I276" s="9">
        <f t="shared" ref="I276:I339" ca="1" si="45">IF($E$10&lt;C276,$E$10*$E$7,$E$9*($E$10-C276)+(C276*$E$7)+IF($E$10&lt;C277,H276*$E$8,E275*$E$8))</f>
        <v>1282.8521386308289</v>
      </c>
      <c r="J276" s="30">
        <f t="shared" ref="J276:J339" ca="1" si="46">IF(H276&gt;0,$E$10*$E$5+H276*$E$6,$E$10*$E$5)</f>
        <v>1044.109694839341</v>
      </c>
      <c r="K276" s="122">
        <f t="shared" ca="1" si="39"/>
        <v>238.74244379148786</v>
      </c>
      <c r="L276" s="30"/>
      <c r="M276" s="30"/>
      <c r="N276" s="30"/>
      <c r="O276" s="30"/>
    </row>
    <row r="277" spans="1:15" x14ac:dyDescent="0.25">
      <c r="A277" s="10">
        <v>258</v>
      </c>
      <c r="B277" s="27">
        <f t="shared" ca="1" si="40"/>
        <v>0.41159354943488791</v>
      </c>
      <c r="C277" s="21">
        <f t="shared" ca="1" si="41"/>
        <v>249.32041196681521</v>
      </c>
      <c r="D277" s="21">
        <f t="shared" ca="1" si="42"/>
        <v>273.2850042698235</v>
      </c>
      <c r="E277" s="21">
        <f t="shared" ca="1" si="43"/>
        <v>2.7202896293919139</v>
      </c>
      <c r="F277" s="22">
        <f t="shared" ref="F277:F340" ca="1" si="47">IF(C277&gt;D277,0,D277-C277)</f>
        <v>23.964592303008288</v>
      </c>
      <c r="G277" s="22">
        <f t="shared" ca="1" si="44"/>
        <v>0</v>
      </c>
      <c r="H277" s="31">
        <f t="shared" ref="H277:H340" ca="1" si="48">IF(G277&gt;F277,0,IF(G277&lt;F277,F277-G277,0))</f>
        <v>23.964592303008288</v>
      </c>
      <c r="I277" s="9">
        <f t="shared" ca="1" si="45"/>
        <v>1435.6752462456809</v>
      </c>
      <c r="J277" s="30">
        <f t="shared" ca="1" si="46"/>
        <v>1044.109694839341</v>
      </c>
      <c r="K277" s="122">
        <f t="shared" ref="K277:K340" ca="1" si="49">I277-J277</f>
        <v>391.56555140633986</v>
      </c>
      <c r="L277" s="30"/>
      <c r="M277" s="30"/>
      <c r="N277" s="30"/>
      <c r="O277" s="30"/>
    </row>
    <row r="278" spans="1:15" x14ac:dyDescent="0.25">
      <c r="A278" s="10">
        <v>259</v>
      </c>
      <c r="B278" s="27">
        <f t="shared" ca="1" si="40"/>
        <v>0.18523922184842267</v>
      </c>
      <c r="C278" s="21">
        <f t="shared" ca="1" si="41"/>
        <v>230.79639892259075</v>
      </c>
      <c r="D278" s="21">
        <f t="shared" ca="1" si="42"/>
        <v>254.76099122559904</v>
      </c>
      <c r="E278" s="21">
        <f t="shared" ca="1" si="43"/>
        <v>21.244302673616374</v>
      </c>
      <c r="F278" s="22">
        <f t="shared" ca="1" si="47"/>
        <v>23.964592303008288</v>
      </c>
      <c r="G278" s="22">
        <f t="shared" ca="1" si="44"/>
        <v>0</v>
      </c>
      <c r="H278" s="31">
        <f t="shared" ca="1" si="48"/>
        <v>23.964592303008288</v>
      </c>
      <c r="I278" s="9">
        <f t="shared" ca="1" si="45"/>
        <v>1282.8521386308289</v>
      </c>
      <c r="J278" s="30">
        <f t="shared" ca="1" si="46"/>
        <v>1044.109694839341</v>
      </c>
      <c r="K278" s="122">
        <f t="shared" ca="1" si="49"/>
        <v>238.74244379148786</v>
      </c>
      <c r="L278" s="30"/>
      <c r="M278" s="30"/>
      <c r="N278" s="30"/>
      <c r="O278" s="30"/>
    </row>
    <row r="279" spans="1:15" x14ac:dyDescent="0.25">
      <c r="A279" s="10">
        <v>260</v>
      </c>
      <c r="B279" s="27">
        <f t="shared" ca="1" si="40"/>
        <v>0.31891754376021508</v>
      </c>
      <c r="C279" s="21">
        <f t="shared" ca="1" si="41"/>
        <v>230.79639892259075</v>
      </c>
      <c r="D279" s="21">
        <f t="shared" ca="1" si="42"/>
        <v>273.2850042698235</v>
      </c>
      <c r="E279" s="21">
        <f t="shared" ca="1" si="43"/>
        <v>21.244302673616374</v>
      </c>
      <c r="F279" s="22">
        <f t="shared" ca="1" si="47"/>
        <v>42.488605347232749</v>
      </c>
      <c r="G279" s="22">
        <f t="shared" ca="1" si="44"/>
        <v>44.982781035430634</v>
      </c>
      <c r="H279" s="31">
        <f t="shared" ca="1" si="48"/>
        <v>0</v>
      </c>
      <c r="I279" s="9">
        <f t="shared" ca="1" si="45"/>
        <v>1274.6912697426533</v>
      </c>
      <c r="J279" s="30">
        <f t="shared" ca="1" si="46"/>
        <v>1008.1628063848285</v>
      </c>
      <c r="K279" s="122">
        <f t="shared" ca="1" si="49"/>
        <v>266.52846335782476</v>
      </c>
      <c r="L279" s="30"/>
      <c r="M279" s="30"/>
      <c r="N279" s="30"/>
      <c r="O279" s="30"/>
    </row>
    <row r="280" spans="1:15" x14ac:dyDescent="0.25">
      <c r="A280" s="10">
        <v>261</v>
      </c>
      <c r="B280" s="27">
        <f t="shared" ca="1" si="40"/>
        <v>0.97663541076859339</v>
      </c>
      <c r="C280" s="21">
        <f t="shared" ca="1" si="41"/>
        <v>297.02348263163776</v>
      </c>
      <c r="D280" s="21">
        <f t="shared" ca="1" si="42"/>
        <v>273.2850042698235</v>
      </c>
      <c r="E280" s="21">
        <f t="shared" ca="1" si="43"/>
        <v>0</v>
      </c>
      <c r="F280" s="22">
        <f t="shared" ca="1" si="47"/>
        <v>0</v>
      </c>
      <c r="G280" s="22">
        <f t="shared" ca="1" si="44"/>
        <v>19.371706704047796</v>
      </c>
      <c r="H280" s="31">
        <f t="shared" ca="1" si="48"/>
        <v>0</v>
      </c>
      <c r="I280" s="9">
        <f t="shared" ca="1" si="45"/>
        <v>1386.2238587791392</v>
      </c>
      <c r="J280" s="30">
        <f t="shared" ca="1" si="46"/>
        <v>1008.1628063848285</v>
      </c>
      <c r="K280" s="122">
        <f t="shared" ca="1" si="49"/>
        <v>378.06105239431065</v>
      </c>
      <c r="L280" s="30"/>
      <c r="M280" s="30"/>
      <c r="N280" s="30"/>
      <c r="O280" s="30"/>
    </row>
    <row r="281" spans="1:15" x14ac:dyDescent="0.25">
      <c r="A281" s="10">
        <v>262</v>
      </c>
      <c r="B281" s="27">
        <f t="shared" ca="1" si="40"/>
        <v>0.84895013909131301</v>
      </c>
      <c r="C281" s="21">
        <f t="shared" ca="1" si="41"/>
        <v>271.41240830025492</v>
      </c>
      <c r="D281" s="21">
        <f t="shared" ca="1" si="42"/>
        <v>252.04070159620713</v>
      </c>
      <c r="E281" s="21">
        <f t="shared" ca="1" si="43"/>
        <v>0</v>
      </c>
      <c r="F281" s="22">
        <f t="shared" ca="1" si="47"/>
        <v>0</v>
      </c>
      <c r="G281" s="22">
        <f t="shared" ca="1" si="44"/>
        <v>0</v>
      </c>
      <c r="H281" s="31">
        <f t="shared" ca="1" si="48"/>
        <v>0</v>
      </c>
      <c r="I281" s="9">
        <f t="shared" ca="1" si="45"/>
        <v>1386.2238587791392</v>
      </c>
      <c r="J281" s="30">
        <f t="shared" ca="1" si="46"/>
        <v>1008.1628063848285</v>
      </c>
      <c r="K281" s="122">
        <f t="shared" ca="1" si="49"/>
        <v>378.06105239431065</v>
      </c>
      <c r="L281" s="30"/>
      <c r="M281" s="30"/>
      <c r="N281" s="30"/>
      <c r="O281" s="30"/>
    </row>
    <row r="282" spans="1:15" x14ac:dyDescent="0.25">
      <c r="A282" s="10">
        <v>263</v>
      </c>
      <c r="B282" s="27">
        <f t="shared" ca="1" si="40"/>
        <v>5.2989543587659171E-2</v>
      </c>
      <c r="C282" s="21">
        <f t="shared" ca="1" si="41"/>
        <v>201.46234925421527</v>
      </c>
      <c r="D282" s="21">
        <f t="shared" ca="1" si="42"/>
        <v>252.04070159620713</v>
      </c>
      <c r="E282" s="21">
        <f t="shared" ca="1" si="43"/>
        <v>50.578352341991859</v>
      </c>
      <c r="F282" s="22">
        <f t="shared" ca="1" si="47"/>
        <v>50.578352341991859</v>
      </c>
      <c r="G282" s="22">
        <f t="shared" ca="1" si="44"/>
        <v>0</v>
      </c>
      <c r="H282" s="31">
        <f t="shared" ca="1" si="48"/>
        <v>50.578352341991859</v>
      </c>
      <c r="I282" s="9">
        <f t="shared" ca="1" si="45"/>
        <v>1120.6875089836822</v>
      </c>
      <c r="J282" s="30">
        <f t="shared" ca="1" si="46"/>
        <v>1084.0303348978164</v>
      </c>
      <c r="K282" s="122">
        <f t="shared" ca="1" si="49"/>
        <v>36.65717408586579</v>
      </c>
      <c r="L282" s="30"/>
      <c r="M282" s="30"/>
      <c r="N282" s="30"/>
      <c r="O282" s="30"/>
    </row>
    <row r="283" spans="1:15" x14ac:dyDescent="0.25">
      <c r="A283" s="10">
        <v>264</v>
      </c>
      <c r="B283" s="27">
        <f t="shared" ca="1" si="40"/>
        <v>0.14393480616469068</v>
      </c>
      <c r="C283" s="21">
        <f t="shared" ca="1" si="41"/>
        <v>201.46234925421527</v>
      </c>
      <c r="D283" s="21">
        <f t="shared" ca="1" si="42"/>
        <v>302.61905393819899</v>
      </c>
      <c r="E283" s="21">
        <f t="shared" ca="1" si="43"/>
        <v>50.578352341991859</v>
      </c>
      <c r="F283" s="22">
        <f t="shared" ca="1" si="47"/>
        <v>101.15670468398372</v>
      </c>
      <c r="G283" s="22">
        <f t="shared" ca="1" si="44"/>
        <v>0</v>
      </c>
      <c r="H283" s="31">
        <f t="shared" ca="1" si="48"/>
        <v>101.15670468398372</v>
      </c>
      <c r="I283" s="9">
        <f t="shared" ca="1" si="45"/>
        <v>1272.4225660096577</v>
      </c>
      <c r="J283" s="30">
        <f t="shared" ca="1" si="46"/>
        <v>1159.8978634108041</v>
      </c>
      <c r="K283" s="122">
        <f t="shared" ca="1" si="49"/>
        <v>112.52470259885354</v>
      </c>
      <c r="L283" s="30"/>
      <c r="M283" s="30"/>
      <c r="N283" s="30"/>
      <c r="O283" s="30"/>
    </row>
    <row r="284" spans="1:15" x14ac:dyDescent="0.25">
      <c r="A284" s="10">
        <v>265</v>
      </c>
      <c r="B284" s="27">
        <f t="shared" ca="1" si="40"/>
        <v>0.38318141276599982</v>
      </c>
      <c r="C284" s="21">
        <f t="shared" ca="1" si="41"/>
        <v>230.79639892259075</v>
      </c>
      <c r="D284" s="21">
        <f t="shared" ca="1" si="42"/>
        <v>302.61905393819899</v>
      </c>
      <c r="E284" s="21">
        <f t="shared" ca="1" si="43"/>
        <v>21.244302673616374</v>
      </c>
      <c r="F284" s="22">
        <f t="shared" ca="1" si="47"/>
        <v>71.822655015608234</v>
      </c>
      <c r="G284" s="22">
        <f t="shared" ca="1" si="44"/>
        <v>0</v>
      </c>
      <c r="H284" s="31">
        <f t="shared" ca="1" si="48"/>
        <v>71.822655015608234</v>
      </c>
      <c r="I284" s="9">
        <f t="shared" ca="1" si="45"/>
        <v>1426.4263267686288</v>
      </c>
      <c r="J284" s="30">
        <f t="shared" ca="1" si="46"/>
        <v>1115.896788908241</v>
      </c>
      <c r="K284" s="122">
        <f t="shared" ca="1" si="49"/>
        <v>310.52953786038779</v>
      </c>
      <c r="L284" s="30"/>
      <c r="M284" s="30"/>
      <c r="N284" s="30"/>
      <c r="O284" s="30"/>
    </row>
    <row r="285" spans="1:15" x14ac:dyDescent="0.25">
      <c r="A285" s="10">
        <v>266</v>
      </c>
      <c r="B285" s="27">
        <f t="shared" ca="1" si="40"/>
        <v>0.41515220253367768</v>
      </c>
      <c r="C285" s="21">
        <f t="shared" ca="1" si="41"/>
        <v>249.32041196681521</v>
      </c>
      <c r="D285" s="21">
        <f t="shared" ca="1" si="42"/>
        <v>273.2850042698235</v>
      </c>
      <c r="E285" s="21">
        <f t="shared" ca="1" si="43"/>
        <v>2.7202896293919139</v>
      </c>
      <c r="F285" s="22">
        <f t="shared" ca="1" si="47"/>
        <v>23.964592303008288</v>
      </c>
      <c r="G285" s="22">
        <f t="shared" ca="1" si="44"/>
        <v>0</v>
      </c>
      <c r="H285" s="31">
        <f t="shared" ca="1" si="48"/>
        <v>23.964592303008288</v>
      </c>
      <c r="I285" s="9">
        <f t="shared" ca="1" si="45"/>
        <v>1435.6752462456809</v>
      </c>
      <c r="J285" s="30">
        <f t="shared" ca="1" si="46"/>
        <v>1044.109694839341</v>
      </c>
      <c r="K285" s="122">
        <f t="shared" ca="1" si="49"/>
        <v>391.56555140633986</v>
      </c>
      <c r="L285" s="30"/>
      <c r="M285" s="30"/>
      <c r="N285" s="30"/>
      <c r="O285" s="30"/>
    </row>
    <row r="286" spans="1:15" x14ac:dyDescent="0.25">
      <c r="A286" s="10">
        <v>267</v>
      </c>
      <c r="B286" s="27">
        <f t="shared" ca="1" si="40"/>
        <v>2.0854778769569648E-2</v>
      </c>
      <c r="C286" s="21">
        <f t="shared" ca="1" si="41"/>
        <v>201.46234925421527</v>
      </c>
      <c r="D286" s="21">
        <f t="shared" ca="1" si="42"/>
        <v>254.76099122559904</v>
      </c>
      <c r="E286" s="21">
        <f t="shared" ca="1" si="43"/>
        <v>50.578352341991859</v>
      </c>
      <c r="F286" s="22">
        <f t="shared" ca="1" si="47"/>
        <v>53.298641971383773</v>
      </c>
      <c r="G286" s="22">
        <f t="shared" ca="1" si="44"/>
        <v>0</v>
      </c>
      <c r="H286" s="31">
        <f t="shared" ca="1" si="48"/>
        <v>53.298641971383773</v>
      </c>
      <c r="I286" s="9">
        <f t="shared" ca="1" si="45"/>
        <v>1128.8483778718578</v>
      </c>
      <c r="J286" s="30">
        <f t="shared" ca="1" si="46"/>
        <v>1088.1107693419042</v>
      </c>
      <c r="K286" s="122">
        <f t="shared" ca="1" si="49"/>
        <v>40.737608529953604</v>
      </c>
      <c r="L286" s="30"/>
      <c r="M286" s="30"/>
      <c r="N286" s="30"/>
      <c r="O286" s="30"/>
    </row>
    <row r="287" spans="1:15" x14ac:dyDescent="0.25">
      <c r="A287" s="10">
        <v>268</v>
      </c>
      <c r="B287" s="27">
        <f t="shared" ca="1" si="40"/>
        <v>0.5200719931691471</v>
      </c>
      <c r="C287" s="21">
        <f t="shared" ca="1" si="41"/>
        <v>249.32041196681521</v>
      </c>
      <c r="D287" s="21">
        <f t="shared" ca="1" si="42"/>
        <v>302.61905393819899</v>
      </c>
      <c r="E287" s="21">
        <f t="shared" ca="1" si="43"/>
        <v>2.7202896293919139</v>
      </c>
      <c r="F287" s="22">
        <f t="shared" ca="1" si="47"/>
        <v>53.298641971383773</v>
      </c>
      <c r="G287" s="22">
        <f t="shared" ca="1" si="44"/>
        <v>19.371706704047796</v>
      </c>
      <c r="H287" s="31">
        <f t="shared" ca="1" si="48"/>
        <v>33.926935267335978</v>
      </c>
      <c r="I287" s="9">
        <f t="shared" ca="1" si="45"/>
        <v>1473.7231440268397</v>
      </c>
      <c r="J287" s="30">
        <f t="shared" ca="1" si="46"/>
        <v>1059.0532092858325</v>
      </c>
      <c r="K287" s="122">
        <f t="shared" ca="1" si="49"/>
        <v>414.66993474100718</v>
      </c>
      <c r="L287" s="30"/>
      <c r="M287" s="30"/>
      <c r="N287" s="30"/>
      <c r="O287" s="30"/>
    </row>
    <row r="288" spans="1:15" x14ac:dyDescent="0.25">
      <c r="A288" s="10">
        <v>269</v>
      </c>
      <c r="B288" s="27">
        <f t="shared" ca="1" si="40"/>
        <v>0.72041657839484219</v>
      </c>
      <c r="C288" s="21">
        <f t="shared" ca="1" si="41"/>
        <v>271.41240830025492</v>
      </c>
      <c r="D288" s="21">
        <f t="shared" ca="1" si="42"/>
        <v>254.76099122559904</v>
      </c>
      <c r="E288" s="21">
        <f t="shared" ca="1" si="43"/>
        <v>0</v>
      </c>
      <c r="F288" s="22">
        <f t="shared" ca="1" si="47"/>
        <v>0</v>
      </c>
      <c r="G288" s="22">
        <f t="shared" ca="1" si="44"/>
        <v>0</v>
      </c>
      <c r="H288" s="31">
        <f t="shared" ca="1" si="48"/>
        <v>0</v>
      </c>
      <c r="I288" s="9">
        <f t="shared" ca="1" si="45"/>
        <v>1386.2238587791392</v>
      </c>
      <c r="J288" s="30">
        <f t="shared" ca="1" si="46"/>
        <v>1008.1628063848285</v>
      </c>
      <c r="K288" s="122">
        <f t="shared" ca="1" si="49"/>
        <v>378.06105239431065</v>
      </c>
      <c r="L288" s="30"/>
      <c r="M288" s="30"/>
      <c r="N288" s="30"/>
      <c r="O288" s="30"/>
    </row>
    <row r="289" spans="1:15" x14ac:dyDescent="0.25">
      <c r="A289" s="10">
        <v>270</v>
      </c>
      <c r="B289" s="27">
        <f t="shared" ca="1" si="40"/>
        <v>0.36437989917871483</v>
      </c>
      <c r="C289" s="21">
        <f t="shared" ca="1" si="41"/>
        <v>230.79639892259075</v>
      </c>
      <c r="D289" s="21">
        <f t="shared" ca="1" si="42"/>
        <v>252.04070159620713</v>
      </c>
      <c r="E289" s="21">
        <f t="shared" ca="1" si="43"/>
        <v>21.244302673616374</v>
      </c>
      <c r="F289" s="22">
        <f t="shared" ca="1" si="47"/>
        <v>21.244302673616374</v>
      </c>
      <c r="G289" s="22">
        <f t="shared" ca="1" si="44"/>
        <v>19.371706704047796</v>
      </c>
      <c r="H289" s="31">
        <f t="shared" ca="1" si="48"/>
        <v>1.8725959695685788</v>
      </c>
      <c r="I289" s="9">
        <f t="shared" ca="1" si="45"/>
        <v>1280.3090576513591</v>
      </c>
      <c r="J289" s="30">
        <f t="shared" ca="1" si="46"/>
        <v>1010.9717003391813</v>
      </c>
      <c r="K289" s="122">
        <f t="shared" ca="1" si="49"/>
        <v>269.3373573121778</v>
      </c>
      <c r="L289" s="30"/>
      <c r="M289" s="30"/>
      <c r="N289" s="30"/>
      <c r="O289" s="30"/>
    </row>
    <row r="290" spans="1:15" x14ac:dyDescent="0.25">
      <c r="A290" s="10">
        <v>271</v>
      </c>
      <c r="B290" s="27">
        <f t="shared" ca="1" si="40"/>
        <v>0.7429216163927439</v>
      </c>
      <c r="C290" s="21">
        <f t="shared" ca="1" si="41"/>
        <v>271.41240830025492</v>
      </c>
      <c r="D290" s="21">
        <f t="shared" ca="1" si="42"/>
        <v>273.2850042698235</v>
      </c>
      <c r="E290" s="21">
        <f t="shared" ca="1" si="43"/>
        <v>0</v>
      </c>
      <c r="F290" s="22">
        <f t="shared" ca="1" si="47"/>
        <v>1.8725959695685788</v>
      </c>
      <c r="G290" s="22">
        <f t="shared" ca="1" si="44"/>
        <v>19.371706704047796</v>
      </c>
      <c r="H290" s="31">
        <f t="shared" ca="1" si="48"/>
        <v>0</v>
      </c>
      <c r="I290" s="9">
        <f t="shared" ca="1" si="45"/>
        <v>1386.2238587791392</v>
      </c>
      <c r="J290" s="30">
        <f t="shared" ca="1" si="46"/>
        <v>1008.1628063848285</v>
      </c>
      <c r="K290" s="122">
        <f t="shared" ca="1" si="49"/>
        <v>378.06105239431065</v>
      </c>
      <c r="L290" s="30"/>
      <c r="M290" s="30"/>
      <c r="N290" s="30"/>
      <c r="O290" s="30"/>
    </row>
    <row r="291" spans="1:15" x14ac:dyDescent="0.25">
      <c r="A291" s="10">
        <v>272</v>
      </c>
      <c r="B291" s="27">
        <f t="shared" ca="1" si="40"/>
        <v>0.71019987756643432</v>
      </c>
      <c r="C291" s="21">
        <f t="shared" ca="1" si="41"/>
        <v>271.41240830025492</v>
      </c>
      <c r="D291" s="21">
        <f t="shared" ca="1" si="42"/>
        <v>252.04070159620713</v>
      </c>
      <c r="E291" s="21">
        <f t="shared" ca="1" si="43"/>
        <v>0</v>
      </c>
      <c r="F291" s="22">
        <f t="shared" ca="1" si="47"/>
        <v>0</v>
      </c>
      <c r="G291" s="22">
        <f t="shared" ca="1" si="44"/>
        <v>19.371706704047796</v>
      </c>
      <c r="H291" s="31">
        <f t="shared" ca="1" si="48"/>
        <v>0</v>
      </c>
      <c r="I291" s="9">
        <f t="shared" ca="1" si="45"/>
        <v>1386.2238587791392</v>
      </c>
      <c r="J291" s="30">
        <f t="shared" ca="1" si="46"/>
        <v>1008.1628063848285</v>
      </c>
      <c r="K291" s="122">
        <f t="shared" ca="1" si="49"/>
        <v>378.06105239431065</v>
      </c>
      <c r="L291" s="30"/>
      <c r="M291" s="30"/>
      <c r="N291" s="30"/>
      <c r="O291" s="30"/>
    </row>
    <row r="292" spans="1:15" x14ac:dyDescent="0.25">
      <c r="A292" s="10">
        <v>273</v>
      </c>
      <c r="B292" s="27">
        <f t="shared" ca="1" si="40"/>
        <v>0.74986450488812739</v>
      </c>
      <c r="C292" s="21">
        <f t="shared" ca="1" si="41"/>
        <v>271.41240830025492</v>
      </c>
      <c r="D292" s="21">
        <f t="shared" ca="1" si="42"/>
        <v>252.04070159620713</v>
      </c>
      <c r="E292" s="21">
        <f t="shared" ca="1" si="43"/>
        <v>0</v>
      </c>
      <c r="F292" s="22">
        <f t="shared" ca="1" si="47"/>
        <v>0</v>
      </c>
      <c r="G292" s="22">
        <f t="shared" ca="1" si="44"/>
        <v>0</v>
      </c>
      <c r="H292" s="31">
        <f t="shared" ca="1" si="48"/>
        <v>0</v>
      </c>
      <c r="I292" s="9">
        <f t="shared" ca="1" si="45"/>
        <v>1386.2238587791392</v>
      </c>
      <c r="J292" s="30">
        <f t="shared" ca="1" si="46"/>
        <v>1008.1628063848285</v>
      </c>
      <c r="K292" s="122">
        <f t="shared" ca="1" si="49"/>
        <v>378.06105239431065</v>
      </c>
      <c r="L292" s="30"/>
      <c r="M292" s="30"/>
      <c r="N292" s="30"/>
      <c r="O292" s="30"/>
    </row>
    <row r="293" spans="1:15" x14ac:dyDescent="0.25">
      <c r="A293" s="10">
        <v>274</v>
      </c>
      <c r="B293" s="27">
        <f t="shared" ca="1" si="40"/>
        <v>0.57024348792380386</v>
      </c>
      <c r="C293" s="21">
        <f t="shared" ca="1" si="41"/>
        <v>249.32041196681521</v>
      </c>
      <c r="D293" s="21">
        <f t="shared" ca="1" si="42"/>
        <v>252.04070159620713</v>
      </c>
      <c r="E293" s="21">
        <f t="shared" ca="1" si="43"/>
        <v>2.7202896293919139</v>
      </c>
      <c r="F293" s="22">
        <f t="shared" ca="1" si="47"/>
        <v>2.7202896293919139</v>
      </c>
      <c r="G293" s="22">
        <f t="shared" ca="1" si="44"/>
        <v>0</v>
      </c>
      <c r="H293" s="31">
        <f t="shared" ca="1" si="48"/>
        <v>2.7202896293919139</v>
      </c>
      <c r="I293" s="9">
        <f t="shared" ca="1" si="45"/>
        <v>1371.9423382248317</v>
      </c>
      <c r="J293" s="30">
        <f t="shared" ca="1" si="46"/>
        <v>1012.2432408289164</v>
      </c>
      <c r="K293" s="122">
        <f t="shared" ca="1" si="49"/>
        <v>359.69909739591526</v>
      </c>
      <c r="L293" s="30"/>
      <c r="M293" s="30"/>
      <c r="N293" s="30"/>
      <c r="O293" s="30"/>
    </row>
    <row r="294" spans="1:15" x14ac:dyDescent="0.25">
      <c r="A294" s="10">
        <v>275</v>
      </c>
      <c r="B294" s="27">
        <f t="shared" ca="1" si="40"/>
        <v>0.18101552949373023</v>
      </c>
      <c r="C294" s="21">
        <f t="shared" ca="1" si="41"/>
        <v>230.79639892259075</v>
      </c>
      <c r="D294" s="21">
        <f t="shared" ca="1" si="42"/>
        <v>254.76099122559904</v>
      </c>
      <c r="E294" s="21">
        <f t="shared" ca="1" si="43"/>
        <v>21.244302673616374</v>
      </c>
      <c r="F294" s="22">
        <f t="shared" ca="1" si="47"/>
        <v>23.964592303008288</v>
      </c>
      <c r="G294" s="22">
        <f t="shared" ca="1" si="44"/>
        <v>0</v>
      </c>
      <c r="H294" s="31">
        <f t="shared" ca="1" si="48"/>
        <v>23.964592303008288</v>
      </c>
      <c r="I294" s="9">
        <f t="shared" ca="1" si="45"/>
        <v>1282.8521386308289</v>
      </c>
      <c r="J294" s="30">
        <f t="shared" ca="1" si="46"/>
        <v>1044.109694839341</v>
      </c>
      <c r="K294" s="122">
        <f t="shared" ca="1" si="49"/>
        <v>238.74244379148786</v>
      </c>
      <c r="L294" s="30"/>
      <c r="M294" s="30"/>
      <c r="N294" s="30"/>
      <c r="O294" s="30"/>
    </row>
    <row r="295" spans="1:15" x14ac:dyDescent="0.25">
      <c r="A295" s="10">
        <v>276</v>
      </c>
      <c r="B295" s="27">
        <f t="shared" ca="1" si="40"/>
        <v>8.5569080083431115E-2</v>
      </c>
      <c r="C295" s="21">
        <f t="shared" ca="1" si="41"/>
        <v>201.46234925421527</v>
      </c>
      <c r="D295" s="21">
        <f t="shared" ca="1" si="42"/>
        <v>273.2850042698235</v>
      </c>
      <c r="E295" s="21">
        <f t="shared" ca="1" si="43"/>
        <v>50.578352341991859</v>
      </c>
      <c r="F295" s="22">
        <f t="shared" ca="1" si="47"/>
        <v>71.822655015608234</v>
      </c>
      <c r="G295" s="22">
        <f t="shared" ca="1" si="44"/>
        <v>0</v>
      </c>
      <c r="H295" s="31">
        <f t="shared" ca="1" si="48"/>
        <v>71.822655015608234</v>
      </c>
      <c r="I295" s="9">
        <f t="shared" ca="1" si="45"/>
        <v>1184.4204170045314</v>
      </c>
      <c r="J295" s="30">
        <f t="shared" ca="1" si="46"/>
        <v>1115.896788908241</v>
      </c>
      <c r="K295" s="122">
        <f t="shared" ca="1" si="49"/>
        <v>68.523628096290395</v>
      </c>
      <c r="L295" s="30"/>
      <c r="M295" s="30"/>
      <c r="N295" s="30"/>
      <c r="O295" s="30"/>
    </row>
    <row r="296" spans="1:15" x14ac:dyDescent="0.25">
      <c r="A296" s="10">
        <v>277</v>
      </c>
      <c r="B296" s="27">
        <f t="shared" ca="1" si="40"/>
        <v>0.69057965209080807</v>
      </c>
      <c r="C296" s="21">
        <f t="shared" ca="1" si="41"/>
        <v>249.32041196681521</v>
      </c>
      <c r="D296" s="21">
        <f t="shared" ca="1" si="42"/>
        <v>302.61905393819899</v>
      </c>
      <c r="E296" s="21">
        <f t="shared" ca="1" si="43"/>
        <v>2.7202896293919139</v>
      </c>
      <c r="F296" s="22">
        <f t="shared" ca="1" si="47"/>
        <v>53.298641971383773</v>
      </c>
      <c r="G296" s="22">
        <f t="shared" ca="1" si="44"/>
        <v>19.371706704047796</v>
      </c>
      <c r="H296" s="31">
        <f t="shared" ca="1" si="48"/>
        <v>33.926935267335978</v>
      </c>
      <c r="I296" s="9">
        <f t="shared" ca="1" si="45"/>
        <v>1473.7231440268397</v>
      </c>
      <c r="J296" s="30">
        <f t="shared" ca="1" si="46"/>
        <v>1059.0532092858325</v>
      </c>
      <c r="K296" s="122">
        <f t="shared" ca="1" si="49"/>
        <v>414.66993474100718</v>
      </c>
      <c r="L296" s="30"/>
      <c r="M296" s="30"/>
      <c r="N296" s="30"/>
      <c r="O296" s="30"/>
    </row>
    <row r="297" spans="1:15" x14ac:dyDescent="0.25">
      <c r="A297" s="10">
        <v>278</v>
      </c>
      <c r="B297" s="43">
        <f t="shared" ca="1" si="40"/>
        <v>0.71602695983083464</v>
      </c>
      <c r="C297" s="44">
        <f t="shared" ca="1" si="41"/>
        <v>271.41240830025492</v>
      </c>
      <c r="D297" s="44">
        <f t="shared" ca="1" si="42"/>
        <v>254.76099122559904</v>
      </c>
      <c r="E297" s="44">
        <f t="shared" ca="1" si="43"/>
        <v>0</v>
      </c>
      <c r="F297" s="45">
        <f t="shared" ca="1" si="47"/>
        <v>0</v>
      </c>
      <c r="G297" s="45">
        <f t="shared" ca="1" si="44"/>
        <v>0</v>
      </c>
      <c r="H297" s="46">
        <f t="shared" ca="1" si="48"/>
        <v>0</v>
      </c>
      <c r="I297" s="1">
        <f t="shared" ca="1" si="45"/>
        <v>1386.2238587791392</v>
      </c>
      <c r="J297" s="47">
        <f t="shared" ca="1" si="46"/>
        <v>1008.1628063848285</v>
      </c>
      <c r="K297" s="123">
        <f t="shared" ca="1" si="49"/>
        <v>378.06105239431065</v>
      </c>
      <c r="L297" s="30"/>
      <c r="M297" s="30"/>
      <c r="N297" s="30"/>
      <c r="O297" s="30"/>
    </row>
    <row r="298" spans="1:15" x14ac:dyDescent="0.25">
      <c r="A298" s="10">
        <v>279</v>
      </c>
      <c r="B298" s="48">
        <f t="shared" ca="1" si="40"/>
        <v>0.69259923515249011</v>
      </c>
      <c r="C298" s="49">
        <f t="shared" ca="1" si="41"/>
        <v>249.32041196681521</v>
      </c>
      <c r="D298" s="49">
        <f t="shared" ca="1" si="42"/>
        <v>252.04070159620713</v>
      </c>
      <c r="E298" s="49">
        <f t="shared" ca="1" si="43"/>
        <v>2.7202896293919139</v>
      </c>
      <c r="F298" s="50">
        <f t="shared" ca="1" si="47"/>
        <v>2.7202896293919139</v>
      </c>
      <c r="G298" s="50">
        <f t="shared" ca="1" si="44"/>
        <v>44.982781035430634</v>
      </c>
      <c r="H298" s="51">
        <f t="shared" ca="1" si="48"/>
        <v>0</v>
      </c>
      <c r="I298" s="52">
        <f t="shared" ca="1" si="45"/>
        <v>1371.9423382248317</v>
      </c>
      <c r="J298" s="53">
        <f t="shared" ca="1" si="46"/>
        <v>1008.1628063848285</v>
      </c>
      <c r="K298" s="124">
        <f t="shared" ca="1" si="49"/>
        <v>363.77953184000319</v>
      </c>
      <c r="L298" s="30"/>
      <c r="M298" s="30"/>
      <c r="N298" s="30"/>
      <c r="O298" s="30"/>
    </row>
    <row r="299" spans="1:15" x14ac:dyDescent="0.25">
      <c r="A299" s="10">
        <v>280</v>
      </c>
      <c r="B299" s="27">
        <f t="shared" ca="1" si="40"/>
        <v>0.94320133746015611</v>
      </c>
      <c r="C299" s="21">
        <f t="shared" ca="1" si="41"/>
        <v>297.02348263163776</v>
      </c>
      <c r="D299" s="21">
        <f t="shared" ca="1" si="42"/>
        <v>254.76099122559904</v>
      </c>
      <c r="E299" s="21">
        <f t="shared" ca="1" si="43"/>
        <v>0</v>
      </c>
      <c r="F299" s="22">
        <f t="shared" ca="1" si="47"/>
        <v>0</v>
      </c>
      <c r="G299" s="22">
        <f t="shared" ca="1" si="44"/>
        <v>0</v>
      </c>
      <c r="H299" s="31">
        <f t="shared" ca="1" si="48"/>
        <v>0</v>
      </c>
      <c r="I299" s="9">
        <f t="shared" ca="1" si="45"/>
        <v>1386.2238587791392</v>
      </c>
      <c r="J299" s="30">
        <f t="shared" ca="1" si="46"/>
        <v>1008.1628063848285</v>
      </c>
      <c r="K299" s="122">
        <f t="shared" ca="1" si="49"/>
        <v>378.06105239431065</v>
      </c>
      <c r="L299" s="30"/>
      <c r="M299" s="30"/>
      <c r="N299" s="30"/>
      <c r="O299" s="30"/>
    </row>
    <row r="300" spans="1:15" x14ac:dyDescent="0.25">
      <c r="A300" s="10">
        <v>281</v>
      </c>
      <c r="B300" s="27">
        <f t="shared" ca="1" si="40"/>
        <v>5.6391045141205742E-2</v>
      </c>
      <c r="C300" s="21">
        <f t="shared" ca="1" si="41"/>
        <v>201.46234925421527</v>
      </c>
      <c r="D300" s="21">
        <f t="shared" ca="1" si="42"/>
        <v>252.04070159620713</v>
      </c>
      <c r="E300" s="21">
        <f t="shared" ca="1" si="43"/>
        <v>50.578352341991859</v>
      </c>
      <c r="F300" s="22">
        <f t="shared" ca="1" si="47"/>
        <v>50.578352341991859</v>
      </c>
      <c r="G300" s="22">
        <f t="shared" ca="1" si="44"/>
        <v>0</v>
      </c>
      <c r="H300" s="31">
        <f t="shared" ca="1" si="48"/>
        <v>50.578352341991859</v>
      </c>
      <c r="I300" s="9">
        <f t="shared" ca="1" si="45"/>
        <v>1120.6875089836822</v>
      </c>
      <c r="J300" s="30">
        <f t="shared" ca="1" si="46"/>
        <v>1084.0303348978164</v>
      </c>
      <c r="K300" s="122">
        <f t="shared" ca="1" si="49"/>
        <v>36.65717408586579</v>
      </c>
      <c r="L300" s="30"/>
      <c r="M300" s="30"/>
      <c r="N300" s="30"/>
      <c r="O300" s="30"/>
    </row>
    <row r="301" spans="1:15" x14ac:dyDescent="0.25">
      <c r="A301" s="10">
        <v>282</v>
      </c>
      <c r="B301" s="27">
        <f t="shared" ca="1" si="40"/>
        <v>3.4586743689207666E-2</v>
      </c>
      <c r="C301" s="21">
        <f t="shared" ca="1" si="41"/>
        <v>201.46234925421527</v>
      </c>
      <c r="D301" s="21">
        <f t="shared" ca="1" si="42"/>
        <v>302.61905393819899</v>
      </c>
      <c r="E301" s="21">
        <f t="shared" ca="1" si="43"/>
        <v>50.578352341991859</v>
      </c>
      <c r="F301" s="22">
        <f t="shared" ca="1" si="47"/>
        <v>101.15670468398372</v>
      </c>
      <c r="G301" s="22">
        <f t="shared" ca="1" si="44"/>
        <v>0</v>
      </c>
      <c r="H301" s="31">
        <f t="shared" ca="1" si="48"/>
        <v>101.15670468398372</v>
      </c>
      <c r="I301" s="9">
        <f t="shared" ca="1" si="45"/>
        <v>1272.4225660096577</v>
      </c>
      <c r="J301" s="30">
        <f t="shared" ca="1" si="46"/>
        <v>1159.8978634108041</v>
      </c>
      <c r="K301" s="122">
        <f t="shared" ca="1" si="49"/>
        <v>112.52470259885354</v>
      </c>
      <c r="L301" s="30"/>
      <c r="M301" s="30"/>
      <c r="N301" s="30"/>
      <c r="O301" s="30"/>
    </row>
    <row r="302" spans="1:15" x14ac:dyDescent="0.25">
      <c r="A302" s="10">
        <v>283</v>
      </c>
      <c r="B302" s="27">
        <f t="shared" ca="1" si="40"/>
        <v>0.26272176762104649</v>
      </c>
      <c r="C302" s="21">
        <f t="shared" ca="1" si="41"/>
        <v>230.79639892259075</v>
      </c>
      <c r="D302" s="21">
        <f t="shared" ca="1" si="42"/>
        <v>302.61905393819899</v>
      </c>
      <c r="E302" s="21">
        <f t="shared" ca="1" si="43"/>
        <v>21.244302673616374</v>
      </c>
      <c r="F302" s="22">
        <f t="shared" ca="1" si="47"/>
        <v>71.822655015608234</v>
      </c>
      <c r="G302" s="22">
        <f t="shared" ca="1" si="44"/>
        <v>0</v>
      </c>
      <c r="H302" s="31">
        <f t="shared" ca="1" si="48"/>
        <v>71.822655015608234</v>
      </c>
      <c r="I302" s="9">
        <f t="shared" ca="1" si="45"/>
        <v>1426.4263267686288</v>
      </c>
      <c r="J302" s="30">
        <f t="shared" ca="1" si="46"/>
        <v>1115.896788908241</v>
      </c>
      <c r="K302" s="122">
        <f t="shared" ca="1" si="49"/>
        <v>310.52953786038779</v>
      </c>
      <c r="L302" s="30"/>
      <c r="M302" s="30"/>
      <c r="N302" s="30"/>
      <c r="O302" s="30"/>
    </row>
    <row r="303" spans="1:15" x14ac:dyDescent="0.25">
      <c r="A303" s="10">
        <v>284</v>
      </c>
      <c r="B303" s="27">
        <f t="shared" ca="1" si="40"/>
        <v>0.12936187882210248</v>
      </c>
      <c r="C303" s="21">
        <f t="shared" ca="1" si="41"/>
        <v>201.46234925421527</v>
      </c>
      <c r="D303" s="21">
        <f t="shared" ca="1" si="42"/>
        <v>273.2850042698235</v>
      </c>
      <c r="E303" s="21">
        <f t="shared" ca="1" si="43"/>
        <v>50.578352341991859</v>
      </c>
      <c r="F303" s="22">
        <f t="shared" ca="1" si="47"/>
        <v>71.822655015608234</v>
      </c>
      <c r="G303" s="22">
        <f t="shared" ca="1" si="44"/>
        <v>0</v>
      </c>
      <c r="H303" s="31">
        <f t="shared" ca="1" si="48"/>
        <v>71.822655015608234</v>
      </c>
      <c r="I303" s="9">
        <f t="shared" ca="1" si="45"/>
        <v>1184.4204170045314</v>
      </c>
      <c r="J303" s="30">
        <f t="shared" ca="1" si="46"/>
        <v>1115.896788908241</v>
      </c>
      <c r="K303" s="122">
        <f t="shared" ca="1" si="49"/>
        <v>68.523628096290395</v>
      </c>
      <c r="L303" s="30"/>
      <c r="M303" s="30"/>
      <c r="N303" s="30"/>
      <c r="O303" s="30"/>
    </row>
    <row r="304" spans="1:15" x14ac:dyDescent="0.25">
      <c r="A304" s="10">
        <v>285</v>
      </c>
      <c r="B304" s="27">
        <f t="shared" ca="1" si="40"/>
        <v>0.47857293139673607</v>
      </c>
      <c r="C304" s="21">
        <f t="shared" ca="1" si="41"/>
        <v>249.32041196681521</v>
      </c>
      <c r="D304" s="21">
        <f t="shared" ca="1" si="42"/>
        <v>302.61905393819899</v>
      </c>
      <c r="E304" s="21">
        <f t="shared" ca="1" si="43"/>
        <v>2.7202896293919139</v>
      </c>
      <c r="F304" s="22">
        <f t="shared" ca="1" si="47"/>
        <v>53.298641971383773</v>
      </c>
      <c r="G304" s="22">
        <f t="shared" ca="1" si="44"/>
        <v>0</v>
      </c>
      <c r="H304" s="31">
        <f t="shared" ca="1" si="48"/>
        <v>53.298641971383773</v>
      </c>
      <c r="I304" s="9">
        <f t="shared" ca="1" si="45"/>
        <v>1523.6773952508072</v>
      </c>
      <c r="J304" s="30">
        <f t="shared" ca="1" si="46"/>
        <v>1088.1107693419042</v>
      </c>
      <c r="K304" s="122">
        <f t="shared" ca="1" si="49"/>
        <v>435.56662590890301</v>
      </c>
      <c r="L304" s="30"/>
      <c r="M304" s="30"/>
      <c r="N304" s="30"/>
      <c r="O304" s="30"/>
    </row>
    <row r="305" spans="1:15" x14ac:dyDescent="0.25">
      <c r="A305" s="10">
        <v>286</v>
      </c>
      <c r="B305" s="27">
        <f t="shared" ca="1" si="40"/>
        <v>0.6747925677955926</v>
      </c>
      <c r="C305" s="21">
        <f t="shared" ca="1" si="41"/>
        <v>249.32041196681521</v>
      </c>
      <c r="D305" s="21">
        <f t="shared" ca="1" si="42"/>
        <v>254.76099122559904</v>
      </c>
      <c r="E305" s="21">
        <f t="shared" ca="1" si="43"/>
        <v>2.7202896293919139</v>
      </c>
      <c r="F305" s="22">
        <f t="shared" ca="1" si="47"/>
        <v>5.4405792587838278</v>
      </c>
      <c r="G305" s="22">
        <f t="shared" ca="1" si="44"/>
        <v>0</v>
      </c>
      <c r="H305" s="31">
        <f t="shared" ca="1" si="48"/>
        <v>5.4405792587838278</v>
      </c>
      <c r="I305" s="9">
        <f t="shared" ca="1" si="45"/>
        <v>1380.1032071130076</v>
      </c>
      <c r="J305" s="30">
        <f t="shared" ca="1" si="46"/>
        <v>1016.3236752730043</v>
      </c>
      <c r="K305" s="122">
        <f t="shared" ca="1" si="49"/>
        <v>363.7795318400033</v>
      </c>
      <c r="L305" s="30"/>
      <c r="M305" s="30"/>
      <c r="N305" s="30"/>
      <c r="O305" s="30"/>
    </row>
    <row r="306" spans="1:15" x14ac:dyDescent="0.25">
      <c r="A306" s="10">
        <v>287</v>
      </c>
      <c r="B306" s="27">
        <f t="shared" ca="1" si="40"/>
        <v>0.64413446050864598</v>
      </c>
      <c r="C306" s="21">
        <f t="shared" ca="1" si="41"/>
        <v>249.32041196681521</v>
      </c>
      <c r="D306" s="21">
        <f t="shared" ca="1" si="42"/>
        <v>254.76099122559904</v>
      </c>
      <c r="E306" s="21">
        <f t="shared" ca="1" si="43"/>
        <v>2.7202896293919139</v>
      </c>
      <c r="F306" s="22">
        <f t="shared" ca="1" si="47"/>
        <v>5.4405792587838278</v>
      </c>
      <c r="G306" s="22">
        <f t="shared" ca="1" si="44"/>
        <v>19.371706704047796</v>
      </c>
      <c r="H306" s="31">
        <f t="shared" ca="1" si="48"/>
        <v>0</v>
      </c>
      <c r="I306" s="9">
        <f t="shared" ca="1" si="45"/>
        <v>1371.9423382248317</v>
      </c>
      <c r="J306" s="30">
        <f t="shared" ca="1" si="46"/>
        <v>1008.1628063848285</v>
      </c>
      <c r="K306" s="122">
        <f t="shared" ca="1" si="49"/>
        <v>363.77953184000319</v>
      </c>
      <c r="L306" s="30"/>
      <c r="M306" s="30"/>
      <c r="N306" s="30"/>
      <c r="O306" s="30"/>
    </row>
    <row r="307" spans="1:15" x14ac:dyDescent="0.25">
      <c r="A307" s="10">
        <v>288</v>
      </c>
      <c r="B307" s="27">
        <f t="shared" ca="1" si="40"/>
        <v>0.81041046414193763</v>
      </c>
      <c r="C307" s="21">
        <f t="shared" ca="1" si="41"/>
        <v>271.41240830025492</v>
      </c>
      <c r="D307" s="21">
        <f t="shared" ca="1" si="42"/>
        <v>254.76099122559904</v>
      </c>
      <c r="E307" s="21">
        <f t="shared" ca="1" si="43"/>
        <v>0</v>
      </c>
      <c r="F307" s="22">
        <f t="shared" ca="1" si="47"/>
        <v>0</v>
      </c>
      <c r="G307" s="22">
        <f t="shared" ca="1" si="44"/>
        <v>0</v>
      </c>
      <c r="H307" s="31">
        <f t="shared" ca="1" si="48"/>
        <v>0</v>
      </c>
      <c r="I307" s="9">
        <f t="shared" ca="1" si="45"/>
        <v>1386.2238587791392</v>
      </c>
      <c r="J307" s="30">
        <f t="shared" ca="1" si="46"/>
        <v>1008.1628063848285</v>
      </c>
      <c r="K307" s="122">
        <f t="shared" ca="1" si="49"/>
        <v>378.06105239431065</v>
      </c>
      <c r="L307" s="30"/>
      <c r="M307" s="30"/>
      <c r="N307" s="30"/>
      <c r="O307" s="30"/>
    </row>
    <row r="308" spans="1:15" x14ac:dyDescent="0.25">
      <c r="A308" s="10">
        <v>289</v>
      </c>
      <c r="B308" s="27">
        <f t="shared" ca="1" si="40"/>
        <v>0.16797632997486278</v>
      </c>
      <c r="C308" s="21">
        <f t="shared" ca="1" si="41"/>
        <v>230.79639892259075</v>
      </c>
      <c r="D308" s="21">
        <f t="shared" ca="1" si="42"/>
        <v>252.04070159620713</v>
      </c>
      <c r="E308" s="21">
        <f t="shared" ca="1" si="43"/>
        <v>21.244302673616374</v>
      </c>
      <c r="F308" s="22">
        <f t="shared" ca="1" si="47"/>
        <v>21.244302673616374</v>
      </c>
      <c r="G308" s="22">
        <f t="shared" ca="1" si="44"/>
        <v>0</v>
      </c>
      <c r="H308" s="31">
        <f t="shared" ca="1" si="48"/>
        <v>21.244302673616374</v>
      </c>
      <c r="I308" s="9">
        <f t="shared" ca="1" si="45"/>
        <v>1274.6912697426533</v>
      </c>
      <c r="J308" s="30">
        <f t="shared" ca="1" si="46"/>
        <v>1040.029260395253</v>
      </c>
      <c r="K308" s="122">
        <f t="shared" ca="1" si="49"/>
        <v>234.66200934740027</v>
      </c>
      <c r="L308" s="30"/>
      <c r="M308" s="30"/>
      <c r="N308" s="30"/>
      <c r="O308" s="30"/>
    </row>
    <row r="309" spans="1:15" x14ac:dyDescent="0.25">
      <c r="A309" s="10">
        <v>290</v>
      </c>
      <c r="B309" s="27">
        <f t="shared" ca="1" si="40"/>
        <v>0.31020657184273071</v>
      </c>
      <c r="C309" s="21">
        <f t="shared" ca="1" si="41"/>
        <v>230.79639892259075</v>
      </c>
      <c r="D309" s="21">
        <f t="shared" ca="1" si="42"/>
        <v>273.2850042698235</v>
      </c>
      <c r="E309" s="21">
        <f t="shared" ca="1" si="43"/>
        <v>21.244302673616374</v>
      </c>
      <c r="F309" s="22">
        <f t="shared" ca="1" si="47"/>
        <v>42.488605347232749</v>
      </c>
      <c r="G309" s="22">
        <f t="shared" ca="1" si="44"/>
        <v>0</v>
      </c>
      <c r="H309" s="31">
        <f t="shared" ca="1" si="48"/>
        <v>42.488605347232749</v>
      </c>
      <c r="I309" s="9">
        <f t="shared" ca="1" si="45"/>
        <v>1338.4241777635025</v>
      </c>
      <c r="J309" s="30">
        <f t="shared" ca="1" si="46"/>
        <v>1071.8957144056776</v>
      </c>
      <c r="K309" s="122">
        <f t="shared" ca="1" si="49"/>
        <v>266.52846335782488</v>
      </c>
      <c r="L309" s="30"/>
      <c r="M309" s="30"/>
      <c r="N309" s="30"/>
      <c r="O309" s="30"/>
    </row>
    <row r="310" spans="1:15" x14ac:dyDescent="0.25">
      <c r="A310" s="10">
        <v>291</v>
      </c>
      <c r="B310" s="27">
        <f t="shared" ca="1" si="40"/>
        <v>0.49477558049993553</v>
      </c>
      <c r="C310" s="21">
        <f t="shared" ca="1" si="41"/>
        <v>249.32041196681521</v>
      </c>
      <c r="D310" s="21">
        <f t="shared" ca="1" si="42"/>
        <v>273.2850042698235</v>
      </c>
      <c r="E310" s="21">
        <f t="shared" ca="1" si="43"/>
        <v>2.7202896293919139</v>
      </c>
      <c r="F310" s="22">
        <f t="shared" ca="1" si="47"/>
        <v>23.964592303008288</v>
      </c>
      <c r="G310" s="22">
        <f t="shared" ca="1" si="44"/>
        <v>44.982781035430634</v>
      </c>
      <c r="H310" s="31">
        <f t="shared" ca="1" si="48"/>
        <v>0</v>
      </c>
      <c r="I310" s="9">
        <f t="shared" ca="1" si="45"/>
        <v>1371.9423382248317</v>
      </c>
      <c r="J310" s="30">
        <f t="shared" ca="1" si="46"/>
        <v>1008.1628063848285</v>
      </c>
      <c r="K310" s="122">
        <f t="shared" ca="1" si="49"/>
        <v>363.77953184000319</v>
      </c>
      <c r="L310" s="30"/>
      <c r="M310" s="30"/>
      <c r="N310" s="30"/>
      <c r="O310" s="30"/>
    </row>
    <row r="311" spans="1:15" x14ac:dyDescent="0.25">
      <c r="A311" s="10">
        <v>292</v>
      </c>
      <c r="B311" s="27">
        <f t="shared" ca="1" si="40"/>
        <v>0.97684064865766573</v>
      </c>
      <c r="C311" s="21">
        <f t="shared" ca="1" si="41"/>
        <v>297.02348263163776</v>
      </c>
      <c r="D311" s="21">
        <f t="shared" ca="1" si="42"/>
        <v>254.76099122559904</v>
      </c>
      <c r="E311" s="21">
        <f t="shared" ca="1" si="43"/>
        <v>0</v>
      </c>
      <c r="F311" s="22">
        <f t="shared" ca="1" si="47"/>
        <v>0</v>
      </c>
      <c r="G311" s="22">
        <f t="shared" ca="1" si="44"/>
        <v>0</v>
      </c>
      <c r="H311" s="31">
        <f t="shared" ca="1" si="48"/>
        <v>0</v>
      </c>
      <c r="I311" s="9">
        <f t="shared" ca="1" si="45"/>
        <v>1386.2238587791392</v>
      </c>
      <c r="J311" s="30">
        <f t="shared" ca="1" si="46"/>
        <v>1008.1628063848285</v>
      </c>
      <c r="K311" s="122">
        <f t="shared" ca="1" si="49"/>
        <v>378.06105239431065</v>
      </c>
      <c r="L311" s="30"/>
      <c r="M311" s="30"/>
      <c r="N311" s="30"/>
      <c r="O311" s="30"/>
    </row>
    <row r="312" spans="1:15" x14ac:dyDescent="0.25">
      <c r="A312" s="10">
        <v>293</v>
      </c>
      <c r="B312" s="27">
        <f t="shared" ca="1" si="40"/>
        <v>0.34161190764840266</v>
      </c>
      <c r="C312" s="21">
        <f t="shared" ca="1" si="41"/>
        <v>230.79639892259075</v>
      </c>
      <c r="D312" s="21">
        <f t="shared" ca="1" si="42"/>
        <v>252.04070159620713</v>
      </c>
      <c r="E312" s="21">
        <f t="shared" ca="1" si="43"/>
        <v>21.244302673616374</v>
      </c>
      <c r="F312" s="22">
        <f t="shared" ca="1" si="47"/>
        <v>21.244302673616374</v>
      </c>
      <c r="G312" s="22">
        <f t="shared" ca="1" si="44"/>
        <v>19.371706704047796</v>
      </c>
      <c r="H312" s="31">
        <f t="shared" ca="1" si="48"/>
        <v>1.8725959695685788</v>
      </c>
      <c r="I312" s="9">
        <f t="shared" ca="1" si="45"/>
        <v>1280.3090576513591</v>
      </c>
      <c r="J312" s="30">
        <f t="shared" ca="1" si="46"/>
        <v>1010.9717003391813</v>
      </c>
      <c r="K312" s="122">
        <f t="shared" ca="1" si="49"/>
        <v>269.3373573121778</v>
      </c>
      <c r="L312" s="30"/>
      <c r="M312" s="30"/>
      <c r="N312" s="30"/>
      <c r="O312" s="30"/>
    </row>
    <row r="313" spans="1:15" x14ac:dyDescent="0.25">
      <c r="A313" s="10">
        <v>294</v>
      </c>
      <c r="B313" s="27">
        <f t="shared" ca="1" si="40"/>
        <v>0.88678659851002872</v>
      </c>
      <c r="C313" s="21">
        <f t="shared" ca="1" si="41"/>
        <v>271.41240830025492</v>
      </c>
      <c r="D313" s="21">
        <f t="shared" ca="1" si="42"/>
        <v>273.2850042698235</v>
      </c>
      <c r="E313" s="21">
        <f t="shared" ca="1" si="43"/>
        <v>0</v>
      </c>
      <c r="F313" s="22">
        <f t="shared" ca="1" si="47"/>
        <v>1.8725959695685788</v>
      </c>
      <c r="G313" s="22">
        <f t="shared" ca="1" si="44"/>
        <v>0</v>
      </c>
      <c r="H313" s="31">
        <f t="shared" ca="1" si="48"/>
        <v>1.8725959695685788</v>
      </c>
      <c r="I313" s="9">
        <f t="shared" ca="1" si="45"/>
        <v>1386.2238587791392</v>
      </c>
      <c r="J313" s="30">
        <f t="shared" ca="1" si="46"/>
        <v>1010.9717003391813</v>
      </c>
      <c r="K313" s="122">
        <f t="shared" ca="1" si="49"/>
        <v>375.25215843995784</v>
      </c>
      <c r="L313" s="30"/>
      <c r="M313" s="30"/>
      <c r="N313" s="30"/>
      <c r="O313" s="30"/>
    </row>
    <row r="314" spans="1:15" x14ac:dyDescent="0.25">
      <c r="A314" s="10">
        <v>295</v>
      </c>
      <c r="B314" s="27">
        <f t="shared" ca="1" si="40"/>
        <v>0.14198910174258073</v>
      </c>
      <c r="C314" s="21">
        <f t="shared" ca="1" si="41"/>
        <v>201.46234925421527</v>
      </c>
      <c r="D314" s="21">
        <f t="shared" ca="1" si="42"/>
        <v>252.04070159620713</v>
      </c>
      <c r="E314" s="21">
        <f t="shared" ca="1" si="43"/>
        <v>50.578352341991859</v>
      </c>
      <c r="F314" s="22">
        <f t="shared" ca="1" si="47"/>
        <v>50.578352341991859</v>
      </c>
      <c r="G314" s="22">
        <f t="shared" ca="1" si="44"/>
        <v>44.982781035430634</v>
      </c>
      <c r="H314" s="31">
        <f t="shared" ca="1" si="48"/>
        <v>5.5955713065612258</v>
      </c>
      <c r="I314" s="9">
        <f t="shared" ca="1" si="45"/>
        <v>1137.4742229033659</v>
      </c>
      <c r="J314" s="30">
        <f t="shared" ca="1" si="46"/>
        <v>1016.5561633446704</v>
      </c>
      <c r="K314" s="122">
        <f t="shared" ca="1" si="49"/>
        <v>120.91805955869552</v>
      </c>
      <c r="L314" s="30"/>
      <c r="M314" s="30"/>
      <c r="N314" s="30"/>
      <c r="O314" s="30"/>
    </row>
    <row r="315" spans="1:15" x14ac:dyDescent="0.25">
      <c r="A315" s="10">
        <v>296</v>
      </c>
      <c r="B315" s="27">
        <f t="shared" ca="1" si="40"/>
        <v>0.98450576229143105</v>
      </c>
      <c r="C315" s="21">
        <f t="shared" ca="1" si="41"/>
        <v>297.02348263163776</v>
      </c>
      <c r="D315" s="21">
        <f t="shared" ca="1" si="42"/>
        <v>302.61905393819899</v>
      </c>
      <c r="E315" s="21">
        <f t="shared" ca="1" si="43"/>
        <v>0</v>
      </c>
      <c r="F315" s="22">
        <f t="shared" ca="1" si="47"/>
        <v>5.5955713065612258</v>
      </c>
      <c r="G315" s="22">
        <f t="shared" ca="1" si="44"/>
        <v>0</v>
      </c>
      <c r="H315" s="31">
        <f t="shared" ca="1" si="48"/>
        <v>5.5955713065612258</v>
      </c>
      <c r="I315" s="9">
        <f t="shared" ca="1" si="45"/>
        <v>1386.2238587791392</v>
      </c>
      <c r="J315" s="30">
        <f t="shared" ca="1" si="46"/>
        <v>1016.5561633446704</v>
      </c>
      <c r="K315" s="122">
        <f t="shared" ca="1" si="49"/>
        <v>369.66769543446878</v>
      </c>
      <c r="L315" s="30"/>
      <c r="M315" s="30"/>
      <c r="N315" s="30"/>
      <c r="O315" s="30"/>
    </row>
    <row r="316" spans="1:15" x14ac:dyDescent="0.25">
      <c r="A316" s="10">
        <v>297</v>
      </c>
      <c r="B316" s="27">
        <f t="shared" ca="1" si="40"/>
        <v>0.5998283120488217</v>
      </c>
      <c r="C316" s="21">
        <f t="shared" ca="1" si="41"/>
        <v>249.32041196681521</v>
      </c>
      <c r="D316" s="21">
        <f t="shared" ca="1" si="42"/>
        <v>252.04070159620713</v>
      </c>
      <c r="E316" s="21">
        <f t="shared" ca="1" si="43"/>
        <v>2.7202896293919139</v>
      </c>
      <c r="F316" s="22">
        <f t="shared" ca="1" si="47"/>
        <v>2.7202896293919139</v>
      </c>
      <c r="G316" s="22">
        <f t="shared" ca="1" si="44"/>
        <v>19.371706704047796</v>
      </c>
      <c r="H316" s="31">
        <f t="shared" ca="1" si="48"/>
        <v>0</v>
      </c>
      <c r="I316" s="9">
        <f t="shared" ca="1" si="45"/>
        <v>1371.9423382248317</v>
      </c>
      <c r="J316" s="30">
        <f t="shared" ca="1" si="46"/>
        <v>1008.1628063848285</v>
      </c>
      <c r="K316" s="122">
        <f t="shared" ca="1" si="49"/>
        <v>363.77953184000319</v>
      </c>
      <c r="L316" s="30"/>
      <c r="M316" s="30"/>
      <c r="N316" s="30"/>
      <c r="O316" s="30"/>
    </row>
    <row r="317" spans="1:15" x14ac:dyDescent="0.25">
      <c r="A317" s="10">
        <v>298</v>
      </c>
      <c r="B317" s="27">
        <f t="shared" ca="1" si="40"/>
        <v>0.80978655021587009</v>
      </c>
      <c r="C317" s="21">
        <f t="shared" ca="1" si="41"/>
        <v>271.41240830025492</v>
      </c>
      <c r="D317" s="21">
        <f t="shared" ca="1" si="42"/>
        <v>254.76099122559904</v>
      </c>
      <c r="E317" s="21">
        <f t="shared" ca="1" si="43"/>
        <v>0</v>
      </c>
      <c r="F317" s="22">
        <f t="shared" ca="1" si="47"/>
        <v>0</v>
      </c>
      <c r="G317" s="22">
        <f t="shared" ca="1" si="44"/>
        <v>0</v>
      </c>
      <c r="H317" s="31">
        <f t="shared" ca="1" si="48"/>
        <v>0</v>
      </c>
      <c r="I317" s="9">
        <f t="shared" ca="1" si="45"/>
        <v>1386.2238587791392</v>
      </c>
      <c r="J317" s="30">
        <f t="shared" ca="1" si="46"/>
        <v>1008.1628063848285</v>
      </c>
      <c r="K317" s="122">
        <f t="shared" ca="1" si="49"/>
        <v>378.06105239431065</v>
      </c>
      <c r="L317" s="30"/>
      <c r="M317" s="30"/>
      <c r="N317" s="30"/>
      <c r="O317" s="30"/>
    </row>
    <row r="318" spans="1:15" x14ac:dyDescent="0.25">
      <c r="A318" s="10">
        <v>299</v>
      </c>
      <c r="B318" s="27">
        <f t="shared" ca="1" si="40"/>
        <v>3.7535834397614654E-2</v>
      </c>
      <c r="C318" s="21">
        <f t="shared" ca="1" si="41"/>
        <v>201.46234925421527</v>
      </c>
      <c r="D318" s="21">
        <f t="shared" ca="1" si="42"/>
        <v>252.04070159620713</v>
      </c>
      <c r="E318" s="21">
        <f t="shared" ca="1" si="43"/>
        <v>50.578352341991859</v>
      </c>
      <c r="F318" s="22">
        <f t="shared" ca="1" si="47"/>
        <v>50.578352341991859</v>
      </c>
      <c r="G318" s="22">
        <f t="shared" ca="1" si="44"/>
        <v>19.371706704047796</v>
      </c>
      <c r="H318" s="31">
        <f t="shared" ca="1" si="48"/>
        <v>31.206645637944064</v>
      </c>
      <c r="I318" s="9">
        <f t="shared" ca="1" si="45"/>
        <v>1214.3074458975143</v>
      </c>
      <c r="J318" s="30">
        <f t="shared" ca="1" si="46"/>
        <v>1054.9727748417447</v>
      </c>
      <c r="K318" s="122">
        <f t="shared" ca="1" si="49"/>
        <v>159.3346710557696</v>
      </c>
      <c r="L318" s="30"/>
      <c r="M318" s="30"/>
      <c r="N318" s="30"/>
      <c r="O318" s="30"/>
    </row>
    <row r="319" spans="1:15" x14ac:dyDescent="0.25">
      <c r="A319" s="10">
        <v>300</v>
      </c>
      <c r="B319" s="27">
        <f t="shared" ca="1" si="40"/>
        <v>0.88273799976467981</v>
      </c>
      <c r="C319" s="21">
        <f t="shared" ca="1" si="41"/>
        <v>271.41240830025492</v>
      </c>
      <c r="D319" s="21">
        <f t="shared" ca="1" si="42"/>
        <v>302.61905393819899</v>
      </c>
      <c r="E319" s="21">
        <f t="shared" ca="1" si="43"/>
        <v>0</v>
      </c>
      <c r="F319" s="22">
        <f t="shared" ca="1" si="47"/>
        <v>31.206645637944064</v>
      </c>
      <c r="G319" s="22">
        <f t="shared" ca="1" si="44"/>
        <v>0</v>
      </c>
      <c r="H319" s="31">
        <f t="shared" ca="1" si="48"/>
        <v>31.206645637944064</v>
      </c>
      <c r="I319" s="9">
        <f t="shared" ca="1" si="45"/>
        <v>1386.2238587791392</v>
      </c>
      <c r="J319" s="30">
        <f t="shared" ca="1" si="46"/>
        <v>1054.9727748417447</v>
      </c>
      <c r="K319" s="122">
        <f t="shared" ca="1" si="49"/>
        <v>331.25108393739447</v>
      </c>
      <c r="L319" s="30"/>
      <c r="M319" s="30"/>
      <c r="N319" s="30"/>
      <c r="O319" s="30"/>
    </row>
    <row r="320" spans="1:15" x14ac:dyDescent="0.25">
      <c r="A320" s="10">
        <v>301</v>
      </c>
      <c r="B320" s="27">
        <f t="shared" ca="1" si="40"/>
        <v>0.46840729829647343</v>
      </c>
      <c r="C320" s="21">
        <f t="shared" ca="1" si="41"/>
        <v>249.32041196681521</v>
      </c>
      <c r="D320" s="21">
        <f t="shared" ca="1" si="42"/>
        <v>252.04070159620713</v>
      </c>
      <c r="E320" s="21">
        <f t="shared" ca="1" si="43"/>
        <v>2.7202896293919139</v>
      </c>
      <c r="F320" s="22">
        <f t="shared" ca="1" si="47"/>
        <v>2.7202896293919139</v>
      </c>
      <c r="G320" s="22">
        <f t="shared" ca="1" si="44"/>
        <v>0</v>
      </c>
      <c r="H320" s="31">
        <f t="shared" ca="1" si="48"/>
        <v>2.7202896293919139</v>
      </c>
      <c r="I320" s="9">
        <f t="shared" ca="1" si="45"/>
        <v>1371.9423382248317</v>
      </c>
      <c r="J320" s="30">
        <f t="shared" ca="1" si="46"/>
        <v>1012.2432408289164</v>
      </c>
      <c r="K320" s="122">
        <f t="shared" ca="1" si="49"/>
        <v>359.69909739591526</v>
      </c>
      <c r="L320" s="30"/>
      <c r="M320" s="30"/>
      <c r="N320" s="30"/>
      <c r="O320" s="30"/>
    </row>
    <row r="321" spans="1:15" x14ac:dyDescent="0.25">
      <c r="A321" s="10">
        <v>302</v>
      </c>
      <c r="B321" s="27">
        <f t="shared" ca="1" si="40"/>
        <v>0.56544660496612364</v>
      </c>
      <c r="C321" s="21">
        <f t="shared" ca="1" si="41"/>
        <v>249.32041196681521</v>
      </c>
      <c r="D321" s="21">
        <f t="shared" ca="1" si="42"/>
        <v>254.76099122559904</v>
      </c>
      <c r="E321" s="21">
        <f t="shared" ca="1" si="43"/>
        <v>2.7202896293919139</v>
      </c>
      <c r="F321" s="22">
        <f t="shared" ca="1" si="47"/>
        <v>5.4405792587838278</v>
      </c>
      <c r="G321" s="22">
        <f t="shared" ca="1" si="44"/>
        <v>0</v>
      </c>
      <c r="H321" s="31">
        <f t="shared" ca="1" si="48"/>
        <v>5.4405792587838278</v>
      </c>
      <c r="I321" s="9">
        <f t="shared" ca="1" si="45"/>
        <v>1380.1032071130076</v>
      </c>
      <c r="J321" s="30">
        <f t="shared" ca="1" si="46"/>
        <v>1016.3236752730043</v>
      </c>
      <c r="K321" s="122">
        <f t="shared" ca="1" si="49"/>
        <v>363.7795318400033</v>
      </c>
      <c r="L321" s="30"/>
      <c r="M321" s="30"/>
      <c r="N321" s="30"/>
      <c r="O321" s="30"/>
    </row>
    <row r="322" spans="1:15" x14ac:dyDescent="0.25">
      <c r="A322" s="10">
        <v>303</v>
      </c>
      <c r="B322" s="27">
        <f t="shared" ca="1" si="40"/>
        <v>0.14535844987660884</v>
      </c>
      <c r="C322" s="21">
        <f t="shared" ca="1" si="41"/>
        <v>201.46234925421527</v>
      </c>
      <c r="D322" s="21">
        <f t="shared" ca="1" si="42"/>
        <v>254.76099122559904</v>
      </c>
      <c r="E322" s="21">
        <f t="shared" ca="1" si="43"/>
        <v>50.578352341991859</v>
      </c>
      <c r="F322" s="22">
        <f t="shared" ca="1" si="47"/>
        <v>53.298641971383773</v>
      </c>
      <c r="G322" s="22">
        <f t="shared" ca="1" si="44"/>
        <v>0</v>
      </c>
      <c r="H322" s="31">
        <f t="shared" ca="1" si="48"/>
        <v>53.298641971383773</v>
      </c>
      <c r="I322" s="9">
        <f t="shared" ca="1" si="45"/>
        <v>1128.8483778718578</v>
      </c>
      <c r="J322" s="30">
        <f t="shared" ca="1" si="46"/>
        <v>1088.1107693419042</v>
      </c>
      <c r="K322" s="122">
        <f t="shared" ca="1" si="49"/>
        <v>40.737608529953604</v>
      </c>
      <c r="L322" s="30"/>
      <c r="M322" s="30"/>
      <c r="N322" s="30"/>
      <c r="O322" s="30"/>
    </row>
    <row r="323" spans="1:15" x14ac:dyDescent="0.25">
      <c r="A323" s="10">
        <v>304</v>
      </c>
      <c r="B323" s="27">
        <f t="shared" ca="1" si="40"/>
        <v>8.3401041445292368E-3</v>
      </c>
      <c r="C323" s="21">
        <f t="shared" ca="1" si="41"/>
        <v>201.46234925421527</v>
      </c>
      <c r="D323" s="21">
        <f t="shared" ca="1" si="42"/>
        <v>302.61905393819899</v>
      </c>
      <c r="E323" s="21">
        <f t="shared" ca="1" si="43"/>
        <v>50.578352341991859</v>
      </c>
      <c r="F323" s="22">
        <f t="shared" ca="1" si="47"/>
        <v>101.15670468398372</v>
      </c>
      <c r="G323" s="22">
        <f t="shared" ca="1" si="44"/>
        <v>0</v>
      </c>
      <c r="H323" s="31">
        <f t="shared" ca="1" si="48"/>
        <v>101.15670468398372</v>
      </c>
      <c r="I323" s="9">
        <f t="shared" ca="1" si="45"/>
        <v>1272.4225660096577</v>
      </c>
      <c r="J323" s="30">
        <f t="shared" ca="1" si="46"/>
        <v>1159.8978634108041</v>
      </c>
      <c r="K323" s="122">
        <f t="shared" ca="1" si="49"/>
        <v>112.52470259885354</v>
      </c>
      <c r="L323" s="30"/>
      <c r="M323" s="30"/>
      <c r="N323" s="30"/>
      <c r="O323" s="30"/>
    </row>
    <row r="324" spans="1:15" x14ac:dyDescent="0.25">
      <c r="A324" s="10">
        <v>305</v>
      </c>
      <c r="B324" s="27">
        <f t="shared" ca="1" si="40"/>
        <v>0.14141057285160197</v>
      </c>
      <c r="C324" s="21">
        <f t="shared" ca="1" si="41"/>
        <v>201.46234925421527</v>
      </c>
      <c r="D324" s="21">
        <f t="shared" ca="1" si="42"/>
        <v>302.61905393819899</v>
      </c>
      <c r="E324" s="21">
        <f t="shared" ca="1" si="43"/>
        <v>50.578352341991859</v>
      </c>
      <c r="F324" s="22">
        <f t="shared" ca="1" si="47"/>
        <v>101.15670468398372</v>
      </c>
      <c r="G324" s="22">
        <f t="shared" ca="1" si="44"/>
        <v>44.982781035430634</v>
      </c>
      <c r="H324" s="31">
        <f t="shared" ca="1" si="48"/>
        <v>56.173923648553085</v>
      </c>
      <c r="I324" s="9">
        <f t="shared" ca="1" si="45"/>
        <v>1289.2092799293414</v>
      </c>
      <c r="J324" s="30">
        <f t="shared" ca="1" si="46"/>
        <v>1092.4236918576582</v>
      </c>
      <c r="K324" s="122">
        <f t="shared" ca="1" si="49"/>
        <v>196.78558807168315</v>
      </c>
      <c r="L324" s="30"/>
      <c r="M324" s="30"/>
      <c r="N324" s="30"/>
      <c r="O324" s="30"/>
    </row>
    <row r="325" spans="1:15" x14ac:dyDescent="0.25">
      <c r="A325" s="10">
        <v>306</v>
      </c>
      <c r="B325" s="27">
        <f t="shared" ca="1" si="40"/>
        <v>0.92382791580969981</v>
      </c>
      <c r="C325" s="21">
        <f t="shared" ca="1" si="41"/>
        <v>297.02348263163776</v>
      </c>
      <c r="D325" s="21">
        <f t="shared" ca="1" si="42"/>
        <v>302.61905393819899</v>
      </c>
      <c r="E325" s="21">
        <f t="shared" ca="1" si="43"/>
        <v>0</v>
      </c>
      <c r="F325" s="22">
        <f t="shared" ca="1" si="47"/>
        <v>5.5955713065612258</v>
      </c>
      <c r="G325" s="22">
        <f t="shared" ca="1" si="44"/>
        <v>0</v>
      </c>
      <c r="H325" s="31">
        <f t="shared" ca="1" si="48"/>
        <v>5.5955713065612258</v>
      </c>
      <c r="I325" s="9">
        <f t="shared" ca="1" si="45"/>
        <v>1386.2238587791392</v>
      </c>
      <c r="J325" s="30">
        <f t="shared" ca="1" si="46"/>
        <v>1016.5561633446704</v>
      </c>
      <c r="K325" s="122">
        <f t="shared" ca="1" si="49"/>
        <v>369.66769543446878</v>
      </c>
      <c r="L325" s="30"/>
      <c r="M325" s="30"/>
      <c r="N325" s="30"/>
      <c r="O325" s="30"/>
    </row>
    <row r="326" spans="1:15" x14ac:dyDescent="0.25">
      <c r="A326" s="10">
        <v>307</v>
      </c>
      <c r="B326" s="27">
        <f t="shared" ca="1" si="40"/>
        <v>0.12304245598796859</v>
      </c>
      <c r="C326" s="21">
        <f t="shared" ca="1" si="41"/>
        <v>201.46234925421527</v>
      </c>
      <c r="D326" s="21">
        <f t="shared" ca="1" si="42"/>
        <v>252.04070159620713</v>
      </c>
      <c r="E326" s="21">
        <f t="shared" ca="1" si="43"/>
        <v>50.578352341991859</v>
      </c>
      <c r="F326" s="22">
        <f t="shared" ca="1" si="47"/>
        <v>50.578352341991859</v>
      </c>
      <c r="G326" s="22">
        <f t="shared" ca="1" si="44"/>
        <v>0</v>
      </c>
      <c r="H326" s="31">
        <f t="shared" ca="1" si="48"/>
        <v>50.578352341991859</v>
      </c>
      <c r="I326" s="9">
        <f t="shared" ca="1" si="45"/>
        <v>1120.6875089836822</v>
      </c>
      <c r="J326" s="30">
        <f t="shared" ca="1" si="46"/>
        <v>1084.0303348978164</v>
      </c>
      <c r="K326" s="122">
        <f t="shared" ca="1" si="49"/>
        <v>36.65717408586579</v>
      </c>
      <c r="L326" s="30"/>
      <c r="M326" s="30"/>
      <c r="N326" s="30"/>
      <c r="O326" s="30"/>
    </row>
    <row r="327" spans="1:15" x14ac:dyDescent="0.25">
      <c r="A327" s="10">
        <v>308</v>
      </c>
      <c r="B327" s="27">
        <f t="shared" ca="1" si="40"/>
        <v>0.54342744082373218</v>
      </c>
      <c r="C327" s="21">
        <f t="shared" ca="1" si="41"/>
        <v>249.32041196681521</v>
      </c>
      <c r="D327" s="21">
        <f t="shared" ca="1" si="42"/>
        <v>302.61905393819899</v>
      </c>
      <c r="E327" s="21">
        <f t="shared" ca="1" si="43"/>
        <v>2.7202896293919139</v>
      </c>
      <c r="F327" s="22">
        <f t="shared" ca="1" si="47"/>
        <v>53.298641971383773</v>
      </c>
      <c r="G327" s="22">
        <f t="shared" ca="1" si="44"/>
        <v>19.371706704047796</v>
      </c>
      <c r="H327" s="31">
        <f t="shared" ca="1" si="48"/>
        <v>33.926935267335978</v>
      </c>
      <c r="I327" s="9">
        <f t="shared" ca="1" si="45"/>
        <v>1473.7231440268397</v>
      </c>
      <c r="J327" s="30">
        <f t="shared" ca="1" si="46"/>
        <v>1059.0532092858325</v>
      </c>
      <c r="K327" s="122">
        <f t="shared" ca="1" si="49"/>
        <v>414.66993474100718</v>
      </c>
      <c r="L327" s="30"/>
      <c r="M327" s="30"/>
      <c r="N327" s="30"/>
      <c r="O327" s="30"/>
    </row>
    <row r="328" spans="1:15" x14ac:dyDescent="0.25">
      <c r="A328" s="10">
        <v>309</v>
      </c>
      <c r="B328" s="27">
        <f t="shared" ca="1" si="40"/>
        <v>0.8699570535267126</v>
      </c>
      <c r="C328" s="21">
        <f t="shared" ca="1" si="41"/>
        <v>271.41240830025492</v>
      </c>
      <c r="D328" s="21">
        <f t="shared" ca="1" si="42"/>
        <v>254.76099122559904</v>
      </c>
      <c r="E328" s="21">
        <f t="shared" ca="1" si="43"/>
        <v>0</v>
      </c>
      <c r="F328" s="22">
        <f t="shared" ca="1" si="47"/>
        <v>0</v>
      </c>
      <c r="G328" s="22">
        <f t="shared" ca="1" si="44"/>
        <v>0</v>
      </c>
      <c r="H328" s="31">
        <f t="shared" ca="1" si="48"/>
        <v>0</v>
      </c>
      <c r="I328" s="9">
        <f t="shared" ca="1" si="45"/>
        <v>1386.2238587791392</v>
      </c>
      <c r="J328" s="30">
        <f t="shared" ca="1" si="46"/>
        <v>1008.1628063848285</v>
      </c>
      <c r="K328" s="122">
        <f t="shared" ca="1" si="49"/>
        <v>378.06105239431065</v>
      </c>
      <c r="L328" s="30"/>
      <c r="M328" s="30"/>
      <c r="N328" s="30"/>
      <c r="O328" s="30"/>
    </row>
    <row r="329" spans="1:15" x14ac:dyDescent="0.25">
      <c r="A329" s="10">
        <v>310</v>
      </c>
      <c r="B329" s="27">
        <f t="shared" ca="1" si="40"/>
        <v>0.27085463596260206</v>
      </c>
      <c r="C329" s="21">
        <f t="shared" ca="1" si="41"/>
        <v>230.79639892259075</v>
      </c>
      <c r="D329" s="21">
        <f t="shared" ca="1" si="42"/>
        <v>252.04070159620713</v>
      </c>
      <c r="E329" s="21">
        <f t="shared" ca="1" si="43"/>
        <v>21.244302673616374</v>
      </c>
      <c r="F329" s="22">
        <f t="shared" ca="1" si="47"/>
        <v>21.244302673616374</v>
      </c>
      <c r="G329" s="22">
        <f t="shared" ca="1" si="44"/>
        <v>0</v>
      </c>
      <c r="H329" s="31">
        <f t="shared" ca="1" si="48"/>
        <v>21.244302673616374</v>
      </c>
      <c r="I329" s="9">
        <f t="shared" ca="1" si="45"/>
        <v>1274.6912697426533</v>
      </c>
      <c r="J329" s="30">
        <f t="shared" ca="1" si="46"/>
        <v>1040.029260395253</v>
      </c>
      <c r="K329" s="122">
        <f t="shared" ca="1" si="49"/>
        <v>234.66200934740027</v>
      </c>
      <c r="L329" s="30"/>
      <c r="M329" s="30"/>
      <c r="N329" s="30"/>
      <c r="O329" s="30"/>
    </row>
    <row r="330" spans="1:15" x14ac:dyDescent="0.25">
      <c r="A330" s="10">
        <v>311</v>
      </c>
      <c r="B330" s="43">
        <f t="shared" ca="1" si="40"/>
        <v>0.3110802323609958</v>
      </c>
      <c r="C330" s="44">
        <f t="shared" ca="1" si="41"/>
        <v>230.79639892259075</v>
      </c>
      <c r="D330" s="44">
        <f t="shared" ca="1" si="42"/>
        <v>273.2850042698235</v>
      </c>
      <c r="E330" s="44">
        <f t="shared" ca="1" si="43"/>
        <v>21.244302673616374</v>
      </c>
      <c r="F330" s="45">
        <f t="shared" ca="1" si="47"/>
        <v>42.488605347232749</v>
      </c>
      <c r="G330" s="45">
        <f t="shared" ca="1" si="44"/>
        <v>0</v>
      </c>
      <c r="H330" s="46">
        <f t="shared" ca="1" si="48"/>
        <v>42.488605347232749</v>
      </c>
      <c r="I330" s="1">
        <f t="shared" ca="1" si="45"/>
        <v>1338.4241777635025</v>
      </c>
      <c r="J330" s="47">
        <f t="shared" ca="1" si="46"/>
        <v>1071.8957144056776</v>
      </c>
      <c r="K330" s="123">
        <f t="shared" ca="1" si="49"/>
        <v>266.52846335782488</v>
      </c>
      <c r="L330" s="30"/>
      <c r="M330" s="30"/>
      <c r="N330" s="30"/>
      <c r="O330" s="30"/>
    </row>
    <row r="331" spans="1:15" x14ac:dyDescent="0.25">
      <c r="A331" s="10">
        <v>312</v>
      </c>
      <c r="B331" s="48">
        <f t="shared" ca="1" si="40"/>
        <v>0.66380581981611353</v>
      </c>
      <c r="C331" s="49">
        <f t="shared" ca="1" si="41"/>
        <v>249.32041196681521</v>
      </c>
      <c r="D331" s="49">
        <f t="shared" ca="1" si="42"/>
        <v>273.2850042698235</v>
      </c>
      <c r="E331" s="49">
        <f t="shared" ca="1" si="43"/>
        <v>2.7202896293919139</v>
      </c>
      <c r="F331" s="50">
        <f t="shared" ca="1" si="47"/>
        <v>23.964592303008288</v>
      </c>
      <c r="G331" s="50">
        <f t="shared" ca="1" si="44"/>
        <v>0</v>
      </c>
      <c r="H331" s="51">
        <f t="shared" ca="1" si="48"/>
        <v>23.964592303008288</v>
      </c>
      <c r="I331" s="52">
        <f t="shared" ca="1" si="45"/>
        <v>1435.6752462456809</v>
      </c>
      <c r="J331" s="53">
        <f t="shared" ca="1" si="46"/>
        <v>1044.109694839341</v>
      </c>
      <c r="K331" s="124">
        <f t="shared" ca="1" si="49"/>
        <v>391.56555140633986</v>
      </c>
      <c r="L331" s="30"/>
      <c r="M331" s="30"/>
      <c r="N331" s="30"/>
      <c r="O331" s="30"/>
    </row>
    <row r="332" spans="1:15" x14ac:dyDescent="0.25">
      <c r="A332" s="10">
        <v>313</v>
      </c>
      <c r="B332" s="27">
        <f t="shared" ca="1" si="40"/>
        <v>0.23711220177044723</v>
      </c>
      <c r="C332" s="21">
        <f t="shared" ca="1" si="41"/>
        <v>230.79639892259075</v>
      </c>
      <c r="D332" s="21">
        <f t="shared" ca="1" si="42"/>
        <v>254.76099122559904</v>
      </c>
      <c r="E332" s="21">
        <f t="shared" ca="1" si="43"/>
        <v>21.244302673616374</v>
      </c>
      <c r="F332" s="22">
        <f t="shared" ca="1" si="47"/>
        <v>23.964592303008288</v>
      </c>
      <c r="G332" s="22">
        <f t="shared" ca="1" si="44"/>
        <v>0</v>
      </c>
      <c r="H332" s="31">
        <f t="shared" ca="1" si="48"/>
        <v>23.964592303008288</v>
      </c>
      <c r="I332" s="9">
        <f t="shared" ca="1" si="45"/>
        <v>1282.8521386308289</v>
      </c>
      <c r="J332" s="30">
        <f t="shared" ca="1" si="46"/>
        <v>1044.109694839341</v>
      </c>
      <c r="K332" s="122">
        <f t="shared" ca="1" si="49"/>
        <v>238.74244379148786</v>
      </c>
      <c r="L332" s="30"/>
      <c r="M332" s="30"/>
      <c r="N332" s="30"/>
      <c r="O332" s="30"/>
    </row>
    <row r="333" spans="1:15" x14ac:dyDescent="0.25">
      <c r="A333" s="10">
        <v>314</v>
      </c>
      <c r="B333" s="27">
        <f t="shared" ca="1" si="40"/>
        <v>0.31383916467865336</v>
      </c>
      <c r="C333" s="21">
        <f t="shared" ca="1" si="41"/>
        <v>230.79639892259075</v>
      </c>
      <c r="D333" s="21">
        <f t="shared" ca="1" si="42"/>
        <v>273.2850042698235</v>
      </c>
      <c r="E333" s="21">
        <f t="shared" ca="1" si="43"/>
        <v>21.244302673616374</v>
      </c>
      <c r="F333" s="22">
        <f t="shared" ca="1" si="47"/>
        <v>42.488605347232749</v>
      </c>
      <c r="G333" s="22">
        <f t="shared" ca="1" si="44"/>
        <v>0</v>
      </c>
      <c r="H333" s="31">
        <f t="shared" ca="1" si="48"/>
        <v>42.488605347232749</v>
      </c>
      <c r="I333" s="9">
        <f t="shared" ca="1" si="45"/>
        <v>1338.4241777635025</v>
      </c>
      <c r="J333" s="30">
        <f t="shared" ca="1" si="46"/>
        <v>1071.8957144056776</v>
      </c>
      <c r="K333" s="122">
        <f t="shared" ca="1" si="49"/>
        <v>266.52846335782488</v>
      </c>
      <c r="L333" s="30"/>
      <c r="M333" s="30"/>
      <c r="N333" s="30"/>
      <c r="O333" s="30"/>
    </row>
    <row r="334" spans="1:15" x14ac:dyDescent="0.25">
      <c r="A334" s="10">
        <v>315</v>
      </c>
      <c r="B334" s="27">
        <f t="shared" ca="1" si="40"/>
        <v>0.59548771112495891</v>
      </c>
      <c r="C334" s="21">
        <f t="shared" ca="1" si="41"/>
        <v>249.32041196681521</v>
      </c>
      <c r="D334" s="21">
        <f t="shared" ca="1" si="42"/>
        <v>273.2850042698235</v>
      </c>
      <c r="E334" s="21">
        <f t="shared" ca="1" si="43"/>
        <v>2.7202896293919139</v>
      </c>
      <c r="F334" s="22">
        <f t="shared" ca="1" si="47"/>
        <v>23.964592303008288</v>
      </c>
      <c r="G334" s="22">
        <f t="shared" ca="1" si="44"/>
        <v>0</v>
      </c>
      <c r="H334" s="31">
        <f t="shared" ca="1" si="48"/>
        <v>23.964592303008288</v>
      </c>
      <c r="I334" s="9">
        <f t="shared" ca="1" si="45"/>
        <v>1435.6752462456809</v>
      </c>
      <c r="J334" s="30">
        <f t="shared" ca="1" si="46"/>
        <v>1044.109694839341</v>
      </c>
      <c r="K334" s="122">
        <f t="shared" ca="1" si="49"/>
        <v>391.56555140633986</v>
      </c>
      <c r="L334" s="30"/>
      <c r="M334" s="30"/>
      <c r="N334" s="30"/>
      <c r="O334" s="30"/>
    </row>
    <row r="335" spans="1:15" x14ac:dyDescent="0.25">
      <c r="A335" s="10">
        <v>316</v>
      </c>
      <c r="B335" s="27">
        <f t="shared" ca="1" si="40"/>
        <v>0.32851088288301411</v>
      </c>
      <c r="C335" s="21">
        <f t="shared" ca="1" si="41"/>
        <v>230.79639892259075</v>
      </c>
      <c r="D335" s="21">
        <f t="shared" ca="1" si="42"/>
        <v>254.76099122559904</v>
      </c>
      <c r="E335" s="21">
        <f t="shared" ca="1" si="43"/>
        <v>21.244302673616374</v>
      </c>
      <c r="F335" s="22">
        <f t="shared" ca="1" si="47"/>
        <v>23.964592303008288</v>
      </c>
      <c r="G335" s="22">
        <f t="shared" ca="1" si="44"/>
        <v>19.371706704047796</v>
      </c>
      <c r="H335" s="31">
        <f t="shared" ca="1" si="48"/>
        <v>4.5928855989604926</v>
      </c>
      <c r="I335" s="9">
        <f t="shared" ca="1" si="45"/>
        <v>1288.4699265395348</v>
      </c>
      <c r="J335" s="30">
        <f t="shared" ca="1" si="46"/>
        <v>1015.0521347832693</v>
      </c>
      <c r="K335" s="122">
        <f t="shared" ca="1" si="49"/>
        <v>273.4177917562655</v>
      </c>
      <c r="L335" s="30"/>
      <c r="M335" s="30"/>
      <c r="N335" s="30"/>
      <c r="O335" s="30"/>
    </row>
    <row r="336" spans="1:15" x14ac:dyDescent="0.25">
      <c r="A336" s="10">
        <v>317</v>
      </c>
      <c r="B336" s="27">
        <f t="shared" ca="1" si="40"/>
        <v>0.82977689059910842</v>
      </c>
      <c r="C336" s="21">
        <f t="shared" ca="1" si="41"/>
        <v>271.41240830025492</v>
      </c>
      <c r="D336" s="21">
        <f t="shared" ca="1" si="42"/>
        <v>273.2850042698235</v>
      </c>
      <c r="E336" s="21">
        <f t="shared" ca="1" si="43"/>
        <v>0</v>
      </c>
      <c r="F336" s="22">
        <f t="shared" ca="1" si="47"/>
        <v>1.8725959695685788</v>
      </c>
      <c r="G336" s="22">
        <f t="shared" ca="1" si="44"/>
        <v>0</v>
      </c>
      <c r="H336" s="31">
        <f t="shared" ca="1" si="48"/>
        <v>1.8725959695685788</v>
      </c>
      <c r="I336" s="9">
        <f t="shared" ca="1" si="45"/>
        <v>1386.2238587791392</v>
      </c>
      <c r="J336" s="30">
        <f t="shared" ca="1" si="46"/>
        <v>1010.9717003391813</v>
      </c>
      <c r="K336" s="122">
        <f t="shared" ca="1" si="49"/>
        <v>375.25215843995784</v>
      </c>
      <c r="L336" s="30"/>
      <c r="M336" s="30"/>
      <c r="N336" s="30"/>
      <c r="O336" s="30"/>
    </row>
    <row r="337" spans="1:15" x14ac:dyDescent="0.25">
      <c r="A337" s="10">
        <v>318</v>
      </c>
      <c r="B337" s="27">
        <f t="shared" ca="1" si="40"/>
        <v>0.23335813901255786</v>
      </c>
      <c r="C337" s="21">
        <f t="shared" ca="1" si="41"/>
        <v>230.79639892259075</v>
      </c>
      <c r="D337" s="21">
        <f t="shared" ca="1" si="42"/>
        <v>252.04070159620713</v>
      </c>
      <c r="E337" s="21">
        <f t="shared" ca="1" si="43"/>
        <v>21.244302673616374</v>
      </c>
      <c r="F337" s="22">
        <f t="shared" ca="1" si="47"/>
        <v>21.244302673616374</v>
      </c>
      <c r="G337" s="22">
        <f t="shared" ca="1" si="44"/>
        <v>0</v>
      </c>
      <c r="H337" s="31">
        <f t="shared" ca="1" si="48"/>
        <v>21.244302673616374</v>
      </c>
      <c r="I337" s="9">
        <f t="shared" ca="1" si="45"/>
        <v>1274.6912697426533</v>
      </c>
      <c r="J337" s="30">
        <f t="shared" ca="1" si="46"/>
        <v>1040.029260395253</v>
      </c>
      <c r="K337" s="122">
        <f t="shared" ca="1" si="49"/>
        <v>234.66200934740027</v>
      </c>
      <c r="L337" s="30"/>
      <c r="M337" s="30"/>
      <c r="N337" s="30"/>
      <c r="O337" s="30"/>
    </row>
    <row r="338" spans="1:15" x14ac:dyDescent="0.25">
      <c r="A338" s="10">
        <v>319</v>
      </c>
      <c r="B338" s="27">
        <f t="shared" ca="1" si="40"/>
        <v>0.13244647718932534</v>
      </c>
      <c r="C338" s="21">
        <f t="shared" ca="1" si="41"/>
        <v>201.46234925421527</v>
      </c>
      <c r="D338" s="21">
        <f t="shared" ca="1" si="42"/>
        <v>273.2850042698235</v>
      </c>
      <c r="E338" s="21">
        <f t="shared" ca="1" si="43"/>
        <v>50.578352341991859</v>
      </c>
      <c r="F338" s="22">
        <f t="shared" ca="1" si="47"/>
        <v>71.822655015608234</v>
      </c>
      <c r="G338" s="22">
        <f t="shared" ca="1" si="44"/>
        <v>0</v>
      </c>
      <c r="H338" s="31">
        <f t="shared" ca="1" si="48"/>
        <v>71.822655015608234</v>
      </c>
      <c r="I338" s="9">
        <f t="shared" ca="1" si="45"/>
        <v>1184.4204170045314</v>
      </c>
      <c r="J338" s="30">
        <f t="shared" ca="1" si="46"/>
        <v>1115.896788908241</v>
      </c>
      <c r="K338" s="122">
        <f t="shared" ca="1" si="49"/>
        <v>68.523628096290395</v>
      </c>
      <c r="L338" s="30"/>
      <c r="M338" s="30"/>
      <c r="N338" s="30"/>
      <c r="O338" s="30"/>
    </row>
    <row r="339" spans="1:15" x14ac:dyDescent="0.25">
      <c r="A339" s="10">
        <v>320</v>
      </c>
      <c r="B339" s="27">
        <f t="shared" ca="1" si="40"/>
        <v>0.50246139050752037</v>
      </c>
      <c r="C339" s="21">
        <f t="shared" ca="1" si="41"/>
        <v>249.32041196681521</v>
      </c>
      <c r="D339" s="21">
        <f t="shared" ca="1" si="42"/>
        <v>302.61905393819899</v>
      </c>
      <c r="E339" s="21">
        <f t="shared" ca="1" si="43"/>
        <v>2.7202896293919139</v>
      </c>
      <c r="F339" s="22">
        <f t="shared" ca="1" si="47"/>
        <v>53.298641971383773</v>
      </c>
      <c r="G339" s="22">
        <f t="shared" ca="1" si="44"/>
        <v>0</v>
      </c>
      <c r="H339" s="31">
        <f t="shared" ca="1" si="48"/>
        <v>53.298641971383773</v>
      </c>
      <c r="I339" s="9">
        <f t="shared" ca="1" si="45"/>
        <v>1523.6773952508072</v>
      </c>
      <c r="J339" s="30">
        <f t="shared" ca="1" si="46"/>
        <v>1088.1107693419042</v>
      </c>
      <c r="K339" s="122">
        <f t="shared" ca="1" si="49"/>
        <v>435.56662590890301</v>
      </c>
      <c r="L339" s="30"/>
      <c r="M339" s="30"/>
      <c r="N339" s="30"/>
      <c r="O339" s="30"/>
    </row>
    <row r="340" spans="1:15" x14ac:dyDescent="0.25">
      <c r="A340" s="10">
        <v>321</v>
      </c>
      <c r="B340" s="27">
        <f t="shared" ref="B340:B384" ca="1" si="50">RAND()</f>
        <v>0.3306834424107794</v>
      </c>
      <c r="C340" s="21">
        <f t="shared" ref="C340:C384" ca="1" si="51">HLOOKUP(B340,$D$12:$H$13,2,TRUE)</f>
        <v>230.79639892259075</v>
      </c>
      <c r="D340" s="21">
        <f t="shared" ref="D340:D384" ca="1" si="52">$E$10+E339</f>
        <v>254.76099122559904</v>
      </c>
      <c r="E340" s="21">
        <f t="shared" ref="E340:E384" ca="1" si="53">IF(C340&gt;$E$10,0,$E$10-C340)</f>
        <v>21.244302673616374</v>
      </c>
      <c r="F340" s="22">
        <f t="shared" ca="1" si="47"/>
        <v>23.964592303008288</v>
      </c>
      <c r="G340" s="22">
        <f t="shared" ref="G340:G384" ca="1" si="54">IF(C341&gt;$E$10,C341-$E$10,0)</f>
        <v>0</v>
      </c>
      <c r="H340" s="31">
        <f t="shared" ca="1" si="48"/>
        <v>23.964592303008288</v>
      </c>
      <c r="I340" s="9">
        <f t="shared" ref="I340:I384" ca="1" si="55">IF($E$10&lt;C340,$E$10*$E$7,$E$9*($E$10-C340)+(C340*$E$7)+IF($E$10&lt;C341,H340*$E$8,E339*$E$8))</f>
        <v>1282.8521386308289</v>
      </c>
      <c r="J340" s="30">
        <f t="shared" ref="J340:J384" ca="1" si="56">IF(H340&gt;0,$E$10*$E$5+H340*$E$6,$E$10*$E$5)</f>
        <v>1044.109694839341</v>
      </c>
      <c r="K340" s="122">
        <f t="shared" ca="1" si="49"/>
        <v>238.74244379148786</v>
      </c>
      <c r="L340" s="30"/>
      <c r="M340" s="30"/>
      <c r="N340" s="30"/>
      <c r="O340" s="30"/>
    </row>
    <row r="341" spans="1:15" x14ac:dyDescent="0.25">
      <c r="A341" s="10">
        <v>322</v>
      </c>
      <c r="B341" s="27">
        <f t="shared" ca="1" si="50"/>
        <v>6.5508026450857959E-2</v>
      </c>
      <c r="C341" s="21">
        <f t="shared" ca="1" si="51"/>
        <v>201.46234925421527</v>
      </c>
      <c r="D341" s="21">
        <f t="shared" ca="1" si="52"/>
        <v>273.2850042698235</v>
      </c>
      <c r="E341" s="21">
        <f t="shared" ca="1" si="53"/>
        <v>50.578352341991859</v>
      </c>
      <c r="F341" s="22">
        <f t="shared" ref="F341:F384" ca="1" si="57">IF(C341&gt;D341,0,D341-C341)</f>
        <v>71.822655015608234</v>
      </c>
      <c r="G341" s="22">
        <f t="shared" ca="1" si="54"/>
        <v>19.371706704047796</v>
      </c>
      <c r="H341" s="31">
        <f t="shared" ref="H341:H384" ca="1" si="58">IF(G341&gt;F341,0,IF(G341&lt;F341,F341-G341,0))</f>
        <v>52.450948311560438</v>
      </c>
      <c r="I341" s="9">
        <f t="shared" ca="1" si="55"/>
        <v>1278.0403539183635</v>
      </c>
      <c r="J341" s="30">
        <f t="shared" ca="1" si="56"/>
        <v>1086.8392288521691</v>
      </c>
      <c r="K341" s="122">
        <f t="shared" ref="K341:K384" ca="1" si="59">I341-J341</f>
        <v>191.20112506619444</v>
      </c>
      <c r="L341" s="30"/>
      <c r="M341" s="30"/>
      <c r="N341" s="30"/>
      <c r="O341" s="30"/>
    </row>
    <row r="342" spans="1:15" x14ac:dyDescent="0.25">
      <c r="A342" s="10">
        <v>323</v>
      </c>
      <c r="B342" s="27">
        <f t="shared" ca="1" si="50"/>
        <v>0.89843093491349191</v>
      </c>
      <c r="C342" s="21">
        <f t="shared" ca="1" si="51"/>
        <v>271.41240830025492</v>
      </c>
      <c r="D342" s="21">
        <f t="shared" ca="1" si="52"/>
        <v>302.61905393819899</v>
      </c>
      <c r="E342" s="21">
        <f t="shared" ca="1" si="53"/>
        <v>0</v>
      </c>
      <c r="F342" s="22">
        <f t="shared" ca="1" si="57"/>
        <v>31.206645637944064</v>
      </c>
      <c r="G342" s="22">
        <f t="shared" ca="1" si="54"/>
        <v>19.371706704047796</v>
      </c>
      <c r="H342" s="31">
        <f t="shared" ca="1" si="58"/>
        <v>11.834938933896268</v>
      </c>
      <c r="I342" s="9">
        <f t="shared" ca="1" si="55"/>
        <v>1386.2238587791392</v>
      </c>
      <c r="J342" s="30">
        <f t="shared" ca="1" si="56"/>
        <v>1025.915214785673</v>
      </c>
      <c r="K342" s="122">
        <f t="shared" ca="1" si="59"/>
        <v>360.30864399346615</v>
      </c>
      <c r="L342" s="30"/>
      <c r="M342" s="30"/>
      <c r="N342" s="30"/>
      <c r="O342" s="30"/>
    </row>
    <row r="343" spans="1:15" x14ac:dyDescent="0.25">
      <c r="A343" s="10">
        <v>324</v>
      </c>
      <c r="B343" s="27">
        <f t="shared" ca="1" si="50"/>
        <v>0.71169826262666991</v>
      </c>
      <c r="C343" s="21">
        <f t="shared" ca="1" si="51"/>
        <v>271.41240830025492</v>
      </c>
      <c r="D343" s="21">
        <f t="shared" ca="1" si="52"/>
        <v>252.04070159620713</v>
      </c>
      <c r="E343" s="21">
        <f t="shared" ca="1" si="53"/>
        <v>0</v>
      </c>
      <c r="F343" s="22">
        <f t="shared" ca="1" si="57"/>
        <v>0</v>
      </c>
      <c r="G343" s="22">
        <f t="shared" ca="1" si="54"/>
        <v>0</v>
      </c>
      <c r="H343" s="31">
        <f t="shared" ca="1" si="58"/>
        <v>0</v>
      </c>
      <c r="I343" s="9">
        <f t="shared" ca="1" si="55"/>
        <v>1386.2238587791392</v>
      </c>
      <c r="J343" s="30">
        <f t="shared" ca="1" si="56"/>
        <v>1008.1628063848285</v>
      </c>
      <c r="K343" s="122">
        <f t="shared" ca="1" si="59"/>
        <v>378.06105239431065</v>
      </c>
      <c r="L343" s="30"/>
      <c r="M343" s="30"/>
      <c r="N343" s="30"/>
      <c r="O343" s="30"/>
    </row>
    <row r="344" spans="1:15" x14ac:dyDescent="0.25">
      <c r="A344" s="10">
        <v>325</v>
      </c>
      <c r="B344" s="27">
        <f t="shared" ca="1" si="50"/>
        <v>0.22393399265374503</v>
      </c>
      <c r="C344" s="21">
        <f t="shared" ca="1" si="51"/>
        <v>230.79639892259075</v>
      </c>
      <c r="D344" s="21">
        <f t="shared" ca="1" si="52"/>
        <v>252.04070159620713</v>
      </c>
      <c r="E344" s="21">
        <f t="shared" ca="1" si="53"/>
        <v>21.244302673616374</v>
      </c>
      <c r="F344" s="22">
        <f t="shared" ca="1" si="57"/>
        <v>21.244302673616374</v>
      </c>
      <c r="G344" s="22">
        <f t="shared" ca="1" si="54"/>
        <v>0</v>
      </c>
      <c r="H344" s="31">
        <f t="shared" ca="1" si="58"/>
        <v>21.244302673616374</v>
      </c>
      <c r="I344" s="9">
        <f t="shared" ca="1" si="55"/>
        <v>1274.6912697426533</v>
      </c>
      <c r="J344" s="30">
        <f t="shared" ca="1" si="56"/>
        <v>1040.029260395253</v>
      </c>
      <c r="K344" s="122">
        <f t="shared" ca="1" si="59"/>
        <v>234.66200934740027</v>
      </c>
      <c r="L344" s="30"/>
      <c r="M344" s="30"/>
      <c r="N344" s="30"/>
      <c r="O344" s="30"/>
    </row>
    <row r="345" spans="1:15" x14ac:dyDescent="0.25">
      <c r="A345" s="10">
        <v>326</v>
      </c>
      <c r="B345" s="27">
        <f t="shared" ca="1" si="50"/>
        <v>0.20836405133353353</v>
      </c>
      <c r="C345" s="21">
        <f t="shared" ca="1" si="51"/>
        <v>230.79639892259075</v>
      </c>
      <c r="D345" s="21">
        <f t="shared" ca="1" si="52"/>
        <v>273.2850042698235</v>
      </c>
      <c r="E345" s="21">
        <f t="shared" ca="1" si="53"/>
        <v>21.244302673616374</v>
      </c>
      <c r="F345" s="22">
        <f t="shared" ca="1" si="57"/>
        <v>42.488605347232749</v>
      </c>
      <c r="G345" s="22">
        <f t="shared" ca="1" si="54"/>
        <v>19.371706704047796</v>
      </c>
      <c r="H345" s="31">
        <f t="shared" ca="1" si="58"/>
        <v>23.116898643184953</v>
      </c>
      <c r="I345" s="9">
        <f t="shared" ca="1" si="55"/>
        <v>1344.0419656722081</v>
      </c>
      <c r="J345" s="30">
        <f t="shared" ca="1" si="56"/>
        <v>1042.8381543496059</v>
      </c>
      <c r="K345" s="122">
        <f t="shared" ca="1" si="59"/>
        <v>301.20381132260218</v>
      </c>
      <c r="L345" s="30"/>
      <c r="M345" s="30"/>
      <c r="N345" s="30"/>
      <c r="O345" s="30"/>
    </row>
    <row r="346" spans="1:15" x14ac:dyDescent="0.25">
      <c r="A346" s="10">
        <v>327</v>
      </c>
      <c r="B346" s="27">
        <f t="shared" ca="1" si="50"/>
        <v>0.75577150570817908</v>
      </c>
      <c r="C346" s="21">
        <f t="shared" ca="1" si="51"/>
        <v>271.41240830025492</v>
      </c>
      <c r="D346" s="21">
        <f t="shared" ca="1" si="52"/>
        <v>273.2850042698235</v>
      </c>
      <c r="E346" s="21">
        <f t="shared" ca="1" si="53"/>
        <v>0</v>
      </c>
      <c r="F346" s="22">
        <f t="shared" ca="1" si="57"/>
        <v>1.8725959695685788</v>
      </c>
      <c r="G346" s="22">
        <f t="shared" ca="1" si="54"/>
        <v>44.982781035430634</v>
      </c>
      <c r="H346" s="31">
        <f t="shared" ca="1" si="58"/>
        <v>0</v>
      </c>
      <c r="I346" s="9">
        <f t="shared" ca="1" si="55"/>
        <v>1386.2238587791392</v>
      </c>
      <c r="J346" s="30">
        <f t="shared" ca="1" si="56"/>
        <v>1008.1628063848285</v>
      </c>
      <c r="K346" s="122">
        <f t="shared" ca="1" si="59"/>
        <v>378.06105239431065</v>
      </c>
      <c r="L346" s="30"/>
      <c r="M346" s="30"/>
      <c r="N346" s="30"/>
      <c r="O346" s="30"/>
    </row>
    <row r="347" spans="1:15" x14ac:dyDescent="0.25">
      <c r="A347" s="10">
        <v>328</v>
      </c>
      <c r="B347" s="27">
        <f t="shared" ca="1" si="50"/>
        <v>0.9163977854722053</v>
      </c>
      <c r="C347" s="21">
        <f t="shared" ca="1" si="51"/>
        <v>297.02348263163776</v>
      </c>
      <c r="D347" s="21">
        <f t="shared" ca="1" si="52"/>
        <v>252.04070159620713</v>
      </c>
      <c r="E347" s="21">
        <f t="shared" ca="1" si="53"/>
        <v>0</v>
      </c>
      <c r="F347" s="22">
        <f t="shared" ca="1" si="57"/>
        <v>0</v>
      </c>
      <c r="G347" s="22">
        <f t="shared" ca="1" si="54"/>
        <v>44.982781035430634</v>
      </c>
      <c r="H347" s="31">
        <f t="shared" ca="1" si="58"/>
        <v>0</v>
      </c>
      <c r="I347" s="9">
        <f t="shared" ca="1" si="55"/>
        <v>1386.2238587791392</v>
      </c>
      <c r="J347" s="30">
        <f t="shared" ca="1" si="56"/>
        <v>1008.1628063848285</v>
      </c>
      <c r="K347" s="122">
        <f t="shared" ca="1" si="59"/>
        <v>378.06105239431065</v>
      </c>
      <c r="L347" s="30"/>
      <c r="M347" s="30"/>
      <c r="N347" s="30"/>
      <c r="O347" s="30"/>
    </row>
    <row r="348" spans="1:15" x14ac:dyDescent="0.25">
      <c r="A348" s="10">
        <v>329</v>
      </c>
      <c r="B348" s="27">
        <f t="shared" ca="1" si="50"/>
        <v>0.91919616993743336</v>
      </c>
      <c r="C348" s="21">
        <f t="shared" ca="1" si="51"/>
        <v>297.02348263163776</v>
      </c>
      <c r="D348" s="21">
        <f t="shared" ca="1" si="52"/>
        <v>252.04070159620713</v>
      </c>
      <c r="E348" s="21">
        <f t="shared" ca="1" si="53"/>
        <v>0</v>
      </c>
      <c r="F348" s="22">
        <f t="shared" ca="1" si="57"/>
        <v>0</v>
      </c>
      <c r="G348" s="22">
        <f t="shared" ca="1" si="54"/>
        <v>0</v>
      </c>
      <c r="H348" s="31">
        <f t="shared" ca="1" si="58"/>
        <v>0</v>
      </c>
      <c r="I348" s="9">
        <f t="shared" ca="1" si="55"/>
        <v>1386.2238587791392</v>
      </c>
      <c r="J348" s="30">
        <f t="shared" ca="1" si="56"/>
        <v>1008.1628063848285</v>
      </c>
      <c r="K348" s="122">
        <f t="shared" ca="1" si="59"/>
        <v>378.06105239431065</v>
      </c>
      <c r="L348" s="30"/>
      <c r="M348" s="30"/>
      <c r="N348" s="30"/>
      <c r="O348" s="30"/>
    </row>
    <row r="349" spans="1:15" x14ac:dyDescent="0.25">
      <c r="A349" s="10">
        <v>330</v>
      </c>
      <c r="B349" s="27">
        <f t="shared" ca="1" si="50"/>
        <v>0.37995937031885207</v>
      </c>
      <c r="C349" s="21">
        <f t="shared" ca="1" si="51"/>
        <v>230.79639892259075</v>
      </c>
      <c r="D349" s="21">
        <f t="shared" ca="1" si="52"/>
        <v>252.04070159620713</v>
      </c>
      <c r="E349" s="21">
        <f t="shared" ca="1" si="53"/>
        <v>21.244302673616374</v>
      </c>
      <c r="F349" s="22">
        <f t="shared" ca="1" si="57"/>
        <v>21.244302673616374</v>
      </c>
      <c r="G349" s="22">
        <f t="shared" ca="1" si="54"/>
        <v>0</v>
      </c>
      <c r="H349" s="31">
        <f t="shared" ca="1" si="58"/>
        <v>21.244302673616374</v>
      </c>
      <c r="I349" s="9">
        <f t="shared" ca="1" si="55"/>
        <v>1274.6912697426533</v>
      </c>
      <c r="J349" s="30">
        <f t="shared" ca="1" si="56"/>
        <v>1040.029260395253</v>
      </c>
      <c r="K349" s="122">
        <f t="shared" ca="1" si="59"/>
        <v>234.66200934740027</v>
      </c>
      <c r="L349" s="30"/>
      <c r="M349" s="30"/>
      <c r="N349" s="30"/>
      <c r="O349" s="30"/>
    </row>
    <row r="350" spans="1:15" x14ac:dyDescent="0.25">
      <c r="A350" s="10">
        <v>331</v>
      </c>
      <c r="B350" s="27">
        <f t="shared" ca="1" si="50"/>
        <v>6.5722801048468726E-2</v>
      </c>
      <c r="C350" s="21">
        <f t="shared" ca="1" si="51"/>
        <v>201.46234925421527</v>
      </c>
      <c r="D350" s="21">
        <f t="shared" ca="1" si="52"/>
        <v>273.2850042698235</v>
      </c>
      <c r="E350" s="21">
        <f t="shared" ca="1" si="53"/>
        <v>50.578352341991859</v>
      </c>
      <c r="F350" s="22">
        <f t="shared" ca="1" si="57"/>
        <v>71.822655015608234</v>
      </c>
      <c r="G350" s="22">
        <f t="shared" ca="1" si="54"/>
        <v>0</v>
      </c>
      <c r="H350" s="31">
        <f t="shared" ca="1" si="58"/>
        <v>71.822655015608234</v>
      </c>
      <c r="I350" s="9">
        <f t="shared" ca="1" si="55"/>
        <v>1184.4204170045314</v>
      </c>
      <c r="J350" s="30">
        <f t="shared" ca="1" si="56"/>
        <v>1115.896788908241</v>
      </c>
      <c r="K350" s="122">
        <f t="shared" ca="1" si="59"/>
        <v>68.523628096290395</v>
      </c>
      <c r="L350" s="30"/>
      <c r="M350" s="30"/>
      <c r="N350" s="30"/>
      <c r="O350" s="30"/>
    </row>
    <row r="351" spans="1:15" x14ac:dyDescent="0.25">
      <c r="A351" s="10">
        <v>332</v>
      </c>
      <c r="B351" s="27">
        <f t="shared" ca="1" si="50"/>
        <v>0.3300132910601411</v>
      </c>
      <c r="C351" s="21">
        <f t="shared" ca="1" si="51"/>
        <v>230.79639892259075</v>
      </c>
      <c r="D351" s="21">
        <f t="shared" ca="1" si="52"/>
        <v>302.61905393819899</v>
      </c>
      <c r="E351" s="21">
        <f t="shared" ca="1" si="53"/>
        <v>21.244302673616374</v>
      </c>
      <c r="F351" s="22">
        <f t="shared" ca="1" si="57"/>
        <v>71.822655015608234</v>
      </c>
      <c r="G351" s="22">
        <f t="shared" ca="1" si="54"/>
        <v>0</v>
      </c>
      <c r="H351" s="31">
        <f t="shared" ca="1" si="58"/>
        <v>71.822655015608234</v>
      </c>
      <c r="I351" s="9">
        <f t="shared" ca="1" si="55"/>
        <v>1426.4263267686288</v>
      </c>
      <c r="J351" s="30">
        <f t="shared" ca="1" si="56"/>
        <v>1115.896788908241</v>
      </c>
      <c r="K351" s="122">
        <f t="shared" ca="1" si="59"/>
        <v>310.52953786038779</v>
      </c>
      <c r="L351" s="30"/>
      <c r="M351" s="30"/>
      <c r="N351" s="30"/>
      <c r="O351" s="30"/>
    </row>
    <row r="352" spans="1:15" x14ac:dyDescent="0.25">
      <c r="A352" s="10">
        <v>333</v>
      </c>
      <c r="B352" s="27">
        <f t="shared" ca="1" si="50"/>
        <v>0.44128711503252305</v>
      </c>
      <c r="C352" s="21">
        <f t="shared" ca="1" si="51"/>
        <v>249.32041196681521</v>
      </c>
      <c r="D352" s="21">
        <f t="shared" ca="1" si="52"/>
        <v>273.2850042698235</v>
      </c>
      <c r="E352" s="21">
        <f t="shared" ca="1" si="53"/>
        <v>2.7202896293919139</v>
      </c>
      <c r="F352" s="22">
        <f t="shared" ca="1" si="57"/>
        <v>23.964592303008288</v>
      </c>
      <c r="G352" s="22">
        <f t="shared" ca="1" si="54"/>
        <v>0</v>
      </c>
      <c r="H352" s="31">
        <f t="shared" ca="1" si="58"/>
        <v>23.964592303008288</v>
      </c>
      <c r="I352" s="9">
        <f t="shared" ca="1" si="55"/>
        <v>1435.6752462456809</v>
      </c>
      <c r="J352" s="30">
        <f t="shared" ca="1" si="56"/>
        <v>1044.109694839341</v>
      </c>
      <c r="K352" s="122">
        <f t="shared" ca="1" si="59"/>
        <v>391.56555140633986</v>
      </c>
      <c r="L352" s="30"/>
      <c r="M352" s="30"/>
      <c r="N352" s="30"/>
      <c r="O352" s="30"/>
    </row>
    <row r="353" spans="1:15" x14ac:dyDescent="0.25">
      <c r="A353" s="10">
        <v>334</v>
      </c>
      <c r="B353" s="27">
        <f t="shared" ca="1" si="50"/>
        <v>0.30371402120222768</v>
      </c>
      <c r="C353" s="21">
        <f t="shared" ca="1" si="51"/>
        <v>230.79639892259075</v>
      </c>
      <c r="D353" s="21">
        <f t="shared" ca="1" si="52"/>
        <v>254.76099122559904</v>
      </c>
      <c r="E353" s="21">
        <f t="shared" ca="1" si="53"/>
        <v>21.244302673616374</v>
      </c>
      <c r="F353" s="22">
        <f t="shared" ca="1" si="57"/>
        <v>23.964592303008288</v>
      </c>
      <c r="G353" s="22">
        <f t="shared" ca="1" si="54"/>
        <v>0</v>
      </c>
      <c r="H353" s="31">
        <f t="shared" ca="1" si="58"/>
        <v>23.964592303008288</v>
      </c>
      <c r="I353" s="9">
        <f t="shared" ca="1" si="55"/>
        <v>1282.8521386308289</v>
      </c>
      <c r="J353" s="30">
        <f t="shared" ca="1" si="56"/>
        <v>1044.109694839341</v>
      </c>
      <c r="K353" s="122">
        <f t="shared" ca="1" si="59"/>
        <v>238.74244379148786</v>
      </c>
      <c r="L353" s="30"/>
      <c r="M353" s="30"/>
      <c r="N353" s="30"/>
      <c r="O353" s="30"/>
    </row>
    <row r="354" spans="1:15" x14ac:dyDescent="0.25">
      <c r="A354" s="10">
        <v>335</v>
      </c>
      <c r="B354" s="27">
        <f t="shared" ca="1" si="50"/>
        <v>0.68677728217125955</v>
      </c>
      <c r="C354" s="21">
        <f t="shared" ca="1" si="51"/>
        <v>249.32041196681521</v>
      </c>
      <c r="D354" s="21">
        <f t="shared" ca="1" si="52"/>
        <v>273.2850042698235</v>
      </c>
      <c r="E354" s="21">
        <f t="shared" ca="1" si="53"/>
        <v>2.7202896293919139</v>
      </c>
      <c r="F354" s="22">
        <f t="shared" ca="1" si="57"/>
        <v>23.964592303008288</v>
      </c>
      <c r="G354" s="22">
        <f t="shared" ca="1" si="54"/>
        <v>0</v>
      </c>
      <c r="H354" s="31">
        <f t="shared" ca="1" si="58"/>
        <v>23.964592303008288</v>
      </c>
      <c r="I354" s="9">
        <f t="shared" ca="1" si="55"/>
        <v>1435.6752462456809</v>
      </c>
      <c r="J354" s="30">
        <f t="shared" ca="1" si="56"/>
        <v>1044.109694839341</v>
      </c>
      <c r="K354" s="122">
        <f t="shared" ca="1" si="59"/>
        <v>391.56555140633986</v>
      </c>
      <c r="L354" s="30"/>
      <c r="M354" s="30"/>
      <c r="N354" s="30"/>
      <c r="O354" s="30"/>
    </row>
    <row r="355" spans="1:15" x14ac:dyDescent="0.25">
      <c r="A355" s="10">
        <v>336</v>
      </c>
      <c r="B355" s="27">
        <f t="shared" ca="1" si="50"/>
        <v>0.64660790514211908</v>
      </c>
      <c r="C355" s="21">
        <f t="shared" ca="1" si="51"/>
        <v>249.32041196681521</v>
      </c>
      <c r="D355" s="21">
        <f t="shared" ca="1" si="52"/>
        <v>254.76099122559904</v>
      </c>
      <c r="E355" s="21">
        <f t="shared" ca="1" si="53"/>
        <v>2.7202896293919139</v>
      </c>
      <c r="F355" s="22">
        <f t="shared" ca="1" si="57"/>
        <v>5.4405792587838278</v>
      </c>
      <c r="G355" s="22">
        <f t="shared" ca="1" si="54"/>
        <v>0</v>
      </c>
      <c r="H355" s="31">
        <f t="shared" ca="1" si="58"/>
        <v>5.4405792587838278</v>
      </c>
      <c r="I355" s="9">
        <f t="shared" ca="1" si="55"/>
        <v>1380.1032071130076</v>
      </c>
      <c r="J355" s="30">
        <f t="shared" ca="1" si="56"/>
        <v>1016.3236752730043</v>
      </c>
      <c r="K355" s="122">
        <f t="shared" ca="1" si="59"/>
        <v>363.7795318400033</v>
      </c>
      <c r="L355" s="30"/>
      <c r="M355" s="30"/>
      <c r="N355" s="30"/>
      <c r="O355" s="30"/>
    </row>
    <row r="356" spans="1:15" x14ac:dyDescent="0.25">
      <c r="A356" s="10">
        <v>337</v>
      </c>
      <c r="B356" s="27">
        <f t="shared" ca="1" si="50"/>
        <v>6.4601550369020044E-3</v>
      </c>
      <c r="C356" s="21">
        <f t="shared" ca="1" si="51"/>
        <v>201.46234925421527</v>
      </c>
      <c r="D356" s="21">
        <f t="shared" ca="1" si="52"/>
        <v>254.76099122559904</v>
      </c>
      <c r="E356" s="21">
        <f t="shared" ca="1" si="53"/>
        <v>50.578352341991859</v>
      </c>
      <c r="F356" s="22">
        <f t="shared" ca="1" si="57"/>
        <v>53.298641971383773</v>
      </c>
      <c r="G356" s="22">
        <f t="shared" ca="1" si="54"/>
        <v>0</v>
      </c>
      <c r="H356" s="31">
        <f t="shared" ca="1" si="58"/>
        <v>53.298641971383773</v>
      </c>
      <c r="I356" s="9">
        <f t="shared" ca="1" si="55"/>
        <v>1128.8483778718578</v>
      </c>
      <c r="J356" s="30">
        <f t="shared" ca="1" si="56"/>
        <v>1088.1107693419042</v>
      </c>
      <c r="K356" s="122">
        <f t="shared" ca="1" si="59"/>
        <v>40.737608529953604</v>
      </c>
      <c r="L356" s="30"/>
      <c r="M356" s="30"/>
      <c r="N356" s="30"/>
      <c r="O356" s="30"/>
    </row>
    <row r="357" spans="1:15" x14ac:dyDescent="0.25">
      <c r="A357" s="10">
        <v>338</v>
      </c>
      <c r="B357" s="27">
        <f t="shared" ca="1" si="50"/>
        <v>0.161294041496851</v>
      </c>
      <c r="C357" s="21">
        <f t="shared" ca="1" si="51"/>
        <v>230.79639892259075</v>
      </c>
      <c r="D357" s="21">
        <f t="shared" ca="1" si="52"/>
        <v>302.61905393819899</v>
      </c>
      <c r="E357" s="21">
        <f t="shared" ca="1" si="53"/>
        <v>21.244302673616374</v>
      </c>
      <c r="F357" s="22">
        <f t="shared" ca="1" si="57"/>
        <v>71.822655015608234</v>
      </c>
      <c r="G357" s="22">
        <f t="shared" ca="1" si="54"/>
        <v>44.982781035430634</v>
      </c>
      <c r="H357" s="31">
        <f t="shared" ca="1" si="58"/>
        <v>26.8398739801776</v>
      </c>
      <c r="I357" s="9">
        <f t="shared" ca="1" si="55"/>
        <v>1355.210891683186</v>
      </c>
      <c r="J357" s="30">
        <f t="shared" ca="1" si="56"/>
        <v>1048.4226173550949</v>
      </c>
      <c r="K357" s="122">
        <f t="shared" ca="1" si="59"/>
        <v>306.78827432809112</v>
      </c>
      <c r="L357" s="30"/>
      <c r="M357" s="30"/>
      <c r="N357" s="30"/>
      <c r="O357" s="30"/>
    </row>
    <row r="358" spans="1:15" x14ac:dyDescent="0.25">
      <c r="A358" s="10">
        <v>339</v>
      </c>
      <c r="B358" s="27">
        <f t="shared" ca="1" si="50"/>
        <v>0.91788324363683949</v>
      </c>
      <c r="C358" s="21">
        <f t="shared" ca="1" si="51"/>
        <v>297.02348263163776</v>
      </c>
      <c r="D358" s="21">
        <f t="shared" ca="1" si="52"/>
        <v>273.2850042698235</v>
      </c>
      <c r="E358" s="21">
        <f t="shared" ca="1" si="53"/>
        <v>0</v>
      </c>
      <c r="F358" s="22">
        <f t="shared" ca="1" si="57"/>
        <v>0</v>
      </c>
      <c r="G358" s="22">
        <f t="shared" ca="1" si="54"/>
        <v>44.982781035430634</v>
      </c>
      <c r="H358" s="31">
        <f t="shared" ca="1" si="58"/>
        <v>0</v>
      </c>
      <c r="I358" s="9">
        <f t="shared" ca="1" si="55"/>
        <v>1386.2238587791392</v>
      </c>
      <c r="J358" s="30">
        <f t="shared" ca="1" si="56"/>
        <v>1008.1628063848285</v>
      </c>
      <c r="K358" s="122">
        <f t="shared" ca="1" si="59"/>
        <v>378.06105239431065</v>
      </c>
      <c r="L358" s="30"/>
      <c r="M358" s="30"/>
      <c r="N358" s="30"/>
      <c r="O358" s="30"/>
    </row>
    <row r="359" spans="1:15" x14ac:dyDescent="0.25">
      <c r="A359" s="10">
        <v>340</v>
      </c>
      <c r="B359" s="27">
        <f t="shared" ca="1" si="50"/>
        <v>0.91099511279902878</v>
      </c>
      <c r="C359" s="21">
        <f t="shared" ca="1" si="51"/>
        <v>297.02348263163776</v>
      </c>
      <c r="D359" s="21">
        <f t="shared" ca="1" si="52"/>
        <v>252.04070159620713</v>
      </c>
      <c r="E359" s="21">
        <f t="shared" ca="1" si="53"/>
        <v>0</v>
      </c>
      <c r="F359" s="22">
        <f t="shared" ca="1" si="57"/>
        <v>0</v>
      </c>
      <c r="G359" s="22">
        <f t="shared" ca="1" si="54"/>
        <v>0</v>
      </c>
      <c r="H359" s="31">
        <f t="shared" ca="1" si="58"/>
        <v>0</v>
      </c>
      <c r="I359" s="9">
        <f t="shared" ca="1" si="55"/>
        <v>1386.2238587791392</v>
      </c>
      <c r="J359" s="30">
        <f t="shared" ca="1" si="56"/>
        <v>1008.1628063848285</v>
      </c>
      <c r="K359" s="122">
        <f t="shared" ca="1" si="59"/>
        <v>378.06105239431065</v>
      </c>
      <c r="L359" s="30"/>
      <c r="M359" s="30"/>
      <c r="N359" s="30"/>
      <c r="O359" s="30"/>
    </row>
    <row r="360" spans="1:15" x14ac:dyDescent="0.25">
      <c r="A360" s="10">
        <v>341</v>
      </c>
      <c r="B360" s="27">
        <f t="shared" ca="1" si="50"/>
        <v>0.53533391123702345</v>
      </c>
      <c r="C360" s="21">
        <f t="shared" ca="1" si="51"/>
        <v>249.32041196681521</v>
      </c>
      <c r="D360" s="21">
        <f t="shared" ca="1" si="52"/>
        <v>252.04070159620713</v>
      </c>
      <c r="E360" s="21">
        <f t="shared" ca="1" si="53"/>
        <v>2.7202896293919139</v>
      </c>
      <c r="F360" s="22">
        <f t="shared" ca="1" si="57"/>
        <v>2.7202896293919139</v>
      </c>
      <c r="G360" s="22">
        <f t="shared" ca="1" si="54"/>
        <v>0</v>
      </c>
      <c r="H360" s="31">
        <f t="shared" ca="1" si="58"/>
        <v>2.7202896293919139</v>
      </c>
      <c r="I360" s="9">
        <f t="shared" ca="1" si="55"/>
        <v>1371.9423382248317</v>
      </c>
      <c r="J360" s="30">
        <f t="shared" ca="1" si="56"/>
        <v>1012.2432408289164</v>
      </c>
      <c r="K360" s="122">
        <f t="shared" ca="1" si="59"/>
        <v>359.69909739591526</v>
      </c>
      <c r="L360" s="30"/>
      <c r="M360" s="30"/>
      <c r="N360" s="30"/>
      <c r="O360" s="30"/>
    </row>
    <row r="361" spans="1:15" x14ac:dyDescent="0.25">
      <c r="A361" s="10">
        <v>342</v>
      </c>
      <c r="B361" s="27">
        <f t="shared" ca="1" si="50"/>
        <v>0.56799745611910346</v>
      </c>
      <c r="C361" s="21">
        <f t="shared" ca="1" si="51"/>
        <v>249.32041196681521</v>
      </c>
      <c r="D361" s="21">
        <f t="shared" ca="1" si="52"/>
        <v>254.76099122559904</v>
      </c>
      <c r="E361" s="21">
        <f t="shared" ca="1" si="53"/>
        <v>2.7202896293919139</v>
      </c>
      <c r="F361" s="22">
        <f t="shared" ca="1" si="57"/>
        <v>5.4405792587838278</v>
      </c>
      <c r="G361" s="22">
        <f t="shared" ca="1" si="54"/>
        <v>0</v>
      </c>
      <c r="H361" s="31">
        <f t="shared" ca="1" si="58"/>
        <v>5.4405792587838278</v>
      </c>
      <c r="I361" s="9">
        <f t="shared" ca="1" si="55"/>
        <v>1380.1032071130076</v>
      </c>
      <c r="J361" s="30">
        <f t="shared" ca="1" si="56"/>
        <v>1016.3236752730043</v>
      </c>
      <c r="K361" s="122">
        <f t="shared" ca="1" si="59"/>
        <v>363.7795318400033</v>
      </c>
      <c r="L361" s="30"/>
      <c r="M361" s="30"/>
      <c r="N361" s="30"/>
      <c r="O361" s="30"/>
    </row>
    <row r="362" spans="1:15" x14ac:dyDescent="0.25">
      <c r="A362" s="10">
        <v>343</v>
      </c>
      <c r="B362" s="27">
        <f t="shared" ca="1" si="50"/>
        <v>0.44421044477155136</v>
      </c>
      <c r="C362" s="21">
        <f t="shared" ca="1" si="51"/>
        <v>249.32041196681521</v>
      </c>
      <c r="D362" s="21">
        <f t="shared" ca="1" si="52"/>
        <v>254.76099122559904</v>
      </c>
      <c r="E362" s="21">
        <f t="shared" ca="1" si="53"/>
        <v>2.7202896293919139</v>
      </c>
      <c r="F362" s="22">
        <f t="shared" ca="1" si="57"/>
        <v>5.4405792587838278</v>
      </c>
      <c r="G362" s="22">
        <f t="shared" ca="1" si="54"/>
        <v>44.982781035430634</v>
      </c>
      <c r="H362" s="31">
        <f t="shared" ca="1" si="58"/>
        <v>0</v>
      </c>
      <c r="I362" s="9">
        <f t="shared" ca="1" si="55"/>
        <v>1371.9423382248317</v>
      </c>
      <c r="J362" s="30">
        <f t="shared" ca="1" si="56"/>
        <v>1008.1628063848285</v>
      </c>
      <c r="K362" s="122">
        <f t="shared" ca="1" si="59"/>
        <v>363.77953184000319</v>
      </c>
      <c r="L362" s="30"/>
      <c r="M362" s="30"/>
      <c r="N362" s="30"/>
      <c r="O362" s="30"/>
    </row>
    <row r="363" spans="1:15" x14ac:dyDescent="0.25">
      <c r="A363" s="10">
        <v>344</v>
      </c>
      <c r="B363" s="43">
        <f t="shared" ca="1" si="50"/>
        <v>0.98973668440753315</v>
      </c>
      <c r="C363" s="44">
        <f t="shared" ca="1" si="51"/>
        <v>297.02348263163776</v>
      </c>
      <c r="D363" s="44">
        <f t="shared" ca="1" si="52"/>
        <v>254.76099122559904</v>
      </c>
      <c r="E363" s="44">
        <f t="shared" ca="1" si="53"/>
        <v>0</v>
      </c>
      <c r="F363" s="45">
        <f t="shared" ca="1" si="57"/>
        <v>0</v>
      </c>
      <c r="G363" s="45">
        <f t="shared" ca="1" si="54"/>
        <v>44.982781035430634</v>
      </c>
      <c r="H363" s="46">
        <f t="shared" ca="1" si="58"/>
        <v>0</v>
      </c>
      <c r="I363" s="1">
        <f t="shared" ca="1" si="55"/>
        <v>1386.2238587791392</v>
      </c>
      <c r="J363" s="47">
        <f t="shared" ca="1" si="56"/>
        <v>1008.1628063848285</v>
      </c>
      <c r="K363" s="123">
        <f t="shared" ca="1" si="59"/>
        <v>378.06105239431065</v>
      </c>
      <c r="L363" s="30"/>
      <c r="M363" s="30"/>
      <c r="N363" s="30"/>
      <c r="O363" s="30"/>
    </row>
    <row r="364" spans="1:15" x14ac:dyDescent="0.25">
      <c r="A364" s="10">
        <v>345</v>
      </c>
      <c r="B364" s="48">
        <f t="shared" ca="1" si="50"/>
        <v>0.9270603104813866</v>
      </c>
      <c r="C364" s="49">
        <f t="shared" ca="1" si="51"/>
        <v>297.02348263163776</v>
      </c>
      <c r="D364" s="49">
        <f t="shared" ca="1" si="52"/>
        <v>252.04070159620713</v>
      </c>
      <c r="E364" s="49">
        <f t="shared" ca="1" si="53"/>
        <v>0</v>
      </c>
      <c r="F364" s="50">
        <f t="shared" ca="1" si="57"/>
        <v>0</v>
      </c>
      <c r="G364" s="50">
        <f t="shared" ca="1" si="54"/>
        <v>0</v>
      </c>
      <c r="H364" s="51">
        <f t="shared" ca="1" si="58"/>
        <v>0</v>
      </c>
      <c r="I364" s="52">
        <f t="shared" ca="1" si="55"/>
        <v>1386.2238587791392</v>
      </c>
      <c r="J364" s="53">
        <f t="shared" ca="1" si="56"/>
        <v>1008.1628063848285</v>
      </c>
      <c r="K364" s="124">
        <f t="shared" ca="1" si="59"/>
        <v>378.06105239431065</v>
      </c>
      <c r="L364" s="30"/>
      <c r="M364" s="30"/>
      <c r="N364" s="30"/>
      <c r="O364" s="30"/>
    </row>
    <row r="365" spans="1:15" x14ac:dyDescent="0.25">
      <c r="A365" s="10">
        <v>346</v>
      </c>
      <c r="B365" s="27">
        <f t="shared" ca="1" si="50"/>
        <v>0.45182267744113058</v>
      </c>
      <c r="C365" s="21">
        <f t="shared" ca="1" si="51"/>
        <v>249.32041196681521</v>
      </c>
      <c r="D365" s="21">
        <f t="shared" ca="1" si="52"/>
        <v>252.04070159620713</v>
      </c>
      <c r="E365" s="21">
        <f t="shared" ca="1" si="53"/>
        <v>2.7202896293919139</v>
      </c>
      <c r="F365" s="22">
        <f t="shared" ca="1" si="57"/>
        <v>2.7202896293919139</v>
      </c>
      <c r="G365" s="22">
        <f t="shared" ca="1" si="54"/>
        <v>0</v>
      </c>
      <c r="H365" s="31">
        <f t="shared" ca="1" si="58"/>
        <v>2.7202896293919139</v>
      </c>
      <c r="I365" s="9">
        <f t="shared" ca="1" si="55"/>
        <v>1371.9423382248317</v>
      </c>
      <c r="J365" s="30">
        <f t="shared" ca="1" si="56"/>
        <v>1012.2432408289164</v>
      </c>
      <c r="K365" s="122">
        <f t="shared" ca="1" si="59"/>
        <v>359.69909739591526</v>
      </c>
      <c r="L365" s="30"/>
      <c r="M365" s="30"/>
      <c r="N365" s="30"/>
      <c r="O365" s="30"/>
    </row>
    <row r="366" spans="1:15" x14ac:dyDescent="0.25">
      <c r="A366" s="10">
        <v>347</v>
      </c>
      <c r="B366" s="27">
        <f t="shared" ca="1" si="50"/>
        <v>9.6060707444792226E-2</v>
      </c>
      <c r="C366" s="21">
        <f t="shared" ca="1" si="51"/>
        <v>201.46234925421527</v>
      </c>
      <c r="D366" s="21">
        <f t="shared" ca="1" si="52"/>
        <v>254.76099122559904</v>
      </c>
      <c r="E366" s="21">
        <f t="shared" ca="1" si="53"/>
        <v>50.578352341991859</v>
      </c>
      <c r="F366" s="22">
        <f t="shared" ca="1" si="57"/>
        <v>53.298641971383773</v>
      </c>
      <c r="G366" s="22">
        <f t="shared" ca="1" si="54"/>
        <v>0</v>
      </c>
      <c r="H366" s="31">
        <f t="shared" ca="1" si="58"/>
        <v>53.298641971383773</v>
      </c>
      <c r="I366" s="9">
        <f t="shared" ca="1" si="55"/>
        <v>1128.8483778718578</v>
      </c>
      <c r="J366" s="30">
        <f t="shared" ca="1" si="56"/>
        <v>1088.1107693419042</v>
      </c>
      <c r="K366" s="122">
        <f t="shared" ca="1" si="59"/>
        <v>40.737608529953604</v>
      </c>
      <c r="L366" s="30"/>
      <c r="M366" s="30"/>
      <c r="N366" s="30"/>
      <c r="O366" s="30"/>
    </row>
    <row r="367" spans="1:15" x14ac:dyDescent="0.25">
      <c r="A367" s="10">
        <v>348</v>
      </c>
      <c r="B367" s="27">
        <f t="shared" ca="1" si="50"/>
        <v>0.24792037312914939</v>
      </c>
      <c r="C367" s="21">
        <f t="shared" ca="1" si="51"/>
        <v>230.79639892259075</v>
      </c>
      <c r="D367" s="21">
        <f t="shared" ca="1" si="52"/>
        <v>302.61905393819899</v>
      </c>
      <c r="E367" s="21">
        <f t="shared" ca="1" si="53"/>
        <v>21.244302673616374</v>
      </c>
      <c r="F367" s="22">
        <f t="shared" ca="1" si="57"/>
        <v>71.822655015608234</v>
      </c>
      <c r="G367" s="22">
        <f t="shared" ca="1" si="54"/>
        <v>19.371706704047796</v>
      </c>
      <c r="H367" s="31">
        <f t="shared" ca="1" si="58"/>
        <v>52.450948311560438</v>
      </c>
      <c r="I367" s="9">
        <f t="shared" ca="1" si="55"/>
        <v>1432.0441146773346</v>
      </c>
      <c r="J367" s="30">
        <f t="shared" ca="1" si="56"/>
        <v>1086.8392288521691</v>
      </c>
      <c r="K367" s="122">
        <f t="shared" ca="1" si="59"/>
        <v>345.20488582516555</v>
      </c>
      <c r="L367" s="30"/>
      <c r="M367" s="30"/>
      <c r="N367" s="30"/>
      <c r="O367" s="30"/>
    </row>
    <row r="368" spans="1:15" x14ac:dyDescent="0.25">
      <c r="A368" s="10">
        <v>349</v>
      </c>
      <c r="B368" s="27">
        <f t="shared" ca="1" si="50"/>
        <v>0.7780904058889917</v>
      </c>
      <c r="C368" s="21">
        <f t="shared" ca="1" si="51"/>
        <v>271.41240830025492</v>
      </c>
      <c r="D368" s="21">
        <f t="shared" ca="1" si="52"/>
        <v>273.2850042698235</v>
      </c>
      <c r="E368" s="21">
        <f t="shared" ca="1" si="53"/>
        <v>0</v>
      </c>
      <c r="F368" s="22">
        <f t="shared" ca="1" si="57"/>
        <v>1.8725959695685788</v>
      </c>
      <c r="G368" s="22">
        <f t="shared" ca="1" si="54"/>
        <v>19.371706704047796</v>
      </c>
      <c r="H368" s="31">
        <f t="shared" ca="1" si="58"/>
        <v>0</v>
      </c>
      <c r="I368" s="9">
        <f t="shared" ca="1" si="55"/>
        <v>1386.2238587791392</v>
      </c>
      <c r="J368" s="30">
        <f t="shared" ca="1" si="56"/>
        <v>1008.1628063848285</v>
      </c>
      <c r="K368" s="122">
        <f t="shared" ca="1" si="59"/>
        <v>378.06105239431065</v>
      </c>
      <c r="L368" s="30"/>
      <c r="M368" s="30"/>
      <c r="N368" s="30"/>
      <c r="O368" s="30"/>
    </row>
    <row r="369" spans="1:19" x14ac:dyDescent="0.25">
      <c r="A369" s="10">
        <v>350</v>
      </c>
      <c r="B369" s="27">
        <f t="shared" ca="1" si="50"/>
        <v>0.74924141574961256</v>
      </c>
      <c r="C369" s="21">
        <f t="shared" ca="1" si="51"/>
        <v>271.41240830025492</v>
      </c>
      <c r="D369" s="21">
        <f t="shared" ca="1" si="52"/>
        <v>252.04070159620713</v>
      </c>
      <c r="E369" s="21">
        <f t="shared" ca="1" si="53"/>
        <v>0</v>
      </c>
      <c r="F369" s="22">
        <f t="shared" ca="1" si="57"/>
        <v>0</v>
      </c>
      <c r="G369" s="22">
        <f t="shared" ca="1" si="54"/>
        <v>0</v>
      </c>
      <c r="H369" s="31">
        <f t="shared" ca="1" si="58"/>
        <v>0</v>
      </c>
      <c r="I369" s="9">
        <f t="shared" ca="1" si="55"/>
        <v>1386.2238587791392</v>
      </c>
      <c r="J369" s="30">
        <f t="shared" ca="1" si="56"/>
        <v>1008.1628063848285</v>
      </c>
      <c r="K369" s="122">
        <f t="shared" ca="1" si="59"/>
        <v>378.06105239431065</v>
      </c>
      <c r="L369" s="30"/>
      <c r="M369" s="30"/>
      <c r="N369" s="30"/>
      <c r="O369" s="30"/>
    </row>
    <row r="370" spans="1:19" x14ac:dyDescent="0.25">
      <c r="A370" s="10">
        <v>351</v>
      </c>
      <c r="B370" s="27">
        <f t="shared" ca="1" si="50"/>
        <v>7.2588823348857745E-2</v>
      </c>
      <c r="C370" s="21">
        <f t="shared" ca="1" si="51"/>
        <v>201.46234925421527</v>
      </c>
      <c r="D370" s="21">
        <f t="shared" ca="1" si="52"/>
        <v>252.04070159620713</v>
      </c>
      <c r="E370" s="21">
        <f t="shared" ca="1" si="53"/>
        <v>50.578352341991859</v>
      </c>
      <c r="F370" s="22">
        <f t="shared" ca="1" si="57"/>
        <v>50.578352341991859</v>
      </c>
      <c r="G370" s="22">
        <f t="shared" ca="1" si="54"/>
        <v>0</v>
      </c>
      <c r="H370" s="31">
        <f t="shared" ca="1" si="58"/>
        <v>50.578352341991859</v>
      </c>
      <c r="I370" s="9">
        <f t="shared" ca="1" si="55"/>
        <v>1120.6875089836822</v>
      </c>
      <c r="J370" s="30">
        <f t="shared" ca="1" si="56"/>
        <v>1084.0303348978164</v>
      </c>
      <c r="K370" s="122">
        <f t="shared" ca="1" si="59"/>
        <v>36.65717408586579</v>
      </c>
      <c r="L370" s="30"/>
      <c r="M370" s="30"/>
      <c r="N370" s="30"/>
      <c r="O370" s="30"/>
    </row>
    <row r="371" spans="1:19" x14ac:dyDescent="0.25">
      <c r="A371" s="10">
        <v>352</v>
      </c>
      <c r="B371" s="27">
        <f t="shared" ca="1" si="50"/>
        <v>0.42378998156743275</v>
      </c>
      <c r="C371" s="21">
        <f t="shared" ca="1" si="51"/>
        <v>249.32041196681521</v>
      </c>
      <c r="D371" s="21">
        <f t="shared" ca="1" si="52"/>
        <v>302.61905393819899</v>
      </c>
      <c r="E371" s="21">
        <f t="shared" ca="1" si="53"/>
        <v>2.7202896293919139</v>
      </c>
      <c r="F371" s="22">
        <f t="shared" ca="1" si="57"/>
        <v>53.298641971383773</v>
      </c>
      <c r="G371" s="22">
        <f t="shared" ca="1" si="54"/>
        <v>19.371706704047796</v>
      </c>
      <c r="H371" s="31">
        <f t="shared" ca="1" si="58"/>
        <v>33.926935267335978</v>
      </c>
      <c r="I371" s="9">
        <f t="shared" ca="1" si="55"/>
        <v>1473.7231440268397</v>
      </c>
      <c r="J371" s="30">
        <f t="shared" ca="1" si="56"/>
        <v>1059.0532092858325</v>
      </c>
      <c r="K371" s="122">
        <f t="shared" ca="1" si="59"/>
        <v>414.66993474100718</v>
      </c>
      <c r="L371" s="30"/>
      <c r="M371" s="30"/>
      <c r="N371" s="30"/>
      <c r="O371" s="30"/>
    </row>
    <row r="372" spans="1:19" x14ac:dyDescent="0.25">
      <c r="A372" s="10">
        <v>353</v>
      </c>
      <c r="B372" s="27">
        <f t="shared" ca="1" si="50"/>
        <v>0.7211755535072043</v>
      </c>
      <c r="C372" s="21">
        <f t="shared" ca="1" si="51"/>
        <v>271.41240830025492</v>
      </c>
      <c r="D372" s="21">
        <f t="shared" ca="1" si="52"/>
        <v>254.76099122559904</v>
      </c>
      <c r="E372" s="21">
        <f t="shared" ca="1" si="53"/>
        <v>0</v>
      </c>
      <c r="F372" s="22">
        <f t="shared" ca="1" si="57"/>
        <v>0</v>
      </c>
      <c r="G372" s="22">
        <f t="shared" ca="1" si="54"/>
        <v>0</v>
      </c>
      <c r="H372" s="31">
        <f t="shared" ca="1" si="58"/>
        <v>0</v>
      </c>
      <c r="I372" s="9">
        <f t="shared" ca="1" si="55"/>
        <v>1386.2238587791392</v>
      </c>
      <c r="J372" s="30">
        <f t="shared" ca="1" si="56"/>
        <v>1008.1628063848285</v>
      </c>
      <c r="K372" s="122">
        <f t="shared" ca="1" si="59"/>
        <v>378.06105239431065</v>
      </c>
      <c r="L372" s="30"/>
      <c r="M372" s="30"/>
      <c r="N372" s="30"/>
      <c r="O372" s="30"/>
    </row>
    <row r="373" spans="1:19" x14ac:dyDescent="0.25">
      <c r="A373" s="10">
        <v>354</v>
      </c>
      <c r="B373" s="27">
        <f t="shared" ca="1" si="50"/>
        <v>0.24135140345326134</v>
      </c>
      <c r="C373" s="21">
        <f t="shared" ca="1" si="51"/>
        <v>230.79639892259075</v>
      </c>
      <c r="D373" s="21">
        <f t="shared" ca="1" si="52"/>
        <v>252.04070159620713</v>
      </c>
      <c r="E373" s="21">
        <f t="shared" ca="1" si="53"/>
        <v>21.244302673616374</v>
      </c>
      <c r="F373" s="22">
        <f t="shared" ca="1" si="57"/>
        <v>21.244302673616374</v>
      </c>
      <c r="G373" s="22">
        <f t="shared" ca="1" si="54"/>
        <v>44.982781035430634</v>
      </c>
      <c r="H373" s="31">
        <f t="shared" ca="1" si="58"/>
        <v>0</v>
      </c>
      <c r="I373" s="9">
        <f t="shared" ca="1" si="55"/>
        <v>1274.6912697426533</v>
      </c>
      <c r="J373" s="30">
        <f t="shared" ca="1" si="56"/>
        <v>1008.1628063848285</v>
      </c>
      <c r="K373" s="122">
        <f t="shared" ca="1" si="59"/>
        <v>266.52846335782476</v>
      </c>
      <c r="L373" s="30"/>
      <c r="M373" s="30"/>
      <c r="N373" s="30"/>
      <c r="O373" s="30"/>
    </row>
    <row r="374" spans="1:19" x14ac:dyDescent="0.25">
      <c r="A374" s="10">
        <v>355</v>
      </c>
      <c r="B374" s="27">
        <f t="shared" ca="1" si="50"/>
        <v>0.96773746497408775</v>
      </c>
      <c r="C374" s="21">
        <f t="shared" ca="1" si="51"/>
        <v>297.02348263163776</v>
      </c>
      <c r="D374" s="21">
        <f t="shared" ca="1" si="52"/>
        <v>273.2850042698235</v>
      </c>
      <c r="E374" s="21">
        <f t="shared" ca="1" si="53"/>
        <v>0</v>
      </c>
      <c r="F374" s="22">
        <f t="shared" ca="1" si="57"/>
        <v>0</v>
      </c>
      <c r="G374" s="22">
        <f t="shared" ca="1" si="54"/>
        <v>0</v>
      </c>
      <c r="H374" s="31">
        <f t="shared" ca="1" si="58"/>
        <v>0</v>
      </c>
      <c r="I374" s="9">
        <f t="shared" ca="1" si="55"/>
        <v>1386.2238587791392</v>
      </c>
      <c r="J374" s="30">
        <f t="shared" ca="1" si="56"/>
        <v>1008.1628063848285</v>
      </c>
      <c r="K374" s="122">
        <f t="shared" ca="1" si="59"/>
        <v>378.06105239431065</v>
      </c>
      <c r="L374" s="30"/>
      <c r="M374" s="30"/>
      <c r="N374" s="30"/>
      <c r="O374" s="30"/>
    </row>
    <row r="375" spans="1:19" x14ac:dyDescent="0.25">
      <c r="A375" s="10">
        <v>356</v>
      </c>
      <c r="B375" s="27">
        <f t="shared" ca="1" si="50"/>
        <v>0.35474134597742668</v>
      </c>
      <c r="C375" s="21">
        <f t="shared" ca="1" si="51"/>
        <v>230.79639892259075</v>
      </c>
      <c r="D375" s="21">
        <f t="shared" ca="1" si="52"/>
        <v>252.04070159620713</v>
      </c>
      <c r="E375" s="21">
        <f t="shared" ca="1" si="53"/>
        <v>21.244302673616374</v>
      </c>
      <c r="F375" s="22">
        <f t="shared" ca="1" si="57"/>
        <v>21.244302673616374</v>
      </c>
      <c r="G375" s="22">
        <f t="shared" ca="1" si="54"/>
        <v>0</v>
      </c>
      <c r="H375" s="31">
        <f t="shared" ca="1" si="58"/>
        <v>21.244302673616374</v>
      </c>
      <c r="I375" s="9">
        <f t="shared" ca="1" si="55"/>
        <v>1274.6912697426533</v>
      </c>
      <c r="J375" s="30">
        <f t="shared" ca="1" si="56"/>
        <v>1040.029260395253</v>
      </c>
      <c r="K375" s="122">
        <f t="shared" ca="1" si="59"/>
        <v>234.66200934740027</v>
      </c>
      <c r="L375" s="30"/>
      <c r="M375" s="30"/>
      <c r="N375" s="30"/>
      <c r="O375" s="30"/>
    </row>
    <row r="376" spans="1:19" x14ac:dyDescent="0.25">
      <c r="A376" s="10">
        <v>357</v>
      </c>
      <c r="B376" s="27">
        <f t="shared" ca="1" si="50"/>
        <v>0.30505780812787298</v>
      </c>
      <c r="C376" s="21">
        <f t="shared" ca="1" si="51"/>
        <v>230.79639892259075</v>
      </c>
      <c r="D376" s="21">
        <f t="shared" ca="1" si="52"/>
        <v>273.2850042698235</v>
      </c>
      <c r="E376" s="21">
        <f t="shared" ca="1" si="53"/>
        <v>21.244302673616374</v>
      </c>
      <c r="F376" s="22">
        <f t="shared" ca="1" si="57"/>
        <v>42.488605347232749</v>
      </c>
      <c r="G376" s="22">
        <f t="shared" ca="1" si="54"/>
        <v>0</v>
      </c>
      <c r="H376" s="31">
        <f t="shared" ca="1" si="58"/>
        <v>42.488605347232749</v>
      </c>
      <c r="I376" s="9">
        <f t="shared" ca="1" si="55"/>
        <v>1338.4241777635025</v>
      </c>
      <c r="J376" s="30">
        <f t="shared" ca="1" si="56"/>
        <v>1071.8957144056776</v>
      </c>
      <c r="K376" s="122">
        <f t="shared" ca="1" si="59"/>
        <v>266.52846335782488</v>
      </c>
      <c r="L376" s="30"/>
      <c r="M376" s="30"/>
      <c r="N376" s="30"/>
      <c r="O376" s="30"/>
    </row>
    <row r="377" spans="1:19" x14ac:dyDescent="0.25">
      <c r="A377" s="10">
        <v>358</v>
      </c>
      <c r="B377" s="27">
        <f t="shared" ca="1" si="50"/>
        <v>0.62699309197244246</v>
      </c>
      <c r="C377" s="21">
        <f t="shared" ca="1" si="51"/>
        <v>249.32041196681521</v>
      </c>
      <c r="D377" s="21">
        <f t="shared" ca="1" si="52"/>
        <v>273.2850042698235</v>
      </c>
      <c r="E377" s="21">
        <f t="shared" ca="1" si="53"/>
        <v>2.7202896293919139</v>
      </c>
      <c r="F377" s="22">
        <f t="shared" ca="1" si="57"/>
        <v>23.964592303008288</v>
      </c>
      <c r="G377" s="22">
        <f t="shared" ca="1" si="54"/>
        <v>0</v>
      </c>
      <c r="H377" s="31">
        <f t="shared" ca="1" si="58"/>
        <v>23.964592303008288</v>
      </c>
      <c r="I377" s="9">
        <f t="shared" ca="1" si="55"/>
        <v>1435.6752462456809</v>
      </c>
      <c r="J377" s="30">
        <f t="shared" ca="1" si="56"/>
        <v>1044.109694839341</v>
      </c>
      <c r="K377" s="122">
        <f t="shared" ca="1" si="59"/>
        <v>391.56555140633986</v>
      </c>
      <c r="L377" s="30"/>
      <c r="M377" s="30"/>
      <c r="N377" s="30"/>
      <c r="O377" s="30"/>
    </row>
    <row r="378" spans="1:19" x14ac:dyDescent="0.25">
      <c r="A378" s="10">
        <v>359</v>
      </c>
      <c r="B378" s="27">
        <f t="shared" ca="1" si="50"/>
        <v>3.8085072807934606E-2</v>
      </c>
      <c r="C378" s="21">
        <f t="shared" ca="1" si="51"/>
        <v>201.46234925421527</v>
      </c>
      <c r="D378" s="21">
        <f t="shared" ca="1" si="52"/>
        <v>254.76099122559904</v>
      </c>
      <c r="E378" s="21">
        <f t="shared" ca="1" si="53"/>
        <v>50.578352341991859</v>
      </c>
      <c r="F378" s="22">
        <f t="shared" ca="1" si="57"/>
        <v>53.298641971383773</v>
      </c>
      <c r="G378" s="22">
        <f t="shared" ca="1" si="54"/>
        <v>0</v>
      </c>
      <c r="H378" s="31">
        <f t="shared" ca="1" si="58"/>
        <v>53.298641971383773</v>
      </c>
      <c r="I378" s="9">
        <f t="shared" ca="1" si="55"/>
        <v>1128.8483778718578</v>
      </c>
      <c r="J378" s="30">
        <f t="shared" ca="1" si="56"/>
        <v>1088.1107693419042</v>
      </c>
      <c r="K378" s="122">
        <f t="shared" ca="1" si="59"/>
        <v>40.737608529953604</v>
      </c>
      <c r="L378" s="30"/>
      <c r="M378" s="30"/>
      <c r="N378" s="30"/>
      <c r="O378" s="30"/>
    </row>
    <row r="379" spans="1:19" x14ac:dyDescent="0.25">
      <c r="A379" s="10">
        <v>360</v>
      </c>
      <c r="B379" s="27">
        <f t="shared" ca="1" si="50"/>
        <v>0.6330707171850618</v>
      </c>
      <c r="C379" s="21">
        <f t="shared" ca="1" si="51"/>
        <v>249.32041196681521</v>
      </c>
      <c r="D379" s="21">
        <f t="shared" ca="1" si="52"/>
        <v>302.61905393819899</v>
      </c>
      <c r="E379" s="21">
        <f t="shared" ca="1" si="53"/>
        <v>2.7202896293919139</v>
      </c>
      <c r="F379" s="22">
        <f t="shared" ca="1" si="57"/>
        <v>53.298641971383773</v>
      </c>
      <c r="G379" s="22">
        <f t="shared" ca="1" si="54"/>
        <v>19.371706704047796</v>
      </c>
      <c r="H379" s="31">
        <f t="shared" ca="1" si="58"/>
        <v>33.926935267335978</v>
      </c>
      <c r="I379" s="9">
        <f t="shared" ca="1" si="55"/>
        <v>1473.7231440268397</v>
      </c>
      <c r="J379" s="30">
        <f t="shared" ca="1" si="56"/>
        <v>1059.0532092858325</v>
      </c>
      <c r="K379" s="122">
        <f t="shared" ca="1" si="59"/>
        <v>414.66993474100718</v>
      </c>
      <c r="L379" s="30"/>
      <c r="M379" s="30"/>
      <c r="N379" s="30"/>
      <c r="O379" s="30"/>
    </row>
    <row r="380" spans="1:19" x14ac:dyDescent="0.25">
      <c r="A380" s="10">
        <v>361</v>
      </c>
      <c r="B380" s="27">
        <f t="shared" ca="1" si="50"/>
        <v>0.80418173270648419</v>
      </c>
      <c r="C380" s="21">
        <f t="shared" ca="1" si="51"/>
        <v>271.41240830025492</v>
      </c>
      <c r="D380" s="21">
        <f t="shared" ca="1" si="52"/>
        <v>254.76099122559904</v>
      </c>
      <c r="E380" s="21">
        <f t="shared" ca="1" si="53"/>
        <v>0</v>
      </c>
      <c r="F380" s="22">
        <f t="shared" ca="1" si="57"/>
        <v>0</v>
      </c>
      <c r="G380" s="22">
        <f t="shared" ca="1" si="54"/>
        <v>0</v>
      </c>
      <c r="H380" s="31">
        <f t="shared" ca="1" si="58"/>
        <v>0</v>
      </c>
      <c r="I380" s="9">
        <f t="shared" ca="1" si="55"/>
        <v>1386.2238587791392</v>
      </c>
      <c r="J380" s="30">
        <f t="shared" ca="1" si="56"/>
        <v>1008.1628063848285</v>
      </c>
      <c r="K380" s="122">
        <f t="shared" ca="1" si="59"/>
        <v>378.06105239431065</v>
      </c>
      <c r="L380" s="30"/>
      <c r="M380" s="30"/>
      <c r="N380" s="30"/>
      <c r="O380" s="30"/>
      <c r="P380" s="23"/>
      <c r="Q380" s="23"/>
      <c r="R380" s="23"/>
      <c r="S380" s="23"/>
    </row>
    <row r="381" spans="1:19" x14ac:dyDescent="0.25">
      <c r="A381" s="10">
        <v>362</v>
      </c>
      <c r="B381" s="27">
        <f t="shared" ca="1" si="50"/>
        <v>0.68414769607468084</v>
      </c>
      <c r="C381" s="21">
        <f t="shared" ca="1" si="51"/>
        <v>249.32041196681521</v>
      </c>
      <c r="D381" s="21">
        <f t="shared" ca="1" si="52"/>
        <v>252.04070159620713</v>
      </c>
      <c r="E381" s="21">
        <f t="shared" ca="1" si="53"/>
        <v>2.7202896293919139</v>
      </c>
      <c r="F381" s="22">
        <f t="shared" ca="1" si="57"/>
        <v>2.7202896293919139</v>
      </c>
      <c r="G381" s="22">
        <f t="shared" ca="1" si="54"/>
        <v>0</v>
      </c>
      <c r="H381" s="31">
        <f t="shared" ca="1" si="58"/>
        <v>2.7202896293919139</v>
      </c>
      <c r="I381" s="9">
        <f t="shared" ca="1" si="55"/>
        <v>1371.9423382248317</v>
      </c>
      <c r="J381" s="30">
        <f t="shared" ca="1" si="56"/>
        <v>1012.2432408289164</v>
      </c>
      <c r="K381" s="122">
        <f t="shared" ca="1" si="59"/>
        <v>359.69909739591526</v>
      </c>
      <c r="L381" s="30"/>
      <c r="M381" s="30"/>
      <c r="N381" s="30"/>
      <c r="O381" s="30"/>
      <c r="P381" s="23"/>
      <c r="Q381" s="23"/>
      <c r="R381" s="23"/>
      <c r="S381" s="23"/>
    </row>
    <row r="382" spans="1:19" x14ac:dyDescent="0.25">
      <c r="A382" s="10">
        <v>363</v>
      </c>
      <c r="B382" s="27">
        <f t="shared" ca="1" si="50"/>
        <v>0.69635694396370318</v>
      </c>
      <c r="C382" s="21">
        <f t="shared" ca="1" si="51"/>
        <v>249.32041196681521</v>
      </c>
      <c r="D382" s="21">
        <f t="shared" ca="1" si="52"/>
        <v>254.76099122559904</v>
      </c>
      <c r="E382" s="21">
        <f t="shared" ca="1" si="53"/>
        <v>2.7202896293919139</v>
      </c>
      <c r="F382" s="22">
        <f t="shared" ca="1" si="57"/>
        <v>5.4405792587838278</v>
      </c>
      <c r="G382" s="22">
        <f t="shared" ca="1" si="54"/>
        <v>0</v>
      </c>
      <c r="H382" s="31">
        <f t="shared" ca="1" si="58"/>
        <v>5.4405792587838278</v>
      </c>
      <c r="I382" s="9">
        <f t="shared" ca="1" si="55"/>
        <v>1380.1032071130076</v>
      </c>
      <c r="J382" s="30">
        <f t="shared" ca="1" si="56"/>
        <v>1016.3236752730043</v>
      </c>
      <c r="K382" s="122">
        <f t="shared" ca="1" si="59"/>
        <v>363.7795318400033</v>
      </c>
      <c r="L382" s="30"/>
      <c r="M382" s="30"/>
      <c r="N382" s="30"/>
      <c r="O382" s="30"/>
      <c r="P382" s="23"/>
      <c r="Q382" s="23"/>
      <c r="R382" s="23"/>
      <c r="S382" s="23"/>
    </row>
    <row r="383" spans="1:19" x14ac:dyDescent="0.25">
      <c r="A383" s="10">
        <v>364</v>
      </c>
      <c r="B383" s="27">
        <f t="shared" ca="1" si="50"/>
        <v>4.2720921507170995E-2</v>
      </c>
      <c r="C383" s="21">
        <f t="shared" ca="1" si="51"/>
        <v>201.46234925421527</v>
      </c>
      <c r="D383" s="21">
        <f t="shared" ca="1" si="52"/>
        <v>254.76099122559904</v>
      </c>
      <c r="E383" s="21">
        <f t="shared" ca="1" si="53"/>
        <v>50.578352341991859</v>
      </c>
      <c r="F383" s="22">
        <f t="shared" ca="1" si="57"/>
        <v>53.298641971383773</v>
      </c>
      <c r="G383" s="22">
        <f t="shared" ca="1" si="54"/>
        <v>44.982781035430634</v>
      </c>
      <c r="H383" s="31">
        <f t="shared" ca="1" si="58"/>
        <v>8.3158609359531397</v>
      </c>
      <c r="I383" s="9">
        <f t="shared" ca="1" si="55"/>
        <v>1145.6350917915415</v>
      </c>
      <c r="J383" s="30">
        <f t="shared" ca="1" si="56"/>
        <v>1020.6365977887582</v>
      </c>
      <c r="K383" s="122">
        <f t="shared" ca="1" si="59"/>
        <v>124.99849400278333</v>
      </c>
      <c r="L383" s="30"/>
      <c r="M383" s="30"/>
      <c r="N383" s="30"/>
      <c r="O383" s="30"/>
      <c r="P383" s="23"/>
      <c r="Q383" s="23"/>
      <c r="R383" s="23"/>
      <c r="S383" s="23"/>
    </row>
    <row r="384" spans="1:19" x14ac:dyDescent="0.25">
      <c r="A384" s="12">
        <v>365</v>
      </c>
      <c r="B384" s="27">
        <f t="shared" ca="1" si="50"/>
        <v>0.90517974372291599</v>
      </c>
      <c r="C384" s="21">
        <f t="shared" ca="1" si="51"/>
        <v>297.02348263163776</v>
      </c>
      <c r="D384" s="21">
        <f t="shared" ca="1" si="52"/>
        <v>302.61905393819899</v>
      </c>
      <c r="E384" s="21">
        <f t="shared" ca="1" si="53"/>
        <v>0</v>
      </c>
      <c r="F384" s="36">
        <f t="shared" ca="1" si="57"/>
        <v>5.5955713065612258</v>
      </c>
      <c r="G384" s="36">
        <f t="shared" ca="1" si="54"/>
        <v>0</v>
      </c>
      <c r="H384" s="37">
        <f t="shared" ca="1" si="58"/>
        <v>5.5955713065612258</v>
      </c>
      <c r="I384" s="9">
        <f t="shared" ca="1" si="55"/>
        <v>1386.2238587791392</v>
      </c>
      <c r="J384" s="30">
        <f t="shared" ca="1" si="56"/>
        <v>1016.5561633446704</v>
      </c>
      <c r="K384" s="123">
        <f t="shared" ca="1" si="59"/>
        <v>369.66769543446878</v>
      </c>
      <c r="L384" s="30"/>
      <c r="M384" s="30"/>
      <c r="N384" s="30"/>
      <c r="O384" s="30"/>
      <c r="P384" s="23"/>
      <c r="Q384" s="23"/>
      <c r="R384" s="23"/>
      <c r="S384" s="23"/>
    </row>
    <row r="385" spans="1:19" x14ac:dyDescent="0.25">
      <c r="A385" s="86"/>
      <c r="B385" s="87"/>
      <c r="C385" s="88"/>
      <c r="D385" s="88"/>
      <c r="E385" s="86"/>
      <c r="F385" s="89"/>
      <c r="G385" s="87"/>
      <c r="H385" s="90"/>
      <c r="I385" s="91"/>
      <c r="J385" s="90"/>
      <c r="K385" s="90"/>
      <c r="L385" s="23"/>
      <c r="M385" s="23"/>
      <c r="N385" s="23"/>
      <c r="O385" s="23"/>
      <c r="P385" s="23"/>
      <c r="Q385" s="23"/>
      <c r="R385" s="23"/>
      <c r="S385" s="23"/>
    </row>
    <row r="386" spans="1:19" x14ac:dyDescent="0.25">
      <c r="A386" s="92" t="s">
        <v>22</v>
      </c>
      <c r="B386" s="93"/>
      <c r="C386" s="116">
        <f ca="1">AVERAGE(C20:C384)</f>
        <v>245.65549821664072</v>
      </c>
      <c r="D386" s="116">
        <f ca="1">AVERAGE(D20:D384)</f>
        <v>266.82237496154858</v>
      </c>
      <c r="E386" s="117"/>
      <c r="F386" s="117"/>
      <c r="G386" s="117"/>
      <c r="H386" s="121">
        <f ca="1">AVERAGE(H20:H384)</f>
        <v>20.967246635712563</v>
      </c>
      <c r="I386" s="120">
        <f ca="1">AVERAGE(I20:I384)</f>
        <v>1338.6387365597848</v>
      </c>
      <c r="J386" s="120">
        <f ca="1">AVERAGE(J20:J384)</f>
        <v>1039.6136763383977</v>
      </c>
      <c r="K386" s="120">
        <f ca="1">AVERAGE(K20:K384)</f>
        <v>299.02506022138874</v>
      </c>
      <c r="L386" s="24"/>
      <c r="M386" s="23"/>
      <c r="N386" s="23"/>
      <c r="O386" s="23"/>
      <c r="P386" s="23"/>
      <c r="Q386" s="23"/>
      <c r="R386" s="23"/>
      <c r="S386" s="23"/>
    </row>
    <row r="387" spans="1:19" x14ac:dyDescent="0.25">
      <c r="L387" s="23"/>
      <c r="M387" s="23"/>
      <c r="N387" s="23"/>
      <c r="O387" s="23"/>
      <c r="P387" s="23"/>
      <c r="Q387" s="23"/>
      <c r="R387" s="23"/>
      <c r="S387" s="23"/>
    </row>
    <row r="388" spans="1:19" x14ac:dyDescent="0.25">
      <c r="L388" s="23"/>
      <c r="M388" s="23"/>
      <c r="N388" s="23"/>
      <c r="O388" s="23"/>
      <c r="P388" s="23"/>
      <c r="Q388" s="23"/>
      <c r="R388" s="23"/>
      <c r="S388" s="23"/>
    </row>
    <row r="389" spans="1:19" x14ac:dyDescent="0.25">
      <c r="L389" s="23"/>
      <c r="M389" s="23"/>
      <c r="N389" s="23"/>
      <c r="O389" s="23"/>
      <c r="P389" s="23"/>
      <c r="Q389" s="23"/>
      <c r="R389" s="23"/>
      <c r="S389" s="23"/>
    </row>
  </sheetData>
  <mergeCells count="18">
    <mergeCell ref="E385:G385"/>
    <mergeCell ref="A385:B385"/>
    <mergeCell ref="A1:K2"/>
    <mergeCell ref="F4:H4"/>
    <mergeCell ref="F5:H5"/>
    <mergeCell ref="A11:H11"/>
    <mergeCell ref="A5:D5"/>
    <mergeCell ref="A6:D6"/>
    <mergeCell ref="A7:D7"/>
    <mergeCell ref="A8:D8"/>
    <mergeCell ref="A9:D9"/>
    <mergeCell ref="A10:D10"/>
    <mergeCell ref="A4:E4"/>
    <mergeCell ref="A12:C12"/>
    <mergeCell ref="A13:C13"/>
    <mergeCell ref="A14:C14"/>
    <mergeCell ref="A15:C15"/>
    <mergeCell ref="A386:B38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F0B4-5415-4142-AAF1-ACE2C7D41275}">
  <sheetPr>
    <tabColor theme="8" tint="-0.499984740745262"/>
  </sheetPr>
  <dimension ref="A1:AA389"/>
  <sheetViews>
    <sheetView workbookViewId="0">
      <selection activeCell="H16" sqref="H16"/>
    </sheetView>
  </sheetViews>
  <sheetFormatPr defaultRowHeight="15" x14ac:dyDescent="0.25"/>
  <cols>
    <col min="2" max="2" width="8.28515625" bestFit="1" customWidth="1"/>
    <col min="3" max="3" width="8.42578125" bestFit="1" customWidth="1"/>
    <col min="4" max="4" width="13.42578125" customWidth="1"/>
    <col min="5" max="5" width="15" customWidth="1"/>
    <col min="6" max="6" width="15.140625" customWidth="1"/>
    <col min="7" max="7" width="11.5703125" customWidth="1"/>
    <col min="8" max="8" width="15.85546875" customWidth="1"/>
    <col min="9" max="9" width="11.85546875" customWidth="1"/>
    <col min="10" max="10" width="11.140625" customWidth="1"/>
    <col min="11" max="11" width="10.5703125" customWidth="1"/>
    <col min="12" max="12" width="11" bestFit="1" customWidth="1"/>
    <col min="13" max="13" width="10.85546875" bestFit="1" customWidth="1"/>
    <col min="14" max="15" width="10.5703125" bestFit="1" customWidth="1"/>
    <col min="16" max="16" width="12.28515625" bestFit="1" customWidth="1"/>
    <col min="17" max="17" width="10.5703125" bestFit="1" customWidth="1"/>
    <col min="18" max="18" width="10.28515625" bestFit="1" customWidth="1"/>
    <col min="24" max="24" width="9.42578125" customWidth="1"/>
    <col min="31" max="31" width="10.28515625" bestFit="1" customWidth="1"/>
  </cols>
  <sheetData>
    <row r="1" spans="1:27" ht="15" customHeight="1" x14ac:dyDescent="0.25">
      <c r="A1" s="63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5"/>
      <c r="R1" s="23"/>
      <c r="S1" s="32"/>
      <c r="T1" s="32"/>
    </row>
    <row r="2" spans="1:2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8"/>
      <c r="R2" s="20"/>
      <c r="S2" s="32"/>
      <c r="T2" s="32"/>
    </row>
    <row r="3" spans="1:27" x14ac:dyDescent="0.25">
      <c r="R3" s="30"/>
      <c r="S3" s="23"/>
      <c r="T3" s="23"/>
    </row>
    <row r="4" spans="1:27" ht="18.75" x14ac:dyDescent="0.3">
      <c r="A4" s="70" t="s">
        <v>20</v>
      </c>
      <c r="B4" s="71"/>
      <c r="C4" s="71"/>
      <c r="D4" s="71"/>
      <c r="E4" s="72"/>
      <c r="F4" s="69" t="s">
        <v>30</v>
      </c>
      <c r="G4" s="69"/>
      <c r="H4" s="69"/>
      <c r="I4" s="11">
        <f>MAX(G9:K9)</f>
        <v>318.56445794793751</v>
      </c>
      <c r="R4" s="20"/>
      <c r="S4" s="23"/>
      <c r="T4" s="23"/>
    </row>
    <row r="5" spans="1:27" x14ac:dyDescent="0.25">
      <c r="A5" s="61" t="s">
        <v>18</v>
      </c>
      <c r="B5" s="73"/>
      <c r="C5" s="73"/>
      <c r="D5" s="73"/>
      <c r="E5" s="26">
        <v>4</v>
      </c>
      <c r="F5" s="69" t="s">
        <v>31</v>
      </c>
      <c r="G5" s="69"/>
      <c r="H5" s="69"/>
      <c r="I5" s="8" t="str">
        <f>HLOOKUP(I4,G9:K10,2,FALSE)</f>
        <v>221-240</v>
      </c>
      <c r="L5" s="23"/>
      <c r="M5" s="23"/>
      <c r="N5" s="23"/>
      <c r="R5" s="23"/>
      <c r="S5" s="23"/>
    </row>
    <row r="6" spans="1:27" x14ac:dyDescent="0.25">
      <c r="A6" s="61" t="s">
        <v>16</v>
      </c>
      <c r="B6" s="73"/>
      <c r="C6" s="73"/>
      <c r="D6" s="73"/>
      <c r="E6" s="17">
        <v>1.5</v>
      </c>
      <c r="R6" s="23"/>
      <c r="S6" s="23"/>
    </row>
    <row r="7" spans="1:27" x14ac:dyDescent="0.25">
      <c r="A7" s="61" t="s">
        <v>14</v>
      </c>
      <c r="B7" s="73"/>
      <c r="C7" s="73"/>
      <c r="D7" s="73"/>
      <c r="E7" s="17">
        <v>5.5</v>
      </c>
      <c r="F7" s="39" t="s">
        <v>23</v>
      </c>
    </row>
    <row r="8" spans="1:27" x14ac:dyDescent="0.25">
      <c r="A8" s="61" t="s">
        <v>12</v>
      </c>
      <c r="B8" s="73"/>
      <c r="C8" s="73"/>
      <c r="D8" s="73"/>
      <c r="E8" s="17">
        <v>3</v>
      </c>
      <c r="F8" s="94"/>
      <c r="G8" s="95">
        <v>210</v>
      </c>
      <c r="H8" s="95">
        <v>225</v>
      </c>
      <c r="I8" s="95">
        <v>251</v>
      </c>
      <c r="J8" s="95">
        <v>280</v>
      </c>
      <c r="K8" s="96">
        <v>285</v>
      </c>
    </row>
    <row r="9" spans="1:27" x14ac:dyDescent="0.25">
      <c r="A9" s="61" t="s">
        <v>10</v>
      </c>
      <c r="B9" s="73"/>
      <c r="C9" s="73"/>
      <c r="D9" s="73"/>
      <c r="E9" s="18">
        <v>0.25</v>
      </c>
      <c r="F9" s="97">
        <f ca="1">K386</f>
        <v>309.93241898420274</v>
      </c>
      <c r="G9" s="98">
        <f t="dataTable" ref="G9:K9" dt2D="0" dtr="1" r1="E10" ca="1"/>
        <v>312.67445363480294</v>
      </c>
      <c r="H9" s="98">
        <v>318.56445794793751</v>
      </c>
      <c r="I9" s="98">
        <v>312.22134616592314</v>
      </c>
      <c r="J9" s="99">
        <v>247.65520910607103</v>
      </c>
      <c r="K9" s="100">
        <v>256.18679866331161</v>
      </c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x14ac:dyDescent="0.25">
      <c r="A10" s="74" t="s">
        <v>4</v>
      </c>
      <c r="B10" s="75"/>
      <c r="C10" s="75"/>
      <c r="D10" s="75"/>
      <c r="E10" s="106">
        <v>250</v>
      </c>
      <c r="F10" s="101"/>
      <c r="G10" s="102" t="s">
        <v>9</v>
      </c>
      <c r="H10" s="102" t="s">
        <v>8</v>
      </c>
      <c r="I10" s="102" t="s">
        <v>7</v>
      </c>
      <c r="J10" s="103" t="s">
        <v>6</v>
      </c>
      <c r="K10" s="104" t="s">
        <v>5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8.75" x14ac:dyDescent="0.3">
      <c r="A11" s="70" t="s">
        <v>19</v>
      </c>
      <c r="B11" s="71"/>
      <c r="C11" s="71"/>
      <c r="D11" s="71"/>
      <c r="E11" s="71"/>
      <c r="F11" s="71"/>
      <c r="G11" s="71"/>
      <c r="H11" s="72"/>
      <c r="R11" s="25"/>
      <c r="S11" s="25"/>
      <c r="T11" s="25"/>
      <c r="U11" s="33"/>
      <c r="V11" s="23"/>
      <c r="W11" s="23"/>
      <c r="X11" s="23"/>
      <c r="Y11" s="23"/>
      <c r="Z11" s="23"/>
      <c r="AA11" s="23"/>
    </row>
    <row r="12" spans="1:27" x14ac:dyDescent="0.25">
      <c r="A12" s="61" t="s">
        <v>15</v>
      </c>
      <c r="B12" s="73"/>
      <c r="C12" s="62"/>
      <c r="D12" s="3">
        <f ca="1">200+20*RAND()</f>
        <v>213.78029919249053</v>
      </c>
      <c r="E12" s="4">
        <f ca="1">221+(240-221)*RAND()</f>
        <v>226.53801378517937</v>
      </c>
      <c r="F12" s="4">
        <f ca="1">241+(260-241)*RAND()</f>
        <v>249.51161217841698</v>
      </c>
      <c r="G12" s="4">
        <f ca="1">261+(280-261)*RAND()</f>
        <v>262.82978410942593</v>
      </c>
      <c r="H12" s="6">
        <f ca="1">281+(300-281)*RAND()</f>
        <v>282.3021870788242</v>
      </c>
      <c r="R12" s="25"/>
      <c r="S12" s="25"/>
      <c r="T12" s="25"/>
      <c r="U12" s="34"/>
      <c r="V12" s="23"/>
      <c r="W12" s="23"/>
      <c r="X12" s="23"/>
      <c r="Y12" s="23"/>
      <c r="Z12" s="23"/>
      <c r="AA12" s="23"/>
    </row>
    <row r="13" spans="1:27" x14ac:dyDescent="0.25">
      <c r="A13" s="61" t="s">
        <v>13</v>
      </c>
      <c r="B13" s="73"/>
      <c r="C13" s="62"/>
      <c r="D13" s="5">
        <v>0.15</v>
      </c>
      <c r="E13" s="5">
        <v>0.25</v>
      </c>
      <c r="F13" s="5">
        <v>0.3</v>
      </c>
      <c r="G13" s="5">
        <v>0.2</v>
      </c>
      <c r="H13" s="7">
        <v>0.1</v>
      </c>
      <c r="R13" s="28"/>
      <c r="S13" s="23"/>
      <c r="T13" s="23"/>
      <c r="U13" s="23"/>
      <c r="V13" s="23"/>
      <c r="W13" s="23"/>
      <c r="X13" s="23"/>
      <c r="Y13" s="23"/>
      <c r="Z13" s="23"/>
      <c r="AA13" s="23"/>
    </row>
    <row r="14" spans="1:27" x14ac:dyDescent="0.25">
      <c r="A14" s="82"/>
      <c r="B14" s="83"/>
      <c r="C14" s="84"/>
      <c r="D14" s="15" t="s">
        <v>9</v>
      </c>
      <c r="E14" s="15" t="s">
        <v>8</v>
      </c>
      <c r="F14" s="15" t="s">
        <v>7</v>
      </c>
      <c r="G14" s="15" t="s">
        <v>6</v>
      </c>
      <c r="H14" s="16" t="s">
        <v>5</v>
      </c>
      <c r="R14" s="30"/>
      <c r="S14" s="23"/>
      <c r="T14" s="23"/>
      <c r="U14" s="23"/>
      <c r="V14" s="23"/>
      <c r="W14" s="23"/>
      <c r="X14" s="35"/>
      <c r="Y14" s="23"/>
      <c r="Z14" s="23"/>
      <c r="AA14" s="23"/>
    </row>
    <row r="15" spans="1:27" x14ac:dyDescent="0.25">
      <c r="A15" s="76" t="s">
        <v>35</v>
      </c>
      <c r="B15" s="77"/>
      <c r="C15" s="77"/>
      <c r="D15" s="78"/>
      <c r="R15" s="23"/>
      <c r="S15" s="20"/>
      <c r="T15" s="20"/>
      <c r="U15" s="20"/>
      <c r="V15" s="20"/>
      <c r="W15" s="20"/>
      <c r="X15" s="20"/>
      <c r="Y15" s="20"/>
      <c r="Z15" s="20"/>
      <c r="AA15" s="23"/>
    </row>
    <row r="16" spans="1:27" x14ac:dyDescent="0.25">
      <c r="A16" s="79"/>
      <c r="B16" s="80"/>
      <c r="C16" s="80"/>
      <c r="D16" s="81"/>
      <c r="R16" s="28"/>
      <c r="S16" s="23"/>
      <c r="T16" s="23"/>
      <c r="U16" s="23"/>
      <c r="V16" s="23"/>
      <c r="W16" s="23"/>
      <c r="X16" s="23"/>
      <c r="Y16" s="23"/>
      <c r="Z16" s="23"/>
      <c r="AA16" s="23"/>
    </row>
    <row r="17" spans="1:27" x14ac:dyDescent="0.25"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25">
      <c r="A18" s="2" t="s">
        <v>3</v>
      </c>
      <c r="B18" s="126" t="s">
        <v>2</v>
      </c>
      <c r="C18" s="126" t="s">
        <v>1</v>
      </c>
      <c r="D18" s="127" t="s">
        <v>25</v>
      </c>
      <c r="E18" s="128" t="s">
        <v>26</v>
      </c>
      <c r="F18" s="129" t="s">
        <v>27</v>
      </c>
      <c r="G18" s="130" t="s">
        <v>28</v>
      </c>
      <c r="H18" s="129" t="s">
        <v>29</v>
      </c>
      <c r="I18" s="126" t="s">
        <v>21</v>
      </c>
      <c r="J18" s="126" t="s">
        <v>0</v>
      </c>
      <c r="K18" s="137" t="s">
        <v>24</v>
      </c>
      <c r="L18" s="28"/>
      <c r="M18" s="28"/>
      <c r="N18" s="28"/>
      <c r="O18" s="29"/>
      <c r="R18" s="30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25">
      <c r="A19" s="10"/>
      <c r="B19" s="131"/>
      <c r="C19" s="132">
        <v>0</v>
      </c>
      <c r="D19" s="132">
        <v>0</v>
      </c>
      <c r="E19" s="132">
        <v>0</v>
      </c>
      <c r="F19" s="133"/>
      <c r="G19" s="133"/>
      <c r="H19" s="134"/>
      <c r="I19" s="135"/>
      <c r="J19" s="138"/>
      <c r="K19" s="125"/>
      <c r="L19" s="23"/>
      <c r="M19" s="23"/>
      <c r="N19" s="23"/>
      <c r="O19" s="23"/>
      <c r="R19" s="23"/>
      <c r="S19" s="20"/>
      <c r="T19" s="20"/>
      <c r="U19" s="20"/>
      <c r="V19" s="20"/>
      <c r="W19" s="20"/>
      <c r="X19" s="20"/>
      <c r="Y19" s="20"/>
      <c r="Z19" s="20"/>
      <c r="AA19" s="23"/>
    </row>
    <row r="20" spans="1:27" x14ac:dyDescent="0.25">
      <c r="A20" s="10">
        <v>1</v>
      </c>
      <c r="B20" s="27">
        <f t="shared" ref="B20:B83" ca="1" si="0">RAND()</f>
        <v>0.96914336266362366</v>
      </c>
      <c r="C20" s="21">
        <f ca="1">200+(300-200)*B20</f>
        <v>296.9143362663624</v>
      </c>
      <c r="D20" s="21">
        <f t="shared" ref="D20:D83" si="1">$E$10+E19</f>
        <v>250</v>
      </c>
      <c r="E20" s="21">
        <f t="shared" ref="E20:E83" ca="1" si="2">IF(C20&gt;$E$10,0,$E$10-C20)</f>
        <v>0</v>
      </c>
      <c r="F20" s="41">
        <f ca="1">IF(C20&gt;D20,0,D20-C20)</f>
        <v>0</v>
      </c>
      <c r="G20" s="41">
        <f t="shared" ref="G20:G83" ca="1" si="3">IF(C21&gt;$E$10,C21-$E$10,0)</f>
        <v>2.0405452724039321</v>
      </c>
      <c r="H20" s="42">
        <f ca="1">IF(G20&gt;F20,0,IF(G20&lt;F20,F20-G20,0))</f>
        <v>0</v>
      </c>
      <c r="I20" s="9">
        <f t="shared" ref="I20:I83" ca="1" si="4">IF($E$10&lt;C20,$E$10*$E$7,$E$9*($E$10-C20)+(C20*$E$7)+IF($E$10&lt;C21,H20*$E$8,E19*$E$8))</f>
        <v>1375</v>
      </c>
      <c r="J20" s="30">
        <f t="shared" ref="J20:J83" ca="1" si="5">IF(H20&gt;0,$E$10*$E$5+H20*$E$6,$E$10*$E$5)</f>
        <v>1000</v>
      </c>
      <c r="K20" s="122">
        <f ca="1">I20-J20</f>
        <v>375</v>
      </c>
      <c r="L20" s="30"/>
      <c r="M20" s="30"/>
      <c r="N20" s="30"/>
      <c r="O20" s="30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x14ac:dyDescent="0.25">
      <c r="A21" s="10">
        <v>2</v>
      </c>
      <c r="B21" s="27">
        <f t="shared" ca="1" si="0"/>
        <v>0.52040545272403926</v>
      </c>
      <c r="C21" s="21">
        <f t="shared" ref="C21:C84" ca="1" si="6">200+(300-200)*B21</f>
        <v>252.04054527240393</v>
      </c>
      <c r="D21" s="21">
        <f t="shared" ca="1" si="1"/>
        <v>250</v>
      </c>
      <c r="E21" s="21">
        <f t="shared" ca="1" si="2"/>
        <v>0</v>
      </c>
      <c r="F21" s="22">
        <f t="shared" ref="F21:F84" ca="1" si="7">IF(C21&gt;D21,0,D21-C21)</f>
        <v>0</v>
      </c>
      <c r="G21" s="22">
        <f t="shared" ca="1" si="3"/>
        <v>0</v>
      </c>
      <c r="H21" s="31">
        <f t="shared" ref="H21:H84" ca="1" si="8">IF(G21&gt;F21,0,IF(G21&lt;F21,F21-G21,0))</f>
        <v>0</v>
      </c>
      <c r="I21" s="9">
        <f t="shared" ca="1" si="4"/>
        <v>1375</v>
      </c>
      <c r="J21" s="30">
        <f t="shared" ca="1" si="5"/>
        <v>1000</v>
      </c>
      <c r="K21" s="122">
        <f t="shared" ref="K21:K84" ca="1" si="9">I21-J21</f>
        <v>375</v>
      </c>
      <c r="L21" s="30"/>
      <c r="M21" s="30"/>
      <c r="N21" s="30"/>
      <c r="O21" s="30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10">
        <v>3</v>
      </c>
      <c r="B22" s="27">
        <f t="shared" ca="1" si="0"/>
        <v>0.4956214384796318</v>
      </c>
      <c r="C22" s="21">
        <f t="shared" ca="1" si="6"/>
        <v>249.56214384796317</v>
      </c>
      <c r="D22" s="21">
        <f t="shared" ca="1" si="1"/>
        <v>250</v>
      </c>
      <c r="E22" s="21">
        <f t="shared" ca="1" si="2"/>
        <v>0.43785615203682937</v>
      </c>
      <c r="F22" s="22">
        <f t="shared" ca="1" si="7"/>
        <v>0.43785615203682937</v>
      </c>
      <c r="G22" s="22">
        <f t="shared" ca="1" si="3"/>
        <v>0</v>
      </c>
      <c r="H22" s="31">
        <f t="shared" ca="1" si="8"/>
        <v>0.43785615203682937</v>
      </c>
      <c r="I22" s="9">
        <f t="shared" ca="1" si="4"/>
        <v>1372.7012552018068</v>
      </c>
      <c r="J22" s="30">
        <f t="shared" ca="1" si="5"/>
        <v>1000.6567842280552</v>
      </c>
      <c r="K22" s="122">
        <f t="shared" ca="1" si="9"/>
        <v>372.04447097375157</v>
      </c>
      <c r="L22" s="30"/>
      <c r="M22" s="30"/>
      <c r="N22" s="30"/>
      <c r="O22" s="30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x14ac:dyDescent="0.25">
      <c r="A23" s="10">
        <v>4</v>
      </c>
      <c r="B23" s="27">
        <f t="shared" ca="1" si="0"/>
        <v>0.15927840141696936</v>
      </c>
      <c r="C23" s="21">
        <f t="shared" ca="1" si="6"/>
        <v>215.92784014169695</v>
      </c>
      <c r="D23" s="21">
        <f t="shared" ca="1" si="1"/>
        <v>250.43785615203683</v>
      </c>
      <c r="E23" s="21">
        <f t="shared" ca="1" si="2"/>
        <v>34.072159858303053</v>
      </c>
      <c r="F23" s="22">
        <f t="shared" ca="1" si="7"/>
        <v>34.510016010339882</v>
      </c>
      <c r="G23" s="22">
        <f t="shared" ca="1" si="3"/>
        <v>0</v>
      </c>
      <c r="H23" s="31">
        <f t="shared" ca="1" si="8"/>
        <v>34.510016010339882</v>
      </c>
      <c r="I23" s="9">
        <f t="shared" ca="1" si="4"/>
        <v>1197.4347292000195</v>
      </c>
      <c r="J23" s="30">
        <f t="shared" ca="1" si="5"/>
        <v>1051.7650240155099</v>
      </c>
      <c r="K23" s="122">
        <f ca="1">I23-J23</f>
        <v>145.66970518450967</v>
      </c>
      <c r="L23" s="30"/>
      <c r="M23" s="30"/>
      <c r="N23" s="30"/>
      <c r="O23" s="30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x14ac:dyDescent="0.25">
      <c r="A24" s="10">
        <v>5</v>
      </c>
      <c r="B24" s="27">
        <f t="shared" ca="1" si="0"/>
        <v>0.24164932590329025</v>
      </c>
      <c r="C24" s="21">
        <f t="shared" ca="1" si="6"/>
        <v>224.16493259032902</v>
      </c>
      <c r="D24" s="21">
        <f t="shared" ca="1" si="1"/>
        <v>284.07215985830305</v>
      </c>
      <c r="E24" s="21">
        <f t="shared" ca="1" si="2"/>
        <v>25.835067409670984</v>
      </c>
      <c r="F24" s="22">
        <f t="shared" ca="1" si="7"/>
        <v>59.907227267974037</v>
      </c>
      <c r="G24" s="22">
        <f t="shared" ca="1" si="3"/>
        <v>0</v>
      </c>
      <c r="H24" s="31">
        <f t="shared" ca="1" si="8"/>
        <v>59.907227267974037</v>
      </c>
      <c r="I24" s="9">
        <f t="shared" ca="1" si="4"/>
        <v>1341.5823756741365</v>
      </c>
      <c r="J24" s="30">
        <f t="shared" ca="1" si="5"/>
        <v>1089.860840901961</v>
      </c>
      <c r="K24" s="122">
        <f t="shared" ca="1" si="9"/>
        <v>251.72153477217557</v>
      </c>
      <c r="L24" s="30"/>
      <c r="M24" s="30"/>
      <c r="N24" s="30"/>
      <c r="O24" s="30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x14ac:dyDescent="0.25">
      <c r="A25" s="10">
        <v>6</v>
      </c>
      <c r="B25" s="27">
        <f t="shared" ca="1" si="0"/>
        <v>0.20425637948337139</v>
      </c>
      <c r="C25" s="21">
        <f t="shared" ca="1" si="6"/>
        <v>220.42563794833714</v>
      </c>
      <c r="D25" s="21">
        <f t="shared" ca="1" si="1"/>
        <v>275.83506740967096</v>
      </c>
      <c r="E25" s="21">
        <f t="shared" ca="1" si="2"/>
        <v>29.57436205166286</v>
      </c>
      <c r="F25" s="22">
        <f t="shared" ca="1" si="7"/>
        <v>55.409429461333815</v>
      </c>
      <c r="G25" s="22">
        <f t="shared" ca="1" si="3"/>
        <v>0</v>
      </c>
      <c r="H25" s="31">
        <f t="shared" ca="1" si="8"/>
        <v>55.409429461333815</v>
      </c>
      <c r="I25" s="9">
        <f t="shared" ca="1" si="4"/>
        <v>1297.239801457783</v>
      </c>
      <c r="J25" s="30">
        <f t="shared" ca="1" si="5"/>
        <v>1083.1141441920008</v>
      </c>
      <c r="K25" s="122">
        <f t="shared" ca="1" si="9"/>
        <v>214.12565726578214</v>
      </c>
      <c r="L25" s="30"/>
      <c r="M25" s="30"/>
      <c r="N25" s="30"/>
      <c r="O25" s="30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x14ac:dyDescent="0.25">
      <c r="A26" s="10">
        <v>7</v>
      </c>
      <c r="B26" s="27">
        <f t="shared" ca="1" si="0"/>
        <v>2.8385843578789038E-2</v>
      </c>
      <c r="C26" s="21">
        <f t="shared" ca="1" si="6"/>
        <v>202.83858435787891</v>
      </c>
      <c r="D26" s="21">
        <f t="shared" ca="1" si="1"/>
        <v>279.57436205166289</v>
      </c>
      <c r="E26" s="21">
        <f t="shared" ca="1" si="2"/>
        <v>47.161415642121085</v>
      </c>
      <c r="F26" s="22">
        <f t="shared" ca="1" si="7"/>
        <v>76.735777693783973</v>
      </c>
      <c r="G26" s="22">
        <f t="shared" ca="1" si="3"/>
        <v>0</v>
      </c>
      <c r="H26" s="31">
        <f t="shared" ca="1" si="8"/>
        <v>76.735777693783973</v>
      </c>
      <c r="I26" s="9">
        <f t="shared" ca="1" si="4"/>
        <v>1216.1256540338529</v>
      </c>
      <c r="J26" s="30">
        <f t="shared" ca="1" si="5"/>
        <v>1115.1036665406759</v>
      </c>
      <c r="K26" s="122">
        <f t="shared" ca="1" si="9"/>
        <v>101.02198749317699</v>
      </c>
      <c r="L26" s="30"/>
      <c r="M26" s="30"/>
      <c r="N26" s="30"/>
      <c r="O26" s="30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x14ac:dyDescent="0.25">
      <c r="A27" s="10">
        <v>8</v>
      </c>
      <c r="B27" s="27">
        <f t="shared" ca="1" si="0"/>
        <v>0.48239640565987185</v>
      </c>
      <c r="C27" s="21">
        <f t="shared" ca="1" si="6"/>
        <v>248.2396405659872</v>
      </c>
      <c r="D27" s="21">
        <f t="shared" ca="1" si="1"/>
        <v>297.16141564212109</v>
      </c>
      <c r="E27" s="21">
        <f t="shared" ca="1" si="2"/>
        <v>1.7603594340127984</v>
      </c>
      <c r="F27" s="22">
        <f t="shared" ca="1" si="7"/>
        <v>48.921775076133883</v>
      </c>
      <c r="G27" s="22">
        <f t="shared" ca="1" si="3"/>
        <v>0</v>
      </c>
      <c r="H27" s="31">
        <f t="shared" ca="1" si="8"/>
        <v>48.921775076133883</v>
      </c>
      <c r="I27" s="9">
        <f t="shared" ca="1" si="4"/>
        <v>1507.242359897796</v>
      </c>
      <c r="J27" s="30">
        <f t="shared" ca="1" si="5"/>
        <v>1073.3826626142009</v>
      </c>
      <c r="K27" s="122">
        <f t="shared" ca="1" si="9"/>
        <v>433.8596972835951</v>
      </c>
      <c r="L27" s="30"/>
      <c r="M27" s="30"/>
      <c r="N27" s="30"/>
      <c r="O27" s="30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25">
      <c r="A28" s="10">
        <v>9</v>
      </c>
      <c r="B28" s="27">
        <f t="shared" ca="1" si="0"/>
        <v>0.25396761472980756</v>
      </c>
      <c r="C28" s="21">
        <f t="shared" ca="1" si="6"/>
        <v>225.39676147298076</v>
      </c>
      <c r="D28" s="21">
        <f t="shared" ca="1" si="1"/>
        <v>251.7603594340128</v>
      </c>
      <c r="E28" s="21">
        <f t="shared" ca="1" si="2"/>
        <v>24.603238527019244</v>
      </c>
      <c r="F28" s="22">
        <f t="shared" ca="1" si="7"/>
        <v>26.363597961032042</v>
      </c>
      <c r="G28" s="22">
        <f t="shared" ca="1" si="3"/>
        <v>0</v>
      </c>
      <c r="H28" s="31">
        <f t="shared" ca="1" si="8"/>
        <v>26.363597961032042</v>
      </c>
      <c r="I28" s="9">
        <f t="shared" ca="1" si="4"/>
        <v>1251.1140760351873</v>
      </c>
      <c r="J28" s="30">
        <f t="shared" ca="1" si="5"/>
        <v>1039.545396941548</v>
      </c>
      <c r="K28" s="122">
        <f t="shared" ca="1" si="9"/>
        <v>211.56867909363928</v>
      </c>
      <c r="L28" s="30"/>
      <c r="M28" s="30"/>
      <c r="N28" s="30"/>
      <c r="O28" s="30"/>
      <c r="R28" s="25"/>
      <c r="S28" s="25"/>
      <c r="T28" s="25"/>
      <c r="U28" s="33"/>
      <c r="V28" s="23"/>
      <c r="W28" s="23"/>
      <c r="X28" s="23"/>
      <c r="Y28" s="23"/>
      <c r="Z28" s="23"/>
      <c r="AA28" s="23"/>
    </row>
    <row r="29" spans="1:27" x14ac:dyDescent="0.25">
      <c r="A29" s="10">
        <v>10</v>
      </c>
      <c r="B29" s="27">
        <f t="shared" ca="1" si="0"/>
        <v>0.28439952204107477</v>
      </c>
      <c r="C29" s="21">
        <f t="shared" ca="1" si="6"/>
        <v>228.43995220410747</v>
      </c>
      <c r="D29" s="21">
        <f t="shared" ca="1" si="1"/>
        <v>274.60323852701924</v>
      </c>
      <c r="E29" s="21">
        <f t="shared" ca="1" si="2"/>
        <v>21.56004779589253</v>
      </c>
      <c r="F29" s="22">
        <f t="shared" ca="1" si="7"/>
        <v>46.163286322911773</v>
      </c>
      <c r="G29" s="22">
        <f t="shared" ca="1" si="3"/>
        <v>29.600651551385397</v>
      </c>
      <c r="H29" s="31">
        <f t="shared" ca="1" si="8"/>
        <v>16.562634771526376</v>
      </c>
      <c r="I29" s="9">
        <f t="shared" ca="1" si="4"/>
        <v>1311.4976533861434</v>
      </c>
      <c r="J29" s="30">
        <f t="shared" ca="1" si="5"/>
        <v>1024.8439521572896</v>
      </c>
      <c r="K29" s="122">
        <f t="shared" ca="1" si="9"/>
        <v>286.65370122885383</v>
      </c>
      <c r="L29" s="30"/>
      <c r="M29" s="30"/>
      <c r="N29" s="30"/>
      <c r="O29" s="30"/>
      <c r="R29" s="25"/>
      <c r="S29" s="25"/>
      <c r="T29" s="25"/>
      <c r="U29" s="34"/>
      <c r="V29" s="23"/>
      <c r="W29" s="23"/>
      <c r="X29" s="23"/>
      <c r="Y29" s="23"/>
      <c r="Z29" s="23"/>
      <c r="AA29" s="23"/>
    </row>
    <row r="30" spans="1:27" x14ac:dyDescent="0.25">
      <c r="A30" s="10">
        <v>11</v>
      </c>
      <c r="B30" s="27">
        <f t="shared" ca="1" si="0"/>
        <v>0.79600651551385382</v>
      </c>
      <c r="C30" s="21">
        <f t="shared" ca="1" si="6"/>
        <v>279.6006515513854</v>
      </c>
      <c r="D30" s="21">
        <f t="shared" ca="1" si="1"/>
        <v>271.5600477958925</v>
      </c>
      <c r="E30" s="21">
        <f t="shared" ca="1" si="2"/>
        <v>0</v>
      </c>
      <c r="F30" s="22">
        <f t="shared" ca="1" si="7"/>
        <v>0</v>
      </c>
      <c r="G30" s="22">
        <f t="shared" ca="1" si="3"/>
        <v>0</v>
      </c>
      <c r="H30" s="31">
        <f t="shared" ca="1" si="8"/>
        <v>0</v>
      </c>
      <c r="I30" s="9">
        <f t="shared" ca="1" si="4"/>
        <v>1375</v>
      </c>
      <c r="J30" s="30">
        <f t="shared" ca="1" si="5"/>
        <v>1000</v>
      </c>
      <c r="K30" s="122">
        <f t="shared" ca="1" si="9"/>
        <v>375</v>
      </c>
      <c r="L30" s="30"/>
      <c r="M30" s="30"/>
      <c r="N30" s="30"/>
      <c r="O30" s="30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x14ac:dyDescent="0.25">
      <c r="A31" s="10">
        <v>12</v>
      </c>
      <c r="B31" s="27">
        <f t="shared" ca="1" si="0"/>
        <v>0.23831681871038035</v>
      </c>
      <c r="C31" s="21">
        <f t="shared" ca="1" si="6"/>
        <v>223.83168187103803</v>
      </c>
      <c r="D31" s="21">
        <f t="shared" ca="1" si="1"/>
        <v>250</v>
      </c>
      <c r="E31" s="21">
        <f t="shared" ca="1" si="2"/>
        <v>26.168318128961971</v>
      </c>
      <c r="F31" s="22">
        <f t="shared" ca="1" si="7"/>
        <v>26.168318128961971</v>
      </c>
      <c r="G31" s="22">
        <f t="shared" ca="1" si="3"/>
        <v>47.397040325123839</v>
      </c>
      <c r="H31" s="31">
        <f t="shared" ca="1" si="8"/>
        <v>0</v>
      </c>
      <c r="I31" s="9">
        <f t="shared" ca="1" si="4"/>
        <v>1237.6163298229496</v>
      </c>
      <c r="J31" s="30">
        <f t="shared" ca="1" si="5"/>
        <v>1000</v>
      </c>
      <c r="K31" s="122">
        <f t="shared" ca="1" si="9"/>
        <v>237.61632982294964</v>
      </c>
      <c r="L31" s="30"/>
      <c r="M31" s="30"/>
      <c r="N31" s="30"/>
      <c r="O31" s="30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5">
      <c r="A32" s="10">
        <v>13</v>
      </c>
      <c r="B32" s="27">
        <f t="shared" ca="1" si="0"/>
        <v>0.97397040325123851</v>
      </c>
      <c r="C32" s="21">
        <f t="shared" ca="1" si="6"/>
        <v>297.39704032512384</v>
      </c>
      <c r="D32" s="21">
        <f t="shared" ca="1" si="1"/>
        <v>276.16831812896197</v>
      </c>
      <c r="E32" s="21">
        <f t="shared" ca="1" si="2"/>
        <v>0</v>
      </c>
      <c r="F32" s="22">
        <f t="shared" ca="1" si="7"/>
        <v>0</v>
      </c>
      <c r="G32" s="22">
        <f t="shared" ca="1" si="3"/>
        <v>12.566149285223332</v>
      </c>
      <c r="H32" s="31">
        <f t="shared" ca="1" si="8"/>
        <v>0</v>
      </c>
      <c r="I32" s="9">
        <f t="shared" ca="1" si="4"/>
        <v>1375</v>
      </c>
      <c r="J32" s="30">
        <f t="shared" ca="1" si="5"/>
        <v>1000</v>
      </c>
      <c r="K32" s="122">
        <f t="shared" ca="1" si="9"/>
        <v>375</v>
      </c>
      <c r="L32" s="30"/>
      <c r="M32" s="30"/>
      <c r="N32" s="30"/>
      <c r="O32" s="30"/>
      <c r="R32" s="25"/>
      <c r="S32" s="25"/>
      <c r="T32" s="25"/>
      <c r="U32" s="33"/>
      <c r="V32" s="23"/>
      <c r="W32" s="23"/>
      <c r="X32" s="23"/>
      <c r="Y32" s="23"/>
      <c r="Z32" s="23"/>
      <c r="AA32" s="23"/>
    </row>
    <row r="33" spans="1:27" x14ac:dyDescent="0.25">
      <c r="A33" s="10">
        <v>14</v>
      </c>
      <c r="B33" s="43">
        <f t="shared" ca="1" si="0"/>
        <v>0.62566149285223316</v>
      </c>
      <c r="C33" s="44">
        <f t="shared" ca="1" si="6"/>
        <v>262.56614928522333</v>
      </c>
      <c r="D33" s="44">
        <f t="shared" ca="1" si="1"/>
        <v>250</v>
      </c>
      <c r="E33" s="44">
        <f t="shared" ca="1" si="2"/>
        <v>0</v>
      </c>
      <c r="F33" s="45">
        <f t="shared" ca="1" si="7"/>
        <v>0</v>
      </c>
      <c r="G33" s="45">
        <f t="shared" ca="1" si="3"/>
        <v>44.900656956347007</v>
      </c>
      <c r="H33" s="46">
        <f t="shared" ca="1" si="8"/>
        <v>0</v>
      </c>
      <c r="I33" s="1">
        <f t="shared" ca="1" si="4"/>
        <v>1375</v>
      </c>
      <c r="J33" s="47">
        <f t="shared" ca="1" si="5"/>
        <v>1000</v>
      </c>
      <c r="K33" s="123">
        <f t="shared" ca="1" si="9"/>
        <v>375</v>
      </c>
      <c r="L33" s="30"/>
      <c r="M33" s="30"/>
      <c r="N33" s="30"/>
      <c r="O33" s="30"/>
      <c r="R33" s="25"/>
      <c r="S33" s="25"/>
      <c r="T33" s="25"/>
      <c r="U33" s="34"/>
      <c r="V33" s="23"/>
      <c r="W33" s="23"/>
      <c r="X33" s="23"/>
      <c r="Y33" s="23"/>
      <c r="Z33" s="23"/>
      <c r="AA33" s="23"/>
    </row>
    <row r="34" spans="1:27" x14ac:dyDescent="0.25">
      <c r="A34" s="10">
        <v>15</v>
      </c>
      <c r="B34" s="48">
        <f t="shared" ca="1" si="0"/>
        <v>0.94900656956346985</v>
      </c>
      <c r="C34" s="49">
        <f t="shared" ca="1" si="6"/>
        <v>294.90065695634701</v>
      </c>
      <c r="D34" s="49">
        <f t="shared" ca="1" si="1"/>
        <v>250</v>
      </c>
      <c r="E34" s="49">
        <f t="shared" ca="1" si="2"/>
        <v>0</v>
      </c>
      <c r="F34" s="50">
        <f t="shared" ca="1" si="7"/>
        <v>0</v>
      </c>
      <c r="G34" s="50">
        <f t="shared" ca="1" si="3"/>
        <v>0</v>
      </c>
      <c r="H34" s="51">
        <f t="shared" ca="1" si="8"/>
        <v>0</v>
      </c>
      <c r="I34" s="52">
        <f t="shared" ca="1" si="4"/>
        <v>1375</v>
      </c>
      <c r="J34" s="53">
        <f t="shared" ca="1" si="5"/>
        <v>1000</v>
      </c>
      <c r="K34" s="124">
        <f t="shared" ca="1" si="9"/>
        <v>375</v>
      </c>
      <c r="L34" s="30"/>
      <c r="M34" s="30"/>
      <c r="N34" s="30"/>
      <c r="O34" s="30"/>
      <c r="R34" s="28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A35" s="10">
        <v>16</v>
      </c>
      <c r="B35" s="27">
        <f t="shared" ca="1" si="0"/>
        <v>0.11833246293682109</v>
      </c>
      <c r="C35" s="21">
        <f t="shared" ca="1" si="6"/>
        <v>211.83324629368212</v>
      </c>
      <c r="D35" s="21">
        <f t="shared" ca="1" si="1"/>
        <v>250</v>
      </c>
      <c r="E35" s="21">
        <f t="shared" ca="1" si="2"/>
        <v>38.166753706317877</v>
      </c>
      <c r="F35" s="22">
        <f t="shared" ca="1" si="7"/>
        <v>38.166753706317877</v>
      </c>
      <c r="G35" s="22">
        <f t="shared" ca="1" si="3"/>
        <v>0</v>
      </c>
      <c r="H35" s="31">
        <f t="shared" ca="1" si="8"/>
        <v>38.166753706317877</v>
      </c>
      <c r="I35" s="9">
        <f t="shared" ca="1" si="4"/>
        <v>1174.624543041831</v>
      </c>
      <c r="J35" s="30">
        <f t="shared" ca="1" si="5"/>
        <v>1057.2501305594769</v>
      </c>
      <c r="K35" s="122">
        <f t="shared" ca="1" si="9"/>
        <v>117.37441248235405</v>
      </c>
      <c r="L35" s="30"/>
      <c r="M35" s="30"/>
      <c r="N35" s="30"/>
      <c r="O35" s="30"/>
      <c r="R35" s="30"/>
      <c r="S35" s="23"/>
      <c r="T35" s="23"/>
      <c r="U35" s="23"/>
      <c r="V35" s="23"/>
      <c r="W35" s="23"/>
      <c r="X35" s="35"/>
      <c r="Y35" s="23"/>
      <c r="Z35" s="23"/>
      <c r="AA35" s="23"/>
    </row>
    <row r="36" spans="1:27" x14ac:dyDescent="0.25">
      <c r="A36" s="10">
        <v>17</v>
      </c>
      <c r="B36" s="27">
        <f t="shared" ca="1" si="0"/>
        <v>0.27775499756400479</v>
      </c>
      <c r="C36" s="21">
        <f t="shared" ca="1" si="6"/>
        <v>227.77549975640048</v>
      </c>
      <c r="D36" s="21">
        <f t="shared" ca="1" si="1"/>
        <v>288.16675370631788</v>
      </c>
      <c r="E36" s="21">
        <f t="shared" ca="1" si="2"/>
        <v>22.224500243599522</v>
      </c>
      <c r="F36" s="22">
        <f t="shared" ca="1" si="7"/>
        <v>60.391253949917399</v>
      </c>
      <c r="G36" s="22">
        <f t="shared" ca="1" si="3"/>
        <v>36.744473647051564</v>
      </c>
      <c r="H36" s="31">
        <f t="shared" ca="1" si="8"/>
        <v>23.646780302865835</v>
      </c>
      <c r="I36" s="9">
        <f t="shared" ca="1" si="4"/>
        <v>1329.2617146297</v>
      </c>
      <c r="J36" s="30">
        <f t="shared" ca="1" si="5"/>
        <v>1035.4701704542988</v>
      </c>
      <c r="K36" s="122">
        <f t="shared" ca="1" si="9"/>
        <v>293.79154417540121</v>
      </c>
      <c r="L36" s="30"/>
      <c r="M36" s="30"/>
      <c r="N36" s="30"/>
      <c r="O36" s="30"/>
      <c r="R36" s="23"/>
      <c r="S36" s="20"/>
      <c r="T36" s="20"/>
      <c r="U36" s="20"/>
      <c r="V36" s="20"/>
      <c r="W36" s="20"/>
      <c r="X36" s="20"/>
      <c r="Y36" s="20"/>
      <c r="Z36" s="20"/>
      <c r="AA36" s="23"/>
    </row>
    <row r="37" spans="1:27" x14ac:dyDescent="0.25">
      <c r="A37" s="10">
        <v>18</v>
      </c>
      <c r="B37" s="27">
        <f t="shared" ca="1" si="0"/>
        <v>0.86744473647051556</v>
      </c>
      <c r="C37" s="21">
        <f t="shared" ca="1" si="6"/>
        <v>286.74447364705156</v>
      </c>
      <c r="D37" s="21">
        <f t="shared" ca="1" si="1"/>
        <v>272.22450024359955</v>
      </c>
      <c r="E37" s="21">
        <f t="shared" ca="1" si="2"/>
        <v>0</v>
      </c>
      <c r="F37" s="22">
        <f t="shared" ca="1" si="7"/>
        <v>0</v>
      </c>
      <c r="G37" s="22">
        <f t="shared" ca="1" si="3"/>
        <v>0</v>
      </c>
      <c r="H37" s="31">
        <f t="shared" ca="1" si="8"/>
        <v>0</v>
      </c>
      <c r="I37" s="9">
        <f t="shared" ca="1" si="4"/>
        <v>1375</v>
      </c>
      <c r="J37" s="30">
        <f t="shared" ca="1" si="5"/>
        <v>1000</v>
      </c>
      <c r="K37" s="122">
        <f t="shared" ca="1" si="9"/>
        <v>375</v>
      </c>
      <c r="L37" s="30"/>
      <c r="M37" s="30"/>
      <c r="N37" s="30"/>
      <c r="O37" s="30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5">
      <c r="A38" s="10">
        <v>19</v>
      </c>
      <c r="B38" s="27">
        <f t="shared" ca="1" si="0"/>
        <v>0.16361262034121915</v>
      </c>
      <c r="C38" s="21">
        <f t="shared" ca="1" si="6"/>
        <v>216.36126203412192</v>
      </c>
      <c r="D38" s="21">
        <f t="shared" ca="1" si="1"/>
        <v>250</v>
      </c>
      <c r="E38" s="21">
        <f t="shared" ca="1" si="2"/>
        <v>33.638737965878079</v>
      </c>
      <c r="F38" s="22">
        <f t="shared" ca="1" si="7"/>
        <v>33.638737965878079</v>
      </c>
      <c r="G38" s="22">
        <f t="shared" ca="1" si="3"/>
        <v>0</v>
      </c>
      <c r="H38" s="31">
        <f t="shared" ca="1" si="8"/>
        <v>33.638737965878079</v>
      </c>
      <c r="I38" s="9">
        <f t="shared" ca="1" si="4"/>
        <v>1198.39662567914</v>
      </c>
      <c r="J38" s="30">
        <f t="shared" ca="1" si="5"/>
        <v>1050.4581069488172</v>
      </c>
      <c r="K38" s="122">
        <f t="shared" ca="1" si="9"/>
        <v>147.93851873032281</v>
      </c>
      <c r="L38" s="30"/>
      <c r="M38" s="30"/>
      <c r="N38" s="30"/>
      <c r="O38" s="30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5">
      <c r="A39" s="10">
        <v>20</v>
      </c>
      <c r="B39" s="27">
        <f t="shared" ca="1" si="0"/>
        <v>0.41166150877649932</v>
      </c>
      <c r="C39" s="21">
        <f t="shared" ca="1" si="6"/>
        <v>241.16615087764993</v>
      </c>
      <c r="D39" s="21">
        <f t="shared" ca="1" si="1"/>
        <v>283.63873796587808</v>
      </c>
      <c r="E39" s="21">
        <f t="shared" ca="1" si="2"/>
        <v>8.8338491223500739</v>
      </c>
      <c r="F39" s="22">
        <f t="shared" ca="1" si="7"/>
        <v>42.472587088228153</v>
      </c>
      <c r="G39" s="22">
        <f t="shared" ca="1" si="3"/>
        <v>34.747674151337833</v>
      </c>
      <c r="H39" s="31">
        <f t="shared" ca="1" si="8"/>
        <v>7.7249129368903198</v>
      </c>
      <c r="I39" s="9">
        <f t="shared" ca="1" si="4"/>
        <v>1351.7970309183331</v>
      </c>
      <c r="J39" s="30">
        <f t="shared" ca="1" si="5"/>
        <v>1011.5873694053355</v>
      </c>
      <c r="K39" s="122">
        <f t="shared" ca="1" si="9"/>
        <v>340.20966151299763</v>
      </c>
      <c r="L39" s="30"/>
      <c r="M39" s="30"/>
      <c r="N39" s="30"/>
      <c r="O39" s="30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5">
      <c r="A40" s="10">
        <v>21</v>
      </c>
      <c r="B40" s="27">
        <f t="shared" ca="1" si="0"/>
        <v>0.84747674151337826</v>
      </c>
      <c r="C40" s="21">
        <f t="shared" ca="1" si="6"/>
        <v>284.74767415133783</v>
      </c>
      <c r="D40" s="21">
        <f t="shared" ca="1" si="1"/>
        <v>258.8338491223501</v>
      </c>
      <c r="E40" s="21">
        <f t="shared" ca="1" si="2"/>
        <v>0</v>
      </c>
      <c r="F40" s="22">
        <f t="shared" ca="1" si="7"/>
        <v>0</v>
      </c>
      <c r="G40" s="22">
        <f t="shared" ca="1" si="3"/>
        <v>18.96744197772648</v>
      </c>
      <c r="H40" s="31">
        <f t="shared" ca="1" si="8"/>
        <v>0</v>
      </c>
      <c r="I40" s="9">
        <f t="shared" ca="1" si="4"/>
        <v>1375</v>
      </c>
      <c r="J40" s="30">
        <f t="shared" ca="1" si="5"/>
        <v>1000</v>
      </c>
      <c r="K40" s="122">
        <f t="shared" ca="1" si="9"/>
        <v>375</v>
      </c>
      <c r="L40" s="30"/>
      <c r="M40" s="30"/>
      <c r="N40" s="30"/>
      <c r="O40" s="30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5">
      <c r="A41" s="10">
        <v>22</v>
      </c>
      <c r="B41" s="27">
        <f t="shared" ca="1" si="0"/>
        <v>0.68967441977726496</v>
      </c>
      <c r="C41" s="21">
        <f t="shared" ca="1" si="6"/>
        <v>268.96744197772648</v>
      </c>
      <c r="D41" s="21">
        <f t="shared" ca="1" si="1"/>
        <v>250</v>
      </c>
      <c r="E41" s="21">
        <f t="shared" ca="1" si="2"/>
        <v>0</v>
      </c>
      <c r="F41" s="22">
        <f t="shared" ca="1" si="7"/>
        <v>0</v>
      </c>
      <c r="G41" s="22">
        <f t="shared" ca="1" si="3"/>
        <v>0</v>
      </c>
      <c r="H41" s="31">
        <f t="shared" ca="1" si="8"/>
        <v>0</v>
      </c>
      <c r="I41" s="9">
        <f t="shared" ca="1" si="4"/>
        <v>1375</v>
      </c>
      <c r="J41" s="30">
        <f t="shared" ca="1" si="5"/>
        <v>1000</v>
      </c>
      <c r="K41" s="122">
        <f t="shared" ca="1" si="9"/>
        <v>375</v>
      </c>
      <c r="L41" s="30"/>
      <c r="M41" s="30"/>
      <c r="N41" s="30"/>
      <c r="O41" s="30"/>
    </row>
    <row r="42" spans="1:27" x14ac:dyDescent="0.25">
      <c r="A42" s="10">
        <v>23</v>
      </c>
      <c r="B42" s="27">
        <f t="shared" ca="1" si="0"/>
        <v>0.47391583035165064</v>
      </c>
      <c r="C42" s="21">
        <f t="shared" ca="1" si="6"/>
        <v>247.39158303516507</v>
      </c>
      <c r="D42" s="21">
        <f t="shared" ca="1" si="1"/>
        <v>250</v>
      </c>
      <c r="E42" s="21">
        <f t="shared" ca="1" si="2"/>
        <v>2.6084169648349302</v>
      </c>
      <c r="F42" s="22">
        <f t="shared" ca="1" si="7"/>
        <v>2.6084169648349302</v>
      </c>
      <c r="G42" s="22">
        <f t="shared" ca="1" si="3"/>
        <v>18.52497720689405</v>
      </c>
      <c r="H42" s="31">
        <f t="shared" ca="1" si="8"/>
        <v>0</v>
      </c>
      <c r="I42" s="9">
        <f t="shared" ca="1" si="4"/>
        <v>1361.3058109346166</v>
      </c>
      <c r="J42" s="30">
        <f t="shared" ca="1" si="5"/>
        <v>1000</v>
      </c>
      <c r="K42" s="122">
        <f t="shared" ca="1" si="9"/>
        <v>361.3058109346166</v>
      </c>
      <c r="L42" s="30"/>
      <c r="M42" s="30"/>
      <c r="N42" s="30"/>
      <c r="O42" s="30"/>
    </row>
    <row r="43" spans="1:27" x14ac:dyDescent="0.25">
      <c r="A43" s="10">
        <v>24</v>
      </c>
      <c r="B43" s="27">
        <f t="shared" ca="1" si="0"/>
        <v>0.68524977206894078</v>
      </c>
      <c r="C43" s="21">
        <f t="shared" ca="1" si="6"/>
        <v>268.52497720689405</v>
      </c>
      <c r="D43" s="21">
        <f t="shared" ca="1" si="1"/>
        <v>252.60841696483493</v>
      </c>
      <c r="E43" s="21">
        <f t="shared" ca="1" si="2"/>
        <v>0</v>
      </c>
      <c r="F43" s="22">
        <f t="shared" ca="1" si="7"/>
        <v>0</v>
      </c>
      <c r="G43" s="22">
        <f t="shared" ca="1" si="3"/>
        <v>6.1560709402560292</v>
      </c>
      <c r="H43" s="31">
        <f t="shared" ca="1" si="8"/>
        <v>0</v>
      </c>
      <c r="I43" s="9">
        <f t="shared" ca="1" si="4"/>
        <v>1375</v>
      </c>
      <c r="J43" s="30">
        <f t="shared" ca="1" si="5"/>
        <v>1000</v>
      </c>
      <c r="K43" s="122">
        <f t="shared" ca="1" si="9"/>
        <v>375</v>
      </c>
      <c r="L43" s="30"/>
      <c r="M43" s="30"/>
      <c r="N43" s="30"/>
      <c r="O43" s="30"/>
    </row>
    <row r="44" spans="1:27" x14ac:dyDescent="0.25">
      <c r="A44" s="10">
        <v>25</v>
      </c>
      <c r="B44" s="27">
        <f t="shared" ca="1" si="0"/>
        <v>0.56156070940256009</v>
      </c>
      <c r="C44" s="21">
        <f t="shared" ca="1" si="6"/>
        <v>256.15607094025603</v>
      </c>
      <c r="D44" s="21">
        <f t="shared" ca="1" si="1"/>
        <v>250</v>
      </c>
      <c r="E44" s="21">
        <f t="shared" ca="1" si="2"/>
        <v>0</v>
      </c>
      <c r="F44" s="22">
        <f t="shared" ca="1" si="7"/>
        <v>0</v>
      </c>
      <c r="G44" s="22">
        <f t="shared" ca="1" si="3"/>
        <v>0</v>
      </c>
      <c r="H44" s="31">
        <f t="shared" ca="1" si="8"/>
        <v>0</v>
      </c>
      <c r="I44" s="9">
        <f t="shared" ca="1" si="4"/>
        <v>1375</v>
      </c>
      <c r="J44" s="30">
        <f t="shared" ca="1" si="5"/>
        <v>1000</v>
      </c>
      <c r="K44" s="122">
        <f t="shared" ca="1" si="9"/>
        <v>375</v>
      </c>
      <c r="L44" s="30"/>
      <c r="M44" s="30"/>
      <c r="N44" s="30"/>
      <c r="O44" s="30"/>
    </row>
    <row r="45" spans="1:27" x14ac:dyDescent="0.25">
      <c r="A45" s="10">
        <v>26</v>
      </c>
      <c r="B45" s="27">
        <f t="shared" ca="1" si="0"/>
        <v>9.6866385565802848E-2</v>
      </c>
      <c r="C45" s="21">
        <f t="shared" ca="1" si="6"/>
        <v>209.68663855658028</v>
      </c>
      <c r="D45" s="21">
        <f t="shared" ca="1" si="1"/>
        <v>250</v>
      </c>
      <c r="E45" s="21">
        <f t="shared" ca="1" si="2"/>
        <v>40.313361443419723</v>
      </c>
      <c r="F45" s="22">
        <f t="shared" ca="1" si="7"/>
        <v>40.313361443419723</v>
      </c>
      <c r="G45" s="22">
        <f t="shared" ca="1" si="3"/>
        <v>0</v>
      </c>
      <c r="H45" s="31">
        <f t="shared" ca="1" si="8"/>
        <v>40.313361443419723</v>
      </c>
      <c r="I45" s="9">
        <f t="shared" ca="1" si="4"/>
        <v>1163.3548524220466</v>
      </c>
      <c r="J45" s="30">
        <f t="shared" ca="1" si="5"/>
        <v>1060.4700421651296</v>
      </c>
      <c r="K45" s="122">
        <f t="shared" ca="1" si="9"/>
        <v>102.88481025691704</v>
      </c>
      <c r="L45" s="30"/>
      <c r="M45" s="30"/>
      <c r="N45" s="30"/>
      <c r="O45" s="30"/>
    </row>
    <row r="46" spans="1:27" x14ac:dyDescent="0.25">
      <c r="A46" s="10">
        <v>27</v>
      </c>
      <c r="B46" s="27">
        <f t="shared" ca="1" si="0"/>
        <v>0.2716174857092063</v>
      </c>
      <c r="C46" s="21">
        <f t="shared" ca="1" si="6"/>
        <v>227.16174857092062</v>
      </c>
      <c r="D46" s="21">
        <f t="shared" ca="1" si="1"/>
        <v>290.31336144341969</v>
      </c>
      <c r="E46" s="21">
        <f t="shared" ca="1" si="2"/>
        <v>22.838251429079378</v>
      </c>
      <c r="F46" s="22">
        <f t="shared" ca="1" si="7"/>
        <v>63.151612872499072</v>
      </c>
      <c r="G46" s="22">
        <f t="shared" ca="1" si="3"/>
        <v>0</v>
      </c>
      <c r="H46" s="31">
        <f t="shared" ca="1" si="8"/>
        <v>63.151612872499072</v>
      </c>
      <c r="I46" s="9">
        <f t="shared" ca="1" si="4"/>
        <v>1376.0392643275925</v>
      </c>
      <c r="J46" s="30">
        <f t="shared" ca="1" si="5"/>
        <v>1094.7274193087487</v>
      </c>
      <c r="K46" s="122">
        <f t="shared" ca="1" si="9"/>
        <v>281.31184501884377</v>
      </c>
      <c r="L46" s="30"/>
      <c r="M46" s="30"/>
      <c r="N46" s="30"/>
      <c r="O46" s="30"/>
    </row>
    <row r="47" spans="1:27" x14ac:dyDescent="0.25">
      <c r="A47" s="10">
        <v>28</v>
      </c>
      <c r="B47" s="27">
        <f t="shared" ca="1" si="0"/>
        <v>0.48583679251666123</v>
      </c>
      <c r="C47" s="21">
        <f t="shared" ca="1" si="6"/>
        <v>248.58367925166613</v>
      </c>
      <c r="D47" s="21">
        <f t="shared" ca="1" si="1"/>
        <v>272.83825142907938</v>
      </c>
      <c r="E47" s="21">
        <f t="shared" ca="1" si="2"/>
        <v>1.4163207483338738</v>
      </c>
      <c r="F47" s="22">
        <f t="shared" ca="1" si="7"/>
        <v>24.254572177413252</v>
      </c>
      <c r="G47" s="22">
        <f t="shared" ca="1" si="3"/>
        <v>0</v>
      </c>
      <c r="H47" s="31">
        <f t="shared" ca="1" si="8"/>
        <v>24.254572177413252</v>
      </c>
      <c r="I47" s="9">
        <f t="shared" ca="1" si="4"/>
        <v>1436.0790703584853</v>
      </c>
      <c r="J47" s="30">
        <f t="shared" ca="1" si="5"/>
        <v>1036.3818582661199</v>
      </c>
      <c r="K47" s="122">
        <f t="shared" ca="1" si="9"/>
        <v>399.69721209236536</v>
      </c>
      <c r="L47" s="30"/>
      <c r="M47" s="30"/>
      <c r="N47" s="30"/>
      <c r="O47" s="30"/>
    </row>
    <row r="48" spans="1:27" x14ac:dyDescent="0.25">
      <c r="A48" s="10">
        <v>29</v>
      </c>
      <c r="B48" s="27">
        <f t="shared" ca="1" si="0"/>
        <v>8.8525067958550197E-2</v>
      </c>
      <c r="C48" s="21">
        <f t="shared" ca="1" si="6"/>
        <v>208.85250679585502</v>
      </c>
      <c r="D48" s="21">
        <f t="shared" ca="1" si="1"/>
        <v>251.41632074833387</v>
      </c>
      <c r="E48" s="21">
        <f t="shared" ca="1" si="2"/>
        <v>41.147493204144979</v>
      </c>
      <c r="F48" s="22">
        <f t="shared" ca="1" si="7"/>
        <v>42.563813952478853</v>
      </c>
      <c r="G48" s="22">
        <f t="shared" ca="1" si="3"/>
        <v>0</v>
      </c>
      <c r="H48" s="31">
        <f t="shared" ca="1" si="8"/>
        <v>42.563813952478853</v>
      </c>
      <c r="I48" s="9">
        <f t="shared" ca="1" si="4"/>
        <v>1163.2246229232403</v>
      </c>
      <c r="J48" s="30">
        <f t="shared" ca="1" si="5"/>
        <v>1063.8457209287183</v>
      </c>
      <c r="K48" s="122">
        <f t="shared" ca="1" si="9"/>
        <v>99.378901994522039</v>
      </c>
      <c r="L48" s="30"/>
      <c r="M48" s="30"/>
      <c r="N48" s="30"/>
      <c r="O48" s="30"/>
    </row>
    <row r="49" spans="1:15" x14ac:dyDescent="0.25">
      <c r="A49" s="10">
        <v>30</v>
      </c>
      <c r="B49" s="27">
        <f t="shared" ca="1" si="0"/>
        <v>0.25776101619239189</v>
      </c>
      <c r="C49" s="21">
        <f t="shared" ca="1" si="6"/>
        <v>225.7761016192392</v>
      </c>
      <c r="D49" s="21">
        <f t="shared" ca="1" si="1"/>
        <v>291.14749320414501</v>
      </c>
      <c r="E49" s="21">
        <f t="shared" ca="1" si="2"/>
        <v>24.223898380760801</v>
      </c>
      <c r="F49" s="22">
        <f t="shared" ca="1" si="7"/>
        <v>65.371391584905808</v>
      </c>
      <c r="G49" s="22">
        <f t="shared" ca="1" si="3"/>
        <v>24.297010617945773</v>
      </c>
      <c r="H49" s="31">
        <f t="shared" ca="1" si="8"/>
        <v>41.074380966960035</v>
      </c>
      <c r="I49" s="9">
        <f t="shared" ca="1" si="4"/>
        <v>1371.0476764018858</v>
      </c>
      <c r="J49" s="30">
        <f t="shared" ca="1" si="5"/>
        <v>1061.6115714504401</v>
      </c>
      <c r="K49" s="122">
        <f t="shared" ca="1" si="9"/>
        <v>309.43610495144571</v>
      </c>
      <c r="L49" s="30"/>
      <c r="M49" s="30"/>
      <c r="N49" s="30"/>
      <c r="O49" s="30"/>
    </row>
    <row r="50" spans="1:15" x14ac:dyDescent="0.25">
      <c r="A50" s="10">
        <v>31</v>
      </c>
      <c r="B50" s="27">
        <f t="shared" ca="1" si="0"/>
        <v>0.74297010617945758</v>
      </c>
      <c r="C50" s="21">
        <f t="shared" ca="1" si="6"/>
        <v>274.29701061794577</v>
      </c>
      <c r="D50" s="21">
        <f t="shared" ca="1" si="1"/>
        <v>274.22389838076083</v>
      </c>
      <c r="E50" s="21">
        <f t="shared" ca="1" si="2"/>
        <v>0</v>
      </c>
      <c r="F50" s="22">
        <f t="shared" ca="1" si="7"/>
        <v>0</v>
      </c>
      <c r="G50" s="22">
        <f t="shared" ca="1" si="3"/>
        <v>42.041361771960851</v>
      </c>
      <c r="H50" s="31">
        <f t="shared" ca="1" si="8"/>
        <v>0</v>
      </c>
      <c r="I50" s="9">
        <f t="shared" ca="1" si="4"/>
        <v>1375</v>
      </c>
      <c r="J50" s="30">
        <f t="shared" ca="1" si="5"/>
        <v>1000</v>
      </c>
      <c r="K50" s="122">
        <f t="shared" ca="1" si="9"/>
        <v>375</v>
      </c>
      <c r="L50" s="30"/>
      <c r="M50" s="30"/>
      <c r="N50" s="30"/>
      <c r="O50" s="30"/>
    </row>
    <row r="51" spans="1:15" x14ac:dyDescent="0.25">
      <c r="A51" s="10">
        <v>32</v>
      </c>
      <c r="B51" s="27">
        <f t="shared" ca="1" si="0"/>
        <v>0.92041361771960828</v>
      </c>
      <c r="C51" s="21">
        <f t="shared" ca="1" si="6"/>
        <v>292.04136177196085</v>
      </c>
      <c r="D51" s="21">
        <f t="shared" ca="1" si="1"/>
        <v>250</v>
      </c>
      <c r="E51" s="21">
        <f t="shared" ca="1" si="2"/>
        <v>0</v>
      </c>
      <c r="F51" s="22">
        <f t="shared" ca="1" si="7"/>
        <v>0</v>
      </c>
      <c r="G51" s="22">
        <f t="shared" ca="1" si="3"/>
        <v>12.095716533929192</v>
      </c>
      <c r="H51" s="31">
        <f t="shared" ca="1" si="8"/>
        <v>0</v>
      </c>
      <c r="I51" s="9">
        <f t="shared" ca="1" si="4"/>
        <v>1375</v>
      </c>
      <c r="J51" s="30">
        <f t="shared" ca="1" si="5"/>
        <v>1000</v>
      </c>
      <c r="K51" s="122">
        <f t="shared" ca="1" si="9"/>
        <v>375</v>
      </c>
      <c r="L51" s="30"/>
      <c r="M51" s="30"/>
      <c r="N51" s="30"/>
      <c r="O51" s="30"/>
    </row>
    <row r="52" spans="1:15" x14ac:dyDescent="0.25">
      <c r="A52" s="10">
        <v>33</v>
      </c>
      <c r="B52" s="27">
        <f t="shared" ca="1" si="0"/>
        <v>0.62095716533929213</v>
      </c>
      <c r="C52" s="21">
        <f t="shared" ca="1" si="6"/>
        <v>262.09571653392919</v>
      </c>
      <c r="D52" s="21">
        <f t="shared" ca="1" si="1"/>
        <v>250</v>
      </c>
      <c r="E52" s="21">
        <f t="shared" ca="1" si="2"/>
        <v>0</v>
      </c>
      <c r="F52" s="22">
        <f t="shared" ca="1" si="7"/>
        <v>0</v>
      </c>
      <c r="G52" s="22">
        <f t="shared" ca="1" si="3"/>
        <v>0</v>
      </c>
      <c r="H52" s="31">
        <f t="shared" ca="1" si="8"/>
        <v>0</v>
      </c>
      <c r="I52" s="9">
        <f t="shared" ca="1" si="4"/>
        <v>1375</v>
      </c>
      <c r="J52" s="30">
        <f t="shared" ca="1" si="5"/>
        <v>1000</v>
      </c>
      <c r="K52" s="122">
        <f t="shared" ca="1" si="9"/>
        <v>375</v>
      </c>
      <c r="L52" s="30"/>
      <c r="M52" s="30"/>
      <c r="N52" s="30"/>
      <c r="O52" s="30"/>
    </row>
    <row r="53" spans="1:15" x14ac:dyDescent="0.25">
      <c r="A53" s="10">
        <v>34</v>
      </c>
      <c r="B53" s="27">
        <f t="shared" ca="1" si="0"/>
        <v>2.3958528441533788E-2</v>
      </c>
      <c r="C53" s="21">
        <f t="shared" ca="1" si="6"/>
        <v>202.39585284415338</v>
      </c>
      <c r="D53" s="21">
        <f t="shared" ca="1" si="1"/>
        <v>250</v>
      </c>
      <c r="E53" s="21">
        <f t="shared" ca="1" si="2"/>
        <v>47.604147155846618</v>
      </c>
      <c r="F53" s="22">
        <f t="shared" ca="1" si="7"/>
        <v>47.604147155846618</v>
      </c>
      <c r="G53" s="22">
        <f t="shared" ca="1" si="3"/>
        <v>8.0871173690968021</v>
      </c>
      <c r="H53" s="31">
        <f t="shared" ca="1" si="8"/>
        <v>39.517029786749816</v>
      </c>
      <c r="I53" s="9">
        <f t="shared" ca="1" si="4"/>
        <v>1243.6293167920549</v>
      </c>
      <c r="J53" s="30">
        <f t="shared" ca="1" si="5"/>
        <v>1059.2755446801248</v>
      </c>
      <c r="K53" s="122">
        <f t="shared" ca="1" si="9"/>
        <v>184.35377211193008</v>
      </c>
      <c r="L53" s="30"/>
      <c r="M53" s="30"/>
      <c r="N53" s="30"/>
      <c r="O53" s="30"/>
    </row>
    <row r="54" spans="1:15" x14ac:dyDescent="0.25">
      <c r="A54" s="10">
        <v>35</v>
      </c>
      <c r="B54" s="27">
        <f t="shared" ca="1" si="0"/>
        <v>0.58087117369096797</v>
      </c>
      <c r="C54" s="21">
        <f t="shared" ca="1" si="6"/>
        <v>258.0871173690968</v>
      </c>
      <c r="D54" s="21">
        <f t="shared" ca="1" si="1"/>
        <v>297.60414715584659</v>
      </c>
      <c r="E54" s="21">
        <f t="shared" ca="1" si="2"/>
        <v>0</v>
      </c>
      <c r="F54" s="22">
        <f t="shared" ca="1" si="7"/>
        <v>39.517029786749788</v>
      </c>
      <c r="G54" s="22">
        <f t="shared" ca="1" si="3"/>
        <v>0</v>
      </c>
      <c r="H54" s="31">
        <f t="shared" ca="1" si="8"/>
        <v>39.517029786749788</v>
      </c>
      <c r="I54" s="9">
        <f t="shared" ca="1" si="4"/>
        <v>1375</v>
      </c>
      <c r="J54" s="30">
        <f t="shared" ca="1" si="5"/>
        <v>1059.2755446801248</v>
      </c>
      <c r="K54" s="122">
        <f t="shared" ca="1" si="9"/>
        <v>315.72445531987523</v>
      </c>
      <c r="L54" s="30"/>
      <c r="M54" s="30"/>
      <c r="N54" s="30"/>
      <c r="O54" s="30"/>
    </row>
    <row r="55" spans="1:15" x14ac:dyDescent="0.25">
      <c r="A55" s="10">
        <v>36</v>
      </c>
      <c r="B55" s="27">
        <f t="shared" ca="1" si="0"/>
        <v>0.37794311219332377</v>
      </c>
      <c r="C55" s="21">
        <f t="shared" ca="1" si="6"/>
        <v>237.79431121933237</v>
      </c>
      <c r="D55" s="21">
        <f t="shared" ca="1" si="1"/>
        <v>250</v>
      </c>
      <c r="E55" s="21">
        <f t="shared" ca="1" si="2"/>
        <v>12.205688780667629</v>
      </c>
      <c r="F55" s="22">
        <f t="shared" ca="1" si="7"/>
        <v>12.205688780667629</v>
      </c>
      <c r="G55" s="22">
        <f t="shared" ca="1" si="3"/>
        <v>0</v>
      </c>
      <c r="H55" s="31">
        <f t="shared" ca="1" si="8"/>
        <v>12.205688780667629</v>
      </c>
      <c r="I55" s="9">
        <f t="shared" ca="1" si="4"/>
        <v>1310.9201339014949</v>
      </c>
      <c r="J55" s="30">
        <f t="shared" ca="1" si="5"/>
        <v>1018.3085331710015</v>
      </c>
      <c r="K55" s="122">
        <f t="shared" ca="1" si="9"/>
        <v>292.61160073049336</v>
      </c>
      <c r="L55" s="30"/>
      <c r="M55" s="30"/>
      <c r="N55" s="30"/>
      <c r="O55" s="30"/>
    </row>
    <row r="56" spans="1:15" x14ac:dyDescent="0.25">
      <c r="A56" s="10">
        <v>37</v>
      </c>
      <c r="B56" s="27">
        <f t="shared" ca="1" si="0"/>
        <v>0.35722282647667225</v>
      </c>
      <c r="C56" s="21">
        <f t="shared" ca="1" si="6"/>
        <v>235.72228264766721</v>
      </c>
      <c r="D56" s="21">
        <f t="shared" ca="1" si="1"/>
        <v>262.20568878066763</v>
      </c>
      <c r="E56" s="21">
        <f t="shared" ca="1" si="2"/>
        <v>14.277717352332786</v>
      </c>
      <c r="F56" s="22">
        <f t="shared" ca="1" si="7"/>
        <v>26.483406133000415</v>
      </c>
      <c r="G56" s="22">
        <f t="shared" ca="1" si="3"/>
        <v>13.046956590918569</v>
      </c>
      <c r="H56" s="31">
        <f t="shared" ca="1" si="8"/>
        <v>13.436449542081846</v>
      </c>
      <c r="I56" s="9">
        <f t="shared" ca="1" si="4"/>
        <v>1340.3513325264985</v>
      </c>
      <c r="J56" s="30">
        <f t="shared" ca="1" si="5"/>
        <v>1020.1546743131228</v>
      </c>
      <c r="K56" s="122">
        <f t="shared" ca="1" si="9"/>
        <v>320.19665821337571</v>
      </c>
      <c r="L56" s="30"/>
      <c r="M56" s="30"/>
      <c r="N56" s="30"/>
      <c r="O56" s="30"/>
    </row>
    <row r="57" spans="1:15" x14ac:dyDescent="0.25">
      <c r="A57" s="10">
        <v>38</v>
      </c>
      <c r="B57" s="27">
        <f t="shared" ca="1" si="0"/>
        <v>0.63046956590918546</v>
      </c>
      <c r="C57" s="21">
        <f t="shared" ca="1" si="6"/>
        <v>263.04695659091857</v>
      </c>
      <c r="D57" s="21">
        <f t="shared" ca="1" si="1"/>
        <v>264.27771735233279</v>
      </c>
      <c r="E57" s="21">
        <f t="shared" ca="1" si="2"/>
        <v>0</v>
      </c>
      <c r="F57" s="22">
        <f t="shared" ca="1" si="7"/>
        <v>1.2307607614142171</v>
      </c>
      <c r="G57" s="22">
        <f t="shared" ca="1" si="3"/>
        <v>31.295541480733505</v>
      </c>
      <c r="H57" s="31">
        <f t="shared" ca="1" si="8"/>
        <v>0</v>
      </c>
      <c r="I57" s="9">
        <f t="shared" ca="1" si="4"/>
        <v>1375</v>
      </c>
      <c r="J57" s="30">
        <f t="shared" ca="1" si="5"/>
        <v>1000</v>
      </c>
      <c r="K57" s="122">
        <f t="shared" ca="1" si="9"/>
        <v>375</v>
      </c>
      <c r="L57" s="30"/>
      <c r="M57" s="30"/>
      <c r="N57" s="30"/>
      <c r="O57" s="30"/>
    </row>
    <row r="58" spans="1:15" x14ac:dyDescent="0.25">
      <c r="A58" s="10">
        <v>39</v>
      </c>
      <c r="B58" s="27">
        <f t="shared" ca="1" si="0"/>
        <v>0.81295541480733535</v>
      </c>
      <c r="C58" s="21">
        <f t="shared" ca="1" si="6"/>
        <v>281.2955414807335</v>
      </c>
      <c r="D58" s="21">
        <f t="shared" ca="1" si="1"/>
        <v>250</v>
      </c>
      <c r="E58" s="21">
        <f t="shared" ca="1" si="2"/>
        <v>0</v>
      </c>
      <c r="F58" s="22">
        <f t="shared" ca="1" si="7"/>
        <v>0</v>
      </c>
      <c r="G58" s="22">
        <f t="shared" ca="1" si="3"/>
        <v>0</v>
      </c>
      <c r="H58" s="31">
        <f t="shared" ca="1" si="8"/>
        <v>0</v>
      </c>
      <c r="I58" s="9">
        <f t="shared" ca="1" si="4"/>
        <v>1375</v>
      </c>
      <c r="J58" s="30">
        <f t="shared" ca="1" si="5"/>
        <v>1000</v>
      </c>
      <c r="K58" s="122">
        <f t="shared" ca="1" si="9"/>
        <v>375</v>
      </c>
      <c r="L58" s="30"/>
      <c r="M58" s="30"/>
      <c r="N58" s="30"/>
      <c r="O58" s="30"/>
    </row>
    <row r="59" spans="1:15" x14ac:dyDescent="0.25">
      <c r="A59" s="10">
        <v>40</v>
      </c>
      <c r="B59" s="27">
        <f t="shared" ca="1" si="0"/>
        <v>0.47028644158868604</v>
      </c>
      <c r="C59" s="21">
        <f t="shared" ca="1" si="6"/>
        <v>247.02864415886859</v>
      </c>
      <c r="D59" s="21">
        <f t="shared" ca="1" si="1"/>
        <v>250</v>
      </c>
      <c r="E59" s="21">
        <f t="shared" ca="1" si="2"/>
        <v>2.9713558411314125</v>
      </c>
      <c r="F59" s="22">
        <f t="shared" ca="1" si="7"/>
        <v>2.9713558411314125</v>
      </c>
      <c r="G59" s="22">
        <f t="shared" ca="1" si="3"/>
        <v>4.2531100193620546</v>
      </c>
      <c r="H59" s="31">
        <f t="shared" ca="1" si="8"/>
        <v>0</v>
      </c>
      <c r="I59" s="9">
        <f t="shared" ca="1" si="4"/>
        <v>1359.40038183406</v>
      </c>
      <c r="J59" s="30">
        <f t="shared" ca="1" si="5"/>
        <v>1000</v>
      </c>
      <c r="K59" s="122">
        <f t="shared" ca="1" si="9"/>
        <v>359.40038183406</v>
      </c>
      <c r="L59" s="30"/>
      <c r="M59" s="30"/>
      <c r="N59" s="30"/>
      <c r="O59" s="30"/>
    </row>
    <row r="60" spans="1:15" x14ac:dyDescent="0.25">
      <c r="A60" s="10">
        <v>41</v>
      </c>
      <c r="B60" s="27">
        <f t="shared" ca="1" si="0"/>
        <v>0.5425311001936205</v>
      </c>
      <c r="C60" s="21">
        <f t="shared" ca="1" si="6"/>
        <v>254.25311001936205</v>
      </c>
      <c r="D60" s="21">
        <f t="shared" ca="1" si="1"/>
        <v>252.97135584113141</v>
      </c>
      <c r="E60" s="21">
        <f t="shared" ca="1" si="2"/>
        <v>0</v>
      </c>
      <c r="F60" s="22">
        <f t="shared" ca="1" si="7"/>
        <v>0</v>
      </c>
      <c r="G60" s="22">
        <f t="shared" ca="1" si="3"/>
        <v>36.453278639670771</v>
      </c>
      <c r="H60" s="31">
        <f t="shared" ca="1" si="8"/>
        <v>0</v>
      </c>
      <c r="I60" s="9">
        <f t="shared" ca="1" si="4"/>
        <v>1375</v>
      </c>
      <c r="J60" s="30">
        <f t="shared" ca="1" si="5"/>
        <v>1000</v>
      </c>
      <c r="K60" s="122">
        <f t="shared" ca="1" si="9"/>
        <v>375</v>
      </c>
      <c r="L60" s="30"/>
      <c r="M60" s="30"/>
      <c r="N60" s="30"/>
      <c r="O60" s="30"/>
    </row>
    <row r="61" spans="1:15" x14ac:dyDescent="0.25">
      <c r="A61" s="10">
        <v>42</v>
      </c>
      <c r="B61" s="27">
        <f t="shared" ca="1" si="0"/>
        <v>0.86453278639670772</v>
      </c>
      <c r="C61" s="21">
        <f t="shared" ca="1" si="6"/>
        <v>286.45327863967077</v>
      </c>
      <c r="D61" s="21">
        <f t="shared" ca="1" si="1"/>
        <v>250</v>
      </c>
      <c r="E61" s="21">
        <f t="shared" ca="1" si="2"/>
        <v>0</v>
      </c>
      <c r="F61" s="22">
        <f t="shared" ca="1" si="7"/>
        <v>0</v>
      </c>
      <c r="G61" s="22">
        <f t="shared" ca="1" si="3"/>
        <v>0</v>
      </c>
      <c r="H61" s="31">
        <f t="shared" ca="1" si="8"/>
        <v>0</v>
      </c>
      <c r="I61" s="9">
        <f t="shared" ca="1" si="4"/>
        <v>1375</v>
      </c>
      <c r="J61" s="30">
        <f t="shared" ca="1" si="5"/>
        <v>1000</v>
      </c>
      <c r="K61" s="122">
        <f t="shared" ca="1" si="9"/>
        <v>375</v>
      </c>
      <c r="L61" s="30"/>
      <c r="M61" s="30"/>
      <c r="N61" s="30"/>
      <c r="O61" s="30"/>
    </row>
    <row r="62" spans="1:15" x14ac:dyDescent="0.25">
      <c r="A62" s="10">
        <v>43</v>
      </c>
      <c r="B62" s="27">
        <f t="shared" ca="1" si="0"/>
        <v>0.378813060386885</v>
      </c>
      <c r="C62" s="21">
        <f t="shared" ca="1" si="6"/>
        <v>237.88130603868851</v>
      </c>
      <c r="D62" s="21">
        <f t="shared" ca="1" si="1"/>
        <v>250</v>
      </c>
      <c r="E62" s="21">
        <f t="shared" ca="1" si="2"/>
        <v>12.118693961311493</v>
      </c>
      <c r="F62" s="22">
        <f t="shared" ca="1" si="7"/>
        <v>12.118693961311493</v>
      </c>
      <c r="G62" s="22">
        <f t="shared" ca="1" si="3"/>
        <v>6.586579730835183</v>
      </c>
      <c r="H62" s="31">
        <f t="shared" ca="1" si="8"/>
        <v>5.53211423047631</v>
      </c>
      <c r="I62" s="9">
        <f t="shared" ca="1" si="4"/>
        <v>1327.9731993945436</v>
      </c>
      <c r="J62" s="30">
        <f t="shared" ca="1" si="5"/>
        <v>1008.2981713457144</v>
      </c>
      <c r="K62" s="122">
        <f t="shared" ca="1" si="9"/>
        <v>319.67502804882918</v>
      </c>
      <c r="L62" s="30"/>
      <c r="M62" s="30"/>
      <c r="N62" s="30"/>
      <c r="O62" s="30"/>
    </row>
    <row r="63" spans="1:15" x14ac:dyDescent="0.25">
      <c r="A63" s="10">
        <v>44</v>
      </c>
      <c r="B63" s="27">
        <f t="shared" ca="1" si="0"/>
        <v>0.56586579730835185</v>
      </c>
      <c r="C63" s="21">
        <f t="shared" ca="1" si="6"/>
        <v>256.58657973083518</v>
      </c>
      <c r="D63" s="21">
        <f t="shared" ca="1" si="1"/>
        <v>262.11869396131146</v>
      </c>
      <c r="E63" s="21">
        <f t="shared" ca="1" si="2"/>
        <v>0</v>
      </c>
      <c r="F63" s="22">
        <f t="shared" ca="1" si="7"/>
        <v>5.5321142304762816</v>
      </c>
      <c r="G63" s="22">
        <f t="shared" ca="1" si="3"/>
        <v>12.138001951762647</v>
      </c>
      <c r="H63" s="31">
        <f t="shared" ca="1" si="8"/>
        <v>0</v>
      </c>
      <c r="I63" s="9">
        <f t="shared" ca="1" si="4"/>
        <v>1375</v>
      </c>
      <c r="J63" s="30">
        <f t="shared" ca="1" si="5"/>
        <v>1000</v>
      </c>
      <c r="K63" s="122">
        <f t="shared" ca="1" si="9"/>
        <v>375</v>
      </c>
      <c r="L63" s="30"/>
      <c r="M63" s="30"/>
      <c r="N63" s="30"/>
      <c r="O63" s="30"/>
    </row>
    <row r="64" spans="1:15" x14ac:dyDescent="0.25">
      <c r="A64" s="10">
        <v>45</v>
      </c>
      <c r="B64" s="27">
        <f t="shared" ca="1" si="0"/>
        <v>0.62138001951762656</v>
      </c>
      <c r="C64" s="21">
        <f t="shared" ca="1" si="6"/>
        <v>262.13800195176265</v>
      </c>
      <c r="D64" s="21">
        <f t="shared" ca="1" si="1"/>
        <v>250</v>
      </c>
      <c r="E64" s="21">
        <f t="shared" ca="1" si="2"/>
        <v>0</v>
      </c>
      <c r="F64" s="22">
        <f t="shared" ca="1" si="7"/>
        <v>0</v>
      </c>
      <c r="G64" s="22">
        <f t="shared" ca="1" si="3"/>
        <v>0.90967841495898938</v>
      </c>
      <c r="H64" s="31">
        <f t="shared" ca="1" si="8"/>
        <v>0</v>
      </c>
      <c r="I64" s="9">
        <f t="shared" ca="1" si="4"/>
        <v>1375</v>
      </c>
      <c r="J64" s="30">
        <f t="shared" ca="1" si="5"/>
        <v>1000</v>
      </c>
      <c r="K64" s="122">
        <f t="shared" ca="1" si="9"/>
        <v>375</v>
      </c>
      <c r="L64" s="30"/>
      <c r="M64" s="30"/>
      <c r="N64" s="30"/>
      <c r="O64" s="30"/>
    </row>
    <row r="65" spans="1:15" x14ac:dyDescent="0.25">
      <c r="A65" s="10">
        <v>46</v>
      </c>
      <c r="B65" s="27">
        <f t="shared" ca="1" si="0"/>
        <v>0.50909678414958992</v>
      </c>
      <c r="C65" s="21">
        <f t="shared" ca="1" si="6"/>
        <v>250.90967841495899</v>
      </c>
      <c r="D65" s="21">
        <f t="shared" ca="1" si="1"/>
        <v>250</v>
      </c>
      <c r="E65" s="21">
        <f t="shared" ca="1" si="2"/>
        <v>0</v>
      </c>
      <c r="F65" s="22">
        <f t="shared" ca="1" si="7"/>
        <v>0</v>
      </c>
      <c r="G65" s="22">
        <f t="shared" ca="1" si="3"/>
        <v>21.36645911245364</v>
      </c>
      <c r="H65" s="31">
        <f t="shared" ca="1" si="8"/>
        <v>0</v>
      </c>
      <c r="I65" s="9">
        <f t="shared" ca="1" si="4"/>
        <v>1375</v>
      </c>
      <c r="J65" s="30">
        <f t="shared" ca="1" si="5"/>
        <v>1000</v>
      </c>
      <c r="K65" s="122">
        <f t="shared" ca="1" si="9"/>
        <v>375</v>
      </c>
      <c r="L65" s="30"/>
      <c r="M65" s="30"/>
      <c r="N65" s="30"/>
      <c r="O65" s="30"/>
    </row>
    <row r="66" spans="1:15" x14ac:dyDescent="0.25">
      <c r="A66" s="10">
        <v>47</v>
      </c>
      <c r="B66" s="43">
        <f t="shared" ca="1" si="0"/>
        <v>0.71366459112453651</v>
      </c>
      <c r="C66" s="44">
        <f t="shared" ca="1" si="6"/>
        <v>271.36645911245364</v>
      </c>
      <c r="D66" s="44">
        <f t="shared" ca="1" si="1"/>
        <v>250</v>
      </c>
      <c r="E66" s="44">
        <f t="shared" ca="1" si="2"/>
        <v>0</v>
      </c>
      <c r="F66" s="45">
        <f t="shared" ca="1" si="7"/>
        <v>0</v>
      </c>
      <c r="G66" s="45">
        <f t="shared" ca="1" si="3"/>
        <v>38.543109742500121</v>
      </c>
      <c r="H66" s="46">
        <f t="shared" ca="1" si="8"/>
        <v>0</v>
      </c>
      <c r="I66" s="1">
        <f t="shared" ca="1" si="4"/>
        <v>1375</v>
      </c>
      <c r="J66" s="47">
        <f t="shared" ca="1" si="5"/>
        <v>1000</v>
      </c>
      <c r="K66" s="123">
        <f t="shared" ca="1" si="9"/>
        <v>375</v>
      </c>
      <c r="L66" s="30"/>
      <c r="M66" s="30"/>
      <c r="N66" s="30"/>
      <c r="O66" s="30"/>
    </row>
    <row r="67" spans="1:15" x14ac:dyDescent="0.25">
      <c r="A67" s="10">
        <v>48</v>
      </c>
      <c r="B67" s="48">
        <f t="shared" ca="1" si="0"/>
        <v>0.88543109742500137</v>
      </c>
      <c r="C67" s="49">
        <f t="shared" ca="1" si="6"/>
        <v>288.54310974250012</v>
      </c>
      <c r="D67" s="49">
        <f t="shared" ca="1" si="1"/>
        <v>250</v>
      </c>
      <c r="E67" s="49">
        <f t="shared" ca="1" si="2"/>
        <v>0</v>
      </c>
      <c r="F67" s="50">
        <f t="shared" ca="1" si="7"/>
        <v>0</v>
      </c>
      <c r="G67" s="50">
        <f t="shared" ca="1" si="3"/>
        <v>43.080580531035935</v>
      </c>
      <c r="H67" s="51">
        <f t="shared" ca="1" si="8"/>
        <v>0</v>
      </c>
      <c r="I67" s="52">
        <f t="shared" ca="1" si="4"/>
        <v>1375</v>
      </c>
      <c r="J67" s="53">
        <f t="shared" ca="1" si="5"/>
        <v>1000</v>
      </c>
      <c r="K67" s="124">
        <f t="shared" ca="1" si="9"/>
        <v>375</v>
      </c>
      <c r="L67" s="30"/>
      <c r="M67" s="30"/>
      <c r="N67" s="30"/>
      <c r="O67" s="30"/>
    </row>
    <row r="68" spans="1:15" x14ac:dyDescent="0.25">
      <c r="A68" s="10">
        <v>49</v>
      </c>
      <c r="B68" s="27">
        <f t="shared" ca="1" si="0"/>
        <v>0.93080580531035928</v>
      </c>
      <c r="C68" s="21">
        <f t="shared" ca="1" si="6"/>
        <v>293.08058053103593</v>
      </c>
      <c r="D68" s="21">
        <f t="shared" ca="1" si="1"/>
        <v>250</v>
      </c>
      <c r="E68" s="21">
        <f t="shared" ca="1" si="2"/>
        <v>0</v>
      </c>
      <c r="F68" s="22">
        <f t="shared" ca="1" si="7"/>
        <v>0</v>
      </c>
      <c r="G68" s="22">
        <f t="shared" ca="1" si="3"/>
        <v>0</v>
      </c>
      <c r="H68" s="31">
        <f t="shared" ca="1" si="8"/>
        <v>0</v>
      </c>
      <c r="I68" s="9">
        <f t="shared" ca="1" si="4"/>
        <v>1375</v>
      </c>
      <c r="J68" s="30">
        <f t="shared" ca="1" si="5"/>
        <v>1000</v>
      </c>
      <c r="K68" s="122">
        <f t="shared" ca="1" si="9"/>
        <v>375</v>
      </c>
      <c r="L68" s="30"/>
      <c r="M68" s="30"/>
      <c r="N68" s="30"/>
      <c r="O68" s="30"/>
    </row>
    <row r="69" spans="1:15" x14ac:dyDescent="0.25">
      <c r="A69" s="10">
        <v>50</v>
      </c>
      <c r="B69" s="27">
        <f t="shared" ca="1" si="0"/>
        <v>0.2061269727747177</v>
      </c>
      <c r="C69" s="21">
        <f t="shared" ca="1" si="6"/>
        <v>220.61269727747177</v>
      </c>
      <c r="D69" s="21">
        <f t="shared" ca="1" si="1"/>
        <v>250</v>
      </c>
      <c r="E69" s="21">
        <f t="shared" ca="1" si="2"/>
        <v>29.387302722528233</v>
      </c>
      <c r="F69" s="22">
        <f t="shared" ca="1" si="7"/>
        <v>29.387302722528233</v>
      </c>
      <c r="G69" s="22">
        <f t="shared" ca="1" si="3"/>
        <v>0</v>
      </c>
      <c r="H69" s="31">
        <f t="shared" ca="1" si="8"/>
        <v>29.387302722528233</v>
      </c>
      <c r="I69" s="9">
        <f t="shared" ca="1" si="4"/>
        <v>1220.7166607067268</v>
      </c>
      <c r="J69" s="30">
        <f t="shared" ca="1" si="5"/>
        <v>1044.0809540837924</v>
      </c>
      <c r="K69" s="122">
        <f t="shared" ca="1" si="9"/>
        <v>176.63570662293432</v>
      </c>
      <c r="L69" s="30"/>
      <c r="M69" s="30"/>
      <c r="N69" s="30"/>
      <c r="O69" s="30"/>
    </row>
    <row r="70" spans="1:15" x14ac:dyDescent="0.25">
      <c r="A70" s="10">
        <v>51</v>
      </c>
      <c r="B70" s="27">
        <f t="shared" ca="1" si="0"/>
        <v>0.47151749329355197</v>
      </c>
      <c r="C70" s="21">
        <f t="shared" ca="1" si="6"/>
        <v>247.1517493293552</v>
      </c>
      <c r="D70" s="21">
        <f t="shared" ca="1" si="1"/>
        <v>279.38730272252826</v>
      </c>
      <c r="E70" s="21">
        <f t="shared" ca="1" si="2"/>
        <v>2.8482506706448021</v>
      </c>
      <c r="F70" s="22">
        <f t="shared" ca="1" si="7"/>
        <v>32.235553393173063</v>
      </c>
      <c r="G70" s="22">
        <f t="shared" ca="1" si="3"/>
        <v>8.3256038205681193</v>
      </c>
      <c r="H70" s="31">
        <f t="shared" ca="1" si="8"/>
        <v>23.909949572604944</v>
      </c>
      <c r="I70" s="9">
        <f t="shared" ca="1" si="4"/>
        <v>1431.7765326969297</v>
      </c>
      <c r="J70" s="30">
        <f t="shared" ca="1" si="5"/>
        <v>1035.8649243589075</v>
      </c>
      <c r="K70" s="122">
        <f t="shared" ca="1" si="9"/>
        <v>395.91160833802223</v>
      </c>
      <c r="L70" s="30"/>
      <c r="M70" s="30"/>
      <c r="N70" s="30"/>
      <c r="O70" s="30"/>
    </row>
    <row r="71" spans="1:15" x14ac:dyDescent="0.25">
      <c r="A71" s="10">
        <v>52</v>
      </c>
      <c r="B71" s="27">
        <f t="shared" ca="1" si="0"/>
        <v>0.58325603820568128</v>
      </c>
      <c r="C71" s="21">
        <f t="shared" ca="1" si="6"/>
        <v>258.32560382056812</v>
      </c>
      <c r="D71" s="21">
        <f t="shared" ca="1" si="1"/>
        <v>252.8482506706448</v>
      </c>
      <c r="E71" s="21">
        <f t="shared" ca="1" si="2"/>
        <v>0</v>
      </c>
      <c r="F71" s="22">
        <f t="shared" ca="1" si="7"/>
        <v>0</v>
      </c>
      <c r="G71" s="22">
        <f t="shared" ca="1" si="3"/>
        <v>6.7812489249666328</v>
      </c>
      <c r="H71" s="31">
        <f t="shared" ca="1" si="8"/>
        <v>0</v>
      </c>
      <c r="I71" s="9">
        <f t="shared" ca="1" si="4"/>
        <v>1375</v>
      </c>
      <c r="J71" s="30">
        <f t="shared" ca="1" si="5"/>
        <v>1000</v>
      </c>
      <c r="K71" s="122">
        <f t="shared" ca="1" si="9"/>
        <v>375</v>
      </c>
      <c r="L71" s="30"/>
      <c r="M71" s="30"/>
      <c r="N71" s="30"/>
      <c r="O71" s="30"/>
    </row>
    <row r="72" spans="1:15" x14ac:dyDescent="0.25">
      <c r="A72" s="10">
        <v>53</v>
      </c>
      <c r="B72" s="27">
        <f t="shared" ca="1" si="0"/>
        <v>0.5678124892496661</v>
      </c>
      <c r="C72" s="21">
        <f t="shared" ca="1" si="6"/>
        <v>256.78124892496663</v>
      </c>
      <c r="D72" s="21">
        <f t="shared" ca="1" si="1"/>
        <v>250</v>
      </c>
      <c r="E72" s="21">
        <f t="shared" ca="1" si="2"/>
        <v>0</v>
      </c>
      <c r="F72" s="22">
        <f t="shared" ca="1" si="7"/>
        <v>0</v>
      </c>
      <c r="G72" s="22">
        <f t="shared" ca="1" si="3"/>
        <v>40.986274139105035</v>
      </c>
      <c r="H72" s="31">
        <f t="shared" ca="1" si="8"/>
        <v>0</v>
      </c>
      <c r="I72" s="9">
        <f t="shared" ca="1" si="4"/>
        <v>1375</v>
      </c>
      <c r="J72" s="30">
        <f t="shared" ca="1" si="5"/>
        <v>1000</v>
      </c>
      <c r="K72" s="122">
        <f t="shared" ca="1" si="9"/>
        <v>375</v>
      </c>
      <c r="L72" s="30"/>
      <c r="M72" s="30"/>
      <c r="N72" s="30"/>
      <c r="O72" s="30"/>
    </row>
    <row r="73" spans="1:15" x14ac:dyDescent="0.25">
      <c r="A73" s="10">
        <v>54</v>
      </c>
      <c r="B73" s="27">
        <f t="shared" ca="1" si="0"/>
        <v>0.90986274139105061</v>
      </c>
      <c r="C73" s="21">
        <f t="shared" ca="1" si="6"/>
        <v>290.98627413910503</v>
      </c>
      <c r="D73" s="21">
        <f t="shared" ca="1" si="1"/>
        <v>250</v>
      </c>
      <c r="E73" s="21">
        <f t="shared" ca="1" si="2"/>
        <v>0</v>
      </c>
      <c r="F73" s="22">
        <f t="shared" ca="1" si="7"/>
        <v>0</v>
      </c>
      <c r="G73" s="22">
        <f t="shared" ca="1" si="3"/>
        <v>0</v>
      </c>
      <c r="H73" s="31">
        <f t="shared" ca="1" si="8"/>
        <v>0</v>
      </c>
      <c r="I73" s="9">
        <f t="shared" ca="1" si="4"/>
        <v>1375</v>
      </c>
      <c r="J73" s="30">
        <f t="shared" ca="1" si="5"/>
        <v>1000</v>
      </c>
      <c r="K73" s="122">
        <f t="shared" ca="1" si="9"/>
        <v>375</v>
      </c>
      <c r="L73" s="30"/>
      <c r="M73" s="30"/>
      <c r="N73" s="30"/>
      <c r="O73" s="30"/>
    </row>
    <row r="74" spans="1:15" x14ac:dyDescent="0.25">
      <c r="A74" s="10">
        <v>55</v>
      </c>
      <c r="B74" s="27">
        <f t="shared" ca="1" si="0"/>
        <v>0.1354767516730917</v>
      </c>
      <c r="C74" s="21">
        <f t="shared" ca="1" si="6"/>
        <v>213.54767516730917</v>
      </c>
      <c r="D74" s="21">
        <f t="shared" ca="1" si="1"/>
        <v>250</v>
      </c>
      <c r="E74" s="21">
        <f t="shared" ca="1" si="2"/>
        <v>36.452324832690834</v>
      </c>
      <c r="F74" s="22">
        <f t="shared" ca="1" si="7"/>
        <v>36.452324832690834</v>
      </c>
      <c r="G74" s="22">
        <f t="shared" ca="1" si="3"/>
        <v>0</v>
      </c>
      <c r="H74" s="31">
        <f t="shared" ca="1" si="8"/>
        <v>36.452324832690834</v>
      </c>
      <c r="I74" s="9">
        <f t="shared" ca="1" si="4"/>
        <v>1183.625294628373</v>
      </c>
      <c r="J74" s="30">
        <f t="shared" ca="1" si="5"/>
        <v>1054.6784872490362</v>
      </c>
      <c r="K74" s="122">
        <f t="shared" ca="1" si="9"/>
        <v>128.94680737933686</v>
      </c>
      <c r="L74" s="30"/>
      <c r="M74" s="30"/>
      <c r="N74" s="30"/>
      <c r="O74" s="30"/>
    </row>
    <row r="75" spans="1:15" x14ac:dyDescent="0.25">
      <c r="A75" s="10">
        <v>56</v>
      </c>
      <c r="B75" s="27">
        <f t="shared" ca="1" si="0"/>
        <v>0.31759111674933516</v>
      </c>
      <c r="C75" s="21">
        <f t="shared" ca="1" si="6"/>
        <v>231.75911167493351</v>
      </c>
      <c r="D75" s="21">
        <f t="shared" ca="1" si="1"/>
        <v>286.45232483269081</v>
      </c>
      <c r="E75" s="21">
        <f t="shared" ca="1" si="2"/>
        <v>18.240888325066493</v>
      </c>
      <c r="F75" s="22">
        <f t="shared" ca="1" si="7"/>
        <v>54.693213157757299</v>
      </c>
      <c r="G75" s="22">
        <f t="shared" ca="1" si="3"/>
        <v>49.21544591439374</v>
      </c>
      <c r="H75" s="31">
        <f t="shared" ca="1" si="8"/>
        <v>5.4777672433635587</v>
      </c>
      <c r="I75" s="9">
        <f t="shared" ca="1" si="4"/>
        <v>1295.6686380234917</v>
      </c>
      <c r="J75" s="30">
        <f t="shared" ca="1" si="5"/>
        <v>1008.2166508650454</v>
      </c>
      <c r="K75" s="122">
        <f t="shared" ca="1" si="9"/>
        <v>287.45198715844629</v>
      </c>
      <c r="L75" s="30"/>
      <c r="M75" s="30"/>
      <c r="N75" s="30"/>
      <c r="O75" s="30"/>
    </row>
    <row r="76" spans="1:15" x14ac:dyDescent="0.25">
      <c r="A76" s="10">
        <v>57</v>
      </c>
      <c r="B76" s="27">
        <f t="shared" ca="1" si="0"/>
        <v>0.9921544591439373</v>
      </c>
      <c r="C76" s="21">
        <f t="shared" ca="1" si="6"/>
        <v>299.21544591439374</v>
      </c>
      <c r="D76" s="21">
        <f t="shared" ca="1" si="1"/>
        <v>268.24088832506652</v>
      </c>
      <c r="E76" s="21">
        <f t="shared" ca="1" si="2"/>
        <v>0</v>
      </c>
      <c r="F76" s="22">
        <f t="shared" ca="1" si="7"/>
        <v>0</v>
      </c>
      <c r="G76" s="22">
        <f t="shared" ca="1" si="3"/>
        <v>0</v>
      </c>
      <c r="H76" s="31">
        <f t="shared" ca="1" si="8"/>
        <v>0</v>
      </c>
      <c r="I76" s="9">
        <f t="shared" ca="1" si="4"/>
        <v>1375</v>
      </c>
      <c r="J76" s="30">
        <f t="shared" ca="1" si="5"/>
        <v>1000</v>
      </c>
      <c r="K76" s="122">
        <f t="shared" ca="1" si="9"/>
        <v>375</v>
      </c>
      <c r="L76" s="30"/>
      <c r="M76" s="30"/>
      <c r="N76" s="30"/>
      <c r="O76" s="30"/>
    </row>
    <row r="77" spans="1:15" x14ac:dyDescent="0.25">
      <c r="A77" s="10">
        <v>58</v>
      </c>
      <c r="B77" s="27">
        <f t="shared" ca="1" si="0"/>
        <v>0.14768166411572936</v>
      </c>
      <c r="C77" s="21">
        <f t="shared" ca="1" si="6"/>
        <v>214.76816641157293</v>
      </c>
      <c r="D77" s="21">
        <f t="shared" ca="1" si="1"/>
        <v>250</v>
      </c>
      <c r="E77" s="21">
        <f t="shared" ca="1" si="2"/>
        <v>35.231833588427065</v>
      </c>
      <c r="F77" s="22">
        <f t="shared" ca="1" si="7"/>
        <v>35.231833588427065</v>
      </c>
      <c r="G77" s="22">
        <f t="shared" ca="1" si="3"/>
        <v>42.954850512428379</v>
      </c>
      <c r="H77" s="31">
        <f t="shared" ca="1" si="8"/>
        <v>0</v>
      </c>
      <c r="I77" s="9">
        <f t="shared" ca="1" si="4"/>
        <v>1190.032873660758</v>
      </c>
      <c r="J77" s="30">
        <f t="shared" ca="1" si="5"/>
        <v>1000</v>
      </c>
      <c r="K77" s="122">
        <f t="shared" ca="1" si="9"/>
        <v>190.03287366075801</v>
      </c>
      <c r="L77" s="30"/>
      <c r="M77" s="30"/>
      <c r="N77" s="30"/>
      <c r="O77" s="30"/>
    </row>
    <row r="78" spans="1:15" x14ac:dyDescent="0.25">
      <c r="A78" s="10">
        <v>59</v>
      </c>
      <c r="B78" s="27">
        <f t="shared" ca="1" si="0"/>
        <v>0.929548505124284</v>
      </c>
      <c r="C78" s="21">
        <f t="shared" ca="1" si="6"/>
        <v>292.95485051242838</v>
      </c>
      <c r="D78" s="21">
        <f t="shared" ca="1" si="1"/>
        <v>285.23183358842709</v>
      </c>
      <c r="E78" s="21">
        <f t="shared" ca="1" si="2"/>
        <v>0</v>
      </c>
      <c r="F78" s="22">
        <f t="shared" ca="1" si="7"/>
        <v>0</v>
      </c>
      <c r="G78" s="22">
        <f t="shared" ca="1" si="3"/>
        <v>0</v>
      </c>
      <c r="H78" s="31">
        <f t="shared" ca="1" si="8"/>
        <v>0</v>
      </c>
      <c r="I78" s="9">
        <f t="shared" ca="1" si="4"/>
        <v>1375</v>
      </c>
      <c r="J78" s="30">
        <f t="shared" ca="1" si="5"/>
        <v>1000</v>
      </c>
      <c r="K78" s="122">
        <f t="shared" ca="1" si="9"/>
        <v>375</v>
      </c>
      <c r="L78" s="30"/>
      <c r="M78" s="30"/>
      <c r="N78" s="30"/>
      <c r="O78" s="30"/>
    </row>
    <row r="79" spans="1:15" x14ac:dyDescent="0.25">
      <c r="A79" s="10">
        <v>60</v>
      </c>
      <c r="B79" s="27">
        <f t="shared" ca="1" si="0"/>
        <v>0.31933941195685511</v>
      </c>
      <c r="C79" s="21">
        <f t="shared" ca="1" si="6"/>
        <v>231.93394119568552</v>
      </c>
      <c r="D79" s="21">
        <f t="shared" ca="1" si="1"/>
        <v>250</v>
      </c>
      <c r="E79" s="21">
        <f t="shared" ca="1" si="2"/>
        <v>18.06605880431448</v>
      </c>
      <c r="F79" s="22">
        <f t="shared" ca="1" si="7"/>
        <v>18.06605880431448</v>
      </c>
      <c r="G79" s="22">
        <f t="shared" ca="1" si="3"/>
        <v>25.871715621964142</v>
      </c>
      <c r="H79" s="31">
        <f t="shared" ca="1" si="8"/>
        <v>0</v>
      </c>
      <c r="I79" s="9">
        <f t="shared" ca="1" si="4"/>
        <v>1280.1531912773492</v>
      </c>
      <c r="J79" s="30">
        <f t="shared" ca="1" si="5"/>
        <v>1000</v>
      </c>
      <c r="K79" s="122">
        <f t="shared" ca="1" si="9"/>
        <v>280.15319127734915</v>
      </c>
      <c r="L79" s="30"/>
      <c r="M79" s="30"/>
      <c r="N79" s="30"/>
      <c r="O79" s="30"/>
    </row>
    <row r="80" spans="1:15" x14ac:dyDescent="0.25">
      <c r="A80" s="10">
        <v>61</v>
      </c>
      <c r="B80" s="27">
        <f t="shared" ca="1" si="0"/>
        <v>0.75871715621964131</v>
      </c>
      <c r="C80" s="21">
        <f t="shared" ca="1" si="6"/>
        <v>275.87171562196414</v>
      </c>
      <c r="D80" s="21">
        <f t="shared" ca="1" si="1"/>
        <v>268.06605880431448</v>
      </c>
      <c r="E80" s="21">
        <f t="shared" ca="1" si="2"/>
        <v>0</v>
      </c>
      <c r="F80" s="22">
        <f t="shared" ca="1" si="7"/>
        <v>0</v>
      </c>
      <c r="G80" s="22">
        <f t="shared" ca="1" si="3"/>
        <v>26.315845288360265</v>
      </c>
      <c r="H80" s="31">
        <f t="shared" ca="1" si="8"/>
        <v>0</v>
      </c>
      <c r="I80" s="9">
        <f t="shared" ca="1" si="4"/>
        <v>1375</v>
      </c>
      <c r="J80" s="30">
        <f t="shared" ca="1" si="5"/>
        <v>1000</v>
      </c>
      <c r="K80" s="122">
        <f t="shared" ca="1" si="9"/>
        <v>375</v>
      </c>
      <c r="L80" s="30"/>
      <c r="M80" s="30"/>
      <c r="N80" s="30"/>
      <c r="O80" s="30"/>
    </row>
    <row r="81" spans="1:15" x14ac:dyDescent="0.25">
      <c r="A81" s="10">
        <v>62</v>
      </c>
      <c r="B81" s="27">
        <f t="shared" ca="1" si="0"/>
        <v>0.76315845288360262</v>
      </c>
      <c r="C81" s="21">
        <f t="shared" ca="1" si="6"/>
        <v>276.31584528836026</v>
      </c>
      <c r="D81" s="21">
        <f t="shared" ca="1" si="1"/>
        <v>250</v>
      </c>
      <c r="E81" s="21">
        <f t="shared" ca="1" si="2"/>
        <v>0</v>
      </c>
      <c r="F81" s="22">
        <f t="shared" ca="1" si="7"/>
        <v>0</v>
      </c>
      <c r="G81" s="22">
        <f t="shared" ca="1" si="3"/>
        <v>0</v>
      </c>
      <c r="H81" s="31">
        <f t="shared" ca="1" si="8"/>
        <v>0</v>
      </c>
      <c r="I81" s="9">
        <f t="shared" ca="1" si="4"/>
        <v>1375</v>
      </c>
      <c r="J81" s="30">
        <f t="shared" ca="1" si="5"/>
        <v>1000</v>
      </c>
      <c r="K81" s="122">
        <f t="shared" ca="1" si="9"/>
        <v>375</v>
      </c>
      <c r="L81" s="30"/>
      <c r="M81" s="30"/>
      <c r="N81" s="30"/>
      <c r="O81" s="30"/>
    </row>
    <row r="82" spans="1:15" x14ac:dyDescent="0.25">
      <c r="A82" s="10">
        <v>63</v>
      </c>
      <c r="B82" s="27">
        <f t="shared" ca="1" si="0"/>
        <v>3.9712858175533494E-2</v>
      </c>
      <c r="C82" s="21">
        <f t="shared" ca="1" si="6"/>
        <v>203.97128581755334</v>
      </c>
      <c r="D82" s="21">
        <f t="shared" ca="1" si="1"/>
        <v>250</v>
      </c>
      <c r="E82" s="21">
        <f t="shared" ca="1" si="2"/>
        <v>46.028714182446663</v>
      </c>
      <c r="F82" s="22">
        <f t="shared" ca="1" si="7"/>
        <v>46.028714182446663</v>
      </c>
      <c r="G82" s="22">
        <f t="shared" ca="1" si="3"/>
        <v>0</v>
      </c>
      <c r="H82" s="31">
        <f t="shared" ca="1" si="8"/>
        <v>46.028714182446663</v>
      </c>
      <c r="I82" s="9">
        <f t="shared" ca="1" si="4"/>
        <v>1133.349250542155</v>
      </c>
      <c r="J82" s="30">
        <f t="shared" ca="1" si="5"/>
        <v>1069.04307127367</v>
      </c>
      <c r="K82" s="122">
        <f t="shared" ca="1" si="9"/>
        <v>64.306179268485039</v>
      </c>
      <c r="L82" s="30"/>
      <c r="M82" s="30"/>
      <c r="N82" s="30"/>
      <c r="O82" s="30"/>
    </row>
    <row r="83" spans="1:15" x14ac:dyDescent="0.25">
      <c r="A83" s="10">
        <v>64</v>
      </c>
      <c r="B83" s="27">
        <f t="shared" ca="1" si="0"/>
        <v>1.8997344752527123E-2</v>
      </c>
      <c r="C83" s="21">
        <f t="shared" ca="1" si="6"/>
        <v>201.8997344752527</v>
      </c>
      <c r="D83" s="21">
        <f t="shared" ca="1" si="1"/>
        <v>296.02871418244666</v>
      </c>
      <c r="E83" s="21">
        <f t="shared" ca="1" si="2"/>
        <v>48.1002655247473</v>
      </c>
      <c r="F83" s="22">
        <f t="shared" ca="1" si="7"/>
        <v>94.128979707193963</v>
      </c>
      <c r="G83" s="22">
        <f t="shared" ca="1" si="3"/>
        <v>30.38832069491832</v>
      </c>
      <c r="H83" s="31">
        <f t="shared" ca="1" si="8"/>
        <v>63.740659012275643</v>
      </c>
      <c r="I83" s="9">
        <f t="shared" ca="1" si="4"/>
        <v>1313.6955830319037</v>
      </c>
      <c r="J83" s="30">
        <f t="shared" ca="1" si="5"/>
        <v>1095.6109885184135</v>
      </c>
      <c r="K83" s="122">
        <f t="shared" ca="1" si="9"/>
        <v>218.08459451349017</v>
      </c>
      <c r="L83" s="30"/>
      <c r="M83" s="30"/>
      <c r="N83" s="30"/>
      <c r="O83" s="30"/>
    </row>
    <row r="84" spans="1:15" x14ac:dyDescent="0.25">
      <c r="A84" s="10">
        <v>65</v>
      </c>
      <c r="B84" s="27">
        <f t="shared" ref="B84:B147" ca="1" si="10">RAND()</f>
        <v>0.80388320694918314</v>
      </c>
      <c r="C84" s="21">
        <f t="shared" ca="1" si="6"/>
        <v>280.38832069491832</v>
      </c>
      <c r="D84" s="21">
        <f t="shared" ref="D84:D147" ca="1" si="11">$E$10+E83</f>
        <v>298.10026552474733</v>
      </c>
      <c r="E84" s="21">
        <f t="shared" ref="E84:E147" ca="1" si="12">IF(C84&gt;$E$10,0,$E$10-C84)</f>
        <v>0</v>
      </c>
      <c r="F84" s="22">
        <f t="shared" ca="1" si="7"/>
        <v>17.711944829829008</v>
      </c>
      <c r="G84" s="22">
        <f t="shared" ref="G84:G147" ca="1" si="13">IF(C85&gt;$E$10,C85-$E$10,0)</f>
        <v>31.041266312636367</v>
      </c>
      <c r="H84" s="31">
        <f t="shared" ca="1" si="8"/>
        <v>0</v>
      </c>
      <c r="I84" s="9">
        <f t="shared" ref="I84:I147" ca="1" si="14">IF($E$10&lt;C84,$E$10*$E$7,$E$9*($E$10-C84)+(C84*$E$7)+IF($E$10&lt;C85,H84*$E$8,E83*$E$8))</f>
        <v>1375</v>
      </c>
      <c r="J84" s="30">
        <f t="shared" ref="J84:J147" ca="1" si="15">IF(H84&gt;0,$E$10*$E$5+H84*$E$6,$E$10*$E$5)</f>
        <v>1000</v>
      </c>
      <c r="K84" s="122">
        <f t="shared" ca="1" si="9"/>
        <v>375</v>
      </c>
      <c r="L84" s="30"/>
      <c r="M84" s="30"/>
      <c r="N84" s="30"/>
      <c r="O84" s="30"/>
    </row>
    <row r="85" spans="1:15" x14ac:dyDescent="0.25">
      <c r="A85" s="10">
        <v>66</v>
      </c>
      <c r="B85" s="27">
        <f t="shared" ca="1" si="10"/>
        <v>0.81041266312636373</v>
      </c>
      <c r="C85" s="21">
        <f t="shared" ref="C85:C148" ca="1" si="16">200+(300-200)*B85</f>
        <v>281.04126631263637</v>
      </c>
      <c r="D85" s="21">
        <f t="shared" ca="1" si="11"/>
        <v>250</v>
      </c>
      <c r="E85" s="21">
        <f t="shared" ca="1" si="12"/>
        <v>0</v>
      </c>
      <c r="F85" s="22">
        <f t="shared" ref="F85:F148" ca="1" si="17">IF(C85&gt;D85,0,D85-C85)</f>
        <v>0</v>
      </c>
      <c r="G85" s="22">
        <f t="shared" ca="1" si="13"/>
        <v>0</v>
      </c>
      <c r="H85" s="31">
        <f t="shared" ref="H85:H148" ca="1" si="18">IF(G85&gt;F85,0,IF(G85&lt;F85,F85-G85,0))</f>
        <v>0</v>
      </c>
      <c r="I85" s="9">
        <f t="shared" ca="1" si="14"/>
        <v>1375</v>
      </c>
      <c r="J85" s="30">
        <f t="shared" ca="1" si="15"/>
        <v>1000</v>
      </c>
      <c r="K85" s="122">
        <f t="shared" ref="K85:K148" ca="1" si="19">I85-J85</f>
        <v>375</v>
      </c>
      <c r="L85" s="30"/>
      <c r="M85" s="30"/>
      <c r="N85" s="30"/>
      <c r="O85" s="30"/>
    </row>
    <row r="86" spans="1:15" x14ac:dyDescent="0.25">
      <c r="A86" s="10">
        <v>67</v>
      </c>
      <c r="B86" s="27">
        <f t="shared" ca="1" si="10"/>
        <v>0.12151387401438141</v>
      </c>
      <c r="C86" s="21">
        <f t="shared" ca="1" si="16"/>
        <v>212.15138740143814</v>
      </c>
      <c r="D86" s="21">
        <f t="shared" ca="1" si="11"/>
        <v>250</v>
      </c>
      <c r="E86" s="21">
        <f t="shared" ca="1" si="12"/>
        <v>37.848612598561857</v>
      </c>
      <c r="F86" s="22">
        <f t="shared" ca="1" si="17"/>
        <v>37.848612598561857</v>
      </c>
      <c r="G86" s="22">
        <f t="shared" ca="1" si="13"/>
        <v>17.854364366122581</v>
      </c>
      <c r="H86" s="31">
        <f t="shared" ca="1" si="18"/>
        <v>19.994248232439276</v>
      </c>
      <c r="I86" s="9">
        <f t="shared" ca="1" si="14"/>
        <v>1236.2775285548682</v>
      </c>
      <c r="J86" s="30">
        <f t="shared" ca="1" si="15"/>
        <v>1029.9913723486588</v>
      </c>
      <c r="K86" s="122">
        <f t="shared" ca="1" si="19"/>
        <v>206.2861562062094</v>
      </c>
      <c r="L86" s="30"/>
      <c r="M86" s="30"/>
      <c r="N86" s="30"/>
      <c r="O86" s="30"/>
    </row>
    <row r="87" spans="1:15" x14ac:dyDescent="0.25">
      <c r="A87" s="10">
        <v>68</v>
      </c>
      <c r="B87" s="27">
        <f t="shared" ca="1" si="10"/>
        <v>0.67854364366122566</v>
      </c>
      <c r="C87" s="21">
        <f t="shared" ca="1" si="16"/>
        <v>267.85436436612258</v>
      </c>
      <c r="D87" s="21">
        <f t="shared" ca="1" si="11"/>
        <v>287.84861259856189</v>
      </c>
      <c r="E87" s="21">
        <f t="shared" ca="1" si="12"/>
        <v>0</v>
      </c>
      <c r="F87" s="22">
        <f t="shared" ca="1" si="17"/>
        <v>19.994248232439304</v>
      </c>
      <c r="G87" s="22">
        <f t="shared" ca="1" si="13"/>
        <v>40.231019293740019</v>
      </c>
      <c r="H87" s="31">
        <f t="shared" ca="1" si="18"/>
        <v>0</v>
      </c>
      <c r="I87" s="9">
        <f t="shared" ca="1" si="14"/>
        <v>1375</v>
      </c>
      <c r="J87" s="30">
        <f t="shared" ca="1" si="15"/>
        <v>1000</v>
      </c>
      <c r="K87" s="122">
        <f t="shared" ca="1" si="19"/>
        <v>375</v>
      </c>
      <c r="L87" s="30"/>
      <c r="M87" s="30"/>
      <c r="N87" s="30"/>
      <c r="O87" s="30"/>
    </row>
    <row r="88" spans="1:15" x14ac:dyDescent="0.25">
      <c r="A88" s="10">
        <v>69</v>
      </c>
      <c r="B88" s="27">
        <f t="shared" ca="1" si="10"/>
        <v>0.90231019293740033</v>
      </c>
      <c r="C88" s="21">
        <f t="shared" ca="1" si="16"/>
        <v>290.23101929374002</v>
      </c>
      <c r="D88" s="21">
        <f t="shared" ca="1" si="11"/>
        <v>250</v>
      </c>
      <c r="E88" s="21">
        <f t="shared" ca="1" si="12"/>
        <v>0</v>
      </c>
      <c r="F88" s="22">
        <f t="shared" ca="1" si="17"/>
        <v>0</v>
      </c>
      <c r="G88" s="22">
        <f t="shared" ca="1" si="13"/>
        <v>31.910417398440075</v>
      </c>
      <c r="H88" s="31">
        <f t="shared" ca="1" si="18"/>
        <v>0</v>
      </c>
      <c r="I88" s="9">
        <f t="shared" ca="1" si="14"/>
        <v>1375</v>
      </c>
      <c r="J88" s="30">
        <f t="shared" ca="1" si="15"/>
        <v>1000</v>
      </c>
      <c r="K88" s="122">
        <f t="shared" ca="1" si="19"/>
        <v>375</v>
      </c>
      <c r="L88" s="30"/>
      <c r="M88" s="30"/>
      <c r="N88" s="30"/>
      <c r="O88" s="30"/>
    </row>
    <row r="89" spans="1:15" x14ac:dyDescent="0.25">
      <c r="A89" s="10">
        <v>70</v>
      </c>
      <c r="B89" s="27">
        <f t="shared" ca="1" si="10"/>
        <v>0.81910417398440061</v>
      </c>
      <c r="C89" s="21">
        <f t="shared" ca="1" si="16"/>
        <v>281.91041739844007</v>
      </c>
      <c r="D89" s="21">
        <f t="shared" ca="1" si="11"/>
        <v>250</v>
      </c>
      <c r="E89" s="21">
        <f t="shared" ca="1" si="12"/>
        <v>0</v>
      </c>
      <c r="F89" s="22">
        <f t="shared" ca="1" si="17"/>
        <v>0</v>
      </c>
      <c r="G89" s="22">
        <f t="shared" ca="1" si="13"/>
        <v>19.768468038203878</v>
      </c>
      <c r="H89" s="31">
        <f t="shared" ca="1" si="18"/>
        <v>0</v>
      </c>
      <c r="I89" s="9">
        <f t="shared" ca="1" si="14"/>
        <v>1375</v>
      </c>
      <c r="J89" s="30">
        <f t="shared" ca="1" si="15"/>
        <v>1000</v>
      </c>
      <c r="K89" s="122">
        <f t="shared" ca="1" si="19"/>
        <v>375</v>
      </c>
      <c r="L89" s="30"/>
      <c r="M89" s="30"/>
      <c r="N89" s="30"/>
      <c r="O89" s="30"/>
    </row>
    <row r="90" spans="1:15" x14ac:dyDescent="0.25">
      <c r="A90" s="10">
        <v>71</v>
      </c>
      <c r="B90" s="27">
        <f t="shared" ca="1" si="10"/>
        <v>0.69768468038203857</v>
      </c>
      <c r="C90" s="21">
        <f t="shared" ca="1" si="16"/>
        <v>269.76846803820388</v>
      </c>
      <c r="D90" s="21">
        <f t="shared" ca="1" si="11"/>
        <v>250</v>
      </c>
      <c r="E90" s="21">
        <f t="shared" ca="1" si="12"/>
        <v>0</v>
      </c>
      <c r="F90" s="22">
        <f t="shared" ca="1" si="17"/>
        <v>0</v>
      </c>
      <c r="G90" s="22">
        <f t="shared" ca="1" si="13"/>
        <v>4.2490738006449646</v>
      </c>
      <c r="H90" s="31">
        <f t="shared" ca="1" si="18"/>
        <v>0</v>
      </c>
      <c r="I90" s="9">
        <f t="shared" ca="1" si="14"/>
        <v>1375</v>
      </c>
      <c r="J90" s="30">
        <f t="shared" ca="1" si="15"/>
        <v>1000</v>
      </c>
      <c r="K90" s="122">
        <f t="shared" ca="1" si="19"/>
        <v>375</v>
      </c>
      <c r="L90" s="30"/>
      <c r="M90" s="30"/>
      <c r="N90" s="30"/>
      <c r="O90" s="30"/>
    </row>
    <row r="91" spans="1:15" x14ac:dyDescent="0.25">
      <c r="A91" s="10">
        <v>72</v>
      </c>
      <c r="B91" s="27">
        <f t="shared" ca="1" si="10"/>
        <v>0.54249073800644965</v>
      </c>
      <c r="C91" s="21">
        <f t="shared" ca="1" si="16"/>
        <v>254.24907380064496</v>
      </c>
      <c r="D91" s="21">
        <f t="shared" ca="1" si="11"/>
        <v>250</v>
      </c>
      <c r="E91" s="21">
        <f t="shared" ca="1" si="12"/>
        <v>0</v>
      </c>
      <c r="F91" s="22">
        <f t="shared" ca="1" si="17"/>
        <v>0</v>
      </c>
      <c r="G91" s="22">
        <f t="shared" ca="1" si="13"/>
        <v>28.470391240674701</v>
      </c>
      <c r="H91" s="31">
        <f t="shared" ca="1" si="18"/>
        <v>0</v>
      </c>
      <c r="I91" s="9">
        <f t="shared" ca="1" si="14"/>
        <v>1375</v>
      </c>
      <c r="J91" s="30">
        <f t="shared" ca="1" si="15"/>
        <v>1000</v>
      </c>
      <c r="K91" s="122">
        <f t="shared" ca="1" si="19"/>
        <v>375</v>
      </c>
      <c r="L91" s="30"/>
      <c r="M91" s="30"/>
      <c r="N91" s="30"/>
      <c r="O91" s="30"/>
    </row>
    <row r="92" spans="1:15" x14ac:dyDescent="0.25">
      <c r="A92" s="10">
        <v>73</v>
      </c>
      <c r="B92" s="27">
        <f t="shared" ca="1" si="10"/>
        <v>0.78470391240674686</v>
      </c>
      <c r="C92" s="21">
        <f t="shared" ca="1" si="16"/>
        <v>278.4703912406747</v>
      </c>
      <c r="D92" s="21">
        <f t="shared" ca="1" si="11"/>
        <v>250</v>
      </c>
      <c r="E92" s="21">
        <f t="shared" ca="1" si="12"/>
        <v>0</v>
      </c>
      <c r="F92" s="22">
        <f t="shared" ca="1" si="17"/>
        <v>0</v>
      </c>
      <c r="G92" s="22">
        <f t="shared" ca="1" si="13"/>
        <v>0</v>
      </c>
      <c r="H92" s="31">
        <f t="shared" ca="1" si="18"/>
        <v>0</v>
      </c>
      <c r="I92" s="9">
        <f t="shared" ca="1" si="14"/>
        <v>1375</v>
      </c>
      <c r="J92" s="30">
        <f t="shared" ca="1" si="15"/>
        <v>1000</v>
      </c>
      <c r="K92" s="122">
        <f t="shared" ca="1" si="19"/>
        <v>375</v>
      </c>
      <c r="L92" s="30"/>
      <c r="M92" s="30"/>
      <c r="N92" s="30"/>
      <c r="O92" s="30"/>
    </row>
    <row r="93" spans="1:15" x14ac:dyDescent="0.25">
      <c r="A93" s="10">
        <v>74</v>
      </c>
      <c r="B93" s="27">
        <f t="shared" ca="1" si="10"/>
        <v>0.38205706369861914</v>
      </c>
      <c r="C93" s="21">
        <f t="shared" ca="1" si="16"/>
        <v>238.2057063698619</v>
      </c>
      <c r="D93" s="21">
        <f t="shared" ca="1" si="11"/>
        <v>250</v>
      </c>
      <c r="E93" s="21">
        <f t="shared" ca="1" si="12"/>
        <v>11.7942936301381</v>
      </c>
      <c r="F93" s="22">
        <f t="shared" ca="1" si="17"/>
        <v>11.7942936301381</v>
      </c>
      <c r="G93" s="22">
        <f t="shared" ca="1" si="13"/>
        <v>0</v>
      </c>
      <c r="H93" s="31">
        <f t="shared" ca="1" si="18"/>
        <v>11.7942936301381</v>
      </c>
      <c r="I93" s="9">
        <f t="shared" ca="1" si="14"/>
        <v>1313.0799584417748</v>
      </c>
      <c r="J93" s="30">
        <f t="shared" ca="1" si="15"/>
        <v>1017.6914404452071</v>
      </c>
      <c r="K93" s="122">
        <f t="shared" ca="1" si="19"/>
        <v>295.38851799656766</v>
      </c>
      <c r="L93" s="30"/>
      <c r="M93" s="30"/>
      <c r="N93" s="30"/>
      <c r="O93" s="30"/>
    </row>
    <row r="94" spans="1:15" x14ac:dyDescent="0.25">
      <c r="A94" s="10">
        <v>75</v>
      </c>
      <c r="B94" s="27">
        <f t="shared" ca="1" si="10"/>
        <v>0.42637972887932862</v>
      </c>
      <c r="C94" s="21">
        <f t="shared" ca="1" si="16"/>
        <v>242.63797288793285</v>
      </c>
      <c r="D94" s="21">
        <f t="shared" ca="1" si="11"/>
        <v>261.7942936301381</v>
      </c>
      <c r="E94" s="21">
        <f t="shared" ca="1" si="12"/>
        <v>7.3620271120671532</v>
      </c>
      <c r="F94" s="22">
        <f t="shared" ca="1" si="17"/>
        <v>19.156320742205253</v>
      </c>
      <c r="G94" s="22">
        <f t="shared" ca="1" si="13"/>
        <v>35.019541506768121</v>
      </c>
      <c r="H94" s="31">
        <f t="shared" ca="1" si="18"/>
        <v>0</v>
      </c>
      <c r="I94" s="9">
        <f t="shared" ca="1" si="14"/>
        <v>1336.3493576616474</v>
      </c>
      <c r="J94" s="30">
        <f t="shared" ca="1" si="15"/>
        <v>1000</v>
      </c>
      <c r="K94" s="122">
        <f t="shared" ca="1" si="19"/>
        <v>336.34935766164745</v>
      </c>
      <c r="L94" s="30"/>
      <c r="M94" s="30"/>
      <c r="N94" s="30"/>
      <c r="O94" s="30"/>
    </row>
    <row r="95" spans="1:15" x14ac:dyDescent="0.25">
      <c r="A95" s="10">
        <v>76</v>
      </c>
      <c r="B95" s="27">
        <f t="shared" ca="1" si="10"/>
        <v>0.85019541506768115</v>
      </c>
      <c r="C95" s="21">
        <f t="shared" ca="1" si="16"/>
        <v>285.01954150676812</v>
      </c>
      <c r="D95" s="21">
        <f t="shared" ca="1" si="11"/>
        <v>257.36202711206715</v>
      </c>
      <c r="E95" s="21">
        <f t="shared" ca="1" si="12"/>
        <v>0</v>
      </c>
      <c r="F95" s="22">
        <f t="shared" ca="1" si="17"/>
        <v>0</v>
      </c>
      <c r="G95" s="22">
        <f t="shared" ca="1" si="13"/>
        <v>14.618260073044837</v>
      </c>
      <c r="H95" s="31">
        <f t="shared" ca="1" si="18"/>
        <v>0</v>
      </c>
      <c r="I95" s="9">
        <f t="shared" ca="1" si="14"/>
        <v>1375</v>
      </c>
      <c r="J95" s="30">
        <f t="shared" ca="1" si="15"/>
        <v>1000</v>
      </c>
      <c r="K95" s="122">
        <f t="shared" ca="1" si="19"/>
        <v>375</v>
      </c>
      <c r="L95" s="30"/>
      <c r="M95" s="30"/>
      <c r="N95" s="30"/>
      <c r="O95" s="30"/>
    </row>
    <row r="96" spans="1:15" x14ac:dyDescent="0.25">
      <c r="A96" s="10">
        <v>77</v>
      </c>
      <c r="B96" s="27">
        <f t="shared" ca="1" si="10"/>
        <v>0.6461826007304482</v>
      </c>
      <c r="C96" s="21">
        <f t="shared" ca="1" si="16"/>
        <v>264.61826007304484</v>
      </c>
      <c r="D96" s="21">
        <f t="shared" ca="1" si="11"/>
        <v>250</v>
      </c>
      <c r="E96" s="21">
        <f t="shared" ca="1" si="12"/>
        <v>0</v>
      </c>
      <c r="F96" s="22">
        <f t="shared" ca="1" si="17"/>
        <v>0</v>
      </c>
      <c r="G96" s="22">
        <f t="shared" ca="1" si="13"/>
        <v>0</v>
      </c>
      <c r="H96" s="31">
        <f t="shared" ca="1" si="18"/>
        <v>0</v>
      </c>
      <c r="I96" s="9">
        <f t="shared" ca="1" si="14"/>
        <v>1375</v>
      </c>
      <c r="J96" s="30">
        <f t="shared" ca="1" si="15"/>
        <v>1000</v>
      </c>
      <c r="K96" s="122">
        <f t="shared" ca="1" si="19"/>
        <v>375</v>
      </c>
      <c r="L96" s="30"/>
      <c r="M96" s="30"/>
      <c r="N96" s="30"/>
      <c r="O96" s="30"/>
    </row>
    <row r="97" spans="1:15" x14ac:dyDescent="0.25">
      <c r="A97" s="10">
        <v>78</v>
      </c>
      <c r="B97" s="27">
        <f t="shared" ca="1" si="10"/>
        <v>0.45420509262073494</v>
      </c>
      <c r="C97" s="21">
        <f t="shared" ca="1" si="16"/>
        <v>245.42050926207349</v>
      </c>
      <c r="D97" s="21">
        <f t="shared" ca="1" si="11"/>
        <v>250</v>
      </c>
      <c r="E97" s="21">
        <f t="shared" ca="1" si="12"/>
        <v>4.5794907379265055</v>
      </c>
      <c r="F97" s="22">
        <f t="shared" ca="1" si="17"/>
        <v>4.5794907379265055</v>
      </c>
      <c r="G97" s="22">
        <f t="shared" ca="1" si="13"/>
        <v>0</v>
      </c>
      <c r="H97" s="31">
        <f t="shared" ca="1" si="18"/>
        <v>4.5794907379265055</v>
      </c>
      <c r="I97" s="9">
        <f t="shared" ca="1" si="14"/>
        <v>1350.9576736258859</v>
      </c>
      <c r="J97" s="30">
        <f t="shared" ca="1" si="15"/>
        <v>1006.8692361068897</v>
      </c>
      <c r="K97" s="122">
        <f t="shared" ca="1" si="19"/>
        <v>344.08843751899622</v>
      </c>
      <c r="L97" s="30"/>
      <c r="M97" s="30"/>
      <c r="N97" s="30"/>
      <c r="O97" s="30"/>
    </row>
    <row r="98" spans="1:15" x14ac:dyDescent="0.25">
      <c r="A98" s="10">
        <v>79</v>
      </c>
      <c r="B98" s="27">
        <f t="shared" ca="1" si="10"/>
        <v>0.46995360474828451</v>
      </c>
      <c r="C98" s="21">
        <f t="shared" ca="1" si="16"/>
        <v>246.99536047482846</v>
      </c>
      <c r="D98" s="21">
        <f t="shared" ca="1" si="11"/>
        <v>254.57949073792651</v>
      </c>
      <c r="E98" s="21">
        <f t="shared" ca="1" si="12"/>
        <v>3.004639525171541</v>
      </c>
      <c r="F98" s="22">
        <f t="shared" ca="1" si="17"/>
        <v>7.5841302630980465</v>
      </c>
      <c r="G98" s="22">
        <f t="shared" ca="1" si="13"/>
        <v>4.1202088297261525</v>
      </c>
      <c r="H98" s="31">
        <f t="shared" ca="1" si="18"/>
        <v>3.463921433371894</v>
      </c>
      <c r="I98" s="9">
        <f t="shared" ca="1" si="14"/>
        <v>1369.6174067929651</v>
      </c>
      <c r="J98" s="30">
        <f t="shared" ca="1" si="15"/>
        <v>1005.1958821500579</v>
      </c>
      <c r="K98" s="122">
        <f t="shared" ca="1" si="19"/>
        <v>364.42152464290723</v>
      </c>
      <c r="L98" s="30"/>
      <c r="M98" s="30"/>
      <c r="N98" s="30"/>
      <c r="O98" s="30"/>
    </row>
    <row r="99" spans="1:15" x14ac:dyDescent="0.25">
      <c r="A99" s="10">
        <v>80</v>
      </c>
      <c r="B99" s="43">
        <f t="shared" ca="1" si="10"/>
        <v>0.54120208829726169</v>
      </c>
      <c r="C99" s="44">
        <f t="shared" ca="1" si="16"/>
        <v>254.12020882972615</v>
      </c>
      <c r="D99" s="44">
        <f t="shared" ca="1" si="11"/>
        <v>253.00463952517154</v>
      </c>
      <c r="E99" s="44">
        <f t="shared" ca="1" si="12"/>
        <v>0</v>
      </c>
      <c r="F99" s="45">
        <f t="shared" ca="1" si="17"/>
        <v>0</v>
      </c>
      <c r="G99" s="45">
        <f t="shared" ca="1" si="13"/>
        <v>0</v>
      </c>
      <c r="H99" s="46">
        <f t="shared" ca="1" si="18"/>
        <v>0</v>
      </c>
      <c r="I99" s="1">
        <f t="shared" ca="1" si="14"/>
        <v>1375</v>
      </c>
      <c r="J99" s="47">
        <f t="shared" ca="1" si="15"/>
        <v>1000</v>
      </c>
      <c r="K99" s="123">
        <f t="shared" ca="1" si="19"/>
        <v>375</v>
      </c>
      <c r="L99" s="30"/>
      <c r="M99" s="30"/>
      <c r="N99" s="30"/>
      <c r="O99" s="30"/>
    </row>
    <row r="100" spans="1:15" x14ac:dyDescent="0.25">
      <c r="A100" s="10">
        <v>81</v>
      </c>
      <c r="B100" s="58">
        <f t="shared" ca="1" si="10"/>
        <v>0.18717305651072957</v>
      </c>
      <c r="C100" s="49">
        <f t="shared" ca="1" si="16"/>
        <v>218.71730565107296</v>
      </c>
      <c r="D100" s="49">
        <f t="shared" ca="1" si="11"/>
        <v>250</v>
      </c>
      <c r="E100" s="49">
        <f t="shared" ca="1" si="12"/>
        <v>31.282694348927038</v>
      </c>
      <c r="F100" s="54">
        <f t="shared" ca="1" si="17"/>
        <v>31.282694348927038</v>
      </c>
      <c r="G100" s="54">
        <f t="shared" ca="1" si="13"/>
        <v>14.051028523823618</v>
      </c>
      <c r="H100" s="55">
        <f t="shared" ca="1" si="18"/>
        <v>17.23166582510342</v>
      </c>
      <c r="I100" s="52">
        <f t="shared" ca="1" si="14"/>
        <v>1262.4608521434432</v>
      </c>
      <c r="J100" s="53">
        <f t="shared" ca="1" si="15"/>
        <v>1025.8474987376551</v>
      </c>
      <c r="K100" s="124">
        <f t="shared" ca="1" si="19"/>
        <v>236.61335340578808</v>
      </c>
      <c r="L100" s="30"/>
      <c r="M100" s="30"/>
      <c r="N100" s="30"/>
      <c r="O100" s="30"/>
    </row>
    <row r="101" spans="1:15" x14ac:dyDescent="0.25">
      <c r="A101" s="40">
        <v>82</v>
      </c>
      <c r="B101" s="27">
        <f t="shared" ca="1" si="10"/>
        <v>0.64051028523823639</v>
      </c>
      <c r="C101" s="21">
        <f t="shared" ca="1" si="16"/>
        <v>264.05102852382362</v>
      </c>
      <c r="D101" s="21">
        <f t="shared" ca="1" si="11"/>
        <v>281.28269434892707</v>
      </c>
      <c r="E101" s="57">
        <f t="shared" ca="1" si="12"/>
        <v>0</v>
      </c>
      <c r="F101" s="41">
        <f t="shared" ca="1" si="17"/>
        <v>17.231665825103448</v>
      </c>
      <c r="G101" s="41">
        <f t="shared" ca="1" si="13"/>
        <v>0</v>
      </c>
      <c r="H101" s="42">
        <f t="shared" ca="1" si="18"/>
        <v>17.231665825103448</v>
      </c>
      <c r="I101" s="56">
        <f t="shared" ca="1" si="14"/>
        <v>1375</v>
      </c>
      <c r="J101" s="30">
        <f t="shared" ca="1" si="15"/>
        <v>1025.8474987376551</v>
      </c>
      <c r="K101" s="122">
        <f t="shared" ca="1" si="19"/>
        <v>349.15250126234491</v>
      </c>
      <c r="L101" s="30"/>
      <c r="M101" s="30"/>
      <c r="N101" s="30"/>
      <c r="O101" s="30"/>
    </row>
    <row r="102" spans="1:15" x14ac:dyDescent="0.25">
      <c r="A102" s="10">
        <v>83</v>
      </c>
      <c r="B102" s="27">
        <f t="shared" ca="1" si="10"/>
        <v>0.31807291705398122</v>
      </c>
      <c r="C102" s="21">
        <f t="shared" ca="1" si="16"/>
        <v>231.80729170539811</v>
      </c>
      <c r="D102" s="21">
        <f t="shared" ca="1" si="11"/>
        <v>250</v>
      </c>
      <c r="E102" s="21">
        <f t="shared" ca="1" si="12"/>
        <v>18.192708294601886</v>
      </c>
      <c r="F102" s="22">
        <f t="shared" ca="1" si="17"/>
        <v>18.192708294601886</v>
      </c>
      <c r="G102" s="22">
        <f t="shared" ca="1" si="13"/>
        <v>0</v>
      </c>
      <c r="H102" s="31">
        <f t="shared" ca="1" si="18"/>
        <v>18.192708294601886</v>
      </c>
      <c r="I102" s="9">
        <f t="shared" ca="1" si="14"/>
        <v>1279.4882814533403</v>
      </c>
      <c r="J102" s="30">
        <f t="shared" ca="1" si="15"/>
        <v>1027.2890624419028</v>
      </c>
      <c r="K102" s="122">
        <f t="shared" ca="1" si="19"/>
        <v>252.19921901143744</v>
      </c>
      <c r="L102" s="30"/>
      <c r="M102" s="30"/>
      <c r="N102" s="30"/>
      <c r="O102" s="30"/>
    </row>
    <row r="103" spans="1:15" x14ac:dyDescent="0.25">
      <c r="A103" s="10">
        <v>84</v>
      </c>
      <c r="B103" s="27">
        <f t="shared" ca="1" si="10"/>
        <v>8.4351812065180498E-2</v>
      </c>
      <c r="C103" s="21">
        <f t="shared" ca="1" si="16"/>
        <v>208.43518120651805</v>
      </c>
      <c r="D103" s="21">
        <f t="shared" ca="1" si="11"/>
        <v>268.19270829460186</v>
      </c>
      <c r="E103" s="21">
        <f t="shared" ca="1" si="12"/>
        <v>41.564818793481948</v>
      </c>
      <c r="F103" s="22">
        <f t="shared" ca="1" si="17"/>
        <v>59.757527088083805</v>
      </c>
      <c r="G103" s="22">
        <f t="shared" ca="1" si="13"/>
        <v>0</v>
      </c>
      <c r="H103" s="31">
        <f t="shared" ca="1" si="18"/>
        <v>59.757527088083805</v>
      </c>
      <c r="I103" s="9">
        <f t="shared" ca="1" si="14"/>
        <v>1211.3628262180255</v>
      </c>
      <c r="J103" s="30">
        <f t="shared" ca="1" si="15"/>
        <v>1089.6362906321258</v>
      </c>
      <c r="K103" s="122">
        <f t="shared" ca="1" si="19"/>
        <v>121.72653558589968</v>
      </c>
      <c r="L103" s="30"/>
      <c r="M103" s="30"/>
      <c r="N103" s="30"/>
      <c r="O103" s="30"/>
    </row>
    <row r="104" spans="1:15" x14ac:dyDescent="0.25">
      <c r="A104" s="10">
        <v>85</v>
      </c>
      <c r="B104" s="27">
        <f t="shared" ca="1" si="10"/>
        <v>0.25960113748645774</v>
      </c>
      <c r="C104" s="21">
        <f t="shared" ca="1" si="16"/>
        <v>225.96011374864577</v>
      </c>
      <c r="D104" s="21">
        <f t="shared" ca="1" si="11"/>
        <v>291.56481879348195</v>
      </c>
      <c r="E104" s="21">
        <f t="shared" ca="1" si="12"/>
        <v>24.039886251354233</v>
      </c>
      <c r="F104" s="22">
        <f t="shared" ca="1" si="17"/>
        <v>65.60470504483618</v>
      </c>
      <c r="G104" s="22">
        <f t="shared" ca="1" si="13"/>
        <v>42.371299570908945</v>
      </c>
      <c r="H104" s="31">
        <f t="shared" ca="1" si="18"/>
        <v>23.233405473927235</v>
      </c>
      <c r="I104" s="9">
        <f t="shared" ca="1" si="14"/>
        <v>1318.490813602172</v>
      </c>
      <c r="J104" s="30">
        <f t="shared" ca="1" si="15"/>
        <v>1034.8501082108908</v>
      </c>
      <c r="K104" s="122">
        <f t="shared" ca="1" si="19"/>
        <v>283.64070539128124</v>
      </c>
      <c r="L104" s="30"/>
      <c r="M104" s="30"/>
      <c r="N104" s="30"/>
      <c r="O104" s="30"/>
    </row>
    <row r="105" spans="1:15" x14ac:dyDescent="0.25">
      <c r="A105" s="10">
        <v>86</v>
      </c>
      <c r="B105" s="27">
        <f t="shared" ca="1" si="10"/>
        <v>0.92371299570908927</v>
      </c>
      <c r="C105" s="21">
        <f t="shared" ca="1" si="16"/>
        <v>292.37129957090895</v>
      </c>
      <c r="D105" s="21">
        <f t="shared" ca="1" si="11"/>
        <v>274.03988625135423</v>
      </c>
      <c r="E105" s="21">
        <f t="shared" ca="1" si="12"/>
        <v>0</v>
      </c>
      <c r="F105" s="22">
        <f t="shared" ca="1" si="17"/>
        <v>0</v>
      </c>
      <c r="G105" s="22">
        <f t="shared" ca="1" si="13"/>
        <v>22.355264747732349</v>
      </c>
      <c r="H105" s="31">
        <f t="shared" ca="1" si="18"/>
        <v>0</v>
      </c>
      <c r="I105" s="9">
        <f t="shared" ca="1" si="14"/>
        <v>1375</v>
      </c>
      <c r="J105" s="30">
        <f t="shared" ca="1" si="15"/>
        <v>1000</v>
      </c>
      <c r="K105" s="122">
        <f t="shared" ca="1" si="19"/>
        <v>375</v>
      </c>
      <c r="L105" s="30"/>
      <c r="M105" s="30"/>
      <c r="N105" s="30"/>
      <c r="O105" s="30"/>
    </row>
    <row r="106" spans="1:15" x14ac:dyDescent="0.25">
      <c r="A106" s="10">
        <v>87</v>
      </c>
      <c r="B106" s="27">
        <f t="shared" ca="1" si="10"/>
        <v>0.72355264747732329</v>
      </c>
      <c r="C106" s="21">
        <f t="shared" ca="1" si="16"/>
        <v>272.35526474773235</v>
      </c>
      <c r="D106" s="21">
        <f t="shared" ca="1" si="11"/>
        <v>250</v>
      </c>
      <c r="E106" s="21">
        <f t="shared" ca="1" si="12"/>
        <v>0</v>
      </c>
      <c r="F106" s="22">
        <f t="shared" ca="1" si="17"/>
        <v>0</v>
      </c>
      <c r="G106" s="22">
        <f t="shared" ca="1" si="13"/>
        <v>8.5887794335812373</v>
      </c>
      <c r="H106" s="31">
        <f t="shared" ca="1" si="18"/>
        <v>0</v>
      </c>
      <c r="I106" s="9">
        <f t="shared" ca="1" si="14"/>
        <v>1375</v>
      </c>
      <c r="J106" s="30">
        <f t="shared" ca="1" si="15"/>
        <v>1000</v>
      </c>
      <c r="K106" s="122">
        <f t="shared" ca="1" si="19"/>
        <v>375</v>
      </c>
      <c r="L106" s="30"/>
      <c r="M106" s="30"/>
      <c r="N106" s="30"/>
      <c r="O106" s="30"/>
    </row>
    <row r="107" spans="1:15" x14ac:dyDescent="0.25">
      <c r="A107" s="10">
        <v>88</v>
      </c>
      <c r="B107" s="27">
        <f t="shared" ca="1" si="10"/>
        <v>0.5858877943358124</v>
      </c>
      <c r="C107" s="21">
        <f t="shared" ca="1" si="16"/>
        <v>258.58877943358124</v>
      </c>
      <c r="D107" s="21">
        <f t="shared" ca="1" si="11"/>
        <v>250</v>
      </c>
      <c r="E107" s="21">
        <f t="shared" ca="1" si="12"/>
        <v>0</v>
      </c>
      <c r="F107" s="22">
        <f t="shared" ca="1" si="17"/>
        <v>0</v>
      </c>
      <c r="G107" s="22">
        <f t="shared" ca="1" si="13"/>
        <v>0</v>
      </c>
      <c r="H107" s="31">
        <f t="shared" ca="1" si="18"/>
        <v>0</v>
      </c>
      <c r="I107" s="9">
        <f t="shared" ca="1" si="14"/>
        <v>1375</v>
      </c>
      <c r="J107" s="30">
        <f t="shared" ca="1" si="15"/>
        <v>1000</v>
      </c>
      <c r="K107" s="122">
        <f t="shared" ca="1" si="19"/>
        <v>375</v>
      </c>
      <c r="L107" s="30"/>
      <c r="M107" s="30"/>
      <c r="N107" s="30"/>
      <c r="O107" s="30"/>
    </row>
    <row r="108" spans="1:15" x14ac:dyDescent="0.25">
      <c r="A108" s="10">
        <v>89</v>
      </c>
      <c r="B108" s="27">
        <f t="shared" ca="1" si="10"/>
        <v>0.26541847060751389</v>
      </c>
      <c r="C108" s="21">
        <f t="shared" ca="1" si="16"/>
        <v>226.54184706075139</v>
      </c>
      <c r="D108" s="21">
        <f t="shared" ca="1" si="11"/>
        <v>250</v>
      </c>
      <c r="E108" s="21">
        <f t="shared" ca="1" si="12"/>
        <v>23.458152939248606</v>
      </c>
      <c r="F108" s="22">
        <f t="shared" ca="1" si="17"/>
        <v>23.458152939248606</v>
      </c>
      <c r="G108" s="22">
        <f t="shared" ca="1" si="13"/>
        <v>22.31974671272144</v>
      </c>
      <c r="H108" s="31">
        <f t="shared" ca="1" si="18"/>
        <v>1.1384062265271666</v>
      </c>
      <c r="I108" s="9">
        <f t="shared" ca="1" si="14"/>
        <v>1255.2599157485265</v>
      </c>
      <c r="J108" s="30">
        <f t="shared" ca="1" si="15"/>
        <v>1001.7076093397908</v>
      </c>
      <c r="K108" s="122">
        <f t="shared" ca="1" si="19"/>
        <v>253.55230640873572</v>
      </c>
      <c r="L108" s="30"/>
      <c r="M108" s="30"/>
      <c r="N108" s="30"/>
      <c r="O108" s="30"/>
    </row>
    <row r="109" spans="1:15" x14ac:dyDescent="0.25">
      <c r="A109" s="10">
        <v>90</v>
      </c>
      <c r="B109" s="27">
        <f t="shared" ca="1" si="10"/>
        <v>0.72319746712721444</v>
      </c>
      <c r="C109" s="21">
        <f t="shared" ca="1" si="16"/>
        <v>272.31974671272144</v>
      </c>
      <c r="D109" s="21">
        <f t="shared" ca="1" si="11"/>
        <v>273.45815293924863</v>
      </c>
      <c r="E109" s="21">
        <f t="shared" ca="1" si="12"/>
        <v>0</v>
      </c>
      <c r="F109" s="22">
        <f t="shared" ca="1" si="17"/>
        <v>1.138406226527195</v>
      </c>
      <c r="G109" s="22">
        <f t="shared" ca="1" si="13"/>
        <v>10.263555492624278</v>
      </c>
      <c r="H109" s="31">
        <f t="shared" ca="1" si="18"/>
        <v>0</v>
      </c>
      <c r="I109" s="9">
        <f t="shared" ca="1" si="14"/>
        <v>1375</v>
      </c>
      <c r="J109" s="30">
        <f t="shared" ca="1" si="15"/>
        <v>1000</v>
      </c>
      <c r="K109" s="122">
        <f t="shared" ca="1" si="19"/>
        <v>375</v>
      </c>
      <c r="L109" s="30"/>
      <c r="M109" s="30"/>
      <c r="N109" s="30"/>
      <c r="O109" s="30"/>
    </row>
    <row r="110" spans="1:15" x14ac:dyDescent="0.25">
      <c r="A110" s="10">
        <v>91</v>
      </c>
      <c r="B110" s="27">
        <f t="shared" ca="1" si="10"/>
        <v>0.60263555492624266</v>
      </c>
      <c r="C110" s="21">
        <f t="shared" ca="1" si="16"/>
        <v>260.26355549262428</v>
      </c>
      <c r="D110" s="21">
        <f t="shared" ca="1" si="11"/>
        <v>250</v>
      </c>
      <c r="E110" s="21">
        <f t="shared" ca="1" si="12"/>
        <v>0</v>
      </c>
      <c r="F110" s="22">
        <f t="shared" ca="1" si="17"/>
        <v>0</v>
      </c>
      <c r="G110" s="22">
        <f t="shared" ca="1" si="13"/>
        <v>36.018319882992785</v>
      </c>
      <c r="H110" s="31">
        <f t="shared" ca="1" si="18"/>
        <v>0</v>
      </c>
      <c r="I110" s="9">
        <f t="shared" ca="1" si="14"/>
        <v>1375</v>
      </c>
      <c r="J110" s="30">
        <f t="shared" ca="1" si="15"/>
        <v>1000</v>
      </c>
      <c r="K110" s="122">
        <f t="shared" ca="1" si="19"/>
        <v>375</v>
      </c>
      <c r="L110" s="30"/>
      <c r="M110" s="30"/>
      <c r="N110" s="30"/>
      <c r="O110" s="30"/>
    </row>
    <row r="111" spans="1:15" x14ac:dyDescent="0.25">
      <c r="A111" s="10">
        <v>92</v>
      </c>
      <c r="B111" s="27">
        <f t="shared" ca="1" si="10"/>
        <v>0.860183198829928</v>
      </c>
      <c r="C111" s="21">
        <f t="shared" ca="1" si="16"/>
        <v>286.01831988299278</v>
      </c>
      <c r="D111" s="21">
        <f t="shared" ca="1" si="11"/>
        <v>250</v>
      </c>
      <c r="E111" s="21">
        <f t="shared" ca="1" si="12"/>
        <v>0</v>
      </c>
      <c r="F111" s="22">
        <f t="shared" ca="1" si="17"/>
        <v>0</v>
      </c>
      <c r="G111" s="22">
        <f t="shared" ca="1" si="13"/>
        <v>44.574789162683317</v>
      </c>
      <c r="H111" s="31">
        <f t="shared" ca="1" si="18"/>
        <v>0</v>
      </c>
      <c r="I111" s="9">
        <f t="shared" ca="1" si="14"/>
        <v>1375</v>
      </c>
      <c r="J111" s="30">
        <f t="shared" ca="1" si="15"/>
        <v>1000</v>
      </c>
      <c r="K111" s="122">
        <f t="shared" ca="1" si="19"/>
        <v>375</v>
      </c>
      <c r="L111" s="30"/>
      <c r="M111" s="30"/>
      <c r="N111" s="30"/>
      <c r="O111" s="30"/>
    </row>
    <row r="112" spans="1:15" x14ac:dyDescent="0.25">
      <c r="A112" s="10">
        <v>93</v>
      </c>
      <c r="B112" s="27">
        <f t="shared" ca="1" si="10"/>
        <v>0.94574789162683304</v>
      </c>
      <c r="C112" s="21">
        <f t="shared" ca="1" si="16"/>
        <v>294.57478916268332</v>
      </c>
      <c r="D112" s="21">
        <f t="shared" ca="1" si="11"/>
        <v>250</v>
      </c>
      <c r="E112" s="21">
        <f t="shared" ca="1" si="12"/>
        <v>0</v>
      </c>
      <c r="F112" s="22">
        <f t="shared" ca="1" si="17"/>
        <v>0</v>
      </c>
      <c r="G112" s="22">
        <f t="shared" ca="1" si="13"/>
        <v>35.444756913727986</v>
      </c>
      <c r="H112" s="31">
        <f t="shared" ca="1" si="18"/>
        <v>0</v>
      </c>
      <c r="I112" s="9">
        <f t="shared" ca="1" si="14"/>
        <v>1375</v>
      </c>
      <c r="J112" s="30">
        <f t="shared" ca="1" si="15"/>
        <v>1000</v>
      </c>
      <c r="K112" s="122">
        <f t="shared" ca="1" si="19"/>
        <v>375</v>
      </c>
      <c r="L112" s="30"/>
      <c r="M112" s="30"/>
      <c r="N112" s="30"/>
      <c r="O112" s="30"/>
    </row>
    <row r="113" spans="1:15" x14ac:dyDescent="0.25">
      <c r="A113" s="10">
        <v>94</v>
      </c>
      <c r="B113" s="27">
        <f t="shared" ca="1" si="10"/>
        <v>0.85444756913727982</v>
      </c>
      <c r="C113" s="21">
        <f t="shared" ca="1" si="16"/>
        <v>285.44475691372799</v>
      </c>
      <c r="D113" s="21">
        <f t="shared" ca="1" si="11"/>
        <v>250</v>
      </c>
      <c r="E113" s="21">
        <f t="shared" ca="1" si="12"/>
        <v>0</v>
      </c>
      <c r="F113" s="22">
        <f t="shared" ca="1" si="17"/>
        <v>0</v>
      </c>
      <c r="G113" s="22">
        <f t="shared" ca="1" si="13"/>
        <v>0</v>
      </c>
      <c r="H113" s="31">
        <f t="shared" ca="1" si="18"/>
        <v>0</v>
      </c>
      <c r="I113" s="9">
        <f t="shared" ca="1" si="14"/>
        <v>1375</v>
      </c>
      <c r="J113" s="30">
        <f t="shared" ca="1" si="15"/>
        <v>1000</v>
      </c>
      <c r="K113" s="122">
        <f t="shared" ca="1" si="19"/>
        <v>375</v>
      </c>
      <c r="L113" s="30"/>
      <c r="M113" s="30"/>
      <c r="N113" s="30"/>
      <c r="O113" s="30"/>
    </row>
    <row r="114" spans="1:15" x14ac:dyDescent="0.25">
      <c r="A114" s="10">
        <v>95</v>
      </c>
      <c r="B114" s="27">
        <f t="shared" ca="1" si="10"/>
        <v>0.34755595140032547</v>
      </c>
      <c r="C114" s="21">
        <f t="shared" ca="1" si="16"/>
        <v>234.75559514003254</v>
      </c>
      <c r="D114" s="21">
        <f t="shared" ca="1" si="11"/>
        <v>250</v>
      </c>
      <c r="E114" s="21">
        <f t="shared" ca="1" si="12"/>
        <v>15.24440485996746</v>
      </c>
      <c r="F114" s="22">
        <f t="shared" ca="1" si="17"/>
        <v>15.24440485996746</v>
      </c>
      <c r="G114" s="22">
        <f t="shared" ca="1" si="13"/>
        <v>25.302370077065234</v>
      </c>
      <c r="H114" s="31">
        <f t="shared" ca="1" si="18"/>
        <v>0</v>
      </c>
      <c r="I114" s="9">
        <f t="shared" ca="1" si="14"/>
        <v>1294.9668744851708</v>
      </c>
      <c r="J114" s="30">
        <f t="shared" ca="1" si="15"/>
        <v>1000</v>
      </c>
      <c r="K114" s="122">
        <f t="shared" ca="1" si="19"/>
        <v>294.96687448517082</v>
      </c>
      <c r="L114" s="30"/>
      <c r="M114" s="30"/>
      <c r="N114" s="30"/>
      <c r="O114" s="30"/>
    </row>
    <row r="115" spans="1:15" x14ac:dyDescent="0.25">
      <c r="A115" s="10">
        <v>96</v>
      </c>
      <c r="B115" s="27">
        <f t="shared" ca="1" si="10"/>
        <v>0.75302370077065206</v>
      </c>
      <c r="C115" s="21">
        <f t="shared" ca="1" si="16"/>
        <v>275.30237007706523</v>
      </c>
      <c r="D115" s="21">
        <f t="shared" ca="1" si="11"/>
        <v>265.24440485996746</v>
      </c>
      <c r="E115" s="21">
        <f t="shared" ca="1" si="12"/>
        <v>0</v>
      </c>
      <c r="F115" s="22">
        <f t="shared" ca="1" si="17"/>
        <v>0</v>
      </c>
      <c r="G115" s="22">
        <f t="shared" ca="1" si="13"/>
        <v>8.6463343731161899</v>
      </c>
      <c r="H115" s="31">
        <f t="shared" ca="1" si="18"/>
        <v>0</v>
      </c>
      <c r="I115" s="9">
        <f t="shared" ca="1" si="14"/>
        <v>1375</v>
      </c>
      <c r="J115" s="30">
        <f t="shared" ca="1" si="15"/>
        <v>1000</v>
      </c>
      <c r="K115" s="122">
        <f t="shared" ca="1" si="19"/>
        <v>375</v>
      </c>
      <c r="L115" s="30"/>
      <c r="M115" s="30"/>
      <c r="N115" s="30"/>
      <c r="O115" s="30"/>
    </row>
    <row r="116" spans="1:15" x14ac:dyDescent="0.25">
      <c r="A116" s="10">
        <v>97</v>
      </c>
      <c r="B116" s="27">
        <f t="shared" ca="1" si="10"/>
        <v>0.58646334373116182</v>
      </c>
      <c r="C116" s="21">
        <f t="shared" ca="1" si="16"/>
        <v>258.64633437311619</v>
      </c>
      <c r="D116" s="21">
        <f t="shared" ca="1" si="11"/>
        <v>250</v>
      </c>
      <c r="E116" s="21">
        <f t="shared" ca="1" si="12"/>
        <v>0</v>
      </c>
      <c r="F116" s="22">
        <f t="shared" ca="1" si="17"/>
        <v>0</v>
      </c>
      <c r="G116" s="22">
        <f t="shared" ca="1" si="13"/>
        <v>23.567868227196186</v>
      </c>
      <c r="H116" s="31">
        <f t="shared" ca="1" si="18"/>
        <v>0</v>
      </c>
      <c r="I116" s="9">
        <f t="shared" ca="1" si="14"/>
        <v>1375</v>
      </c>
      <c r="J116" s="30">
        <f t="shared" ca="1" si="15"/>
        <v>1000</v>
      </c>
      <c r="K116" s="122">
        <f t="shared" ca="1" si="19"/>
        <v>375</v>
      </c>
      <c r="L116" s="30"/>
      <c r="M116" s="30"/>
      <c r="N116" s="30"/>
      <c r="O116" s="30"/>
    </row>
    <row r="117" spans="1:15" x14ac:dyDescent="0.25">
      <c r="A117" s="10">
        <v>98</v>
      </c>
      <c r="B117" s="27">
        <f t="shared" ca="1" si="10"/>
        <v>0.73567868227196187</v>
      </c>
      <c r="C117" s="21">
        <f t="shared" ca="1" si="16"/>
        <v>273.56786822719619</v>
      </c>
      <c r="D117" s="21">
        <f t="shared" ca="1" si="11"/>
        <v>250</v>
      </c>
      <c r="E117" s="21">
        <f t="shared" ca="1" si="12"/>
        <v>0</v>
      </c>
      <c r="F117" s="22">
        <f t="shared" ca="1" si="17"/>
        <v>0</v>
      </c>
      <c r="G117" s="22">
        <f t="shared" ca="1" si="13"/>
        <v>4.0868783727515279</v>
      </c>
      <c r="H117" s="31">
        <f t="shared" ca="1" si="18"/>
        <v>0</v>
      </c>
      <c r="I117" s="9">
        <f t="shared" ca="1" si="14"/>
        <v>1375</v>
      </c>
      <c r="J117" s="30">
        <f t="shared" ca="1" si="15"/>
        <v>1000</v>
      </c>
      <c r="K117" s="122">
        <f t="shared" ca="1" si="19"/>
        <v>375</v>
      </c>
      <c r="L117" s="30"/>
      <c r="M117" s="30"/>
      <c r="N117" s="30"/>
      <c r="O117" s="30"/>
    </row>
    <row r="118" spans="1:15" x14ac:dyDescent="0.25">
      <c r="A118" s="10">
        <v>99</v>
      </c>
      <c r="B118" s="27">
        <f t="shared" ca="1" si="10"/>
        <v>0.54086878372751535</v>
      </c>
      <c r="C118" s="21">
        <f t="shared" ca="1" si="16"/>
        <v>254.08687837275153</v>
      </c>
      <c r="D118" s="21">
        <f t="shared" ca="1" si="11"/>
        <v>250</v>
      </c>
      <c r="E118" s="21">
        <f t="shared" ca="1" si="12"/>
        <v>0</v>
      </c>
      <c r="F118" s="22">
        <f t="shared" ca="1" si="17"/>
        <v>0</v>
      </c>
      <c r="G118" s="22">
        <f t="shared" ca="1" si="13"/>
        <v>0</v>
      </c>
      <c r="H118" s="31">
        <f t="shared" ca="1" si="18"/>
        <v>0</v>
      </c>
      <c r="I118" s="9">
        <f t="shared" ca="1" si="14"/>
        <v>1375</v>
      </c>
      <c r="J118" s="30">
        <f t="shared" ca="1" si="15"/>
        <v>1000</v>
      </c>
      <c r="K118" s="122">
        <f t="shared" ca="1" si="19"/>
        <v>375</v>
      </c>
      <c r="L118" s="30"/>
      <c r="M118" s="30"/>
      <c r="N118" s="30"/>
      <c r="O118" s="30"/>
    </row>
    <row r="119" spans="1:15" x14ac:dyDescent="0.25">
      <c r="A119" s="10">
        <v>100</v>
      </c>
      <c r="B119" s="27">
        <f t="shared" ca="1" si="10"/>
        <v>0.2681756962456483</v>
      </c>
      <c r="C119" s="21">
        <f t="shared" ca="1" si="16"/>
        <v>226.81756962456484</v>
      </c>
      <c r="D119" s="21">
        <f t="shared" ca="1" si="11"/>
        <v>250</v>
      </c>
      <c r="E119" s="21">
        <f t="shared" ca="1" si="12"/>
        <v>23.18243037543516</v>
      </c>
      <c r="F119" s="22">
        <f t="shared" ca="1" si="17"/>
        <v>23.18243037543516</v>
      </c>
      <c r="G119" s="22">
        <f t="shared" ca="1" si="13"/>
        <v>41.521641944932639</v>
      </c>
      <c r="H119" s="31">
        <f t="shared" ca="1" si="18"/>
        <v>0</v>
      </c>
      <c r="I119" s="9">
        <f t="shared" ca="1" si="14"/>
        <v>1253.2922405289655</v>
      </c>
      <c r="J119" s="30">
        <f t="shared" ca="1" si="15"/>
        <v>1000</v>
      </c>
      <c r="K119" s="122">
        <f t="shared" ca="1" si="19"/>
        <v>253.29224052896552</v>
      </c>
      <c r="L119" s="30"/>
      <c r="M119" s="30"/>
      <c r="N119" s="30"/>
      <c r="O119" s="30"/>
    </row>
    <row r="120" spans="1:15" x14ac:dyDescent="0.25">
      <c r="A120" s="10">
        <v>101</v>
      </c>
      <c r="B120" s="27">
        <f t="shared" ca="1" si="10"/>
        <v>0.91521641944932675</v>
      </c>
      <c r="C120" s="21">
        <f t="shared" ca="1" si="16"/>
        <v>291.52164194493264</v>
      </c>
      <c r="D120" s="21">
        <f t="shared" ca="1" si="11"/>
        <v>273.18243037543516</v>
      </c>
      <c r="E120" s="21">
        <f t="shared" ca="1" si="12"/>
        <v>0</v>
      </c>
      <c r="F120" s="22">
        <f t="shared" ca="1" si="17"/>
        <v>0</v>
      </c>
      <c r="G120" s="22">
        <f t="shared" ca="1" si="13"/>
        <v>1.9164608542383803</v>
      </c>
      <c r="H120" s="31">
        <f t="shared" ca="1" si="18"/>
        <v>0</v>
      </c>
      <c r="I120" s="9">
        <f t="shared" ca="1" si="14"/>
        <v>1375</v>
      </c>
      <c r="J120" s="30">
        <f t="shared" ca="1" si="15"/>
        <v>1000</v>
      </c>
      <c r="K120" s="122">
        <f t="shared" ca="1" si="19"/>
        <v>375</v>
      </c>
      <c r="L120" s="30"/>
      <c r="M120" s="30"/>
      <c r="N120" s="30"/>
      <c r="O120" s="30"/>
    </row>
    <row r="121" spans="1:15" x14ac:dyDescent="0.25">
      <c r="A121" s="10">
        <v>102</v>
      </c>
      <c r="B121" s="27">
        <f t="shared" ca="1" si="10"/>
        <v>0.51916460854238367</v>
      </c>
      <c r="C121" s="21">
        <f t="shared" ca="1" si="16"/>
        <v>251.91646085423838</v>
      </c>
      <c r="D121" s="21">
        <f t="shared" ca="1" si="11"/>
        <v>250</v>
      </c>
      <c r="E121" s="21">
        <f t="shared" ca="1" si="12"/>
        <v>0</v>
      </c>
      <c r="F121" s="22">
        <f t="shared" ca="1" si="17"/>
        <v>0</v>
      </c>
      <c r="G121" s="22">
        <f t="shared" ca="1" si="13"/>
        <v>0</v>
      </c>
      <c r="H121" s="31">
        <f t="shared" ca="1" si="18"/>
        <v>0</v>
      </c>
      <c r="I121" s="9">
        <f t="shared" ca="1" si="14"/>
        <v>1375</v>
      </c>
      <c r="J121" s="30">
        <f t="shared" ca="1" si="15"/>
        <v>1000</v>
      </c>
      <c r="K121" s="122">
        <f t="shared" ca="1" si="19"/>
        <v>375</v>
      </c>
      <c r="L121" s="30"/>
      <c r="M121" s="30"/>
      <c r="N121" s="30"/>
      <c r="O121" s="30"/>
    </row>
    <row r="122" spans="1:15" x14ac:dyDescent="0.25">
      <c r="A122" s="10">
        <v>103</v>
      </c>
      <c r="B122" s="27">
        <f t="shared" ca="1" si="10"/>
        <v>0.2525216612521678</v>
      </c>
      <c r="C122" s="21">
        <f t="shared" ca="1" si="16"/>
        <v>225.25216612521677</v>
      </c>
      <c r="D122" s="21">
        <f t="shared" ca="1" si="11"/>
        <v>250</v>
      </c>
      <c r="E122" s="21">
        <f t="shared" ca="1" si="12"/>
        <v>24.747833874783225</v>
      </c>
      <c r="F122" s="22">
        <f t="shared" ca="1" si="17"/>
        <v>24.747833874783225</v>
      </c>
      <c r="G122" s="22">
        <f t="shared" ca="1" si="13"/>
        <v>17.804828028572672</v>
      </c>
      <c r="H122" s="31">
        <f t="shared" ca="1" si="18"/>
        <v>6.9430058462105535</v>
      </c>
      <c r="I122" s="9">
        <f t="shared" ca="1" si="14"/>
        <v>1265.9028896960197</v>
      </c>
      <c r="J122" s="30">
        <f t="shared" ca="1" si="15"/>
        <v>1010.4145087693158</v>
      </c>
      <c r="K122" s="122">
        <f t="shared" ca="1" si="19"/>
        <v>255.48838092670383</v>
      </c>
      <c r="L122" s="30"/>
      <c r="M122" s="30"/>
      <c r="N122" s="30"/>
      <c r="O122" s="30"/>
    </row>
    <row r="123" spans="1:15" x14ac:dyDescent="0.25">
      <c r="A123" s="10">
        <v>104</v>
      </c>
      <c r="B123" s="27">
        <f t="shared" ca="1" si="10"/>
        <v>0.67804828028572672</v>
      </c>
      <c r="C123" s="21">
        <f t="shared" ca="1" si="16"/>
        <v>267.80482802857267</v>
      </c>
      <c r="D123" s="21">
        <f t="shared" ca="1" si="11"/>
        <v>274.74783387478323</v>
      </c>
      <c r="E123" s="21">
        <f t="shared" ca="1" si="12"/>
        <v>0</v>
      </c>
      <c r="F123" s="22">
        <f t="shared" ca="1" si="17"/>
        <v>6.9430058462105535</v>
      </c>
      <c r="G123" s="22">
        <f t="shared" ca="1" si="13"/>
        <v>25.60667522742034</v>
      </c>
      <c r="H123" s="31">
        <f t="shared" ca="1" si="18"/>
        <v>0</v>
      </c>
      <c r="I123" s="9">
        <f t="shared" ca="1" si="14"/>
        <v>1375</v>
      </c>
      <c r="J123" s="30">
        <f t="shared" ca="1" si="15"/>
        <v>1000</v>
      </c>
      <c r="K123" s="122">
        <f t="shared" ca="1" si="19"/>
        <v>375</v>
      </c>
      <c r="L123" s="30"/>
      <c r="M123" s="30"/>
      <c r="N123" s="30"/>
      <c r="O123" s="30"/>
    </row>
    <row r="124" spans="1:15" x14ac:dyDescent="0.25">
      <c r="A124" s="10">
        <v>105</v>
      </c>
      <c r="B124" s="27">
        <f t="shared" ca="1" si="10"/>
        <v>0.7560667522742035</v>
      </c>
      <c r="C124" s="21">
        <f t="shared" ca="1" si="16"/>
        <v>275.60667522742034</v>
      </c>
      <c r="D124" s="21">
        <f t="shared" ca="1" si="11"/>
        <v>250</v>
      </c>
      <c r="E124" s="21">
        <f t="shared" ca="1" si="12"/>
        <v>0</v>
      </c>
      <c r="F124" s="22">
        <f t="shared" ca="1" si="17"/>
        <v>0</v>
      </c>
      <c r="G124" s="22">
        <f t="shared" ca="1" si="13"/>
        <v>4.2083578246794673</v>
      </c>
      <c r="H124" s="31">
        <f t="shared" ca="1" si="18"/>
        <v>0</v>
      </c>
      <c r="I124" s="9">
        <f t="shared" ca="1" si="14"/>
        <v>1375</v>
      </c>
      <c r="J124" s="30">
        <f t="shared" ca="1" si="15"/>
        <v>1000</v>
      </c>
      <c r="K124" s="122">
        <f t="shared" ca="1" si="19"/>
        <v>375</v>
      </c>
      <c r="L124" s="30"/>
      <c r="M124" s="30"/>
      <c r="N124" s="30"/>
      <c r="O124" s="30"/>
    </row>
    <row r="125" spans="1:15" x14ac:dyDescent="0.25">
      <c r="A125" s="10">
        <v>106</v>
      </c>
      <c r="B125" s="27">
        <f t="shared" ca="1" si="10"/>
        <v>0.54208357824679454</v>
      </c>
      <c r="C125" s="21">
        <f t="shared" ca="1" si="16"/>
        <v>254.20835782467947</v>
      </c>
      <c r="D125" s="21">
        <f t="shared" ca="1" si="11"/>
        <v>250</v>
      </c>
      <c r="E125" s="21">
        <f t="shared" ca="1" si="12"/>
        <v>0</v>
      </c>
      <c r="F125" s="22">
        <f t="shared" ca="1" si="17"/>
        <v>0</v>
      </c>
      <c r="G125" s="22">
        <f t="shared" ca="1" si="13"/>
        <v>41.415140903415249</v>
      </c>
      <c r="H125" s="31">
        <f t="shared" ca="1" si="18"/>
        <v>0</v>
      </c>
      <c r="I125" s="9">
        <f t="shared" ca="1" si="14"/>
        <v>1375</v>
      </c>
      <c r="J125" s="30">
        <f t="shared" ca="1" si="15"/>
        <v>1000</v>
      </c>
      <c r="K125" s="122">
        <f t="shared" ca="1" si="19"/>
        <v>375</v>
      </c>
      <c r="L125" s="30"/>
      <c r="M125" s="30"/>
      <c r="N125" s="30"/>
      <c r="O125" s="30"/>
    </row>
    <row r="126" spans="1:15" x14ac:dyDescent="0.25">
      <c r="A126" s="10">
        <v>107</v>
      </c>
      <c r="B126" s="27">
        <f t="shared" ca="1" si="10"/>
        <v>0.91415140903415271</v>
      </c>
      <c r="C126" s="21">
        <f t="shared" ca="1" si="16"/>
        <v>291.41514090341525</v>
      </c>
      <c r="D126" s="21">
        <f t="shared" ca="1" si="11"/>
        <v>250</v>
      </c>
      <c r="E126" s="21">
        <f t="shared" ca="1" si="12"/>
        <v>0</v>
      </c>
      <c r="F126" s="22">
        <f t="shared" ca="1" si="17"/>
        <v>0</v>
      </c>
      <c r="G126" s="22">
        <f t="shared" ca="1" si="13"/>
        <v>0</v>
      </c>
      <c r="H126" s="31">
        <f t="shared" ca="1" si="18"/>
        <v>0</v>
      </c>
      <c r="I126" s="9">
        <f t="shared" ca="1" si="14"/>
        <v>1375</v>
      </c>
      <c r="J126" s="30">
        <f t="shared" ca="1" si="15"/>
        <v>1000</v>
      </c>
      <c r="K126" s="122">
        <f t="shared" ca="1" si="19"/>
        <v>375</v>
      </c>
      <c r="L126" s="30"/>
      <c r="M126" s="30"/>
      <c r="N126" s="30"/>
      <c r="O126" s="30"/>
    </row>
    <row r="127" spans="1:15" x14ac:dyDescent="0.25">
      <c r="A127" s="10">
        <v>108</v>
      </c>
      <c r="B127" s="27">
        <f t="shared" ca="1" si="10"/>
        <v>0.20799524743948195</v>
      </c>
      <c r="C127" s="21">
        <f t="shared" ca="1" si="16"/>
        <v>220.79952474394818</v>
      </c>
      <c r="D127" s="21">
        <f t="shared" ca="1" si="11"/>
        <v>250</v>
      </c>
      <c r="E127" s="21">
        <f t="shared" ca="1" si="12"/>
        <v>29.200475256051817</v>
      </c>
      <c r="F127" s="22">
        <f t="shared" ca="1" si="17"/>
        <v>29.200475256051817</v>
      </c>
      <c r="G127" s="22">
        <f t="shared" ca="1" si="13"/>
        <v>0</v>
      </c>
      <c r="H127" s="31">
        <f t="shared" ca="1" si="18"/>
        <v>29.200475256051817</v>
      </c>
      <c r="I127" s="9">
        <f t="shared" ca="1" si="14"/>
        <v>1221.6975049057278</v>
      </c>
      <c r="J127" s="30">
        <f t="shared" ca="1" si="15"/>
        <v>1043.8007128840777</v>
      </c>
      <c r="K127" s="122">
        <f t="shared" ca="1" si="19"/>
        <v>177.89679202165007</v>
      </c>
      <c r="L127" s="30"/>
      <c r="M127" s="30"/>
      <c r="N127" s="30"/>
      <c r="O127" s="30"/>
    </row>
    <row r="128" spans="1:15" x14ac:dyDescent="0.25">
      <c r="A128" s="10">
        <v>109</v>
      </c>
      <c r="B128" s="27">
        <f t="shared" ca="1" si="10"/>
        <v>0.11074055658240045</v>
      </c>
      <c r="C128" s="21">
        <f t="shared" ca="1" si="16"/>
        <v>211.07405565824004</v>
      </c>
      <c r="D128" s="21">
        <f t="shared" ca="1" si="11"/>
        <v>279.20047525605185</v>
      </c>
      <c r="E128" s="21">
        <f t="shared" ca="1" si="12"/>
        <v>38.925944341759958</v>
      </c>
      <c r="F128" s="22">
        <f t="shared" ca="1" si="17"/>
        <v>68.126419597811804</v>
      </c>
      <c r="G128" s="22">
        <f t="shared" ca="1" si="13"/>
        <v>28.325032059892976</v>
      </c>
      <c r="H128" s="31">
        <f t="shared" ca="1" si="18"/>
        <v>39.801387537918828</v>
      </c>
      <c r="I128" s="9">
        <f t="shared" ca="1" si="14"/>
        <v>1290.0429548195166</v>
      </c>
      <c r="J128" s="30">
        <f t="shared" ca="1" si="15"/>
        <v>1059.7020813068782</v>
      </c>
      <c r="K128" s="122">
        <f t="shared" ca="1" si="19"/>
        <v>230.34087351263838</v>
      </c>
      <c r="L128" s="30"/>
      <c r="M128" s="30"/>
      <c r="N128" s="30"/>
      <c r="O128" s="30"/>
    </row>
    <row r="129" spans="1:15" x14ac:dyDescent="0.25">
      <c r="A129" s="10">
        <v>110</v>
      </c>
      <c r="B129" s="27">
        <f t="shared" ca="1" si="10"/>
        <v>0.78325032059892985</v>
      </c>
      <c r="C129" s="21">
        <f t="shared" ca="1" si="16"/>
        <v>278.32503205989298</v>
      </c>
      <c r="D129" s="21">
        <f t="shared" ca="1" si="11"/>
        <v>288.92594434175999</v>
      </c>
      <c r="E129" s="21">
        <f t="shared" ca="1" si="12"/>
        <v>0</v>
      </c>
      <c r="F129" s="22">
        <f t="shared" ca="1" si="17"/>
        <v>10.600912281867011</v>
      </c>
      <c r="G129" s="22">
        <f t="shared" ca="1" si="13"/>
        <v>39.800085146959702</v>
      </c>
      <c r="H129" s="31">
        <f t="shared" ca="1" si="18"/>
        <v>0</v>
      </c>
      <c r="I129" s="9">
        <f t="shared" ca="1" si="14"/>
        <v>1375</v>
      </c>
      <c r="J129" s="30">
        <f t="shared" ca="1" si="15"/>
        <v>1000</v>
      </c>
      <c r="K129" s="122">
        <f t="shared" ca="1" si="19"/>
        <v>375</v>
      </c>
      <c r="L129" s="30"/>
      <c r="M129" s="30"/>
      <c r="N129" s="30"/>
      <c r="O129" s="30"/>
    </row>
    <row r="130" spans="1:15" x14ac:dyDescent="0.25">
      <c r="A130" s="10">
        <v>111</v>
      </c>
      <c r="B130" s="27">
        <f t="shared" ca="1" si="10"/>
        <v>0.89800085146959696</v>
      </c>
      <c r="C130" s="21">
        <f t="shared" ca="1" si="16"/>
        <v>289.8000851469597</v>
      </c>
      <c r="D130" s="21">
        <f t="shared" ca="1" si="11"/>
        <v>250</v>
      </c>
      <c r="E130" s="21">
        <f t="shared" ca="1" si="12"/>
        <v>0</v>
      </c>
      <c r="F130" s="22">
        <f t="shared" ca="1" si="17"/>
        <v>0</v>
      </c>
      <c r="G130" s="22">
        <f t="shared" ca="1" si="13"/>
        <v>26.339615530943775</v>
      </c>
      <c r="H130" s="31">
        <f t="shared" ca="1" si="18"/>
        <v>0</v>
      </c>
      <c r="I130" s="9">
        <f t="shared" ca="1" si="14"/>
        <v>1375</v>
      </c>
      <c r="J130" s="30">
        <f t="shared" ca="1" si="15"/>
        <v>1000</v>
      </c>
      <c r="K130" s="122">
        <f t="shared" ca="1" si="19"/>
        <v>375</v>
      </c>
      <c r="L130" s="30"/>
      <c r="M130" s="30"/>
      <c r="N130" s="30"/>
      <c r="O130" s="30"/>
    </row>
    <row r="131" spans="1:15" x14ac:dyDescent="0.25">
      <c r="A131" s="10">
        <v>112</v>
      </c>
      <c r="B131" s="27">
        <f t="shared" ca="1" si="10"/>
        <v>0.76339615530943794</v>
      </c>
      <c r="C131" s="21">
        <f t="shared" ca="1" si="16"/>
        <v>276.33961553094377</v>
      </c>
      <c r="D131" s="21">
        <f t="shared" ca="1" si="11"/>
        <v>250</v>
      </c>
      <c r="E131" s="21">
        <f t="shared" ca="1" si="12"/>
        <v>0</v>
      </c>
      <c r="F131" s="22">
        <f t="shared" ca="1" si="17"/>
        <v>0</v>
      </c>
      <c r="G131" s="22">
        <f t="shared" ca="1" si="13"/>
        <v>23.740741320921188</v>
      </c>
      <c r="H131" s="31">
        <f t="shared" ca="1" si="18"/>
        <v>0</v>
      </c>
      <c r="I131" s="9">
        <f t="shared" ca="1" si="14"/>
        <v>1375</v>
      </c>
      <c r="J131" s="30">
        <f t="shared" ca="1" si="15"/>
        <v>1000</v>
      </c>
      <c r="K131" s="122">
        <f t="shared" ca="1" si="19"/>
        <v>375</v>
      </c>
      <c r="L131" s="30"/>
      <c r="M131" s="30"/>
      <c r="N131" s="30"/>
      <c r="O131" s="30"/>
    </row>
    <row r="132" spans="1:15" x14ac:dyDescent="0.25">
      <c r="A132" s="10">
        <v>113</v>
      </c>
      <c r="B132" s="43">
        <f t="shared" ca="1" si="10"/>
        <v>0.73740741320921155</v>
      </c>
      <c r="C132" s="44">
        <f t="shared" ca="1" si="16"/>
        <v>273.74074132092119</v>
      </c>
      <c r="D132" s="44">
        <f t="shared" ca="1" si="11"/>
        <v>250</v>
      </c>
      <c r="E132" s="44">
        <f t="shared" ca="1" si="12"/>
        <v>0</v>
      </c>
      <c r="F132" s="45">
        <f t="shared" ca="1" si="17"/>
        <v>0</v>
      </c>
      <c r="G132" s="45">
        <f t="shared" ca="1" si="13"/>
        <v>10.970814261057512</v>
      </c>
      <c r="H132" s="46">
        <f t="shared" ca="1" si="18"/>
        <v>0</v>
      </c>
      <c r="I132" s="1">
        <f t="shared" ca="1" si="14"/>
        <v>1375</v>
      </c>
      <c r="J132" s="47">
        <f t="shared" ca="1" si="15"/>
        <v>1000</v>
      </c>
      <c r="K132" s="123">
        <f t="shared" ca="1" si="19"/>
        <v>375</v>
      </c>
      <c r="L132" s="30"/>
      <c r="M132" s="30"/>
      <c r="N132" s="30"/>
      <c r="O132" s="30"/>
    </row>
    <row r="133" spans="1:15" x14ac:dyDescent="0.25">
      <c r="A133" s="10">
        <v>114</v>
      </c>
      <c r="B133" s="48">
        <f t="shared" ca="1" si="10"/>
        <v>0.60970814261057527</v>
      </c>
      <c r="C133" s="49">
        <f t="shared" ca="1" si="16"/>
        <v>260.97081426105751</v>
      </c>
      <c r="D133" s="49">
        <f t="shared" ca="1" si="11"/>
        <v>250</v>
      </c>
      <c r="E133" s="49">
        <f t="shared" ca="1" si="12"/>
        <v>0</v>
      </c>
      <c r="F133" s="50">
        <f t="shared" ca="1" si="17"/>
        <v>0</v>
      </c>
      <c r="G133" s="50">
        <f t="shared" ca="1" si="13"/>
        <v>0</v>
      </c>
      <c r="H133" s="51">
        <f t="shared" ca="1" si="18"/>
        <v>0</v>
      </c>
      <c r="I133" s="52">
        <f t="shared" ca="1" si="14"/>
        <v>1375</v>
      </c>
      <c r="J133" s="53">
        <f t="shared" ca="1" si="15"/>
        <v>1000</v>
      </c>
      <c r="K133" s="124">
        <f t="shared" ca="1" si="19"/>
        <v>375</v>
      </c>
      <c r="L133" s="30"/>
      <c r="M133" s="30"/>
      <c r="N133" s="30"/>
      <c r="O133" s="30"/>
    </row>
    <row r="134" spans="1:15" x14ac:dyDescent="0.25">
      <c r="A134" s="10">
        <v>115</v>
      </c>
      <c r="B134" s="27">
        <f t="shared" ca="1" si="10"/>
        <v>0.40836283646828386</v>
      </c>
      <c r="C134" s="21">
        <f t="shared" ca="1" si="16"/>
        <v>240.83628364682838</v>
      </c>
      <c r="D134" s="21">
        <f t="shared" ca="1" si="11"/>
        <v>250</v>
      </c>
      <c r="E134" s="21">
        <f t="shared" ca="1" si="12"/>
        <v>9.1637163531716226</v>
      </c>
      <c r="F134" s="22">
        <f t="shared" ca="1" si="17"/>
        <v>9.1637163531716226</v>
      </c>
      <c r="G134" s="22">
        <f t="shared" ca="1" si="13"/>
        <v>0</v>
      </c>
      <c r="H134" s="31">
        <f t="shared" ca="1" si="18"/>
        <v>9.1637163531716226</v>
      </c>
      <c r="I134" s="9">
        <f t="shared" ca="1" si="14"/>
        <v>1326.890489145849</v>
      </c>
      <c r="J134" s="30">
        <f t="shared" ca="1" si="15"/>
        <v>1013.7455745297574</v>
      </c>
      <c r="K134" s="122">
        <f t="shared" ca="1" si="19"/>
        <v>313.14491461609157</v>
      </c>
      <c r="L134" s="30"/>
      <c r="M134" s="30"/>
      <c r="N134" s="30"/>
      <c r="O134" s="30"/>
    </row>
    <row r="135" spans="1:15" x14ac:dyDescent="0.25">
      <c r="A135" s="10">
        <v>116</v>
      </c>
      <c r="B135" s="27">
        <f t="shared" ca="1" si="10"/>
        <v>0.31516289882794557</v>
      </c>
      <c r="C135" s="21">
        <f t="shared" ca="1" si="16"/>
        <v>231.51628988279455</v>
      </c>
      <c r="D135" s="21">
        <f t="shared" ca="1" si="11"/>
        <v>259.16371635317159</v>
      </c>
      <c r="E135" s="21">
        <f t="shared" ca="1" si="12"/>
        <v>18.483710117205447</v>
      </c>
      <c r="F135" s="22">
        <f t="shared" ca="1" si="17"/>
        <v>27.647426470377042</v>
      </c>
      <c r="G135" s="22">
        <f t="shared" ca="1" si="13"/>
        <v>36.80628506972198</v>
      </c>
      <c r="H135" s="31">
        <f t="shared" ca="1" si="18"/>
        <v>0</v>
      </c>
      <c r="I135" s="9">
        <f t="shared" ca="1" si="14"/>
        <v>1277.9605218846714</v>
      </c>
      <c r="J135" s="30">
        <f t="shared" ca="1" si="15"/>
        <v>1000</v>
      </c>
      <c r="K135" s="122">
        <f t="shared" ca="1" si="19"/>
        <v>277.96052188467138</v>
      </c>
      <c r="L135" s="30"/>
      <c r="M135" s="30"/>
      <c r="N135" s="30"/>
      <c r="O135" s="30"/>
    </row>
    <row r="136" spans="1:15" x14ac:dyDescent="0.25">
      <c r="A136" s="10">
        <v>117</v>
      </c>
      <c r="B136" s="27">
        <f t="shared" ca="1" si="10"/>
        <v>0.86806285069722011</v>
      </c>
      <c r="C136" s="21">
        <f t="shared" ca="1" si="16"/>
        <v>286.80628506972198</v>
      </c>
      <c r="D136" s="21">
        <f t="shared" ca="1" si="11"/>
        <v>268.48371011720542</v>
      </c>
      <c r="E136" s="21">
        <f t="shared" ca="1" si="12"/>
        <v>0</v>
      </c>
      <c r="F136" s="22">
        <f t="shared" ca="1" si="17"/>
        <v>0</v>
      </c>
      <c r="G136" s="22">
        <f t="shared" ca="1" si="13"/>
        <v>30.254161507234642</v>
      </c>
      <c r="H136" s="31">
        <f t="shared" ca="1" si="18"/>
        <v>0</v>
      </c>
      <c r="I136" s="9">
        <f t="shared" ca="1" si="14"/>
        <v>1375</v>
      </c>
      <c r="J136" s="30">
        <f t="shared" ca="1" si="15"/>
        <v>1000</v>
      </c>
      <c r="K136" s="122">
        <f t="shared" ca="1" si="19"/>
        <v>375</v>
      </c>
      <c r="L136" s="30"/>
      <c r="M136" s="30"/>
      <c r="N136" s="30"/>
      <c r="O136" s="30"/>
    </row>
    <row r="137" spans="1:15" x14ac:dyDescent="0.25">
      <c r="A137" s="10">
        <v>118</v>
      </c>
      <c r="B137" s="27">
        <f t="shared" ca="1" si="10"/>
        <v>0.80254161507234645</v>
      </c>
      <c r="C137" s="21">
        <f t="shared" ca="1" si="16"/>
        <v>280.25416150723464</v>
      </c>
      <c r="D137" s="21">
        <f t="shared" ca="1" si="11"/>
        <v>250</v>
      </c>
      <c r="E137" s="21">
        <f t="shared" ca="1" si="12"/>
        <v>0</v>
      </c>
      <c r="F137" s="22">
        <f t="shared" ca="1" si="17"/>
        <v>0</v>
      </c>
      <c r="G137" s="22">
        <f t="shared" ca="1" si="13"/>
        <v>39.399093676147629</v>
      </c>
      <c r="H137" s="31">
        <f t="shared" ca="1" si="18"/>
        <v>0</v>
      </c>
      <c r="I137" s="9">
        <f t="shared" ca="1" si="14"/>
        <v>1375</v>
      </c>
      <c r="J137" s="30">
        <f t="shared" ca="1" si="15"/>
        <v>1000</v>
      </c>
      <c r="K137" s="122">
        <f t="shared" ca="1" si="19"/>
        <v>375</v>
      </c>
      <c r="L137" s="30"/>
      <c r="M137" s="30"/>
      <c r="N137" s="30"/>
      <c r="O137" s="30"/>
    </row>
    <row r="138" spans="1:15" x14ac:dyDescent="0.25">
      <c r="A138" s="10">
        <v>119</v>
      </c>
      <c r="B138" s="27">
        <f t="shared" ca="1" si="10"/>
        <v>0.89399093676147634</v>
      </c>
      <c r="C138" s="21">
        <f t="shared" ca="1" si="16"/>
        <v>289.39909367614763</v>
      </c>
      <c r="D138" s="21">
        <f t="shared" ca="1" si="11"/>
        <v>250</v>
      </c>
      <c r="E138" s="21">
        <f t="shared" ca="1" si="12"/>
        <v>0</v>
      </c>
      <c r="F138" s="22">
        <f t="shared" ca="1" si="17"/>
        <v>0</v>
      </c>
      <c r="G138" s="22">
        <f t="shared" ca="1" si="13"/>
        <v>30.014520568646276</v>
      </c>
      <c r="H138" s="31">
        <f t="shared" ca="1" si="18"/>
        <v>0</v>
      </c>
      <c r="I138" s="9">
        <f t="shared" ca="1" si="14"/>
        <v>1375</v>
      </c>
      <c r="J138" s="30">
        <f t="shared" ca="1" si="15"/>
        <v>1000</v>
      </c>
      <c r="K138" s="122">
        <f t="shared" ca="1" si="19"/>
        <v>375</v>
      </c>
      <c r="L138" s="30"/>
      <c r="M138" s="30"/>
      <c r="N138" s="30"/>
      <c r="O138" s="30"/>
    </row>
    <row r="139" spans="1:15" x14ac:dyDescent="0.25">
      <c r="A139" s="10">
        <v>120</v>
      </c>
      <c r="B139" s="27">
        <f t="shared" ca="1" si="10"/>
        <v>0.80014520568646297</v>
      </c>
      <c r="C139" s="21">
        <f t="shared" ca="1" si="16"/>
        <v>280.01452056864628</v>
      </c>
      <c r="D139" s="21">
        <f t="shared" ca="1" si="11"/>
        <v>250</v>
      </c>
      <c r="E139" s="21">
        <f t="shared" ca="1" si="12"/>
        <v>0</v>
      </c>
      <c r="F139" s="22">
        <f t="shared" ca="1" si="17"/>
        <v>0</v>
      </c>
      <c r="G139" s="22">
        <f t="shared" ca="1" si="13"/>
        <v>24.686036030043624</v>
      </c>
      <c r="H139" s="31">
        <f t="shared" ca="1" si="18"/>
        <v>0</v>
      </c>
      <c r="I139" s="9">
        <f t="shared" ca="1" si="14"/>
        <v>1375</v>
      </c>
      <c r="J139" s="30">
        <f t="shared" ca="1" si="15"/>
        <v>1000</v>
      </c>
      <c r="K139" s="122">
        <f t="shared" ca="1" si="19"/>
        <v>375</v>
      </c>
      <c r="L139" s="30"/>
      <c r="M139" s="30"/>
      <c r="N139" s="30"/>
      <c r="O139" s="30"/>
    </row>
    <row r="140" spans="1:15" x14ac:dyDescent="0.25">
      <c r="A140" s="10">
        <v>121</v>
      </c>
      <c r="B140" s="27">
        <f t="shared" ca="1" si="10"/>
        <v>0.74686036030043612</v>
      </c>
      <c r="C140" s="21">
        <f t="shared" ca="1" si="16"/>
        <v>274.68603603004362</v>
      </c>
      <c r="D140" s="21">
        <f t="shared" ca="1" si="11"/>
        <v>250</v>
      </c>
      <c r="E140" s="21">
        <f t="shared" ca="1" si="12"/>
        <v>0</v>
      </c>
      <c r="F140" s="22">
        <f t="shared" ca="1" si="17"/>
        <v>0</v>
      </c>
      <c r="G140" s="22">
        <f t="shared" ca="1" si="13"/>
        <v>45.104008452306061</v>
      </c>
      <c r="H140" s="31">
        <f t="shared" ca="1" si="18"/>
        <v>0</v>
      </c>
      <c r="I140" s="9">
        <f t="shared" ca="1" si="14"/>
        <v>1375</v>
      </c>
      <c r="J140" s="30">
        <f t="shared" ca="1" si="15"/>
        <v>1000</v>
      </c>
      <c r="K140" s="122">
        <f t="shared" ca="1" si="19"/>
        <v>375</v>
      </c>
      <c r="L140" s="30"/>
      <c r="M140" s="30"/>
      <c r="N140" s="30"/>
      <c r="O140" s="30"/>
    </row>
    <row r="141" spans="1:15" x14ac:dyDescent="0.25">
      <c r="A141" s="10">
        <v>122</v>
      </c>
      <c r="B141" s="27">
        <f t="shared" ca="1" si="10"/>
        <v>0.95104008452306033</v>
      </c>
      <c r="C141" s="21">
        <f t="shared" ca="1" si="16"/>
        <v>295.10400845230606</v>
      </c>
      <c r="D141" s="21">
        <f t="shared" ca="1" si="11"/>
        <v>250</v>
      </c>
      <c r="E141" s="21">
        <f t="shared" ca="1" si="12"/>
        <v>0</v>
      </c>
      <c r="F141" s="22">
        <f t="shared" ca="1" si="17"/>
        <v>0</v>
      </c>
      <c r="G141" s="22">
        <f t="shared" ca="1" si="13"/>
        <v>45.862077247447587</v>
      </c>
      <c r="H141" s="31">
        <f t="shared" ca="1" si="18"/>
        <v>0</v>
      </c>
      <c r="I141" s="9">
        <f t="shared" ca="1" si="14"/>
        <v>1375</v>
      </c>
      <c r="J141" s="30">
        <f t="shared" ca="1" si="15"/>
        <v>1000</v>
      </c>
      <c r="K141" s="122">
        <f t="shared" ca="1" si="19"/>
        <v>375</v>
      </c>
      <c r="L141" s="30"/>
      <c r="M141" s="30"/>
      <c r="N141" s="30"/>
      <c r="O141" s="30"/>
    </row>
    <row r="142" spans="1:15" x14ac:dyDescent="0.25">
      <c r="A142" s="10">
        <v>123</v>
      </c>
      <c r="B142" s="27">
        <f t="shared" ca="1" si="10"/>
        <v>0.95862077247447575</v>
      </c>
      <c r="C142" s="21">
        <f t="shared" ca="1" si="16"/>
        <v>295.86207724744759</v>
      </c>
      <c r="D142" s="21">
        <f t="shared" ca="1" si="11"/>
        <v>250</v>
      </c>
      <c r="E142" s="21">
        <f t="shared" ca="1" si="12"/>
        <v>0</v>
      </c>
      <c r="F142" s="22">
        <f t="shared" ca="1" si="17"/>
        <v>0</v>
      </c>
      <c r="G142" s="22">
        <f t="shared" ca="1" si="13"/>
        <v>27.438437977292324</v>
      </c>
      <c r="H142" s="31">
        <f t="shared" ca="1" si="18"/>
        <v>0</v>
      </c>
      <c r="I142" s="9">
        <f t="shared" ca="1" si="14"/>
        <v>1375</v>
      </c>
      <c r="J142" s="30">
        <f t="shared" ca="1" si="15"/>
        <v>1000</v>
      </c>
      <c r="K142" s="122">
        <f t="shared" ca="1" si="19"/>
        <v>375</v>
      </c>
      <c r="L142" s="30"/>
      <c r="M142" s="30"/>
      <c r="N142" s="30"/>
      <c r="O142" s="30"/>
    </row>
    <row r="143" spans="1:15" x14ac:dyDescent="0.25">
      <c r="A143" s="10">
        <v>124</v>
      </c>
      <c r="B143" s="27">
        <f t="shared" ca="1" si="10"/>
        <v>0.77438437977292329</v>
      </c>
      <c r="C143" s="21">
        <f t="shared" ca="1" si="16"/>
        <v>277.43843797729232</v>
      </c>
      <c r="D143" s="21">
        <f t="shared" ca="1" si="11"/>
        <v>250</v>
      </c>
      <c r="E143" s="21">
        <f t="shared" ca="1" si="12"/>
        <v>0</v>
      </c>
      <c r="F143" s="22">
        <f t="shared" ca="1" si="17"/>
        <v>0</v>
      </c>
      <c r="G143" s="22">
        <f t="shared" ca="1" si="13"/>
        <v>2.3877159753187982</v>
      </c>
      <c r="H143" s="31">
        <f t="shared" ca="1" si="18"/>
        <v>0</v>
      </c>
      <c r="I143" s="9">
        <f t="shared" ca="1" si="14"/>
        <v>1375</v>
      </c>
      <c r="J143" s="30">
        <f t="shared" ca="1" si="15"/>
        <v>1000</v>
      </c>
      <c r="K143" s="122">
        <f t="shared" ca="1" si="19"/>
        <v>375</v>
      </c>
      <c r="L143" s="30"/>
      <c r="M143" s="30"/>
      <c r="N143" s="30"/>
      <c r="O143" s="30"/>
    </row>
    <row r="144" spans="1:15" x14ac:dyDescent="0.25">
      <c r="A144" s="10">
        <v>125</v>
      </c>
      <c r="B144" s="27">
        <f t="shared" ca="1" si="10"/>
        <v>0.52387715975318805</v>
      </c>
      <c r="C144" s="21">
        <f t="shared" ca="1" si="16"/>
        <v>252.3877159753188</v>
      </c>
      <c r="D144" s="21">
        <f t="shared" ca="1" si="11"/>
        <v>250</v>
      </c>
      <c r="E144" s="21">
        <f t="shared" ca="1" si="12"/>
        <v>0</v>
      </c>
      <c r="F144" s="22">
        <f t="shared" ca="1" si="17"/>
        <v>0</v>
      </c>
      <c r="G144" s="22">
        <f t="shared" ca="1" si="13"/>
        <v>0</v>
      </c>
      <c r="H144" s="31">
        <f t="shared" ca="1" si="18"/>
        <v>0</v>
      </c>
      <c r="I144" s="9">
        <f t="shared" ca="1" si="14"/>
        <v>1375</v>
      </c>
      <c r="J144" s="30">
        <f t="shared" ca="1" si="15"/>
        <v>1000</v>
      </c>
      <c r="K144" s="122">
        <f t="shared" ca="1" si="19"/>
        <v>375</v>
      </c>
      <c r="L144" s="30"/>
      <c r="M144" s="30"/>
      <c r="N144" s="30"/>
      <c r="O144" s="30"/>
    </row>
    <row r="145" spans="1:15" x14ac:dyDescent="0.25">
      <c r="A145" s="10">
        <v>126</v>
      </c>
      <c r="B145" s="27">
        <f t="shared" ca="1" si="10"/>
        <v>0.33412283042060209</v>
      </c>
      <c r="C145" s="21">
        <f t="shared" ca="1" si="16"/>
        <v>233.41228304206021</v>
      </c>
      <c r="D145" s="21">
        <f t="shared" ca="1" si="11"/>
        <v>250</v>
      </c>
      <c r="E145" s="21">
        <f t="shared" ca="1" si="12"/>
        <v>16.58771695793979</v>
      </c>
      <c r="F145" s="22">
        <f t="shared" ca="1" si="17"/>
        <v>16.58771695793979</v>
      </c>
      <c r="G145" s="22">
        <f t="shared" ca="1" si="13"/>
        <v>3.1425578082769619</v>
      </c>
      <c r="H145" s="31">
        <f t="shared" ca="1" si="18"/>
        <v>13.445159149662828</v>
      </c>
      <c r="I145" s="9">
        <f t="shared" ca="1" si="14"/>
        <v>1328.2499634198045</v>
      </c>
      <c r="J145" s="30">
        <f t="shared" ca="1" si="15"/>
        <v>1020.1677387244943</v>
      </c>
      <c r="K145" s="122">
        <f t="shared" ca="1" si="19"/>
        <v>308.08222469531029</v>
      </c>
      <c r="L145" s="30"/>
      <c r="M145" s="30"/>
      <c r="N145" s="30"/>
      <c r="O145" s="30"/>
    </row>
    <row r="146" spans="1:15" x14ac:dyDescent="0.25">
      <c r="A146" s="10">
        <v>127</v>
      </c>
      <c r="B146" s="27">
        <f t="shared" ca="1" si="10"/>
        <v>0.53142557808276958</v>
      </c>
      <c r="C146" s="21">
        <f t="shared" ca="1" si="16"/>
        <v>253.14255780827696</v>
      </c>
      <c r="D146" s="21">
        <f t="shared" ca="1" si="11"/>
        <v>266.58771695793979</v>
      </c>
      <c r="E146" s="21">
        <f t="shared" ca="1" si="12"/>
        <v>0</v>
      </c>
      <c r="F146" s="22">
        <f t="shared" ca="1" si="17"/>
        <v>13.445159149662828</v>
      </c>
      <c r="G146" s="22">
        <f t="shared" ca="1" si="13"/>
        <v>30.569328560299141</v>
      </c>
      <c r="H146" s="31">
        <f t="shared" ca="1" si="18"/>
        <v>0</v>
      </c>
      <c r="I146" s="9">
        <f t="shared" ca="1" si="14"/>
        <v>1375</v>
      </c>
      <c r="J146" s="30">
        <f t="shared" ca="1" si="15"/>
        <v>1000</v>
      </c>
      <c r="K146" s="122">
        <f t="shared" ca="1" si="19"/>
        <v>375</v>
      </c>
      <c r="L146" s="30"/>
      <c r="M146" s="30"/>
      <c r="N146" s="30"/>
      <c r="O146" s="30"/>
    </row>
    <row r="147" spans="1:15" x14ac:dyDescent="0.25">
      <c r="A147" s="10">
        <v>128</v>
      </c>
      <c r="B147" s="27">
        <f t="shared" ca="1" si="10"/>
        <v>0.80569328560299125</v>
      </c>
      <c r="C147" s="21">
        <f t="shared" ca="1" si="16"/>
        <v>280.56932856029914</v>
      </c>
      <c r="D147" s="21">
        <f t="shared" ca="1" si="11"/>
        <v>250</v>
      </c>
      <c r="E147" s="21">
        <f t="shared" ca="1" si="12"/>
        <v>0</v>
      </c>
      <c r="F147" s="22">
        <f t="shared" ca="1" si="17"/>
        <v>0</v>
      </c>
      <c r="G147" s="22">
        <f t="shared" ca="1" si="13"/>
        <v>0</v>
      </c>
      <c r="H147" s="31">
        <f t="shared" ca="1" si="18"/>
        <v>0</v>
      </c>
      <c r="I147" s="9">
        <f t="shared" ca="1" si="14"/>
        <v>1375</v>
      </c>
      <c r="J147" s="30">
        <f t="shared" ca="1" si="15"/>
        <v>1000</v>
      </c>
      <c r="K147" s="122">
        <f t="shared" ca="1" si="19"/>
        <v>375</v>
      </c>
      <c r="L147" s="30"/>
      <c r="M147" s="30"/>
      <c r="N147" s="30"/>
      <c r="O147" s="30"/>
    </row>
    <row r="148" spans="1:15" x14ac:dyDescent="0.25">
      <c r="A148" s="10">
        <v>129</v>
      </c>
      <c r="B148" s="27">
        <f t="shared" ref="B148:B211" ca="1" si="20">RAND()</f>
        <v>0.25145300014361738</v>
      </c>
      <c r="C148" s="21">
        <f t="shared" ca="1" si="16"/>
        <v>225.14530001436174</v>
      </c>
      <c r="D148" s="21">
        <f t="shared" ref="D148:D211" ca="1" si="21">$E$10+E147</f>
        <v>250</v>
      </c>
      <c r="E148" s="21">
        <f t="shared" ref="E148:E211" ca="1" si="22">IF(C148&gt;$E$10,0,$E$10-C148)</f>
        <v>24.854699985638263</v>
      </c>
      <c r="F148" s="22">
        <f t="shared" ca="1" si="17"/>
        <v>24.854699985638263</v>
      </c>
      <c r="G148" s="22">
        <f t="shared" ref="G148:G211" ca="1" si="23">IF(C149&gt;$E$10,C149-$E$10,0)</f>
        <v>0</v>
      </c>
      <c r="H148" s="31">
        <f t="shared" ca="1" si="18"/>
        <v>24.854699985638263</v>
      </c>
      <c r="I148" s="9">
        <f t="shared" ref="I148:I211" ca="1" si="24">IF($E$10&lt;C148,$E$10*$E$7,$E$9*($E$10-C148)+(C148*$E$7)+IF($E$10&lt;C149,H148*$E$8,E147*$E$8))</f>
        <v>1244.512825075399</v>
      </c>
      <c r="J148" s="30">
        <f t="shared" ref="J148:J211" ca="1" si="25">IF(H148&gt;0,$E$10*$E$5+H148*$E$6,$E$10*$E$5)</f>
        <v>1037.2820499784575</v>
      </c>
      <c r="K148" s="122">
        <f t="shared" ca="1" si="19"/>
        <v>207.23077509694144</v>
      </c>
      <c r="L148" s="30"/>
      <c r="M148" s="30"/>
      <c r="N148" s="30"/>
      <c r="O148" s="30"/>
    </row>
    <row r="149" spans="1:15" x14ac:dyDescent="0.25">
      <c r="A149" s="10">
        <v>130</v>
      </c>
      <c r="B149" s="27">
        <f t="shared" ca="1" si="20"/>
        <v>0.20060647666253528</v>
      </c>
      <c r="C149" s="21">
        <f t="shared" ref="C149:C212" ca="1" si="26">200+(300-200)*B149</f>
        <v>220.06064766625354</v>
      </c>
      <c r="D149" s="21">
        <f t="shared" ca="1" si="21"/>
        <v>274.85469998563826</v>
      </c>
      <c r="E149" s="21">
        <f t="shared" ca="1" si="22"/>
        <v>29.939352333746456</v>
      </c>
      <c r="F149" s="22">
        <f t="shared" ref="F149:F212" ca="1" si="27">IF(C149&gt;D149,0,D149-C149)</f>
        <v>54.794052319384718</v>
      </c>
      <c r="G149" s="22">
        <f t="shared" ca="1" si="23"/>
        <v>0</v>
      </c>
      <c r="H149" s="31">
        <f t="shared" ref="H149:H212" ca="1" si="28">IF(G149&gt;F149,0,IF(G149&lt;F149,F149-G149,0))</f>
        <v>54.794052319384718</v>
      </c>
      <c r="I149" s="9">
        <f t="shared" ca="1" si="24"/>
        <v>1292.3825002047461</v>
      </c>
      <c r="J149" s="30">
        <f t="shared" ca="1" si="25"/>
        <v>1082.1910784790771</v>
      </c>
      <c r="K149" s="122">
        <f t="shared" ref="K149:K212" ca="1" si="29">I149-J149</f>
        <v>210.19142172566899</v>
      </c>
      <c r="L149" s="30"/>
      <c r="M149" s="30"/>
      <c r="N149" s="30"/>
      <c r="O149" s="30"/>
    </row>
    <row r="150" spans="1:15" x14ac:dyDescent="0.25">
      <c r="A150" s="10">
        <v>131</v>
      </c>
      <c r="B150" s="27">
        <f t="shared" ca="1" si="20"/>
        <v>0.19640601247749134</v>
      </c>
      <c r="C150" s="21">
        <f t="shared" ca="1" si="26"/>
        <v>219.64060124774915</v>
      </c>
      <c r="D150" s="21">
        <f t="shared" ca="1" si="21"/>
        <v>279.93935233374646</v>
      </c>
      <c r="E150" s="21">
        <f t="shared" ca="1" si="22"/>
        <v>30.359398752250854</v>
      </c>
      <c r="F150" s="22">
        <f t="shared" ca="1" si="27"/>
        <v>60.29875108599731</v>
      </c>
      <c r="G150" s="22">
        <f t="shared" ca="1" si="23"/>
        <v>11.781761983009176</v>
      </c>
      <c r="H150" s="31">
        <f t="shared" ca="1" si="28"/>
        <v>48.516989102988134</v>
      </c>
      <c r="I150" s="9">
        <f t="shared" ca="1" si="24"/>
        <v>1361.1641238596474</v>
      </c>
      <c r="J150" s="30">
        <f t="shared" ca="1" si="25"/>
        <v>1072.7754836544823</v>
      </c>
      <c r="K150" s="122">
        <f t="shared" ca="1" si="29"/>
        <v>288.38864020516507</v>
      </c>
      <c r="L150" s="30"/>
      <c r="M150" s="30"/>
      <c r="N150" s="30"/>
      <c r="O150" s="30"/>
    </row>
    <row r="151" spans="1:15" x14ac:dyDescent="0.25">
      <c r="A151" s="10">
        <v>132</v>
      </c>
      <c r="B151" s="27">
        <f t="shared" ca="1" si="20"/>
        <v>0.61781761983009165</v>
      </c>
      <c r="C151" s="21">
        <f t="shared" ca="1" si="26"/>
        <v>261.78176198300918</v>
      </c>
      <c r="D151" s="21">
        <f t="shared" ca="1" si="21"/>
        <v>280.35939875225085</v>
      </c>
      <c r="E151" s="21">
        <f t="shared" ca="1" si="22"/>
        <v>0</v>
      </c>
      <c r="F151" s="22">
        <f t="shared" ca="1" si="27"/>
        <v>18.577636769241678</v>
      </c>
      <c r="G151" s="22">
        <f t="shared" ca="1" si="23"/>
        <v>0</v>
      </c>
      <c r="H151" s="31">
        <f t="shared" ca="1" si="28"/>
        <v>18.577636769241678</v>
      </c>
      <c r="I151" s="9">
        <f t="shared" ca="1" si="24"/>
        <v>1375</v>
      </c>
      <c r="J151" s="30">
        <f t="shared" ca="1" si="25"/>
        <v>1027.8664551538625</v>
      </c>
      <c r="K151" s="122">
        <f t="shared" ca="1" si="29"/>
        <v>347.13354484613751</v>
      </c>
      <c r="L151" s="30"/>
      <c r="M151" s="30"/>
      <c r="N151" s="30"/>
      <c r="O151" s="30"/>
    </row>
    <row r="152" spans="1:15" x14ac:dyDescent="0.25">
      <c r="A152" s="10">
        <v>133</v>
      </c>
      <c r="B152" s="27">
        <f t="shared" ca="1" si="20"/>
        <v>0.37989505720857264</v>
      </c>
      <c r="C152" s="21">
        <f t="shared" ca="1" si="26"/>
        <v>237.98950572085727</v>
      </c>
      <c r="D152" s="21">
        <f t="shared" ca="1" si="21"/>
        <v>250</v>
      </c>
      <c r="E152" s="21">
        <f t="shared" ca="1" si="22"/>
        <v>12.010494279142733</v>
      </c>
      <c r="F152" s="22">
        <f t="shared" ca="1" si="27"/>
        <v>12.010494279142733</v>
      </c>
      <c r="G152" s="22">
        <f t="shared" ca="1" si="23"/>
        <v>0</v>
      </c>
      <c r="H152" s="31">
        <f t="shared" ca="1" si="28"/>
        <v>12.010494279142733</v>
      </c>
      <c r="I152" s="9">
        <f t="shared" ca="1" si="24"/>
        <v>1311.9449050345008</v>
      </c>
      <c r="J152" s="30">
        <f t="shared" ca="1" si="25"/>
        <v>1018.0157414187141</v>
      </c>
      <c r="K152" s="122">
        <f t="shared" ca="1" si="29"/>
        <v>293.92916361578671</v>
      </c>
      <c r="L152" s="30"/>
      <c r="M152" s="30"/>
      <c r="N152" s="30"/>
      <c r="O152" s="30"/>
    </row>
    <row r="153" spans="1:15" x14ac:dyDescent="0.25">
      <c r="A153" s="10">
        <v>134</v>
      </c>
      <c r="B153" s="27">
        <f t="shared" ca="1" si="20"/>
        <v>0.27230997139774138</v>
      </c>
      <c r="C153" s="21">
        <f t="shared" ca="1" si="26"/>
        <v>227.23099713977413</v>
      </c>
      <c r="D153" s="21">
        <f t="shared" ca="1" si="21"/>
        <v>262.01049427914273</v>
      </c>
      <c r="E153" s="21">
        <f t="shared" ca="1" si="22"/>
        <v>22.769002860225868</v>
      </c>
      <c r="F153" s="22">
        <f t="shared" ca="1" si="27"/>
        <v>34.779497139368601</v>
      </c>
      <c r="G153" s="22">
        <f t="shared" ca="1" si="23"/>
        <v>0</v>
      </c>
      <c r="H153" s="31">
        <f t="shared" ca="1" si="28"/>
        <v>34.779497139368601</v>
      </c>
      <c r="I153" s="9">
        <f t="shared" ca="1" si="24"/>
        <v>1291.4942178212423</v>
      </c>
      <c r="J153" s="30">
        <f t="shared" ca="1" si="25"/>
        <v>1052.1692457090528</v>
      </c>
      <c r="K153" s="122">
        <f t="shared" ca="1" si="29"/>
        <v>239.32497211218947</v>
      </c>
      <c r="L153" s="30"/>
      <c r="M153" s="30"/>
      <c r="N153" s="30"/>
      <c r="O153" s="30"/>
    </row>
    <row r="154" spans="1:15" x14ac:dyDescent="0.25">
      <c r="A154" s="10">
        <v>135</v>
      </c>
      <c r="B154" s="27">
        <f t="shared" ca="1" si="20"/>
        <v>5.6702668606259943E-3</v>
      </c>
      <c r="C154" s="21">
        <f t="shared" ca="1" si="26"/>
        <v>200.5670266860626</v>
      </c>
      <c r="D154" s="21">
        <f t="shared" ca="1" si="21"/>
        <v>272.7690028602259</v>
      </c>
      <c r="E154" s="21">
        <f t="shared" ca="1" si="22"/>
        <v>49.432973313937396</v>
      </c>
      <c r="F154" s="22">
        <f t="shared" ca="1" si="27"/>
        <v>72.201976174163292</v>
      </c>
      <c r="G154" s="22">
        <f t="shared" ca="1" si="23"/>
        <v>0</v>
      </c>
      <c r="H154" s="31">
        <f t="shared" ca="1" si="28"/>
        <v>72.201976174163292</v>
      </c>
      <c r="I154" s="9">
        <f t="shared" ca="1" si="24"/>
        <v>1183.7838986825063</v>
      </c>
      <c r="J154" s="30">
        <f t="shared" ca="1" si="25"/>
        <v>1108.3029642612451</v>
      </c>
      <c r="K154" s="122">
        <f t="shared" ca="1" si="29"/>
        <v>75.480934421261281</v>
      </c>
      <c r="L154" s="30"/>
      <c r="M154" s="30"/>
      <c r="N154" s="30"/>
      <c r="O154" s="30"/>
    </row>
    <row r="155" spans="1:15" x14ac:dyDescent="0.25">
      <c r="A155" s="10">
        <v>136</v>
      </c>
      <c r="B155" s="27">
        <f t="shared" ca="1" si="20"/>
        <v>0.21466088516397797</v>
      </c>
      <c r="C155" s="21">
        <f t="shared" ca="1" si="26"/>
        <v>221.4660885163978</v>
      </c>
      <c r="D155" s="21">
        <f t="shared" ca="1" si="21"/>
        <v>299.4329733139374</v>
      </c>
      <c r="E155" s="21">
        <f t="shared" ca="1" si="22"/>
        <v>28.533911483602196</v>
      </c>
      <c r="F155" s="22">
        <f t="shared" ca="1" si="27"/>
        <v>77.966884797539592</v>
      </c>
      <c r="G155" s="22">
        <f t="shared" ca="1" si="23"/>
        <v>0</v>
      </c>
      <c r="H155" s="31">
        <f t="shared" ca="1" si="28"/>
        <v>77.966884797539592</v>
      </c>
      <c r="I155" s="9">
        <f t="shared" ca="1" si="24"/>
        <v>1373.4958846529007</v>
      </c>
      <c r="J155" s="30">
        <f t="shared" ca="1" si="25"/>
        <v>1116.9503271963094</v>
      </c>
      <c r="K155" s="122">
        <f t="shared" ca="1" si="29"/>
        <v>256.54555745659127</v>
      </c>
      <c r="L155" s="30"/>
      <c r="M155" s="30"/>
      <c r="N155" s="30"/>
      <c r="O155" s="30"/>
    </row>
    <row r="156" spans="1:15" x14ac:dyDescent="0.25">
      <c r="A156" s="10">
        <v>137</v>
      </c>
      <c r="B156" s="27">
        <f t="shared" ca="1" si="20"/>
        <v>0.2679456385258544</v>
      </c>
      <c r="C156" s="21">
        <f t="shared" ca="1" si="26"/>
        <v>226.79456385258544</v>
      </c>
      <c r="D156" s="21">
        <f t="shared" ca="1" si="21"/>
        <v>278.5339114836022</v>
      </c>
      <c r="E156" s="21">
        <f t="shared" ca="1" si="22"/>
        <v>23.205436147414559</v>
      </c>
      <c r="F156" s="22">
        <f t="shared" ca="1" si="27"/>
        <v>51.739347631016756</v>
      </c>
      <c r="G156" s="22">
        <f t="shared" ca="1" si="23"/>
        <v>30.765461427802222</v>
      </c>
      <c r="H156" s="31">
        <f t="shared" ca="1" si="28"/>
        <v>20.973886203214533</v>
      </c>
      <c r="I156" s="9">
        <f t="shared" ca="1" si="24"/>
        <v>1316.0931188357172</v>
      </c>
      <c r="J156" s="30">
        <f t="shared" ca="1" si="25"/>
        <v>1031.4608293048218</v>
      </c>
      <c r="K156" s="122">
        <f t="shared" ca="1" si="29"/>
        <v>284.63228953089538</v>
      </c>
      <c r="L156" s="30"/>
      <c r="M156" s="30"/>
      <c r="N156" s="30"/>
      <c r="O156" s="30"/>
    </row>
    <row r="157" spans="1:15" x14ac:dyDescent="0.25">
      <c r="A157" s="10">
        <v>138</v>
      </c>
      <c r="B157" s="27">
        <f t="shared" ca="1" si="20"/>
        <v>0.80765461427802232</v>
      </c>
      <c r="C157" s="21">
        <f t="shared" ca="1" si="26"/>
        <v>280.76546142780222</v>
      </c>
      <c r="D157" s="21">
        <f t="shared" ca="1" si="21"/>
        <v>273.20543614741456</v>
      </c>
      <c r="E157" s="21">
        <f t="shared" ca="1" si="22"/>
        <v>0</v>
      </c>
      <c r="F157" s="22">
        <f t="shared" ca="1" si="27"/>
        <v>0</v>
      </c>
      <c r="G157" s="22">
        <f t="shared" ca="1" si="23"/>
        <v>33.923295112348001</v>
      </c>
      <c r="H157" s="31">
        <f t="shared" ca="1" si="28"/>
        <v>0</v>
      </c>
      <c r="I157" s="9">
        <f t="shared" ca="1" si="24"/>
        <v>1375</v>
      </c>
      <c r="J157" s="30">
        <f t="shared" ca="1" si="25"/>
        <v>1000</v>
      </c>
      <c r="K157" s="122">
        <f t="shared" ca="1" si="29"/>
        <v>375</v>
      </c>
      <c r="L157" s="30"/>
      <c r="M157" s="30"/>
      <c r="N157" s="30"/>
      <c r="O157" s="30"/>
    </row>
    <row r="158" spans="1:15" x14ac:dyDescent="0.25">
      <c r="A158" s="10">
        <v>139</v>
      </c>
      <c r="B158" s="27">
        <f t="shared" ca="1" si="20"/>
        <v>0.83923295112347995</v>
      </c>
      <c r="C158" s="21">
        <f t="shared" ca="1" si="26"/>
        <v>283.923295112348</v>
      </c>
      <c r="D158" s="21">
        <f t="shared" ca="1" si="21"/>
        <v>250</v>
      </c>
      <c r="E158" s="21">
        <f t="shared" ca="1" si="22"/>
        <v>0</v>
      </c>
      <c r="F158" s="22">
        <f t="shared" ca="1" si="27"/>
        <v>0</v>
      </c>
      <c r="G158" s="22">
        <f t="shared" ca="1" si="23"/>
        <v>25.207184083292077</v>
      </c>
      <c r="H158" s="31">
        <f t="shared" ca="1" si="28"/>
        <v>0</v>
      </c>
      <c r="I158" s="9">
        <f t="shared" ca="1" si="24"/>
        <v>1375</v>
      </c>
      <c r="J158" s="30">
        <f t="shared" ca="1" si="25"/>
        <v>1000</v>
      </c>
      <c r="K158" s="122">
        <f t="shared" ca="1" si="29"/>
        <v>375</v>
      </c>
      <c r="L158" s="30"/>
      <c r="M158" s="30"/>
      <c r="N158" s="30"/>
      <c r="O158" s="30"/>
    </row>
    <row r="159" spans="1:15" x14ac:dyDescent="0.25">
      <c r="A159" s="10">
        <v>140</v>
      </c>
      <c r="B159" s="27">
        <f t="shared" ca="1" si="20"/>
        <v>0.75207184083292078</v>
      </c>
      <c r="C159" s="21">
        <f t="shared" ca="1" si="26"/>
        <v>275.20718408329208</v>
      </c>
      <c r="D159" s="21">
        <f t="shared" ca="1" si="21"/>
        <v>250</v>
      </c>
      <c r="E159" s="21">
        <f t="shared" ca="1" si="22"/>
        <v>0</v>
      </c>
      <c r="F159" s="22">
        <f t="shared" ca="1" si="27"/>
        <v>0</v>
      </c>
      <c r="G159" s="22">
        <f t="shared" ca="1" si="23"/>
        <v>32.813727522718466</v>
      </c>
      <c r="H159" s="31">
        <f t="shared" ca="1" si="28"/>
        <v>0</v>
      </c>
      <c r="I159" s="9">
        <f t="shared" ca="1" si="24"/>
        <v>1375</v>
      </c>
      <c r="J159" s="30">
        <f t="shared" ca="1" si="25"/>
        <v>1000</v>
      </c>
      <c r="K159" s="122">
        <f t="shared" ca="1" si="29"/>
        <v>375</v>
      </c>
      <c r="L159" s="30"/>
      <c r="M159" s="30"/>
      <c r="N159" s="30"/>
      <c r="O159" s="30"/>
    </row>
    <row r="160" spans="1:15" x14ac:dyDescent="0.25">
      <c r="A160" s="10">
        <v>141</v>
      </c>
      <c r="B160" s="27">
        <f t="shared" ca="1" si="20"/>
        <v>0.82813727522718472</v>
      </c>
      <c r="C160" s="21">
        <f t="shared" ca="1" si="26"/>
        <v>282.81372752271847</v>
      </c>
      <c r="D160" s="21">
        <f t="shared" ca="1" si="21"/>
        <v>250</v>
      </c>
      <c r="E160" s="21">
        <f t="shared" ca="1" si="22"/>
        <v>0</v>
      </c>
      <c r="F160" s="22">
        <f t="shared" ca="1" si="27"/>
        <v>0</v>
      </c>
      <c r="G160" s="22">
        <f t="shared" ca="1" si="23"/>
        <v>48.211477870037925</v>
      </c>
      <c r="H160" s="31">
        <f t="shared" ca="1" si="28"/>
        <v>0</v>
      </c>
      <c r="I160" s="9">
        <f t="shared" ca="1" si="24"/>
        <v>1375</v>
      </c>
      <c r="J160" s="30">
        <f t="shared" ca="1" si="25"/>
        <v>1000</v>
      </c>
      <c r="K160" s="122">
        <f t="shared" ca="1" si="29"/>
        <v>375</v>
      </c>
      <c r="L160" s="30"/>
      <c r="M160" s="30"/>
      <c r="N160" s="30"/>
      <c r="O160" s="30"/>
    </row>
    <row r="161" spans="1:15" x14ac:dyDescent="0.25">
      <c r="A161" s="10">
        <v>142</v>
      </c>
      <c r="B161" s="27">
        <f t="shared" ca="1" si="20"/>
        <v>0.98211477870037933</v>
      </c>
      <c r="C161" s="21">
        <f t="shared" ca="1" si="26"/>
        <v>298.21147787003792</v>
      </c>
      <c r="D161" s="21">
        <f t="shared" ca="1" si="21"/>
        <v>250</v>
      </c>
      <c r="E161" s="21">
        <f t="shared" ca="1" si="22"/>
        <v>0</v>
      </c>
      <c r="F161" s="22">
        <f t="shared" ca="1" si="27"/>
        <v>0</v>
      </c>
      <c r="G161" s="22">
        <f t="shared" ca="1" si="23"/>
        <v>0</v>
      </c>
      <c r="H161" s="31">
        <f t="shared" ca="1" si="28"/>
        <v>0</v>
      </c>
      <c r="I161" s="9">
        <f t="shared" ca="1" si="24"/>
        <v>1375</v>
      </c>
      <c r="J161" s="30">
        <f t="shared" ca="1" si="25"/>
        <v>1000</v>
      </c>
      <c r="K161" s="122">
        <f t="shared" ca="1" si="29"/>
        <v>375</v>
      </c>
      <c r="L161" s="30"/>
      <c r="M161" s="30"/>
      <c r="N161" s="30"/>
      <c r="O161" s="30"/>
    </row>
    <row r="162" spans="1:15" x14ac:dyDescent="0.25">
      <c r="A162" s="10">
        <v>143</v>
      </c>
      <c r="B162" s="27">
        <f t="shared" ca="1" si="20"/>
        <v>0.20771045528690446</v>
      </c>
      <c r="C162" s="21">
        <f t="shared" ca="1" si="26"/>
        <v>220.77104552869045</v>
      </c>
      <c r="D162" s="21">
        <f t="shared" ca="1" si="21"/>
        <v>250</v>
      </c>
      <c r="E162" s="21">
        <f t="shared" ca="1" si="22"/>
        <v>29.228954471309549</v>
      </c>
      <c r="F162" s="22">
        <f t="shared" ca="1" si="27"/>
        <v>29.228954471309549</v>
      </c>
      <c r="G162" s="22">
        <f t="shared" ca="1" si="23"/>
        <v>0</v>
      </c>
      <c r="H162" s="31">
        <f t="shared" ca="1" si="28"/>
        <v>29.228954471309549</v>
      </c>
      <c r="I162" s="9">
        <f t="shared" ca="1" si="24"/>
        <v>1221.5479890256249</v>
      </c>
      <c r="J162" s="30">
        <f t="shared" ca="1" si="25"/>
        <v>1043.8434317069643</v>
      </c>
      <c r="K162" s="122">
        <f t="shared" ca="1" si="29"/>
        <v>177.70455731866059</v>
      </c>
      <c r="L162" s="30"/>
      <c r="M162" s="30"/>
      <c r="N162" s="30"/>
      <c r="O162" s="30"/>
    </row>
    <row r="163" spans="1:15" x14ac:dyDescent="0.25">
      <c r="A163" s="10">
        <v>144</v>
      </c>
      <c r="B163" s="27">
        <f t="shared" ca="1" si="20"/>
        <v>0.17717148777495639</v>
      </c>
      <c r="C163" s="21">
        <f t="shared" ca="1" si="26"/>
        <v>217.71714877749565</v>
      </c>
      <c r="D163" s="21">
        <f t="shared" ca="1" si="21"/>
        <v>279.22895447130952</v>
      </c>
      <c r="E163" s="21">
        <f t="shared" ca="1" si="22"/>
        <v>32.282851222504348</v>
      </c>
      <c r="F163" s="22">
        <f t="shared" ca="1" si="27"/>
        <v>61.511805693813869</v>
      </c>
      <c r="G163" s="22">
        <f t="shared" ca="1" si="23"/>
        <v>0</v>
      </c>
      <c r="H163" s="31">
        <f t="shared" ca="1" si="28"/>
        <v>61.511805693813869</v>
      </c>
      <c r="I163" s="9">
        <f t="shared" ca="1" si="24"/>
        <v>1293.2018944957808</v>
      </c>
      <c r="J163" s="30">
        <f t="shared" ca="1" si="25"/>
        <v>1092.2677085407208</v>
      </c>
      <c r="K163" s="122">
        <f t="shared" ca="1" si="29"/>
        <v>200.93418595506</v>
      </c>
      <c r="L163" s="30"/>
      <c r="M163" s="30"/>
      <c r="N163" s="30"/>
      <c r="O163" s="30"/>
    </row>
    <row r="164" spans="1:15" x14ac:dyDescent="0.25">
      <c r="A164" s="10">
        <v>145</v>
      </c>
      <c r="B164" s="27">
        <f t="shared" ca="1" si="20"/>
        <v>0.31387748795484027</v>
      </c>
      <c r="C164" s="21">
        <f t="shared" ca="1" si="26"/>
        <v>231.38774879548401</v>
      </c>
      <c r="D164" s="21">
        <f t="shared" ca="1" si="21"/>
        <v>282.28285122250435</v>
      </c>
      <c r="E164" s="21">
        <f t="shared" ca="1" si="22"/>
        <v>18.612251204515985</v>
      </c>
      <c r="F164" s="22">
        <f t="shared" ca="1" si="27"/>
        <v>50.895102427020333</v>
      </c>
      <c r="G164" s="22">
        <f t="shared" ca="1" si="23"/>
        <v>28.122418416699588</v>
      </c>
      <c r="H164" s="31">
        <f t="shared" ca="1" si="28"/>
        <v>22.772684010320745</v>
      </c>
      <c r="I164" s="9">
        <f t="shared" ca="1" si="24"/>
        <v>1345.6037332072533</v>
      </c>
      <c r="J164" s="30">
        <f t="shared" ca="1" si="25"/>
        <v>1034.1590260154812</v>
      </c>
      <c r="K164" s="122">
        <f t="shared" ca="1" si="29"/>
        <v>311.44470719177207</v>
      </c>
      <c r="L164" s="30"/>
      <c r="M164" s="30"/>
      <c r="N164" s="30"/>
      <c r="O164" s="30"/>
    </row>
    <row r="165" spans="1:15" x14ac:dyDescent="0.25">
      <c r="A165" s="10">
        <v>146</v>
      </c>
      <c r="B165" s="43">
        <f t="shared" ca="1" si="20"/>
        <v>0.78122418416699591</v>
      </c>
      <c r="C165" s="44">
        <f t="shared" ca="1" si="26"/>
        <v>278.12241841669959</v>
      </c>
      <c r="D165" s="44">
        <f t="shared" ca="1" si="21"/>
        <v>268.61225120451599</v>
      </c>
      <c r="E165" s="44">
        <f t="shared" ca="1" si="22"/>
        <v>0</v>
      </c>
      <c r="F165" s="45">
        <f t="shared" ca="1" si="27"/>
        <v>0</v>
      </c>
      <c r="G165" s="45">
        <f t="shared" ca="1" si="23"/>
        <v>37.582322705585568</v>
      </c>
      <c r="H165" s="46">
        <f t="shared" ca="1" si="28"/>
        <v>0</v>
      </c>
      <c r="I165" s="1">
        <f t="shared" ca="1" si="24"/>
        <v>1375</v>
      </c>
      <c r="J165" s="47">
        <f t="shared" ca="1" si="25"/>
        <v>1000</v>
      </c>
      <c r="K165" s="123">
        <f t="shared" ca="1" si="29"/>
        <v>375</v>
      </c>
      <c r="L165" s="30"/>
      <c r="M165" s="30"/>
      <c r="N165" s="30"/>
      <c r="O165" s="30"/>
    </row>
    <row r="166" spans="1:15" x14ac:dyDescent="0.25">
      <c r="A166" s="10">
        <v>147</v>
      </c>
      <c r="B166" s="48">
        <f t="shared" ca="1" si="20"/>
        <v>0.87582322705585569</v>
      </c>
      <c r="C166" s="49">
        <f t="shared" ca="1" si="26"/>
        <v>287.58232270558557</v>
      </c>
      <c r="D166" s="49">
        <f t="shared" ca="1" si="21"/>
        <v>250</v>
      </c>
      <c r="E166" s="49">
        <f t="shared" ca="1" si="22"/>
        <v>0</v>
      </c>
      <c r="F166" s="50">
        <f t="shared" ca="1" si="27"/>
        <v>0</v>
      </c>
      <c r="G166" s="50">
        <f t="shared" ca="1" si="23"/>
        <v>46.414608008847438</v>
      </c>
      <c r="H166" s="51">
        <f t="shared" ca="1" si="28"/>
        <v>0</v>
      </c>
      <c r="I166" s="52">
        <f t="shared" ca="1" si="24"/>
        <v>1375</v>
      </c>
      <c r="J166" s="53">
        <f t="shared" ca="1" si="25"/>
        <v>1000</v>
      </c>
      <c r="K166" s="124">
        <f t="shared" ca="1" si="29"/>
        <v>375</v>
      </c>
      <c r="L166" s="30"/>
      <c r="M166" s="30"/>
      <c r="N166" s="30"/>
      <c r="O166" s="30"/>
    </row>
    <row r="167" spans="1:15" x14ac:dyDescent="0.25">
      <c r="A167" s="10">
        <v>148</v>
      </c>
      <c r="B167" s="27">
        <f t="shared" ca="1" si="20"/>
        <v>0.96414608008847447</v>
      </c>
      <c r="C167" s="21">
        <f t="shared" ca="1" si="26"/>
        <v>296.41460800884744</v>
      </c>
      <c r="D167" s="21">
        <f t="shared" ca="1" si="21"/>
        <v>250</v>
      </c>
      <c r="E167" s="21">
        <f t="shared" ca="1" si="22"/>
        <v>0</v>
      </c>
      <c r="F167" s="22">
        <f t="shared" ca="1" si="27"/>
        <v>0</v>
      </c>
      <c r="G167" s="22">
        <f t="shared" ca="1" si="23"/>
        <v>0</v>
      </c>
      <c r="H167" s="31">
        <f t="shared" ca="1" si="28"/>
        <v>0</v>
      </c>
      <c r="I167" s="9">
        <f t="shared" ca="1" si="24"/>
        <v>1375</v>
      </c>
      <c r="J167" s="30">
        <f t="shared" ca="1" si="25"/>
        <v>1000</v>
      </c>
      <c r="K167" s="122">
        <f t="shared" ca="1" si="29"/>
        <v>375</v>
      </c>
      <c r="L167" s="30"/>
      <c r="M167" s="30"/>
      <c r="N167" s="30"/>
      <c r="O167" s="30"/>
    </row>
    <row r="168" spans="1:15" x14ac:dyDescent="0.25">
      <c r="A168" s="10">
        <v>149</v>
      </c>
      <c r="B168" s="27">
        <f t="shared" ca="1" si="20"/>
        <v>0.38602492018227053</v>
      </c>
      <c r="C168" s="21">
        <f t="shared" ca="1" si="26"/>
        <v>238.60249201822705</v>
      </c>
      <c r="D168" s="21">
        <f t="shared" ca="1" si="21"/>
        <v>250</v>
      </c>
      <c r="E168" s="21">
        <f t="shared" ca="1" si="22"/>
        <v>11.397507981772947</v>
      </c>
      <c r="F168" s="22">
        <f t="shared" ca="1" si="27"/>
        <v>11.397507981772947</v>
      </c>
      <c r="G168" s="22">
        <f t="shared" ca="1" si="23"/>
        <v>0</v>
      </c>
      <c r="H168" s="31">
        <f t="shared" ca="1" si="28"/>
        <v>11.397507981772947</v>
      </c>
      <c r="I168" s="9">
        <f t="shared" ca="1" si="24"/>
        <v>1315.1630830956919</v>
      </c>
      <c r="J168" s="30">
        <f t="shared" ca="1" si="25"/>
        <v>1017.0962619726595</v>
      </c>
      <c r="K168" s="122">
        <f t="shared" ca="1" si="29"/>
        <v>298.06682112303247</v>
      </c>
      <c r="L168" s="30"/>
      <c r="M168" s="30"/>
      <c r="N168" s="30"/>
      <c r="O168" s="30"/>
    </row>
    <row r="169" spans="1:15" x14ac:dyDescent="0.25">
      <c r="A169" s="10">
        <v>150</v>
      </c>
      <c r="B169" s="27">
        <f t="shared" ca="1" si="20"/>
        <v>0.19038526320489912</v>
      </c>
      <c r="C169" s="21">
        <f t="shared" ca="1" si="26"/>
        <v>219.03852632048992</v>
      </c>
      <c r="D169" s="21">
        <f t="shared" ca="1" si="21"/>
        <v>261.39750798177295</v>
      </c>
      <c r="E169" s="21">
        <f t="shared" ca="1" si="22"/>
        <v>30.961473679510078</v>
      </c>
      <c r="F169" s="22">
        <f t="shared" ca="1" si="27"/>
        <v>42.358981661283025</v>
      </c>
      <c r="G169" s="22">
        <f t="shared" ca="1" si="23"/>
        <v>28.655531055294375</v>
      </c>
      <c r="H169" s="31">
        <f t="shared" ca="1" si="28"/>
        <v>13.70345060598865</v>
      </c>
      <c r="I169" s="9">
        <f t="shared" ca="1" si="24"/>
        <v>1253.562615000538</v>
      </c>
      <c r="J169" s="30">
        <f t="shared" ca="1" si="25"/>
        <v>1020.555175908983</v>
      </c>
      <c r="K169" s="122">
        <f t="shared" ca="1" si="29"/>
        <v>233.00743909155506</v>
      </c>
      <c r="L169" s="30"/>
      <c r="M169" s="30"/>
      <c r="N169" s="30"/>
      <c r="O169" s="30"/>
    </row>
    <row r="170" spans="1:15" x14ac:dyDescent="0.25">
      <c r="A170" s="10">
        <v>151</v>
      </c>
      <c r="B170" s="27">
        <f t="shared" ca="1" si="20"/>
        <v>0.78655531055294381</v>
      </c>
      <c r="C170" s="21">
        <f t="shared" ca="1" si="26"/>
        <v>278.65553105529438</v>
      </c>
      <c r="D170" s="21">
        <f t="shared" ca="1" si="21"/>
        <v>280.96147367951005</v>
      </c>
      <c r="E170" s="21">
        <f t="shared" ca="1" si="22"/>
        <v>0</v>
      </c>
      <c r="F170" s="22">
        <f t="shared" ca="1" si="27"/>
        <v>2.3059426242156746</v>
      </c>
      <c r="G170" s="22">
        <f t="shared" ca="1" si="23"/>
        <v>4.5923134456941739</v>
      </c>
      <c r="H170" s="31">
        <f t="shared" ca="1" si="28"/>
        <v>0</v>
      </c>
      <c r="I170" s="9">
        <f t="shared" ca="1" si="24"/>
        <v>1375</v>
      </c>
      <c r="J170" s="30">
        <f t="shared" ca="1" si="25"/>
        <v>1000</v>
      </c>
      <c r="K170" s="122">
        <f t="shared" ca="1" si="29"/>
        <v>375</v>
      </c>
      <c r="L170" s="30"/>
      <c r="M170" s="30"/>
      <c r="N170" s="30"/>
      <c r="O170" s="30"/>
    </row>
    <row r="171" spans="1:15" x14ac:dyDescent="0.25">
      <c r="A171" s="10">
        <v>152</v>
      </c>
      <c r="B171" s="27">
        <f t="shared" ca="1" si="20"/>
        <v>0.54592313445694174</v>
      </c>
      <c r="C171" s="21">
        <f t="shared" ca="1" si="26"/>
        <v>254.59231344569417</v>
      </c>
      <c r="D171" s="21">
        <f t="shared" ca="1" si="21"/>
        <v>250</v>
      </c>
      <c r="E171" s="21">
        <f t="shared" ca="1" si="22"/>
        <v>0</v>
      </c>
      <c r="F171" s="22">
        <f t="shared" ca="1" si="27"/>
        <v>0</v>
      </c>
      <c r="G171" s="22">
        <f t="shared" ca="1" si="23"/>
        <v>18.343148709323714</v>
      </c>
      <c r="H171" s="31">
        <f t="shared" ca="1" si="28"/>
        <v>0</v>
      </c>
      <c r="I171" s="9">
        <f t="shared" ca="1" si="24"/>
        <v>1375</v>
      </c>
      <c r="J171" s="30">
        <f t="shared" ca="1" si="25"/>
        <v>1000</v>
      </c>
      <c r="K171" s="122">
        <f t="shared" ca="1" si="29"/>
        <v>375</v>
      </c>
      <c r="L171" s="30"/>
      <c r="M171" s="30"/>
      <c r="N171" s="30"/>
      <c r="O171" s="30"/>
    </row>
    <row r="172" spans="1:15" x14ac:dyDescent="0.25">
      <c r="A172" s="10">
        <v>153</v>
      </c>
      <c r="B172" s="27">
        <f t="shared" ca="1" si="20"/>
        <v>0.68343148709323709</v>
      </c>
      <c r="C172" s="21">
        <f t="shared" ca="1" si="26"/>
        <v>268.34314870932371</v>
      </c>
      <c r="D172" s="21">
        <f t="shared" ca="1" si="21"/>
        <v>250</v>
      </c>
      <c r="E172" s="21">
        <f t="shared" ca="1" si="22"/>
        <v>0</v>
      </c>
      <c r="F172" s="22">
        <f t="shared" ca="1" si="27"/>
        <v>0</v>
      </c>
      <c r="G172" s="22">
        <f t="shared" ca="1" si="23"/>
        <v>49.699097808520889</v>
      </c>
      <c r="H172" s="31">
        <f t="shared" ca="1" si="28"/>
        <v>0</v>
      </c>
      <c r="I172" s="9">
        <f t="shared" ca="1" si="24"/>
        <v>1375</v>
      </c>
      <c r="J172" s="30">
        <f t="shared" ca="1" si="25"/>
        <v>1000</v>
      </c>
      <c r="K172" s="122">
        <f t="shared" ca="1" si="29"/>
        <v>375</v>
      </c>
      <c r="L172" s="30"/>
      <c r="M172" s="30"/>
      <c r="N172" s="30"/>
      <c r="O172" s="30"/>
    </row>
    <row r="173" spans="1:15" x14ac:dyDescent="0.25">
      <c r="A173" s="10">
        <v>154</v>
      </c>
      <c r="B173" s="27">
        <f t="shared" ca="1" si="20"/>
        <v>0.99699097808520909</v>
      </c>
      <c r="C173" s="21">
        <f t="shared" ca="1" si="26"/>
        <v>299.69909780852089</v>
      </c>
      <c r="D173" s="21">
        <f t="shared" ca="1" si="21"/>
        <v>250</v>
      </c>
      <c r="E173" s="21">
        <f t="shared" ca="1" si="22"/>
        <v>0</v>
      </c>
      <c r="F173" s="22">
        <f t="shared" ca="1" si="27"/>
        <v>0</v>
      </c>
      <c r="G173" s="22">
        <f t="shared" ca="1" si="23"/>
        <v>0</v>
      </c>
      <c r="H173" s="31">
        <f t="shared" ca="1" si="28"/>
        <v>0</v>
      </c>
      <c r="I173" s="9">
        <f t="shared" ca="1" si="24"/>
        <v>1375</v>
      </c>
      <c r="J173" s="30">
        <f t="shared" ca="1" si="25"/>
        <v>1000</v>
      </c>
      <c r="K173" s="122">
        <f t="shared" ca="1" si="29"/>
        <v>375</v>
      </c>
      <c r="L173" s="30"/>
      <c r="M173" s="30"/>
      <c r="N173" s="30"/>
      <c r="O173" s="30"/>
    </row>
    <row r="174" spans="1:15" x14ac:dyDescent="0.25">
      <c r="A174" s="10">
        <v>155</v>
      </c>
      <c r="B174" s="27">
        <f t="shared" ca="1" si="20"/>
        <v>0.11440353711890427</v>
      </c>
      <c r="C174" s="21">
        <f t="shared" ca="1" si="26"/>
        <v>211.44035371189042</v>
      </c>
      <c r="D174" s="21">
        <f t="shared" ca="1" si="21"/>
        <v>250</v>
      </c>
      <c r="E174" s="21">
        <f t="shared" ca="1" si="22"/>
        <v>38.559646288109576</v>
      </c>
      <c r="F174" s="22">
        <f t="shared" ca="1" si="27"/>
        <v>38.559646288109576</v>
      </c>
      <c r="G174" s="22">
        <f t="shared" ca="1" si="23"/>
        <v>0.54379095908984709</v>
      </c>
      <c r="H174" s="31">
        <f t="shared" ca="1" si="28"/>
        <v>38.015855329019729</v>
      </c>
      <c r="I174" s="9">
        <f t="shared" ca="1" si="24"/>
        <v>1286.609422974484</v>
      </c>
      <c r="J174" s="30">
        <f t="shared" ca="1" si="25"/>
        <v>1057.0237829935295</v>
      </c>
      <c r="K174" s="122">
        <f t="shared" ca="1" si="29"/>
        <v>229.58563998095451</v>
      </c>
      <c r="L174" s="30"/>
      <c r="M174" s="30"/>
      <c r="N174" s="30"/>
      <c r="O174" s="30"/>
    </row>
    <row r="175" spans="1:15" x14ac:dyDescent="0.25">
      <c r="A175" s="10">
        <v>156</v>
      </c>
      <c r="B175" s="27">
        <f t="shared" ca="1" si="20"/>
        <v>0.50543790959089863</v>
      </c>
      <c r="C175" s="21">
        <f t="shared" ca="1" si="26"/>
        <v>250.54379095908985</v>
      </c>
      <c r="D175" s="21">
        <f t="shared" ca="1" si="21"/>
        <v>288.55964628810955</v>
      </c>
      <c r="E175" s="21">
        <f t="shared" ca="1" si="22"/>
        <v>0</v>
      </c>
      <c r="F175" s="22">
        <f t="shared" ca="1" si="27"/>
        <v>38.015855329019701</v>
      </c>
      <c r="G175" s="22">
        <f t="shared" ca="1" si="23"/>
        <v>0</v>
      </c>
      <c r="H175" s="31">
        <f t="shared" ca="1" si="28"/>
        <v>38.015855329019701</v>
      </c>
      <c r="I175" s="9">
        <f t="shared" ca="1" si="24"/>
        <v>1375</v>
      </c>
      <c r="J175" s="30">
        <f t="shared" ca="1" si="25"/>
        <v>1057.0237829935295</v>
      </c>
      <c r="K175" s="122">
        <f t="shared" ca="1" si="29"/>
        <v>317.97621700647051</v>
      </c>
      <c r="L175" s="30"/>
      <c r="M175" s="30"/>
      <c r="N175" s="30"/>
      <c r="O175" s="30"/>
    </row>
    <row r="176" spans="1:15" x14ac:dyDescent="0.25">
      <c r="A176" s="10">
        <v>157</v>
      </c>
      <c r="B176" s="27">
        <f t="shared" ca="1" si="20"/>
        <v>9.5162484898391186E-2</v>
      </c>
      <c r="C176" s="21">
        <f t="shared" ca="1" si="26"/>
        <v>209.51624848983911</v>
      </c>
      <c r="D176" s="21">
        <f t="shared" ca="1" si="21"/>
        <v>250</v>
      </c>
      <c r="E176" s="21">
        <f t="shared" ca="1" si="22"/>
        <v>40.483751510160886</v>
      </c>
      <c r="F176" s="22">
        <f t="shared" ca="1" si="27"/>
        <v>40.483751510160886</v>
      </c>
      <c r="G176" s="22">
        <f t="shared" ca="1" si="23"/>
        <v>45.16899502093338</v>
      </c>
      <c r="H176" s="31">
        <f t="shared" ca="1" si="28"/>
        <v>0</v>
      </c>
      <c r="I176" s="9">
        <f t="shared" ca="1" si="24"/>
        <v>1162.4603045716553</v>
      </c>
      <c r="J176" s="30">
        <f t="shared" ca="1" si="25"/>
        <v>1000</v>
      </c>
      <c r="K176" s="122">
        <f t="shared" ca="1" si="29"/>
        <v>162.46030457165534</v>
      </c>
      <c r="L176" s="30"/>
      <c r="M176" s="30"/>
      <c r="N176" s="30"/>
      <c r="O176" s="30"/>
    </row>
    <row r="177" spans="1:15" x14ac:dyDescent="0.25">
      <c r="A177" s="10">
        <v>158</v>
      </c>
      <c r="B177" s="27">
        <f t="shared" ca="1" si="20"/>
        <v>0.95168995020933345</v>
      </c>
      <c r="C177" s="21">
        <f t="shared" ca="1" si="26"/>
        <v>295.16899502093338</v>
      </c>
      <c r="D177" s="21">
        <f t="shared" ca="1" si="21"/>
        <v>290.48375151016091</v>
      </c>
      <c r="E177" s="21">
        <f t="shared" ca="1" si="22"/>
        <v>0</v>
      </c>
      <c r="F177" s="22">
        <f t="shared" ca="1" si="27"/>
        <v>0</v>
      </c>
      <c r="G177" s="22">
        <f t="shared" ca="1" si="23"/>
        <v>43.161725114145952</v>
      </c>
      <c r="H177" s="31">
        <f t="shared" ca="1" si="28"/>
        <v>0</v>
      </c>
      <c r="I177" s="9">
        <f t="shared" ca="1" si="24"/>
        <v>1375</v>
      </c>
      <c r="J177" s="30">
        <f t="shared" ca="1" si="25"/>
        <v>1000</v>
      </c>
      <c r="K177" s="122">
        <f t="shared" ca="1" si="29"/>
        <v>375</v>
      </c>
      <c r="L177" s="30"/>
      <c r="M177" s="30"/>
      <c r="N177" s="30"/>
      <c r="O177" s="30"/>
    </row>
    <row r="178" spans="1:15" x14ac:dyDescent="0.25">
      <c r="A178" s="10">
        <v>159</v>
      </c>
      <c r="B178" s="27">
        <f t="shared" ca="1" si="20"/>
        <v>0.93161725114145977</v>
      </c>
      <c r="C178" s="21">
        <f t="shared" ca="1" si="26"/>
        <v>293.16172511414595</v>
      </c>
      <c r="D178" s="21">
        <f t="shared" ca="1" si="21"/>
        <v>250</v>
      </c>
      <c r="E178" s="21">
        <f t="shared" ca="1" si="22"/>
        <v>0</v>
      </c>
      <c r="F178" s="22">
        <f t="shared" ca="1" si="27"/>
        <v>0</v>
      </c>
      <c r="G178" s="22">
        <f t="shared" ca="1" si="23"/>
        <v>0</v>
      </c>
      <c r="H178" s="31">
        <f t="shared" ca="1" si="28"/>
        <v>0</v>
      </c>
      <c r="I178" s="9">
        <f t="shared" ca="1" si="24"/>
        <v>1375</v>
      </c>
      <c r="J178" s="30">
        <f t="shared" ca="1" si="25"/>
        <v>1000</v>
      </c>
      <c r="K178" s="122">
        <f t="shared" ca="1" si="29"/>
        <v>375</v>
      </c>
      <c r="L178" s="30"/>
      <c r="M178" s="30"/>
      <c r="N178" s="30"/>
      <c r="O178" s="30"/>
    </row>
    <row r="179" spans="1:15" x14ac:dyDescent="0.25">
      <c r="A179" s="10">
        <v>160</v>
      </c>
      <c r="B179" s="27">
        <f t="shared" ca="1" si="20"/>
        <v>0.45057929562549182</v>
      </c>
      <c r="C179" s="21">
        <f t="shared" ca="1" si="26"/>
        <v>245.05792956254919</v>
      </c>
      <c r="D179" s="21">
        <f t="shared" ca="1" si="21"/>
        <v>250</v>
      </c>
      <c r="E179" s="21">
        <f t="shared" ca="1" si="22"/>
        <v>4.9420704374508091</v>
      </c>
      <c r="F179" s="22">
        <f t="shared" ca="1" si="27"/>
        <v>4.9420704374508091</v>
      </c>
      <c r="G179" s="22">
        <f t="shared" ca="1" si="23"/>
        <v>0</v>
      </c>
      <c r="H179" s="31">
        <f t="shared" ca="1" si="28"/>
        <v>4.9420704374508091</v>
      </c>
      <c r="I179" s="9">
        <f t="shared" ca="1" si="24"/>
        <v>1349.0541302033832</v>
      </c>
      <c r="J179" s="30">
        <f t="shared" ca="1" si="25"/>
        <v>1007.4131056561762</v>
      </c>
      <c r="K179" s="122">
        <f t="shared" ca="1" si="29"/>
        <v>341.64102454720705</v>
      </c>
      <c r="L179" s="30"/>
      <c r="M179" s="30"/>
      <c r="N179" s="30"/>
      <c r="O179" s="30"/>
    </row>
    <row r="180" spans="1:15" x14ac:dyDescent="0.25">
      <c r="A180" s="10">
        <v>161</v>
      </c>
      <c r="B180" s="27">
        <f t="shared" ca="1" si="20"/>
        <v>0.2465039126798062</v>
      </c>
      <c r="C180" s="21">
        <f t="shared" ca="1" si="26"/>
        <v>224.65039126798061</v>
      </c>
      <c r="D180" s="21">
        <f t="shared" ca="1" si="21"/>
        <v>254.94207043745081</v>
      </c>
      <c r="E180" s="21">
        <f t="shared" ca="1" si="22"/>
        <v>25.349608732019391</v>
      </c>
      <c r="F180" s="22">
        <f t="shared" ca="1" si="27"/>
        <v>30.2916791694702</v>
      </c>
      <c r="G180" s="22">
        <f t="shared" ca="1" si="23"/>
        <v>17.586589166533656</v>
      </c>
      <c r="H180" s="31">
        <f t="shared" ca="1" si="28"/>
        <v>12.705090002936544</v>
      </c>
      <c r="I180" s="9">
        <f t="shared" ca="1" si="24"/>
        <v>1280.0298241657076</v>
      </c>
      <c r="J180" s="30">
        <f t="shared" ca="1" si="25"/>
        <v>1019.0576350044048</v>
      </c>
      <c r="K180" s="122">
        <f t="shared" ca="1" si="29"/>
        <v>260.97218916130282</v>
      </c>
      <c r="L180" s="30"/>
      <c r="M180" s="30"/>
      <c r="N180" s="30"/>
      <c r="O180" s="30"/>
    </row>
    <row r="181" spans="1:15" x14ac:dyDescent="0.25">
      <c r="A181" s="10">
        <v>162</v>
      </c>
      <c r="B181" s="27">
        <f t="shared" ca="1" si="20"/>
        <v>0.67586589166533662</v>
      </c>
      <c r="C181" s="21">
        <f t="shared" ca="1" si="26"/>
        <v>267.58658916653366</v>
      </c>
      <c r="D181" s="21">
        <f t="shared" ca="1" si="21"/>
        <v>275.34960873201942</v>
      </c>
      <c r="E181" s="21">
        <f t="shared" ca="1" si="22"/>
        <v>0</v>
      </c>
      <c r="F181" s="22">
        <f t="shared" ca="1" si="27"/>
        <v>7.763019565485763</v>
      </c>
      <c r="G181" s="22">
        <f t="shared" ca="1" si="23"/>
        <v>1.4551919588625708</v>
      </c>
      <c r="H181" s="31">
        <f t="shared" ca="1" si="28"/>
        <v>6.3078276066231922</v>
      </c>
      <c r="I181" s="9">
        <f t="shared" ca="1" si="24"/>
        <v>1375</v>
      </c>
      <c r="J181" s="30">
        <f t="shared" ca="1" si="25"/>
        <v>1009.4617414099348</v>
      </c>
      <c r="K181" s="122">
        <f t="shared" ca="1" si="29"/>
        <v>365.5382585900652</v>
      </c>
      <c r="L181" s="30"/>
      <c r="M181" s="30"/>
      <c r="N181" s="30"/>
      <c r="O181" s="30"/>
    </row>
    <row r="182" spans="1:15" x14ac:dyDescent="0.25">
      <c r="A182" s="10">
        <v>163</v>
      </c>
      <c r="B182" s="27">
        <f t="shared" ca="1" si="20"/>
        <v>0.51455191958862567</v>
      </c>
      <c r="C182" s="21">
        <f t="shared" ca="1" si="26"/>
        <v>251.45519195886257</v>
      </c>
      <c r="D182" s="21">
        <f t="shared" ca="1" si="21"/>
        <v>250</v>
      </c>
      <c r="E182" s="21">
        <f t="shared" ca="1" si="22"/>
        <v>0</v>
      </c>
      <c r="F182" s="22">
        <f t="shared" ca="1" si="27"/>
        <v>0</v>
      </c>
      <c r="G182" s="22">
        <f t="shared" ca="1" si="23"/>
        <v>48.653975434130246</v>
      </c>
      <c r="H182" s="31">
        <f t="shared" ca="1" si="28"/>
        <v>0</v>
      </c>
      <c r="I182" s="9">
        <f t="shared" ca="1" si="24"/>
        <v>1375</v>
      </c>
      <c r="J182" s="30">
        <f t="shared" ca="1" si="25"/>
        <v>1000</v>
      </c>
      <c r="K182" s="122">
        <f t="shared" ca="1" si="29"/>
        <v>375</v>
      </c>
      <c r="L182" s="30"/>
      <c r="M182" s="30"/>
      <c r="N182" s="30"/>
      <c r="O182" s="30"/>
    </row>
    <row r="183" spans="1:15" x14ac:dyDescent="0.25">
      <c r="A183" s="10">
        <v>164</v>
      </c>
      <c r="B183" s="27">
        <f t="shared" ca="1" si="20"/>
        <v>0.98653975434130226</v>
      </c>
      <c r="C183" s="21">
        <f t="shared" ca="1" si="26"/>
        <v>298.65397543413025</v>
      </c>
      <c r="D183" s="21">
        <f t="shared" ca="1" si="21"/>
        <v>250</v>
      </c>
      <c r="E183" s="21">
        <f t="shared" ca="1" si="22"/>
        <v>0</v>
      </c>
      <c r="F183" s="22">
        <f t="shared" ca="1" si="27"/>
        <v>0</v>
      </c>
      <c r="G183" s="22">
        <f t="shared" ca="1" si="23"/>
        <v>0</v>
      </c>
      <c r="H183" s="31">
        <f t="shared" ca="1" si="28"/>
        <v>0</v>
      </c>
      <c r="I183" s="9">
        <f t="shared" ca="1" si="24"/>
        <v>1375</v>
      </c>
      <c r="J183" s="30">
        <f t="shared" ca="1" si="25"/>
        <v>1000</v>
      </c>
      <c r="K183" s="122">
        <f t="shared" ca="1" si="29"/>
        <v>375</v>
      </c>
      <c r="L183" s="30"/>
      <c r="M183" s="30"/>
      <c r="N183" s="30"/>
      <c r="O183" s="30"/>
    </row>
    <row r="184" spans="1:15" x14ac:dyDescent="0.25">
      <c r="A184" s="10">
        <v>165</v>
      </c>
      <c r="B184" s="27">
        <f t="shared" ca="1" si="20"/>
        <v>0.36982366372902375</v>
      </c>
      <c r="C184" s="21">
        <f t="shared" ca="1" si="26"/>
        <v>236.98236637290239</v>
      </c>
      <c r="D184" s="21">
        <f t="shared" ca="1" si="21"/>
        <v>250</v>
      </c>
      <c r="E184" s="21">
        <f t="shared" ca="1" si="22"/>
        <v>13.017633627097609</v>
      </c>
      <c r="F184" s="22">
        <f t="shared" ca="1" si="27"/>
        <v>13.017633627097609</v>
      </c>
      <c r="G184" s="22">
        <f t="shared" ca="1" si="23"/>
        <v>10.705464120138174</v>
      </c>
      <c r="H184" s="31">
        <f t="shared" ca="1" si="28"/>
        <v>2.3121695069594352</v>
      </c>
      <c r="I184" s="9">
        <f t="shared" ca="1" si="24"/>
        <v>1313.593931978616</v>
      </c>
      <c r="J184" s="30">
        <f t="shared" ca="1" si="25"/>
        <v>1003.4682542604392</v>
      </c>
      <c r="K184" s="122">
        <f t="shared" ca="1" si="29"/>
        <v>310.1256777181768</v>
      </c>
      <c r="L184" s="30"/>
      <c r="M184" s="30"/>
      <c r="N184" s="30"/>
      <c r="O184" s="30"/>
    </row>
    <row r="185" spans="1:15" x14ac:dyDescent="0.25">
      <c r="A185" s="10">
        <v>166</v>
      </c>
      <c r="B185" s="27">
        <f t="shared" ca="1" si="20"/>
        <v>0.60705464120138153</v>
      </c>
      <c r="C185" s="21">
        <f t="shared" ca="1" si="26"/>
        <v>260.70546412013817</v>
      </c>
      <c r="D185" s="21">
        <f t="shared" ca="1" si="21"/>
        <v>263.01763362709761</v>
      </c>
      <c r="E185" s="21">
        <f t="shared" ca="1" si="22"/>
        <v>0</v>
      </c>
      <c r="F185" s="22">
        <f t="shared" ca="1" si="27"/>
        <v>2.3121695069594352</v>
      </c>
      <c r="G185" s="22">
        <f t="shared" ca="1" si="23"/>
        <v>0</v>
      </c>
      <c r="H185" s="31">
        <f t="shared" ca="1" si="28"/>
        <v>2.3121695069594352</v>
      </c>
      <c r="I185" s="9">
        <f t="shared" ca="1" si="24"/>
        <v>1375</v>
      </c>
      <c r="J185" s="30">
        <f t="shared" ca="1" si="25"/>
        <v>1003.4682542604392</v>
      </c>
      <c r="K185" s="122">
        <f t="shared" ca="1" si="29"/>
        <v>371.53174573956085</v>
      </c>
      <c r="L185" s="30"/>
      <c r="M185" s="30"/>
      <c r="N185" s="30"/>
      <c r="O185" s="30"/>
    </row>
    <row r="186" spans="1:15" x14ac:dyDescent="0.25">
      <c r="A186" s="10">
        <v>167</v>
      </c>
      <c r="B186" s="27">
        <f t="shared" ca="1" si="20"/>
        <v>0.17747604771342251</v>
      </c>
      <c r="C186" s="21">
        <f t="shared" ca="1" si="26"/>
        <v>217.74760477134225</v>
      </c>
      <c r="D186" s="21">
        <f t="shared" ca="1" si="21"/>
        <v>250</v>
      </c>
      <c r="E186" s="21">
        <f t="shared" ca="1" si="22"/>
        <v>32.252395228657747</v>
      </c>
      <c r="F186" s="22">
        <f t="shared" ca="1" si="27"/>
        <v>32.252395228657747</v>
      </c>
      <c r="G186" s="22">
        <f t="shared" ca="1" si="23"/>
        <v>0</v>
      </c>
      <c r="H186" s="31">
        <f t="shared" ca="1" si="28"/>
        <v>32.252395228657747</v>
      </c>
      <c r="I186" s="9">
        <f t="shared" ca="1" si="24"/>
        <v>1205.6749250495468</v>
      </c>
      <c r="J186" s="30">
        <f t="shared" ca="1" si="25"/>
        <v>1048.3785928429866</v>
      </c>
      <c r="K186" s="122">
        <f t="shared" ca="1" si="29"/>
        <v>157.29633220656024</v>
      </c>
      <c r="L186" s="30"/>
      <c r="M186" s="30"/>
      <c r="N186" s="30"/>
      <c r="O186" s="30"/>
    </row>
    <row r="187" spans="1:15" x14ac:dyDescent="0.25">
      <c r="A187" s="10">
        <v>168</v>
      </c>
      <c r="B187" s="27">
        <f t="shared" ca="1" si="20"/>
        <v>5.2985419437240333E-3</v>
      </c>
      <c r="C187" s="21">
        <f t="shared" ca="1" si="26"/>
        <v>200.5298541943724</v>
      </c>
      <c r="D187" s="21">
        <f t="shared" ca="1" si="21"/>
        <v>282.25239522865775</v>
      </c>
      <c r="E187" s="21">
        <f t="shared" ca="1" si="22"/>
        <v>49.470145805627595</v>
      </c>
      <c r="F187" s="22">
        <f t="shared" ca="1" si="27"/>
        <v>81.722541034285342</v>
      </c>
      <c r="G187" s="22">
        <f t="shared" ca="1" si="23"/>
        <v>0</v>
      </c>
      <c r="H187" s="31">
        <f t="shared" ca="1" si="28"/>
        <v>81.722541034285342</v>
      </c>
      <c r="I187" s="9">
        <f t="shared" ca="1" si="24"/>
        <v>1212.0389202064284</v>
      </c>
      <c r="J187" s="30">
        <f t="shared" ca="1" si="25"/>
        <v>1122.583811551428</v>
      </c>
      <c r="K187" s="122">
        <f t="shared" ca="1" si="29"/>
        <v>89.455108655000458</v>
      </c>
      <c r="L187" s="30"/>
      <c r="M187" s="30"/>
      <c r="N187" s="30"/>
      <c r="O187" s="30"/>
    </row>
    <row r="188" spans="1:15" x14ac:dyDescent="0.25">
      <c r="A188" s="10">
        <v>169</v>
      </c>
      <c r="B188" s="27">
        <f t="shared" ca="1" si="20"/>
        <v>0.12231992202090392</v>
      </c>
      <c r="C188" s="21">
        <f t="shared" ca="1" si="26"/>
        <v>212.2319922020904</v>
      </c>
      <c r="D188" s="21">
        <f t="shared" ca="1" si="21"/>
        <v>299.47014580562757</v>
      </c>
      <c r="E188" s="21">
        <f t="shared" ca="1" si="22"/>
        <v>37.768007797909604</v>
      </c>
      <c r="F188" s="22">
        <f t="shared" ca="1" si="27"/>
        <v>87.238153603537171</v>
      </c>
      <c r="G188" s="22">
        <f t="shared" ca="1" si="23"/>
        <v>3.9331376815549106</v>
      </c>
      <c r="H188" s="31">
        <f t="shared" ca="1" si="28"/>
        <v>83.30501592198226</v>
      </c>
      <c r="I188" s="9">
        <f t="shared" ca="1" si="24"/>
        <v>1426.6330068269212</v>
      </c>
      <c r="J188" s="30">
        <f t="shared" ca="1" si="25"/>
        <v>1124.9575238829734</v>
      </c>
      <c r="K188" s="122">
        <f t="shared" ca="1" si="29"/>
        <v>301.67548294394783</v>
      </c>
      <c r="L188" s="30"/>
      <c r="M188" s="30"/>
      <c r="N188" s="30"/>
      <c r="O188" s="30"/>
    </row>
    <row r="189" spans="1:15" x14ac:dyDescent="0.25">
      <c r="A189" s="10">
        <v>170</v>
      </c>
      <c r="B189" s="27">
        <f t="shared" ca="1" si="20"/>
        <v>0.5393313768155491</v>
      </c>
      <c r="C189" s="21">
        <f t="shared" ca="1" si="26"/>
        <v>253.93313768155491</v>
      </c>
      <c r="D189" s="21">
        <f t="shared" ca="1" si="21"/>
        <v>287.7680077979096</v>
      </c>
      <c r="E189" s="21">
        <f t="shared" ca="1" si="22"/>
        <v>0</v>
      </c>
      <c r="F189" s="22">
        <f t="shared" ca="1" si="27"/>
        <v>33.834870116354693</v>
      </c>
      <c r="G189" s="22">
        <f t="shared" ca="1" si="23"/>
        <v>27.72287284710319</v>
      </c>
      <c r="H189" s="31">
        <f t="shared" ca="1" si="28"/>
        <v>6.1119972692515034</v>
      </c>
      <c r="I189" s="9">
        <f t="shared" ca="1" si="24"/>
        <v>1375</v>
      </c>
      <c r="J189" s="30">
        <f t="shared" ca="1" si="25"/>
        <v>1009.1679959038772</v>
      </c>
      <c r="K189" s="122">
        <f t="shared" ca="1" si="29"/>
        <v>365.83200409612277</v>
      </c>
      <c r="L189" s="30"/>
      <c r="M189" s="30"/>
      <c r="N189" s="30"/>
      <c r="O189" s="30"/>
    </row>
    <row r="190" spans="1:15" x14ac:dyDescent="0.25">
      <c r="A190" s="10">
        <v>171</v>
      </c>
      <c r="B190" s="27">
        <f t="shared" ca="1" si="20"/>
        <v>0.77722872847103164</v>
      </c>
      <c r="C190" s="21">
        <f t="shared" ca="1" si="26"/>
        <v>277.72287284710319</v>
      </c>
      <c r="D190" s="21">
        <f t="shared" ca="1" si="21"/>
        <v>250</v>
      </c>
      <c r="E190" s="21">
        <f t="shared" ca="1" si="22"/>
        <v>0</v>
      </c>
      <c r="F190" s="22">
        <f t="shared" ca="1" si="27"/>
        <v>0</v>
      </c>
      <c r="G190" s="22">
        <f t="shared" ca="1" si="23"/>
        <v>20.777277647180199</v>
      </c>
      <c r="H190" s="31">
        <f t="shared" ca="1" si="28"/>
        <v>0</v>
      </c>
      <c r="I190" s="9">
        <f t="shared" ca="1" si="24"/>
        <v>1375</v>
      </c>
      <c r="J190" s="30">
        <f t="shared" ca="1" si="25"/>
        <v>1000</v>
      </c>
      <c r="K190" s="122">
        <f t="shared" ca="1" si="29"/>
        <v>375</v>
      </c>
      <c r="L190" s="30"/>
      <c r="M190" s="30"/>
      <c r="N190" s="30"/>
      <c r="O190" s="30"/>
    </row>
    <row r="191" spans="1:15" x14ac:dyDescent="0.25">
      <c r="A191" s="10">
        <v>172</v>
      </c>
      <c r="B191" s="27">
        <f t="shared" ca="1" si="20"/>
        <v>0.70777277647180215</v>
      </c>
      <c r="C191" s="21">
        <f t="shared" ca="1" si="26"/>
        <v>270.7772776471802</v>
      </c>
      <c r="D191" s="21">
        <f t="shared" ca="1" si="21"/>
        <v>250</v>
      </c>
      <c r="E191" s="21">
        <f t="shared" ca="1" si="22"/>
        <v>0</v>
      </c>
      <c r="F191" s="22">
        <f t="shared" ca="1" si="27"/>
        <v>0</v>
      </c>
      <c r="G191" s="22">
        <f t="shared" ca="1" si="23"/>
        <v>0</v>
      </c>
      <c r="H191" s="31">
        <f t="shared" ca="1" si="28"/>
        <v>0</v>
      </c>
      <c r="I191" s="9">
        <f t="shared" ca="1" si="24"/>
        <v>1375</v>
      </c>
      <c r="J191" s="30">
        <f t="shared" ca="1" si="25"/>
        <v>1000</v>
      </c>
      <c r="K191" s="122">
        <f t="shared" ca="1" si="29"/>
        <v>375</v>
      </c>
      <c r="L191" s="30"/>
      <c r="M191" s="30"/>
      <c r="N191" s="30"/>
      <c r="O191" s="30"/>
    </row>
    <row r="192" spans="1:15" x14ac:dyDescent="0.25">
      <c r="A192" s="10">
        <v>173</v>
      </c>
      <c r="B192" s="27">
        <f t="shared" ca="1" si="20"/>
        <v>0.48533983696182503</v>
      </c>
      <c r="C192" s="21">
        <f t="shared" ca="1" si="26"/>
        <v>248.5339836961825</v>
      </c>
      <c r="D192" s="21">
        <f t="shared" ca="1" si="21"/>
        <v>250</v>
      </c>
      <c r="E192" s="21">
        <f t="shared" ca="1" si="22"/>
        <v>1.4660163038174971</v>
      </c>
      <c r="F192" s="22">
        <f t="shared" ca="1" si="27"/>
        <v>1.4660163038174971</v>
      </c>
      <c r="G192" s="22">
        <f t="shared" ca="1" si="23"/>
        <v>0</v>
      </c>
      <c r="H192" s="31">
        <f t="shared" ca="1" si="28"/>
        <v>1.4660163038174971</v>
      </c>
      <c r="I192" s="9">
        <f t="shared" ca="1" si="24"/>
        <v>1367.3034144049582</v>
      </c>
      <c r="J192" s="30">
        <f t="shared" ca="1" si="25"/>
        <v>1002.1990244557262</v>
      </c>
      <c r="K192" s="122">
        <f t="shared" ca="1" si="29"/>
        <v>365.10438994923197</v>
      </c>
      <c r="L192" s="30"/>
      <c r="M192" s="30"/>
      <c r="N192" s="30"/>
      <c r="O192" s="30"/>
    </row>
    <row r="193" spans="1:15" x14ac:dyDescent="0.25">
      <c r="A193" s="10">
        <v>174</v>
      </c>
      <c r="B193" s="27">
        <f t="shared" ca="1" si="20"/>
        <v>0.32891514758327389</v>
      </c>
      <c r="C193" s="21">
        <f t="shared" ca="1" si="26"/>
        <v>232.89151475832739</v>
      </c>
      <c r="D193" s="21">
        <f t="shared" ca="1" si="21"/>
        <v>251.4660163038175</v>
      </c>
      <c r="E193" s="21">
        <f t="shared" ca="1" si="22"/>
        <v>17.108485241672611</v>
      </c>
      <c r="F193" s="22">
        <f t="shared" ca="1" si="27"/>
        <v>18.574501545490108</v>
      </c>
      <c r="G193" s="22">
        <f t="shared" ca="1" si="23"/>
        <v>6.7443766407467365</v>
      </c>
      <c r="H193" s="31">
        <f t="shared" ca="1" si="28"/>
        <v>11.830124904743371</v>
      </c>
      <c r="I193" s="9">
        <f t="shared" ca="1" si="24"/>
        <v>1320.6708271954487</v>
      </c>
      <c r="J193" s="30">
        <f t="shared" ca="1" si="25"/>
        <v>1017.745187357115</v>
      </c>
      <c r="K193" s="122">
        <f t="shared" ca="1" si="29"/>
        <v>302.92563983833372</v>
      </c>
      <c r="L193" s="30"/>
      <c r="M193" s="30"/>
      <c r="N193" s="30"/>
      <c r="O193" s="30"/>
    </row>
    <row r="194" spans="1:15" x14ac:dyDescent="0.25">
      <c r="A194" s="10">
        <v>175</v>
      </c>
      <c r="B194" s="27">
        <f t="shared" ca="1" si="20"/>
        <v>0.5674437664074673</v>
      </c>
      <c r="C194" s="21">
        <f t="shared" ca="1" si="26"/>
        <v>256.74437664074674</v>
      </c>
      <c r="D194" s="21">
        <f t="shared" ca="1" si="21"/>
        <v>267.10848524167261</v>
      </c>
      <c r="E194" s="21">
        <f t="shared" ca="1" si="22"/>
        <v>0</v>
      </c>
      <c r="F194" s="22">
        <f t="shared" ca="1" si="27"/>
        <v>10.364108600925874</v>
      </c>
      <c r="G194" s="22">
        <f t="shared" ca="1" si="23"/>
        <v>25.790996874556186</v>
      </c>
      <c r="H194" s="31">
        <f t="shared" ca="1" si="28"/>
        <v>0</v>
      </c>
      <c r="I194" s="9">
        <f t="shared" ca="1" si="24"/>
        <v>1375</v>
      </c>
      <c r="J194" s="30">
        <f t="shared" ca="1" si="25"/>
        <v>1000</v>
      </c>
      <c r="K194" s="122">
        <f t="shared" ca="1" si="29"/>
        <v>375</v>
      </c>
      <c r="L194" s="30"/>
      <c r="M194" s="30"/>
      <c r="N194" s="30"/>
      <c r="O194" s="30"/>
    </row>
    <row r="195" spans="1:15" x14ac:dyDescent="0.25">
      <c r="A195" s="10">
        <v>176</v>
      </c>
      <c r="B195" s="27">
        <f t="shared" ca="1" si="20"/>
        <v>0.75790996874556171</v>
      </c>
      <c r="C195" s="21">
        <f t="shared" ca="1" si="26"/>
        <v>275.79099687455619</v>
      </c>
      <c r="D195" s="21">
        <f t="shared" ca="1" si="21"/>
        <v>250</v>
      </c>
      <c r="E195" s="21">
        <f t="shared" ca="1" si="22"/>
        <v>0</v>
      </c>
      <c r="F195" s="22">
        <f t="shared" ca="1" si="27"/>
        <v>0</v>
      </c>
      <c r="G195" s="22">
        <f t="shared" ca="1" si="23"/>
        <v>0</v>
      </c>
      <c r="H195" s="31">
        <f t="shared" ca="1" si="28"/>
        <v>0</v>
      </c>
      <c r="I195" s="9">
        <f t="shared" ca="1" si="24"/>
        <v>1375</v>
      </c>
      <c r="J195" s="30">
        <f t="shared" ca="1" si="25"/>
        <v>1000</v>
      </c>
      <c r="K195" s="122">
        <f t="shared" ca="1" si="29"/>
        <v>375</v>
      </c>
      <c r="L195" s="30"/>
      <c r="M195" s="30"/>
      <c r="N195" s="30"/>
      <c r="O195" s="30"/>
    </row>
    <row r="196" spans="1:15" x14ac:dyDescent="0.25">
      <c r="A196" s="10">
        <v>177</v>
      </c>
      <c r="B196" s="27">
        <f t="shared" ca="1" si="20"/>
        <v>0.11767293196035022</v>
      </c>
      <c r="C196" s="21">
        <f t="shared" ca="1" si="26"/>
        <v>211.76729319603501</v>
      </c>
      <c r="D196" s="21">
        <f t="shared" ca="1" si="21"/>
        <v>250</v>
      </c>
      <c r="E196" s="21">
        <f t="shared" ca="1" si="22"/>
        <v>38.232706803964987</v>
      </c>
      <c r="F196" s="22">
        <f t="shared" ca="1" si="27"/>
        <v>38.232706803964987</v>
      </c>
      <c r="G196" s="22">
        <f t="shared" ca="1" si="23"/>
        <v>0</v>
      </c>
      <c r="H196" s="31">
        <f t="shared" ca="1" si="28"/>
        <v>38.232706803964987</v>
      </c>
      <c r="I196" s="9">
        <f t="shared" ca="1" si="24"/>
        <v>1174.2782892791838</v>
      </c>
      <c r="J196" s="30">
        <f t="shared" ca="1" si="25"/>
        <v>1057.3490602059476</v>
      </c>
      <c r="K196" s="122">
        <f t="shared" ca="1" si="29"/>
        <v>116.92922907323623</v>
      </c>
      <c r="L196" s="30"/>
      <c r="M196" s="30"/>
      <c r="N196" s="30"/>
      <c r="O196" s="30"/>
    </row>
    <row r="197" spans="1:15" x14ac:dyDescent="0.25">
      <c r="A197" s="10">
        <v>178</v>
      </c>
      <c r="B197" s="27">
        <f t="shared" ca="1" si="20"/>
        <v>0.34064045865448345</v>
      </c>
      <c r="C197" s="21">
        <f t="shared" ca="1" si="26"/>
        <v>234.06404586544835</v>
      </c>
      <c r="D197" s="21">
        <f t="shared" ca="1" si="21"/>
        <v>288.23270680396502</v>
      </c>
      <c r="E197" s="21">
        <f t="shared" ca="1" si="22"/>
        <v>15.93595413455165</v>
      </c>
      <c r="F197" s="22">
        <f t="shared" ca="1" si="27"/>
        <v>54.168660938516666</v>
      </c>
      <c r="G197" s="22">
        <f t="shared" ca="1" si="23"/>
        <v>0.18161199888254487</v>
      </c>
      <c r="H197" s="31">
        <f t="shared" ca="1" si="28"/>
        <v>53.987048939634121</v>
      </c>
      <c r="I197" s="9">
        <f t="shared" ca="1" si="24"/>
        <v>1453.2973876125063</v>
      </c>
      <c r="J197" s="30">
        <f t="shared" ca="1" si="25"/>
        <v>1080.9805734094512</v>
      </c>
      <c r="K197" s="122">
        <f t="shared" ca="1" si="29"/>
        <v>372.31681420305517</v>
      </c>
      <c r="L197" s="30"/>
      <c r="M197" s="30"/>
      <c r="N197" s="30"/>
      <c r="O197" s="30"/>
    </row>
    <row r="198" spans="1:15" x14ac:dyDescent="0.25">
      <c r="A198" s="10">
        <v>179</v>
      </c>
      <c r="B198" s="43">
        <f t="shared" ca="1" si="20"/>
        <v>0.50181611998882547</v>
      </c>
      <c r="C198" s="44">
        <f t="shared" ca="1" si="26"/>
        <v>250.18161199888254</v>
      </c>
      <c r="D198" s="44">
        <f t="shared" ca="1" si="21"/>
        <v>265.93595413455165</v>
      </c>
      <c r="E198" s="44">
        <f t="shared" ca="1" si="22"/>
        <v>0</v>
      </c>
      <c r="F198" s="45">
        <f t="shared" ca="1" si="27"/>
        <v>15.754342135669106</v>
      </c>
      <c r="G198" s="45">
        <f t="shared" ca="1" si="23"/>
        <v>39.577691848898439</v>
      </c>
      <c r="H198" s="46">
        <f t="shared" ca="1" si="28"/>
        <v>0</v>
      </c>
      <c r="I198" s="1">
        <f t="shared" ca="1" si="24"/>
        <v>1375</v>
      </c>
      <c r="J198" s="47">
        <f t="shared" ca="1" si="25"/>
        <v>1000</v>
      </c>
      <c r="K198" s="123">
        <f t="shared" ca="1" si="29"/>
        <v>375</v>
      </c>
      <c r="L198" s="30"/>
      <c r="M198" s="30"/>
      <c r="N198" s="30"/>
      <c r="O198" s="30"/>
    </row>
    <row r="199" spans="1:15" x14ac:dyDescent="0.25">
      <c r="A199" s="10">
        <v>180</v>
      </c>
      <c r="B199" s="48">
        <f t="shared" ca="1" si="20"/>
        <v>0.89577691848898422</v>
      </c>
      <c r="C199" s="49">
        <f t="shared" ca="1" si="26"/>
        <v>289.57769184889844</v>
      </c>
      <c r="D199" s="49">
        <f t="shared" ca="1" si="21"/>
        <v>250</v>
      </c>
      <c r="E199" s="49">
        <f t="shared" ca="1" si="22"/>
        <v>0</v>
      </c>
      <c r="F199" s="50">
        <f t="shared" ca="1" si="27"/>
        <v>0</v>
      </c>
      <c r="G199" s="50">
        <f t="shared" ca="1" si="23"/>
        <v>0</v>
      </c>
      <c r="H199" s="51">
        <f t="shared" ca="1" si="28"/>
        <v>0</v>
      </c>
      <c r="I199" s="52">
        <f t="shared" ca="1" si="24"/>
        <v>1375</v>
      </c>
      <c r="J199" s="53">
        <f t="shared" ca="1" si="25"/>
        <v>1000</v>
      </c>
      <c r="K199" s="124">
        <f t="shared" ca="1" si="29"/>
        <v>375</v>
      </c>
      <c r="L199" s="30"/>
      <c r="M199" s="30"/>
      <c r="N199" s="30"/>
      <c r="O199" s="30"/>
    </row>
    <row r="200" spans="1:15" x14ac:dyDescent="0.25">
      <c r="A200" s="10">
        <v>181</v>
      </c>
      <c r="B200" s="27">
        <f t="shared" ca="1" si="20"/>
        <v>0.44980984231925414</v>
      </c>
      <c r="C200" s="21">
        <f t="shared" ca="1" si="26"/>
        <v>244.98098423192542</v>
      </c>
      <c r="D200" s="21">
        <f t="shared" ca="1" si="21"/>
        <v>250</v>
      </c>
      <c r="E200" s="21">
        <f t="shared" ca="1" si="22"/>
        <v>5.0190157680745813</v>
      </c>
      <c r="F200" s="22">
        <f t="shared" ca="1" si="27"/>
        <v>5.0190157680745813</v>
      </c>
      <c r="G200" s="22">
        <f t="shared" ca="1" si="23"/>
        <v>14.837296766996474</v>
      </c>
      <c r="H200" s="31">
        <f t="shared" ca="1" si="28"/>
        <v>0</v>
      </c>
      <c r="I200" s="9">
        <f t="shared" ca="1" si="24"/>
        <v>1348.6501672176084</v>
      </c>
      <c r="J200" s="30">
        <f t="shared" ca="1" si="25"/>
        <v>1000</v>
      </c>
      <c r="K200" s="122">
        <f t="shared" ca="1" si="29"/>
        <v>348.65016721760844</v>
      </c>
      <c r="L200" s="30"/>
      <c r="M200" s="30"/>
      <c r="N200" s="30"/>
      <c r="O200" s="30"/>
    </row>
    <row r="201" spans="1:15" x14ac:dyDescent="0.25">
      <c r="A201" s="10">
        <v>182</v>
      </c>
      <c r="B201" s="27">
        <f t="shared" ca="1" si="20"/>
        <v>0.64837296766996466</v>
      </c>
      <c r="C201" s="21">
        <f t="shared" ca="1" si="26"/>
        <v>264.83729676699647</v>
      </c>
      <c r="D201" s="21">
        <f t="shared" ca="1" si="21"/>
        <v>255.01901576807458</v>
      </c>
      <c r="E201" s="21">
        <f t="shared" ca="1" si="22"/>
        <v>0</v>
      </c>
      <c r="F201" s="22">
        <f t="shared" ca="1" si="27"/>
        <v>0</v>
      </c>
      <c r="G201" s="22">
        <f t="shared" ca="1" si="23"/>
        <v>44.197600233549053</v>
      </c>
      <c r="H201" s="31">
        <f t="shared" ca="1" si="28"/>
        <v>0</v>
      </c>
      <c r="I201" s="9">
        <f t="shared" ca="1" si="24"/>
        <v>1375</v>
      </c>
      <c r="J201" s="30">
        <f t="shared" ca="1" si="25"/>
        <v>1000</v>
      </c>
      <c r="K201" s="122">
        <f t="shared" ca="1" si="29"/>
        <v>375</v>
      </c>
      <c r="L201" s="30"/>
      <c r="M201" s="30"/>
      <c r="N201" s="30"/>
      <c r="O201" s="30"/>
    </row>
    <row r="202" spans="1:15" x14ac:dyDescent="0.25">
      <c r="A202" s="10">
        <v>183</v>
      </c>
      <c r="B202" s="27">
        <f t="shared" ca="1" si="20"/>
        <v>0.94197600233549061</v>
      </c>
      <c r="C202" s="21">
        <f t="shared" ca="1" si="26"/>
        <v>294.19760023354905</v>
      </c>
      <c r="D202" s="21">
        <f t="shared" ca="1" si="21"/>
        <v>250</v>
      </c>
      <c r="E202" s="21">
        <f t="shared" ca="1" si="22"/>
        <v>0</v>
      </c>
      <c r="F202" s="22">
        <f t="shared" ca="1" si="27"/>
        <v>0</v>
      </c>
      <c r="G202" s="22">
        <f t="shared" ca="1" si="23"/>
        <v>0</v>
      </c>
      <c r="H202" s="31">
        <f t="shared" ca="1" si="28"/>
        <v>0</v>
      </c>
      <c r="I202" s="9">
        <f t="shared" ca="1" si="24"/>
        <v>1375</v>
      </c>
      <c r="J202" s="30">
        <f t="shared" ca="1" si="25"/>
        <v>1000</v>
      </c>
      <c r="K202" s="122">
        <f t="shared" ca="1" si="29"/>
        <v>375</v>
      </c>
      <c r="L202" s="30"/>
      <c r="M202" s="30"/>
      <c r="N202" s="30"/>
      <c r="O202" s="30"/>
    </row>
    <row r="203" spans="1:15" x14ac:dyDescent="0.25">
      <c r="A203" s="10">
        <v>184</v>
      </c>
      <c r="B203" s="27">
        <f t="shared" ca="1" si="20"/>
        <v>7.8527622841580214E-2</v>
      </c>
      <c r="C203" s="21">
        <f t="shared" ca="1" si="26"/>
        <v>207.85276228415802</v>
      </c>
      <c r="D203" s="21">
        <f t="shared" ca="1" si="21"/>
        <v>250</v>
      </c>
      <c r="E203" s="21">
        <f t="shared" ca="1" si="22"/>
        <v>42.147237715841982</v>
      </c>
      <c r="F203" s="22">
        <f t="shared" ca="1" si="27"/>
        <v>42.147237715841982</v>
      </c>
      <c r="G203" s="22">
        <f t="shared" ca="1" si="23"/>
        <v>28.513309988673541</v>
      </c>
      <c r="H203" s="31">
        <f t="shared" ca="1" si="28"/>
        <v>13.633927727168441</v>
      </c>
      <c r="I203" s="9">
        <f t="shared" ca="1" si="24"/>
        <v>1194.6287851733348</v>
      </c>
      <c r="J203" s="30">
        <f t="shared" ca="1" si="25"/>
        <v>1020.4508915907527</v>
      </c>
      <c r="K203" s="122">
        <f t="shared" ca="1" si="29"/>
        <v>174.1778935825821</v>
      </c>
      <c r="L203" s="30"/>
      <c r="M203" s="30"/>
      <c r="N203" s="30"/>
      <c r="O203" s="30"/>
    </row>
    <row r="204" spans="1:15" x14ac:dyDescent="0.25">
      <c r="A204" s="10">
        <v>185</v>
      </c>
      <c r="B204" s="27">
        <f t="shared" ca="1" si="20"/>
        <v>0.78513309988673563</v>
      </c>
      <c r="C204" s="21">
        <f t="shared" ca="1" si="26"/>
        <v>278.51330998867354</v>
      </c>
      <c r="D204" s="21">
        <f t="shared" ca="1" si="21"/>
        <v>292.14723771584198</v>
      </c>
      <c r="E204" s="21">
        <f t="shared" ca="1" si="22"/>
        <v>0</v>
      </c>
      <c r="F204" s="22">
        <f t="shared" ca="1" si="27"/>
        <v>13.633927727168441</v>
      </c>
      <c r="G204" s="22">
        <f t="shared" ca="1" si="23"/>
        <v>0</v>
      </c>
      <c r="H204" s="31">
        <f t="shared" ca="1" si="28"/>
        <v>13.633927727168441</v>
      </c>
      <c r="I204" s="9">
        <f t="shared" ca="1" si="24"/>
        <v>1375</v>
      </c>
      <c r="J204" s="30">
        <f t="shared" ca="1" si="25"/>
        <v>1020.4508915907527</v>
      </c>
      <c r="K204" s="122">
        <f t="shared" ca="1" si="29"/>
        <v>354.54910840924731</v>
      </c>
      <c r="L204" s="30"/>
      <c r="M204" s="30"/>
      <c r="N204" s="30"/>
      <c r="O204" s="30"/>
    </row>
    <row r="205" spans="1:15" x14ac:dyDescent="0.25">
      <c r="A205" s="10">
        <v>186</v>
      </c>
      <c r="B205" s="27">
        <f t="shared" ca="1" si="20"/>
        <v>0.44435332635217684</v>
      </c>
      <c r="C205" s="21">
        <f t="shared" ca="1" si="26"/>
        <v>244.43533263521769</v>
      </c>
      <c r="D205" s="21">
        <f t="shared" ca="1" si="21"/>
        <v>250</v>
      </c>
      <c r="E205" s="21">
        <f t="shared" ca="1" si="22"/>
        <v>5.5646673647823093</v>
      </c>
      <c r="F205" s="22">
        <f t="shared" ca="1" si="27"/>
        <v>5.5646673647823093</v>
      </c>
      <c r="G205" s="22">
        <f t="shared" ca="1" si="23"/>
        <v>0</v>
      </c>
      <c r="H205" s="31">
        <f t="shared" ca="1" si="28"/>
        <v>5.5646673647823093</v>
      </c>
      <c r="I205" s="9">
        <f t="shared" ca="1" si="24"/>
        <v>1345.785496334893</v>
      </c>
      <c r="J205" s="30">
        <f t="shared" ca="1" si="25"/>
        <v>1008.3470010471734</v>
      </c>
      <c r="K205" s="122">
        <f t="shared" ca="1" si="29"/>
        <v>337.43849528771955</v>
      </c>
      <c r="L205" s="30"/>
      <c r="M205" s="30"/>
      <c r="N205" s="30"/>
      <c r="O205" s="30"/>
    </row>
    <row r="206" spans="1:15" x14ac:dyDescent="0.25">
      <c r="A206" s="10">
        <v>187</v>
      </c>
      <c r="B206" s="27">
        <f t="shared" ca="1" si="20"/>
        <v>0.20270113091049058</v>
      </c>
      <c r="C206" s="21">
        <f t="shared" ca="1" si="26"/>
        <v>220.27011309104907</v>
      </c>
      <c r="D206" s="21">
        <f t="shared" ca="1" si="21"/>
        <v>255.56466736478231</v>
      </c>
      <c r="E206" s="21">
        <f t="shared" ca="1" si="22"/>
        <v>29.729886908950931</v>
      </c>
      <c r="F206" s="22">
        <f t="shared" ca="1" si="27"/>
        <v>35.29455427373324</v>
      </c>
      <c r="G206" s="22">
        <f t="shared" ca="1" si="23"/>
        <v>20.942868491020249</v>
      </c>
      <c r="H206" s="31">
        <f t="shared" ca="1" si="28"/>
        <v>14.351685782712991</v>
      </c>
      <c r="I206" s="9">
        <f t="shared" ca="1" si="24"/>
        <v>1261.9731510761465</v>
      </c>
      <c r="J206" s="30">
        <f t="shared" ca="1" si="25"/>
        <v>1021.5275286740695</v>
      </c>
      <c r="K206" s="122">
        <f t="shared" ca="1" si="29"/>
        <v>240.44562240207699</v>
      </c>
      <c r="L206" s="30"/>
      <c r="M206" s="30"/>
      <c r="N206" s="30"/>
      <c r="O206" s="30"/>
    </row>
    <row r="207" spans="1:15" x14ac:dyDescent="0.25">
      <c r="A207" s="10">
        <v>188</v>
      </c>
      <c r="B207" s="27">
        <f t="shared" ca="1" si="20"/>
        <v>0.7094286849102025</v>
      </c>
      <c r="C207" s="21">
        <f t="shared" ca="1" si="26"/>
        <v>270.94286849102025</v>
      </c>
      <c r="D207" s="21">
        <f t="shared" ca="1" si="21"/>
        <v>279.7298869089509</v>
      </c>
      <c r="E207" s="21">
        <f t="shared" ca="1" si="22"/>
        <v>0</v>
      </c>
      <c r="F207" s="22">
        <f t="shared" ca="1" si="27"/>
        <v>8.7870184179306534</v>
      </c>
      <c r="G207" s="22">
        <f t="shared" ca="1" si="23"/>
        <v>31.031616796899129</v>
      </c>
      <c r="H207" s="31">
        <f t="shared" ca="1" si="28"/>
        <v>0</v>
      </c>
      <c r="I207" s="9">
        <f t="shared" ca="1" si="24"/>
        <v>1375</v>
      </c>
      <c r="J207" s="30">
        <f t="shared" ca="1" si="25"/>
        <v>1000</v>
      </c>
      <c r="K207" s="122">
        <f t="shared" ca="1" si="29"/>
        <v>375</v>
      </c>
      <c r="L207" s="30"/>
      <c r="M207" s="30"/>
      <c r="N207" s="30"/>
      <c r="O207" s="30"/>
    </row>
    <row r="208" spans="1:15" x14ac:dyDescent="0.25">
      <c r="A208" s="10">
        <v>189</v>
      </c>
      <c r="B208" s="27">
        <f t="shared" ca="1" si="20"/>
        <v>0.81031616796899109</v>
      </c>
      <c r="C208" s="21">
        <f t="shared" ca="1" si="26"/>
        <v>281.03161679689913</v>
      </c>
      <c r="D208" s="21">
        <f t="shared" ca="1" si="21"/>
        <v>250</v>
      </c>
      <c r="E208" s="21">
        <f t="shared" ca="1" si="22"/>
        <v>0</v>
      </c>
      <c r="F208" s="22">
        <f t="shared" ca="1" si="27"/>
        <v>0</v>
      </c>
      <c r="G208" s="22">
        <f t="shared" ca="1" si="23"/>
        <v>11.864793973122573</v>
      </c>
      <c r="H208" s="31">
        <f t="shared" ca="1" si="28"/>
        <v>0</v>
      </c>
      <c r="I208" s="9">
        <f t="shared" ca="1" si="24"/>
        <v>1375</v>
      </c>
      <c r="J208" s="30">
        <f t="shared" ca="1" si="25"/>
        <v>1000</v>
      </c>
      <c r="K208" s="122">
        <f t="shared" ca="1" si="29"/>
        <v>375</v>
      </c>
      <c r="L208" s="30"/>
      <c r="M208" s="30"/>
      <c r="N208" s="30"/>
      <c r="O208" s="30"/>
    </row>
    <row r="209" spans="1:15" x14ac:dyDescent="0.25">
      <c r="A209" s="10">
        <v>190</v>
      </c>
      <c r="B209" s="27">
        <f t="shared" ca="1" si="20"/>
        <v>0.618647939731226</v>
      </c>
      <c r="C209" s="21">
        <f t="shared" ca="1" si="26"/>
        <v>261.86479397312257</v>
      </c>
      <c r="D209" s="21">
        <f t="shared" ca="1" si="21"/>
        <v>250</v>
      </c>
      <c r="E209" s="21">
        <f t="shared" ca="1" si="22"/>
        <v>0</v>
      </c>
      <c r="F209" s="22">
        <f t="shared" ca="1" si="27"/>
        <v>0</v>
      </c>
      <c r="G209" s="22">
        <f t="shared" ca="1" si="23"/>
        <v>49.566533025774788</v>
      </c>
      <c r="H209" s="31">
        <f t="shared" ca="1" si="28"/>
        <v>0</v>
      </c>
      <c r="I209" s="9">
        <f t="shared" ca="1" si="24"/>
        <v>1375</v>
      </c>
      <c r="J209" s="30">
        <f t="shared" ca="1" si="25"/>
        <v>1000</v>
      </c>
      <c r="K209" s="122">
        <f t="shared" ca="1" si="29"/>
        <v>375</v>
      </c>
      <c r="L209" s="30"/>
      <c r="M209" s="30"/>
      <c r="N209" s="30"/>
      <c r="O209" s="30"/>
    </row>
    <row r="210" spans="1:15" x14ac:dyDescent="0.25">
      <c r="A210" s="10">
        <v>191</v>
      </c>
      <c r="B210" s="27">
        <f t="shared" ca="1" si="20"/>
        <v>0.99566533025774773</v>
      </c>
      <c r="C210" s="21">
        <f t="shared" ca="1" si="26"/>
        <v>299.56653302577479</v>
      </c>
      <c r="D210" s="21">
        <f t="shared" ca="1" si="21"/>
        <v>250</v>
      </c>
      <c r="E210" s="21">
        <f t="shared" ca="1" si="22"/>
        <v>0</v>
      </c>
      <c r="F210" s="22">
        <f t="shared" ca="1" si="27"/>
        <v>0</v>
      </c>
      <c r="G210" s="22">
        <f t="shared" ca="1" si="23"/>
        <v>0</v>
      </c>
      <c r="H210" s="31">
        <f t="shared" ca="1" si="28"/>
        <v>0</v>
      </c>
      <c r="I210" s="9">
        <f t="shared" ca="1" si="24"/>
        <v>1375</v>
      </c>
      <c r="J210" s="30">
        <f t="shared" ca="1" si="25"/>
        <v>1000</v>
      </c>
      <c r="K210" s="122">
        <f t="shared" ca="1" si="29"/>
        <v>375</v>
      </c>
      <c r="L210" s="30"/>
      <c r="M210" s="30"/>
      <c r="N210" s="30"/>
      <c r="O210" s="30"/>
    </row>
    <row r="211" spans="1:15" x14ac:dyDescent="0.25">
      <c r="A211" s="10">
        <v>192</v>
      </c>
      <c r="B211" s="27">
        <f t="shared" ca="1" si="20"/>
        <v>0.11097745742506548</v>
      </c>
      <c r="C211" s="21">
        <f t="shared" ca="1" si="26"/>
        <v>211.09774574250656</v>
      </c>
      <c r="D211" s="21">
        <f t="shared" ca="1" si="21"/>
        <v>250</v>
      </c>
      <c r="E211" s="21">
        <f t="shared" ca="1" si="22"/>
        <v>38.902254257493439</v>
      </c>
      <c r="F211" s="22">
        <f t="shared" ca="1" si="27"/>
        <v>38.902254257493439</v>
      </c>
      <c r="G211" s="22">
        <f t="shared" ca="1" si="23"/>
        <v>0</v>
      </c>
      <c r="H211" s="31">
        <f t="shared" ca="1" si="28"/>
        <v>38.902254257493439</v>
      </c>
      <c r="I211" s="9">
        <f t="shared" ca="1" si="24"/>
        <v>1170.7631651481593</v>
      </c>
      <c r="J211" s="30">
        <f t="shared" ca="1" si="25"/>
        <v>1058.3533813862402</v>
      </c>
      <c r="K211" s="122">
        <f t="shared" ca="1" si="29"/>
        <v>112.40978376191902</v>
      </c>
      <c r="L211" s="30"/>
      <c r="M211" s="30"/>
      <c r="N211" s="30"/>
      <c r="O211" s="30"/>
    </row>
    <row r="212" spans="1:15" x14ac:dyDescent="0.25">
      <c r="A212" s="10">
        <v>193</v>
      </c>
      <c r="B212" s="27">
        <f t="shared" ref="B212:B275" ca="1" si="30">RAND()</f>
        <v>0.47295459205833368</v>
      </c>
      <c r="C212" s="21">
        <f t="shared" ca="1" si="26"/>
        <v>247.29545920583337</v>
      </c>
      <c r="D212" s="21">
        <f t="shared" ref="D212:D275" ca="1" si="31">$E$10+E211</f>
        <v>288.90225425749344</v>
      </c>
      <c r="E212" s="21">
        <f t="shared" ref="E212:E275" ca="1" si="32">IF(C212&gt;$E$10,0,$E$10-C212)</f>
        <v>2.7045407941666326</v>
      </c>
      <c r="F212" s="22">
        <f t="shared" ca="1" si="27"/>
        <v>41.606795051660072</v>
      </c>
      <c r="G212" s="22">
        <f t="shared" ref="G212:G275" ca="1" si="33">IF(C213&gt;$E$10,C213-$E$10,0)</f>
        <v>0</v>
      </c>
      <c r="H212" s="31">
        <f t="shared" ca="1" si="28"/>
        <v>41.606795051660072</v>
      </c>
      <c r="I212" s="9">
        <f t="shared" ref="I212:I275" ca="1" si="34">IF($E$10&lt;C212,$E$10*$E$7,$E$9*($E$10-C212)+(C212*$E$7)+IF($E$10&lt;C213,H212*$E$8,E211*$E$8))</f>
        <v>1477.5079236031056</v>
      </c>
      <c r="J212" s="30">
        <f t="shared" ref="J212:J275" ca="1" si="35">IF(H212&gt;0,$E$10*$E$5+H212*$E$6,$E$10*$E$5)</f>
        <v>1062.4101925774901</v>
      </c>
      <c r="K212" s="122">
        <f t="shared" ca="1" si="29"/>
        <v>415.09773102561553</v>
      </c>
      <c r="L212" s="30"/>
      <c r="M212" s="30"/>
      <c r="N212" s="30"/>
      <c r="O212" s="30"/>
    </row>
    <row r="213" spans="1:15" x14ac:dyDescent="0.25">
      <c r="A213" s="10">
        <v>194</v>
      </c>
      <c r="B213" s="27">
        <f t="shared" ca="1" si="30"/>
        <v>0.27727946033723982</v>
      </c>
      <c r="C213" s="21">
        <f t="shared" ref="C213:C276" ca="1" si="36">200+(300-200)*B213</f>
        <v>227.72794603372398</v>
      </c>
      <c r="D213" s="21">
        <f t="shared" ca="1" si="31"/>
        <v>252.70454079416663</v>
      </c>
      <c r="E213" s="21">
        <f t="shared" ca="1" si="32"/>
        <v>22.272053966276019</v>
      </c>
      <c r="F213" s="22">
        <f t="shared" ref="F213:F276" ca="1" si="37">IF(C213&gt;D213,0,D213-C213)</f>
        <v>24.976594760442651</v>
      </c>
      <c r="G213" s="22">
        <f t="shared" ca="1" si="33"/>
        <v>28.626702975686158</v>
      </c>
      <c r="H213" s="31">
        <f t="shared" ref="H213:H276" ca="1" si="38">IF(G213&gt;F213,0,IF(G213&lt;F213,F213-G213,0))</f>
        <v>0</v>
      </c>
      <c r="I213" s="9">
        <f t="shared" ca="1" si="34"/>
        <v>1258.071716677051</v>
      </c>
      <c r="J213" s="30">
        <f t="shared" ca="1" si="35"/>
        <v>1000</v>
      </c>
      <c r="K213" s="122">
        <f t="shared" ref="K213:K276" ca="1" si="39">I213-J213</f>
        <v>258.07171667705097</v>
      </c>
      <c r="L213" s="30"/>
      <c r="M213" s="30"/>
      <c r="N213" s="30"/>
      <c r="O213" s="30"/>
    </row>
    <row r="214" spans="1:15" x14ac:dyDescent="0.25">
      <c r="A214" s="10">
        <v>195</v>
      </c>
      <c r="B214" s="27">
        <f t="shared" ca="1" si="30"/>
        <v>0.78626702975686158</v>
      </c>
      <c r="C214" s="21">
        <f t="shared" ca="1" si="36"/>
        <v>278.62670297568616</v>
      </c>
      <c r="D214" s="21">
        <f t="shared" ca="1" si="31"/>
        <v>272.27205396627602</v>
      </c>
      <c r="E214" s="21">
        <f t="shared" ca="1" si="32"/>
        <v>0</v>
      </c>
      <c r="F214" s="22">
        <f t="shared" ca="1" si="37"/>
        <v>0</v>
      </c>
      <c r="G214" s="22">
        <f t="shared" ca="1" si="33"/>
        <v>0</v>
      </c>
      <c r="H214" s="31">
        <f t="shared" ca="1" si="38"/>
        <v>0</v>
      </c>
      <c r="I214" s="9">
        <f t="shared" ca="1" si="34"/>
        <v>1375</v>
      </c>
      <c r="J214" s="30">
        <f t="shared" ca="1" si="35"/>
        <v>1000</v>
      </c>
      <c r="K214" s="122">
        <f t="shared" ca="1" si="39"/>
        <v>375</v>
      </c>
      <c r="L214" s="30"/>
      <c r="M214" s="30"/>
      <c r="N214" s="30"/>
      <c r="O214" s="30"/>
    </row>
    <row r="215" spans="1:15" x14ac:dyDescent="0.25">
      <c r="A215" s="10">
        <v>196</v>
      </c>
      <c r="B215" s="27">
        <f t="shared" ca="1" si="30"/>
        <v>0.34887118884858526</v>
      </c>
      <c r="C215" s="21">
        <f t="shared" ca="1" si="36"/>
        <v>234.88711888485852</v>
      </c>
      <c r="D215" s="21">
        <f t="shared" ca="1" si="31"/>
        <v>250</v>
      </c>
      <c r="E215" s="21">
        <f t="shared" ca="1" si="32"/>
        <v>15.112881115141477</v>
      </c>
      <c r="F215" s="22">
        <f t="shared" ca="1" si="37"/>
        <v>15.112881115141477</v>
      </c>
      <c r="G215" s="22">
        <f t="shared" ca="1" si="33"/>
        <v>0</v>
      </c>
      <c r="H215" s="31">
        <f t="shared" ca="1" si="38"/>
        <v>15.112881115141477</v>
      </c>
      <c r="I215" s="9">
        <f t="shared" ca="1" si="34"/>
        <v>1295.6573741455072</v>
      </c>
      <c r="J215" s="30">
        <f t="shared" ca="1" si="35"/>
        <v>1022.6693216727122</v>
      </c>
      <c r="K215" s="122">
        <f t="shared" ca="1" si="39"/>
        <v>272.98805247279506</v>
      </c>
      <c r="L215" s="30"/>
      <c r="M215" s="30"/>
      <c r="N215" s="30"/>
      <c r="O215" s="30"/>
    </row>
    <row r="216" spans="1:15" x14ac:dyDescent="0.25">
      <c r="A216" s="10">
        <v>197</v>
      </c>
      <c r="B216" s="27">
        <f t="shared" ca="1" si="30"/>
        <v>0.20604756151890546</v>
      </c>
      <c r="C216" s="21">
        <f t="shared" ca="1" si="36"/>
        <v>220.60475615189054</v>
      </c>
      <c r="D216" s="21">
        <f t="shared" ca="1" si="31"/>
        <v>265.11288111514148</v>
      </c>
      <c r="E216" s="21">
        <f t="shared" ca="1" si="32"/>
        <v>29.395243848109459</v>
      </c>
      <c r="F216" s="22">
        <f t="shared" ca="1" si="37"/>
        <v>44.508124963250935</v>
      </c>
      <c r="G216" s="22">
        <f t="shared" ca="1" si="33"/>
        <v>0</v>
      </c>
      <c r="H216" s="31">
        <f t="shared" ca="1" si="38"/>
        <v>44.508124963250935</v>
      </c>
      <c r="I216" s="9">
        <f t="shared" ca="1" si="34"/>
        <v>1266.0136131428499</v>
      </c>
      <c r="J216" s="30">
        <f t="shared" ca="1" si="35"/>
        <v>1066.7621874448764</v>
      </c>
      <c r="K216" s="122">
        <f t="shared" ca="1" si="39"/>
        <v>199.25142569797345</v>
      </c>
      <c r="L216" s="30"/>
      <c r="M216" s="30"/>
      <c r="N216" s="30"/>
      <c r="O216" s="30"/>
    </row>
    <row r="217" spans="1:15" x14ac:dyDescent="0.25">
      <c r="A217" s="10">
        <v>198</v>
      </c>
      <c r="B217" s="27">
        <f t="shared" ca="1" si="30"/>
        <v>0.24577772099922335</v>
      </c>
      <c r="C217" s="21">
        <f t="shared" ca="1" si="36"/>
        <v>224.57777209992233</v>
      </c>
      <c r="D217" s="21">
        <f t="shared" ca="1" si="31"/>
        <v>279.39524384810943</v>
      </c>
      <c r="E217" s="21">
        <f t="shared" ca="1" si="32"/>
        <v>25.422227900077672</v>
      </c>
      <c r="F217" s="22">
        <f t="shared" ca="1" si="37"/>
        <v>54.817471748187103</v>
      </c>
      <c r="G217" s="22">
        <f t="shared" ca="1" si="33"/>
        <v>28.987962680228406</v>
      </c>
      <c r="H217" s="31">
        <f t="shared" ca="1" si="38"/>
        <v>25.829509067958696</v>
      </c>
      <c r="I217" s="9">
        <f t="shared" ca="1" si="34"/>
        <v>1319.0218307284683</v>
      </c>
      <c r="J217" s="30">
        <f t="shared" ca="1" si="35"/>
        <v>1038.744263601938</v>
      </c>
      <c r="K217" s="122">
        <f t="shared" ca="1" si="39"/>
        <v>280.27756712653036</v>
      </c>
      <c r="L217" s="30"/>
      <c r="M217" s="30"/>
      <c r="N217" s="30"/>
      <c r="O217" s="30"/>
    </row>
    <row r="218" spans="1:15" x14ac:dyDescent="0.25">
      <c r="A218" s="10">
        <v>199</v>
      </c>
      <c r="B218" s="27">
        <f t="shared" ca="1" si="30"/>
        <v>0.7898796268022843</v>
      </c>
      <c r="C218" s="21">
        <f t="shared" ca="1" si="36"/>
        <v>278.98796268022841</v>
      </c>
      <c r="D218" s="21">
        <f t="shared" ca="1" si="31"/>
        <v>275.4222279000777</v>
      </c>
      <c r="E218" s="21">
        <f t="shared" ca="1" si="32"/>
        <v>0</v>
      </c>
      <c r="F218" s="22">
        <f t="shared" ca="1" si="37"/>
        <v>0</v>
      </c>
      <c r="G218" s="22">
        <f t="shared" ca="1" si="33"/>
        <v>0</v>
      </c>
      <c r="H218" s="31">
        <f t="shared" ca="1" si="38"/>
        <v>0</v>
      </c>
      <c r="I218" s="9">
        <f t="shared" ca="1" si="34"/>
        <v>1375</v>
      </c>
      <c r="J218" s="30">
        <f t="shared" ca="1" si="35"/>
        <v>1000</v>
      </c>
      <c r="K218" s="122">
        <f t="shared" ca="1" si="39"/>
        <v>375</v>
      </c>
      <c r="L218" s="30"/>
      <c r="M218" s="30"/>
      <c r="N218" s="30"/>
      <c r="O218" s="30"/>
    </row>
    <row r="219" spans="1:15" x14ac:dyDescent="0.25">
      <c r="A219" s="10">
        <v>200</v>
      </c>
      <c r="B219" s="27">
        <f t="shared" ca="1" si="30"/>
        <v>0.41203412489051816</v>
      </c>
      <c r="C219" s="21">
        <f t="shared" ca="1" si="36"/>
        <v>241.2034124890518</v>
      </c>
      <c r="D219" s="21">
        <f t="shared" ca="1" si="31"/>
        <v>250</v>
      </c>
      <c r="E219" s="21">
        <f t="shared" ca="1" si="32"/>
        <v>8.7965875109481999</v>
      </c>
      <c r="F219" s="22">
        <f t="shared" ca="1" si="37"/>
        <v>8.7965875109481999</v>
      </c>
      <c r="G219" s="22">
        <f t="shared" ca="1" si="33"/>
        <v>0</v>
      </c>
      <c r="H219" s="31">
        <f t="shared" ca="1" si="38"/>
        <v>8.7965875109481999</v>
      </c>
      <c r="I219" s="9">
        <f t="shared" ca="1" si="34"/>
        <v>1328.817915567522</v>
      </c>
      <c r="J219" s="30">
        <f t="shared" ca="1" si="35"/>
        <v>1013.1948812664223</v>
      </c>
      <c r="K219" s="122">
        <f t="shared" ca="1" si="39"/>
        <v>315.62303430109978</v>
      </c>
      <c r="L219" s="30"/>
      <c r="M219" s="30"/>
      <c r="N219" s="30"/>
      <c r="O219" s="30"/>
    </row>
    <row r="220" spans="1:15" x14ac:dyDescent="0.25">
      <c r="A220" s="10">
        <v>201</v>
      </c>
      <c r="B220" s="27">
        <f t="shared" ca="1" si="30"/>
        <v>7.4565168306089946E-2</v>
      </c>
      <c r="C220" s="21">
        <f t="shared" ca="1" si="36"/>
        <v>207.45651683060899</v>
      </c>
      <c r="D220" s="21">
        <f t="shared" ca="1" si="31"/>
        <v>258.7965875109482</v>
      </c>
      <c r="E220" s="21">
        <f t="shared" ca="1" si="32"/>
        <v>42.54348316939101</v>
      </c>
      <c r="F220" s="22">
        <f t="shared" ca="1" si="37"/>
        <v>51.34007068033921</v>
      </c>
      <c r="G220" s="22">
        <f t="shared" ca="1" si="33"/>
        <v>0</v>
      </c>
      <c r="H220" s="31">
        <f t="shared" ca="1" si="38"/>
        <v>51.34007068033921</v>
      </c>
      <c r="I220" s="9">
        <f t="shared" ca="1" si="34"/>
        <v>1178.0364758935418</v>
      </c>
      <c r="J220" s="30">
        <f t="shared" ca="1" si="35"/>
        <v>1077.0101060205088</v>
      </c>
      <c r="K220" s="122">
        <f t="shared" ca="1" si="39"/>
        <v>101.02636987303299</v>
      </c>
      <c r="L220" s="30"/>
      <c r="M220" s="30"/>
      <c r="N220" s="30"/>
      <c r="O220" s="30"/>
    </row>
    <row r="221" spans="1:15" x14ac:dyDescent="0.25">
      <c r="A221" s="10">
        <v>202</v>
      </c>
      <c r="B221" s="27">
        <f t="shared" ca="1" si="30"/>
        <v>0.12079745614555559</v>
      </c>
      <c r="C221" s="21">
        <f t="shared" ca="1" si="36"/>
        <v>212.07974561455555</v>
      </c>
      <c r="D221" s="21">
        <f t="shared" ca="1" si="31"/>
        <v>292.54348316939104</v>
      </c>
      <c r="E221" s="21">
        <f t="shared" ca="1" si="32"/>
        <v>37.920254385444451</v>
      </c>
      <c r="F221" s="22">
        <f t="shared" ca="1" si="37"/>
        <v>80.46373755483549</v>
      </c>
      <c r="G221" s="22">
        <f t="shared" ca="1" si="33"/>
        <v>0</v>
      </c>
      <c r="H221" s="31">
        <f t="shared" ca="1" si="38"/>
        <v>80.46373755483549</v>
      </c>
      <c r="I221" s="9">
        <f t="shared" ca="1" si="34"/>
        <v>1303.5491139845897</v>
      </c>
      <c r="J221" s="30">
        <f t="shared" ca="1" si="35"/>
        <v>1120.6956063322532</v>
      </c>
      <c r="K221" s="122">
        <f t="shared" ca="1" si="39"/>
        <v>182.85350765233648</v>
      </c>
      <c r="L221" s="30"/>
      <c r="M221" s="30"/>
      <c r="N221" s="30"/>
      <c r="O221" s="30"/>
    </row>
    <row r="222" spans="1:15" x14ac:dyDescent="0.25">
      <c r="A222" s="10">
        <v>203</v>
      </c>
      <c r="B222" s="27">
        <f t="shared" ca="1" si="30"/>
        <v>3.7459795845276811E-2</v>
      </c>
      <c r="C222" s="21">
        <f t="shared" ca="1" si="36"/>
        <v>203.74597958452767</v>
      </c>
      <c r="D222" s="21">
        <f t="shared" ca="1" si="31"/>
        <v>287.92025438544442</v>
      </c>
      <c r="E222" s="21">
        <f t="shared" ca="1" si="32"/>
        <v>46.254020415472326</v>
      </c>
      <c r="F222" s="22">
        <f t="shared" ca="1" si="37"/>
        <v>84.174274800916749</v>
      </c>
      <c r="G222" s="22">
        <f t="shared" ca="1" si="33"/>
        <v>0</v>
      </c>
      <c r="H222" s="31">
        <f t="shared" ca="1" si="38"/>
        <v>84.174274800916749</v>
      </c>
      <c r="I222" s="9">
        <f t="shared" ca="1" si="34"/>
        <v>1245.9271559751035</v>
      </c>
      <c r="J222" s="30">
        <f t="shared" ca="1" si="35"/>
        <v>1126.2614122013752</v>
      </c>
      <c r="K222" s="122">
        <f t="shared" ca="1" si="39"/>
        <v>119.66574377372831</v>
      </c>
      <c r="L222" s="30"/>
      <c r="M222" s="30"/>
      <c r="N222" s="30"/>
      <c r="O222" s="30"/>
    </row>
    <row r="223" spans="1:15" x14ac:dyDescent="0.25">
      <c r="A223" s="10">
        <v>204</v>
      </c>
      <c r="B223" s="27">
        <f t="shared" ca="1" si="30"/>
        <v>5.5936368290319782E-2</v>
      </c>
      <c r="C223" s="21">
        <f t="shared" ca="1" si="36"/>
        <v>205.59363682903196</v>
      </c>
      <c r="D223" s="21">
        <f t="shared" ca="1" si="31"/>
        <v>296.25402041547233</v>
      </c>
      <c r="E223" s="21">
        <f t="shared" ca="1" si="32"/>
        <v>44.406363170968035</v>
      </c>
      <c r="F223" s="22">
        <f t="shared" ca="1" si="37"/>
        <v>90.660383586440361</v>
      </c>
      <c r="G223" s="22">
        <f t="shared" ca="1" si="33"/>
        <v>3.3668298965746715</v>
      </c>
      <c r="H223" s="31">
        <f t="shared" ca="1" si="38"/>
        <v>87.293553689865689</v>
      </c>
      <c r="I223" s="9">
        <f t="shared" ca="1" si="34"/>
        <v>1403.747254422015</v>
      </c>
      <c r="J223" s="30">
        <f t="shared" ca="1" si="35"/>
        <v>1130.9403305347985</v>
      </c>
      <c r="K223" s="122">
        <f t="shared" ca="1" si="39"/>
        <v>272.8069238872165</v>
      </c>
      <c r="L223" s="30"/>
      <c r="M223" s="30"/>
      <c r="N223" s="30"/>
      <c r="O223" s="30"/>
    </row>
    <row r="224" spans="1:15" x14ac:dyDescent="0.25">
      <c r="A224" s="10">
        <v>205</v>
      </c>
      <c r="B224" s="27">
        <f t="shared" ca="1" si="30"/>
        <v>0.53366829896574663</v>
      </c>
      <c r="C224" s="21">
        <f t="shared" ca="1" si="36"/>
        <v>253.36682989657467</v>
      </c>
      <c r="D224" s="21">
        <f t="shared" ca="1" si="31"/>
        <v>294.40636317096801</v>
      </c>
      <c r="E224" s="21">
        <f t="shared" ca="1" si="32"/>
        <v>0</v>
      </c>
      <c r="F224" s="22">
        <f t="shared" ca="1" si="37"/>
        <v>41.039533274393335</v>
      </c>
      <c r="G224" s="22">
        <f t="shared" ca="1" si="33"/>
        <v>0</v>
      </c>
      <c r="H224" s="31">
        <f t="shared" ca="1" si="38"/>
        <v>41.039533274393335</v>
      </c>
      <c r="I224" s="9">
        <f t="shared" ca="1" si="34"/>
        <v>1375</v>
      </c>
      <c r="J224" s="30">
        <f t="shared" ca="1" si="35"/>
        <v>1061.55929991159</v>
      </c>
      <c r="K224" s="122">
        <f t="shared" ca="1" si="39"/>
        <v>313.44070008841004</v>
      </c>
      <c r="L224" s="30"/>
      <c r="M224" s="30"/>
      <c r="N224" s="30"/>
      <c r="O224" s="30"/>
    </row>
    <row r="225" spans="1:15" x14ac:dyDescent="0.25">
      <c r="A225" s="10">
        <v>206</v>
      </c>
      <c r="B225" s="27">
        <f t="shared" ca="1" si="30"/>
        <v>0.38157137605975178</v>
      </c>
      <c r="C225" s="21">
        <f t="shared" ca="1" si="36"/>
        <v>238.15713760597518</v>
      </c>
      <c r="D225" s="21">
        <f t="shared" ca="1" si="31"/>
        <v>250</v>
      </c>
      <c r="E225" s="21">
        <f t="shared" ca="1" si="32"/>
        <v>11.84286239402482</v>
      </c>
      <c r="F225" s="22">
        <f t="shared" ca="1" si="37"/>
        <v>11.84286239402482</v>
      </c>
      <c r="G225" s="22">
        <f t="shared" ca="1" si="33"/>
        <v>0</v>
      </c>
      <c r="H225" s="31">
        <f t="shared" ca="1" si="38"/>
        <v>11.84286239402482</v>
      </c>
      <c r="I225" s="9">
        <f t="shared" ca="1" si="34"/>
        <v>1312.8249724313696</v>
      </c>
      <c r="J225" s="30">
        <f t="shared" ca="1" si="35"/>
        <v>1017.7642935910372</v>
      </c>
      <c r="K225" s="122">
        <f t="shared" ca="1" si="39"/>
        <v>295.06067884033234</v>
      </c>
      <c r="L225" s="30"/>
      <c r="M225" s="30"/>
      <c r="N225" s="30"/>
      <c r="O225" s="30"/>
    </row>
    <row r="226" spans="1:15" x14ac:dyDescent="0.25">
      <c r="A226" s="10">
        <v>207</v>
      </c>
      <c r="B226" s="27">
        <f t="shared" ca="1" si="30"/>
        <v>5.0072788460428397E-2</v>
      </c>
      <c r="C226" s="21">
        <f t="shared" ca="1" si="36"/>
        <v>205.00727884604285</v>
      </c>
      <c r="D226" s="21">
        <f t="shared" ca="1" si="31"/>
        <v>261.84286239402479</v>
      </c>
      <c r="E226" s="21">
        <f t="shared" ca="1" si="32"/>
        <v>44.992721153957149</v>
      </c>
      <c r="F226" s="22">
        <f t="shared" ca="1" si="37"/>
        <v>56.83558354798194</v>
      </c>
      <c r="G226" s="22">
        <f t="shared" ca="1" si="33"/>
        <v>34.957399542922872</v>
      </c>
      <c r="H226" s="31">
        <f t="shared" ca="1" si="38"/>
        <v>21.878184005059069</v>
      </c>
      <c r="I226" s="9">
        <f t="shared" ca="1" si="34"/>
        <v>1204.4227659569021</v>
      </c>
      <c r="J226" s="30">
        <f t="shared" ca="1" si="35"/>
        <v>1032.8172760075886</v>
      </c>
      <c r="K226" s="122">
        <f t="shared" ca="1" si="39"/>
        <v>171.60548994931355</v>
      </c>
      <c r="L226" s="30"/>
      <c r="M226" s="30"/>
      <c r="N226" s="30"/>
      <c r="O226" s="30"/>
    </row>
    <row r="227" spans="1:15" x14ac:dyDescent="0.25">
      <c r="A227" s="10">
        <v>208</v>
      </c>
      <c r="B227" s="27">
        <f t="shared" ca="1" si="30"/>
        <v>0.84957399542922862</v>
      </c>
      <c r="C227" s="21">
        <f t="shared" ca="1" si="36"/>
        <v>284.95739954292287</v>
      </c>
      <c r="D227" s="21">
        <f t="shared" ca="1" si="31"/>
        <v>294.99272115395718</v>
      </c>
      <c r="E227" s="21">
        <f t="shared" ca="1" si="32"/>
        <v>0</v>
      </c>
      <c r="F227" s="22">
        <f t="shared" ca="1" si="37"/>
        <v>10.035321611034306</v>
      </c>
      <c r="G227" s="22">
        <f t="shared" ca="1" si="33"/>
        <v>0</v>
      </c>
      <c r="H227" s="31">
        <f t="shared" ca="1" si="38"/>
        <v>10.035321611034306</v>
      </c>
      <c r="I227" s="9">
        <f t="shared" ca="1" si="34"/>
        <v>1375</v>
      </c>
      <c r="J227" s="30">
        <f t="shared" ca="1" si="35"/>
        <v>1015.0529824165515</v>
      </c>
      <c r="K227" s="122">
        <f t="shared" ca="1" si="39"/>
        <v>359.94701758344854</v>
      </c>
      <c r="L227" s="30"/>
      <c r="M227" s="30"/>
      <c r="N227" s="30"/>
      <c r="O227" s="30"/>
    </row>
    <row r="228" spans="1:15" x14ac:dyDescent="0.25">
      <c r="A228" s="10">
        <v>209</v>
      </c>
      <c r="B228" s="27">
        <f t="shared" ca="1" si="30"/>
        <v>0.32196066706675142</v>
      </c>
      <c r="C228" s="21">
        <f t="shared" ca="1" si="36"/>
        <v>232.19606670667514</v>
      </c>
      <c r="D228" s="21">
        <f t="shared" ca="1" si="31"/>
        <v>250</v>
      </c>
      <c r="E228" s="21">
        <f t="shared" ca="1" si="32"/>
        <v>17.80393329332486</v>
      </c>
      <c r="F228" s="22">
        <f t="shared" ca="1" si="37"/>
        <v>17.80393329332486</v>
      </c>
      <c r="G228" s="22">
        <f t="shared" ca="1" si="33"/>
        <v>0</v>
      </c>
      <c r="H228" s="31">
        <f t="shared" ca="1" si="38"/>
        <v>17.80393329332486</v>
      </c>
      <c r="I228" s="9">
        <f t="shared" ca="1" si="34"/>
        <v>1281.5293502100444</v>
      </c>
      <c r="J228" s="30">
        <f t="shared" ca="1" si="35"/>
        <v>1026.7058999399874</v>
      </c>
      <c r="K228" s="122">
        <f t="shared" ca="1" si="39"/>
        <v>254.82345027005704</v>
      </c>
      <c r="L228" s="30"/>
      <c r="M228" s="30"/>
      <c r="N228" s="30"/>
      <c r="O228" s="30"/>
    </row>
    <row r="229" spans="1:15" x14ac:dyDescent="0.25">
      <c r="A229" s="10">
        <v>210</v>
      </c>
      <c r="B229" s="27">
        <f t="shared" ca="1" si="30"/>
        <v>3.5124244265475335E-3</v>
      </c>
      <c r="C229" s="21">
        <f t="shared" ca="1" si="36"/>
        <v>200.35124244265475</v>
      </c>
      <c r="D229" s="21">
        <f t="shared" ca="1" si="31"/>
        <v>267.80393329332486</v>
      </c>
      <c r="E229" s="21">
        <f t="shared" ca="1" si="32"/>
        <v>49.648757557345249</v>
      </c>
      <c r="F229" s="22">
        <f t="shared" ca="1" si="37"/>
        <v>67.452690850670109</v>
      </c>
      <c r="G229" s="22">
        <f t="shared" ca="1" si="33"/>
        <v>0</v>
      </c>
      <c r="H229" s="31">
        <f t="shared" ca="1" si="38"/>
        <v>67.452690850670109</v>
      </c>
      <c r="I229" s="9">
        <f t="shared" ca="1" si="34"/>
        <v>1167.7558227039121</v>
      </c>
      <c r="J229" s="30">
        <f t="shared" ca="1" si="35"/>
        <v>1101.1790362760053</v>
      </c>
      <c r="K229" s="122">
        <f t="shared" ca="1" si="39"/>
        <v>66.576786427906882</v>
      </c>
      <c r="L229" s="30"/>
      <c r="M229" s="30"/>
      <c r="N229" s="30"/>
      <c r="O229" s="30"/>
    </row>
    <row r="230" spans="1:15" x14ac:dyDescent="0.25">
      <c r="A230" s="10">
        <v>211</v>
      </c>
      <c r="B230" s="27">
        <f t="shared" ca="1" si="30"/>
        <v>0.49000684711585762</v>
      </c>
      <c r="C230" s="21">
        <f t="shared" ca="1" si="36"/>
        <v>249.00068471158576</v>
      </c>
      <c r="D230" s="21">
        <f t="shared" ca="1" si="31"/>
        <v>299.64875755734522</v>
      </c>
      <c r="E230" s="21">
        <f t="shared" ca="1" si="32"/>
        <v>0.99931528841423756</v>
      </c>
      <c r="F230" s="22">
        <f t="shared" ca="1" si="37"/>
        <v>50.648072845759458</v>
      </c>
      <c r="G230" s="22">
        <f t="shared" ca="1" si="33"/>
        <v>0</v>
      </c>
      <c r="H230" s="31">
        <f t="shared" ca="1" si="38"/>
        <v>50.648072845759458</v>
      </c>
      <c r="I230" s="9">
        <f t="shared" ca="1" si="34"/>
        <v>1518.6998674078611</v>
      </c>
      <c r="J230" s="30">
        <f t="shared" ca="1" si="35"/>
        <v>1075.9721092686391</v>
      </c>
      <c r="K230" s="122">
        <f t="shared" ca="1" si="39"/>
        <v>442.72775813922203</v>
      </c>
      <c r="L230" s="30"/>
      <c r="M230" s="30"/>
      <c r="N230" s="30"/>
      <c r="O230" s="30"/>
    </row>
    <row r="231" spans="1:15" x14ac:dyDescent="0.25">
      <c r="A231" s="10">
        <v>212</v>
      </c>
      <c r="B231" s="43">
        <f t="shared" ca="1" si="30"/>
        <v>0.33464939284403639</v>
      </c>
      <c r="C231" s="44">
        <f t="shared" ca="1" si="36"/>
        <v>233.46493928440364</v>
      </c>
      <c r="D231" s="44">
        <f t="shared" ca="1" si="31"/>
        <v>250.99931528841424</v>
      </c>
      <c r="E231" s="44">
        <f t="shared" ca="1" si="32"/>
        <v>16.535060715596359</v>
      </c>
      <c r="F231" s="45">
        <f t="shared" ca="1" si="37"/>
        <v>17.534376004010596</v>
      </c>
      <c r="G231" s="45">
        <f t="shared" ca="1" si="33"/>
        <v>0</v>
      </c>
      <c r="H231" s="46">
        <f t="shared" ca="1" si="38"/>
        <v>17.534376004010596</v>
      </c>
      <c r="I231" s="1">
        <f t="shared" ca="1" si="34"/>
        <v>1291.1888771083616</v>
      </c>
      <c r="J231" s="47">
        <f t="shared" ca="1" si="35"/>
        <v>1026.301564006016</v>
      </c>
      <c r="K231" s="123">
        <f t="shared" ca="1" si="39"/>
        <v>264.88731310234562</v>
      </c>
      <c r="L231" s="30"/>
      <c r="M231" s="30"/>
      <c r="N231" s="30"/>
      <c r="O231" s="30"/>
    </row>
    <row r="232" spans="1:15" x14ac:dyDescent="0.25">
      <c r="A232" s="10">
        <v>213</v>
      </c>
      <c r="B232" s="48">
        <f t="shared" ca="1" si="30"/>
        <v>0.27713648404484537</v>
      </c>
      <c r="C232" s="49">
        <f t="shared" ca="1" si="36"/>
        <v>227.71364840448453</v>
      </c>
      <c r="D232" s="49">
        <f t="shared" ca="1" si="31"/>
        <v>266.53506071559639</v>
      </c>
      <c r="E232" s="49">
        <f t="shared" ca="1" si="32"/>
        <v>22.28635159551547</v>
      </c>
      <c r="F232" s="50">
        <f t="shared" ca="1" si="37"/>
        <v>38.821412311111857</v>
      </c>
      <c r="G232" s="50">
        <f t="shared" ca="1" si="33"/>
        <v>4.5437517113329307</v>
      </c>
      <c r="H232" s="51">
        <f t="shared" ca="1" si="38"/>
        <v>34.277660599778926</v>
      </c>
      <c r="I232" s="52">
        <f t="shared" ca="1" si="34"/>
        <v>1360.8296359228805</v>
      </c>
      <c r="J232" s="53">
        <f t="shared" ca="1" si="35"/>
        <v>1051.4164908996684</v>
      </c>
      <c r="K232" s="124">
        <f t="shared" ca="1" si="39"/>
        <v>309.41314502321211</v>
      </c>
      <c r="L232" s="30"/>
      <c r="M232" s="30"/>
      <c r="N232" s="30"/>
      <c r="O232" s="30"/>
    </row>
    <row r="233" spans="1:15" x14ac:dyDescent="0.25">
      <c r="A233" s="10">
        <v>214</v>
      </c>
      <c r="B233" s="27">
        <f t="shared" ca="1" si="30"/>
        <v>0.54543751711332922</v>
      </c>
      <c r="C233" s="21">
        <f t="shared" ca="1" si="36"/>
        <v>254.54375171133293</v>
      </c>
      <c r="D233" s="21">
        <f t="shared" ca="1" si="31"/>
        <v>272.2863515955155</v>
      </c>
      <c r="E233" s="21">
        <f t="shared" ca="1" si="32"/>
        <v>0</v>
      </c>
      <c r="F233" s="22">
        <f t="shared" ca="1" si="37"/>
        <v>17.742599884182567</v>
      </c>
      <c r="G233" s="22">
        <f t="shared" ca="1" si="33"/>
        <v>0</v>
      </c>
      <c r="H233" s="31">
        <f t="shared" ca="1" si="38"/>
        <v>17.742599884182567</v>
      </c>
      <c r="I233" s="9">
        <f t="shared" ca="1" si="34"/>
        <v>1375</v>
      </c>
      <c r="J233" s="30">
        <f t="shared" ca="1" si="35"/>
        <v>1026.6138998262738</v>
      </c>
      <c r="K233" s="122">
        <f t="shared" ca="1" si="39"/>
        <v>348.38610017372616</v>
      </c>
      <c r="L233" s="30"/>
      <c r="M233" s="30"/>
      <c r="N233" s="30"/>
      <c r="O233" s="30"/>
    </row>
    <row r="234" spans="1:15" x14ac:dyDescent="0.25">
      <c r="A234" s="10">
        <v>215</v>
      </c>
      <c r="B234" s="27">
        <f t="shared" ca="1" si="30"/>
        <v>6.6269653645761872E-2</v>
      </c>
      <c r="C234" s="21">
        <f t="shared" ca="1" si="36"/>
        <v>206.62696536457619</v>
      </c>
      <c r="D234" s="21">
        <f t="shared" ca="1" si="31"/>
        <v>250</v>
      </c>
      <c r="E234" s="21">
        <f t="shared" ca="1" si="32"/>
        <v>43.373034635423807</v>
      </c>
      <c r="F234" s="22">
        <f t="shared" ca="1" si="37"/>
        <v>43.373034635423807</v>
      </c>
      <c r="G234" s="22">
        <f t="shared" ca="1" si="33"/>
        <v>0</v>
      </c>
      <c r="H234" s="31">
        <f t="shared" ca="1" si="38"/>
        <v>43.373034635423807</v>
      </c>
      <c r="I234" s="9">
        <f t="shared" ca="1" si="34"/>
        <v>1147.2915681640252</v>
      </c>
      <c r="J234" s="30">
        <f t="shared" ca="1" si="35"/>
        <v>1065.0595519531357</v>
      </c>
      <c r="K234" s="122">
        <f t="shared" ca="1" si="39"/>
        <v>82.232016210889469</v>
      </c>
      <c r="L234" s="30"/>
      <c r="M234" s="30"/>
      <c r="N234" s="30"/>
      <c r="O234" s="30"/>
    </row>
    <row r="235" spans="1:15" x14ac:dyDescent="0.25">
      <c r="A235" s="10">
        <v>216</v>
      </c>
      <c r="B235" s="27">
        <f t="shared" ca="1" si="30"/>
        <v>2.4277418164480036E-2</v>
      </c>
      <c r="C235" s="21">
        <f t="shared" ca="1" si="36"/>
        <v>202.42774181644799</v>
      </c>
      <c r="D235" s="21">
        <f t="shared" ca="1" si="31"/>
        <v>293.37303463542378</v>
      </c>
      <c r="E235" s="21">
        <f t="shared" ca="1" si="32"/>
        <v>47.572258183552009</v>
      </c>
      <c r="F235" s="22">
        <f t="shared" ca="1" si="37"/>
        <v>90.945292818975787</v>
      </c>
      <c r="G235" s="22">
        <f t="shared" ca="1" si="33"/>
        <v>0</v>
      </c>
      <c r="H235" s="31">
        <f t="shared" ca="1" si="38"/>
        <v>90.945292818975787</v>
      </c>
      <c r="I235" s="9">
        <f t="shared" ca="1" si="34"/>
        <v>1255.3647484426233</v>
      </c>
      <c r="J235" s="30">
        <f t="shared" ca="1" si="35"/>
        <v>1136.4179392284636</v>
      </c>
      <c r="K235" s="122">
        <f t="shared" ca="1" si="39"/>
        <v>118.94680921415966</v>
      </c>
      <c r="L235" s="30"/>
      <c r="M235" s="30"/>
      <c r="N235" s="30"/>
      <c r="O235" s="30"/>
    </row>
    <row r="236" spans="1:15" x14ac:dyDescent="0.25">
      <c r="A236" s="10">
        <v>217</v>
      </c>
      <c r="B236" s="27">
        <f t="shared" ca="1" si="30"/>
        <v>4.5540351719613459E-2</v>
      </c>
      <c r="C236" s="21">
        <f t="shared" ca="1" si="36"/>
        <v>204.55403517196135</v>
      </c>
      <c r="D236" s="21">
        <f t="shared" ca="1" si="31"/>
        <v>297.57225818355198</v>
      </c>
      <c r="E236" s="21">
        <f t="shared" ca="1" si="32"/>
        <v>45.445964828038655</v>
      </c>
      <c r="F236" s="22">
        <f t="shared" ca="1" si="37"/>
        <v>93.018223011590635</v>
      </c>
      <c r="G236" s="22">
        <f t="shared" ca="1" si="33"/>
        <v>0</v>
      </c>
      <c r="H236" s="31">
        <f t="shared" ca="1" si="38"/>
        <v>93.018223011590635</v>
      </c>
      <c r="I236" s="9">
        <f t="shared" ca="1" si="34"/>
        <v>1279.1254592034531</v>
      </c>
      <c r="J236" s="30">
        <f t="shared" ca="1" si="35"/>
        <v>1139.527334517386</v>
      </c>
      <c r="K236" s="122">
        <f t="shared" ca="1" si="39"/>
        <v>139.59812468606719</v>
      </c>
      <c r="L236" s="30"/>
      <c r="M236" s="30"/>
      <c r="N236" s="30"/>
      <c r="O236" s="30"/>
    </row>
    <row r="237" spans="1:15" x14ac:dyDescent="0.25">
      <c r="A237" s="10">
        <v>218</v>
      </c>
      <c r="B237" s="27">
        <f t="shared" ca="1" si="30"/>
        <v>6.4803160601915488E-2</v>
      </c>
      <c r="C237" s="21">
        <f t="shared" ca="1" si="36"/>
        <v>206.48031606019154</v>
      </c>
      <c r="D237" s="21">
        <f t="shared" ca="1" si="31"/>
        <v>295.44596482803865</v>
      </c>
      <c r="E237" s="21">
        <f t="shared" ca="1" si="32"/>
        <v>43.519683939808459</v>
      </c>
      <c r="F237" s="22">
        <f t="shared" ca="1" si="37"/>
        <v>88.965648767847114</v>
      </c>
      <c r="G237" s="22">
        <f t="shared" ca="1" si="33"/>
        <v>0</v>
      </c>
      <c r="H237" s="31">
        <f t="shared" ca="1" si="38"/>
        <v>88.965648767847114</v>
      </c>
      <c r="I237" s="9">
        <f t="shared" ca="1" si="34"/>
        <v>1282.8595538001214</v>
      </c>
      <c r="J237" s="30">
        <f t="shared" ca="1" si="35"/>
        <v>1133.4484731517707</v>
      </c>
      <c r="K237" s="122">
        <f t="shared" ca="1" si="39"/>
        <v>149.41108064835066</v>
      </c>
      <c r="L237" s="30"/>
      <c r="M237" s="30"/>
      <c r="N237" s="30"/>
      <c r="O237" s="30"/>
    </row>
    <row r="238" spans="1:15" x14ac:dyDescent="0.25">
      <c r="A238" s="10">
        <v>219</v>
      </c>
      <c r="B238" s="27">
        <f t="shared" ca="1" si="30"/>
        <v>0.36746528199367789</v>
      </c>
      <c r="C238" s="21">
        <f t="shared" ca="1" si="36"/>
        <v>236.74652819936779</v>
      </c>
      <c r="D238" s="21">
        <f t="shared" ca="1" si="31"/>
        <v>293.51968393980849</v>
      </c>
      <c r="E238" s="21">
        <f t="shared" ca="1" si="32"/>
        <v>13.253471800632212</v>
      </c>
      <c r="F238" s="22">
        <f t="shared" ca="1" si="37"/>
        <v>56.7731557404407</v>
      </c>
      <c r="G238" s="22">
        <f t="shared" ca="1" si="33"/>
        <v>0</v>
      </c>
      <c r="H238" s="31">
        <f t="shared" ca="1" si="38"/>
        <v>56.7731557404407</v>
      </c>
      <c r="I238" s="9">
        <f t="shared" ca="1" si="34"/>
        <v>1435.978324866106</v>
      </c>
      <c r="J238" s="30">
        <f t="shared" ca="1" si="35"/>
        <v>1085.1597336106611</v>
      </c>
      <c r="K238" s="122">
        <f t="shared" ca="1" si="39"/>
        <v>350.81859125544497</v>
      </c>
      <c r="L238" s="30"/>
      <c r="M238" s="30"/>
      <c r="N238" s="30"/>
      <c r="O238" s="30"/>
    </row>
    <row r="239" spans="1:15" x14ac:dyDescent="0.25">
      <c r="A239" s="10">
        <v>220</v>
      </c>
      <c r="B239" s="27">
        <f t="shared" ca="1" si="30"/>
        <v>0.26589461203467712</v>
      </c>
      <c r="C239" s="21">
        <f t="shared" ca="1" si="36"/>
        <v>226.58946120346772</v>
      </c>
      <c r="D239" s="21">
        <f t="shared" ca="1" si="31"/>
        <v>263.25347180063221</v>
      </c>
      <c r="E239" s="21">
        <f t="shared" ca="1" si="32"/>
        <v>23.410538796532279</v>
      </c>
      <c r="F239" s="22">
        <f t="shared" ca="1" si="37"/>
        <v>36.664010597164491</v>
      </c>
      <c r="G239" s="22">
        <f t="shared" ca="1" si="33"/>
        <v>19.868079849315109</v>
      </c>
      <c r="H239" s="31">
        <f t="shared" ca="1" si="38"/>
        <v>16.795930747849383</v>
      </c>
      <c r="I239" s="9">
        <f t="shared" ca="1" si="34"/>
        <v>1302.4824635617535</v>
      </c>
      <c r="J239" s="30">
        <f t="shared" ca="1" si="35"/>
        <v>1025.1938961217741</v>
      </c>
      <c r="K239" s="122">
        <f t="shared" ca="1" si="39"/>
        <v>277.28856743997949</v>
      </c>
      <c r="L239" s="30"/>
      <c r="M239" s="30"/>
      <c r="N239" s="30"/>
      <c r="O239" s="30"/>
    </row>
    <row r="240" spans="1:15" x14ac:dyDescent="0.25">
      <c r="A240" s="10">
        <v>221</v>
      </c>
      <c r="B240" s="27">
        <f t="shared" ca="1" si="30"/>
        <v>0.69868079849315123</v>
      </c>
      <c r="C240" s="21">
        <f t="shared" ca="1" si="36"/>
        <v>269.86807984931511</v>
      </c>
      <c r="D240" s="21">
        <f t="shared" ca="1" si="31"/>
        <v>273.41053879653225</v>
      </c>
      <c r="E240" s="21">
        <f t="shared" ca="1" si="32"/>
        <v>0</v>
      </c>
      <c r="F240" s="22">
        <f t="shared" ca="1" si="37"/>
        <v>3.5424589472171419</v>
      </c>
      <c r="G240" s="22">
        <f t="shared" ca="1" si="33"/>
        <v>0</v>
      </c>
      <c r="H240" s="31">
        <f t="shared" ca="1" si="38"/>
        <v>3.5424589472171419</v>
      </c>
      <c r="I240" s="9">
        <f t="shared" ca="1" si="34"/>
        <v>1375</v>
      </c>
      <c r="J240" s="30">
        <f t="shared" ca="1" si="35"/>
        <v>1005.3136884208257</v>
      </c>
      <c r="K240" s="122">
        <f t="shared" ca="1" si="39"/>
        <v>369.68631157917434</v>
      </c>
      <c r="L240" s="30"/>
      <c r="M240" s="30"/>
      <c r="N240" s="30"/>
      <c r="O240" s="30"/>
    </row>
    <row r="241" spans="1:15" x14ac:dyDescent="0.25">
      <c r="A241" s="10">
        <v>222</v>
      </c>
      <c r="B241" s="27">
        <f t="shared" ca="1" si="30"/>
        <v>0.28571569697672305</v>
      </c>
      <c r="C241" s="21">
        <f t="shared" ca="1" si="36"/>
        <v>228.57156969767232</v>
      </c>
      <c r="D241" s="21">
        <f t="shared" ca="1" si="31"/>
        <v>250</v>
      </c>
      <c r="E241" s="21">
        <f t="shared" ca="1" si="32"/>
        <v>21.428430302327683</v>
      </c>
      <c r="F241" s="22">
        <f t="shared" ca="1" si="37"/>
        <v>21.428430302327683</v>
      </c>
      <c r="G241" s="22">
        <f t="shared" ca="1" si="33"/>
        <v>0</v>
      </c>
      <c r="H241" s="31">
        <f t="shared" ca="1" si="38"/>
        <v>21.428430302327683</v>
      </c>
      <c r="I241" s="9">
        <f t="shared" ca="1" si="34"/>
        <v>1262.5007409127797</v>
      </c>
      <c r="J241" s="30">
        <f t="shared" ca="1" si="35"/>
        <v>1032.1426454534915</v>
      </c>
      <c r="K241" s="122">
        <f t="shared" ca="1" si="39"/>
        <v>230.35809545928828</v>
      </c>
      <c r="L241" s="30"/>
      <c r="M241" s="30"/>
      <c r="N241" s="30"/>
      <c r="O241" s="30"/>
    </row>
    <row r="242" spans="1:15" x14ac:dyDescent="0.25">
      <c r="A242" s="10">
        <v>223</v>
      </c>
      <c r="B242" s="27">
        <f t="shared" ca="1" si="30"/>
        <v>0.39078259666260906</v>
      </c>
      <c r="C242" s="21">
        <f t="shared" ca="1" si="36"/>
        <v>239.07825966626092</v>
      </c>
      <c r="D242" s="21">
        <f t="shared" ca="1" si="31"/>
        <v>271.42843030232768</v>
      </c>
      <c r="E242" s="21">
        <f t="shared" ca="1" si="32"/>
        <v>10.921740333739081</v>
      </c>
      <c r="F242" s="22">
        <f t="shared" ca="1" si="37"/>
        <v>32.350170636066764</v>
      </c>
      <c r="G242" s="22">
        <f t="shared" ca="1" si="33"/>
        <v>37.009553390577139</v>
      </c>
      <c r="H242" s="31">
        <f t="shared" ca="1" si="38"/>
        <v>0</v>
      </c>
      <c r="I242" s="9">
        <f t="shared" ca="1" si="34"/>
        <v>1317.6608632478697</v>
      </c>
      <c r="J242" s="30">
        <f t="shared" ca="1" si="35"/>
        <v>1000</v>
      </c>
      <c r="K242" s="122">
        <f t="shared" ca="1" si="39"/>
        <v>317.66086324786966</v>
      </c>
      <c r="L242" s="30"/>
      <c r="M242" s="30"/>
      <c r="N242" s="30"/>
      <c r="O242" s="30"/>
    </row>
    <row r="243" spans="1:15" x14ac:dyDescent="0.25">
      <c r="A243" s="10">
        <v>224</v>
      </c>
      <c r="B243" s="27">
        <f t="shared" ca="1" si="30"/>
        <v>0.87009553390577121</v>
      </c>
      <c r="C243" s="21">
        <f t="shared" ca="1" si="36"/>
        <v>287.00955339057714</v>
      </c>
      <c r="D243" s="21">
        <f t="shared" ca="1" si="31"/>
        <v>260.92174033373908</v>
      </c>
      <c r="E243" s="21">
        <f t="shared" ca="1" si="32"/>
        <v>0</v>
      </c>
      <c r="F243" s="22">
        <f t="shared" ca="1" si="37"/>
        <v>0</v>
      </c>
      <c r="G243" s="22">
        <f t="shared" ca="1" si="33"/>
        <v>43.324642458811127</v>
      </c>
      <c r="H243" s="31">
        <f t="shared" ca="1" si="38"/>
        <v>0</v>
      </c>
      <c r="I243" s="9">
        <f t="shared" ca="1" si="34"/>
        <v>1375</v>
      </c>
      <c r="J243" s="30">
        <f t="shared" ca="1" si="35"/>
        <v>1000</v>
      </c>
      <c r="K243" s="122">
        <f t="shared" ca="1" si="39"/>
        <v>375</v>
      </c>
      <c r="L243" s="30"/>
      <c r="M243" s="30"/>
      <c r="N243" s="30"/>
      <c r="O243" s="30"/>
    </row>
    <row r="244" spans="1:15" x14ac:dyDescent="0.25">
      <c r="A244" s="10">
        <v>225</v>
      </c>
      <c r="B244" s="27">
        <f t="shared" ca="1" si="30"/>
        <v>0.93324642458811102</v>
      </c>
      <c r="C244" s="21">
        <f t="shared" ca="1" si="36"/>
        <v>293.32464245881113</v>
      </c>
      <c r="D244" s="21">
        <f t="shared" ca="1" si="31"/>
        <v>250</v>
      </c>
      <c r="E244" s="21">
        <f t="shared" ca="1" si="32"/>
        <v>0</v>
      </c>
      <c r="F244" s="22">
        <f t="shared" ca="1" si="37"/>
        <v>0</v>
      </c>
      <c r="G244" s="22">
        <f t="shared" ca="1" si="33"/>
        <v>0</v>
      </c>
      <c r="H244" s="31">
        <f t="shared" ca="1" si="38"/>
        <v>0</v>
      </c>
      <c r="I244" s="9">
        <f t="shared" ca="1" si="34"/>
        <v>1375</v>
      </c>
      <c r="J244" s="30">
        <f t="shared" ca="1" si="35"/>
        <v>1000</v>
      </c>
      <c r="K244" s="122">
        <f t="shared" ca="1" si="39"/>
        <v>375</v>
      </c>
      <c r="L244" s="30"/>
      <c r="M244" s="30"/>
      <c r="N244" s="30"/>
      <c r="O244" s="30"/>
    </row>
    <row r="245" spans="1:15" x14ac:dyDescent="0.25">
      <c r="A245" s="10">
        <v>226</v>
      </c>
      <c r="B245" s="27">
        <f t="shared" ca="1" si="30"/>
        <v>0.1377657186262623</v>
      </c>
      <c r="C245" s="21">
        <f t="shared" ca="1" si="36"/>
        <v>213.77657186262624</v>
      </c>
      <c r="D245" s="21">
        <f t="shared" ca="1" si="31"/>
        <v>250</v>
      </c>
      <c r="E245" s="21">
        <f t="shared" ca="1" si="32"/>
        <v>36.223428137373759</v>
      </c>
      <c r="F245" s="22">
        <f t="shared" ca="1" si="37"/>
        <v>36.223428137373759</v>
      </c>
      <c r="G245" s="22">
        <f t="shared" ca="1" si="33"/>
        <v>10.054883770686956</v>
      </c>
      <c r="H245" s="31">
        <f t="shared" ca="1" si="38"/>
        <v>26.168544366686803</v>
      </c>
      <c r="I245" s="9">
        <f t="shared" ca="1" si="34"/>
        <v>1263.3326353788482</v>
      </c>
      <c r="J245" s="30">
        <f t="shared" ca="1" si="35"/>
        <v>1039.2528165500303</v>
      </c>
      <c r="K245" s="122">
        <f t="shared" ca="1" si="39"/>
        <v>224.07981882881791</v>
      </c>
      <c r="L245" s="30"/>
      <c r="M245" s="30"/>
      <c r="N245" s="30"/>
      <c r="O245" s="30"/>
    </row>
    <row r="246" spans="1:15" x14ac:dyDescent="0.25">
      <c r="A246" s="10">
        <v>227</v>
      </c>
      <c r="B246" s="27">
        <f t="shared" ca="1" si="30"/>
        <v>0.60054883770686973</v>
      </c>
      <c r="C246" s="21">
        <f t="shared" ca="1" si="36"/>
        <v>260.05488377068696</v>
      </c>
      <c r="D246" s="21">
        <f t="shared" ca="1" si="31"/>
        <v>286.22342813737373</v>
      </c>
      <c r="E246" s="21">
        <f t="shared" ca="1" si="32"/>
        <v>0</v>
      </c>
      <c r="F246" s="22">
        <f t="shared" ca="1" si="37"/>
        <v>26.168544366686774</v>
      </c>
      <c r="G246" s="22">
        <f t="shared" ca="1" si="33"/>
        <v>0</v>
      </c>
      <c r="H246" s="31">
        <f t="shared" ca="1" si="38"/>
        <v>26.168544366686774</v>
      </c>
      <c r="I246" s="9">
        <f t="shared" ca="1" si="34"/>
        <v>1375</v>
      </c>
      <c r="J246" s="30">
        <f t="shared" ca="1" si="35"/>
        <v>1039.2528165500303</v>
      </c>
      <c r="K246" s="122">
        <f t="shared" ca="1" si="39"/>
        <v>335.74718344996973</v>
      </c>
      <c r="L246" s="30"/>
      <c r="M246" s="30"/>
      <c r="N246" s="30"/>
      <c r="O246" s="30"/>
    </row>
    <row r="247" spans="1:15" x14ac:dyDescent="0.25">
      <c r="A247" s="10">
        <v>228</v>
      </c>
      <c r="B247" s="27">
        <f t="shared" ca="1" si="30"/>
        <v>0.22608193974817925</v>
      </c>
      <c r="C247" s="21">
        <f t="shared" ca="1" si="36"/>
        <v>222.60819397481794</v>
      </c>
      <c r="D247" s="21">
        <f t="shared" ca="1" si="31"/>
        <v>250</v>
      </c>
      <c r="E247" s="21">
        <f t="shared" ca="1" si="32"/>
        <v>27.391806025182063</v>
      </c>
      <c r="F247" s="22">
        <f t="shared" ca="1" si="37"/>
        <v>27.391806025182063</v>
      </c>
      <c r="G247" s="22">
        <f t="shared" ca="1" si="33"/>
        <v>0</v>
      </c>
      <c r="H247" s="31">
        <f t="shared" ca="1" si="38"/>
        <v>27.391806025182063</v>
      </c>
      <c r="I247" s="9">
        <f t="shared" ca="1" si="34"/>
        <v>1231.1930183677941</v>
      </c>
      <c r="J247" s="30">
        <f t="shared" ca="1" si="35"/>
        <v>1041.087709037773</v>
      </c>
      <c r="K247" s="122">
        <f t="shared" ca="1" si="39"/>
        <v>190.1053093300211</v>
      </c>
      <c r="L247" s="30"/>
      <c r="M247" s="30"/>
      <c r="N247" s="30"/>
      <c r="O247" s="30"/>
    </row>
    <row r="248" spans="1:15" x14ac:dyDescent="0.25">
      <c r="A248" s="10">
        <v>229</v>
      </c>
      <c r="B248" s="27">
        <f t="shared" ca="1" si="30"/>
        <v>0.28068931670594899</v>
      </c>
      <c r="C248" s="21">
        <f t="shared" ca="1" si="36"/>
        <v>228.06893167059491</v>
      </c>
      <c r="D248" s="21">
        <f t="shared" ca="1" si="31"/>
        <v>277.39180602518206</v>
      </c>
      <c r="E248" s="21">
        <f t="shared" ca="1" si="32"/>
        <v>21.931068329405093</v>
      </c>
      <c r="F248" s="22">
        <f t="shared" ca="1" si="37"/>
        <v>49.322874354587157</v>
      </c>
      <c r="G248" s="22">
        <f t="shared" ca="1" si="33"/>
        <v>0</v>
      </c>
      <c r="H248" s="31">
        <f t="shared" ca="1" si="38"/>
        <v>49.322874354587157</v>
      </c>
      <c r="I248" s="9">
        <f t="shared" ca="1" si="34"/>
        <v>1342.0373093461694</v>
      </c>
      <c r="J248" s="30">
        <f t="shared" ca="1" si="35"/>
        <v>1073.9843115318808</v>
      </c>
      <c r="K248" s="122">
        <f t="shared" ca="1" si="39"/>
        <v>268.05299781428857</v>
      </c>
      <c r="L248" s="30"/>
      <c r="M248" s="30"/>
      <c r="N248" s="30"/>
      <c r="O248" s="30"/>
    </row>
    <row r="249" spans="1:15" x14ac:dyDescent="0.25">
      <c r="A249" s="10">
        <v>230</v>
      </c>
      <c r="B249" s="27">
        <f t="shared" ca="1" si="30"/>
        <v>0.26866675549667707</v>
      </c>
      <c r="C249" s="21">
        <f t="shared" ca="1" si="36"/>
        <v>226.86667554966772</v>
      </c>
      <c r="D249" s="21">
        <f t="shared" ca="1" si="31"/>
        <v>271.93106832940509</v>
      </c>
      <c r="E249" s="21">
        <f t="shared" ca="1" si="32"/>
        <v>23.133324450332282</v>
      </c>
      <c r="F249" s="22">
        <f t="shared" ca="1" si="37"/>
        <v>45.064392779737375</v>
      </c>
      <c r="G249" s="22">
        <f t="shared" ca="1" si="33"/>
        <v>13.276857105899808</v>
      </c>
      <c r="H249" s="31">
        <f t="shared" ca="1" si="38"/>
        <v>31.787535673837567</v>
      </c>
      <c r="I249" s="9">
        <f t="shared" ca="1" si="34"/>
        <v>1348.9126536572683</v>
      </c>
      <c r="J249" s="30">
        <f t="shared" ca="1" si="35"/>
        <v>1047.6813035107564</v>
      </c>
      <c r="K249" s="122">
        <f t="shared" ca="1" si="39"/>
        <v>301.23135014651189</v>
      </c>
      <c r="L249" s="30"/>
      <c r="M249" s="30"/>
      <c r="N249" s="30"/>
      <c r="O249" s="30"/>
    </row>
    <row r="250" spans="1:15" x14ac:dyDescent="0.25">
      <c r="A250" s="10">
        <v>231</v>
      </c>
      <c r="B250" s="27">
        <f t="shared" ca="1" si="30"/>
        <v>0.63276857105899798</v>
      </c>
      <c r="C250" s="21">
        <f t="shared" ca="1" si="36"/>
        <v>263.27685710589981</v>
      </c>
      <c r="D250" s="21">
        <f t="shared" ca="1" si="31"/>
        <v>273.13332445033228</v>
      </c>
      <c r="E250" s="21">
        <f t="shared" ca="1" si="32"/>
        <v>0</v>
      </c>
      <c r="F250" s="22">
        <f t="shared" ca="1" si="37"/>
        <v>9.856467344432474</v>
      </c>
      <c r="G250" s="22">
        <f t="shared" ca="1" si="33"/>
        <v>0</v>
      </c>
      <c r="H250" s="31">
        <f t="shared" ca="1" si="38"/>
        <v>9.856467344432474</v>
      </c>
      <c r="I250" s="9">
        <f t="shared" ca="1" si="34"/>
        <v>1375</v>
      </c>
      <c r="J250" s="30">
        <f t="shared" ca="1" si="35"/>
        <v>1014.7847010166487</v>
      </c>
      <c r="K250" s="122">
        <f t="shared" ca="1" si="39"/>
        <v>360.21529898335132</v>
      </c>
      <c r="L250" s="30"/>
      <c r="M250" s="30"/>
      <c r="N250" s="30"/>
      <c r="O250" s="30"/>
    </row>
    <row r="251" spans="1:15" x14ac:dyDescent="0.25">
      <c r="A251" s="10">
        <v>232</v>
      </c>
      <c r="B251" s="27">
        <f t="shared" ca="1" si="30"/>
        <v>1.0363341422528372E-2</v>
      </c>
      <c r="C251" s="21">
        <f t="shared" ca="1" si="36"/>
        <v>201.03633414225283</v>
      </c>
      <c r="D251" s="21">
        <f t="shared" ca="1" si="31"/>
        <v>250</v>
      </c>
      <c r="E251" s="21">
        <f t="shared" ca="1" si="32"/>
        <v>48.963665857747174</v>
      </c>
      <c r="F251" s="22">
        <f t="shared" ca="1" si="37"/>
        <v>48.963665857747174</v>
      </c>
      <c r="G251" s="22">
        <f t="shared" ca="1" si="33"/>
        <v>20.593712017151233</v>
      </c>
      <c r="H251" s="31">
        <f t="shared" ca="1" si="38"/>
        <v>28.36995384059594</v>
      </c>
      <c r="I251" s="9">
        <f t="shared" ca="1" si="34"/>
        <v>1203.0506157686154</v>
      </c>
      <c r="J251" s="30">
        <f t="shared" ca="1" si="35"/>
        <v>1042.554930760894</v>
      </c>
      <c r="K251" s="122">
        <f t="shared" ca="1" si="39"/>
        <v>160.49568500772148</v>
      </c>
      <c r="L251" s="30"/>
      <c r="M251" s="30"/>
      <c r="N251" s="30"/>
      <c r="O251" s="30"/>
    </row>
    <row r="252" spans="1:15" x14ac:dyDescent="0.25">
      <c r="A252" s="10">
        <v>233</v>
      </c>
      <c r="B252" s="27">
        <f t="shared" ca="1" si="30"/>
        <v>0.70593712017151222</v>
      </c>
      <c r="C252" s="21">
        <f t="shared" ca="1" si="36"/>
        <v>270.59371201715123</v>
      </c>
      <c r="D252" s="21">
        <f t="shared" ca="1" si="31"/>
        <v>298.96366585774717</v>
      </c>
      <c r="E252" s="21">
        <f t="shared" ca="1" si="32"/>
        <v>0</v>
      </c>
      <c r="F252" s="22">
        <f t="shared" ca="1" si="37"/>
        <v>28.36995384059594</v>
      </c>
      <c r="G252" s="22">
        <f t="shared" ca="1" si="33"/>
        <v>0</v>
      </c>
      <c r="H252" s="31">
        <f t="shared" ca="1" si="38"/>
        <v>28.36995384059594</v>
      </c>
      <c r="I252" s="9">
        <f t="shared" ca="1" si="34"/>
        <v>1375</v>
      </c>
      <c r="J252" s="30">
        <f t="shared" ca="1" si="35"/>
        <v>1042.554930760894</v>
      </c>
      <c r="K252" s="122">
        <f t="shared" ca="1" si="39"/>
        <v>332.44506923910603</v>
      </c>
      <c r="L252" s="30"/>
      <c r="M252" s="30"/>
      <c r="N252" s="30"/>
      <c r="O252" s="30"/>
    </row>
    <row r="253" spans="1:15" x14ac:dyDescent="0.25">
      <c r="A253" s="10">
        <v>234</v>
      </c>
      <c r="B253" s="27">
        <f t="shared" ca="1" si="30"/>
        <v>0.25045406221634425</v>
      </c>
      <c r="C253" s="21">
        <f t="shared" ca="1" si="36"/>
        <v>225.04540622163444</v>
      </c>
      <c r="D253" s="21">
        <f t="shared" ca="1" si="31"/>
        <v>250</v>
      </c>
      <c r="E253" s="21">
        <f t="shared" ca="1" si="32"/>
        <v>24.954593778365563</v>
      </c>
      <c r="F253" s="22">
        <f t="shared" ca="1" si="37"/>
        <v>24.954593778365563</v>
      </c>
      <c r="G253" s="22">
        <f t="shared" ca="1" si="33"/>
        <v>13.538051788001496</v>
      </c>
      <c r="H253" s="31">
        <f t="shared" ca="1" si="38"/>
        <v>11.416541990364067</v>
      </c>
      <c r="I253" s="9">
        <f t="shared" ca="1" si="34"/>
        <v>1278.2380086346732</v>
      </c>
      <c r="J253" s="30">
        <f t="shared" ca="1" si="35"/>
        <v>1017.1248129855461</v>
      </c>
      <c r="K253" s="122">
        <f t="shared" ca="1" si="39"/>
        <v>261.11319564912708</v>
      </c>
      <c r="L253" s="30"/>
      <c r="M253" s="30"/>
      <c r="N253" s="30"/>
      <c r="O253" s="30"/>
    </row>
    <row r="254" spans="1:15" x14ac:dyDescent="0.25">
      <c r="A254" s="10">
        <v>235</v>
      </c>
      <c r="B254" s="27">
        <f t="shared" ca="1" si="30"/>
        <v>0.63538051788001515</v>
      </c>
      <c r="C254" s="21">
        <f t="shared" ca="1" si="36"/>
        <v>263.5380517880015</v>
      </c>
      <c r="D254" s="21">
        <f t="shared" ca="1" si="31"/>
        <v>274.95459377836556</v>
      </c>
      <c r="E254" s="21">
        <f t="shared" ca="1" si="32"/>
        <v>0</v>
      </c>
      <c r="F254" s="22">
        <f t="shared" ca="1" si="37"/>
        <v>11.416541990364067</v>
      </c>
      <c r="G254" s="22">
        <f t="shared" ca="1" si="33"/>
        <v>0</v>
      </c>
      <c r="H254" s="31">
        <f t="shared" ca="1" si="38"/>
        <v>11.416541990364067</v>
      </c>
      <c r="I254" s="9">
        <f t="shared" ca="1" si="34"/>
        <v>1375</v>
      </c>
      <c r="J254" s="30">
        <f t="shared" ca="1" si="35"/>
        <v>1017.1248129855461</v>
      </c>
      <c r="K254" s="122">
        <f t="shared" ca="1" si="39"/>
        <v>357.8751870144539</v>
      </c>
      <c r="L254" s="30"/>
      <c r="M254" s="30"/>
      <c r="N254" s="30"/>
      <c r="O254" s="30"/>
    </row>
    <row r="255" spans="1:15" x14ac:dyDescent="0.25">
      <c r="A255" s="10">
        <v>236</v>
      </c>
      <c r="B255" s="27">
        <f t="shared" ca="1" si="30"/>
        <v>0.24583811699947822</v>
      </c>
      <c r="C255" s="21">
        <f t="shared" ca="1" si="36"/>
        <v>224.58381169994783</v>
      </c>
      <c r="D255" s="21">
        <f t="shared" ca="1" si="31"/>
        <v>250</v>
      </c>
      <c r="E255" s="21">
        <f t="shared" ca="1" si="32"/>
        <v>25.41618830005217</v>
      </c>
      <c r="F255" s="22">
        <f t="shared" ca="1" si="37"/>
        <v>25.41618830005217</v>
      </c>
      <c r="G255" s="22">
        <f t="shared" ca="1" si="33"/>
        <v>38.034611434777673</v>
      </c>
      <c r="H255" s="31">
        <f t="shared" ca="1" si="38"/>
        <v>0</v>
      </c>
      <c r="I255" s="9">
        <f t="shared" ca="1" si="34"/>
        <v>1241.5650114247262</v>
      </c>
      <c r="J255" s="30">
        <f t="shared" ca="1" si="35"/>
        <v>1000</v>
      </c>
      <c r="K255" s="122">
        <f t="shared" ca="1" si="39"/>
        <v>241.56501142472621</v>
      </c>
      <c r="L255" s="30"/>
      <c r="M255" s="30"/>
      <c r="N255" s="30"/>
      <c r="O255" s="30"/>
    </row>
    <row r="256" spans="1:15" x14ac:dyDescent="0.25">
      <c r="A256" s="10">
        <v>237</v>
      </c>
      <c r="B256" s="27">
        <f t="shared" ca="1" si="30"/>
        <v>0.88034611434777654</v>
      </c>
      <c r="C256" s="21">
        <f t="shared" ca="1" si="36"/>
        <v>288.03461143477767</v>
      </c>
      <c r="D256" s="21">
        <f t="shared" ca="1" si="31"/>
        <v>275.41618830005217</v>
      </c>
      <c r="E256" s="21">
        <f t="shared" ca="1" si="32"/>
        <v>0</v>
      </c>
      <c r="F256" s="22">
        <f t="shared" ca="1" si="37"/>
        <v>0</v>
      </c>
      <c r="G256" s="22">
        <f t="shared" ca="1" si="33"/>
        <v>0</v>
      </c>
      <c r="H256" s="31">
        <f t="shared" ca="1" si="38"/>
        <v>0</v>
      </c>
      <c r="I256" s="9">
        <f t="shared" ca="1" si="34"/>
        <v>1375</v>
      </c>
      <c r="J256" s="30">
        <f t="shared" ca="1" si="35"/>
        <v>1000</v>
      </c>
      <c r="K256" s="122">
        <f t="shared" ca="1" si="39"/>
        <v>375</v>
      </c>
      <c r="L256" s="30"/>
      <c r="M256" s="30"/>
      <c r="N256" s="30"/>
      <c r="O256" s="30"/>
    </row>
    <row r="257" spans="1:15" x14ac:dyDescent="0.25">
      <c r="A257" s="10">
        <v>238</v>
      </c>
      <c r="B257" s="27">
        <f t="shared" ca="1" si="30"/>
        <v>0.19180828358422652</v>
      </c>
      <c r="C257" s="21">
        <f t="shared" ca="1" si="36"/>
        <v>219.18082835842264</v>
      </c>
      <c r="D257" s="21">
        <f t="shared" ca="1" si="31"/>
        <v>250</v>
      </c>
      <c r="E257" s="21">
        <f t="shared" ca="1" si="32"/>
        <v>30.819171641577356</v>
      </c>
      <c r="F257" s="22">
        <f t="shared" ca="1" si="37"/>
        <v>30.819171641577356</v>
      </c>
      <c r="G257" s="22">
        <f t="shared" ca="1" si="33"/>
        <v>0.45917249032771679</v>
      </c>
      <c r="H257" s="31">
        <f t="shared" ca="1" si="38"/>
        <v>30.359999151249639</v>
      </c>
      <c r="I257" s="9">
        <f t="shared" ca="1" si="34"/>
        <v>1304.2793463354681</v>
      </c>
      <c r="J257" s="30">
        <f t="shared" ca="1" si="35"/>
        <v>1045.5399987268745</v>
      </c>
      <c r="K257" s="122">
        <f t="shared" ca="1" si="39"/>
        <v>258.73934760859356</v>
      </c>
      <c r="L257" s="30"/>
      <c r="M257" s="30"/>
      <c r="N257" s="30"/>
      <c r="O257" s="30"/>
    </row>
    <row r="258" spans="1:15" x14ac:dyDescent="0.25">
      <c r="A258" s="10">
        <v>239</v>
      </c>
      <c r="B258" s="27">
        <f t="shared" ca="1" si="30"/>
        <v>0.50459172490327719</v>
      </c>
      <c r="C258" s="21">
        <f t="shared" ca="1" si="36"/>
        <v>250.45917249032772</v>
      </c>
      <c r="D258" s="21">
        <f t="shared" ca="1" si="31"/>
        <v>280.81917164157733</v>
      </c>
      <c r="E258" s="21">
        <f t="shared" ca="1" si="32"/>
        <v>0</v>
      </c>
      <c r="F258" s="22">
        <f t="shared" ca="1" si="37"/>
        <v>30.35999915124961</v>
      </c>
      <c r="G258" s="22">
        <f t="shared" ca="1" si="33"/>
        <v>49.901583819028474</v>
      </c>
      <c r="H258" s="31">
        <f t="shared" ca="1" si="38"/>
        <v>0</v>
      </c>
      <c r="I258" s="9">
        <f t="shared" ca="1" si="34"/>
        <v>1375</v>
      </c>
      <c r="J258" s="30">
        <f t="shared" ca="1" si="35"/>
        <v>1000</v>
      </c>
      <c r="K258" s="122">
        <f t="shared" ca="1" si="39"/>
        <v>375</v>
      </c>
      <c r="L258" s="30"/>
      <c r="M258" s="30"/>
      <c r="N258" s="30"/>
      <c r="O258" s="30"/>
    </row>
    <row r="259" spans="1:15" x14ac:dyDescent="0.25">
      <c r="A259" s="10">
        <v>240</v>
      </c>
      <c r="B259" s="27">
        <f t="shared" ca="1" si="30"/>
        <v>0.99901583819028472</v>
      </c>
      <c r="C259" s="21">
        <f t="shared" ca="1" si="36"/>
        <v>299.90158381902847</v>
      </c>
      <c r="D259" s="21">
        <f t="shared" ca="1" si="31"/>
        <v>250</v>
      </c>
      <c r="E259" s="21">
        <f t="shared" ca="1" si="32"/>
        <v>0</v>
      </c>
      <c r="F259" s="22">
        <f t="shared" ca="1" si="37"/>
        <v>0</v>
      </c>
      <c r="G259" s="22">
        <f t="shared" ca="1" si="33"/>
        <v>0</v>
      </c>
      <c r="H259" s="31">
        <f t="shared" ca="1" si="38"/>
        <v>0</v>
      </c>
      <c r="I259" s="9">
        <f t="shared" ca="1" si="34"/>
        <v>1375</v>
      </c>
      <c r="J259" s="30">
        <f t="shared" ca="1" si="35"/>
        <v>1000</v>
      </c>
      <c r="K259" s="122">
        <f t="shared" ca="1" si="39"/>
        <v>375</v>
      </c>
      <c r="L259" s="30"/>
      <c r="M259" s="30"/>
      <c r="N259" s="30"/>
      <c r="O259" s="30"/>
    </row>
    <row r="260" spans="1:15" x14ac:dyDescent="0.25">
      <c r="A260" s="10">
        <v>241</v>
      </c>
      <c r="B260" s="27">
        <f t="shared" ca="1" si="30"/>
        <v>4.4961486986738519E-2</v>
      </c>
      <c r="C260" s="21">
        <f t="shared" ca="1" si="36"/>
        <v>204.49614869867386</v>
      </c>
      <c r="D260" s="21">
        <f t="shared" ca="1" si="31"/>
        <v>250</v>
      </c>
      <c r="E260" s="21">
        <f t="shared" ca="1" si="32"/>
        <v>45.503851301326137</v>
      </c>
      <c r="F260" s="22">
        <f t="shared" ca="1" si="37"/>
        <v>45.503851301326137</v>
      </c>
      <c r="G260" s="22">
        <f t="shared" ca="1" si="33"/>
        <v>8.3199980314526556</v>
      </c>
      <c r="H260" s="31">
        <f t="shared" ca="1" si="38"/>
        <v>37.183853269873481</v>
      </c>
      <c r="I260" s="9">
        <f t="shared" ca="1" si="34"/>
        <v>1247.6563404776582</v>
      </c>
      <c r="J260" s="30">
        <f t="shared" ca="1" si="35"/>
        <v>1055.7757799048102</v>
      </c>
      <c r="K260" s="122">
        <f t="shared" ca="1" si="39"/>
        <v>191.88056057284803</v>
      </c>
      <c r="L260" s="30"/>
      <c r="M260" s="30"/>
      <c r="N260" s="30"/>
      <c r="O260" s="30"/>
    </row>
    <row r="261" spans="1:15" x14ac:dyDescent="0.25">
      <c r="A261" s="10">
        <v>242</v>
      </c>
      <c r="B261" s="27">
        <f t="shared" ca="1" si="30"/>
        <v>0.58319998031452625</v>
      </c>
      <c r="C261" s="21">
        <f t="shared" ca="1" si="36"/>
        <v>258.31999803145266</v>
      </c>
      <c r="D261" s="21">
        <f t="shared" ca="1" si="31"/>
        <v>295.50385130132611</v>
      </c>
      <c r="E261" s="21">
        <f t="shared" ca="1" si="32"/>
        <v>0</v>
      </c>
      <c r="F261" s="22">
        <f t="shared" ca="1" si="37"/>
        <v>37.183853269873453</v>
      </c>
      <c r="G261" s="22">
        <f t="shared" ca="1" si="33"/>
        <v>34.392387582059712</v>
      </c>
      <c r="H261" s="31">
        <f t="shared" ca="1" si="38"/>
        <v>2.7914656878137407</v>
      </c>
      <c r="I261" s="9">
        <f t="shared" ca="1" si="34"/>
        <v>1375</v>
      </c>
      <c r="J261" s="30">
        <f t="shared" ca="1" si="35"/>
        <v>1004.1871985317206</v>
      </c>
      <c r="K261" s="122">
        <f t="shared" ca="1" si="39"/>
        <v>370.81280146827942</v>
      </c>
      <c r="L261" s="30"/>
      <c r="M261" s="30"/>
      <c r="N261" s="30"/>
      <c r="O261" s="30"/>
    </row>
    <row r="262" spans="1:15" x14ac:dyDescent="0.25">
      <c r="A262" s="10">
        <v>243</v>
      </c>
      <c r="B262" s="27">
        <f t="shared" ca="1" si="30"/>
        <v>0.84392387582059702</v>
      </c>
      <c r="C262" s="21">
        <f t="shared" ca="1" si="36"/>
        <v>284.39238758205971</v>
      </c>
      <c r="D262" s="21">
        <f t="shared" ca="1" si="31"/>
        <v>250</v>
      </c>
      <c r="E262" s="21">
        <f t="shared" ca="1" si="32"/>
        <v>0</v>
      </c>
      <c r="F262" s="22">
        <f t="shared" ca="1" si="37"/>
        <v>0</v>
      </c>
      <c r="G262" s="22">
        <f t="shared" ca="1" si="33"/>
        <v>0</v>
      </c>
      <c r="H262" s="31">
        <f t="shared" ca="1" si="38"/>
        <v>0</v>
      </c>
      <c r="I262" s="9">
        <f t="shared" ca="1" si="34"/>
        <v>1375</v>
      </c>
      <c r="J262" s="30">
        <f t="shared" ca="1" si="35"/>
        <v>1000</v>
      </c>
      <c r="K262" s="122">
        <f t="shared" ca="1" si="39"/>
        <v>375</v>
      </c>
      <c r="L262" s="30"/>
      <c r="M262" s="30"/>
      <c r="N262" s="30"/>
      <c r="O262" s="30"/>
    </row>
    <row r="263" spans="1:15" x14ac:dyDescent="0.25">
      <c r="A263" s="10">
        <v>244</v>
      </c>
      <c r="B263" s="27">
        <f t="shared" ca="1" si="30"/>
        <v>0.1163169744203324</v>
      </c>
      <c r="C263" s="21">
        <f t="shared" ca="1" si="36"/>
        <v>211.63169744203324</v>
      </c>
      <c r="D263" s="21">
        <f t="shared" ca="1" si="31"/>
        <v>250</v>
      </c>
      <c r="E263" s="21">
        <f t="shared" ca="1" si="32"/>
        <v>38.368302557966757</v>
      </c>
      <c r="F263" s="22">
        <f t="shared" ca="1" si="37"/>
        <v>38.368302557966757</v>
      </c>
      <c r="G263" s="22">
        <f t="shared" ca="1" si="33"/>
        <v>0</v>
      </c>
      <c r="H263" s="31">
        <f t="shared" ca="1" si="38"/>
        <v>38.368302557966757</v>
      </c>
      <c r="I263" s="9">
        <f t="shared" ca="1" si="34"/>
        <v>1173.5664115706745</v>
      </c>
      <c r="J263" s="30">
        <f t="shared" ca="1" si="35"/>
        <v>1057.5524538369502</v>
      </c>
      <c r="K263" s="122">
        <f t="shared" ca="1" si="39"/>
        <v>116.01395773372428</v>
      </c>
      <c r="L263" s="30"/>
      <c r="M263" s="30"/>
      <c r="N263" s="30"/>
      <c r="O263" s="30"/>
    </row>
    <row r="264" spans="1:15" x14ac:dyDescent="0.25">
      <c r="A264" s="10">
        <v>245</v>
      </c>
      <c r="B264" s="43">
        <f t="shared" ca="1" si="30"/>
        <v>0.34549051479426163</v>
      </c>
      <c r="C264" s="44">
        <f t="shared" ca="1" si="36"/>
        <v>234.54905147942617</v>
      </c>
      <c r="D264" s="44">
        <f t="shared" ca="1" si="31"/>
        <v>288.36830255796679</v>
      </c>
      <c r="E264" s="44">
        <f t="shared" ca="1" si="32"/>
        <v>15.450948520573832</v>
      </c>
      <c r="F264" s="45">
        <f t="shared" ca="1" si="37"/>
        <v>53.819251078540617</v>
      </c>
      <c r="G264" s="45">
        <f t="shared" ca="1" si="33"/>
        <v>0</v>
      </c>
      <c r="H264" s="46">
        <f t="shared" ca="1" si="38"/>
        <v>53.819251078540617</v>
      </c>
      <c r="I264" s="1">
        <f t="shared" ca="1" si="34"/>
        <v>1408.9874279408875</v>
      </c>
      <c r="J264" s="47">
        <f t="shared" ca="1" si="35"/>
        <v>1080.728876617811</v>
      </c>
      <c r="K264" s="123">
        <f t="shared" ca="1" si="39"/>
        <v>328.25855132307652</v>
      </c>
      <c r="L264" s="30"/>
      <c r="M264" s="30"/>
      <c r="N264" s="30"/>
      <c r="O264" s="30"/>
    </row>
    <row r="265" spans="1:15" x14ac:dyDescent="0.25">
      <c r="A265" s="10">
        <v>246</v>
      </c>
      <c r="B265" s="48">
        <f t="shared" ca="1" si="30"/>
        <v>2.88224575802144E-2</v>
      </c>
      <c r="C265" s="49">
        <f t="shared" ca="1" si="36"/>
        <v>202.88224575802144</v>
      </c>
      <c r="D265" s="49">
        <f t="shared" ca="1" si="31"/>
        <v>265.45094852057383</v>
      </c>
      <c r="E265" s="49">
        <f t="shared" ca="1" si="32"/>
        <v>47.11775424197856</v>
      </c>
      <c r="F265" s="50">
        <f t="shared" ca="1" si="37"/>
        <v>62.568702762552391</v>
      </c>
      <c r="G265" s="50">
        <f t="shared" ca="1" si="33"/>
        <v>0</v>
      </c>
      <c r="H265" s="51">
        <f t="shared" ca="1" si="38"/>
        <v>62.568702762552391</v>
      </c>
      <c r="I265" s="52">
        <f t="shared" ca="1" si="34"/>
        <v>1173.9846357913341</v>
      </c>
      <c r="J265" s="53">
        <f t="shared" ca="1" si="35"/>
        <v>1093.8530541438286</v>
      </c>
      <c r="K265" s="124">
        <f t="shared" ca="1" si="39"/>
        <v>80.131581647505527</v>
      </c>
      <c r="L265" s="30"/>
      <c r="M265" s="30"/>
      <c r="N265" s="30"/>
      <c r="O265" s="30"/>
    </row>
    <row r="266" spans="1:15" x14ac:dyDescent="0.25">
      <c r="A266" s="10">
        <v>247</v>
      </c>
      <c r="B266" s="27">
        <f t="shared" ca="1" si="30"/>
        <v>0.41634616853897</v>
      </c>
      <c r="C266" s="21">
        <f t="shared" ca="1" si="36"/>
        <v>241.634616853897</v>
      </c>
      <c r="D266" s="21">
        <f t="shared" ca="1" si="31"/>
        <v>297.11775424197856</v>
      </c>
      <c r="E266" s="21">
        <f t="shared" ca="1" si="32"/>
        <v>8.3653831461029995</v>
      </c>
      <c r="F266" s="22">
        <f t="shared" ca="1" si="37"/>
        <v>55.483137388081559</v>
      </c>
      <c r="G266" s="22">
        <f t="shared" ca="1" si="33"/>
        <v>0</v>
      </c>
      <c r="H266" s="31">
        <f t="shared" ca="1" si="38"/>
        <v>55.483137388081559</v>
      </c>
      <c r="I266" s="9">
        <f t="shared" ca="1" si="34"/>
        <v>1472.4350012088948</v>
      </c>
      <c r="J266" s="30">
        <f t="shared" ca="1" si="35"/>
        <v>1083.2247060821223</v>
      </c>
      <c r="K266" s="122">
        <f t="shared" ca="1" si="39"/>
        <v>389.21029512677251</v>
      </c>
      <c r="L266" s="30"/>
      <c r="M266" s="30"/>
      <c r="N266" s="30"/>
      <c r="O266" s="30"/>
    </row>
    <row r="267" spans="1:15" x14ac:dyDescent="0.25">
      <c r="A267" s="10">
        <v>248</v>
      </c>
      <c r="B267" s="27">
        <f t="shared" ca="1" si="30"/>
        <v>0.23671902120118904</v>
      </c>
      <c r="C267" s="21">
        <f t="shared" ca="1" si="36"/>
        <v>223.67190212011892</v>
      </c>
      <c r="D267" s="21">
        <f t="shared" ca="1" si="31"/>
        <v>258.365383146103</v>
      </c>
      <c r="E267" s="21">
        <f t="shared" ca="1" si="32"/>
        <v>26.328097879881085</v>
      </c>
      <c r="F267" s="22">
        <f t="shared" ca="1" si="37"/>
        <v>34.693481025984084</v>
      </c>
      <c r="G267" s="22">
        <f t="shared" ca="1" si="33"/>
        <v>37.231396401374695</v>
      </c>
      <c r="H267" s="31">
        <f t="shared" ca="1" si="38"/>
        <v>0</v>
      </c>
      <c r="I267" s="9">
        <f t="shared" ca="1" si="34"/>
        <v>1236.7774861306243</v>
      </c>
      <c r="J267" s="30">
        <f t="shared" ca="1" si="35"/>
        <v>1000</v>
      </c>
      <c r="K267" s="122">
        <f t="shared" ca="1" si="39"/>
        <v>236.77748613062431</v>
      </c>
      <c r="L267" s="30"/>
      <c r="M267" s="30"/>
      <c r="N267" s="30"/>
      <c r="O267" s="30"/>
    </row>
    <row r="268" spans="1:15" x14ac:dyDescent="0.25">
      <c r="A268" s="10">
        <v>249</v>
      </c>
      <c r="B268" s="27">
        <f t="shared" ca="1" si="30"/>
        <v>0.87231396401374695</v>
      </c>
      <c r="C268" s="21">
        <f t="shared" ca="1" si="36"/>
        <v>287.2313964013747</v>
      </c>
      <c r="D268" s="21">
        <f t="shared" ca="1" si="31"/>
        <v>276.32809787988106</v>
      </c>
      <c r="E268" s="21">
        <f t="shared" ca="1" si="32"/>
        <v>0</v>
      </c>
      <c r="F268" s="22">
        <f t="shared" ca="1" si="37"/>
        <v>0</v>
      </c>
      <c r="G268" s="22">
        <f t="shared" ca="1" si="33"/>
        <v>0</v>
      </c>
      <c r="H268" s="31">
        <f t="shared" ca="1" si="38"/>
        <v>0</v>
      </c>
      <c r="I268" s="9">
        <f t="shared" ca="1" si="34"/>
        <v>1375</v>
      </c>
      <c r="J268" s="30">
        <f t="shared" ca="1" si="35"/>
        <v>1000</v>
      </c>
      <c r="K268" s="122">
        <f t="shared" ca="1" si="39"/>
        <v>375</v>
      </c>
      <c r="L268" s="30"/>
      <c r="M268" s="30"/>
      <c r="N268" s="30"/>
      <c r="O268" s="30"/>
    </row>
    <row r="269" spans="1:15" x14ac:dyDescent="0.25">
      <c r="A269" s="10">
        <v>250</v>
      </c>
      <c r="B269" s="27">
        <f t="shared" ca="1" si="30"/>
        <v>8.7627349785325714E-2</v>
      </c>
      <c r="C269" s="21">
        <f t="shared" ca="1" si="36"/>
        <v>208.76273497853256</v>
      </c>
      <c r="D269" s="21">
        <f t="shared" ca="1" si="31"/>
        <v>250</v>
      </c>
      <c r="E269" s="21">
        <f t="shared" ca="1" si="32"/>
        <v>41.237265021467437</v>
      </c>
      <c r="F269" s="22">
        <f t="shared" ca="1" si="37"/>
        <v>41.237265021467437</v>
      </c>
      <c r="G269" s="22">
        <f t="shared" ca="1" si="33"/>
        <v>16.613412677034432</v>
      </c>
      <c r="H269" s="31">
        <f t="shared" ca="1" si="38"/>
        <v>24.623852344433004</v>
      </c>
      <c r="I269" s="9">
        <f t="shared" ca="1" si="34"/>
        <v>1232.3759156705951</v>
      </c>
      <c r="J269" s="30">
        <f t="shared" ca="1" si="35"/>
        <v>1036.9357785166494</v>
      </c>
      <c r="K269" s="122">
        <f t="shared" ca="1" si="39"/>
        <v>195.44013715394567</v>
      </c>
      <c r="L269" s="30"/>
      <c r="M269" s="30"/>
      <c r="N269" s="30"/>
      <c r="O269" s="30"/>
    </row>
    <row r="270" spans="1:15" x14ac:dyDescent="0.25">
      <c r="A270" s="10">
        <v>251</v>
      </c>
      <c r="B270" s="27">
        <f t="shared" ca="1" si="30"/>
        <v>0.66613412677034411</v>
      </c>
      <c r="C270" s="21">
        <f t="shared" ca="1" si="36"/>
        <v>266.61341267703443</v>
      </c>
      <c r="D270" s="21">
        <f t="shared" ca="1" si="31"/>
        <v>291.23726502146746</v>
      </c>
      <c r="E270" s="21">
        <f t="shared" ca="1" si="32"/>
        <v>0</v>
      </c>
      <c r="F270" s="22">
        <f t="shared" ca="1" si="37"/>
        <v>24.623852344433033</v>
      </c>
      <c r="G270" s="22">
        <f t="shared" ca="1" si="33"/>
        <v>0</v>
      </c>
      <c r="H270" s="31">
        <f t="shared" ca="1" si="38"/>
        <v>24.623852344433033</v>
      </c>
      <c r="I270" s="9">
        <f t="shared" ca="1" si="34"/>
        <v>1375</v>
      </c>
      <c r="J270" s="30">
        <f t="shared" ca="1" si="35"/>
        <v>1036.9357785166496</v>
      </c>
      <c r="K270" s="122">
        <f t="shared" ca="1" si="39"/>
        <v>338.06422148335037</v>
      </c>
      <c r="L270" s="30"/>
      <c r="M270" s="30"/>
      <c r="N270" s="30"/>
      <c r="O270" s="30"/>
    </row>
    <row r="271" spans="1:15" x14ac:dyDescent="0.25">
      <c r="A271" s="10">
        <v>252</v>
      </c>
      <c r="B271" s="27">
        <f t="shared" ca="1" si="30"/>
        <v>0.33248990540019063</v>
      </c>
      <c r="C271" s="21">
        <f t="shared" ca="1" si="36"/>
        <v>233.24899054001907</v>
      </c>
      <c r="D271" s="21">
        <f t="shared" ca="1" si="31"/>
        <v>250</v>
      </c>
      <c r="E271" s="21">
        <f t="shared" ca="1" si="32"/>
        <v>16.751009459980935</v>
      </c>
      <c r="F271" s="22">
        <f t="shared" ca="1" si="37"/>
        <v>16.751009459980935</v>
      </c>
      <c r="G271" s="22">
        <f t="shared" ca="1" si="33"/>
        <v>0</v>
      </c>
      <c r="H271" s="31">
        <f t="shared" ca="1" si="38"/>
        <v>16.751009459980935</v>
      </c>
      <c r="I271" s="9">
        <f t="shared" ca="1" si="34"/>
        <v>1287.0572003351001</v>
      </c>
      <c r="J271" s="30">
        <f t="shared" ca="1" si="35"/>
        <v>1025.1265141899714</v>
      </c>
      <c r="K271" s="122">
        <f t="shared" ca="1" si="39"/>
        <v>261.93068614512867</v>
      </c>
      <c r="L271" s="30"/>
      <c r="M271" s="30"/>
      <c r="N271" s="30"/>
      <c r="O271" s="30"/>
    </row>
    <row r="272" spans="1:15" x14ac:dyDescent="0.25">
      <c r="A272" s="10">
        <v>253</v>
      </c>
      <c r="B272" s="27">
        <f t="shared" ca="1" si="30"/>
        <v>0.41339529737115122</v>
      </c>
      <c r="C272" s="21">
        <f t="shared" ca="1" si="36"/>
        <v>241.33952973711513</v>
      </c>
      <c r="D272" s="21">
        <f t="shared" ca="1" si="31"/>
        <v>266.75100945998093</v>
      </c>
      <c r="E272" s="21">
        <f t="shared" ca="1" si="32"/>
        <v>8.6604702628848713</v>
      </c>
      <c r="F272" s="22">
        <f t="shared" ca="1" si="37"/>
        <v>25.411479722865806</v>
      </c>
      <c r="G272" s="22">
        <f t="shared" ca="1" si="33"/>
        <v>0</v>
      </c>
      <c r="H272" s="31">
        <f t="shared" ca="1" si="38"/>
        <v>25.411479722865806</v>
      </c>
      <c r="I272" s="9">
        <f t="shared" ca="1" si="34"/>
        <v>1379.7855594997973</v>
      </c>
      <c r="J272" s="30">
        <f t="shared" ca="1" si="35"/>
        <v>1038.1172195842987</v>
      </c>
      <c r="K272" s="122">
        <f t="shared" ca="1" si="39"/>
        <v>341.66833991549856</v>
      </c>
      <c r="L272" s="30"/>
      <c r="M272" s="30"/>
      <c r="N272" s="30"/>
      <c r="O272" s="30"/>
    </row>
    <row r="273" spans="1:15" x14ac:dyDescent="0.25">
      <c r="A273" s="10">
        <v>254</v>
      </c>
      <c r="B273" s="27">
        <f t="shared" ca="1" si="30"/>
        <v>0.45199144944593161</v>
      </c>
      <c r="C273" s="21">
        <f t="shared" ca="1" si="36"/>
        <v>245.19914494459317</v>
      </c>
      <c r="D273" s="21">
        <f t="shared" ca="1" si="31"/>
        <v>258.66047026288487</v>
      </c>
      <c r="E273" s="21">
        <f t="shared" ca="1" si="32"/>
        <v>4.8008550554068279</v>
      </c>
      <c r="F273" s="22">
        <f t="shared" ca="1" si="37"/>
        <v>13.461325318291699</v>
      </c>
      <c r="G273" s="22">
        <f t="shared" ca="1" si="33"/>
        <v>3.3152773151098245</v>
      </c>
      <c r="H273" s="31">
        <f t="shared" ca="1" si="38"/>
        <v>10.146048003181875</v>
      </c>
      <c r="I273" s="9">
        <f t="shared" ca="1" si="34"/>
        <v>1380.2336549686597</v>
      </c>
      <c r="J273" s="30">
        <f t="shared" ca="1" si="35"/>
        <v>1015.2190720047728</v>
      </c>
      <c r="K273" s="122">
        <f t="shared" ca="1" si="39"/>
        <v>365.01458296388694</v>
      </c>
      <c r="L273" s="30"/>
      <c r="M273" s="30"/>
      <c r="N273" s="30"/>
      <c r="O273" s="30"/>
    </row>
    <row r="274" spans="1:15" x14ac:dyDescent="0.25">
      <c r="A274" s="10">
        <v>255</v>
      </c>
      <c r="B274" s="27">
        <f t="shared" ca="1" si="30"/>
        <v>0.5331527731510981</v>
      </c>
      <c r="C274" s="21">
        <f t="shared" ca="1" si="36"/>
        <v>253.31527731510982</v>
      </c>
      <c r="D274" s="21">
        <f t="shared" ca="1" si="31"/>
        <v>254.80085505540683</v>
      </c>
      <c r="E274" s="21">
        <f t="shared" ca="1" si="32"/>
        <v>0</v>
      </c>
      <c r="F274" s="22">
        <f t="shared" ca="1" si="37"/>
        <v>1.4855777402970034</v>
      </c>
      <c r="G274" s="22">
        <f t="shared" ca="1" si="33"/>
        <v>0</v>
      </c>
      <c r="H274" s="31">
        <f t="shared" ca="1" si="38"/>
        <v>1.4855777402970034</v>
      </c>
      <c r="I274" s="9">
        <f t="shared" ca="1" si="34"/>
        <v>1375</v>
      </c>
      <c r="J274" s="30">
        <f t="shared" ca="1" si="35"/>
        <v>1002.2283666104455</v>
      </c>
      <c r="K274" s="122">
        <f t="shared" ca="1" si="39"/>
        <v>372.77163338955449</v>
      </c>
      <c r="L274" s="30"/>
      <c r="M274" s="30"/>
      <c r="N274" s="30"/>
      <c r="O274" s="30"/>
    </row>
    <row r="275" spans="1:15" x14ac:dyDescent="0.25">
      <c r="A275" s="10">
        <v>256</v>
      </c>
      <c r="B275" s="27">
        <f t="shared" ca="1" si="30"/>
        <v>4.1362164431350101E-2</v>
      </c>
      <c r="C275" s="21">
        <f t="shared" ca="1" si="36"/>
        <v>204.136216443135</v>
      </c>
      <c r="D275" s="21">
        <f t="shared" ca="1" si="31"/>
        <v>250</v>
      </c>
      <c r="E275" s="21">
        <f t="shared" ca="1" si="32"/>
        <v>45.863783556865002</v>
      </c>
      <c r="F275" s="22">
        <f t="shared" ca="1" si="37"/>
        <v>45.863783556865002</v>
      </c>
      <c r="G275" s="22">
        <f t="shared" ca="1" si="33"/>
        <v>0</v>
      </c>
      <c r="H275" s="31">
        <f t="shared" ca="1" si="38"/>
        <v>45.863783556865002</v>
      </c>
      <c r="I275" s="9">
        <f t="shared" ca="1" si="34"/>
        <v>1134.2151363264588</v>
      </c>
      <c r="J275" s="30">
        <f t="shared" ca="1" si="35"/>
        <v>1068.7956753352976</v>
      </c>
      <c r="K275" s="122">
        <f t="shared" ca="1" si="39"/>
        <v>65.419460991161259</v>
      </c>
      <c r="L275" s="30"/>
      <c r="M275" s="30"/>
      <c r="N275" s="30"/>
      <c r="O275" s="30"/>
    </row>
    <row r="276" spans="1:15" x14ac:dyDescent="0.25">
      <c r="A276" s="10">
        <v>257</v>
      </c>
      <c r="B276" s="27">
        <f t="shared" ref="B276:B339" ca="1" si="40">RAND()</f>
        <v>0.35218212217331224</v>
      </c>
      <c r="C276" s="21">
        <f t="shared" ca="1" si="36"/>
        <v>235.21821221733123</v>
      </c>
      <c r="D276" s="21">
        <f t="shared" ref="D276:D339" ca="1" si="41">$E$10+E275</f>
        <v>295.86378355686497</v>
      </c>
      <c r="E276" s="21">
        <f t="shared" ref="E276:E339" ca="1" si="42">IF(C276&gt;$E$10,0,$E$10-C276)</f>
        <v>14.781787782668772</v>
      </c>
      <c r="F276" s="22">
        <f t="shared" ca="1" si="37"/>
        <v>60.645571339533745</v>
      </c>
      <c r="G276" s="22">
        <f t="shared" ref="G276:G339" ca="1" si="43">IF(C277&gt;$E$10,C277-$E$10,0)</f>
        <v>23.64230844981148</v>
      </c>
      <c r="H276" s="31">
        <f t="shared" ca="1" si="38"/>
        <v>37.003262889722265</v>
      </c>
      <c r="I276" s="9">
        <f t="shared" ref="I276:I339" ca="1" si="44">IF($E$10&lt;C276,$E$10*$E$7,$E$9*($E$10-C276)+(C276*$E$7)+IF($E$10&lt;C277,H276*$E$8,E275*$E$8))</f>
        <v>1408.4054028101557</v>
      </c>
      <c r="J276" s="30">
        <f t="shared" ref="J276:J339" ca="1" si="45">IF(H276&gt;0,$E$10*$E$5+H276*$E$6,$E$10*$E$5)</f>
        <v>1055.5048943345835</v>
      </c>
      <c r="K276" s="122">
        <f t="shared" ca="1" si="39"/>
        <v>352.90050847557222</v>
      </c>
      <c r="L276" s="30"/>
      <c r="M276" s="30"/>
      <c r="N276" s="30"/>
      <c r="O276" s="30"/>
    </row>
    <row r="277" spans="1:15" x14ac:dyDescent="0.25">
      <c r="A277" s="10">
        <v>258</v>
      </c>
      <c r="B277" s="27">
        <f t="shared" ca="1" si="40"/>
        <v>0.73642308449811478</v>
      </c>
      <c r="C277" s="21">
        <f t="shared" ref="C277:C340" ca="1" si="46">200+(300-200)*B277</f>
        <v>273.64230844981148</v>
      </c>
      <c r="D277" s="21">
        <f t="shared" ca="1" si="41"/>
        <v>264.78178778266874</v>
      </c>
      <c r="E277" s="21">
        <f t="shared" ca="1" si="42"/>
        <v>0</v>
      </c>
      <c r="F277" s="22">
        <f t="shared" ref="F277:F340" ca="1" si="47">IF(C277&gt;D277,0,D277-C277)</f>
        <v>0</v>
      </c>
      <c r="G277" s="22">
        <f t="shared" ca="1" si="43"/>
        <v>5.7698983973925806</v>
      </c>
      <c r="H277" s="31">
        <f t="shared" ref="H277:H340" ca="1" si="48">IF(G277&gt;F277,0,IF(G277&lt;F277,F277-G277,0))</f>
        <v>0</v>
      </c>
      <c r="I277" s="9">
        <f t="shared" ca="1" si="44"/>
        <v>1375</v>
      </c>
      <c r="J277" s="30">
        <f t="shared" ca="1" si="45"/>
        <v>1000</v>
      </c>
      <c r="K277" s="122">
        <f t="shared" ref="K277:K340" ca="1" si="49">I277-J277</f>
        <v>375</v>
      </c>
      <c r="L277" s="30"/>
      <c r="M277" s="30"/>
      <c r="N277" s="30"/>
      <c r="O277" s="30"/>
    </row>
    <row r="278" spans="1:15" x14ac:dyDescent="0.25">
      <c r="A278" s="10">
        <v>259</v>
      </c>
      <c r="B278" s="27">
        <f t="shared" ca="1" si="40"/>
        <v>0.55769898397392581</v>
      </c>
      <c r="C278" s="21">
        <f t="shared" ca="1" si="46"/>
        <v>255.76989839739258</v>
      </c>
      <c r="D278" s="21">
        <f t="shared" ca="1" si="41"/>
        <v>250</v>
      </c>
      <c r="E278" s="21">
        <f t="shared" ca="1" si="42"/>
        <v>0</v>
      </c>
      <c r="F278" s="22">
        <f t="shared" ca="1" si="47"/>
        <v>0</v>
      </c>
      <c r="G278" s="22">
        <f t="shared" ca="1" si="43"/>
        <v>24.35057531861122</v>
      </c>
      <c r="H278" s="31">
        <f t="shared" ca="1" si="48"/>
        <v>0</v>
      </c>
      <c r="I278" s="9">
        <f t="shared" ca="1" si="44"/>
        <v>1375</v>
      </c>
      <c r="J278" s="30">
        <f t="shared" ca="1" si="45"/>
        <v>1000</v>
      </c>
      <c r="K278" s="122">
        <f t="shared" ca="1" si="49"/>
        <v>375</v>
      </c>
      <c r="L278" s="30"/>
      <c r="M278" s="30"/>
      <c r="N278" s="30"/>
      <c r="O278" s="30"/>
    </row>
    <row r="279" spans="1:15" x14ac:dyDescent="0.25">
      <c r="A279" s="10">
        <v>260</v>
      </c>
      <c r="B279" s="27">
        <f t="shared" ca="1" si="40"/>
        <v>0.74350575318611201</v>
      </c>
      <c r="C279" s="21">
        <f t="shared" ca="1" si="46"/>
        <v>274.35057531861122</v>
      </c>
      <c r="D279" s="21">
        <f t="shared" ca="1" si="41"/>
        <v>250</v>
      </c>
      <c r="E279" s="21">
        <f t="shared" ca="1" si="42"/>
        <v>0</v>
      </c>
      <c r="F279" s="22">
        <f t="shared" ca="1" si="47"/>
        <v>0</v>
      </c>
      <c r="G279" s="22">
        <f t="shared" ca="1" si="43"/>
        <v>21.469266700235835</v>
      </c>
      <c r="H279" s="31">
        <f t="shared" ca="1" si="48"/>
        <v>0</v>
      </c>
      <c r="I279" s="9">
        <f t="shared" ca="1" si="44"/>
        <v>1375</v>
      </c>
      <c r="J279" s="30">
        <f t="shared" ca="1" si="45"/>
        <v>1000</v>
      </c>
      <c r="K279" s="122">
        <f t="shared" ca="1" si="49"/>
        <v>375</v>
      </c>
      <c r="L279" s="30"/>
      <c r="M279" s="30"/>
      <c r="N279" s="30"/>
      <c r="O279" s="30"/>
    </row>
    <row r="280" spans="1:15" x14ac:dyDescent="0.25">
      <c r="A280" s="10">
        <v>261</v>
      </c>
      <c r="B280" s="27">
        <f t="shared" ca="1" si="40"/>
        <v>0.71469266700235834</v>
      </c>
      <c r="C280" s="21">
        <f t="shared" ca="1" si="46"/>
        <v>271.46926670023583</v>
      </c>
      <c r="D280" s="21">
        <f t="shared" ca="1" si="41"/>
        <v>250</v>
      </c>
      <c r="E280" s="21">
        <f t="shared" ca="1" si="42"/>
        <v>0</v>
      </c>
      <c r="F280" s="22">
        <f t="shared" ca="1" si="47"/>
        <v>0</v>
      </c>
      <c r="G280" s="22">
        <f t="shared" ca="1" si="43"/>
        <v>0</v>
      </c>
      <c r="H280" s="31">
        <f t="shared" ca="1" si="48"/>
        <v>0</v>
      </c>
      <c r="I280" s="9">
        <f t="shared" ca="1" si="44"/>
        <v>1375</v>
      </c>
      <c r="J280" s="30">
        <f t="shared" ca="1" si="45"/>
        <v>1000</v>
      </c>
      <c r="K280" s="122">
        <f t="shared" ca="1" si="49"/>
        <v>375</v>
      </c>
      <c r="L280" s="30"/>
      <c r="M280" s="30"/>
      <c r="N280" s="30"/>
      <c r="O280" s="30"/>
    </row>
    <row r="281" spans="1:15" x14ac:dyDescent="0.25">
      <c r="A281" s="10">
        <v>262</v>
      </c>
      <c r="B281" s="27">
        <f t="shared" ca="1" si="40"/>
        <v>0.27367131713429116</v>
      </c>
      <c r="C281" s="21">
        <f t="shared" ca="1" si="46"/>
        <v>227.3671317134291</v>
      </c>
      <c r="D281" s="21">
        <f t="shared" ca="1" si="41"/>
        <v>250</v>
      </c>
      <c r="E281" s="21">
        <f t="shared" ca="1" si="42"/>
        <v>22.632868286570897</v>
      </c>
      <c r="F281" s="22">
        <f t="shared" ca="1" si="47"/>
        <v>22.632868286570897</v>
      </c>
      <c r="G281" s="22">
        <f t="shared" ca="1" si="43"/>
        <v>0</v>
      </c>
      <c r="H281" s="31">
        <f t="shared" ca="1" si="48"/>
        <v>22.632868286570897</v>
      </c>
      <c r="I281" s="9">
        <f t="shared" ca="1" si="44"/>
        <v>1256.1774414955028</v>
      </c>
      <c r="J281" s="30">
        <f t="shared" ca="1" si="45"/>
        <v>1033.9493024298563</v>
      </c>
      <c r="K281" s="122">
        <f t="shared" ca="1" si="49"/>
        <v>222.22813906564647</v>
      </c>
      <c r="L281" s="30"/>
      <c r="M281" s="30"/>
      <c r="N281" s="30"/>
      <c r="O281" s="30"/>
    </row>
    <row r="282" spans="1:15" x14ac:dyDescent="0.25">
      <c r="A282" s="10">
        <v>263</v>
      </c>
      <c r="B282" s="27">
        <f t="shared" ca="1" si="40"/>
        <v>0.35007728656364212</v>
      </c>
      <c r="C282" s="21">
        <f t="shared" ca="1" si="46"/>
        <v>235.00772865636421</v>
      </c>
      <c r="D282" s="21">
        <f t="shared" ca="1" si="41"/>
        <v>272.6328682865709</v>
      </c>
      <c r="E282" s="21">
        <f t="shared" ca="1" si="42"/>
        <v>14.992271343635792</v>
      </c>
      <c r="F282" s="22">
        <f t="shared" ca="1" si="47"/>
        <v>37.625139630206689</v>
      </c>
      <c r="G282" s="22">
        <f t="shared" ca="1" si="43"/>
        <v>45.181985352213644</v>
      </c>
      <c r="H282" s="31">
        <f t="shared" ca="1" si="48"/>
        <v>0</v>
      </c>
      <c r="I282" s="9">
        <f t="shared" ca="1" si="44"/>
        <v>1296.2905754459121</v>
      </c>
      <c r="J282" s="30">
        <f t="shared" ca="1" si="45"/>
        <v>1000</v>
      </c>
      <c r="K282" s="122">
        <f t="shared" ca="1" si="49"/>
        <v>296.29057544591205</v>
      </c>
      <c r="L282" s="30"/>
      <c r="M282" s="30"/>
      <c r="N282" s="30"/>
      <c r="O282" s="30"/>
    </row>
    <row r="283" spans="1:15" x14ac:dyDescent="0.25">
      <c r="A283" s="10">
        <v>264</v>
      </c>
      <c r="B283" s="27">
        <f t="shared" ca="1" si="40"/>
        <v>0.95181985352213649</v>
      </c>
      <c r="C283" s="21">
        <f t="shared" ca="1" si="46"/>
        <v>295.18198535221364</v>
      </c>
      <c r="D283" s="21">
        <f t="shared" ca="1" si="41"/>
        <v>264.99227134363582</v>
      </c>
      <c r="E283" s="21">
        <f t="shared" ca="1" si="42"/>
        <v>0</v>
      </c>
      <c r="F283" s="22">
        <f t="shared" ca="1" si="47"/>
        <v>0</v>
      </c>
      <c r="G283" s="22">
        <f t="shared" ca="1" si="43"/>
        <v>9.566934025474211</v>
      </c>
      <c r="H283" s="31">
        <f t="shared" ca="1" si="48"/>
        <v>0</v>
      </c>
      <c r="I283" s="9">
        <f t="shared" ca="1" si="44"/>
        <v>1375</v>
      </c>
      <c r="J283" s="30">
        <f t="shared" ca="1" si="45"/>
        <v>1000</v>
      </c>
      <c r="K283" s="122">
        <f t="shared" ca="1" si="49"/>
        <v>375</v>
      </c>
      <c r="L283" s="30"/>
      <c r="M283" s="30"/>
      <c r="N283" s="30"/>
      <c r="O283" s="30"/>
    </row>
    <row r="284" spans="1:15" x14ac:dyDescent="0.25">
      <c r="A284" s="10">
        <v>265</v>
      </c>
      <c r="B284" s="27">
        <f t="shared" ca="1" si="40"/>
        <v>0.59566934025474183</v>
      </c>
      <c r="C284" s="21">
        <f t="shared" ca="1" si="46"/>
        <v>259.56693402547421</v>
      </c>
      <c r="D284" s="21">
        <f t="shared" ca="1" si="41"/>
        <v>250</v>
      </c>
      <c r="E284" s="21">
        <f t="shared" ca="1" si="42"/>
        <v>0</v>
      </c>
      <c r="F284" s="22">
        <f t="shared" ca="1" si="47"/>
        <v>0</v>
      </c>
      <c r="G284" s="22">
        <f t="shared" ca="1" si="43"/>
        <v>0</v>
      </c>
      <c r="H284" s="31">
        <f t="shared" ca="1" si="48"/>
        <v>0</v>
      </c>
      <c r="I284" s="9">
        <f t="shared" ca="1" si="44"/>
        <v>1375</v>
      </c>
      <c r="J284" s="30">
        <f t="shared" ca="1" si="45"/>
        <v>1000</v>
      </c>
      <c r="K284" s="122">
        <f t="shared" ca="1" si="49"/>
        <v>375</v>
      </c>
      <c r="L284" s="30"/>
      <c r="M284" s="30"/>
      <c r="N284" s="30"/>
      <c r="O284" s="30"/>
    </row>
    <row r="285" spans="1:15" x14ac:dyDescent="0.25">
      <c r="A285" s="10">
        <v>266</v>
      </c>
      <c r="B285" s="27">
        <f t="shared" ca="1" si="40"/>
        <v>2.8370322073678622E-2</v>
      </c>
      <c r="C285" s="21">
        <f t="shared" ca="1" si="46"/>
        <v>202.83703220736786</v>
      </c>
      <c r="D285" s="21">
        <f t="shared" ca="1" si="41"/>
        <v>250</v>
      </c>
      <c r="E285" s="21">
        <f t="shared" ca="1" si="42"/>
        <v>47.162967792632145</v>
      </c>
      <c r="F285" s="22">
        <f t="shared" ca="1" si="47"/>
        <v>47.162967792632145</v>
      </c>
      <c r="G285" s="22">
        <f t="shared" ca="1" si="43"/>
        <v>0.6645193403445262</v>
      </c>
      <c r="H285" s="31">
        <f t="shared" ca="1" si="48"/>
        <v>46.498448452287619</v>
      </c>
      <c r="I285" s="9">
        <f t="shared" ca="1" si="44"/>
        <v>1266.889764445544</v>
      </c>
      <c r="J285" s="30">
        <f t="shared" ca="1" si="45"/>
        <v>1069.7476726784314</v>
      </c>
      <c r="K285" s="122">
        <f t="shared" ca="1" si="49"/>
        <v>197.14209176711256</v>
      </c>
      <c r="L285" s="30"/>
      <c r="M285" s="30"/>
      <c r="N285" s="30"/>
      <c r="O285" s="30"/>
    </row>
    <row r="286" spans="1:15" x14ac:dyDescent="0.25">
      <c r="A286" s="10">
        <v>267</v>
      </c>
      <c r="B286" s="27">
        <f t="shared" ca="1" si="40"/>
        <v>0.50664519340344527</v>
      </c>
      <c r="C286" s="21">
        <f t="shared" ca="1" si="46"/>
        <v>250.66451934034453</v>
      </c>
      <c r="D286" s="21">
        <f t="shared" ca="1" si="41"/>
        <v>297.16296779263212</v>
      </c>
      <c r="E286" s="21">
        <f t="shared" ca="1" si="42"/>
        <v>0</v>
      </c>
      <c r="F286" s="22">
        <f t="shared" ca="1" si="47"/>
        <v>46.49844845228759</v>
      </c>
      <c r="G286" s="22">
        <f t="shared" ca="1" si="43"/>
        <v>2.5388147779493124</v>
      </c>
      <c r="H286" s="31">
        <f t="shared" ca="1" si="48"/>
        <v>43.959633674338278</v>
      </c>
      <c r="I286" s="9">
        <f t="shared" ca="1" si="44"/>
        <v>1375</v>
      </c>
      <c r="J286" s="30">
        <f t="shared" ca="1" si="45"/>
        <v>1065.9394505115074</v>
      </c>
      <c r="K286" s="122">
        <f t="shared" ca="1" si="49"/>
        <v>309.0605494884926</v>
      </c>
      <c r="L286" s="30"/>
      <c r="M286" s="30"/>
      <c r="N286" s="30"/>
      <c r="O286" s="30"/>
    </row>
    <row r="287" spans="1:15" x14ac:dyDescent="0.25">
      <c r="A287" s="10">
        <v>268</v>
      </c>
      <c r="B287" s="27">
        <f t="shared" ca="1" si="40"/>
        <v>0.52538814777949328</v>
      </c>
      <c r="C287" s="21">
        <f t="shared" ca="1" si="46"/>
        <v>252.53881477794931</v>
      </c>
      <c r="D287" s="21">
        <f t="shared" ca="1" si="41"/>
        <v>250</v>
      </c>
      <c r="E287" s="21">
        <f t="shared" ca="1" si="42"/>
        <v>0</v>
      </c>
      <c r="F287" s="22">
        <f t="shared" ca="1" si="47"/>
        <v>0</v>
      </c>
      <c r="G287" s="22">
        <f t="shared" ca="1" si="43"/>
        <v>24.029606109440238</v>
      </c>
      <c r="H287" s="31">
        <f t="shared" ca="1" si="48"/>
        <v>0</v>
      </c>
      <c r="I287" s="9">
        <f t="shared" ca="1" si="44"/>
        <v>1375</v>
      </c>
      <c r="J287" s="30">
        <f t="shared" ca="1" si="45"/>
        <v>1000</v>
      </c>
      <c r="K287" s="122">
        <f t="shared" ca="1" si="49"/>
        <v>375</v>
      </c>
      <c r="L287" s="30"/>
      <c r="M287" s="30"/>
      <c r="N287" s="30"/>
      <c r="O287" s="30"/>
    </row>
    <row r="288" spans="1:15" x14ac:dyDescent="0.25">
      <c r="A288" s="10">
        <v>269</v>
      </c>
      <c r="B288" s="27">
        <f t="shared" ca="1" si="40"/>
        <v>0.74029606109440227</v>
      </c>
      <c r="C288" s="21">
        <f t="shared" ca="1" si="46"/>
        <v>274.02960610944024</v>
      </c>
      <c r="D288" s="21">
        <f t="shared" ca="1" si="41"/>
        <v>250</v>
      </c>
      <c r="E288" s="21">
        <f t="shared" ca="1" si="42"/>
        <v>0</v>
      </c>
      <c r="F288" s="22">
        <f t="shared" ca="1" si="47"/>
        <v>0</v>
      </c>
      <c r="G288" s="22">
        <f t="shared" ca="1" si="43"/>
        <v>20.35101521688739</v>
      </c>
      <c r="H288" s="31">
        <f t="shared" ca="1" si="48"/>
        <v>0</v>
      </c>
      <c r="I288" s="9">
        <f t="shared" ca="1" si="44"/>
        <v>1375</v>
      </c>
      <c r="J288" s="30">
        <f t="shared" ca="1" si="45"/>
        <v>1000</v>
      </c>
      <c r="K288" s="122">
        <f t="shared" ca="1" si="49"/>
        <v>375</v>
      </c>
      <c r="L288" s="30"/>
      <c r="M288" s="30"/>
      <c r="N288" s="30"/>
      <c r="O288" s="30"/>
    </row>
    <row r="289" spans="1:15" x14ac:dyDescent="0.25">
      <c r="A289" s="10">
        <v>270</v>
      </c>
      <c r="B289" s="27">
        <f t="shared" ca="1" si="40"/>
        <v>0.70351015216887425</v>
      </c>
      <c r="C289" s="21">
        <f t="shared" ca="1" si="46"/>
        <v>270.35101521688739</v>
      </c>
      <c r="D289" s="21">
        <f t="shared" ca="1" si="41"/>
        <v>250</v>
      </c>
      <c r="E289" s="21">
        <f t="shared" ca="1" si="42"/>
        <v>0</v>
      </c>
      <c r="F289" s="22">
        <f t="shared" ca="1" si="47"/>
        <v>0</v>
      </c>
      <c r="G289" s="22">
        <f t="shared" ca="1" si="43"/>
        <v>16.266505735140413</v>
      </c>
      <c r="H289" s="31">
        <f t="shared" ca="1" si="48"/>
        <v>0</v>
      </c>
      <c r="I289" s="9">
        <f t="shared" ca="1" si="44"/>
        <v>1375</v>
      </c>
      <c r="J289" s="30">
        <f t="shared" ca="1" si="45"/>
        <v>1000</v>
      </c>
      <c r="K289" s="122">
        <f t="shared" ca="1" si="49"/>
        <v>375</v>
      </c>
      <c r="L289" s="30"/>
      <c r="M289" s="30"/>
      <c r="N289" s="30"/>
      <c r="O289" s="30"/>
    </row>
    <row r="290" spans="1:15" x14ac:dyDescent="0.25">
      <c r="A290" s="10">
        <v>271</v>
      </c>
      <c r="B290" s="27">
        <f t="shared" ca="1" si="40"/>
        <v>0.66266505735140424</v>
      </c>
      <c r="C290" s="21">
        <f t="shared" ca="1" si="46"/>
        <v>266.26650573514041</v>
      </c>
      <c r="D290" s="21">
        <f t="shared" ca="1" si="41"/>
        <v>250</v>
      </c>
      <c r="E290" s="21">
        <f t="shared" ca="1" si="42"/>
        <v>0</v>
      </c>
      <c r="F290" s="22">
        <f t="shared" ca="1" si="47"/>
        <v>0</v>
      </c>
      <c r="G290" s="22">
        <f t="shared" ca="1" si="43"/>
        <v>0</v>
      </c>
      <c r="H290" s="31">
        <f t="shared" ca="1" si="48"/>
        <v>0</v>
      </c>
      <c r="I290" s="9">
        <f t="shared" ca="1" si="44"/>
        <v>1375</v>
      </c>
      <c r="J290" s="30">
        <f t="shared" ca="1" si="45"/>
        <v>1000</v>
      </c>
      <c r="K290" s="122">
        <f t="shared" ca="1" si="49"/>
        <v>375</v>
      </c>
      <c r="L290" s="30"/>
      <c r="M290" s="30"/>
      <c r="N290" s="30"/>
      <c r="O290" s="30"/>
    </row>
    <row r="291" spans="1:15" x14ac:dyDescent="0.25">
      <c r="A291" s="10">
        <v>272</v>
      </c>
      <c r="B291" s="27">
        <f t="shared" ca="1" si="40"/>
        <v>0.18253234374345662</v>
      </c>
      <c r="C291" s="21">
        <f t="shared" ca="1" si="46"/>
        <v>218.25323437434565</v>
      </c>
      <c r="D291" s="21">
        <f t="shared" ca="1" si="41"/>
        <v>250</v>
      </c>
      <c r="E291" s="21">
        <f t="shared" ca="1" si="42"/>
        <v>31.746765625654348</v>
      </c>
      <c r="F291" s="22">
        <f t="shared" ca="1" si="47"/>
        <v>31.746765625654348</v>
      </c>
      <c r="G291" s="22">
        <f t="shared" ca="1" si="43"/>
        <v>0</v>
      </c>
      <c r="H291" s="31">
        <f t="shared" ca="1" si="48"/>
        <v>31.746765625654348</v>
      </c>
      <c r="I291" s="9">
        <f t="shared" ca="1" si="44"/>
        <v>1208.3294804653146</v>
      </c>
      <c r="J291" s="30">
        <f t="shared" ca="1" si="45"/>
        <v>1047.6201484384815</v>
      </c>
      <c r="K291" s="122">
        <f t="shared" ca="1" si="49"/>
        <v>160.70933202683318</v>
      </c>
      <c r="L291" s="30"/>
      <c r="M291" s="30"/>
      <c r="N291" s="30"/>
      <c r="O291" s="30"/>
    </row>
    <row r="292" spans="1:15" x14ac:dyDescent="0.25">
      <c r="A292" s="10">
        <v>273</v>
      </c>
      <c r="B292" s="27">
        <f t="shared" ca="1" si="40"/>
        <v>9.8794656491473232E-3</v>
      </c>
      <c r="C292" s="21">
        <f t="shared" ca="1" si="46"/>
        <v>200.98794656491472</v>
      </c>
      <c r="D292" s="21">
        <f t="shared" ca="1" si="41"/>
        <v>281.74676562565435</v>
      </c>
      <c r="E292" s="21">
        <f t="shared" ca="1" si="42"/>
        <v>49.012053435085278</v>
      </c>
      <c r="F292" s="22">
        <f t="shared" ca="1" si="47"/>
        <v>80.758819060739626</v>
      </c>
      <c r="G292" s="22">
        <f t="shared" ca="1" si="43"/>
        <v>49.349404758145056</v>
      </c>
      <c r="H292" s="31">
        <f t="shared" ca="1" si="48"/>
        <v>31.40941430259457</v>
      </c>
      <c r="I292" s="9">
        <f t="shared" ca="1" si="44"/>
        <v>1211.9149623735859</v>
      </c>
      <c r="J292" s="30">
        <f t="shared" ca="1" si="45"/>
        <v>1047.1141214538918</v>
      </c>
      <c r="K292" s="122">
        <f t="shared" ca="1" si="49"/>
        <v>164.80084091969411</v>
      </c>
      <c r="L292" s="30"/>
      <c r="M292" s="30"/>
      <c r="N292" s="30"/>
      <c r="O292" s="30"/>
    </row>
    <row r="293" spans="1:15" x14ac:dyDescent="0.25">
      <c r="A293" s="10">
        <v>274</v>
      </c>
      <c r="B293" s="27">
        <f t="shared" ca="1" si="40"/>
        <v>0.99349404758145077</v>
      </c>
      <c r="C293" s="21">
        <f t="shared" ca="1" si="46"/>
        <v>299.34940475814506</v>
      </c>
      <c r="D293" s="21">
        <f t="shared" ca="1" si="41"/>
        <v>299.01205343508525</v>
      </c>
      <c r="E293" s="21">
        <f t="shared" ca="1" si="42"/>
        <v>0</v>
      </c>
      <c r="F293" s="22">
        <f t="shared" ca="1" si="47"/>
        <v>0</v>
      </c>
      <c r="G293" s="22">
        <f t="shared" ca="1" si="43"/>
        <v>42.72049412065769</v>
      </c>
      <c r="H293" s="31">
        <f t="shared" ca="1" si="48"/>
        <v>0</v>
      </c>
      <c r="I293" s="9">
        <f t="shared" ca="1" si="44"/>
        <v>1375</v>
      </c>
      <c r="J293" s="30">
        <f t="shared" ca="1" si="45"/>
        <v>1000</v>
      </c>
      <c r="K293" s="122">
        <f t="shared" ca="1" si="49"/>
        <v>375</v>
      </c>
      <c r="L293" s="30"/>
      <c r="M293" s="30"/>
      <c r="N293" s="30"/>
      <c r="O293" s="30"/>
    </row>
    <row r="294" spans="1:15" x14ac:dyDescent="0.25">
      <c r="A294" s="10">
        <v>275</v>
      </c>
      <c r="B294" s="27">
        <f t="shared" ca="1" si="40"/>
        <v>0.92720494120657659</v>
      </c>
      <c r="C294" s="21">
        <f t="shared" ca="1" si="46"/>
        <v>292.72049412065769</v>
      </c>
      <c r="D294" s="21">
        <f t="shared" ca="1" si="41"/>
        <v>250</v>
      </c>
      <c r="E294" s="21">
        <f t="shared" ca="1" si="42"/>
        <v>0</v>
      </c>
      <c r="F294" s="22">
        <f t="shared" ca="1" si="47"/>
        <v>0</v>
      </c>
      <c r="G294" s="22">
        <f t="shared" ca="1" si="43"/>
        <v>30.861310466220345</v>
      </c>
      <c r="H294" s="31">
        <f t="shared" ca="1" si="48"/>
        <v>0</v>
      </c>
      <c r="I294" s="9">
        <f t="shared" ca="1" si="44"/>
        <v>1375</v>
      </c>
      <c r="J294" s="30">
        <f t="shared" ca="1" si="45"/>
        <v>1000</v>
      </c>
      <c r="K294" s="122">
        <f t="shared" ca="1" si="49"/>
        <v>375</v>
      </c>
      <c r="L294" s="30"/>
      <c r="M294" s="30"/>
      <c r="N294" s="30"/>
      <c r="O294" s="30"/>
    </row>
    <row r="295" spans="1:15" x14ac:dyDescent="0.25">
      <c r="A295" s="10">
        <v>276</v>
      </c>
      <c r="B295" s="27">
        <f t="shared" ca="1" si="40"/>
        <v>0.80861310466220337</v>
      </c>
      <c r="C295" s="21">
        <f t="shared" ca="1" si="46"/>
        <v>280.86131046622035</v>
      </c>
      <c r="D295" s="21">
        <f t="shared" ca="1" si="41"/>
        <v>250</v>
      </c>
      <c r="E295" s="21">
        <f t="shared" ca="1" si="42"/>
        <v>0</v>
      </c>
      <c r="F295" s="22">
        <f t="shared" ca="1" si="47"/>
        <v>0</v>
      </c>
      <c r="G295" s="22">
        <f t="shared" ca="1" si="43"/>
        <v>29.027826378182795</v>
      </c>
      <c r="H295" s="31">
        <f t="shared" ca="1" si="48"/>
        <v>0</v>
      </c>
      <c r="I295" s="9">
        <f t="shared" ca="1" si="44"/>
        <v>1375</v>
      </c>
      <c r="J295" s="30">
        <f t="shared" ca="1" si="45"/>
        <v>1000</v>
      </c>
      <c r="K295" s="122">
        <f t="shared" ca="1" si="49"/>
        <v>375</v>
      </c>
      <c r="L295" s="30"/>
      <c r="M295" s="30"/>
      <c r="N295" s="30"/>
      <c r="O295" s="30"/>
    </row>
    <row r="296" spans="1:15" x14ac:dyDescent="0.25">
      <c r="A296" s="10">
        <v>277</v>
      </c>
      <c r="B296" s="27">
        <f t="shared" ca="1" si="40"/>
        <v>0.79027826378182786</v>
      </c>
      <c r="C296" s="21">
        <f t="shared" ca="1" si="46"/>
        <v>279.02782637818279</v>
      </c>
      <c r="D296" s="21">
        <f t="shared" ca="1" si="41"/>
        <v>250</v>
      </c>
      <c r="E296" s="21">
        <f t="shared" ca="1" si="42"/>
        <v>0</v>
      </c>
      <c r="F296" s="22">
        <f t="shared" ca="1" si="47"/>
        <v>0</v>
      </c>
      <c r="G296" s="22">
        <f t="shared" ca="1" si="43"/>
        <v>7.6444468637432124</v>
      </c>
      <c r="H296" s="31">
        <f t="shared" ca="1" si="48"/>
        <v>0</v>
      </c>
      <c r="I296" s="9">
        <f t="shared" ca="1" si="44"/>
        <v>1375</v>
      </c>
      <c r="J296" s="30">
        <f t="shared" ca="1" si="45"/>
        <v>1000</v>
      </c>
      <c r="K296" s="122">
        <f t="shared" ca="1" si="49"/>
        <v>375</v>
      </c>
      <c r="L296" s="30"/>
      <c r="M296" s="30"/>
      <c r="N296" s="30"/>
      <c r="O296" s="30"/>
    </row>
    <row r="297" spans="1:15" x14ac:dyDescent="0.25">
      <c r="A297" s="10">
        <v>278</v>
      </c>
      <c r="B297" s="43">
        <f t="shared" ca="1" si="40"/>
        <v>0.57644446863743215</v>
      </c>
      <c r="C297" s="44">
        <f t="shared" ca="1" si="46"/>
        <v>257.64444686374321</v>
      </c>
      <c r="D297" s="44">
        <f t="shared" ca="1" si="41"/>
        <v>250</v>
      </c>
      <c r="E297" s="44">
        <f t="shared" ca="1" si="42"/>
        <v>0</v>
      </c>
      <c r="F297" s="45">
        <f t="shared" ca="1" si="47"/>
        <v>0</v>
      </c>
      <c r="G297" s="45">
        <f t="shared" ca="1" si="43"/>
        <v>0</v>
      </c>
      <c r="H297" s="46">
        <f t="shared" ca="1" si="48"/>
        <v>0</v>
      </c>
      <c r="I297" s="1">
        <f t="shared" ca="1" si="44"/>
        <v>1375</v>
      </c>
      <c r="J297" s="47">
        <f t="shared" ca="1" si="45"/>
        <v>1000</v>
      </c>
      <c r="K297" s="123">
        <f t="shared" ca="1" si="49"/>
        <v>375</v>
      </c>
      <c r="L297" s="30"/>
      <c r="M297" s="30"/>
      <c r="N297" s="30"/>
      <c r="O297" s="30"/>
    </row>
    <row r="298" spans="1:15" x14ac:dyDescent="0.25">
      <c r="A298" s="10">
        <v>279</v>
      </c>
      <c r="B298" s="48">
        <f t="shared" ca="1" si="40"/>
        <v>0.30648285976122114</v>
      </c>
      <c r="C298" s="49">
        <f t="shared" ca="1" si="46"/>
        <v>230.64828597612211</v>
      </c>
      <c r="D298" s="49">
        <f t="shared" ca="1" si="41"/>
        <v>250</v>
      </c>
      <c r="E298" s="49">
        <f t="shared" ca="1" si="42"/>
        <v>19.351714023877889</v>
      </c>
      <c r="F298" s="50">
        <f t="shared" ca="1" si="47"/>
        <v>19.351714023877889</v>
      </c>
      <c r="G298" s="50">
        <f t="shared" ca="1" si="43"/>
        <v>0</v>
      </c>
      <c r="H298" s="51">
        <f t="shared" ca="1" si="48"/>
        <v>19.351714023877889</v>
      </c>
      <c r="I298" s="52">
        <f t="shared" ca="1" si="44"/>
        <v>1273.4035013746411</v>
      </c>
      <c r="J298" s="53">
        <f t="shared" ca="1" si="45"/>
        <v>1029.0275710358169</v>
      </c>
      <c r="K298" s="124">
        <f t="shared" ca="1" si="49"/>
        <v>244.37593033882422</v>
      </c>
      <c r="L298" s="30"/>
      <c r="M298" s="30"/>
      <c r="N298" s="30"/>
      <c r="O298" s="30"/>
    </row>
    <row r="299" spans="1:15" x14ac:dyDescent="0.25">
      <c r="A299" s="10">
        <v>280</v>
      </c>
      <c r="B299" s="27">
        <f t="shared" ca="1" si="40"/>
        <v>8.1503457567407844E-2</v>
      </c>
      <c r="C299" s="21">
        <f t="shared" ca="1" si="46"/>
        <v>208.15034575674079</v>
      </c>
      <c r="D299" s="21">
        <f t="shared" ca="1" si="41"/>
        <v>269.35171402387789</v>
      </c>
      <c r="E299" s="21">
        <f t="shared" ca="1" si="42"/>
        <v>41.849654243259209</v>
      </c>
      <c r="F299" s="22">
        <f t="shared" ca="1" si="47"/>
        <v>61.201368267137099</v>
      </c>
      <c r="G299" s="22">
        <f t="shared" ca="1" si="43"/>
        <v>0</v>
      </c>
      <c r="H299" s="31">
        <f t="shared" ca="1" si="48"/>
        <v>61.201368267137099</v>
      </c>
      <c r="I299" s="9">
        <f t="shared" ca="1" si="44"/>
        <v>1213.3444572945227</v>
      </c>
      <c r="J299" s="30">
        <f t="shared" ca="1" si="45"/>
        <v>1091.8020524007056</v>
      </c>
      <c r="K299" s="122">
        <f t="shared" ca="1" si="49"/>
        <v>121.54240489381709</v>
      </c>
      <c r="L299" s="30"/>
      <c r="M299" s="30"/>
      <c r="N299" s="30"/>
      <c r="O299" s="30"/>
    </row>
    <row r="300" spans="1:15" x14ac:dyDescent="0.25">
      <c r="A300" s="10">
        <v>281</v>
      </c>
      <c r="B300" s="27">
        <f t="shared" ca="1" si="40"/>
        <v>0.24841930485179153</v>
      </c>
      <c r="C300" s="21">
        <f t="shared" ca="1" si="46"/>
        <v>224.84193048517915</v>
      </c>
      <c r="D300" s="21">
        <f t="shared" ca="1" si="41"/>
        <v>291.84965424325924</v>
      </c>
      <c r="E300" s="21">
        <f t="shared" ca="1" si="42"/>
        <v>25.158069514820852</v>
      </c>
      <c r="F300" s="22">
        <f t="shared" ca="1" si="47"/>
        <v>67.00772375808009</v>
      </c>
      <c r="G300" s="22">
        <f t="shared" ca="1" si="43"/>
        <v>12.514907482760464</v>
      </c>
      <c r="H300" s="31">
        <f t="shared" ca="1" si="48"/>
        <v>54.492816275319626</v>
      </c>
      <c r="I300" s="9">
        <f t="shared" ca="1" si="44"/>
        <v>1406.3985838731492</v>
      </c>
      <c r="J300" s="30">
        <f t="shared" ca="1" si="45"/>
        <v>1081.7392244129794</v>
      </c>
      <c r="K300" s="122">
        <f t="shared" ca="1" si="49"/>
        <v>324.65935946016975</v>
      </c>
      <c r="L300" s="30"/>
      <c r="M300" s="30"/>
      <c r="N300" s="30"/>
      <c r="O300" s="30"/>
    </row>
    <row r="301" spans="1:15" x14ac:dyDescent="0.25">
      <c r="A301" s="10">
        <v>282</v>
      </c>
      <c r="B301" s="27">
        <f t="shared" ca="1" si="40"/>
        <v>0.6251490748276044</v>
      </c>
      <c r="C301" s="21">
        <f t="shared" ca="1" si="46"/>
        <v>262.51490748276046</v>
      </c>
      <c r="D301" s="21">
        <f t="shared" ca="1" si="41"/>
        <v>275.15806951482085</v>
      </c>
      <c r="E301" s="21">
        <f t="shared" ca="1" si="42"/>
        <v>0</v>
      </c>
      <c r="F301" s="22">
        <f t="shared" ca="1" si="47"/>
        <v>12.643162032060388</v>
      </c>
      <c r="G301" s="22">
        <f t="shared" ca="1" si="43"/>
        <v>0</v>
      </c>
      <c r="H301" s="31">
        <f t="shared" ca="1" si="48"/>
        <v>12.643162032060388</v>
      </c>
      <c r="I301" s="9">
        <f t="shared" ca="1" si="44"/>
        <v>1375</v>
      </c>
      <c r="J301" s="30">
        <f t="shared" ca="1" si="45"/>
        <v>1018.9647430480906</v>
      </c>
      <c r="K301" s="122">
        <f t="shared" ca="1" si="49"/>
        <v>356.03525695190945</v>
      </c>
      <c r="L301" s="30"/>
      <c r="M301" s="30"/>
      <c r="N301" s="30"/>
      <c r="O301" s="30"/>
    </row>
    <row r="302" spans="1:15" x14ac:dyDescent="0.25">
      <c r="A302" s="10">
        <v>283</v>
      </c>
      <c r="B302" s="27">
        <f t="shared" ca="1" si="40"/>
        <v>0.29756806799065205</v>
      </c>
      <c r="C302" s="21">
        <f t="shared" ca="1" si="46"/>
        <v>229.7568067990652</v>
      </c>
      <c r="D302" s="21">
        <f t="shared" ca="1" si="41"/>
        <v>250</v>
      </c>
      <c r="E302" s="21">
        <f t="shared" ca="1" si="42"/>
        <v>20.243193200934797</v>
      </c>
      <c r="F302" s="22">
        <f t="shared" ca="1" si="47"/>
        <v>20.243193200934797</v>
      </c>
      <c r="G302" s="22">
        <f t="shared" ca="1" si="43"/>
        <v>0</v>
      </c>
      <c r="H302" s="31">
        <f t="shared" ca="1" si="48"/>
        <v>20.243193200934797</v>
      </c>
      <c r="I302" s="9">
        <f t="shared" ca="1" si="44"/>
        <v>1268.7232356950924</v>
      </c>
      <c r="J302" s="30">
        <f t="shared" ca="1" si="45"/>
        <v>1030.3647898014021</v>
      </c>
      <c r="K302" s="122">
        <f t="shared" ca="1" si="49"/>
        <v>238.35844589369026</v>
      </c>
      <c r="L302" s="30"/>
      <c r="M302" s="30"/>
      <c r="N302" s="30"/>
      <c r="O302" s="30"/>
    </row>
    <row r="303" spans="1:15" x14ac:dyDescent="0.25">
      <c r="A303" s="10">
        <v>284</v>
      </c>
      <c r="B303" s="27">
        <f t="shared" ca="1" si="40"/>
        <v>0.32336607830685948</v>
      </c>
      <c r="C303" s="21">
        <f t="shared" ca="1" si="46"/>
        <v>232.33660783068595</v>
      </c>
      <c r="D303" s="21">
        <f t="shared" ca="1" si="41"/>
        <v>270.2431932009348</v>
      </c>
      <c r="E303" s="21">
        <f t="shared" ca="1" si="42"/>
        <v>17.663392169314051</v>
      </c>
      <c r="F303" s="22">
        <f t="shared" ca="1" si="47"/>
        <v>37.906585370248848</v>
      </c>
      <c r="G303" s="22">
        <f t="shared" ca="1" si="43"/>
        <v>0</v>
      </c>
      <c r="H303" s="31">
        <f t="shared" ca="1" si="48"/>
        <v>37.906585370248848</v>
      </c>
      <c r="I303" s="9">
        <f t="shared" ca="1" si="44"/>
        <v>1342.9967707139053</v>
      </c>
      <c r="J303" s="30">
        <f t="shared" ca="1" si="45"/>
        <v>1056.8598780553732</v>
      </c>
      <c r="K303" s="122">
        <f t="shared" ca="1" si="49"/>
        <v>286.13689265853213</v>
      </c>
      <c r="L303" s="30"/>
      <c r="M303" s="30"/>
      <c r="N303" s="30"/>
      <c r="O303" s="30"/>
    </row>
    <row r="304" spans="1:15" x14ac:dyDescent="0.25">
      <c r="A304" s="10">
        <v>285</v>
      </c>
      <c r="B304" s="27">
        <f t="shared" ca="1" si="40"/>
        <v>0.1050025452482537</v>
      </c>
      <c r="C304" s="21">
        <f t="shared" ca="1" si="46"/>
        <v>210.50025452482538</v>
      </c>
      <c r="D304" s="21">
        <f t="shared" ca="1" si="41"/>
        <v>267.66339216931408</v>
      </c>
      <c r="E304" s="21">
        <f t="shared" ca="1" si="42"/>
        <v>39.49974547517462</v>
      </c>
      <c r="F304" s="22">
        <f t="shared" ca="1" si="47"/>
        <v>57.1631376444887</v>
      </c>
      <c r="G304" s="22">
        <f t="shared" ca="1" si="43"/>
        <v>0</v>
      </c>
      <c r="H304" s="31">
        <f t="shared" ca="1" si="48"/>
        <v>57.1631376444887</v>
      </c>
      <c r="I304" s="9">
        <f t="shared" ca="1" si="44"/>
        <v>1220.6165127632753</v>
      </c>
      <c r="J304" s="30">
        <f t="shared" ca="1" si="45"/>
        <v>1085.7447064667331</v>
      </c>
      <c r="K304" s="122">
        <f t="shared" ca="1" si="49"/>
        <v>134.87180629654222</v>
      </c>
      <c r="L304" s="30"/>
      <c r="M304" s="30"/>
      <c r="N304" s="30"/>
      <c r="O304" s="30"/>
    </row>
    <row r="305" spans="1:15" x14ac:dyDescent="0.25">
      <c r="A305" s="10">
        <v>286</v>
      </c>
      <c r="B305" s="27">
        <f t="shared" ca="1" si="40"/>
        <v>0.14669135669257094</v>
      </c>
      <c r="C305" s="21">
        <f t="shared" ca="1" si="46"/>
        <v>214.66913566925709</v>
      </c>
      <c r="D305" s="21">
        <f t="shared" ca="1" si="41"/>
        <v>289.49974547517462</v>
      </c>
      <c r="E305" s="21">
        <f t="shared" ca="1" si="42"/>
        <v>35.330864330742912</v>
      </c>
      <c r="F305" s="22">
        <f t="shared" ca="1" si="47"/>
        <v>74.830609805917533</v>
      </c>
      <c r="G305" s="22">
        <f t="shared" ca="1" si="43"/>
        <v>13.320613674358754</v>
      </c>
      <c r="H305" s="31">
        <f t="shared" ca="1" si="48"/>
        <v>61.509996131558779</v>
      </c>
      <c r="I305" s="9">
        <f t="shared" ca="1" si="44"/>
        <v>1374.0429506582761</v>
      </c>
      <c r="J305" s="30">
        <f t="shared" ca="1" si="45"/>
        <v>1092.2649941973382</v>
      </c>
      <c r="K305" s="122">
        <f t="shared" ca="1" si="49"/>
        <v>281.77795646093796</v>
      </c>
      <c r="L305" s="30"/>
      <c r="M305" s="30"/>
      <c r="N305" s="30"/>
      <c r="O305" s="30"/>
    </row>
    <row r="306" spans="1:15" x14ac:dyDescent="0.25">
      <c r="A306" s="10">
        <v>287</v>
      </c>
      <c r="B306" s="27">
        <f t="shared" ca="1" si="40"/>
        <v>0.63320613674358761</v>
      </c>
      <c r="C306" s="21">
        <f t="shared" ca="1" si="46"/>
        <v>263.32061367435875</v>
      </c>
      <c r="D306" s="21">
        <f t="shared" ca="1" si="41"/>
        <v>285.33086433074288</v>
      </c>
      <c r="E306" s="21">
        <f t="shared" ca="1" si="42"/>
        <v>0</v>
      </c>
      <c r="F306" s="22">
        <f t="shared" ca="1" si="47"/>
        <v>22.01025065638413</v>
      </c>
      <c r="G306" s="22">
        <f t="shared" ca="1" si="43"/>
        <v>0</v>
      </c>
      <c r="H306" s="31">
        <f t="shared" ca="1" si="48"/>
        <v>22.01025065638413</v>
      </c>
      <c r="I306" s="9">
        <f t="shared" ca="1" si="44"/>
        <v>1375</v>
      </c>
      <c r="J306" s="30">
        <f t="shared" ca="1" si="45"/>
        <v>1033.0153759845762</v>
      </c>
      <c r="K306" s="122">
        <f t="shared" ca="1" si="49"/>
        <v>341.98462401542383</v>
      </c>
      <c r="L306" s="30"/>
      <c r="M306" s="30"/>
      <c r="N306" s="30"/>
      <c r="O306" s="30"/>
    </row>
    <row r="307" spans="1:15" x14ac:dyDescent="0.25">
      <c r="A307" s="10">
        <v>288</v>
      </c>
      <c r="B307" s="27">
        <f t="shared" ca="1" si="40"/>
        <v>0.16379552685957643</v>
      </c>
      <c r="C307" s="21">
        <f t="shared" ca="1" si="46"/>
        <v>216.37955268595763</v>
      </c>
      <c r="D307" s="21">
        <f t="shared" ca="1" si="41"/>
        <v>250</v>
      </c>
      <c r="E307" s="21">
        <f t="shared" ca="1" si="42"/>
        <v>33.620447314042366</v>
      </c>
      <c r="F307" s="22">
        <f t="shared" ca="1" si="47"/>
        <v>33.620447314042366</v>
      </c>
      <c r="G307" s="22">
        <f t="shared" ca="1" si="43"/>
        <v>3.7120015643967861</v>
      </c>
      <c r="H307" s="31">
        <f t="shared" ca="1" si="48"/>
        <v>29.90844574964558</v>
      </c>
      <c r="I307" s="9">
        <f t="shared" ca="1" si="44"/>
        <v>1288.2179888502144</v>
      </c>
      <c r="J307" s="30">
        <f t="shared" ca="1" si="45"/>
        <v>1044.8626686244684</v>
      </c>
      <c r="K307" s="122">
        <f t="shared" ca="1" si="49"/>
        <v>243.35532022574603</v>
      </c>
      <c r="L307" s="30"/>
      <c r="M307" s="30"/>
      <c r="N307" s="30"/>
      <c r="O307" s="30"/>
    </row>
    <row r="308" spans="1:15" x14ac:dyDescent="0.25">
      <c r="A308" s="10">
        <v>289</v>
      </c>
      <c r="B308" s="27">
        <f t="shared" ca="1" si="40"/>
        <v>0.53712001564396783</v>
      </c>
      <c r="C308" s="21">
        <f t="shared" ca="1" si="46"/>
        <v>253.71200156439679</v>
      </c>
      <c r="D308" s="21">
        <f t="shared" ca="1" si="41"/>
        <v>283.62044731404239</v>
      </c>
      <c r="E308" s="21">
        <f t="shared" ca="1" si="42"/>
        <v>0</v>
      </c>
      <c r="F308" s="22">
        <f t="shared" ca="1" si="47"/>
        <v>29.908445749645608</v>
      </c>
      <c r="G308" s="22">
        <f t="shared" ca="1" si="43"/>
        <v>0</v>
      </c>
      <c r="H308" s="31">
        <f t="shared" ca="1" si="48"/>
        <v>29.908445749645608</v>
      </c>
      <c r="I308" s="9">
        <f t="shared" ca="1" si="44"/>
        <v>1375</v>
      </c>
      <c r="J308" s="30">
        <f t="shared" ca="1" si="45"/>
        <v>1044.8626686244684</v>
      </c>
      <c r="K308" s="122">
        <f t="shared" ca="1" si="49"/>
        <v>330.13733137553163</v>
      </c>
      <c r="L308" s="30"/>
      <c r="M308" s="30"/>
      <c r="N308" s="30"/>
      <c r="O308" s="30"/>
    </row>
    <row r="309" spans="1:15" x14ac:dyDescent="0.25">
      <c r="A309" s="10">
        <v>290</v>
      </c>
      <c r="B309" s="27">
        <f t="shared" ca="1" si="40"/>
        <v>9.3479286664953198E-2</v>
      </c>
      <c r="C309" s="21">
        <f t="shared" ca="1" si="46"/>
        <v>209.34792866649531</v>
      </c>
      <c r="D309" s="21">
        <f t="shared" ca="1" si="41"/>
        <v>250</v>
      </c>
      <c r="E309" s="21">
        <f t="shared" ca="1" si="42"/>
        <v>40.652071333504693</v>
      </c>
      <c r="F309" s="22">
        <f t="shared" ca="1" si="47"/>
        <v>40.652071333504693</v>
      </c>
      <c r="G309" s="22">
        <f t="shared" ca="1" si="43"/>
        <v>37.553815188418753</v>
      </c>
      <c r="H309" s="31">
        <f t="shared" ca="1" si="48"/>
        <v>3.0982561450859407</v>
      </c>
      <c r="I309" s="9">
        <f t="shared" ca="1" si="44"/>
        <v>1170.8713939343581</v>
      </c>
      <c r="J309" s="30">
        <f t="shared" ca="1" si="45"/>
        <v>1004.6473842176289</v>
      </c>
      <c r="K309" s="122">
        <f t="shared" ca="1" si="49"/>
        <v>166.22400971672926</v>
      </c>
      <c r="L309" s="30"/>
      <c r="M309" s="30"/>
      <c r="N309" s="30"/>
      <c r="O309" s="30"/>
    </row>
    <row r="310" spans="1:15" x14ac:dyDescent="0.25">
      <c r="A310" s="10">
        <v>291</v>
      </c>
      <c r="B310" s="27">
        <f t="shared" ca="1" si="40"/>
        <v>0.87553815188418749</v>
      </c>
      <c r="C310" s="21">
        <f t="shared" ca="1" si="46"/>
        <v>287.55381518841875</v>
      </c>
      <c r="D310" s="21">
        <f t="shared" ca="1" si="41"/>
        <v>290.65207133350469</v>
      </c>
      <c r="E310" s="21">
        <f t="shared" ca="1" si="42"/>
        <v>0</v>
      </c>
      <c r="F310" s="22">
        <f t="shared" ca="1" si="47"/>
        <v>3.0982561450859407</v>
      </c>
      <c r="G310" s="22">
        <f t="shared" ca="1" si="43"/>
        <v>0</v>
      </c>
      <c r="H310" s="31">
        <f t="shared" ca="1" si="48"/>
        <v>3.0982561450859407</v>
      </c>
      <c r="I310" s="9">
        <f t="shared" ca="1" si="44"/>
        <v>1375</v>
      </c>
      <c r="J310" s="30">
        <f t="shared" ca="1" si="45"/>
        <v>1004.6473842176289</v>
      </c>
      <c r="K310" s="122">
        <f t="shared" ca="1" si="49"/>
        <v>370.35261578237112</v>
      </c>
      <c r="L310" s="30"/>
      <c r="M310" s="30"/>
      <c r="N310" s="30"/>
      <c r="O310" s="30"/>
    </row>
    <row r="311" spans="1:15" x14ac:dyDescent="0.25">
      <c r="A311" s="10">
        <v>292</v>
      </c>
      <c r="B311" s="27">
        <f t="shared" ca="1" si="40"/>
        <v>0.20090621379112672</v>
      </c>
      <c r="C311" s="21">
        <f t="shared" ca="1" si="46"/>
        <v>220.09062137911266</v>
      </c>
      <c r="D311" s="21">
        <f t="shared" ca="1" si="41"/>
        <v>250</v>
      </c>
      <c r="E311" s="21">
        <f t="shared" ca="1" si="42"/>
        <v>29.909378620887338</v>
      </c>
      <c r="F311" s="22">
        <f t="shared" ca="1" si="47"/>
        <v>29.909378620887338</v>
      </c>
      <c r="G311" s="22">
        <f t="shared" ca="1" si="43"/>
        <v>1.7124708775001807</v>
      </c>
      <c r="H311" s="31">
        <f t="shared" ca="1" si="48"/>
        <v>28.196907743387158</v>
      </c>
      <c r="I311" s="9">
        <f t="shared" ca="1" si="44"/>
        <v>1302.566485470503</v>
      </c>
      <c r="J311" s="30">
        <f t="shared" ca="1" si="45"/>
        <v>1042.2953616150808</v>
      </c>
      <c r="K311" s="122">
        <f t="shared" ca="1" si="49"/>
        <v>260.27112385542227</v>
      </c>
      <c r="L311" s="30"/>
      <c r="M311" s="30"/>
      <c r="N311" s="30"/>
      <c r="O311" s="30"/>
    </row>
    <row r="312" spans="1:15" x14ac:dyDescent="0.25">
      <c r="A312" s="10">
        <v>293</v>
      </c>
      <c r="B312" s="27">
        <f t="shared" ca="1" si="40"/>
        <v>0.51712470877500172</v>
      </c>
      <c r="C312" s="21">
        <f t="shared" ca="1" si="46"/>
        <v>251.71247087750018</v>
      </c>
      <c r="D312" s="21">
        <f t="shared" ca="1" si="41"/>
        <v>279.90937862088731</v>
      </c>
      <c r="E312" s="21">
        <f t="shared" ca="1" si="42"/>
        <v>0</v>
      </c>
      <c r="F312" s="22">
        <f t="shared" ca="1" si="47"/>
        <v>28.196907743387129</v>
      </c>
      <c r="G312" s="22">
        <f t="shared" ca="1" si="43"/>
        <v>0</v>
      </c>
      <c r="H312" s="31">
        <f t="shared" ca="1" si="48"/>
        <v>28.196907743387129</v>
      </c>
      <c r="I312" s="9">
        <f t="shared" ca="1" si="44"/>
        <v>1375</v>
      </c>
      <c r="J312" s="30">
        <f t="shared" ca="1" si="45"/>
        <v>1042.2953616150808</v>
      </c>
      <c r="K312" s="122">
        <f t="shared" ca="1" si="49"/>
        <v>332.70463838491924</v>
      </c>
      <c r="L312" s="30"/>
      <c r="M312" s="30"/>
      <c r="N312" s="30"/>
      <c r="O312" s="30"/>
    </row>
    <row r="313" spans="1:15" x14ac:dyDescent="0.25">
      <c r="A313" s="10">
        <v>294</v>
      </c>
      <c r="B313" s="27">
        <f t="shared" ca="1" si="40"/>
        <v>0.19000052535955292</v>
      </c>
      <c r="C313" s="21">
        <f t="shared" ca="1" si="46"/>
        <v>219.00005253595529</v>
      </c>
      <c r="D313" s="21">
        <f t="shared" ca="1" si="41"/>
        <v>250</v>
      </c>
      <c r="E313" s="21">
        <f t="shared" ca="1" si="42"/>
        <v>30.999947464044709</v>
      </c>
      <c r="F313" s="22">
        <f t="shared" ca="1" si="47"/>
        <v>30.999947464044709</v>
      </c>
      <c r="G313" s="22">
        <f t="shared" ca="1" si="43"/>
        <v>3.7954562351284267</v>
      </c>
      <c r="H313" s="31">
        <f t="shared" ca="1" si="48"/>
        <v>27.204491228916282</v>
      </c>
      <c r="I313" s="9">
        <f t="shared" ca="1" si="44"/>
        <v>1293.8637495005141</v>
      </c>
      <c r="J313" s="30">
        <f t="shared" ca="1" si="45"/>
        <v>1040.8067368433744</v>
      </c>
      <c r="K313" s="122">
        <f t="shared" ca="1" si="49"/>
        <v>253.05701265713969</v>
      </c>
      <c r="L313" s="30"/>
      <c r="M313" s="30"/>
      <c r="N313" s="30"/>
      <c r="O313" s="30"/>
    </row>
    <row r="314" spans="1:15" x14ac:dyDescent="0.25">
      <c r="A314" s="10">
        <v>295</v>
      </c>
      <c r="B314" s="27">
        <f t="shared" ca="1" si="40"/>
        <v>0.53795456235128425</v>
      </c>
      <c r="C314" s="21">
        <f t="shared" ca="1" si="46"/>
        <v>253.79545623512843</v>
      </c>
      <c r="D314" s="21">
        <f t="shared" ca="1" si="41"/>
        <v>280.99994746404468</v>
      </c>
      <c r="E314" s="21">
        <f t="shared" ca="1" si="42"/>
        <v>0</v>
      </c>
      <c r="F314" s="22">
        <f t="shared" ca="1" si="47"/>
        <v>27.204491228916254</v>
      </c>
      <c r="G314" s="22">
        <f t="shared" ca="1" si="43"/>
        <v>0</v>
      </c>
      <c r="H314" s="31">
        <f t="shared" ca="1" si="48"/>
        <v>27.204491228916254</v>
      </c>
      <c r="I314" s="9">
        <f t="shared" ca="1" si="44"/>
        <v>1375</v>
      </c>
      <c r="J314" s="30">
        <f t="shared" ca="1" si="45"/>
        <v>1040.8067368433744</v>
      </c>
      <c r="K314" s="122">
        <f t="shared" ca="1" si="49"/>
        <v>334.19326315662556</v>
      </c>
      <c r="L314" s="30"/>
      <c r="M314" s="30"/>
      <c r="N314" s="30"/>
      <c r="O314" s="30"/>
    </row>
    <row r="315" spans="1:15" x14ac:dyDescent="0.25">
      <c r="A315" s="10">
        <v>296</v>
      </c>
      <c r="B315" s="27">
        <f t="shared" ca="1" si="40"/>
        <v>0.24455127170562463</v>
      </c>
      <c r="C315" s="21">
        <f t="shared" ca="1" si="46"/>
        <v>224.45512717056246</v>
      </c>
      <c r="D315" s="21">
        <f t="shared" ca="1" si="41"/>
        <v>250</v>
      </c>
      <c r="E315" s="21">
        <f t="shared" ca="1" si="42"/>
        <v>25.544872829437537</v>
      </c>
      <c r="F315" s="22">
        <f t="shared" ca="1" si="47"/>
        <v>25.544872829437537</v>
      </c>
      <c r="G315" s="22">
        <f t="shared" ca="1" si="43"/>
        <v>0</v>
      </c>
      <c r="H315" s="31">
        <f t="shared" ca="1" si="48"/>
        <v>25.544872829437537</v>
      </c>
      <c r="I315" s="9">
        <f t="shared" ca="1" si="44"/>
        <v>1240.889417645453</v>
      </c>
      <c r="J315" s="30">
        <f t="shared" ca="1" si="45"/>
        <v>1038.3173092441564</v>
      </c>
      <c r="K315" s="122">
        <f t="shared" ca="1" si="49"/>
        <v>202.57210840129665</v>
      </c>
      <c r="L315" s="30"/>
      <c r="M315" s="30"/>
      <c r="N315" s="30"/>
      <c r="O315" s="30"/>
    </row>
    <row r="316" spans="1:15" x14ac:dyDescent="0.25">
      <c r="A316" s="10">
        <v>297</v>
      </c>
      <c r="B316" s="27">
        <f t="shared" ca="1" si="40"/>
        <v>5.5380431952639864E-2</v>
      </c>
      <c r="C316" s="21">
        <f t="shared" ca="1" si="46"/>
        <v>205.53804319526398</v>
      </c>
      <c r="D316" s="21">
        <f t="shared" ca="1" si="41"/>
        <v>275.54487282943751</v>
      </c>
      <c r="E316" s="21">
        <f t="shared" ca="1" si="42"/>
        <v>44.461956804736019</v>
      </c>
      <c r="F316" s="22">
        <f t="shared" ca="1" si="47"/>
        <v>70.006829634173528</v>
      </c>
      <c r="G316" s="22">
        <f t="shared" ca="1" si="43"/>
        <v>19.791040751888318</v>
      </c>
      <c r="H316" s="31">
        <f t="shared" ca="1" si="48"/>
        <v>50.21578888228521</v>
      </c>
      <c r="I316" s="9">
        <f t="shared" ca="1" si="44"/>
        <v>1292.2220934219913</v>
      </c>
      <c r="J316" s="30">
        <f t="shared" ca="1" si="45"/>
        <v>1075.3236833234278</v>
      </c>
      <c r="K316" s="122">
        <f t="shared" ca="1" si="49"/>
        <v>216.89841009856355</v>
      </c>
      <c r="L316" s="30"/>
      <c r="M316" s="30"/>
      <c r="N316" s="30"/>
      <c r="O316" s="30"/>
    </row>
    <row r="317" spans="1:15" x14ac:dyDescent="0.25">
      <c r="A317" s="10">
        <v>298</v>
      </c>
      <c r="B317" s="27">
        <f t="shared" ca="1" si="40"/>
        <v>0.69791040751888334</v>
      </c>
      <c r="C317" s="21">
        <f t="shared" ca="1" si="46"/>
        <v>269.79104075188832</v>
      </c>
      <c r="D317" s="21">
        <f t="shared" ca="1" si="41"/>
        <v>294.46195680473602</v>
      </c>
      <c r="E317" s="21">
        <f t="shared" ca="1" si="42"/>
        <v>0</v>
      </c>
      <c r="F317" s="22">
        <f t="shared" ca="1" si="47"/>
        <v>24.670916052847701</v>
      </c>
      <c r="G317" s="22">
        <f t="shared" ca="1" si="43"/>
        <v>49.073976300742572</v>
      </c>
      <c r="H317" s="31">
        <f t="shared" ca="1" si="48"/>
        <v>0</v>
      </c>
      <c r="I317" s="9">
        <f t="shared" ca="1" si="44"/>
        <v>1375</v>
      </c>
      <c r="J317" s="30">
        <f t="shared" ca="1" si="45"/>
        <v>1000</v>
      </c>
      <c r="K317" s="122">
        <f t="shared" ca="1" si="49"/>
        <v>375</v>
      </c>
      <c r="L317" s="30"/>
      <c r="M317" s="30"/>
      <c r="N317" s="30"/>
      <c r="O317" s="30"/>
    </row>
    <row r="318" spans="1:15" x14ac:dyDescent="0.25">
      <c r="A318" s="10">
        <v>299</v>
      </c>
      <c r="B318" s="27">
        <f t="shared" ca="1" si="40"/>
        <v>0.99073976300742583</v>
      </c>
      <c r="C318" s="21">
        <f t="shared" ca="1" si="46"/>
        <v>299.07397630074257</v>
      </c>
      <c r="D318" s="21">
        <f t="shared" ca="1" si="41"/>
        <v>250</v>
      </c>
      <c r="E318" s="21">
        <f t="shared" ca="1" si="42"/>
        <v>0</v>
      </c>
      <c r="F318" s="22">
        <f t="shared" ca="1" si="47"/>
        <v>0</v>
      </c>
      <c r="G318" s="22">
        <f t="shared" ca="1" si="43"/>
        <v>0</v>
      </c>
      <c r="H318" s="31">
        <f t="shared" ca="1" si="48"/>
        <v>0</v>
      </c>
      <c r="I318" s="9">
        <f t="shared" ca="1" si="44"/>
        <v>1375</v>
      </c>
      <c r="J318" s="30">
        <f t="shared" ca="1" si="45"/>
        <v>1000</v>
      </c>
      <c r="K318" s="122">
        <f t="shared" ca="1" si="49"/>
        <v>375</v>
      </c>
      <c r="L318" s="30"/>
      <c r="M318" s="30"/>
      <c r="N318" s="30"/>
      <c r="O318" s="30"/>
    </row>
    <row r="319" spans="1:15" x14ac:dyDescent="0.25">
      <c r="A319" s="10">
        <v>300</v>
      </c>
      <c r="B319" s="27">
        <f t="shared" ca="1" si="40"/>
        <v>0.34494193998057676</v>
      </c>
      <c r="C319" s="21">
        <f t="shared" ca="1" si="46"/>
        <v>234.49419399805768</v>
      </c>
      <c r="D319" s="21">
        <f t="shared" ca="1" si="41"/>
        <v>250</v>
      </c>
      <c r="E319" s="21">
        <f t="shared" ca="1" si="42"/>
        <v>15.505806001942318</v>
      </c>
      <c r="F319" s="22">
        <f t="shared" ca="1" si="47"/>
        <v>15.505806001942318</v>
      </c>
      <c r="G319" s="22">
        <f t="shared" ca="1" si="43"/>
        <v>0</v>
      </c>
      <c r="H319" s="31">
        <f t="shared" ca="1" si="48"/>
        <v>15.505806001942318</v>
      </c>
      <c r="I319" s="9">
        <f t="shared" ca="1" si="44"/>
        <v>1293.5945184898028</v>
      </c>
      <c r="J319" s="30">
        <f t="shared" ca="1" si="45"/>
        <v>1023.2587090029135</v>
      </c>
      <c r="K319" s="122">
        <f t="shared" ca="1" si="49"/>
        <v>270.33580948688927</v>
      </c>
      <c r="L319" s="30"/>
      <c r="M319" s="30"/>
      <c r="N319" s="30"/>
      <c r="O319" s="30"/>
    </row>
    <row r="320" spans="1:15" x14ac:dyDescent="0.25">
      <c r="A320" s="10">
        <v>301</v>
      </c>
      <c r="B320" s="27">
        <f t="shared" ca="1" si="40"/>
        <v>0.34110347108623695</v>
      </c>
      <c r="C320" s="21">
        <f t="shared" ca="1" si="46"/>
        <v>234.1103471086237</v>
      </c>
      <c r="D320" s="21">
        <f t="shared" ca="1" si="41"/>
        <v>265.50580600194235</v>
      </c>
      <c r="E320" s="21">
        <f t="shared" ca="1" si="42"/>
        <v>15.889652891376301</v>
      </c>
      <c r="F320" s="22">
        <f t="shared" ca="1" si="47"/>
        <v>31.395458893318647</v>
      </c>
      <c r="G320" s="22">
        <f t="shared" ca="1" si="43"/>
        <v>0</v>
      </c>
      <c r="H320" s="31">
        <f t="shared" ca="1" si="48"/>
        <v>31.395458893318647</v>
      </c>
      <c r="I320" s="9">
        <f t="shared" ca="1" si="44"/>
        <v>1338.0967403261016</v>
      </c>
      <c r="J320" s="30">
        <f t="shared" ca="1" si="45"/>
        <v>1047.093188339978</v>
      </c>
      <c r="K320" s="122">
        <f t="shared" ca="1" si="49"/>
        <v>291.00355198612351</v>
      </c>
      <c r="L320" s="30"/>
      <c r="M320" s="30"/>
      <c r="N320" s="30"/>
      <c r="O320" s="30"/>
    </row>
    <row r="321" spans="1:15" x14ac:dyDescent="0.25">
      <c r="A321" s="10">
        <v>302</v>
      </c>
      <c r="B321" s="27">
        <f t="shared" ca="1" si="40"/>
        <v>0.4046838437868342</v>
      </c>
      <c r="C321" s="21">
        <f t="shared" ca="1" si="46"/>
        <v>240.46838437868342</v>
      </c>
      <c r="D321" s="21">
        <f t="shared" ca="1" si="41"/>
        <v>265.88965289137627</v>
      </c>
      <c r="E321" s="21">
        <f t="shared" ca="1" si="42"/>
        <v>9.5316156213165755</v>
      </c>
      <c r="F321" s="22">
        <f t="shared" ca="1" si="47"/>
        <v>25.421268512692848</v>
      </c>
      <c r="G321" s="22">
        <f t="shared" ca="1" si="43"/>
        <v>16.859439971287713</v>
      </c>
      <c r="H321" s="31">
        <f t="shared" ca="1" si="48"/>
        <v>8.5618285414051343</v>
      </c>
      <c r="I321" s="9">
        <f t="shared" ca="1" si="44"/>
        <v>1350.6445036123032</v>
      </c>
      <c r="J321" s="30">
        <f t="shared" ca="1" si="45"/>
        <v>1012.8427428121076</v>
      </c>
      <c r="K321" s="122">
        <f t="shared" ca="1" si="49"/>
        <v>337.80176080019555</v>
      </c>
      <c r="L321" s="30"/>
      <c r="M321" s="30"/>
      <c r="N321" s="30"/>
      <c r="O321" s="30"/>
    </row>
    <row r="322" spans="1:15" x14ac:dyDescent="0.25">
      <c r="A322" s="10">
        <v>303</v>
      </c>
      <c r="B322" s="27">
        <f t="shared" ca="1" si="40"/>
        <v>0.66859439971287726</v>
      </c>
      <c r="C322" s="21">
        <f t="shared" ca="1" si="46"/>
        <v>266.85943997128771</v>
      </c>
      <c r="D322" s="21">
        <f t="shared" ca="1" si="41"/>
        <v>259.53161562131658</v>
      </c>
      <c r="E322" s="21">
        <f t="shared" ca="1" si="42"/>
        <v>0</v>
      </c>
      <c r="F322" s="22">
        <f t="shared" ca="1" si="47"/>
        <v>0</v>
      </c>
      <c r="G322" s="22">
        <f t="shared" ca="1" si="43"/>
        <v>46.385832496573357</v>
      </c>
      <c r="H322" s="31">
        <f t="shared" ca="1" si="48"/>
        <v>0</v>
      </c>
      <c r="I322" s="9">
        <f t="shared" ca="1" si="44"/>
        <v>1375</v>
      </c>
      <c r="J322" s="30">
        <f t="shared" ca="1" si="45"/>
        <v>1000</v>
      </c>
      <c r="K322" s="122">
        <f t="shared" ca="1" si="49"/>
        <v>375</v>
      </c>
      <c r="L322" s="30"/>
      <c r="M322" s="30"/>
      <c r="N322" s="30"/>
      <c r="O322" s="30"/>
    </row>
    <row r="323" spans="1:15" x14ac:dyDescent="0.25">
      <c r="A323" s="10">
        <v>304</v>
      </c>
      <c r="B323" s="27">
        <f t="shared" ca="1" si="40"/>
        <v>0.96385832496573343</v>
      </c>
      <c r="C323" s="21">
        <f t="shared" ca="1" si="46"/>
        <v>296.38583249657336</v>
      </c>
      <c r="D323" s="21">
        <f t="shared" ca="1" si="41"/>
        <v>250</v>
      </c>
      <c r="E323" s="21">
        <f t="shared" ca="1" si="42"/>
        <v>0</v>
      </c>
      <c r="F323" s="22">
        <f t="shared" ca="1" si="47"/>
        <v>0</v>
      </c>
      <c r="G323" s="22">
        <f t="shared" ca="1" si="43"/>
        <v>31.7633766020096</v>
      </c>
      <c r="H323" s="31">
        <f t="shared" ca="1" si="48"/>
        <v>0</v>
      </c>
      <c r="I323" s="9">
        <f t="shared" ca="1" si="44"/>
        <v>1375</v>
      </c>
      <c r="J323" s="30">
        <f t="shared" ca="1" si="45"/>
        <v>1000</v>
      </c>
      <c r="K323" s="122">
        <f t="shared" ca="1" si="49"/>
        <v>375</v>
      </c>
      <c r="L323" s="30"/>
      <c r="M323" s="30"/>
      <c r="N323" s="30"/>
      <c r="O323" s="30"/>
    </row>
    <row r="324" spans="1:15" x14ac:dyDescent="0.25">
      <c r="A324" s="10">
        <v>305</v>
      </c>
      <c r="B324" s="27">
        <f t="shared" ca="1" si="40"/>
        <v>0.81763376602009619</v>
      </c>
      <c r="C324" s="21">
        <f t="shared" ca="1" si="46"/>
        <v>281.7633766020096</v>
      </c>
      <c r="D324" s="21">
        <f t="shared" ca="1" si="41"/>
        <v>250</v>
      </c>
      <c r="E324" s="21">
        <f t="shared" ca="1" si="42"/>
        <v>0</v>
      </c>
      <c r="F324" s="22">
        <f t="shared" ca="1" si="47"/>
        <v>0</v>
      </c>
      <c r="G324" s="22">
        <f t="shared" ca="1" si="43"/>
        <v>19.600033444931682</v>
      </c>
      <c r="H324" s="31">
        <f t="shared" ca="1" si="48"/>
        <v>0</v>
      </c>
      <c r="I324" s="9">
        <f t="shared" ca="1" si="44"/>
        <v>1375</v>
      </c>
      <c r="J324" s="30">
        <f t="shared" ca="1" si="45"/>
        <v>1000</v>
      </c>
      <c r="K324" s="122">
        <f t="shared" ca="1" si="49"/>
        <v>375</v>
      </c>
      <c r="L324" s="30"/>
      <c r="M324" s="30"/>
      <c r="N324" s="30"/>
      <c r="O324" s="30"/>
    </row>
    <row r="325" spans="1:15" x14ac:dyDescent="0.25">
      <c r="A325" s="10">
        <v>306</v>
      </c>
      <c r="B325" s="27">
        <f t="shared" ca="1" si="40"/>
        <v>0.69600033444931708</v>
      </c>
      <c r="C325" s="21">
        <f t="shared" ca="1" si="46"/>
        <v>269.60003344493168</v>
      </c>
      <c r="D325" s="21">
        <f t="shared" ca="1" si="41"/>
        <v>250</v>
      </c>
      <c r="E325" s="21">
        <f t="shared" ca="1" si="42"/>
        <v>0</v>
      </c>
      <c r="F325" s="22">
        <f t="shared" ca="1" si="47"/>
        <v>0</v>
      </c>
      <c r="G325" s="22">
        <f t="shared" ca="1" si="43"/>
        <v>0</v>
      </c>
      <c r="H325" s="31">
        <f t="shared" ca="1" si="48"/>
        <v>0</v>
      </c>
      <c r="I325" s="9">
        <f t="shared" ca="1" si="44"/>
        <v>1375</v>
      </c>
      <c r="J325" s="30">
        <f t="shared" ca="1" si="45"/>
        <v>1000</v>
      </c>
      <c r="K325" s="122">
        <f t="shared" ca="1" si="49"/>
        <v>375</v>
      </c>
      <c r="L325" s="30"/>
      <c r="M325" s="30"/>
      <c r="N325" s="30"/>
      <c r="O325" s="30"/>
    </row>
    <row r="326" spans="1:15" x14ac:dyDescent="0.25">
      <c r="A326" s="10">
        <v>307</v>
      </c>
      <c r="B326" s="27">
        <f t="shared" ca="1" si="40"/>
        <v>0.30982167451638132</v>
      </c>
      <c r="C326" s="21">
        <f t="shared" ca="1" si="46"/>
        <v>230.98216745163813</v>
      </c>
      <c r="D326" s="21">
        <f t="shared" ca="1" si="41"/>
        <v>250</v>
      </c>
      <c r="E326" s="21">
        <f t="shared" ca="1" si="42"/>
        <v>19.017832548361866</v>
      </c>
      <c r="F326" s="22">
        <f t="shared" ca="1" si="47"/>
        <v>19.017832548361866</v>
      </c>
      <c r="G326" s="22">
        <f t="shared" ca="1" si="43"/>
        <v>0</v>
      </c>
      <c r="H326" s="31">
        <f t="shared" ca="1" si="48"/>
        <v>19.017832548361866</v>
      </c>
      <c r="I326" s="9">
        <f t="shared" ca="1" si="44"/>
        <v>1275.1563791211004</v>
      </c>
      <c r="J326" s="30">
        <f t="shared" ca="1" si="45"/>
        <v>1028.5267488225427</v>
      </c>
      <c r="K326" s="122">
        <f t="shared" ca="1" si="49"/>
        <v>246.62963029855769</v>
      </c>
      <c r="L326" s="30"/>
      <c r="M326" s="30"/>
      <c r="N326" s="30"/>
      <c r="O326" s="30"/>
    </row>
    <row r="327" spans="1:15" x14ac:dyDescent="0.25">
      <c r="A327" s="10">
        <v>308</v>
      </c>
      <c r="B327" s="27">
        <f t="shared" ca="1" si="40"/>
        <v>0.38653776797801098</v>
      </c>
      <c r="C327" s="21">
        <f t="shared" ca="1" si="46"/>
        <v>238.6537767978011</v>
      </c>
      <c r="D327" s="21">
        <f t="shared" ca="1" si="41"/>
        <v>269.01783254836187</v>
      </c>
      <c r="E327" s="21">
        <f t="shared" ca="1" si="42"/>
        <v>11.3462232021989</v>
      </c>
      <c r="F327" s="22">
        <f t="shared" ca="1" si="47"/>
        <v>30.364055750560766</v>
      </c>
      <c r="G327" s="22">
        <f t="shared" ca="1" si="43"/>
        <v>0</v>
      </c>
      <c r="H327" s="31">
        <f t="shared" ca="1" si="48"/>
        <v>30.364055750560766</v>
      </c>
      <c r="I327" s="9">
        <f t="shared" ca="1" si="44"/>
        <v>1372.4858258335414</v>
      </c>
      <c r="J327" s="30">
        <f t="shared" ca="1" si="45"/>
        <v>1045.5460836258412</v>
      </c>
      <c r="K327" s="122">
        <f t="shared" ca="1" si="49"/>
        <v>326.93974220770019</v>
      </c>
      <c r="L327" s="30"/>
      <c r="M327" s="30"/>
      <c r="N327" s="30"/>
      <c r="O327" s="30"/>
    </row>
    <row r="328" spans="1:15" x14ac:dyDescent="0.25">
      <c r="A328" s="10">
        <v>309</v>
      </c>
      <c r="B328" s="27">
        <f t="shared" ca="1" si="40"/>
        <v>1.5804406058397169E-2</v>
      </c>
      <c r="C328" s="21">
        <f t="shared" ca="1" si="46"/>
        <v>201.58044060583973</v>
      </c>
      <c r="D328" s="21">
        <f t="shared" ca="1" si="41"/>
        <v>261.34622320219887</v>
      </c>
      <c r="E328" s="21">
        <f t="shared" ca="1" si="42"/>
        <v>48.419559394160274</v>
      </c>
      <c r="F328" s="22">
        <f t="shared" ca="1" si="47"/>
        <v>59.765782596359145</v>
      </c>
      <c r="G328" s="22">
        <f t="shared" ca="1" si="43"/>
        <v>0</v>
      </c>
      <c r="H328" s="31">
        <f t="shared" ca="1" si="48"/>
        <v>59.765782596359145</v>
      </c>
      <c r="I328" s="9">
        <f t="shared" ca="1" si="44"/>
        <v>1154.8359827872553</v>
      </c>
      <c r="J328" s="30">
        <f t="shared" ca="1" si="45"/>
        <v>1089.6486738945387</v>
      </c>
      <c r="K328" s="122">
        <f t="shared" ca="1" si="49"/>
        <v>65.187308892716601</v>
      </c>
      <c r="L328" s="30"/>
      <c r="M328" s="30"/>
      <c r="N328" s="30"/>
      <c r="O328" s="30"/>
    </row>
    <row r="329" spans="1:15" x14ac:dyDescent="0.25">
      <c r="A329" s="10">
        <v>310</v>
      </c>
      <c r="B329" s="27">
        <f t="shared" ca="1" si="40"/>
        <v>0.44839806940459037</v>
      </c>
      <c r="C329" s="21">
        <f t="shared" ca="1" si="46"/>
        <v>244.83980694045903</v>
      </c>
      <c r="D329" s="21">
        <f t="shared" ca="1" si="41"/>
        <v>298.41955939416027</v>
      </c>
      <c r="E329" s="21">
        <f t="shared" ca="1" si="42"/>
        <v>5.1601930595409726</v>
      </c>
      <c r="F329" s="22">
        <f t="shared" ca="1" si="47"/>
        <v>53.579752453701246</v>
      </c>
      <c r="G329" s="22">
        <f t="shared" ca="1" si="43"/>
        <v>10.348385646035808</v>
      </c>
      <c r="H329" s="31">
        <f t="shared" ca="1" si="48"/>
        <v>43.231366807665438</v>
      </c>
      <c r="I329" s="9">
        <f t="shared" ca="1" si="44"/>
        <v>1477.6030868604062</v>
      </c>
      <c r="J329" s="30">
        <f t="shared" ca="1" si="45"/>
        <v>1064.8470502114981</v>
      </c>
      <c r="K329" s="122">
        <f t="shared" ca="1" si="49"/>
        <v>412.75603664890809</v>
      </c>
      <c r="L329" s="30"/>
      <c r="M329" s="30"/>
      <c r="N329" s="30"/>
      <c r="O329" s="30"/>
    </row>
    <row r="330" spans="1:15" x14ac:dyDescent="0.25">
      <c r="A330" s="10">
        <v>311</v>
      </c>
      <c r="B330" s="43">
        <f t="shared" ca="1" si="40"/>
        <v>0.60348385646035807</v>
      </c>
      <c r="C330" s="44">
        <f t="shared" ca="1" si="46"/>
        <v>260.34838564603581</v>
      </c>
      <c r="D330" s="44">
        <f t="shared" ca="1" si="41"/>
        <v>255.16019305954097</v>
      </c>
      <c r="E330" s="44">
        <f t="shared" ca="1" si="42"/>
        <v>0</v>
      </c>
      <c r="F330" s="45">
        <f t="shared" ca="1" si="47"/>
        <v>0</v>
      </c>
      <c r="G330" s="45">
        <f t="shared" ca="1" si="43"/>
        <v>0</v>
      </c>
      <c r="H330" s="46">
        <f t="shared" ca="1" si="48"/>
        <v>0</v>
      </c>
      <c r="I330" s="1">
        <f t="shared" ca="1" si="44"/>
        <v>1375</v>
      </c>
      <c r="J330" s="47">
        <f t="shared" ca="1" si="45"/>
        <v>1000</v>
      </c>
      <c r="K330" s="123">
        <f t="shared" ca="1" si="49"/>
        <v>375</v>
      </c>
      <c r="L330" s="30"/>
      <c r="M330" s="30"/>
      <c r="N330" s="30"/>
      <c r="O330" s="30"/>
    </row>
    <row r="331" spans="1:15" x14ac:dyDescent="0.25">
      <c r="A331" s="10">
        <v>312</v>
      </c>
      <c r="B331" s="48">
        <f t="shared" ca="1" si="40"/>
        <v>0.31044867655195929</v>
      </c>
      <c r="C331" s="49">
        <f t="shared" ca="1" si="46"/>
        <v>231.04486765519593</v>
      </c>
      <c r="D331" s="49">
        <f t="shared" ca="1" si="41"/>
        <v>250</v>
      </c>
      <c r="E331" s="49">
        <f t="shared" ca="1" si="42"/>
        <v>18.95513234480407</v>
      </c>
      <c r="F331" s="50">
        <f t="shared" ca="1" si="47"/>
        <v>18.95513234480407</v>
      </c>
      <c r="G331" s="50">
        <f t="shared" ca="1" si="43"/>
        <v>0</v>
      </c>
      <c r="H331" s="51">
        <f t="shared" ca="1" si="48"/>
        <v>18.95513234480407</v>
      </c>
      <c r="I331" s="52">
        <f t="shared" ca="1" si="44"/>
        <v>1275.4855551897786</v>
      </c>
      <c r="J331" s="53">
        <f t="shared" ca="1" si="45"/>
        <v>1028.4326985172061</v>
      </c>
      <c r="K331" s="124">
        <f t="shared" ca="1" si="49"/>
        <v>247.05285667257249</v>
      </c>
      <c r="L331" s="30"/>
      <c r="M331" s="30"/>
      <c r="N331" s="30"/>
      <c r="O331" s="30"/>
    </row>
    <row r="332" spans="1:15" x14ac:dyDescent="0.25">
      <c r="A332" s="10">
        <v>313</v>
      </c>
      <c r="B332" s="27">
        <f t="shared" ca="1" si="40"/>
        <v>3.6446127169235454E-2</v>
      </c>
      <c r="C332" s="21">
        <f t="shared" ca="1" si="46"/>
        <v>203.64461271692355</v>
      </c>
      <c r="D332" s="21">
        <f t="shared" ca="1" si="41"/>
        <v>268.95513234480404</v>
      </c>
      <c r="E332" s="21">
        <f t="shared" ca="1" si="42"/>
        <v>46.355387283076453</v>
      </c>
      <c r="F332" s="22">
        <f t="shared" ca="1" si="47"/>
        <v>65.310519627880495</v>
      </c>
      <c r="G332" s="22">
        <f t="shared" ca="1" si="43"/>
        <v>43.113608802876286</v>
      </c>
      <c r="H332" s="31">
        <f t="shared" ca="1" si="48"/>
        <v>22.19691082500421</v>
      </c>
      <c r="I332" s="9">
        <f t="shared" ca="1" si="44"/>
        <v>1198.2249492388612</v>
      </c>
      <c r="J332" s="30">
        <f t="shared" ca="1" si="45"/>
        <v>1033.2953662375064</v>
      </c>
      <c r="K332" s="122">
        <f t="shared" ca="1" si="49"/>
        <v>164.92958300135479</v>
      </c>
      <c r="L332" s="30"/>
      <c r="M332" s="30"/>
      <c r="N332" s="30"/>
      <c r="O332" s="30"/>
    </row>
    <row r="333" spans="1:15" x14ac:dyDescent="0.25">
      <c r="A333" s="10">
        <v>314</v>
      </c>
      <c r="B333" s="27">
        <f t="shared" ca="1" si="40"/>
        <v>0.9311360880287628</v>
      </c>
      <c r="C333" s="21">
        <f t="shared" ca="1" si="46"/>
        <v>293.11360880287629</v>
      </c>
      <c r="D333" s="21">
        <f t="shared" ca="1" si="41"/>
        <v>296.35538728307642</v>
      </c>
      <c r="E333" s="21">
        <f t="shared" ca="1" si="42"/>
        <v>0</v>
      </c>
      <c r="F333" s="22">
        <f t="shared" ca="1" si="47"/>
        <v>3.2417784802001393</v>
      </c>
      <c r="G333" s="22">
        <f t="shared" ca="1" si="43"/>
        <v>0</v>
      </c>
      <c r="H333" s="31">
        <f t="shared" ca="1" si="48"/>
        <v>3.2417784802001393</v>
      </c>
      <c r="I333" s="9">
        <f t="shared" ca="1" si="44"/>
        <v>1375</v>
      </c>
      <c r="J333" s="30">
        <f t="shared" ca="1" si="45"/>
        <v>1004.8626677203002</v>
      </c>
      <c r="K333" s="122">
        <f t="shared" ca="1" si="49"/>
        <v>370.13733227969976</v>
      </c>
      <c r="L333" s="30"/>
      <c r="M333" s="30"/>
      <c r="N333" s="30"/>
      <c r="O333" s="30"/>
    </row>
    <row r="334" spans="1:15" x14ac:dyDescent="0.25">
      <c r="A334" s="10">
        <v>315</v>
      </c>
      <c r="B334" s="27">
        <f t="shared" ca="1" si="40"/>
        <v>0.45306778191701813</v>
      </c>
      <c r="C334" s="21">
        <f t="shared" ca="1" si="46"/>
        <v>245.30677819170182</v>
      </c>
      <c r="D334" s="21">
        <f t="shared" ca="1" si="41"/>
        <v>250</v>
      </c>
      <c r="E334" s="21">
        <f t="shared" ca="1" si="42"/>
        <v>4.6932218082981763</v>
      </c>
      <c r="F334" s="22">
        <f t="shared" ca="1" si="47"/>
        <v>4.6932218082981763</v>
      </c>
      <c r="G334" s="22">
        <f t="shared" ca="1" si="43"/>
        <v>33.033080149652221</v>
      </c>
      <c r="H334" s="31">
        <f t="shared" ca="1" si="48"/>
        <v>0</v>
      </c>
      <c r="I334" s="9">
        <f t="shared" ca="1" si="44"/>
        <v>1350.3605855064347</v>
      </c>
      <c r="J334" s="30">
        <f t="shared" ca="1" si="45"/>
        <v>1000</v>
      </c>
      <c r="K334" s="122">
        <f t="shared" ca="1" si="49"/>
        <v>350.36058550643475</v>
      </c>
      <c r="L334" s="30"/>
      <c r="M334" s="30"/>
      <c r="N334" s="30"/>
      <c r="O334" s="30"/>
    </row>
    <row r="335" spans="1:15" x14ac:dyDescent="0.25">
      <c r="A335" s="10">
        <v>316</v>
      </c>
      <c r="B335" s="27">
        <f t="shared" ca="1" si="40"/>
        <v>0.83033080149652239</v>
      </c>
      <c r="C335" s="21">
        <f t="shared" ca="1" si="46"/>
        <v>283.03308014965222</v>
      </c>
      <c r="D335" s="21">
        <f t="shared" ca="1" si="41"/>
        <v>254.69322180829818</v>
      </c>
      <c r="E335" s="21">
        <f t="shared" ca="1" si="42"/>
        <v>0</v>
      </c>
      <c r="F335" s="22">
        <f t="shared" ca="1" si="47"/>
        <v>0</v>
      </c>
      <c r="G335" s="22">
        <f t="shared" ca="1" si="43"/>
        <v>0</v>
      </c>
      <c r="H335" s="31">
        <f t="shared" ca="1" si="48"/>
        <v>0</v>
      </c>
      <c r="I335" s="9">
        <f t="shared" ca="1" si="44"/>
        <v>1375</v>
      </c>
      <c r="J335" s="30">
        <f t="shared" ca="1" si="45"/>
        <v>1000</v>
      </c>
      <c r="K335" s="122">
        <f t="shared" ca="1" si="49"/>
        <v>375</v>
      </c>
      <c r="L335" s="30"/>
      <c r="M335" s="30"/>
      <c r="N335" s="30"/>
      <c r="O335" s="30"/>
    </row>
    <row r="336" spans="1:15" x14ac:dyDescent="0.25">
      <c r="A336" s="10">
        <v>317</v>
      </c>
      <c r="B336" s="27">
        <f t="shared" ca="1" si="40"/>
        <v>3.3483370923427236E-3</v>
      </c>
      <c r="C336" s="21">
        <f t="shared" ca="1" si="46"/>
        <v>200.33483370923426</v>
      </c>
      <c r="D336" s="21">
        <f t="shared" ca="1" si="41"/>
        <v>250</v>
      </c>
      <c r="E336" s="21">
        <f t="shared" ca="1" si="42"/>
        <v>49.66516629076574</v>
      </c>
      <c r="F336" s="22">
        <f t="shared" ca="1" si="47"/>
        <v>49.66516629076574</v>
      </c>
      <c r="G336" s="22">
        <f t="shared" ca="1" si="43"/>
        <v>29.064471503412676</v>
      </c>
      <c r="H336" s="31">
        <f t="shared" ca="1" si="48"/>
        <v>20.600694787353063</v>
      </c>
      <c r="I336" s="9">
        <f t="shared" ca="1" si="44"/>
        <v>1176.0599613355394</v>
      </c>
      <c r="J336" s="30">
        <f t="shared" ca="1" si="45"/>
        <v>1030.9010421810297</v>
      </c>
      <c r="K336" s="122">
        <f t="shared" ca="1" si="49"/>
        <v>145.1589191545097</v>
      </c>
      <c r="L336" s="30"/>
      <c r="M336" s="30"/>
      <c r="N336" s="30"/>
      <c r="O336" s="30"/>
    </row>
    <row r="337" spans="1:15" x14ac:dyDescent="0.25">
      <c r="A337" s="10">
        <v>318</v>
      </c>
      <c r="B337" s="27">
        <f t="shared" ca="1" si="40"/>
        <v>0.79064471503412681</v>
      </c>
      <c r="C337" s="21">
        <f t="shared" ca="1" si="46"/>
        <v>279.06447150341268</v>
      </c>
      <c r="D337" s="21">
        <f t="shared" ca="1" si="41"/>
        <v>299.66516629076574</v>
      </c>
      <c r="E337" s="21">
        <f t="shared" ca="1" si="42"/>
        <v>0</v>
      </c>
      <c r="F337" s="22">
        <f t="shared" ca="1" si="47"/>
        <v>20.600694787353063</v>
      </c>
      <c r="G337" s="22">
        <f t="shared" ca="1" si="43"/>
        <v>20.251165162049404</v>
      </c>
      <c r="H337" s="31">
        <f t="shared" ca="1" si="48"/>
        <v>0.34952962530365994</v>
      </c>
      <c r="I337" s="9">
        <f t="shared" ca="1" si="44"/>
        <v>1375</v>
      </c>
      <c r="J337" s="30">
        <f t="shared" ca="1" si="45"/>
        <v>1000.5242944379555</v>
      </c>
      <c r="K337" s="122">
        <f t="shared" ca="1" si="49"/>
        <v>374.47570556204448</v>
      </c>
      <c r="L337" s="30"/>
      <c r="M337" s="30"/>
      <c r="N337" s="30"/>
      <c r="O337" s="30"/>
    </row>
    <row r="338" spans="1:15" x14ac:dyDescent="0.25">
      <c r="A338" s="10">
        <v>319</v>
      </c>
      <c r="B338" s="27">
        <f t="shared" ca="1" si="40"/>
        <v>0.70251165162049423</v>
      </c>
      <c r="C338" s="21">
        <f t="shared" ca="1" si="46"/>
        <v>270.2511651620494</v>
      </c>
      <c r="D338" s="21">
        <f t="shared" ca="1" si="41"/>
        <v>250</v>
      </c>
      <c r="E338" s="21">
        <f t="shared" ca="1" si="42"/>
        <v>0</v>
      </c>
      <c r="F338" s="22">
        <f t="shared" ca="1" si="47"/>
        <v>0</v>
      </c>
      <c r="G338" s="22">
        <f t="shared" ca="1" si="43"/>
        <v>42.6437563123784</v>
      </c>
      <c r="H338" s="31">
        <f t="shared" ca="1" si="48"/>
        <v>0</v>
      </c>
      <c r="I338" s="9">
        <f t="shared" ca="1" si="44"/>
        <v>1375</v>
      </c>
      <c r="J338" s="30">
        <f t="shared" ca="1" si="45"/>
        <v>1000</v>
      </c>
      <c r="K338" s="122">
        <f t="shared" ca="1" si="49"/>
        <v>375</v>
      </c>
      <c r="L338" s="30"/>
      <c r="M338" s="30"/>
      <c r="N338" s="30"/>
      <c r="O338" s="30"/>
    </row>
    <row r="339" spans="1:15" x14ac:dyDescent="0.25">
      <c r="A339" s="10">
        <v>320</v>
      </c>
      <c r="B339" s="27">
        <f t="shared" ca="1" si="40"/>
        <v>0.92643756312378389</v>
      </c>
      <c r="C339" s="21">
        <f t="shared" ca="1" si="46"/>
        <v>292.6437563123784</v>
      </c>
      <c r="D339" s="21">
        <f t="shared" ca="1" si="41"/>
        <v>250</v>
      </c>
      <c r="E339" s="21">
        <f t="shared" ca="1" si="42"/>
        <v>0</v>
      </c>
      <c r="F339" s="22">
        <f t="shared" ca="1" si="47"/>
        <v>0</v>
      </c>
      <c r="G339" s="22">
        <f t="shared" ca="1" si="43"/>
        <v>14.821906918860577</v>
      </c>
      <c r="H339" s="31">
        <f t="shared" ca="1" si="48"/>
        <v>0</v>
      </c>
      <c r="I339" s="9">
        <f t="shared" ca="1" si="44"/>
        <v>1375</v>
      </c>
      <c r="J339" s="30">
        <f t="shared" ca="1" si="45"/>
        <v>1000</v>
      </c>
      <c r="K339" s="122">
        <f t="shared" ca="1" si="49"/>
        <v>375</v>
      </c>
      <c r="L339" s="30"/>
      <c r="M339" s="30"/>
      <c r="N339" s="30"/>
      <c r="O339" s="30"/>
    </row>
    <row r="340" spans="1:15" x14ac:dyDescent="0.25">
      <c r="A340" s="10">
        <v>321</v>
      </c>
      <c r="B340" s="27">
        <f t="shared" ref="B340:B384" ca="1" si="50">RAND()</f>
        <v>0.64821906918860583</v>
      </c>
      <c r="C340" s="21">
        <f t="shared" ca="1" si="46"/>
        <v>264.82190691886058</v>
      </c>
      <c r="D340" s="21">
        <f t="shared" ref="D340:D384" ca="1" si="51">$E$10+E339</f>
        <v>250</v>
      </c>
      <c r="E340" s="21">
        <f t="shared" ref="E340:E384" ca="1" si="52">IF(C340&gt;$E$10,0,$E$10-C340)</f>
        <v>0</v>
      </c>
      <c r="F340" s="22">
        <f t="shared" ca="1" si="47"/>
        <v>0</v>
      </c>
      <c r="G340" s="22">
        <f t="shared" ref="G340:G384" ca="1" si="53">IF(C341&gt;$E$10,C341-$E$10,0)</f>
        <v>0</v>
      </c>
      <c r="H340" s="31">
        <f t="shared" ca="1" si="48"/>
        <v>0</v>
      </c>
      <c r="I340" s="9">
        <f t="shared" ref="I340:I384" ca="1" si="54">IF($E$10&lt;C340,$E$10*$E$7,$E$9*($E$10-C340)+(C340*$E$7)+IF($E$10&lt;C341,H340*$E$8,E339*$E$8))</f>
        <v>1375</v>
      </c>
      <c r="J340" s="30">
        <f t="shared" ref="J340:J384" ca="1" si="55">IF(H340&gt;0,$E$10*$E$5+H340*$E$6,$E$10*$E$5)</f>
        <v>1000</v>
      </c>
      <c r="K340" s="122">
        <f t="shared" ca="1" si="49"/>
        <v>375</v>
      </c>
      <c r="L340" s="30"/>
      <c r="M340" s="30"/>
      <c r="N340" s="30"/>
      <c r="O340" s="30"/>
    </row>
    <row r="341" spans="1:15" x14ac:dyDescent="0.25">
      <c r="A341" s="10">
        <v>322</v>
      </c>
      <c r="B341" s="27">
        <f t="shared" ca="1" si="50"/>
        <v>1.9914638909035443E-2</v>
      </c>
      <c r="C341" s="21">
        <f t="shared" ref="C341:C384" ca="1" si="56">200+(300-200)*B341</f>
        <v>201.99146389090353</v>
      </c>
      <c r="D341" s="21">
        <f t="shared" ca="1" si="51"/>
        <v>250</v>
      </c>
      <c r="E341" s="21">
        <f t="shared" ca="1" si="52"/>
        <v>48.008536109096468</v>
      </c>
      <c r="F341" s="22">
        <f t="shared" ref="F341:F384" ca="1" si="57">IF(C341&gt;D341,0,D341-C341)</f>
        <v>48.008536109096468</v>
      </c>
      <c r="G341" s="22">
        <f t="shared" ca="1" si="53"/>
        <v>0</v>
      </c>
      <c r="H341" s="31">
        <f t="shared" ref="H341:H384" ca="1" si="58">IF(G341&gt;F341,0,IF(G341&lt;F341,F341-G341,0))</f>
        <v>48.008536109096468</v>
      </c>
      <c r="I341" s="9">
        <f t="shared" ca="1" si="54"/>
        <v>1122.9551854272436</v>
      </c>
      <c r="J341" s="30">
        <f t="shared" ca="1" si="55"/>
        <v>1072.0128041636447</v>
      </c>
      <c r="K341" s="122">
        <f t="shared" ref="K341:K384" ca="1" si="59">I341-J341</f>
        <v>50.942381263598918</v>
      </c>
      <c r="L341" s="30"/>
      <c r="M341" s="30"/>
      <c r="N341" s="30"/>
      <c r="O341" s="30"/>
    </row>
    <row r="342" spans="1:15" x14ac:dyDescent="0.25">
      <c r="A342" s="10">
        <v>323</v>
      </c>
      <c r="B342" s="27">
        <f t="shared" ca="1" si="50"/>
        <v>0.18418424462565752</v>
      </c>
      <c r="C342" s="21">
        <f t="shared" ca="1" si="56"/>
        <v>218.41842446256575</v>
      </c>
      <c r="D342" s="21">
        <f t="shared" ca="1" si="51"/>
        <v>298.00853610909644</v>
      </c>
      <c r="E342" s="21">
        <f t="shared" ca="1" si="52"/>
        <v>31.581575537434247</v>
      </c>
      <c r="F342" s="22">
        <f t="shared" ca="1" si="57"/>
        <v>79.590111646530687</v>
      </c>
      <c r="G342" s="22">
        <f t="shared" ca="1" si="53"/>
        <v>0</v>
      </c>
      <c r="H342" s="31">
        <f t="shared" ca="1" si="58"/>
        <v>79.590111646530687</v>
      </c>
      <c r="I342" s="9">
        <f t="shared" ca="1" si="54"/>
        <v>1353.2223367557594</v>
      </c>
      <c r="J342" s="30">
        <f t="shared" ca="1" si="55"/>
        <v>1119.385167469796</v>
      </c>
      <c r="K342" s="122">
        <f t="shared" ca="1" si="59"/>
        <v>233.83716928596345</v>
      </c>
      <c r="L342" s="30"/>
      <c r="M342" s="30"/>
      <c r="N342" s="30"/>
      <c r="O342" s="30"/>
    </row>
    <row r="343" spans="1:15" x14ac:dyDescent="0.25">
      <c r="A343" s="10">
        <v>324</v>
      </c>
      <c r="B343" s="27">
        <f t="shared" ca="1" si="50"/>
        <v>0.47200081702109509</v>
      </c>
      <c r="C343" s="21">
        <f t="shared" ca="1" si="56"/>
        <v>247.20008170210951</v>
      </c>
      <c r="D343" s="21">
        <f t="shared" ca="1" si="51"/>
        <v>281.58157553743422</v>
      </c>
      <c r="E343" s="21">
        <f t="shared" ca="1" si="52"/>
        <v>2.7999182978904855</v>
      </c>
      <c r="F343" s="22">
        <f t="shared" ca="1" si="57"/>
        <v>34.381493835324704</v>
      </c>
      <c r="G343" s="22">
        <f t="shared" ca="1" si="53"/>
        <v>0</v>
      </c>
      <c r="H343" s="31">
        <f t="shared" ca="1" si="58"/>
        <v>34.381493835324704</v>
      </c>
      <c r="I343" s="9">
        <f t="shared" ca="1" si="54"/>
        <v>1455.0451555483776</v>
      </c>
      <c r="J343" s="30">
        <f t="shared" ca="1" si="55"/>
        <v>1051.572240752987</v>
      </c>
      <c r="K343" s="122">
        <f t="shared" ca="1" si="59"/>
        <v>403.47291479539058</v>
      </c>
      <c r="L343" s="30"/>
      <c r="M343" s="30"/>
      <c r="N343" s="30"/>
      <c r="O343" s="30"/>
    </row>
    <row r="344" spans="1:15" x14ac:dyDescent="0.25">
      <c r="A344" s="10">
        <v>325</v>
      </c>
      <c r="B344" s="27">
        <f t="shared" ca="1" si="50"/>
        <v>0.42471408442225078</v>
      </c>
      <c r="C344" s="21">
        <f t="shared" ca="1" si="56"/>
        <v>242.47140844222508</v>
      </c>
      <c r="D344" s="21">
        <f t="shared" ca="1" si="51"/>
        <v>252.79991829789049</v>
      </c>
      <c r="E344" s="21">
        <f t="shared" ca="1" si="52"/>
        <v>7.5285915577749165</v>
      </c>
      <c r="F344" s="22">
        <f t="shared" ca="1" si="57"/>
        <v>10.328509855665402</v>
      </c>
      <c r="G344" s="22">
        <f t="shared" ca="1" si="53"/>
        <v>17.085703112663737</v>
      </c>
      <c r="H344" s="31">
        <f t="shared" ca="1" si="58"/>
        <v>0</v>
      </c>
      <c r="I344" s="9">
        <f t="shared" ca="1" si="54"/>
        <v>1335.4748943216819</v>
      </c>
      <c r="J344" s="30">
        <f t="shared" ca="1" si="55"/>
        <v>1000</v>
      </c>
      <c r="K344" s="122">
        <f t="shared" ca="1" si="59"/>
        <v>335.47489432168186</v>
      </c>
      <c r="L344" s="30"/>
      <c r="M344" s="30"/>
      <c r="N344" s="30"/>
      <c r="O344" s="30"/>
    </row>
    <row r="345" spans="1:15" x14ac:dyDescent="0.25">
      <c r="A345" s="10">
        <v>326</v>
      </c>
      <c r="B345" s="27">
        <f t="shared" ca="1" si="50"/>
        <v>0.67085703112663764</v>
      </c>
      <c r="C345" s="21">
        <f t="shared" ca="1" si="56"/>
        <v>267.08570311266374</v>
      </c>
      <c r="D345" s="21">
        <f t="shared" ca="1" si="51"/>
        <v>257.52859155777492</v>
      </c>
      <c r="E345" s="21">
        <f t="shared" ca="1" si="52"/>
        <v>0</v>
      </c>
      <c r="F345" s="22">
        <f t="shared" ca="1" si="57"/>
        <v>0</v>
      </c>
      <c r="G345" s="22">
        <f t="shared" ca="1" si="53"/>
        <v>7.9858086079773898</v>
      </c>
      <c r="H345" s="31">
        <f t="shared" ca="1" si="58"/>
        <v>0</v>
      </c>
      <c r="I345" s="9">
        <f t="shared" ca="1" si="54"/>
        <v>1375</v>
      </c>
      <c r="J345" s="30">
        <f t="shared" ca="1" si="55"/>
        <v>1000</v>
      </c>
      <c r="K345" s="122">
        <f t="shared" ca="1" si="59"/>
        <v>375</v>
      </c>
      <c r="L345" s="30"/>
      <c r="M345" s="30"/>
      <c r="N345" s="30"/>
      <c r="O345" s="30"/>
    </row>
    <row r="346" spans="1:15" x14ac:dyDescent="0.25">
      <c r="A346" s="10">
        <v>327</v>
      </c>
      <c r="B346" s="27">
        <f t="shared" ca="1" si="50"/>
        <v>0.57985808607977407</v>
      </c>
      <c r="C346" s="21">
        <f t="shared" ca="1" si="56"/>
        <v>257.98580860797739</v>
      </c>
      <c r="D346" s="21">
        <f t="shared" ca="1" si="51"/>
        <v>250</v>
      </c>
      <c r="E346" s="21">
        <f t="shared" ca="1" si="52"/>
        <v>0</v>
      </c>
      <c r="F346" s="22">
        <f t="shared" ca="1" si="57"/>
        <v>0</v>
      </c>
      <c r="G346" s="22">
        <f t="shared" ca="1" si="53"/>
        <v>48.428860031962699</v>
      </c>
      <c r="H346" s="31">
        <f t="shared" ca="1" si="58"/>
        <v>0</v>
      </c>
      <c r="I346" s="9">
        <f t="shared" ca="1" si="54"/>
        <v>1375</v>
      </c>
      <c r="J346" s="30">
        <f t="shared" ca="1" si="55"/>
        <v>1000</v>
      </c>
      <c r="K346" s="122">
        <f t="shared" ca="1" si="59"/>
        <v>375</v>
      </c>
      <c r="L346" s="30"/>
      <c r="M346" s="30"/>
      <c r="N346" s="30"/>
      <c r="O346" s="30"/>
    </row>
    <row r="347" spans="1:15" x14ac:dyDescent="0.25">
      <c r="A347" s="10">
        <v>328</v>
      </c>
      <c r="B347" s="27">
        <f t="shared" ca="1" si="50"/>
        <v>0.98428860031962717</v>
      </c>
      <c r="C347" s="21">
        <f t="shared" ca="1" si="56"/>
        <v>298.4288600319627</v>
      </c>
      <c r="D347" s="21">
        <f t="shared" ca="1" si="51"/>
        <v>250</v>
      </c>
      <c r="E347" s="21">
        <f t="shared" ca="1" si="52"/>
        <v>0</v>
      </c>
      <c r="F347" s="22">
        <f t="shared" ca="1" si="57"/>
        <v>0</v>
      </c>
      <c r="G347" s="22">
        <f t="shared" ca="1" si="53"/>
        <v>29.977093490125981</v>
      </c>
      <c r="H347" s="31">
        <f t="shared" ca="1" si="58"/>
        <v>0</v>
      </c>
      <c r="I347" s="9">
        <f t="shared" ca="1" si="54"/>
        <v>1375</v>
      </c>
      <c r="J347" s="30">
        <f t="shared" ca="1" si="55"/>
        <v>1000</v>
      </c>
      <c r="K347" s="122">
        <f t="shared" ca="1" si="59"/>
        <v>375</v>
      </c>
      <c r="L347" s="30"/>
      <c r="M347" s="30"/>
      <c r="N347" s="30"/>
      <c r="O347" s="30"/>
    </row>
    <row r="348" spans="1:15" x14ac:dyDescent="0.25">
      <c r="A348" s="10">
        <v>329</v>
      </c>
      <c r="B348" s="27">
        <f t="shared" ca="1" si="50"/>
        <v>0.79977093490125983</v>
      </c>
      <c r="C348" s="21">
        <f t="shared" ca="1" si="56"/>
        <v>279.97709349012598</v>
      </c>
      <c r="D348" s="21">
        <f t="shared" ca="1" si="51"/>
        <v>250</v>
      </c>
      <c r="E348" s="21">
        <f t="shared" ca="1" si="52"/>
        <v>0</v>
      </c>
      <c r="F348" s="22">
        <f t="shared" ca="1" si="57"/>
        <v>0</v>
      </c>
      <c r="G348" s="22">
        <f t="shared" ca="1" si="53"/>
        <v>0</v>
      </c>
      <c r="H348" s="31">
        <f t="shared" ca="1" si="58"/>
        <v>0</v>
      </c>
      <c r="I348" s="9">
        <f t="shared" ca="1" si="54"/>
        <v>1375</v>
      </c>
      <c r="J348" s="30">
        <f t="shared" ca="1" si="55"/>
        <v>1000</v>
      </c>
      <c r="K348" s="122">
        <f t="shared" ca="1" si="59"/>
        <v>375</v>
      </c>
      <c r="L348" s="30"/>
      <c r="M348" s="30"/>
      <c r="N348" s="30"/>
      <c r="O348" s="30"/>
    </row>
    <row r="349" spans="1:15" x14ac:dyDescent="0.25">
      <c r="A349" s="10">
        <v>330</v>
      </c>
      <c r="B349" s="27">
        <f t="shared" ca="1" si="50"/>
        <v>0.30555855637100571</v>
      </c>
      <c r="C349" s="21">
        <f t="shared" ca="1" si="56"/>
        <v>230.55585563710056</v>
      </c>
      <c r="D349" s="21">
        <f t="shared" ca="1" si="51"/>
        <v>250</v>
      </c>
      <c r="E349" s="21">
        <f t="shared" ca="1" si="52"/>
        <v>19.444144362899436</v>
      </c>
      <c r="F349" s="22">
        <f t="shared" ca="1" si="57"/>
        <v>19.444144362899436</v>
      </c>
      <c r="G349" s="22">
        <f t="shared" ca="1" si="53"/>
        <v>8.6127601477571716</v>
      </c>
      <c r="H349" s="31">
        <f t="shared" ca="1" si="58"/>
        <v>10.831384215142265</v>
      </c>
      <c r="I349" s="9">
        <f t="shared" ca="1" si="54"/>
        <v>1305.4123947402047</v>
      </c>
      <c r="J349" s="30">
        <f t="shared" ca="1" si="55"/>
        <v>1016.2470763227134</v>
      </c>
      <c r="K349" s="122">
        <f t="shared" ca="1" si="59"/>
        <v>289.16531841749133</v>
      </c>
      <c r="L349" s="30"/>
      <c r="M349" s="30"/>
      <c r="N349" s="30"/>
      <c r="O349" s="30"/>
    </row>
    <row r="350" spans="1:15" x14ac:dyDescent="0.25">
      <c r="A350" s="10">
        <v>331</v>
      </c>
      <c r="B350" s="27">
        <f t="shared" ca="1" si="50"/>
        <v>0.58612760147757181</v>
      </c>
      <c r="C350" s="21">
        <f t="shared" ca="1" si="56"/>
        <v>258.61276014775717</v>
      </c>
      <c r="D350" s="21">
        <f t="shared" ca="1" si="51"/>
        <v>269.44414436289946</v>
      </c>
      <c r="E350" s="21">
        <f t="shared" ca="1" si="52"/>
        <v>0</v>
      </c>
      <c r="F350" s="22">
        <f t="shared" ca="1" si="57"/>
        <v>10.831384215142293</v>
      </c>
      <c r="G350" s="22">
        <f t="shared" ca="1" si="53"/>
        <v>11.499792628839771</v>
      </c>
      <c r="H350" s="31">
        <f t="shared" ca="1" si="58"/>
        <v>0</v>
      </c>
      <c r="I350" s="9">
        <f t="shared" ca="1" si="54"/>
        <v>1375</v>
      </c>
      <c r="J350" s="30">
        <f t="shared" ca="1" si="55"/>
        <v>1000</v>
      </c>
      <c r="K350" s="122">
        <f t="shared" ca="1" si="59"/>
        <v>375</v>
      </c>
      <c r="L350" s="30"/>
      <c r="M350" s="30"/>
      <c r="N350" s="30"/>
      <c r="O350" s="30"/>
    </row>
    <row r="351" spans="1:15" x14ac:dyDescent="0.25">
      <c r="A351" s="10">
        <v>332</v>
      </c>
      <c r="B351" s="27">
        <f t="shared" ca="1" si="50"/>
        <v>0.61499792628839767</v>
      </c>
      <c r="C351" s="21">
        <f t="shared" ca="1" si="56"/>
        <v>261.49979262883977</v>
      </c>
      <c r="D351" s="21">
        <f t="shared" ca="1" si="51"/>
        <v>250</v>
      </c>
      <c r="E351" s="21">
        <f t="shared" ca="1" si="52"/>
        <v>0</v>
      </c>
      <c r="F351" s="22">
        <f t="shared" ca="1" si="57"/>
        <v>0</v>
      </c>
      <c r="G351" s="22">
        <f t="shared" ca="1" si="53"/>
        <v>8.2572069239727739</v>
      </c>
      <c r="H351" s="31">
        <f t="shared" ca="1" si="58"/>
        <v>0</v>
      </c>
      <c r="I351" s="9">
        <f t="shared" ca="1" si="54"/>
        <v>1375</v>
      </c>
      <c r="J351" s="30">
        <f t="shared" ca="1" si="55"/>
        <v>1000</v>
      </c>
      <c r="K351" s="122">
        <f t="shared" ca="1" si="59"/>
        <v>375</v>
      </c>
      <c r="L351" s="30"/>
      <c r="M351" s="30"/>
      <c r="N351" s="30"/>
      <c r="O351" s="30"/>
    </row>
    <row r="352" spans="1:15" x14ac:dyDescent="0.25">
      <c r="A352" s="10">
        <v>333</v>
      </c>
      <c r="B352" s="27">
        <f t="shared" ca="1" si="50"/>
        <v>0.58257206923972782</v>
      </c>
      <c r="C352" s="21">
        <f t="shared" ca="1" si="56"/>
        <v>258.25720692397277</v>
      </c>
      <c r="D352" s="21">
        <f t="shared" ca="1" si="51"/>
        <v>250</v>
      </c>
      <c r="E352" s="21">
        <f t="shared" ca="1" si="52"/>
        <v>0</v>
      </c>
      <c r="F352" s="22">
        <f t="shared" ca="1" si="57"/>
        <v>0</v>
      </c>
      <c r="G352" s="22">
        <f t="shared" ca="1" si="53"/>
        <v>0</v>
      </c>
      <c r="H352" s="31">
        <f t="shared" ca="1" si="58"/>
        <v>0</v>
      </c>
      <c r="I352" s="9">
        <f t="shared" ca="1" si="54"/>
        <v>1375</v>
      </c>
      <c r="J352" s="30">
        <f t="shared" ca="1" si="55"/>
        <v>1000</v>
      </c>
      <c r="K352" s="122">
        <f t="shared" ca="1" si="59"/>
        <v>375</v>
      </c>
      <c r="L352" s="30"/>
      <c r="M352" s="30"/>
      <c r="N352" s="30"/>
      <c r="O352" s="30"/>
    </row>
    <row r="353" spans="1:15" x14ac:dyDescent="0.25">
      <c r="A353" s="10">
        <v>334</v>
      </c>
      <c r="B353" s="27">
        <f t="shared" ca="1" si="50"/>
        <v>0.45168245725059442</v>
      </c>
      <c r="C353" s="21">
        <f t="shared" ca="1" si="56"/>
        <v>245.16824572505945</v>
      </c>
      <c r="D353" s="21">
        <f t="shared" ca="1" si="51"/>
        <v>250</v>
      </c>
      <c r="E353" s="21">
        <f t="shared" ca="1" si="52"/>
        <v>4.8317542749405504</v>
      </c>
      <c r="F353" s="22">
        <f t="shared" ca="1" si="57"/>
        <v>4.8317542749405504</v>
      </c>
      <c r="G353" s="22">
        <f t="shared" ca="1" si="53"/>
        <v>0</v>
      </c>
      <c r="H353" s="31">
        <f t="shared" ca="1" si="58"/>
        <v>4.8317542749405504</v>
      </c>
      <c r="I353" s="9">
        <f t="shared" ca="1" si="54"/>
        <v>1349.6332900565621</v>
      </c>
      <c r="J353" s="30">
        <f t="shared" ca="1" si="55"/>
        <v>1007.2476314124108</v>
      </c>
      <c r="K353" s="122">
        <f t="shared" ca="1" si="59"/>
        <v>342.38565864415136</v>
      </c>
      <c r="L353" s="30"/>
      <c r="M353" s="30"/>
      <c r="N353" s="30"/>
      <c r="O353" s="30"/>
    </row>
    <row r="354" spans="1:15" x14ac:dyDescent="0.25">
      <c r="A354" s="10">
        <v>335</v>
      </c>
      <c r="B354" s="27">
        <f t="shared" ca="1" si="50"/>
        <v>0.10144414141796121</v>
      </c>
      <c r="C354" s="21">
        <f t="shared" ca="1" si="56"/>
        <v>210.14441414179612</v>
      </c>
      <c r="D354" s="21">
        <f t="shared" ca="1" si="51"/>
        <v>254.83175427494055</v>
      </c>
      <c r="E354" s="21">
        <f t="shared" ca="1" si="52"/>
        <v>39.855585858203881</v>
      </c>
      <c r="F354" s="22">
        <f t="shared" ca="1" si="57"/>
        <v>44.687340133144431</v>
      </c>
      <c r="G354" s="22">
        <f t="shared" ca="1" si="53"/>
        <v>0</v>
      </c>
      <c r="H354" s="31">
        <f t="shared" ca="1" si="58"/>
        <v>44.687340133144431</v>
      </c>
      <c r="I354" s="9">
        <f t="shared" ca="1" si="54"/>
        <v>1180.2534370692513</v>
      </c>
      <c r="J354" s="30">
        <f t="shared" ca="1" si="55"/>
        <v>1067.0310101997165</v>
      </c>
      <c r="K354" s="122">
        <f t="shared" ca="1" si="59"/>
        <v>113.22242686953473</v>
      </c>
      <c r="L354" s="30"/>
      <c r="M354" s="30"/>
      <c r="N354" s="30"/>
      <c r="O354" s="30"/>
    </row>
    <row r="355" spans="1:15" x14ac:dyDescent="0.25">
      <c r="A355" s="10">
        <v>336</v>
      </c>
      <c r="B355" s="27">
        <f t="shared" ca="1" si="50"/>
        <v>9.9421694378566294E-2</v>
      </c>
      <c r="C355" s="21">
        <f t="shared" ca="1" si="56"/>
        <v>209.94216943785662</v>
      </c>
      <c r="D355" s="21">
        <f t="shared" ca="1" si="51"/>
        <v>289.85558585820388</v>
      </c>
      <c r="E355" s="21">
        <f t="shared" ca="1" si="52"/>
        <v>40.05783056214338</v>
      </c>
      <c r="F355" s="22">
        <f t="shared" ca="1" si="57"/>
        <v>79.913416420347261</v>
      </c>
      <c r="G355" s="22">
        <f t="shared" ca="1" si="53"/>
        <v>43.386393234113484</v>
      </c>
      <c r="H355" s="31">
        <f t="shared" ca="1" si="58"/>
        <v>36.527023186233777</v>
      </c>
      <c r="I355" s="9">
        <f t="shared" ca="1" si="54"/>
        <v>1274.2774591074485</v>
      </c>
      <c r="J355" s="30">
        <f t="shared" ca="1" si="55"/>
        <v>1054.7905347793508</v>
      </c>
      <c r="K355" s="122">
        <f t="shared" ca="1" si="59"/>
        <v>219.48692432809776</v>
      </c>
      <c r="L355" s="30"/>
      <c r="M355" s="30"/>
      <c r="N355" s="30"/>
      <c r="O355" s="30"/>
    </row>
    <row r="356" spans="1:15" x14ac:dyDescent="0.25">
      <c r="A356" s="10">
        <v>337</v>
      </c>
      <c r="B356" s="27">
        <f t="shared" ca="1" si="50"/>
        <v>0.93386393234113463</v>
      </c>
      <c r="C356" s="21">
        <f t="shared" ca="1" si="56"/>
        <v>293.38639323411348</v>
      </c>
      <c r="D356" s="21">
        <f t="shared" ca="1" si="51"/>
        <v>290.05783056214341</v>
      </c>
      <c r="E356" s="21">
        <f t="shared" ca="1" si="52"/>
        <v>0</v>
      </c>
      <c r="F356" s="22">
        <f t="shared" ca="1" si="57"/>
        <v>0</v>
      </c>
      <c r="G356" s="22">
        <f t="shared" ca="1" si="53"/>
        <v>0</v>
      </c>
      <c r="H356" s="31">
        <f t="shared" ca="1" si="58"/>
        <v>0</v>
      </c>
      <c r="I356" s="9">
        <f t="shared" ca="1" si="54"/>
        <v>1375</v>
      </c>
      <c r="J356" s="30">
        <f t="shared" ca="1" si="55"/>
        <v>1000</v>
      </c>
      <c r="K356" s="122">
        <f t="shared" ca="1" si="59"/>
        <v>375</v>
      </c>
      <c r="L356" s="30"/>
      <c r="M356" s="30"/>
      <c r="N356" s="30"/>
      <c r="O356" s="30"/>
    </row>
    <row r="357" spans="1:15" x14ac:dyDescent="0.25">
      <c r="A357" s="10">
        <v>338</v>
      </c>
      <c r="B357" s="27">
        <f t="shared" ca="1" si="50"/>
        <v>0.35481456795452393</v>
      </c>
      <c r="C357" s="21">
        <f t="shared" ca="1" si="56"/>
        <v>235.4814567954524</v>
      </c>
      <c r="D357" s="21">
        <f t="shared" ca="1" si="51"/>
        <v>250</v>
      </c>
      <c r="E357" s="21">
        <f t="shared" ca="1" si="52"/>
        <v>14.518543204547598</v>
      </c>
      <c r="F357" s="22">
        <f t="shared" ca="1" si="57"/>
        <v>14.518543204547598</v>
      </c>
      <c r="G357" s="22">
        <f t="shared" ca="1" si="53"/>
        <v>0</v>
      </c>
      <c r="H357" s="31">
        <f t="shared" ca="1" si="58"/>
        <v>14.518543204547598</v>
      </c>
      <c r="I357" s="9">
        <f t="shared" ca="1" si="54"/>
        <v>1298.777648176125</v>
      </c>
      <c r="J357" s="30">
        <f t="shared" ca="1" si="55"/>
        <v>1021.7778148068214</v>
      </c>
      <c r="K357" s="122">
        <f t="shared" ca="1" si="59"/>
        <v>276.99983336930359</v>
      </c>
      <c r="L357" s="30"/>
      <c r="M357" s="30"/>
      <c r="N357" s="30"/>
      <c r="O357" s="30"/>
    </row>
    <row r="358" spans="1:15" x14ac:dyDescent="0.25">
      <c r="A358" s="10">
        <v>339</v>
      </c>
      <c r="B358" s="27">
        <f t="shared" ca="1" si="50"/>
        <v>0.13959272057269256</v>
      </c>
      <c r="C358" s="21">
        <f t="shared" ca="1" si="56"/>
        <v>213.95927205726926</v>
      </c>
      <c r="D358" s="21">
        <f t="shared" ca="1" si="51"/>
        <v>264.5185432045476</v>
      </c>
      <c r="E358" s="21">
        <f t="shared" ca="1" si="52"/>
        <v>36.04072794273074</v>
      </c>
      <c r="F358" s="22">
        <f t="shared" ca="1" si="57"/>
        <v>50.559271147278338</v>
      </c>
      <c r="G358" s="22">
        <f t="shared" ca="1" si="53"/>
        <v>44.116597728970646</v>
      </c>
      <c r="H358" s="31">
        <f t="shared" ca="1" si="58"/>
        <v>6.4426734183076917</v>
      </c>
      <c r="I358" s="9">
        <f t="shared" ca="1" si="54"/>
        <v>1205.1141985555867</v>
      </c>
      <c r="J358" s="30">
        <f t="shared" ca="1" si="55"/>
        <v>1009.6640101274616</v>
      </c>
      <c r="K358" s="122">
        <f t="shared" ca="1" si="59"/>
        <v>195.4501884281251</v>
      </c>
      <c r="L358" s="30"/>
      <c r="M358" s="30"/>
      <c r="N358" s="30"/>
      <c r="O358" s="30"/>
    </row>
    <row r="359" spans="1:15" x14ac:dyDescent="0.25">
      <c r="A359" s="10">
        <v>340</v>
      </c>
      <c r="B359" s="27">
        <f t="shared" ca="1" si="50"/>
        <v>0.94116597728970641</v>
      </c>
      <c r="C359" s="21">
        <f t="shared" ca="1" si="56"/>
        <v>294.11659772897065</v>
      </c>
      <c r="D359" s="21">
        <f t="shared" ca="1" si="51"/>
        <v>286.04072794273077</v>
      </c>
      <c r="E359" s="21">
        <f t="shared" ca="1" si="52"/>
        <v>0</v>
      </c>
      <c r="F359" s="22">
        <f t="shared" ca="1" si="57"/>
        <v>0</v>
      </c>
      <c r="G359" s="22">
        <f t="shared" ca="1" si="53"/>
        <v>38.212730471911243</v>
      </c>
      <c r="H359" s="31">
        <f t="shared" ca="1" si="58"/>
        <v>0</v>
      </c>
      <c r="I359" s="9">
        <f t="shared" ca="1" si="54"/>
        <v>1375</v>
      </c>
      <c r="J359" s="30">
        <f t="shared" ca="1" si="55"/>
        <v>1000</v>
      </c>
      <c r="K359" s="122">
        <f t="shared" ca="1" si="59"/>
        <v>375</v>
      </c>
      <c r="L359" s="30"/>
      <c r="M359" s="30"/>
      <c r="N359" s="30"/>
      <c r="O359" s="30"/>
    </row>
    <row r="360" spans="1:15" x14ac:dyDescent="0.25">
      <c r="A360" s="10">
        <v>341</v>
      </c>
      <c r="B360" s="27">
        <f t="shared" ca="1" si="50"/>
        <v>0.8821273047191126</v>
      </c>
      <c r="C360" s="21">
        <f t="shared" ca="1" si="56"/>
        <v>288.21273047191124</v>
      </c>
      <c r="D360" s="21">
        <f t="shared" ca="1" si="51"/>
        <v>250</v>
      </c>
      <c r="E360" s="21">
        <f t="shared" ca="1" si="52"/>
        <v>0</v>
      </c>
      <c r="F360" s="22">
        <f t="shared" ca="1" si="57"/>
        <v>0</v>
      </c>
      <c r="G360" s="22">
        <f t="shared" ca="1" si="53"/>
        <v>0</v>
      </c>
      <c r="H360" s="31">
        <f t="shared" ca="1" si="58"/>
        <v>0</v>
      </c>
      <c r="I360" s="9">
        <f t="shared" ca="1" si="54"/>
        <v>1375</v>
      </c>
      <c r="J360" s="30">
        <f t="shared" ca="1" si="55"/>
        <v>1000</v>
      </c>
      <c r="K360" s="122">
        <f t="shared" ca="1" si="59"/>
        <v>375</v>
      </c>
      <c r="L360" s="30"/>
      <c r="M360" s="30"/>
      <c r="N360" s="30"/>
      <c r="O360" s="30"/>
    </row>
    <row r="361" spans="1:15" x14ac:dyDescent="0.25">
      <c r="A361" s="10">
        <v>342</v>
      </c>
      <c r="B361" s="27">
        <f t="shared" ca="1" si="50"/>
        <v>3.9665177804796503E-2</v>
      </c>
      <c r="C361" s="21">
        <f t="shared" ca="1" si="56"/>
        <v>203.96651778047965</v>
      </c>
      <c r="D361" s="21">
        <f t="shared" ca="1" si="51"/>
        <v>250</v>
      </c>
      <c r="E361" s="21">
        <f t="shared" ca="1" si="52"/>
        <v>46.033482219520351</v>
      </c>
      <c r="F361" s="22">
        <f t="shared" ca="1" si="57"/>
        <v>46.033482219520351</v>
      </c>
      <c r="G361" s="22">
        <f t="shared" ca="1" si="53"/>
        <v>34.985479635767433</v>
      </c>
      <c r="H361" s="31">
        <f t="shared" ca="1" si="58"/>
        <v>11.048002583752918</v>
      </c>
      <c r="I361" s="9">
        <f t="shared" ca="1" si="54"/>
        <v>1166.468226098777</v>
      </c>
      <c r="J361" s="30">
        <f t="shared" ca="1" si="55"/>
        <v>1016.5720038756294</v>
      </c>
      <c r="K361" s="122">
        <f t="shared" ca="1" si="59"/>
        <v>149.89622222314756</v>
      </c>
      <c r="L361" s="30"/>
      <c r="M361" s="30"/>
      <c r="N361" s="30"/>
      <c r="O361" s="30"/>
    </row>
    <row r="362" spans="1:15" x14ac:dyDescent="0.25">
      <c r="A362" s="10">
        <v>343</v>
      </c>
      <c r="B362" s="27">
        <f t="shared" ca="1" si="50"/>
        <v>0.84985479635767402</v>
      </c>
      <c r="C362" s="21">
        <f t="shared" ca="1" si="56"/>
        <v>284.98547963576743</v>
      </c>
      <c r="D362" s="21">
        <f t="shared" ca="1" si="51"/>
        <v>296.03348221952035</v>
      </c>
      <c r="E362" s="21">
        <f t="shared" ca="1" si="52"/>
        <v>0</v>
      </c>
      <c r="F362" s="22">
        <f t="shared" ca="1" si="57"/>
        <v>11.048002583752918</v>
      </c>
      <c r="G362" s="22">
        <f t="shared" ca="1" si="53"/>
        <v>0</v>
      </c>
      <c r="H362" s="31">
        <f t="shared" ca="1" si="58"/>
        <v>11.048002583752918</v>
      </c>
      <c r="I362" s="9">
        <f t="shared" ca="1" si="54"/>
        <v>1375</v>
      </c>
      <c r="J362" s="30">
        <f t="shared" ca="1" si="55"/>
        <v>1016.5720038756294</v>
      </c>
      <c r="K362" s="122">
        <f t="shared" ca="1" si="59"/>
        <v>358.42799612437057</v>
      </c>
      <c r="L362" s="30"/>
      <c r="M362" s="30"/>
      <c r="N362" s="30"/>
      <c r="O362" s="30"/>
    </row>
    <row r="363" spans="1:15" x14ac:dyDescent="0.25">
      <c r="A363" s="10">
        <v>344</v>
      </c>
      <c r="B363" s="43">
        <f t="shared" ca="1" si="50"/>
        <v>0.20791233128015385</v>
      </c>
      <c r="C363" s="44">
        <f t="shared" ca="1" si="56"/>
        <v>220.79123312801539</v>
      </c>
      <c r="D363" s="44">
        <f t="shared" ca="1" si="51"/>
        <v>250</v>
      </c>
      <c r="E363" s="44">
        <f t="shared" ca="1" si="52"/>
        <v>29.208766871984608</v>
      </c>
      <c r="F363" s="45">
        <f t="shared" ca="1" si="57"/>
        <v>29.208766871984608</v>
      </c>
      <c r="G363" s="45">
        <f t="shared" ca="1" si="53"/>
        <v>0</v>
      </c>
      <c r="H363" s="46">
        <f t="shared" ca="1" si="58"/>
        <v>29.208766871984608</v>
      </c>
      <c r="I363" s="1">
        <f t="shared" ca="1" si="54"/>
        <v>1221.6539739220807</v>
      </c>
      <c r="J363" s="47">
        <f t="shared" ca="1" si="55"/>
        <v>1043.8131503079769</v>
      </c>
      <c r="K363" s="123">
        <f t="shared" ca="1" si="59"/>
        <v>177.84082361410378</v>
      </c>
      <c r="L363" s="30"/>
      <c r="M363" s="30"/>
      <c r="N363" s="30"/>
      <c r="O363" s="30"/>
    </row>
    <row r="364" spans="1:15" x14ac:dyDescent="0.25">
      <c r="A364" s="10">
        <v>345</v>
      </c>
      <c r="B364" s="48">
        <f t="shared" ca="1" si="50"/>
        <v>6.3804030186518035E-2</v>
      </c>
      <c r="C364" s="49">
        <f t="shared" ca="1" si="56"/>
        <v>206.3804030186518</v>
      </c>
      <c r="D364" s="49">
        <f t="shared" ca="1" si="51"/>
        <v>279.20876687198461</v>
      </c>
      <c r="E364" s="49">
        <f t="shared" ca="1" si="52"/>
        <v>43.619596981348195</v>
      </c>
      <c r="F364" s="50">
        <f t="shared" ca="1" si="57"/>
        <v>72.828363853332803</v>
      </c>
      <c r="G364" s="50">
        <f t="shared" ca="1" si="53"/>
        <v>0</v>
      </c>
      <c r="H364" s="51">
        <f t="shared" ca="1" si="58"/>
        <v>72.828363853332803</v>
      </c>
      <c r="I364" s="52">
        <f t="shared" ca="1" si="54"/>
        <v>1233.6234164638756</v>
      </c>
      <c r="J364" s="53">
        <f t="shared" ca="1" si="55"/>
        <v>1109.2425457799991</v>
      </c>
      <c r="K364" s="124">
        <f t="shared" ca="1" si="59"/>
        <v>124.38087068387654</v>
      </c>
      <c r="L364" s="30"/>
      <c r="M364" s="30"/>
      <c r="N364" s="30"/>
      <c r="O364" s="30"/>
    </row>
    <row r="365" spans="1:15" x14ac:dyDescent="0.25">
      <c r="A365" s="10">
        <v>346</v>
      </c>
      <c r="B365" s="27">
        <f t="shared" ca="1" si="50"/>
        <v>0.37410757653697135</v>
      </c>
      <c r="C365" s="21">
        <f t="shared" ca="1" si="56"/>
        <v>237.41075765369715</v>
      </c>
      <c r="D365" s="21">
        <f t="shared" ca="1" si="51"/>
        <v>293.6195969813482</v>
      </c>
      <c r="E365" s="21">
        <f t="shared" ca="1" si="52"/>
        <v>12.589242346302854</v>
      </c>
      <c r="F365" s="22">
        <f t="shared" ca="1" si="57"/>
        <v>56.208839327651049</v>
      </c>
      <c r="G365" s="22">
        <f t="shared" ca="1" si="53"/>
        <v>27.708767356504836</v>
      </c>
      <c r="H365" s="31">
        <f t="shared" ca="1" si="58"/>
        <v>28.500071971146212</v>
      </c>
      <c r="I365" s="9">
        <f t="shared" ca="1" si="54"/>
        <v>1394.4066935953488</v>
      </c>
      <c r="J365" s="30">
        <f t="shared" ca="1" si="55"/>
        <v>1042.7501079567194</v>
      </c>
      <c r="K365" s="122">
        <f t="shared" ca="1" si="59"/>
        <v>351.65658563862939</v>
      </c>
      <c r="L365" s="30"/>
      <c r="M365" s="30"/>
      <c r="N365" s="30"/>
      <c r="O365" s="30"/>
    </row>
    <row r="366" spans="1:15" x14ac:dyDescent="0.25">
      <c r="A366" s="10">
        <v>347</v>
      </c>
      <c r="B366" s="27">
        <f t="shared" ca="1" si="50"/>
        <v>0.77708767356504804</v>
      </c>
      <c r="C366" s="21">
        <f t="shared" ca="1" si="56"/>
        <v>277.70876735650484</v>
      </c>
      <c r="D366" s="21">
        <f t="shared" ca="1" si="51"/>
        <v>262.58924234630285</v>
      </c>
      <c r="E366" s="21">
        <f t="shared" ca="1" si="52"/>
        <v>0</v>
      </c>
      <c r="F366" s="22">
        <f t="shared" ca="1" si="57"/>
        <v>0</v>
      </c>
      <c r="G366" s="22">
        <f t="shared" ca="1" si="53"/>
        <v>45.946070661806402</v>
      </c>
      <c r="H366" s="31">
        <f t="shared" ca="1" si="58"/>
        <v>0</v>
      </c>
      <c r="I366" s="9">
        <f t="shared" ca="1" si="54"/>
        <v>1375</v>
      </c>
      <c r="J366" s="30">
        <f t="shared" ca="1" si="55"/>
        <v>1000</v>
      </c>
      <c r="K366" s="122">
        <f t="shared" ca="1" si="59"/>
        <v>375</v>
      </c>
      <c r="L366" s="30"/>
      <c r="M366" s="30"/>
      <c r="N366" s="30"/>
      <c r="O366" s="30"/>
    </row>
    <row r="367" spans="1:15" x14ac:dyDescent="0.25">
      <c r="A367" s="10">
        <v>348</v>
      </c>
      <c r="B367" s="27">
        <f t="shared" ca="1" si="50"/>
        <v>0.95946070661806382</v>
      </c>
      <c r="C367" s="21">
        <f t="shared" ca="1" si="56"/>
        <v>295.9460706618064</v>
      </c>
      <c r="D367" s="21">
        <f t="shared" ca="1" si="51"/>
        <v>250</v>
      </c>
      <c r="E367" s="21">
        <f t="shared" ca="1" si="52"/>
        <v>0</v>
      </c>
      <c r="F367" s="22">
        <f t="shared" ca="1" si="57"/>
        <v>0</v>
      </c>
      <c r="G367" s="22">
        <f t="shared" ca="1" si="53"/>
        <v>28.978075019513653</v>
      </c>
      <c r="H367" s="31">
        <f t="shared" ca="1" si="58"/>
        <v>0</v>
      </c>
      <c r="I367" s="9">
        <f t="shared" ca="1" si="54"/>
        <v>1375</v>
      </c>
      <c r="J367" s="30">
        <f t="shared" ca="1" si="55"/>
        <v>1000</v>
      </c>
      <c r="K367" s="122">
        <f t="shared" ca="1" si="59"/>
        <v>375</v>
      </c>
      <c r="L367" s="30"/>
      <c r="M367" s="30"/>
      <c r="N367" s="30"/>
      <c r="O367" s="30"/>
    </row>
    <row r="368" spans="1:15" x14ac:dyDescent="0.25">
      <c r="A368" s="10">
        <v>349</v>
      </c>
      <c r="B368" s="27">
        <f t="shared" ca="1" si="50"/>
        <v>0.7897807501951366</v>
      </c>
      <c r="C368" s="21">
        <f t="shared" ca="1" si="56"/>
        <v>278.97807501951365</v>
      </c>
      <c r="D368" s="21">
        <f t="shared" ca="1" si="51"/>
        <v>250</v>
      </c>
      <c r="E368" s="21">
        <f t="shared" ca="1" si="52"/>
        <v>0</v>
      </c>
      <c r="F368" s="22">
        <f t="shared" ca="1" si="57"/>
        <v>0</v>
      </c>
      <c r="G368" s="22">
        <f t="shared" ca="1" si="53"/>
        <v>0</v>
      </c>
      <c r="H368" s="31">
        <f t="shared" ca="1" si="58"/>
        <v>0</v>
      </c>
      <c r="I368" s="9">
        <f t="shared" ca="1" si="54"/>
        <v>1375</v>
      </c>
      <c r="J368" s="30">
        <f t="shared" ca="1" si="55"/>
        <v>1000</v>
      </c>
      <c r="K368" s="122">
        <f t="shared" ca="1" si="59"/>
        <v>375</v>
      </c>
      <c r="L368" s="30"/>
      <c r="M368" s="30"/>
      <c r="N368" s="30"/>
      <c r="O368" s="30"/>
    </row>
    <row r="369" spans="1:19" x14ac:dyDescent="0.25">
      <c r="A369" s="10">
        <v>350</v>
      </c>
      <c r="B369" s="27">
        <f t="shared" ca="1" si="50"/>
        <v>0.46465894612511027</v>
      </c>
      <c r="C369" s="21">
        <f t="shared" ca="1" si="56"/>
        <v>246.46589461251102</v>
      </c>
      <c r="D369" s="21">
        <f t="shared" ca="1" si="51"/>
        <v>250</v>
      </c>
      <c r="E369" s="21">
        <f t="shared" ca="1" si="52"/>
        <v>3.5341053874889781</v>
      </c>
      <c r="F369" s="22">
        <f t="shared" ca="1" si="57"/>
        <v>3.5341053874889781</v>
      </c>
      <c r="G369" s="22">
        <f t="shared" ca="1" si="53"/>
        <v>31.120516507037109</v>
      </c>
      <c r="H369" s="31">
        <f t="shared" ca="1" si="58"/>
        <v>0</v>
      </c>
      <c r="I369" s="9">
        <f t="shared" ca="1" si="54"/>
        <v>1356.4459467156828</v>
      </c>
      <c r="J369" s="30">
        <f t="shared" ca="1" si="55"/>
        <v>1000</v>
      </c>
      <c r="K369" s="122">
        <f t="shared" ca="1" si="59"/>
        <v>356.44594671568279</v>
      </c>
      <c r="L369" s="30"/>
      <c r="M369" s="30"/>
      <c r="N369" s="30"/>
      <c r="O369" s="30"/>
    </row>
    <row r="370" spans="1:19" x14ac:dyDescent="0.25">
      <c r="A370" s="10">
        <v>351</v>
      </c>
      <c r="B370" s="27">
        <f t="shared" ca="1" si="50"/>
        <v>0.81120516507037144</v>
      </c>
      <c r="C370" s="21">
        <f t="shared" ca="1" si="56"/>
        <v>281.12051650703711</v>
      </c>
      <c r="D370" s="21">
        <f t="shared" ca="1" si="51"/>
        <v>253.53410538748898</v>
      </c>
      <c r="E370" s="21">
        <f t="shared" ca="1" si="52"/>
        <v>0</v>
      </c>
      <c r="F370" s="22">
        <f t="shared" ca="1" si="57"/>
        <v>0</v>
      </c>
      <c r="G370" s="22">
        <f t="shared" ca="1" si="53"/>
        <v>2.5003376706137601</v>
      </c>
      <c r="H370" s="31">
        <f t="shared" ca="1" si="58"/>
        <v>0</v>
      </c>
      <c r="I370" s="9">
        <f t="shared" ca="1" si="54"/>
        <v>1375</v>
      </c>
      <c r="J370" s="30">
        <f t="shared" ca="1" si="55"/>
        <v>1000</v>
      </c>
      <c r="K370" s="122">
        <f t="shared" ca="1" si="59"/>
        <v>375</v>
      </c>
      <c r="L370" s="30"/>
      <c r="M370" s="30"/>
      <c r="N370" s="30"/>
      <c r="O370" s="30"/>
    </row>
    <row r="371" spans="1:19" x14ac:dyDescent="0.25">
      <c r="A371" s="10">
        <v>352</v>
      </c>
      <c r="B371" s="27">
        <f t="shared" ca="1" si="50"/>
        <v>0.52500337670613773</v>
      </c>
      <c r="C371" s="21">
        <f t="shared" ca="1" si="56"/>
        <v>252.50033767061376</v>
      </c>
      <c r="D371" s="21">
        <f t="shared" ca="1" si="51"/>
        <v>250</v>
      </c>
      <c r="E371" s="21">
        <f t="shared" ca="1" si="52"/>
        <v>0</v>
      </c>
      <c r="F371" s="22">
        <f t="shared" ca="1" si="57"/>
        <v>0</v>
      </c>
      <c r="G371" s="22">
        <f t="shared" ca="1" si="53"/>
        <v>24.578541272138636</v>
      </c>
      <c r="H371" s="31">
        <f t="shared" ca="1" si="58"/>
        <v>0</v>
      </c>
      <c r="I371" s="9">
        <f t="shared" ca="1" si="54"/>
        <v>1375</v>
      </c>
      <c r="J371" s="30">
        <f t="shared" ca="1" si="55"/>
        <v>1000</v>
      </c>
      <c r="K371" s="122">
        <f t="shared" ca="1" si="59"/>
        <v>375</v>
      </c>
      <c r="L371" s="30"/>
      <c r="M371" s="30"/>
      <c r="N371" s="30"/>
      <c r="O371" s="30"/>
    </row>
    <row r="372" spans="1:19" x14ac:dyDescent="0.25">
      <c r="A372" s="10">
        <v>353</v>
      </c>
      <c r="B372" s="27">
        <f t="shared" ca="1" si="50"/>
        <v>0.74578541272138654</v>
      </c>
      <c r="C372" s="21">
        <f t="shared" ca="1" si="56"/>
        <v>274.57854127213864</v>
      </c>
      <c r="D372" s="21">
        <f t="shared" ca="1" si="51"/>
        <v>250</v>
      </c>
      <c r="E372" s="21">
        <f t="shared" ca="1" si="52"/>
        <v>0</v>
      </c>
      <c r="F372" s="22">
        <f t="shared" ca="1" si="57"/>
        <v>0</v>
      </c>
      <c r="G372" s="22">
        <f t="shared" ca="1" si="53"/>
        <v>21.840852203357372</v>
      </c>
      <c r="H372" s="31">
        <f t="shared" ca="1" si="58"/>
        <v>0</v>
      </c>
      <c r="I372" s="9">
        <f t="shared" ca="1" si="54"/>
        <v>1375</v>
      </c>
      <c r="J372" s="30">
        <f t="shared" ca="1" si="55"/>
        <v>1000</v>
      </c>
      <c r="K372" s="122">
        <f t="shared" ca="1" si="59"/>
        <v>375</v>
      </c>
      <c r="L372" s="30"/>
      <c r="M372" s="30"/>
      <c r="N372" s="30"/>
      <c r="O372" s="30"/>
    </row>
    <row r="373" spans="1:19" x14ac:dyDescent="0.25">
      <c r="A373" s="10">
        <v>354</v>
      </c>
      <c r="B373" s="27">
        <f t="shared" ca="1" si="50"/>
        <v>0.71840852203357375</v>
      </c>
      <c r="C373" s="21">
        <f t="shared" ca="1" si="56"/>
        <v>271.84085220335737</v>
      </c>
      <c r="D373" s="21">
        <f t="shared" ca="1" si="51"/>
        <v>250</v>
      </c>
      <c r="E373" s="21">
        <f t="shared" ca="1" si="52"/>
        <v>0</v>
      </c>
      <c r="F373" s="22">
        <f t="shared" ca="1" si="57"/>
        <v>0</v>
      </c>
      <c r="G373" s="22">
        <f t="shared" ca="1" si="53"/>
        <v>28.660811907458424</v>
      </c>
      <c r="H373" s="31">
        <f t="shared" ca="1" si="58"/>
        <v>0</v>
      </c>
      <c r="I373" s="9">
        <f t="shared" ca="1" si="54"/>
        <v>1375</v>
      </c>
      <c r="J373" s="30">
        <f t="shared" ca="1" si="55"/>
        <v>1000</v>
      </c>
      <c r="K373" s="122">
        <f t="shared" ca="1" si="59"/>
        <v>375</v>
      </c>
      <c r="L373" s="30"/>
      <c r="M373" s="30"/>
      <c r="N373" s="30"/>
      <c r="O373" s="30"/>
    </row>
    <row r="374" spans="1:19" x14ac:dyDescent="0.25">
      <c r="A374" s="10">
        <v>355</v>
      </c>
      <c r="B374" s="27">
        <f t="shared" ca="1" si="50"/>
        <v>0.78660811907458406</v>
      </c>
      <c r="C374" s="21">
        <f t="shared" ca="1" si="56"/>
        <v>278.66081190745842</v>
      </c>
      <c r="D374" s="21">
        <f t="shared" ca="1" si="51"/>
        <v>250</v>
      </c>
      <c r="E374" s="21">
        <f t="shared" ca="1" si="52"/>
        <v>0</v>
      </c>
      <c r="F374" s="22">
        <f t="shared" ca="1" si="57"/>
        <v>0</v>
      </c>
      <c r="G374" s="22">
        <f t="shared" ca="1" si="53"/>
        <v>10.730260951221908</v>
      </c>
      <c r="H374" s="31">
        <f t="shared" ca="1" si="58"/>
        <v>0</v>
      </c>
      <c r="I374" s="9">
        <f t="shared" ca="1" si="54"/>
        <v>1375</v>
      </c>
      <c r="J374" s="30">
        <f t="shared" ca="1" si="55"/>
        <v>1000</v>
      </c>
      <c r="K374" s="122">
        <f t="shared" ca="1" si="59"/>
        <v>375</v>
      </c>
      <c r="L374" s="30"/>
      <c r="M374" s="30"/>
      <c r="N374" s="30"/>
      <c r="O374" s="30"/>
    </row>
    <row r="375" spans="1:19" x14ac:dyDescent="0.25">
      <c r="A375" s="10">
        <v>356</v>
      </c>
      <c r="B375" s="27">
        <f t="shared" ca="1" si="50"/>
        <v>0.60730260951221926</v>
      </c>
      <c r="C375" s="21">
        <f t="shared" ca="1" si="56"/>
        <v>260.73026095122191</v>
      </c>
      <c r="D375" s="21">
        <f t="shared" ca="1" si="51"/>
        <v>250</v>
      </c>
      <c r="E375" s="21">
        <f t="shared" ca="1" si="52"/>
        <v>0</v>
      </c>
      <c r="F375" s="22">
        <f t="shared" ca="1" si="57"/>
        <v>0</v>
      </c>
      <c r="G375" s="22">
        <f t="shared" ca="1" si="53"/>
        <v>11.629483931972004</v>
      </c>
      <c r="H375" s="31">
        <f t="shared" ca="1" si="58"/>
        <v>0</v>
      </c>
      <c r="I375" s="9">
        <f t="shared" ca="1" si="54"/>
        <v>1375</v>
      </c>
      <c r="J375" s="30">
        <f t="shared" ca="1" si="55"/>
        <v>1000</v>
      </c>
      <c r="K375" s="122">
        <f t="shared" ca="1" si="59"/>
        <v>375</v>
      </c>
      <c r="L375" s="30"/>
      <c r="M375" s="30"/>
      <c r="N375" s="30"/>
      <c r="O375" s="30"/>
    </row>
    <row r="376" spans="1:19" x14ac:dyDescent="0.25">
      <c r="A376" s="10">
        <v>357</v>
      </c>
      <c r="B376" s="27">
        <f t="shared" ca="1" si="50"/>
        <v>0.61629483931971996</v>
      </c>
      <c r="C376" s="21">
        <f t="shared" ca="1" si="56"/>
        <v>261.629483931972</v>
      </c>
      <c r="D376" s="21">
        <f t="shared" ca="1" si="51"/>
        <v>250</v>
      </c>
      <c r="E376" s="21">
        <f t="shared" ca="1" si="52"/>
        <v>0</v>
      </c>
      <c r="F376" s="22">
        <f t="shared" ca="1" si="57"/>
        <v>0</v>
      </c>
      <c r="G376" s="22">
        <f t="shared" ca="1" si="53"/>
        <v>0</v>
      </c>
      <c r="H376" s="31">
        <f t="shared" ca="1" si="58"/>
        <v>0</v>
      </c>
      <c r="I376" s="9">
        <f t="shared" ca="1" si="54"/>
        <v>1375</v>
      </c>
      <c r="J376" s="30">
        <f t="shared" ca="1" si="55"/>
        <v>1000</v>
      </c>
      <c r="K376" s="122">
        <f t="shared" ca="1" si="59"/>
        <v>375</v>
      </c>
      <c r="L376" s="30"/>
      <c r="M376" s="30"/>
      <c r="N376" s="30"/>
      <c r="O376" s="30"/>
    </row>
    <row r="377" spans="1:19" x14ac:dyDescent="0.25">
      <c r="A377" s="10">
        <v>358</v>
      </c>
      <c r="B377" s="27">
        <f t="shared" ca="1" si="50"/>
        <v>0.13198954971687216</v>
      </c>
      <c r="C377" s="21">
        <f t="shared" ca="1" si="56"/>
        <v>213.19895497168721</v>
      </c>
      <c r="D377" s="21">
        <f t="shared" ca="1" si="51"/>
        <v>250</v>
      </c>
      <c r="E377" s="21">
        <f t="shared" ca="1" si="52"/>
        <v>36.801045028312785</v>
      </c>
      <c r="F377" s="22">
        <f t="shared" ca="1" si="57"/>
        <v>36.801045028312785</v>
      </c>
      <c r="G377" s="22">
        <f t="shared" ca="1" si="53"/>
        <v>0</v>
      </c>
      <c r="H377" s="31">
        <f t="shared" ca="1" si="58"/>
        <v>36.801045028312785</v>
      </c>
      <c r="I377" s="9">
        <f t="shared" ca="1" si="54"/>
        <v>1181.7945136013579</v>
      </c>
      <c r="J377" s="30">
        <f t="shared" ca="1" si="55"/>
        <v>1055.2015675424691</v>
      </c>
      <c r="K377" s="122">
        <f t="shared" ca="1" si="59"/>
        <v>126.59294605888886</v>
      </c>
      <c r="L377" s="30"/>
      <c r="M377" s="30"/>
      <c r="N377" s="30"/>
      <c r="O377" s="30"/>
    </row>
    <row r="378" spans="1:19" x14ac:dyDescent="0.25">
      <c r="A378" s="10">
        <v>359</v>
      </c>
      <c r="B378" s="27">
        <f t="shared" ca="1" si="50"/>
        <v>0.42640414238988356</v>
      </c>
      <c r="C378" s="21">
        <f t="shared" ca="1" si="56"/>
        <v>242.64041423898834</v>
      </c>
      <c r="D378" s="21">
        <f t="shared" ca="1" si="51"/>
        <v>286.80104502831279</v>
      </c>
      <c r="E378" s="21">
        <f t="shared" ca="1" si="52"/>
        <v>7.3595857610116582</v>
      </c>
      <c r="F378" s="22">
        <f t="shared" ca="1" si="57"/>
        <v>44.160630789324443</v>
      </c>
      <c r="G378" s="22">
        <f t="shared" ca="1" si="53"/>
        <v>49.347301621521183</v>
      </c>
      <c r="H378" s="31">
        <f t="shared" ca="1" si="58"/>
        <v>0</v>
      </c>
      <c r="I378" s="9">
        <f t="shared" ca="1" si="54"/>
        <v>1336.3621747546888</v>
      </c>
      <c r="J378" s="30">
        <f t="shared" ca="1" si="55"/>
        <v>1000</v>
      </c>
      <c r="K378" s="122">
        <f t="shared" ca="1" si="59"/>
        <v>336.36217475468879</v>
      </c>
      <c r="L378" s="30"/>
      <c r="M378" s="30"/>
      <c r="N378" s="30"/>
      <c r="O378" s="30"/>
    </row>
    <row r="379" spans="1:19" x14ac:dyDescent="0.25">
      <c r="A379" s="10">
        <v>360</v>
      </c>
      <c r="B379" s="27">
        <f t="shared" ca="1" si="50"/>
        <v>0.99347301621521211</v>
      </c>
      <c r="C379" s="21">
        <f t="shared" ca="1" si="56"/>
        <v>299.34730162152118</v>
      </c>
      <c r="D379" s="21">
        <f t="shared" ca="1" si="51"/>
        <v>257.35958576101166</v>
      </c>
      <c r="E379" s="21">
        <f t="shared" ca="1" si="52"/>
        <v>0</v>
      </c>
      <c r="F379" s="22">
        <f t="shared" ca="1" si="57"/>
        <v>0</v>
      </c>
      <c r="G379" s="22">
        <f t="shared" ca="1" si="53"/>
        <v>0</v>
      </c>
      <c r="H379" s="31">
        <f t="shared" ca="1" si="58"/>
        <v>0</v>
      </c>
      <c r="I379" s="9">
        <f t="shared" ca="1" si="54"/>
        <v>1375</v>
      </c>
      <c r="J379" s="30">
        <f t="shared" ca="1" si="55"/>
        <v>1000</v>
      </c>
      <c r="K379" s="122">
        <f t="shared" ca="1" si="59"/>
        <v>375</v>
      </c>
      <c r="L379" s="30"/>
      <c r="M379" s="30"/>
      <c r="N379" s="30"/>
      <c r="O379" s="30"/>
    </row>
    <row r="380" spans="1:19" x14ac:dyDescent="0.25">
      <c r="A380" s="10">
        <v>361</v>
      </c>
      <c r="B380" s="27">
        <f t="shared" ca="1" si="50"/>
        <v>0.4004611459123506</v>
      </c>
      <c r="C380" s="21">
        <f t="shared" ca="1" si="56"/>
        <v>240.04611459123507</v>
      </c>
      <c r="D380" s="21">
        <f t="shared" ca="1" si="51"/>
        <v>250</v>
      </c>
      <c r="E380" s="21">
        <f t="shared" ca="1" si="52"/>
        <v>9.9538854087649327</v>
      </c>
      <c r="F380" s="22">
        <f t="shared" ca="1" si="57"/>
        <v>9.9538854087649327</v>
      </c>
      <c r="G380" s="22">
        <f t="shared" ca="1" si="53"/>
        <v>0</v>
      </c>
      <c r="H380" s="31">
        <f t="shared" ca="1" si="58"/>
        <v>9.9538854087649327</v>
      </c>
      <c r="I380" s="9">
        <f t="shared" ca="1" si="54"/>
        <v>1322.7421016039841</v>
      </c>
      <c r="J380" s="30">
        <f t="shared" ca="1" si="55"/>
        <v>1014.9308281131474</v>
      </c>
      <c r="K380" s="122">
        <f t="shared" ca="1" si="59"/>
        <v>307.8112734908367</v>
      </c>
      <c r="L380" s="30"/>
      <c r="M380" s="30"/>
      <c r="N380" s="30"/>
      <c r="O380" s="30"/>
      <c r="P380" s="23"/>
      <c r="Q380" s="23"/>
      <c r="R380" s="23"/>
      <c r="S380" s="23"/>
    </row>
    <row r="381" spans="1:19" x14ac:dyDescent="0.25">
      <c r="A381" s="10">
        <v>362</v>
      </c>
      <c r="B381" s="27">
        <f t="shared" ca="1" si="50"/>
        <v>0.10863165899472793</v>
      </c>
      <c r="C381" s="21">
        <f t="shared" ca="1" si="56"/>
        <v>210.86316589947279</v>
      </c>
      <c r="D381" s="21">
        <f t="shared" ca="1" si="51"/>
        <v>259.9538854087649</v>
      </c>
      <c r="E381" s="21">
        <f t="shared" ca="1" si="52"/>
        <v>39.13683410052721</v>
      </c>
      <c r="F381" s="22">
        <f t="shared" ca="1" si="57"/>
        <v>49.090719509292114</v>
      </c>
      <c r="G381" s="22">
        <f t="shared" ca="1" si="53"/>
        <v>0</v>
      </c>
      <c r="H381" s="31">
        <f t="shared" ca="1" si="58"/>
        <v>49.090719509292114</v>
      </c>
      <c r="I381" s="9">
        <f t="shared" ca="1" si="54"/>
        <v>1199.3932771985269</v>
      </c>
      <c r="J381" s="30">
        <f t="shared" ca="1" si="55"/>
        <v>1073.6360792639382</v>
      </c>
      <c r="K381" s="122">
        <f t="shared" ca="1" si="59"/>
        <v>125.7571979345887</v>
      </c>
      <c r="L381" s="30"/>
      <c r="M381" s="30"/>
      <c r="N381" s="30"/>
      <c r="O381" s="30"/>
      <c r="P381" s="23"/>
      <c r="Q381" s="23"/>
      <c r="R381" s="23"/>
      <c r="S381" s="23"/>
    </row>
    <row r="382" spans="1:19" x14ac:dyDescent="0.25">
      <c r="A382" s="10">
        <v>363</v>
      </c>
      <c r="B382" s="27">
        <f t="shared" ca="1" si="50"/>
        <v>0.22893720743428392</v>
      </c>
      <c r="C382" s="21">
        <f t="shared" ca="1" si="56"/>
        <v>222.89372074342839</v>
      </c>
      <c r="D382" s="21">
        <f t="shared" ca="1" si="51"/>
        <v>289.13683410052721</v>
      </c>
      <c r="E382" s="21">
        <f t="shared" ca="1" si="52"/>
        <v>27.106279256571611</v>
      </c>
      <c r="F382" s="22">
        <f t="shared" ca="1" si="57"/>
        <v>66.243113357098821</v>
      </c>
      <c r="G382" s="22">
        <f t="shared" ca="1" si="53"/>
        <v>0</v>
      </c>
      <c r="H382" s="31">
        <f t="shared" ca="1" si="58"/>
        <v>66.243113357098821</v>
      </c>
      <c r="I382" s="9">
        <f t="shared" ca="1" si="54"/>
        <v>1350.1025362045807</v>
      </c>
      <c r="J382" s="30">
        <f t="shared" ca="1" si="55"/>
        <v>1099.3646700356483</v>
      </c>
      <c r="K382" s="122">
        <f t="shared" ca="1" si="59"/>
        <v>250.73786616893244</v>
      </c>
      <c r="L382" s="30"/>
      <c r="M382" s="30"/>
      <c r="N382" s="30"/>
      <c r="O382" s="30"/>
      <c r="P382" s="23"/>
      <c r="Q382" s="23"/>
      <c r="R382" s="23"/>
      <c r="S382" s="23"/>
    </row>
    <row r="383" spans="1:19" x14ac:dyDescent="0.25">
      <c r="A383" s="10">
        <v>364</v>
      </c>
      <c r="B383" s="27">
        <f t="shared" ca="1" si="50"/>
        <v>0.20944820011796039</v>
      </c>
      <c r="C383" s="21">
        <f t="shared" ca="1" si="56"/>
        <v>220.94482001179603</v>
      </c>
      <c r="D383" s="21">
        <f t="shared" ca="1" si="51"/>
        <v>277.10627925657161</v>
      </c>
      <c r="E383" s="21">
        <f t="shared" ca="1" si="52"/>
        <v>29.055179988203975</v>
      </c>
      <c r="F383" s="22">
        <f t="shared" ca="1" si="57"/>
        <v>56.161459244775585</v>
      </c>
      <c r="G383" s="22">
        <f t="shared" ca="1" si="53"/>
        <v>48.304184431577255</v>
      </c>
      <c r="H383" s="31">
        <f t="shared" ca="1" si="58"/>
        <v>7.8572748131983303</v>
      </c>
      <c r="I383" s="9">
        <f t="shared" ca="1" si="54"/>
        <v>1246.0321295015242</v>
      </c>
      <c r="J383" s="30">
        <f t="shared" ca="1" si="55"/>
        <v>1011.7859122197975</v>
      </c>
      <c r="K383" s="122">
        <f t="shared" ca="1" si="59"/>
        <v>234.24621728172667</v>
      </c>
      <c r="L383" s="30"/>
      <c r="M383" s="30"/>
      <c r="N383" s="30"/>
      <c r="O383" s="30"/>
      <c r="P383" s="23"/>
      <c r="Q383" s="23"/>
      <c r="R383" s="23"/>
      <c r="S383" s="23"/>
    </row>
    <row r="384" spans="1:19" x14ac:dyDescent="0.25">
      <c r="A384" s="12">
        <v>365</v>
      </c>
      <c r="B384" s="27">
        <f t="shared" ca="1" si="50"/>
        <v>0.98304184431577257</v>
      </c>
      <c r="C384" s="21">
        <f t="shared" ca="1" si="56"/>
        <v>298.30418443157726</v>
      </c>
      <c r="D384" s="21">
        <f t="shared" ca="1" si="51"/>
        <v>279.05517998820397</v>
      </c>
      <c r="E384" s="21">
        <f t="shared" ca="1" si="52"/>
        <v>0</v>
      </c>
      <c r="F384" s="36">
        <f t="shared" ca="1" si="57"/>
        <v>0</v>
      </c>
      <c r="G384" s="36">
        <f t="shared" si="53"/>
        <v>0</v>
      </c>
      <c r="H384" s="37">
        <f t="shared" ca="1" si="58"/>
        <v>0</v>
      </c>
      <c r="I384" s="9">
        <f t="shared" ca="1" si="54"/>
        <v>1375</v>
      </c>
      <c r="J384" s="30">
        <f t="shared" ca="1" si="55"/>
        <v>1000</v>
      </c>
      <c r="K384" s="123">
        <f t="shared" ca="1" si="59"/>
        <v>375</v>
      </c>
      <c r="L384" s="30"/>
      <c r="M384" s="30"/>
      <c r="N384" s="30"/>
      <c r="O384" s="30"/>
      <c r="P384" s="23"/>
      <c r="Q384" s="23"/>
      <c r="R384" s="23"/>
      <c r="S384" s="23"/>
    </row>
    <row r="385" spans="1:19" x14ac:dyDescent="0.25">
      <c r="A385" s="107"/>
      <c r="B385" s="108"/>
      <c r="C385" s="109"/>
      <c r="D385" s="109"/>
      <c r="E385" s="110"/>
      <c r="F385" s="111"/>
      <c r="G385" s="112"/>
      <c r="H385" s="113"/>
      <c r="I385" s="113"/>
      <c r="J385" s="113"/>
      <c r="K385" s="114"/>
      <c r="L385" s="23"/>
      <c r="M385" s="23"/>
      <c r="N385" s="23"/>
      <c r="O385" s="23"/>
      <c r="P385" s="23"/>
      <c r="Q385" s="23"/>
      <c r="R385" s="23"/>
      <c r="S385" s="23"/>
    </row>
    <row r="386" spans="1:19" x14ac:dyDescent="0.25">
      <c r="A386" s="115" t="s">
        <v>22</v>
      </c>
      <c r="B386" s="93"/>
      <c r="C386" s="116">
        <f ca="1">AVERAGE(C20:C384)</f>
        <v>250.48294489309089</v>
      </c>
      <c r="D386" s="116">
        <f ca="1">AVERAGE(D20:D384)</f>
        <v>262.36076923198186</v>
      </c>
      <c r="E386" s="117"/>
      <c r="F386" s="118"/>
      <c r="G386" s="118"/>
      <c r="H386" s="119">
        <f ca="1">AVERAGE(H20:H384)</f>
        <v>15.722084932481438</v>
      </c>
      <c r="I386" s="120">
        <f ca="1">AVERAGE(I20:I384)</f>
        <v>1333.5155463829242</v>
      </c>
      <c r="J386" s="120">
        <f ca="1">AVERAGE(J20:J384)</f>
        <v>1023.5831273987229</v>
      </c>
      <c r="K386" s="120">
        <f ca="1">AVERAGE(K20:K384)</f>
        <v>309.93241898420274</v>
      </c>
      <c r="L386" s="24"/>
      <c r="M386" s="23"/>
      <c r="N386" s="23"/>
      <c r="O386" s="23"/>
      <c r="P386" s="23"/>
      <c r="Q386" s="23"/>
      <c r="R386" s="23"/>
      <c r="S386" s="23"/>
    </row>
    <row r="387" spans="1:19" x14ac:dyDescent="0.25">
      <c r="L387" s="23"/>
      <c r="M387" s="23"/>
      <c r="N387" s="23"/>
      <c r="O387" s="23"/>
      <c r="P387" s="23"/>
      <c r="Q387" s="23"/>
      <c r="R387" s="23"/>
      <c r="S387" s="23"/>
    </row>
    <row r="388" spans="1:19" x14ac:dyDescent="0.25">
      <c r="L388" s="23"/>
      <c r="M388" s="23"/>
      <c r="N388" s="23"/>
      <c r="O388" s="23"/>
      <c r="P388" s="23"/>
      <c r="Q388" s="23"/>
      <c r="R388" s="23"/>
      <c r="S388" s="23"/>
    </row>
    <row r="389" spans="1:19" x14ac:dyDescent="0.25">
      <c r="L389" s="23"/>
      <c r="M389" s="23"/>
      <c r="N389" s="23"/>
      <c r="O389" s="23"/>
      <c r="P389" s="23"/>
      <c r="Q389" s="23"/>
      <c r="R389" s="23"/>
      <c r="S389" s="23"/>
    </row>
  </sheetData>
  <mergeCells count="18">
    <mergeCell ref="A386:B386"/>
    <mergeCell ref="A385:B385"/>
    <mergeCell ref="F4:H4"/>
    <mergeCell ref="A5:D5"/>
    <mergeCell ref="F5:H5"/>
    <mergeCell ref="A6:D6"/>
    <mergeCell ref="A7:D7"/>
    <mergeCell ref="A11:H11"/>
    <mergeCell ref="A12:C12"/>
    <mergeCell ref="A13:C13"/>
    <mergeCell ref="A14:C14"/>
    <mergeCell ref="E385:G385"/>
    <mergeCell ref="A15:D16"/>
    <mergeCell ref="A8:D8"/>
    <mergeCell ref="A9:D9"/>
    <mergeCell ref="A10:D10"/>
    <mergeCell ref="A1:K2"/>
    <mergeCell ref="A4:E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EBCE-2A63-44E5-BD3F-7176EEA25B85}">
  <sheetPr>
    <tabColor rgb="FF00B050"/>
  </sheetPr>
  <dimension ref="A1:AA389"/>
  <sheetViews>
    <sheetView workbookViewId="0">
      <selection activeCell="F16" sqref="F16"/>
    </sheetView>
  </sheetViews>
  <sheetFormatPr defaultRowHeight="15" x14ac:dyDescent="0.25"/>
  <cols>
    <col min="2" max="2" width="8.28515625" bestFit="1" customWidth="1"/>
    <col min="3" max="3" width="8.42578125" bestFit="1" customWidth="1"/>
    <col min="4" max="4" width="13.42578125" customWidth="1"/>
    <col min="5" max="5" width="15" customWidth="1"/>
    <col min="6" max="6" width="15.140625" customWidth="1"/>
    <col min="7" max="7" width="11.5703125" customWidth="1"/>
    <col min="8" max="8" width="15.85546875" customWidth="1"/>
    <col min="9" max="9" width="11.85546875" customWidth="1"/>
    <col min="10" max="10" width="11.140625" customWidth="1"/>
    <col min="11" max="11" width="10.5703125" customWidth="1"/>
    <col min="12" max="12" width="11" bestFit="1" customWidth="1"/>
    <col min="13" max="13" width="10.85546875" bestFit="1" customWidth="1"/>
    <col min="14" max="15" width="10.5703125" bestFit="1" customWidth="1"/>
    <col min="16" max="16" width="12.28515625" bestFit="1" customWidth="1"/>
    <col min="17" max="17" width="10.5703125" bestFit="1" customWidth="1"/>
    <col min="18" max="18" width="10.28515625" bestFit="1" customWidth="1"/>
    <col min="24" max="24" width="9.42578125" customWidth="1"/>
    <col min="31" max="31" width="10.28515625" bestFit="1" customWidth="1"/>
  </cols>
  <sheetData>
    <row r="1" spans="1:27" ht="15" customHeight="1" x14ac:dyDescent="0.25">
      <c r="A1" s="63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5"/>
      <c r="R1" s="23"/>
      <c r="S1" s="32"/>
      <c r="T1" s="32"/>
    </row>
    <row r="2" spans="1:2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8"/>
      <c r="R2" s="20"/>
      <c r="S2" s="32"/>
      <c r="T2" s="32"/>
    </row>
    <row r="3" spans="1:27" x14ac:dyDescent="0.25">
      <c r="R3" s="30"/>
      <c r="S3" s="23"/>
      <c r="T3" s="23"/>
    </row>
    <row r="4" spans="1:27" ht="18.75" x14ac:dyDescent="0.3">
      <c r="A4" s="70" t="s">
        <v>20</v>
      </c>
      <c r="B4" s="71"/>
      <c r="C4" s="71"/>
      <c r="D4" s="71"/>
      <c r="E4" s="72"/>
      <c r="F4" s="69" t="s">
        <v>30</v>
      </c>
      <c r="G4" s="69"/>
      <c r="H4" s="69"/>
      <c r="I4" s="11">
        <f>MAX(G9:K9)</f>
        <v>352.87210282392101</v>
      </c>
      <c r="R4" s="20"/>
      <c r="S4" s="23"/>
      <c r="T4" s="23"/>
    </row>
    <row r="5" spans="1:27" x14ac:dyDescent="0.25">
      <c r="A5" s="61" t="s">
        <v>18</v>
      </c>
      <c r="B5" s="73"/>
      <c r="C5" s="73"/>
      <c r="D5" s="73"/>
      <c r="E5" s="26">
        <v>4</v>
      </c>
      <c r="F5" s="69" t="s">
        <v>31</v>
      </c>
      <c r="G5" s="69"/>
      <c r="H5" s="69"/>
      <c r="I5" s="8" t="str">
        <f>HLOOKUP(I4,G9:K10,2,FALSE)</f>
        <v>241-260</v>
      </c>
      <c r="L5" s="23"/>
      <c r="M5" s="23"/>
      <c r="N5" s="23"/>
      <c r="R5" s="23"/>
      <c r="S5" s="23"/>
    </row>
    <row r="6" spans="1:27" x14ac:dyDescent="0.25">
      <c r="A6" s="61" t="s">
        <v>16</v>
      </c>
      <c r="B6" s="73"/>
      <c r="C6" s="73"/>
      <c r="D6" s="73"/>
      <c r="E6" s="17">
        <v>1.5</v>
      </c>
      <c r="R6" s="23"/>
      <c r="S6" s="23"/>
    </row>
    <row r="7" spans="1:27" x14ac:dyDescent="0.25">
      <c r="A7" s="61" t="s">
        <v>14</v>
      </c>
      <c r="B7" s="73"/>
      <c r="C7" s="73"/>
      <c r="D7" s="73"/>
      <c r="E7" s="17">
        <v>5.5</v>
      </c>
      <c r="F7" s="39" t="s">
        <v>23</v>
      </c>
    </row>
    <row r="8" spans="1:27" x14ac:dyDescent="0.25">
      <c r="A8" s="61" t="s">
        <v>12</v>
      </c>
      <c r="B8" s="73"/>
      <c r="C8" s="73"/>
      <c r="D8" s="73"/>
      <c r="E8" s="17">
        <v>3</v>
      </c>
      <c r="F8" s="94"/>
      <c r="G8" s="95">
        <v>210</v>
      </c>
      <c r="H8" s="95">
        <v>225</v>
      </c>
      <c r="I8" s="95">
        <v>251</v>
      </c>
      <c r="J8" s="95">
        <v>280</v>
      </c>
      <c r="K8" s="96">
        <v>285</v>
      </c>
    </row>
    <row r="9" spans="1:27" x14ac:dyDescent="0.25">
      <c r="A9" s="61" t="s">
        <v>10</v>
      </c>
      <c r="B9" s="73"/>
      <c r="C9" s="73"/>
      <c r="D9" s="73"/>
      <c r="E9" s="18">
        <v>0.25</v>
      </c>
      <c r="F9" s="97">
        <f ca="1">K386</f>
        <v>357.12693389995633</v>
      </c>
      <c r="G9" s="98">
        <f t="dataTable" ref="G9:K9" dt2D="0" dtr="1" r1="E10" ca="1"/>
        <v>315</v>
      </c>
      <c r="H9" s="98">
        <v>337.38840105635825</v>
      </c>
      <c r="I9" s="98">
        <v>352.87210282392101</v>
      </c>
      <c r="J9" s="99">
        <v>267.06240352043477</v>
      </c>
      <c r="K9" s="100">
        <v>245.49203272630353</v>
      </c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x14ac:dyDescent="0.25">
      <c r="A10" s="74" t="s">
        <v>4</v>
      </c>
      <c r="B10" s="75"/>
      <c r="C10" s="75"/>
      <c r="D10" s="75"/>
      <c r="E10" s="105">
        <f ca="1">241+(260-241)*RAND()</f>
        <v>248.04768354695153</v>
      </c>
      <c r="F10" s="101"/>
      <c r="G10" s="102" t="s">
        <v>9</v>
      </c>
      <c r="H10" s="102" t="s">
        <v>8</v>
      </c>
      <c r="I10" s="102" t="s">
        <v>7</v>
      </c>
      <c r="J10" s="103" t="s">
        <v>6</v>
      </c>
      <c r="K10" s="104" t="s">
        <v>5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8.75" x14ac:dyDescent="0.3">
      <c r="A11" s="70" t="s">
        <v>19</v>
      </c>
      <c r="B11" s="71"/>
      <c r="C11" s="71"/>
      <c r="D11" s="71"/>
      <c r="E11" s="71"/>
      <c r="F11" s="71"/>
      <c r="G11" s="71"/>
      <c r="H11" s="72"/>
      <c r="R11" s="25"/>
      <c r="S11" s="25"/>
      <c r="T11" s="25"/>
      <c r="U11" s="33"/>
      <c r="V11" s="23"/>
      <c r="W11" s="23"/>
      <c r="X11" s="23"/>
      <c r="Y11" s="23"/>
      <c r="Z11" s="23"/>
      <c r="AA11" s="23"/>
    </row>
    <row r="12" spans="1:27" x14ac:dyDescent="0.25">
      <c r="A12" s="61" t="s">
        <v>15</v>
      </c>
      <c r="B12" s="73"/>
      <c r="C12" s="62"/>
      <c r="D12" s="3">
        <f ca="1">200+20*RAND()</f>
        <v>206.62058429895123</v>
      </c>
      <c r="E12" s="4">
        <f ca="1">221+(240-221)*RAND()</f>
        <v>236.49590039869153</v>
      </c>
      <c r="F12" s="4">
        <f ca="1">241+(260-241)*RAND()</f>
        <v>255.77856665215202</v>
      </c>
      <c r="G12" s="4">
        <f ca="1">261+(280-261)*RAND()</f>
        <v>264.41749849728745</v>
      </c>
      <c r="H12" s="6">
        <f ca="1">281+(300-281)*RAND()</f>
        <v>288.22501401872273</v>
      </c>
      <c r="R12" s="25"/>
      <c r="S12" s="25"/>
      <c r="T12" s="25"/>
      <c r="U12" s="34"/>
      <c r="V12" s="23"/>
      <c r="W12" s="23"/>
      <c r="X12" s="23"/>
      <c r="Y12" s="23"/>
      <c r="Z12" s="23"/>
      <c r="AA12" s="23"/>
    </row>
    <row r="13" spans="1:27" x14ac:dyDescent="0.25">
      <c r="A13" s="61" t="s">
        <v>13</v>
      </c>
      <c r="B13" s="73"/>
      <c r="C13" s="62"/>
      <c r="D13" s="5">
        <v>0.15</v>
      </c>
      <c r="E13" s="5">
        <v>0.25</v>
      </c>
      <c r="F13" s="5">
        <v>0.3</v>
      </c>
      <c r="G13" s="5">
        <v>0.2</v>
      </c>
      <c r="H13" s="7">
        <v>0.1</v>
      </c>
      <c r="R13" s="28"/>
      <c r="S13" s="23"/>
      <c r="T13" s="23"/>
      <c r="U13" s="23"/>
      <c r="V13" s="23"/>
      <c r="W13" s="23"/>
      <c r="X13" s="23"/>
      <c r="Y13" s="23"/>
      <c r="Z13" s="23"/>
      <c r="AA13" s="23"/>
    </row>
    <row r="14" spans="1:27" x14ac:dyDescent="0.25">
      <c r="A14" s="82"/>
      <c r="B14" s="83"/>
      <c r="C14" s="84"/>
      <c r="D14" s="15" t="s">
        <v>9</v>
      </c>
      <c r="E14" s="15" t="s">
        <v>8</v>
      </c>
      <c r="F14" s="15" t="s">
        <v>7</v>
      </c>
      <c r="G14" s="15" t="s">
        <v>6</v>
      </c>
      <c r="H14" s="16" t="s">
        <v>5</v>
      </c>
      <c r="R14" s="30"/>
      <c r="S14" s="23"/>
      <c r="T14" s="23"/>
      <c r="U14" s="23"/>
      <c r="V14" s="23"/>
      <c r="W14" s="23"/>
      <c r="X14" s="35"/>
      <c r="Y14" s="23"/>
      <c r="Z14" s="23"/>
      <c r="AA14" s="23"/>
    </row>
    <row r="15" spans="1:27" x14ac:dyDescent="0.25">
      <c r="A15" s="85" t="s">
        <v>33</v>
      </c>
      <c r="B15" s="85"/>
      <c r="C15" s="85"/>
      <c r="D15" s="38">
        <v>250</v>
      </c>
      <c r="R15" s="23"/>
      <c r="S15" s="20"/>
      <c r="T15" s="20"/>
      <c r="U15" s="20"/>
      <c r="V15" s="20"/>
      <c r="W15" s="20"/>
      <c r="X15" s="20"/>
      <c r="Y15" s="20"/>
      <c r="Z15" s="20"/>
      <c r="AA15" s="23"/>
    </row>
    <row r="16" spans="1:27" x14ac:dyDescent="0.25">
      <c r="A16" s="85" t="s">
        <v>34</v>
      </c>
      <c r="B16" s="85"/>
      <c r="C16" s="85"/>
      <c r="D16" s="38">
        <v>10</v>
      </c>
      <c r="R16" s="28"/>
      <c r="S16" s="23"/>
      <c r="T16" s="23"/>
      <c r="U16" s="23"/>
      <c r="V16" s="23"/>
      <c r="W16" s="23"/>
      <c r="X16" s="23"/>
      <c r="Y16" s="23"/>
      <c r="Z16" s="23"/>
      <c r="AA16" s="23"/>
    </row>
    <row r="17" spans="1:27" x14ac:dyDescent="0.25"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25">
      <c r="A18" s="2" t="s">
        <v>3</v>
      </c>
      <c r="B18" s="126" t="s">
        <v>2</v>
      </c>
      <c r="C18" s="126" t="s">
        <v>1</v>
      </c>
      <c r="D18" s="127" t="s">
        <v>25</v>
      </c>
      <c r="E18" s="128" t="s">
        <v>26</v>
      </c>
      <c r="F18" s="129" t="s">
        <v>27</v>
      </c>
      <c r="G18" s="130" t="s">
        <v>28</v>
      </c>
      <c r="H18" s="129" t="s">
        <v>29</v>
      </c>
      <c r="I18" s="126" t="s">
        <v>21</v>
      </c>
      <c r="J18" s="126" t="s">
        <v>0</v>
      </c>
      <c r="K18" s="19" t="s">
        <v>24</v>
      </c>
      <c r="L18" s="28"/>
      <c r="M18" s="28"/>
      <c r="N18" s="28"/>
      <c r="O18" s="29"/>
      <c r="R18" s="30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25">
      <c r="A19" s="10"/>
      <c r="B19" s="131"/>
      <c r="C19" s="132">
        <v>0</v>
      </c>
      <c r="D19" s="132">
        <v>0</v>
      </c>
      <c r="E19" s="132">
        <v>0</v>
      </c>
      <c r="F19" s="133"/>
      <c r="G19" s="133"/>
      <c r="H19" s="134"/>
      <c r="I19" s="135"/>
      <c r="J19" s="136"/>
      <c r="K19" s="125"/>
      <c r="L19" s="23"/>
      <c r="M19" s="23"/>
      <c r="N19" s="23"/>
      <c r="O19" s="23"/>
      <c r="R19" s="23"/>
      <c r="S19" s="20"/>
      <c r="T19" s="20"/>
      <c r="U19" s="20"/>
      <c r="V19" s="20"/>
      <c r="W19" s="20"/>
      <c r="X19" s="20"/>
      <c r="Y19" s="20"/>
      <c r="Z19" s="20"/>
      <c r="AA19" s="23"/>
    </row>
    <row r="20" spans="1:27" x14ac:dyDescent="0.25">
      <c r="A20" s="10">
        <v>1</v>
      </c>
      <c r="B20" s="27">
        <f t="shared" ref="B20:B83" ca="1" si="0">RAND()</f>
        <v>6.0513447586016289E-2</v>
      </c>
      <c r="C20" s="21">
        <f ca="1">_xlfn.NORM.INV(B20,$D$15,$D$16)</f>
        <v>234.49522272170722</v>
      </c>
      <c r="D20" s="21">
        <f t="shared" ref="D20:D83" ca="1" si="1">$E$10+E19</f>
        <v>248.04768354695153</v>
      </c>
      <c r="E20" s="21">
        <f t="shared" ref="E20:E83" ca="1" si="2">IF(C20&gt;$E$10,0,$E$10-C20)</f>
        <v>13.55246082524431</v>
      </c>
      <c r="F20" s="41">
        <f ca="1">IF(C20&gt;D20,0,D20-C20)</f>
        <v>13.55246082524431</v>
      </c>
      <c r="G20" s="41">
        <f t="shared" ref="G20:G83" ca="1" si="3">IF(C21&gt;$E$10,C21-$E$10,0)</f>
        <v>3.8022359391333964</v>
      </c>
      <c r="H20" s="42">
        <f ca="1">IF(G20&gt;F20,0,IF(G20&lt;F20,F20-G20,0))</f>
        <v>9.7502248861109138</v>
      </c>
      <c r="I20" s="9">
        <f t="shared" ref="I20:I83" ca="1" si="4">IF($E$10&lt;C20,$E$10*$E$7,$E$9*($E$10-C20)+(C20*$E$7)+IF($E$10&lt;C21,H20*$E$8,E19*$E$8))</f>
        <v>1322.3625148340334</v>
      </c>
      <c r="J20" s="30">
        <f t="shared" ref="J20:J83" ca="1" si="5">IF(H20&gt;0,$E$10*$E$5+H20*$E$6,$E$10*$E$5)</f>
        <v>1006.8160715169724</v>
      </c>
      <c r="K20" s="122">
        <f ca="1">I20-J20</f>
        <v>315.54644331706095</v>
      </c>
      <c r="L20" s="30"/>
      <c r="M20" s="30"/>
      <c r="N20" s="30"/>
      <c r="O20" s="30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x14ac:dyDescent="0.25">
      <c r="A21" s="10">
        <v>2</v>
      </c>
      <c r="B21" s="27">
        <f t="shared" ca="1" si="0"/>
        <v>0.5733823246689459</v>
      </c>
      <c r="C21" s="21">
        <f t="shared" ref="C21:C84" ca="1" si="6">_xlfn.NORM.INV(B21,$D$15,$D$16)</f>
        <v>251.84991948608493</v>
      </c>
      <c r="D21" s="21">
        <f t="shared" ca="1" si="1"/>
        <v>261.60014437219581</v>
      </c>
      <c r="E21" s="21">
        <f t="shared" ca="1" si="2"/>
        <v>0</v>
      </c>
      <c r="F21" s="22">
        <f t="shared" ref="F21:F84" ca="1" si="7">IF(C21&gt;D21,0,D21-C21)</f>
        <v>9.7502248861108853</v>
      </c>
      <c r="G21" s="22">
        <f t="shared" ca="1" si="3"/>
        <v>0</v>
      </c>
      <c r="H21" s="31">
        <f t="shared" ref="H21:H84" ca="1" si="8">IF(G21&gt;F21,0,IF(G21&lt;F21,F21-G21,0))</f>
        <v>9.7502248861108853</v>
      </c>
      <c r="I21" s="9">
        <f t="shared" ca="1" si="4"/>
        <v>1364.2622595082335</v>
      </c>
      <c r="J21" s="30">
        <f t="shared" ca="1" si="5"/>
        <v>1006.8160715169724</v>
      </c>
      <c r="K21" s="122">
        <f t="shared" ref="K21:K84" ca="1" si="9">I21-J21</f>
        <v>357.44618799126101</v>
      </c>
      <c r="L21" s="30"/>
      <c r="M21" s="30"/>
      <c r="N21" s="30"/>
      <c r="O21" s="30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10">
        <v>3</v>
      </c>
      <c r="B22" s="27">
        <f t="shared" ca="1" si="0"/>
        <v>0.31410057836423788</v>
      </c>
      <c r="C22" s="21">
        <f t="shared" ca="1" si="6"/>
        <v>245.15739713659514</v>
      </c>
      <c r="D22" s="21">
        <f t="shared" ca="1" si="1"/>
        <v>248.04768354695153</v>
      </c>
      <c r="E22" s="21">
        <f t="shared" ca="1" si="2"/>
        <v>2.8902864103563957</v>
      </c>
      <c r="F22" s="22">
        <f t="shared" ca="1" si="7"/>
        <v>2.8902864103563957</v>
      </c>
      <c r="G22" s="22">
        <f t="shared" ca="1" si="3"/>
        <v>3.2505427986608311</v>
      </c>
      <c r="H22" s="31">
        <f t="shared" ca="1" si="8"/>
        <v>0</v>
      </c>
      <c r="I22" s="9">
        <f t="shared" ca="1" si="4"/>
        <v>1349.0882558538624</v>
      </c>
      <c r="J22" s="30">
        <f t="shared" ca="1" si="5"/>
        <v>992.19073418780613</v>
      </c>
      <c r="K22" s="122">
        <f t="shared" ca="1" si="9"/>
        <v>356.89752166605626</v>
      </c>
      <c r="L22" s="30"/>
      <c r="M22" s="30"/>
      <c r="N22" s="30"/>
      <c r="O22" s="30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x14ac:dyDescent="0.25">
      <c r="A23" s="10">
        <v>4</v>
      </c>
      <c r="B23" s="27">
        <f t="shared" ca="1" si="0"/>
        <v>0.55164662266429354</v>
      </c>
      <c r="C23" s="21">
        <f t="shared" ca="1" si="6"/>
        <v>251.29822634561236</v>
      </c>
      <c r="D23" s="21">
        <f t="shared" ca="1" si="1"/>
        <v>250.93796995730793</v>
      </c>
      <c r="E23" s="21">
        <f t="shared" ca="1" si="2"/>
        <v>0</v>
      </c>
      <c r="F23" s="22">
        <f t="shared" ca="1" si="7"/>
        <v>0</v>
      </c>
      <c r="G23" s="22">
        <f t="shared" ca="1" si="3"/>
        <v>2.4729527308514037</v>
      </c>
      <c r="H23" s="31">
        <f t="shared" ca="1" si="8"/>
        <v>0</v>
      </c>
      <c r="I23" s="9">
        <f t="shared" ca="1" si="4"/>
        <v>1364.2622595082335</v>
      </c>
      <c r="J23" s="30">
        <f t="shared" ca="1" si="5"/>
        <v>992.19073418780613</v>
      </c>
      <c r="K23" s="122">
        <f ca="1">I23-J23</f>
        <v>372.07152532042733</v>
      </c>
      <c r="L23" s="30"/>
      <c r="M23" s="30"/>
      <c r="N23" s="30"/>
      <c r="O23" s="30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x14ac:dyDescent="0.25">
      <c r="A24" s="10">
        <v>5</v>
      </c>
      <c r="B24" s="27">
        <f t="shared" ca="1" si="0"/>
        <v>0.5207610027663695</v>
      </c>
      <c r="C24" s="21">
        <f t="shared" ca="1" si="6"/>
        <v>250.52063627780294</v>
      </c>
      <c r="D24" s="21">
        <f t="shared" ca="1" si="1"/>
        <v>248.04768354695153</v>
      </c>
      <c r="E24" s="21">
        <f t="shared" ca="1" si="2"/>
        <v>0</v>
      </c>
      <c r="F24" s="22">
        <f t="shared" ca="1" si="7"/>
        <v>0</v>
      </c>
      <c r="G24" s="22">
        <f t="shared" ca="1" si="3"/>
        <v>6.0818173346537208</v>
      </c>
      <c r="H24" s="31">
        <f t="shared" ca="1" si="8"/>
        <v>0</v>
      </c>
      <c r="I24" s="9">
        <f t="shared" ca="1" si="4"/>
        <v>1364.2622595082335</v>
      </c>
      <c r="J24" s="30">
        <f t="shared" ca="1" si="5"/>
        <v>992.19073418780613</v>
      </c>
      <c r="K24" s="122">
        <f t="shared" ca="1" si="9"/>
        <v>372.07152532042733</v>
      </c>
      <c r="L24" s="30"/>
      <c r="M24" s="30"/>
      <c r="N24" s="30"/>
      <c r="O24" s="30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x14ac:dyDescent="0.25">
      <c r="A25" s="10">
        <v>6</v>
      </c>
      <c r="B25" s="27">
        <f t="shared" ca="1" si="0"/>
        <v>0.66017840878102896</v>
      </c>
      <c r="C25" s="21">
        <f t="shared" ca="1" si="6"/>
        <v>254.12950088160525</v>
      </c>
      <c r="D25" s="21">
        <f t="shared" ca="1" si="1"/>
        <v>248.04768354695153</v>
      </c>
      <c r="E25" s="21">
        <f t="shared" ca="1" si="2"/>
        <v>0</v>
      </c>
      <c r="F25" s="22">
        <f t="shared" ca="1" si="7"/>
        <v>0</v>
      </c>
      <c r="G25" s="22">
        <f t="shared" ca="1" si="3"/>
        <v>2.8011724262660778</v>
      </c>
      <c r="H25" s="31">
        <f t="shared" ca="1" si="8"/>
        <v>0</v>
      </c>
      <c r="I25" s="9">
        <f t="shared" ca="1" si="4"/>
        <v>1364.2622595082335</v>
      </c>
      <c r="J25" s="30">
        <f t="shared" ca="1" si="5"/>
        <v>992.19073418780613</v>
      </c>
      <c r="K25" s="122">
        <f t="shared" ca="1" si="9"/>
        <v>372.07152532042733</v>
      </c>
      <c r="L25" s="30"/>
      <c r="M25" s="30"/>
      <c r="N25" s="30"/>
      <c r="O25" s="30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x14ac:dyDescent="0.25">
      <c r="A26" s="10">
        <v>7</v>
      </c>
      <c r="B26" s="27">
        <f t="shared" ca="1" si="0"/>
        <v>0.53382382893556968</v>
      </c>
      <c r="C26" s="21">
        <f t="shared" ca="1" si="6"/>
        <v>250.84885597321761</v>
      </c>
      <c r="D26" s="21">
        <f t="shared" ca="1" si="1"/>
        <v>248.04768354695153</v>
      </c>
      <c r="E26" s="21">
        <f t="shared" ca="1" si="2"/>
        <v>0</v>
      </c>
      <c r="F26" s="22">
        <f t="shared" ca="1" si="7"/>
        <v>0</v>
      </c>
      <c r="G26" s="22">
        <f t="shared" ca="1" si="3"/>
        <v>0</v>
      </c>
      <c r="H26" s="31">
        <f t="shared" ca="1" si="8"/>
        <v>0</v>
      </c>
      <c r="I26" s="9">
        <f t="shared" ca="1" si="4"/>
        <v>1364.2622595082335</v>
      </c>
      <c r="J26" s="30">
        <f t="shared" ca="1" si="5"/>
        <v>992.19073418780613</v>
      </c>
      <c r="K26" s="122">
        <f t="shared" ca="1" si="9"/>
        <v>372.07152532042733</v>
      </c>
      <c r="L26" s="30"/>
      <c r="M26" s="30"/>
      <c r="N26" s="30"/>
      <c r="O26" s="30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x14ac:dyDescent="0.25">
      <c r="A27" s="10">
        <v>8</v>
      </c>
      <c r="B27" s="27">
        <f t="shared" ca="1" si="0"/>
        <v>0.1698005011908128</v>
      </c>
      <c r="C27" s="21">
        <f t="shared" ca="1" si="6"/>
        <v>240.45046084093264</v>
      </c>
      <c r="D27" s="21">
        <f t="shared" ca="1" si="1"/>
        <v>248.04768354695153</v>
      </c>
      <c r="E27" s="21">
        <f t="shared" ca="1" si="2"/>
        <v>7.597222706018897</v>
      </c>
      <c r="F27" s="22">
        <f t="shared" ca="1" si="7"/>
        <v>7.597222706018897</v>
      </c>
      <c r="G27" s="22">
        <f t="shared" ca="1" si="3"/>
        <v>0.38964411789586961</v>
      </c>
      <c r="H27" s="31">
        <f t="shared" ca="1" si="8"/>
        <v>7.2075785881230274</v>
      </c>
      <c r="I27" s="9">
        <f t="shared" ca="1" si="4"/>
        <v>1345.9995760660033</v>
      </c>
      <c r="J27" s="30">
        <f t="shared" ca="1" si="5"/>
        <v>1003.0021020699907</v>
      </c>
      <c r="K27" s="122">
        <f t="shared" ca="1" si="9"/>
        <v>342.99747399601267</v>
      </c>
      <c r="L27" s="30"/>
      <c r="M27" s="30"/>
      <c r="N27" s="30"/>
      <c r="O27" s="30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25">
      <c r="A28" s="10">
        <v>9</v>
      </c>
      <c r="B28" s="27">
        <f t="shared" ca="1" si="0"/>
        <v>0.43791119143832102</v>
      </c>
      <c r="C28" s="21">
        <f t="shared" ca="1" si="6"/>
        <v>248.4373276648474</v>
      </c>
      <c r="D28" s="21">
        <f t="shared" ca="1" si="1"/>
        <v>255.64490625297043</v>
      </c>
      <c r="E28" s="21">
        <f t="shared" ca="1" si="2"/>
        <v>0</v>
      </c>
      <c r="F28" s="22">
        <f t="shared" ca="1" si="7"/>
        <v>7.2075785881230274</v>
      </c>
      <c r="G28" s="22">
        <f t="shared" ca="1" si="3"/>
        <v>0</v>
      </c>
      <c r="H28" s="31">
        <f t="shared" ca="1" si="8"/>
        <v>7.2075785881230274</v>
      </c>
      <c r="I28" s="9">
        <f t="shared" ca="1" si="4"/>
        <v>1364.2622595082335</v>
      </c>
      <c r="J28" s="30">
        <f t="shared" ca="1" si="5"/>
        <v>1003.0021020699907</v>
      </c>
      <c r="K28" s="122">
        <f t="shared" ca="1" si="9"/>
        <v>361.2601574382428</v>
      </c>
      <c r="L28" s="30"/>
      <c r="M28" s="30"/>
      <c r="N28" s="30"/>
      <c r="O28" s="30"/>
      <c r="R28" s="25"/>
      <c r="S28" s="25"/>
      <c r="T28" s="25"/>
      <c r="U28" s="33"/>
      <c r="V28" s="23"/>
      <c r="W28" s="23"/>
      <c r="X28" s="23"/>
      <c r="Y28" s="23"/>
      <c r="Z28" s="23"/>
      <c r="AA28" s="23"/>
    </row>
    <row r="29" spans="1:27" x14ac:dyDescent="0.25">
      <c r="A29" s="10">
        <v>10</v>
      </c>
      <c r="B29" s="27">
        <f t="shared" ca="1" si="0"/>
        <v>0.25108533880012529</v>
      </c>
      <c r="C29" s="21">
        <f t="shared" ca="1" si="6"/>
        <v>243.28921743238359</v>
      </c>
      <c r="D29" s="21">
        <f t="shared" ca="1" si="1"/>
        <v>248.04768354695153</v>
      </c>
      <c r="E29" s="21">
        <f t="shared" ca="1" si="2"/>
        <v>4.7584661145679377</v>
      </c>
      <c r="F29" s="22">
        <f t="shared" ca="1" si="7"/>
        <v>4.7584661145679377</v>
      </c>
      <c r="G29" s="22">
        <f t="shared" ca="1" si="3"/>
        <v>0</v>
      </c>
      <c r="H29" s="31">
        <f t="shared" ca="1" si="8"/>
        <v>4.7584661145679377</v>
      </c>
      <c r="I29" s="9">
        <f t="shared" ca="1" si="4"/>
        <v>1339.2803124067518</v>
      </c>
      <c r="J29" s="30">
        <f t="shared" ca="1" si="5"/>
        <v>999.32843335965799</v>
      </c>
      <c r="K29" s="122">
        <f t="shared" ca="1" si="9"/>
        <v>339.95187904709383</v>
      </c>
      <c r="L29" s="30"/>
      <c r="M29" s="30"/>
      <c r="N29" s="30"/>
      <c r="O29" s="30"/>
      <c r="R29" s="25"/>
      <c r="S29" s="25"/>
      <c r="T29" s="25"/>
      <c r="U29" s="34"/>
      <c r="V29" s="23"/>
      <c r="W29" s="23"/>
      <c r="X29" s="23"/>
      <c r="Y29" s="23"/>
      <c r="Z29" s="23"/>
      <c r="AA29" s="23"/>
    </row>
    <row r="30" spans="1:27" x14ac:dyDescent="0.25">
      <c r="A30" s="10">
        <v>11</v>
      </c>
      <c r="B30" s="27">
        <f t="shared" ca="1" si="0"/>
        <v>0.41927915691146245</v>
      </c>
      <c r="C30" s="21">
        <f t="shared" ca="1" si="6"/>
        <v>247.96262087741138</v>
      </c>
      <c r="D30" s="21">
        <f t="shared" ca="1" si="1"/>
        <v>252.80614966151947</v>
      </c>
      <c r="E30" s="21">
        <f t="shared" ca="1" si="2"/>
        <v>8.5062669540150182E-2</v>
      </c>
      <c r="F30" s="22">
        <f t="shared" ca="1" si="7"/>
        <v>4.8435287841080878</v>
      </c>
      <c r="G30" s="22">
        <f t="shared" ca="1" si="3"/>
        <v>0</v>
      </c>
      <c r="H30" s="31">
        <f t="shared" ca="1" si="8"/>
        <v>4.8435287841080878</v>
      </c>
      <c r="I30" s="9">
        <f t="shared" ca="1" si="4"/>
        <v>1378.0910788368512</v>
      </c>
      <c r="J30" s="30">
        <f t="shared" ca="1" si="5"/>
        <v>999.45602736396825</v>
      </c>
      <c r="K30" s="122">
        <f t="shared" ca="1" si="9"/>
        <v>378.63505147288299</v>
      </c>
      <c r="L30" s="30"/>
      <c r="M30" s="30"/>
      <c r="N30" s="30"/>
      <c r="O30" s="30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x14ac:dyDescent="0.25">
      <c r="A31" s="10">
        <v>12</v>
      </c>
      <c r="B31" s="27">
        <f t="shared" ca="1" si="0"/>
        <v>0.17697310198612293</v>
      </c>
      <c r="C31" s="21">
        <f t="shared" ca="1" si="6"/>
        <v>240.73037883555878</v>
      </c>
      <c r="D31" s="21">
        <f t="shared" ca="1" si="1"/>
        <v>248.13274621649168</v>
      </c>
      <c r="E31" s="21">
        <f t="shared" ca="1" si="2"/>
        <v>7.317304711392751</v>
      </c>
      <c r="F31" s="22">
        <f t="shared" ca="1" si="7"/>
        <v>7.4023673809329011</v>
      </c>
      <c r="G31" s="22">
        <f t="shared" ca="1" si="3"/>
        <v>3.5906974401498815</v>
      </c>
      <c r="H31" s="31">
        <f t="shared" ca="1" si="8"/>
        <v>3.8116699407830197</v>
      </c>
      <c r="I31" s="9">
        <f t="shared" ca="1" si="4"/>
        <v>1337.2814195957703</v>
      </c>
      <c r="J31" s="30">
        <f t="shared" ca="1" si="5"/>
        <v>997.90823909898063</v>
      </c>
      <c r="K31" s="122">
        <f t="shared" ca="1" si="9"/>
        <v>339.3731804967897</v>
      </c>
      <c r="L31" s="30"/>
      <c r="M31" s="30"/>
      <c r="N31" s="30"/>
      <c r="O31" s="30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5">
      <c r="A32" s="10">
        <v>13</v>
      </c>
      <c r="B32" s="27">
        <f t="shared" ca="1" si="0"/>
        <v>0.56507070076112076</v>
      </c>
      <c r="C32" s="21">
        <f t="shared" ca="1" si="6"/>
        <v>251.63838098710141</v>
      </c>
      <c r="D32" s="21">
        <f t="shared" ca="1" si="1"/>
        <v>255.36498825834428</v>
      </c>
      <c r="E32" s="21">
        <f t="shared" ca="1" si="2"/>
        <v>0</v>
      </c>
      <c r="F32" s="22">
        <f t="shared" ca="1" si="7"/>
        <v>3.7266072712428695</v>
      </c>
      <c r="G32" s="22">
        <f t="shared" ca="1" si="3"/>
        <v>6.3061142795453975</v>
      </c>
      <c r="H32" s="31">
        <f t="shared" ca="1" si="8"/>
        <v>0</v>
      </c>
      <c r="I32" s="9">
        <f t="shared" ca="1" si="4"/>
        <v>1364.2622595082335</v>
      </c>
      <c r="J32" s="30">
        <f t="shared" ca="1" si="5"/>
        <v>992.19073418780613</v>
      </c>
      <c r="K32" s="122">
        <f t="shared" ca="1" si="9"/>
        <v>372.07152532042733</v>
      </c>
      <c r="L32" s="30"/>
      <c r="M32" s="30"/>
      <c r="N32" s="30"/>
      <c r="O32" s="30"/>
      <c r="R32" s="25"/>
      <c r="S32" s="25"/>
      <c r="T32" s="25"/>
      <c r="U32" s="33"/>
      <c r="V32" s="23"/>
      <c r="W32" s="23"/>
      <c r="X32" s="23"/>
      <c r="Y32" s="23"/>
      <c r="Z32" s="23"/>
      <c r="AA32" s="23"/>
    </row>
    <row r="33" spans="1:27" x14ac:dyDescent="0.25">
      <c r="A33" s="10">
        <v>14</v>
      </c>
      <c r="B33" s="43">
        <f t="shared" ca="1" si="0"/>
        <v>0.66835660861978219</v>
      </c>
      <c r="C33" s="44">
        <f t="shared" ca="1" si="6"/>
        <v>254.35379782649693</v>
      </c>
      <c r="D33" s="44">
        <f t="shared" ca="1" si="1"/>
        <v>248.04768354695153</v>
      </c>
      <c r="E33" s="44">
        <f t="shared" ca="1" si="2"/>
        <v>0</v>
      </c>
      <c r="F33" s="45">
        <f t="shared" ca="1" si="7"/>
        <v>0</v>
      </c>
      <c r="G33" s="45">
        <f t="shared" ca="1" si="3"/>
        <v>9.7590542062156942</v>
      </c>
      <c r="H33" s="46">
        <f t="shared" ca="1" si="8"/>
        <v>0</v>
      </c>
      <c r="I33" s="1">
        <f t="shared" ca="1" si="4"/>
        <v>1364.2622595082335</v>
      </c>
      <c r="J33" s="47">
        <f t="shared" ca="1" si="5"/>
        <v>992.19073418780613</v>
      </c>
      <c r="K33" s="123">
        <f t="shared" ca="1" si="9"/>
        <v>372.07152532042733</v>
      </c>
      <c r="L33" s="30"/>
      <c r="M33" s="30"/>
      <c r="N33" s="30"/>
      <c r="O33" s="30"/>
      <c r="R33" s="25"/>
      <c r="S33" s="25"/>
      <c r="T33" s="25"/>
      <c r="U33" s="34"/>
      <c r="V33" s="23"/>
      <c r="W33" s="23"/>
      <c r="X33" s="23"/>
      <c r="Y33" s="23"/>
      <c r="Z33" s="23"/>
      <c r="AA33" s="23"/>
    </row>
    <row r="34" spans="1:27" x14ac:dyDescent="0.25">
      <c r="A34" s="10">
        <v>15</v>
      </c>
      <c r="B34" s="48">
        <f t="shared" ca="1" si="0"/>
        <v>0.78250280576648534</v>
      </c>
      <c r="C34" s="49">
        <f t="shared" ca="1" si="6"/>
        <v>257.80673775316723</v>
      </c>
      <c r="D34" s="49">
        <f t="shared" ca="1" si="1"/>
        <v>248.04768354695153</v>
      </c>
      <c r="E34" s="49">
        <f t="shared" ca="1" si="2"/>
        <v>0</v>
      </c>
      <c r="F34" s="50">
        <f t="shared" ca="1" si="7"/>
        <v>0</v>
      </c>
      <c r="G34" s="50">
        <f t="shared" ca="1" si="3"/>
        <v>4.6334359649904684</v>
      </c>
      <c r="H34" s="51">
        <f t="shared" ca="1" si="8"/>
        <v>0</v>
      </c>
      <c r="I34" s="52">
        <f t="shared" ca="1" si="4"/>
        <v>1364.2622595082335</v>
      </c>
      <c r="J34" s="53">
        <f t="shared" ca="1" si="5"/>
        <v>992.19073418780613</v>
      </c>
      <c r="K34" s="124">
        <f t="shared" ca="1" si="9"/>
        <v>372.07152532042733</v>
      </c>
      <c r="L34" s="30"/>
      <c r="M34" s="30"/>
      <c r="N34" s="30"/>
      <c r="O34" s="30"/>
      <c r="R34" s="28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A35" s="10">
        <v>16</v>
      </c>
      <c r="B35" s="27">
        <f t="shared" ca="1" si="0"/>
        <v>0.60569342660551839</v>
      </c>
      <c r="C35" s="21">
        <f t="shared" ca="1" si="6"/>
        <v>252.681119511942</v>
      </c>
      <c r="D35" s="21">
        <f t="shared" ca="1" si="1"/>
        <v>248.04768354695153</v>
      </c>
      <c r="E35" s="21">
        <f t="shared" ca="1" si="2"/>
        <v>0</v>
      </c>
      <c r="F35" s="22">
        <f t="shared" ca="1" si="7"/>
        <v>0</v>
      </c>
      <c r="G35" s="22">
        <f t="shared" ca="1" si="3"/>
        <v>22.157206011933056</v>
      </c>
      <c r="H35" s="31">
        <f t="shared" ca="1" si="8"/>
        <v>0</v>
      </c>
      <c r="I35" s="9">
        <f t="shared" ca="1" si="4"/>
        <v>1364.2622595082335</v>
      </c>
      <c r="J35" s="30">
        <f t="shared" ca="1" si="5"/>
        <v>992.19073418780613</v>
      </c>
      <c r="K35" s="122">
        <f t="shared" ca="1" si="9"/>
        <v>372.07152532042733</v>
      </c>
      <c r="L35" s="30"/>
      <c r="M35" s="30"/>
      <c r="N35" s="30"/>
      <c r="O35" s="30"/>
      <c r="R35" s="30"/>
      <c r="S35" s="23"/>
      <c r="T35" s="23"/>
      <c r="U35" s="23"/>
      <c r="V35" s="23"/>
      <c r="W35" s="23"/>
      <c r="X35" s="35"/>
      <c r="Y35" s="23"/>
      <c r="Z35" s="23"/>
      <c r="AA35" s="23"/>
    </row>
    <row r="36" spans="1:27" x14ac:dyDescent="0.25">
      <c r="A36" s="10">
        <v>17</v>
      </c>
      <c r="B36" s="27">
        <f t="shared" ca="1" si="0"/>
        <v>0.9783336527132539</v>
      </c>
      <c r="C36" s="21">
        <f t="shared" ca="1" si="6"/>
        <v>270.20488955888459</v>
      </c>
      <c r="D36" s="21">
        <f t="shared" ca="1" si="1"/>
        <v>248.04768354695153</v>
      </c>
      <c r="E36" s="21">
        <f t="shared" ca="1" si="2"/>
        <v>0</v>
      </c>
      <c r="F36" s="22">
        <f t="shared" ca="1" si="7"/>
        <v>0</v>
      </c>
      <c r="G36" s="22">
        <f t="shared" ca="1" si="3"/>
        <v>0</v>
      </c>
      <c r="H36" s="31">
        <f t="shared" ca="1" si="8"/>
        <v>0</v>
      </c>
      <c r="I36" s="9">
        <f t="shared" ca="1" si="4"/>
        <v>1364.2622595082335</v>
      </c>
      <c r="J36" s="30">
        <f t="shared" ca="1" si="5"/>
        <v>992.19073418780613</v>
      </c>
      <c r="K36" s="122">
        <f t="shared" ca="1" si="9"/>
        <v>372.07152532042733</v>
      </c>
      <c r="L36" s="30"/>
      <c r="M36" s="30"/>
      <c r="N36" s="30"/>
      <c r="O36" s="30"/>
      <c r="R36" s="23"/>
      <c r="S36" s="20"/>
      <c r="T36" s="20"/>
      <c r="U36" s="20"/>
      <c r="V36" s="20"/>
      <c r="W36" s="20"/>
      <c r="X36" s="20"/>
      <c r="Y36" s="20"/>
      <c r="Z36" s="20"/>
      <c r="AA36" s="23"/>
    </row>
    <row r="37" spans="1:27" x14ac:dyDescent="0.25">
      <c r="A37" s="10">
        <v>18</v>
      </c>
      <c r="B37" s="27">
        <f t="shared" ca="1" si="0"/>
        <v>0.12776394774143895</v>
      </c>
      <c r="C37" s="21">
        <f t="shared" ca="1" si="6"/>
        <v>238.62975145194841</v>
      </c>
      <c r="D37" s="21">
        <f t="shared" ca="1" si="1"/>
        <v>248.04768354695153</v>
      </c>
      <c r="E37" s="21">
        <f t="shared" ca="1" si="2"/>
        <v>9.417932095003124</v>
      </c>
      <c r="F37" s="22">
        <f t="shared" ca="1" si="7"/>
        <v>9.417932095003124</v>
      </c>
      <c r="G37" s="22">
        <f t="shared" ca="1" si="3"/>
        <v>3.5092162488178076</v>
      </c>
      <c r="H37" s="31">
        <f t="shared" ca="1" si="8"/>
        <v>5.9087158461853164</v>
      </c>
      <c r="I37" s="9">
        <f t="shared" ca="1" si="4"/>
        <v>1332.5442635480231</v>
      </c>
      <c r="J37" s="30">
        <f t="shared" ca="1" si="5"/>
        <v>1001.0538079570841</v>
      </c>
      <c r="K37" s="122">
        <f t="shared" ca="1" si="9"/>
        <v>331.49045559093895</v>
      </c>
      <c r="L37" s="30"/>
      <c r="M37" s="30"/>
      <c r="N37" s="30"/>
      <c r="O37" s="30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5">
      <c r="A38" s="10">
        <v>19</v>
      </c>
      <c r="B38" s="27">
        <f t="shared" ca="1" si="0"/>
        <v>0.56186130200440121</v>
      </c>
      <c r="C38" s="21">
        <f t="shared" ca="1" si="6"/>
        <v>251.55689979576934</v>
      </c>
      <c r="D38" s="21">
        <f t="shared" ca="1" si="1"/>
        <v>257.46561564195463</v>
      </c>
      <c r="E38" s="21">
        <f t="shared" ca="1" si="2"/>
        <v>0</v>
      </c>
      <c r="F38" s="22">
        <f t="shared" ca="1" si="7"/>
        <v>5.908715846185288</v>
      </c>
      <c r="G38" s="22">
        <f t="shared" ca="1" si="3"/>
        <v>6.2381635630139272</v>
      </c>
      <c r="H38" s="31">
        <f t="shared" ca="1" si="8"/>
        <v>0</v>
      </c>
      <c r="I38" s="9">
        <f t="shared" ca="1" si="4"/>
        <v>1364.2622595082335</v>
      </c>
      <c r="J38" s="30">
        <f t="shared" ca="1" si="5"/>
        <v>992.19073418780613</v>
      </c>
      <c r="K38" s="122">
        <f t="shared" ca="1" si="9"/>
        <v>372.07152532042733</v>
      </c>
      <c r="L38" s="30"/>
      <c r="M38" s="30"/>
      <c r="N38" s="30"/>
      <c r="O38" s="30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5">
      <c r="A39" s="10">
        <v>20</v>
      </c>
      <c r="B39" s="27">
        <f t="shared" ca="1" si="0"/>
        <v>0.66588726305087065</v>
      </c>
      <c r="C39" s="21">
        <f t="shared" ca="1" si="6"/>
        <v>254.28584710996546</v>
      </c>
      <c r="D39" s="21">
        <f t="shared" ca="1" si="1"/>
        <v>248.04768354695153</v>
      </c>
      <c r="E39" s="21">
        <f t="shared" ca="1" si="2"/>
        <v>0</v>
      </c>
      <c r="F39" s="22">
        <f t="shared" ca="1" si="7"/>
        <v>0</v>
      </c>
      <c r="G39" s="22">
        <f t="shared" ca="1" si="3"/>
        <v>3.9250072640937219</v>
      </c>
      <c r="H39" s="31">
        <f t="shared" ca="1" si="8"/>
        <v>0</v>
      </c>
      <c r="I39" s="9">
        <f t="shared" ca="1" si="4"/>
        <v>1364.2622595082335</v>
      </c>
      <c r="J39" s="30">
        <f t="shared" ca="1" si="5"/>
        <v>992.19073418780613</v>
      </c>
      <c r="K39" s="122">
        <f t="shared" ca="1" si="9"/>
        <v>372.07152532042733</v>
      </c>
      <c r="L39" s="30"/>
      <c r="M39" s="30"/>
      <c r="N39" s="30"/>
      <c r="O39" s="30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5">
      <c r="A40" s="10">
        <v>21</v>
      </c>
      <c r="B40" s="27">
        <f t="shared" ca="1" si="0"/>
        <v>0.57819151319558493</v>
      </c>
      <c r="C40" s="21">
        <f t="shared" ca="1" si="6"/>
        <v>251.97269081104525</v>
      </c>
      <c r="D40" s="21">
        <f t="shared" ca="1" si="1"/>
        <v>248.04768354695153</v>
      </c>
      <c r="E40" s="21">
        <f t="shared" ca="1" si="2"/>
        <v>0</v>
      </c>
      <c r="F40" s="22">
        <f t="shared" ca="1" si="7"/>
        <v>0</v>
      </c>
      <c r="G40" s="22">
        <f t="shared" ca="1" si="3"/>
        <v>12.394612553183151</v>
      </c>
      <c r="H40" s="31">
        <f t="shared" ca="1" si="8"/>
        <v>0</v>
      </c>
      <c r="I40" s="9">
        <f t="shared" ca="1" si="4"/>
        <v>1364.2622595082335</v>
      </c>
      <c r="J40" s="30">
        <f t="shared" ca="1" si="5"/>
        <v>992.19073418780613</v>
      </c>
      <c r="K40" s="122">
        <f t="shared" ca="1" si="9"/>
        <v>372.07152532042733</v>
      </c>
      <c r="L40" s="30"/>
      <c r="M40" s="30"/>
      <c r="N40" s="30"/>
      <c r="O40" s="30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5">
      <c r="A41" s="10">
        <v>22</v>
      </c>
      <c r="B41" s="27">
        <f t="shared" ca="1" si="0"/>
        <v>0.8518104146872385</v>
      </c>
      <c r="C41" s="21">
        <f t="shared" ca="1" si="6"/>
        <v>260.44229610013468</v>
      </c>
      <c r="D41" s="21">
        <f t="shared" ca="1" si="1"/>
        <v>248.04768354695153</v>
      </c>
      <c r="E41" s="21">
        <f t="shared" ca="1" si="2"/>
        <v>0</v>
      </c>
      <c r="F41" s="22">
        <f t="shared" ca="1" si="7"/>
        <v>0</v>
      </c>
      <c r="G41" s="22">
        <f t="shared" ca="1" si="3"/>
        <v>0</v>
      </c>
      <c r="H41" s="31">
        <f t="shared" ca="1" si="8"/>
        <v>0</v>
      </c>
      <c r="I41" s="9">
        <f t="shared" ca="1" si="4"/>
        <v>1364.2622595082335</v>
      </c>
      <c r="J41" s="30">
        <f t="shared" ca="1" si="5"/>
        <v>992.19073418780613</v>
      </c>
      <c r="K41" s="122">
        <f t="shared" ca="1" si="9"/>
        <v>372.07152532042733</v>
      </c>
      <c r="L41" s="30"/>
      <c r="M41" s="30"/>
      <c r="N41" s="30"/>
      <c r="O41" s="30"/>
    </row>
    <row r="42" spans="1:27" x14ac:dyDescent="0.25">
      <c r="A42" s="10">
        <v>23</v>
      </c>
      <c r="B42" s="27">
        <f t="shared" ca="1" si="0"/>
        <v>0.14533983142909401</v>
      </c>
      <c r="C42" s="21">
        <f t="shared" ca="1" si="6"/>
        <v>239.43368202888163</v>
      </c>
      <c r="D42" s="21">
        <f t="shared" ca="1" si="1"/>
        <v>248.04768354695153</v>
      </c>
      <c r="E42" s="21">
        <f t="shared" ca="1" si="2"/>
        <v>8.6140015180698981</v>
      </c>
      <c r="F42" s="22">
        <f t="shared" ca="1" si="7"/>
        <v>8.6140015180698981</v>
      </c>
      <c r="G42" s="22">
        <f t="shared" ca="1" si="3"/>
        <v>2.3626720821451102</v>
      </c>
      <c r="H42" s="31">
        <f t="shared" ca="1" si="8"/>
        <v>6.251329435924788</v>
      </c>
      <c r="I42" s="9">
        <f t="shared" ca="1" si="4"/>
        <v>1337.7927398461409</v>
      </c>
      <c r="J42" s="30">
        <f t="shared" ca="1" si="5"/>
        <v>1001.5677283416933</v>
      </c>
      <c r="K42" s="122">
        <f t="shared" ca="1" si="9"/>
        <v>336.22501150444759</v>
      </c>
      <c r="L42" s="30"/>
      <c r="M42" s="30"/>
      <c r="N42" s="30"/>
      <c r="O42" s="30"/>
    </row>
    <row r="43" spans="1:27" x14ac:dyDescent="0.25">
      <c r="A43" s="10">
        <v>24</v>
      </c>
      <c r="B43" s="27">
        <f t="shared" ca="1" si="0"/>
        <v>0.51636622768655893</v>
      </c>
      <c r="C43" s="21">
        <f t="shared" ca="1" si="6"/>
        <v>250.41035562909664</v>
      </c>
      <c r="D43" s="21">
        <f t="shared" ca="1" si="1"/>
        <v>256.6616850650214</v>
      </c>
      <c r="E43" s="21">
        <f t="shared" ca="1" si="2"/>
        <v>0</v>
      </c>
      <c r="F43" s="22">
        <f t="shared" ca="1" si="7"/>
        <v>6.2513294359247595</v>
      </c>
      <c r="G43" s="22">
        <f t="shared" ca="1" si="3"/>
        <v>3.2559327005044736</v>
      </c>
      <c r="H43" s="31">
        <f t="shared" ca="1" si="8"/>
        <v>2.9953967354202859</v>
      </c>
      <c r="I43" s="9">
        <f t="shared" ca="1" si="4"/>
        <v>1364.2622595082335</v>
      </c>
      <c r="J43" s="30">
        <f t="shared" ca="1" si="5"/>
        <v>996.6838292909365</v>
      </c>
      <c r="K43" s="122">
        <f t="shared" ca="1" si="9"/>
        <v>367.57843021729695</v>
      </c>
      <c r="L43" s="30"/>
      <c r="M43" s="30"/>
      <c r="N43" s="30"/>
      <c r="O43" s="30"/>
    </row>
    <row r="44" spans="1:27" x14ac:dyDescent="0.25">
      <c r="A44" s="10">
        <v>25</v>
      </c>
      <c r="B44" s="27">
        <f t="shared" ca="1" si="0"/>
        <v>0.55185983676611039</v>
      </c>
      <c r="C44" s="21">
        <f t="shared" ca="1" si="6"/>
        <v>251.30361624745601</v>
      </c>
      <c r="D44" s="21">
        <f t="shared" ca="1" si="1"/>
        <v>248.04768354695153</v>
      </c>
      <c r="E44" s="21">
        <f t="shared" ca="1" si="2"/>
        <v>0</v>
      </c>
      <c r="F44" s="22">
        <f t="shared" ca="1" si="7"/>
        <v>0</v>
      </c>
      <c r="G44" s="22">
        <f t="shared" ca="1" si="3"/>
        <v>12.412330087428074</v>
      </c>
      <c r="H44" s="31">
        <f t="shared" ca="1" si="8"/>
        <v>0</v>
      </c>
      <c r="I44" s="9">
        <f t="shared" ca="1" si="4"/>
        <v>1364.2622595082335</v>
      </c>
      <c r="J44" s="30">
        <f t="shared" ca="1" si="5"/>
        <v>992.19073418780613</v>
      </c>
      <c r="K44" s="122">
        <f t="shared" ca="1" si="9"/>
        <v>372.07152532042733</v>
      </c>
      <c r="L44" s="30"/>
      <c r="M44" s="30"/>
      <c r="N44" s="30"/>
      <c r="O44" s="30"/>
    </row>
    <row r="45" spans="1:27" x14ac:dyDescent="0.25">
      <c r="A45" s="10">
        <v>26</v>
      </c>
      <c r="B45" s="27">
        <f t="shared" ca="1" si="0"/>
        <v>0.85221979855140639</v>
      </c>
      <c r="C45" s="21">
        <f t="shared" ca="1" si="6"/>
        <v>260.46001363437961</v>
      </c>
      <c r="D45" s="21">
        <f t="shared" ca="1" si="1"/>
        <v>248.04768354695153</v>
      </c>
      <c r="E45" s="21">
        <f t="shared" ca="1" si="2"/>
        <v>0</v>
      </c>
      <c r="F45" s="22">
        <f t="shared" ca="1" si="7"/>
        <v>0</v>
      </c>
      <c r="G45" s="22">
        <f t="shared" ca="1" si="3"/>
        <v>0</v>
      </c>
      <c r="H45" s="31">
        <f t="shared" ca="1" si="8"/>
        <v>0</v>
      </c>
      <c r="I45" s="9">
        <f t="shared" ca="1" si="4"/>
        <v>1364.2622595082335</v>
      </c>
      <c r="J45" s="30">
        <f t="shared" ca="1" si="5"/>
        <v>992.19073418780613</v>
      </c>
      <c r="K45" s="122">
        <f t="shared" ca="1" si="9"/>
        <v>372.07152532042733</v>
      </c>
      <c r="L45" s="30"/>
      <c r="M45" s="30"/>
      <c r="N45" s="30"/>
      <c r="O45" s="30"/>
    </row>
    <row r="46" spans="1:27" x14ac:dyDescent="0.25">
      <c r="A46" s="10">
        <v>27</v>
      </c>
      <c r="B46" s="27">
        <f t="shared" ca="1" si="0"/>
        <v>0.18766896841609193</v>
      </c>
      <c r="C46" s="21">
        <f t="shared" ca="1" si="6"/>
        <v>241.13481030627128</v>
      </c>
      <c r="D46" s="21">
        <f t="shared" ca="1" si="1"/>
        <v>248.04768354695153</v>
      </c>
      <c r="E46" s="21">
        <f t="shared" ca="1" si="2"/>
        <v>6.9128732406802555</v>
      </c>
      <c r="F46" s="22">
        <f t="shared" ca="1" si="7"/>
        <v>6.9128732406802555</v>
      </c>
      <c r="G46" s="22">
        <f t="shared" ca="1" si="3"/>
        <v>11.567914900443839</v>
      </c>
      <c r="H46" s="31">
        <f t="shared" ca="1" si="8"/>
        <v>0</v>
      </c>
      <c r="I46" s="9">
        <f t="shared" ca="1" si="4"/>
        <v>1327.969674994662</v>
      </c>
      <c r="J46" s="30">
        <f t="shared" ca="1" si="5"/>
        <v>992.19073418780613</v>
      </c>
      <c r="K46" s="122">
        <f t="shared" ca="1" si="9"/>
        <v>335.77894080685587</v>
      </c>
      <c r="L46" s="30"/>
      <c r="M46" s="30"/>
      <c r="N46" s="30"/>
      <c r="O46" s="30"/>
    </row>
    <row r="47" spans="1:27" x14ac:dyDescent="0.25">
      <c r="A47" s="10">
        <v>28</v>
      </c>
      <c r="B47" s="27">
        <f t="shared" ca="1" si="0"/>
        <v>0.83186462472820999</v>
      </c>
      <c r="C47" s="21">
        <f t="shared" ca="1" si="6"/>
        <v>259.61559844739537</v>
      </c>
      <c r="D47" s="21">
        <f t="shared" ca="1" si="1"/>
        <v>254.96055678763179</v>
      </c>
      <c r="E47" s="21">
        <f t="shared" ca="1" si="2"/>
        <v>0</v>
      </c>
      <c r="F47" s="22">
        <f t="shared" ca="1" si="7"/>
        <v>0</v>
      </c>
      <c r="G47" s="22">
        <f t="shared" ca="1" si="3"/>
        <v>11.757349297290318</v>
      </c>
      <c r="H47" s="31">
        <f t="shared" ca="1" si="8"/>
        <v>0</v>
      </c>
      <c r="I47" s="9">
        <f t="shared" ca="1" si="4"/>
        <v>1364.2622595082335</v>
      </c>
      <c r="J47" s="30">
        <f t="shared" ca="1" si="5"/>
        <v>992.19073418780613</v>
      </c>
      <c r="K47" s="122">
        <f t="shared" ca="1" si="9"/>
        <v>372.07152532042733</v>
      </c>
      <c r="L47" s="30"/>
      <c r="M47" s="30"/>
      <c r="N47" s="30"/>
      <c r="O47" s="30"/>
    </row>
    <row r="48" spans="1:27" x14ac:dyDescent="0.25">
      <c r="A48" s="10">
        <v>29</v>
      </c>
      <c r="B48" s="27">
        <f t="shared" ca="1" si="0"/>
        <v>0.83658112541176999</v>
      </c>
      <c r="C48" s="21">
        <f t="shared" ca="1" si="6"/>
        <v>259.80503284424185</v>
      </c>
      <c r="D48" s="21">
        <f t="shared" ca="1" si="1"/>
        <v>248.04768354695153</v>
      </c>
      <c r="E48" s="21">
        <f t="shared" ca="1" si="2"/>
        <v>0</v>
      </c>
      <c r="F48" s="22">
        <f t="shared" ca="1" si="7"/>
        <v>0</v>
      </c>
      <c r="G48" s="22">
        <f t="shared" ca="1" si="3"/>
        <v>12.758580372317795</v>
      </c>
      <c r="H48" s="31">
        <f t="shared" ca="1" si="8"/>
        <v>0</v>
      </c>
      <c r="I48" s="9">
        <f t="shared" ca="1" si="4"/>
        <v>1364.2622595082335</v>
      </c>
      <c r="J48" s="30">
        <f t="shared" ca="1" si="5"/>
        <v>992.19073418780613</v>
      </c>
      <c r="K48" s="122">
        <f t="shared" ca="1" si="9"/>
        <v>372.07152532042733</v>
      </c>
      <c r="L48" s="30"/>
      <c r="M48" s="30"/>
      <c r="N48" s="30"/>
      <c r="O48" s="30"/>
    </row>
    <row r="49" spans="1:15" x14ac:dyDescent="0.25">
      <c r="A49" s="10">
        <v>30</v>
      </c>
      <c r="B49" s="27">
        <f t="shared" ca="1" si="0"/>
        <v>0.86006833109147274</v>
      </c>
      <c r="C49" s="21">
        <f t="shared" ca="1" si="6"/>
        <v>260.80626391926933</v>
      </c>
      <c r="D49" s="21">
        <f t="shared" ca="1" si="1"/>
        <v>248.04768354695153</v>
      </c>
      <c r="E49" s="21">
        <f t="shared" ca="1" si="2"/>
        <v>0</v>
      </c>
      <c r="F49" s="22">
        <f t="shared" ca="1" si="7"/>
        <v>0</v>
      </c>
      <c r="G49" s="22">
        <f t="shared" ca="1" si="3"/>
        <v>0</v>
      </c>
      <c r="H49" s="31">
        <f t="shared" ca="1" si="8"/>
        <v>0</v>
      </c>
      <c r="I49" s="9">
        <f t="shared" ca="1" si="4"/>
        <v>1364.2622595082335</v>
      </c>
      <c r="J49" s="30">
        <f t="shared" ca="1" si="5"/>
        <v>992.19073418780613</v>
      </c>
      <c r="K49" s="122">
        <f t="shared" ca="1" si="9"/>
        <v>372.07152532042733</v>
      </c>
      <c r="L49" s="30"/>
      <c r="M49" s="30"/>
      <c r="N49" s="30"/>
      <c r="O49" s="30"/>
    </row>
    <row r="50" spans="1:15" x14ac:dyDescent="0.25">
      <c r="A50" s="10">
        <v>31</v>
      </c>
      <c r="B50" s="27">
        <f t="shared" ca="1" si="0"/>
        <v>0.3228296000975579</v>
      </c>
      <c r="C50" s="21">
        <f t="shared" ca="1" si="6"/>
        <v>245.40199187814051</v>
      </c>
      <c r="D50" s="21">
        <f t="shared" ca="1" si="1"/>
        <v>248.04768354695153</v>
      </c>
      <c r="E50" s="21">
        <f t="shared" ca="1" si="2"/>
        <v>2.6456916688110255</v>
      </c>
      <c r="F50" s="22">
        <f t="shared" ca="1" si="7"/>
        <v>2.6456916688110255</v>
      </c>
      <c r="G50" s="22">
        <f t="shared" ca="1" si="3"/>
        <v>14.610387654807028</v>
      </c>
      <c r="H50" s="31">
        <f t="shared" ca="1" si="8"/>
        <v>0</v>
      </c>
      <c r="I50" s="9">
        <f t="shared" ca="1" si="4"/>
        <v>1350.3723782469756</v>
      </c>
      <c r="J50" s="30">
        <f t="shared" ca="1" si="5"/>
        <v>992.19073418780613</v>
      </c>
      <c r="K50" s="122">
        <f t="shared" ca="1" si="9"/>
        <v>358.18164405916946</v>
      </c>
      <c r="L50" s="30"/>
      <c r="M50" s="30"/>
      <c r="N50" s="30"/>
      <c r="O50" s="30"/>
    </row>
    <row r="51" spans="1:15" x14ac:dyDescent="0.25">
      <c r="A51" s="10">
        <v>32</v>
      </c>
      <c r="B51" s="27">
        <f t="shared" ca="1" si="0"/>
        <v>0.89720892734084845</v>
      </c>
      <c r="C51" s="21">
        <f t="shared" ca="1" si="6"/>
        <v>262.65807120175856</v>
      </c>
      <c r="D51" s="21">
        <f t="shared" ca="1" si="1"/>
        <v>250.69337521576256</v>
      </c>
      <c r="E51" s="21">
        <f t="shared" ca="1" si="2"/>
        <v>0</v>
      </c>
      <c r="F51" s="22">
        <f t="shared" ca="1" si="7"/>
        <v>0</v>
      </c>
      <c r="G51" s="22">
        <f t="shared" ca="1" si="3"/>
        <v>6.3627423853394021</v>
      </c>
      <c r="H51" s="31">
        <f t="shared" ca="1" si="8"/>
        <v>0</v>
      </c>
      <c r="I51" s="9">
        <f t="shared" ca="1" si="4"/>
        <v>1364.2622595082335</v>
      </c>
      <c r="J51" s="30">
        <f t="shared" ca="1" si="5"/>
        <v>992.19073418780613</v>
      </c>
      <c r="K51" s="122">
        <f t="shared" ca="1" si="9"/>
        <v>372.07152532042733</v>
      </c>
      <c r="L51" s="30"/>
      <c r="M51" s="30"/>
      <c r="N51" s="30"/>
      <c r="O51" s="30"/>
    </row>
    <row r="52" spans="1:15" x14ac:dyDescent="0.25">
      <c r="A52" s="10">
        <v>33</v>
      </c>
      <c r="B52" s="27">
        <f t="shared" ca="1" si="0"/>
        <v>0.67040891905970557</v>
      </c>
      <c r="C52" s="21">
        <f t="shared" ca="1" si="6"/>
        <v>254.41042593229093</v>
      </c>
      <c r="D52" s="21">
        <f t="shared" ca="1" si="1"/>
        <v>248.04768354695153</v>
      </c>
      <c r="E52" s="21">
        <f t="shared" ca="1" si="2"/>
        <v>0</v>
      </c>
      <c r="F52" s="22">
        <f t="shared" ca="1" si="7"/>
        <v>0</v>
      </c>
      <c r="G52" s="22">
        <f t="shared" ca="1" si="3"/>
        <v>9.856105964399319</v>
      </c>
      <c r="H52" s="31">
        <f t="shared" ca="1" si="8"/>
        <v>0</v>
      </c>
      <c r="I52" s="9">
        <f t="shared" ca="1" si="4"/>
        <v>1364.2622595082335</v>
      </c>
      <c r="J52" s="30">
        <f t="shared" ca="1" si="5"/>
        <v>992.19073418780613</v>
      </c>
      <c r="K52" s="122">
        <f t="shared" ca="1" si="9"/>
        <v>372.07152532042733</v>
      </c>
      <c r="L52" s="30"/>
      <c r="M52" s="30"/>
      <c r="N52" s="30"/>
      <c r="O52" s="30"/>
    </row>
    <row r="53" spans="1:15" x14ac:dyDescent="0.25">
      <c r="A53" s="10">
        <v>34</v>
      </c>
      <c r="B53" s="27">
        <f t="shared" ca="1" si="0"/>
        <v>0.78534675443557445</v>
      </c>
      <c r="C53" s="21">
        <f t="shared" ca="1" si="6"/>
        <v>257.90378951135085</v>
      </c>
      <c r="D53" s="21">
        <f t="shared" ca="1" si="1"/>
        <v>248.04768354695153</v>
      </c>
      <c r="E53" s="21">
        <f t="shared" ca="1" si="2"/>
        <v>0</v>
      </c>
      <c r="F53" s="22">
        <f t="shared" ca="1" si="7"/>
        <v>0</v>
      </c>
      <c r="G53" s="22">
        <f t="shared" ca="1" si="3"/>
        <v>0</v>
      </c>
      <c r="H53" s="31">
        <f t="shared" ca="1" si="8"/>
        <v>0</v>
      </c>
      <c r="I53" s="9">
        <f t="shared" ca="1" si="4"/>
        <v>1364.2622595082335</v>
      </c>
      <c r="J53" s="30">
        <f t="shared" ca="1" si="5"/>
        <v>992.19073418780613</v>
      </c>
      <c r="K53" s="122">
        <f t="shared" ca="1" si="9"/>
        <v>372.07152532042733</v>
      </c>
      <c r="L53" s="30"/>
      <c r="M53" s="30"/>
      <c r="N53" s="30"/>
      <c r="O53" s="30"/>
    </row>
    <row r="54" spans="1:15" x14ac:dyDescent="0.25">
      <c r="A54" s="10">
        <v>35</v>
      </c>
      <c r="B54" s="27">
        <f t="shared" ca="1" si="0"/>
        <v>0.26235037474605294</v>
      </c>
      <c r="C54" s="21">
        <f t="shared" ca="1" si="6"/>
        <v>243.63883895389597</v>
      </c>
      <c r="D54" s="21">
        <f t="shared" ca="1" si="1"/>
        <v>248.04768354695153</v>
      </c>
      <c r="E54" s="21">
        <f t="shared" ca="1" si="2"/>
        <v>4.4088445930555622</v>
      </c>
      <c r="F54" s="22">
        <f t="shared" ca="1" si="7"/>
        <v>4.4088445930555622</v>
      </c>
      <c r="G54" s="22">
        <f t="shared" ca="1" si="3"/>
        <v>0</v>
      </c>
      <c r="H54" s="31">
        <f t="shared" ca="1" si="8"/>
        <v>4.4088445930555622</v>
      </c>
      <c r="I54" s="9">
        <f t="shared" ca="1" si="4"/>
        <v>1341.1158253946917</v>
      </c>
      <c r="J54" s="30">
        <f t="shared" ca="1" si="5"/>
        <v>998.80400107738944</v>
      </c>
      <c r="K54" s="122">
        <f t="shared" ca="1" si="9"/>
        <v>342.31182431730224</v>
      </c>
      <c r="L54" s="30"/>
      <c r="M54" s="30"/>
      <c r="N54" s="30"/>
      <c r="O54" s="30"/>
    </row>
    <row r="55" spans="1:15" x14ac:dyDescent="0.25">
      <c r="A55" s="10">
        <v>36</v>
      </c>
      <c r="B55" s="27">
        <f t="shared" ca="1" si="0"/>
        <v>0.32486827670624185</v>
      </c>
      <c r="C55" s="21">
        <f t="shared" ca="1" si="6"/>
        <v>245.45871794535211</v>
      </c>
      <c r="D55" s="21">
        <f t="shared" ca="1" si="1"/>
        <v>252.45652814000709</v>
      </c>
      <c r="E55" s="21">
        <f t="shared" ca="1" si="2"/>
        <v>2.5889656015994262</v>
      </c>
      <c r="F55" s="22">
        <f t="shared" ca="1" si="7"/>
        <v>6.9978101946549884</v>
      </c>
      <c r="G55" s="22">
        <f t="shared" ca="1" si="3"/>
        <v>0</v>
      </c>
      <c r="H55" s="31">
        <f t="shared" ca="1" si="8"/>
        <v>6.9978101946549884</v>
      </c>
      <c r="I55" s="9">
        <f t="shared" ca="1" si="4"/>
        <v>1363.896723879003</v>
      </c>
      <c r="J55" s="30">
        <f t="shared" ca="1" si="5"/>
        <v>1002.6874494797886</v>
      </c>
      <c r="K55" s="122">
        <f t="shared" ca="1" si="9"/>
        <v>361.20927439921445</v>
      </c>
      <c r="L55" s="30"/>
      <c r="M55" s="30"/>
      <c r="N55" s="30"/>
      <c r="O55" s="30"/>
    </row>
    <row r="56" spans="1:15" x14ac:dyDescent="0.25">
      <c r="A56" s="10">
        <v>37</v>
      </c>
      <c r="B56" s="27">
        <f t="shared" ca="1" si="0"/>
        <v>0.20759865364441188</v>
      </c>
      <c r="C56" s="21">
        <f t="shared" ca="1" si="6"/>
        <v>241.85218351525515</v>
      </c>
      <c r="D56" s="21">
        <f t="shared" ca="1" si="1"/>
        <v>250.63664914855096</v>
      </c>
      <c r="E56" s="21">
        <f t="shared" ca="1" si="2"/>
        <v>6.1955000316963833</v>
      </c>
      <c r="F56" s="22">
        <f t="shared" ca="1" si="7"/>
        <v>8.7844656332958095</v>
      </c>
      <c r="G56" s="22">
        <f t="shared" ca="1" si="3"/>
        <v>9.7025701688102117</v>
      </c>
      <c r="H56" s="31">
        <f t="shared" ca="1" si="8"/>
        <v>0</v>
      </c>
      <c r="I56" s="9">
        <f t="shared" ca="1" si="4"/>
        <v>1331.7358843418274</v>
      </c>
      <c r="J56" s="30">
        <f t="shared" ca="1" si="5"/>
        <v>992.19073418780613</v>
      </c>
      <c r="K56" s="122">
        <f t="shared" ca="1" si="9"/>
        <v>339.54515015402126</v>
      </c>
      <c r="L56" s="30"/>
      <c r="M56" s="30"/>
      <c r="N56" s="30"/>
      <c r="O56" s="30"/>
    </row>
    <row r="57" spans="1:15" x14ac:dyDescent="0.25">
      <c r="A57" s="10">
        <v>38</v>
      </c>
      <c r="B57" s="27">
        <f t="shared" ca="1" si="0"/>
        <v>0.780837666199797</v>
      </c>
      <c r="C57" s="21">
        <f t="shared" ca="1" si="6"/>
        <v>257.75025371576174</v>
      </c>
      <c r="D57" s="21">
        <f t="shared" ca="1" si="1"/>
        <v>254.24318357864792</v>
      </c>
      <c r="E57" s="21">
        <f t="shared" ca="1" si="2"/>
        <v>0</v>
      </c>
      <c r="F57" s="22">
        <f t="shared" ca="1" si="7"/>
        <v>0</v>
      </c>
      <c r="G57" s="22">
        <f t="shared" ca="1" si="3"/>
        <v>1.5582557046893442</v>
      </c>
      <c r="H57" s="31">
        <f t="shared" ca="1" si="8"/>
        <v>0</v>
      </c>
      <c r="I57" s="9">
        <f t="shared" ca="1" si="4"/>
        <v>1364.2622595082335</v>
      </c>
      <c r="J57" s="30">
        <f t="shared" ca="1" si="5"/>
        <v>992.19073418780613</v>
      </c>
      <c r="K57" s="122">
        <f t="shared" ca="1" si="9"/>
        <v>372.07152532042733</v>
      </c>
      <c r="L57" s="30"/>
      <c r="M57" s="30"/>
      <c r="N57" s="30"/>
      <c r="O57" s="30"/>
    </row>
    <row r="58" spans="1:15" x14ac:dyDescent="0.25">
      <c r="A58" s="10">
        <v>39</v>
      </c>
      <c r="B58" s="27">
        <f t="shared" ca="1" si="0"/>
        <v>0.48428331832719851</v>
      </c>
      <c r="C58" s="21">
        <f t="shared" ca="1" si="6"/>
        <v>249.60593925164088</v>
      </c>
      <c r="D58" s="21">
        <f t="shared" ca="1" si="1"/>
        <v>248.04768354695153</v>
      </c>
      <c r="E58" s="21">
        <f t="shared" ca="1" si="2"/>
        <v>0</v>
      </c>
      <c r="F58" s="22">
        <f t="shared" ca="1" si="7"/>
        <v>0</v>
      </c>
      <c r="G58" s="22">
        <f t="shared" ca="1" si="3"/>
        <v>22.086078486715337</v>
      </c>
      <c r="H58" s="31">
        <f t="shared" ca="1" si="8"/>
        <v>0</v>
      </c>
      <c r="I58" s="9">
        <f t="shared" ca="1" si="4"/>
        <v>1364.2622595082335</v>
      </c>
      <c r="J58" s="30">
        <f t="shared" ca="1" si="5"/>
        <v>992.19073418780613</v>
      </c>
      <c r="K58" s="122">
        <f t="shared" ca="1" si="9"/>
        <v>372.07152532042733</v>
      </c>
      <c r="L58" s="30"/>
      <c r="M58" s="30"/>
      <c r="N58" s="30"/>
      <c r="O58" s="30"/>
    </row>
    <row r="59" spans="1:15" x14ac:dyDescent="0.25">
      <c r="A59" s="10">
        <v>40</v>
      </c>
      <c r="B59" s="27">
        <f t="shared" ca="1" si="0"/>
        <v>0.97796246644758456</v>
      </c>
      <c r="C59" s="21">
        <f t="shared" ca="1" si="6"/>
        <v>270.13376203366687</v>
      </c>
      <c r="D59" s="21">
        <f t="shared" ca="1" si="1"/>
        <v>248.04768354695153</v>
      </c>
      <c r="E59" s="21">
        <f t="shared" ca="1" si="2"/>
        <v>0</v>
      </c>
      <c r="F59" s="22">
        <f t="shared" ca="1" si="7"/>
        <v>0</v>
      </c>
      <c r="G59" s="22">
        <f t="shared" ca="1" si="3"/>
        <v>0</v>
      </c>
      <c r="H59" s="31">
        <f t="shared" ca="1" si="8"/>
        <v>0</v>
      </c>
      <c r="I59" s="9">
        <f t="shared" ca="1" si="4"/>
        <v>1364.2622595082335</v>
      </c>
      <c r="J59" s="30">
        <f t="shared" ca="1" si="5"/>
        <v>992.19073418780613</v>
      </c>
      <c r="K59" s="122">
        <f t="shared" ca="1" si="9"/>
        <v>372.07152532042733</v>
      </c>
      <c r="L59" s="30"/>
      <c r="M59" s="30"/>
      <c r="N59" s="30"/>
      <c r="O59" s="30"/>
    </row>
    <row r="60" spans="1:15" x14ac:dyDescent="0.25">
      <c r="A60" s="10">
        <v>41</v>
      </c>
      <c r="B60" s="27">
        <f t="shared" ca="1" si="0"/>
        <v>0.22690836398331893</v>
      </c>
      <c r="C60" s="21">
        <f t="shared" ca="1" si="6"/>
        <v>242.50932841043596</v>
      </c>
      <c r="D60" s="21">
        <f t="shared" ca="1" si="1"/>
        <v>248.04768354695153</v>
      </c>
      <c r="E60" s="21">
        <f t="shared" ca="1" si="2"/>
        <v>5.5383551365155768</v>
      </c>
      <c r="F60" s="22">
        <f t="shared" ca="1" si="7"/>
        <v>5.5383551365155768</v>
      </c>
      <c r="G60" s="22">
        <f t="shared" ca="1" si="3"/>
        <v>0</v>
      </c>
      <c r="H60" s="31">
        <f t="shared" ca="1" si="8"/>
        <v>5.5383551365155768</v>
      </c>
      <c r="I60" s="9">
        <f t="shared" ca="1" si="4"/>
        <v>1335.1858950415267</v>
      </c>
      <c r="J60" s="30">
        <f t="shared" ca="1" si="5"/>
        <v>1000.4982668925795</v>
      </c>
      <c r="K60" s="122">
        <f t="shared" ca="1" si="9"/>
        <v>334.68762814894717</v>
      </c>
      <c r="L60" s="30"/>
      <c r="M60" s="30"/>
      <c r="N60" s="30"/>
      <c r="O60" s="30"/>
    </row>
    <row r="61" spans="1:15" x14ac:dyDescent="0.25">
      <c r="A61" s="10">
        <v>42</v>
      </c>
      <c r="B61" s="27">
        <f t="shared" ca="1" si="0"/>
        <v>3.0440637088206102E-2</v>
      </c>
      <c r="C61" s="21">
        <f t="shared" ca="1" si="6"/>
        <v>231.25643277014444</v>
      </c>
      <c r="D61" s="21">
        <f t="shared" ca="1" si="1"/>
        <v>253.58603868346711</v>
      </c>
      <c r="E61" s="21">
        <f t="shared" ca="1" si="2"/>
        <v>16.79125077680709</v>
      </c>
      <c r="F61" s="22">
        <f t="shared" ca="1" si="7"/>
        <v>22.329605913322666</v>
      </c>
      <c r="G61" s="22">
        <f t="shared" ca="1" si="3"/>
        <v>0</v>
      </c>
      <c r="H61" s="31">
        <f t="shared" ca="1" si="8"/>
        <v>22.329605913322666</v>
      </c>
      <c r="I61" s="9">
        <f t="shared" ca="1" si="4"/>
        <v>1292.723258339543</v>
      </c>
      <c r="J61" s="30">
        <f t="shared" ca="1" si="5"/>
        <v>1025.6851430577901</v>
      </c>
      <c r="K61" s="122">
        <f t="shared" ca="1" si="9"/>
        <v>267.03811528175288</v>
      </c>
      <c r="L61" s="30"/>
      <c r="M61" s="30"/>
      <c r="N61" s="30"/>
      <c r="O61" s="30"/>
    </row>
    <row r="62" spans="1:15" x14ac:dyDescent="0.25">
      <c r="A62" s="10">
        <v>43</v>
      </c>
      <c r="B62" s="27">
        <f t="shared" ca="1" si="0"/>
        <v>0.27874317828267314</v>
      </c>
      <c r="C62" s="21">
        <f t="shared" ca="1" si="6"/>
        <v>244.13420801499828</v>
      </c>
      <c r="D62" s="21">
        <f t="shared" ca="1" si="1"/>
        <v>264.83893432375862</v>
      </c>
      <c r="E62" s="21">
        <f t="shared" ca="1" si="2"/>
        <v>3.913475531953253</v>
      </c>
      <c r="F62" s="22">
        <f t="shared" ca="1" si="7"/>
        <v>20.704726308760343</v>
      </c>
      <c r="G62" s="22">
        <f t="shared" ca="1" si="3"/>
        <v>4.4147237885374864</v>
      </c>
      <c r="H62" s="31">
        <f t="shared" ca="1" si="8"/>
        <v>16.290002520222856</v>
      </c>
      <c r="I62" s="9">
        <f t="shared" ca="1" si="4"/>
        <v>1392.5865205261475</v>
      </c>
      <c r="J62" s="30">
        <f t="shared" ca="1" si="5"/>
        <v>1016.6257379681404</v>
      </c>
      <c r="K62" s="122">
        <f t="shared" ca="1" si="9"/>
        <v>375.96078255800717</v>
      </c>
      <c r="L62" s="30"/>
      <c r="M62" s="30"/>
      <c r="N62" s="30"/>
      <c r="O62" s="30"/>
    </row>
    <row r="63" spans="1:15" x14ac:dyDescent="0.25">
      <c r="A63" s="10">
        <v>44</v>
      </c>
      <c r="B63" s="27">
        <f t="shared" ca="1" si="0"/>
        <v>0.5972520573624982</v>
      </c>
      <c r="C63" s="21">
        <f t="shared" ca="1" si="6"/>
        <v>252.46240733548902</v>
      </c>
      <c r="D63" s="21">
        <f t="shared" ca="1" si="1"/>
        <v>251.96115907890479</v>
      </c>
      <c r="E63" s="21">
        <f t="shared" ca="1" si="2"/>
        <v>0</v>
      </c>
      <c r="F63" s="22">
        <f t="shared" ca="1" si="7"/>
        <v>0</v>
      </c>
      <c r="G63" s="22">
        <f t="shared" ca="1" si="3"/>
        <v>4.6046845924995239</v>
      </c>
      <c r="H63" s="31">
        <f t="shared" ca="1" si="8"/>
        <v>0</v>
      </c>
      <c r="I63" s="9">
        <f t="shared" ca="1" si="4"/>
        <v>1364.2622595082335</v>
      </c>
      <c r="J63" s="30">
        <f t="shared" ca="1" si="5"/>
        <v>992.19073418780613</v>
      </c>
      <c r="K63" s="122">
        <f t="shared" ca="1" si="9"/>
        <v>372.07152532042733</v>
      </c>
      <c r="L63" s="30"/>
      <c r="M63" s="30"/>
      <c r="N63" s="30"/>
      <c r="O63" s="30"/>
    </row>
    <row r="64" spans="1:15" x14ac:dyDescent="0.25">
      <c r="A64" s="10">
        <v>45</v>
      </c>
      <c r="B64" s="27">
        <f t="shared" ca="1" si="0"/>
        <v>0.60458648163102358</v>
      </c>
      <c r="C64" s="21">
        <f t="shared" ca="1" si="6"/>
        <v>252.65236813945106</v>
      </c>
      <c r="D64" s="21">
        <f t="shared" ca="1" si="1"/>
        <v>248.04768354695153</v>
      </c>
      <c r="E64" s="21">
        <f t="shared" ca="1" si="2"/>
        <v>0</v>
      </c>
      <c r="F64" s="22">
        <f t="shared" ca="1" si="7"/>
        <v>0</v>
      </c>
      <c r="G64" s="22">
        <f t="shared" ca="1" si="3"/>
        <v>4.683182689289481</v>
      </c>
      <c r="H64" s="31">
        <f t="shared" ca="1" si="8"/>
        <v>0</v>
      </c>
      <c r="I64" s="9">
        <f t="shared" ca="1" si="4"/>
        <v>1364.2622595082335</v>
      </c>
      <c r="J64" s="30">
        <f t="shared" ca="1" si="5"/>
        <v>992.19073418780613</v>
      </c>
      <c r="K64" s="122">
        <f t="shared" ca="1" si="9"/>
        <v>372.07152532042733</v>
      </c>
      <c r="L64" s="30"/>
      <c r="M64" s="30"/>
      <c r="N64" s="30"/>
      <c r="O64" s="30"/>
    </row>
    <row r="65" spans="1:15" x14ac:dyDescent="0.25">
      <c r="A65" s="10">
        <v>46</v>
      </c>
      <c r="B65" s="27">
        <f t="shared" ca="1" si="0"/>
        <v>0.60760668556430564</v>
      </c>
      <c r="C65" s="21">
        <f t="shared" ca="1" si="6"/>
        <v>252.73086623624101</v>
      </c>
      <c r="D65" s="21">
        <f t="shared" ca="1" si="1"/>
        <v>248.04768354695153</v>
      </c>
      <c r="E65" s="21">
        <f t="shared" ca="1" si="2"/>
        <v>0</v>
      </c>
      <c r="F65" s="22">
        <f t="shared" ca="1" si="7"/>
        <v>0</v>
      </c>
      <c r="G65" s="22">
        <f t="shared" ca="1" si="3"/>
        <v>5.6371070232476086</v>
      </c>
      <c r="H65" s="31">
        <f t="shared" ca="1" si="8"/>
        <v>0</v>
      </c>
      <c r="I65" s="9">
        <f t="shared" ca="1" si="4"/>
        <v>1364.2622595082335</v>
      </c>
      <c r="J65" s="30">
        <f t="shared" ca="1" si="5"/>
        <v>992.19073418780613</v>
      </c>
      <c r="K65" s="122">
        <f t="shared" ca="1" si="9"/>
        <v>372.07152532042733</v>
      </c>
      <c r="L65" s="30"/>
      <c r="M65" s="30"/>
      <c r="N65" s="30"/>
      <c r="O65" s="30"/>
    </row>
    <row r="66" spans="1:15" x14ac:dyDescent="0.25">
      <c r="A66" s="10">
        <v>47</v>
      </c>
      <c r="B66" s="43">
        <f t="shared" ca="1" si="0"/>
        <v>0.64374197080440376</v>
      </c>
      <c r="C66" s="44">
        <f t="shared" ca="1" si="6"/>
        <v>253.68479057019914</v>
      </c>
      <c r="D66" s="44">
        <f t="shared" ca="1" si="1"/>
        <v>248.04768354695153</v>
      </c>
      <c r="E66" s="44">
        <f t="shared" ca="1" si="2"/>
        <v>0</v>
      </c>
      <c r="F66" s="45">
        <f t="shared" ca="1" si="7"/>
        <v>0</v>
      </c>
      <c r="G66" s="45">
        <f t="shared" ca="1" si="3"/>
        <v>0.79819339792939559</v>
      </c>
      <c r="H66" s="46">
        <f t="shared" ca="1" si="8"/>
        <v>0</v>
      </c>
      <c r="I66" s="1">
        <f t="shared" ca="1" si="4"/>
        <v>1364.2622595082335</v>
      </c>
      <c r="J66" s="47">
        <f t="shared" ca="1" si="5"/>
        <v>992.19073418780613</v>
      </c>
      <c r="K66" s="123">
        <f t="shared" ca="1" si="9"/>
        <v>372.07152532042733</v>
      </c>
      <c r="L66" s="30"/>
      <c r="M66" s="30"/>
      <c r="N66" s="30"/>
      <c r="O66" s="30"/>
    </row>
    <row r="67" spans="1:15" x14ac:dyDescent="0.25">
      <c r="A67" s="10">
        <v>48</v>
      </c>
      <c r="B67" s="48">
        <f t="shared" ca="1" si="0"/>
        <v>0.45405916287564674</v>
      </c>
      <c r="C67" s="49">
        <f t="shared" ca="1" si="6"/>
        <v>248.84587694488093</v>
      </c>
      <c r="D67" s="49">
        <f t="shared" ca="1" si="1"/>
        <v>248.04768354695153</v>
      </c>
      <c r="E67" s="49">
        <f t="shared" ca="1" si="2"/>
        <v>0</v>
      </c>
      <c r="F67" s="50">
        <f t="shared" ca="1" si="7"/>
        <v>0</v>
      </c>
      <c r="G67" s="50">
        <f t="shared" ca="1" si="3"/>
        <v>2.7859732501592873</v>
      </c>
      <c r="H67" s="51">
        <f t="shared" ca="1" si="8"/>
        <v>0</v>
      </c>
      <c r="I67" s="52">
        <f t="shared" ca="1" si="4"/>
        <v>1364.2622595082335</v>
      </c>
      <c r="J67" s="53">
        <f t="shared" ca="1" si="5"/>
        <v>992.19073418780613</v>
      </c>
      <c r="K67" s="124">
        <f t="shared" ca="1" si="9"/>
        <v>372.07152532042733</v>
      </c>
      <c r="L67" s="30"/>
      <c r="M67" s="30"/>
      <c r="N67" s="30"/>
      <c r="O67" s="30"/>
    </row>
    <row r="68" spans="1:15" x14ac:dyDescent="0.25">
      <c r="A68" s="10">
        <v>49</v>
      </c>
      <c r="B68" s="27">
        <f t="shared" ca="1" si="0"/>
        <v>0.53321961144396135</v>
      </c>
      <c r="C68" s="21">
        <f t="shared" ca="1" si="6"/>
        <v>250.83365679711082</v>
      </c>
      <c r="D68" s="21">
        <f t="shared" ca="1" si="1"/>
        <v>248.04768354695153</v>
      </c>
      <c r="E68" s="21">
        <f t="shared" ca="1" si="2"/>
        <v>0</v>
      </c>
      <c r="F68" s="22">
        <f t="shared" ca="1" si="7"/>
        <v>0</v>
      </c>
      <c r="G68" s="22">
        <f t="shared" ca="1" si="3"/>
        <v>7.5110478502895148</v>
      </c>
      <c r="H68" s="31">
        <f t="shared" ca="1" si="8"/>
        <v>0</v>
      </c>
      <c r="I68" s="9">
        <f t="shared" ca="1" si="4"/>
        <v>1364.2622595082335</v>
      </c>
      <c r="J68" s="30">
        <f t="shared" ca="1" si="5"/>
        <v>992.19073418780613</v>
      </c>
      <c r="K68" s="122">
        <f t="shared" ca="1" si="9"/>
        <v>372.07152532042733</v>
      </c>
      <c r="L68" s="30"/>
      <c r="M68" s="30"/>
      <c r="N68" s="30"/>
      <c r="O68" s="30"/>
    </row>
    <row r="69" spans="1:15" x14ac:dyDescent="0.25">
      <c r="A69" s="10">
        <v>50</v>
      </c>
      <c r="B69" s="27">
        <f t="shared" ca="1" si="0"/>
        <v>0.71085120924608824</v>
      </c>
      <c r="C69" s="21">
        <f t="shared" ca="1" si="6"/>
        <v>255.55873139724105</v>
      </c>
      <c r="D69" s="21">
        <f t="shared" ca="1" si="1"/>
        <v>248.04768354695153</v>
      </c>
      <c r="E69" s="21">
        <f t="shared" ca="1" si="2"/>
        <v>0</v>
      </c>
      <c r="F69" s="22">
        <f t="shared" ca="1" si="7"/>
        <v>0</v>
      </c>
      <c r="G69" s="22">
        <f t="shared" ca="1" si="3"/>
        <v>11.210616545024152</v>
      </c>
      <c r="H69" s="31">
        <f t="shared" ca="1" si="8"/>
        <v>0</v>
      </c>
      <c r="I69" s="9">
        <f t="shared" ca="1" si="4"/>
        <v>1364.2622595082335</v>
      </c>
      <c r="J69" s="30">
        <f t="shared" ca="1" si="5"/>
        <v>992.19073418780613</v>
      </c>
      <c r="K69" s="122">
        <f t="shared" ca="1" si="9"/>
        <v>372.07152532042733</v>
      </c>
      <c r="L69" s="30"/>
      <c r="M69" s="30"/>
      <c r="N69" s="30"/>
      <c r="O69" s="30"/>
    </row>
    <row r="70" spans="1:15" x14ac:dyDescent="0.25">
      <c r="A70" s="10">
        <v>51</v>
      </c>
      <c r="B70" s="27">
        <f t="shared" ca="1" si="0"/>
        <v>0.82273283542804443</v>
      </c>
      <c r="C70" s="21">
        <f t="shared" ca="1" si="6"/>
        <v>259.25830009197568</v>
      </c>
      <c r="D70" s="21">
        <f t="shared" ca="1" si="1"/>
        <v>248.04768354695153</v>
      </c>
      <c r="E70" s="21">
        <f t="shared" ca="1" si="2"/>
        <v>0</v>
      </c>
      <c r="F70" s="22">
        <f t="shared" ca="1" si="7"/>
        <v>0</v>
      </c>
      <c r="G70" s="22">
        <f t="shared" ca="1" si="3"/>
        <v>12.969484851146206</v>
      </c>
      <c r="H70" s="31">
        <f t="shared" ca="1" si="8"/>
        <v>0</v>
      </c>
      <c r="I70" s="9">
        <f t="shared" ca="1" si="4"/>
        <v>1364.2622595082335</v>
      </c>
      <c r="J70" s="30">
        <f t="shared" ca="1" si="5"/>
        <v>992.19073418780613</v>
      </c>
      <c r="K70" s="122">
        <f t="shared" ca="1" si="9"/>
        <v>372.07152532042733</v>
      </c>
      <c r="L70" s="30"/>
      <c r="M70" s="30"/>
      <c r="N70" s="30"/>
      <c r="O70" s="30"/>
    </row>
    <row r="71" spans="1:15" x14ac:dyDescent="0.25">
      <c r="A71" s="10">
        <v>52</v>
      </c>
      <c r="B71" s="27">
        <f t="shared" ca="1" si="0"/>
        <v>0.86470760321225704</v>
      </c>
      <c r="C71" s="21">
        <f t="shared" ca="1" si="6"/>
        <v>261.01716839809774</v>
      </c>
      <c r="D71" s="21">
        <f t="shared" ca="1" si="1"/>
        <v>248.04768354695153</v>
      </c>
      <c r="E71" s="21">
        <f t="shared" ca="1" si="2"/>
        <v>0</v>
      </c>
      <c r="F71" s="22">
        <f t="shared" ca="1" si="7"/>
        <v>0</v>
      </c>
      <c r="G71" s="22">
        <f t="shared" ca="1" si="3"/>
        <v>5.2171898082312964</v>
      </c>
      <c r="H71" s="31">
        <f t="shared" ca="1" si="8"/>
        <v>0</v>
      </c>
      <c r="I71" s="9">
        <f t="shared" ca="1" si="4"/>
        <v>1364.2622595082335</v>
      </c>
      <c r="J71" s="30">
        <f t="shared" ca="1" si="5"/>
        <v>992.19073418780613</v>
      </c>
      <c r="K71" s="122">
        <f t="shared" ca="1" si="9"/>
        <v>372.07152532042733</v>
      </c>
      <c r="L71" s="30"/>
      <c r="M71" s="30"/>
      <c r="N71" s="30"/>
      <c r="O71" s="30"/>
    </row>
    <row r="72" spans="1:15" x14ac:dyDescent="0.25">
      <c r="A72" s="10">
        <v>53</v>
      </c>
      <c r="B72" s="27">
        <f t="shared" ca="1" si="0"/>
        <v>0.6279721651913438</v>
      </c>
      <c r="C72" s="21">
        <f t="shared" ca="1" si="6"/>
        <v>253.26487335518283</v>
      </c>
      <c r="D72" s="21">
        <f t="shared" ca="1" si="1"/>
        <v>248.04768354695153</v>
      </c>
      <c r="E72" s="21">
        <f t="shared" ca="1" si="2"/>
        <v>0</v>
      </c>
      <c r="F72" s="22">
        <f t="shared" ca="1" si="7"/>
        <v>0</v>
      </c>
      <c r="G72" s="22">
        <f t="shared" ca="1" si="3"/>
        <v>8.4623850344063385</v>
      </c>
      <c r="H72" s="31">
        <f t="shared" ca="1" si="8"/>
        <v>0</v>
      </c>
      <c r="I72" s="9">
        <f t="shared" ca="1" si="4"/>
        <v>1364.2622595082335</v>
      </c>
      <c r="J72" s="30">
        <f t="shared" ca="1" si="5"/>
        <v>992.19073418780613</v>
      </c>
      <c r="K72" s="122">
        <f t="shared" ca="1" si="9"/>
        <v>372.07152532042733</v>
      </c>
      <c r="L72" s="30"/>
      <c r="M72" s="30"/>
      <c r="N72" s="30"/>
      <c r="O72" s="30"/>
    </row>
    <row r="73" spans="1:15" x14ac:dyDescent="0.25">
      <c r="A73" s="10">
        <v>54</v>
      </c>
      <c r="B73" s="27">
        <f t="shared" ca="1" si="0"/>
        <v>0.74247897009969777</v>
      </c>
      <c r="C73" s="21">
        <f t="shared" ca="1" si="6"/>
        <v>256.51006858135787</v>
      </c>
      <c r="D73" s="21">
        <f t="shared" ca="1" si="1"/>
        <v>248.04768354695153</v>
      </c>
      <c r="E73" s="21">
        <f t="shared" ca="1" si="2"/>
        <v>0</v>
      </c>
      <c r="F73" s="22">
        <f t="shared" ca="1" si="7"/>
        <v>0</v>
      </c>
      <c r="G73" s="22">
        <f t="shared" ca="1" si="3"/>
        <v>3.2380399925457368</v>
      </c>
      <c r="H73" s="31">
        <f t="shared" ca="1" si="8"/>
        <v>0</v>
      </c>
      <c r="I73" s="9">
        <f t="shared" ca="1" si="4"/>
        <v>1364.2622595082335</v>
      </c>
      <c r="J73" s="30">
        <f t="shared" ca="1" si="5"/>
        <v>992.19073418780613</v>
      </c>
      <c r="K73" s="122">
        <f t="shared" ca="1" si="9"/>
        <v>372.07152532042733</v>
      </c>
      <c r="L73" s="30"/>
      <c r="M73" s="30"/>
      <c r="N73" s="30"/>
      <c r="O73" s="30"/>
    </row>
    <row r="74" spans="1:15" x14ac:dyDescent="0.25">
      <c r="A74" s="10">
        <v>55</v>
      </c>
      <c r="B74" s="27">
        <f t="shared" ca="1" si="0"/>
        <v>0.55115197847193009</v>
      </c>
      <c r="C74" s="21">
        <f t="shared" ca="1" si="6"/>
        <v>251.28572353949727</v>
      </c>
      <c r="D74" s="21">
        <f t="shared" ca="1" si="1"/>
        <v>248.04768354695153</v>
      </c>
      <c r="E74" s="21">
        <f t="shared" ca="1" si="2"/>
        <v>0</v>
      </c>
      <c r="F74" s="22">
        <f t="shared" ca="1" si="7"/>
        <v>0</v>
      </c>
      <c r="G74" s="22">
        <f t="shared" ca="1" si="3"/>
        <v>6.8472932878943027</v>
      </c>
      <c r="H74" s="31">
        <f t="shared" ca="1" si="8"/>
        <v>0</v>
      </c>
      <c r="I74" s="9">
        <f t="shared" ca="1" si="4"/>
        <v>1364.2622595082335</v>
      </c>
      <c r="J74" s="30">
        <f t="shared" ca="1" si="5"/>
        <v>992.19073418780613</v>
      </c>
      <c r="K74" s="122">
        <f t="shared" ca="1" si="9"/>
        <v>372.07152532042733</v>
      </c>
      <c r="L74" s="30"/>
      <c r="M74" s="30"/>
      <c r="N74" s="30"/>
      <c r="O74" s="30"/>
    </row>
    <row r="75" spans="1:15" x14ac:dyDescent="0.25">
      <c r="A75" s="10">
        <v>56</v>
      </c>
      <c r="B75" s="27">
        <f t="shared" ca="1" si="0"/>
        <v>0.6877553029189527</v>
      </c>
      <c r="C75" s="21">
        <f t="shared" ca="1" si="6"/>
        <v>254.89497683484583</v>
      </c>
      <c r="D75" s="21">
        <f t="shared" ca="1" si="1"/>
        <v>248.04768354695153</v>
      </c>
      <c r="E75" s="21">
        <f t="shared" ca="1" si="2"/>
        <v>0</v>
      </c>
      <c r="F75" s="22">
        <f t="shared" ca="1" si="7"/>
        <v>0</v>
      </c>
      <c r="G75" s="22">
        <f t="shared" ca="1" si="3"/>
        <v>0</v>
      </c>
      <c r="H75" s="31">
        <f t="shared" ca="1" si="8"/>
        <v>0</v>
      </c>
      <c r="I75" s="9">
        <f t="shared" ca="1" si="4"/>
        <v>1364.2622595082335</v>
      </c>
      <c r="J75" s="30">
        <f t="shared" ca="1" si="5"/>
        <v>992.19073418780613</v>
      </c>
      <c r="K75" s="122">
        <f t="shared" ca="1" si="9"/>
        <v>372.07152532042733</v>
      </c>
      <c r="L75" s="30"/>
      <c r="M75" s="30"/>
      <c r="N75" s="30"/>
      <c r="O75" s="30"/>
    </row>
    <row r="76" spans="1:15" x14ac:dyDescent="0.25">
      <c r="A76" s="10">
        <v>57</v>
      </c>
      <c r="B76" s="27">
        <f t="shared" ca="1" si="0"/>
        <v>0.26661066745095496</v>
      </c>
      <c r="C76" s="21">
        <f t="shared" ca="1" si="6"/>
        <v>243.76903842890434</v>
      </c>
      <c r="D76" s="21">
        <f t="shared" ca="1" si="1"/>
        <v>248.04768354695153</v>
      </c>
      <c r="E76" s="21">
        <f t="shared" ca="1" si="2"/>
        <v>4.2786451180471943</v>
      </c>
      <c r="F76" s="22">
        <f t="shared" ca="1" si="7"/>
        <v>4.2786451180471943</v>
      </c>
      <c r="G76" s="22">
        <f t="shared" ca="1" si="3"/>
        <v>0</v>
      </c>
      <c r="H76" s="31">
        <f t="shared" ca="1" si="8"/>
        <v>4.2786451180471943</v>
      </c>
      <c r="I76" s="9">
        <f t="shared" ca="1" si="4"/>
        <v>1341.7993726384857</v>
      </c>
      <c r="J76" s="30">
        <f t="shared" ca="1" si="5"/>
        <v>998.60870186487693</v>
      </c>
      <c r="K76" s="122">
        <f t="shared" ca="1" si="9"/>
        <v>343.19067077360876</v>
      </c>
      <c r="L76" s="30"/>
      <c r="M76" s="30"/>
      <c r="N76" s="30"/>
      <c r="O76" s="30"/>
    </row>
    <row r="77" spans="1:15" x14ac:dyDescent="0.25">
      <c r="A77" s="10">
        <v>58</v>
      </c>
      <c r="B77" s="27">
        <f t="shared" ca="1" si="0"/>
        <v>0.26553343933881535</v>
      </c>
      <c r="C77" s="21">
        <f t="shared" ca="1" si="6"/>
        <v>243.73621759930671</v>
      </c>
      <c r="D77" s="21">
        <f t="shared" ca="1" si="1"/>
        <v>252.32632866499873</v>
      </c>
      <c r="E77" s="21">
        <f t="shared" ca="1" si="2"/>
        <v>4.3114659476448196</v>
      </c>
      <c r="F77" s="22">
        <f t="shared" ca="1" si="7"/>
        <v>8.5901110656920139</v>
      </c>
      <c r="G77" s="22">
        <f t="shared" ca="1" si="3"/>
        <v>0</v>
      </c>
      <c r="H77" s="31">
        <f t="shared" ca="1" si="8"/>
        <v>8.5901110656920139</v>
      </c>
      <c r="I77" s="9">
        <f t="shared" ca="1" si="4"/>
        <v>1354.4629986372397</v>
      </c>
      <c r="J77" s="30">
        <f t="shared" ca="1" si="5"/>
        <v>1005.0759007863442</v>
      </c>
      <c r="K77" s="122">
        <f t="shared" ca="1" si="9"/>
        <v>349.38709785089554</v>
      </c>
      <c r="L77" s="30"/>
      <c r="M77" s="30"/>
      <c r="N77" s="30"/>
      <c r="O77" s="30"/>
    </row>
    <row r="78" spans="1:15" x14ac:dyDescent="0.25">
      <c r="A78" s="10">
        <v>59</v>
      </c>
      <c r="B78" s="27">
        <f t="shared" ca="1" si="0"/>
        <v>0.17980687402005302</v>
      </c>
      <c r="C78" s="21">
        <f t="shared" ca="1" si="6"/>
        <v>240.83898665705453</v>
      </c>
      <c r="D78" s="21">
        <f t="shared" ca="1" si="1"/>
        <v>252.35914949459635</v>
      </c>
      <c r="E78" s="21">
        <f t="shared" ca="1" si="2"/>
        <v>7.2086968898969985</v>
      </c>
      <c r="F78" s="22">
        <f t="shared" ca="1" si="7"/>
        <v>11.520162837541818</v>
      </c>
      <c r="G78" s="22">
        <f t="shared" ca="1" si="3"/>
        <v>0</v>
      </c>
      <c r="H78" s="31">
        <f t="shared" ca="1" si="8"/>
        <v>11.520162837541818</v>
      </c>
      <c r="I78" s="9">
        <f t="shared" ca="1" si="4"/>
        <v>1339.3509986792085</v>
      </c>
      <c r="J78" s="30">
        <f t="shared" ca="1" si="5"/>
        <v>1009.4709784441188</v>
      </c>
      <c r="K78" s="122">
        <f t="shared" ca="1" si="9"/>
        <v>329.88002023508966</v>
      </c>
      <c r="L78" s="30"/>
      <c r="M78" s="30"/>
      <c r="N78" s="30"/>
      <c r="O78" s="30"/>
    </row>
    <row r="79" spans="1:15" x14ac:dyDescent="0.25">
      <c r="A79" s="10">
        <v>60</v>
      </c>
      <c r="B79" s="27">
        <f t="shared" ca="1" si="0"/>
        <v>0.38236462441735231</v>
      </c>
      <c r="C79" s="21">
        <f t="shared" ca="1" si="6"/>
        <v>247.00723716525206</v>
      </c>
      <c r="D79" s="21">
        <f t="shared" ca="1" si="1"/>
        <v>255.25638043684853</v>
      </c>
      <c r="E79" s="21">
        <f t="shared" ca="1" si="2"/>
        <v>1.0404463816994678</v>
      </c>
      <c r="F79" s="22">
        <f t="shared" ca="1" si="7"/>
        <v>8.2491432715964663</v>
      </c>
      <c r="G79" s="22">
        <f t="shared" ca="1" si="3"/>
        <v>3.6392625491697856</v>
      </c>
      <c r="H79" s="31">
        <f t="shared" ca="1" si="8"/>
        <v>4.6098807224266807</v>
      </c>
      <c r="I79" s="9">
        <f t="shared" ca="1" si="4"/>
        <v>1372.6295581715913</v>
      </c>
      <c r="J79" s="30">
        <f t="shared" ca="1" si="5"/>
        <v>999.10555527144618</v>
      </c>
      <c r="K79" s="122">
        <f t="shared" ca="1" si="9"/>
        <v>373.52400290014509</v>
      </c>
      <c r="L79" s="30"/>
      <c r="M79" s="30"/>
      <c r="N79" s="30"/>
      <c r="O79" s="30"/>
    </row>
    <row r="80" spans="1:15" x14ac:dyDescent="0.25">
      <c r="A80" s="10">
        <v>61</v>
      </c>
      <c r="B80" s="27">
        <f t="shared" ca="1" si="0"/>
        <v>0.5669815705392911</v>
      </c>
      <c r="C80" s="21">
        <f t="shared" ca="1" si="6"/>
        <v>251.68694609612132</v>
      </c>
      <c r="D80" s="21">
        <f t="shared" ca="1" si="1"/>
        <v>249.088129928651</v>
      </c>
      <c r="E80" s="21">
        <f t="shared" ca="1" si="2"/>
        <v>0</v>
      </c>
      <c r="F80" s="22">
        <f t="shared" ca="1" si="7"/>
        <v>0</v>
      </c>
      <c r="G80" s="22">
        <f t="shared" ca="1" si="3"/>
        <v>0</v>
      </c>
      <c r="H80" s="31">
        <f t="shared" ca="1" si="8"/>
        <v>0</v>
      </c>
      <c r="I80" s="9">
        <f t="shared" ca="1" si="4"/>
        <v>1364.2622595082335</v>
      </c>
      <c r="J80" s="30">
        <f t="shared" ca="1" si="5"/>
        <v>992.19073418780613</v>
      </c>
      <c r="K80" s="122">
        <f t="shared" ca="1" si="9"/>
        <v>372.07152532042733</v>
      </c>
      <c r="L80" s="30"/>
      <c r="M80" s="30"/>
      <c r="N80" s="30"/>
      <c r="O80" s="30"/>
    </row>
    <row r="81" spans="1:15" x14ac:dyDescent="0.25">
      <c r="A81" s="10">
        <v>62</v>
      </c>
      <c r="B81" s="27">
        <f t="shared" ca="1" si="0"/>
        <v>0.41651013664332537</v>
      </c>
      <c r="C81" s="21">
        <f t="shared" ca="1" si="6"/>
        <v>247.89170442419965</v>
      </c>
      <c r="D81" s="21">
        <f t="shared" ca="1" si="1"/>
        <v>248.04768354695153</v>
      </c>
      <c r="E81" s="21">
        <f t="shared" ca="1" si="2"/>
        <v>0.15597912275188719</v>
      </c>
      <c r="F81" s="22">
        <f t="shared" ca="1" si="7"/>
        <v>0.15597912275188719</v>
      </c>
      <c r="G81" s="22">
        <f t="shared" ca="1" si="3"/>
        <v>0</v>
      </c>
      <c r="H81" s="31">
        <f t="shared" ca="1" si="8"/>
        <v>0.15597912275188719</v>
      </c>
      <c r="I81" s="9">
        <f t="shared" ca="1" si="4"/>
        <v>1363.443369113786</v>
      </c>
      <c r="J81" s="30">
        <f t="shared" ca="1" si="5"/>
        <v>992.42470287193396</v>
      </c>
      <c r="K81" s="122">
        <f t="shared" ca="1" si="9"/>
        <v>371.01866624185209</v>
      </c>
      <c r="L81" s="30"/>
      <c r="M81" s="30"/>
      <c r="N81" s="30"/>
      <c r="O81" s="30"/>
    </row>
    <row r="82" spans="1:15" x14ac:dyDescent="0.25">
      <c r="A82" s="10">
        <v>63</v>
      </c>
      <c r="B82" s="27">
        <f t="shared" ca="1" si="0"/>
        <v>0.21886391141815209</v>
      </c>
      <c r="C82" s="21">
        <f t="shared" ca="1" si="6"/>
        <v>242.2396415697294</v>
      </c>
      <c r="D82" s="21">
        <f t="shared" ca="1" si="1"/>
        <v>248.20366266970342</v>
      </c>
      <c r="E82" s="21">
        <f t="shared" ca="1" si="2"/>
        <v>5.8080419772221319</v>
      </c>
      <c r="F82" s="22">
        <f t="shared" ca="1" si="7"/>
        <v>5.9640210999740191</v>
      </c>
      <c r="G82" s="22">
        <f t="shared" ca="1" si="3"/>
        <v>5.1435456873832948</v>
      </c>
      <c r="H82" s="31">
        <f t="shared" ca="1" si="8"/>
        <v>0.82047541259072432</v>
      </c>
      <c r="I82" s="9">
        <f t="shared" ca="1" si="4"/>
        <v>1336.2314653655894</v>
      </c>
      <c r="J82" s="30">
        <f t="shared" ca="1" si="5"/>
        <v>993.42144730669224</v>
      </c>
      <c r="K82" s="122">
        <f t="shared" ca="1" si="9"/>
        <v>342.81001805889719</v>
      </c>
      <c r="L82" s="30"/>
      <c r="M82" s="30"/>
      <c r="N82" s="30"/>
      <c r="O82" s="30"/>
    </row>
    <row r="83" spans="1:15" x14ac:dyDescent="0.25">
      <c r="A83" s="10">
        <v>64</v>
      </c>
      <c r="B83" s="27">
        <f t="shared" ca="1" si="0"/>
        <v>0.62518334931721964</v>
      </c>
      <c r="C83" s="21">
        <f t="shared" ca="1" si="6"/>
        <v>253.19122923433483</v>
      </c>
      <c r="D83" s="21">
        <f t="shared" ca="1" si="1"/>
        <v>253.85572552417366</v>
      </c>
      <c r="E83" s="21">
        <f t="shared" ca="1" si="2"/>
        <v>0</v>
      </c>
      <c r="F83" s="22">
        <f t="shared" ca="1" si="7"/>
        <v>0.66449628983883713</v>
      </c>
      <c r="G83" s="22">
        <f t="shared" ca="1" si="3"/>
        <v>0</v>
      </c>
      <c r="H83" s="31">
        <f t="shared" ca="1" si="8"/>
        <v>0.66449628983883713</v>
      </c>
      <c r="I83" s="9">
        <f t="shared" ca="1" si="4"/>
        <v>1364.2622595082335</v>
      </c>
      <c r="J83" s="30">
        <f t="shared" ca="1" si="5"/>
        <v>993.18747862256441</v>
      </c>
      <c r="K83" s="122">
        <f t="shared" ca="1" si="9"/>
        <v>371.07478088566904</v>
      </c>
      <c r="L83" s="30"/>
      <c r="M83" s="30"/>
      <c r="N83" s="30"/>
      <c r="O83" s="30"/>
    </row>
    <row r="84" spans="1:15" x14ac:dyDescent="0.25">
      <c r="A84" s="10">
        <v>65</v>
      </c>
      <c r="B84" s="27">
        <f t="shared" ref="B84:B147" ca="1" si="10">RAND()</f>
        <v>0.15263768900291708</v>
      </c>
      <c r="C84" s="21">
        <f t="shared" ca="1" si="6"/>
        <v>239.74813883883132</v>
      </c>
      <c r="D84" s="21">
        <f t="shared" ref="D84:D147" ca="1" si="11">$E$10+E83</f>
        <v>248.04768354695153</v>
      </c>
      <c r="E84" s="21">
        <f t="shared" ref="E84:E147" ca="1" si="12">IF(C84&gt;$E$10,0,$E$10-C84)</f>
        <v>8.2995447081202087</v>
      </c>
      <c r="F84" s="22">
        <f t="shared" ca="1" si="7"/>
        <v>8.2995447081202087</v>
      </c>
      <c r="G84" s="22">
        <f t="shared" ref="G84:G147" ca="1" si="13">IF(C85&gt;$E$10,C85-$E$10,0)</f>
        <v>0</v>
      </c>
      <c r="H84" s="31">
        <f t="shared" ca="1" si="8"/>
        <v>8.2995447081202087</v>
      </c>
      <c r="I84" s="9">
        <f t="shared" ref="I84:I147" ca="1" si="14">IF($E$10&lt;C84,$E$10*$E$7,$E$9*($E$10-C84)+(C84*$E$7)+IF($E$10&lt;C85,H84*$E$8,E83*$E$8))</f>
        <v>1320.6896497906023</v>
      </c>
      <c r="J84" s="30">
        <f t="shared" ref="J84:J147" ca="1" si="15">IF(H84&gt;0,$E$10*$E$5+H84*$E$6,$E$10*$E$5)</f>
        <v>1004.6400512499864</v>
      </c>
      <c r="K84" s="122">
        <f t="shared" ca="1" si="9"/>
        <v>316.04959854061588</v>
      </c>
      <c r="L84" s="30"/>
      <c r="M84" s="30"/>
      <c r="N84" s="30"/>
      <c r="O84" s="30"/>
    </row>
    <row r="85" spans="1:15" x14ac:dyDescent="0.25">
      <c r="A85" s="10">
        <v>66</v>
      </c>
      <c r="B85" s="27">
        <f t="shared" ca="1" si="10"/>
        <v>0.31383713181935669</v>
      </c>
      <c r="C85" s="21">
        <f t="shared" ref="C85:C148" ca="1" si="16">_xlfn.NORM.INV(B85,$D$15,$D$16)</f>
        <v>245.14997065099513</v>
      </c>
      <c r="D85" s="21">
        <f t="shared" ca="1" si="11"/>
        <v>256.34722825507174</v>
      </c>
      <c r="E85" s="21">
        <f t="shared" ca="1" si="12"/>
        <v>2.8977128959564027</v>
      </c>
      <c r="F85" s="22">
        <f t="shared" ref="F85:F148" ca="1" si="17">IF(C85&gt;D85,0,D85-C85)</f>
        <v>11.197257604076611</v>
      </c>
      <c r="G85" s="22">
        <f t="shared" ca="1" si="13"/>
        <v>0</v>
      </c>
      <c r="H85" s="31">
        <f t="shared" ref="H85:H148" ca="1" si="18">IF(G85&gt;F85,0,IF(G85&lt;F85,F85-G85,0))</f>
        <v>11.197257604076611</v>
      </c>
      <c r="I85" s="9">
        <f t="shared" ca="1" si="14"/>
        <v>1373.9479009288229</v>
      </c>
      <c r="J85" s="30">
        <f t="shared" ca="1" si="15"/>
        <v>1008.9866205939211</v>
      </c>
      <c r="K85" s="122">
        <f t="shared" ref="K85:K148" ca="1" si="19">I85-J85</f>
        <v>364.96128033490186</v>
      </c>
      <c r="L85" s="30"/>
      <c r="M85" s="30"/>
      <c r="N85" s="30"/>
      <c r="O85" s="30"/>
    </row>
    <row r="86" spans="1:15" x14ac:dyDescent="0.25">
      <c r="A86" s="10">
        <v>67</v>
      </c>
      <c r="B86" s="27">
        <f t="shared" ca="1" si="10"/>
        <v>4.4127624093213358E-2</v>
      </c>
      <c r="C86" s="21">
        <f t="shared" ca="1" si="16"/>
        <v>232.95326035571176</v>
      </c>
      <c r="D86" s="21">
        <f t="shared" ca="1" si="11"/>
        <v>250.94539644290793</v>
      </c>
      <c r="E86" s="21">
        <f t="shared" ca="1" si="12"/>
        <v>15.09442319123977</v>
      </c>
      <c r="F86" s="22">
        <f t="shared" ca="1" si="17"/>
        <v>17.992136087196172</v>
      </c>
      <c r="G86" s="22">
        <f t="shared" ca="1" si="13"/>
        <v>0</v>
      </c>
      <c r="H86" s="31">
        <f t="shared" ca="1" si="18"/>
        <v>17.992136087196172</v>
      </c>
      <c r="I86" s="9">
        <f t="shared" ca="1" si="14"/>
        <v>1293.7096764420937</v>
      </c>
      <c r="J86" s="30">
        <f t="shared" ca="1" si="15"/>
        <v>1019.1789383186003</v>
      </c>
      <c r="K86" s="122">
        <f t="shared" ca="1" si="19"/>
        <v>274.53073812349339</v>
      </c>
      <c r="L86" s="30"/>
      <c r="M86" s="30"/>
      <c r="N86" s="30"/>
      <c r="O86" s="30"/>
    </row>
    <row r="87" spans="1:15" x14ac:dyDescent="0.25">
      <c r="A87" s="10">
        <v>68</v>
      </c>
      <c r="B87" s="27">
        <f t="shared" ca="1" si="10"/>
        <v>0.19045487272631545</v>
      </c>
      <c r="C87" s="21">
        <f t="shared" ca="1" si="16"/>
        <v>241.23778711373299</v>
      </c>
      <c r="D87" s="21">
        <f t="shared" ca="1" si="11"/>
        <v>263.14210673819127</v>
      </c>
      <c r="E87" s="21">
        <f t="shared" ca="1" si="12"/>
        <v>6.8098964332185403</v>
      </c>
      <c r="F87" s="22">
        <f t="shared" ca="1" si="17"/>
        <v>21.904319624458282</v>
      </c>
      <c r="G87" s="22">
        <f t="shared" ca="1" si="13"/>
        <v>0</v>
      </c>
      <c r="H87" s="31">
        <f t="shared" ca="1" si="18"/>
        <v>21.904319624458282</v>
      </c>
      <c r="I87" s="9">
        <f t="shared" ca="1" si="14"/>
        <v>1373.7935728075554</v>
      </c>
      <c r="J87" s="30">
        <f t="shared" ca="1" si="15"/>
        <v>1025.0472136244935</v>
      </c>
      <c r="K87" s="122">
        <f t="shared" ca="1" si="19"/>
        <v>348.74635918306194</v>
      </c>
      <c r="L87" s="30"/>
      <c r="M87" s="30"/>
      <c r="N87" s="30"/>
      <c r="O87" s="30"/>
    </row>
    <row r="88" spans="1:15" x14ac:dyDescent="0.25">
      <c r="A88" s="10">
        <v>69</v>
      </c>
      <c r="B88" s="27">
        <f t="shared" ca="1" si="10"/>
        <v>0.36608916970819894</v>
      </c>
      <c r="C88" s="21">
        <f t="shared" ca="1" si="16"/>
        <v>246.57770703461796</v>
      </c>
      <c r="D88" s="21">
        <f t="shared" ca="1" si="11"/>
        <v>254.85757998017007</v>
      </c>
      <c r="E88" s="21">
        <f t="shared" ca="1" si="12"/>
        <v>1.4699765123335737</v>
      </c>
      <c r="F88" s="22">
        <f t="shared" ca="1" si="17"/>
        <v>8.2798729455521141</v>
      </c>
      <c r="G88" s="22">
        <f t="shared" ca="1" si="13"/>
        <v>0</v>
      </c>
      <c r="H88" s="31">
        <f t="shared" ca="1" si="18"/>
        <v>8.2798729455521141</v>
      </c>
      <c r="I88" s="9">
        <f t="shared" ca="1" si="14"/>
        <v>1376.9745721181378</v>
      </c>
      <c r="J88" s="30">
        <f t="shared" ca="1" si="15"/>
        <v>1004.6105436061343</v>
      </c>
      <c r="K88" s="122">
        <f t="shared" ca="1" si="19"/>
        <v>372.36402851200342</v>
      </c>
      <c r="L88" s="30"/>
      <c r="M88" s="30"/>
      <c r="N88" s="30"/>
      <c r="O88" s="30"/>
    </row>
    <row r="89" spans="1:15" x14ac:dyDescent="0.25">
      <c r="A89" s="10">
        <v>70</v>
      </c>
      <c r="B89" s="27">
        <f t="shared" ca="1" si="10"/>
        <v>0.29142526975365446</v>
      </c>
      <c r="C89" s="21">
        <f t="shared" ca="1" si="16"/>
        <v>244.50774256321881</v>
      </c>
      <c r="D89" s="21">
        <f t="shared" ca="1" si="11"/>
        <v>249.51766005928511</v>
      </c>
      <c r="E89" s="21">
        <f t="shared" ca="1" si="12"/>
        <v>3.5399409837327198</v>
      </c>
      <c r="F89" s="22">
        <f t="shared" ca="1" si="17"/>
        <v>5.0099174960662936</v>
      </c>
      <c r="G89" s="22">
        <f t="shared" ca="1" si="13"/>
        <v>6.3613354767970236</v>
      </c>
      <c r="H89" s="31">
        <f t="shared" ca="1" si="18"/>
        <v>0</v>
      </c>
      <c r="I89" s="9">
        <f t="shared" ca="1" si="14"/>
        <v>1345.6775693436366</v>
      </c>
      <c r="J89" s="30">
        <f t="shared" ca="1" si="15"/>
        <v>992.19073418780613</v>
      </c>
      <c r="K89" s="122">
        <f t="shared" ca="1" si="19"/>
        <v>353.48683515583048</v>
      </c>
      <c r="L89" s="30"/>
      <c r="M89" s="30"/>
      <c r="N89" s="30"/>
      <c r="O89" s="30"/>
    </row>
    <row r="90" spans="1:15" x14ac:dyDescent="0.25">
      <c r="A90" s="10">
        <v>71</v>
      </c>
      <c r="B90" s="27">
        <f t="shared" ca="1" si="10"/>
        <v>0.67035799180864275</v>
      </c>
      <c r="C90" s="21">
        <f t="shared" ca="1" si="16"/>
        <v>254.40901902374856</v>
      </c>
      <c r="D90" s="21">
        <f t="shared" ca="1" si="11"/>
        <v>251.58762453068425</v>
      </c>
      <c r="E90" s="21">
        <f t="shared" ca="1" si="12"/>
        <v>0</v>
      </c>
      <c r="F90" s="22">
        <f t="shared" ca="1" si="17"/>
        <v>0</v>
      </c>
      <c r="G90" s="22">
        <f t="shared" ca="1" si="13"/>
        <v>0</v>
      </c>
      <c r="H90" s="31">
        <f t="shared" ca="1" si="18"/>
        <v>0</v>
      </c>
      <c r="I90" s="9">
        <f t="shared" ca="1" si="14"/>
        <v>1364.2622595082335</v>
      </c>
      <c r="J90" s="30">
        <f t="shared" ca="1" si="15"/>
        <v>992.19073418780613</v>
      </c>
      <c r="K90" s="122">
        <f t="shared" ca="1" si="19"/>
        <v>372.07152532042733</v>
      </c>
      <c r="L90" s="30"/>
      <c r="M90" s="30"/>
      <c r="N90" s="30"/>
      <c r="O90" s="30"/>
    </row>
    <row r="91" spans="1:15" x14ac:dyDescent="0.25">
      <c r="A91" s="10">
        <v>72</v>
      </c>
      <c r="B91" s="27">
        <f t="shared" ca="1" si="10"/>
        <v>0.39176006749694836</v>
      </c>
      <c r="C91" s="21">
        <f t="shared" ca="1" si="16"/>
        <v>247.25265384787602</v>
      </c>
      <c r="D91" s="21">
        <f t="shared" ca="1" si="11"/>
        <v>248.04768354695153</v>
      </c>
      <c r="E91" s="21">
        <f t="shared" ca="1" si="12"/>
        <v>0.79502969907551346</v>
      </c>
      <c r="F91" s="22">
        <f t="shared" ca="1" si="17"/>
        <v>0.79502969907551346</v>
      </c>
      <c r="G91" s="22">
        <f t="shared" ca="1" si="13"/>
        <v>0</v>
      </c>
      <c r="H91" s="31">
        <f t="shared" ca="1" si="18"/>
        <v>0.79502969907551346</v>
      </c>
      <c r="I91" s="9">
        <f t="shared" ca="1" si="14"/>
        <v>1360.0883535880871</v>
      </c>
      <c r="J91" s="30">
        <f t="shared" ca="1" si="15"/>
        <v>993.38327873641936</v>
      </c>
      <c r="K91" s="122">
        <f t="shared" ca="1" si="19"/>
        <v>366.70507485166775</v>
      </c>
      <c r="L91" s="30"/>
      <c r="M91" s="30"/>
      <c r="N91" s="30"/>
      <c r="O91" s="30"/>
    </row>
    <row r="92" spans="1:15" x14ac:dyDescent="0.25">
      <c r="A92" s="10">
        <v>73</v>
      </c>
      <c r="B92" s="27">
        <f t="shared" ca="1" si="10"/>
        <v>4.8781193716052162E-2</v>
      </c>
      <c r="C92" s="21">
        <f t="shared" ca="1" si="16"/>
        <v>233.43212214898924</v>
      </c>
      <c r="D92" s="21">
        <f t="shared" ca="1" si="11"/>
        <v>248.84271324602705</v>
      </c>
      <c r="E92" s="21">
        <f t="shared" ca="1" si="12"/>
        <v>14.615561397962296</v>
      </c>
      <c r="F92" s="22">
        <f t="shared" ca="1" si="17"/>
        <v>15.410591097037809</v>
      </c>
      <c r="G92" s="22">
        <f t="shared" ca="1" si="13"/>
        <v>3.8447934210084327</v>
      </c>
      <c r="H92" s="31">
        <f t="shared" ca="1" si="18"/>
        <v>11.565797676029376</v>
      </c>
      <c r="I92" s="9">
        <f t="shared" ca="1" si="14"/>
        <v>1322.2279551970196</v>
      </c>
      <c r="J92" s="30">
        <f t="shared" ca="1" si="15"/>
        <v>1009.5394307018502</v>
      </c>
      <c r="K92" s="122">
        <f t="shared" ca="1" si="19"/>
        <v>312.68852449516942</v>
      </c>
      <c r="L92" s="30"/>
      <c r="M92" s="30"/>
      <c r="N92" s="30"/>
      <c r="O92" s="30"/>
    </row>
    <row r="93" spans="1:15" x14ac:dyDescent="0.25">
      <c r="A93" s="10">
        <v>74</v>
      </c>
      <c r="B93" s="27">
        <f t="shared" ca="1" si="10"/>
        <v>0.5750506568082081</v>
      </c>
      <c r="C93" s="21">
        <f t="shared" ca="1" si="16"/>
        <v>251.89247696795996</v>
      </c>
      <c r="D93" s="21">
        <f t="shared" ca="1" si="11"/>
        <v>262.6632449449138</v>
      </c>
      <c r="E93" s="21">
        <f t="shared" ca="1" si="12"/>
        <v>0</v>
      </c>
      <c r="F93" s="22">
        <f t="shared" ca="1" si="17"/>
        <v>10.770767976953834</v>
      </c>
      <c r="G93" s="22">
        <f t="shared" ca="1" si="13"/>
        <v>9.3398957075520457</v>
      </c>
      <c r="H93" s="31">
        <f t="shared" ca="1" si="18"/>
        <v>1.4308722694017888</v>
      </c>
      <c r="I93" s="9">
        <f t="shared" ca="1" si="14"/>
        <v>1364.2622595082335</v>
      </c>
      <c r="J93" s="30">
        <f t="shared" ca="1" si="15"/>
        <v>994.33704259190881</v>
      </c>
      <c r="K93" s="122">
        <f t="shared" ca="1" si="19"/>
        <v>369.92521691632464</v>
      </c>
      <c r="L93" s="30"/>
      <c r="M93" s="30"/>
      <c r="N93" s="30"/>
      <c r="O93" s="30"/>
    </row>
    <row r="94" spans="1:15" x14ac:dyDescent="0.25">
      <c r="A94" s="10">
        <v>75</v>
      </c>
      <c r="B94" s="27">
        <f t="shared" ca="1" si="10"/>
        <v>0.76997299759128934</v>
      </c>
      <c r="C94" s="21">
        <f t="shared" ca="1" si="16"/>
        <v>257.38757925450358</v>
      </c>
      <c r="D94" s="21">
        <f t="shared" ca="1" si="11"/>
        <v>248.04768354695153</v>
      </c>
      <c r="E94" s="21">
        <f t="shared" ca="1" si="12"/>
        <v>0</v>
      </c>
      <c r="F94" s="22">
        <f t="shared" ca="1" si="17"/>
        <v>0</v>
      </c>
      <c r="G94" s="22">
        <f t="shared" ca="1" si="13"/>
        <v>3.0076718059369796</v>
      </c>
      <c r="H94" s="31">
        <f t="shared" ca="1" si="18"/>
        <v>0</v>
      </c>
      <c r="I94" s="9">
        <f t="shared" ca="1" si="14"/>
        <v>1364.2622595082335</v>
      </c>
      <c r="J94" s="30">
        <f t="shared" ca="1" si="15"/>
        <v>992.19073418780613</v>
      </c>
      <c r="K94" s="122">
        <f t="shared" ca="1" si="19"/>
        <v>372.07152532042733</v>
      </c>
      <c r="L94" s="30"/>
      <c r="M94" s="30"/>
      <c r="N94" s="30"/>
      <c r="O94" s="30"/>
    </row>
    <row r="95" spans="1:15" x14ac:dyDescent="0.25">
      <c r="A95" s="10">
        <v>76</v>
      </c>
      <c r="B95" s="27">
        <f t="shared" ca="1" si="10"/>
        <v>0.54202456283261158</v>
      </c>
      <c r="C95" s="21">
        <f t="shared" ca="1" si="16"/>
        <v>251.05535535288851</v>
      </c>
      <c r="D95" s="21">
        <f t="shared" ca="1" si="11"/>
        <v>248.04768354695153</v>
      </c>
      <c r="E95" s="21">
        <f t="shared" ca="1" si="12"/>
        <v>0</v>
      </c>
      <c r="F95" s="22">
        <f t="shared" ca="1" si="17"/>
        <v>0</v>
      </c>
      <c r="G95" s="22">
        <f t="shared" ca="1" si="13"/>
        <v>0</v>
      </c>
      <c r="H95" s="31">
        <f t="shared" ca="1" si="18"/>
        <v>0</v>
      </c>
      <c r="I95" s="9">
        <f t="shared" ca="1" si="14"/>
        <v>1364.2622595082335</v>
      </c>
      <c r="J95" s="30">
        <f t="shared" ca="1" si="15"/>
        <v>992.19073418780613</v>
      </c>
      <c r="K95" s="122">
        <f t="shared" ca="1" si="19"/>
        <v>372.07152532042733</v>
      </c>
      <c r="L95" s="30"/>
      <c r="M95" s="30"/>
      <c r="N95" s="30"/>
      <c r="O95" s="30"/>
    </row>
    <row r="96" spans="1:15" x14ac:dyDescent="0.25">
      <c r="A96" s="10">
        <v>77</v>
      </c>
      <c r="B96" s="27">
        <f t="shared" ca="1" si="10"/>
        <v>0.28925229191609492</v>
      </c>
      <c r="C96" s="21">
        <f t="shared" ca="1" si="16"/>
        <v>244.44429618550913</v>
      </c>
      <c r="D96" s="21">
        <f t="shared" ca="1" si="11"/>
        <v>248.04768354695153</v>
      </c>
      <c r="E96" s="21">
        <f t="shared" ca="1" si="12"/>
        <v>3.603387361442401</v>
      </c>
      <c r="F96" s="22">
        <f t="shared" ca="1" si="17"/>
        <v>3.603387361442401</v>
      </c>
      <c r="G96" s="22">
        <f t="shared" ca="1" si="13"/>
        <v>2.9782977871846867</v>
      </c>
      <c r="H96" s="31">
        <f t="shared" ca="1" si="18"/>
        <v>0.62508957425771428</v>
      </c>
      <c r="I96" s="9">
        <f t="shared" ca="1" si="14"/>
        <v>1347.219744583434</v>
      </c>
      <c r="J96" s="30">
        <f t="shared" ca="1" si="15"/>
        <v>993.12836854919271</v>
      </c>
      <c r="K96" s="122">
        <f t="shared" ca="1" si="19"/>
        <v>354.09137603424131</v>
      </c>
      <c r="L96" s="30"/>
      <c r="M96" s="30"/>
      <c r="N96" s="30"/>
      <c r="O96" s="30"/>
    </row>
    <row r="97" spans="1:15" x14ac:dyDescent="0.25">
      <c r="A97" s="10">
        <v>78</v>
      </c>
      <c r="B97" s="27">
        <f t="shared" ca="1" si="10"/>
        <v>0.5408590378283924</v>
      </c>
      <c r="C97" s="21">
        <f t="shared" ca="1" si="16"/>
        <v>251.02598133413622</v>
      </c>
      <c r="D97" s="21">
        <f t="shared" ca="1" si="11"/>
        <v>251.65107090839393</v>
      </c>
      <c r="E97" s="21">
        <f t="shared" ca="1" si="12"/>
        <v>0</v>
      </c>
      <c r="F97" s="22">
        <f t="shared" ca="1" si="17"/>
        <v>0.62508957425771428</v>
      </c>
      <c r="G97" s="22">
        <f t="shared" ca="1" si="13"/>
        <v>2.3512862368564242</v>
      </c>
      <c r="H97" s="31">
        <f t="shared" ca="1" si="18"/>
        <v>0</v>
      </c>
      <c r="I97" s="9">
        <f t="shared" ca="1" si="14"/>
        <v>1364.2622595082335</v>
      </c>
      <c r="J97" s="30">
        <f t="shared" ca="1" si="15"/>
        <v>992.19073418780613</v>
      </c>
      <c r="K97" s="122">
        <f t="shared" ca="1" si="19"/>
        <v>372.07152532042733</v>
      </c>
      <c r="L97" s="30"/>
      <c r="M97" s="30"/>
      <c r="N97" s="30"/>
      <c r="O97" s="30"/>
    </row>
    <row r="98" spans="1:15" x14ac:dyDescent="0.25">
      <c r="A98" s="10">
        <v>79</v>
      </c>
      <c r="B98" s="27">
        <f t="shared" ca="1" si="10"/>
        <v>0.51591236995518708</v>
      </c>
      <c r="C98" s="21">
        <f t="shared" ca="1" si="16"/>
        <v>250.39896978380796</v>
      </c>
      <c r="D98" s="21">
        <f t="shared" ca="1" si="11"/>
        <v>248.04768354695153</v>
      </c>
      <c r="E98" s="21">
        <f t="shared" ca="1" si="12"/>
        <v>0</v>
      </c>
      <c r="F98" s="22">
        <f t="shared" ca="1" si="17"/>
        <v>0</v>
      </c>
      <c r="G98" s="22">
        <f t="shared" ca="1" si="13"/>
        <v>0.47317124508887787</v>
      </c>
      <c r="H98" s="31">
        <f t="shared" ca="1" si="18"/>
        <v>0</v>
      </c>
      <c r="I98" s="9">
        <f t="shared" ca="1" si="14"/>
        <v>1364.2622595082335</v>
      </c>
      <c r="J98" s="30">
        <f t="shared" ca="1" si="15"/>
        <v>992.19073418780613</v>
      </c>
      <c r="K98" s="122">
        <f t="shared" ca="1" si="19"/>
        <v>372.07152532042733</v>
      </c>
      <c r="L98" s="30"/>
      <c r="M98" s="30"/>
      <c r="N98" s="30"/>
      <c r="O98" s="30"/>
    </row>
    <row r="99" spans="1:15" x14ac:dyDescent="0.25">
      <c r="A99" s="10">
        <v>80</v>
      </c>
      <c r="B99" s="43">
        <f t="shared" ca="1" si="10"/>
        <v>0.44120511416364228</v>
      </c>
      <c r="C99" s="44">
        <f t="shared" ca="1" si="16"/>
        <v>248.52085479204041</v>
      </c>
      <c r="D99" s="44">
        <f t="shared" ca="1" si="11"/>
        <v>248.04768354695153</v>
      </c>
      <c r="E99" s="44">
        <f t="shared" ca="1" si="12"/>
        <v>0</v>
      </c>
      <c r="F99" s="45">
        <f t="shared" ca="1" si="17"/>
        <v>0</v>
      </c>
      <c r="G99" s="45">
        <f t="shared" ca="1" si="13"/>
        <v>0</v>
      </c>
      <c r="H99" s="46">
        <f t="shared" ca="1" si="18"/>
        <v>0</v>
      </c>
      <c r="I99" s="1">
        <f t="shared" ca="1" si="14"/>
        <v>1364.2622595082335</v>
      </c>
      <c r="J99" s="47">
        <f t="shared" ca="1" si="15"/>
        <v>992.19073418780613</v>
      </c>
      <c r="K99" s="123">
        <f t="shared" ca="1" si="19"/>
        <v>372.07152532042733</v>
      </c>
      <c r="L99" s="30"/>
      <c r="M99" s="30"/>
      <c r="N99" s="30"/>
      <c r="O99" s="30"/>
    </row>
    <row r="100" spans="1:15" x14ac:dyDescent="0.25">
      <c r="A100" s="10">
        <v>81</v>
      </c>
      <c r="B100" s="48">
        <f t="shared" ca="1" si="10"/>
        <v>0.25675582238324857</v>
      </c>
      <c r="C100" s="49">
        <f t="shared" ca="1" si="16"/>
        <v>243.46620489607761</v>
      </c>
      <c r="D100" s="49">
        <f t="shared" ca="1" si="11"/>
        <v>248.04768354695153</v>
      </c>
      <c r="E100" s="49">
        <f t="shared" ca="1" si="12"/>
        <v>4.5814786508739189</v>
      </c>
      <c r="F100" s="50">
        <f t="shared" ca="1" si="17"/>
        <v>4.5814786508739189</v>
      </c>
      <c r="G100" s="50">
        <f t="shared" ca="1" si="13"/>
        <v>0</v>
      </c>
      <c r="H100" s="51">
        <f t="shared" ca="1" si="18"/>
        <v>4.5814786508739189</v>
      </c>
      <c r="I100" s="52">
        <f t="shared" ca="1" si="14"/>
        <v>1340.2094965911454</v>
      </c>
      <c r="J100" s="53">
        <f t="shared" ca="1" si="15"/>
        <v>999.06295216411695</v>
      </c>
      <c r="K100" s="124">
        <f t="shared" ca="1" si="19"/>
        <v>341.1465444270284</v>
      </c>
      <c r="L100" s="30"/>
      <c r="M100" s="30"/>
      <c r="N100" s="30"/>
      <c r="O100" s="30"/>
    </row>
    <row r="101" spans="1:15" x14ac:dyDescent="0.25">
      <c r="A101" s="10">
        <v>82</v>
      </c>
      <c r="B101" s="27">
        <f t="shared" ca="1" si="10"/>
        <v>8.0328103862520539E-2</v>
      </c>
      <c r="C101" s="21">
        <f t="shared" ca="1" si="16"/>
        <v>235.97132009828056</v>
      </c>
      <c r="D101" s="21">
        <f t="shared" ca="1" si="11"/>
        <v>252.62916219782545</v>
      </c>
      <c r="E101" s="21">
        <f t="shared" ca="1" si="12"/>
        <v>12.076363448670975</v>
      </c>
      <c r="F101" s="22">
        <f t="shared" ca="1" si="17"/>
        <v>16.657842099544894</v>
      </c>
      <c r="G101" s="22">
        <f t="shared" ca="1" si="13"/>
        <v>0</v>
      </c>
      <c r="H101" s="31">
        <f t="shared" ca="1" si="18"/>
        <v>16.657842099544894</v>
      </c>
      <c r="I101" s="9">
        <f t="shared" ca="1" si="14"/>
        <v>1314.6057873553327</v>
      </c>
      <c r="J101" s="30">
        <f t="shared" ca="1" si="15"/>
        <v>1017.1774973371234</v>
      </c>
      <c r="K101" s="122">
        <f t="shared" ca="1" si="19"/>
        <v>297.42829001820928</v>
      </c>
      <c r="L101" s="30"/>
      <c r="M101" s="30"/>
      <c r="N101" s="30"/>
      <c r="O101" s="30"/>
    </row>
    <row r="102" spans="1:15" x14ac:dyDescent="0.25">
      <c r="A102" s="10">
        <v>83</v>
      </c>
      <c r="B102" s="27">
        <f t="shared" ca="1" si="10"/>
        <v>5.9167011582529794E-2</v>
      </c>
      <c r="C102" s="21">
        <f t="shared" ca="1" si="16"/>
        <v>234.3819538025104</v>
      </c>
      <c r="D102" s="21">
        <f t="shared" ca="1" si="11"/>
        <v>260.12404699562251</v>
      </c>
      <c r="E102" s="21">
        <f t="shared" ca="1" si="12"/>
        <v>13.665729744441137</v>
      </c>
      <c r="F102" s="22">
        <f t="shared" ca="1" si="17"/>
        <v>25.742093193112112</v>
      </c>
      <c r="G102" s="22">
        <f t="shared" ca="1" si="13"/>
        <v>0</v>
      </c>
      <c r="H102" s="31">
        <f t="shared" ca="1" si="18"/>
        <v>25.742093193112112</v>
      </c>
      <c r="I102" s="9">
        <f t="shared" ca="1" si="14"/>
        <v>1328.7462686959304</v>
      </c>
      <c r="J102" s="30">
        <f t="shared" ca="1" si="15"/>
        <v>1030.8038739774743</v>
      </c>
      <c r="K102" s="122">
        <f t="shared" ca="1" si="19"/>
        <v>297.94239471845617</v>
      </c>
      <c r="L102" s="30"/>
      <c r="M102" s="30"/>
      <c r="N102" s="30"/>
      <c r="O102" s="30"/>
    </row>
    <row r="103" spans="1:15" x14ac:dyDescent="0.25">
      <c r="A103" s="10">
        <v>84</v>
      </c>
      <c r="B103" s="27">
        <f t="shared" ca="1" si="10"/>
        <v>0.1130027698416638</v>
      </c>
      <c r="C103" s="21">
        <f t="shared" ca="1" si="16"/>
        <v>237.89287316567186</v>
      </c>
      <c r="D103" s="21">
        <f t="shared" ca="1" si="11"/>
        <v>261.71341329139267</v>
      </c>
      <c r="E103" s="21">
        <f t="shared" ca="1" si="12"/>
        <v>10.154810381279674</v>
      </c>
      <c r="F103" s="22">
        <f t="shared" ca="1" si="17"/>
        <v>23.820540125720811</v>
      </c>
      <c r="G103" s="22">
        <f t="shared" ca="1" si="13"/>
        <v>12.389922722621407</v>
      </c>
      <c r="H103" s="31">
        <f t="shared" ca="1" si="18"/>
        <v>11.430617403099404</v>
      </c>
      <c r="I103" s="9">
        <f t="shared" ca="1" si="14"/>
        <v>1345.2413572158132</v>
      </c>
      <c r="J103" s="30">
        <f t="shared" ca="1" si="15"/>
        <v>1009.3366602924552</v>
      </c>
      <c r="K103" s="122">
        <f t="shared" ca="1" si="19"/>
        <v>335.90469692335796</v>
      </c>
      <c r="L103" s="30"/>
      <c r="M103" s="30"/>
      <c r="N103" s="30"/>
      <c r="O103" s="30"/>
    </row>
    <row r="104" spans="1:15" x14ac:dyDescent="0.25">
      <c r="A104" s="10">
        <v>85</v>
      </c>
      <c r="B104" s="27">
        <f t="shared" ca="1" si="10"/>
        <v>0.851701923905966</v>
      </c>
      <c r="C104" s="21">
        <f t="shared" ca="1" si="16"/>
        <v>260.43760626957294</v>
      </c>
      <c r="D104" s="21">
        <f t="shared" ca="1" si="11"/>
        <v>258.20249392823121</v>
      </c>
      <c r="E104" s="21">
        <f t="shared" ca="1" si="12"/>
        <v>0</v>
      </c>
      <c r="F104" s="22">
        <f t="shared" ca="1" si="17"/>
        <v>0</v>
      </c>
      <c r="G104" s="22">
        <f t="shared" ca="1" si="13"/>
        <v>7.28284807710736</v>
      </c>
      <c r="H104" s="31">
        <f t="shared" ca="1" si="18"/>
        <v>0</v>
      </c>
      <c r="I104" s="9">
        <f t="shared" ca="1" si="14"/>
        <v>1364.2622595082335</v>
      </c>
      <c r="J104" s="30">
        <f t="shared" ca="1" si="15"/>
        <v>992.19073418780613</v>
      </c>
      <c r="K104" s="122">
        <f t="shared" ca="1" si="19"/>
        <v>372.07152532042733</v>
      </c>
      <c r="L104" s="30"/>
      <c r="M104" s="30"/>
      <c r="N104" s="30"/>
      <c r="O104" s="30"/>
    </row>
    <row r="105" spans="1:15" x14ac:dyDescent="0.25">
      <c r="A105" s="10">
        <v>86</v>
      </c>
      <c r="B105" s="27">
        <f t="shared" ca="1" si="10"/>
        <v>0.70300160991319072</v>
      </c>
      <c r="C105" s="21">
        <f t="shared" ca="1" si="16"/>
        <v>255.33053162405889</v>
      </c>
      <c r="D105" s="21">
        <f t="shared" ca="1" si="11"/>
        <v>248.04768354695153</v>
      </c>
      <c r="E105" s="21">
        <f t="shared" ca="1" si="12"/>
        <v>0</v>
      </c>
      <c r="F105" s="22">
        <f t="shared" ca="1" si="17"/>
        <v>0</v>
      </c>
      <c r="G105" s="22">
        <f t="shared" ca="1" si="13"/>
        <v>0</v>
      </c>
      <c r="H105" s="31">
        <f t="shared" ca="1" si="18"/>
        <v>0</v>
      </c>
      <c r="I105" s="9">
        <f t="shared" ca="1" si="14"/>
        <v>1364.2622595082335</v>
      </c>
      <c r="J105" s="30">
        <f t="shared" ca="1" si="15"/>
        <v>992.19073418780613</v>
      </c>
      <c r="K105" s="122">
        <f t="shared" ca="1" si="19"/>
        <v>372.07152532042733</v>
      </c>
      <c r="L105" s="30"/>
      <c r="M105" s="30"/>
      <c r="N105" s="30"/>
      <c r="O105" s="30"/>
    </row>
    <row r="106" spans="1:15" x14ac:dyDescent="0.25">
      <c r="A106" s="10">
        <v>87</v>
      </c>
      <c r="B106" s="27">
        <f t="shared" ca="1" si="10"/>
        <v>0.39143434810179711</v>
      </c>
      <c r="C106" s="21">
        <f t="shared" ca="1" si="16"/>
        <v>247.24417426923077</v>
      </c>
      <c r="D106" s="21">
        <f t="shared" ca="1" si="11"/>
        <v>248.04768354695153</v>
      </c>
      <c r="E106" s="21">
        <f t="shared" ca="1" si="12"/>
        <v>0.80350927772076375</v>
      </c>
      <c r="F106" s="22">
        <f t="shared" ca="1" si="17"/>
        <v>0.80350927772076375</v>
      </c>
      <c r="G106" s="22">
        <f t="shared" ca="1" si="13"/>
        <v>5.8060875757739439</v>
      </c>
      <c r="H106" s="31">
        <f t="shared" ca="1" si="18"/>
        <v>0</v>
      </c>
      <c r="I106" s="9">
        <f t="shared" ca="1" si="14"/>
        <v>1360.0438358001995</v>
      </c>
      <c r="J106" s="30">
        <f t="shared" ca="1" si="15"/>
        <v>992.19073418780613</v>
      </c>
      <c r="K106" s="122">
        <f t="shared" ca="1" si="19"/>
        <v>367.8531016123934</v>
      </c>
      <c r="L106" s="30"/>
      <c r="M106" s="30"/>
      <c r="N106" s="30"/>
      <c r="O106" s="30"/>
    </row>
    <row r="107" spans="1:15" x14ac:dyDescent="0.25">
      <c r="A107" s="10">
        <v>88</v>
      </c>
      <c r="B107" s="27">
        <f t="shared" ca="1" si="10"/>
        <v>0.65002098134300224</v>
      </c>
      <c r="C107" s="21">
        <f t="shared" ca="1" si="16"/>
        <v>253.85377112272548</v>
      </c>
      <c r="D107" s="21">
        <f t="shared" ca="1" si="11"/>
        <v>248.8511928246723</v>
      </c>
      <c r="E107" s="21">
        <f t="shared" ca="1" si="12"/>
        <v>0</v>
      </c>
      <c r="F107" s="22">
        <f t="shared" ca="1" si="17"/>
        <v>0</v>
      </c>
      <c r="G107" s="22">
        <f t="shared" ca="1" si="13"/>
        <v>12.422440621401449</v>
      </c>
      <c r="H107" s="31">
        <f t="shared" ca="1" si="18"/>
        <v>0</v>
      </c>
      <c r="I107" s="9">
        <f t="shared" ca="1" si="14"/>
        <v>1364.2622595082335</v>
      </c>
      <c r="J107" s="30">
        <f t="shared" ca="1" si="15"/>
        <v>992.19073418780613</v>
      </c>
      <c r="K107" s="122">
        <f t="shared" ca="1" si="19"/>
        <v>372.07152532042733</v>
      </c>
      <c r="L107" s="30"/>
      <c r="M107" s="30"/>
      <c r="N107" s="30"/>
      <c r="O107" s="30"/>
    </row>
    <row r="108" spans="1:15" x14ac:dyDescent="0.25">
      <c r="A108" s="10">
        <v>89</v>
      </c>
      <c r="B108" s="27">
        <f t="shared" ca="1" si="10"/>
        <v>0.85245307428719486</v>
      </c>
      <c r="C108" s="21">
        <f t="shared" ca="1" si="16"/>
        <v>260.47012416835298</v>
      </c>
      <c r="D108" s="21">
        <f t="shared" ca="1" si="11"/>
        <v>248.04768354695153</v>
      </c>
      <c r="E108" s="21">
        <f t="shared" ca="1" si="12"/>
        <v>0</v>
      </c>
      <c r="F108" s="22">
        <f t="shared" ca="1" si="17"/>
        <v>0</v>
      </c>
      <c r="G108" s="22">
        <f t="shared" ca="1" si="13"/>
        <v>0</v>
      </c>
      <c r="H108" s="31">
        <f t="shared" ca="1" si="18"/>
        <v>0</v>
      </c>
      <c r="I108" s="9">
        <f t="shared" ca="1" si="14"/>
        <v>1364.2622595082335</v>
      </c>
      <c r="J108" s="30">
        <f t="shared" ca="1" si="15"/>
        <v>992.19073418780613</v>
      </c>
      <c r="K108" s="122">
        <f t="shared" ca="1" si="19"/>
        <v>372.07152532042733</v>
      </c>
      <c r="L108" s="30"/>
      <c r="M108" s="30"/>
      <c r="N108" s="30"/>
      <c r="O108" s="30"/>
    </row>
    <row r="109" spans="1:15" x14ac:dyDescent="0.25">
      <c r="A109" s="10">
        <v>90</v>
      </c>
      <c r="B109" s="27">
        <f t="shared" ca="1" si="10"/>
        <v>0.24500465837115426</v>
      </c>
      <c r="C109" s="21">
        <f t="shared" ca="1" si="16"/>
        <v>243.09705994359567</v>
      </c>
      <c r="D109" s="21">
        <f t="shared" ca="1" si="11"/>
        <v>248.04768354695153</v>
      </c>
      <c r="E109" s="21">
        <f t="shared" ca="1" si="12"/>
        <v>4.950623603355865</v>
      </c>
      <c r="F109" s="22">
        <f t="shared" ca="1" si="17"/>
        <v>4.950623603355865</v>
      </c>
      <c r="G109" s="22">
        <f t="shared" ca="1" si="13"/>
        <v>0</v>
      </c>
      <c r="H109" s="31">
        <f t="shared" ca="1" si="18"/>
        <v>4.950623603355865</v>
      </c>
      <c r="I109" s="9">
        <f t="shared" ca="1" si="14"/>
        <v>1338.2714855906152</v>
      </c>
      <c r="J109" s="30">
        <f t="shared" ca="1" si="15"/>
        <v>999.61666959283991</v>
      </c>
      <c r="K109" s="122">
        <f t="shared" ca="1" si="19"/>
        <v>338.65481599777524</v>
      </c>
      <c r="L109" s="30"/>
      <c r="M109" s="30"/>
      <c r="N109" s="30"/>
      <c r="O109" s="30"/>
    </row>
    <row r="110" spans="1:15" x14ac:dyDescent="0.25">
      <c r="A110" s="10">
        <v>91</v>
      </c>
      <c r="B110" s="27">
        <f t="shared" ca="1" si="10"/>
        <v>0.11889321168868083</v>
      </c>
      <c r="C110" s="21">
        <f t="shared" ca="1" si="16"/>
        <v>238.19462295030701</v>
      </c>
      <c r="D110" s="21">
        <f t="shared" ca="1" si="11"/>
        <v>252.9983071503074</v>
      </c>
      <c r="E110" s="21">
        <f t="shared" ca="1" si="12"/>
        <v>9.853060596644525</v>
      </c>
      <c r="F110" s="22">
        <f t="shared" ca="1" si="17"/>
        <v>14.80368420000039</v>
      </c>
      <c r="G110" s="22">
        <f t="shared" ca="1" si="13"/>
        <v>7.7138070157837433</v>
      </c>
      <c r="H110" s="31">
        <f t="shared" ca="1" si="18"/>
        <v>7.0898771842166468</v>
      </c>
      <c r="I110" s="9">
        <f t="shared" ca="1" si="14"/>
        <v>1333.8033229284997</v>
      </c>
      <c r="J110" s="30">
        <f t="shared" ca="1" si="15"/>
        <v>1002.8255499641311</v>
      </c>
      <c r="K110" s="122">
        <f t="shared" ca="1" si="19"/>
        <v>330.97777296436857</v>
      </c>
      <c r="L110" s="30"/>
      <c r="M110" s="30"/>
      <c r="N110" s="30"/>
      <c r="O110" s="30"/>
    </row>
    <row r="111" spans="1:15" x14ac:dyDescent="0.25">
      <c r="A111" s="10">
        <v>92</v>
      </c>
      <c r="B111" s="27">
        <f t="shared" ca="1" si="10"/>
        <v>0.71774278215949239</v>
      </c>
      <c r="C111" s="21">
        <f t="shared" ca="1" si="16"/>
        <v>255.76149056273528</v>
      </c>
      <c r="D111" s="21">
        <f t="shared" ca="1" si="11"/>
        <v>257.90074414359606</v>
      </c>
      <c r="E111" s="21">
        <f t="shared" ca="1" si="12"/>
        <v>0</v>
      </c>
      <c r="F111" s="22">
        <f t="shared" ca="1" si="17"/>
        <v>2.1392535808607818</v>
      </c>
      <c r="G111" s="22">
        <f t="shared" ca="1" si="13"/>
        <v>6.9028862021811221</v>
      </c>
      <c r="H111" s="31">
        <f t="shared" ca="1" si="18"/>
        <v>0</v>
      </c>
      <c r="I111" s="9">
        <f t="shared" ca="1" si="14"/>
        <v>1364.2622595082335</v>
      </c>
      <c r="J111" s="30">
        <f t="shared" ca="1" si="15"/>
        <v>992.19073418780613</v>
      </c>
      <c r="K111" s="122">
        <f t="shared" ca="1" si="19"/>
        <v>372.07152532042733</v>
      </c>
      <c r="L111" s="30"/>
      <c r="M111" s="30"/>
      <c r="N111" s="30"/>
      <c r="O111" s="30"/>
    </row>
    <row r="112" spans="1:15" x14ac:dyDescent="0.25">
      <c r="A112" s="10">
        <v>93</v>
      </c>
      <c r="B112" s="27">
        <f t="shared" ca="1" si="10"/>
        <v>0.68972004831200262</v>
      </c>
      <c r="C112" s="21">
        <f t="shared" ca="1" si="16"/>
        <v>254.95056974913265</v>
      </c>
      <c r="D112" s="21">
        <f t="shared" ca="1" si="11"/>
        <v>248.04768354695153</v>
      </c>
      <c r="E112" s="21">
        <f t="shared" ca="1" si="12"/>
        <v>0</v>
      </c>
      <c r="F112" s="22">
        <f t="shared" ca="1" si="17"/>
        <v>0</v>
      </c>
      <c r="G112" s="22">
        <f t="shared" ca="1" si="13"/>
        <v>0</v>
      </c>
      <c r="H112" s="31">
        <f t="shared" ca="1" si="18"/>
        <v>0</v>
      </c>
      <c r="I112" s="9">
        <f t="shared" ca="1" si="14"/>
        <v>1364.2622595082335</v>
      </c>
      <c r="J112" s="30">
        <f t="shared" ca="1" si="15"/>
        <v>992.19073418780613</v>
      </c>
      <c r="K112" s="122">
        <f t="shared" ca="1" si="19"/>
        <v>372.07152532042733</v>
      </c>
      <c r="L112" s="30"/>
      <c r="M112" s="30"/>
      <c r="N112" s="30"/>
      <c r="O112" s="30"/>
    </row>
    <row r="113" spans="1:15" x14ac:dyDescent="0.25">
      <c r="A113" s="10">
        <v>94</v>
      </c>
      <c r="B113" s="27">
        <f t="shared" ca="1" si="10"/>
        <v>0.17409821575251072</v>
      </c>
      <c r="C113" s="21">
        <f t="shared" ca="1" si="16"/>
        <v>240.61906635400268</v>
      </c>
      <c r="D113" s="21">
        <f t="shared" ca="1" si="11"/>
        <v>248.04768354695153</v>
      </c>
      <c r="E113" s="21">
        <f t="shared" ca="1" si="12"/>
        <v>7.4286171929488489</v>
      </c>
      <c r="F113" s="22">
        <f t="shared" ca="1" si="17"/>
        <v>7.4286171929488489</v>
      </c>
      <c r="G113" s="22">
        <f t="shared" ca="1" si="13"/>
        <v>11.547560729206452</v>
      </c>
      <c r="H113" s="31">
        <f t="shared" ca="1" si="18"/>
        <v>0</v>
      </c>
      <c r="I113" s="9">
        <f t="shared" ca="1" si="14"/>
        <v>1325.2620192452521</v>
      </c>
      <c r="J113" s="30">
        <f t="shared" ca="1" si="15"/>
        <v>992.19073418780613</v>
      </c>
      <c r="K113" s="122">
        <f t="shared" ca="1" si="19"/>
        <v>333.07128505744595</v>
      </c>
      <c r="L113" s="30"/>
      <c r="M113" s="30"/>
      <c r="N113" s="30"/>
      <c r="O113" s="30"/>
    </row>
    <row r="114" spans="1:15" x14ac:dyDescent="0.25">
      <c r="A114" s="10">
        <v>95</v>
      </c>
      <c r="B114" s="27">
        <f t="shared" ca="1" si="10"/>
        <v>0.8313526901154471</v>
      </c>
      <c r="C114" s="21">
        <f t="shared" ca="1" si="16"/>
        <v>259.59524427615798</v>
      </c>
      <c r="D114" s="21">
        <f t="shared" ca="1" si="11"/>
        <v>255.47630073990038</v>
      </c>
      <c r="E114" s="21">
        <f t="shared" ca="1" si="12"/>
        <v>0</v>
      </c>
      <c r="F114" s="22">
        <f t="shared" ca="1" si="17"/>
        <v>0</v>
      </c>
      <c r="G114" s="22">
        <f t="shared" ca="1" si="13"/>
        <v>17.135247023285388</v>
      </c>
      <c r="H114" s="31">
        <f t="shared" ca="1" si="18"/>
        <v>0</v>
      </c>
      <c r="I114" s="9">
        <f t="shared" ca="1" si="14"/>
        <v>1364.2622595082335</v>
      </c>
      <c r="J114" s="30">
        <f t="shared" ca="1" si="15"/>
        <v>992.19073418780613</v>
      </c>
      <c r="K114" s="122">
        <f t="shared" ca="1" si="19"/>
        <v>372.07152532042733</v>
      </c>
      <c r="L114" s="30"/>
      <c r="M114" s="30"/>
      <c r="N114" s="30"/>
      <c r="O114" s="30"/>
    </row>
    <row r="115" spans="1:15" x14ac:dyDescent="0.25">
      <c r="A115" s="10">
        <v>96</v>
      </c>
      <c r="B115" s="27">
        <f t="shared" ca="1" si="10"/>
        <v>0.93552973140655915</v>
      </c>
      <c r="C115" s="21">
        <f t="shared" ca="1" si="16"/>
        <v>265.18293057023692</v>
      </c>
      <c r="D115" s="21">
        <f t="shared" ca="1" si="11"/>
        <v>248.04768354695153</v>
      </c>
      <c r="E115" s="21">
        <f t="shared" ca="1" si="12"/>
        <v>0</v>
      </c>
      <c r="F115" s="22">
        <f t="shared" ca="1" si="17"/>
        <v>0</v>
      </c>
      <c r="G115" s="22">
        <f t="shared" ca="1" si="13"/>
        <v>6.6983981346673147</v>
      </c>
      <c r="H115" s="31">
        <f t="shared" ca="1" si="18"/>
        <v>0</v>
      </c>
      <c r="I115" s="9">
        <f t="shared" ca="1" si="14"/>
        <v>1364.2622595082335</v>
      </c>
      <c r="J115" s="30">
        <f t="shared" ca="1" si="15"/>
        <v>992.19073418780613</v>
      </c>
      <c r="K115" s="122">
        <f t="shared" ca="1" si="19"/>
        <v>372.07152532042733</v>
      </c>
      <c r="L115" s="30"/>
      <c r="M115" s="30"/>
      <c r="N115" s="30"/>
      <c r="O115" s="30"/>
    </row>
    <row r="116" spans="1:15" x14ac:dyDescent="0.25">
      <c r="A116" s="10">
        <v>97</v>
      </c>
      <c r="B116" s="27">
        <f t="shared" ca="1" si="10"/>
        <v>0.68246685840475541</v>
      </c>
      <c r="C116" s="21">
        <f t="shared" ca="1" si="16"/>
        <v>254.74608168161885</v>
      </c>
      <c r="D116" s="21">
        <f t="shared" ca="1" si="11"/>
        <v>248.04768354695153</v>
      </c>
      <c r="E116" s="21">
        <f t="shared" ca="1" si="12"/>
        <v>0</v>
      </c>
      <c r="F116" s="22">
        <f t="shared" ca="1" si="17"/>
        <v>0</v>
      </c>
      <c r="G116" s="22">
        <f t="shared" ca="1" si="13"/>
        <v>0.68240535683037251</v>
      </c>
      <c r="H116" s="31">
        <f t="shared" ca="1" si="18"/>
        <v>0</v>
      </c>
      <c r="I116" s="9">
        <f t="shared" ca="1" si="14"/>
        <v>1364.2622595082335</v>
      </c>
      <c r="J116" s="30">
        <f t="shared" ca="1" si="15"/>
        <v>992.19073418780613</v>
      </c>
      <c r="K116" s="122">
        <f t="shared" ca="1" si="19"/>
        <v>372.07152532042733</v>
      </c>
      <c r="L116" s="30"/>
      <c r="M116" s="30"/>
      <c r="N116" s="30"/>
      <c r="O116" s="30"/>
    </row>
    <row r="117" spans="1:15" x14ac:dyDescent="0.25">
      <c r="A117" s="10">
        <v>98</v>
      </c>
      <c r="B117" s="27">
        <f t="shared" ca="1" si="10"/>
        <v>0.44947371753686938</v>
      </c>
      <c r="C117" s="21">
        <f t="shared" ca="1" si="16"/>
        <v>248.7300889037819</v>
      </c>
      <c r="D117" s="21">
        <f t="shared" ca="1" si="11"/>
        <v>248.04768354695153</v>
      </c>
      <c r="E117" s="21">
        <f t="shared" ca="1" si="12"/>
        <v>0</v>
      </c>
      <c r="F117" s="22">
        <f t="shared" ca="1" si="17"/>
        <v>0</v>
      </c>
      <c r="G117" s="22">
        <f t="shared" ca="1" si="13"/>
        <v>9.1852898622948373</v>
      </c>
      <c r="H117" s="31">
        <f t="shared" ca="1" si="18"/>
        <v>0</v>
      </c>
      <c r="I117" s="9">
        <f t="shared" ca="1" si="14"/>
        <v>1364.2622595082335</v>
      </c>
      <c r="J117" s="30">
        <f t="shared" ca="1" si="15"/>
        <v>992.19073418780613</v>
      </c>
      <c r="K117" s="122">
        <f t="shared" ca="1" si="19"/>
        <v>372.07152532042733</v>
      </c>
      <c r="L117" s="30"/>
      <c r="M117" s="30"/>
      <c r="N117" s="30"/>
      <c r="O117" s="30"/>
    </row>
    <row r="118" spans="1:15" x14ac:dyDescent="0.25">
      <c r="A118" s="10">
        <v>99</v>
      </c>
      <c r="B118" s="27">
        <f t="shared" ca="1" si="10"/>
        <v>0.76525138694156847</v>
      </c>
      <c r="C118" s="21">
        <f t="shared" ca="1" si="16"/>
        <v>257.23297340924637</v>
      </c>
      <c r="D118" s="21">
        <f t="shared" ca="1" si="11"/>
        <v>248.04768354695153</v>
      </c>
      <c r="E118" s="21">
        <f t="shared" ca="1" si="12"/>
        <v>0</v>
      </c>
      <c r="F118" s="22">
        <f t="shared" ca="1" si="17"/>
        <v>0</v>
      </c>
      <c r="G118" s="22">
        <f t="shared" ca="1" si="13"/>
        <v>0</v>
      </c>
      <c r="H118" s="31">
        <f t="shared" ca="1" si="18"/>
        <v>0</v>
      </c>
      <c r="I118" s="9">
        <f t="shared" ca="1" si="14"/>
        <v>1364.2622595082335</v>
      </c>
      <c r="J118" s="30">
        <f t="shared" ca="1" si="15"/>
        <v>992.19073418780613</v>
      </c>
      <c r="K118" s="122">
        <f t="shared" ca="1" si="19"/>
        <v>372.07152532042733</v>
      </c>
      <c r="L118" s="30"/>
      <c r="M118" s="30"/>
      <c r="N118" s="30"/>
      <c r="O118" s="30"/>
    </row>
    <row r="119" spans="1:15" x14ac:dyDescent="0.25">
      <c r="A119" s="10">
        <v>100</v>
      </c>
      <c r="B119" s="27">
        <f t="shared" ca="1" si="10"/>
        <v>9.8520305352271853E-2</v>
      </c>
      <c r="C119" s="21">
        <f t="shared" ca="1" si="16"/>
        <v>237.09971061484902</v>
      </c>
      <c r="D119" s="21">
        <f t="shared" ca="1" si="11"/>
        <v>248.04768354695153</v>
      </c>
      <c r="E119" s="21">
        <f t="shared" ca="1" si="12"/>
        <v>10.947972932102516</v>
      </c>
      <c r="F119" s="22">
        <f t="shared" ca="1" si="17"/>
        <v>10.947972932102516</v>
      </c>
      <c r="G119" s="22">
        <f t="shared" ca="1" si="13"/>
        <v>0</v>
      </c>
      <c r="H119" s="31">
        <f t="shared" ca="1" si="18"/>
        <v>10.947972932102516</v>
      </c>
      <c r="I119" s="9">
        <f t="shared" ca="1" si="14"/>
        <v>1306.7854016146953</v>
      </c>
      <c r="J119" s="30">
        <f t="shared" ca="1" si="15"/>
        <v>1008.61269358596</v>
      </c>
      <c r="K119" s="122">
        <f t="shared" ca="1" si="19"/>
        <v>298.17270802873531</v>
      </c>
      <c r="L119" s="30"/>
      <c r="M119" s="30"/>
      <c r="N119" s="30"/>
      <c r="O119" s="30"/>
    </row>
    <row r="120" spans="1:15" x14ac:dyDescent="0.25">
      <c r="A120" s="10">
        <v>101</v>
      </c>
      <c r="B120" s="27">
        <f t="shared" ca="1" si="10"/>
        <v>7.7068995375184524E-2</v>
      </c>
      <c r="C120" s="21">
        <f t="shared" ca="1" si="16"/>
        <v>235.74933539977692</v>
      </c>
      <c r="D120" s="21">
        <f t="shared" ca="1" si="11"/>
        <v>258.99565647905405</v>
      </c>
      <c r="E120" s="21">
        <f t="shared" ca="1" si="12"/>
        <v>12.298348147174607</v>
      </c>
      <c r="F120" s="22">
        <f t="shared" ca="1" si="17"/>
        <v>23.246321079277124</v>
      </c>
      <c r="G120" s="22">
        <f t="shared" ca="1" si="13"/>
        <v>0</v>
      </c>
      <c r="H120" s="31">
        <f t="shared" ca="1" si="18"/>
        <v>23.246321079277124</v>
      </c>
      <c r="I120" s="9">
        <f t="shared" ca="1" si="14"/>
        <v>1332.5398505318744</v>
      </c>
      <c r="J120" s="30">
        <f t="shared" ca="1" si="15"/>
        <v>1027.0602158067218</v>
      </c>
      <c r="K120" s="122">
        <f t="shared" ca="1" si="19"/>
        <v>305.47963472515266</v>
      </c>
      <c r="L120" s="30"/>
      <c r="M120" s="30"/>
      <c r="N120" s="30"/>
      <c r="O120" s="30"/>
    </row>
    <row r="121" spans="1:15" x14ac:dyDescent="0.25">
      <c r="A121" s="10">
        <v>102</v>
      </c>
      <c r="B121" s="27">
        <f t="shared" ca="1" si="10"/>
        <v>0.21464280936552926</v>
      </c>
      <c r="C121" s="21">
        <f t="shared" ca="1" si="16"/>
        <v>242.09585297711541</v>
      </c>
      <c r="D121" s="21">
        <f t="shared" ca="1" si="11"/>
        <v>260.34603169412617</v>
      </c>
      <c r="E121" s="21">
        <f t="shared" ca="1" si="12"/>
        <v>5.9518305698361189</v>
      </c>
      <c r="F121" s="22">
        <f t="shared" ca="1" si="17"/>
        <v>18.250178717010755</v>
      </c>
      <c r="G121" s="22">
        <f t="shared" ca="1" si="13"/>
        <v>9.1007825289322568</v>
      </c>
      <c r="H121" s="31">
        <f t="shared" ca="1" si="18"/>
        <v>9.149396188078498</v>
      </c>
      <c r="I121" s="9">
        <f t="shared" ca="1" si="14"/>
        <v>1360.4633375808294</v>
      </c>
      <c r="J121" s="30">
        <f t="shared" ca="1" si="15"/>
        <v>1005.9148284699239</v>
      </c>
      <c r="K121" s="122">
        <f t="shared" ca="1" si="19"/>
        <v>354.54850911090546</v>
      </c>
      <c r="L121" s="30"/>
      <c r="M121" s="30"/>
      <c r="N121" s="30"/>
      <c r="O121" s="30"/>
    </row>
    <row r="122" spans="1:15" x14ac:dyDescent="0.25">
      <c r="A122" s="10">
        <v>103</v>
      </c>
      <c r="B122" s="27">
        <f t="shared" ca="1" si="10"/>
        <v>0.76264808400078454</v>
      </c>
      <c r="C122" s="21">
        <f t="shared" ca="1" si="16"/>
        <v>257.14846607588379</v>
      </c>
      <c r="D122" s="21">
        <f t="shared" ca="1" si="11"/>
        <v>253.99951411678765</v>
      </c>
      <c r="E122" s="21">
        <f t="shared" ca="1" si="12"/>
        <v>0</v>
      </c>
      <c r="F122" s="22">
        <f t="shared" ca="1" si="17"/>
        <v>0</v>
      </c>
      <c r="G122" s="22">
        <f t="shared" ca="1" si="13"/>
        <v>9.7507691972953694</v>
      </c>
      <c r="H122" s="31">
        <f t="shared" ca="1" si="18"/>
        <v>0</v>
      </c>
      <c r="I122" s="9">
        <f t="shared" ca="1" si="14"/>
        <v>1364.2622595082335</v>
      </c>
      <c r="J122" s="30">
        <f t="shared" ca="1" si="15"/>
        <v>992.19073418780613</v>
      </c>
      <c r="K122" s="122">
        <f t="shared" ca="1" si="19"/>
        <v>372.07152532042733</v>
      </c>
      <c r="L122" s="30"/>
      <c r="M122" s="30"/>
      <c r="N122" s="30"/>
      <c r="O122" s="30"/>
    </row>
    <row r="123" spans="1:15" x14ac:dyDescent="0.25">
      <c r="A123" s="10">
        <v>104</v>
      </c>
      <c r="B123" s="27">
        <f t="shared" ca="1" si="10"/>
        <v>0.78225902315147833</v>
      </c>
      <c r="C123" s="21">
        <f t="shared" ca="1" si="16"/>
        <v>257.7984527442469</v>
      </c>
      <c r="D123" s="21">
        <f t="shared" ca="1" si="11"/>
        <v>248.04768354695153</v>
      </c>
      <c r="E123" s="21">
        <f t="shared" ca="1" si="12"/>
        <v>0</v>
      </c>
      <c r="F123" s="22">
        <f t="shared" ca="1" si="17"/>
        <v>0</v>
      </c>
      <c r="G123" s="22">
        <f t="shared" ca="1" si="13"/>
        <v>4.9328678872613807</v>
      </c>
      <c r="H123" s="31">
        <f t="shared" ca="1" si="18"/>
        <v>0</v>
      </c>
      <c r="I123" s="9">
        <f t="shared" ca="1" si="14"/>
        <v>1364.2622595082335</v>
      </c>
      <c r="J123" s="30">
        <f t="shared" ca="1" si="15"/>
        <v>992.19073418780613</v>
      </c>
      <c r="K123" s="122">
        <f t="shared" ca="1" si="19"/>
        <v>372.07152532042733</v>
      </c>
      <c r="L123" s="30"/>
      <c r="M123" s="30"/>
      <c r="N123" s="30"/>
      <c r="O123" s="30"/>
    </row>
    <row r="124" spans="1:15" x14ac:dyDescent="0.25">
      <c r="A124" s="10">
        <v>105</v>
      </c>
      <c r="B124" s="27">
        <f t="shared" ca="1" si="10"/>
        <v>0.61716946162470243</v>
      </c>
      <c r="C124" s="21">
        <f t="shared" ca="1" si="16"/>
        <v>252.98055143421291</v>
      </c>
      <c r="D124" s="21">
        <f t="shared" ca="1" si="11"/>
        <v>248.04768354695153</v>
      </c>
      <c r="E124" s="21">
        <f t="shared" ca="1" si="12"/>
        <v>0</v>
      </c>
      <c r="F124" s="22">
        <f t="shared" ca="1" si="17"/>
        <v>0</v>
      </c>
      <c r="G124" s="22">
        <f t="shared" ca="1" si="13"/>
        <v>1.0593732313948863</v>
      </c>
      <c r="H124" s="31">
        <f t="shared" ca="1" si="18"/>
        <v>0</v>
      </c>
      <c r="I124" s="9">
        <f t="shared" ca="1" si="14"/>
        <v>1364.2622595082335</v>
      </c>
      <c r="J124" s="30">
        <f t="shared" ca="1" si="15"/>
        <v>992.19073418780613</v>
      </c>
      <c r="K124" s="122">
        <f t="shared" ca="1" si="19"/>
        <v>372.07152532042733</v>
      </c>
      <c r="L124" s="30"/>
      <c r="M124" s="30"/>
      <c r="N124" s="30"/>
      <c r="O124" s="30"/>
    </row>
    <row r="125" spans="1:15" x14ac:dyDescent="0.25">
      <c r="A125" s="10">
        <v>106</v>
      </c>
      <c r="B125" s="27">
        <f t="shared" ca="1" si="10"/>
        <v>0.46442400315075616</v>
      </c>
      <c r="C125" s="21">
        <f t="shared" ca="1" si="16"/>
        <v>249.10705677834642</v>
      </c>
      <c r="D125" s="21">
        <f t="shared" ca="1" si="11"/>
        <v>248.04768354695153</v>
      </c>
      <c r="E125" s="21">
        <f t="shared" ca="1" si="12"/>
        <v>0</v>
      </c>
      <c r="F125" s="22">
        <f t="shared" ca="1" si="17"/>
        <v>0</v>
      </c>
      <c r="G125" s="22">
        <f t="shared" ca="1" si="13"/>
        <v>9.9129357369710647</v>
      </c>
      <c r="H125" s="31">
        <f t="shared" ca="1" si="18"/>
        <v>0</v>
      </c>
      <c r="I125" s="9">
        <f t="shared" ca="1" si="14"/>
        <v>1364.2622595082335</v>
      </c>
      <c r="J125" s="30">
        <f t="shared" ca="1" si="15"/>
        <v>992.19073418780613</v>
      </c>
      <c r="K125" s="122">
        <f t="shared" ca="1" si="19"/>
        <v>372.07152532042733</v>
      </c>
      <c r="L125" s="30"/>
      <c r="M125" s="30"/>
      <c r="N125" s="30"/>
      <c r="O125" s="30"/>
    </row>
    <row r="126" spans="1:15" x14ac:dyDescent="0.25">
      <c r="A126" s="10">
        <v>107</v>
      </c>
      <c r="B126" s="27">
        <f t="shared" ca="1" si="10"/>
        <v>0.78700197934278138</v>
      </c>
      <c r="C126" s="21">
        <f t="shared" ca="1" si="16"/>
        <v>257.9606192839226</v>
      </c>
      <c r="D126" s="21">
        <f t="shared" ca="1" si="11"/>
        <v>248.04768354695153</v>
      </c>
      <c r="E126" s="21">
        <f t="shared" ca="1" si="12"/>
        <v>0</v>
      </c>
      <c r="F126" s="22">
        <f t="shared" ca="1" si="17"/>
        <v>0</v>
      </c>
      <c r="G126" s="22">
        <f t="shared" ca="1" si="13"/>
        <v>0</v>
      </c>
      <c r="H126" s="31">
        <f t="shared" ca="1" si="18"/>
        <v>0</v>
      </c>
      <c r="I126" s="9">
        <f t="shared" ca="1" si="14"/>
        <v>1364.2622595082335</v>
      </c>
      <c r="J126" s="30">
        <f t="shared" ca="1" si="15"/>
        <v>992.19073418780613</v>
      </c>
      <c r="K126" s="122">
        <f t="shared" ca="1" si="19"/>
        <v>372.07152532042733</v>
      </c>
      <c r="L126" s="30"/>
      <c r="M126" s="30"/>
      <c r="N126" s="30"/>
      <c r="O126" s="30"/>
    </row>
    <row r="127" spans="1:15" x14ac:dyDescent="0.25">
      <c r="A127" s="10">
        <v>108</v>
      </c>
      <c r="B127" s="27">
        <f t="shared" ca="1" si="10"/>
        <v>1.3420871116061606E-2</v>
      </c>
      <c r="C127" s="21">
        <f t="shared" ca="1" si="16"/>
        <v>227.86188406698687</v>
      </c>
      <c r="D127" s="21">
        <f t="shared" ca="1" si="11"/>
        <v>248.04768354695153</v>
      </c>
      <c r="E127" s="21">
        <f t="shared" ca="1" si="12"/>
        <v>20.185799479964658</v>
      </c>
      <c r="F127" s="22">
        <f t="shared" ca="1" si="17"/>
        <v>20.185799479964658</v>
      </c>
      <c r="G127" s="22">
        <f t="shared" ca="1" si="13"/>
        <v>0</v>
      </c>
      <c r="H127" s="31">
        <f t="shared" ca="1" si="18"/>
        <v>20.185799479964658</v>
      </c>
      <c r="I127" s="9">
        <f t="shared" ca="1" si="14"/>
        <v>1258.2868122384191</v>
      </c>
      <c r="J127" s="30">
        <f t="shared" ca="1" si="15"/>
        <v>1022.4694334077531</v>
      </c>
      <c r="K127" s="122">
        <f t="shared" ca="1" si="19"/>
        <v>235.81737883066603</v>
      </c>
      <c r="L127" s="30"/>
      <c r="M127" s="30"/>
      <c r="N127" s="30"/>
      <c r="O127" s="30"/>
    </row>
    <row r="128" spans="1:15" x14ac:dyDescent="0.25">
      <c r="A128" s="10">
        <v>109</v>
      </c>
      <c r="B128" s="27">
        <f t="shared" ca="1" si="10"/>
        <v>0.24247806112679138</v>
      </c>
      <c r="C128" s="21">
        <f t="shared" ca="1" si="16"/>
        <v>243.01646457273293</v>
      </c>
      <c r="D128" s="21">
        <f t="shared" ca="1" si="11"/>
        <v>268.23348302691619</v>
      </c>
      <c r="E128" s="21">
        <f t="shared" ca="1" si="12"/>
        <v>5.0312189742186035</v>
      </c>
      <c r="F128" s="22">
        <f t="shared" ca="1" si="17"/>
        <v>25.217018454183261</v>
      </c>
      <c r="G128" s="22">
        <f t="shared" ca="1" si="13"/>
        <v>0</v>
      </c>
      <c r="H128" s="31">
        <f t="shared" ca="1" si="18"/>
        <v>25.217018454183261</v>
      </c>
      <c r="I128" s="9">
        <f t="shared" ca="1" si="14"/>
        <v>1398.4057583334798</v>
      </c>
      <c r="J128" s="30">
        <f t="shared" ca="1" si="15"/>
        <v>1030.0162618690811</v>
      </c>
      <c r="K128" s="122">
        <f t="shared" ca="1" si="19"/>
        <v>368.38949646439869</v>
      </c>
      <c r="L128" s="30"/>
      <c r="M128" s="30"/>
      <c r="N128" s="30"/>
      <c r="O128" s="30"/>
    </row>
    <row r="129" spans="1:15" x14ac:dyDescent="0.25">
      <c r="A129" s="10">
        <v>110</v>
      </c>
      <c r="B129" s="27">
        <f t="shared" ca="1" si="10"/>
        <v>0.42053119956692775</v>
      </c>
      <c r="C129" s="21">
        <f t="shared" ca="1" si="16"/>
        <v>247.99465270191533</v>
      </c>
      <c r="D129" s="21">
        <f t="shared" ca="1" si="11"/>
        <v>253.07890252117014</v>
      </c>
      <c r="E129" s="21">
        <f t="shared" ca="1" si="12"/>
        <v>5.3030845036204255E-2</v>
      </c>
      <c r="F129" s="22">
        <f t="shared" ca="1" si="17"/>
        <v>5.0842498192548078</v>
      </c>
      <c r="G129" s="22">
        <f t="shared" ca="1" si="13"/>
        <v>8.1931257760206222</v>
      </c>
      <c r="H129" s="31">
        <f t="shared" ca="1" si="18"/>
        <v>0</v>
      </c>
      <c r="I129" s="9">
        <f t="shared" ca="1" si="14"/>
        <v>1363.9838475717934</v>
      </c>
      <c r="J129" s="30">
        <f t="shared" ca="1" si="15"/>
        <v>992.19073418780613</v>
      </c>
      <c r="K129" s="122">
        <f t="shared" ca="1" si="19"/>
        <v>371.79311338398725</v>
      </c>
      <c r="L129" s="30"/>
      <c r="M129" s="30"/>
      <c r="N129" s="30"/>
      <c r="O129" s="30"/>
    </row>
    <row r="130" spans="1:15" x14ac:dyDescent="0.25">
      <c r="A130" s="10">
        <v>111</v>
      </c>
      <c r="B130" s="27">
        <f t="shared" ca="1" si="10"/>
        <v>0.73371278220693248</v>
      </c>
      <c r="C130" s="21">
        <f t="shared" ca="1" si="16"/>
        <v>256.24080932297215</v>
      </c>
      <c r="D130" s="21">
        <f t="shared" ca="1" si="11"/>
        <v>248.10071439198774</v>
      </c>
      <c r="E130" s="21">
        <f t="shared" ca="1" si="12"/>
        <v>0</v>
      </c>
      <c r="F130" s="22">
        <f t="shared" ca="1" si="17"/>
        <v>0</v>
      </c>
      <c r="G130" s="22">
        <f t="shared" ca="1" si="13"/>
        <v>0</v>
      </c>
      <c r="H130" s="31">
        <f t="shared" ca="1" si="18"/>
        <v>0</v>
      </c>
      <c r="I130" s="9">
        <f t="shared" ca="1" si="14"/>
        <v>1364.2622595082335</v>
      </c>
      <c r="J130" s="30">
        <f t="shared" ca="1" si="15"/>
        <v>992.19073418780613</v>
      </c>
      <c r="K130" s="122">
        <f t="shared" ca="1" si="19"/>
        <v>372.07152532042733</v>
      </c>
      <c r="L130" s="30"/>
      <c r="M130" s="30"/>
      <c r="N130" s="30"/>
      <c r="O130" s="30"/>
    </row>
    <row r="131" spans="1:15" x14ac:dyDescent="0.25">
      <c r="A131" s="10">
        <v>112</v>
      </c>
      <c r="B131" s="27">
        <f t="shared" ca="1" si="10"/>
        <v>0.38678742111421516</v>
      </c>
      <c r="C131" s="21">
        <f t="shared" ca="1" si="16"/>
        <v>247.12297978161544</v>
      </c>
      <c r="D131" s="21">
        <f t="shared" ca="1" si="11"/>
        <v>248.04768354695153</v>
      </c>
      <c r="E131" s="21">
        <f t="shared" ca="1" si="12"/>
        <v>0.92470376533609056</v>
      </c>
      <c r="F131" s="22">
        <f t="shared" ca="1" si="17"/>
        <v>0.92470376533609056</v>
      </c>
      <c r="G131" s="22">
        <f t="shared" ca="1" si="13"/>
        <v>0.12801192192699773</v>
      </c>
      <c r="H131" s="31">
        <f t="shared" ca="1" si="18"/>
        <v>0.79669184340909283</v>
      </c>
      <c r="I131" s="9">
        <f t="shared" ca="1" si="14"/>
        <v>1361.7976402704462</v>
      </c>
      <c r="J131" s="30">
        <f t="shared" ca="1" si="15"/>
        <v>993.38577195291975</v>
      </c>
      <c r="K131" s="122">
        <f t="shared" ca="1" si="19"/>
        <v>368.41186831752646</v>
      </c>
      <c r="L131" s="30"/>
      <c r="M131" s="30"/>
      <c r="N131" s="30"/>
      <c r="O131" s="30"/>
    </row>
    <row r="132" spans="1:15" x14ac:dyDescent="0.25">
      <c r="A132" s="10">
        <v>113</v>
      </c>
      <c r="B132" s="43">
        <f t="shared" ca="1" si="10"/>
        <v>0.42762246432798112</v>
      </c>
      <c r="C132" s="44">
        <f t="shared" ca="1" si="16"/>
        <v>248.17569546887853</v>
      </c>
      <c r="D132" s="44">
        <f t="shared" ca="1" si="11"/>
        <v>248.97238731228762</v>
      </c>
      <c r="E132" s="44">
        <f t="shared" ca="1" si="12"/>
        <v>0</v>
      </c>
      <c r="F132" s="45">
        <f t="shared" ca="1" si="17"/>
        <v>0.79669184340909283</v>
      </c>
      <c r="G132" s="45">
        <f t="shared" ca="1" si="13"/>
        <v>1.6795376762631236</v>
      </c>
      <c r="H132" s="46">
        <f t="shared" ca="1" si="18"/>
        <v>0</v>
      </c>
      <c r="I132" s="1">
        <f t="shared" ca="1" si="14"/>
        <v>1364.2622595082335</v>
      </c>
      <c r="J132" s="47">
        <f t="shared" ca="1" si="15"/>
        <v>992.19073418780613</v>
      </c>
      <c r="K132" s="123">
        <f t="shared" ca="1" si="19"/>
        <v>372.07152532042733</v>
      </c>
      <c r="L132" s="30"/>
      <c r="M132" s="30"/>
      <c r="N132" s="30"/>
      <c r="O132" s="30"/>
    </row>
    <row r="133" spans="1:15" x14ac:dyDescent="0.25">
      <c r="A133" s="10">
        <v>114</v>
      </c>
      <c r="B133" s="48">
        <f t="shared" ca="1" si="10"/>
        <v>0.48911905067867445</v>
      </c>
      <c r="C133" s="49">
        <f t="shared" ca="1" si="16"/>
        <v>249.72722122321466</v>
      </c>
      <c r="D133" s="49">
        <f t="shared" ca="1" si="11"/>
        <v>248.04768354695153</v>
      </c>
      <c r="E133" s="49">
        <f t="shared" ca="1" si="12"/>
        <v>0</v>
      </c>
      <c r="F133" s="50">
        <f t="shared" ca="1" si="17"/>
        <v>0</v>
      </c>
      <c r="G133" s="50">
        <f t="shared" ca="1" si="13"/>
        <v>0</v>
      </c>
      <c r="H133" s="51">
        <f t="shared" ca="1" si="18"/>
        <v>0</v>
      </c>
      <c r="I133" s="52">
        <f t="shared" ca="1" si="14"/>
        <v>1364.2622595082335</v>
      </c>
      <c r="J133" s="53">
        <f t="shared" ca="1" si="15"/>
        <v>992.19073418780613</v>
      </c>
      <c r="K133" s="124">
        <f t="shared" ca="1" si="19"/>
        <v>372.07152532042733</v>
      </c>
      <c r="L133" s="30"/>
      <c r="M133" s="30"/>
      <c r="N133" s="30"/>
      <c r="O133" s="30"/>
    </row>
    <row r="134" spans="1:15" x14ac:dyDescent="0.25">
      <c r="A134" s="10">
        <v>115</v>
      </c>
      <c r="B134" s="27">
        <f t="shared" ca="1" si="10"/>
        <v>6.3937046133604514E-2</v>
      </c>
      <c r="C134" s="21">
        <f t="shared" ca="1" si="16"/>
        <v>234.77461044744547</v>
      </c>
      <c r="D134" s="21">
        <f t="shared" ca="1" si="11"/>
        <v>248.04768354695153</v>
      </c>
      <c r="E134" s="21">
        <f t="shared" ca="1" si="12"/>
        <v>13.273073099506064</v>
      </c>
      <c r="F134" s="22">
        <f t="shared" ca="1" si="17"/>
        <v>13.273073099506064</v>
      </c>
      <c r="G134" s="22">
        <f t="shared" ca="1" si="13"/>
        <v>5.0695898500090664</v>
      </c>
      <c r="H134" s="31">
        <f t="shared" ca="1" si="18"/>
        <v>8.2034832494969976</v>
      </c>
      <c r="I134" s="9">
        <f t="shared" ca="1" si="14"/>
        <v>1319.1890754843175</v>
      </c>
      <c r="J134" s="30">
        <f t="shared" ca="1" si="15"/>
        <v>1004.4959590620516</v>
      </c>
      <c r="K134" s="122">
        <f t="shared" ca="1" si="19"/>
        <v>314.69311642226592</v>
      </c>
      <c r="L134" s="30"/>
      <c r="M134" s="30"/>
      <c r="N134" s="30"/>
      <c r="O134" s="30"/>
    </row>
    <row r="135" spans="1:15" x14ac:dyDescent="0.25">
      <c r="A135" s="10">
        <v>116</v>
      </c>
      <c r="B135" s="27">
        <f t="shared" ca="1" si="10"/>
        <v>0.62237612575822077</v>
      </c>
      <c r="C135" s="21">
        <f t="shared" ca="1" si="16"/>
        <v>253.1172733969606</v>
      </c>
      <c r="D135" s="21">
        <f t="shared" ca="1" si="11"/>
        <v>261.3207566464576</v>
      </c>
      <c r="E135" s="21">
        <f t="shared" ca="1" si="12"/>
        <v>0</v>
      </c>
      <c r="F135" s="22">
        <f t="shared" ca="1" si="17"/>
        <v>8.2034832494969976</v>
      </c>
      <c r="G135" s="22">
        <f t="shared" ca="1" si="13"/>
        <v>8.3434463145015343</v>
      </c>
      <c r="H135" s="31">
        <f t="shared" ca="1" si="18"/>
        <v>0</v>
      </c>
      <c r="I135" s="9">
        <f t="shared" ca="1" si="14"/>
        <v>1364.2622595082335</v>
      </c>
      <c r="J135" s="30">
        <f t="shared" ca="1" si="15"/>
        <v>992.19073418780613</v>
      </c>
      <c r="K135" s="122">
        <f t="shared" ca="1" si="19"/>
        <v>372.07152532042733</v>
      </c>
      <c r="L135" s="30"/>
      <c r="M135" s="30"/>
      <c r="N135" s="30"/>
      <c r="O135" s="30"/>
    </row>
    <row r="136" spans="1:15" x14ac:dyDescent="0.25">
      <c r="A136" s="10">
        <v>117</v>
      </c>
      <c r="B136" s="27">
        <f t="shared" ca="1" si="10"/>
        <v>0.73862528375538694</v>
      </c>
      <c r="C136" s="21">
        <f t="shared" ca="1" si="16"/>
        <v>256.39112986145307</v>
      </c>
      <c r="D136" s="21">
        <f t="shared" ca="1" si="11"/>
        <v>248.04768354695153</v>
      </c>
      <c r="E136" s="21">
        <f t="shared" ca="1" si="12"/>
        <v>0</v>
      </c>
      <c r="F136" s="22">
        <f t="shared" ca="1" si="17"/>
        <v>0</v>
      </c>
      <c r="G136" s="22">
        <f t="shared" ca="1" si="13"/>
        <v>0</v>
      </c>
      <c r="H136" s="31">
        <f t="shared" ca="1" si="18"/>
        <v>0</v>
      </c>
      <c r="I136" s="9">
        <f t="shared" ca="1" si="14"/>
        <v>1364.2622595082335</v>
      </c>
      <c r="J136" s="30">
        <f t="shared" ca="1" si="15"/>
        <v>992.19073418780613</v>
      </c>
      <c r="K136" s="122">
        <f t="shared" ca="1" si="19"/>
        <v>372.07152532042733</v>
      </c>
      <c r="L136" s="30"/>
      <c r="M136" s="30"/>
      <c r="N136" s="30"/>
      <c r="O136" s="30"/>
    </row>
    <row r="137" spans="1:15" x14ac:dyDescent="0.25">
      <c r="A137" s="10">
        <v>118</v>
      </c>
      <c r="B137" s="27">
        <f t="shared" ca="1" si="10"/>
        <v>0.26243457343053433</v>
      </c>
      <c r="C137" s="21">
        <f t="shared" ca="1" si="16"/>
        <v>243.64142256308051</v>
      </c>
      <c r="D137" s="21">
        <f t="shared" ca="1" si="11"/>
        <v>248.04768354695153</v>
      </c>
      <c r="E137" s="21">
        <f t="shared" ca="1" si="12"/>
        <v>4.4062609838710216</v>
      </c>
      <c r="F137" s="22">
        <f t="shared" ca="1" si="17"/>
        <v>4.4062609838710216</v>
      </c>
      <c r="G137" s="22">
        <f t="shared" ca="1" si="13"/>
        <v>4.497470929255428</v>
      </c>
      <c r="H137" s="31">
        <f t="shared" ca="1" si="18"/>
        <v>0</v>
      </c>
      <c r="I137" s="9">
        <f t="shared" ca="1" si="14"/>
        <v>1341.1293893429106</v>
      </c>
      <c r="J137" s="30">
        <f t="shared" ca="1" si="15"/>
        <v>992.19073418780613</v>
      </c>
      <c r="K137" s="122">
        <f t="shared" ca="1" si="19"/>
        <v>348.93865515510447</v>
      </c>
      <c r="L137" s="30"/>
      <c r="M137" s="30"/>
      <c r="N137" s="30"/>
      <c r="O137" s="30"/>
    </row>
    <row r="138" spans="1:15" x14ac:dyDescent="0.25">
      <c r="A138" s="10">
        <v>119</v>
      </c>
      <c r="B138" s="27">
        <f t="shared" ca="1" si="10"/>
        <v>0.6004513142685477</v>
      </c>
      <c r="C138" s="21">
        <f t="shared" ca="1" si="16"/>
        <v>252.54515447620696</v>
      </c>
      <c r="D138" s="21">
        <f t="shared" ca="1" si="11"/>
        <v>252.45394453082255</v>
      </c>
      <c r="E138" s="21">
        <f t="shared" ca="1" si="12"/>
        <v>0</v>
      </c>
      <c r="F138" s="22">
        <f t="shared" ca="1" si="17"/>
        <v>0</v>
      </c>
      <c r="G138" s="22">
        <f t="shared" ca="1" si="13"/>
        <v>0</v>
      </c>
      <c r="H138" s="31">
        <f t="shared" ca="1" si="18"/>
        <v>0</v>
      </c>
      <c r="I138" s="9">
        <f t="shared" ca="1" si="14"/>
        <v>1364.2622595082335</v>
      </c>
      <c r="J138" s="30">
        <f t="shared" ca="1" si="15"/>
        <v>992.19073418780613</v>
      </c>
      <c r="K138" s="122">
        <f t="shared" ca="1" si="19"/>
        <v>372.07152532042733</v>
      </c>
      <c r="L138" s="30"/>
      <c r="M138" s="30"/>
      <c r="N138" s="30"/>
      <c r="O138" s="30"/>
    </row>
    <row r="139" spans="1:15" x14ac:dyDescent="0.25">
      <c r="A139" s="10">
        <v>120</v>
      </c>
      <c r="B139" s="27">
        <f t="shared" ca="1" si="10"/>
        <v>0.34636824642567554</v>
      </c>
      <c r="C139" s="21">
        <f t="shared" ca="1" si="16"/>
        <v>246.04855830159528</v>
      </c>
      <c r="D139" s="21">
        <f t="shared" ca="1" si="11"/>
        <v>248.04768354695153</v>
      </c>
      <c r="E139" s="21">
        <f t="shared" ca="1" si="12"/>
        <v>1.9991252453562538</v>
      </c>
      <c r="F139" s="22">
        <f t="shared" ca="1" si="17"/>
        <v>1.9991252453562538</v>
      </c>
      <c r="G139" s="22">
        <f t="shared" ca="1" si="13"/>
        <v>0</v>
      </c>
      <c r="H139" s="31">
        <f t="shared" ca="1" si="18"/>
        <v>1.9991252453562538</v>
      </c>
      <c r="I139" s="9">
        <f t="shared" ca="1" si="14"/>
        <v>1353.7668519701131</v>
      </c>
      <c r="J139" s="30">
        <f t="shared" ca="1" si="15"/>
        <v>995.18942205584051</v>
      </c>
      <c r="K139" s="122">
        <f t="shared" ca="1" si="19"/>
        <v>358.57742991427256</v>
      </c>
      <c r="L139" s="30"/>
      <c r="M139" s="30"/>
      <c r="N139" s="30"/>
      <c r="O139" s="30"/>
    </row>
    <row r="140" spans="1:15" x14ac:dyDescent="0.25">
      <c r="A140" s="10">
        <v>121</v>
      </c>
      <c r="B140" s="27">
        <f t="shared" ca="1" si="10"/>
        <v>3.8245584486553907E-2</v>
      </c>
      <c r="C140" s="21">
        <f t="shared" ca="1" si="16"/>
        <v>232.28581707844592</v>
      </c>
      <c r="D140" s="21">
        <f t="shared" ca="1" si="11"/>
        <v>250.04680879230779</v>
      </c>
      <c r="E140" s="21">
        <f t="shared" ca="1" si="12"/>
        <v>15.761866468505616</v>
      </c>
      <c r="F140" s="22">
        <f t="shared" ca="1" si="17"/>
        <v>17.76099171386187</v>
      </c>
      <c r="G140" s="22">
        <f t="shared" ca="1" si="13"/>
        <v>0.72459917577577926</v>
      </c>
      <c r="H140" s="31">
        <f t="shared" ca="1" si="18"/>
        <v>17.036392538086091</v>
      </c>
      <c r="I140" s="9">
        <f t="shared" ca="1" si="14"/>
        <v>1332.6216381628374</v>
      </c>
      <c r="J140" s="30">
        <f t="shared" ca="1" si="15"/>
        <v>1017.7453229949352</v>
      </c>
      <c r="K140" s="122">
        <f t="shared" ca="1" si="19"/>
        <v>314.87631516790213</v>
      </c>
      <c r="L140" s="30"/>
      <c r="M140" s="30"/>
      <c r="N140" s="30"/>
      <c r="O140" s="30"/>
    </row>
    <row r="141" spans="1:15" x14ac:dyDescent="0.25">
      <c r="A141" s="10">
        <v>122</v>
      </c>
      <c r="B141" s="27">
        <f t="shared" ca="1" si="10"/>
        <v>0.45114393143181397</v>
      </c>
      <c r="C141" s="21">
        <f t="shared" ca="1" si="16"/>
        <v>248.77228272272731</v>
      </c>
      <c r="D141" s="21">
        <f t="shared" ca="1" si="11"/>
        <v>263.80955001545715</v>
      </c>
      <c r="E141" s="21">
        <f t="shared" ca="1" si="12"/>
        <v>0</v>
      </c>
      <c r="F141" s="22">
        <f t="shared" ca="1" si="17"/>
        <v>15.037267292729837</v>
      </c>
      <c r="G141" s="22">
        <f t="shared" ca="1" si="13"/>
        <v>8.8202321366896399</v>
      </c>
      <c r="H141" s="31">
        <f t="shared" ca="1" si="18"/>
        <v>6.2170351560401969</v>
      </c>
      <c r="I141" s="9">
        <f t="shared" ca="1" si="14"/>
        <v>1364.2622595082335</v>
      </c>
      <c r="J141" s="30">
        <f t="shared" ca="1" si="15"/>
        <v>1001.5162869218664</v>
      </c>
      <c r="K141" s="122">
        <f t="shared" ca="1" si="19"/>
        <v>362.74597258636709</v>
      </c>
      <c r="L141" s="30"/>
      <c r="M141" s="30"/>
      <c r="N141" s="30"/>
      <c r="O141" s="30"/>
    </row>
    <row r="142" spans="1:15" x14ac:dyDescent="0.25">
      <c r="A142" s="10">
        <v>123</v>
      </c>
      <c r="B142" s="27">
        <f t="shared" ca="1" si="10"/>
        <v>0.75389295807349699</v>
      </c>
      <c r="C142" s="21">
        <f t="shared" ca="1" si="16"/>
        <v>256.86791568364117</v>
      </c>
      <c r="D142" s="21">
        <f t="shared" ca="1" si="11"/>
        <v>248.04768354695153</v>
      </c>
      <c r="E142" s="21">
        <f t="shared" ca="1" si="12"/>
        <v>0</v>
      </c>
      <c r="F142" s="22">
        <f t="shared" ca="1" si="17"/>
        <v>0</v>
      </c>
      <c r="G142" s="22">
        <f t="shared" ca="1" si="13"/>
        <v>2.8458290249570553</v>
      </c>
      <c r="H142" s="31">
        <f t="shared" ca="1" si="18"/>
        <v>0</v>
      </c>
      <c r="I142" s="9">
        <f t="shared" ca="1" si="14"/>
        <v>1364.2622595082335</v>
      </c>
      <c r="J142" s="30">
        <f t="shared" ca="1" si="15"/>
        <v>992.19073418780613</v>
      </c>
      <c r="K142" s="122">
        <f t="shared" ca="1" si="19"/>
        <v>372.07152532042733</v>
      </c>
      <c r="L142" s="30"/>
      <c r="M142" s="30"/>
      <c r="N142" s="30"/>
      <c r="O142" s="30"/>
    </row>
    <row r="143" spans="1:15" x14ac:dyDescent="0.25">
      <c r="A143" s="10">
        <v>124</v>
      </c>
      <c r="B143" s="27">
        <f t="shared" ca="1" si="10"/>
        <v>0.53559862020697402</v>
      </c>
      <c r="C143" s="21">
        <f t="shared" ca="1" si="16"/>
        <v>250.89351257190859</v>
      </c>
      <c r="D143" s="21">
        <f t="shared" ca="1" si="11"/>
        <v>248.04768354695153</v>
      </c>
      <c r="E143" s="21">
        <f t="shared" ca="1" si="12"/>
        <v>0</v>
      </c>
      <c r="F143" s="22">
        <f t="shared" ca="1" si="17"/>
        <v>0</v>
      </c>
      <c r="G143" s="22">
        <f t="shared" ca="1" si="13"/>
        <v>2.9182594973865434</v>
      </c>
      <c r="H143" s="31">
        <f t="shared" ca="1" si="18"/>
        <v>0</v>
      </c>
      <c r="I143" s="9">
        <f t="shared" ca="1" si="14"/>
        <v>1364.2622595082335</v>
      </c>
      <c r="J143" s="30">
        <f t="shared" ca="1" si="15"/>
        <v>992.19073418780613</v>
      </c>
      <c r="K143" s="122">
        <f t="shared" ca="1" si="19"/>
        <v>372.07152532042733</v>
      </c>
      <c r="L143" s="30"/>
      <c r="M143" s="30"/>
      <c r="N143" s="30"/>
      <c r="O143" s="30"/>
    </row>
    <row r="144" spans="1:15" x14ac:dyDescent="0.25">
      <c r="A144" s="10">
        <v>125</v>
      </c>
      <c r="B144" s="27">
        <f t="shared" ca="1" si="10"/>
        <v>0.53847571012610573</v>
      </c>
      <c r="C144" s="21">
        <f t="shared" ca="1" si="16"/>
        <v>250.96594304433808</v>
      </c>
      <c r="D144" s="21">
        <f t="shared" ca="1" si="11"/>
        <v>248.04768354695153</v>
      </c>
      <c r="E144" s="21">
        <f t="shared" ca="1" si="12"/>
        <v>0</v>
      </c>
      <c r="F144" s="22">
        <f t="shared" ca="1" si="17"/>
        <v>0</v>
      </c>
      <c r="G144" s="22">
        <f t="shared" ca="1" si="13"/>
        <v>7.6788673319829002</v>
      </c>
      <c r="H144" s="31">
        <f t="shared" ca="1" si="18"/>
        <v>0</v>
      </c>
      <c r="I144" s="9">
        <f t="shared" ca="1" si="14"/>
        <v>1364.2622595082335</v>
      </c>
      <c r="J144" s="30">
        <f t="shared" ca="1" si="15"/>
        <v>992.19073418780613</v>
      </c>
      <c r="K144" s="122">
        <f t="shared" ca="1" si="19"/>
        <v>372.07152532042733</v>
      </c>
      <c r="L144" s="30"/>
      <c r="M144" s="30"/>
      <c r="N144" s="30"/>
      <c r="O144" s="30"/>
    </row>
    <row r="145" spans="1:15" x14ac:dyDescent="0.25">
      <c r="A145" s="10">
        <v>126</v>
      </c>
      <c r="B145" s="27">
        <f t="shared" ca="1" si="10"/>
        <v>0.71656087376251909</v>
      </c>
      <c r="C145" s="21">
        <f t="shared" ca="1" si="16"/>
        <v>255.72655087893443</v>
      </c>
      <c r="D145" s="21">
        <f t="shared" ca="1" si="11"/>
        <v>248.04768354695153</v>
      </c>
      <c r="E145" s="21">
        <f t="shared" ca="1" si="12"/>
        <v>0</v>
      </c>
      <c r="F145" s="22">
        <f t="shared" ca="1" si="17"/>
        <v>0</v>
      </c>
      <c r="G145" s="22">
        <f t="shared" ca="1" si="13"/>
        <v>0</v>
      </c>
      <c r="H145" s="31">
        <f t="shared" ca="1" si="18"/>
        <v>0</v>
      </c>
      <c r="I145" s="9">
        <f t="shared" ca="1" si="14"/>
        <v>1364.2622595082335</v>
      </c>
      <c r="J145" s="30">
        <f t="shared" ca="1" si="15"/>
        <v>992.19073418780613</v>
      </c>
      <c r="K145" s="122">
        <f t="shared" ca="1" si="19"/>
        <v>372.07152532042733</v>
      </c>
      <c r="L145" s="30"/>
      <c r="M145" s="30"/>
      <c r="N145" s="30"/>
      <c r="O145" s="30"/>
    </row>
    <row r="146" spans="1:15" x14ac:dyDescent="0.25">
      <c r="A146" s="10">
        <v>127</v>
      </c>
      <c r="B146" s="27">
        <f t="shared" ca="1" si="10"/>
        <v>9.6039934461527254E-2</v>
      </c>
      <c r="C146" s="21">
        <f t="shared" ca="1" si="16"/>
        <v>236.95549037786293</v>
      </c>
      <c r="D146" s="21">
        <f t="shared" ca="1" si="11"/>
        <v>248.04768354695153</v>
      </c>
      <c r="E146" s="21">
        <f t="shared" ca="1" si="12"/>
        <v>11.092193169088603</v>
      </c>
      <c r="F146" s="22">
        <f t="shared" ca="1" si="17"/>
        <v>11.092193169088603</v>
      </c>
      <c r="G146" s="22">
        <f t="shared" ca="1" si="13"/>
        <v>19.972977790103982</v>
      </c>
      <c r="H146" s="31">
        <f t="shared" ca="1" si="18"/>
        <v>0</v>
      </c>
      <c r="I146" s="9">
        <f t="shared" ca="1" si="14"/>
        <v>1306.0282453705181</v>
      </c>
      <c r="J146" s="30">
        <f t="shared" ca="1" si="15"/>
        <v>992.19073418780613</v>
      </c>
      <c r="K146" s="122">
        <f t="shared" ca="1" si="19"/>
        <v>313.83751118271198</v>
      </c>
      <c r="L146" s="30"/>
      <c r="M146" s="30"/>
      <c r="N146" s="30"/>
      <c r="O146" s="30"/>
    </row>
    <row r="147" spans="1:15" x14ac:dyDescent="0.25">
      <c r="A147" s="10">
        <v>128</v>
      </c>
      <c r="B147" s="27">
        <f t="shared" ca="1" si="10"/>
        <v>0.96423249940224232</v>
      </c>
      <c r="C147" s="21">
        <f t="shared" ca="1" si="16"/>
        <v>268.02066133705551</v>
      </c>
      <c r="D147" s="21">
        <f t="shared" ca="1" si="11"/>
        <v>259.13987671604013</v>
      </c>
      <c r="E147" s="21">
        <f t="shared" ca="1" si="12"/>
        <v>0</v>
      </c>
      <c r="F147" s="22">
        <f t="shared" ca="1" si="17"/>
        <v>0</v>
      </c>
      <c r="G147" s="22">
        <f t="shared" ca="1" si="13"/>
        <v>0</v>
      </c>
      <c r="H147" s="31">
        <f t="shared" ca="1" si="18"/>
        <v>0</v>
      </c>
      <c r="I147" s="9">
        <f t="shared" ca="1" si="14"/>
        <v>1364.2622595082335</v>
      </c>
      <c r="J147" s="30">
        <f t="shared" ca="1" si="15"/>
        <v>992.19073418780613</v>
      </c>
      <c r="K147" s="122">
        <f t="shared" ca="1" si="19"/>
        <v>372.07152532042733</v>
      </c>
      <c r="L147" s="30"/>
      <c r="M147" s="30"/>
      <c r="N147" s="30"/>
      <c r="O147" s="30"/>
    </row>
    <row r="148" spans="1:15" x14ac:dyDescent="0.25">
      <c r="A148" s="10">
        <v>129</v>
      </c>
      <c r="B148" s="27">
        <f t="shared" ref="B148:B211" ca="1" si="20">RAND()</f>
        <v>0.33069146931041138</v>
      </c>
      <c r="C148" s="21">
        <f t="shared" ca="1" si="16"/>
        <v>245.61995385868408</v>
      </c>
      <c r="D148" s="21">
        <f t="shared" ref="D148:D211" ca="1" si="21">$E$10+E147</f>
        <v>248.04768354695153</v>
      </c>
      <c r="E148" s="21">
        <f t="shared" ref="E148:E211" ca="1" si="22">IF(C148&gt;$E$10,0,$E$10-C148)</f>
        <v>2.4277296882674477</v>
      </c>
      <c r="F148" s="22">
        <f t="shared" ca="1" si="17"/>
        <v>2.4277296882674477</v>
      </c>
      <c r="G148" s="22">
        <f t="shared" ref="G148:G211" ca="1" si="23">IF(C149&gt;$E$10,C149-$E$10,0)</f>
        <v>16.688941603719059</v>
      </c>
      <c r="H148" s="31">
        <f t="shared" ca="1" si="18"/>
        <v>0</v>
      </c>
      <c r="I148" s="9">
        <f t="shared" ref="I148:I211" ca="1" si="24">IF($E$10&lt;C148,$E$10*$E$7,$E$9*($E$10-C148)+(C148*$E$7)+IF($E$10&lt;C149,H148*$E$8,E147*$E$8))</f>
        <v>1351.5166786448292</v>
      </c>
      <c r="J148" s="30">
        <f t="shared" ref="J148:J211" ca="1" si="25">IF(H148&gt;0,$E$10*$E$5+H148*$E$6,$E$10*$E$5)</f>
        <v>992.19073418780613</v>
      </c>
      <c r="K148" s="122">
        <f t="shared" ca="1" si="19"/>
        <v>359.32594445702307</v>
      </c>
      <c r="L148" s="30"/>
      <c r="M148" s="30"/>
      <c r="N148" s="30"/>
      <c r="O148" s="30"/>
    </row>
    <row r="149" spans="1:15" x14ac:dyDescent="0.25">
      <c r="A149" s="10">
        <v>130</v>
      </c>
      <c r="B149" s="27">
        <f t="shared" ca="1" si="20"/>
        <v>0.92971375986007221</v>
      </c>
      <c r="C149" s="21">
        <f t="shared" ref="C149:C212" ca="1" si="26">_xlfn.NORM.INV(B149,$D$15,$D$16)</f>
        <v>264.73662515067059</v>
      </c>
      <c r="D149" s="21">
        <f t="shared" ca="1" si="21"/>
        <v>250.47541323521898</v>
      </c>
      <c r="E149" s="21">
        <f t="shared" ca="1" si="22"/>
        <v>0</v>
      </c>
      <c r="F149" s="22">
        <f t="shared" ref="F149:F212" ca="1" si="27">IF(C149&gt;D149,0,D149-C149)</f>
        <v>0</v>
      </c>
      <c r="G149" s="22">
        <f t="shared" ca="1" si="23"/>
        <v>9.479318644521129</v>
      </c>
      <c r="H149" s="31">
        <f t="shared" ref="H149:H212" ca="1" si="28">IF(G149&gt;F149,0,IF(G149&lt;F149,F149-G149,0))</f>
        <v>0</v>
      </c>
      <c r="I149" s="9">
        <f t="shared" ca="1" si="24"/>
        <v>1364.2622595082335</v>
      </c>
      <c r="J149" s="30">
        <f t="shared" ca="1" si="25"/>
        <v>992.19073418780613</v>
      </c>
      <c r="K149" s="122">
        <f t="shared" ref="K149:K212" ca="1" si="29">I149-J149</f>
        <v>372.07152532042733</v>
      </c>
      <c r="L149" s="30"/>
      <c r="M149" s="30"/>
      <c r="N149" s="30"/>
      <c r="O149" s="30"/>
    </row>
    <row r="150" spans="1:15" x14ac:dyDescent="0.25">
      <c r="A150" s="10">
        <v>131</v>
      </c>
      <c r="B150" s="27">
        <f t="shared" ca="1" si="20"/>
        <v>0.77418496088421285</v>
      </c>
      <c r="C150" s="21">
        <f t="shared" ca="1" si="26"/>
        <v>257.52700219147266</v>
      </c>
      <c r="D150" s="21">
        <f t="shared" ca="1" si="21"/>
        <v>248.04768354695153</v>
      </c>
      <c r="E150" s="21">
        <f t="shared" ca="1" si="22"/>
        <v>0</v>
      </c>
      <c r="F150" s="22">
        <f t="shared" ca="1" si="27"/>
        <v>0</v>
      </c>
      <c r="G150" s="22">
        <f t="shared" ca="1" si="23"/>
        <v>14.371082563165487</v>
      </c>
      <c r="H150" s="31">
        <f t="shared" ca="1" si="28"/>
        <v>0</v>
      </c>
      <c r="I150" s="9">
        <f t="shared" ca="1" si="24"/>
        <v>1364.2622595082335</v>
      </c>
      <c r="J150" s="30">
        <f t="shared" ca="1" si="25"/>
        <v>992.19073418780613</v>
      </c>
      <c r="K150" s="122">
        <f t="shared" ca="1" si="29"/>
        <v>372.07152532042733</v>
      </c>
      <c r="L150" s="30"/>
      <c r="M150" s="30"/>
      <c r="N150" s="30"/>
      <c r="O150" s="30"/>
    </row>
    <row r="151" spans="1:15" x14ac:dyDescent="0.25">
      <c r="A151" s="10">
        <v>132</v>
      </c>
      <c r="B151" s="27">
        <f t="shared" ca="1" si="20"/>
        <v>0.89285895457454778</v>
      </c>
      <c r="C151" s="21">
        <f t="shared" ca="1" si="26"/>
        <v>262.41876611011702</v>
      </c>
      <c r="D151" s="21">
        <f t="shared" ca="1" si="21"/>
        <v>248.04768354695153</v>
      </c>
      <c r="E151" s="21">
        <f t="shared" ca="1" si="22"/>
        <v>0</v>
      </c>
      <c r="F151" s="22">
        <f t="shared" ca="1" si="27"/>
        <v>0</v>
      </c>
      <c r="G151" s="22">
        <f t="shared" ca="1" si="23"/>
        <v>0</v>
      </c>
      <c r="H151" s="31">
        <f t="shared" ca="1" si="28"/>
        <v>0</v>
      </c>
      <c r="I151" s="9">
        <f t="shared" ca="1" si="24"/>
        <v>1364.2622595082335</v>
      </c>
      <c r="J151" s="30">
        <f t="shared" ca="1" si="25"/>
        <v>992.19073418780613</v>
      </c>
      <c r="K151" s="122">
        <f t="shared" ca="1" si="29"/>
        <v>372.07152532042733</v>
      </c>
      <c r="L151" s="30"/>
      <c r="M151" s="30"/>
      <c r="N151" s="30"/>
      <c r="O151" s="30"/>
    </row>
    <row r="152" spans="1:15" x14ac:dyDescent="0.25">
      <c r="A152" s="10">
        <v>133</v>
      </c>
      <c r="B152" s="27">
        <f t="shared" ca="1" si="20"/>
        <v>3.5100039920650583E-2</v>
      </c>
      <c r="C152" s="21">
        <f t="shared" ca="1" si="26"/>
        <v>231.89382490121505</v>
      </c>
      <c r="D152" s="21">
        <f t="shared" ca="1" si="21"/>
        <v>248.04768354695153</v>
      </c>
      <c r="E152" s="21">
        <f t="shared" ca="1" si="22"/>
        <v>16.153858645736477</v>
      </c>
      <c r="F152" s="22">
        <f t="shared" ca="1" si="27"/>
        <v>16.153858645736477</v>
      </c>
      <c r="G152" s="22">
        <f t="shared" ca="1" si="23"/>
        <v>0</v>
      </c>
      <c r="H152" s="31">
        <f t="shared" ca="1" si="28"/>
        <v>16.153858645736477</v>
      </c>
      <c r="I152" s="9">
        <f t="shared" ca="1" si="24"/>
        <v>1279.4545016181169</v>
      </c>
      <c r="J152" s="30">
        <f t="shared" ca="1" si="25"/>
        <v>1016.4215221564109</v>
      </c>
      <c r="K152" s="122">
        <f t="shared" ca="1" si="29"/>
        <v>263.03297946170596</v>
      </c>
      <c r="L152" s="30"/>
      <c r="M152" s="30"/>
      <c r="N152" s="30"/>
      <c r="O152" s="30"/>
    </row>
    <row r="153" spans="1:15" x14ac:dyDescent="0.25">
      <c r="A153" s="10">
        <v>134</v>
      </c>
      <c r="B153" s="27">
        <f t="shared" ca="1" si="20"/>
        <v>0.18385332067466864</v>
      </c>
      <c r="C153" s="21">
        <f t="shared" ca="1" si="26"/>
        <v>240.99222515882587</v>
      </c>
      <c r="D153" s="21">
        <f t="shared" ca="1" si="21"/>
        <v>264.20154219268801</v>
      </c>
      <c r="E153" s="21">
        <f t="shared" ca="1" si="22"/>
        <v>7.0554583881256576</v>
      </c>
      <c r="F153" s="22">
        <f t="shared" ca="1" si="27"/>
        <v>23.209317033862135</v>
      </c>
      <c r="G153" s="22">
        <f t="shared" ca="1" si="23"/>
        <v>0</v>
      </c>
      <c r="H153" s="31">
        <f t="shared" ca="1" si="28"/>
        <v>23.209317033862135</v>
      </c>
      <c r="I153" s="9">
        <f t="shared" ca="1" si="24"/>
        <v>1375.6826789077832</v>
      </c>
      <c r="J153" s="30">
        <f t="shared" ca="1" si="25"/>
        <v>1027.0047097385993</v>
      </c>
      <c r="K153" s="122">
        <f t="shared" ca="1" si="29"/>
        <v>348.67796916918383</v>
      </c>
      <c r="L153" s="30"/>
      <c r="M153" s="30"/>
      <c r="N153" s="30"/>
      <c r="O153" s="30"/>
    </row>
    <row r="154" spans="1:15" x14ac:dyDescent="0.25">
      <c r="A154" s="10">
        <v>135</v>
      </c>
      <c r="B154" s="27">
        <f t="shared" ca="1" si="20"/>
        <v>7.6465752173731527E-2</v>
      </c>
      <c r="C154" s="21">
        <f t="shared" ca="1" si="26"/>
        <v>235.70746912795525</v>
      </c>
      <c r="D154" s="21">
        <f t="shared" ca="1" si="21"/>
        <v>255.10314193507719</v>
      </c>
      <c r="E154" s="21">
        <f t="shared" ca="1" si="22"/>
        <v>12.340214418996283</v>
      </c>
      <c r="F154" s="22">
        <f t="shared" ca="1" si="27"/>
        <v>19.39567280712194</v>
      </c>
      <c r="G154" s="22">
        <f t="shared" ca="1" si="23"/>
        <v>0</v>
      </c>
      <c r="H154" s="31">
        <f t="shared" ca="1" si="28"/>
        <v>19.39567280712194</v>
      </c>
      <c r="I154" s="9">
        <f t="shared" ca="1" si="24"/>
        <v>1320.64250897288</v>
      </c>
      <c r="J154" s="30">
        <f t="shared" ca="1" si="25"/>
        <v>1021.284243398489</v>
      </c>
      <c r="K154" s="122">
        <f t="shared" ca="1" si="29"/>
        <v>299.358265574391</v>
      </c>
      <c r="L154" s="30"/>
      <c r="M154" s="30"/>
      <c r="N154" s="30"/>
      <c r="O154" s="30"/>
    </row>
    <row r="155" spans="1:15" x14ac:dyDescent="0.25">
      <c r="A155" s="10">
        <v>136</v>
      </c>
      <c r="B155" s="27">
        <f t="shared" ca="1" si="20"/>
        <v>0.20125873378395454</v>
      </c>
      <c r="C155" s="21">
        <f t="shared" ca="1" si="26"/>
        <v>241.62866385525092</v>
      </c>
      <c r="D155" s="21">
        <f t="shared" ca="1" si="21"/>
        <v>260.38789796594779</v>
      </c>
      <c r="E155" s="21">
        <f t="shared" ca="1" si="22"/>
        <v>6.4190196917006119</v>
      </c>
      <c r="F155" s="22">
        <f t="shared" ca="1" si="27"/>
        <v>18.759234110696866</v>
      </c>
      <c r="G155" s="22">
        <f t="shared" ca="1" si="23"/>
        <v>1.7157583481035488</v>
      </c>
      <c r="H155" s="31">
        <f t="shared" ca="1" si="28"/>
        <v>17.043475762593317</v>
      </c>
      <c r="I155" s="9">
        <f t="shared" ca="1" si="24"/>
        <v>1381.692833414585</v>
      </c>
      <c r="J155" s="30">
        <f t="shared" ca="1" si="25"/>
        <v>1017.7559478316961</v>
      </c>
      <c r="K155" s="122">
        <f t="shared" ca="1" si="29"/>
        <v>363.93688558288898</v>
      </c>
      <c r="L155" s="30"/>
      <c r="M155" s="30"/>
      <c r="N155" s="30"/>
      <c r="O155" s="30"/>
    </row>
    <row r="156" spans="1:15" x14ac:dyDescent="0.25">
      <c r="A156" s="10">
        <v>137</v>
      </c>
      <c r="B156" s="27">
        <f t="shared" ca="1" si="20"/>
        <v>0.49056357712436094</v>
      </c>
      <c r="C156" s="21">
        <f t="shared" ca="1" si="26"/>
        <v>249.76344189505508</v>
      </c>
      <c r="D156" s="21">
        <f t="shared" ca="1" si="21"/>
        <v>254.46670323865214</v>
      </c>
      <c r="E156" s="21">
        <f t="shared" ca="1" si="22"/>
        <v>0</v>
      </c>
      <c r="F156" s="22">
        <f t="shared" ca="1" si="27"/>
        <v>4.7032613435970632</v>
      </c>
      <c r="G156" s="22">
        <f t="shared" ca="1" si="23"/>
        <v>0</v>
      </c>
      <c r="H156" s="31">
        <f t="shared" ca="1" si="28"/>
        <v>4.7032613435970632</v>
      </c>
      <c r="I156" s="9">
        <f t="shared" ca="1" si="24"/>
        <v>1364.2622595082335</v>
      </c>
      <c r="J156" s="30">
        <f t="shared" ca="1" si="25"/>
        <v>999.24562620320171</v>
      </c>
      <c r="K156" s="122">
        <f t="shared" ca="1" si="29"/>
        <v>365.01663330503175</v>
      </c>
      <c r="L156" s="30"/>
      <c r="M156" s="30"/>
      <c r="N156" s="30"/>
      <c r="O156" s="30"/>
    </row>
    <row r="157" spans="1:15" x14ac:dyDescent="0.25">
      <c r="A157" s="10">
        <v>138</v>
      </c>
      <c r="B157" s="27">
        <f t="shared" ca="1" si="20"/>
        <v>0.22589449465800238</v>
      </c>
      <c r="C157" s="21">
        <f t="shared" ca="1" si="26"/>
        <v>242.47564141830367</v>
      </c>
      <c r="D157" s="21">
        <f t="shared" ca="1" si="21"/>
        <v>248.04768354695153</v>
      </c>
      <c r="E157" s="21">
        <f t="shared" ca="1" si="22"/>
        <v>5.5720421286478654</v>
      </c>
      <c r="F157" s="22">
        <f t="shared" ca="1" si="27"/>
        <v>5.5720421286478654</v>
      </c>
      <c r="G157" s="22">
        <f t="shared" ca="1" si="23"/>
        <v>3.0786786879297097</v>
      </c>
      <c r="H157" s="31">
        <f t="shared" ca="1" si="28"/>
        <v>2.4933634407181557</v>
      </c>
      <c r="I157" s="9">
        <f t="shared" ca="1" si="24"/>
        <v>1342.4891286549864</v>
      </c>
      <c r="J157" s="30">
        <f t="shared" ca="1" si="25"/>
        <v>995.93077934888333</v>
      </c>
      <c r="K157" s="122">
        <f t="shared" ca="1" si="29"/>
        <v>346.55834930610308</v>
      </c>
      <c r="L157" s="30"/>
      <c r="M157" s="30"/>
      <c r="N157" s="30"/>
      <c r="O157" s="30"/>
    </row>
    <row r="158" spans="1:15" x14ac:dyDescent="0.25">
      <c r="A158" s="10">
        <v>139</v>
      </c>
      <c r="B158" s="27">
        <f t="shared" ca="1" si="20"/>
        <v>0.54484051720522164</v>
      </c>
      <c r="C158" s="21">
        <f t="shared" ca="1" si="26"/>
        <v>251.12636223488124</v>
      </c>
      <c r="D158" s="21">
        <f t="shared" ca="1" si="21"/>
        <v>253.6197256755994</v>
      </c>
      <c r="E158" s="21">
        <f t="shared" ca="1" si="22"/>
        <v>0</v>
      </c>
      <c r="F158" s="22">
        <f t="shared" ca="1" si="27"/>
        <v>2.4933634407181557</v>
      </c>
      <c r="G158" s="22">
        <f t="shared" ca="1" si="23"/>
        <v>1.4077966707523046</v>
      </c>
      <c r="H158" s="31">
        <f t="shared" ca="1" si="28"/>
        <v>1.0855667699658511</v>
      </c>
      <c r="I158" s="9">
        <f t="shared" ca="1" si="24"/>
        <v>1364.2622595082335</v>
      </c>
      <c r="J158" s="30">
        <f t="shared" ca="1" si="25"/>
        <v>993.81908434275488</v>
      </c>
      <c r="K158" s="122">
        <f t="shared" ca="1" si="29"/>
        <v>370.44317516547858</v>
      </c>
      <c r="L158" s="30"/>
      <c r="M158" s="30"/>
      <c r="N158" s="30"/>
      <c r="O158" s="30"/>
    </row>
    <row r="159" spans="1:15" x14ac:dyDescent="0.25">
      <c r="A159" s="10">
        <v>140</v>
      </c>
      <c r="B159" s="27">
        <f t="shared" ca="1" si="20"/>
        <v>0.47828753380446232</v>
      </c>
      <c r="C159" s="21">
        <f t="shared" ca="1" si="26"/>
        <v>249.45548021770384</v>
      </c>
      <c r="D159" s="21">
        <f t="shared" ca="1" si="21"/>
        <v>248.04768354695153</v>
      </c>
      <c r="E159" s="21">
        <f t="shared" ca="1" si="22"/>
        <v>0</v>
      </c>
      <c r="F159" s="22">
        <f t="shared" ca="1" si="27"/>
        <v>0</v>
      </c>
      <c r="G159" s="22">
        <f t="shared" ca="1" si="23"/>
        <v>2.6910950663228732</v>
      </c>
      <c r="H159" s="31">
        <f t="shared" ca="1" si="28"/>
        <v>0</v>
      </c>
      <c r="I159" s="9">
        <f t="shared" ca="1" si="24"/>
        <v>1364.2622595082335</v>
      </c>
      <c r="J159" s="30">
        <f t="shared" ca="1" si="25"/>
        <v>992.19073418780613</v>
      </c>
      <c r="K159" s="122">
        <f t="shared" ca="1" si="29"/>
        <v>372.07152532042733</v>
      </c>
      <c r="L159" s="30"/>
      <c r="M159" s="30"/>
      <c r="N159" s="30"/>
      <c r="O159" s="30"/>
    </row>
    <row r="160" spans="1:15" x14ac:dyDescent="0.25">
      <c r="A160" s="10">
        <v>141</v>
      </c>
      <c r="B160" s="27">
        <f t="shared" ca="1" si="20"/>
        <v>0.52944621409894965</v>
      </c>
      <c r="C160" s="21">
        <f t="shared" ca="1" si="26"/>
        <v>250.73877861327441</v>
      </c>
      <c r="D160" s="21">
        <f t="shared" ca="1" si="21"/>
        <v>248.04768354695153</v>
      </c>
      <c r="E160" s="21">
        <f t="shared" ca="1" si="22"/>
        <v>0</v>
      </c>
      <c r="F160" s="22">
        <f t="shared" ca="1" si="27"/>
        <v>0</v>
      </c>
      <c r="G160" s="22">
        <f t="shared" ca="1" si="23"/>
        <v>15.053327714228658</v>
      </c>
      <c r="H160" s="31">
        <f t="shared" ca="1" si="28"/>
        <v>0</v>
      </c>
      <c r="I160" s="9">
        <f t="shared" ca="1" si="24"/>
        <v>1364.2622595082335</v>
      </c>
      <c r="J160" s="30">
        <f t="shared" ca="1" si="25"/>
        <v>992.19073418780613</v>
      </c>
      <c r="K160" s="122">
        <f t="shared" ca="1" si="29"/>
        <v>372.07152532042733</v>
      </c>
      <c r="L160" s="30"/>
      <c r="M160" s="30"/>
      <c r="N160" s="30"/>
      <c r="O160" s="30"/>
    </row>
    <row r="161" spans="1:15" x14ac:dyDescent="0.25">
      <c r="A161" s="10">
        <v>142</v>
      </c>
      <c r="B161" s="27">
        <f t="shared" ca="1" si="20"/>
        <v>0.90491918622708267</v>
      </c>
      <c r="C161" s="21">
        <f t="shared" ca="1" si="26"/>
        <v>263.10101126118019</v>
      </c>
      <c r="D161" s="21">
        <f t="shared" ca="1" si="21"/>
        <v>248.04768354695153</v>
      </c>
      <c r="E161" s="21">
        <f t="shared" ca="1" si="22"/>
        <v>0</v>
      </c>
      <c r="F161" s="22">
        <f t="shared" ca="1" si="27"/>
        <v>0</v>
      </c>
      <c r="G161" s="22">
        <f t="shared" ca="1" si="23"/>
        <v>0</v>
      </c>
      <c r="H161" s="31">
        <f t="shared" ca="1" si="28"/>
        <v>0</v>
      </c>
      <c r="I161" s="9">
        <f t="shared" ca="1" si="24"/>
        <v>1364.2622595082335</v>
      </c>
      <c r="J161" s="30">
        <f t="shared" ca="1" si="25"/>
        <v>992.19073418780613</v>
      </c>
      <c r="K161" s="122">
        <f t="shared" ca="1" si="29"/>
        <v>372.07152532042733</v>
      </c>
      <c r="L161" s="30"/>
      <c r="M161" s="30"/>
      <c r="N161" s="30"/>
      <c r="O161" s="30"/>
    </row>
    <row r="162" spans="1:15" x14ac:dyDescent="0.25">
      <c r="A162" s="10">
        <v>143</v>
      </c>
      <c r="B162" s="27">
        <f t="shared" ca="1" si="20"/>
        <v>5.0393402702319845E-2</v>
      </c>
      <c r="C162" s="21">
        <f t="shared" ca="1" si="26"/>
        <v>233.58948886379727</v>
      </c>
      <c r="D162" s="21">
        <f t="shared" ca="1" si="21"/>
        <v>248.04768354695153</v>
      </c>
      <c r="E162" s="21">
        <f t="shared" ca="1" si="22"/>
        <v>14.458194683154261</v>
      </c>
      <c r="F162" s="22">
        <f t="shared" ca="1" si="27"/>
        <v>14.458194683154261</v>
      </c>
      <c r="G162" s="22">
        <f t="shared" ca="1" si="23"/>
        <v>5.9626069413251344</v>
      </c>
      <c r="H162" s="31">
        <f t="shared" ca="1" si="28"/>
        <v>8.4955877418291266</v>
      </c>
      <c r="I162" s="9">
        <f t="shared" ca="1" si="24"/>
        <v>1313.8435006471609</v>
      </c>
      <c r="J162" s="30">
        <f t="shared" ca="1" si="25"/>
        <v>1004.9341158005498</v>
      </c>
      <c r="K162" s="122">
        <f t="shared" ca="1" si="29"/>
        <v>308.90938484661115</v>
      </c>
      <c r="L162" s="30"/>
      <c r="M162" s="30"/>
      <c r="N162" s="30"/>
      <c r="O162" s="30"/>
    </row>
    <row r="163" spans="1:15" x14ac:dyDescent="0.25">
      <c r="A163" s="10">
        <v>144</v>
      </c>
      <c r="B163" s="27">
        <f t="shared" ca="1" si="20"/>
        <v>0.65580063151499834</v>
      </c>
      <c r="C163" s="21">
        <f t="shared" ca="1" si="26"/>
        <v>254.01029048827667</v>
      </c>
      <c r="D163" s="21">
        <f t="shared" ca="1" si="21"/>
        <v>262.50587823010579</v>
      </c>
      <c r="E163" s="21">
        <f t="shared" ca="1" si="22"/>
        <v>0</v>
      </c>
      <c r="F163" s="22">
        <f t="shared" ca="1" si="27"/>
        <v>8.4955877418291266</v>
      </c>
      <c r="G163" s="22">
        <f t="shared" ca="1" si="23"/>
        <v>7.9491037971551179</v>
      </c>
      <c r="H163" s="31">
        <f t="shared" ca="1" si="28"/>
        <v>0.54648394467400863</v>
      </c>
      <c r="I163" s="9">
        <f t="shared" ca="1" si="24"/>
        <v>1364.2622595082335</v>
      </c>
      <c r="J163" s="30">
        <f t="shared" ca="1" si="25"/>
        <v>993.01046010481718</v>
      </c>
      <c r="K163" s="122">
        <f t="shared" ca="1" si="29"/>
        <v>371.25179940341627</v>
      </c>
      <c r="L163" s="30"/>
      <c r="M163" s="30"/>
      <c r="N163" s="30"/>
      <c r="O163" s="30"/>
    </row>
    <row r="164" spans="1:15" x14ac:dyDescent="0.25">
      <c r="A164" s="10">
        <v>145</v>
      </c>
      <c r="B164" s="27">
        <f t="shared" ca="1" si="20"/>
        <v>0.72563981833488511</v>
      </c>
      <c r="C164" s="21">
        <f t="shared" ca="1" si="26"/>
        <v>255.99678734410665</v>
      </c>
      <c r="D164" s="21">
        <f t="shared" ca="1" si="21"/>
        <v>248.04768354695153</v>
      </c>
      <c r="E164" s="21">
        <f t="shared" ca="1" si="22"/>
        <v>0</v>
      </c>
      <c r="F164" s="22">
        <f t="shared" ca="1" si="27"/>
        <v>0</v>
      </c>
      <c r="G164" s="22">
        <f t="shared" ca="1" si="23"/>
        <v>4.0128825951615852</v>
      </c>
      <c r="H164" s="31">
        <f t="shared" ca="1" si="28"/>
        <v>0</v>
      </c>
      <c r="I164" s="9">
        <f t="shared" ca="1" si="24"/>
        <v>1364.2622595082335</v>
      </c>
      <c r="J164" s="30">
        <f t="shared" ca="1" si="25"/>
        <v>992.19073418780613</v>
      </c>
      <c r="K164" s="122">
        <f t="shared" ca="1" si="29"/>
        <v>372.07152532042733</v>
      </c>
      <c r="L164" s="30"/>
      <c r="M164" s="30"/>
      <c r="N164" s="30"/>
      <c r="O164" s="30"/>
    </row>
    <row r="165" spans="1:15" x14ac:dyDescent="0.25">
      <c r="A165" s="10">
        <v>146</v>
      </c>
      <c r="B165" s="43">
        <f t="shared" ca="1" si="20"/>
        <v>0.5816266558437837</v>
      </c>
      <c r="C165" s="44">
        <f t="shared" ca="1" si="26"/>
        <v>252.06056614211312</v>
      </c>
      <c r="D165" s="44">
        <f t="shared" ca="1" si="21"/>
        <v>248.04768354695153</v>
      </c>
      <c r="E165" s="44">
        <f t="shared" ca="1" si="22"/>
        <v>0</v>
      </c>
      <c r="F165" s="45">
        <f t="shared" ca="1" si="27"/>
        <v>0</v>
      </c>
      <c r="G165" s="45">
        <f t="shared" ca="1" si="23"/>
        <v>0</v>
      </c>
      <c r="H165" s="46">
        <f t="shared" ca="1" si="28"/>
        <v>0</v>
      </c>
      <c r="I165" s="1">
        <f t="shared" ca="1" si="24"/>
        <v>1364.2622595082335</v>
      </c>
      <c r="J165" s="47">
        <f t="shared" ca="1" si="25"/>
        <v>992.19073418780613</v>
      </c>
      <c r="K165" s="123">
        <f t="shared" ca="1" si="29"/>
        <v>372.07152532042733</v>
      </c>
      <c r="L165" s="30"/>
      <c r="M165" s="30"/>
      <c r="N165" s="30"/>
      <c r="O165" s="30"/>
    </row>
    <row r="166" spans="1:15" x14ac:dyDescent="0.25">
      <c r="A166" s="10">
        <v>147</v>
      </c>
      <c r="B166" s="48">
        <f t="shared" ca="1" si="20"/>
        <v>0.13619609999581239</v>
      </c>
      <c r="C166" s="49">
        <f t="shared" ca="1" si="26"/>
        <v>239.02429773996568</v>
      </c>
      <c r="D166" s="49">
        <f t="shared" ca="1" si="21"/>
        <v>248.04768354695153</v>
      </c>
      <c r="E166" s="49">
        <f t="shared" ca="1" si="22"/>
        <v>9.023385806985857</v>
      </c>
      <c r="F166" s="50">
        <f t="shared" ca="1" si="27"/>
        <v>9.023385806985857</v>
      </c>
      <c r="G166" s="50">
        <f t="shared" ca="1" si="23"/>
        <v>0</v>
      </c>
      <c r="H166" s="51">
        <f t="shared" ca="1" si="28"/>
        <v>9.023385806985857</v>
      </c>
      <c r="I166" s="52">
        <f t="shared" ca="1" si="24"/>
        <v>1316.8894840215578</v>
      </c>
      <c r="J166" s="53">
        <f t="shared" ca="1" si="25"/>
        <v>1005.7258128982849</v>
      </c>
      <c r="K166" s="124">
        <f t="shared" ca="1" si="29"/>
        <v>311.16367112327293</v>
      </c>
      <c r="L166" s="30"/>
      <c r="M166" s="30"/>
      <c r="N166" s="30"/>
      <c r="O166" s="30"/>
    </row>
    <row r="167" spans="1:15" x14ac:dyDescent="0.25">
      <c r="A167" s="10">
        <v>148</v>
      </c>
      <c r="B167" s="27">
        <f t="shared" ca="1" si="20"/>
        <v>0.29317512179966643</v>
      </c>
      <c r="C167" s="21">
        <f t="shared" ca="1" si="26"/>
        <v>244.55867422024292</v>
      </c>
      <c r="D167" s="21">
        <f t="shared" ca="1" si="21"/>
        <v>257.07106935393739</v>
      </c>
      <c r="E167" s="21">
        <f t="shared" ca="1" si="22"/>
        <v>3.4890093267086115</v>
      </c>
      <c r="F167" s="22">
        <f t="shared" ca="1" si="27"/>
        <v>12.512395133694469</v>
      </c>
      <c r="G167" s="22">
        <f t="shared" ca="1" si="23"/>
        <v>11.288653216977025</v>
      </c>
      <c r="H167" s="31">
        <f t="shared" ca="1" si="28"/>
        <v>1.2237419167174437</v>
      </c>
      <c r="I167" s="9">
        <f t="shared" ca="1" si="24"/>
        <v>1349.6161862931656</v>
      </c>
      <c r="J167" s="30">
        <f t="shared" ca="1" si="25"/>
        <v>994.02634706288234</v>
      </c>
      <c r="K167" s="122">
        <f t="shared" ca="1" si="29"/>
        <v>355.58983923028325</v>
      </c>
      <c r="L167" s="30"/>
      <c r="M167" s="30"/>
      <c r="N167" s="30"/>
      <c r="O167" s="30"/>
    </row>
    <row r="168" spans="1:15" x14ac:dyDescent="0.25">
      <c r="A168" s="10">
        <v>149</v>
      </c>
      <c r="B168" s="27">
        <f t="shared" ca="1" si="20"/>
        <v>0.82475355616737434</v>
      </c>
      <c r="C168" s="21">
        <f t="shared" ca="1" si="26"/>
        <v>259.33633676392856</v>
      </c>
      <c r="D168" s="21">
        <f t="shared" ca="1" si="21"/>
        <v>251.53669287366014</v>
      </c>
      <c r="E168" s="21">
        <f t="shared" ca="1" si="22"/>
        <v>0</v>
      </c>
      <c r="F168" s="22">
        <f t="shared" ca="1" si="27"/>
        <v>0</v>
      </c>
      <c r="G168" s="22">
        <f t="shared" ca="1" si="23"/>
        <v>0</v>
      </c>
      <c r="H168" s="31">
        <f t="shared" ca="1" si="28"/>
        <v>0</v>
      </c>
      <c r="I168" s="9">
        <f t="shared" ca="1" si="24"/>
        <v>1364.2622595082335</v>
      </c>
      <c r="J168" s="30">
        <f t="shared" ca="1" si="25"/>
        <v>992.19073418780613</v>
      </c>
      <c r="K168" s="122">
        <f t="shared" ca="1" si="29"/>
        <v>372.07152532042733</v>
      </c>
      <c r="L168" s="30"/>
      <c r="M168" s="30"/>
      <c r="N168" s="30"/>
      <c r="O168" s="30"/>
    </row>
    <row r="169" spans="1:15" x14ac:dyDescent="0.25">
      <c r="A169" s="10">
        <v>150</v>
      </c>
      <c r="B169" s="27">
        <f t="shared" ca="1" si="20"/>
        <v>0.20608904709550935</v>
      </c>
      <c r="C169" s="21">
        <f t="shared" ca="1" si="26"/>
        <v>241.7993331724395</v>
      </c>
      <c r="D169" s="21">
        <f t="shared" ca="1" si="21"/>
        <v>248.04768354695153</v>
      </c>
      <c r="E169" s="21">
        <f t="shared" ca="1" si="22"/>
        <v>6.2483503745120288</v>
      </c>
      <c r="F169" s="22">
        <f t="shared" ca="1" si="27"/>
        <v>6.2483503745120288</v>
      </c>
      <c r="G169" s="22">
        <f t="shared" ca="1" si="23"/>
        <v>0</v>
      </c>
      <c r="H169" s="31">
        <f t="shared" ca="1" si="28"/>
        <v>6.2483503745120288</v>
      </c>
      <c r="I169" s="9">
        <f t="shared" ca="1" si="24"/>
        <v>1331.4584200420454</v>
      </c>
      <c r="J169" s="30">
        <f t="shared" ca="1" si="25"/>
        <v>1001.5632597495742</v>
      </c>
      <c r="K169" s="122">
        <f t="shared" ca="1" si="29"/>
        <v>329.89516029247125</v>
      </c>
      <c r="L169" s="30"/>
      <c r="M169" s="30"/>
      <c r="N169" s="30"/>
      <c r="O169" s="30"/>
    </row>
    <row r="170" spans="1:15" x14ac:dyDescent="0.25">
      <c r="A170" s="10">
        <v>151</v>
      </c>
      <c r="B170" s="27">
        <f t="shared" ca="1" si="20"/>
        <v>4.7920781408465785E-2</v>
      </c>
      <c r="C170" s="21">
        <f t="shared" ca="1" si="26"/>
        <v>233.34643050037519</v>
      </c>
      <c r="D170" s="21">
        <f t="shared" ca="1" si="21"/>
        <v>254.29603392146356</v>
      </c>
      <c r="E170" s="21">
        <f t="shared" ca="1" si="22"/>
        <v>14.70125304657634</v>
      </c>
      <c r="F170" s="22">
        <f t="shared" ca="1" si="27"/>
        <v>20.949603421088369</v>
      </c>
      <c r="G170" s="22">
        <f t="shared" ca="1" si="23"/>
        <v>5.4250786107713793</v>
      </c>
      <c r="H170" s="31">
        <f t="shared" ca="1" si="28"/>
        <v>15.52452481031699</v>
      </c>
      <c r="I170" s="9">
        <f t="shared" ca="1" si="24"/>
        <v>1333.6542554446585</v>
      </c>
      <c r="J170" s="30">
        <f t="shared" ca="1" si="25"/>
        <v>1015.4775214032816</v>
      </c>
      <c r="K170" s="122">
        <f t="shared" ca="1" si="29"/>
        <v>318.1767340413769</v>
      </c>
      <c r="L170" s="30"/>
      <c r="M170" s="30"/>
      <c r="N170" s="30"/>
      <c r="O170" s="30"/>
    </row>
    <row r="171" spans="1:15" x14ac:dyDescent="0.25">
      <c r="A171" s="10">
        <v>152</v>
      </c>
      <c r="B171" s="27">
        <f t="shared" ca="1" si="20"/>
        <v>0.63580809136297456</v>
      </c>
      <c r="C171" s="21">
        <f t="shared" ca="1" si="26"/>
        <v>253.47276215772291</v>
      </c>
      <c r="D171" s="21">
        <f t="shared" ca="1" si="21"/>
        <v>262.7489365935279</v>
      </c>
      <c r="E171" s="21">
        <f t="shared" ca="1" si="22"/>
        <v>0</v>
      </c>
      <c r="F171" s="22">
        <f t="shared" ca="1" si="27"/>
        <v>9.2761744358049896</v>
      </c>
      <c r="G171" s="22">
        <f t="shared" ca="1" si="23"/>
        <v>0</v>
      </c>
      <c r="H171" s="31">
        <f t="shared" ca="1" si="28"/>
        <v>9.2761744358049896</v>
      </c>
      <c r="I171" s="9">
        <f t="shared" ca="1" si="24"/>
        <v>1364.2622595082335</v>
      </c>
      <c r="J171" s="30">
        <f t="shared" ca="1" si="25"/>
        <v>1006.1049958415136</v>
      </c>
      <c r="K171" s="122">
        <f t="shared" ca="1" si="29"/>
        <v>358.15726366671981</v>
      </c>
      <c r="L171" s="30"/>
      <c r="M171" s="30"/>
      <c r="N171" s="30"/>
      <c r="O171" s="30"/>
    </row>
    <row r="172" spans="1:15" x14ac:dyDescent="0.25">
      <c r="A172" s="10">
        <v>153</v>
      </c>
      <c r="B172" s="27">
        <f t="shared" ca="1" si="20"/>
        <v>5.9201400165466156E-3</v>
      </c>
      <c r="C172" s="21">
        <f t="shared" ca="1" si="26"/>
        <v>224.83130872031091</v>
      </c>
      <c r="D172" s="21">
        <f t="shared" ca="1" si="21"/>
        <v>248.04768354695153</v>
      </c>
      <c r="E172" s="21">
        <f t="shared" ca="1" si="22"/>
        <v>23.216374826640617</v>
      </c>
      <c r="F172" s="22">
        <f t="shared" ca="1" si="27"/>
        <v>23.216374826640617</v>
      </c>
      <c r="G172" s="22">
        <f t="shared" ca="1" si="23"/>
        <v>5.8870706348060935</v>
      </c>
      <c r="H172" s="31">
        <f t="shared" ca="1" si="28"/>
        <v>17.329304191834524</v>
      </c>
      <c r="I172" s="9">
        <f t="shared" ca="1" si="24"/>
        <v>1294.3642042438737</v>
      </c>
      <c r="J172" s="30">
        <f t="shared" ca="1" si="25"/>
        <v>1018.1846904755579</v>
      </c>
      <c r="K172" s="122">
        <f t="shared" ca="1" si="29"/>
        <v>276.17951376831581</v>
      </c>
      <c r="L172" s="30"/>
      <c r="M172" s="30"/>
      <c r="N172" s="30"/>
      <c r="O172" s="30"/>
    </row>
    <row r="173" spans="1:15" x14ac:dyDescent="0.25">
      <c r="A173" s="10">
        <v>154</v>
      </c>
      <c r="B173" s="27">
        <f t="shared" ca="1" si="20"/>
        <v>0.6530158118339745</v>
      </c>
      <c r="C173" s="21">
        <f t="shared" ca="1" si="26"/>
        <v>253.93475418175763</v>
      </c>
      <c r="D173" s="21">
        <f t="shared" ca="1" si="21"/>
        <v>271.26405837359215</v>
      </c>
      <c r="E173" s="21">
        <f t="shared" ca="1" si="22"/>
        <v>0</v>
      </c>
      <c r="F173" s="22">
        <f t="shared" ca="1" si="27"/>
        <v>17.329304191834524</v>
      </c>
      <c r="G173" s="22">
        <f t="shared" ca="1" si="23"/>
        <v>12.354456832295568</v>
      </c>
      <c r="H173" s="31">
        <f t="shared" ca="1" si="28"/>
        <v>4.9748473595389555</v>
      </c>
      <c r="I173" s="9">
        <f t="shared" ca="1" si="24"/>
        <v>1364.2622595082335</v>
      </c>
      <c r="J173" s="30">
        <f t="shared" ca="1" si="25"/>
        <v>999.65300522711459</v>
      </c>
      <c r="K173" s="122">
        <f t="shared" ca="1" si="29"/>
        <v>364.60925428111887</v>
      </c>
      <c r="L173" s="30"/>
      <c r="M173" s="30"/>
      <c r="N173" s="30"/>
      <c r="O173" s="30"/>
    </row>
    <row r="174" spans="1:15" x14ac:dyDescent="0.25">
      <c r="A174" s="10">
        <v>155</v>
      </c>
      <c r="B174" s="27">
        <f t="shared" ca="1" si="20"/>
        <v>0.85087976450399794</v>
      </c>
      <c r="C174" s="21">
        <f t="shared" ca="1" si="26"/>
        <v>260.4021403792471</v>
      </c>
      <c r="D174" s="21">
        <f t="shared" ca="1" si="21"/>
        <v>248.04768354695153</v>
      </c>
      <c r="E174" s="21">
        <f t="shared" ca="1" si="22"/>
        <v>0</v>
      </c>
      <c r="F174" s="22">
        <f t="shared" ca="1" si="27"/>
        <v>0</v>
      </c>
      <c r="G174" s="22">
        <f t="shared" ca="1" si="23"/>
        <v>2.5380150679566782</v>
      </c>
      <c r="H174" s="31">
        <f t="shared" ca="1" si="28"/>
        <v>0</v>
      </c>
      <c r="I174" s="9">
        <f t="shared" ca="1" si="24"/>
        <v>1364.2622595082335</v>
      </c>
      <c r="J174" s="30">
        <f t="shared" ca="1" si="25"/>
        <v>992.19073418780613</v>
      </c>
      <c r="K174" s="122">
        <f t="shared" ca="1" si="29"/>
        <v>372.07152532042733</v>
      </c>
      <c r="L174" s="30"/>
      <c r="M174" s="30"/>
      <c r="N174" s="30"/>
      <c r="O174" s="30"/>
    </row>
    <row r="175" spans="1:15" x14ac:dyDescent="0.25">
      <c r="A175" s="10">
        <v>156</v>
      </c>
      <c r="B175" s="27">
        <f t="shared" ca="1" si="20"/>
        <v>0.52335264174795293</v>
      </c>
      <c r="C175" s="21">
        <f t="shared" ca="1" si="26"/>
        <v>250.58569861490821</v>
      </c>
      <c r="D175" s="21">
        <f t="shared" ca="1" si="21"/>
        <v>248.04768354695153</v>
      </c>
      <c r="E175" s="21">
        <f t="shared" ca="1" si="22"/>
        <v>0</v>
      </c>
      <c r="F175" s="22">
        <f t="shared" ca="1" si="27"/>
        <v>0</v>
      </c>
      <c r="G175" s="22">
        <f t="shared" ca="1" si="23"/>
        <v>0</v>
      </c>
      <c r="H175" s="31">
        <f t="shared" ca="1" si="28"/>
        <v>0</v>
      </c>
      <c r="I175" s="9">
        <f t="shared" ca="1" si="24"/>
        <v>1364.2622595082335</v>
      </c>
      <c r="J175" s="30">
        <f t="shared" ca="1" si="25"/>
        <v>992.19073418780613</v>
      </c>
      <c r="K175" s="122">
        <f t="shared" ca="1" si="29"/>
        <v>372.07152532042733</v>
      </c>
      <c r="L175" s="30"/>
      <c r="M175" s="30"/>
      <c r="N175" s="30"/>
      <c r="O175" s="30"/>
    </row>
    <row r="176" spans="1:15" x14ac:dyDescent="0.25">
      <c r="A176" s="10">
        <v>157</v>
      </c>
      <c r="B176" s="27">
        <f t="shared" ca="1" si="20"/>
        <v>0.39916193903666031</v>
      </c>
      <c r="C176" s="21">
        <f t="shared" ca="1" si="26"/>
        <v>247.44483081435106</v>
      </c>
      <c r="D176" s="21">
        <f t="shared" ca="1" si="21"/>
        <v>248.04768354695153</v>
      </c>
      <c r="E176" s="21">
        <f t="shared" ca="1" si="22"/>
        <v>0.60285273260046779</v>
      </c>
      <c r="F176" s="22">
        <f t="shared" ca="1" si="27"/>
        <v>0.60285273260046779</v>
      </c>
      <c r="G176" s="22">
        <f t="shared" ca="1" si="23"/>
        <v>0</v>
      </c>
      <c r="H176" s="31">
        <f t="shared" ca="1" si="28"/>
        <v>0.60285273260046779</v>
      </c>
      <c r="I176" s="9">
        <f t="shared" ca="1" si="24"/>
        <v>1361.0972826620809</v>
      </c>
      <c r="J176" s="30">
        <f t="shared" ca="1" si="25"/>
        <v>993.09501328670683</v>
      </c>
      <c r="K176" s="122">
        <f t="shared" ca="1" si="29"/>
        <v>368.00226937537411</v>
      </c>
      <c r="L176" s="30"/>
      <c r="M176" s="30"/>
      <c r="N176" s="30"/>
      <c r="O176" s="30"/>
    </row>
    <row r="177" spans="1:15" x14ac:dyDescent="0.25">
      <c r="A177" s="10">
        <v>158</v>
      </c>
      <c r="B177" s="27">
        <f t="shared" ca="1" si="20"/>
        <v>7.2996872996305084E-2</v>
      </c>
      <c r="C177" s="21">
        <f t="shared" ca="1" si="26"/>
        <v>235.4617108944513</v>
      </c>
      <c r="D177" s="21">
        <f t="shared" ca="1" si="21"/>
        <v>248.650536279552</v>
      </c>
      <c r="E177" s="21">
        <f t="shared" ca="1" si="22"/>
        <v>12.585972652500232</v>
      </c>
      <c r="F177" s="22">
        <f t="shared" ca="1" si="27"/>
        <v>13.188825385100699</v>
      </c>
      <c r="G177" s="22">
        <f t="shared" ca="1" si="23"/>
        <v>0</v>
      </c>
      <c r="H177" s="31">
        <f t="shared" ca="1" si="28"/>
        <v>13.188825385100699</v>
      </c>
      <c r="I177" s="9">
        <f t="shared" ca="1" si="24"/>
        <v>1299.9944612804086</v>
      </c>
      <c r="J177" s="30">
        <f t="shared" ca="1" si="25"/>
        <v>1011.9739722654572</v>
      </c>
      <c r="K177" s="122">
        <f t="shared" ca="1" si="29"/>
        <v>288.02048901495141</v>
      </c>
      <c r="L177" s="30"/>
      <c r="M177" s="30"/>
      <c r="N177" s="30"/>
      <c r="O177" s="30"/>
    </row>
    <row r="178" spans="1:15" x14ac:dyDescent="0.25">
      <c r="A178" s="10">
        <v>159</v>
      </c>
      <c r="B178" s="27">
        <f t="shared" ca="1" si="20"/>
        <v>0.26739652943608683</v>
      </c>
      <c r="C178" s="21">
        <f t="shared" ca="1" si="26"/>
        <v>243.79293966470976</v>
      </c>
      <c r="D178" s="21">
        <f t="shared" ca="1" si="21"/>
        <v>260.63365619945176</v>
      </c>
      <c r="E178" s="21">
        <f t="shared" ca="1" si="22"/>
        <v>4.2547438822417689</v>
      </c>
      <c r="F178" s="22">
        <f t="shared" ca="1" si="27"/>
        <v>16.840716534742</v>
      </c>
      <c r="G178" s="22">
        <f t="shared" ca="1" si="23"/>
        <v>0</v>
      </c>
      <c r="H178" s="31">
        <f t="shared" ca="1" si="28"/>
        <v>16.840716534742</v>
      </c>
      <c r="I178" s="9">
        <f t="shared" ca="1" si="24"/>
        <v>1379.6827720839649</v>
      </c>
      <c r="J178" s="30">
        <f t="shared" ca="1" si="25"/>
        <v>1017.4518089899191</v>
      </c>
      <c r="K178" s="122">
        <f t="shared" ca="1" si="29"/>
        <v>362.23096309404582</v>
      </c>
      <c r="L178" s="30"/>
      <c r="M178" s="30"/>
      <c r="N178" s="30"/>
      <c r="O178" s="30"/>
    </row>
    <row r="179" spans="1:15" x14ac:dyDescent="0.25">
      <c r="A179" s="10">
        <v>160</v>
      </c>
      <c r="B179" s="27">
        <f t="shared" ca="1" si="20"/>
        <v>0.39179337807612913</v>
      </c>
      <c r="C179" s="21">
        <f t="shared" ca="1" si="26"/>
        <v>247.25352092359785</v>
      </c>
      <c r="D179" s="21">
        <f t="shared" ca="1" si="21"/>
        <v>252.3024274291933</v>
      </c>
      <c r="E179" s="21">
        <f t="shared" ca="1" si="22"/>
        <v>0.79416262335368515</v>
      </c>
      <c r="F179" s="22">
        <f t="shared" ca="1" si="27"/>
        <v>5.0489065055954541</v>
      </c>
      <c r="G179" s="22">
        <f t="shared" ca="1" si="23"/>
        <v>2.4997774078468353</v>
      </c>
      <c r="H179" s="31">
        <f t="shared" ca="1" si="28"/>
        <v>2.5491290977486187</v>
      </c>
      <c r="I179" s="9">
        <f t="shared" ca="1" si="24"/>
        <v>1367.7402930288724</v>
      </c>
      <c r="J179" s="30">
        <f t="shared" ca="1" si="25"/>
        <v>996.01442783442906</v>
      </c>
      <c r="K179" s="122">
        <f t="shared" ca="1" si="29"/>
        <v>371.72586519444337</v>
      </c>
      <c r="L179" s="30"/>
      <c r="M179" s="30"/>
      <c r="N179" s="30"/>
      <c r="O179" s="30"/>
    </row>
    <row r="180" spans="1:15" x14ac:dyDescent="0.25">
      <c r="A180" s="10">
        <v>161</v>
      </c>
      <c r="B180" s="27">
        <f t="shared" ca="1" si="20"/>
        <v>0.52182962723966475</v>
      </c>
      <c r="C180" s="21">
        <f t="shared" ca="1" si="26"/>
        <v>250.54746095479837</v>
      </c>
      <c r="D180" s="21">
        <f t="shared" ca="1" si="21"/>
        <v>248.84184617030522</v>
      </c>
      <c r="E180" s="21">
        <f t="shared" ca="1" si="22"/>
        <v>0</v>
      </c>
      <c r="F180" s="22">
        <f t="shared" ca="1" si="27"/>
        <v>0</v>
      </c>
      <c r="G180" s="22">
        <f t="shared" ca="1" si="23"/>
        <v>0</v>
      </c>
      <c r="H180" s="31">
        <f t="shared" ca="1" si="28"/>
        <v>0</v>
      </c>
      <c r="I180" s="9">
        <f t="shared" ca="1" si="24"/>
        <v>1364.2622595082335</v>
      </c>
      <c r="J180" s="30">
        <f t="shared" ca="1" si="25"/>
        <v>992.19073418780613</v>
      </c>
      <c r="K180" s="122">
        <f t="shared" ca="1" si="29"/>
        <v>372.07152532042733</v>
      </c>
      <c r="L180" s="30"/>
      <c r="M180" s="30"/>
      <c r="N180" s="30"/>
      <c r="O180" s="30"/>
    </row>
    <row r="181" spans="1:15" x14ac:dyDescent="0.25">
      <c r="A181" s="10">
        <v>162</v>
      </c>
      <c r="B181" s="27">
        <f t="shared" ca="1" si="20"/>
        <v>0.21551485911148982</v>
      </c>
      <c r="C181" s="21">
        <f t="shared" ca="1" si="26"/>
        <v>242.12569192494465</v>
      </c>
      <c r="D181" s="21">
        <f t="shared" ca="1" si="21"/>
        <v>248.04768354695153</v>
      </c>
      <c r="E181" s="21">
        <f t="shared" ca="1" si="22"/>
        <v>5.9219916220068853</v>
      </c>
      <c r="F181" s="22">
        <f t="shared" ca="1" si="27"/>
        <v>5.9219916220068853</v>
      </c>
      <c r="G181" s="22">
        <f t="shared" ca="1" si="23"/>
        <v>8.9503356072500537</v>
      </c>
      <c r="H181" s="31">
        <f t="shared" ca="1" si="28"/>
        <v>0</v>
      </c>
      <c r="I181" s="9">
        <f t="shared" ca="1" si="24"/>
        <v>1333.1718034926973</v>
      </c>
      <c r="J181" s="30">
        <f t="shared" ca="1" si="25"/>
        <v>992.19073418780613</v>
      </c>
      <c r="K181" s="122">
        <f t="shared" ca="1" si="29"/>
        <v>340.98106930489121</v>
      </c>
      <c r="L181" s="30"/>
      <c r="M181" s="30"/>
      <c r="N181" s="30"/>
      <c r="O181" s="30"/>
    </row>
    <row r="182" spans="1:15" x14ac:dyDescent="0.25">
      <c r="A182" s="10">
        <v>163</v>
      </c>
      <c r="B182" s="27">
        <f t="shared" ca="1" si="20"/>
        <v>0.75797449079971591</v>
      </c>
      <c r="C182" s="21">
        <f t="shared" ca="1" si="26"/>
        <v>256.99801915420159</v>
      </c>
      <c r="D182" s="21">
        <f t="shared" ca="1" si="21"/>
        <v>253.96967516895842</v>
      </c>
      <c r="E182" s="21">
        <f t="shared" ca="1" si="22"/>
        <v>0</v>
      </c>
      <c r="F182" s="22">
        <f t="shared" ca="1" si="27"/>
        <v>0</v>
      </c>
      <c r="G182" s="22">
        <f t="shared" ca="1" si="23"/>
        <v>3.2463124042925529</v>
      </c>
      <c r="H182" s="31">
        <f t="shared" ca="1" si="28"/>
        <v>0</v>
      </c>
      <c r="I182" s="9">
        <f t="shared" ca="1" si="24"/>
        <v>1364.2622595082335</v>
      </c>
      <c r="J182" s="30">
        <f t="shared" ca="1" si="25"/>
        <v>992.19073418780613</v>
      </c>
      <c r="K182" s="122">
        <f t="shared" ca="1" si="29"/>
        <v>372.07152532042733</v>
      </c>
      <c r="L182" s="30"/>
      <c r="M182" s="30"/>
      <c r="N182" s="30"/>
      <c r="O182" s="30"/>
    </row>
    <row r="183" spans="1:15" x14ac:dyDescent="0.25">
      <c r="A183" s="10">
        <v>164</v>
      </c>
      <c r="B183" s="27">
        <f t="shared" ca="1" si="20"/>
        <v>0.55147926598401165</v>
      </c>
      <c r="C183" s="21">
        <f t="shared" ca="1" si="26"/>
        <v>251.29399595124409</v>
      </c>
      <c r="D183" s="21">
        <f t="shared" ca="1" si="21"/>
        <v>248.04768354695153</v>
      </c>
      <c r="E183" s="21">
        <f t="shared" ca="1" si="22"/>
        <v>0</v>
      </c>
      <c r="F183" s="22">
        <f t="shared" ca="1" si="27"/>
        <v>0</v>
      </c>
      <c r="G183" s="22">
        <f t="shared" ca="1" si="23"/>
        <v>5.1224282869957278</v>
      </c>
      <c r="H183" s="31">
        <f t="shared" ca="1" si="28"/>
        <v>0</v>
      </c>
      <c r="I183" s="9">
        <f t="shared" ca="1" si="24"/>
        <v>1364.2622595082335</v>
      </c>
      <c r="J183" s="30">
        <f t="shared" ca="1" si="25"/>
        <v>992.19073418780613</v>
      </c>
      <c r="K183" s="122">
        <f t="shared" ca="1" si="29"/>
        <v>372.07152532042733</v>
      </c>
      <c r="L183" s="30"/>
      <c r="M183" s="30"/>
      <c r="N183" s="30"/>
      <c r="O183" s="30"/>
    </row>
    <row r="184" spans="1:15" x14ac:dyDescent="0.25">
      <c r="A184" s="10">
        <v>165</v>
      </c>
      <c r="B184" s="27">
        <f t="shared" ca="1" si="20"/>
        <v>0.62438244176568936</v>
      </c>
      <c r="C184" s="21">
        <f t="shared" ca="1" si="26"/>
        <v>253.17011183394726</v>
      </c>
      <c r="D184" s="21">
        <f t="shared" ca="1" si="21"/>
        <v>248.04768354695153</v>
      </c>
      <c r="E184" s="21">
        <f t="shared" ca="1" si="22"/>
        <v>0</v>
      </c>
      <c r="F184" s="22">
        <f t="shared" ca="1" si="27"/>
        <v>0</v>
      </c>
      <c r="G184" s="22">
        <f t="shared" ca="1" si="23"/>
        <v>1.3947006371183477</v>
      </c>
      <c r="H184" s="31">
        <f t="shared" ca="1" si="28"/>
        <v>0</v>
      </c>
      <c r="I184" s="9">
        <f t="shared" ca="1" si="24"/>
        <v>1364.2622595082335</v>
      </c>
      <c r="J184" s="30">
        <f t="shared" ca="1" si="25"/>
        <v>992.19073418780613</v>
      </c>
      <c r="K184" s="122">
        <f t="shared" ca="1" si="29"/>
        <v>372.07152532042733</v>
      </c>
      <c r="L184" s="30"/>
      <c r="M184" s="30"/>
      <c r="N184" s="30"/>
      <c r="O184" s="30"/>
    </row>
    <row r="185" spans="1:15" x14ac:dyDescent="0.25">
      <c r="A185" s="10">
        <v>166</v>
      </c>
      <c r="B185" s="27">
        <f t="shared" ca="1" si="20"/>
        <v>0.47776587037370311</v>
      </c>
      <c r="C185" s="21">
        <f t="shared" ca="1" si="26"/>
        <v>249.44238418406988</v>
      </c>
      <c r="D185" s="21">
        <f t="shared" ca="1" si="21"/>
        <v>248.04768354695153</v>
      </c>
      <c r="E185" s="21">
        <f t="shared" ca="1" si="22"/>
        <v>0</v>
      </c>
      <c r="F185" s="22">
        <f t="shared" ca="1" si="27"/>
        <v>0</v>
      </c>
      <c r="G185" s="22">
        <f t="shared" ca="1" si="23"/>
        <v>11.973948520033105</v>
      </c>
      <c r="H185" s="31">
        <f t="shared" ca="1" si="28"/>
        <v>0</v>
      </c>
      <c r="I185" s="9">
        <f t="shared" ca="1" si="24"/>
        <v>1364.2622595082335</v>
      </c>
      <c r="J185" s="30">
        <f t="shared" ca="1" si="25"/>
        <v>992.19073418780613</v>
      </c>
      <c r="K185" s="122">
        <f t="shared" ca="1" si="29"/>
        <v>372.07152532042733</v>
      </c>
      <c r="L185" s="30"/>
      <c r="M185" s="30"/>
      <c r="N185" s="30"/>
      <c r="O185" s="30"/>
    </row>
    <row r="186" spans="1:15" x14ac:dyDescent="0.25">
      <c r="A186" s="10">
        <v>167</v>
      </c>
      <c r="B186" s="27">
        <f t="shared" ca="1" si="20"/>
        <v>0.84186761261454268</v>
      </c>
      <c r="C186" s="21">
        <f t="shared" ca="1" si="26"/>
        <v>260.02163206698464</v>
      </c>
      <c r="D186" s="21">
        <f t="shared" ca="1" si="21"/>
        <v>248.04768354695153</v>
      </c>
      <c r="E186" s="21">
        <f t="shared" ca="1" si="22"/>
        <v>0</v>
      </c>
      <c r="F186" s="22">
        <f t="shared" ca="1" si="27"/>
        <v>0</v>
      </c>
      <c r="G186" s="22">
        <f t="shared" ca="1" si="23"/>
        <v>0</v>
      </c>
      <c r="H186" s="31">
        <f t="shared" ca="1" si="28"/>
        <v>0</v>
      </c>
      <c r="I186" s="9">
        <f t="shared" ca="1" si="24"/>
        <v>1364.2622595082335</v>
      </c>
      <c r="J186" s="30">
        <f t="shared" ca="1" si="25"/>
        <v>992.19073418780613</v>
      </c>
      <c r="K186" s="122">
        <f t="shared" ca="1" si="29"/>
        <v>372.07152532042733</v>
      </c>
      <c r="L186" s="30"/>
      <c r="M186" s="30"/>
      <c r="N186" s="30"/>
      <c r="O186" s="30"/>
    </row>
    <row r="187" spans="1:15" x14ac:dyDescent="0.25">
      <c r="A187" s="10">
        <v>168</v>
      </c>
      <c r="B187" s="27">
        <f t="shared" ca="1" si="20"/>
        <v>8.6725206123612342E-2</v>
      </c>
      <c r="C187" s="21">
        <f t="shared" ca="1" si="26"/>
        <v>236.38799740641394</v>
      </c>
      <c r="D187" s="21">
        <f t="shared" ca="1" si="21"/>
        <v>248.04768354695153</v>
      </c>
      <c r="E187" s="21">
        <f t="shared" ca="1" si="22"/>
        <v>11.659686140537588</v>
      </c>
      <c r="F187" s="22">
        <f t="shared" ca="1" si="27"/>
        <v>11.659686140537588</v>
      </c>
      <c r="G187" s="22">
        <f t="shared" ca="1" si="23"/>
        <v>7.2640390263902361</v>
      </c>
      <c r="H187" s="31">
        <f t="shared" ca="1" si="28"/>
        <v>4.3956471141473514</v>
      </c>
      <c r="I187" s="9">
        <f t="shared" ca="1" si="24"/>
        <v>1316.235848612853</v>
      </c>
      <c r="J187" s="30">
        <f t="shared" ca="1" si="25"/>
        <v>998.78420485902711</v>
      </c>
      <c r="K187" s="122">
        <f t="shared" ca="1" si="29"/>
        <v>317.45164375382592</v>
      </c>
      <c r="L187" s="30"/>
      <c r="M187" s="30"/>
      <c r="N187" s="30"/>
      <c r="O187" s="30"/>
    </row>
    <row r="188" spans="1:15" x14ac:dyDescent="0.25">
      <c r="A188" s="10">
        <v>169</v>
      </c>
      <c r="B188" s="27">
        <f t="shared" ca="1" si="20"/>
        <v>0.70235029207470467</v>
      </c>
      <c r="C188" s="21">
        <f t="shared" ca="1" si="26"/>
        <v>255.31172257334177</v>
      </c>
      <c r="D188" s="21">
        <f t="shared" ca="1" si="21"/>
        <v>259.70736968748912</v>
      </c>
      <c r="E188" s="21">
        <f t="shared" ca="1" si="22"/>
        <v>0</v>
      </c>
      <c r="F188" s="22">
        <f t="shared" ca="1" si="27"/>
        <v>4.3956471141473514</v>
      </c>
      <c r="G188" s="22">
        <f t="shared" ca="1" si="23"/>
        <v>0</v>
      </c>
      <c r="H188" s="31">
        <f t="shared" ca="1" si="28"/>
        <v>4.3956471141473514</v>
      </c>
      <c r="I188" s="9">
        <f t="shared" ca="1" si="24"/>
        <v>1364.2622595082335</v>
      </c>
      <c r="J188" s="30">
        <f t="shared" ca="1" si="25"/>
        <v>998.78420485902711</v>
      </c>
      <c r="K188" s="122">
        <f t="shared" ca="1" si="29"/>
        <v>365.47805464920634</v>
      </c>
      <c r="L188" s="30"/>
      <c r="M188" s="30"/>
      <c r="N188" s="30"/>
      <c r="O188" s="30"/>
    </row>
    <row r="189" spans="1:15" x14ac:dyDescent="0.25">
      <c r="A189" s="10">
        <v>170</v>
      </c>
      <c r="B189" s="27">
        <f t="shared" ca="1" si="20"/>
        <v>9.4887273712381814E-2</v>
      </c>
      <c r="C189" s="21">
        <f t="shared" ca="1" si="26"/>
        <v>236.88753649526623</v>
      </c>
      <c r="D189" s="21">
        <f t="shared" ca="1" si="21"/>
        <v>248.04768354695153</v>
      </c>
      <c r="E189" s="21">
        <f t="shared" ca="1" si="22"/>
        <v>11.1601470516853</v>
      </c>
      <c r="F189" s="22">
        <f t="shared" ca="1" si="27"/>
        <v>11.1601470516853</v>
      </c>
      <c r="G189" s="22">
        <f t="shared" ca="1" si="23"/>
        <v>0</v>
      </c>
      <c r="H189" s="31">
        <f t="shared" ca="1" si="28"/>
        <v>11.1601470516853</v>
      </c>
      <c r="I189" s="9">
        <f t="shared" ca="1" si="24"/>
        <v>1305.6714874868856</v>
      </c>
      <c r="J189" s="30">
        <f t="shared" ca="1" si="25"/>
        <v>1008.930954765334</v>
      </c>
      <c r="K189" s="122">
        <f t="shared" ca="1" si="29"/>
        <v>296.74053272155152</v>
      </c>
      <c r="L189" s="30"/>
      <c r="M189" s="30"/>
      <c r="N189" s="30"/>
      <c r="O189" s="30"/>
    </row>
    <row r="190" spans="1:15" x14ac:dyDescent="0.25">
      <c r="A190" s="10">
        <v>171</v>
      </c>
      <c r="B190" s="27">
        <f t="shared" ca="1" si="20"/>
        <v>0.31304535334165517</v>
      </c>
      <c r="C190" s="21">
        <f t="shared" ca="1" si="26"/>
        <v>245.12763450281449</v>
      </c>
      <c r="D190" s="21">
        <f t="shared" ca="1" si="21"/>
        <v>259.20783059863686</v>
      </c>
      <c r="E190" s="21">
        <f t="shared" ca="1" si="22"/>
        <v>2.9200490441370448</v>
      </c>
      <c r="F190" s="22">
        <f t="shared" ca="1" si="27"/>
        <v>14.080196095822373</v>
      </c>
      <c r="G190" s="22">
        <f t="shared" ca="1" si="23"/>
        <v>0</v>
      </c>
      <c r="H190" s="31">
        <f t="shared" ca="1" si="28"/>
        <v>14.080196095822373</v>
      </c>
      <c r="I190" s="9">
        <f t="shared" ca="1" si="24"/>
        <v>1382.4124431815699</v>
      </c>
      <c r="J190" s="30">
        <f t="shared" ca="1" si="25"/>
        <v>1013.3110283315397</v>
      </c>
      <c r="K190" s="122">
        <f t="shared" ca="1" si="29"/>
        <v>369.10141485003021</v>
      </c>
      <c r="L190" s="30"/>
      <c r="M190" s="30"/>
      <c r="N190" s="30"/>
      <c r="O190" s="30"/>
    </row>
    <row r="191" spans="1:15" x14ac:dyDescent="0.25">
      <c r="A191" s="10">
        <v>172</v>
      </c>
      <c r="B191" s="27">
        <f t="shared" ca="1" si="20"/>
        <v>0.33631070369683957</v>
      </c>
      <c r="C191" s="21">
        <f t="shared" ca="1" si="26"/>
        <v>245.77446977166309</v>
      </c>
      <c r="D191" s="21">
        <f t="shared" ca="1" si="21"/>
        <v>250.96773259108858</v>
      </c>
      <c r="E191" s="21">
        <f t="shared" ca="1" si="22"/>
        <v>2.2732137752884398</v>
      </c>
      <c r="F191" s="22">
        <f t="shared" ca="1" si="27"/>
        <v>5.1932628194254846</v>
      </c>
      <c r="G191" s="22">
        <f t="shared" ca="1" si="23"/>
        <v>3.1392244197667765</v>
      </c>
      <c r="H191" s="31">
        <f t="shared" ca="1" si="28"/>
        <v>2.0540383996587082</v>
      </c>
      <c r="I191" s="9">
        <f t="shared" ca="1" si="24"/>
        <v>1358.4900023869452</v>
      </c>
      <c r="J191" s="30">
        <f t="shared" ca="1" si="25"/>
        <v>995.27179178729421</v>
      </c>
      <c r="K191" s="122">
        <f t="shared" ca="1" si="29"/>
        <v>363.218210599651</v>
      </c>
      <c r="L191" s="30"/>
      <c r="M191" s="30"/>
      <c r="N191" s="30"/>
      <c r="O191" s="30"/>
    </row>
    <row r="192" spans="1:15" x14ac:dyDescent="0.25">
      <c r="A192" s="10">
        <v>173</v>
      </c>
      <c r="B192" s="27">
        <f t="shared" ca="1" si="20"/>
        <v>0.54723983590189262</v>
      </c>
      <c r="C192" s="21">
        <f t="shared" ca="1" si="26"/>
        <v>251.18690796671831</v>
      </c>
      <c r="D192" s="21">
        <f t="shared" ca="1" si="21"/>
        <v>250.32089732223997</v>
      </c>
      <c r="E192" s="21">
        <f t="shared" ca="1" si="22"/>
        <v>0</v>
      </c>
      <c r="F192" s="22">
        <f t="shared" ca="1" si="27"/>
        <v>0</v>
      </c>
      <c r="G192" s="22">
        <f t="shared" ca="1" si="23"/>
        <v>1.4717895390934359</v>
      </c>
      <c r="H192" s="31">
        <f t="shared" ca="1" si="28"/>
        <v>0</v>
      </c>
      <c r="I192" s="9">
        <f t="shared" ca="1" si="24"/>
        <v>1364.2622595082335</v>
      </c>
      <c r="J192" s="30">
        <f t="shared" ca="1" si="25"/>
        <v>992.19073418780613</v>
      </c>
      <c r="K192" s="122">
        <f t="shared" ca="1" si="29"/>
        <v>372.07152532042733</v>
      </c>
      <c r="L192" s="30"/>
      <c r="M192" s="30"/>
      <c r="N192" s="30"/>
      <c r="O192" s="30"/>
    </row>
    <row r="193" spans="1:15" x14ac:dyDescent="0.25">
      <c r="A193" s="10">
        <v>174</v>
      </c>
      <c r="B193" s="27">
        <f t="shared" ca="1" si="20"/>
        <v>0.48083712470736895</v>
      </c>
      <c r="C193" s="21">
        <f t="shared" ca="1" si="26"/>
        <v>249.51947308604497</v>
      </c>
      <c r="D193" s="21">
        <f t="shared" ca="1" si="21"/>
        <v>248.04768354695153</v>
      </c>
      <c r="E193" s="21">
        <f t="shared" ca="1" si="22"/>
        <v>0</v>
      </c>
      <c r="F193" s="22">
        <f t="shared" ca="1" si="27"/>
        <v>0</v>
      </c>
      <c r="G193" s="22">
        <f t="shared" ca="1" si="23"/>
        <v>5.1341100397811772</v>
      </c>
      <c r="H193" s="31">
        <f t="shared" ca="1" si="28"/>
        <v>0</v>
      </c>
      <c r="I193" s="9">
        <f t="shared" ca="1" si="24"/>
        <v>1364.2622595082335</v>
      </c>
      <c r="J193" s="30">
        <f t="shared" ca="1" si="25"/>
        <v>992.19073418780613</v>
      </c>
      <c r="K193" s="122">
        <f t="shared" ca="1" si="29"/>
        <v>372.07152532042733</v>
      </c>
      <c r="L193" s="30"/>
      <c r="M193" s="30"/>
      <c r="N193" s="30"/>
      <c r="O193" s="30"/>
    </row>
    <row r="194" spans="1:15" x14ac:dyDescent="0.25">
      <c r="A194" s="10">
        <v>175</v>
      </c>
      <c r="B194" s="27">
        <f t="shared" ca="1" si="20"/>
        <v>0.62482555540396401</v>
      </c>
      <c r="C194" s="21">
        <f t="shared" ca="1" si="26"/>
        <v>253.18179358673271</v>
      </c>
      <c r="D194" s="21">
        <f t="shared" ca="1" si="21"/>
        <v>248.04768354695153</v>
      </c>
      <c r="E194" s="21">
        <f t="shared" ca="1" si="22"/>
        <v>0</v>
      </c>
      <c r="F194" s="22">
        <f t="shared" ca="1" si="27"/>
        <v>0</v>
      </c>
      <c r="G194" s="22">
        <f t="shared" ca="1" si="23"/>
        <v>10.904380128607386</v>
      </c>
      <c r="H194" s="31">
        <f t="shared" ca="1" si="28"/>
        <v>0</v>
      </c>
      <c r="I194" s="9">
        <f t="shared" ca="1" si="24"/>
        <v>1364.2622595082335</v>
      </c>
      <c r="J194" s="30">
        <f t="shared" ca="1" si="25"/>
        <v>992.19073418780613</v>
      </c>
      <c r="K194" s="122">
        <f t="shared" ca="1" si="29"/>
        <v>372.07152532042733</v>
      </c>
      <c r="L194" s="30"/>
      <c r="M194" s="30"/>
      <c r="N194" s="30"/>
      <c r="O194" s="30"/>
    </row>
    <row r="195" spans="1:15" x14ac:dyDescent="0.25">
      <c r="A195" s="10">
        <v>176</v>
      </c>
      <c r="B195" s="27">
        <f t="shared" ca="1" si="20"/>
        <v>0.81466160924882647</v>
      </c>
      <c r="C195" s="21">
        <f t="shared" ca="1" si="26"/>
        <v>258.95206367555892</v>
      </c>
      <c r="D195" s="21">
        <f t="shared" ca="1" si="21"/>
        <v>248.04768354695153</v>
      </c>
      <c r="E195" s="21">
        <f t="shared" ca="1" si="22"/>
        <v>0</v>
      </c>
      <c r="F195" s="22">
        <f t="shared" ca="1" si="27"/>
        <v>0</v>
      </c>
      <c r="G195" s="22">
        <f t="shared" ca="1" si="23"/>
        <v>14.92356715027023</v>
      </c>
      <c r="H195" s="31">
        <f t="shared" ca="1" si="28"/>
        <v>0</v>
      </c>
      <c r="I195" s="9">
        <f t="shared" ca="1" si="24"/>
        <v>1364.2622595082335</v>
      </c>
      <c r="J195" s="30">
        <f t="shared" ca="1" si="25"/>
        <v>992.19073418780613</v>
      </c>
      <c r="K195" s="122">
        <f t="shared" ca="1" si="29"/>
        <v>372.07152532042733</v>
      </c>
      <c r="L195" s="30"/>
      <c r="M195" s="30"/>
      <c r="N195" s="30"/>
      <c r="O195" s="30"/>
    </row>
    <row r="196" spans="1:15" x14ac:dyDescent="0.25">
      <c r="A196" s="10">
        <v>177</v>
      </c>
      <c r="B196" s="27">
        <f t="shared" ca="1" si="20"/>
        <v>0.90270592153310791</v>
      </c>
      <c r="C196" s="21">
        <f t="shared" ca="1" si="26"/>
        <v>262.97125069722176</v>
      </c>
      <c r="D196" s="21">
        <f t="shared" ca="1" si="21"/>
        <v>248.04768354695153</v>
      </c>
      <c r="E196" s="21">
        <f t="shared" ca="1" si="22"/>
        <v>0</v>
      </c>
      <c r="F196" s="22">
        <f t="shared" ca="1" si="27"/>
        <v>0</v>
      </c>
      <c r="G196" s="22">
        <f t="shared" ca="1" si="23"/>
        <v>0</v>
      </c>
      <c r="H196" s="31">
        <f t="shared" ca="1" si="28"/>
        <v>0</v>
      </c>
      <c r="I196" s="9">
        <f t="shared" ca="1" si="24"/>
        <v>1364.2622595082335</v>
      </c>
      <c r="J196" s="30">
        <f t="shared" ca="1" si="25"/>
        <v>992.19073418780613</v>
      </c>
      <c r="K196" s="122">
        <f t="shared" ca="1" si="29"/>
        <v>372.07152532042733</v>
      </c>
      <c r="L196" s="30"/>
      <c r="M196" s="30"/>
      <c r="N196" s="30"/>
      <c r="O196" s="30"/>
    </row>
    <row r="197" spans="1:15" x14ac:dyDescent="0.25">
      <c r="A197" s="10">
        <v>178</v>
      </c>
      <c r="B197" s="27">
        <f t="shared" ca="1" si="20"/>
        <v>0.31392568943192178</v>
      </c>
      <c r="C197" s="21">
        <f t="shared" ca="1" si="26"/>
        <v>245.15246736398927</v>
      </c>
      <c r="D197" s="21">
        <f t="shared" ca="1" si="21"/>
        <v>248.04768354695153</v>
      </c>
      <c r="E197" s="21">
        <f t="shared" ca="1" si="22"/>
        <v>2.8952161829622582</v>
      </c>
      <c r="F197" s="22">
        <f t="shared" ca="1" si="27"/>
        <v>2.8952161829622582</v>
      </c>
      <c r="G197" s="22">
        <f t="shared" ca="1" si="23"/>
        <v>0</v>
      </c>
      <c r="H197" s="31">
        <f t="shared" ca="1" si="28"/>
        <v>2.8952161829622582</v>
      </c>
      <c r="I197" s="9">
        <f t="shared" ca="1" si="24"/>
        <v>1349.0623745476814</v>
      </c>
      <c r="J197" s="30">
        <f t="shared" ca="1" si="25"/>
        <v>996.53355846224952</v>
      </c>
      <c r="K197" s="122">
        <f t="shared" ca="1" si="29"/>
        <v>352.52881608543191</v>
      </c>
      <c r="L197" s="30"/>
      <c r="M197" s="30"/>
      <c r="N197" s="30"/>
      <c r="O197" s="30"/>
    </row>
    <row r="198" spans="1:15" x14ac:dyDescent="0.25">
      <c r="A198" s="10">
        <v>179</v>
      </c>
      <c r="B198" s="43">
        <f t="shared" ca="1" si="20"/>
        <v>0.3221167604982792</v>
      </c>
      <c r="C198" s="44">
        <f t="shared" ca="1" si="26"/>
        <v>245.38212228469467</v>
      </c>
      <c r="D198" s="44">
        <f t="shared" ca="1" si="21"/>
        <v>250.94289972991379</v>
      </c>
      <c r="E198" s="44">
        <f t="shared" ca="1" si="22"/>
        <v>2.6655612622568583</v>
      </c>
      <c r="F198" s="45">
        <f t="shared" ca="1" si="27"/>
        <v>5.5607774452191165</v>
      </c>
      <c r="G198" s="45">
        <f t="shared" ca="1" si="23"/>
        <v>0</v>
      </c>
      <c r="H198" s="46">
        <f t="shared" ca="1" si="28"/>
        <v>5.5607774452191165</v>
      </c>
      <c r="I198" s="1">
        <f t="shared" ca="1" si="24"/>
        <v>1358.9537114302718</v>
      </c>
      <c r="J198" s="47">
        <f t="shared" ca="1" si="25"/>
        <v>1000.5319003556348</v>
      </c>
      <c r="K198" s="123">
        <f t="shared" ca="1" si="29"/>
        <v>358.42181107463705</v>
      </c>
      <c r="L198" s="30"/>
      <c r="M198" s="30"/>
      <c r="N198" s="30"/>
      <c r="O198" s="30"/>
    </row>
    <row r="199" spans="1:15" x14ac:dyDescent="0.25">
      <c r="A199" s="10">
        <v>180</v>
      </c>
      <c r="B199" s="48">
        <f t="shared" ca="1" si="20"/>
        <v>4.2783087923748075E-2</v>
      </c>
      <c r="C199" s="49">
        <f t="shared" ca="1" si="26"/>
        <v>232.80735252363431</v>
      </c>
      <c r="D199" s="49">
        <f t="shared" ca="1" si="21"/>
        <v>250.71324480920839</v>
      </c>
      <c r="E199" s="49">
        <f t="shared" ca="1" si="22"/>
        <v>15.240331023317225</v>
      </c>
      <c r="F199" s="50">
        <f t="shared" ca="1" si="27"/>
        <v>17.905892285574083</v>
      </c>
      <c r="G199" s="50">
        <f t="shared" ca="1" si="23"/>
        <v>24.713138744806372</v>
      </c>
      <c r="H199" s="51">
        <f t="shared" ca="1" si="28"/>
        <v>0</v>
      </c>
      <c r="I199" s="52">
        <f t="shared" ca="1" si="24"/>
        <v>1284.2505216358181</v>
      </c>
      <c r="J199" s="53">
        <f t="shared" ca="1" si="25"/>
        <v>992.19073418780613</v>
      </c>
      <c r="K199" s="124">
        <f t="shared" ca="1" si="29"/>
        <v>292.059787448012</v>
      </c>
      <c r="L199" s="30"/>
      <c r="M199" s="30"/>
      <c r="N199" s="30"/>
      <c r="O199" s="30"/>
    </row>
    <row r="200" spans="1:15" x14ac:dyDescent="0.25">
      <c r="A200" s="10">
        <v>181</v>
      </c>
      <c r="B200" s="27">
        <f t="shared" ca="1" si="20"/>
        <v>0.98857945575553174</v>
      </c>
      <c r="C200" s="21">
        <f t="shared" ca="1" si="26"/>
        <v>272.7608222917579</v>
      </c>
      <c r="D200" s="21">
        <f t="shared" ca="1" si="21"/>
        <v>263.28801457026873</v>
      </c>
      <c r="E200" s="21">
        <f t="shared" ca="1" si="22"/>
        <v>0</v>
      </c>
      <c r="F200" s="22">
        <f t="shared" ca="1" si="27"/>
        <v>0</v>
      </c>
      <c r="G200" s="22">
        <f t="shared" ca="1" si="23"/>
        <v>1.9917278388786599</v>
      </c>
      <c r="H200" s="31">
        <f t="shared" ca="1" si="28"/>
        <v>0</v>
      </c>
      <c r="I200" s="9">
        <f t="shared" ca="1" si="24"/>
        <v>1364.2622595082335</v>
      </c>
      <c r="J200" s="30">
        <f t="shared" ca="1" si="25"/>
        <v>992.19073418780613</v>
      </c>
      <c r="K200" s="122">
        <f t="shared" ca="1" si="29"/>
        <v>372.07152532042733</v>
      </c>
      <c r="L200" s="30"/>
      <c r="M200" s="30"/>
      <c r="N200" s="30"/>
      <c r="O200" s="30"/>
    </row>
    <row r="201" spans="1:15" x14ac:dyDescent="0.25">
      <c r="A201" s="10">
        <v>182</v>
      </c>
      <c r="B201" s="27">
        <f t="shared" ca="1" si="20"/>
        <v>0.50157228274342069</v>
      </c>
      <c r="C201" s="21">
        <f t="shared" ca="1" si="26"/>
        <v>250.03941138583019</v>
      </c>
      <c r="D201" s="21">
        <f t="shared" ca="1" si="21"/>
        <v>248.04768354695153</v>
      </c>
      <c r="E201" s="21">
        <f t="shared" ca="1" si="22"/>
        <v>0</v>
      </c>
      <c r="F201" s="22">
        <f t="shared" ca="1" si="27"/>
        <v>0</v>
      </c>
      <c r="G201" s="22">
        <f t="shared" ca="1" si="23"/>
        <v>7.1694070175710749</v>
      </c>
      <c r="H201" s="31">
        <f t="shared" ca="1" si="28"/>
        <v>0</v>
      </c>
      <c r="I201" s="9">
        <f t="shared" ca="1" si="24"/>
        <v>1364.2622595082335</v>
      </c>
      <c r="J201" s="30">
        <f t="shared" ca="1" si="25"/>
        <v>992.19073418780613</v>
      </c>
      <c r="K201" s="122">
        <f t="shared" ca="1" si="29"/>
        <v>372.07152532042733</v>
      </c>
      <c r="L201" s="30"/>
      <c r="M201" s="30"/>
      <c r="N201" s="30"/>
      <c r="O201" s="30"/>
    </row>
    <row r="202" spans="1:15" x14ac:dyDescent="0.25">
      <c r="A202" s="10">
        <v>183</v>
      </c>
      <c r="B202" s="27">
        <f t="shared" ca="1" si="20"/>
        <v>0.69906354096446022</v>
      </c>
      <c r="C202" s="21">
        <f t="shared" ca="1" si="26"/>
        <v>255.21709056452261</v>
      </c>
      <c r="D202" s="21">
        <f t="shared" ca="1" si="21"/>
        <v>248.04768354695153</v>
      </c>
      <c r="E202" s="21">
        <f t="shared" ca="1" si="22"/>
        <v>0</v>
      </c>
      <c r="F202" s="22">
        <f t="shared" ca="1" si="27"/>
        <v>0</v>
      </c>
      <c r="G202" s="22">
        <f t="shared" ca="1" si="23"/>
        <v>0</v>
      </c>
      <c r="H202" s="31">
        <f t="shared" ca="1" si="28"/>
        <v>0</v>
      </c>
      <c r="I202" s="9">
        <f t="shared" ca="1" si="24"/>
        <v>1364.2622595082335</v>
      </c>
      <c r="J202" s="30">
        <f t="shared" ca="1" si="25"/>
        <v>992.19073418780613</v>
      </c>
      <c r="K202" s="122">
        <f t="shared" ca="1" si="29"/>
        <v>372.07152532042733</v>
      </c>
      <c r="L202" s="30"/>
      <c r="M202" s="30"/>
      <c r="N202" s="30"/>
      <c r="O202" s="30"/>
    </row>
    <row r="203" spans="1:15" x14ac:dyDescent="0.25">
      <c r="A203" s="10">
        <v>184</v>
      </c>
      <c r="B203" s="27">
        <f t="shared" ca="1" si="20"/>
        <v>7.9597037267499227E-2</v>
      </c>
      <c r="C203" s="21">
        <f t="shared" ca="1" si="26"/>
        <v>235.92212742051521</v>
      </c>
      <c r="D203" s="21">
        <f t="shared" ca="1" si="21"/>
        <v>248.04768354695153</v>
      </c>
      <c r="E203" s="21">
        <f t="shared" ca="1" si="22"/>
        <v>12.125556126436322</v>
      </c>
      <c r="F203" s="22">
        <f t="shared" ca="1" si="27"/>
        <v>12.125556126436322</v>
      </c>
      <c r="G203" s="22">
        <f t="shared" ca="1" si="23"/>
        <v>0</v>
      </c>
      <c r="H203" s="31">
        <f t="shared" ca="1" si="28"/>
        <v>12.125556126436322</v>
      </c>
      <c r="I203" s="9">
        <f t="shared" ca="1" si="24"/>
        <v>1300.6030898444426</v>
      </c>
      <c r="J203" s="30">
        <f t="shared" ca="1" si="25"/>
        <v>1010.3790683774606</v>
      </c>
      <c r="K203" s="122">
        <f t="shared" ca="1" si="29"/>
        <v>290.22402146698198</v>
      </c>
      <c r="L203" s="30"/>
      <c r="M203" s="30"/>
      <c r="N203" s="30"/>
      <c r="O203" s="30"/>
    </row>
    <row r="204" spans="1:15" x14ac:dyDescent="0.25">
      <c r="A204" s="10">
        <v>185</v>
      </c>
      <c r="B204" s="27">
        <f t="shared" ca="1" si="20"/>
        <v>8.9550270385559072E-2</v>
      </c>
      <c r="C204" s="21">
        <f t="shared" ca="1" si="26"/>
        <v>236.56470377507154</v>
      </c>
      <c r="D204" s="21">
        <f t="shared" ca="1" si="21"/>
        <v>260.17323967338785</v>
      </c>
      <c r="E204" s="21">
        <f t="shared" ca="1" si="22"/>
        <v>11.482979771879997</v>
      </c>
      <c r="F204" s="22">
        <f t="shared" ca="1" si="27"/>
        <v>23.608535898316319</v>
      </c>
      <c r="G204" s="22">
        <f t="shared" ca="1" si="23"/>
        <v>10.342084730276042</v>
      </c>
      <c r="H204" s="31">
        <f t="shared" ca="1" si="28"/>
        <v>13.266451168040277</v>
      </c>
      <c r="I204" s="9">
        <f t="shared" ca="1" si="24"/>
        <v>1343.7759692099842</v>
      </c>
      <c r="J204" s="30">
        <f t="shared" ca="1" si="25"/>
        <v>1012.0904109398665</v>
      </c>
      <c r="K204" s="122">
        <f t="shared" ca="1" si="29"/>
        <v>331.68555827011767</v>
      </c>
      <c r="L204" s="30"/>
      <c r="M204" s="30"/>
      <c r="N204" s="30"/>
      <c r="O204" s="30"/>
    </row>
    <row r="205" spans="1:15" x14ac:dyDescent="0.25">
      <c r="A205" s="10">
        <v>186</v>
      </c>
      <c r="B205" s="27">
        <f t="shared" ca="1" si="20"/>
        <v>0.79925884347452525</v>
      </c>
      <c r="C205" s="21">
        <f t="shared" ca="1" si="26"/>
        <v>258.38976827722757</v>
      </c>
      <c r="D205" s="21">
        <f t="shared" ca="1" si="21"/>
        <v>259.53066331883156</v>
      </c>
      <c r="E205" s="21">
        <f t="shared" ca="1" si="22"/>
        <v>0</v>
      </c>
      <c r="F205" s="22">
        <f t="shared" ca="1" si="27"/>
        <v>1.1408950416039829</v>
      </c>
      <c r="G205" s="22">
        <f t="shared" ca="1" si="23"/>
        <v>8.4773971719494057</v>
      </c>
      <c r="H205" s="31">
        <f t="shared" ca="1" si="28"/>
        <v>0</v>
      </c>
      <c r="I205" s="9">
        <f t="shared" ca="1" si="24"/>
        <v>1364.2622595082335</v>
      </c>
      <c r="J205" s="30">
        <f t="shared" ca="1" si="25"/>
        <v>992.19073418780613</v>
      </c>
      <c r="K205" s="122">
        <f t="shared" ca="1" si="29"/>
        <v>372.07152532042733</v>
      </c>
      <c r="L205" s="30"/>
      <c r="M205" s="30"/>
      <c r="N205" s="30"/>
      <c r="O205" s="30"/>
    </row>
    <row r="206" spans="1:15" x14ac:dyDescent="0.25">
      <c r="A206" s="10">
        <v>187</v>
      </c>
      <c r="B206" s="27">
        <f t="shared" ca="1" si="20"/>
        <v>0.74296326632033216</v>
      </c>
      <c r="C206" s="21">
        <f t="shared" ca="1" si="26"/>
        <v>256.52508071890094</v>
      </c>
      <c r="D206" s="21">
        <f t="shared" ca="1" si="21"/>
        <v>248.04768354695153</v>
      </c>
      <c r="E206" s="21">
        <f t="shared" ca="1" si="22"/>
        <v>0</v>
      </c>
      <c r="F206" s="22">
        <f t="shared" ca="1" si="27"/>
        <v>0</v>
      </c>
      <c r="G206" s="22">
        <f t="shared" ca="1" si="23"/>
        <v>0</v>
      </c>
      <c r="H206" s="31">
        <f t="shared" ca="1" si="28"/>
        <v>0</v>
      </c>
      <c r="I206" s="9">
        <f t="shared" ca="1" si="24"/>
        <v>1364.2622595082335</v>
      </c>
      <c r="J206" s="30">
        <f t="shared" ca="1" si="25"/>
        <v>992.19073418780613</v>
      </c>
      <c r="K206" s="122">
        <f t="shared" ca="1" si="29"/>
        <v>372.07152532042733</v>
      </c>
      <c r="L206" s="30"/>
      <c r="M206" s="30"/>
      <c r="N206" s="30"/>
      <c r="O206" s="30"/>
    </row>
    <row r="207" spans="1:15" x14ac:dyDescent="0.25">
      <c r="A207" s="10">
        <v>188</v>
      </c>
      <c r="B207" s="27">
        <f t="shared" ca="1" si="20"/>
        <v>0.25007890722652681</v>
      </c>
      <c r="C207" s="21">
        <f t="shared" ca="1" si="26"/>
        <v>243.25758539410688</v>
      </c>
      <c r="D207" s="21">
        <f t="shared" ca="1" si="21"/>
        <v>248.04768354695153</v>
      </c>
      <c r="E207" s="21">
        <f t="shared" ca="1" si="22"/>
        <v>4.7900981528446493</v>
      </c>
      <c r="F207" s="22">
        <f t="shared" ca="1" si="27"/>
        <v>4.7900981528446493</v>
      </c>
      <c r="G207" s="22">
        <f t="shared" ca="1" si="23"/>
        <v>0</v>
      </c>
      <c r="H207" s="31">
        <f t="shared" ca="1" si="28"/>
        <v>4.7900981528446493</v>
      </c>
      <c r="I207" s="9">
        <f t="shared" ca="1" si="24"/>
        <v>1339.114244205799</v>
      </c>
      <c r="J207" s="30">
        <f t="shared" ca="1" si="25"/>
        <v>999.37588141707306</v>
      </c>
      <c r="K207" s="122">
        <f t="shared" ca="1" si="29"/>
        <v>339.73836278872591</v>
      </c>
      <c r="L207" s="30"/>
      <c r="M207" s="30"/>
      <c r="N207" s="30"/>
      <c r="O207" s="30"/>
    </row>
    <row r="208" spans="1:15" x14ac:dyDescent="0.25">
      <c r="A208" s="10">
        <v>189</v>
      </c>
      <c r="B208" s="27">
        <f t="shared" ca="1" si="20"/>
        <v>0.33181488497142342</v>
      </c>
      <c r="C208" s="21">
        <f t="shared" ca="1" si="26"/>
        <v>245.6509277482169</v>
      </c>
      <c r="D208" s="21">
        <f t="shared" ca="1" si="21"/>
        <v>252.83778169979618</v>
      </c>
      <c r="E208" s="21">
        <f t="shared" ca="1" si="22"/>
        <v>2.3967557987346311</v>
      </c>
      <c r="F208" s="22">
        <f t="shared" ca="1" si="27"/>
        <v>7.1868539515792804</v>
      </c>
      <c r="G208" s="22">
        <f t="shared" ca="1" si="23"/>
        <v>2.6488389900127061</v>
      </c>
      <c r="H208" s="31">
        <f t="shared" ca="1" si="28"/>
        <v>4.5380149615665744</v>
      </c>
      <c r="I208" s="9">
        <f t="shared" ca="1" si="24"/>
        <v>1365.2933364495764</v>
      </c>
      <c r="J208" s="30">
        <f t="shared" ca="1" si="25"/>
        <v>998.997756630156</v>
      </c>
      <c r="K208" s="122">
        <f t="shared" ca="1" si="29"/>
        <v>366.29557981942037</v>
      </c>
      <c r="L208" s="30"/>
      <c r="M208" s="30"/>
      <c r="N208" s="30"/>
      <c r="O208" s="30"/>
    </row>
    <row r="209" spans="1:15" x14ac:dyDescent="0.25">
      <c r="A209" s="10">
        <v>190</v>
      </c>
      <c r="B209" s="27">
        <f t="shared" ca="1" si="20"/>
        <v>0.52776477726976778</v>
      </c>
      <c r="C209" s="21">
        <f t="shared" ca="1" si="26"/>
        <v>250.69652253696424</v>
      </c>
      <c r="D209" s="21">
        <f t="shared" ca="1" si="21"/>
        <v>250.44443934568616</v>
      </c>
      <c r="E209" s="21">
        <f t="shared" ca="1" si="22"/>
        <v>0</v>
      </c>
      <c r="F209" s="22">
        <f t="shared" ca="1" si="27"/>
        <v>0</v>
      </c>
      <c r="G209" s="22">
        <f t="shared" ca="1" si="23"/>
        <v>0</v>
      </c>
      <c r="H209" s="31">
        <f t="shared" ca="1" si="28"/>
        <v>0</v>
      </c>
      <c r="I209" s="9">
        <f t="shared" ca="1" si="24"/>
        <v>1364.2622595082335</v>
      </c>
      <c r="J209" s="30">
        <f t="shared" ca="1" si="25"/>
        <v>992.19073418780613</v>
      </c>
      <c r="K209" s="122">
        <f t="shared" ca="1" si="29"/>
        <v>372.07152532042733</v>
      </c>
      <c r="L209" s="30"/>
      <c r="M209" s="30"/>
      <c r="N209" s="30"/>
      <c r="O209" s="30"/>
    </row>
    <row r="210" spans="1:15" x14ac:dyDescent="0.25">
      <c r="A210" s="10">
        <v>191</v>
      </c>
      <c r="B210" s="27">
        <f t="shared" ca="1" si="20"/>
        <v>0.12014723486578693</v>
      </c>
      <c r="C210" s="21">
        <f t="shared" ca="1" si="26"/>
        <v>238.25748915262358</v>
      </c>
      <c r="D210" s="21">
        <f t="shared" ca="1" si="21"/>
        <v>248.04768354695153</v>
      </c>
      <c r="E210" s="21">
        <f t="shared" ca="1" si="22"/>
        <v>9.7901943943279548</v>
      </c>
      <c r="F210" s="22">
        <f t="shared" ca="1" si="27"/>
        <v>9.7901943943279548</v>
      </c>
      <c r="G210" s="22">
        <f t="shared" ca="1" si="23"/>
        <v>2.6012926007798285</v>
      </c>
      <c r="H210" s="31">
        <f t="shared" ca="1" si="28"/>
        <v>7.1889017935481263</v>
      </c>
      <c r="I210" s="9">
        <f t="shared" ca="1" si="24"/>
        <v>1334.4304443186561</v>
      </c>
      <c r="J210" s="30">
        <f t="shared" ca="1" si="25"/>
        <v>1002.9740868781283</v>
      </c>
      <c r="K210" s="122">
        <f t="shared" ca="1" si="29"/>
        <v>331.45635744052777</v>
      </c>
      <c r="L210" s="30"/>
      <c r="M210" s="30"/>
      <c r="N210" s="30"/>
      <c r="O210" s="30"/>
    </row>
    <row r="211" spans="1:15" x14ac:dyDescent="0.25">
      <c r="A211" s="10">
        <v>192</v>
      </c>
      <c r="B211" s="27">
        <f t="shared" ca="1" si="20"/>
        <v>0.52587224013609923</v>
      </c>
      <c r="C211" s="21">
        <f t="shared" ca="1" si="26"/>
        <v>250.64897614773136</v>
      </c>
      <c r="D211" s="21">
        <f t="shared" ca="1" si="21"/>
        <v>257.83787794127949</v>
      </c>
      <c r="E211" s="21">
        <f t="shared" ca="1" si="22"/>
        <v>0</v>
      </c>
      <c r="F211" s="22">
        <f t="shared" ca="1" si="27"/>
        <v>7.1889017935481263</v>
      </c>
      <c r="G211" s="22">
        <f t="shared" ca="1" si="23"/>
        <v>0</v>
      </c>
      <c r="H211" s="31">
        <f t="shared" ca="1" si="28"/>
        <v>7.1889017935481263</v>
      </c>
      <c r="I211" s="9">
        <f t="shared" ca="1" si="24"/>
        <v>1364.2622595082335</v>
      </c>
      <c r="J211" s="30">
        <f t="shared" ca="1" si="25"/>
        <v>1002.9740868781283</v>
      </c>
      <c r="K211" s="122">
        <f t="shared" ca="1" si="29"/>
        <v>361.28817263010512</v>
      </c>
      <c r="L211" s="30"/>
      <c r="M211" s="30"/>
      <c r="N211" s="30"/>
      <c r="O211" s="30"/>
    </row>
    <row r="212" spans="1:15" x14ac:dyDescent="0.25">
      <c r="A212" s="10">
        <v>193</v>
      </c>
      <c r="B212" s="27">
        <f t="shared" ref="B212:B275" ca="1" si="30">RAND()</f>
        <v>0.30416373308218625</v>
      </c>
      <c r="C212" s="21">
        <f t="shared" ca="1" si="26"/>
        <v>244.87537653312185</v>
      </c>
      <c r="D212" s="21">
        <f t="shared" ref="D212:D275" ca="1" si="31">$E$10+E211</f>
        <v>248.04768354695153</v>
      </c>
      <c r="E212" s="21">
        <f t="shared" ref="E212:E275" ca="1" si="32">IF(C212&gt;$E$10,0,$E$10-C212)</f>
        <v>3.1723070138296805</v>
      </c>
      <c r="F212" s="22">
        <f t="shared" ca="1" si="27"/>
        <v>3.1723070138296805</v>
      </c>
      <c r="G212" s="22">
        <f t="shared" ref="G212:G275" ca="1" si="33">IF(C213&gt;$E$10,C213-$E$10,0)</f>
        <v>0</v>
      </c>
      <c r="H212" s="31">
        <f t="shared" ca="1" si="28"/>
        <v>3.1723070138296805</v>
      </c>
      <c r="I212" s="9">
        <f t="shared" ref="I212:I275" ca="1" si="34">IF($E$10&lt;C212,$E$10*$E$7,$E$9*($E$10-C212)+(C212*$E$7)+IF($E$10&lt;C213,H212*$E$8,E211*$E$8))</f>
        <v>1347.6076476856276</v>
      </c>
      <c r="J212" s="30">
        <f t="shared" ref="J212:J275" ca="1" si="35">IF(H212&gt;0,$E$10*$E$5+H212*$E$6,$E$10*$E$5)</f>
        <v>996.94919470855064</v>
      </c>
      <c r="K212" s="122">
        <f t="shared" ca="1" si="29"/>
        <v>350.65845297707699</v>
      </c>
      <c r="L212" s="30"/>
      <c r="M212" s="30"/>
      <c r="N212" s="30"/>
      <c r="O212" s="30"/>
    </row>
    <row r="213" spans="1:15" x14ac:dyDescent="0.25">
      <c r="A213" s="10">
        <v>194</v>
      </c>
      <c r="B213" s="27">
        <f t="shared" ca="1" si="30"/>
        <v>9.2075463999424567E-2</v>
      </c>
      <c r="C213" s="21">
        <f t="shared" ref="C213:C276" ca="1" si="36">_xlfn.NORM.INV(B213,$D$15,$D$16)</f>
        <v>236.71917723995239</v>
      </c>
      <c r="D213" s="21">
        <f t="shared" ca="1" si="31"/>
        <v>251.21999056078121</v>
      </c>
      <c r="E213" s="21">
        <f t="shared" ca="1" si="32"/>
        <v>11.328506306999145</v>
      </c>
      <c r="F213" s="22">
        <f t="shared" ref="F213:F276" ca="1" si="37">IF(C213&gt;D213,0,D213-C213)</f>
        <v>14.500813320828826</v>
      </c>
      <c r="G213" s="22">
        <f t="shared" ca="1" si="33"/>
        <v>0</v>
      </c>
      <c r="H213" s="31">
        <f t="shared" ref="H213:H276" ca="1" si="38">IF(G213&gt;F213,0,IF(G213&lt;F213,F213-G213,0))</f>
        <v>14.500813320828826</v>
      </c>
      <c r="I213" s="9">
        <f t="shared" ca="1" si="34"/>
        <v>1314.3045224379769</v>
      </c>
      <c r="J213" s="30">
        <f t="shared" ca="1" si="35"/>
        <v>1013.9419541690494</v>
      </c>
      <c r="K213" s="122">
        <f t="shared" ref="K213:K276" ca="1" si="39">I213-J213</f>
        <v>300.36256826892748</v>
      </c>
      <c r="L213" s="30"/>
      <c r="M213" s="30"/>
      <c r="N213" s="30"/>
      <c r="O213" s="30"/>
    </row>
    <row r="214" spans="1:15" x14ac:dyDescent="0.25">
      <c r="A214" s="10">
        <v>195</v>
      </c>
      <c r="B214" s="27">
        <f t="shared" ca="1" si="30"/>
        <v>0.41660168358773586</v>
      </c>
      <c r="C214" s="21">
        <f t="shared" ca="1" si="36"/>
        <v>247.89405067832891</v>
      </c>
      <c r="D214" s="21">
        <f t="shared" ca="1" si="31"/>
        <v>259.37618985395068</v>
      </c>
      <c r="E214" s="21">
        <f t="shared" ca="1" si="32"/>
        <v>0.15363286862262271</v>
      </c>
      <c r="F214" s="22">
        <f t="shared" ca="1" si="37"/>
        <v>11.482139175621768</v>
      </c>
      <c r="G214" s="22">
        <f t="shared" ca="1" si="33"/>
        <v>4.0635797030125218</v>
      </c>
      <c r="H214" s="31">
        <f t="shared" ca="1" si="38"/>
        <v>7.4185594726092461</v>
      </c>
      <c r="I214" s="9">
        <f t="shared" ca="1" si="34"/>
        <v>1385.7113653657923</v>
      </c>
      <c r="J214" s="30">
        <f t="shared" ca="1" si="35"/>
        <v>1003.31857339672</v>
      </c>
      <c r="K214" s="122">
        <f t="shared" ca="1" si="39"/>
        <v>382.39279196907228</v>
      </c>
      <c r="L214" s="30"/>
      <c r="M214" s="30"/>
      <c r="N214" s="30"/>
      <c r="O214" s="30"/>
    </row>
    <row r="215" spans="1:15" x14ac:dyDescent="0.25">
      <c r="A215" s="10">
        <v>196</v>
      </c>
      <c r="B215" s="27">
        <f t="shared" ca="1" si="30"/>
        <v>0.58360565059325775</v>
      </c>
      <c r="C215" s="21">
        <f t="shared" ca="1" si="36"/>
        <v>252.11126324996405</v>
      </c>
      <c r="D215" s="21">
        <f t="shared" ca="1" si="31"/>
        <v>248.20131641557415</v>
      </c>
      <c r="E215" s="21">
        <f t="shared" ca="1" si="32"/>
        <v>0</v>
      </c>
      <c r="F215" s="22">
        <f t="shared" ca="1" si="37"/>
        <v>0</v>
      </c>
      <c r="G215" s="22">
        <f t="shared" ca="1" si="33"/>
        <v>9.4495816082112469</v>
      </c>
      <c r="H215" s="31">
        <f t="shared" ca="1" si="38"/>
        <v>0</v>
      </c>
      <c r="I215" s="9">
        <f t="shared" ca="1" si="34"/>
        <v>1364.2622595082335</v>
      </c>
      <c r="J215" s="30">
        <f t="shared" ca="1" si="35"/>
        <v>992.19073418780613</v>
      </c>
      <c r="K215" s="122">
        <f t="shared" ca="1" si="39"/>
        <v>372.07152532042733</v>
      </c>
      <c r="L215" s="30"/>
      <c r="M215" s="30"/>
      <c r="N215" s="30"/>
      <c r="O215" s="30"/>
    </row>
    <row r="216" spans="1:15" x14ac:dyDescent="0.25">
      <c r="A216" s="10">
        <v>197</v>
      </c>
      <c r="B216" s="27">
        <f t="shared" ca="1" si="30"/>
        <v>0.77329028276221878</v>
      </c>
      <c r="C216" s="21">
        <f t="shared" ca="1" si="36"/>
        <v>257.49726515516278</v>
      </c>
      <c r="D216" s="21">
        <f t="shared" ca="1" si="31"/>
        <v>248.04768354695153</v>
      </c>
      <c r="E216" s="21">
        <f t="shared" ca="1" si="32"/>
        <v>0</v>
      </c>
      <c r="F216" s="22">
        <f t="shared" ca="1" si="37"/>
        <v>0</v>
      </c>
      <c r="G216" s="22">
        <f t="shared" ca="1" si="33"/>
        <v>7.41559623782328</v>
      </c>
      <c r="H216" s="31">
        <f t="shared" ca="1" si="38"/>
        <v>0</v>
      </c>
      <c r="I216" s="9">
        <f t="shared" ca="1" si="34"/>
        <v>1364.2622595082335</v>
      </c>
      <c r="J216" s="30">
        <f t="shared" ca="1" si="35"/>
        <v>992.19073418780613</v>
      </c>
      <c r="K216" s="122">
        <f t="shared" ca="1" si="39"/>
        <v>372.07152532042733</v>
      </c>
      <c r="L216" s="30"/>
      <c r="M216" s="30"/>
      <c r="N216" s="30"/>
      <c r="O216" s="30"/>
    </row>
    <row r="217" spans="1:15" x14ac:dyDescent="0.25">
      <c r="A217" s="10">
        <v>198</v>
      </c>
      <c r="B217" s="27">
        <f t="shared" ca="1" si="30"/>
        <v>0.70757974632700538</v>
      </c>
      <c r="C217" s="21">
        <f t="shared" ca="1" si="36"/>
        <v>255.46327978477481</v>
      </c>
      <c r="D217" s="21">
        <f t="shared" ca="1" si="31"/>
        <v>248.04768354695153</v>
      </c>
      <c r="E217" s="21">
        <f t="shared" ca="1" si="32"/>
        <v>0</v>
      </c>
      <c r="F217" s="22">
        <f t="shared" ca="1" si="37"/>
        <v>0</v>
      </c>
      <c r="G217" s="22">
        <f t="shared" ca="1" si="33"/>
        <v>0</v>
      </c>
      <c r="H217" s="31">
        <f t="shared" ca="1" si="38"/>
        <v>0</v>
      </c>
      <c r="I217" s="9">
        <f t="shared" ca="1" si="34"/>
        <v>1364.2622595082335</v>
      </c>
      <c r="J217" s="30">
        <f t="shared" ca="1" si="35"/>
        <v>992.19073418780613</v>
      </c>
      <c r="K217" s="122">
        <f t="shared" ca="1" si="39"/>
        <v>372.07152532042733</v>
      </c>
      <c r="L217" s="30"/>
      <c r="M217" s="30"/>
      <c r="N217" s="30"/>
      <c r="O217" s="30"/>
    </row>
    <row r="218" spans="1:15" x14ac:dyDescent="0.25">
      <c r="A218" s="10">
        <v>199</v>
      </c>
      <c r="B218" s="27">
        <f t="shared" ca="1" si="30"/>
        <v>0.23682075399455682</v>
      </c>
      <c r="C218" s="21">
        <f t="shared" ca="1" si="36"/>
        <v>242.8343331657004</v>
      </c>
      <c r="D218" s="21">
        <f t="shared" ca="1" si="31"/>
        <v>248.04768354695153</v>
      </c>
      <c r="E218" s="21">
        <f t="shared" ca="1" si="32"/>
        <v>5.2133503812511321</v>
      </c>
      <c r="F218" s="22">
        <f t="shared" ca="1" si="37"/>
        <v>5.2133503812511321</v>
      </c>
      <c r="G218" s="22">
        <f t="shared" ca="1" si="33"/>
        <v>3.5572879037992493</v>
      </c>
      <c r="H218" s="31">
        <f t="shared" ca="1" si="38"/>
        <v>1.6560624774518828</v>
      </c>
      <c r="I218" s="9">
        <f t="shared" ca="1" si="34"/>
        <v>1341.8603574390204</v>
      </c>
      <c r="J218" s="30">
        <f t="shared" ca="1" si="35"/>
        <v>994.6748279039839</v>
      </c>
      <c r="K218" s="122">
        <f t="shared" ca="1" si="39"/>
        <v>347.18552953503649</v>
      </c>
      <c r="L218" s="30"/>
      <c r="M218" s="30"/>
      <c r="N218" s="30"/>
      <c r="O218" s="30"/>
    </row>
    <row r="219" spans="1:15" x14ac:dyDescent="0.25">
      <c r="A219" s="10">
        <v>200</v>
      </c>
      <c r="B219" s="27">
        <f t="shared" ca="1" si="30"/>
        <v>0.56375526481209048</v>
      </c>
      <c r="C219" s="21">
        <f t="shared" ca="1" si="36"/>
        <v>251.60497145075078</v>
      </c>
      <c r="D219" s="21">
        <f t="shared" ca="1" si="31"/>
        <v>253.26103392820266</v>
      </c>
      <c r="E219" s="21">
        <f t="shared" ca="1" si="32"/>
        <v>0</v>
      </c>
      <c r="F219" s="22">
        <f t="shared" ca="1" si="37"/>
        <v>1.6560624774518828</v>
      </c>
      <c r="G219" s="22">
        <f t="shared" ca="1" si="33"/>
        <v>9.3991564133484076</v>
      </c>
      <c r="H219" s="31">
        <f t="shared" ca="1" si="38"/>
        <v>0</v>
      </c>
      <c r="I219" s="9">
        <f t="shared" ca="1" si="34"/>
        <v>1364.2622595082335</v>
      </c>
      <c r="J219" s="30">
        <f t="shared" ca="1" si="35"/>
        <v>992.19073418780613</v>
      </c>
      <c r="K219" s="122">
        <f t="shared" ca="1" si="39"/>
        <v>372.07152532042733</v>
      </c>
      <c r="L219" s="30"/>
      <c r="M219" s="30"/>
      <c r="N219" s="30"/>
      <c r="O219" s="30"/>
    </row>
    <row r="220" spans="1:15" x14ac:dyDescent="0.25">
      <c r="A220" s="10">
        <v>201</v>
      </c>
      <c r="B220" s="27">
        <f t="shared" ca="1" si="30"/>
        <v>0.77176861186289192</v>
      </c>
      <c r="C220" s="21">
        <f t="shared" ca="1" si="36"/>
        <v>257.44683996029994</v>
      </c>
      <c r="D220" s="21">
        <f t="shared" ca="1" si="31"/>
        <v>248.04768354695153</v>
      </c>
      <c r="E220" s="21">
        <f t="shared" ca="1" si="32"/>
        <v>0</v>
      </c>
      <c r="F220" s="22">
        <f t="shared" ca="1" si="37"/>
        <v>0</v>
      </c>
      <c r="G220" s="22">
        <f t="shared" ca="1" si="33"/>
        <v>0.8015376150277973</v>
      </c>
      <c r="H220" s="31">
        <f t="shared" ca="1" si="38"/>
        <v>0</v>
      </c>
      <c r="I220" s="9">
        <f t="shared" ca="1" si="34"/>
        <v>1364.2622595082335</v>
      </c>
      <c r="J220" s="30">
        <f t="shared" ca="1" si="35"/>
        <v>992.19073418780613</v>
      </c>
      <c r="K220" s="122">
        <f t="shared" ca="1" si="39"/>
        <v>372.07152532042733</v>
      </c>
      <c r="L220" s="30"/>
      <c r="M220" s="30"/>
      <c r="N220" s="30"/>
      <c r="O220" s="30"/>
    </row>
    <row r="221" spans="1:15" x14ac:dyDescent="0.25">
      <c r="A221" s="10">
        <v>202</v>
      </c>
      <c r="B221" s="27">
        <f t="shared" ca="1" si="30"/>
        <v>0.45419169479897026</v>
      </c>
      <c r="C221" s="21">
        <f t="shared" ca="1" si="36"/>
        <v>248.84922116197933</v>
      </c>
      <c r="D221" s="21">
        <f t="shared" ca="1" si="31"/>
        <v>248.04768354695153</v>
      </c>
      <c r="E221" s="21">
        <f t="shared" ca="1" si="32"/>
        <v>0</v>
      </c>
      <c r="F221" s="22">
        <f t="shared" ca="1" si="37"/>
        <v>0</v>
      </c>
      <c r="G221" s="22">
        <f t="shared" ca="1" si="33"/>
        <v>0</v>
      </c>
      <c r="H221" s="31">
        <f t="shared" ca="1" si="38"/>
        <v>0</v>
      </c>
      <c r="I221" s="9">
        <f t="shared" ca="1" si="34"/>
        <v>1364.2622595082335</v>
      </c>
      <c r="J221" s="30">
        <f t="shared" ca="1" si="35"/>
        <v>992.19073418780613</v>
      </c>
      <c r="K221" s="122">
        <f t="shared" ca="1" si="39"/>
        <v>372.07152532042733</v>
      </c>
      <c r="L221" s="30"/>
      <c r="M221" s="30"/>
      <c r="N221" s="30"/>
      <c r="O221" s="30"/>
    </row>
    <row r="222" spans="1:15" x14ac:dyDescent="0.25">
      <c r="A222" s="10">
        <v>203</v>
      </c>
      <c r="B222" s="27">
        <f t="shared" ca="1" si="30"/>
        <v>0.23213727387440786</v>
      </c>
      <c r="C222" s="21">
        <f t="shared" ca="1" si="36"/>
        <v>242.68173623640911</v>
      </c>
      <c r="D222" s="21">
        <f t="shared" ca="1" si="31"/>
        <v>248.04768354695153</v>
      </c>
      <c r="E222" s="21">
        <f t="shared" ca="1" si="32"/>
        <v>5.365947310542424</v>
      </c>
      <c r="F222" s="22">
        <f t="shared" ca="1" si="37"/>
        <v>5.365947310542424</v>
      </c>
      <c r="G222" s="22">
        <f t="shared" ca="1" si="33"/>
        <v>0.10026198211878068</v>
      </c>
      <c r="H222" s="31">
        <f t="shared" ca="1" si="38"/>
        <v>5.2656853284236433</v>
      </c>
      <c r="I222" s="9">
        <f t="shared" ca="1" si="34"/>
        <v>1351.8880921131565</v>
      </c>
      <c r="J222" s="30">
        <f t="shared" ca="1" si="35"/>
        <v>1000.0892621804416</v>
      </c>
      <c r="K222" s="122">
        <f t="shared" ca="1" si="39"/>
        <v>351.79882993271497</v>
      </c>
      <c r="L222" s="30"/>
      <c r="M222" s="30"/>
      <c r="N222" s="30"/>
      <c r="O222" s="30"/>
    </row>
    <row r="223" spans="1:15" x14ac:dyDescent="0.25">
      <c r="A223" s="10">
        <v>204</v>
      </c>
      <c r="B223" s="27">
        <f t="shared" ca="1" si="30"/>
        <v>0.42653394842072367</v>
      </c>
      <c r="C223" s="21">
        <f t="shared" ca="1" si="36"/>
        <v>248.14794552907031</v>
      </c>
      <c r="D223" s="21">
        <f t="shared" ca="1" si="31"/>
        <v>253.41363085749396</v>
      </c>
      <c r="E223" s="21">
        <f t="shared" ca="1" si="32"/>
        <v>0</v>
      </c>
      <c r="F223" s="22">
        <f t="shared" ca="1" si="37"/>
        <v>5.2656853284236433</v>
      </c>
      <c r="G223" s="22">
        <f t="shared" ca="1" si="33"/>
        <v>11.973259153585559</v>
      </c>
      <c r="H223" s="31">
        <f t="shared" ca="1" si="38"/>
        <v>0</v>
      </c>
      <c r="I223" s="9">
        <f t="shared" ca="1" si="34"/>
        <v>1364.2622595082335</v>
      </c>
      <c r="J223" s="30">
        <f t="shared" ca="1" si="35"/>
        <v>992.19073418780613</v>
      </c>
      <c r="K223" s="122">
        <f t="shared" ca="1" si="39"/>
        <v>372.07152532042733</v>
      </c>
      <c r="L223" s="30"/>
      <c r="M223" s="30"/>
      <c r="N223" s="30"/>
      <c r="O223" s="30"/>
    </row>
    <row r="224" spans="1:15" x14ac:dyDescent="0.25">
      <c r="A224" s="10">
        <v>205</v>
      </c>
      <c r="B224" s="27">
        <f t="shared" ca="1" si="30"/>
        <v>0.84185096747335286</v>
      </c>
      <c r="C224" s="21">
        <f t="shared" ca="1" si="36"/>
        <v>260.02094270053709</v>
      </c>
      <c r="D224" s="21">
        <f t="shared" ca="1" si="31"/>
        <v>248.04768354695153</v>
      </c>
      <c r="E224" s="21">
        <f t="shared" ca="1" si="32"/>
        <v>0</v>
      </c>
      <c r="F224" s="22">
        <f t="shared" ca="1" si="37"/>
        <v>0</v>
      </c>
      <c r="G224" s="22">
        <f t="shared" ca="1" si="33"/>
        <v>8.1264376091932604</v>
      </c>
      <c r="H224" s="31">
        <f t="shared" ca="1" si="38"/>
        <v>0</v>
      </c>
      <c r="I224" s="9">
        <f t="shared" ca="1" si="34"/>
        <v>1364.2622595082335</v>
      </c>
      <c r="J224" s="30">
        <f t="shared" ca="1" si="35"/>
        <v>992.19073418780613</v>
      </c>
      <c r="K224" s="122">
        <f t="shared" ca="1" si="39"/>
        <v>372.07152532042733</v>
      </c>
      <c r="L224" s="30"/>
      <c r="M224" s="30"/>
      <c r="N224" s="30"/>
      <c r="O224" s="30"/>
    </row>
    <row r="225" spans="1:15" x14ac:dyDescent="0.25">
      <c r="A225" s="10">
        <v>206</v>
      </c>
      <c r="B225" s="27">
        <f t="shared" ca="1" si="30"/>
        <v>0.73151853366152597</v>
      </c>
      <c r="C225" s="21">
        <f t="shared" ca="1" si="36"/>
        <v>256.17412115614479</v>
      </c>
      <c r="D225" s="21">
        <f t="shared" ca="1" si="31"/>
        <v>248.04768354695153</v>
      </c>
      <c r="E225" s="21">
        <f t="shared" ca="1" si="32"/>
        <v>0</v>
      </c>
      <c r="F225" s="22">
        <f t="shared" ca="1" si="37"/>
        <v>0</v>
      </c>
      <c r="G225" s="22">
        <f t="shared" ca="1" si="33"/>
        <v>0</v>
      </c>
      <c r="H225" s="31">
        <f t="shared" ca="1" si="38"/>
        <v>0</v>
      </c>
      <c r="I225" s="9">
        <f t="shared" ca="1" si="34"/>
        <v>1364.2622595082335</v>
      </c>
      <c r="J225" s="30">
        <f t="shared" ca="1" si="35"/>
        <v>992.19073418780613</v>
      </c>
      <c r="K225" s="122">
        <f t="shared" ca="1" si="39"/>
        <v>372.07152532042733</v>
      </c>
      <c r="L225" s="30"/>
      <c r="M225" s="30"/>
      <c r="N225" s="30"/>
      <c r="O225" s="30"/>
    </row>
    <row r="226" spans="1:15" x14ac:dyDescent="0.25">
      <c r="A226" s="10">
        <v>207</v>
      </c>
      <c r="B226" s="27">
        <f t="shared" ca="1" si="30"/>
        <v>0.34516873260312042</v>
      </c>
      <c r="C226" s="21">
        <f t="shared" ca="1" si="36"/>
        <v>246.01602859239611</v>
      </c>
      <c r="D226" s="21">
        <f t="shared" ca="1" si="31"/>
        <v>248.04768354695153</v>
      </c>
      <c r="E226" s="21">
        <f t="shared" ca="1" si="32"/>
        <v>2.031654954555421</v>
      </c>
      <c r="F226" s="22">
        <f t="shared" ca="1" si="37"/>
        <v>2.031654954555421</v>
      </c>
      <c r="G226" s="22">
        <f t="shared" ca="1" si="33"/>
        <v>7.734385192047796</v>
      </c>
      <c r="H226" s="31">
        <f t="shared" ca="1" si="38"/>
        <v>0</v>
      </c>
      <c r="I226" s="9">
        <f t="shared" ca="1" si="34"/>
        <v>1353.5960709968174</v>
      </c>
      <c r="J226" s="30">
        <f t="shared" ca="1" si="35"/>
        <v>992.19073418780613</v>
      </c>
      <c r="K226" s="122">
        <f t="shared" ca="1" si="39"/>
        <v>361.40533680901126</v>
      </c>
      <c r="L226" s="30"/>
      <c r="M226" s="30"/>
      <c r="N226" s="30"/>
      <c r="O226" s="30"/>
    </row>
    <row r="227" spans="1:15" x14ac:dyDescent="0.25">
      <c r="A227" s="10">
        <v>208</v>
      </c>
      <c r="B227" s="27">
        <f t="shared" ca="1" si="30"/>
        <v>0.71843777075980486</v>
      </c>
      <c r="C227" s="21">
        <f t="shared" ca="1" si="36"/>
        <v>255.78206873899933</v>
      </c>
      <c r="D227" s="21">
        <f t="shared" ca="1" si="31"/>
        <v>250.07933850150695</v>
      </c>
      <c r="E227" s="21">
        <f t="shared" ca="1" si="32"/>
        <v>0</v>
      </c>
      <c r="F227" s="22">
        <f t="shared" ca="1" si="37"/>
        <v>0</v>
      </c>
      <c r="G227" s="22">
        <f t="shared" ca="1" si="33"/>
        <v>0.88866434778847747</v>
      </c>
      <c r="H227" s="31">
        <f t="shared" ca="1" si="38"/>
        <v>0</v>
      </c>
      <c r="I227" s="9">
        <f t="shared" ca="1" si="34"/>
        <v>1364.2622595082335</v>
      </c>
      <c r="J227" s="30">
        <f t="shared" ca="1" si="35"/>
        <v>992.19073418780613</v>
      </c>
      <c r="K227" s="122">
        <f t="shared" ca="1" si="39"/>
        <v>372.07152532042733</v>
      </c>
      <c r="L227" s="30"/>
      <c r="M227" s="30"/>
      <c r="N227" s="30"/>
      <c r="O227" s="30"/>
    </row>
    <row r="228" spans="1:15" x14ac:dyDescent="0.25">
      <c r="A228" s="10">
        <v>209</v>
      </c>
      <c r="B228" s="27">
        <f t="shared" ca="1" si="30"/>
        <v>0.4576462972170281</v>
      </c>
      <c r="C228" s="21">
        <f t="shared" ca="1" si="36"/>
        <v>248.93634789474001</v>
      </c>
      <c r="D228" s="21">
        <f t="shared" ca="1" si="31"/>
        <v>248.04768354695153</v>
      </c>
      <c r="E228" s="21">
        <f t="shared" ca="1" si="32"/>
        <v>0</v>
      </c>
      <c r="F228" s="22">
        <f t="shared" ca="1" si="37"/>
        <v>0</v>
      </c>
      <c r="G228" s="22">
        <f t="shared" ca="1" si="33"/>
        <v>13.782800286117947</v>
      </c>
      <c r="H228" s="31">
        <f t="shared" ca="1" si="38"/>
        <v>0</v>
      </c>
      <c r="I228" s="9">
        <f t="shared" ca="1" si="34"/>
        <v>1364.2622595082335</v>
      </c>
      <c r="J228" s="30">
        <f t="shared" ca="1" si="35"/>
        <v>992.19073418780613</v>
      </c>
      <c r="K228" s="122">
        <f t="shared" ca="1" si="39"/>
        <v>372.07152532042733</v>
      </c>
      <c r="L228" s="30"/>
      <c r="M228" s="30"/>
      <c r="N228" s="30"/>
      <c r="O228" s="30"/>
    </row>
    <row r="229" spans="1:15" x14ac:dyDescent="0.25">
      <c r="A229" s="10">
        <v>210</v>
      </c>
      <c r="B229" s="27">
        <f t="shared" ca="1" si="30"/>
        <v>0.88160501362959554</v>
      </c>
      <c r="C229" s="21">
        <f t="shared" ca="1" si="36"/>
        <v>261.83048383306948</v>
      </c>
      <c r="D229" s="21">
        <f t="shared" ca="1" si="31"/>
        <v>248.04768354695153</v>
      </c>
      <c r="E229" s="21">
        <f t="shared" ca="1" si="32"/>
        <v>0</v>
      </c>
      <c r="F229" s="22">
        <f t="shared" ca="1" si="37"/>
        <v>0</v>
      </c>
      <c r="G229" s="22">
        <f t="shared" ca="1" si="33"/>
        <v>0</v>
      </c>
      <c r="H229" s="31">
        <f t="shared" ca="1" si="38"/>
        <v>0</v>
      </c>
      <c r="I229" s="9">
        <f t="shared" ca="1" si="34"/>
        <v>1364.2622595082335</v>
      </c>
      <c r="J229" s="30">
        <f t="shared" ca="1" si="35"/>
        <v>992.19073418780613</v>
      </c>
      <c r="K229" s="122">
        <f t="shared" ca="1" si="39"/>
        <v>372.07152532042733</v>
      </c>
      <c r="L229" s="30"/>
      <c r="M229" s="30"/>
      <c r="N229" s="30"/>
      <c r="O229" s="30"/>
    </row>
    <row r="230" spans="1:15" x14ac:dyDescent="0.25">
      <c r="A230" s="10">
        <v>211</v>
      </c>
      <c r="B230" s="27">
        <f t="shared" ca="1" si="30"/>
        <v>4.2684402260978027E-2</v>
      </c>
      <c r="C230" s="21">
        <f t="shared" ca="1" si="36"/>
        <v>232.79649805560641</v>
      </c>
      <c r="D230" s="21">
        <f t="shared" ca="1" si="31"/>
        <v>248.04768354695153</v>
      </c>
      <c r="E230" s="21">
        <f t="shared" ca="1" si="32"/>
        <v>15.251185491345126</v>
      </c>
      <c r="F230" s="22">
        <f t="shared" ca="1" si="37"/>
        <v>15.251185491345126</v>
      </c>
      <c r="G230" s="22">
        <f t="shared" ca="1" si="33"/>
        <v>9.7087285065845208</v>
      </c>
      <c r="H230" s="31">
        <f t="shared" ca="1" si="38"/>
        <v>5.5424569847606051</v>
      </c>
      <c r="I230" s="9">
        <f t="shared" ca="1" si="34"/>
        <v>1300.8209066329534</v>
      </c>
      <c r="J230" s="30">
        <f t="shared" ca="1" si="35"/>
        <v>1000.504419664947</v>
      </c>
      <c r="K230" s="122">
        <f t="shared" ca="1" si="39"/>
        <v>300.31648696800642</v>
      </c>
      <c r="L230" s="30"/>
      <c r="M230" s="30"/>
      <c r="N230" s="30"/>
      <c r="O230" s="30"/>
    </row>
    <row r="231" spans="1:15" x14ac:dyDescent="0.25">
      <c r="A231" s="10">
        <v>212</v>
      </c>
      <c r="B231" s="43">
        <f t="shared" ca="1" si="30"/>
        <v>0.78101956812906659</v>
      </c>
      <c r="C231" s="44">
        <f t="shared" ca="1" si="36"/>
        <v>257.75641205353605</v>
      </c>
      <c r="D231" s="44">
        <f t="shared" ca="1" si="31"/>
        <v>263.29886903829663</v>
      </c>
      <c r="E231" s="44">
        <f t="shared" ca="1" si="32"/>
        <v>0</v>
      </c>
      <c r="F231" s="45">
        <f t="shared" ca="1" si="37"/>
        <v>5.5424569847605767</v>
      </c>
      <c r="G231" s="45">
        <f t="shared" ca="1" si="33"/>
        <v>4.4513529494491877</v>
      </c>
      <c r="H231" s="46">
        <f t="shared" ca="1" si="38"/>
        <v>1.091104035311389</v>
      </c>
      <c r="I231" s="1">
        <f t="shared" ca="1" si="34"/>
        <v>1364.2622595082335</v>
      </c>
      <c r="J231" s="47">
        <f t="shared" ca="1" si="35"/>
        <v>993.82739024077318</v>
      </c>
      <c r="K231" s="123">
        <f t="shared" ca="1" si="39"/>
        <v>370.43486926746027</v>
      </c>
      <c r="L231" s="30"/>
      <c r="M231" s="30"/>
      <c r="N231" s="30"/>
      <c r="O231" s="30"/>
    </row>
    <row r="232" spans="1:15" x14ac:dyDescent="0.25">
      <c r="A232" s="10">
        <v>213</v>
      </c>
      <c r="B232" s="48">
        <f t="shared" ca="1" si="30"/>
        <v>0.59866906962205235</v>
      </c>
      <c r="C232" s="49">
        <f t="shared" ca="1" si="36"/>
        <v>252.49903649640072</v>
      </c>
      <c r="D232" s="49">
        <f t="shared" ca="1" si="31"/>
        <v>248.04768354695153</v>
      </c>
      <c r="E232" s="49">
        <f t="shared" ca="1" si="32"/>
        <v>0</v>
      </c>
      <c r="F232" s="50">
        <f t="shared" ca="1" si="37"/>
        <v>0</v>
      </c>
      <c r="G232" s="50">
        <f t="shared" ca="1" si="33"/>
        <v>3.0100968375561763</v>
      </c>
      <c r="H232" s="51">
        <f t="shared" ca="1" si="38"/>
        <v>0</v>
      </c>
      <c r="I232" s="52">
        <f t="shared" ca="1" si="34"/>
        <v>1364.2622595082335</v>
      </c>
      <c r="J232" s="53">
        <f t="shared" ca="1" si="35"/>
        <v>992.19073418780613</v>
      </c>
      <c r="K232" s="124">
        <f t="shared" ca="1" si="39"/>
        <v>372.07152532042733</v>
      </c>
      <c r="L232" s="30"/>
      <c r="M232" s="30"/>
      <c r="N232" s="30"/>
      <c r="O232" s="30"/>
    </row>
    <row r="233" spans="1:15" x14ac:dyDescent="0.25">
      <c r="A233" s="10">
        <v>214</v>
      </c>
      <c r="B233" s="27">
        <f t="shared" ca="1" si="30"/>
        <v>0.5421207691028942</v>
      </c>
      <c r="C233" s="21">
        <f t="shared" ca="1" si="36"/>
        <v>251.05778038450771</v>
      </c>
      <c r="D233" s="21">
        <f t="shared" ca="1" si="31"/>
        <v>248.04768354695153</v>
      </c>
      <c r="E233" s="21">
        <f t="shared" ca="1" si="32"/>
        <v>0</v>
      </c>
      <c r="F233" s="22">
        <f t="shared" ca="1" si="37"/>
        <v>0</v>
      </c>
      <c r="G233" s="22">
        <f t="shared" ca="1" si="33"/>
        <v>5.5907811123072122</v>
      </c>
      <c r="H233" s="31">
        <f t="shared" ca="1" si="38"/>
        <v>0</v>
      </c>
      <c r="I233" s="9">
        <f t="shared" ca="1" si="34"/>
        <v>1364.2622595082335</v>
      </c>
      <c r="J233" s="30">
        <f t="shared" ca="1" si="35"/>
        <v>992.19073418780613</v>
      </c>
      <c r="K233" s="122">
        <f t="shared" ca="1" si="39"/>
        <v>372.07152532042733</v>
      </c>
      <c r="L233" s="30"/>
      <c r="M233" s="30"/>
      <c r="N233" s="30"/>
      <c r="O233" s="30"/>
    </row>
    <row r="234" spans="1:15" x14ac:dyDescent="0.25">
      <c r="A234" s="10">
        <v>215</v>
      </c>
      <c r="B234" s="27">
        <f t="shared" ca="1" si="30"/>
        <v>0.64201366875599064</v>
      </c>
      <c r="C234" s="21">
        <f t="shared" ca="1" si="36"/>
        <v>253.63846465925874</v>
      </c>
      <c r="D234" s="21">
        <f t="shared" ca="1" si="31"/>
        <v>248.04768354695153</v>
      </c>
      <c r="E234" s="21">
        <f t="shared" ca="1" si="32"/>
        <v>0</v>
      </c>
      <c r="F234" s="22">
        <f t="shared" ca="1" si="37"/>
        <v>0</v>
      </c>
      <c r="G234" s="22">
        <f t="shared" ca="1" si="33"/>
        <v>0</v>
      </c>
      <c r="H234" s="31">
        <f t="shared" ca="1" si="38"/>
        <v>0</v>
      </c>
      <c r="I234" s="9">
        <f t="shared" ca="1" si="34"/>
        <v>1364.2622595082335</v>
      </c>
      <c r="J234" s="30">
        <f t="shared" ca="1" si="35"/>
        <v>992.19073418780613</v>
      </c>
      <c r="K234" s="122">
        <f t="shared" ca="1" si="39"/>
        <v>372.07152532042733</v>
      </c>
      <c r="L234" s="30"/>
      <c r="M234" s="30"/>
      <c r="N234" s="30"/>
      <c r="O234" s="30"/>
    </row>
    <row r="235" spans="1:15" x14ac:dyDescent="0.25">
      <c r="A235" s="10">
        <v>216</v>
      </c>
      <c r="B235" s="27">
        <f t="shared" ca="1" si="30"/>
        <v>0.13978737781729011</v>
      </c>
      <c r="C235" s="21">
        <f t="shared" ca="1" si="36"/>
        <v>239.18724889805921</v>
      </c>
      <c r="D235" s="21">
        <f t="shared" ca="1" si="31"/>
        <v>248.04768354695153</v>
      </c>
      <c r="E235" s="21">
        <f t="shared" ca="1" si="32"/>
        <v>8.8604346488923227</v>
      </c>
      <c r="F235" s="22">
        <f t="shared" ca="1" si="37"/>
        <v>8.8604346488923227</v>
      </c>
      <c r="G235" s="22">
        <f t="shared" ca="1" si="33"/>
        <v>2.5053217322157764</v>
      </c>
      <c r="H235" s="31">
        <f t="shared" ca="1" si="38"/>
        <v>6.3551129166765463</v>
      </c>
      <c r="I235" s="9">
        <f t="shared" ca="1" si="34"/>
        <v>1336.8103163515784</v>
      </c>
      <c r="J235" s="30">
        <f t="shared" ca="1" si="35"/>
        <v>1001.723403562821</v>
      </c>
      <c r="K235" s="122">
        <f t="shared" ca="1" si="39"/>
        <v>335.08691278875745</v>
      </c>
      <c r="L235" s="30"/>
      <c r="M235" s="30"/>
      <c r="N235" s="30"/>
      <c r="O235" s="30"/>
    </row>
    <row r="236" spans="1:15" x14ac:dyDescent="0.25">
      <c r="A236" s="10">
        <v>217</v>
      </c>
      <c r="B236" s="27">
        <f t="shared" ca="1" si="30"/>
        <v>0.52205047920255299</v>
      </c>
      <c r="C236" s="21">
        <f t="shared" ca="1" si="36"/>
        <v>250.55300527916731</v>
      </c>
      <c r="D236" s="21">
        <f t="shared" ca="1" si="31"/>
        <v>256.90811819584383</v>
      </c>
      <c r="E236" s="21">
        <f t="shared" ca="1" si="32"/>
        <v>0</v>
      </c>
      <c r="F236" s="22">
        <f t="shared" ca="1" si="37"/>
        <v>6.3551129166765179</v>
      </c>
      <c r="G236" s="22">
        <f t="shared" ca="1" si="33"/>
        <v>11.813436369319277</v>
      </c>
      <c r="H236" s="31">
        <f t="shared" ca="1" si="38"/>
        <v>0</v>
      </c>
      <c r="I236" s="9">
        <f t="shared" ca="1" si="34"/>
        <v>1364.2622595082335</v>
      </c>
      <c r="J236" s="30">
        <f t="shared" ca="1" si="35"/>
        <v>992.19073418780613</v>
      </c>
      <c r="K236" s="122">
        <f t="shared" ca="1" si="39"/>
        <v>372.07152532042733</v>
      </c>
      <c r="L236" s="30"/>
      <c r="M236" s="30"/>
      <c r="N236" s="30"/>
      <c r="O236" s="30"/>
    </row>
    <row r="237" spans="1:15" x14ac:dyDescent="0.25">
      <c r="A237" s="10">
        <v>218</v>
      </c>
      <c r="B237" s="27">
        <f t="shared" ca="1" si="30"/>
        <v>0.83796092010594314</v>
      </c>
      <c r="C237" s="21">
        <f t="shared" ca="1" si="36"/>
        <v>259.86111991627081</v>
      </c>
      <c r="D237" s="21">
        <f t="shared" ca="1" si="31"/>
        <v>248.04768354695153</v>
      </c>
      <c r="E237" s="21">
        <f t="shared" ca="1" si="32"/>
        <v>0</v>
      </c>
      <c r="F237" s="22">
        <f t="shared" ca="1" si="37"/>
        <v>0</v>
      </c>
      <c r="G237" s="22">
        <f t="shared" ca="1" si="33"/>
        <v>3.0973858130860776</v>
      </c>
      <c r="H237" s="31">
        <f t="shared" ca="1" si="38"/>
        <v>0</v>
      </c>
      <c r="I237" s="9">
        <f t="shared" ca="1" si="34"/>
        <v>1364.2622595082335</v>
      </c>
      <c r="J237" s="30">
        <f t="shared" ca="1" si="35"/>
        <v>992.19073418780613</v>
      </c>
      <c r="K237" s="122">
        <f t="shared" ca="1" si="39"/>
        <v>372.07152532042733</v>
      </c>
      <c r="L237" s="30"/>
      <c r="M237" s="30"/>
      <c r="N237" s="30"/>
      <c r="O237" s="30"/>
    </row>
    <row r="238" spans="1:15" x14ac:dyDescent="0.25">
      <c r="A238" s="10">
        <v>219</v>
      </c>
      <c r="B238" s="27">
        <f t="shared" ca="1" si="30"/>
        <v>0.54558202578524362</v>
      </c>
      <c r="C238" s="21">
        <f t="shared" ca="1" si="36"/>
        <v>251.14506936003761</v>
      </c>
      <c r="D238" s="21">
        <f t="shared" ca="1" si="31"/>
        <v>248.04768354695153</v>
      </c>
      <c r="E238" s="21">
        <f t="shared" ca="1" si="32"/>
        <v>0</v>
      </c>
      <c r="F238" s="22">
        <f t="shared" ca="1" si="37"/>
        <v>0</v>
      </c>
      <c r="G238" s="22">
        <f t="shared" ca="1" si="33"/>
        <v>7.7519928183862419</v>
      </c>
      <c r="H238" s="31">
        <f t="shared" ca="1" si="38"/>
        <v>0</v>
      </c>
      <c r="I238" s="9">
        <f t="shared" ca="1" si="34"/>
        <v>1364.2622595082335</v>
      </c>
      <c r="J238" s="30">
        <f t="shared" ca="1" si="35"/>
        <v>992.19073418780613</v>
      </c>
      <c r="K238" s="122">
        <f t="shared" ca="1" si="39"/>
        <v>372.07152532042733</v>
      </c>
      <c r="L238" s="30"/>
      <c r="M238" s="30"/>
      <c r="N238" s="30"/>
      <c r="O238" s="30"/>
    </row>
    <row r="239" spans="1:15" x14ac:dyDescent="0.25">
      <c r="A239" s="10">
        <v>220</v>
      </c>
      <c r="B239" s="27">
        <f t="shared" ca="1" si="30"/>
        <v>0.71903177868729717</v>
      </c>
      <c r="C239" s="21">
        <f t="shared" ca="1" si="36"/>
        <v>255.79967636533777</v>
      </c>
      <c r="D239" s="21">
        <f t="shared" ca="1" si="31"/>
        <v>248.04768354695153</v>
      </c>
      <c r="E239" s="21">
        <f t="shared" ca="1" si="32"/>
        <v>0</v>
      </c>
      <c r="F239" s="22">
        <f t="shared" ca="1" si="37"/>
        <v>0</v>
      </c>
      <c r="G239" s="22">
        <f t="shared" ca="1" si="33"/>
        <v>0</v>
      </c>
      <c r="H239" s="31">
        <f t="shared" ca="1" si="38"/>
        <v>0</v>
      </c>
      <c r="I239" s="9">
        <f t="shared" ca="1" si="34"/>
        <v>1364.2622595082335</v>
      </c>
      <c r="J239" s="30">
        <f t="shared" ca="1" si="35"/>
        <v>992.19073418780613</v>
      </c>
      <c r="K239" s="122">
        <f t="shared" ca="1" si="39"/>
        <v>372.07152532042733</v>
      </c>
      <c r="L239" s="30"/>
      <c r="M239" s="30"/>
      <c r="N239" s="30"/>
      <c r="O239" s="30"/>
    </row>
    <row r="240" spans="1:15" x14ac:dyDescent="0.25">
      <c r="A240" s="10">
        <v>221</v>
      </c>
      <c r="B240" s="27">
        <f t="shared" ca="1" si="30"/>
        <v>5.6797348174870144E-2</v>
      </c>
      <c r="C240" s="21">
        <f t="shared" ca="1" si="36"/>
        <v>234.17759580409287</v>
      </c>
      <c r="D240" s="21">
        <f t="shared" ca="1" si="31"/>
        <v>248.04768354695153</v>
      </c>
      <c r="E240" s="21">
        <f t="shared" ca="1" si="32"/>
        <v>13.870087742858658</v>
      </c>
      <c r="F240" s="22">
        <f t="shared" ca="1" si="37"/>
        <v>13.870087742858658</v>
      </c>
      <c r="G240" s="22">
        <f t="shared" ca="1" si="33"/>
        <v>0</v>
      </c>
      <c r="H240" s="31">
        <f t="shared" ca="1" si="38"/>
        <v>13.870087742858658</v>
      </c>
      <c r="I240" s="9">
        <f t="shared" ca="1" si="34"/>
        <v>1291.4442988582255</v>
      </c>
      <c r="J240" s="30">
        <f t="shared" ca="1" si="35"/>
        <v>1012.9958658020942</v>
      </c>
      <c r="K240" s="122">
        <f t="shared" ca="1" si="39"/>
        <v>278.44843305613131</v>
      </c>
      <c r="L240" s="30"/>
      <c r="M240" s="30"/>
      <c r="N240" s="30"/>
      <c r="O240" s="30"/>
    </row>
    <row r="241" spans="1:15" x14ac:dyDescent="0.25">
      <c r="A241" s="10">
        <v>222</v>
      </c>
      <c r="B241" s="27">
        <f t="shared" ca="1" si="30"/>
        <v>0.26615261231274734</v>
      </c>
      <c r="C241" s="21">
        <f t="shared" ca="1" si="36"/>
        <v>243.75509069354308</v>
      </c>
      <c r="D241" s="21">
        <f t="shared" ca="1" si="31"/>
        <v>261.91777128981016</v>
      </c>
      <c r="E241" s="21">
        <f t="shared" ca="1" si="32"/>
        <v>4.2925928534084505</v>
      </c>
      <c r="F241" s="22">
        <f t="shared" ca="1" si="37"/>
        <v>18.16268059626708</v>
      </c>
      <c r="G241" s="22">
        <f t="shared" ca="1" si="33"/>
        <v>0.94947240886850182</v>
      </c>
      <c r="H241" s="31">
        <f t="shared" ca="1" si="38"/>
        <v>17.213208187398578</v>
      </c>
      <c r="I241" s="9">
        <f t="shared" ca="1" si="34"/>
        <v>1393.3657715900347</v>
      </c>
      <c r="J241" s="30">
        <f t="shared" ca="1" si="35"/>
        <v>1018.010546468904</v>
      </c>
      <c r="K241" s="122">
        <f t="shared" ca="1" si="39"/>
        <v>375.35522512113073</v>
      </c>
      <c r="L241" s="30"/>
      <c r="M241" s="30"/>
      <c r="N241" s="30"/>
      <c r="O241" s="30"/>
    </row>
    <row r="242" spans="1:15" x14ac:dyDescent="0.25">
      <c r="A242" s="10">
        <v>223</v>
      </c>
      <c r="B242" s="27">
        <f t="shared" ca="1" si="30"/>
        <v>0.46005926927163321</v>
      </c>
      <c r="C242" s="21">
        <f t="shared" ca="1" si="36"/>
        <v>248.99715595582003</v>
      </c>
      <c r="D242" s="21">
        <f t="shared" ca="1" si="31"/>
        <v>252.34027640035998</v>
      </c>
      <c r="E242" s="21">
        <f t="shared" ca="1" si="32"/>
        <v>0</v>
      </c>
      <c r="F242" s="22">
        <f t="shared" ca="1" si="37"/>
        <v>3.3431204445399487</v>
      </c>
      <c r="G242" s="22">
        <f t="shared" ca="1" si="33"/>
        <v>0</v>
      </c>
      <c r="H242" s="31">
        <f t="shared" ca="1" si="38"/>
        <v>3.3431204445399487</v>
      </c>
      <c r="I242" s="9">
        <f t="shared" ca="1" si="34"/>
        <v>1364.2622595082335</v>
      </c>
      <c r="J242" s="30">
        <f t="shared" ca="1" si="35"/>
        <v>997.20541485461604</v>
      </c>
      <c r="K242" s="122">
        <f t="shared" ca="1" si="39"/>
        <v>367.05684465361742</v>
      </c>
      <c r="L242" s="30"/>
      <c r="M242" s="30"/>
      <c r="N242" s="30"/>
      <c r="O242" s="30"/>
    </row>
    <row r="243" spans="1:15" x14ac:dyDescent="0.25">
      <c r="A243" s="10">
        <v>224</v>
      </c>
      <c r="B243" s="27">
        <f t="shared" ca="1" si="30"/>
        <v>0.13789314354501669</v>
      </c>
      <c r="C243" s="21">
        <f t="shared" ca="1" si="36"/>
        <v>239.10166029860326</v>
      </c>
      <c r="D243" s="21">
        <f t="shared" ca="1" si="31"/>
        <v>248.04768354695153</v>
      </c>
      <c r="E243" s="21">
        <f t="shared" ca="1" si="32"/>
        <v>8.9460232483482685</v>
      </c>
      <c r="F243" s="22">
        <f t="shared" ca="1" si="37"/>
        <v>8.9460232483482685</v>
      </c>
      <c r="G243" s="22">
        <f t="shared" ca="1" si="33"/>
        <v>0</v>
      </c>
      <c r="H243" s="31">
        <f t="shared" ca="1" si="38"/>
        <v>8.9460232483482685</v>
      </c>
      <c r="I243" s="9">
        <f t="shared" ca="1" si="34"/>
        <v>1317.2956374544049</v>
      </c>
      <c r="J243" s="30">
        <f t="shared" ca="1" si="35"/>
        <v>1005.6097690603285</v>
      </c>
      <c r="K243" s="122">
        <f t="shared" ca="1" si="39"/>
        <v>311.68586839407635</v>
      </c>
      <c r="L243" s="30"/>
      <c r="M243" s="30"/>
      <c r="N243" s="30"/>
      <c r="O243" s="30"/>
    </row>
    <row r="244" spans="1:15" x14ac:dyDescent="0.25">
      <c r="A244" s="10">
        <v>225</v>
      </c>
      <c r="B244" s="27">
        <f t="shared" ca="1" si="30"/>
        <v>0.11825344732393051</v>
      </c>
      <c r="C244" s="21">
        <f t="shared" ca="1" si="36"/>
        <v>238.16237005461446</v>
      </c>
      <c r="D244" s="21">
        <f t="shared" ca="1" si="31"/>
        <v>256.99370679529977</v>
      </c>
      <c r="E244" s="21">
        <f t="shared" ca="1" si="32"/>
        <v>9.885313492337076</v>
      </c>
      <c r="F244" s="22">
        <f t="shared" ca="1" si="37"/>
        <v>18.831336740685316</v>
      </c>
      <c r="G244" s="22">
        <f t="shared" ca="1" si="33"/>
        <v>9.5112968742922703</v>
      </c>
      <c r="H244" s="31">
        <f t="shared" ca="1" si="38"/>
        <v>9.3200398663930457</v>
      </c>
      <c r="I244" s="9">
        <f t="shared" ca="1" si="34"/>
        <v>1340.324483272643</v>
      </c>
      <c r="J244" s="30">
        <f t="shared" ca="1" si="35"/>
        <v>1006.1707939873957</v>
      </c>
      <c r="K244" s="122">
        <f t="shared" ca="1" si="39"/>
        <v>334.15368928524731</v>
      </c>
      <c r="L244" s="30"/>
      <c r="M244" s="30"/>
      <c r="N244" s="30"/>
      <c r="O244" s="30"/>
    </row>
    <row r="245" spans="1:15" x14ac:dyDescent="0.25">
      <c r="A245" s="10">
        <v>226</v>
      </c>
      <c r="B245" s="27">
        <f t="shared" ca="1" si="30"/>
        <v>0.7751448360415002</v>
      </c>
      <c r="C245" s="21">
        <f t="shared" ca="1" si="36"/>
        <v>257.5589804212438</v>
      </c>
      <c r="D245" s="21">
        <f t="shared" ca="1" si="31"/>
        <v>257.93299703928858</v>
      </c>
      <c r="E245" s="21">
        <f t="shared" ca="1" si="32"/>
        <v>0</v>
      </c>
      <c r="F245" s="22">
        <f t="shared" ca="1" si="37"/>
        <v>0.37401661804477726</v>
      </c>
      <c r="G245" s="22">
        <f t="shared" ca="1" si="33"/>
        <v>8.969387694129864</v>
      </c>
      <c r="H245" s="31">
        <f t="shared" ca="1" si="38"/>
        <v>0</v>
      </c>
      <c r="I245" s="9">
        <f t="shared" ca="1" si="34"/>
        <v>1364.2622595082335</v>
      </c>
      <c r="J245" s="30">
        <f t="shared" ca="1" si="35"/>
        <v>992.19073418780613</v>
      </c>
      <c r="K245" s="122">
        <f t="shared" ca="1" si="39"/>
        <v>372.07152532042733</v>
      </c>
      <c r="L245" s="30"/>
      <c r="M245" s="30"/>
      <c r="N245" s="30"/>
      <c r="O245" s="30"/>
    </row>
    <row r="246" spans="1:15" x14ac:dyDescent="0.25">
      <c r="A246" s="10">
        <v>227</v>
      </c>
      <c r="B246" s="27">
        <f t="shared" ca="1" si="30"/>
        <v>0.75856908536499623</v>
      </c>
      <c r="C246" s="21">
        <f t="shared" ca="1" si="36"/>
        <v>257.0170712410814</v>
      </c>
      <c r="D246" s="21">
        <f t="shared" ca="1" si="31"/>
        <v>248.04768354695153</v>
      </c>
      <c r="E246" s="21">
        <f t="shared" ca="1" si="32"/>
        <v>0</v>
      </c>
      <c r="F246" s="22">
        <f t="shared" ca="1" si="37"/>
        <v>0</v>
      </c>
      <c r="G246" s="22">
        <f t="shared" ca="1" si="33"/>
        <v>16.298536630646709</v>
      </c>
      <c r="H246" s="31">
        <f t="shared" ca="1" si="38"/>
        <v>0</v>
      </c>
      <c r="I246" s="9">
        <f t="shared" ca="1" si="34"/>
        <v>1364.2622595082335</v>
      </c>
      <c r="J246" s="30">
        <f t="shared" ca="1" si="35"/>
        <v>992.19073418780613</v>
      </c>
      <c r="K246" s="122">
        <f t="shared" ca="1" si="39"/>
        <v>372.07152532042733</v>
      </c>
      <c r="L246" s="30"/>
      <c r="M246" s="30"/>
      <c r="N246" s="30"/>
      <c r="O246" s="30"/>
    </row>
    <row r="247" spans="1:15" x14ac:dyDescent="0.25">
      <c r="A247" s="10">
        <v>228</v>
      </c>
      <c r="B247" s="27">
        <f t="shared" ca="1" si="30"/>
        <v>0.92430258154418166</v>
      </c>
      <c r="C247" s="21">
        <f t="shared" ca="1" si="36"/>
        <v>264.34622017759824</v>
      </c>
      <c r="D247" s="21">
        <f t="shared" ca="1" si="31"/>
        <v>248.04768354695153</v>
      </c>
      <c r="E247" s="21">
        <f t="shared" ca="1" si="32"/>
        <v>0</v>
      </c>
      <c r="F247" s="22">
        <f t="shared" ca="1" si="37"/>
        <v>0</v>
      </c>
      <c r="G247" s="22">
        <f t="shared" ca="1" si="33"/>
        <v>0</v>
      </c>
      <c r="H247" s="31">
        <f t="shared" ca="1" si="38"/>
        <v>0</v>
      </c>
      <c r="I247" s="9">
        <f t="shared" ca="1" si="34"/>
        <v>1364.2622595082335</v>
      </c>
      <c r="J247" s="30">
        <f t="shared" ca="1" si="35"/>
        <v>992.19073418780613</v>
      </c>
      <c r="K247" s="122">
        <f t="shared" ca="1" si="39"/>
        <v>372.07152532042733</v>
      </c>
      <c r="L247" s="30"/>
      <c r="M247" s="30"/>
      <c r="N247" s="30"/>
      <c r="O247" s="30"/>
    </row>
    <row r="248" spans="1:15" x14ac:dyDescent="0.25">
      <c r="A248" s="10">
        <v>229</v>
      </c>
      <c r="B248" s="27">
        <f t="shared" ca="1" si="30"/>
        <v>0.27895702357098373</v>
      </c>
      <c r="C248" s="21">
        <f t="shared" ca="1" si="36"/>
        <v>244.14057338333305</v>
      </c>
      <c r="D248" s="21">
        <f t="shared" ca="1" si="31"/>
        <v>248.04768354695153</v>
      </c>
      <c r="E248" s="21">
        <f t="shared" ca="1" si="32"/>
        <v>3.9071101636184835</v>
      </c>
      <c r="F248" s="22">
        <f t="shared" ca="1" si="37"/>
        <v>3.9071101636184835</v>
      </c>
      <c r="G248" s="22">
        <f t="shared" ca="1" si="33"/>
        <v>0</v>
      </c>
      <c r="H248" s="31">
        <f t="shared" ca="1" si="38"/>
        <v>3.9071101636184835</v>
      </c>
      <c r="I248" s="9">
        <f t="shared" ca="1" si="34"/>
        <v>1343.7499311492363</v>
      </c>
      <c r="J248" s="30">
        <f t="shared" ca="1" si="35"/>
        <v>998.05139943323388</v>
      </c>
      <c r="K248" s="122">
        <f t="shared" ca="1" si="39"/>
        <v>345.69853171600244</v>
      </c>
      <c r="L248" s="30"/>
      <c r="M248" s="30"/>
      <c r="N248" s="30"/>
      <c r="O248" s="30"/>
    </row>
    <row r="249" spans="1:15" x14ac:dyDescent="0.25">
      <c r="A249" s="10">
        <v>230</v>
      </c>
      <c r="B249" s="27">
        <f t="shared" ca="1" si="30"/>
        <v>0.29321582457549566</v>
      </c>
      <c r="C249" s="21">
        <f t="shared" ca="1" si="36"/>
        <v>244.55985724272233</v>
      </c>
      <c r="D249" s="21">
        <f t="shared" ca="1" si="31"/>
        <v>251.95479371057002</v>
      </c>
      <c r="E249" s="21">
        <f t="shared" ca="1" si="32"/>
        <v>3.4878263042292019</v>
      </c>
      <c r="F249" s="22">
        <f t="shared" ca="1" si="37"/>
        <v>7.3949364678476854</v>
      </c>
      <c r="G249" s="22">
        <f t="shared" ca="1" si="33"/>
        <v>0</v>
      </c>
      <c r="H249" s="31">
        <f t="shared" ca="1" si="38"/>
        <v>7.3949364678476854</v>
      </c>
      <c r="I249" s="9">
        <f t="shared" ca="1" si="34"/>
        <v>1357.6725019018857</v>
      </c>
      <c r="J249" s="30">
        <f t="shared" ca="1" si="35"/>
        <v>1003.2831388895777</v>
      </c>
      <c r="K249" s="122">
        <f t="shared" ca="1" si="39"/>
        <v>354.38936301230797</v>
      </c>
      <c r="L249" s="30"/>
      <c r="M249" s="30"/>
      <c r="N249" s="30"/>
      <c r="O249" s="30"/>
    </row>
    <row r="250" spans="1:15" x14ac:dyDescent="0.25">
      <c r="A250" s="10">
        <v>231</v>
      </c>
      <c r="B250" s="27">
        <f t="shared" ca="1" si="30"/>
        <v>0.21995573956475079</v>
      </c>
      <c r="C250" s="21">
        <f t="shared" ca="1" si="36"/>
        <v>242.27657295945639</v>
      </c>
      <c r="D250" s="21">
        <f t="shared" ca="1" si="31"/>
        <v>251.53550985118073</v>
      </c>
      <c r="E250" s="21">
        <f t="shared" ca="1" si="32"/>
        <v>5.7711105874951443</v>
      </c>
      <c r="F250" s="22">
        <f t="shared" ca="1" si="37"/>
        <v>9.2589368917243462</v>
      </c>
      <c r="G250" s="22">
        <f t="shared" ca="1" si="33"/>
        <v>0</v>
      </c>
      <c r="H250" s="31">
        <f t="shared" ca="1" si="38"/>
        <v>9.2589368917243462</v>
      </c>
      <c r="I250" s="9">
        <f t="shared" ca="1" si="34"/>
        <v>1344.4274078365715</v>
      </c>
      <c r="J250" s="30">
        <f t="shared" ca="1" si="35"/>
        <v>1006.0791395253926</v>
      </c>
      <c r="K250" s="122">
        <f t="shared" ca="1" si="39"/>
        <v>338.34826831117891</v>
      </c>
      <c r="L250" s="30"/>
      <c r="M250" s="30"/>
      <c r="N250" s="30"/>
      <c r="O250" s="30"/>
    </row>
    <row r="251" spans="1:15" x14ac:dyDescent="0.25">
      <c r="A251" s="10">
        <v>232</v>
      </c>
      <c r="B251" s="27">
        <f t="shared" ca="1" si="30"/>
        <v>0.34380220226213309</v>
      </c>
      <c r="C251" s="21">
        <f t="shared" ca="1" si="36"/>
        <v>245.97891808543443</v>
      </c>
      <c r="D251" s="21">
        <f t="shared" ca="1" si="31"/>
        <v>253.81879413444668</v>
      </c>
      <c r="E251" s="21">
        <f t="shared" ca="1" si="32"/>
        <v>2.0687654615171027</v>
      </c>
      <c r="F251" s="22">
        <f t="shared" ca="1" si="37"/>
        <v>7.839876049012247</v>
      </c>
      <c r="G251" s="22">
        <f t="shared" ca="1" si="33"/>
        <v>19.153220659267731</v>
      </c>
      <c r="H251" s="31">
        <f t="shared" ca="1" si="38"/>
        <v>0</v>
      </c>
      <c r="I251" s="9">
        <f t="shared" ca="1" si="34"/>
        <v>1353.4012408352685</v>
      </c>
      <c r="J251" s="30">
        <f t="shared" ca="1" si="35"/>
        <v>992.19073418780613</v>
      </c>
      <c r="K251" s="122">
        <f t="shared" ca="1" si="39"/>
        <v>361.21050664746235</v>
      </c>
      <c r="L251" s="30"/>
      <c r="M251" s="30"/>
      <c r="N251" s="30"/>
      <c r="O251" s="30"/>
    </row>
    <row r="252" spans="1:15" x14ac:dyDescent="0.25">
      <c r="A252" s="10">
        <v>233</v>
      </c>
      <c r="B252" s="27">
        <f t="shared" ca="1" si="30"/>
        <v>0.95729199662681008</v>
      </c>
      <c r="C252" s="21">
        <f t="shared" ca="1" si="36"/>
        <v>267.20090420621926</v>
      </c>
      <c r="D252" s="21">
        <f t="shared" ca="1" si="31"/>
        <v>250.11644900846863</v>
      </c>
      <c r="E252" s="21">
        <f t="shared" ca="1" si="32"/>
        <v>0</v>
      </c>
      <c r="F252" s="22">
        <f t="shared" ca="1" si="37"/>
        <v>0</v>
      </c>
      <c r="G252" s="22">
        <f t="shared" ca="1" si="33"/>
        <v>0</v>
      </c>
      <c r="H252" s="31">
        <f t="shared" ca="1" si="38"/>
        <v>0</v>
      </c>
      <c r="I252" s="9">
        <f t="shared" ca="1" si="34"/>
        <v>1364.2622595082335</v>
      </c>
      <c r="J252" s="30">
        <f t="shared" ca="1" si="35"/>
        <v>992.19073418780613</v>
      </c>
      <c r="K252" s="122">
        <f t="shared" ca="1" si="39"/>
        <v>372.07152532042733</v>
      </c>
      <c r="L252" s="30"/>
      <c r="M252" s="30"/>
      <c r="N252" s="30"/>
      <c r="O252" s="30"/>
    </row>
    <row r="253" spans="1:15" x14ac:dyDescent="0.25">
      <c r="A253" s="10">
        <v>234</v>
      </c>
      <c r="B253" s="27">
        <f t="shared" ca="1" si="30"/>
        <v>0.39301491641291808</v>
      </c>
      <c r="C253" s="21">
        <f t="shared" ca="1" si="36"/>
        <v>247.28530341525797</v>
      </c>
      <c r="D253" s="21">
        <f t="shared" ca="1" si="31"/>
        <v>248.04768354695153</v>
      </c>
      <c r="E253" s="21">
        <f t="shared" ca="1" si="32"/>
        <v>0.76238013169356122</v>
      </c>
      <c r="F253" s="22">
        <f t="shared" ca="1" si="37"/>
        <v>0.76238013169356122</v>
      </c>
      <c r="G253" s="22">
        <f t="shared" ca="1" si="33"/>
        <v>0</v>
      </c>
      <c r="H253" s="31">
        <f t="shared" ca="1" si="38"/>
        <v>0.76238013169356122</v>
      </c>
      <c r="I253" s="9">
        <f t="shared" ca="1" si="34"/>
        <v>1360.2597638168422</v>
      </c>
      <c r="J253" s="30">
        <f t="shared" ca="1" si="35"/>
        <v>993.33430438534651</v>
      </c>
      <c r="K253" s="122">
        <f t="shared" ca="1" si="39"/>
        <v>366.92545943149571</v>
      </c>
      <c r="L253" s="30"/>
      <c r="M253" s="30"/>
      <c r="N253" s="30"/>
      <c r="O253" s="30"/>
    </row>
    <row r="254" spans="1:15" x14ac:dyDescent="0.25">
      <c r="A254" s="10">
        <v>235</v>
      </c>
      <c r="B254" s="27">
        <f t="shared" ca="1" si="30"/>
        <v>0.3501610419298854</v>
      </c>
      <c r="C254" s="21">
        <f t="shared" ca="1" si="36"/>
        <v>246.15114276788057</v>
      </c>
      <c r="D254" s="21">
        <f t="shared" ca="1" si="31"/>
        <v>248.81006367864509</v>
      </c>
      <c r="E254" s="21">
        <f t="shared" ca="1" si="32"/>
        <v>1.8965407790709605</v>
      </c>
      <c r="F254" s="22">
        <f t="shared" ca="1" si="37"/>
        <v>2.6589209107645218</v>
      </c>
      <c r="G254" s="22">
        <f t="shared" ca="1" si="33"/>
        <v>7.5309213101318164</v>
      </c>
      <c r="H254" s="31">
        <f t="shared" ca="1" si="38"/>
        <v>0</v>
      </c>
      <c r="I254" s="9">
        <f t="shared" ca="1" si="34"/>
        <v>1354.305420418111</v>
      </c>
      <c r="J254" s="30">
        <f t="shared" ca="1" si="35"/>
        <v>992.19073418780613</v>
      </c>
      <c r="K254" s="122">
        <f t="shared" ca="1" si="39"/>
        <v>362.11468623030487</v>
      </c>
      <c r="L254" s="30"/>
      <c r="M254" s="30"/>
      <c r="N254" s="30"/>
      <c r="O254" s="30"/>
    </row>
    <row r="255" spans="1:15" x14ac:dyDescent="0.25">
      <c r="A255" s="10">
        <v>236</v>
      </c>
      <c r="B255" s="27">
        <f t="shared" ca="1" si="30"/>
        <v>0.71153017207420888</v>
      </c>
      <c r="C255" s="21">
        <f t="shared" ca="1" si="36"/>
        <v>255.57860485708335</v>
      </c>
      <c r="D255" s="21">
        <f t="shared" ca="1" si="31"/>
        <v>249.94422432602249</v>
      </c>
      <c r="E255" s="21">
        <f t="shared" ca="1" si="32"/>
        <v>0</v>
      </c>
      <c r="F255" s="22">
        <f t="shared" ca="1" si="37"/>
        <v>0</v>
      </c>
      <c r="G255" s="22">
        <f t="shared" ca="1" si="33"/>
        <v>0</v>
      </c>
      <c r="H255" s="31">
        <f t="shared" ca="1" si="38"/>
        <v>0</v>
      </c>
      <c r="I255" s="9">
        <f t="shared" ca="1" si="34"/>
        <v>1364.2622595082335</v>
      </c>
      <c r="J255" s="30">
        <f t="shared" ca="1" si="35"/>
        <v>992.19073418780613</v>
      </c>
      <c r="K255" s="122">
        <f t="shared" ca="1" si="39"/>
        <v>372.07152532042733</v>
      </c>
      <c r="L255" s="30"/>
      <c r="M255" s="30"/>
      <c r="N255" s="30"/>
      <c r="O255" s="30"/>
    </row>
    <row r="256" spans="1:15" x14ac:dyDescent="0.25">
      <c r="A256" s="10">
        <v>237</v>
      </c>
      <c r="B256" s="27">
        <f t="shared" ca="1" si="30"/>
        <v>0.40421180184036798</v>
      </c>
      <c r="C256" s="21">
        <f t="shared" ca="1" si="36"/>
        <v>247.57539814194331</v>
      </c>
      <c r="D256" s="21">
        <f t="shared" ca="1" si="31"/>
        <v>248.04768354695153</v>
      </c>
      <c r="E256" s="21">
        <f t="shared" ca="1" si="32"/>
        <v>0.47228540500822191</v>
      </c>
      <c r="F256" s="22">
        <f t="shared" ca="1" si="37"/>
        <v>0.47228540500822191</v>
      </c>
      <c r="G256" s="22">
        <f t="shared" ca="1" si="33"/>
        <v>0</v>
      </c>
      <c r="H256" s="31">
        <f t="shared" ca="1" si="38"/>
        <v>0.47228540500822191</v>
      </c>
      <c r="I256" s="9">
        <f t="shared" ca="1" si="34"/>
        <v>1361.7827611319401</v>
      </c>
      <c r="J256" s="30">
        <f t="shared" ca="1" si="35"/>
        <v>992.89916229531843</v>
      </c>
      <c r="K256" s="122">
        <f t="shared" ca="1" si="39"/>
        <v>368.88359883662167</v>
      </c>
      <c r="L256" s="30"/>
      <c r="M256" s="30"/>
      <c r="N256" s="30"/>
      <c r="O256" s="30"/>
    </row>
    <row r="257" spans="1:15" x14ac:dyDescent="0.25">
      <c r="A257" s="10">
        <v>238</v>
      </c>
      <c r="B257" s="27">
        <f t="shared" ca="1" si="30"/>
        <v>0.12242235709693317</v>
      </c>
      <c r="C257" s="21">
        <f t="shared" ca="1" si="36"/>
        <v>238.37037491851541</v>
      </c>
      <c r="D257" s="21">
        <f t="shared" ca="1" si="31"/>
        <v>248.51996895195975</v>
      </c>
      <c r="E257" s="21">
        <f t="shared" ca="1" si="32"/>
        <v>9.6773086284361227</v>
      </c>
      <c r="F257" s="22">
        <f t="shared" ca="1" si="37"/>
        <v>10.149594033444345</v>
      </c>
      <c r="G257" s="22">
        <f t="shared" ca="1" si="33"/>
        <v>1.7394973867345698</v>
      </c>
      <c r="H257" s="31">
        <f t="shared" ca="1" si="38"/>
        <v>8.4100966467097749</v>
      </c>
      <c r="I257" s="9">
        <f t="shared" ca="1" si="34"/>
        <v>1338.6866791490731</v>
      </c>
      <c r="J257" s="30">
        <f t="shared" ca="1" si="35"/>
        <v>1004.8058791578708</v>
      </c>
      <c r="K257" s="122">
        <f t="shared" ca="1" si="39"/>
        <v>333.88079999120237</v>
      </c>
      <c r="L257" s="30"/>
      <c r="M257" s="30"/>
      <c r="N257" s="30"/>
      <c r="O257" s="30"/>
    </row>
    <row r="258" spans="1:15" x14ac:dyDescent="0.25">
      <c r="A258" s="10">
        <v>239</v>
      </c>
      <c r="B258" s="27">
        <f t="shared" ca="1" si="30"/>
        <v>0.49151038849385675</v>
      </c>
      <c r="C258" s="21">
        <f t="shared" ca="1" si="36"/>
        <v>249.7871809336861</v>
      </c>
      <c r="D258" s="21">
        <f t="shared" ca="1" si="31"/>
        <v>257.72499217538768</v>
      </c>
      <c r="E258" s="21">
        <f t="shared" ca="1" si="32"/>
        <v>0</v>
      </c>
      <c r="F258" s="22">
        <f t="shared" ca="1" si="37"/>
        <v>7.9378112417015814</v>
      </c>
      <c r="G258" s="22">
        <f t="shared" ca="1" si="33"/>
        <v>21.974314446710594</v>
      </c>
      <c r="H258" s="31">
        <f t="shared" ca="1" si="38"/>
        <v>0</v>
      </c>
      <c r="I258" s="9">
        <f t="shared" ca="1" si="34"/>
        <v>1364.2622595082335</v>
      </c>
      <c r="J258" s="30">
        <f t="shared" ca="1" si="35"/>
        <v>992.19073418780613</v>
      </c>
      <c r="K258" s="122">
        <f t="shared" ca="1" si="39"/>
        <v>372.07152532042733</v>
      </c>
      <c r="L258" s="30"/>
      <c r="M258" s="30"/>
      <c r="N258" s="30"/>
      <c r="O258" s="30"/>
    </row>
    <row r="259" spans="1:15" x14ac:dyDescent="0.25">
      <c r="A259" s="10">
        <v>240</v>
      </c>
      <c r="B259" s="27">
        <f t="shared" ca="1" si="30"/>
        <v>0.9773683763643839</v>
      </c>
      <c r="C259" s="21">
        <f t="shared" ca="1" si="36"/>
        <v>270.02199799366213</v>
      </c>
      <c r="D259" s="21">
        <f t="shared" ca="1" si="31"/>
        <v>248.04768354695153</v>
      </c>
      <c r="E259" s="21">
        <f t="shared" ca="1" si="32"/>
        <v>0</v>
      </c>
      <c r="F259" s="22">
        <f t="shared" ca="1" si="37"/>
        <v>0</v>
      </c>
      <c r="G259" s="22">
        <f t="shared" ca="1" si="33"/>
        <v>8.107848453500651</v>
      </c>
      <c r="H259" s="31">
        <f t="shared" ca="1" si="38"/>
        <v>0</v>
      </c>
      <c r="I259" s="9">
        <f t="shared" ca="1" si="34"/>
        <v>1364.2622595082335</v>
      </c>
      <c r="J259" s="30">
        <f t="shared" ca="1" si="35"/>
        <v>992.19073418780613</v>
      </c>
      <c r="K259" s="122">
        <f t="shared" ca="1" si="39"/>
        <v>372.07152532042733</v>
      </c>
      <c r="L259" s="30"/>
      <c r="M259" s="30"/>
      <c r="N259" s="30"/>
      <c r="O259" s="30"/>
    </row>
    <row r="260" spans="1:15" x14ac:dyDescent="0.25">
      <c r="A260" s="10">
        <v>241</v>
      </c>
      <c r="B260" s="27">
        <f t="shared" ca="1" si="30"/>
        <v>0.73090527640667802</v>
      </c>
      <c r="C260" s="21">
        <f t="shared" ca="1" si="36"/>
        <v>256.15553200045218</v>
      </c>
      <c r="D260" s="21">
        <f t="shared" ca="1" si="31"/>
        <v>248.04768354695153</v>
      </c>
      <c r="E260" s="21">
        <f t="shared" ca="1" si="32"/>
        <v>0</v>
      </c>
      <c r="F260" s="22">
        <f t="shared" ca="1" si="37"/>
        <v>0</v>
      </c>
      <c r="G260" s="22">
        <f t="shared" ca="1" si="33"/>
        <v>0</v>
      </c>
      <c r="H260" s="31">
        <f t="shared" ca="1" si="38"/>
        <v>0</v>
      </c>
      <c r="I260" s="9">
        <f t="shared" ca="1" si="34"/>
        <v>1364.2622595082335</v>
      </c>
      <c r="J260" s="30">
        <f t="shared" ca="1" si="35"/>
        <v>992.19073418780613</v>
      </c>
      <c r="K260" s="122">
        <f t="shared" ca="1" si="39"/>
        <v>372.07152532042733</v>
      </c>
      <c r="L260" s="30"/>
      <c r="M260" s="30"/>
      <c r="N260" s="30"/>
      <c r="O260" s="30"/>
    </row>
    <row r="261" spans="1:15" x14ac:dyDescent="0.25">
      <c r="A261" s="10">
        <v>242</v>
      </c>
      <c r="B261" s="27">
        <f t="shared" ca="1" si="30"/>
        <v>0.33969684261905786</v>
      </c>
      <c r="C261" s="21">
        <f t="shared" ca="1" si="36"/>
        <v>245.86709357988181</v>
      </c>
      <c r="D261" s="21">
        <f t="shared" ca="1" si="31"/>
        <v>248.04768354695153</v>
      </c>
      <c r="E261" s="21">
        <f t="shared" ca="1" si="32"/>
        <v>2.1805899670697215</v>
      </c>
      <c r="F261" s="22">
        <f t="shared" ca="1" si="37"/>
        <v>2.1805899670697215</v>
      </c>
      <c r="G261" s="22">
        <f t="shared" ca="1" si="33"/>
        <v>0.23707165157159693</v>
      </c>
      <c r="H261" s="31">
        <f t="shared" ca="1" si="38"/>
        <v>1.9435183154981246</v>
      </c>
      <c r="I261" s="9">
        <f t="shared" ca="1" si="34"/>
        <v>1358.6447171276118</v>
      </c>
      <c r="J261" s="30">
        <f t="shared" ca="1" si="35"/>
        <v>995.10601166105334</v>
      </c>
      <c r="K261" s="122">
        <f t="shared" ca="1" si="39"/>
        <v>363.53870546655844</v>
      </c>
      <c r="L261" s="30"/>
      <c r="M261" s="30"/>
      <c r="N261" s="30"/>
      <c r="O261" s="30"/>
    </row>
    <row r="262" spans="1:15" x14ac:dyDescent="0.25">
      <c r="A262" s="10">
        <v>243</v>
      </c>
      <c r="B262" s="27">
        <f t="shared" ca="1" si="30"/>
        <v>0.43190569164671366</v>
      </c>
      <c r="C262" s="21">
        <f t="shared" ca="1" si="36"/>
        <v>248.28475519852313</v>
      </c>
      <c r="D262" s="21">
        <f t="shared" ca="1" si="31"/>
        <v>250.22827351402125</v>
      </c>
      <c r="E262" s="21">
        <f t="shared" ca="1" si="32"/>
        <v>0</v>
      </c>
      <c r="F262" s="22">
        <f t="shared" ca="1" si="37"/>
        <v>1.9435183154981246</v>
      </c>
      <c r="G262" s="22">
        <f t="shared" ca="1" si="33"/>
        <v>0</v>
      </c>
      <c r="H262" s="31">
        <f t="shared" ca="1" si="38"/>
        <v>1.9435183154981246</v>
      </c>
      <c r="I262" s="9">
        <f t="shared" ca="1" si="34"/>
        <v>1364.2622595082335</v>
      </c>
      <c r="J262" s="30">
        <f t="shared" ca="1" si="35"/>
        <v>995.10601166105334</v>
      </c>
      <c r="K262" s="122">
        <f t="shared" ca="1" si="39"/>
        <v>369.15624784718011</v>
      </c>
      <c r="L262" s="30"/>
      <c r="M262" s="30"/>
      <c r="N262" s="30"/>
      <c r="O262" s="30"/>
    </row>
    <row r="263" spans="1:15" x14ac:dyDescent="0.25">
      <c r="A263" s="10">
        <v>244</v>
      </c>
      <c r="B263" s="27">
        <f t="shared" ca="1" si="30"/>
        <v>0.17968512258633695</v>
      </c>
      <c r="C263" s="21">
        <f t="shared" ca="1" si="36"/>
        <v>240.83434262270166</v>
      </c>
      <c r="D263" s="21">
        <f t="shared" ca="1" si="31"/>
        <v>248.04768354695153</v>
      </c>
      <c r="E263" s="21">
        <f t="shared" ca="1" si="32"/>
        <v>7.2133409242498772</v>
      </c>
      <c r="F263" s="22">
        <f t="shared" ca="1" si="37"/>
        <v>7.2133409242498772</v>
      </c>
      <c r="G263" s="22">
        <f t="shared" ca="1" si="33"/>
        <v>0</v>
      </c>
      <c r="H263" s="31">
        <f t="shared" ca="1" si="38"/>
        <v>7.2133409242498772</v>
      </c>
      <c r="I263" s="9">
        <f t="shared" ca="1" si="34"/>
        <v>1326.3922196559215</v>
      </c>
      <c r="J263" s="30">
        <f t="shared" ca="1" si="35"/>
        <v>1003.010745574181</v>
      </c>
      <c r="K263" s="122">
        <f t="shared" ca="1" si="39"/>
        <v>323.38147408174052</v>
      </c>
      <c r="L263" s="30"/>
      <c r="M263" s="30"/>
      <c r="N263" s="30"/>
      <c r="O263" s="30"/>
    </row>
    <row r="264" spans="1:15" x14ac:dyDescent="0.25">
      <c r="A264" s="10">
        <v>245</v>
      </c>
      <c r="B264" s="43">
        <f t="shared" ca="1" si="30"/>
        <v>4.916916529211024E-2</v>
      </c>
      <c r="C264" s="44">
        <f t="shared" ca="1" si="36"/>
        <v>233.47036688412334</v>
      </c>
      <c r="D264" s="44">
        <f t="shared" ca="1" si="31"/>
        <v>255.26102447120141</v>
      </c>
      <c r="E264" s="44">
        <f t="shared" ca="1" si="32"/>
        <v>14.577316662828196</v>
      </c>
      <c r="F264" s="45">
        <f t="shared" ca="1" si="37"/>
        <v>21.790657587078073</v>
      </c>
      <c r="G264" s="45">
        <f t="shared" ca="1" si="33"/>
        <v>0</v>
      </c>
      <c r="H264" s="46">
        <f t="shared" ca="1" si="38"/>
        <v>21.790657587078073</v>
      </c>
      <c r="I264" s="1">
        <f t="shared" ca="1" si="34"/>
        <v>1309.371369801135</v>
      </c>
      <c r="J264" s="47">
        <f t="shared" ca="1" si="35"/>
        <v>1024.8767205684233</v>
      </c>
      <c r="K264" s="123">
        <f t="shared" ca="1" si="39"/>
        <v>284.49464923271171</v>
      </c>
      <c r="L264" s="30"/>
      <c r="M264" s="30"/>
      <c r="N264" s="30"/>
      <c r="O264" s="30"/>
    </row>
    <row r="265" spans="1:15" x14ac:dyDescent="0.25">
      <c r="A265" s="10">
        <v>246</v>
      </c>
      <c r="B265" s="48">
        <f t="shared" ca="1" si="30"/>
        <v>0.18239301050906775</v>
      </c>
      <c r="C265" s="49">
        <f t="shared" ca="1" si="36"/>
        <v>240.93716886345379</v>
      </c>
      <c r="D265" s="49">
        <f t="shared" ca="1" si="31"/>
        <v>262.62500020977973</v>
      </c>
      <c r="E265" s="49">
        <f t="shared" ca="1" si="32"/>
        <v>7.1105146834977404</v>
      </c>
      <c r="F265" s="50">
        <f t="shared" ca="1" si="37"/>
        <v>21.687831346325936</v>
      </c>
      <c r="G265" s="50">
        <f t="shared" ca="1" si="33"/>
        <v>0</v>
      </c>
      <c r="H265" s="51">
        <f t="shared" ca="1" si="38"/>
        <v>21.687831346325936</v>
      </c>
      <c r="I265" s="52">
        <f t="shared" ca="1" si="34"/>
        <v>1370.6640074083548</v>
      </c>
      <c r="J265" s="53">
        <f t="shared" ca="1" si="35"/>
        <v>1024.722481207295</v>
      </c>
      <c r="K265" s="124">
        <f t="shared" ca="1" si="39"/>
        <v>345.94152620105979</v>
      </c>
      <c r="L265" s="30"/>
      <c r="M265" s="30"/>
      <c r="N265" s="30"/>
      <c r="O265" s="30"/>
    </row>
    <row r="266" spans="1:15" x14ac:dyDescent="0.25">
      <c r="A266" s="10">
        <v>247</v>
      </c>
      <c r="B266" s="27">
        <f t="shared" ca="1" si="30"/>
        <v>3.7405122982376304E-2</v>
      </c>
      <c r="C266" s="21">
        <f t="shared" ca="1" si="36"/>
        <v>232.18374026717686</v>
      </c>
      <c r="D266" s="21">
        <f t="shared" ca="1" si="31"/>
        <v>255.15819823044927</v>
      </c>
      <c r="E266" s="21">
        <f t="shared" ca="1" si="32"/>
        <v>15.863943279774674</v>
      </c>
      <c r="F266" s="22">
        <f t="shared" ca="1" si="37"/>
        <v>22.974457963272414</v>
      </c>
      <c r="G266" s="22">
        <f t="shared" ca="1" si="33"/>
        <v>2.0229001346667417</v>
      </c>
      <c r="H266" s="31">
        <f t="shared" ca="1" si="38"/>
        <v>20.951557828605672</v>
      </c>
      <c r="I266" s="9">
        <f t="shared" ca="1" si="34"/>
        <v>1343.8312307752335</v>
      </c>
      <c r="J266" s="30">
        <f t="shared" ca="1" si="35"/>
        <v>1023.6180709307147</v>
      </c>
      <c r="K266" s="122">
        <f t="shared" ca="1" si="39"/>
        <v>320.21315984451883</v>
      </c>
      <c r="L266" s="30"/>
      <c r="M266" s="30"/>
      <c r="N266" s="30"/>
      <c r="O266" s="30"/>
    </row>
    <row r="267" spans="1:15" x14ac:dyDescent="0.25">
      <c r="A267" s="10">
        <v>248</v>
      </c>
      <c r="B267" s="27">
        <f t="shared" ca="1" si="30"/>
        <v>0.5028158581091009</v>
      </c>
      <c r="C267" s="21">
        <f t="shared" ca="1" si="36"/>
        <v>250.07058368161827</v>
      </c>
      <c r="D267" s="21">
        <f t="shared" ca="1" si="31"/>
        <v>263.91162682672621</v>
      </c>
      <c r="E267" s="21">
        <f t="shared" ca="1" si="32"/>
        <v>0</v>
      </c>
      <c r="F267" s="22">
        <f t="shared" ca="1" si="37"/>
        <v>13.841043145107932</v>
      </c>
      <c r="G267" s="22">
        <f t="shared" ca="1" si="33"/>
        <v>11.595066970471066</v>
      </c>
      <c r="H267" s="31">
        <f t="shared" ca="1" si="38"/>
        <v>2.2459761746368656</v>
      </c>
      <c r="I267" s="9">
        <f t="shared" ca="1" si="34"/>
        <v>1364.2622595082335</v>
      </c>
      <c r="J267" s="30">
        <f t="shared" ca="1" si="35"/>
        <v>995.55969844976141</v>
      </c>
      <c r="K267" s="122">
        <f t="shared" ca="1" si="39"/>
        <v>368.70256105847204</v>
      </c>
      <c r="L267" s="30"/>
      <c r="M267" s="30"/>
      <c r="N267" s="30"/>
      <c r="O267" s="30"/>
    </row>
    <row r="268" spans="1:15" x14ac:dyDescent="0.25">
      <c r="A268" s="10">
        <v>249</v>
      </c>
      <c r="B268" s="27">
        <f t="shared" ca="1" si="30"/>
        <v>0.83254597730898894</v>
      </c>
      <c r="C268" s="21">
        <f t="shared" ca="1" si="36"/>
        <v>259.6427505174226</v>
      </c>
      <c r="D268" s="21">
        <f t="shared" ca="1" si="31"/>
        <v>248.04768354695153</v>
      </c>
      <c r="E268" s="21">
        <f t="shared" ca="1" si="32"/>
        <v>0</v>
      </c>
      <c r="F268" s="22">
        <f t="shared" ca="1" si="37"/>
        <v>0</v>
      </c>
      <c r="G268" s="22">
        <f t="shared" ca="1" si="33"/>
        <v>7.9599207054921521</v>
      </c>
      <c r="H268" s="31">
        <f t="shared" ca="1" si="38"/>
        <v>0</v>
      </c>
      <c r="I268" s="9">
        <f t="shared" ca="1" si="34"/>
        <v>1364.2622595082335</v>
      </c>
      <c r="J268" s="30">
        <f t="shared" ca="1" si="35"/>
        <v>992.19073418780613</v>
      </c>
      <c r="K268" s="122">
        <f t="shared" ca="1" si="39"/>
        <v>372.07152532042733</v>
      </c>
      <c r="L268" s="30"/>
      <c r="M268" s="30"/>
      <c r="N268" s="30"/>
      <c r="O268" s="30"/>
    </row>
    <row r="269" spans="1:15" x14ac:dyDescent="0.25">
      <c r="A269" s="10">
        <v>250</v>
      </c>
      <c r="B269" s="27">
        <f t="shared" ca="1" si="30"/>
        <v>0.72600021682859539</v>
      </c>
      <c r="C269" s="21">
        <f t="shared" ca="1" si="36"/>
        <v>256.00760425244368</v>
      </c>
      <c r="D269" s="21">
        <f t="shared" ca="1" si="31"/>
        <v>248.04768354695153</v>
      </c>
      <c r="E269" s="21">
        <f t="shared" ca="1" si="32"/>
        <v>0</v>
      </c>
      <c r="F269" s="22">
        <f t="shared" ca="1" si="37"/>
        <v>0</v>
      </c>
      <c r="G269" s="22">
        <f t="shared" ca="1" si="33"/>
        <v>0</v>
      </c>
      <c r="H269" s="31">
        <f t="shared" ca="1" si="38"/>
        <v>0</v>
      </c>
      <c r="I269" s="9">
        <f t="shared" ca="1" si="34"/>
        <v>1364.2622595082335</v>
      </c>
      <c r="J269" s="30">
        <f t="shared" ca="1" si="35"/>
        <v>992.19073418780613</v>
      </c>
      <c r="K269" s="122">
        <f t="shared" ca="1" si="39"/>
        <v>372.07152532042733</v>
      </c>
      <c r="L269" s="30"/>
      <c r="M269" s="30"/>
      <c r="N269" s="30"/>
      <c r="O269" s="30"/>
    </row>
    <row r="270" spans="1:15" x14ac:dyDescent="0.25">
      <c r="A270" s="10">
        <v>251</v>
      </c>
      <c r="B270" s="27">
        <f t="shared" ca="1" si="30"/>
        <v>6.5198404886646188E-2</v>
      </c>
      <c r="C270" s="21">
        <f t="shared" ca="1" si="36"/>
        <v>234.87461042433358</v>
      </c>
      <c r="D270" s="21">
        <f t="shared" ca="1" si="31"/>
        <v>248.04768354695153</v>
      </c>
      <c r="E270" s="21">
        <f t="shared" ca="1" si="32"/>
        <v>13.17307312261795</v>
      </c>
      <c r="F270" s="22">
        <f t="shared" ca="1" si="37"/>
        <v>13.17307312261795</v>
      </c>
      <c r="G270" s="22">
        <f t="shared" ca="1" si="33"/>
        <v>0.68614864661822139</v>
      </c>
      <c r="H270" s="31">
        <f t="shared" ca="1" si="38"/>
        <v>12.486924475999729</v>
      </c>
      <c r="I270" s="9">
        <f t="shared" ca="1" si="34"/>
        <v>1332.5643990424883</v>
      </c>
      <c r="J270" s="30">
        <f t="shared" ca="1" si="35"/>
        <v>1010.9211209018057</v>
      </c>
      <c r="K270" s="122">
        <f t="shared" ca="1" si="39"/>
        <v>321.64327814068258</v>
      </c>
      <c r="L270" s="30"/>
      <c r="M270" s="30"/>
      <c r="N270" s="30"/>
      <c r="O270" s="30"/>
    </row>
    <row r="271" spans="1:15" x14ac:dyDescent="0.25">
      <c r="A271" s="10">
        <v>252</v>
      </c>
      <c r="B271" s="27">
        <f t="shared" ca="1" si="30"/>
        <v>0.44962185740375216</v>
      </c>
      <c r="C271" s="21">
        <f t="shared" ca="1" si="36"/>
        <v>248.73383219356975</v>
      </c>
      <c r="D271" s="21">
        <f t="shared" ca="1" si="31"/>
        <v>261.22075666956948</v>
      </c>
      <c r="E271" s="21">
        <f t="shared" ca="1" si="32"/>
        <v>0</v>
      </c>
      <c r="F271" s="22">
        <f t="shared" ca="1" si="37"/>
        <v>12.486924475999729</v>
      </c>
      <c r="G271" s="22">
        <f t="shared" ca="1" si="33"/>
        <v>0</v>
      </c>
      <c r="H271" s="31">
        <f t="shared" ca="1" si="38"/>
        <v>12.486924475999729</v>
      </c>
      <c r="I271" s="9">
        <f t="shared" ca="1" si="34"/>
        <v>1364.2622595082335</v>
      </c>
      <c r="J271" s="30">
        <f t="shared" ca="1" si="35"/>
        <v>1010.9211209018057</v>
      </c>
      <c r="K271" s="122">
        <f t="shared" ca="1" si="39"/>
        <v>353.34113860642776</v>
      </c>
      <c r="L271" s="30"/>
      <c r="M271" s="30"/>
      <c r="N271" s="30"/>
      <c r="O271" s="30"/>
    </row>
    <row r="272" spans="1:15" x14ac:dyDescent="0.25">
      <c r="A272" s="10">
        <v>253</v>
      </c>
      <c r="B272" s="27">
        <f t="shared" ca="1" si="30"/>
        <v>0.19370683467650429</v>
      </c>
      <c r="C272" s="21">
        <f t="shared" ca="1" si="36"/>
        <v>241.35682809623754</v>
      </c>
      <c r="D272" s="21">
        <f t="shared" ca="1" si="31"/>
        <v>248.04768354695153</v>
      </c>
      <c r="E272" s="21">
        <f t="shared" ca="1" si="32"/>
        <v>6.6908554507139968</v>
      </c>
      <c r="F272" s="22">
        <f t="shared" ca="1" si="37"/>
        <v>6.6908554507139968</v>
      </c>
      <c r="G272" s="22">
        <f t="shared" ca="1" si="33"/>
        <v>7.7065829211534549</v>
      </c>
      <c r="H272" s="31">
        <f t="shared" ca="1" si="38"/>
        <v>0</v>
      </c>
      <c r="I272" s="9">
        <f t="shared" ca="1" si="34"/>
        <v>1329.1352683919849</v>
      </c>
      <c r="J272" s="30">
        <f t="shared" ca="1" si="35"/>
        <v>992.19073418780613</v>
      </c>
      <c r="K272" s="122">
        <f t="shared" ca="1" si="39"/>
        <v>336.94453420417881</v>
      </c>
      <c r="L272" s="30"/>
      <c r="M272" s="30"/>
      <c r="N272" s="30"/>
      <c r="O272" s="30"/>
    </row>
    <row r="273" spans="1:15" x14ac:dyDescent="0.25">
      <c r="A273" s="10">
        <v>254</v>
      </c>
      <c r="B273" s="27">
        <f t="shared" ca="1" si="30"/>
        <v>0.71749860653748498</v>
      </c>
      <c r="C273" s="21">
        <f t="shared" ca="1" si="36"/>
        <v>255.75426646810499</v>
      </c>
      <c r="D273" s="21">
        <f t="shared" ca="1" si="31"/>
        <v>254.73853899766553</v>
      </c>
      <c r="E273" s="21">
        <f t="shared" ca="1" si="32"/>
        <v>0</v>
      </c>
      <c r="F273" s="22">
        <f t="shared" ca="1" si="37"/>
        <v>0</v>
      </c>
      <c r="G273" s="22">
        <f t="shared" ca="1" si="33"/>
        <v>0</v>
      </c>
      <c r="H273" s="31">
        <f t="shared" ca="1" si="38"/>
        <v>0</v>
      </c>
      <c r="I273" s="9">
        <f t="shared" ca="1" si="34"/>
        <v>1364.2622595082335</v>
      </c>
      <c r="J273" s="30">
        <f t="shared" ca="1" si="35"/>
        <v>992.19073418780613</v>
      </c>
      <c r="K273" s="122">
        <f t="shared" ca="1" si="39"/>
        <v>372.07152532042733</v>
      </c>
      <c r="L273" s="30"/>
      <c r="M273" s="30"/>
      <c r="N273" s="30"/>
      <c r="O273" s="30"/>
    </row>
    <row r="274" spans="1:15" x14ac:dyDescent="0.25">
      <c r="A274" s="10">
        <v>255</v>
      </c>
      <c r="B274" s="27">
        <f t="shared" ca="1" si="30"/>
        <v>0.3649388072187586</v>
      </c>
      <c r="C274" s="21">
        <f t="shared" ca="1" si="36"/>
        <v>246.54711663771923</v>
      </c>
      <c r="D274" s="21">
        <f t="shared" ca="1" si="31"/>
        <v>248.04768354695153</v>
      </c>
      <c r="E274" s="21">
        <f t="shared" ca="1" si="32"/>
        <v>1.5005669092323046</v>
      </c>
      <c r="F274" s="22">
        <f t="shared" ca="1" si="37"/>
        <v>1.5005669092323046</v>
      </c>
      <c r="G274" s="22">
        <f t="shared" ca="1" si="33"/>
        <v>0</v>
      </c>
      <c r="H274" s="31">
        <f t="shared" ca="1" si="38"/>
        <v>1.5005669092323046</v>
      </c>
      <c r="I274" s="9">
        <f t="shared" ca="1" si="34"/>
        <v>1356.3842832347639</v>
      </c>
      <c r="J274" s="30">
        <f t="shared" ca="1" si="35"/>
        <v>994.44158455165461</v>
      </c>
      <c r="K274" s="122">
        <f t="shared" ca="1" si="39"/>
        <v>361.94269868310926</v>
      </c>
      <c r="L274" s="30"/>
      <c r="M274" s="30"/>
      <c r="N274" s="30"/>
      <c r="O274" s="30"/>
    </row>
    <row r="275" spans="1:15" x14ac:dyDescent="0.25">
      <c r="A275" s="10">
        <v>256</v>
      </c>
      <c r="B275" s="27">
        <f t="shared" ca="1" si="30"/>
        <v>0.18522008390789213</v>
      </c>
      <c r="C275" s="21">
        <f t="shared" ca="1" si="36"/>
        <v>241.04350833598448</v>
      </c>
      <c r="D275" s="21">
        <f t="shared" ca="1" si="31"/>
        <v>249.54825045618384</v>
      </c>
      <c r="E275" s="21">
        <f t="shared" ca="1" si="32"/>
        <v>7.0041752109670483</v>
      </c>
      <c r="F275" s="22">
        <f t="shared" ca="1" si="37"/>
        <v>8.5047421201993529</v>
      </c>
      <c r="G275" s="22">
        <f t="shared" ca="1" si="33"/>
        <v>14.656368866672835</v>
      </c>
      <c r="H275" s="31">
        <f t="shared" ca="1" si="38"/>
        <v>0</v>
      </c>
      <c r="I275" s="9">
        <f t="shared" ca="1" si="34"/>
        <v>1327.4903396506566</v>
      </c>
      <c r="J275" s="30">
        <f t="shared" ca="1" si="35"/>
        <v>992.19073418780613</v>
      </c>
      <c r="K275" s="122">
        <f t="shared" ca="1" si="39"/>
        <v>335.29960546285042</v>
      </c>
      <c r="L275" s="30"/>
      <c r="M275" s="30"/>
      <c r="N275" s="30"/>
      <c r="O275" s="30"/>
    </row>
    <row r="276" spans="1:15" x14ac:dyDescent="0.25">
      <c r="A276" s="10">
        <v>257</v>
      </c>
      <c r="B276" s="27">
        <f t="shared" ref="B276:B339" ca="1" si="40">RAND()</f>
        <v>0.89802984139611419</v>
      </c>
      <c r="C276" s="21">
        <f t="shared" ca="1" si="36"/>
        <v>262.70405241362437</v>
      </c>
      <c r="D276" s="21">
        <f t="shared" ref="D276:D339" ca="1" si="41">$E$10+E275</f>
        <v>255.05185875791858</v>
      </c>
      <c r="E276" s="21">
        <f t="shared" ref="E276:E339" ca="1" si="42">IF(C276&gt;$E$10,0,$E$10-C276)</f>
        <v>0</v>
      </c>
      <c r="F276" s="22">
        <f t="shared" ca="1" si="37"/>
        <v>0</v>
      </c>
      <c r="G276" s="22">
        <f t="shared" ref="G276:G339" ca="1" si="43">IF(C277&gt;$E$10,C277-$E$10,0)</f>
        <v>17.31360440976033</v>
      </c>
      <c r="H276" s="31">
        <f t="shared" ca="1" si="38"/>
        <v>0</v>
      </c>
      <c r="I276" s="9">
        <f t="shared" ref="I276:I339" ca="1" si="44">IF($E$10&lt;C276,$E$10*$E$7,$E$9*($E$10-C276)+(C276*$E$7)+IF($E$10&lt;C277,H276*$E$8,E275*$E$8))</f>
        <v>1364.2622595082335</v>
      </c>
      <c r="J276" s="30">
        <f t="shared" ref="J276:J339" ca="1" si="45">IF(H276&gt;0,$E$10*$E$5+H276*$E$6,$E$10*$E$5)</f>
        <v>992.19073418780613</v>
      </c>
      <c r="K276" s="122">
        <f t="shared" ca="1" si="39"/>
        <v>372.07152532042733</v>
      </c>
      <c r="L276" s="30"/>
      <c r="M276" s="30"/>
      <c r="N276" s="30"/>
      <c r="O276" s="30"/>
    </row>
    <row r="277" spans="1:15" x14ac:dyDescent="0.25">
      <c r="A277" s="10">
        <v>258</v>
      </c>
      <c r="B277" s="27">
        <f t="shared" ca="1" si="40"/>
        <v>0.93774660243135533</v>
      </c>
      <c r="C277" s="21">
        <f t="shared" ref="C277:C340" ca="1" si="46">_xlfn.NORM.INV(B277,$D$15,$D$16)</f>
        <v>265.36128795671186</v>
      </c>
      <c r="D277" s="21">
        <f t="shared" ca="1" si="41"/>
        <v>248.04768354695153</v>
      </c>
      <c r="E277" s="21">
        <f t="shared" ca="1" si="42"/>
        <v>0</v>
      </c>
      <c r="F277" s="22">
        <f t="shared" ref="F277:F340" ca="1" si="47">IF(C277&gt;D277,0,D277-C277)</f>
        <v>0</v>
      </c>
      <c r="G277" s="22">
        <f t="shared" ca="1" si="43"/>
        <v>1.0896306043825064</v>
      </c>
      <c r="H277" s="31">
        <f t="shared" ref="H277:H340" ca="1" si="48">IF(G277&gt;F277,0,IF(G277&lt;F277,F277-G277,0))</f>
        <v>0</v>
      </c>
      <c r="I277" s="9">
        <f t="shared" ca="1" si="44"/>
        <v>1364.2622595082335</v>
      </c>
      <c r="J277" s="30">
        <f t="shared" ca="1" si="45"/>
        <v>992.19073418780613</v>
      </c>
      <c r="K277" s="122">
        <f t="shared" ref="K277:K340" ca="1" si="49">I277-J277</f>
        <v>372.07152532042733</v>
      </c>
      <c r="L277" s="30"/>
      <c r="M277" s="30"/>
      <c r="N277" s="30"/>
      <c r="O277" s="30"/>
    </row>
    <row r="278" spans="1:15" x14ac:dyDescent="0.25">
      <c r="A278" s="10">
        <v>259</v>
      </c>
      <c r="B278" s="27">
        <f t="shared" ca="1" si="40"/>
        <v>0.4656264554971028</v>
      </c>
      <c r="C278" s="21">
        <f t="shared" ca="1" si="46"/>
        <v>249.13731415133404</v>
      </c>
      <c r="D278" s="21">
        <f t="shared" ca="1" si="41"/>
        <v>248.04768354695153</v>
      </c>
      <c r="E278" s="21">
        <f t="shared" ca="1" si="42"/>
        <v>0</v>
      </c>
      <c r="F278" s="22">
        <f t="shared" ca="1" si="47"/>
        <v>0</v>
      </c>
      <c r="G278" s="22">
        <f t="shared" ca="1" si="43"/>
        <v>0</v>
      </c>
      <c r="H278" s="31">
        <f t="shared" ca="1" si="48"/>
        <v>0</v>
      </c>
      <c r="I278" s="9">
        <f t="shared" ca="1" si="44"/>
        <v>1364.2622595082335</v>
      </c>
      <c r="J278" s="30">
        <f t="shared" ca="1" si="45"/>
        <v>992.19073418780613</v>
      </c>
      <c r="K278" s="122">
        <f t="shared" ca="1" si="49"/>
        <v>372.07152532042733</v>
      </c>
      <c r="L278" s="30"/>
      <c r="M278" s="30"/>
      <c r="N278" s="30"/>
      <c r="O278" s="30"/>
    </row>
    <row r="279" spans="1:15" x14ac:dyDescent="0.25">
      <c r="A279" s="10">
        <v>260</v>
      </c>
      <c r="B279" s="27">
        <f t="shared" ca="1" si="40"/>
        <v>6.793624423886313E-2</v>
      </c>
      <c r="C279" s="21">
        <f t="shared" ca="1" si="46"/>
        <v>235.08660900600171</v>
      </c>
      <c r="D279" s="21">
        <f t="shared" ca="1" si="41"/>
        <v>248.04768354695153</v>
      </c>
      <c r="E279" s="21">
        <f t="shared" ca="1" si="42"/>
        <v>12.961074540949824</v>
      </c>
      <c r="F279" s="22">
        <f t="shared" ca="1" si="47"/>
        <v>12.961074540949824</v>
      </c>
      <c r="G279" s="22">
        <f t="shared" ca="1" si="43"/>
        <v>2.536023441763291E-3</v>
      </c>
      <c r="H279" s="31">
        <f t="shared" ca="1" si="48"/>
        <v>12.95853851750806</v>
      </c>
      <c r="I279" s="9">
        <f t="shared" ca="1" si="44"/>
        <v>1335.092233720771</v>
      </c>
      <c r="J279" s="30">
        <f t="shared" ca="1" si="45"/>
        <v>1011.6285419640682</v>
      </c>
      <c r="K279" s="122">
        <f t="shared" ca="1" si="49"/>
        <v>323.46369175670281</v>
      </c>
      <c r="L279" s="30"/>
      <c r="M279" s="30"/>
      <c r="N279" s="30"/>
      <c r="O279" s="30"/>
    </row>
    <row r="280" spans="1:15" x14ac:dyDescent="0.25">
      <c r="A280" s="10">
        <v>261</v>
      </c>
      <c r="B280" s="27">
        <f t="shared" ca="1" si="40"/>
        <v>0.42270506845186573</v>
      </c>
      <c r="C280" s="21">
        <f t="shared" ca="1" si="46"/>
        <v>248.0502195703933</v>
      </c>
      <c r="D280" s="21">
        <f t="shared" ca="1" si="41"/>
        <v>261.00875808790136</v>
      </c>
      <c r="E280" s="21">
        <f t="shared" ca="1" si="42"/>
        <v>0</v>
      </c>
      <c r="F280" s="22">
        <f t="shared" ca="1" si="47"/>
        <v>12.95853851750806</v>
      </c>
      <c r="G280" s="22">
        <f t="shared" ca="1" si="43"/>
        <v>3.9662446800924727</v>
      </c>
      <c r="H280" s="31">
        <f t="shared" ca="1" si="48"/>
        <v>8.9922938374155876</v>
      </c>
      <c r="I280" s="9">
        <f t="shared" ca="1" si="44"/>
        <v>1364.2622595082335</v>
      </c>
      <c r="J280" s="30">
        <f t="shared" ca="1" si="45"/>
        <v>1005.6791749439295</v>
      </c>
      <c r="K280" s="122">
        <f t="shared" ca="1" si="49"/>
        <v>358.58308456430393</v>
      </c>
      <c r="L280" s="30"/>
      <c r="M280" s="30"/>
      <c r="N280" s="30"/>
      <c r="O280" s="30"/>
    </row>
    <row r="281" spans="1:15" x14ac:dyDescent="0.25">
      <c r="A281" s="10">
        <v>262</v>
      </c>
      <c r="B281" s="27">
        <f t="shared" ca="1" si="40"/>
        <v>0.57980428655211569</v>
      </c>
      <c r="C281" s="21">
        <f t="shared" ca="1" si="46"/>
        <v>252.013928227044</v>
      </c>
      <c r="D281" s="21">
        <f t="shared" ca="1" si="41"/>
        <v>248.04768354695153</v>
      </c>
      <c r="E281" s="21">
        <f t="shared" ca="1" si="42"/>
        <v>0</v>
      </c>
      <c r="F281" s="22">
        <f t="shared" ca="1" si="47"/>
        <v>0</v>
      </c>
      <c r="G281" s="22">
        <f t="shared" ca="1" si="43"/>
        <v>0.90435536187422372</v>
      </c>
      <c r="H281" s="31">
        <f t="shared" ca="1" si="48"/>
        <v>0</v>
      </c>
      <c r="I281" s="9">
        <f t="shared" ca="1" si="44"/>
        <v>1364.2622595082335</v>
      </c>
      <c r="J281" s="30">
        <f t="shared" ca="1" si="45"/>
        <v>992.19073418780613</v>
      </c>
      <c r="K281" s="122">
        <f t="shared" ca="1" si="49"/>
        <v>372.07152532042733</v>
      </c>
      <c r="L281" s="30"/>
      <c r="M281" s="30"/>
      <c r="N281" s="30"/>
      <c r="O281" s="30"/>
    </row>
    <row r="282" spans="1:15" x14ac:dyDescent="0.25">
      <c r="A282" s="10">
        <v>263</v>
      </c>
      <c r="B282" s="27">
        <f t="shared" ca="1" si="40"/>
        <v>0.45826879876232973</v>
      </c>
      <c r="C282" s="21">
        <f t="shared" ca="1" si="46"/>
        <v>248.95203890882576</v>
      </c>
      <c r="D282" s="21">
        <f t="shared" ca="1" si="41"/>
        <v>248.04768354695153</v>
      </c>
      <c r="E282" s="21">
        <f t="shared" ca="1" si="42"/>
        <v>0</v>
      </c>
      <c r="F282" s="22">
        <f t="shared" ca="1" si="47"/>
        <v>0</v>
      </c>
      <c r="G282" s="22">
        <f t="shared" ca="1" si="43"/>
        <v>3.0426494298090176</v>
      </c>
      <c r="H282" s="31">
        <f t="shared" ca="1" si="48"/>
        <v>0</v>
      </c>
      <c r="I282" s="9">
        <f t="shared" ca="1" si="44"/>
        <v>1364.2622595082335</v>
      </c>
      <c r="J282" s="30">
        <f t="shared" ca="1" si="45"/>
        <v>992.19073418780613</v>
      </c>
      <c r="K282" s="122">
        <f t="shared" ca="1" si="49"/>
        <v>372.07152532042733</v>
      </c>
      <c r="L282" s="30"/>
      <c r="M282" s="30"/>
      <c r="N282" s="30"/>
      <c r="O282" s="30"/>
    </row>
    <row r="283" spans="1:15" x14ac:dyDescent="0.25">
      <c r="A283" s="10">
        <v>264</v>
      </c>
      <c r="B283" s="27">
        <f t="shared" ca="1" si="40"/>
        <v>0.54341195998015035</v>
      </c>
      <c r="C283" s="21">
        <f t="shared" ca="1" si="46"/>
        <v>251.09033297676055</v>
      </c>
      <c r="D283" s="21">
        <f t="shared" ca="1" si="41"/>
        <v>248.04768354695153</v>
      </c>
      <c r="E283" s="21">
        <f t="shared" ca="1" si="42"/>
        <v>0</v>
      </c>
      <c r="F283" s="22">
        <f t="shared" ca="1" si="47"/>
        <v>0</v>
      </c>
      <c r="G283" s="22">
        <f t="shared" ca="1" si="43"/>
        <v>0</v>
      </c>
      <c r="H283" s="31">
        <f t="shared" ca="1" si="48"/>
        <v>0</v>
      </c>
      <c r="I283" s="9">
        <f t="shared" ca="1" si="44"/>
        <v>1364.2622595082335</v>
      </c>
      <c r="J283" s="30">
        <f t="shared" ca="1" si="45"/>
        <v>992.19073418780613</v>
      </c>
      <c r="K283" s="122">
        <f t="shared" ca="1" si="49"/>
        <v>372.07152532042733</v>
      </c>
      <c r="L283" s="30"/>
      <c r="M283" s="30"/>
      <c r="N283" s="30"/>
      <c r="O283" s="30"/>
    </row>
    <row r="284" spans="1:15" x14ac:dyDescent="0.25">
      <c r="A284" s="10">
        <v>265</v>
      </c>
      <c r="B284" s="27">
        <f t="shared" ca="1" si="40"/>
        <v>0.41758157945442975</v>
      </c>
      <c r="C284" s="21">
        <f t="shared" ca="1" si="46"/>
        <v>247.91915716991286</v>
      </c>
      <c r="D284" s="21">
        <f t="shared" ca="1" si="41"/>
        <v>248.04768354695153</v>
      </c>
      <c r="E284" s="21">
        <f t="shared" ca="1" si="42"/>
        <v>0.12852637703866776</v>
      </c>
      <c r="F284" s="22">
        <f t="shared" ca="1" si="47"/>
        <v>0.12852637703866776</v>
      </c>
      <c r="G284" s="22">
        <f t="shared" ca="1" si="43"/>
        <v>4.2957673830231613</v>
      </c>
      <c r="H284" s="31">
        <f t="shared" ca="1" si="48"/>
        <v>0</v>
      </c>
      <c r="I284" s="9">
        <f t="shared" ca="1" si="44"/>
        <v>1363.5874960287804</v>
      </c>
      <c r="J284" s="30">
        <f t="shared" ca="1" si="45"/>
        <v>992.19073418780613</v>
      </c>
      <c r="K284" s="122">
        <f t="shared" ca="1" si="49"/>
        <v>371.39676184097425</v>
      </c>
      <c r="L284" s="30"/>
      <c r="M284" s="30"/>
      <c r="N284" s="30"/>
      <c r="O284" s="30"/>
    </row>
    <row r="285" spans="1:15" x14ac:dyDescent="0.25">
      <c r="A285" s="10">
        <v>266</v>
      </c>
      <c r="B285" s="27">
        <f t="shared" ca="1" si="40"/>
        <v>0.59264145938437229</v>
      </c>
      <c r="C285" s="21">
        <f t="shared" ca="1" si="46"/>
        <v>252.34345092997469</v>
      </c>
      <c r="D285" s="21">
        <f t="shared" ca="1" si="41"/>
        <v>248.1762099239902</v>
      </c>
      <c r="E285" s="21">
        <f t="shared" ca="1" si="42"/>
        <v>0</v>
      </c>
      <c r="F285" s="22">
        <f t="shared" ca="1" si="47"/>
        <v>0</v>
      </c>
      <c r="G285" s="22">
        <f t="shared" ca="1" si="43"/>
        <v>0</v>
      </c>
      <c r="H285" s="31">
        <f t="shared" ca="1" si="48"/>
        <v>0</v>
      </c>
      <c r="I285" s="9">
        <f t="shared" ca="1" si="44"/>
        <v>1364.2622595082335</v>
      </c>
      <c r="J285" s="30">
        <f t="shared" ca="1" si="45"/>
        <v>992.19073418780613</v>
      </c>
      <c r="K285" s="122">
        <f t="shared" ca="1" si="49"/>
        <v>372.07152532042733</v>
      </c>
      <c r="L285" s="30"/>
      <c r="M285" s="30"/>
      <c r="N285" s="30"/>
      <c r="O285" s="30"/>
    </row>
    <row r="286" spans="1:15" x14ac:dyDescent="0.25">
      <c r="A286" s="10">
        <v>267</v>
      </c>
      <c r="B286" s="27">
        <f t="shared" ca="1" si="40"/>
        <v>0.26583404244692221</v>
      </c>
      <c r="C286" s="21">
        <f t="shared" ca="1" si="46"/>
        <v>243.74538310527731</v>
      </c>
      <c r="D286" s="21">
        <f t="shared" ca="1" si="41"/>
        <v>248.04768354695153</v>
      </c>
      <c r="E286" s="21">
        <f t="shared" ca="1" si="42"/>
        <v>4.3023004416742197</v>
      </c>
      <c r="F286" s="22">
        <f t="shared" ca="1" si="47"/>
        <v>4.3023004416742197</v>
      </c>
      <c r="G286" s="22">
        <f t="shared" ca="1" si="43"/>
        <v>0</v>
      </c>
      <c r="H286" s="31">
        <f t="shared" ca="1" si="48"/>
        <v>4.3023004416742197</v>
      </c>
      <c r="I286" s="9">
        <f t="shared" ca="1" si="44"/>
        <v>1341.6751821894438</v>
      </c>
      <c r="J286" s="30">
        <f t="shared" ca="1" si="45"/>
        <v>998.64418485031752</v>
      </c>
      <c r="K286" s="122">
        <f t="shared" ca="1" si="49"/>
        <v>343.03099733912632</v>
      </c>
      <c r="L286" s="30"/>
      <c r="M286" s="30"/>
      <c r="N286" s="30"/>
      <c r="O286" s="30"/>
    </row>
    <row r="287" spans="1:15" x14ac:dyDescent="0.25">
      <c r="A287" s="10">
        <v>268</v>
      </c>
      <c r="B287" s="27">
        <f t="shared" ca="1" si="40"/>
        <v>0.40073444643974965</v>
      </c>
      <c r="C287" s="21">
        <f t="shared" ca="1" si="46"/>
        <v>247.48553464399987</v>
      </c>
      <c r="D287" s="21">
        <f t="shared" ca="1" si="41"/>
        <v>252.34998398862575</v>
      </c>
      <c r="E287" s="21">
        <f t="shared" ca="1" si="42"/>
        <v>0.56214890295166242</v>
      </c>
      <c r="F287" s="22">
        <f t="shared" ca="1" si="47"/>
        <v>4.8644493446258821</v>
      </c>
      <c r="G287" s="22">
        <f t="shared" ca="1" si="43"/>
        <v>4.1529948878090863</v>
      </c>
      <c r="H287" s="31">
        <f t="shared" ca="1" si="48"/>
        <v>0.71145445681679576</v>
      </c>
      <c r="I287" s="9">
        <f t="shared" ca="1" si="44"/>
        <v>1363.4453411381878</v>
      </c>
      <c r="J287" s="30">
        <f t="shared" ca="1" si="45"/>
        <v>993.25791587303138</v>
      </c>
      <c r="K287" s="122">
        <f t="shared" ca="1" si="49"/>
        <v>370.18742526515643</v>
      </c>
      <c r="L287" s="30"/>
      <c r="M287" s="30"/>
      <c r="N287" s="30"/>
      <c r="O287" s="30"/>
    </row>
    <row r="288" spans="1:15" x14ac:dyDescent="0.25">
      <c r="A288" s="10">
        <v>269</v>
      </c>
      <c r="B288" s="27">
        <f t="shared" ca="1" si="40"/>
        <v>0.58709084095563036</v>
      </c>
      <c r="C288" s="21">
        <f t="shared" ca="1" si="46"/>
        <v>252.20067843476062</v>
      </c>
      <c r="D288" s="21">
        <f t="shared" ca="1" si="41"/>
        <v>248.60983244990319</v>
      </c>
      <c r="E288" s="21">
        <f t="shared" ca="1" si="42"/>
        <v>0</v>
      </c>
      <c r="F288" s="22">
        <f t="shared" ca="1" si="47"/>
        <v>0</v>
      </c>
      <c r="G288" s="22">
        <f t="shared" ca="1" si="43"/>
        <v>0</v>
      </c>
      <c r="H288" s="31">
        <f t="shared" ca="1" si="48"/>
        <v>0</v>
      </c>
      <c r="I288" s="9">
        <f t="shared" ca="1" si="44"/>
        <v>1364.2622595082335</v>
      </c>
      <c r="J288" s="30">
        <f t="shared" ca="1" si="45"/>
        <v>992.19073418780613</v>
      </c>
      <c r="K288" s="122">
        <f t="shared" ca="1" si="49"/>
        <v>372.07152532042733</v>
      </c>
      <c r="L288" s="30"/>
      <c r="M288" s="30"/>
      <c r="N288" s="30"/>
      <c r="O288" s="30"/>
    </row>
    <row r="289" spans="1:15" x14ac:dyDescent="0.25">
      <c r="A289" s="10">
        <v>270</v>
      </c>
      <c r="B289" s="27">
        <f t="shared" ca="1" si="40"/>
        <v>0.38953876867325721</v>
      </c>
      <c r="C289" s="21">
        <f t="shared" ca="1" si="46"/>
        <v>247.19478636348126</v>
      </c>
      <c r="D289" s="21">
        <f t="shared" ca="1" si="41"/>
        <v>248.04768354695153</v>
      </c>
      <c r="E289" s="21">
        <f t="shared" ca="1" si="42"/>
        <v>0.85289718347027588</v>
      </c>
      <c r="F289" s="22">
        <f t="shared" ca="1" si="47"/>
        <v>0.85289718347027588</v>
      </c>
      <c r="G289" s="22">
        <f t="shared" ca="1" si="43"/>
        <v>0</v>
      </c>
      <c r="H289" s="31">
        <f t="shared" ca="1" si="48"/>
        <v>0.85289718347027588</v>
      </c>
      <c r="I289" s="9">
        <f t="shared" ca="1" si="44"/>
        <v>1359.7845492950146</v>
      </c>
      <c r="J289" s="30">
        <f t="shared" ca="1" si="45"/>
        <v>993.47007996301159</v>
      </c>
      <c r="K289" s="122">
        <f t="shared" ca="1" si="49"/>
        <v>366.314469332003</v>
      </c>
      <c r="L289" s="30"/>
      <c r="M289" s="30"/>
      <c r="N289" s="30"/>
      <c r="O289" s="30"/>
    </row>
    <row r="290" spans="1:15" x14ac:dyDescent="0.25">
      <c r="A290" s="10">
        <v>271</v>
      </c>
      <c r="B290" s="27">
        <f t="shared" ca="1" si="40"/>
        <v>0.31479728752453495</v>
      </c>
      <c r="C290" s="21">
        <f t="shared" ca="1" si="46"/>
        <v>245.177024325243</v>
      </c>
      <c r="D290" s="21">
        <f t="shared" ca="1" si="41"/>
        <v>248.90058073042181</v>
      </c>
      <c r="E290" s="21">
        <f t="shared" ca="1" si="42"/>
        <v>2.8706592217085358</v>
      </c>
      <c r="F290" s="22">
        <f t="shared" ca="1" si="47"/>
        <v>3.7235564051788117</v>
      </c>
      <c r="G290" s="22">
        <f t="shared" ca="1" si="43"/>
        <v>13.320476983678361</v>
      </c>
      <c r="H290" s="31">
        <f t="shared" ca="1" si="48"/>
        <v>0</v>
      </c>
      <c r="I290" s="9">
        <f t="shared" ca="1" si="44"/>
        <v>1349.1912985942636</v>
      </c>
      <c r="J290" s="30">
        <f t="shared" ca="1" si="45"/>
        <v>992.19073418780613</v>
      </c>
      <c r="K290" s="122">
        <f t="shared" ca="1" si="49"/>
        <v>357.00056440645744</v>
      </c>
      <c r="L290" s="30"/>
      <c r="M290" s="30"/>
      <c r="N290" s="30"/>
      <c r="O290" s="30"/>
    </row>
    <row r="291" spans="1:15" x14ac:dyDescent="0.25">
      <c r="A291" s="10">
        <v>272</v>
      </c>
      <c r="B291" s="27">
        <f t="shared" ca="1" si="40"/>
        <v>0.87219240447044899</v>
      </c>
      <c r="C291" s="21">
        <f t="shared" ca="1" si="46"/>
        <v>261.36816053062989</v>
      </c>
      <c r="D291" s="21">
        <f t="shared" ca="1" si="41"/>
        <v>250.91834276866007</v>
      </c>
      <c r="E291" s="21">
        <f t="shared" ca="1" si="42"/>
        <v>0</v>
      </c>
      <c r="F291" s="22">
        <f t="shared" ca="1" si="47"/>
        <v>0</v>
      </c>
      <c r="G291" s="22">
        <f t="shared" ca="1" si="43"/>
        <v>2.1168745263339304</v>
      </c>
      <c r="H291" s="31">
        <f t="shared" ca="1" si="48"/>
        <v>0</v>
      </c>
      <c r="I291" s="9">
        <f t="shared" ca="1" si="44"/>
        <v>1364.2622595082335</v>
      </c>
      <c r="J291" s="30">
        <f t="shared" ca="1" si="45"/>
        <v>992.19073418780613</v>
      </c>
      <c r="K291" s="122">
        <f t="shared" ca="1" si="49"/>
        <v>372.07152532042733</v>
      </c>
      <c r="L291" s="30"/>
      <c r="M291" s="30"/>
      <c r="N291" s="30"/>
      <c r="O291" s="30"/>
    </row>
    <row r="292" spans="1:15" x14ac:dyDescent="0.25">
      <c r="A292" s="10">
        <v>273</v>
      </c>
      <c r="B292" s="27">
        <f t="shared" ca="1" si="40"/>
        <v>0.50656462102393929</v>
      </c>
      <c r="C292" s="21">
        <f t="shared" ca="1" si="46"/>
        <v>250.16455807328546</v>
      </c>
      <c r="D292" s="21">
        <f t="shared" ca="1" si="41"/>
        <v>248.04768354695153</v>
      </c>
      <c r="E292" s="21">
        <f t="shared" ca="1" si="42"/>
        <v>0</v>
      </c>
      <c r="F292" s="22">
        <f t="shared" ca="1" si="47"/>
        <v>0</v>
      </c>
      <c r="G292" s="22">
        <f t="shared" ca="1" si="43"/>
        <v>0</v>
      </c>
      <c r="H292" s="31">
        <f t="shared" ca="1" si="48"/>
        <v>0</v>
      </c>
      <c r="I292" s="9">
        <f t="shared" ca="1" si="44"/>
        <v>1364.2622595082335</v>
      </c>
      <c r="J292" s="30">
        <f t="shared" ca="1" si="45"/>
        <v>992.19073418780613</v>
      </c>
      <c r="K292" s="122">
        <f t="shared" ca="1" si="49"/>
        <v>372.07152532042733</v>
      </c>
      <c r="L292" s="30"/>
      <c r="M292" s="30"/>
      <c r="N292" s="30"/>
      <c r="O292" s="30"/>
    </row>
    <row r="293" spans="1:15" x14ac:dyDescent="0.25">
      <c r="A293" s="10">
        <v>274</v>
      </c>
      <c r="B293" s="27">
        <f t="shared" ca="1" si="40"/>
        <v>3.2639840033407364E-2</v>
      </c>
      <c r="C293" s="21">
        <f t="shared" ca="1" si="46"/>
        <v>231.56662026270462</v>
      </c>
      <c r="D293" s="21">
        <f t="shared" ca="1" si="41"/>
        <v>248.04768354695153</v>
      </c>
      <c r="E293" s="21">
        <f t="shared" ca="1" si="42"/>
        <v>16.481063284246915</v>
      </c>
      <c r="F293" s="22">
        <f t="shared" ca="1" si="47"/>
        <v>16.481063284246915</v>
      </c>
      <c r="G293" s="22">
        <f t="shared" ca="1" si="43"/>
        <v>32.295084254641438</v>
      </c>
      <c r="H293" s="31">
        <f t="shared" ca="1" si="48"/>
        <v>0</v>
      </c>
      <c r="I293" s="9">
        <f t="shared" ca="1" si="44"/>
        <v>1277.7366772659373</v>
      </c>
      <c r="J293" s="30">
        <f t="shared" ca="1" si="45"/>
        <v>992.19073418780613</v>
      </c>
      <c r="K293" s="122">
        <f t="shared" ca="1" si="49"/>
        <v>285.54594307813113</v>
      </c>
      <c r="L293" s="30"/>
      <c r="M293" s="30"/>
      <c r="N293" s="30"/>
      <c r="O293" s="30"/>
    </row>
    <row r="294" spans="1:15" x14ac:dyDescent="0.25">
      <c r="A294" s="10">
        <v>275</v>
      </c>
      <c r="B294" s="27">
        <f t="shared" ca="1" si="40"/>
        <v>0.99879443444441407</v>
      </c>
      <c r="C294" s="21">
        <f t="shared" ca="1" si="46"/>
        <v>280.34276780159297</v>
      </c>
      <c r="D294" s="21">
        <f t="shared" ca="1" si="41"/>
        <v>264.52874683119842</v>
      </c>
      <c r="E294" s="21">
        <f t="shared" ca="1" si="42"/>
        <v>0</v>
      </c>
      <c r="F294" s="22">
        <f t="shared" ca="1" si="47"/>
        <v>0</v>
      </c>
      <c r="G294" s="22">
        <f t="shared" ca="1" si="43"/>
        <v>0</v>
      </c>
      <c r="H294" s="31">
        <f t="shared" ca="1" si="48"/>
        <v>0</v>
      </c>
      <c r="I294" s="9">
        <f t="shared" ca="1" si="44"/>
        <v>1364.2622595082335</v>
      </c>
      <c r="J294" s="30">
        <f t="shared" ca="1" si="45"/>
        <v>992.19073418780613</v>
      </c>
      <c r="K294" s="122">
        <f t="shared" ca="1" si="49"/>
        <v>372.07152532042733</v>
      </c>
      <c r="L294" s="30"/>
      <c r="M294" s="30"/>
      <c r="N294" s="30"/>
      <c r="O294" s="30"/>
    </row>
    <row r="295" spans="1:15" x14ac:dyDescent="0.25">
      <c r="A295" s="10">
        <v>276</v>
      </c>
      <c r="B295" s="27">
        <f t="shared" ca="1" si="40"/>
        <v>0.19377441021633035</v>
      </c>
      <c r="C295" s="21">
        <f t="shared" ca="1" si="46"/>
        <v>241.35928875769585</v>
      </c>
      <c r="D295" s="21">
        <f t="shared" ca="1" si="41"/>
        <v>248.04768354695153</v>
      </c>
      <c r="E295" s="21">
        <f t="shared" ca="1" si="42"/>
        <v>6.6883947892556819</v>
      </c>
      <c r="F295" s="22">
        <f t="shared" ca="1" si="47"/>
        <v>6.6883947892556819</v>
      </c>
      <c r="G295" s="22">
        <f t="shared" ca="1" si="43"/>
        <v>4.5383428581129408</v>
      </c>
      <c r="H295" s="31">
        <f t="shared" ca="1" si="48"/>
        <v>2.1500519311427411</v>
      </c>
      <c r="I295" s="9">
        <f t="shared" ca="1" si="44"/>
        <v>1335.5983426580692</v>
      </c>
      <c r="J295" s="30">
        <f t="shared" ca="1" si="45"/>
        <v>995.41581208452021</v>
      </c>
      <c r="K295" s="122">
        <f t="shared" ca="1" si="49"/>
        <v>340.182530573549</v>
      </c>
      <c r="L295" s="30"/>
      <c r="M295" s="30"/>
      <c r="N295" s="30"/>
      <c r="O295" s="30"/>
    </row>
    <row r="296" spans="1:15" x14ac:dyDescent="0.25">
      <c r="A296" s="10">
        <v>277</v>
      </c>
      <c r="B296" s="27">
        <f t="shared" ca="1" si="40"/>
        <v>0.60202907714612064</v>
      </c>
      <c r="C296" s="21">
        <f t="shared" ca="1" si="46"/>
        <v>252.58602640506447</v>
      </c>
      <c r="D296" s="21">
        <f t="shared" ca="1" si="41"/>
        <v>254.73607833620721</v>
      </c>
      <c r="E296" s="21">
        <f t="shared" ca="1" si="42"/>
        <v>0</v>
      </c>
      <c r="F296" s="22">
        <f t="shared" ca="1" si="47"/>
        <v>2.1500519311427411</v>
      </c>
      <c r="G296" s="22">
        <f t="shared" ca="1" si="43"/>
        <v>10.443716038486514</v>
      </c>
      <c r="H296" s="31">
        <f t="shared" ca="1" si="48"/>
        <v>0</v>
      </c>
      <c r="I296" s="9">
        <f t="shared" ca="1" si="44"/>
        <v>1364.2622595082335</v>
      </c>
      <c r="J296" s="30">
        <f t="shared" ca="1" si="45"/>
        <v>992.19073418780613</v>
      </c>
      <c r="K296" s="122">
        <f t="shared" ca="1" si="49"/>
        <v>372.07152532042733</v>
      </c>
      <c r="L296" s="30"/>
      <c r="M296" s="30"/>
      <c r="N296" s="30"/>
      <c r="O296" s="30"/>
    </row>
    <row r="297" spans="1:15" x14ac:dyDescent="0.25">
      <c r="A297" s="10">
        <v>278</v>
      </c>
      <c r="B297" s="43">
        <f t="shared" ca="1" si="40"/>
        <v>0.80209829097181695</v>
      </c>
      <c r="C297" s="44">
        <f t="shared" ca="1" si="46"/>
        <v>258.49139958543805</v>
      </c>
      <c r="D297" s="44">
        <f t="shared" ca="1" si="41"/>
        <v>248.04768354695153</v>
      </c>
      <c r="E297" s="44">
        <f t="shared" ca="1" si="42"/>
        <v>0</v>
      </c>
      <c r="F297" s="45">
        <f t="shared" ca="1" si="47"/>
        <v>0</v>
      </c>
      <c r="G297" s="45">
        <f t="shared" ca="1" si="43"/>
        <v>2.2099396761136063</v>
      </c>
      <c r="H297" s="46">
        <f t="shared" ca="1" si="48"/>
        <v>0</v>
      </c>
      <c r="I297" s="1">
        <f t="shared" ca="1" si="44"/>
        <v>1364.2622595082335</v>
      </c>
      <c r="J297" s="47">
        <f t="shared" ca="1" si="45"/>
        <v>992.19073418780613</v>
      </c>
      <c r="K297" s="123">
        <f t="shared" ca="1" si="49"/>
        <v>372.07152532042733</v>
      </c>
      <c r="L297" s="30"/>
      <c r="M297" s="30"/>
      <c r="N297" s="30"/>
      <c r="O297" s="30"/>
    </row>
    <row r="298" spans="1:15" x14ac:dyDescent="0.25">
      <c r="A298" s="10">
        <v>279</v>
      </c>
      <c r="B298" s="48">
        <f t="shared" ca="1" si="40"/>
        <v>0.51027654284461998</v>
      </c>
      <c r="C298" s="49">
        <f t="shared" ca="1" si="46"/>
        <v>250.25762322306514</v>
      </c>
      <c r="D298" s="49">
        <f t="shared" ca="1" si="41"/>
        <v>248.04768354695153</v>
      </c>
      <c r="E298" s="49">
        <f t="shared" ca="1" si="42"/>
        <v>0</v>
      </c>
      <c r="F298" s="50">
        <f t="shared" ca="1" si="47"/>
        <v>0</v>
      </c>
      <c r="G298" s="50">
        <f t="shared" ca="1" si="43"/>
        <v>0</v>
      </c>
      <c r="H298" s="51">
        <f t="shared" ca="1" si="48"/>
        <v>0</v>
      </c>
      <c r="I298" s="52">
        <f t="shared" ca="1" si="44"/>
        <v>1364.2622595082335</v>
      </c>
      <c r="J298" s="53">
        <f t="shared" ca="1" si="45"/>
        <v>992.19073418780613</v>
      </c>
      <c r="K298" s="124">
        <f t="shared" ca="1" si="49"/>
        <v>372.07152532042733</v>
      </c>
      <c r="L298" s="30"/>
      <c r="M298" s="30"/>
      <c r="N298" s="30"/>
      <c r="O298" s="30"/>
    </row>
    <row r="299" spans="1:15" x14ac:dyDescent="0.25">
      <c r="A299" s="10">
        <v>280</v>
      </c>
      <c r="B299" s="27">
        <f t="shared" ca="1" si="40"/>
        <v>2.8698357043082434E-2</v>
      </c>
      <c r="C299" s="21">
        <f t="shared" ca="1" si="46"/>
        <v>230.99722512444171</v>
      </c>
      <c r="D299" s="21">
        <f t="shared" ca="1" si="41"/>
        <v>248.04768354695153</v>
      </c>
      <c r="E299" s="21">
        <f t="shared" ca="1" si="42"/>
        <v>17.05045842250982</v>
      </c>
      <c r="F299" s="22">
        <f t="shared" ca="1" si="47"/>
        <v>17.05045842250982</v>
      </c>
      <c r="G299" s="22">
        <f t="shared" ca="1" si="43"/>
        <v>5.5952904326615283</v>
      </c>
      <c r="H299" s="31">
        <f t="shared" ca="1" si="48"/>
        <v>11.455167989848292</v>
      </c>
      <c r="I299" s="9">
        <f t="shared" ca="1" si="44"/>
        <v>1309.112856759602</v>
      </c>
      <c r="J299" s="30">
        <f t="shared" ca="1" si="45"/>
        <v>1009.3734861725786</v>
      </c>
      <c r="K299" s="122">
        <f t="shared" ca="1" si="49"/>
        <v>299.73937058702336</v>
      </c>
      <c r="L299" s="30"/>
      <c r="M299" s="30"/>
      <c r="N299" s="30"/>
      <c r="O299" s="30"/>
    </row>
    <row r="300" spans="1:15" x14ac:dyDescent="0.25">
      <c r="A300" s="10">
        <v>281</v>
      </c>
      <c r="B300" s="27">
        <f t="shared" ca="1" si="40"/>
        <v>0.64218202864830454</v>
      </c>
      <c r="C300" s="21">
        <f t="shared" ca="1" si="46"/>
        <v>253.64297397961306</v>
      </c>
      <c r="D300" s="21">
        <f t="shared" ca="1" si="41"/>
        <v>265.09814196946138</v>
      </c>
      <c r="E300" s="21">
        <f t="shared" ca="1" si="42"/>
        <v>0</v>
      </c>
      <c r="F300" s="22">
        <f t="shared" ca="1" si="47"/>
        <v>11.45516798984832</v>
      </c>
      <c r="G300" s="22">
        <f t="shared" ca="1" si="43"/>
        <v>20.343923216708504</v>
      </c>
      <c r="H300" s="31">
        <f t="shared" ca="1" si="48"/>
        <v>0</v>
      </c>
      <c r="I300" s="9">
        <f t="shared" ca="1" si="44"/>
        <v>1364.2622595082335</v>
      </c>
      <c r="J300" s="30">
        <f t="shared" ca="1" si="45"/>
        <v>992.19073418780613</v>
      </c>
      <c r="K300" s="122">
        <f t="shared" ca="1" si="49"/>
        <v>372.07152532042733</v>
      </c>
      <c r="L300" s="30"/>
      <c r="M300" s="30"/>
      <c r="N300" s="30"/>
      <c r="O300" s="30"/>
    </row>
    <row r="301" spans="1:15" x14ac:dyDescent="0.25">
      <c r="A301" s="10">
        <v>282</v>
      </c>
      <c r="B301" s="27">
        <f t="shared" ca="1" si="40"/>
        <v>0.96705422167541033</v>
      </c>
      <c r="C301" s="21">
        <f t="shared" ca="1" si="46"/>
        <v>268.39160676366004</v>
      </c>
      <c r="D301" s="21">
        <f t="shared" ca="1" si="41"/>
        <v>248.04768354695153</v>
      </c>
      <c r="E301" s="21">
        <f t="shared" ca="1" si="42"/>
        <v>0</v>
      </c>
      <c r="F301" s="22">
        <f t="shared" ca="1" si="47"/>
        <v>0</v>
      </c>
      <c r="G301" s="22">
        <f t="shared" ca="1" si="43"/>
        <v>3.1169256532127463</v>
      </c>
      <c r="H301" s="31">
        <f t="shared" ca="1" si="48"/>
        <v>0</v>
      </c>
      <c r="I301" s="9">
        <f t="shared" ca="1" si="44"/>
        <v>1364.2622595082335</v>
      </c>
      <c r="J301" s="30">
        <f t="shared" ca="1" si="45"/>
        <v>992.19073418780613</v>
      </c>
      <c r="K301" s="122">
        <f t="shared" ca="1" si="49"/>
        <v>372.07152532042733</v>
      </c>
      <c r="L301" s="30"/>
      <c r="M301" s="30"/>
      <c r="N301" s="30"/>
      <c r="O301" s="30"/>
    </row>
    <row r="302" spans="1:15" x14ac:dyDescent="0.25">
      <c r="A302" s="10">
        <v>283</v>
      </c>
      <c r="B302" s="27">
        <f t="shared" ca="1" si="40"/>
        <v>0.54635637169976414</v>
      </c>
      <c r="C302" s="21">
        <f t="shared" ca="1" si="46"/>
        <v>251.16460920016428</v>
      </c>
      <c r="D302" s="21">
        <f t="shared" ca="1" si="41"/>
        <v>248.04768354695153</v>
      </c>
      <c r="E302" s="21">
        <f t="shared" ca="1" si="42"/>
        <v>0</v>
      </c>
      <c r="F302" s="22">
        <f t="shared" ca="1" si="47"/>
        <v>0</v>
      </c>
      <c r="G302" s="22">
        <f t="shared" ca="1" si="43"/>
        <v>9.9584797152990632</v>
      </c>
      <c r="H302" s="31">
        <f t="shared" ca="1" si="48"/>
        <v>0</v>
      </c>
      <c r="I302" s="9">
        <f t="shared" ca="1" si="44"/>
        <v>1364.2622595082335</v>
      </c>
      <c r="J302" s="30">
        <f t="shared" ca="1" si="45"/>
        <v>992.19073418780613</v>
      </c>
      <c r="K302" s="122">
        <f t="shared" ca="1" si="49"/>
        <v>372.07152532042733</v>
      </c>
      <c r="L302" s="30"/>
      <c r="M302" s="30"/>
      <c r="N302" s="30"/>
      <c r="O302" s="30"/>
    </row>
    <row r="303" spans="1:15" x14ac:dyDescent="0.25">
      <c r="A303" s="10">
        <v>284</v>
      </c>
      <c r="B303" s="27">
        <f t="shared" ca="1" si="40"/>
        <v>0.78832310189701937</v>
      </c>
      <c r="C303" s="21">
        <f t="shared" ca="1" si="46"/>
        <v>258.0061632622506</v>
      </c>
      <c r="D303" s="21">
        <f t="shared" ca="1" si="41"/>
        <v>248.04768354695153</v>
      </c>
      <c r="E303" s="21">
        <f t="shared" ca="1" si="42"/>
        <v>0</v>
      </c>
      <c r="F303" s="22">
        <f t="shared" ca="1" si="47"/>
        <v>0</v>
      </c>
      <c r="G303" s="22">
        <f t="shared" ca="1" si="43"/>
        <v>0</v>
      </c>
      <c r="H303" s="31">
        <f t="shared" ca="1" si="48"/>
        <v>0</v>
      </c>
      <c r="I303" s="9">
        <f t="shared" ca="1" si="44"/>
        <v>1364.2622595082335</v>
      </c>
      <c r="J303" s="30">
        <f t="shared" ca="1" si="45"/>
        <v>992.19073418780613</v>
      </c>
      <c r="K303" s="122">
        <f t="shared" ca="1" si="49"/>
        <v>372.07152532042733</v>
      </c>
      <c r="L303" s="30"/>
      <c r="M303" s="30"/>
      <c r="N303" s="30"/>
      <c r="O303" s="30"/>
    </row>
    <row r="304" spans="1:15" x14ac:dyDescent="0.25">
      <c r="A304" s="10">
        <v>285</v>
      </c>
      <c r="B304" s="27">
        <f t="shared" ca="1" si="40"/>
        <v>0.20601189375804896</v>
      </c>
      <c r="C304" s="21">
        <f t="shared" ca="1" si="46"/>
        <v>241.79662593455996</v>
      </c>
      <c r="D304" s="21">
        <f t="shared" ca="1" si="41"/>
        <v>248.04768354695153</v>
      </c>
      <c r="E304" s="21">
        <f t="shared" ca="1" si="42"/>
        <v>6.2510576123915769</v>
      </c>
      <c r="F304" s="22">
        <f t="shared" ca="1" si="47"/>
        <v>6.2510576123915769</v>
      </c>
      <c r="G304" s="22">
        <f t="shared" ca="1" si="43"/>
        <v>14.222874167236398</v>
      </c>
      <c r="H304" s="31">
        <f t="shared" ca="1" si="48"/>
        <v>0</v>
      </c>
      <c r="I304" s="9">
        <f t="shared" ca="1" si="44"/>
        <v>1331.4442070431776</v>
      </c>
      <c r="J304" s="30">
        <f t="shared" ca="1" si="45"/>
        <v>992.19073418780613</v>
      </c>
      <c r="K304" s="122">
        <f t="shared" ca="1" si="49"/>
        <v>339.25347285537146</v>
      </c>
      <c r="L304" s="30"/>
      <c r="M304" s="30"/>
      <c r="N304" s="30"/>
      <c r="O304" s="30"/>
    </row>
    <row r="305" spans="1:15" x14ac:dyDescent="0.25">
      <c r="A305" s="10">
        <v>286</v>
      </c>
      <c r="B305" s="27">
        <f t="shared" ca="1" si="40"/>
        <v>0.89009918512348996</v>
      </c>
      <c r="C305" s="21">
        <f t="shared" ca="1" si="46"/>
        <v>262.27055771418793</v>
      </c>
      <c r="D305" s="21">
        <f t="shared" ca="1" si="41"/>
        <v>254.29874115934311</v>
      </c>
      <c r="E305" s="21">
        <f t="shared" ca="1" si="42"/>
        <v>0</v>
      </c>
      <c r="F305" s="22">
        <f t="shared" ca="1" si="47"/>
        <v>0</v>
      </c>
      <c r="G305" s="22">
        <f t="shared" ca="1" si="43"/>
        <v>12.473672011567885</v>
      </c>
      <c r="H305" s="31">
        <f t="shared" ca="1" si="48"/>
        <v>0</v>
      </c>
      <c r="I305" s="9">
        <f t="shared" ca="1" si="44"/>
        <v>1364.2622595082335</v>
      </c>
      <c r="J305" s="30">
        <f t="shared" ca="1" si="45"/>
        <v>992.19073418780613</v>
      </c>
      <c r="K305" s="122">
        <f t="shared" ca="1" si="49"/>
        <v>372.07152532042733</v>
      </c>
      <c r="L305" s="30"/>
      <c r="M305" s="30"/>
      <c r="N305" s="30"/>
      <c r="O305" s="30"/>
    </row>
    <row r="306" spans="1:15" x14ac:dyDescent="0.25">
      <c r="A306" s="10">
        <v>287</v>
      </c>
      <c r="B306" s="27">
        <f t="shared" ca="1" si="40"/>
        <v>0.85363131940343218</v>
      </c>
      <c r="C306" s="21">
        <f t="shared" ca="1" si="46"/>
        <v>260.52135555851942</v>
      </c>
      <c r="D306" s="21">
        <f t="shared" ca="1" si="41"/>
        <v>248.04768354695153</v>
      </c>
      <c r="E306" s="21">
        <f t="shared" ca="1" si="42"/>
        <v>0</v>
      </c>
      <c r="F306" s="22">
        <f t="shared" ca="1" si="47"/>
        <v>0</v>
      </c>
      <c r="G306" s="22">
        <f t="shared" ca="1" si="43"/>
        <v>0.59738010565965283</v>
      </c>
      <c r="H306" s="31">
        <f t="shared" ca="1" si="48"/>
        <v>0</v>
      </c>
      <c r="I306" s="9">
        <f t="shared" ca="1" si="44"/>
        <v>1364.2622595082335</v>
      </c>
      <c r="J306" s="30">
        <f t="shared" ca="1" si="45"/>
        <v>992.19073418780613</v>
      </c>
      <c r="K306" s="122">
        <f t="shared" ca="1" si="49"/>
        <v>372.07152532042733</v>
      </c>
      <c r="L306" s="30"/>
      <c r="M306" s="30"/>
      <c r="N306" s="30"/>
      <c r="O306" s="30"/>
    </row>
    <row r="307" spans="1:15" x14ac:dyDescent="0.25">
      <c r="A307" s="10">
        <v>288</v>
      </c>
      <c r="B307" s="27">
        <f t="shared" ca="1" si="40"/>
        <v>0.44611079829643818</v>
      </c>
      <c r="C307" s="21">
        <f t="shared" ca="1" si="46"/>
        <v>248.64506365261119</v>
      </c>
      <c r="D307" s="21">
        <f t="shared" ca="1" si="41"/>
        <v>248.04768354695153</v>
      </c>
      <c r="E307" s="21">
        <f t="shared" ca="1" si="42"/>
        <v>0</v>
      </c>
      <c r="F307" s="22">
        <f t="shared" ca="1" si="47"/>
        <v>0</v>
      </c>
      <c r="G307" s="22">
        <f t="shared" ca="1" si="43"/>
        <v>0</v>
      </c>
      <c r="H307" s="31">
        <f t="shared" ca="1" si="48"/>
        <v>0</v>
      </c>
      <c r="I307" s="9">
        <f t="shared" ca="1" si="44"/>
        <v>1364.2622595082335</v>
      </c>
      <c r="J307" s="30">
        <f t="shared" ca="1" si="45"/>
        <v>992.19073418780613</v>
      </c>
      <c r="K307" s="122">
        <f t="shared" ca="1" si="49"/>
        <v>372.07152532042733</v>
      </c>
      <c r="L307" s="30"/>
      <c r="M307" s="30"/>
      <c r="N307" s="30"/>
      <c r="O307" s="30"/>
    </row>
    <row r="308" spans="1:15" x14ac:dyDescent="0.25">
      <c r="A308" s="10">
        <v>289</v>
      </c>
      <c r="B308" s="27">
        <f t="shared" ca="1" si="40"/>
        <v>0.13538009684052221</v>
      </c>
      <c r="C308" s="21">
        <f t="shared" ca="1" si="46"/>
        <v>238.98686398982596</v>
      </c>
      <c r="D308" s="21">
        <f t="shared" ca="1" si="41"/>
        <v>248.04768354695153</v>
      </c>
      <c r="E308" s="21">
        <f t="shared" ca="1" si="42"/>
        <v>9.0608195571255692</v>
      </c>
      <c r="F308" s="22">
        <f t="shared" ca="1" si="47"/>
        <v>9.0608195571255692</v>
      </c>
      <c r="G308" s="22">
        <f t="shared" ca="1" si="43"/>
        <v>10.23229771414475</v>
      </c>
      <c r="H308" s="31">
        <f t="shared" ca="1" si="48"/>
        <v>0</v>
      </c>
      <c r="I308" s="9">
        <f t="shared" ca="1" si="44"/>
        <v>1316.6929568333242</v>
      </c>
      <c r="J308" s="30">
        <f t="shared" ca="1" si="45"/>
        <v>992.19073418780613</v>
      </c>
      <c r="K308" s="122">
        <f t="shared" ca="1" si="49"/>
        <v>324.50222264551803</v>
      </c>
      <c r="L308" s="30"/>
      <c r="M308" s="30"/>
      <c r="N308" s="30"/>
      <c r="O308" s="30"/>
    </row>
    <row r="309" spans="1:15" x14ac:dyDescent="0.25">
      <c r="A309" s="10">
        <v>290</v>
      </c>
      <c r="B309" s="27">
        <f t="shared" ca="1" si="40"/>
        <v>0.7961642194346904</v>
      </c>
      <c r="C309" s="21">
        <f t="shared" ca="1" si="46"/>
        <v>258.27998126109628</v>
      </c>
      <c r="D309" s="21">
        <f t="shared" ca="1" si="41"/>
        <v>257.1085031040771</v>
      </c>
      <c r="E309" s="21">
        <f t="shared" ca="1" si="42"/>
        <v>0</v>
      </c>
      <c r="F309" s="22">
        <f t="shared" ca="1" si="47"/>
        <v>0</v>
      </c>
      <c r="G309" s="22">
        <f t="shared" ca="1" si="43"/>
        <v>0.6296821124628309</v>
      </c>
      <c r="H309" s="31">
        <f t="shared" ca="1" si="48"/>
        <v>0</v>
      </c>
      <c r="I309" s="9">
        <f t="shared" ca="1" si="44"/>
        <v>1364.2622595082335</v>
      </c>
      <c r="J309" s="30">
        <f t="shared" ca="1" si="45"/>
        <v>992.19073418780613</v>
      </c>
      <c r="K309" s="122">
        <f t="shared" ca="1" si="49"/>
        <v>372.07152532042733</v>
      </c>
      <c r="L309" s="30"/>
      <c r="M309" s="30"/>
      <c r="N309" s="30"/>
      <c r="O309" s="30"/>
    </row>
    <row r="310" spans="1:15" x14ac:dyDescent="0.25">
      <c r="A310" s="10">
        <v>291</v>
      </c>
      <c r="B310" s="27">
        <f t="shared" ca="1" si="40"/>
        <v>0.44738796431368677</v>
      </c>
      <c r="C310" s="21">
        <f t="shared" ca="1" si="46"/>
        <v>248.67736565941436</v>
      </c>
      <c r="D310" s="21">
        <f t="shared" ca="1" si="41"/>
        <v>248.04768354695153</v>
      </c>
      <c r="E310" s="21">
        <f t="shared" ca="1" si="42"/>
        <v>0</v>
      </c>
      <c r="F310" s="22">
        <f t="shared" ca="1" si="47"/>
        <v>0</v>
      </c>
      <c r="G310" s="22">
        <f t="shared" ca="1" si="43"/>
        <v>1.9528691941783904</v>
      </c>
      <c r="H310" s="31">
        <f t="shared" ca="1" si="48"/>
        <v>0</v>
      </c>
      <c r="I310" s="9">
        <f t="shared" ca="1" si="44"/>
        <v>1364.2622595082335</v>
      </c>
      <c r="J310" s="30">
        <f t="shared" ca="1" si="45"/>
        <v>992.19073418780613</v>
      </c>
      <c r="K310" s="122">
        <f t="shared" ca="1" si="49"/>
        <v>372.07152532042733</v>
      </c>
      <c r="L310" s="30"/>
      <c r="M310" s="30"/>
      <c r="N310" s="30"/>
      <c r="O310" s="30"/>
    </row>
    <row r="311" spans="1:15" x14ac:dyDescent="0.25">
      <c r="A311" s="10">
        <v>292</v>
      </c>
      <c r="B311" s="27">
        <f t="shared" ca="1" si="40"/>
        <v>0.50002205118067322</v>
      </c>
      <c r="C311" s="21">
        <f t="shared" ca="1" si="46"/>
        <v>250.00055274112992</v>
      </c>
      <c r="D311" s="21">
        <f t="shared" ca="1" si="41"/>
        <v>248.04768354695153</v>
      </c>
      <c r="E311" s="21">
        <f t="shared" ca="1" si="42"/>
        <v>0</v>
      </c>
      <c r="F311" s="22">
        <f t="shared" ca="1" si="47"/>
        <v>0</v>
      </c>
      <c r="G311" s="22">
        <f t="shared" ca="1" si="43"/>
        <v>11.874534084568552</v>
      </c>
      <c r="H311" s="31">
        <f t="shared" ca="1" si="48"/>
        <v>0</v>
      </c>
      <c r="I311" s="9">
        <f t="shared" ca="1" si="44"/>
        <v>1364.2622595082335</v>
      </c>
      <c r="J311" s="30">
        <f t="shared" ca="1" si="45"/>
        <v>992.19073418780613</v>
      </c>
      <c r="K311" s="122">
        <f t="shared" ca="1" si="49"/>
        <v>372.07152532042733</v>
      </c>
      <c r="L311" s="30"/>
      <c r="M311" s="30"/>
      <c r="N311" s="30"/>
      <c r="O311" s="30"/>
    </row>
    <row r="312" spans="1:15" x14ac:dyDescent="0.25">
      <c r="A312" s="10">
        <v>293</v>
      </c>
      <c r="B312" s="27">
        <f t="shared" ca="1" si="40"/>
        <v>0.83945532080528951</v>
      </c>
      <c r="C312" s="21">
        <f t="shared" ca="1" si="46"/>
        <v>259.92221763152008</v>
      </c>
      <c r="D312" s="21">
        <f t="shared" ca="1" si="41"/>
        <v>248.04768354695153</v>
      </c>
      <c r="E312" s="21">
        <f t="shared" ca="1" si="42"/>
        <v>0</v>
      </c>
      <c r="F312" s="22">
        <f t="shared" ca="1" si="47"/>
        <v>0</v>
      </c>
      <c r="G312" s="22">
        <f t="shared" ca="1" si="43"/>
        <v>26.768542627968259</v>
      </c>
      <c r="H312" s="31">
        <f t="shared" ca="1" si="48"/>
        <v>0</v>
      </c>
      <c r="I312" s="9">
        <f t="shared" ca="1" si="44"/>
        <v>1364.2622595082335</v>
      </c>
      <c r="J312" s="30">
        <f t="shared" ca="1" si="45"/>
        <v>992.19073418780613</v>
      </c>
      <c r="K312" s="122">
        <f t="shared" ca="1" si="49"/>
        <v>372.07152532042733</v>
      </c>
      <c r="L312" s="30"/>
      <c r="M312" s="30"/>
      <c r="N312" s="30"/>
      <c r="O312" s="30"/>
    </row>
    <row r="313" spans="1:15" x14ac:dyDescent="0.25">
      <c r="A313" s="10">
        <v>294</v>
      </c>
      <c r="B313" s="27">
        <f t="shared" ca="1" si="40"/>
        <v>0.99346071477002407</v>
      </c>
      <c r="C313" s="21">
        <f t="shared" ca="1" si="46"/>
        <v>274.81622617491979</v>
      </c>
      <c r="D313" s="21">
        <f t="shared" ca="1" si="41"/>
        <v>248.04768354695153</v>
      </c>
      <c r="E313" s="21">
        <f t="shared" ca="1" si="42"/>
        <v>0</v>
      </c>
      <c r="F313" s="22">
        <f t="shared" ca="1" si="47"/>
        <v>0</v>
      </c>
      <c r="G313" s="22">
        <f t="shared" ca="1" si="43"/>
        <v>0</v>
      </c>
      <c r="H313" s="31">
        <f t="shared" ca="1" si="48"/>
        <v>0</v>
      </c>
      <c r="I313" s="9">
        <f t="shared" ca="1" si="44"/>
        <v>1364.2622595082335</v>
      </c>
      <c r="J313" s="30">
        <f t="shared" ca="1" si="45"/>
        <v>992.19073418780613</v>
      </c>
      <c r="K313" s="122">
        <f t="shared" ca="1" si="49"/>
        <v>372.07152532042733</v>
      </c>
      <c r="L313" s="30"/>
      <c r="M313" s="30"/>
      <c r="N313" s="30"/>
      <c r="O313" s="30"/>
    </row>
    <row r="314" spans="1:15" x14ac:dyDescent="0.25">
      <c r="A314" s="10">
        <v>295</v>
      </c>
      <c r="B314" s="27">
        <f t="shared" ca="1" si="40"/>
        <v>0.42219439912301526</v>
      </c>
      <c r="C314" s="21">
        <f t="shared" ca="1" si="46"/>
        <v>248.03717168183698</v>
      </c>
      <c r="D314" s="21">
        <f t="shared" ca="1" si="41"/>
        <v>248.04768354695153</v>
      </c>
      <c r="E314" s="21">
        <f t="shared" ca="1" si="42"/>
        <v>1.0511865114551711E-2</v>
      </c>
      <c r="F314" s="22">
        <f t="shared" ca="1" si="47"/>
        <v>1.0511865114551711E-2</v>
      </c>
      <c r="G314" s="22">
        <f t="shared" ca="1" si="43"/>
        <v>0</v>
      </c>
      <c r="H314" s="31">
        <f t="shared" ca="1" si="48"/>
        <v>1.0511865114551711E-2</v>
      </c>
      <c r="I314" s="9">
        <f t="shared" ca="1" si="44"/>
        <v>1364.2070722163819</v>
      </c>
      <c r="J314" s="30">
        <f t="shared" ca="1" si="45"/>
        <v>992.20650198547798</v>
      </c>
      <c r="K314" s="122">
        <f t="shared" ca="1" si="49"/>
        <v>372.00057023090392</v>
      </c>
      <c r="L314" s="30"/>
      <c r="M314" s="30"/>
      <c r="N314" s="30"/>
      <c r="O314" s="30"/>
    </row>
    <row r="315" spans="1:15" x14ac:dyDescent="0.25">
      <c r="A315" s="10">
        <v>296</v>
      </c>
      <c r="B315" s="27">
        <f t="shared" ca="1" si="40"/>
        <v>0.12166517558061674</v>
      </c>
      <c r="C315" s="21">
        <f t="shared" ca="1" si="46"/>
        <v>238.33297050181952</v>
      </c>
      <c r="D315" s="21">
        <f t="shared" ca="1" si="41"/>
        <v>248.05819541206608</v>
      </c>
      <c r="E315" s="21">
        <f t="shared" ca="1" si="42"/>
        <v>9.7147130451320152</v>
      </c>
      <c r="F315" s="22">
        <f t="shared" ca="1" si="47"/>
        <v>9.7252249102465669</v>
      </c>
      <c r="G315" s="22">
        <f t="shared" ca="1" si="43"/>
        <v>7.812045553870405</v>
      </c>
      <c r="H315" s="31">
        <f t="shared" ca="1" si="48"/>
        <v>1.9131793563761619</v>
      </c>
      <c r="I315" s="9">
        <f t="shared" ca="1" si="44"/>
        <v>1318.9995540904188</v>
      </c>
      <c r="J315" s="30">
        <f t="shared" ca="1" si="45"/>
        <v>995.06050322237036</v>
      </c>
      <c r="K315" s="122">
        <f t="shared" ca="1" si="49"/>
        <v>323.93905086804841</v>
      </c>
      <c r="L315" s="30"/>
      <c r="M315" s="30"/>
      <c r="N315" s="30"/>
      <c r="O315" s="30"/>
    </row>
    <row r="316" spans="1:15" x14ac:dyDescent="0.25">
      <c r="A316" s="10">
        <v>297</v>
      </c>
      <c r="B316" s="27">
        <f t="shared" ca="1" si="40"/>
        <v>0.721053140225137</v>
      </c>
      <c r="C316" s="21">
        <f t="shared" ca="1" si="46"/>
        <v>255.85972910082194</v>
      </c>
      <c r="D316" s="21">
        <f t="shared" ca="1" si="41"/>
        <v>257.76239659208352</v>
      </c>
      <c r="E316" s="21">
        <f t="shared" ca="1" si="42"/>
        <v>0</v>
      </c>
      <c r="F316" s="22">
        <f t="shared" ca="1" si="47"/>
        <v>1.9026674912615817</v>
      </c>
      <c r="G316" s="22">
        <f t="shared" ca="1" si="43"/>
        <v>8.3367676056069513</v>
      </c>
      <c r="H316" s="31">
        <f t="shared" ca="1" si="48"/>
        <v>0</v>
      </c>
      <c r="I316" s="9">
        <f t="shared" ca="1" si="44"/>
        <v>1364.2622595082335</v>
      </c>
      <c r="J316" s="30">
        <f t="shared" ca="1" si="45"/>
        <v>992.19073418780613</v>
      </c>
      <c r="K316" s="122">
        <f t="shared" ca="1" si="49"/>
        <v>372.07152532042733</v>
      </c>
      <c r="L316" s="30"/>
      <c r="M316" s="30"/>
      <c r="N316" s="30"/>
      <c r="O316" s="30"/>
    </row>
    <row r="317" spans="1:15" x14ac:dyDescent="0.25">
      <c r="A317" s="10">
        <v>298</v>
      </c>
      <c r="B317" s="27">
        <f t="shared" ca="1" si="40"/>
        <v>0.73840801458669458</v>
      </c>
      <c r="C317" s="21">
        <f t="shared" ca="1" si="46"/>
        <v>256.38445115255848</v>
      </c>
      <c r="D317" s="21">
        <f t="shared" ca="1" si="41"/>
        <v>248.04768354695153</v>
      </c>
      <c r="E317" s="21">
        <f t="shared" ca="1" si="42"/>
        <v>0</v>
      </c>
      <c r="F317" s="22">
        <f t="shared" ca="1" si="47"/>
        <v>0</v>
      </c>
      <c r="G317" s="22">
        <f t="shared" ca="1" si="43"/>
        <v>3.1309443460601756</v>
      </c>
      <c r="H317" s="31">
        <f t="shared" ca="1" si="48"/>
        <v>0</v>
      </c>
      <c r="I317" s="9">
        <f t="shared" ca="1" si="44"/>
        <v>1364.2622595082335</v>
      </c>
      <c r="J317" s="30">
        <f t="shared" ca="1" si="45"/>
        <v>992.19073418780613</v>
      </c>
      <c r="K317" s="122">
        <f t="shared" ca="1" si="49"/>
        <v>372.07152532042733</v>
      </c>
      <c r="L317" s="30"/>
      <c r="M317" s="30"/>
      <c r="N317" s="30"/>
      <c r="O317" s="30"/>
    </row>
    <row r="318" spans="1:15" x14ac:dyDescent="0.25">
      <c r="A318" s="10">
        <v>299</v>
      </c>
      <c r="B318" s="27">
        <f t="shared" ca="1" si="40"/>
        <v>0.54691181123980281</v>
      </c>
      <c r="C318" s="21">
        <f t="shared" ca="1" si="46"/>
        <v>251.17862789301171</v>
      </c>
      <c r="D318" s="21">
        <f t="shared" ca="1" si="41"/>
        <v>248.04768354695153</v>
      </c>
      <c r="E318" s="21">
        <f t="shared" ca="1" si="42"/>
        <v>0</v>
      </c>
      <c r="F318" s="22">
        <f t="shared" ca="1" si="47"/>
        <v>0</v>
      </c>
      <c r="G318" s="22">
        <f t="shared" ca="1" si="43"/>
        <v>0</v>
      </c>
      <c r="H318" s="31">
        <f t="shared" ca="1" si="48"/>
        <v>0</v>
      </c>
      <c r="I318" s="9">
        <f t="shared" ca="1" si="44"/>
        <v>1364.2622595082335</v>
      </c>
      <c r="J318" s="30">
        <f t="shared" ca="1" si="45"/>
        <v>992.19073418780613</v>
      </c>
      <c r="K318" s="122">
        <f t="shared" ca="1" si="49"/>
        <v>372.07152532042733</v>
      </c>
      <c r="L318" s="30"/>
      <c r="M318" s="30"/>
      <c r="N318" s="30"/>
      <c r="O318" s="30"/>
    </row>
    <row r="319" spans="1:15" x14ac:dyDescent="0.25">
      <c r="A319" s="10">
        <v>300</v>
      </c>
      <c r="B319" s="27">
        <f t="shared" ca="1" si="40"/>
        <v>0.35625534471772902</v>
      </c>
      <c r="C319" s="21">
        <f t="shared" ca="1" si="46"/>
        <v>246.31513741298775</v>
      </c>
      <c r="D319" s="21">
        <f t="shared" ca="1" si="41"/>
        <v>248.04768354695153</v>
      </c>
      <c r="E319" s="21">
        <f t="shared" ca="1" si="42"/>
        <v>1.7325461339637798</v>
      </c>
      <c r="F319" s="22">
        <f t="shared" ca="1" si="47"/>
        <v>1.7325461339637798</v>
      </c>
      <c r="G319" s="22">
        <f t="shared" ca="1" si="43"/>
        <v>0</v>
      </c>
      <c r="H319" s="31">
        <f t="shared" ca="1" si="48"/>
        <v>1.7325461339637798</v>
      </c>
      <c r="I319" s="9">
        <f t="shared" ca="1" si="44"/>
        <v>1355.1663923049236</v>
      </c>
      <c r="J319" s="30">
        <f t="shared" ca="1" si="45"/>
        <v>994.78955338875176</v>
      </c>
      <c r="K319" s="122">
        <f t="shared" ca="1" si="49"/>
        <v>360.37683891617189</v>
      </c>
      <c r="L319" s="30"/>
      <c r="M319" s="30"/>
      <c r="N319" s="30"/>
      <c r="O319" s="30"/>
    </row>
    <row r="320" spans="1:15" x14ac:dyDescent="0.25">
      <c r="A320" s="10">
        <v>301</v>
      </c>
      <c r="B320" s="27">
        <f t="shared" ca="1" si="40"/>
        <v>0.41685079465276131</v>
      </c>
      <c r="C320" s="21">
        <f t="shared" ca="1" si="46"/>
        <v>247.90043455248673</v>
      </c>
      <c r="D320" s="21">
        <f t="shared" ca="1" si="41"/>
        <v>249.78022968091531</v>
      </c>
      <c r="E320" s="21">
        <f t="shared" ca="1" si="42"/>
        <v>0.14724899446480322</v>
      </c>
      <c r="F320" s="22">
        <f t="shared" ca="1" si="47"/>
        <v>1.879795128428583</v>
      </c>
      <c r="G320" s="22">
        <f t="shared" ca="1" si="43"/>
        <v>0</v>
      </c>
      <c r="H320" s="31">
        <f t="shared" ca="1" si="48"/>
        <v>1.879795128428583</v>
      </c>
      <c r="I320" s="9">
        <f t="shared" ca="1" si="44"/>
        <v>1368.6868406891845</v>
      </c>
      <c r="J320" s="30">
        <f t="shared" ca="1" si="45"/>
        <v>995.01042688044902</v>
      </c>
      <c r="K320" s="122">
        <f t="shared" ca="1" si="49"/>
        <v>373.67641380873545</v>
      </c>
      <c r="L320" s="30"/>
      <c r="M320" s="30"/>
      <c r="N320" s="30"/>
      <c r="O320" s="30"/>
    </row>
    <row r="321" spans="1:15" x14ac:dyDescent="0.25">
      <c r="A321" s="10">
        <v>302</v>
      </c>
      <c r="B321" s="27">
        <f t="shared" ca="1" si="40"/>
        <v>0.11309032658028739</v>
      </c>
      <c r="C321" s="21">
        <f t="shared" ca="1" si="46"/>
        <v>237.89743941236136</v>
      </c>
      <c r="D321" s="21">
        <f t="shared" ca="1" si="41"/>
        <v>248.19493254141634</v>
      </c>
      <c r="E321" s="21">
        <f t="shared" ca="1" si="42"/>
        <v>10.150244134590167</v>
      </c>
      <c r="F321" s="22">
        <f t="shared" ca="1" si="47"/>
        <v>10.29749312905497</v>
      </c>
      <c r="G321" s="22">
        <f t="shared" ca="1" si="43"/>
        <v>10.42388204033881</v>
      </c>
      <c r="H321" s="31">
        <f t="shared" ca="1" si="48"/>
        <v>0</v>
      </c>
      <c r="I321" s="9">
        <f t="shared" ca="1" si="44"/>
        <v>1310.973477801635</v>
      </c>
      <c r="J321" s="30">
        <f t="shared" ca="1" si="45"/>
        <v>992.19073418780613</v>
      </c>
      <c r="K321" s="122">
        <f t="shared" ca="1" si="49"/>
        <v>318.78274361382887</v>
      </c>
      <c r="L321" s="30"/>
      <c r="M321" s="30"/>
      <c r="N321" s="30"/>
      <c r="O321" s="30"/>
    </row>
    <row r="322" spans="1:15" x14ac:dyDescent="0.25">
      <c r="A322" s="10">
        <v>303</v>
      </c>
      <c r="B322" s="27">
        <f t="shared" ca="1" si="40"/>
        <v>0.80154606826690433</v>
      </c>
      <c r="C322" s="21">
        <f t="shared" ca="1" si="46"/>
        <v>258.47156558729034</v>
      </c>
      <c r="D322" s="21">
        <f t="shared" ca="1" si="41"/>
        <v>258.19792768154173</v>
      </c>
      <c r="E322" s="21">
        <f t="shared" ca="1" si="42"/>
        <v>0</v>
      </c>
      <c r="F322" s="22">
        <f t="shared" ca="1" si="47"/>
        <v>0</v>
      </c>
      <c r="G322" s="22">
        <f t="shared" ca="1" si="43"/>
        <v>0.63104674107009373</v>
      </c>
      <c r="H322" s="31">
        <f t="shared" ca="1" si="48"/>
        <v>0</v>
      </c>
      <c r="I322" s="9">
        <f t="shared" ca="1" si="44"/>
        <v>1364.2622595082335</v>
      </c>
      <c r="J322" s="30">
        <f t="shared" ca="1" si="45"/>
        <v>992.19073418780613</v>
      </c>
      <c r="K322" s="122">
        <f t="shared" ca="1" si="49"/>
        <v>372.07152532042733</v>
      </c>
      <c r="L322" s="30"/>
      <c r="M322" s="30"/>
      <c r="N322" s="30"/>
      <c r="O322" s="30"/>
    </row>
    <row r="323" spans="1:15" x14ac:dyDescent="0.25">
      <c r="A323" s="10">
        <v>304</v>
      </c>
      <c r="B323" s="27">
        <f t="shared" ca="1" si="40"/>
        <v>0.44744193149861089</v>
      </c>
      <c r="C323" s="21">
        <f t="shared" ca="1" si="46"/>
        <v>248.67873028802163</v>
      </c>
      <c r="D323" s="21">
        <f t="shared" ca="1" si="41"/>
        <v>248.04768354695153</v>
      </c>
      <c r="E323" s="21">
        <f t="shared" ca="1" si="42"/>
        <v>0</v>
      </c>
      <c r="F323" s="22">
        <f t="shared" ca="1" si="47"/>
        <v>0</v>
      </c>
      <c r="G323" s="22">
        <f t="shared" ca="1" si="43"/>
        <v>4.3111080696582462</v>
      </c>
      <c r="H323" s="31">
        <f t="shared" ca="1" si="48"/>
        <v>0</v>
      </c>
      <c r="I323" s="9">
        <f t="shared" ca="1" si="44"/>
        <v>1364.2622595082335</v>
      </c>
      <c r="J323" s="30">
        <f t="shared" ca="1" si="45"/>
        <v>992.19073418780613</v>
      </c>
      <c r="K323" s="122">
        <f t="shared" ca="1" si="49"/>
        <v>372.07152532042733</v>
      </c>
      <c r="L323" s="30"/>
      <c r="M323" s="30"/>
      <c r="N323" s="30"/>
      <c r="O323" s="30"/>
    </row>
    <row r="324" spans="1:15" x14ac:dyDescent="0.25">
      <c r="A324" s="10">
        <v>305</v>
      </c>
      <c r="B324" s="27">
        <f t="shared" ca="1" si="40"/>
        <v>0.59323678068447072</v>
      </c>
      <c r="C324" s="21">
        <f t="shared" ca="1" si="46"/>
        <v>252.35879161660978</v>
      </c>
      <c r="D324" s="21">
        <f t="shared" ca="1" si="41"/>
        <v>248.04768354695153</v>
      </c>
      <c r="E324" s="21">
        <f t="shared" ca="1" si="42"/>
        <v>0</v>
      </c>
      <c r="F324" s="22">
        <f t="shared" ca="1" si="47"/>
        <v>0</v>
      </c>
      <c r="G324" s="22">
        <f t="shared" ca="1" si="43"/>
        <v>0</v>
      </c>
      <c r="H324" s="31">
        <f t="shared" ca="1" si="48"/>
        <v>0</v>
      </c>
      <c r="I324" s="9">
        <f t="shared" ca="1" si="44"/>
        <v>1364.2622595082335</v>
      </c>
      <c r="J324" s="30">
        <f t="shared" ca="1" si="45"/>
        <v>992.19073418780613</v>
      </c>
      <c r="K324" s="122">
        <f t="shared" ca="1" si="49"/>
        <v>372.07152532042733</v>
      </c>
      <c r="L324" s="30"/>
      <c r="M324" s="30"/>
      <c r="N324" s="30"/>
      <c r="O324" s="30"/>
    </row>
    <row r="325" spans="1:15" x14ac:dyDescent="0.25">
      <c r="A325" s="10">
        <v>306</v>
      </c>
      <c r="B325" s="27">
        <f t="shared" ca="1" si="40"/>
        <v>0.12265142284586661</v>
      </c>
      <c r="C325" s="21">
        <f t="shared" ca="1" si="46"/>
        <v>238.38165865379381</v>
      </c>
      <c r="D325" s="21">
        <f t="shared" ca="1" si="41"/>
        <v>248.04768354695153</v>
      </c>
      <c r="E325" s="21">
        <f t="shared" ca="1" si="42"/>
        <v>9.6660248931577257</v>
      </c>
      <c r="F325" s="22">
        <f t="shared" ca="1" si="47"/>
        <v>9.6660248931577257</v>
      </c>
      <c r="G325" s="22">
        <f t="shared" ca="1" si="43"/>
        <v>0</v>
      </c>
      <c r="H325" s="31">
        <f t="shared" ca="1" si="48"/>
        <v>9.6660248931577257</v>
      </c>
      <c r="I325" s="9">
        <f t="shared" ca="1" si="44"/>
        <v>1313.5156288191554</v>
      </c>
      <c r="J325" s="30">
        <f t="shared" ca="1" si="45"/>
        <v>1006.6897715275427</v>
      </c>
      <c r="K325" s="122">
        <f t="shared" ca="1" si="49"/>
        <v>306.82585729161269</v>
      </c>
      <c r="L325" s="30"/>
      <c r="M325" s="30"/>
      <c r="N325" s="30"/>
      <c r="O325" s="30"/>
    </row>
    <row r="326" spans="1:15" x14ac:dyDescent="0.25">
      <c r="A326" s="10">
        <v>307</v>
      </c>
      <c r="B326" s="27">
        <f t="shared" ca="1" si="40"/>
        <v>0.32637899426805994</v>
      </c>
      <c r="C326" s="21">
        <f t="shared" ca="1" si="46"/>
        <v>245.50065941330064</v>
      </c>
      <c r="D326" s="21">
        <f t="shared" ca="1" si="41"/>
        <v>257.71370844010926</v>
      </c>
      <c r="E326" s="21">
        <f t="shared" ca="1" si="42"/>
        <v>2.5470241336508934</v>
      </c>
      <c r="F326" s="22">
        <f t="shared" ca="1" si="47"/>
        <v>12.213049026808619</v>
      </c>
      <c r="G326" s="22">
        <f t="shared" ca="1" si="43"/>
        <v>1.8036765086474134</v>
      </c>
      <c r="H326" s="31">
        <f t="shared" ca="1" si="48"/>
        <v>10.409372518161206</v>
      </c>
      <c r="I326" s="9">
        <f t="shared" ca="1" si="44"/>
        <v>1382.1185003610497</v>
      </c>
      <c r="J326" s="30">
        <f t="shared" ca="1" si="45"/>
        <v>1007.8047929650479</v>
      </c>
      <c r="K326" s="122">
        <f t="shared" ca="1" si="49"/>
        <v>374.31370739600175</v>
      </c>
      <c r="L326" s="30"/>
      <c r="M326" s="30"/>
      <c r="N326" s="30"/>
      <c r="O326" s="30"/>
    </row>
    <row r="327" spans="1:15" x14ac:dyDescent="0.25">
      <c r="A327" s="10">
        <v>308</v>
      </c>
      <c r="B327" s="27">
        <f t="shared" ca="1" si="40"/>
        <v>0.49407034251109916</v>
      </c>
      <c r="C327" s="21">
        <f t="shared" ca="1" si="46"/>
        <v>249.85136005559895</v>
      </c>
      <c r="D327" s="21">
        <f t="shared" ca="1" si="41"/>
        <v>250.59470768060243</v>
      </c>
      <c r="E327" s="21">
        <f t="shared" ca="1" si="42"/>
        <v>0</v>
      </c>
      <c r="F327" s="22">
        <f t="shared" ca="1" si="47"/>
        <v>0.74334762500348006</v>
      </c>
      <c r="G327" s="22">
        <f t="shared" ca="1" si="43"/>
        <v>5.0137389325758193</v>
      </c>
      <c r="H327" s="31">
        <f t="shared" ca="1" si="48"/>
        <v>0</v>
      </c>
      <c r="I327" s="9">
        <f t="shared" ca="1" si="44"/>
        <v>1364.2622595082335</v>
      </c>
      <c r="J327" s="30">
        <f t="shared" ca="1" si="45"/>
        <v>992.19073418780613</v>
      </c>
      <c r="K327" s="122">
        <f t="shared" ca="1" si="49"/>
        <v>372.07152532042733</v>
      </c>
      <c r="L327" s="30"/>
      <c r="M327" s="30"/>
      <c r="N327" s="30"/>
      <c r="O327" s="30"/>
    </row>
    <row r="328" spans="1:15" x14ac:dyDescent="0.25">
      <c r="A328" s="10">
        <v>309</v>
      </c>
      <c r="B328" s="27">
        <f t="shared" ca="1" si="40"/>
        <v>0.6202518290286112</v>
      </c>
      <c r="C328" s="21">
        <f t="shared" ca="1" si="46"/>
        <v>253.06142247952735</v>
      </c>
      <c r="D328" s="21">
        <f t="shared" ca="1" si="41"/>
        <v>248.04768354695153</v>
      </c>
      <c r="E328" s="21">
        <f t="shared" ca="1" si="42"/>
        <v>0</v>
      </c>
      <c r="F328" s="22">
        <f t="shared" ca="1" si="47"/>
        <v>0</v>
      </c>
      <c r="G328" s="22">
        <f t="shared" ca="1" si="43"/>
        <v>8.1328184413168856</v>
      </c>
      <c r="H328" s="31">
        <f t="shared" ca="1" si="48"/>
        <v>0</v>
      </c>
      <c r="I328" s="9">
        <f t="shared" ca="1" si="44"/>
        <v>1364.2622595082335</v>
      </c>
      <c r="J328" s="30">
        <f t="shared" ca="1" si="45"/>
        <v>992.19073418780613</v>
      </c>
      <c r="K328" s="122">
        <f t="shared" ca="1" si="49"/>
        <v>372.07152532042733</v>
      </c>
      <c r="L328" s="30"/>
      <c r="M328" s="30"/>
      <c r="N328" s="30"/>
      <c r="O328" s="30"/>
    </row>
    <row r="329" spans="1:15" x14ac:dyDescent="0.25">
      <c r="A329" s="10">
        <v>310</v>
      </c>
      <c r="B329" s="27">
        <f t="shared" ca="1" si="40"/>
        <v>0.73172887555410104</v>
      </c>
      <c r="C329" s="21">
        <f t="shared" ca="1" si="46"/>
        <v>256.18050198826842</v>
      </c>
      <c r="D329" s="21">
        <f t="shared" ca="1" si="41"/>
        <v>248.04768354695153</v>
      </c>
      <c r="E329" s="21">
        <f t="shared" ca="1" si="42"/>
        <v>0</v>
      </c>
      <c r="F329" s="22">
        <f t="shared" ca="1" si="47"/>
        <v>0</v>
      </c>
      <c r="G329" s="22">
        <f t="shared" ca="1" si="43"/>
        <v>0</v>
      </c>
      <c r="H329" s="31">
        <f t="shared" ca="1" si="48"/>
        <v>0</v>
      </c>
      <c r="I329" s="9">
        <f t="shared" ca="1" si="44"/>
        <v>1364.2622595082335</v>
      </c>
      <c r="J329" s="30">
        <f t="shared" ca="1" si="45"/>
        <v>992.19073418780613</v>
      </c>
      <c r="K329" s="122">
        <f t="shared" ca="1" si="49"/>
        <v>372.07152532042733</v>
      </c>
      <c r="L329" s="30"/>
      <c r="M329" s="30"/>
      <c r="N329" s="30"/>
      <c r="O329" s="30"/>
    </row>
    <row r="330" spans="1:15" x14ac:dyDescent="0.25">
      <c r="A330" s="10">
        <v>311</v>
      </c>
      <c r="B330" s="43">
        <f t="shared" ca="1" si="40"/>
        <v>0.29880697512800503</v>
      </c>
      <c r="C330" s="44">
        <f t="shared" ca="1" si="46"/>
        <v>244.72165126597264</v>
      </c>
      <c r="D330" s="44">
        <f t="shared" ca="1" si="41"/>
        <v>248.04768354695153</v>
      </c>
      <c r="E330" s="44">
        <f t="shared" ca="1" si="42"/>
        <v>3.3260322809788931</v>
      </c>
      <c r="F330" s="45">
        <f t="shared" ca="1" si="47"/>
        <v>3.3260322809788931</v>
      </c>
      <c r="G330" s="45">
        <f t="shared" ca="1" si="43"/>
        <v>0</v>
      </c>
      <c r="H330" s="46">
        <f t="shared" ca="1" si="48"/>
        <v>3.3260322809788931</v>
      </c>
      <c r="I330" s="1">
        <f t="shared" ca="1" si="44"/>
        <v>1346.8005900330943</v>
      </c>
      <c r="J330" s="47">
        <f t="shared" ca="1" si="45"/>
        <v>997.17978260927453</v>
      </c>
      <c r="K330" s="123">
        <f t="shared" ca="1" si="49"/>
        <v>349.62080742381977</v>
      </c>
      <c r="L330" s="30"/>
      <c r="M330" s="30"/>
      <c r="N330" s="30"/>
      <c r="O330" s="30"/>
    </row>
    <row r="331" spans="1:15" x14ac:dyDescent="0.25">
      <c r="A331" s="10">
        <v>312</v>
      </c>
      <c r="B331" s="48">
        <f t="shared" ca="1" si="40"/>
        <v>0.12537687114691087</v>
      </c>
      <c r="C331" s="49">
        <f t="shared" ca="1" si="46"/>
        <v>238.51479468815404</v>
      </c>
      <c r="D331" s="49">
        <f t="shared" ca="1" si="41"/>
        <v>251.37371582793043</v>
      </c>
      <c r="E331" s="49">
        <f t="shared" ca="1" si="42"/>
        <v>9.5328888587974916</v>
      </c>
      <c r="F331" s="50">
        <f t="shared" ca="1" si="47"/>
        <v>12.858921139776385</v>
      </c>
      <c r="G331" s="50">
        <f t="shared" ca="1" si="43"/>
        <v>0</v>
      </c>
      <c r="H331" s="51">
        <f t="shared" ca="1" si="48"/>
        <v>12.858921139776385</v>
      </c>
      <c r="I331" s="52">
        <f t="shared" ca="1" si="44"/>
        <v>1324.1926898424831</v>
      </c>
      <c r="J331" s="53">
        <f t="shared" ca="1" si="45"/>
        <v>1011.4791158974707</v>
      </c>
      <c r="K331" s="124">
        <f t="shared" ca="1" si="49"/>
        <v>312.7135739450124</v>
      </c>
      <c r="L331" s="30"/>
      <c r="M331" s="30"/>
      <c r="N331" s="30"/>
      <c r="O331" s="30"/>
    </row>
    <row r="332" spans="1:15" x14ac:dyDescent="0.25">
      <c r="A332" s="10">
        <v>313</v>
      </c>
      <c r="B332" s="27">
        <f t="shared" ca="1" si="40"/>
        <v>2.493271898685645E-3</v>
      </c>
      <c r="C332" s="21">
        <f t="shared" ca="1" si="46"/>
        <v>221.92098251454149</v>
      </c>
      <c r="D332" s="21">
        <f t="shared" ca="1" si="41"/>
        <v>257.58057240574902</v>
      </c>
      <c r="E332" s="21">
        <f t="shared" ca="1" si="42"/>
        <v>26.12670103241004</v>
      </c>
      <c r="F332" s="22">
        <f t="shared" ca="1" si="47"/>
        <v>35.659589891207531</v>
      </c>
      <c r="G332" s="22">
        <f t="shared" ca="1" si="43"/>
        <v>2.7111895257572769</v>
      </c>
      <c r="H332" s="31">
        <f t="shared" ca="1" si="48"/>
        <v>32.948400365450254</v>
      </c>
      <c r="I332" s="9">
        <f t="shared" ca="1" si="44"/>
        <v>1325.9422801844314</v>
      </c>
      <c r="J332" s="30">
        <f t="shared" ca="1" si="45"/>
        <v>1041.6133347359814</v>
      </c>
      <c r="K332" s="122">
        <f t="shared" ca="1" si="49"/>
        <v>284.32894544844999</v>
      </c>
      <c r="L332" s="30"/>
      <c r="M332" s="30"/>
      <c r="N332" s="30"/>
      <c r="O332" s="30"/>
    </row>
    <row r="333" spans="1:15" x14ac:dyDescent="0.25">
      <c r="A333" s="10">
        <v>314</v>
      </c>
      <c r="B333" s="27">
        <f t="shared" ca="1" si="40"/>
        <v>0.53024562246513518</v>
      </c>
      <c r="C333" s="21">
        <f t="shared" ca="1" si="46"/>
        <v>250.75887307270881</v>
      </c>
      <c r="D333" s="21">
        <f t="shared" ca="1" si="41"/>
        <v>274.17438457936157</v>
      </c>
      <c r="E333" s="21">
        <f t="shared" ca="1" si="42"/>
        <v>0</v>
      </c>
      <c r="F333" s="22">
        <f t="shared" ca="1" si="47"/>
        <v>23.415511506652763</v>
      </c>
      <c r="G333" s="22">
        <f t="shared" ca="1" si="43"/>
        <v>0</v>
      </c>
      <c r="H333" s="31">
        <f t="shared" ca="1" si="48"/>
        <v>23.415511506652763</v>
      </c>
      <c r="I333" s="9">
        <f t="shared" ca="1" si="44"/>
        <v>1364.2622595082335</v>
      </c>
      <c r="J333" s="30">
        <f t="shared" ca="1" si="45"/>
        <v>1027.3140014477854</v>
      </c>
      <c r="K333" s="122">
        <f t="shared" ca="1" si="49"/>
        <v>336.9482580604481</v>
      </c>
      <c r="L333" s="30"/>
      <c r="M333" s="30"/>
      <c r="N333" s="30"/>
      <c r="O333" s="30"/>
    </row>
    <row r="334" spans="1:15" x14ac:dyDescent="0.25">
      <c r="A334" s="10">
        <v>315</v>
      </c>
      <c r="B334" s="27">
        <f t="shared" ca="1" si="40"/>
        <v>0.35536382567300628</v>
      </c>
      <c r="C334" s="21">
        <f t="shared" ca="1" si="46"/>
        <v>246.29120992369897</v>
      </c>
      <c r="D334" s="21">
        <f t="shared" ca="1" si="41"/>
        <v>248.04768354695153</v>
      </c>
      <c r="E334" s="21">
        <f t="shared" ca="1" si="42"/>
        <v>1.7564736232525604</v>
      </c>
      <c r="F334" s="22">
        <f t="shared" ca="1" si="47"/>
        <v>1.7564736232525604</v>
      </c>
      <c r="G334" s="22">
        <f t="shared" ca="1" si="43"/>
        <v>5.0600680554132964</v>
      </c>
      <c r="H334" s="31">
        <f t="shared" ca="1" si="48"/>
        <v>0</v>
      </c>
      <c r="I334" s="9">
        <f t="shared" ca="1" si="44"/>
        <v>1355.0407729861574</v>
      </c>
      <c r="J334" s="30">
        <f t="shared" ca="1" si="45"/>
        <v>992.19073418780613</v>
      </c>
      <c r="K334" s="122">
        <f t="shared" ca="1" si="49"/>
        <v>362.85003879835131</v>
      </c>
      <c r="L334" s="30"/>
      <c r="M334" s="30"/>
      <c r="N334" s="30"/>
      <c r="O334" s="30"/>
    </row>
    <row r="335" spans="1:15" x14ac:dyDescent="0.25">
      <c r="A335" s="10">
        <v>316</v>
      </c>
      <c r="B335" s="27">
        <f t="shared" ca="1" si="40"/>
        <v>0.62201422273388651</v>
      </c>
      <c r="C335" s="21">
        <f t="shared" ca="1" si="46"/>
        <v>253.10775160236483</v>
      </c>
      <c r="D335" s="21">
        <f t="shared" ca="1" si="41"/>
        <v>249.80415717020409</v>
      </c>
      <c r="E335" s="21">
        <f t="shared" ca="1" si="42"/>
        <v>0</v>
      </c>
      <c r="F335" s="22">
        <f t="shared" ca="1" si="47"/>
        <v>0</v>
      </c>
      <c r="G335" s="22">
        <f t="shared" ca="1" si="43"/>
        <v>0</v>
      </c>
      <c r="H335" s="31">
        <f t="shared" ca="1" si="48"/>
        <v>0</v>
      </c>
      <c r="I335" s="9">
        <f t="shared" ca="1" si="44"/>
        <v>1364.2622595082335</v>
      </c>
      <c r="J335" s="30">
        <f t="shared" ca="1" si="45"/>
        <v>992.19073418780613</v>
      </c>
      <c r="K335" s="122">
        <f t="shared" ca="1" si="49"/>
        <v>372.07152532042733</v>
      </c>
      <c r="L335" s="30"/>
      <c r="M335" s="30"/>
      <c r="N335" s="30"/>
      <c r="O335" s="30"/>
    </row>
    <row r="336" spans="1:15" x14ac:dyDescent="0.25">
      <c r="A336" s="10">
        <v>317</v>
      </c>
      <c r="B336" s="27">
        <f t="shared" ca="1" si="40"/>
        <v>1.8234509167890267E-2</v>
      </c>
      <c r="C336" s="21">
        <f t="shared" ca="1" si="46"/>
        <v>229.08340862770743</v>
      </c>
      <c r="D336" s="21">
        <f t="shared" ca="1" si="41"/>
        <v>248.04768354695153</v>
      </c>
      <c r="E336" s="21">
        <f t="shared" ca="1" si="42"/>
        <v>18.964274919244104</v>
      </c>
      <c r="F336" s="22">
        <f t="shared" ca="1" si="47"/>
        <v>18.964274919244104</v>
      </c>
      <c r="G336" s="22">
        <f t="shared" ca="1" si="43"/>
        <v>0.48205472835800833</v>
      </c>
      <c r="H336" s="31">
        <f t="shared" ca="1" si="48"/>
        <v>18.482220190886096</v>
      </c>
      <c r="I336" s="9">
        <f t="shared" ca="1" si="44"/>
        <v>1320.14647675486</v>
      </c>
      <c r="J336" s="30">
        <f t="shared" ca="1" si="45"/>
        <v>1019.9140644741353</v>
      </c>
      <c r="K336" s="122">
        <f t="shared" ca="1" si="49"/>
        <v>300.2324122807247</v>
      </c>
      <c r="L336" s="30"/>
      <c r="M336" s="30"/>
      <c r="N336" s="30"/>
      <c r="O336" s="30"/>
    </row>
    <row r="337" spans="1:15" x14ac:dyDescent="0.25">
      <c r="A337" s="10">
        <v>318</v>
      </c>
      <c r="B337" s="27">
        <f t="shared" ca="1" si="40"/>
        <v>0.44155568108142662</v>
      </c>
      <c r="C337" s="21">
        <f t="shared" ca="1" si="46"/>
        <v>248.52973827530954</v>
      </c>
      <c r="D337" s="21">
        <f t="shared" ca="1" si="41"/>
        <v>267.01195846619567</v>
      </c>
      <c r="E337" s="21">
        <f t="shared" ca="1" si="42"/>
        <v>0</v>
      </c>
      <c r="F337" s="22">
        <f t="shared" ca="1" si="47"/>
        <v>18.482220190886125</v>
      </c>
      <c r="G337" s="22">
        <f t="shared" ca="1" si="43"/>
        <v>4.1295282605591126</v>
      </c>
      <c r="H337" s="31">
        <f t="shared" ca="1" si="48"/>
        <v>14.352691930327012</v>
      </c>
      <c r="I337" s="9">
        <f t="shared" ca="1" si="44"/>
        <v>1364.2622595082335</v>
      </c>
      <c r="J337" s="30">
        <f t="shared" ca="1" si="45"/>
        <v>1013.7197720832967</v>
      </c>
      <c r="K337" s="122">
        <f t="shared" ca="1" si="49"/>
        <v>350.54248742493678</v>
      </c>
      <c r="L337" s="30"/>
      <c r="M337" s="30"/>
      <c r="N337" s="30"/>
      <c r="O337" s="30"/>
    </row>
    <row r="338" spans="1:15" x14ac:dyDescent="0.25">
      <c r="A338" s="10">
        <v>319</v>
      </c>
      <c r="B338" s="27">
        <f t="shared" ca="1" si="40"/>
        <v>0.58617682015827299</v>
      </c>
      <c r="C338" s="21">
        <f t="shared" ca="1" si="46"/>
        <v>252.17721180751064</v>
      </c>
      <c r="D338" s="21">
        <f t="shared" ca="1" si="41"/>
        <v>248.04768354695153</v>
      </c>
      <c r="E338" s="21">
        <f t="shared" ca="1" si="42"/>
        <v>0</v>
      </c>
      <c r="F338" s="22">
        <f t="shared" ca="1" si="47"/>
        <v>0</v>
      </c>
      <c r="G338" s="22">
        <f t="shared" ca="1" si="43"/>
        <v>9.8362851367963344</v>
      </c>
      <c r="H338" s="31">
        <f t="shared" ca="1" si="48"/>
        <v>0</v>
      </c>
      <c r="I338" s="9">
        <f t="shared" ca="1" si="44"/>
        <v>1364.2622595082335</v>
      </c>
      <c r="J338" s="30">
        <f t="shared" ca="1" si="45"/>
        <v>992.19073418780613</v>
      </c>
      <c r="K338" s="122">
        <f t="shared" ca="1" si="49"/>
        <v>372.07152532042733</v>
      </c>
      <c r="L338" s="30"/>
      <c r="M338" s="30"/>
      <c r="N338" s="30"/>
      <c r="O338" s="30"/>
    </row>
    <row r="339" spans="1:15" x14ac:dyDescent="0.25">
      <c r="A339" s="10">
        <v>320</v>
      </c>
      <c r="B339" s="27">
        <f t="shared" ca="1" si="40"/>
        <v>0.78476769898702947</v>
      </c>
      <c r="C339" s="21">
        <f t="shared" ca="1" si="46"/>
        <v>257.88396868374787</v>
      </c>
      <c r="D339" s="21">
        <f t="shared" ca="1" si="41"/>
        <v>248.04768354695153</v>
      </c>
      <c r="E339" s="21">
        <f t="shared" ca="1" si="42"/>
        <v>0</v>
      </c>
      <c r="F339" s="22">
        <f t="shared" ca="1" si="47"/>
        <v>0</v>
      </c>
      <c r="G339" s="22">
        <f t="shared" ca="1" si="43"/>
        <v>6.8114159486961796</v>
      </c>
      <c r="H339" s="31">
        <f t="shared" ca="1" si="48"/>
        <v>0</v>
      </c>
      <c r="I339" s="9">
        <f t="shared" ca="1" si="44"/>
        <v>1364.2622595082335</v>
      </c>
      <c r="J339" s="30">
        <f t="shared" ca="1" si="45"/>
        <v>992.19073418780613</v>
      </c>
      <c r="K339" s="122">
        <f t="shared" ca="1" si="49"/>
        <v>372.07152532042733</v>
      </c>
      <c r="L339" s="30"/>
      <c r="M339" s="30"/>
      <c r="N339" s="30"/>
      <c r="O339" s="30"/>
    </row>
    <row r="340" spans="1:15" x14ac:dyDescent="0.25">
      <c r="A340" s="10">
        <v>321</v>
      </c>
      <c r="B340" s="27">
        <f t="shared" ref="B340:B384" ca="1" si="50">RAND()</f>
        <v>0.6864844931192855</v>
      </c>
      <c r="C340" s="21">
        <f t="shared" ca="1" si="46"/>
        <v>254.85909949564771</v>
      </c>
      <c r="D340" s="21">
        <f t="shared" ref="D340:D384" ca="1" si="51">$E$10+E339</f>
        <v>248.04768354695153</v>
      </c>
      <c r="E340" s="21">
        <f t="shared" ref="E340:E384" ca="1" si="52">IF(C340&gt;$E$10,0,$E$10-C340)</f>
        <v>0</v>
      </c>
      <c r="F340" s="22">
        <f t="shared" ca="1" si="47"/>
        <v>0</v>
      </c>
      <c r="G340" s="22">
        <f t="shared" ref="G340:G384" ca="1" si="53">IF(C341&gt;$E$10,C341-$E$10,0)</f>
        <v>3.4596676993099607</v>
      </c>
      <c r="H340" s="31">
        <f t="shared" ca="1" si="48"/>
        <v>0</v>
      </c>
      <c r="I340" s="9">
        <f t="shared" ref="I340:I384" ca="1" si="54">IF($E$10&lt;C340,$E$10*$E$7,$E$9*($E$10-C340)+(C340*$E$7)+IF($E$10&lt;C341,H340*$E$8,E339*$E$8))</f>
        <v>1364.2622595082335</v>
      </c>
      <c r="J340" s="30">
        <f t="shared" ref="J340:J384" ca="1" si="55">IF(H340&gt;0,$E$10*$E$5+H340*$E$6,$E$10*$E$5)</f>
        <v>992.19073418780613</v>
      </c>
      <c r="K340" s="122">
        <f t="shared" ca="1" si="49"/>
        <v>372.07152532042733</v>
      </c>
      <c r="L340" s="30"/>
      <c r="M340" s="30"/>
      <c r="N340" s="30"/>
      <c r="O340" s="30"/>
    </row>
    <row r="341" spans="1:15" x14ac:dyDescent="0.25">
      <c r="A341" s="10">
        <v>322</v>
      </c>
      <c r="B341" s="27">
        <f t="shared" ca="1" si="50"/>
        <v>0.55990766782688028</v>
      </c>
      <c r="C341" s="21">
        <f t="shared" ref="C341:C384" ca="1" si="56">_xlfn.NORM.INV(B341,$D$15,$D$16)</f>
        <v>251.50735124626149</v>
      </c>
      <c r="D341" s="21">
        <f t="shared" ca="1" si="51"/>
        <v>248.04768354695153</v>
      </c>
      <c r="E341" s="21">
        <f t="shared" ca="1" si="52"/>
        <v>0</v>
      </c>
      <c r="F341" s="22">
        <f t="shared" ref="F341:F384" ca="1" si="57">IF(C341&gt;D341,0,D341-C341)</f>
        <v>0</v>
      </c>
      <c r="G341" s="22">
        <f t="shared" ca="1" si="53"/>
        <v>23.180677262227221</v>
      </c>
      <c r="H341" s="31">
        <f t="shared" ref="H341:H384" ca="1" si="58">IF(G341&gt;F341,0,IF(G341&lt;F341,F341-G341,0))</f>
        <v>0</v>
      </c>
      <c r="I341" s="9">
        <f t="shared" ca="1" si="54"/>
        <v>1364.2622595082335</v>
      </c>
      <c r="J341" s="30">
        <f t="shared" ca="1" si="55"/>
        <v>992.19073418780613</v>
      </c>
      <c r="K341" s="122">
        <f t="shared" ref="K341:K384" ca="1" si="59">I341-J341</f>
        <v>372.07152532042733</v>
      </c>
      <c r="L341" s="30"/>
      <c r="M341" s="30"/>
      <c r="N341" s="30"/>
      <c r="O341" s="30"/>
    </row>
    <row r="342" spans="1:15" x14ac:dyDescent="0.25">
      <c r="A342" s="10">
        <v>323</v>
      </c>
      <c r="B342" s="27">
        <f t="shared" ca="1" si="50"/>
        <v>0.98311620489715501</v>
      </c>
      <c r="C342" s="21">
        <f t="shared" ca="1" si="56"/>
        <v>271.22836080917875</v>
      </c>
      <c r="D342" s="21">
        <f t="shared" ca="1" si="51"/>
        <v>248.04768354695153</v>
      </c>
      <c r="E342" s="21">
        <f t="shared" ca="1" si="52"/>
        <v>0</v>
      </c>
      <c r="F342" s="22">
        <f t="shared" ca="1" si="57"/>
        <v>0</v>
      </c>
      <c r="G342" s="22">
        <f t="shared" ca="1" si="53"/>
        <v>21.466926709321228</v>
      </c>
      <c r="H342" s="31">
        <f t="shared" ca="1" si="58"/>
        <v>0</v>
      </c>
      <c r="I342" s="9">
        <f t="shared" ca="1" si="54"/>
        <v>1364.2622595082335</v>
      </c>
      <c r="J342" s="30">
        <f t="shared" ca="1" si="55"/>
        <v>992.19073418780613</v>
      </c>
      <c r="K342" s="122">
        <f t="shared" ca="1" si="59"/>
        <v>372.07152532042733</v>
      </c>
      <c r="L342" s="30"/>
      <c r="M342" s="30"/>
      <c r="N342" s="30"/>
      <c r="O342" s="30"/>
    </row>
    <row r="343" spans="1:15" x14ac:dyDescent="0.25">
      <c r="A343" s="10">
        <v>324</v>
      </c>
      <c r="B343" s="27">
        <f t="shared" ca="1" si="50"/>
        <v>0.97449888592762246</v>
      </c>
      <c r="C343" s="21">
        <f t="shared" ca="1" si="56"/>
        <v>269.51461025627276</v>
      </c>
      <c r="D343" s="21">
        <f t="shared" ca="1" si="51"/>
        <v>248.04768354695153</v>
      </c>
      <c r="E343" s="21">
        <f t="shared" ca="1" si="52"/>
        <v>0</v>
      </c>
      <c r="F343" s="22">
        <f t="shared" ca="1" si="57"/>
        <v>0</v>
      </c>
      <c r="G343" s="22">
        <f t="shared" ca="1" si="53"/>
        <v>5.2527305324026088</v>
      </c>
      <c r="H343" s="31">
        <f t="shared" ca="1" si="58"/>
        <v>0</v>
      </c>
      <c r="I343" s="9">
        <f t="shared" ca="1" si="54"/>
        <v>1364.2622595082335</v>
      </c>
      <c r="J343" s="30">
        <f t="shared" ca="1" si="55"/>
        <v>992.19073418780613</v>
      </c>
      <c r="K343" s="122">
        <f t="shared" ca="1" si="59"/>
        <v>372.07152532042733</v>
      </c>
      <c r="L343" s="30"/>
      <c r="M343" s="30"/>
      <c r="N343" s="30"/>
      <c r="O343" s="30"/>
    </row>
    <row r="344" spans="1:15" x14ac:dyDescent="0.25">
      <c r="A344" s="10">
        <v>325</v>
      </c>
      <c r="B344" s="27">
        <f t="shared" ca="1" si="50"/>
        <v>0.62931566277977846</v>
      </c>
      <c r="C344" s="21">
        <f t="shared" ca="1" si="56"/>
        <v>253.30041407935414</v>
      </c>
      <c r="D344" s="21">
        <f t="shared" ca="1" si="51"/>
        <v>248.04768354695153</v>
      </c>
      <c r="E344" s="21">
        <f t="shared" ca="1" si="52"/>
        <v>0</v>
      </c>
      <c r="F344" s="22">
        <f t="shared" ca="1" si="57"/>
        <v>0</v>
      </c>
      <c r="G344" s="22">
        <f t="shared" ca="1" si="53"/>
        <v>0</v>
      </c>
      <c r="H344" s="31">
        <f t="shared" ca="1" si="58"/>
        <v>0</v>
      </c>
      <c r="I344" s="9">
        <f t="shared" ca="1" si="54"/>
        <v>1364.2622595082335</v>
      </c>
      <c r="J344" s="30">
        <f t="shared" ca="1" si="55"/>
        <v>992.19073418780613</v>
      </c>
      <c r="K344" s="122">
        <f t="shared" ca="1" si="59"/>
        <v>372.07152532042733</v>
      </c>
      <c r="L344" s="30"/>
      <c r="M344" s="30"/>
      <c r="N344" s="30"/>
      <c r="O344" s="30"/>
    </row>
    <row r="345" spans="1:15" x14ac:dyDescent="0.25">
      <c r="A345" s="10">
        <v>326</v>
      </c>
      <c r="B345" s="27">
        <f t="shared" ca="1" si="50"/>
        <v>8.7414513408590855E-2</v>
      </c>
      <c r="C345" s="21">
        <f t="shared" ca="1" si="56"/>
        <v>236.43150472503922</v>
      </c>
      <c r="D345" s="21">
        <f t="shared" ca="1" si="51"/>
        <v>248.04768354695153</v>
      </c>
      <c r="E345" s="21">
        <f t="shared" ca="1" si="52"/>
        <v>11.616178821912314</v>
      </c>
      <c r="F345" s="22">
        <f t="shared" ca="1" si="57"/>
        <v>11.616178821912314</v>
      </c>
      <c r="G345" s="22">
        <f t="shared" ca="1" si="53"/>
        <v>0</v>
      </c>
      <c r="H345" s="31">
        <f t="shared" ca="1" si="58"/>
        <v>11.616178821912314</v>
      </c>
      <c r="I345" s="9">
        <f t="shared" ca="1" si="54"/>
        <v>1303.2773206931938</v>
      </c>
      <c r="J345" s="30">
        <f t="shared" ca="1" si="55"/>
        <v>1009.6150024206746</v>
      </c>
      <c r="K345" s="122">
        <f t="shared" ca="1" si="59"/>
        <v>293.6623182725192</v>
      </c>
      <c r="L345" s="30"/>
      <c r="M345" s="30"/>
      <c r="N345" s="30"/>
      <c r="O345" s="30"/>
    </row>
    <row r="346" spans="1:15" x14ac:dyDescent="0.25">
      <c r="A346" s="10">
        <v>327</v>
      </c>
      <c r="B346" s="27">
        <f t="shared" ca="1" si="50"/>
        <v>0.34831068530314679</v>
      </c>
      <c r="C346" s="21">
        <f t="shared" ca="1" si="56"/>
        <v>246.10114708452673</v>
      </c>
      <c r="D346" s="21">
        <f t="shared" ca="1" si="51"/>
        <v>259.66386236886387</v>
      </c>
      <c r="E346" s="21">
        <f t="shared" ca="1" si="52"/>
        <v>1.9465364624248025</v>
      </c>
      <c r="F346" s="22">
        <f t="shared" ca="1" si="57"/>
        <v>13.562715284337145</v>
      </c>
      <c r="G346" s="22">
        <f t="shared" ca="1" si="53"/>
        <v>0</v>
      </c>
      <c r="H346" s="31">
        <f t="shared" ca="1" si="58"/>
        <v>13.562715284337145</v>
      </c>
      <c r="I346" s="9">
        <f t="shared" ca="1" si="54"/>
        <v>1388.8914795462401</v>
      </c>
      <c r="J346" s="30">
        <f t="shared" ca="1" si="55"/>
        <v>1012.5348071143119</v>
      </c>
      <c r="K346" s="122">
        <f t="shared" ca="1" si="59"/>
        <v>376.35667243192825</v>
      </c>
      <c r="L346" s="30"/>
      <c r="M346" s="30"/>
      <c r="N346" s="30"/>
      <c r="O346" s="30"/>
    </row>
    <row r="347" spans="1:15" x14ac:dyDescent="0.25">
      <c r="A347" s="10">
        <v>328</v>
      </c>
      <c r="B347" s="27">
        <f t="shared" ca="1" si="50"/>
        <v>1.575265773545198E-2</v>
      </c>
      <c r="C347" s="21">
        <f t="shared" ca="1" si="56"/>
        <v>228.49368734109262</v>
      </c>
      <c r="D347" s="21">
        <f t="shared" ca="1" si="51"/>
        <v>249.99422000937633</v>
      </c>
      <c r="E347" s="21">
        <f t="shared" ca="1" si="52"/>
        <v>19.553996205858908</v>
      </c>
      <c r="F347" s="22">
        <f t="shared" ca="1" si="57"/>
        <v>21.500532668283711</v>
      </c>
      <c r="G347" s="22">
        <f t="shared" ca="1" si="53"/>
        <v>8.9332502494806931</v>
      </c>
      <c r="H347" s="31">
        <f t="shared" ca="1" si="58"/>
        <v>12.567282418803018</v>
      </c>
      <c r="I347" s="9">
        <f t="shared" ca="1" si="54"/>
        <v>1299.3056266838832</v>
      </c>
      <c r="J347" s="30">
        <f t="shared" ca="1" si="55"/>
        <v>1011.0416578160107</v>
      </c>
      <c r="K347" s="122">
        <f t="shared" ca="1" si="59"/>
        <v>288.26396886787256</v>
      </c>
      <c r="L347" s="30"/>
      <c r="M347" s="30"/>
      <c r="N347" s="30"/>
      <c r="O347" s="30"/>
    </row>
    <row r="348" spans="1:15" x14ac:dyDescent="0.25">
      <c r="A348" s="10">
        <v>329</v>
      </c>
      <c r="B348" s="27">
        <f t="shared" ca="1" si="50"/>
        <v>0.75744060096829313</v>
      </c>
      <c r="C348" s="21">
        <f t="shared" ca="1" si="56"/>
        <v>256.98093379643223</v>
      </c>
      <c r="D348" s="21">
        <f t="shared" ca="1" si="51"/>
        <v>267.60167975281047</v>
      </c>
      <c r="E348" s="21">
        <f t="shared" ca="1" si="52"/>
        <v>0</v>
      </c>
      <c r="F348" s="22">
        <f t="shared" ca="1" si="57"/>
        <v>10.620745956378244</v>
      </c>
      <c r="G348" s="22">
        <f t="shared" ca="1" si="53"/>
        <v>0</v>
      </c>
      <c r="H348" s="31">
        <f t="shared" ca="1" si="58"/>
        <v>10.620745956378244</v>
      </c>
      <c r="I348" s="9">
        <f t="shared" ca="1" si="54"/>
        <v>1364.2622595082335</v>
      </c>
      <c r="J348" s="30">
        <f t="shared" ca="1" si="55"/>
        <v>1008.1218531223735</v>
      </c>
      <c r="K348" s="122">
        <f t="shared" ca="1" si="59"/>
        <v>356.14040638585993</v>
      </c>
      <c r="L348" s="30"/>
      <c r="M348" s="30"/>
      <c r="N348" s="30"/>
      <c r="O348" s="30"/>
    </row>
    <row r="349" spans="1:15" x14ac:dyDescent="0.25">
      <c r="A349" s="10">
        <v>330</v>
      </c>
      <c r="B349" s="27">
        <f t="shared" ca="1" si="50"/>
        <v>0.23880736065082697</v>
      </c>
      <c r="C349" s="21">
        <f t="shared" ca="1" si="56"/>
        <v>242.89855803112783</v>
      </c>
      <c r="D349" s="21">
        <f t="shared" ca="1" si="51"/>
        <v>248.04768354695153</v>
      </c>
      <c r="E349" s="21">
        <f t="shared" ca="1" si="52"/>
        <v>5.1491255158236982</v>
      </c>
      <c r="F349" s="22">
        <f t="shared" ca="1" si="57"/>
        <v>5.1491255158236982</v>
      </c>
      <c r="G349" s="22">
        <f t="shared" ca="1" si="53"/>
        <v>20.701417952351164</v>
      </c>
      <c r="H349" s="31">
        <f t="shared" ca="1" si="58"/>
        <v>0</v>
      </c>
      <c r="I349" s="9">
        <f t="shared" ca="1" si="54"/>
        <v>1337.2293505501589</v>
      </c>
      <c r="J349" s="30">
        <f t="shared" ca="1" si="55"/>
        <v>992.19073418780613</v>
      </c>
      <c r="K349" s="122">
        <f t="shared" ca="1" si="59"/>
        <v>345.03861636235274</v>
      </c>
      <c r="L349" s="30"/>
      <c r="M349" s="30"/>
      <c r="N349" s="30"/>
      <c r="O349" s="30"/>
    </row>
    <row r="350" spans="1:15" x14ac:dyDescent="0.25">
      <c r="A350" s="10">
        <v>331</v>
      </c>
      <c r="B350" s="27">
        <f t="shared" ca="1" si="50"/>
        <v>0.96959745726243141</v>
      </c>
      <c r="C350" s="21">
        <f t="shared" ca="1" si="56"/>
        <v>268.7491014993027</v>
      </c>
      <c r="D350" s="21">
        <f t="shared" ca="1" si="51"/>
        <v>253.19680906277523</v>
      </c>
      <c r="E350" s="21">
        <f t="shared" ca="1" si="52"/>
        <v>0</v>
      </c>
      <c r="F350" s="22">
        <f t="shared" ca="1" si="57"/>
        <v>0</v>
      </c>
      <c r="G350" s="22">
        <f t="shared" ca="1" si="53"/>
        <v>3.2269001653870362</v>
      </c>
      <c r="H350" s="31">
        <f t="shared" ca="1" si="58"/>
        <v>0</v>
      </c>
      <c r="I350" s="9">
        <f t="shared" ca="1" si="54"/>
        <v>1364.2622595082335</v>
      </c>
      <c r="J350" s="30">
        <f t="shared" ca="1" si="55"/>
        <v>992.19073418780613</v>
      </c>
      <c r="K350" s="122">
        <f t="shared" ca="1" si="59"/>
        <v>372.07152532042733</v>
      </c>
      <c r="L350" s="30"/>
      <c r="M350" s="30"/>
      <c r="N350" s="30"/>
      <c r="O350" s="30"/>
    </row>
    <row r="351" spans="1:15" x14ac:dyDescent="0.25">
      <c r="A351" s="10">
        <v>332</v>
      </c>
      <c r="B351" s="27">
        <f t="shared" ca="1" si="50"/>
        <v>0.55071119033080906</v>
      </c>
      <c r="C351" s="21">
        <f t="shared" ca="1" si="56"/>
        <v>251.27458371233857</v>
      </c>
      <c r="D351" s="21">
        <f t="shared" ca="1" si="51"/>
        <v>248.04768354695153</v>
      </c>
      <c r="E351" s="21">
        <f t="shared" ca="1" si="52"/>
        <v>0</v>
      </c>
      <c r="F351" s="22">
        <f t="shared" ca="1" si="57"/>
        <v>0</v>
      </c>
      <c r="G351" s="22">
        <f t="shared" ca="1" si="53"/>
        <v>2.8465665894292442</v>
      </c>
      <c r="H351" s="31">
        <f t="shared" ca="1" si="58"/>
        <v>0</v>
      </c>
      <c r="I351" s="9">
        <f t="shared" ca="1" si="54"/>
        <v>1364.2622595082335</v>
      </c>
      <c r="J351" s="30">
        <f t="shared" ca="1" si="55"/>
        <v>992.19073418780613</v>
      </c>
      <c r="K351" s="122">
        <f t="shared" ca="1" si="59"/>
        <v>372.07152532042733</v>
      </c>
      <c r="L351" s="30"/>
      <c r="M351" s="30"/>
      <c r="N351" s="30"/>
      <c r="O351" s="30"/>
    </row>
    <row r="352" spans="1:15" x14ac:dyDescent="0.25">
      <c r="A352" s="10">
        <v>333</v>
      </c>
      <c r="B352" s="27">
        <f t="shared" ca="1" si="50"/>
        <v>0.53562792745207444</v>
      </c>
      <c r="C352" s="21">
        <f t="shared" ca="1" si="56"/>
        <v>250.89425013638078</v>
      </c>
      <c r="D352" s="21">
        <f t="shared" ca="1" si="51"/>
        <v>248.04768354695153</v>
      </c>
      <c r="E352" s="21">
        <f t="shared" ca="1" si="52"/>
        <v>0</v>
      </c>
      <c r="F352" s="22">
        <f t="shared" ca="1" si="57"/>
        <v>0</v>
      </c>
      <c r="G352" s="22">
        <f t="shared" ca="1" si="53"/>
        <v>6.5203855503039279</v>
      </c>
      <c r="H352" s="31">
        <f t="shared" ca="1" si="58"/>
        <v>0</v>
      </c>
      <c r="I352" s="9">
        <f t="shared" ca="1" si="54"/>
        <v>1364.2622595082335</v>
      </c>
      <c r="J352" s="30">
        <f t="shared" ca="1" si="55"/>
        <v>992.19073418780613</v>
      </c>
      <c r="K352" s="122">
        <f t="shared" ca="1" si="59"/>
        <v>372.07152532042733</v>
      </c>
      <c r="L352" s="30"/>
      <c r="M352" s="30"/>
      <c r="N352" s="30"/>
      <c r="O352" s="30"/>
    </row>
    <row r="353" spans="1:15" x14ac:dyDescent="0.25">
      <c r="A353" s="10">
        <v>334</v>
      </c>
      <c r="B353" s="27">
        <f t="shared" ca="1" si="50"/>
        <v>0.67609508057699996</v>
      </c>
      <c r="C353" s="21">
        <f t="shared" ca="1" si="56"/>
        <v>254.56806909725546</v>
      </c>
      <c r="D353" s="21">
        <f t="shared" ca="1" si="51"/>
        <v>248.04768354695153</v>
      </c>
      <c r="E353" s="21">
        <f t="shared" ca="1" si="52"/>
        <v>0</v>
      </c>
      <c r="F353" s="22">
        <f t="shared" ca="1" si="57"/>
        <v>0</v>
      </c>
      <c r="G353" s="22">
        <f t="shared" ca="1" si="53"/>
        <v>8.549372997957903</v>
      </c>
      <c r="H353" s="31">
        <f t="shared" ca="1" si="58"/>
        <v>0</v>
      </c>
      <c r="I353" s="9">
        <f t="shared" ca="1" si="54"/>
        <v>1364.2622595082335</v>
      </c>
      <c r="J353" s="30">
        <f t="shared" ca="1" si="55"/>
        <v>992.19073418780613</v>
      </c>
      <c r="K353" s="122">
        <f t="shared" ca="1" si="59"/>
        <v>372.07152532042733</v>
      </c>
      <c r="L353" s="30"/>
      <c r="M353" s="30"/>
      <c r="N353" s="30"/>
      <c r="O353" s="30"/>
    </row>
    <row r="354" spans="1:15" x14ac:dyDescent="0.25">
      <c r="A354" s="10">
        <v>335</v>
      </c>
      <c r="B354" s="27">
        <f t="shared" ca="1" si="50"/>
        <v>0.74527863133596939</v>
      </c>
      <c r="C354" s="21">
        <f t="shared" ca="1" si="56"/>
        <v>256.59705654490944</v>
      </c>
      <c r="D354" s="21">
        <f t="shared" ca="1" si="51"/>
        <v>248.04768354695153</v>
      </c>
      <c r="E354" s="21">
        <f t="shared" ca="1" si="52"/>
        <v>0</v>
      </c>
      <c r="F354" s="22">
        <f t="shared" ca="1" si="57"/>
        <v>0</v>
      </c>
      <c r="G354" s="22">
        <f t="shared" ca="1" si="53"/>
        <v>7.4739141983959598</v>
      </c>
      <c r="H354" s="31">
        <f t="shared" ca="1" si="58"/>
        <v>0</v>
      </c>
      <c r="I354" s="9">
        <f t="shared" ca="1" si="54"/>
        <v>1364.2622595082335</v>
      </c>
      <c r="J354" s="30">
        <f t="shared" ca="1" si="55"/>
        <v>992.19073418780613</v>
      </c>
      <c r="K354" s="122">
        <f t="shared" ca="1" si="59"/>
        <v>372.07152532042733</v>
      </c>
      <c r="L354" s="30"/>
      <c r="M354" s="30"/>
      <c r="N354" s="30"/>
      <c r="O354" s="30"/>
    </row>
    <row r="355" spans="1:15" x14ac:dyDescent="0.25">
      <c r="A355" s="10">
        <v>336</v>
      </c>
      <c r="B355" s="27">
        <f t="shared" ca="1" si="50"/>
        <v>0.70958055429656097</v>
      </c>
      <c r="C355" s="21">
        <f t="shared" ca="1" si="56"/>
        <v>255.52159774534749</v>
      </c>
      <c r="D355" s="21">
        <f t="shared" ca="1" si="51"/>
        <v>248.04768354695153</v>
      </c>
      <c r="E355" s="21">
        <f t="shared" ca="1" si="52"/>
        <v>0</v>
      </c>
      <c r="F355" s="22">
        <f t="shared" ca="1" si="57"/>
        <v>0</v>
      </c>
      <c r="G355" s="22">
        <f t="shared" ca="1" si="53"/>
        <v>0</v>
      </c>
      <c r="H355" s="31">
        <f t="shared" ca="1" si="58"/>
        <v>0</v>
      </c>
      <c r="I355" s="9">
        <f t="shared" ca="1" si="54"/>
        <v>1364.2622595082335</v>
      </c>
      <c r="J355" s="30">
        <f t="shared" ca="1" si="55"/>
        <v>992.19073418780613</v>
      </c>
      <c r="K355" s="122">
        <f t="shared" ca="1" si="59"/>
        <v>372.07152532042733</v>
      </c>
      <c r="L355" s="30"/>
      <c r="M355" s="30"/>
      <c r="N355" s="30"/>
      <c r="O355" s="30"/>
    </row>
    <row r="356" spans="1:15" x14ac:dyDescent="0.25">
      <c r="A356" s="10">
        <v>337</v>
      </c>
      <c r="B356" s="27">
        <f t="shared" ca="1" si="50"/>
        <v>0.17079160514319258</v>
      </c>
      <c r="C356" s="21">
        <f t="shared" ca="1" si="56"/>
        <v>240.48958304715168</v>
      </c>
      <c r="D356" s="21">
        <f t="shared" ca="1" si="51"/>
        <v>248.04768354695153</v>
      </c>
      <c r="E356" s="21">
        <f t="shared" ca="1" si="52"/>
        <v>7.5581004997998491</v>
      </c>
      <c r="F356" s="22">
        <f t="shared" ca="1" si="57"/>
        <v>7.5581004997998491</v>
      </c>
      <c r="G356" s="22">
        <f t="shared" ca="1" si="53"/>
        <v>0</v>
      </c>
      <c r="H356" s="31">
        <f t="shared" ca="1" si="58"/>
        <v>7.5581004997998491</v>
      </c>
      <c r="I356" s="9">
        <f t="shared" ca="1" si="54"/>
        <v>1324.5822318842843</v>
      </c>
      <c r="J356" s="30">
        <f t="shared" ca="1" si="55"/>
        <v>1003.5278849375059</v>
      </c>
      <c r="K356" s="122">
        <f t="shared" ca="1" si="59"/>
        <v>321.05434694677842</v>
      </c>
      <c r="L356" s="30"/>
      <c r="M356" s="30"/>
      <c r="N356" s="30"/>
      <c r="O356" s="30"/>
    </row>
    <row r="357" spans="1:15" x14ac:dyDescent="0.25">
      <c r="A357" s="10">
        <v>338</v>
      </c>
      <c r="B357" s="27">
        <f t="shared" ca="1" si="50"/>
        <v>0.14247711770756677</v>
      </c>
      <c r="C357" s="21">
        <f t="shared" ca="1" si="56"/>
        <v>239.30743787372148</v>
      </c>
      <c r="D357" s="21">
        <f t="shared" ca="1" si="51"/>
        <v>255.60578404675138</v>
      </c>
      <c r="E357" s="21">
        <f t="shared" ca="1" si="52"/>
        <v>8.7402456732300493</v>
      </c>
      <c r="F357" s="22">
        <f t="shared" ca="1" si="57"/>
        <v>16.298346173029898</v>
      </c>
      <c r="G357" s="22">
        <f t="shared" ca="1" si="53"/>
        <v>0</v>
      </c>
      <c r="H357" s="31">
        <f t="shared" ca="1" si="58"/>
        <v>16.298346173029898</v>
      </c>
      <c r="I357" s="9">
        <f t="shared" ca="1" si="54"/>
        <v>1341.0502712231751</v>
      </c>
      <c r="J357" s="30">
        <f t="shared" ca="1" si="55"/>
        <v>1016.638253447351</v>
      </c>
      <c r="K357" s="122">
        <f t="shared" ca="1" si="59"/>
        <v>324.4120177758241</v>
      </c>
      <c r="L357" s="30"/>
      <c r="M357" s="30"/>
      <c r="N357" s="30"/>
      <c r="O357" s="30"/>
    </row>
    <row r="358" spans="1:15" x14ac:dyDescent="0.25">
      <c r="A358" s="10">
        <v>339</v>
      </c>
      <c r="B358" s="27">
        <f t="shared" ca="1" si="50"/>
        <v>0.14287898453339376</v>
      </c>
      <c r="C358" s="21">
        <f t="shared" ca="1" si="56"/>
        <v>239.32526267718549</v>
      </c>
      <c r="D358" s="21">
        <f t="shared" ca="1" si="51"/>
        <v>256.78792922018158</v>
      </c>
      <c r="E358" s="21">
        <f t="shared" ca="1" si="52"/>
        <v>8.7224208697660401</v>
      </c>
      <c r="F358" s="22">
        <f t="shared" ca="1" si="57"/>
        <v>17.462666542996089</v>
      </c>
      <c r="G358" s="22">
        <f t="shared" ca="1" si="53"/>
        <v>1.363770481998813</v>
      </c>
      <c r="H358" s="31">
        <f t="shared" ca="1" si="58"/>
        <v>16.098896060997276</v>
      </c>
      <c r="I358" s="9">
        <f t="shared" ca="1" si="54"/>
        <v>1366.7662381249536</v>
      </c>
      <c r="J358" s="30">
        <f t="shared" ca="1" si="55"/>
        <v>1016.339078279302</v>
      </c>
      <c r="K358" s="122">
        <f t="shared" ca="1" si="59"/>
        <v>350.42715984565154</v>
      </c>
      <c r="L358" s="30"/>
      <c r="M358" s="30"/>
      <c r="N358" s="30"/>
      <c r="O358" s="30"/>
    </row>
    <row r="359" spans="1:15" x14ac:dyDescent="0.25">
      <c r="A359" s="10">
        <v>340</v>
      </c>
      <c r="B359" s="27">
        <f t="shared" ca="1" si="50"/>
        <v>0.47653396079339694</v>
      </c>
      <c r="C359" s="21">
        <f t="shared" ca="1" si="56"/>
        <v>249.41145402895035</v>
      </c>
      <c r="D359" s="21">
        <f t="shared" ca="1" si="51"/>
        <v>256.77010441671757</v>
      </c>
      <c r="E359" s="21">
        <f t="shared" ca="1" si="52"/>
        <v>0</v>
      </c>
      <c r="F359" s="22">
        <f t="shared" ca="1" si="57"/>
        <v>7.3586503877672271</v>
      </c>
      <c r="G359" s="22">
        <f t="shared" ca="1" si="53"/>
        <v>20.323387088403194</v>
      </c>
      <c r="H359" s="31">
        <f t="shared" ca="1" si="58"/>
        <v>0</v>
      </c>
      <c r="I359" s="9">
        <f t="shared" ca="1" si="54"/>
        <v>1364.2622595082335</v>
      </c>
      <c r="J359" s="30">
        <f t="shared" ca="1" si="55"/>
        <v>992.19073418780613</v>
      </c>
      <c r="K359" s="122">
        <f t="shared" ca="1" si="59"/>
        <v>372.07152532042733</v>
      </c>
      <c r="L359" s="30"/>
      <c r="M359" s="30"/>
      <c r="N359" s="30"/>
      <c r="O359" s="30"/>
    </row>
    <row r="360" spans="1:15" x14ac:dyDescent="0.25">
      <c r="A360" s="10">
        <v>341</v>
      </c>
      <c r="B360" s="27">
        <f t="shared" ca="1" si="50"/>
        <v>0.96690295418939898</v>
      </c>
      <c r="C360" s="21">
        <f t="shared" ca="1" si="56"/>
        <v>268.37107063535473</v>
      </c>
      <c r="D360" s="21">
        <f t="shared" ca="1" si="51"/>
        <v>248.04768354695153</v>
      </c>
      <c r="E360" s="21">
        <f t="shared" ca="1" si="52"/>
        <v>0</v>
      </c>
      <c r="F360" s="22">
        <f t="shared" ca="1" si="57"/>
        <v>0</v>
      </c>
      <c r="G360" s="22">
        <f t="shared" ca="1" si="53"/>
        <v>12.396451424234783</v>
      </c>
      <c r="H360" s="31">
        <f t="shared" ca="1" si="58"/>
        <v>0</v>
      </c>
      <c r="I360" s="9">
        <f t="shared" ca="1" si="54"/>
        <v>1364.2622595082335</v>
      </c>
      <c r="J360" s="30">
        <f t="shared" ca="1" si="55"/>
        <v>992.19073418780613</v>
      </c>
      <c r="K360" s="122">
        <f t="shared" ca="1" si="59"/>
        <v>372.07152532042733</v>
      </c>
      <c r="L360" s="30"/>
      <c r="M360" s="30"/>
      <c r="N360" s="30"/>
      <c r="O360" s="30"/>
    </row>
    <row r="361" spans="1:15" x14ac:dyDescent="0.25">
      <c r="A361" s="10">
        <v>342</v>
      </c>
      <c r="B361" s="27">
        <f t="shared" ca="1" si="50"/>
        <v>0.85185293915931237</v>
      </c>
      <c r="C361" s="21">
        <f t="shared" ca="1" si="56"/>
        <v>260.44413497118632</v>
      </c>
      <c r="D361" s="21">
        <f t="shared" ca="1" si="51"/>
        <v>248.04768354695153</v>
      </c>
      <c r="E361" s="21">
        <f t="shared" ca="1" si="52"/>
        <v>0</v>
      </c>
      <c r="F361" s="22">
        <f t="shared" ca="1" si="57"/>
        <v>0</v>
      </c>
      <c r="G361" s="22">
        <f t="shared" ca="1" si="53"/>
        <v>10.503471880019276</v>
      </c>
      <c r="H361" s="31">
        <f t="shared" ca="1" si="58"/>
        <v>0</v>
      </c>
      <c r="I361" s="9">
        <f t="shared" ca="1" si="54"/>
        <v>1364.2622595082335</v>
      </c>
      <c r="J361" s="30">
        <f t="shared" ca="1" si="55"/>
        <v>992.19073418780613</v>
      </c>
      <c r="K361" s="122">
        <f t="shared" ca="1" si="59"/>
        <v>372.07152532042733</v>
      </c>
      <c r="L361" s="30"/>
      <c r="M361" s="30"/>
      <c r="N361" s="30"/>
      <c r="O361" s="30"/>
    </row>
    <row r="362" spans="1:15" x14ac:dyDescent="0.25">
      <c r="A362" s="10">
        <v>343</v>
      </c>
      <c r="B362" s="27">
        <f t="shared" ca="1" si="50"/>
        <v>0.80375640705277362</v>
      </c>
      <c r="C362" s="21">
        <f t="shared" ca="1" si="56"/>
        <v>258.55115542697081</v>
      </c>
      <c r="D362" s="21">
        <f t="shared" ca="1" si="51"/>
        <v>248.04768354695153</v>
      </c>
      <c r="E362" s="21">
        <f t="shared" ca="1" si="52"/>
        <v>0</v>
      </c>
      <c r="F362" s="22">
        <f t="shared" ca="1" si="57"/>
        <v>0</v>
      </c>
      <c r="G362" s="22">
        <f t="shared" ca="1" si="53"/>
        <v>0.23835893470396741</v>
      </c>
      <c r="H362" s="31">
        <f t="shared" ca="1" si="58"/>
        <v>0</v>
      </c>
      <c r="I362" s="9">
        <f t="shared" ca="1" si="54"/>
        <v>1364.2622595082335</v>
      </c>
      <c r="J362" s="30">
        <f t="shared" ca="1" si="55"/>
        <v>992.19073418780613</v>
      </c>
      <c r="K362" s="122">
        <f t="shared" ca="1" si="59"/>
        <v>372.07152532042733</v>
      </c>
      <c r="L362" s="30"/>
      <c r="M362" s="30"/>
      <c r="N362" s="30"/>
      <c r="O362" s="30"/>
    </row>
    <row r="363" spans="1:15" x14ac:dyDescent="0.25">
      <c r="A363" s="10">
        <v>344</v>
      </c>
      <c r="B363" s="43">
        <f t="shared" ca="1" si="50"/>
        <v>0.43195629745029129</v>
      </c>
      <c r="C363" s="44">
        <f t="shared" ca="1" si="56"/>
        <v>248.2860424816555</v>
      </c>
      <c r="D363" s="44">
        <f t="shared" ca="1" si="51"/>
        <v>248.04768354695153</v>
      </c>
      <c r="E363" s="44">
        <f t="shared" ca="1" si="52"/>
        <v>0</v>
      </c>
      <c r="F363" s="45">
        <f t="shared" ca="1" si="57"/>
        <v>0</v>
      </c>
      <c r="G363" s="45">
        <f t="shared" ca="1" si="53"/>
        <v>17.493688973687995</v>
      </c>
      <c r="H363" s="46">
        <f t="shared" ca="1" si="58"/>
        <v>0</v>
      </c>
      <c r="I363" s="1">
        <f t="shared" ca="1" si="54"/>
        <v>1364.2622595082335</v>
      </c>
      <c r="J363" s="47">
        <f t="shared" ca="1" si="55"/>
        <v>992.19073418780613</v>
      </c>
      <c r="K363" s="123">
        <f t="shared" ca="1" si="59"/>
        <v>372.07152532042733</v>
      </c>
      <c r="L363" s="30"/>
      <c r="M363" s="30"/>
      <c r="N363" s="30"/>
      <c r="O363" s="30"/>
    </row>
    <row r="364" spans="1:15" x14ac:dyDescent="0.25">
      <c r="A364" s="10">
        <v>345</v>
      </c>
      <c r="B364" s="48">
        <f t="shared" ca="1" si="50"/>
        <v>0.93992415948479535</v>
      </c>
      <c r="C364" s="49">
        <f t="shared" ca="1" si="56"/>
        <v>265.54137252063953</v>
      </c>
      <c r="D364" s="49">
        <f t="shared" ca="1" si="51"/>
        <v>248.04768354695153</v>
      </c>
      <c r="E364" s="49">
        <f t="shared" ca="1" si="52"/>
        <v>0</v>
      </c>
      <c r="F364" s="50">
        <f t="shared" ca="1" si="57"/>
        <v>0</v>
      </c>
      <c r="G364" s="50">
        <f t="shared" ca="1" si="53"/>
        <v>5.5568203984644811</v>
      </c>
      <c r="H364" s="51">
        <f t="shared" ca="1" si="58"/>
        <v>0</v>
      </c>
      <c r="I364" s="52">
        <f t="shared" ca="1" si="54"/>
        <v>1364.2622595082335</v>
      </c>
      <c r="J364" s="53">
        <f t="shared" ca="1" si="55"/>
        <v>992.19073418780613</v>
      </c>
      <c r="K364" s="124">
        <f t="shared" ca="1" si="59"/>
        <v>372.07152532042733</v>
      </c>
      <c r="L364" s="30"/>
      <c r="M364" s="30"/>
      <c r="N364" s="30"/>
      <c r="O364" s="30"/>
    </row>
    <row r="365" spans="1:15" x14ac:dyDescent="0.25">
      <c r="A365" s="10">
        <v>346</v>
      </c>
      <c r="B365" s="27">
        <f t="shared" ca="1" si="50"/>
        <v>0.64074482685579237</v>
      </c>
      <c r="C365" s="21">
        <f t="shared" ca="1" si="56"/>
        <v>253.60450394541601</v>
      </c>
      <c r="D365" s="21">
        <f t="shared" ca="1" si="51"/>
        <v>248.04768354695153</v>
      </c>
      <c r="E365" s="21">
        <f t="shared" ca="1" si="52"/>
        <v>0</v>
      </c>
      <c r="F365" s="22">
        <f t="shared" ca="1" si="57"/>
        <v>0</v>
      </c>
      <c r="G365" s="22">
        <f t="shared" ca="1" si="53"/>
        <v>16.685085887021273</v>
      </c>
      <c r="H365" s="31">
        <f t="shared" ca="1" si="58"/>
        <v>0</v>
      </c>
      <c r="I365" s="9">
        <f t="shared" ca="1" si="54"/>
        <v>1364.2622595082335</v>
      </c>
      <c r="J365" s="30">
        <f t="shared" ca="1" si="55"/>
        <v>992.19073418780613</v>
      </c>
      <c r="K365" s="122">
        <f t="shared" ca="1" si="59"/>
        <v>372.07152532042733</v>
      </c>
      <c r="L365" s="30"/>
      <c r="M365" s="30"/>
      <c r="N365" s="30"/>
      <c r="O365" s="30"/>
    </row>
    <row r="366" spans="1:15" x14ac:dyDescent="0.25">
      <c r="A366" s="10">
        <v>347</v>
      </c>
      <c r="B366" s="27">
        <f t="shared" ca="1" si="50"/>
        <v>0.92966181244064694</v>
      </c>
      <c r="C366" s="21">
        <f t="shared" ca="1" si="56"/>
        <v>264.73276943397281</v>
      </c>
      <c r="D366" s="21">
        <f t="shared" ca="1" si="51"/>
        <v>248.04768354695153</v>
      </c>
      <c r="E366" s="21">
        <f t="shared" ca="1" si="52"/>
        <v>0</v>
      </c>
      <c r="F366" s="22">
        <f t="shared" ca="1" si="57"/>
        <v>0</v>
      </c>
      <c r="G366" s="22">
        <f t="shared" ca="1" si="53"/>
        <v>11.202647484596696</v>
      </c>
      <c r="H366" s="31">
        <f t="shared" ca="1" si="58"/>
        <v>0</v>
      </c>
      <c r="I366" s="9">
        <f t="shared" ca="1" si="54"/>
        <v>1364.2622595082335</v>
      </c>
      <c r="J366" s="30">
        <f t="shared" ca="1" si="55"/>
        <v>992.19073418780613</v>
      </c>
      <c r="K366" s="122">
        <f t="shared" ca="1" si="59"/>
        <v>372.07152532042733</v>
      </c>
      <c r="L366" s="30"/>
      <c r="M366" s="30"/>
      <c r="N366" s="30"/>
      <c r="O366" s="30"/>
    </row>
    <row r="367" spans="1:15" x14ac:dyDescent="0.25">
      <c r="A367" s="10">
        <v>348</v>
      </c>
      <c r="B367" s="27">
        <f t="shared" ca="1" si="50"/>
        <v>0.82252565574234127</v>
      </c>
      <c r="C367" s="21">
        <f t="shared" ca="1" si="56"/>
        <v>259.25033103154823</v>
      </c>
      <c r="D367" s="21">
        <f t="shared" ca="1" si="51"/>
        <v>248.04768354695153</v>
      </c>
      <c r="E367" s="21">
        <f t="shared" ca="1" si="52"/>
        <v>0</v>
      </c>
      <c r="F367" s="22">
        <f t="shared" ca="1" si="57"/>
        <v>0</v>
      </c>
      <c r="G367" s="22">
        <f t="shared" ca="1" si="53"/>
        <v>13.45164968145167</v>
      </c>
      <c r="H367" s="31">
        <f t="shared" ca="1" si="58"/>
        <v>0</v>
      </c>
      <c r="I367" s="9">
        <f t="shared" ca="1" si="54"/>
        <v>1364.2622595082335</v>
      </c>
      <c r="J367" s="30">
        <f t="shared" ca="1" si="55"/>
        <v>992.19073418780613</v>
      </c>
      <c r="K367" s="122">
        <f t="shared" ca="1" si="59"/>
        <v>372.07152532042733</v>
      </c>
      <c r="L367" s="30"/>
      <c r="M367" s="30"/>
      <c r="N367" s="30"/>
      <c r="O367" s="30"/>
    </row>
    <row r="368" spans="1:15" x14ac:dyDescent="0.25">
      <c r="A368" s="10">
        <v>349</v>
      </c>
      <c r="B368" s="27">
        <f t="shared" ca="1" si="50"/>
        <v>0.8749143325909261</v>
      </c>
      <c r="C368" s="21">
        <f t="shared" ca="1" si="56"/>
        <v>261.4993332284032</v>
      </c>
      <c r="D368" s="21">
        <f t="shared" ca="1" si="51"/>
        <v>248.04768354695153</v>
      </c>
      <c r="E368" s="21">
        <f t="shared" ca="1" si="52"/>
        <v>0</v>
      </c>
      <c r="F368" s="22">
        <f t="shared" ca="1" si="57"/>
        <v>0</v>
      </c>
      <c r="G368" s="22">
        <f t="shared" ca="1" si="53"/>
        <v>0</v>
      </c>
      <c r="H368" s="31">
        <f t="shared" ca="1" si="58"/>
        <v>0</v>
      </c>
      <c r="I368" s="9">
        <f t="shared" ca="1" si="54"/>
        <v>1364.2622595082335</v>
      </c>
      <c r="J368" s="30">
        <f t="shared" ca="1" si="55"/>
        <v>992.19073418780613</v>
      </c>
      <c r="K368" s="122">
        <f t="shared" ca="1" si="59"/>
        <v>372.07152532042733</v>
      </c>
      <c r="L368" s="30"/>
      <c r="M368" s="30"/>
      <c r="N368" s="30"/>
      <c r="O368" s="30"/>
    </row>
    <row r="369" spans="1:19" x14ac:dyDescent="0.25">
      <c r="A369" s="10">
        <v>350</v>
      </c>
      <c r="B369" s="27">
        <f t="shared" ca="1" si="50"/>
        <v>6.420004726068651E-2</v>
      </c>
      <c r="C369" s="21">
        <f t="shared" ca="1" si="56"/>
        <v>234.79558673316794</v>
      </c>
      <c r="D369" s="21">
        <f t="shared" ca="1" si="51"/>
        <v>248.04768354695153</v>
      </c>
      <c r="E369" s="21">
        <f t="shared" ca="1" si="52"/>
        <v>13.252096813783595</v>
      </c>
      <c r="F369" s="22">
        <f t="shared" ca="1" si="57"/>
        <v>13.252096813783595</v>
      </c>
      <c r="G369" s="22">
        <f t="shared" ca="1" si="53"/>
        <v>9.3824274515170032</v>
      </c>
      <c r="H369" s="31">
        <f t="shared" ca="1" si="58"/>
        <v>3.8696693622665919</v>
      </c>
      <c r="I369" s="9">
        <f t="shared" ca="1" si="54"/>
        <v>1306.2977593226692</v>
      </c>
      <c r="J369" s="30">
        <f t="shared" ca="1" si="55"/>
        <v>997.99523823120603</v>
      </c>
      <c r="K369" s="122">
        <f t="shared" ca="1" si="59"/>
        <v>308.30252109146318</v>
      </c>
      <c r="L369" s="30"/>
      <c r="M369" s="30"/>
      <c r="N369" s="30"/>
      <c r="O369" s="30"/>
    </row>
    <row r="370" spans="1:19" x14ac:dyDescent="0.25">
      <c r="A370" s="10">
        <v>351</v>
      </c>
      <c r="B370" s="27">
        <f t="shared" ca="1" si="50"/>
        <v>0.77126251986226946</v>
      </c>
      <c r="C370" s="21">
        <f t="shared" ca="1" si="56"/>
        <v>257.43011099846854</v>
      </c>
      <c r="D370" s="21">
        <f t="shared" ca="1" si="51"/>
        <v>261.2997803607351</v>
      </c>
      <c r="E370" s="21">
        <f t="shared" ca="1" si="52"/>
        <v>0</v>
      </c>
      <c r="F370" s="22">
        <f t="shared" ca="1" si="57"/>
        <v>3.8696693622665634</v>
      </c>
      <c r="G370" s="22">
        <f t="shared" ca="1" si="53"/>
        <v>6.8056774744992765</v>
      </c>
      <c r="H370" s="31">
        <f t="shared" ca="1" si="58"/>
        <v>0</v>
      </c>
      <c r="I370" s="9">
        <f t="shared" ca="1" si="54"/>
        <v>1364.2622595082335</v>
      </c>
      <c r="J370" s="30">
        <f t="shared" ca="1" si="55"/>
        <v>992.19073418780613</v>
      </c>
      <c r="K370" s="122">
        <f t="shared" ca="1" si="59"/>
        <v>372.07152532042733</v>
      </c>
      <c r="L370" s="30"/>
      <c r="M370" s="30"/>
      <c r="N370" s="30"/>
      <c r="O370" s="30"/>
    </row>
    <row r="371" spans="1:19" x14ac:dyDescent="0.25">
      <c r="A371" s="10">
        <v>352</v>
      </c>
      <c r="B371" s="27">
        <f t="shared" ca="1" si="50"/>
        <v>0.68628102483606634</v>
      </c>
      <c r="C371" s="21">
        <f t="shared" ca="1" si="56"/>
        <v>254.85336102145081</v>
      </c>
      <c r="D371" s="21">
        <f t="shared" ca="1" si="51"/>
        <v>248.04768354695153</v>
      </c>
      <c r="E371" s="21">
        <f t="shared" ca="1" si="52"/>
        <v>0</v>
      </c>
      <c r="F371" s="22">
        <f t="shared" ca="1" si="57"/>
        <v>0</v>
      </c>
      <c r="G371" s="22">
        <f t="shared" ca="1" si="53"/>
        <v>0</v>
      </c>
      <c r="H371" s="31">
        <f t="shared" ca="1" si="58"/>
        <v>0</v>
      </c>
      <c r="I371" s="9">
        <f t="shared" ca="1" si="54"/>
        <v>1364.2622595082335</v>
      </c>
      <c r="J371" s="30">
        <f t="shared" ca="1" si="55"/>
        <v>992.19073418780613</v>
      </c>
      <c r="K371" s="122">
        <f t="shared" ca="1" si="59"/>
        <v>372.07152532042733</v>
      </c>
      <c r="L371" s="30"/>
      <c r="M371" s="30"/>
      <c r="N371" s="30"/>
      <c r="O371" s="30"/>
    </row>
    <row r="372" spans="1:19" x14ac:dyDescent="0.25">
      <c r="A372" s="10">
        <v>353</v>
      </c>
      <c r="B372" s="27">
        <f t="shared" ca="1" si="50"/>
        <v>0.29390449342434766</v>
      </c>
      <c r="C372" s="21">
        <f t="shared" ca="1" si="56"/>
        <v>244.579861820216</v>
      </c>
      <c r="D372" s="21">
        <f t="shared" ca="1" si="51"/>
        <v>248.04768354695153</v>
      </c>
      <c r="E372" s="21">
        <f t="shared" ca="1" si="52"/>
        <v>3.4678217267355365</v>
      </c>
      <c r="F372" s="22">
        <f t="shared" ca="1" si="57"/>
        <v>3.4678217267355365</v>
      </c>
      <c r="G372" s="22">
        <f t="shared" ca="1" si="53"/>
        <v>0</v>
      </c>
      <c r="H372" s="31">
        <f t="shared" ca="1" si="58"/>
        <v>3.4678217267355365</v>
      </c>
      <c r="I372" s="9">
        <f t="shared" ca="1" si="54"/>
        <v>1346.056195442872</v>
      </c>
      <c r="J372" s="30">
        <f t="shared" ca="1" si="55"/>
        <v>997.39246677790948</v>
      </c>
      <c r="K372" s="122">
        <f t="shared" ca="1" si="59"/>
        <v>348.66372866496249</v>
      </c>
      <c r="L372" s="30"/>
      <c r="M372" s="30"/>
      <c r="N372" s="30"/>
      <c r="O372" s="30"/>
    </row>
    <row r="373" spans="1:19" x14ac:dyDescent="0.25">
      <c r="A373" s="10">
        <v>354</v>
      </c>
      <c r="B373" s="27">
        <f t="shared" ca="1" si="50"/>
        <v>4.338907994411545E-2</v>
      </c>
      <c r="C373" s="21">
        <f t="shared" ca="1" si="56"/>
        <v>232.87356578881466</v>
      </c>
      <c r="D373" s="21">
        <f t="shared" ca="1" si="51"/>
        <v>251.51550527368707</v>
      </c>
      <c r="E373" s="21">
        <f t="shared" ca="1" si="52"/>
        <v>15.174117758136873</v>
      </c>
      <c r="F373" s="22">
        <f t="shared" ca="1" si="57"/>
        <v>18.64193948487241</v>
      </c>
      <c r="G373" s="22">
        <f t="shared" ca="1" si="53"/>
        <v>11.925474792214743</v>
      </c>
      <c r="H373" s="31">
        <f t="shared" ca="1" si="58"/>
        <v>6.7164646926576665</v>
      </c>
      <c r="I373" s="9">
        <f t="shared" ca="1" si="54"/>
        <v>1304.747535355988</v>
      </c>
      <c r="J373" s="30">
        <f t="shared" ca="1" si="55"/>
        <v>1002.2654312267927</v>
      </c>
      <c r="K373" s="122">
        <f t="shared" ca="1" si="59"/>
        <v>302.48210412919536</v>
      </c>
      <c r="L373" s="30"/>
      <c r="M373" s="30"/>
      <c r="N373" s="30"/>
      <c r="O373" s="30"/>
    </row>
    <row r="374" spans="1:19" x14ac:dyDescent="0.25">
      <c r="A374" s="10">
        <v>355</v>
      </c>
      <c r="B374" s="27">
        <f t="shared" ca="1" si="50"/>
        <v>0.84069438478867387</v>
      </c>
      <c r="C374" s="21">
        <f t="shared" ca="1" si="56"/>
        <v>259.97315833916628</v>
      </c>
      <c r="D374" s="21">
        <f t="shared" ca="1" si="51"/>
        <v>263.22180130508843</v>
      </c>
      <c r="E374" s="21">
        <f t="shared" ca="1" si="52"/>
        <v>0</v>
      </c>
      <c r="F374" s="22">
        <f t="shared" ca="1" si="57"/>
        <v>3.2486429659221585</v>
      </c>
      <c r="G374" s="22">
        <f t="shared" ca="1" si="53"/>
        <v>10.32799378754811</v>
      </c>
      <c r="H374" s="31">
        <f t="shared" ca="1" si="58"/>
        <v>0</v>
      </c>
      <c r="I374" s="9">
        <f t="shared" ca="1" si="54"/>
        <v>1364.2622595082335</v>
      </c>
      <c r="J374" s="30">
        <f t="shared" ca="1" si="55"/>
        <v>992.19073418780613</v>
      </c>
      <c r="K374" s="122">
        <f t="shared" ca="1" si="59"/>
        <v>372.07152532042733</v>
      </c>
      <c r="L374" s="30"/>
      <c r="M374" s="30"/>
      <c r="N374" s="30"/>
      <c r="O374" s="30"/>
    </row>
    <row r="375" spans="1:19" x14ac:dyDescent="0.25">
      <c r="A375" s="10">
        <v>356</v>
      </c>
      <c r="B375" s="27">
        <f t="shared" ca="1" si="50"/>
        <v>0.79886323949813276</v>
      </c>
      <c r="C375" s="21">
        <f t="shared" ca="1" si="56"/>
        <v>258.37567733449964</v>
      </c>
      <c r="D375" s="21">
        <f t="shared" ca="1" si="51"/>
        <v>248.04768354695153</v>
      </c>
      <c r="E375" s="21">
        <f t="shared" ca="1" si="52"/>
        <v>0</v>
      </c>
      <c r="F375" s="22">
        <f t="shared" ca="1" si="57"/>
        <v>0</v>
      </c>
      <c r="G375" s="22">
        <f t="shared" ca="1" si="53"/>
        <v>0</v>
      </c>
      <c r="H375" s="31">
        <f t="shared" ca="1" si="58"/>
        <v>0</v>
      </c>
      <c r="I375" s="9">
        <f t="shared" ca="1" si="54"/>
        <v>1364.2622595082335</v>
      </c>
      <c r="J375" s="30">
        <f t="shared" ca="1" si="55"/>
        <v>992.19073418780613</v>
      </c>
      <c r="K375" s="122">
        <f t="shared" ca="1" si="59"/>
        <v>372.07152532042733</v>
      </c>
      <c r="L375" s="30"/>
      <c r="M375" s="30"/>
      <c r="N375" s="30"/>
      <c r="O375" s="30"/>
    </row>
    <row r="376" spans="1:19" x14ac:dyDescent="0.25">
      <c r="A376" s="10">
        <v>357</v>
      </c>
      <c r="B376" s="27">
        <f t="shared" ca="1" si="50"/>
        <v>0.3703000641201406</v>
      </c>
      <c r="C376" s="21">
        <f t="shared" ca="1" si="56"/>
        <v>246.68941275375735</v>
      </c>
      <c r="D376" s="21">
        <f t="shared" ca="1" si="51"/>
        <v>248.04768354695153</v>
      </c>
      <c r="E376" s="21">
        <f t="shared" ca="1" si="52"/>
        <v>1.3582707931941798</v>
      </c>
      <c r="F376" s="22">
        <f t="shared" ca="1" si="57"/>
        <v>1.3582707931941798</v>
      </c>
      <c r="G376" s="22">
        <f t="shared" ca="1" si="53"/>
        <v>4.6573000159944513</v>
      </c>
      <c r="H376" s="31">
        <f t="shared" ca="1" si="58"/>
        <v>0</v>
      </c>
      <c r="I376" s="9">
        <f t="shared" ca="1" si="54"/>
        <v>1357.131337843964</v>
      </c>
      <c r="J376" s="30">
        <f t="shared" ca="1" si="55"/>
        <v>992.19073418780613</v>
      </c>
      <c r="K376" s="122">
        <f t="shared" ca="1" si="59"/>
        <v>364.94060365615792</v>
      </c>
      <c r="L376" s="30"/>
      <c r="M376" s="30"/>
      <c r="N376" s="30"/>
      <c r="O376" s="30"/>
    </row>
    <row r="377" spans="1:19" x14ac:dyDescent="0.25">
      <c r="A377" s="10">
        <v>358</v>
      </c>
      <c r="B377" s="27">
        <f t="shared" ca="1" si="50"/>
        <v>0.60661155935209099</v>
      </c>
      <c r="C377" s="21">
        <f t="shared" ca="1" si="56"/>
        <v>252.70498356294598</v>
      </c>
      <c r="D377" s="21">
        <f t="shared" ca="1" si="51"/>
        <v>249.40595434014571</v>
      </c>
      <c r="E377" s="21">
        <f t="shared" ca="1" si="52"/>
        <v>0</v>
      </c>
      <c r="F377" s="22">
        <f t="shared" ca="1" si="57"/>
        <v>0</v>
      </c>
      <c r="G377" s="22">
        <f t="shared" ca="1" si="53"/>
        <v>0</v>
      </c>
      <c r="H377" s="31">
        <f t="shared" ca="1" si="58"/>
        <v>0</v>
      </c>
      <c r="I377" s="9">
        <f t="shared" ca="1" si="54"/>
        <v>1364.2622595082335</v>
      </c>
      <c r="J377" s="30">
        <f t="shared" ca="1" si="55"/>
        <v>992.19073418780613</v>
      </c>
      <c r="K377" s="122">
        <f t="shared" ca="1" si="59"/>
        <v>372.07152532042733</v>
      </c>
      <c r="L377" s="30"/>
      <c r="M377" s="30"/>
      <c r="N377" s="30"/>
      <c r="O377" s="30"/>
    </row>
    <row r="378" spans="1:19" x14ac:dyDescent="0.25">
      <c r="A378" s="10">
        <v>359</v>
      </c>
      <c r="B378" s="27">
        <f t="shared" ca="1" si="50"/>
        <v>0.41568381390512987</v>
      </c>
      <c r="C378" s="21">
        <f t="shared" ca="1" si="56"/>
        <v>247.87052135245347</v>
      </c>
      <c r="D378" s="21">
        <f t="shared" ca="1" si="51"/>
        <v>248.04768354695153</v>
      </c>
      <c r="E378" s="21">
        <f t="shared" ca="1" si="52"/>
        <v>0.17716219449806658</v>
      </c>
      <c r="F378" s="22">
        <f t="shared" ca="1" si="57"/>
        <v>0.17716219449806658</v>
      </c>
      <c r="G378" s="22">
        <f t="shared" ca="1" si="53"/>
        <v>0</v>
      </c>
      <c r="H378" s="31">
        <f t="shared" ca="1" si="58"/>
        <v>0.17716219449806658</v>
      </c>
      <c r="I378" s="9">
        <f t="shared" ca="1" si="54"/>
        <v>1363.3321579871185</v>
      </c>
      <c r="J378" s="30">
        <f t="shared" ca="1" si="55"/>
        <v>992.4564774795532</v>
      </c>
      <c r="K378" s="122">
        <f t="shared" ca="1" si="59"/>
        <v>370.87568050756533</v>
      </c>
      <c r="L378" s="30"/>
      <c r="M378" s="30"/>
      <c r="N378" s="30"/>
      <c r="O378" s="30"/>
    </row>
    <row r="379" spans="1:19" x14ac:dyDescent="0.25">
      <c r="A379" s="10">
        <v>360</v>
      </c>
      <c r="B379" s="27">
        <f t="shared" ca="1" si="50"/>
        <v>0.16116889927874001</v>
      </c>
      <c r="C379" s="21">
        <f t="shared" ca="1" si="56"/>
        <v>240.10334817664409</v>
      </c>
      <c r="D379" s="21">
        <f t="shared" ca="1" si="51"/>
        <v>248.2248457414496</v>
      </c>
      <c r="E379" s="21">
        <f t="shared" ca="1" si="52"/>
        <v>7.9443353703074422</v>
      </c>
      <c r="F379" s="22">
        <f t="shared" ca="1" si="57"/>
        <v>8.1214975648055088</v>
      </c>
      <c r="G379" s="22">
        <f t="shared" ca="1" si="53"/>
        <v>10.231401550007206</v>
      </c>
      <c r="H379" s="31">
        <f t="shared" ca="1" si="58"/>
        <v>0</v>
      </c>
      <c r="I379" s="9">
        <f t="shared" ca="1" si="54"/>
        <v>1322.5544988141194</v>
      </c>
      <c r="J379" s="30">
        <f t="shared" ca="1" si="55"/>
        <v>992.19073418780613</v>
      </c>
      <c r="K379" s="122">
        <f t="shared" ca="1" si="59"/>
        <v>330.36376462631324</v>
      </c>
      <c r="L379" s="30"/>
      <c r="M379" s="30"/>
      <c r="N379" s="30"/>
      <c r="O379" s="30"/>
    </row>
    <row r="380" spans="1:19" x14ac:dyDescent="0.25">
      <c r="A380" s="10">
        <v>361</v>
      </c>
      <c r="B380" s="27">
        <f t="shared" ca="1" si="50"/>
        <v>0.79613884234945398</v>
      </c>
      <c r="C380" s="21">
        <f t="shared" ca="1" si="56"/>
        <v>258.27908509695874</v>
      </c>
      <c r="D380" s="21">
        <f t="shared" ca="1" si="51"/>
        <v>255.99201891725897</v>
      </c>
      <c r="E380" s="21">
        <f t="shared" ca="1" si="52"/>
        <v>0</v>
      </c>
      <c r="F380" s="22">
        <f t="shared" ca="1" si="57"/>
        <v>0</v>
      </c>
      <c r="G380" s="22">
        <f t="shared" ca="1" si="53"/>
        <v>4.1318049560533439</v>
      </c>
      <c r="H380" s="31">
        <f t="shared" ca="1" si="58"/>
        <v>0</v>
      </c>
      <c r="I380" s="9">
        <f t="shared" ca="1" si="54"/>
        <v>1364.2622595082335</v>
      </c>
      <c r="J380" s="30">
        <f t="shared" ca="1" si="55"/>
        <v>992.19073418780613</v>
      </c>
      <c r="K380" s="122">
        <f t="shared" ca="1" si="59"/>
        <v>372.07152532042733</v>
      </c>
      <c r="L380" s="30"/>
      <c r="M380" s="30"/>
      <c r="N380" s="30"/>
      <c r="O380" s="30"/>
      <c r="P380" s="23"/>
      <c r="Q380" s="23"/>
      <c r="R380" s="23"/>
      <c r="S380" s="23"/>
    </row>
    <row r="381" spans="1:19" x14ac:dyDescent="0.25">
      <c r="A381" s="10">
        <v>362</v>
      </c>
      <c r="B381" s="27">
        <f t="shared" ca="1" si="50"/>
        <v>0.5862655175648499</v>
      </c>
      <c r="C381" s="21">
        <f t="shared" ca="1" si="56"/>
        <v>252.17948850300488</v>
      </c>
      <c r="D381" s="21">
        <f t="shared" ca="1" si="51"/>
        <v>248.04768354695153</v>
      </c>
      <c r="E381" s="21">
        <f t="shared" ca="1" si="52"/>
        <v>0</v>
      </c>
      <c r="F381" s="22">
        <f t="shared" ca="1" si="57"/>
        <v>0</v>
      </c>
      <c r="G381" s="22">
        <f t="shared" ca="1" si="53"/>
        <v>5.7230387044020858</v>
      </c>
      <c r="H381" s="31">
        <f t="shared" ca="1" si="58"/>
        <v>0</v>
      </c>
      <c r="I381" s="9">
        <f t="shared" ca="1" si="54"/>
        <v>1364.2622595082335</v>
      </c>
      <c r="J381" s="30">
        <f t="shared" ca="1" si="55"/>
        <v>992.19073418780613</v>
      </c>
      <c r="K381" s="122">
        <f t="shared" ca="1" si="59"/>
        <v>372.07152532042733</v>
      </c>
      <c r="L381" s="30"/>
      <c r="M381" s="30"/>
      <c r="N381" s="30"/>
      <c r="O381" s="30"/>
      <c r="P381" s="23"/>
      <c r="Q381" s="23"/>
      <c r="R381" s="23"/>
      <c r="S381" s="23"/>
    </row>
    <row r="382" spans="1:19" x14ac:dyDescent="0.25">
      <c r="A382" s="10">
        <v>363</v>
      </c>
      <c r="B382" s="27">
        <f t="shared" ca="1" si="50"/>
        <v>0.64694003427333691</v>
      </c>
      <c r="C382" s="21">
        <f t="shared" ca="1" si="56"/>
        <v>253.77072225135362</v>
      </c>
      <c r="D382" s="21">
        <f t="shared" ca="1" si="51"/>
        <v>248.04768354695153</v>
      </c>
      <c r="E382" s="21">
        <f t="shared" ca="1" si="52"/>
        <v>0</v>
      </c>
      <c r="F382" s="22">
        <f t="shared" ca="1" si="57"/>
        <v>0</v>
      </c>
      <c r="G382" s="22">
        <f t="shared" ca="1" si="53"/>
        <v>0</v>
      </c>
      <c r="H382" s="31">
        <f t="shared" ca="1" si="58"/>
        <v>0</v>
      </c>
      <c r="I382" s="9">
        <f t="shared" ca="1" si="54"/>
        <v>1364.2622595082335</v>
      </c>
      <c r="J382" s="30">
        <f t="shared" ca="1" si="55"/>
        <v>992.19073418780613</v>
      </c>
      <c r="K382" s="122">
        <f t="shared" ca="1" si="59"/>
        <v>372.07152532042733</v>
      </c>
      <c r="L382" s="30"/>
      <c r="M382" s="30"/>
      <c r="N382" s="30"/>
      <c r="O382" s="30"/>
      <c r="P382" s="23"/>
      <c r="Q382" s="23"/>
      <c r="R382" s="23"/>
      <c r="S382" s="23"/>
    </row>
    <row r="383" spans="1:19" x14ac:dyDescent="0.25">
      <c r="A383" s="10">
        <v>364</v>
      </c>
      <c r="B383" s="27">
        <f t="shared" ca="1" si="50"/>
        <v>0.12955696354750612</v>
      </c>
      <c r="C383" s="21">
        <f t="shared" ca="1" si="56"/>
        <v>238.71512107006495</v>
      </c>
      <c r="D383" s="21">
        <f t="shared" ca="1" si="51"/>
        <v>248.04768354695153</v>
      </c>
      <c r="E383" s="21">
        <f t="shared" ca="1" si="52"/>
        <v>9.3325624768865794</v>
      </c>
      <c r="F383" s="22">
        <f t="shared" ca="1" si="57"/>
        <v>9.3325624768865794</v>
      </c>
      <c r="G383" s="22">
        <f t="shared" ca="1" si="53"/>
        <v>0</v>
      </c>
      <c r="H383" s="31">
        <f t="shared" ca="1" si="58"/>
        <v>9.3325624768865794</v>
      </c>
      <c r="I383" s="9">
        <f t="shared" ca="1" si="54"/>
        <v>1315.266306504579</v>
      </c>
      <c r="J383" s="30">
        <f t="shared" ca="1" si="55"/>
        <v>1006.189577903136</v>
      </c>
      <c r="K383" s="122">
        <f t="shared" ca="1" si="59"/>
        <v>309.07672860144305</v>
      </c>
      <c r="L383" s="30"/>
      <c r="M383" s="30"/>
      <c r="N383" s="30"/>
      <c r="O383" s="30"/>
      <c r="P383" s="23"/>
      <c r="Q383" s="23"/>
      <c r="R383" s="23"/>
      <c r="S383" s="23"/>
    </row>
    <row r="384" spans="1:19" x14ac:dyDescent="0.25">
      <c r="A384" s="12">
        <v>365</v>
      </c>
      <c r="B384" s="27">
        <f t="shared" ca="1" si="50"/>
        <v>0.2502076548287161</v>
      </c>
      <c r="C384" s="21">
        <f t="shared" ca="1" si="56"/>
        <v>243.26163567614299</v>
      </c>
      <c r="D384" s="21">
        <f t="shared" ca="1" si="51"/>
        <v>257.38024602383814</v>
      </c>
      <c r="E384" s="21">
        <f t="shared" ca="1" si="52"/>
        <v>4.7860478708085452</v>
      </c>
      <c r="F384" s="36">
        <f t="shared" ca="1" si="57"/>
        <v>14.118610347695153</v>
      </c>
      <c r="G384" s="36">
        <f t="shared" ca="1" si="53"/>
        <v>0</v>
      </c>
      <c r="H384" s="37">
        <f t="shared" ca="1" si="58"/>
        <v>14.118610347695153</v>
      </c>
      <c r="I384" s="9">
        <f t="shared" ca="1" si="54"/>
        <v>1367.1331956171484</v>
      </c>
      <c r="J384" s="30">
        <f t="shared" ca="1" si="55"/>
        <v>1013.3686497093488</v>
      </c>
      <c r="K384" s="123">
        <f t="shared" ca="1" si="59"/>
        <v>353.76454590779963</v>
      </c>
      <c r="L384" s="30"/>
      <c r="M384" s="30"/>
      <c r="N384" s="30"/>
      <c r="O384" s="30"/>
      <c r="P384" s="23"/>
      <c r="Q384" s="23"/>
      <c r="R384" s="23"/>
      <c r="S384" s="23"/>
    </row>
    <row r="385" spans="1:19" x14ac:dyDescent="0.25">
      <c r="A385" s="107"/>
      <c r="B385" s="108"/>
      <c r="C385" s="109"/>
      <c r="D385" s="109"/>
      <c r="E385" s="110"/>
      <c r="F385" s="111"/>
      <c r="G385" s="112"/>
      <c r="H385" s="113"/>
      <c r="I385" s="113"/>
      <c r="J385" s="113"/>
      <c r="K385" s="114"/>
      <c r="L385" s="23"/>
      <c r="M385" s="23"/>
      <c r="N385" s="23"/>
      <c r="O385" s="23"/>
      <c r="P385" s="23"/>
      <c r="Q385" s="23"/>
      <c r="R385" s="23"/>
      <c r="S385" s="23"/>
    </row>
    <row r="386" spans="1:19" x14ac:dyDescent="0.25">
      <c r="A386" s="115" t="s">
        <v>22</v>
      </c>
      <c r="B386" s="93"/>
      <c r="C386" s="116">
        <f ca="1">AVERAGE(C20:C384)</f>
        <v>249.58783512172829</v>
      </c>
      <c r="D386" s="116">
        <f ca="1">AVERAGE(D20:D384)</f>
        <v>250.95142671820048</v>
      </c>
      <c r="E386" s="117"/>
      <c r="F386" s="118"/>
      <c r="G386" s="118"/>
      <c r="H386" s="119">
        <f ca="1">AVERAGE(H20:H384)</f>
        <v>3.3927463439408601</v>
      </c>
      <c r="I386" s="120">
        <f ca="1">AVERAGE(I20:I384)</f>
        <v>1354.4067876036775</v>
      </c>
      <c r="J386" s="120">
        <f ca="1">AVERAGE(J20:J384)</f>
        <v>997.27985370371425</v>
      </c>
      <c r="K386" s="120">
        <f ca="1">AVERAGE(K20:K384)</f>
        <v>357.12693389995633</v>
      </c>
      <c r="L386" s="24"/>
      <c r="M386" s="23"/>
      <c r="N386" s="23"/>
      <c r="O386" s="23"/>
      <c r="P386" s="23"/>
      <c r="Q386" s="23"/>
      <c r="R386" s="23"/>
      <c r="S386" s="23"/>
    </row>
    <row r="387" spans="1:19" x14ac:dyDescent="0.25">
      <c r="L387" s="23"/>
      <c r="M387" s="23"/>
      <c r="N387" s="23"/>
      <c r="O387" s="23"/>
      <c r="P387" s="23"/>
      <c r="Q387" s="23"/>
      <c r="R387" s="23"/>
      <c r="S387" s="23"/>
    </row>
    <row r="388" spans="1:19" x14ac:dyDescent="0.25">
      <c r="L388" s="23"/>
      <c r="M388" s="23"/>
      <c r="N388" s="23"/>
      <c r="O388" s="23"/>
      <c r="P388" s="23"/>
      <c r="Q388" s="23"/>
      <c r="R388" s="23"/>
      <c r="S388" s="23"/>
    </row>
    <row r="389" spans="1:19" x14ac:dyDescent="0.25">
      <c r="L389" s="23"/>
      <c r="M389" s="23"/>
      <c r="N389" s="23"/>
      <c r="O389" s="23"/>
      <c r="P389" s="23"/>
      <c r="Q389" s="23"/>
      <c r="R389" s="23"/>
      <c r="S389" s="23"/>
    </row>
  </sheetData>
  <mergeCells count="19">
    <mergeCell ref="A13:C13"/>
    <mergeCell ref="A14:C14"/>
    <mergeCell ref="A15:C15"/>
    <mergeCell ref="A1:K2"/>
    <mergeCell ref="A386:B386"/>
    <mergeCell ref="A4:E4"/>
    <mergeCell ref="F4:H4"/>
    <mergeCell ref="A5:D5"/>
    <mergeCell ref="F5:H5"/>
    <mergeCell ref="A6:D6"/>
    <mergeCell ref="A7:D7"/>
    <mergeCell ref="A8:D8"/>
    <mergeCell ref="A9:D9"/>
    <mergeCell ref="A10:D10"/>
    <mergeCell ref="A16:C16"/>
    <mergeCell ref="A385:B385"/>
    <mergeCell ref="E385:G385"/>
    <mergeCell ref="A11:H11"/>
    <mergeCell ref="A12:C1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ABC Company Project</vt:lpstr>
      <vt:lpstr>Uniform Distributional</vt:lpstr>
      <vt:lpstr>Normal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Qadoos</dc:creator>
  <cp:lastModifiedBy>Muhammad Qadoos</cp:lastModifiedBy>
  <cp:lastPrinted>2018-10-07T11:45:05Z</cp:lastPrinted>
  <dcterms:created xsi:type="dcterms:W3CDTF">2018-10-06T06:44:27Z</dcterms:created>
  <dcterms:modified xsi:type="dcterms:W3CDTF">2018-10-08T10:27:17Z</dcterms:modified>
</cp:coreProperties>
</file>