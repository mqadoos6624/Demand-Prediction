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SIMULATION LAB\LAB-8\"/>
    </mc:Choice>
  </mc:AlternateContent>
  <xr:revisionPtr revIDLastSave="0" documentId="13_ncr:1_{FE57D8D1-91C4-46E0-A6EA-B0710BA55330}" xr6:coauthVersionLast="47" xr6:coauthVersionMax="47" xr10:uidLastSave="{00000000-0000-0000-0000-000000000000}"/>
  <bookViews>
    <workbookView xWindow="-120" yWindow="-120" windowWidth="20730" windowHeight="11160" xr2:uid="{443DA220-4243-4D5C-8E64-9F894F49F71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1" i="1" l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<sst xmlns="http://schemas.openxmlformats.org/spreadsheetml/2006/main" count="7" uniqueCount="7">
  <si>
    <t>n=5</t>
  </si>
  <si>
    <t>n=10</t>
  </si>
  <si>
    <t>n=20</t>
  </si>
  <si>
    <t>n=30</t>
  </si>
  <si>
    <t>n=50</t>
  </si>
  <si>
    <t>n=100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</si>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</sst>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74379079192942E-2"/>
          <c:y val="4.214129483814523E-2"/>
          <c:w val="0.72846970215679563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[1]Sheet2!$B$2:$B$6</c:f>
              <c:numCache>
                <c:formatCode>General</c:formatCode>
                <c:ptCount val="5"/>
                <c:pt idx="0">
                  <c:v>6.3999999999999968E-3</c:v>
                </c:pt>
                <c:pt idx="1">
                  <c:v>5.1199999999999954E-2</c:v>
                </c:pt>
                <c:pt idx="2">
                  <c:v>0.20479999999999993</c:v>
                </c:pt>
                <c:pt idx="3">
                  <c:v>0.40959999999999996</c:v>
                </c:pt>
                <c:pt idx="4">
                  <c:v>0.32768000000000008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B-4157-9CFA-215F1B603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98592"/>
        <c:axId val="45600128"/>
      </c:barChart>
      <c:catAx>
        <c:axId val="45598592"/>
        <c:scaling>
          <c:orientation val="minMax"/>
        </c:scaling>
        <c:delete val="0"/>
        <c:axPos val="b"/>
        <c:majorTickMark val="out"/>
        <c:minorTickMark val="none"/>
        <c:tickLblPos val="nextTo"/>
        <c:crossAx val="45600128"/>
        <c:crosses val="autoZero"/>
        <c:auto val="1"/>
        <c:lblAlgn val="ctr"/>
        <c:lblOffset val="100"/>
        <c:noMultiLvlLbl val="0"/>
      </c:catAx>
      <c:valAx>
        <c:axId val="4560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598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[1]Sheet2!$C$2:$C$11</c:f>
              <c:numCache>
                <c:formatCode>General</c:formatCode>
                <c:ptCount val="10"/>
                <c:pt idx="0">
                  <c:v>4.0959999999999935E-6</c:v>
                </c:pt>
                <c:pt idx="1">
                  <c:v>7.3727999999999861E-5</c:v>
                </c:pt>
                <c:pt idx="2">
                  <c:v>7.8643199999999815E-4</c:v>
                </c:pt>
                <c:pt idx="3">
                  <c:v>5.5050239999999894E-3</c:v>
                </c:pt>
                <c:pt idx="4">
                  <c:v>2.642411519999999E-2</c:v>
                </c:pt>
                <c:pt idx="5">
                  <c:v>8.8080383999999984E-2</c:v>
                </c:pt>
                <c:pt idx="6">
                  <c:v>0.20132659199999994</c:v>
                </c:pt>
                <c:pt idx="7">
                  <c:v>0.3019898880000001</c:v>
                </c:pt>
                <c:pt idx="8">
                  <c:v>0.26843545600000007</c:v>
                </c:pt>
                <c:pt idx="9">
                  <c:v>0.10737418240000005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E-4E8F-9CF9-BDFE2A15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75488"/>
        <c:axId val="38597760"/>
      </c:barChart>
      <c:catAx>
        <c:axId val="38575488"/>
        <c:scaling>
          <c:orientation val="minMax"/>
        </c:scaling>
        <c:delete val="0"/>
        <c:axPos val="b"/>
        <c:majorTickMark val="out"/>
        <c:minorTickMark val="none"/>
        <c:tickLblPos val="nextTo"/>
        <c:crossAx val="38597760"/>
        <c:crosses val="autoZero"/>
        <c:auto val="1"/>
        <c:lblAlgn val="ctr"/>
        <c:lblOffset val="100"/>
        <c:noMultiLvlLbl val="0"/>
      </c:catAx>
      <c:valAx>
        <c:axId val="3859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75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[1]Sheet2!$D$2:$D$21</c:f>
              <c:numCache>
                <c:formatCode>General</c:formatCode>
                <c:ptCount val="20"/>
                <c:pt idx="0">
                  <c:v>8.3886079999999331E-13</c:v>
                </c:pt>
                <c:pt idx="1">
                  <c:v>3.1876710399999934E-11</c:v>
                </c:pt>
                <c:pt idx="2">
                  <c:v>7.6504104959999862E-10</c:v>
                </c:pt>
                <c:pt idx="3">
                  <c:v>1.3005697843199945E-8</c:v>
                </c:pt>
                <c:pt idx="4">
                  <c:v>1.6647293239295945E-7</c:v>
                </c:pt>
                <c:pt idx="5">
                  <c:v>1.6647293239295904E-6</c:v>
                </c:pt>
                <c:pt idx="6">
                  <c:v>1.3317834591436762E-5</c:v>
                </c:pt>
                <c:pt idx="7">
                  <c:v>8.6565924844338843E-5</c:v>
                </c:pt>
                <c:pt idx="8">
                  <c:v>4.6168493250314189E-4</c:v>
                </c:pt>
                <c:pt idx="9">
                  <c:v>2.0314137030138235E-3</c:v>
                </c:pt>
                <c:pt idx="10">
                  <c:v>7.3869589200502694E-3</c:v>
                </c:pt>
                <c:pt idx="11">
                  <c:v>2.2160876760150813E-2</c:v>
                </c:pt>
                <c:pt idx="12">
                  <c:v>5.4549850486525039E-2</c:v>
                </c:pt>
                <c:pt idx="13">
                  <c:v>0.10909970097305018</c:v>
                </c:pt>
                <c:pt idx="14">
                  <c:v>0.17455952155688034</c:v>
                </c:pt>
                <c:pt idx="15">
                  <c:v>0.21819940194610055</c:v>
                </c:pt>
                <c:pt idx="16">
                  <c:v>0.20536414300809461</c:v>
                </c:pt>
                <c:pt idx="17">
                  <c:v>0.13690942867206315</c:v>
                </c:pt>
                <c:pt idx="18">
                  <c:v>5.7646075230342375E-2</c:v>
                </c:pt>
                <c:pt idx="19">
                  <c:v>1.1529215046068481E-2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7-4311-A470-6B91DB959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69248"/>
        <c:axId val="40875136"/>
      </c:barChart>
      <c:catAx>
        <c:axId val="40869248"/>
        <c:scaling>
          <c:orientation val="minMax"/>
        </c:scaling>
        <c:delete val="0"/>
        <c:axPos val="b"/>
        <c:majorTickMark val="out"/>
        <c:minorTickMark val="none"/>
        <c:tickLblPos val="nextTo"/>
        <c:crossAx val="40875136"/>
        <c:crosses val="autoZero"/>
        <c:auto val="1"/>
        <c:lblAlgn val="ctr"/>
        <c:lblOffset val="100"/>
        <c:noMultiLvlLbl val="0"/>
      </c:catAx>
      <c:valAx>
        <c:axId val="4087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869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[1]Sheet2!$E$2:$E$31</c:f>
              <c:numCache>
                <c:formatCode>General</c:formatCode>
                <c:ptCount val="30"/>
                <c:pt idx="0">
                  <c:v>1.2884901887999919E-19</c:v>
                </c:pt>
                <c:pt idx="1">
                  <c:v>7.4732430950400238E-18</c:v>
                </c:pt>
                <c:pt idx="2">
                  <c:v>2.7900107554815681E-16</c:v>
                </c:pt>
                <c:pt idx="3">
                  <c:v>7.533029039800263E-15</c:v>
                </c:pt>
                <c:pt idx="4">
                  <c:v>1.5668700402784557E-13</c:v>
                </c:pt>
                <c:pt idx="5">
                  <c:v>2.6114500671307584E-12</c:v>
                </c:pt>
                <c:pt idx="6">
                  <c:v>3.5814172349221743E-11</c:v>
                </c:pt>
                <c:pt idx="7">
                  <c:v>4.1186298201605231E-10</c:v>
                </c:pt>
                <c:pt idx="8">
                  <c:v>4.027104713045849E-9</c:v>
                </c:pt>
                <c:pt idx="9">
                  <c:v>3.3827679589585128E-8</c:v>
                </c:pt>
                <c:pt idx="10">
                  <c:v>2.4601948792425569E-7</c:v>
                </c:pt>
                <c:pt idx="11">
                  <c:v>1.5581234235202806E-6</c:v>
                </c:pt>
                <c:pt idx="12">
                  <c:v>8.6296066533431168E-6</c:v>
                </c:pt>
                <c:pt idx="13">
                  <c:v>4.191523231623793E-5</c:v>
                </c:pt>
                <c:pt idx="14">
                  <c:v>1.7883832454928218E-4</c:v>
                </c:pt>
                <c:pt idx="15">
                  <c:v>6.7064371705980895E-4</c:v>
                </c:pt>
                <c:pt idx="16">
                  <c:v>2.2091793032558396E-3</c:v>
                </c:pt>
                <c:pt idx="17">
                  <c:v>6.3820735427391004E-3</c:v>
                </c:pt>
                <c:pt idx="18">
                  <c:v>1.6123133160604031E-2</c:v>
                </c:pt>
                <c:pt idx="19">
                  <c:v>3.5470892953328892E-2</c:v>
                </c:pt>
                <c:pt idx="20">
                  <c:v>6.756360562538842E-2</c:v>
                </c:pt>
                <c:pt idx="21">
                  <c:v>0.1105586273869992</c:v>
                </c:pt>
                <c:pt idx="22">
                  <c:v>0.15382069897321635</c:v>
                </c:pt>
                <c:pt idx="23">
                  <c:v>0.17945748213541912</c:v>
                </c:pt>
                <c:pt idx="24">
                  <c:v>0.17227918285000246</c:v>
                </c:pt>
                <c:pt idx="25">
                  <c:v>0.13252244834615579</c:v>
                </c:pt>
                <c:pt idx="26">
                  <c:v>7.8531821242166386E-2</c:v>
                </c:pt>
                <c:pt idx="27">
                  <c:v>3.3656494818071342E-2</c:v>
                </c:pt>
                <c:pt idx="28">
                  <c:v>9.2845502946403632E-3</c:v>
                </c:pt>
                <c:pt idx="29">
                  <c:v>1.2379400392853819E-3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C-4340-B7D6-810CE0FC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41568"/>
        <c:axId val="43743104"/>
      </c:barChart>
      <c:catAx>
        <c:axId val="4374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43743104"/>
        <c:crosses val="autoZero"/>
        <c:auto val="1"/>
        <c:lblAlgn val="ctr"/>
        <c:lblOffset val="100"/>
        <c:noMultiLvlLbl val="0"/>
      </c:catAx>
      <c:valAx>
        <c:axId val="4374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74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[1]Sheet2!$F$2:$F$51</c:f>
              <c:numCache>
                <c:formatCode>General</c:formatCode>
                <c:ptCount val="50"/>
                <c:pt idx="0">
                  <c:v>2.2517998136852134E-33</c:v>
                </c:pt>
                <c:pt idx="1">
                  <c:v>2.2067638174115406E-31</c:v>
                </c:pt>
                <c:pt idx="2">
                  <c:v>1.4123288431433782E-29</c:v>
                </c:pt>
                <c:pt idx="3">
                  <c:v>6.6379455627738944E-28</c:v>
                </c:pt>
                <c:pt idx="4">
                  <c:v>2.4427639671007857E-26</c:v>
                </c:pt>
                <c:pt idx="5">
                  <c:v>7.3282919013024146E-25</c:v>
                </c:pt>
                <c:pt idx="6">
                  <c:v>1.8425419637560265E-23</c:v>
                </c:pt>
                <c:pt idx="7">
                  <c:v>3.961465222075416E-22</c:v>
                </c:pt>
                <c:pt idx="8">
                  <c:v>7.3947350812074757E-21</c:v>
                </c:pt>
                <c:pt idx="9">
                  <c:v>1.2127365533180323E-19</c:v>
                </c:pt>
                <c:pt idx="10">
                  <c:v>1.7639804411898705E-18</c:v>
                </c:pt>
                <c:pt idx="11">
                  <c:v>2.2931745735468298E-17</c:v>
                </c:pt>
                <c:pt idx="12">
                  <c:v>2.6812502706086153E-16</c:v>
                </c:pt>
                <c:pt idx="13">
                  <c:v>2.8344645717862373E-15</c:v>
                </c:pt>
                <c:pt idx="14">
                  <c:v>2.7210859889147774E-14</c:v>
                </c:pt>
                <c:pt idx="15">
                  <c:v>2.3809502403004321E-13</c:v>
                </c:pt>
                <c:pt idx="16">
                  <c:v>1.9047601922403404E-12</c:v>
                </c:pt>
                <c:pt idx="17">
                  <c:v>1.3968241409762516E-11</c:v>
                </c:pt>
                <c:pt idx="18">
                  <c:v>9.4101836865768152E-11</c:v>
                </c:pt>
                <c:pt idx="19">
                  <c:v>5.834313885677679E-10</c:v>
                </c:pt>
                <c:pt idx="20">
                  <c:v>3.3338936489586684E-9</c:v>
                </c:pt>
                <c:pt idx="21">
                  <c:v>1.757871196723646E-8</c:v>
                </c:pt>
                <c:pt idx="22">
                  <c:v>8.560068436219533E-8</c:v>
                </c:pt>
                <c:pt idx="23">
                  <c:v>3.852030796298801E-7</c:v>
                </c:pt>
                <c:pt idx="24">
                  <c:v>1.6024448112603033E-6</c:v>
                </c:pt>
                <c:pt idx="25">
                  <c:v>6.1632492740781053E-6</c:v>
                </c:pt>
                <c:pt idx="26">
                  <c:v>2.1913775196722137E-5</c:v>
                </c:pt>
                <c:pt idx="27">
                  <c:v>7.2002404217801381E-5</c:v>
                </c:pt>
                <c:pt idx="28">
                  <c:v>2.184900541781554E-4</c:v>
                </c:pt>
                <c:pt idx="29">
                  <c:v>6.1177215169883525E-4</c:v>
                </c:pt>
                <c:pt idx="30">
                  <c:v>1.57876684309377E-3</c:v>
                </c:pt>
                <c:pt idx="31">
                  <c:v>3.7495712523477015E-3</c:v>
                </c:pt>
                <c:pt idx="32">
                  <c:v>8.1808827323949888E-3</c:v>
                </c:pt>
                <c:pt idx="33">
                  <c:v>1.6361765464789978E-2</c:v>
                </c:pt>
                <c:pt idx="34">
                  <c:v>2.9918656849901699E-2</c:v>
                </c:pt>
                <c:pt idx="35">
                  <c:v>4.9864428083169501E-2</c:v>
                </c:pt>
                <c:pt idx="36">
                  <c:v>7.5470485747499816E-2</c:v>
                </c:pt>
                <c:pt idx="37">
                  <c:v>0.10327540154921024</c:v>
                </c:pt>
                <c:pt idx="38">
                  <c:v>0.12710818652210493</c:v>
                </c:pt>
                <c:pt idx="39">
                  <c:v>0.13981900517431542</c:v>
                </c:pt>
                <c:pt idx="40">
                  <c:v>0.13640878553591751</c:v>
                </c:pt>
                <c:pt idx="41">
                  <c:v>0.11692181617364357</c:v>
                </c:pt>
                <c:pt idx="42">
                  <c:v>8.7011584129223191E-2</c:v>
                </c:pt>
                <c:pt idx="43">
                  <c:v>5.5371008082232921E-2</c:v>
                </c:pt>
                <c:pt idx="44">
                  <c:v>2.9531204310524212E-2</c:v>
                </c:pt>
                <c:pt idx="45">
                  <c:v>1.2839654048054027E-2</c:v>
                </c:pt>
                <c:pt idx="46">
                  <c:v>4.3709460589120069E-3</c:v>
                </c:pt>
                <c:pt idx="47">
                  <c:v>1.0927365147280032E-3</c:v>
                </c:pt>
                <c:pt idx="48">
                  <c:v>1.784059615882452E-4</c:v>
                </c:pt>
                <c:pt idx="49">
                  <c:v>1.4272476927059631E-5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3-47DD-8B39-7D443A5EB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03648"/>
        <c:axId val="66207104"/>
      </c:barChart>
      <c:catAx>
        <c:axId val="66203648"/>
        <c:scaling>
          <c:orientation val="minMax"/>
        </c:scaling>
        <c:delete val="0"/>
        <c:axPos val="b"/>
        <c:majorTickMark val="out"/>
        <c:minorTickMark val="none"/>
        <c:tickLblPos val="nextTo"/>
        <c:crossAx val="66207104"/>
        <c:crosses val="autoZero"/>
        <c:auto val="1"/>
        <c:lblAlgn val="ctr"/>
        <c:lblOffset val="100"/>
        <c:noMultiLvlLbl val="0"/>
      </c:catAx>
      <c:valAx>
        <c:axId val="6620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203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[1]Sheet2!$G$2:$G$101</c:f>
              <c:numCache>
                <c:formatCode>General</c:formatCode>
                <c:ptCount val="100"/>
                <c:pt idx="0">
                  <c:v>5.0706024009127163E-68</c:v>
                </c:pt>
                <c:pt idx="1">
                  <c:v>1.0039792753807395E-65</c:v>
                </c:pt>
                <c:pt idx="2">
                  <c:v>1.3118662531641892E-63</c:v>
                </c:pt>
                <c:pt idx="3">
                  <c:v>1.2725102655692404E-61</c:v>
                </c:pt>
                <c:pt idx="4">
                  <c:v>9.7728788395717222E-60</c:v>
                </c:pt>
                <c:pt idx="5">
                  <c:v>6.1894899317288268E-58</c:v>
                </c:pt>
                <c:pt idx="6">
                  <c:v>3.324640306185708E-56</c:v>
                </c:pt>
                <c:pt idx="7">
                  <c:v>1.5459577423763904E-54</c:v>
                </c:pt>
                <c:pt idx="8">
                  <c:v>6.3212494354945442E-53</c:v>
                </c:pt>
                <c:pt idx="9">
                  <c:v>2.3009347945200567E-51</c:v>
                </c:pt>
                <c:pt idx="10">
                  <c:v>7.5303320547928692E-50</c:v>
                </c:pt>
                <c:pt idx="11">
                  <c:v>2.2339985095885734E-48</c:v>
                </c:pt>
                <c:pt idx="12">
                  <c:v>6.0489805798088843E-47</c:v>
                </c:pt>
                <c:pt idx="13">
                  <c:v>1.5036037441239525E-45</c:v>
                </c:pt>
                <c:pt idx="14">
                  <c:v>3.4482645865242069E-44</c:v>
                </c:pt>
                <c:pt idx="15">
                  <c:v>7.3275622463638934E-43</c:v>
                </c:pt>
                <c:pt idx="16">
                  <c:v>1.4482711263401825E-41</c:v>
                </c:pt>
                <c:pt idx="17">
                  <c:v>2.6712556330274129E-40</c:v>
                </c:pt>
                <c:pt idx="18">
                  <c:v>4.6114307770157161E-39</c:v>
                </c:pt>
                <c:pt idx="19">
                  <c:v>7.4705178587655428E-38</c:v>
                </c:pt>
                <c:pt idx="20">
                  <c:v>1.1383646260975993E-36</c:v>
                </c:pt>
                <c:pt idx="21">
                  <c:v>1.6351055538493085E-35</c:v>
                </c:pt>
                <c:pt idx="22">
                  <c:v>2.2180562295694644E-34</c:v>
                </c:pt>
                <c:pt idx="23">
                  <c:v>2.8465054946141651E-33</c:v>
                </c:pt>
                <c:pt idx="24">
                  <c:v>3.4613506814508011E-32</c:v>
                </c:pt>
                <c:pt idx="25">
                  <c:v>3.9938661709047964E-31</c:v>
                </c:pt>
                <c:pt idx="26">
                  <c:v>4.3784606910659768E-30</c:v>
                </c:pt>
                <c:pt idx="27">
                  <c:v>4.5661090063974346E-29</c:v>
                </c:pt>
                <c:pt idx="28">
                  <c:v>4.5346185994566999E-28</c:v>
                </c:pt>
                <c:pt idx="29">
                  <c:v>4.2927722741523951E-27</c:v>
                </c:pt>
                <c:pt idx="30">
                  <c:v>3.8773426992343521E-26</c:v>
                </c:pt>
                <c:pt idx="31">
                  <c:v>3.344208078089663E-25</c:v>
                </c:pt>
                <c:pt idx="32">
                  <c:v>2.7564381734557039E-24</c:v>
                </c:pt>
                <c:pt idx="33">
                  <c:v>2.172721854370959E-23</c:v>
                </c:pt>
                <c:pt idx="34">
                  <c:v>1.6388530558683996E-22</c:v>
                </c:pt>
                <c:pt idx="35">
                  <c:v>1.1836160959049489E-21</c:v>
                </c:pt>
                <c:pt idx="36">
                  <c:v>8.18934379869379E-21</c:v>
                </c:pt>
                <c:pt idx="37">
                  <c:v>5.4308279928179232E-20</c:v>
                </c:pt>
                <c:pt idx="38">
                  <c:v>3.4534495954329355E-19</c:v>
                </c:pt>
                <c:pt idx="39">
                  <c:v>2.1066042532141223E-18</c:v>
                </c:pt>
                <c:pt idx="40">
                  <c:v>1.2331341970033807E-17</c:v>
                </c:pt>
                <c:pt idx="41">
                  <c:v>6.9290397736380423E-17</c:v>
                </c:pt>
                <c:pt idx="42">
                  <c:v>3.7384586685674779E-16</c:v>
                </c:pt>
                <c:pt idx="43">
                  <c:v>1.9372013100758558E-15</c:v>
                </c:pt>
                <c:pt idx="44">
                  <c:v>9.6429576323777069E-15</c:v>
                </c:pt>
                <c:pt idx="45">
                  <c:v>4.6118493024415116E-14</c:v>
                </c:pt>
                <c:pt idx="46">
                  <c:v>2.1194881900582322E-13</c:v>
                </c:pt>
                <c:pt idx="47">
                  <c:v>9.3610728394238765E-13</c:v>
                </c:pt>
                <c:pt idx="48">
                  <c:v>3.9736798991840041E-12</c:v>
                </c:pt>
                <c:pt idx="49">
                  <c:v>1.6212613988670768E-11</c:v>
                </c:pt>
                <c:pt idx="50">
                  <c:v>6.3578878386944531E-11</c:v>
                </c:pt>
                <c:pt idx="51">
                  <c:v>2.396434646892531E-10</c:v>
                </c:pt>
                <c:pt idx="52">
                  <c:v>8.6814236264785594E-10</c:v>
                </c:pt>
                <c:pt idx="53">
                  <c:v>3.0224215588480947E-9</c:v>
                </c:pt>
                <c:pt idx="54">
                  <c:v>1.0111373942328141E-8</c:v>
                </c:pt>
                <c:pt idx="55">
                  <c:v>3.2500844814626371E-8</c:v>
                </c:pt>
                <c:pt idx="56">
                  <c:v>1.0035348574340715E-7</c:v>
                </c:pt>
                <c:pt idx="57">
                  <c:v>2.9759999220458724E-7</c:v>
                </c:pt>
                <c:pt idx="58">
                  <c:v>8.4740336763340114E-7</c:v>
                </c:pt>
                <c:pt idx="59">
                  <c:v>2.3162358715312965E-6</c:v>
                </c:pt>
                <c:pt idx="60">
                  <c:v>6.0753727777869818E-6</c:v>
                </c:pt>
                <c:pt idx="61">
                  <c:v>1.5286421827980233E-5</c:v>
                </c:pt>
                <c:pt idx="62">
                  <c:v>3.6881525680206275E-5</c:v>
                </c:pt>
                <c:pt idx="63">
                  <c:v>8.5288528135476935E-5</c:v>
                </c:pt>
                <c:pt idx="64">
                  <c:v>1.8894689310013394E-4</c:v>
                </c:pt>
                <c:pt idx="65">
                  <c:v>4.0079643990937447E-4</c:v>
                </c:pt>
                <c:pt idx="66">
                  <c:v>8.1355695265186419E-4</c:v>
                </c:pt>
                <c:pt idx="67">
                  <c:v>1.5792576139712659E-3</c:v>
                </c:pt>
                <c:pt idx="68">
                  <c:v>2.9296373128742371E-3</c:v>
                </c:pt>
                <c:pt idx="69">
                  <c:v>5.1896432399486485E-3</c:v>
                </c:pt>
                <c:pt idx="70">
                  <c:v>8.7712280111808157E-3</c:v>
                </c:pt>
                <c:pt idx="71">
                  <c:v>1.4131422906902429E-2</c:v>
                </c:pt>
                <c:pt idx="72">
                  <c:v>2.168108719963116E-2</c:v>
                </c:pt>
                <c:pt idx="73">
                  <c:v>3.1642667804867075E-2</c:v>
                </c:pt>
                <c:pt idx="74">
                  <c:v>4.3877832689415669E-2</c:v>
                </c:pt>
                <c:pt idx="75">
                  <c:v>5.7733990380810063E-2</c:v>
                </c:pt>
                <c:pt idx="76">
                  <c:v>7.1980039955295658E-2</c:v>
                </c:pt>
                <c:pt idx="77">
                  <c:v>8.4899534306246208E-2</c:v>
                </c:pt>
                <c:pt idx="78">
                  <c:v>9.4571633151261603E-2</c:v>
                </c:pt>
                <c:pt idx="79">
                  <c:v>9.9300214808824727E-2</c:v>
                </c:pt>
                <c:pt idx="80">
                  <c:v>9.8074286230937988E-2</c:v>
                </c:pt>
                <c:pt idx="81">
                  <c:v>9.0898118945747466E-2</c:v>
                </c:pt>
                <c:pt idx="82">
                  <c:v>7.8851380290286918E-2</c:v>
                </c:pt>
                <c:pt idx="83">
                  <c:v>6.3832069758803692E-2</c:v>
                </c:pt>
                <c:pt idx="84">
                  <c:v>4.8061793700746307E-2</c:v>
                </c:pt>
                <c:pt idx="85">
                  <c:v>3.3531483977264902E-2</c:v>
                </c:pt>
                <c:pt idx="86">
                  <c:v>2.1583483939388894E-2</c:v>
                </c:pt>
                <c:pt idx="87">
                  <c:v>1.2753876873275253E-2</c:v>
                </c:pt>
                <c:pt idx="88">
                  <c:v>6.878495392328242E-3</c:v>
                </c:pt>
                <c:pt idx="89">
                  <c:v>3.3628199695826867E-3</c:v>
                </c:pt>
                <c:pt idx="90">
                  <c:v>1.4781626239923913E-3</c:v>
                </c:pt>
                <c:pt idx="91">
                  <c:v>5.7841146156224093E-4</c:v>
                </c:pt>
                <c:pt idx="92">
                  <c:v>1.9902329860206126E-4</c:v>
                </c:pt>
                <c:pt idx="93">
                  <c:v>5.9283535753805565E-5</c:v>
                </c:pt>
                <c:pt idx="94">
                  <c:v>1.4976893243066663E-5</c:v>
                </c:pt>
                <c:pt idx="95">
                  <c:v>3.1201860923055643E-6</c:v>
                </c:pt>
                <c:pt idx="96">
                  <c:v>5.1466987089576095E-7</c:v>
                </c:pt>
                <c:pt idx="97">
                  <c:v>6.3020800517848304E-8</c:v>
                </c:pt>
                <c:pt idx="98">
                  <c:v>5.0925899408362083E-9</c:v>
                </c:pt>
                <c:pt idx="99">
                  <c:v>2.0370359763344954E-10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65F-8ED6-5388BECA3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35552"/>
        <c:axId val="38712448"/>
      </c:barChart>
      <c:catAx>
        <c:axId val="3853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38712448"/>
        <c:crosses val="autoZero"/>
        <c:auto val="1"/>
        <c:lblAlgn val="ctr"/>
        <c:lblOffset val="100"/>
        <c:noMultiLvlLbl val="0"/>
      </c:catAx>
      <c:valAx>
        <c:axId val="3871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3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yVal>
            <c:numRef>
              <c:f>[1]Sheet2!$H$2:$H$101</c:f>
              <c:numCache>
                <c:formatCode>General</c:formatCode>
                <c:ptCount val="100"/>
                <c:pt idx="0">
                  <c:v>5.1217548961900992E-51</c:v>
                </c:pt>
                <c:pt idx="1">
                  <c:v>1.3367371867205262E-49</c:v>
                </c:pt>
                <c:pt idx="2">
                  <c:v>3.3265386890686324E-48</c:v>
                </c:pt>
                <c:pt idx="3">
                  <c:v>7.8932968900580549E-47</c:v>
                </c:pt>
                <c:pt idx="4">
                  <c:v>1.7858443657637199E-45</c:v>
                </c:pt>
                <c:pt idx="5">
                  <c:v>3.8525482630737798E-44</c:v>
                </c:pt>
                <c:pt idx="6">
                  <c:v>7.9245001615586621E-43</c:v>
                </c:pt>
                <c:pt idx="7">
                  <c:v>1.5542288976443877E-41</c:v>
                </c:pt>
                <c:pt idx="8">
                  <c:v>2.9065472725668169E-40</c:v>
                </c:pt>
                <c:pt idx="9">
                  <c:v>5.182736301930062E-39</c:v>
                </c:pt>
                <c:pt idx="10">
                  <c:v>8.8117089604388383E-38</c:v>
                </c:pt>
                <c:pt idx="11">
                  <c:v>1.4285007968067421E-36</c:v>
                </c:pt>
                <c:pt idx="12">
                  <c:v>2.2081071285045839E-35</c:v>
                </c:pt>
                <c:pt idx="13">
                  <c:v>3.2544612359926392E-34</c:v>
                </c:pt>
                <c:pt idx="14">
                  <c:v>4.573591547811912E-33</c:v>
                </c:pt>
                <c:pt idx="15">
                  <c:v>6.1285108681233968E-32</c:v>
                </c:pt>
                <c:pt idx="16">
                  <c:v>7.8301819697010172E-31</c:v>
                </c:pt>
                <c:pt idx="17">
                  <c:v>9.5391144557091874E-30</c:v>
                </c:pt>
                <c:pt idx="18">
                  <c:v>1.108060758702213E-28</c:v>
                </c:pt>
                <c:pt idx="19">
                  <c:v>1.2272651455946462E-27</c:v>
                </c:pt>
                <c:pt idx="20">
                  <c:v>1.2960821705367536E-26</c:v>
                </c:pt>
                <c:pt idx="21">
                  <c:v>1.305106590054544E-25</c:v>
                </c:pt>
                <c:pt idx="22">
                  <c:v>1.2530798294671511E-24</c:v>
                </c:pt>
                <c:pt idx="23">
                  <c:v>1.147177991157394E-23</c:v>
                </c:pt>
                <c:pt idx="24">
                  <c:v>1.001387541262745E-22</c:v>
                </c:pt>
                <c:pt idx="25">
                  <c:v>8.3347556410673723E-22</c:v>
                </c:pt>
                <c:pt idx="26">
                  <c:v>6.6145890852068069E-21</c:v>
                </c:pt>
                <c:pt idx="27">
                  <c:v>5.0053238091862779E-20</c:v>
                </c:pt>
                <c:pt idx="28">
                  <c:v>3.6114432728171703E-19</c:v>
                </c:pt>
                <c:pt idx="29">
                  <c:v>2.4845556398280711E-18</c:v>
                </c:pt>
                <c:pt idx="30">
                  <c:v>1.6298062040780609E-17</c:v>
                </c:pt>
                <c:pt idx="31">
                  <c:v>1.0193950416118805E-16</c:v>
                </c:pt>
                <c:pt idx="32">
                  <c:v>6.07950720327497E-16</c:v>
                </c:pt>
                <c:pt idx="33">
                  <c:v>3.4571127856418742E-15</c:v>
                </c:pt>
                <c:pt idx="34">
                  <c:v>1.8744679950410286E-14</c:v>
                </c:pt>
                <c:pt idx="35">
                  <c:v>9.6908488825182896E-14</c:v>
                </c:pt>
                <c:pt idx="36">
                  <c:v>4.777106499037345E-13</c:v>
                </c:pt>
                <c:pt idx="37">
                  <c:v>2.2453670015459739E-12</c:v>
                </c:pt>
                <c:pt idx="38">
                  <c:v>1.0063036749726343E-11</c:v>
                </c:pt>
                <c:pt idx="39">
                  <c:v>4.3002142296042224E-11</c:v>
                </c:pt>
                <c:pt idx="40">
                  <c:v>1.752146581167721E-10</c:v>
                </c:pt>
                <c:pt idx="41">
                  <c:v>6.807224748670221E-10</c:v>
                </c:pt>
                <c:pt idx="42">
                  <c:v>2.5216746582569705E-9</c:v>
                </c:pt>
                <c:pt idx="43">
                  <c:v>8.9069154301484101E-9</c:v>
                </c:pt>
                <c:pt idx="44">
                  <c:v>2.9997489772991125E-8</c:v>
                </c:pt>
                <c:pt idx="45">
                  <c:v>9.6330055276556698E-8</c:v>
                </c:pt>
                <c:pt idx="46">
                  <c:v>2.9495653002721448E-7</c:v>
                </c:pt>
                <c:pt idx="47">
                  <c:v>8.6113954207598201E-7</c:v>
                </c:pt>
                <c:pt idx="48">
                  <c:v>2.3972225728510397E-6</c:v>
                </c:pt>
                <c:pt idx="49">
                  <c:v>6.3630083854068707E-6</c:v>
                </c:pt>
                <c:pt idx="50">
                  <c:v>1.6104080879681469E-5</c:v>
                </c:pt>
                <c:pt idx="51">
                  <c:v>3.8862317977309849E-5</c:v>
                </c:pt>
                <c:pt idx="52">
                  <c:v>8.9421256730000672E-5</c:v>
                </c:pt>
                <c:pt idx="53">
                  <c:v>1.9618786805939995E-4</c:v>
                </c:pt>
                <c:pt idx="54">
                  <c:v>4.1041463303120157E-4</c:v>
                </c:pt>
                <c:pt idx="55">
                  <c:v>8.1863976460233112E-4</c:v>
                </c:pt>
                <c:pt idx="56">
                  <c:v>1.5569768168386469E-3</c:v>
                </c:pt>
                <c:pt idx="57">
                  <c:v>2.8235193359972214E-3</c:v>
                </c:pt>
                <c:pt idx="58">
                  <c:v>4.8822351910968922E-3</c:v>
                </c:pt>
                <c:pt idx="59">
                  <c:v>8.0494450081221476E-3</c:v>
                </c:pt>
                <c:pt idx="60">
                  <c:v>1.2654135748026945E-2</c:v>
                </c:pt>
                <c:pt idx="61">
                  <c:v>1.896786066809213E-2</c:v>
                </c:pt>
                <c:pt idx="62">
                  <c:v>2.7109625796163685E-2</c:v>
                </c:pt>
                <c:pt idx="63">
                  <c:v>3.6944347909225128E-2</c:v>
                </c:pt>
                <c:pt idx="64">
                  <c:v>4.8005588522252521E-2</c:v>
                </c:pt>
                <c:pt idx="65">
                  <c:v>5.9477800730271861E-2</c:v>
                </c:pt>
                <c:pt idx="66">
                  <c:v>7.0264719227054587E-2</c:v>
                </c:pt>
                <c:pt idx="67">
                  <c:v>7.9147834909115658E-2</c:v>
                </c:pt>
                <c:pt idx="68">
                  <c:v>8.5008053843883769E-2</c:v>
                </c:pt>
                <c:pt idx="69">
                  <c:v>8.7056342755136337E-2</c:v>
                </c:pt>
                <c:pt idx="70">
                  <c:v>8.5008053843883769E-2</c:v>
                </c:pt>
                <c:pt idx="71">
                  <c:v>7.9147834909115658E-2</c:v>
                </c:pt>
                <c:pt idx="72">
                  <c:v>7.0264719227054587E-2</c:v>
                </c:pt>
                <c:pt idx="73">
                  <c:v>5.9477800730271861E-2</c:v>
                </c:pt>
                <c:pt idx="74">
                  <c:v>4.8005588522252521E-2</c:v>
                </c:pt>
                <c:pt idx="75">
                  <c:v>3.6944347909225128E-2</c:v>
                </c:pt>
                <c:pt idx="76">
                  <c:v>2.7109625796163685E-2</c:v>
                </c:pt>
                <c:pt idx="77">
                  <c:v>1.896786066809213E-2</c:v>
                </c:pt>
                <c:pt idx="78">
                  <c:v>1.2654135748026945E-2</c:v>
                </c:pt>
                <c:pt idx="79">
                  <c:v>8.0494450081221476E-3</c:v>
                </c:pt>
                <c:pt idx="80">
                  <c:v>4.8822351910968922E-3</c:v>
                </c:pt>
                <c:pt idx="81">
                  <c:v>2.8235193359972214E-3</c:v>
                </c:pt>
                <c:pt idx="82">
                  <c:v>1.5569768168386469E-3</c:v>
                </c:pt>
                <c:pt idx="83">
                  <c:v>8.1863976460233112E-4</c:v>
                </c:pt>
                <c:pt idx="84">
                  <c:v>4.1041463303120157E-4</c:v>
                </c:pt>
                <c:pt idx="85">
                  <c:v>1.9618786805939995E-4</c:v>
                </c:pt>
                <c:pt idx="86">
                  <c:v>8.9421256730000672E-5</c:v>
                </c:pt>
                <c:pt idx="87">
                  <c:v>3.8862317977309849E-5</c:v>
                </c:pt>
                <c:pt idx="88">
                  <c:v>1.6104080879681469E-5</c:v>
                </c:pt>
                <c:pt idx="89">
                  <c:v>6.3630083854068707E-6</c:v>
                </c:pt>
                <c:pt idx="90">
                  <c:v>2.3972225728510397E-6</c:v>
                </c:pt>
                <c:pt idx="91">
                  <c:v>8.6113954207598201E-7</c:v>
                </c:pt>
                <c:pt idx="92">
                  <c:v>2.9495653002721448E-7</c:v>
                </c:pt>
                <c:pt idx="93">
                  <c:v>9.6330055276556698E-8</c:v>
                </c:pt>
                <c:pt idx="94">
                  <c:v>2.9997489772991125E-8</c:v>
                </c:pt>
                <c:pt idx="95">
                  <c:v>8.9069154301484101E-9</c:v>
                </c:pt>
                <c:pt idx="96">
                  <c:v>2.5216746582569705E-9</c:v>
                </c:pt>
                <c:pt idx="97">
                  <c:v>6.807224748670221E-10</c:v>
                </c:pt>
                <c:pt idx="98">
                  <c:v>1.752146581167721E-10</c:v>
                </c:pt>
                <c:pt idx="99">
                  <c:v>4.3002142296042224E-11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F-44B1-9D34-2AC258E1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66144"/>
        <c:axId val="67714048"/>
      </c:scatterChart>
      <c:valAx>
        <c:axId val="67766144"/>
        <c:scaling>
          <c:orientation val="minMax"/>
        </c:scaling>
        <c:delete val="0"/>
        <c:axPos val="b"/>
        <c:majorTickMark val="out"/>
        <c:minorTickMark val="none"/>
        <c:tickLblPos val="nextTo"/>
        <c:crossAx val="67714048"/>
        <c:crosses val="autoZero"/>
        <c:crossBetween val="midCat"/>
      </c:valAx>
      <c:valAx>
        <c:axId val="6771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7766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0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127000</xdr:colOff>
      <xdr:row>0</xdr:row>
      <xdr:rowOff>0</xdr:rowOff>
    </xdr:from>
    <xdr:to>
      <xdr:col>15</xdr:col>
      <xdr:colOff>428625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D1696-00BB-47CC-9B51-3B10F9588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111125</xdr:colOff>
      <xdr:row>14</xdr:row>
      <xdr:rowOff>0</xdr:rowOff>
    </xdr:from>
    <xdr:to>
      <xdr:col>15</xdr:col>
      <xdr:colOff>415925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5DEDC-4952-4211-B019-103E5D2F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117475</xdr:colOff>
      <xdr:row>27</xdr:row>
      <xdr:rowOff>174625</xdr:rowOff>
    </xdr:from>
    <xdr:to>
      <xdr:col>15</xdr:col>
      <xdr:colOff>422275</xdr:colOff>
      <xdr:row>42</xdr:row>
      <xdr:rowOff>60325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454AC2-A656-4191-9E16-152C53146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117475</xdr:colOff>
      <xdr:row>42</xdr:row>
      <xdr:rowOff>47625</xdr:rowOff>
    </xdr:from>
    <xdr:to>
      <xdr:col>15</xdr:col>
      <xdr:colOff>428625</xdr:colOff>
      <xdr:row>56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9EAF2A-3258-41F5-B4B1-C31F52705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114300</xdr:colOff>
      <xdr:row>56</xdr:row>
      <xdr:rowOff>114300</xdr:rowOff>
    </xdr:from>
    <xdr:to>
      <xdr:col>15</xdr:col>
      <xdr:colOff>425450</xdr:colOff>
      <xdr:row>71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607BE1-2AF6-4E13-B419-1BF7A6DAE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117475</xdr:colOff>
      <xdr:row>71</xdr:row>
      <xdr:rowOff>12700</xdr:rowOff>
    </xdr:from>
    <xdr:to>
      <xdr:col>15</xdr:col>
      <xdr:colOff>428625</xdr:colOff>
      <xdr:row>85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391FA7-43B9-477C-A558-933EB20B3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101600</xdr:colOff>
      <xdr:row>85</xdr:row>
      <xdr:rowOff>92074</xdr:rowOff>
    </xdr:from>
    <xdr:to>
      <xdr:col>15</xdr:col>
      <xdr:colOff>428625</xdr:colOff>
      <xdr:row>100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3CA2CA-7A68-4FA4-99BF-364E6F370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lab8SIM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4"/>
    </sheetNames>
    <sheetDataSet>
      <sheetData sheetId="0"/>
      <sheetData sheetId="1">
        <row r="2">
          <cell r="B2">
            <v>6.3999999999999968E-3</v>
          </cell>
          <cell r="C2">
            <v>4.0959999999999935E-6</v>
          </cell>
          <cell r="D2">
            <v>8.3886079999999331E-13</v>
          </cell>
          <cell r="E2">
            <v>1.2884901887999919E-19</v>
          </cell>
          <cell r="F2">
            <v>2.2517998136852134E-33</v>
          </cell>
          <cell r="G2">
            <v>5.0706024009127163E-68</v>
          </cell>
          <cell r="H2">
            <v>5.1217548961900992E-51</v>
          </cell>
        </row>
        <row r="3">
          <cell r="B3">
            <v>5.1199999999999954E-2</v>
          </cell>
          <cell r="C3">
            <v>7.3727999999999861E-5</v>
          </cell>
          <cell r="D3">
            <v>3.1876710399999934E-11</v>
          </cell>
          <cell r="E3">
            <v>7.4732430950400238E-18</v>
          </cell>
          <cell r="F3">
            <v>2.2067638174115406E-31</v>
          </cell>
          <cell r="G3">
            <v>1.0039792753807395E-65</v>
          </cell>
          <cell r="H3">
            <v>1.3367371867205262E-49</v>
          </cell>
        </row>
        <row r="4">
          <cell r="B4">
            <v>0.20479999999999993</v>
          </cell>
          <cell r="C4">
            <v>7.8643199999999815E-4</v>
          </cell>
          <cell r="D4">
            <v>7.6504104959999862E-10</v>
          </cell>
          <cell r="E4">
            <v>2.7900107554815681E-16</v>
          </cell>
          <cell r="F4">
            <v>1.4123288431433782E-29</v>
          </cell>
          <cell r="G4">
            <v>1.3118662531641892E-63</v>
          </cell>
          <cell r="H4">
            <v>3.3265386890686324E-48</v>
          </cell>
        </row>
        <row r="5">
          <cell r="B5">
            <v>0.40959999999999996</v>
          </cell>
          <cell r="C5">
            <v>5.5050239999999894E-3</v>
          </cell>
          <cell r="D5">
            <v>1.3005697843199945E-8</v>
          </cell>
          <cell r="E5">
            <v>7.533029039800263E-15</v>
          </cell>
          <cell r="F5">
            <v>6.6379455627738944E-28</v>
          </cell>
          <cell r="G5">
            <v>1.2725102655692404E-61</v>
          </cell>
          <cell r="H5">
            <v>7.8932968900580549E-47</v>
          </cell>
        </row>
        <row r="6">
          <cell r="B6">
            <v>0.32768000000000008</v>
          </cell>
          <cell r="C6">
            <v>2.642411519999999E-2</v>
          </cell>
          <cell r="D6">
            <v>1.6647293239295945E-7</v>
          </cell>
          <cell r="E6">
            <v>1.5668700402784557E-13</v>
          </cell>
          <cell r="F6">
            <v>2.4427639671007857E-26</v>
          </cell>
          <cell r="G6">
            <v>9.7728788395717222E-60</v>
          </cell>
          <cell r="H6">
            <v>1.7858443657637199E-45</v>
          </cell>
        </row>
        <row r="7">
          <cell r="C7">
            <v>8.8080383999999984E-2</v>
          </cell>
          <cell r="D7">
            <v>1.6647293239295904E-6</v>
          </cell>
          <cell r="E7">
            <v>2.6114500671307584E-12</v>
          </cell>
          <cell r="F7">
            <v>7.3282919013024146E-25</v>
          </cell>
          <cell r="G7">
            <v>6.1894899317288268E-58</v>
          </cell>
          <cell r="H7">
            <v>3.8525482630737798E-44</v>
          </cell>
        </row>
        <row r="8">
          <cell r="C8">
            <v>0.20132659199999994</v>
          </cell>
          <cell r="D8">
            <v>1.3317834591436762E-5</v>
          </cell>
          <cell r="E8">
            <v>3.5814172349221743E-11</v>
          </cell>
          <cell r="F8">
            <v>1.8425419637560265E-23</v>
          </cell>
          <cell r="G8">
            <v>3.324640306185708E-56</v>
          </cell>
          <cell r="H8">
            <v>7.9245001615586621E-43</v>
          </cell>
        </row>
        <row r="9">
          <cell r="C9">
            <v>0.3019898880000001</v>
          </cell>
          <cell r="D9">
            <v>8.6565924844338843E-5</v>
          </cell>
          <cell r="E9">
            <v>4.1186298201605231E-10</v>
          </cell>
          <cell r="F9">
            <v>3.961465222075416E-22</v>
          </cell>
          <cell r="G9">
            <v>1.5459577423763904E-54</v>
          </cell>
          <cell r="H9">
            <v>1.5542288976443877E-41</v>
          </cell>
        </row>
        <row r="10">
          <cell r="C10">
            <v>0.26843545600000007</v>
          </cell>
          <cell r="D10">
            <v>4.6168493250314189E-4</v>
          </cell>
          <cell r="E10">
            <v>4.027104713045849E-9</v>
          </cell>
          <cell r="F10">
            <v>7.3947350812074757E-21</v>
          </cell>
          <cell r="G10">
            <v>6.3212494354945442E-53</v>
          </cell>
          <cell r="H10">
            <v>2.9065472725668169E-40</v>
          </cell>
        </row>
        <row r="11">
          <cell r="C11">
            <v>0.10737418240000005</v>
          </cell>
          <cell r="D11">
            <v>2.0314137030138235E-3</v>
          </cell>
          <cell r="E11">
            <v>3.3827679589585128E-8</v>
          </cell>
          <cell r="F11">
            <v>1.2127365533180323E-19</v>
          </cell>
          <cell r="G11">
            <v>2.3009347945200567E-51</v>
          </cell>
          <cell r="H11">
            <v>5.182736301930062E-39</v>
          </cell>
        </row>
        <row r="12">
          <cell r="D12">
            <v>7.3869589200502694E-3</v>
          </cell>
          <cell r="E12">
            <v>2.4601948792425569E-7</v>
          </cell>
          <cell r="F12">
            <v>1.7639804411898705E-18</v>
          </cell>
          <cell r="G12">
            <v>7.5303320547928692E-50</v>
          </cell>
          <cell r="H12">
            <v>8.8117089604388383E-38</v>
          </cell>
        </row>
        <row r="13">
          <cell r="D13">
            <v>2.2160876760150813E-2</v>
          </cell>
          <cell r="E13">
            <v>1.5581234235202806E-6</v>
          </cell>
          <cell r="F13">
            <v>2.2931745735468298E-17</v>
          </cell>
          <cell r="G13">
            <v>2.2339985095885734E-48</v>
          </cell>
          <cell r="H13">
            <v>1.4285007968067421E-36</v>
          </cell>
        </row>
        <row r="14">
          <cell r="D14">
            <v>5.4549850486525039E-2</v>
          </cell>
          <cell r="E14">
            <v>8.6296066533431168E-6</v>
          </cell>
          <cell r="F14">
            <v>2.6812502706086153E-16</v>
          </cell>
          <cell r="G14">
            <v>6.0489805798088843E-47</v>
          </cell>
          <cell r="H14">
            <v>2.2081071285045839E-35</v>
          </cell>
        </row>
        <row r="15">
          <cell r="D15">
            <v>0.10909970097305018</v>
          </cell>
          <cell r="E15">
            <v>4.191523231623793E-5</v>
          </cell>
          <cell r="F15">
            <v>2.8344645717862373E-15</v>
          </cell>
          <cell r="G15">
            <v>1.5036037441239525E-45</v>
          </cell>
          <cell r="H15">
            <v>3.2544612359926392E-34</v>
          </cell>
        </row>
        <row r="16">
          <cell r="D16">
            <v>0.17455952155688034</v>
          </cell>
          <cell r="E16">
            <v>1.7883832454928218E-4</v>
          </cell>
          <cell r="F16">
            <v>2.7210859889147774E-14</v>
          </cell>
          <cell r="G16">
            <v>3.4482645865242069E-44</v>
          </cell>
          <cell r="H16">
            <v>4.573591547811912E-33</v>
          </cell>
        </row>
        <row r="17">
          <cell r="D17">
            <v>0.21819940194610055</v>
          </cell>
          <cell r="E17">
            <v>6.7064371705980895E-4</v>
          </cell>
          <cell r="F17">
            <v>2.3809502403004321E-13</v>
          </cell>
          <cell r="G17">
            <v>7.3275622463638934E-43</v>
          </cell>
          <cell r="H17">
            <v>6.1285108681233968E-32</v>
          </cell>
        </row>
        <row r="18">
          <cell r="D18">
            <v>0.20536414300809461</v>
          </cell>
          <cell r="E18">
            <v>2.2091793032558396E-3</v>
          </cell>
          <cell r="F18">
            <v>1.9047601922403404E-12</v>
          </cell>
          <cell r="G18">
            <v>1.4482711263401825E-41</v>
          </cell>
          <cell r="H18">
            <v>7.8301819697010172E-31</v>
          </cell>
        </row>
        <row r="19">
          <cell r="D19">
            <v>0.13690942867206315</v>
          </cell>
          <cell r="E19">
            <v>6.3820735427391004E-3</v>
          </cell>
          <cell r="F19">
            <v>1.3968241409762516E-11</v>
          </cell>
          <cell r="G19">
            <v>2.6712556330274129E-40</v>
          </cell>
          <cell r="H19">
            <v>9.5391144557091874E-30</v>
          </cell>
        </row>
        <row r="20">
          <cell r="D20">
            <v>5.7646075230342375E-2</v>
          </cell>
          <cell r="E20">
            <v>1.6123133160604031E-2</v>
          </cell>
          <cell r="F20">
            <v>9.4101836865768152E-11</v>
          </cell>
          <cell r="G20">
            <v>4.6114307770157161E-39</v>
          </cell>
          <cell r="H20">
            <v>1.108060758702213E-28</v>
          </cell>
        </row>
        <row r="21">
          <cell r="D21">
            <v>1.1529215046068481E-2</v>
          </cell>
          <cell r="E21">
            <v>3.5470892953328892E-2</v>
          </cell>
          <cell r="F21">
            <v>5.834313885677679E-10</v>
          </cell>
          <cell r="G21">
            <v>7.4705178587655428E-38</v>
          </cell>
          <cell r="H21">
            <v>1.2272651455946462E-27</v>
          </cell>
        </row>
        <row r="22">
          <cell r="E22">
            <v>6.756360562538842E-2</v>
          </cell>
          <cell r="F22">
            <v>3.3338936489586684E-9</v>
          </cell>
          <cell r="G22">
            <v>1.1383646260975993E-36</v>
          </cell>
          <cell r="H22">
            <v>1.2960821705367536E-26</v>
          </cell>
        </row>
        <row r="23">
          <cell r="E23">
            <v>0.1105586273869992</v>
          </cell>
          <cell r="F23">
            <v>1.757871196723646E-8</v>
          </cell>
          <cell r="G23">
            <v>1.6351055538493085E-35</v>
          </cell>
          <cell r="H23">
            <v>1.305106590054544E-25</v>
          </cell>
        </row>
        <row r="24">
          <cell r="E24">
            <v>0.15382069897321635</v>
          </cell>
          <cell r="F24">
            <v>8.560068436219533E-8</v>
          </cell>
          <cell r="G24">
            <v>2.2180562295694644E-34</v>
          </cell>
          <cell r="H24">
            <v>1.2530798294671511E-24</v>
          </cell>
        </row>
        <row r="25">
          <cell r="E25">
            <v>0.17945748213541912</v>
          </cell>
          <cell r="F25">
            <v>3.852030796298801E-7</v>
          </cell>
          <cell r="G25">
            <v>2.8465054946141651E-33</v>
          </cell>
          <cell r="H25">
            <v>1.147177991157394E-23</v>
          </cell>
        </row>
        <row r="26">
          <cell r="E26">
            <v>0.17227918285000246</v>
          </cell>
          <cell r="F26">
            <v>1.6024448112603033E-6</v>
          </cell>
          <cell r="G26">
            <v>3.4613506814508011E-32</v>
          </cell>
          <cell r="H26">
            <v>1.001387541262745E-22</v>
          </cell>
        </row>
        <row r="27">
          <cell r="E27">
            <v>0.13252244834615579</v>
          </cell>
          <cell r="F27">
            <v>6.1632492740781053E-6</v>
          </cell>
          <cell r="G27">
            <v>3.9938661709047964E-31</v>
          </cell>
          <cell r="H27">
            <v>8.3347556410673723E-22</v>
          </cell>
        </row>
        <row r="28">
          <cell r="E28">
            <v>7.8531821242166386E-2</v>
          </cell>
          <cell r="F28">
            <v>2.1913775196722137E-5</v>
          </cell>
          <cell r="G28">
            <v>4.3784606910659768E-30</v>
          </cell>
          <cell r="H28">
            <v>6.6145890852068069E-21</v>
          </cell>
        </row>
        <row r="29">
          <cell r="E29">
            <v>3.3656494818071342E-2</v>
          </cell>
          <cell r="F29">
            <v>7.2002404217801381E-5</v>
          </cell>
          <cell r="G29">
            <v>4.5661090063974346E-29</v>
          </cell>
          <cell r="H29">
            <v>5.0053238091862779E-20</v>
          </cell>
        </row>
        <row r="30">
          <cell r="E30">
            <v>9.2845502946403632E-3</v>
          </cell>
          <cell r="F30">
            <v>2.184900541781554E-4</v>
          </cell>
          <cell r="G30">
            <v>4.5346185994566999E-28</v>
          </cell>
          <cell r="H30">
            <v>3.6114432728171703E-19</v>
          </cell>
        </row>
        <row r="31">
          <cell r="E31">
            <v>1.2379400392853819E-3</v>
          </cell>
          <cell r="F31">
            <v>6.1177215169883525E-4</v>
          </cell>
          <cell r="G31">
            <v>4.2927722741523951E-27</v>
          </cell>
          <cell r="H31">
            <v>2.4845556398280711E-18</v>
          </cell>
        </row>
        <row r="32">
          <cell r="F32">
            <v>1.57876684309377E-3</v>
          </cell>
          <cell r="G32">
            <v>3.8773426992343521E-26</v>
          </cell>
          <cell r="H32">
            <v>1.6298062040780609E-17</v>
          </cell>
        </row>
        <row r="33">
          <cell r="F33">
            <v>3.7495712523477015E-3</v>
          </cell>
          <cell r="G33">
            <v>3.344208078089663E-25</v>
          </cell>
          <cell r="H33">
            <v>1.0193950416118805E-16</v>
          </cell>
        </row>
        <row r="34">
          <cell r="F34">
            <v>8.1808827323949888E-3</v>
          </cell>
          <cell r="G34">
            <v>2.7564381734557039E-24</v>
          </cell>
          <cell r="H34">
            <v>6.07950720327497E-16</v>
          </cell>
        </row>
        <row r="35">
          <cell r="F35">
            <v>1.6361765464789978E-2</v>
          </cell>
          <cell r="G35">
            <v>2.172721854370959E-23</v>
          </cell>
          <cell r="H35">
            <v>3.4571127856418742E-15</v>
          </cell>
        </row>
        <row r="36">
          <cell r="F36">
            <v>2.9918656849901699E-2</v>
          </cell>
          <cell r="G36">
            <v>1.6388530558683996E-22</v>
          </cell>
          <cell r="H36">
            <v>1.8744679950410286E-14</v>
          </cell>
        </row>
        <row r="37">
          <cell r="F37">
            <v>4.9864428083169501E-2</v>
          </cell>
          <cell r="G37">
            <v>1.1836160959049489E-21</v>
          </cell>
          <cell r="H37">
            <v>9.6908488825182896E-14</v>
          </cell>
        </row>
        <row r="38">
          <cell r="F38">
            <v>7.5470485747499816E-2</v>
          </cell>
          <cell r="G38">
            <v>8.18934379869379E-21</v>
          </cell>
          <cell r="H38">
            <v>4.777106499037345E-13</v>
          </cell>
        </row>
        <row r="39">
          <cell r="F39">
            <v>0.10327540154921024</v>
          </cell>
          <cell r="G39">
            <v>5.4308279928179232E-20</v>
          </cell>
          <cell r="H39">
            <v>2.2453670015459739E-12</v>
          </cell>
        </row>
        <row r="40">
          <cell r="F40">
            <v>0.12710818652210493</v>
          </cell>
          <cell r="G40">
            <v>3.4534495954329355E-19</v>
          </cell>
          <cell r="H40">
            <v>1.0063036749726343E-11</v>
          </cell>
        </row>
        <row r="41">
          <cell r="F41">
            <v>0.13981900517431542</v>
          </cell>
          <cell r="G41">
            <v>2.1066042532141223E-18</v>
          </cell>
          <cell r="H41">
            <v>4.3002142296042224E-11</v>
          </cell>
        </row>
        <row r="42">
          <cell r="F42">
            <v>0.13640878553591751</v>
          </cell>
          <cell r="G42">
            <v>1.2331341970033807E-17</v>
          </cell>
          <cell r="H42">
            <v>1.752146581167721E-10</v>
          </cell>
        </row>
        <row r="43">
          <cell r="F43">
            <v>0.11692181617364357</v>
          </cell>
          <cell r="G43">
            <v>6.9290397736380423E-17</v>
          </cell>
          <cell r="H43">
            <v>6.807224748670221E-10</v>
          </cell>
        </row>
        <row r="44">
          <cell r="F44">
            <v>8.7011584129223191E-2</v>
          </cell>
          <cell r="G44">
            <v>3.7384586685674779E-16</v>
          </cell>
          <cell r="H44">
            <v>2.5216746582569705E-9</v>
          </cell>
        </row>
        <row r="45">
          <cell r="F45">
            <v>5.5371008082232921E-2</v>
          </cell>
          <cell r="G45">
            <v>1.9372013100758558E-15</v>
          </cell>
          <cell r="H45">
            <v>8.9069154301484101E-9</v>
          </cell>
        </row>
        <row r="46">
          <cell r="F46">
            <v>2.9531204310524212E-2</v>
          </cell>
          <cell r="G46">
            <v>9.6429576323777069E-15</v>
          </cell>
          <cell r="H46">
            <v>2.9997489772991125E-8</v>
          </cell>
        </row>
        <row r="47">
          <cell r="F47">
            <v>1.2839654048054027E-2</v>
          </cell>
          <cell r="G47">
            <v>4.6118493024415116E-14</v>
          </cell>
          <cell r="H47">
            <v>9.6330055276556698E-8</v>
          </cell>
        </row>
        <row r="48">
          <cell r="F48">
            <v>4.3709460589120069E-3</v>
          </cell>
          <cell r="G48">
            <v>2.1194881900582322E-13</v>
          </cell>
          <cell r="H48">
            <v>2.9495653002721448E-7</v>
          </cell>
        </row>
        <row r="49">
          <cell r="F49">
            <v>1.0927365147280032E-3</v>
          </cell>
          <cell r="G49">
            <v>9.3610728394238765E-13</v>
          </cell>
          <cell r="H49">
            <v>8.6113954207598201E-7</v>
          </cell>
        </row>
        <row r="50">
          <cell r="F50">
            <v>1.784059615882452E-4</v>
          </cell>
          <cell r="G50">
            <v>3.9736798991840041E-12</v>
          </cell>
          <cell r="H50">
            <v>2.3972225728510397E-6</v>
          </cell>
        </row>
        <row r="51">
          <cell r="F51">
            <v>1.4272476927059631E-5</v>
          </cell>
          <cell r="G51">
            <v>1.6212613988670768E-11</v>
          </cell>
          <cell r="H51">
            <v>6.3630083854068707E-6</v>
          </cell>
        </row>
        <row r="52">
          <cell r="G52">
            <v>6.3578878386944531E-11</v>
          </cell>
          <cell r="H52">
            <v>1.6104080879681469E-5</v>
          </cell>
        </row>
        <row r="53">
          <cell r="G53">
            <v>2.396434646892531E-10</v>
          </cell>
          <cell r="H53">
            <v>3.8862317977309849E-5</v>
          </cell>
        </row>
        <row r="54">
          <cell r="G54">
            <v>8.6814236264785594E-10</v>
          </cell>
          <cell r="H54">
            <v>8.9421256730000672E-5</v>
          </cell>
        </row>
        <row r="55">
          <cell r="G55">
            <v>3.0224215588480947E-9</v>
          </cell>
          <cell r="H55">
            <v>1.9618786805939995E-4</v>
          </cell>
        </row>
        <row r="56">
          <cell r="G56">
            <v>1.0111373942328141E-8</v>
          </cell>
          <cell r="H56">
            <v>4.1041463303120157E-4</v>
          </cell>
        </row>
        <row r="57">
          <cell r="G57">
            <v>3.2500844814626371E-8</v>
          </cell>
          <cell r="H57">
            <v>8.1863976460233112E-4</v>
          </cell>
        </row>
        <row r="58">
          <cell r="G58">
            <v>1.0035348574340715E-7</v>
          </cell>
          <cell r="H58">
            <v>1.5569768168386469E-3</v>
          </cell>
        </row>
        <row r="59">
          <cell r="G59">
            <v>2.9759999220458724E-7</v>
          </cell>
          <cell r="H59">
            <v>2.8235193359972214E-3</v>
          </cell>
        </row>
        <row r="60">
          <cell r="G60">
            <v>8.4740336763340114E-7</v>
          </cell>
          <cell r="H60">
            <v>4.8822351910968922E-3</v>
          </cell>
        </row>
        <row r="61">
          <cell r="G61">
            <v>2.3162358715312965E-6</v>
          </cell>
          <cell r="H61">
            <v>8.0494450081221476E-3</v>
          </cell>
        </row>
        <row r="62">
          <cell r="G62">
            <v>6.0753727777869818E-6</v>
          </cell>
          <cell r="H62">
            <v>1.2654135748026945E-2</v>
          </cell>
        </row>
        <row r="63">
          <cell r="G63">
            <v>1.5286421827980233E-5</v>
          </cell>
          <cell r="H63">
            <v>1.896786066809213E-2</v>
          </cell>
        </row>
        <row r="64">
          <cell r="G64">
            <v>3.6881525680206275E-5</v>
          </cell>
          <cell r="H64">
            <v>2.7109625796163685E-2</v>
          </cell>
        </row>
        <row r="65">
          <cell r="G65">
            <v>8.5288528135476935E-5</v>
          </cell>
          <cell r="H65">
            <v>3.6944347909225128E-2</v>
          </cell>
        </row>
        <row r="66">
          <cell r="G66">
            <v>1.8894689310013394E-4</v>
          </cell>
          <cell r="H66">
            <v>4.8005588522252521E-2</v>
          </cell>
        </row>
        <row r="67">
          <cell r="G67">
            <v>4.0079643990937447E-4</v>
          </cell>
          <cell r="H67">
            <v>5.9477800730271861E-2</v>
          </cell>
        </row>
        <row r="68">
          <cell r="G68">
            <v>8.1355695265186419E-4</v>
          </cell>
          <cell r="H68">
            <v>7.0264719227054587E-2</v>
          </cell>
        </row>
        <row r="69">
          <cell r="G69">
            <v>1.5792576139712659E-3</v>
          </cell>
          <cell r="H69">
            <v>7.9147834909115658E-2</v>
          </cell>
        </row>
        <row r="70">
          <cell r="G70">
            <v>2.9296373128742371E-3</v>
          </cell>
          <cell r="H70">
            <v>8.5008053843883769E-2</v>
          </cell>
        </row>
        <row r="71">
          <cell r="G71">
            <v>5.1896432399486485E-3</v>
          </cell>
          <cell r="H71">
            <v>8.7056342755136337E-2</v>
          </cell>
        </row>
        <row r="72">
          <cell r="G72">
            <v>8.7712280111808157E-3</v>
          </cell>
          <cell r="H72">
            <v>8.5008053843883769E-2</v>
          </cell>
        </row>
        <row r="73">
          <cell r="G73">
            <v>1.4131422906902429E-2</v>
          </cell>
          <cell r="H73">
            <v>7.9147834909115658E-2</v>
          </cell>
        </row>
        <row r="74">
          <cell r="G74">
            <v>2.168108719963116E-2</v>
          </cell>
          <cell r="H74">
            <v>7.0264719227054587E-2</v>
          </cell>
        </row>
        <row r="75">
          <cell r="G75">
            <v>3.1642667804867075E-2</v>
          </cell>
          <cell r="H75">
            <v>5.9477800730271861E-2</v>
          </cell>
        </row>
        <row r="76">
          <cell r="G76">
            <v>4.3877832689415669E-2</v>
          </cell>
          <cell r="H76">
            <v>4.8005588522252521E-2</v>
          </cell>
        </row>
        <row r="77">
          <cell r="G77">
            <v>5.7733990380810063E-2</v>
          </cell>
          <cell r="H77">
            <v>3.6944347909225128E-2</v>
          </cell>
        </row>
        <row r="78">
          <cell r="G78">
            <v>7.1980039955295658E-2</v>
          </cell>
          <cell r="H78">
            <v>2.7109625796163685E-2</v>
          </cell>
        </row>
        <row r="79">
          <cell r="G79">
            <v>8.4899534306246208E-2</v>
          </cell>
          <cell r="H79">
            <v>1.896786066809213E-2</v>
          </cell>
        </row>
        <row r="80">
          <cell r="G80">
            <v>9.4571633151261603E-2</v>
          </cell>
          <cell r="H80">
            <v>1.2654135748026945E-2</v>
          </cell>
        </row>
        <row r="81">
          <cell r="G81">
            <v>9.9300214808824727E-2</v>
          </cell>
          <cell r="H81">
            <v>8.0494450081221476E-3</v>
          </cell>
        </row>
        <row r="82">
          <cell r="G82">
            <v>9.8074286230937988E-2</v>
          </cell>
          <cell r="H82">
            <v>4.8822351910968922E-3</v>
          </cell>
        </row>
        <row r="83">
          <cell r="G83">
            <v>9.0898118945747466E-2</v>
          </cell>
          <cell r="H83">
            <v>2.8235193359972214E-3</v>
          </cell>
        </row>
        <row r="84">
          <cell r="G84">
            <v>7.8851380290286918E-2</v>
          </cell>
          <cell r="H84">
            <v>1.5569768168386469E-3</v>
          </cell>
        </row>
        <row r="85">
          <cell r="G85">
            <v>6.3832069758803692E-2</v>
          </cell>
          <cell r="H85">
            <v>8.1863976460233112E-4</v>
          </cell>
        </row>
        <row r="86">
          <cell r="G86">
            <v>4.8061793700746307E-2</v>
          </cell>
          <cell r="H86">
            <v>4.1041463303120157E-4</v>
          </cell>
        </row>
        <row r="87">
          <cell r="G87">
            <v>3.3531483977264902E-2</v>
          </cell>
          <cell r="H87">
            <v>1.9618786805939995E-4</v>
          </cell>
        </row>
        <row r="88">
          <cell r="G88">
            <v>2.1583483939388894E-2</v>
          </cell>
          <cell r="H88">
            <v>8.9421256730000672E-5</v>
          </cell>
        </row>
        <row r="89">
          <cell r="G89">
            <v>1.2753876873275253E-2</v>
          </cell>
          <cell r="H89">
            <v>3.8862317977309849E-5</v>
          </cell>
        </row>
        <row r="90">
          <cell r="G90">
            <v>6.878495392328242E-3</v>
          </cell>
          <cell r="H90">
            <v>1.6104080879681469E-5</v>
          </cell>
        </row>
        <row r="91">
          <cell r="G91">
            <v>3.3628199695826867E-3</v>
          </cell>
          <cell r="H91">
            <v>6.3630083854068707E-6</v>
          </cell>
        </row>
        <row r="92">
          <cell r="G92">
            <v>1.4781626239923913E-3</v>
          </cell>
          <cell r="H92">
            <v>2.3972225728510397E-6</v>
          </cell>
        </row>
        <row r="93">
          <cell r="G93">
            <v>5.7841146156224093E-4</v>
          </cell>
          <cell r="H93">
            <v>8.6113954207598201E-7</v>
          </cell>
        </row>
        <row r="94">
          <cell r="G94">
            <v>1.9902329860206126E-4</v>
          </cell>
          <cell r="H94">
            <v>2.9495653002721448E-7</v>
          </cell>
        </row>
        <row r="95">
          <cell r="G95">
            <v>5.9283535753805565E-5</v>
          </cell>
          <cell r="H95">
            <v>9.6330055276556698E-8</v>
          </cell>
        </row>
        <row r="96">
          <cell r="G96">
            <v>1.4976893243066663E-5</v>
          </cell>
          <cell r="H96">
            <v>2.9997489772991125E-8</v>
          </cell>
        </row>
        <row r="97">
          <cell r="G97">
            <v>3.1201860923055643E-6</v>
          </cell>
          <cell r="H97">
            <v>8.9069154301484101E-9</v>
          </cell>
        </row>
        <row r="98">
          <cell r="G98">
            <v>5.1466987089576095E-7</v>
          </cell>
          <cell r="H98">
            <v>2.5216746582569705E-9</v>
          </cell>
        </row>
        <row r="99">
          <cell r="G99">
            <v>6.3020800517848304E-8</v>
          </cell>
          <cell r="H99">
            <v>6.807224748670221E-10</v>
          </cell>
        </row>
        <row r="100">
          <cell r="G100">
            <v>5.0925899408362083E-9</v>
          </cell>
          <cell r="H100">
            <v>1.752146581167721E-10</v>
          </cell>
        </row>
        <row r="101">
          <cell r="G101">
            <v>2.0370359763344954E-10</v>
          </cell>
          <cell r="H101">
            <v>4.3002142296042224E-11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7CF2-4E76-4836-B38C-0D040FFB2E1B}">
  <dimension ref="A1:H101"/>
  <sheetViews>
    <sheetView tabSelected="1" workbookViewId="0">
      <selection activeCell="D13" sqref="D13"/>
    </sheetView>
  </sheetViews>
  <sheetFormatPr defaultRowHeight="15" x14ac:dyDescent="0.25"/>
  <cols>
    <col min="1" max="1" width="9.42578125" bestFit="1" customWidth="1"/>
    <col min="2" max="2" width="9.28515625" bestFit="1" customWidth="1"/>
    <col min="3" max="3" width="13.42578125" bestFit="1" customWidth="1"/>
    <col min="4" max="5" width="14.7109375" bestFit="1" customWidth="1"/>
    <col min="6" max="8" width="14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f>_xlfn.BINOM.DIST(A2,5,0.8,0)</f>
        <v>6.3999999999999968E-3</v>
      </c>
      <c r="C2">
        <f>_xlfn.BINOM.DIST(A2,10,0.8,0)</f>
        <v>4.0959999999999935E-6</v>
      </c>
      <c r="D2">
        <f>_xlfn.BINOM.DIST(A2,20,0.8,0)</f>
        <v>8.3886079999999331E-13</v>
      </c>
      <c r="E2">
        <f>_xlfn.BINOM.DIST(A2,30,0.8,0)</f>
        <v>1.2884901887999919E-19</v>
      </c>
      <c r="F2">
        <f>_xlfn.BINOM.DIST(A2,50,0.8,0)</f>
        <v>2.2517998136852134E-33</v>
      </c>
      <c r="G2">
        <f>_xlfn.BINOM.DIST(A2,100,0.8,0)</f>
        <v>5.0706024009127163E-68</v>
      </c>
      <c r="H2">
        <f>_xlfn.NORM.DIST(A2,100*0.7,SQRT(100*0.7*0.3),FALSE)</f>
        <v>5.1217548961900992E-51</v>
      </c>
    </row>
    <row r="3" spans="1:8" x14ac:dyDescent="0.25">
      <c r="A3">
        <v>2</v>
      </c>
      <c r="B3">
        <f t="shared" ref="B3:B6" si="0">_xlfn.BINOM.DIST(A3,5,0.8,0)</f>
        <v>5.1199999999999954E-2</v>
      </c>
      <c r="C3">
        <f t="shared" ref="C3:C11" si="1">_xlfn.BINOM.DIST(A3,10,0.8,0)</f>
        <v>7.3727999999999861E-5</v>
      </c>
      <c r="D3">
        <f t="shared" ref="D3:D21" si="2">_xlfn.BINOM.DIST(A3,20,0.8,0)</f>
        <v>3.1876710399999934E-11</v>
      </c>
      <c r="E3">
        <f t="shared" ref="E3:E31" si="3">_xlfn.BINOM.DIST(A3,30,0.8,0)</f>
        <v>7.4732430950400238E-18</v>
      </c>
      <c r="F3">
        <f t="shared" ref="F3:F51" si="4">_xlfn.BINOM.DIST(A3,50,0.8,0)</f>
        <v>2.2067638174115406E-31</v>
      </c>
      <c r="G3">
        <f t="shared" ref="G3:G66" si="5">_xlfn.BINOM.DIST(A3,100,0.8,0)</f>
        <v>1.0039792753807395E-65</v>
      </c>
      <c r="H3">
        <f t="shared" ref="H3:H66" si="6">_xlfn.NORM.DIST(A3,100*0.7,SQRT(100*0.7*0.3),FALSE)</f>
        <v>1.3367371867205262E-49</v>
      </c>
    </row>
    <row r="4" spans="1:8" x14ac:dyDescent="0.25">
      <c r="A4">
        <v>3</v>
      </c>
      <c r="B4">
        <f t="shared" si="0"/>
        <v>0.20479999999999993</v>
      </c>
      <c r="C4">
        <f t="shared" si="1"/>
        <v>7.8643199999999815E-4</v>
      </c>
      <c r="D4">
        <f t="shared" si="2"/>
        <v>7.6504104959999862E-10</v>
      </c>
      <c r="E4">
        <f t="shared" si="3"/>
        <v>2.7900107554815681E-16</v>
      </c>
      <c r="F4">
        <f t="shared" si="4"/>
        <v>1.4123288431433782E-29</v>
      </c>
      <c r="G4">
        <f t="shared" si="5"/>
        <v>1.3118662531641892E-63</v>
      </c>
      <c r="H4">
        <f t="shared" si="6"/>
        <v>3.3265386890686324E-48</v>
      </c>
    </row>
    <row r="5" spans="1:8" x14ac:dyDescent="0.25">
      <c r="A5">
        <v>4</v>
      </c>
      <c r="B5">
        <f t="shared" si="0"/>
        <v>0.40959999999999996</v>
      </c>
      <c r="C5">
        <f t="shared" si="1"/>
        <v>5.5050239999999894E-3</v>
      </c>
      <c r="D5">
        <f t="shared" si="2"/>
        <v>1.3005697843199945E-8</v>
      </c>
      <c r="E5">
        <f t="shared" si="3"/>
        <v>7.533029039800263E-15</v>
      </c>
      <c r="F5">
        <f t="shared" si="4"/>
        <v>6.6379455627738944E-28</v>
      </c>
      <c r="G5">
        <f t="shared" si="5"/>
        <v>1.2725102655692404E-61</v>
      </c>
      <c r="H5">
        <f t="shared" si="6"/>
        <v>7.8932968900580549E-47</v>
      </c>
    </row>
    <row r="6" spans="1:8" x14ac:dyDescent="0.25">
      <c r="A6">
        <v>5</v>
      </c>
      <c r="B6">
        <f t="shared" si="0"/>
        <v>0.32768000000000008</v>
      </c>
      <c r="C6">
        <f t="shared" si="1"/>
        <v>2.642411519999999E-2</v>
      </c>
      <c r="D6">
        <f t="shared" si="2"/>
        <v>1.6647293239295945E-7</v>
      </c>
      <c r="E6">
        <f t="shared" si="3"/>
        <v>1.5668700402784557E-13</v>
      </c>
      <c r="F6">
        <f t="shared" si="4"/>
        <v>2.4427639671007857E-26</v>
      </c>
      <c r="G6">
        <f t="shared" si="5"/>
        <v>9.7728788395717222E-60</v>
      </c>
      <c r="H6">
        <f t="shared" si="6"/>
        <v>1.7858443657637199E-45</v>
      </c>
    </row>
    <row r="7" spans="1:8" x14ac:dyDescent="0.25">
      <c r="A7">
        <v>6</v>
      </c>
      <c r="C7">
        <f t="shared" si="1"/>
        <v>8.8080383999999984E-2</v>
      </c>
      <c r="D7">
        <f t="shared" si="2"/>
        <v>1.6647293239295904E-6</v>
      </c>
      <c r="E7">
        <f t="shared" si="3"/>
        <v>2.6114500671307584E-12</v>
      </c>
      <c r="F7">
        <f t="shared" si="4"/>
        <v>7.3282919013024146E-25</v>
      </c>
      <c r="G7">
        <f t="shared" si="5"/>
        <v>6.1894899317288268E-58</v>
      </c>
      <c r="H7">
        <f t="shared" si="6"/>
        <v>3.8525482630737798E-44</v>
      </c>
    </row>
    <row r="8" spans="1:8" x14ac:dyDescent="0.25">
      <c r="A8">
        <v>7</v>
      </c>
      <c r="C8">
        <f t="shared" si="1"/>
        <v>0.20132659199999994</v>
      </c>
      <c r="D8">
        <f t="shared" si="2"/>
        <v>1.3317834591436762E-5</v>
      </c>
      <c r="E8">
        <f t="shared" si="3"/>
        <v>3.5814172349221743E-11</v>
      </c>
      <c r="F8">
        <f t="shared" si="4"/>
        <v>1.8425419637560265E-23</v>
      </c>
      <c r="G8">
        <f t="shared" si="5"/>
        <v>3.324640306185708E-56</v>
      </c>
      <c r="H8">
        <f t="shared" si="6"/>
        <v>7.9245001615586621E-43</v>
      </c>
    </row>
    <row r="9" spans="1:8" x14ac:dyDescent="0.25">
      <c r="A9">
        <v>8</v>
      </c>
      <c r="C9">
        <f t="shared" si="1"/>
        <v>0.3019898880000001</v>
      </c>
      <c r="D9">
        <f t="shared" si="2"/>
        <v>8.6565924844338843E-5</v>
      </c>
      <c r="E9">
        <f t="shared" si="3"/>
        <v>4.1186298201605231E-10</v>
      </c>
      <c r="F9">
        <f t="shared" si="4"/>
        <v>3.961465222075416E-22</v>
      </c>
      <c r="G9">
        <f t="shared" si="5"/>
        <v>1.5459577423763904E-54</v>
      </c>
      <c r="H9">
        <f t="shared" si="6"/>
        <v>1.5542288976443877E-41</v>
      </c>
    </row>
    <row r="10" spans="1:8" x14ac:dyDescent="0.25">
      <c r="A10">
        <v>9</v>
      </c>
      <c r="C10">
        <f t="shared" si="1"/>
        <v>0.26843545600000007</v>
      </c>
      <c r="D10">
        <f t="shared" si="2"/>
        <v>4.6168493250314189E-4</v>
      </c>
      <c r="E10">
        <f t="shared" si="3"/>
        <v>4.027104713045849E-9</v>
      </c>
      <c r="F10">
        <f t="shared" si="4"/>
        <v>7.3947350812074757E-21</v>
      </c>
      <c r="G10">
        <f t="shared" si="5"/>
        <v>6.3212494354945442E-53</v>
      </c>
      <c r="H10">
        <f t="shared" si="6"/>
        <v>2.9065472725668169E-40</v>
      </c>
    </row>
    <row r="11" spans="1:8" x14ac:dyDescent="0.25">
      <c r="A11">
        <v>10</v>
      </c>
      <c r="C11">
        <f t="shared" si="1"/>
        <v>0.10737418240000005</v>
      </c>
      <c r="D11">
        <f t="shared" si="2"/>
        <v>2.0314137030138235E-3</v>
      </c>
      <c r="E11">
        <f t="shared" si="3"/>
        <v>3.3827679589585128E-8</v>
      </c>
      <c r="F11">
        <f t="shared" si="4"/>
        <v>1.2127365533180323E-19</v>
      </c>
      <c r="G11">
        <f t="shared" si="5"/>
        <v>2.3009347945200567E-51</v>
      </c>
      <c r="H11">
        <f t="shared" si="6"/>
        <v>5.182736301930062E-39</v>
      </c>
    </row>
    <row r="12" spans="1:8" x14ac:dyDescent="0.25">
      <c r="A12">
        <v>11</v>
      </c>
      <c r="D12">
        <f t="shared" si="2"/>
        <v>7.3869589200502694E-3</v>
      </c>
      <c r="E12">
        <f t="shared" si="3"/>
        <v>2.4601948792425569E-7</v>
      </c>
      <c r="F12">
        <f t="shared" si="4"/>
        <v>1.7639804411898705E-18</v>
      </c>
      <c r="G12">
        <f t="shared" si="5"/>
        <v>7.5303320547928692E-50</v>
      </c>
      <c r="H12">
        <f t="shared" si="6"/>
        <v>8.8117089604388383E-38</v>
      </c>
    </row>
    <row r="13" spans="1:8" x14ac:dyDescent="0.25">
      <c r="A13">
        <v>12</v>
      </c>
      <c r="D13">
        <f t="shared" si="2"/>
        <v>2.2160876760150813E-2</v>
      </c>
      <c r="E13">
        <f t="shared" si="3"/>
        <v>1.5581234235202806E-6</v>
      </c>
      <c r="F13">
        <f t="shared" si="4"/>
        <v>2.2931745735468298E-17</v>
      </c>
      <c r="G13">
        <f t="shared" si="5"/>
        <v>2.2339985095885734E-48</v>
      </c>
      <c r="H13">
        <f t="shared" si="6"/>
        <v>1.4285007968067421E-36</v>
      </c>
    </row>
    <row r="14" spans="1:8" x14ac:dyDescent="0.25">
      <c r="A14">
        <v>13</v>
      </c>
      <c r="D14">
        <f t="shared" si="2"/>
        <v>5.4549850486525039E-2</v>
      </c>
      <c r="E14">
        <f t="shared" si="3"/>
        <v>8.6296066533431168E-6</v>
      </c>
      <c r="F14">
        <f t="shared" si="4"/>
        <v>2.6812502706086153E-16</v>
      </c>
      <c r="G14">
        <f t="shared" si="5"/>
        <v>6.0489805798088843E-47</v>
      </c>
      <c r="H14">
        <f t="shared" si="6"/>
        <v>2.2081071285045839E-35</v>
      </c>
    </row>
    <row r="15" spans="1:8" x14ac:dyDescent="0.25">
      <c r="A15">
        <v>14</v>
      </c>
      <c r="D15">
        <f t="shared" si="2"/>
        <v>0.10909970097305018</v>
      </c>
      <c r="E15">
        <f t="shared" si="3"/>
        <v>4.191523231623793E-5</v>
      </c>
      <c r="F15">
        <f t="shared" si="4"/>
        <v>2.8344645717862373E-15</v>
      </c>
      <c r="G15">
        <f t="shared" si="5"/>
        <v>1.5036037441239525E-45</v>
      </c>
      <c r="H15">
        <f t="shared" si="6"/>
        <v>3.2544612359926392E-34</v>
      </c>
    </row>
    <row r="16" spans="1:8" x14ac:dyDescent="0.25">
      <c r="A16">
        <v>15</v>
      </c>
      <c r="D16">
        <f t="shared" si="2"/>
        <v>0.17455952155688034</v>
      </c>
      <c r="E16">
        <f t="shared" si="3"/>
        <v>1.7883832454928218E-4</v>
      </c>
      <c r="F16">
        <f t="shared" si="4"/>
        <v>2.7210859889147774E-14</v>
      </c>
      <c r="G16">
        <f t="shared" si="5"/>
        <v>3.4482645865242069E-44</v>
      </c>
      <c r="H16">
        <f t="shared" si="6"/>
        <v>4.573591547811912E-33</v>
      </c>
    </row>
    <row r="17" spans="1:8" x14ac:dyDescent="0.25">
      <c r="A17">
        <v>16</v>
      </c>
      <c r="D17">
        <f t="shared" si="2"/>
        <v>0.21819940194610055</v>
      </c>
      <c r="E17">
        <f t="shared" si="3"/>
        <v>6.7064371705980895E-4</v>
      </c>
      <c r="F17">
        <f t="shared" si="4"/>
        <v>2.3809502403004321E-13</v>
      </c>
      <c r="G17">
        <f t="shared" si="5"/>
        <v>7.3275622463638934E-43</v>
      </c>
      <c r="H17">
        <f t="shared" si="6"/>
        <v>6.1285108681233968E-32</v>
      </c>
    </row>
    <row r="18" spans="1:8" x14ac:dyDescent="0.25">
      <c r="A18">
        <v>17</v>
      </c>
      <c r="D18">
        <f t="shared" si="2"/>
        <v>0.20536414300809461</v>
      </c>
      <c r="E18">
        <f t="shared" si="3"/>
        <v>2.2091793032558396E-3</v>
      </c>
      <c r="F18">
        <f t="shared" si="4"/>
        <v>1.9047601922403404E-12</v>
      </c>
      <c r="G18">
        <f t="shared" si="5"/>
        <v>1.4482711263401825E-41</v>
      </c>
      <c r="H18">
        <f t="shared" si="6"/>
        <v>7.8301819697010172E-31</v>
      </c>
    </row>
    <row r="19" spans="1:8" x14ac:dyDescent="0.25">
      <c r="A19">
        <v>18</v>
      </c>
      <c r="D19">
        <f t="shared" si="2"/>
        <v>0.13690942867206315</v>
      </c>
      <c r="E19">
        <f t="shared" si="3"/>
        <v>6.3820735427391004E-3</v>
      </c>
      <c r="F19">
        <f t="shared" si="4"/>
        <v>1.3968241409762516E-11</v>
      </c>
      <c r="G19">
        <f t="shared" si="5"/>
        <v>2.6712556330274129E-40</v>
      </c>
      <c r="H19">
        <f t="shared" si="6"/>
        <v>9.5391144557091874E-30</v>
      </c>
    </row>
    <row r="20" spans="1:8" x14ac:dyDescent="0.25">
      <c r="A20">
        <v>19</v>
      </c>
      <c r="D20">
        <f t="shared" si="2"/>
        <v>5.7646075230342375E-2</v>
      </c>
      <c r="E20">
        <f t="shared" si="3"/>
        <v>1.6123133160604031E-2</v>
      </c>
      <c r="F20">
        <f t="shared" si="4"/>
        <v>9.4101836865768152E-11</v>
      </c>
      <c r="G20">
        <f t="shared" si="5"/>
        <v>4.6114307770157161E-39</v>
      </c>
      <c r="H20">
        <f t="shared" si="6"/>
        <v>1.108060758702213E-28</v>
      </c>
    </row>
    <row r="21" spans="1:8" x14ac:dyDescent="0.25">
      <c r="A21">
        <v>20</v>
      </c>
      <c r="D21">
        <f t="shared" si="2"/>
        <v>1.1529215046068481E-2</v>
      </c>
      <c r="E21">
        <f t="shared" si="3"/>
        <v>3.5470892953328892E-2</v>
      </c>
      <c r="F21">
        <f t="shared" si="4"/>
        <v>5.834313885677679E-10</v>
      </c>
      <c r="G21">
        <f t="shared" si="5"/>
        <v>7.4705178587655428E-38</v>
      </c>
      <c r="H21">
        <f t="shared" si="6"/>
        <v>1.2272651455946462E-27</v>
      </c>
    </row>
    <row r="22" spans="1:8" x14ac:dyDescent="0.25">
      <c r="A22">
        <v>21</v>
      </c>
      <c r="E22">
        <f t="shared" si="3"/>
        <v>6.756360562538842E-2</v>
      </c>
      <c r="F22">
        <f t="shared" si="4"/>
        <v>3.3338936489586684E-9</v>
      </c>
      <c r="G22">
        <f t="shared" si="5"/>
        <v>1.1383646260975993E-36</v>
      </c>
      <c r="H22">
        <f t="shared" si="6"/>
        <v>1.2960821705367536E-26</v>
      </c>
    </row>
    <row r="23" spans="1:8" x14ac:dyDescent="0.25">
      <c r="A23">
        <v>22</v>
      </c>
      <c r="E23">
        <f t="shared" si="3"/>
        <v>0.1105586273869992</v>
      </c>
      <c r="F23">
        <f t="shared" si="4"/>
        <v>1.757871196723646E-8</v>
      </c>
      <c r="G23">
        <f t="shared" si="5"/>
        <v>1.6351055538493085E-35</v>
      </c>
      <c r="H23">
        <f t="shared" si="6"/>
        <v>1.305106590054544E-25</v>
      </c>
    </row>
    <row r="24" spans="1:8" x14ac:dyDescent="0.25">
      <c r="A24">
        <v>23</v>
      </c>
      <c r="E24">
        <f t="shared" si="3"/>
        <v>0.15382069897321635</v>
      </c>
      <c r="F24">
        <f t="shared" si="4"/>
        <v>8.560068436219533E-8</v>
      </c>
      <c r="G24">
        <f t="shared" si="5"/>
        <v>2.2180562295694644E-34</v>
      </c>
      <c r="H24">
        <f t="shared" si="6"/>
        <v>1.2530798294671511E-24</v>
      </c>
    </row>
    <row r="25" spans="1:8" x14ac:dyDescent="0.25">
      <c r="A25">
        <v>24</v>
      </c>
      <c r="E25">
        <f t="shared" si="3"/>
        <v>0.17945748213541912</v>
      </c>
      <c r="F25">
        <f t="shared" si="4"/>
        <v>3.852030796298801E-7</v>
      </c>
      <c r="G25">
        <f t="shared" si="5"/>
        <v>2.8465054946141651E-33</v>
      </c>
      <c r="H25">
        <f t="shared" si="6"/>
        <v>1.147177991157394E-23</v>
      </c>
    </row>
    <row r="26" spans="1:8" x14ac:dyDescent="0.25">
      <c r="A26">
        <v>25</v>
      </c>
      <c r="E26">
        <f t="shared" si="3"/>
        <v>0.17227918285000246</v>
      </c>
      <c r="F26">
        <f t="shared" si="4"/>
        <v>1.6024448112603033E-6</v>
      </c>
      <c r="G26">
        <f t="shared" si="5"/>
        <v>3.4613506814508011E-32</v>
      </c>
      <c r="H26">
        <f t="shared" si="6"/>
        <v>1.001387541262745E-22</v>
      </c>
    </row>
    <row r="27" spans="1:8" x14ac:dyDescent="0.25">
      <c r="A27">
        <v>26</v>
      </c>
      <c r="E27">
        <f t="shared" si="3"/>
        <v>0.13252244834615579</v>
      </c>
      <c r="F27">
        <f t="shared" si="4"/>
        <v>6.1632492740781053E-6</v>
      </c>
      <c r="G27">
        <f t="shared" si="5"/>
        <v>3.9938661709047964E-31</v>
      </c>
      <c r="H27">
        <f t="shared" si="6"/>
        <v>8.3347556410673723E-22</v>
      </c>
    </row>
    <row r="28" spans="1:8" x14ac:dyDescent="0.25">
      <c r="A28">
        <v>27</v>
      </c>
      <c r="E28">
        <f t="shared" si="3"/>
        <v>7.8531821242166386E-2</v>
      </c>
      <c r="F28">
        <f t="shared" si="4"/>
        <v>2.1913775196722137E-5</v>
      </c>
      <c r="G28">
        <f t="shared" si="5"/>
        <v>4.3784606910659768E-30</v>
      </c>
      <c r="H28">
        <f t="shared" si="6"/>
        <v>6.6145890852068069E-21</v>
      </c>
    </row>
    <row r="29" spans="1:8" x14ac:dyDescent="0.25">
      <c r="A29">
        <v>28</v>
      </c>
      <c r="E29">
        <f t="shared" si="3"/>
        <v>3.3656494818071342E-2</v>
      </c>
      <c r="F29">
        <f t="shared" si="4"/>
        <v>7.2002404217801381E-5</v>
      </c>
      <c r="G29">
        <f t="shared" si="5"/>
        <v>4.5661090063974346E-29</v>
      </c>
      <c r="H29">
        <f t="shared" si="6"/>
        <v>5.0053238091862779E-20</v>
      </c>
    </row>
    <row r="30" spans="1:8" x14ac:dyDescent="0.25">
      <c r="A30">
        <v>29</v>
      </c>
      <c r="E30">
        <f t="shared" si="3"/>
        <v>9.2845502946403632E-3</v>
      </c>
      <c r="F30">
        <f t="shared" si="4"/>
        <v>2.184900541781554E-4</v>
      </c>
      <c r="G30">
        <f t="shared" si="5"/>
        <v>4.5346185994566999E-28</v>
      </c>
      <c r="H30">
        <f t="shared" si="6"/>
        <v>3.6114432728171703E-19</v>
      </c>
    </row>
    <row r="31" spans="1:8" x14ac:dyDescent="0.25">
      <c r="A31">
        <v>30</v>
      </c>
      <c r="E31">
        <f t="shared" si="3"/>
        <v>1.2379400392853819E-3</v>
      </c>
      <c r="F31">
        <f t="shared" si="4"/>
        <v>6.1177215169883525E-4</v>
      </c>
      <c r="G31">
        <f t="shared" si="5"/>
        <v>4.2927722741523951E-27</v>
      </c>
      <c r="H31">
        <f t="shared" si="6"/>
        <v>2.4845556398280711E-18</v>
      </c>
    </row>
    <row r="32" spans="1:8" x14ac:dyDescent="0.25">
      <c r="A32">
        <v>31</v>
      </c>
      <c r="F32">
        <f t="shared" si="4"/>
        <v>1.57876684309377E-3</v>
      </c>
      <c r="G32">
        <f t="shared" si="5"/>
        <v>3.8773426992343521E-26</v>
      </c>
      <c r="H32">
        <f t="shared" si="6"/>
        <v>1.6298062040780609E-17</v>
      </c>
    </row>
    <row r="33" spans="1:8" x14ac:dyDescent="0.25">
      <c r="A33">
        <v>32</v>
      </c>
      <c r="F33">
        <f t="shared" si="4"/>
        <v>3.7495712523477015E-3</v>
      </c>
      <c r="G33">
        <f t="shared" si="5"/>
        <v>3.344208078089663E-25</v>
      </c>
      <c r="H33">
        <f t="shared" si="6"/>
        <v>1.0193950416118805E-16</v>
      </c>
    </row>
    <row r="34" spans="1:8" x14ac:dyDescent="0.25">
      <c r="A34">
        <v>33</v>
      </c>
      <c r="F34">
        <f t="shared" si="4"/>
        <v>8.1808827323949888E-3</v>
      </c>
      <c r="G34">
        <f t="shared" si="5"/>
        <v>2.7564381734557039E-24</v>
      </c>
      <c r="H34">
        <f t="shared" si="6"/>
        <v>6.07950720327497E-16</v>
      </c>
    </row>
    <row r="35" spans="1:8" x14ac:dyDescent="0.25">
      <c r="A35">
        <v>34</v>
      </c>
      <c r="F35">
        <f t="shared" si="4"/>
        <v>1.6361765464789978E-2</v>
      </c>
      <c r="G35">
        <f t="shared" si="5"/>
        <v>2.172721854370959E-23</v>
      </c>
      <c r="H35">
        <f t="shared" si="6"/>
        <v>3.4571127856418742E-15</v>
      </c>
    </row>
    <row r="36" spans="1:8" x14ac:dyDescent="0.25">
      <c r="A36">
        <v>35</v>
      </c>
      <c r="F36">
        <f t="shared" si="4"/>
        <v>2.9918656849901699E-2</v>
      </c>
      <c r="G36">
        <f t="shared" si="5"/>
        <v>1.6388530558683996E-22</v>
      </c>
      <c r="H36">
        <f t="shared" si="6"/>
        <v>1.8744679950410286E-14</v>
      </c>
    </row>
    <row r="37" spans="1:8" x14ac:dyDescent="0.25">
      <c r="A37">
        <v>36</v>
      </c>
      <c r="F37">
        <f t="shared" si="4"/>
        <v>4.9864428083169501E-2</v>
      </c>
      <c r="G37">
        <f t="shared" si="5"/>
        <v>1.1836160959049489E-21</v>
      </c>
      <c r="H37">
        <f t="shared" si="6"/>
        <v>9.6908488825182896E-14</v>
      </c>
    </row>
    <row r="38" spans="1:8" x14ac:dyDescent="0.25">
      <c r="A38">
        <v>37</v>
      </c>
      <c r="F38">
        <f t="shared" si="4"/>
        <v>7.5470485747499816E-2</v>
      </c>
      <c r="G38">
        <f t="shared" si="5"/>
        <v>8.18934379869379E-21</v>
      </c>
      <c r="H38">
        <f t="shared" si="6"/>
        <v>4.777106499037345E-13</v>
      </c>
    </row>
    <row r="39" spans="1:8" x14ac:dyDescent="0.25">
      <c r="A39">
        <v>38</v>
      </c>
      <c r="F39">
        <f t="shared" si="4"/>
        <v>0.10327540154921024</v>
      </c>
      <c r="G39">
        <f t="shared" si="5"/>
        <v>5.4308279928179232E-20</v>
      </c>
      <c r="H39">
        <f t="shared" si="6"/>
        <v>2.2453670015459739E-12</v>
      </c>
    </row>
    <row r="40" spans="1:8" x14ac:dyDescent="0.25">
      <c r="A40">
        <v>39</v>
      </c>
      <c r="F40">
        <f t="shared" si="4"/>
        <v>0.12710818652210493</v>
      </c>
      <c r="G40">
        <f t="shared" si="5"/>
        <v>3.4534495954329355E-19</v>
      </c>
      <c r="H40">
        <f t="shared" si="6"/>
        <v>1.0063036749726343E-11</v>
      </c>
    </row>
    <row r="41" spans="1:8" x14ac:dyDescent="0.25">
      <c r="A41">
        <v>40</v>
      </c>
      <c r="F41">
        <f t="shared" si="4"/>
        <v>0.13981900517431542</v>
      </c>
      <c r="G41">
        <f t="shared" si="5"/>
        <v>2.1066042532141223E-18</v>
      </c>
      <c r="H41">
        <f t="shared" si="6"/>
        <v>4.3002142296042224E-11</v>
      </c>
    </row>
    <row r="42" spans="1:8" x14ac:dyDescent="0.25">
      <c r="A42">
        <v>41</v>
      </c>
      <c r="F42">
        <f t="shared" si="4"/>
        <v>0.13640878553591751</v>
      </c>
      <c r="G42">
        <f t="shared" si="5"/>
        <v>1.2331341970033807E-17</v>
      </c>
      <c r="H42">
        <f t="shared" si="6"/>
        <v>1.752146581167721E-10</v>
      </c>
    </row>
    <row r="43" spans="1:8" x14ac:dyDescent="0.25">
      <c r="A43">
        <v>42</v>
      </c>
      <c r="F43">
        <f t="shared" si="4"/>
        <v>0.11692181617364357</v>
      </c>
      <c r="G43">
        <f t="shared" si="5"/>
        <v>6.9290397736380423E-17</v>
      </c>
      <c r="H43">
        <f t="shared" si="6"/>
        <v>6.807224748670221E-10</v>
      </c>
    </row>
    <row r="44" spans="1:8" x14ac:dyDescent="0.25">
      <c r="A44">
        <v>43</v>
      </c>
      <c r="F44">
        <f t="shared" si="4"/>
        <v>8.7011584129223191E-2</v>
      </c>
      <c r="G44">
        <f t="shared" si="5"/>
        <v>3.7384586685674779E-16</v>
      </c>
      <c r="H44">
        <f t="shared" si="6"/>
        <v>2.5216746582569705E-9</v>
      </c>
    </row>
    <row r="45" spans="1:8" x14ac:dyDescent="0.25">
      <c r="A45">
        <v>44</v>
      </c>
      <c r="F45">
        <f t="shared" si="4"/>
        <v>5.5371008082232921E-2</v>
      </c>
      <c r="G45">
        <f t="shared" si="5"/>
        <v>1.9372013100758558E-15</v>
      </c>
      <c r="H45">
        <f t="shared" si="6"/>
        <v>8.9069154301484101E-9</v>
      </c>
    </row>
    <row r="46" spans="1:8" x14ac:dyDescent="0.25">
      <c r="A46">
        <v>45</v>
      </c>
      <c r="F46">
        <f t="shared" si="4"/>
        <v>2.9531204310524212E-2</v>
      </c>
      <c r="G46">
        <f t="shared" si="5"/>
        <v>9.6429576323777069E-15</v>
      </c>
      <c r="H46">
        <f t="shared" si="6"/>
        <v>2.9997489772991125E-8</v>
      </c>
    </row>
    <row r="47" spans="1:8" x14ac:dyDescent="0.25">
      <c r="A47">
        <v>46</v>
      </c>
      <c r="F47">
        <f t="shared" si="4"/>
        <v>1.2839654048054027E-2</v>
      </c>
      <c r="G47">
        <f t="shared" si="5"/>
        <v>4.6118493024415116E-14</v>
      </c>
      <c r="H47">
        <f t="shared" si="6"/>
        <v>9.6330055276556698E-8</v>
      </c>
    </row>
    <row r="48" spans="1:8" x14ac:dyDescent="0.25">
      <c r="A48">
        <v>47</v>
      </c>
      <c r="F48">
        <f t="shared" si="4"/>
        <v>4.3709460589120069E-3</v>
      </c>
      <c r="G48">
        <f t="shared" si="5"/>
        <v>2.1194881900582322E-13</v>
      </c>
      <c r="H48">
        <f t="shared" si="6"/>
        <v>2.9495653002721448E-7</v>
      </c>
    </row>
    <row r="49" spans="1:8" x14ac:dyDescent="0.25">
      <c r="A49">
        <v>48</v>
      </c>
      <c r="F49">
        <f t="shared" si="4"/>
        <v>1.0927365147280032E-3</v>
      </c>
      <c r="G49">
        <f t="shared" si="5"/>
        <v>9.3610728394238765E-13</v>
      </c>
      <c r="H49">
        <f t="shared" si="6"/>
        <v>8.6113954207598201E-7</v>
      </c>
    </row>
    <row r="50" spans="1:8" x14ac:dyDescent="0.25">
      <c r="A50">
        <v>49</v>
      </c>
      <c r="F50">
        <f t="shared" si="4"/>
        <v>1.784059615882452E-4</v>
      </c>
      <c r="G50">
        <f t="shared" si="5"/>
        <v>3.9736798991840041E-12</v>
      </c>
      <c r="H50">
        <f t="shared" si="6"/>
        <v>2.3972225728510397E-6</v>
      </c>
    </row>
    <row r="51" spans="1:8" x14ac:dyDescent="0.25">
      <c r="A51">
        <v>50</v>
      </c>
      <c r="F51">
        <f t="shared" si="4"/>
        <v>1.4272476927059631E-5</v>
      </c>
      <c r="G51">
        <f t="shared" si="5"/>
        <v>1.6212613988670768E-11</v>
      </c>
      <c r="H51">
        <f t="shared" si="6"/>
        <v>6.3630083854068707E-6</v>
      </c>
    </row>
    <row r="52" spans="1:8" x14ac:dyDescent="0.25">
      <c r="A52">
        <v>51</v>
      </c>
      <c r="G52">
        <f t="shared" si="5"/>
        <v>6.3578878386944531E-11</v>
      </c>
      <c r="H52">
        <f t="shared" si="6"/>
        <v>1.6104080879681469E-5</v>
      </c>
    </row>
    <row r="53" spans="1:8" x14ac:dyDescent="0.25">
      <c r="A53">
        <v>52</v>
      </c>
      <c r="G53">
        <f t="shared" si="5"/>
        <v>2.396434646892531E-10</v>
      </c>
      <c r="H53">
        <f t="shared" si="6"/>
        <v>3.8862317977309849E-5</v>
      </c>
    </row>
    <row r="54" spans="1:8" x14ac:dyDescent="0.25">
      <c r="A54">
        <v>53</v>
      </c>
      <c r="G54">
        <f t="shared" si="5"/>
        <v>8.6814236264785594E-10</v>
      </c>
      <c r="H54">
        <f t="shared" si="6"/>
        <v>8.9421256730000672E-5</v>
      </c>
    </row>
    <row r="55" spans="1:8" x14ac:dyDescent="0.25">
      <c r="A55">
        <v>54</v>
      </c>
      <c r="G55">
        <f t="shared" si="5"/>
        <v>3.0224215588480947E-9</v>
      </c>
      <c r="H55">
        <f t="shared" si="6"/>
        <v>1.9618786805939995E-4</v>
      </c>
    </row>
    <row r="56" spans="1:8" x14ac:dyDescent="0.25">
      <c r="A56">
        <v>55</v>
      </c>
      <c r="G56">
        <f t="shared" si="5"/>
        <v>1.0111373942328141E-8</v>
      </c>
      <c r="H56">
        <f t="shared" si="6"/>
        <v>4.1041463303120157E-4</v>
      </c>
    </row>
    <row r="57" spans="1:8" x14ac:dyDescent="0.25">
      <c r="A57">
        <v>56</v>
      </c>
      <c r="G57">
        <f t="shared" si="5"/>
        <v>3.2500844814626371E-8</v>
      </c>
      <c r="H57">
        <f t="shared" si="6"/>
        <v>8.1863976460233112E-4</v>
      </c>
    </row>
    <row r="58" spans="1:8" x14ac:dyDescent="0.25">
      <c r="A58">
        <v>57</v>
      </c>
      <c r="G58">
        <f t="shared" si="5"/>
        <v>1.0035348574340715E-7</v>
      </c>
      <c r="H58">
        <f t="shared" si="6"/>
        <v>1.5569768168386469E-3</v>
      </c>
    </row>
    <row r="59" spans="1:8" x14ac:dyDescent="0.25">
      <c r="A59">
        <v>58</v>
      </c>
      <c r="G59">
        <f t="shared" si="5"/>
        <v>2.9759999220458724E-7</v>
      </c>
      <c r="H59">
        <f t="shared" si="6"/>
        <v>2.8235193359972214E-3</v>
      </c>
    </row>
    <row r="60" spans="1:8" x14ac:dyDescent="0.25">
      <c r="A60">
        <v>59</v>
      </c>
      <c r="G60">
        <f t="shared" si="5"/>
        <v>8.4740336763340114E-7</v>
      </c>
      <c r="H60">
        <f t="shared" si="6"/>
        <v>4.8822351910968922E-3</v>
      </c>
    </row>
    <row r="61" spans="1:8" x14ac:dyDescent="0.25">
      <c r="A61">
        <v>60</v>
      </c>
      <c r="G61">
        <f t="shared" si="5"/>
        <v>2.3162358715312965E-6</v>
      </c>
      <c r="H61">
        <f t="shared" si="6"/>
        <v>8.0494450081221476E-3</v>
      </c>
    </row>
    <row r="62" spans="1:8" x14ac:dyDescent="0.25">
      <c r="A62">
        <v>61</v>
      </c>
      <c r="G62">
        <f t="shared" si="5"/>
        <v>6.0753727777869818E-6</v>
      </c>
      <c r="H62">
        <f t="shared" si="6"/>
        <v>1.2654135748026945E-2</v>
      </c>
    </row>
    <row r="63" spans="1:8" x14ac:dyDescent="0.25">
      <c r="A63">
        <v>62</v>
      </c>
      <c r="G63">
        <f t="shared" si="5"/>
        <v>1.5286421827980233E-5</v>
      </c>
      <c r="H63">
        <f t="shared" si="6"/>
        <v>1.896786066809213E-2</v>
      </c>
    </row>
    <row r="64" spans="1:8" x14ac:dyDescent="0.25">
      <c r="A64">
        <v>63</v>
      </c>
      <c r="G64">
        <f t="shared" si="5"/>
        <v>3.6881525680206275E-5</v>
      </c>
      <c r="H64">
        <f t="shared" si="6"/>
        <v>2.7109625796163685E-2</v>
      </c>
    </row>
    <row r="65" spans="1:8" x14ac:dyDescent="0.25">
      <c r="A65">
        <v>64</v>
      </c>
      <c r="G65">
        <f t="shared" si="5"/>
        <v>8.5288528135476935E-5</v>
      </c>
      <c r="H65">
        <f t="shared" si="6"/>
        <v>3.6944347909225128E-2</v>
      </c>
    </row>
    <row r="66" spans="1:8" x14ac:dyDescent="0.25">
      <c r="A66">
        <v>65</v>
      </c>
      <c r="G66">
        <f t="shared" si="5"/>
        <v>1.8894689310013394E-4</v>
      </c>
      <c r="H66">
        <f t="shared" si="6"/>
        <v>4.8005588522252521E-2</v>
      </c>
    </row>
    <row r="67" spans="1:8" x14ac:dyDescent="0.25">
      <c r="A67">
        <v>66</v>
      </c>
      <c r="G67">
        <f t="shared" ref="G67:G101" si="7">_xlfn.BINOM.DIST(A67,100,0.8,0)</f>
        <v>4.0079643990937447E-4</v>
      </c>
      <c r="H67">
        <f t="shared" ref="H67:H101" si="8">_xlfn.NORM.DIST(A67,100*0.7,SQRT(100*0.7*0.3),FALSE)</f>
        <v>5.9477800730271861E-2</v>
      </c>
    </row>
    <row r="68" spans="1:8" x14ac:dyDescent="0.25">
      <c r="A68">
        <v>67</v>
      </c>
      <c r="G68">
        <f t="shared" si="7"/>
        <v>8.1355695265186419E-4</v>
      </c>
      <c r="H68">
        <f t="shared" si="8"/>
        <v>7.0264719227054587E-2</v>
      </c>
    </row>
    <row r="69" spans="1:8" x14ac:dyDescent="0.25">
      <c r="A69">
        <v>68</v>
      </c>
      <c r="G69">
        <f t="shared" si="7"/>
        <v>1.5792576139712659E-3</v>
      </c>
      <c r="H69">
        <f t="shared" si="8"/>
        <v>7.9147834909115658E-2</v>
      </c>
    </row>
    <row r="70" spans="1:8" x14ac:dyDescent="0.25">
      <c r="A70">
        <v>69</v>
      </c>
      <c r="G70">
        <f t="shared" si="7"/>
        <v>2.9296373128742371E-3</v>
      </c>
      <c r="H70">
        <f t="shared" si="8"/>
        <v>8.5008053843883769E-2</v>
      </c>
    </row>
    <row r="71" spans="1:8" x14ac:dyDescent="0.25">
      <c r="A71">
        <v>70</v>
      </c>
      <c r="G71">
        <f t="shared" si="7"/>
        <v>5.1896432399486485E-3</v>
      </c>
      <c r="H71">
        <f t="shared" si="8"/>
        <v>8.7056342755136337E-2</v>
      </c>
    </row>
    <row r="72" spans="1:8" x14ac:dyDescent="0.25">
      <c r="A72">
        <v>71</v>
      </c>
      <c r="G72">
        <f t="shared" si="7"/>
        <v>8.7712280111808157E-3</v>
      </c>
      <c r="H72">
        <f t="shared" si="8"/>
        <v>8.5008053843883769E-2</v>
      </c>
    </row>
    <row r="73" spans="1:8" x14ac:dyDescent="0.25">
      <c r="A73">
        <v>72</v>
      </c>
      <c r="G73">
        <f t="shared" si="7"/>
        <v>1.4131422906902429E-2</v>
      </c>
      <c r="H73">
        <f t="shared" si="8"/>
        <v>7.9147834909115658E-2</v>
      </c>
    </row>
    <row r="74" spans="1:8" x14ac:dyDescent="0.25">
      <c r="A74">
        <v>73</v>
      </c>
      <c r="G74">
        <f t="shared" si="7"/>
        <v>2.168108719963116E-2</v>
      </c>
      <c r="H74">
        <f t="shared" si="8"/>
        <v>7.0264719227054587E-2</v>
      </c>
    </row>
    <row r="75" spans="1:8" x14ac:dyDescent="0.25">
      <c r="A75">
        <v>74</v>
      </c>
      <c r="G75">
        <f t="shared" si="7"/>
        <v>3.1642667804867075E-2</v>
      </c>
      <c r="H75">
        <f t="shared" si="8"/>
        <v>5.9477800730271861E-2</v>
      </c>
    </row>
    <row r="76" spans="1:8" x14ac:dyDescent="0.25">
      <c r="A76">
        <v>75</v>
      </c>
      <c r="G76">
        <f t="shared" si="7"/>
        <v>4.3877832689415669E-2</v>
      </c>
      <c r="H76">
        <f t="shared" si="8"/>
        <v>4.8005588522252521E-2</v>
      </c>
    </row>
    <row r="77" spans="1:8" x14ac:dyDescent="0.25">
      <c r="A77">
        <v>76</v>
      </c>
      <c r="G77">
        <f t="shared" si="7"/>
        <v>5.7733990380810063E-2</v>
      </c>
      <c r="H77">
        <f t="shared" si="8"/>
        <v>3.6944347909225128E-2</v>
      </c>
    </row>
    <row r="78" spans="1:8" x14ac:dyDescent="0.25">
      <c r="A78">
        <v>77</v>
      </c>
      <c r="G78">
        <f t="shared" si="7"/>
        <v>7.1980039955295658E-2</v>
      </c>
      <c r="H78">
        <f t="shared" si="8"/>
        <v>2.7109625796163685E-2</v>
      </c>
    </row>
    <row r="79" spans="1:8" x14ac:dyDescent="0.25">
      <c r="A79">
        <v>78</v>
      </c>
      <c r="G79">
        <f t="shared" si="7"/>
        <v>8.4899534306246208E-2</v>
      </c>
      <c r="H79">
        <f t="shared" si="8"/>
        <v>1.896786066809213E-2</v>
      </c>
    </row>
    <row r="80" spans="1:8" x14ac:dyDescent="0.25">
      <c r="A80">
        <v>79</v>
      </c>
      <c r="G80">
        <f t="shared" si="7"/>
        <v>9.4571633151261603E-2</v>
      </c>
      <c r="H80">
        <f t="shared" si="8"/>
        <v>1.2654135748026945E-2</v>
      </c>
    </row>
    <row r="81" spans="1:8" x14ac:dyDescent="0.25">
      <c r="A81">
        <v>80</v>
      </c>
      <c r="G81">
        <f t="shared" si="7"/>
        <v>9.9300214808824727E-2</v>
      </c>
      <c r="H81">
        <f t="shared" si="8"/>
        <v>8.0494450081221476E-3</v>
      </c>
    </row>
    <row r="82" spans="1:8" x14ac:dyDescent="0.25">
      <c r="A82">
        <v>81</v>
      </c>
      <c r="G82">
        <f t="shared" si="7"/>
        <v>9.8074286230937988E-2</v>
      </c>
      <c r="H82">
        <f t="shared" si="8"/>
        <v>4.8822351910968922E-3</v>
      </c>
    </row>
    <row r="83" spans="1:8" x14ac:dyDescent="0.25">
      <c r="A83">
        <v>82</v>
      </c>
      <c r="G83">
        <f t="shared" si="7"/>
        <v>9.0898118945747466E-2</v>
      </c>
      <c r="H83">
        <f t="shared" si="8"/>
        <v>2.8235193359972214E-3</v>
      </c>
    </row>
    <row r="84" spans="1:8" x14ac:dyDescent="0.25">
      <c r="A84">
        <v>83</v>
      </c>
      <c r="G84">
        <f t="shared" si="7"/>
        <v>7.8851380290286918E-2</v>
      </c>
      <c r="H84">
        <f t="shared" si="8"/>
        <v>1.5569768168386469E-3</v>
      </c>
    </row>
    <row r="85" spans="1:8" x14ac:dyDescent="0.25">
      <c r="A85">
        <v>84</v>
      </c>
      <c r="G85">
        <f t="shared" si="7"/>
        <v>6.3832069758803692E-2</v>
      </c>
      <c r="H85">
        <f t="shared" si="8"/>
        <v>8.1863976460233112E-4</v>
      </c>
    </row>
    <row r="86" spans="1:8" x14ac:dyDescent="0.25">
      <c r="A86">
        <v>85</v>
      </c>
      <c r="G86">
        <f t="shared" si="7"/>
        <v>4.8061793700746307E-2</v>
      </c>
      <c r="H86">
        <f t="shared" si="8"/>
        <v>4.1041463303120157E-4</v>
      </c>
    </row>
    <row r="87" spans="1:8" x14ac:dyDescent="0.25">
      <c r="A87">
        <v>86</v>
      </c>
      <c r="G87">
        <f t="shared" si="7"/>
        <v>3.3531483977264902E-2</v>
      </c>
      <c r="H87">
        <f t="shared" si="8"/>
        <v>1.9618786805939995E-4</v>
      </c>
    </row>
    <row r="88" spans="1:8" x14ac:dyDescent="0.25">
      <c r="A88">
        <v>87</v>
      </c>
      <c r="G88">
        <f t="shared" si="7"/>
        <v>2.1583483939388894E-2</v>
      </c>
      <c r="H88">
        <f t="shared" si="8"/>
        <v>8.9421256730000672E-5</v>
      </c>
    </row>
    <row r="89" spans="1:8" x14ac:dyDescent="0.25">
      <c r="A89">
        <v>88</v>
      </c>
      <c r="G89">
        <f t="shared" si="7"/>
        <v>1.2753876873275253E-2</v>
      </c>
      <c r="H89">
        <f t="shared" si="8"/>
        <v>3.8862317977309849E-5</v>
      </c>
    </row>
    <row r="90" spans="1:8" x14ac:dyDescent="0.25">
      <c r="A90">
        <v>89</v>
      </c>
      <c r="G90">
        <f t="shared" si="7"/>
        <v>6.878495392328242E-3</v>
      </c>
      <c r="H90">
        <f t="shared" si="8"/>
        <v>1.6104080879681469E-5</v>
      </c>
    </row>
    <row r="91" spans="1:8" x14ac:dyDescent="0.25">
      <c r="A91">
        <v>90</v>
      </c>
      <c r="G91">
        <f t="shared" si="7"/>
        <v>3.3628199695826867E-3</v>
      </c>
      <c r="H91">
        <f t="shared" si="8"/>
        <v>6.3630083854068707E-6</v>
      </c>
    </row>
    <row r="92" spans="1:8" x14ac:dyDescent="0.25">
      <c r="A92">
        <v>91</v>
      </c>
      <c r="G92">
        <f t="shared" si="7"/>
        <v>1.4781626239923913E-3</v>
      </c>
      <c r="H92">
        <f t="shared" si="8"/>
        <v>2.3972225728510397E-6</v>
      </c>
    </row>
    <row r="93" spans="1:8" x14ac:dyDescent="0.25">
      <c r="A93">
        <v>92</v>
      </c>
      <c r="G93">
        <f t="shared" si="7"/>
        <v>5.7841146156224093E-4</v>
      </c>
      <c r="H93">
        <f t="shared" si="8"/>
        <v>8.6113954207598201E-7</v>
      </c>
    </row>
    <row r="94" spans="1:8" x14ac:dyDescent="0.25">
      <c r="A94">
        <v>93</v>
      </c>
      <c r="G94">
        <f t="shared" si="7"/>
        <v>1.9902329860206126E-4</v>
      </c>
      <c r="H94">
        <f t="shared" si="8"/>
        <v>2.9495653002721448E-7</v>
      </c>
    </row>
    <row r="95" spans="1:8" x14ac:dyDescent="0.25">
      <c r="A95">
        <v>94</v>
      </c>
      <c r="G95">
        <f t="shared" si="7"/>
        <v>5.9283535753805565E-5</v>
      </c>
      <c r="H95">
        <f t="shared" si="8"/>
        <v>9.6330055276556698E-8</v>
      </c>
    </row>
    <row r="96" spans="1:8" x14ac:dyDescent="0.25">
      <c r="A96">
        <v>95</v>
      </c>
      <c r="G96">
        <f t="shared" si="7"/>
        <v>1.4976893243066663E-5</v>
      </c>
      <c r="H96">
        <f t="shared" si="8"/>
        <v>2.9997489772991125E-8</v>
      </c>
    </row>
    <row r="97" spans="1:8" x14ac:dyDescent="0.25">
      <c r="A97">
        <v>96</v>
      </c>
      <c r="G97">
        <f t="shared" si="7"/>
        <v>3.1201860923055643E-6</v>
      </c>
      <c r="H97">
        <f t="shared" si="8"/>
        <v>8.9069154301484101E-9</v>
      </c>
    </row>
    <row r="98" spans="1:8" x14ac:dyDescent="0.25">
      <c r="A98">
        <v>97</v>
      </c>
      <c r="G98">
        <f t="shared" si="7"/>
        <v>5.1466987089576095E-7</v>
      </c>
      <c r="H98">
        <f t="shared" si="8"/>
        <v>2.5216746582569705E-9</v>
      </c>
    </row>
    <row r="99" spans="1:8" x14ac:dyDescent="0.25">
      <c r="A99">
        <v>98</v>
      </c>
      <c r="G99">
        <f t="shared" si="7"/>
        <v>6.3020800517848304E-8</v>
      </c>
      <c r="H99">
        <f t="shared" si="8"/>
        <v>6.807224748670221E-10</v>
      </c>
    </row>
    <row r="100" spans="1:8" x14ac:dyDescent="0.25">
      <c r="A100">
        <v>99</v>
      </c>
      <c r="G100">
        <f t="shared" si="7"/>
        <v>5.0925899408362083E-9</v>
      </c>
      <c r="H100">
        <f t="shared" si="8"/>
        <v>1.752146581167721E-10</v>
      </c>
    </row>
    <row r="101" spans="1:8" x14ac:dyDescent="0.25">
      <c r="A101">
        <v>100</v>
      </c>
      <c r="G101">
        <f t="shared" si="7"/>
        <v>2.0370359763344954E-10</v>
      </c>
      <c r="H101">
        <f t="shared" si="8"/>
        <v>4.3002142296042224E-11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Qadoos</dc:creator>
  <cp:lastModifiedBy>ayesh</cp:lastModifiedBy>
  <dcterms:created xsi:type="dcterms:W3CDTF">2018-11-07T12:39:06Z</dcterms:created>
  <dcterms:modified xsi:type="dcterms:W3CDTF">2022-06-28T15:32:09Z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afeb4509-10f5-401f-99df-6decdc5b3be2</vt:lpwstr>
  </property>
</Properties>
</file>