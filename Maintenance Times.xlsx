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1340" windowHeight="7560"/>
  </bookViews>
  <sheets>
    <sheet name="Non Uniform (8 Hours)" sheetId="1" r:id="rId1"/>
    <sheet name="Non Uniform (10 Hours)" sheetId="6" r:id="rId2"/>
    <sheet name="Normal" sheetId="4" r:id="rId3"/>
  </sheets>
  <definedNames>
    <definedName name="_xlnm.Print_Area" localSheetId="1">'Non Uniform (10 Hours)'!$A$1:$L$33</definedName>
    <definedName name="_xlnm.Print_Area" localSheetId="2">Normal!$A$1:$L$32</definedName>
  </definedNames>
  <calcPr calcId="144525"/>
</workbook>
</file>

<file path=xl/calcChain.xml><?xml version="1.0" encoding="utf-8"?>
<calcChain xmlns="http://schemas.openxmlformats.org/spreadsheetml/2006/main">
  <c r="B64" i="6" l="1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I12" i="6"/>
  <c r="I10" i="6"/>
  <c r="I11" i="6" s="1"/>
  <c r="I9" i="6"/>
  <c r="H7" i="6"/>
  <c r="D4" i="6"/>
  <c r="E4" i="6" s="1"/>
  <c r="F4" i="6" s="1"/>
  <c r="C17" i="6" l="1"/>
  <c r="C19" i="6"/>
  <c r="C21" i="6"/>
  <c r="C64" i="6"/>
  <c r="G4" i="6"/>
  <c r="H4" i="6" s="1"/>
  <c r="I4" i="6" s="1"/>
  <c r="C18" i="6"/>
  <c r="C62" i="6"/>
  <c r="C60" i="6"/>
  <c r="C58" i="6"/>
  <c r="C56" i="6"/>
  <c r="C54" i="6"/>
  <c r="C52" i="6"/>
  <c r="C50" i="6"/>
  <c r="C48" i="6"/>
  <c r="C46" i="6"/>
  <c r="C44" i="6"/>
  <c r="C42" i="6"/>
  <c r="C40" i="6"/>
  <c r="C36" i="6"/>
  <c r="C30" i="6"/>
  <c r="C26" i="6"/>
  <c r="C24" i="6"/>
  <c r="C22" i="6"/>
  <c r="C20" i="6"/>
  <c r="C15" i="6"/>
  <c r="C14" i="6"/>
  <c r="C16" i="6"/>
  <c r="C33" i="6"/>
  <c r="C35" i="6"/>
  <c r="C39" i="6"/>
  <c r="C41" i="6"/>
  <c r="C43" i="6"/>
  <c r="C45" i="6"/>
  <c r="C47" i="6"/>
  <c r="C51" i="6"/>
  <c r="C55" i="6"/>
  <c r="C57" i="6"/>
  <c r="C59" i="6"/>
  <c r="C61" i="6"/>
  <c r="C63" i="6"/>
  <c r="C25" i="6"/>
  <c r="C27" i="6"/>
  <c r="C29" i="6"/>
  <c r="D6" i="4"/>
  <c r="I11" i="4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12" i="4"/>
  <c r="C12" i="4" s="1"/>
  <c r="I9" i="4"/>
  <c r="I10" i="4" s="1"/>
  <c r="I8" i="4"/>
  <c r="I12" i="1"/>
  <c r="I10" i="1"/>
  <c r="I11" i="1" s="1"/>
  <c r="I9" i="1"/>
  <c r="C31" i="6" l="1"/>
  <c r="C23" i="6"/>
  <c r="C53" i="6"/>
  <c r="C49" i="6"/>
  <c r="C37" i="6"/>
  <c r="C28" i="6"/>
  <c r="C32" i="6"/>
  <c r="C38" i="6"/>
  <c r="C34" i="6"/>
  <c r="C13" i="6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G67" i="6" l="1"/>
  <c r="M16" i="6" s="1"/>
  <c r="D13" i="6"/>
  <c r="H13" i="6" s="1"/>
  <c r="D12" i="4"/>
  <c r="D4" i="1"/>
  <c r="E4" i="1" s="1"/>
  <c r="F4" i="1" s="1"/>
  <c r="C63" i="1" s="1"/>
  <c r="H7" i="1"/>
  <c r="B13" i="1"/>
  <c r="F13" i="6" l="1"/>
  <c r="D14" i="6" s="1"/>
  <c r="H14" i="6" s="1"/>
  <c r="F12" i="4"/>
  <c r="D13" i="4" s="1"/>
  <c r="G66" i="4"/>
  <c r="M15" i="4" s="1"/>
  <c r="C16" i="1"/>
  <c r="C20" i="1"/>
  <c r="C24" i="1"/>
  <c r="C28" i="1"/>
  <c r="C32" i="1"/>
  <c r="C36" i="1"/>
  <c r="C40" i="1"/>
  <c r="C44" i="1"/>
  <c r="C48" i="1"/>
  <c r="C64" i="1"/>
  <c r="C17" i="1"/>
  <c r="C25" i="1"/>
  <c r="C29" i="1"/>
  <c r="C37" i="1"/>
  <c r="C41" i="1"/>
  <c r="C45" i="1"/>
  <c r="C49" i="1"/>
  <c r="C57" i="1"/>
  <c r="C61" i="1"/>
  <c r="C14" i="1"/>
  <c r="C22" i="1"/>
  <c r="C26" i="1"/>
  <c r="C30" i="1"/>
  <c r="C34" i="1"/>
  <c r="C46" i="1"/>
  <c r="C54" i="1"/>
  <c r="C62" i="1"/>
  <c r="C15" i="1"/>
  <c r="C19" i="1"/>
  <c r="C23" i="1"/>
  <c r="C31" i="1"/>
  <c r="C35" i="1"/>
  <c r="G4" i="1"/>
  <c r="H4" i="1" s="1"/>
  <c r="I4" i="1" s="1"/>
  <c r="G13" i="6" l="1"/>
  <c r="F14" i="6"/>
  <c r="D15" i="6" s="1"/>
  <c r="H15" i="6" s="1"/>
  <c r="G12" i="4"/>
  <c r="C55" i="1"/>
  <c r="C39" i="1"/>
  <c r="C58" i="1"/>
  <c r="C50" i="1"/>
  <c r="C42" i="1"/>
  <c r="C18" i="1"/>
  <c r="C53" i="1"/>
  <c r="C21" i="1"/>
  <c r="C56" i="1"/>
  <c r="C47" i="1"/>
  <c r="C59" i="1"/>
  <c r="C51" i="1"/>
  <c r="C43" i="1"/>
  <c r="C27" i="1"/>
  <c r="C38" i="1"/>
  <c r="C33" i="1"/>
  <c r="C60" i="1"/>
  <c r="C52" i="1"/>
  <c r="C13" i="1"/>
  <c r="D13" i="1" s="1"/>
  <c r="G14" i="6" l="1"/>
  <c r="F15" i="6"/>
  <c r="D16" i="6" s="1"/>
  <c r="H16" i="6" s="1"/>
  <c r="F13" i="4"/>
  <c r="D14" i="4" s="1"/>
  <c r="F13" i="1"/>
  <c r="G67" i="1"/>
  <c r="M16" i="1" s="1"/>
  <c r="G15" i="6" l="1"/>
  <c r="D14" i="1"/>
  <c r="F14" i="1" s="1"/>
  <c r="G14" i="1" s="1"/>
  <c r="F16" i="6"/>
  <c r="D17" i="6" s="1"/>
  <c r="H17" i="6" s="1"/>
  <c r="G13" i="4"/>
  <c r="G13" i="1"/>
  <c r="G16" i="6" l="1"/>
  <c r="D15" i="1"/>
  <c r="F15" i="1" s="1"/>
  <c r="G15" i="1" s="1"/>
  <c r="F17" i="6"/>
  <c r="D18" i="6" s="1"/>
  <c r="H18" i="6" s="1"/>
  <c r="F14" i="4"/>
  <c r="D15" i="4" s="1"/>
  <c r="D16" i="1" l="1"/>
  <c r="F16" i="1" s="1"/>
  <c r="G16" i="1" s="1"/>
  <c r="G17" i="6"/>
  <c r="F18" i="6"/>
  <c r="D19" i="6" s="1"/>
  <c r="H19" i="6" s="1"/>
  <c r="G14" i="4"/>
  <c r="D17" i="1" l="1"/>
  <c r="F17" i="1" s="1"/>
  <c r="G17" i="1" s="1"/>
  <c r="G18" i="6"/>
  <c r="F19" i="6"/>
  <c r="D20" i="6" s="1"/>
  <c r="H20" i="6" s="1"/>
  <c r="F15" i="4"/>
  <c r="D16" i="4" s="1"/>
  <c r="D18" i="1" l="1"/>
  <c r="F18" i="1" s="1"/>
  <c r="G18" i="1" s="1"/>
  <c r="G19" i="6"/>
  <c r="F20" i="6"/>
  <c r="D21" i="6" s="1"/>
  <c r="H21" i="6" s="1"/>
  <c r="G15" i="4"/>
  <c r="D19" i="1" l="1"/>
  <c r="F19" i="1" s="1"/>
  <c r="G19" i="1" s="1"/>
  <c r="G20" i="6"/>
  <c r="F21" i="6"/>
  <c r="D22" i="6" s="1"/>
  <c r="H22" i="6" s="1"/>
  <c r="F16" i="4"/>
  <c r="D17" i="4" s="1"/>
  <c r="D20" i="1" l="1"/>
  <c r="F20" i="1" s="1"/>
  <c r="G20" i="1" s="1"/>
  <c r="G21" i="6"/>
  <c r="F22" i="6"/>
  <c r="D23" i="6" s="1"/>
  <c r="H23" i="6" s="1"/>
  <c r="G16" i="4"/>
  <c r="D21" i="1" l="1"/>
  <c r="F21" i="1" s="1"/>
  <c r="G21" i="1" s="1"/>
  <c r="G22" i="6"/>
  <c r="F23" i="6"/>
  <c r="D24" i="6" s="1"/>
  <c r="H24" i="6" s="1"/>
  <c r="F17" i="4"/>
  <c r="D18" i="4" s="1"/>
  <c r="D22" i="1" l="1"/>
  <c r="F22" i="1" s="1"/>
  <c r="G22" i="1" s="1"/>
  <c r="G23" i="6"/>
  <c r="F24" i="6"/>
  <c r="D25" i="6" s="1"/>
  <c r="H25" i="6" s="1"/>
  <c r="G17" i="4"/>
  <c r="D23" i="1" l="1"/>
  <c r="F23" i="1" s="1"/>
  <c r="G23" i="1" s="1"/>
  <c r="G24" i="6"/>
  <c r="F25" i="6"/>
  <c r="D26" i="6" s="1"/>
  <c r="H26" i="6" s="1"/>
  <c r="F18" i="4"/>
  <c r="D19" i="4" s="1"/>
  <c r="G25" i="6" l="1"/>
  <c r="D24" i="1"/>
  <c r="F24" i="1" s="1"/>
  <c r="D25" i="1" s="1"/>
  <c r="F25" i="1" s="1"/>
  <c r="F26" i="6"/>
  <c r="D27" i="6" s="1"/>
  <c r="H27" i="6" s="1"/>
  <c r="G18" i="4"/>
  <c r="G24" i="1" l="1"/>
  <c r="G26" i="6"/>
  <c r="F27" i="6"/>
  <c r="D28" i="6" s="1"/>
  <c r="H28" i="6" s="1"/>
  <c r="F19" i="4"/>
  <c r="D20" i="4" s="1"/>
  <c r="G25" i="1"/>
  <c r="D26" i="1"/>
  <c r="F26" i="1" s="1"/>
  <c r="G27" i="6" l="1"/>
  <c r="F28" i="6"/>
  <c r="D29" i="6" s="1"/>
  <c r="H29" i="6" s="1"/>
  <c r="G19" i="4"/>
  <c r="G26" i="1"/>
  <c r="D27" i="1"/>
  <c r="F27" i="1" s="1"/>
  <c r="G28" i="6" l="1"/>
  <c r="F29" i="6"/>
  <c r="D30" i="6" s="1"/>
  <c r="H30" i="6" s="1"/>
  <c r="F20" i="4"/>
  <c r="D21" i="4" s="1"/>
  <c r="G27" i="1"/>
  <c r="D28" i="1"/>
  <c r="F28" i="1" s="1"/>
  <c r="G29" i="6" l="1"/>
  <c r="F30" i="6"/>
  <c r="D31" i="6" s="1"/>
  <c r="H31" i="6" s="1"/>
  <c r="G20" i="4"/>
  <c r="G28" i="1"/>
  <c r="D29" i="1"/>
  <c r="F29" i="1" s="1"/>
  <c r="G30" i="6" l="1"/>
  <c r="F31" i="6"/>
  <c r="D32" i="6" s="1"/>
  <c r="H32" i="6" s="1"/>
  <c r="F21" i="4"/>
  <c r="D22" i="4" s="1"/>
  <c r="G29" i="1"/>
  <c r="D30" i="1"/>
  <c r="F30" i="1" s="1"/>
  <c r="G31" i="6" l="1"/>
  <c r="F32" i="6"/>
  <c r="D33" i="6" s="1"/>
  <c r="H33" i="6" s="1"/>
  <c r="G21" i="4"/>
  <c r="G30" i="1"/>
  <c r="D31" i="1"/>
  <c r="F31" i="1" s="1"/>
  <c r="G32" i="6" l="1"/>
  <c r="F33" i="6"/>
  <c r="D34" i="6" s="1"/>
  <c r="H34" i="6" s="1"/>
  <c r="F22" i="4"/>
  <c r="D23" i="4" s="1"/>
  <c r="G31" i="1"/>
  <c r="D32" i="1"/>
  <c r="F32" i="1" s="1"/>
  <c r="G33" i="6" l="1"/>
  <c r="F34" i="6"/>
  <c r="D35" i="6" s="1"/>
  <c r="H35" i="6" s="1"/>
  <c r="G22" i="4"/>
  <c r="G32" i="1"/>
  <c r="D33" i="1"/>
  <c r="F33" i="1" s="1"/>
  <c r="G34" i="6" l="1"/>
  <c r="F35" i="6"/>
  <c r="D36" i="6" s="1"/>
  <c r="H36" i="6" s="1"/>
  <c r="F23" i="4"/>
  <c r="D24" i="4" s="1"/>
  <c r="G33" i="1"/>
  <c r="D34" i="1"/>
  <c r="F34" i="1" s="1"/>
  <c r="G35" i="6" l="1"/>
  <c r="F36" i="6"/>
  <c r="D37" i="6" s="1"/>
  <c r="H37" i="6" s="1"/>
  <c r="G23" i="4"/>
  <c r="G34" i="1"/>
  <c r="D35" i="1"/>
  <c r="F35" i="1" s="1"/>
  <c r="G36" i="6" l="1"/>
  <c r="F37" i="6"/>
  <c r="D38" i="6" s="1"/>
  <c r="H38" i="6" s="1"/>
  <c r="F24" i="4"/>
  <c r="D25" i="4" s="1"/>
  <c r="G35" i="1"/>
  <c r="D36" i="1"/>
  <c r="F36" i="1" s="1"/>
  <c r="G37" i="6" l="1"/>
  <c r="F38" i="6"/>
  <c r="D39" i="6" s="1"/>
  <c r="H39" i="6" s="1"/>
  <c r="G24" i="4"/>
  <c r="G36" i="1"/>
  <c r="D37" i="1"/>
  <c r="F37" i="1" s="1"/>
  <c r="G38" i="6" l="1"/>
  <c r="F39" i="6"/>
  <c r="D40" i="6" s="1"/>
  <c r="H40" i="6" s="1"/>
  <c r="F25" i="4"/>
  <c r="D26" i="4" s="1"/>
  <c r="G37" i="1"/>
  <c r="D38" i="1"/>
  <c r="F38" i="1" s="1"/>
  <c r="G39" i="6" l="1"/>
  <c r="F40" i="6"/>
  <c r="D41" i="6" s="1"/>
  <c r="H41" i="6" s="1"/>
  <c r="G25" i="4"/>
  <c r="G38" i="1"/>
  <c r="D39" i="1"/>
  <c r="F39" i="1" s="1"/>
  <c r="G40" i="6" l="1"/>
  <c r="F41" i="6"/>
  <c r="D42" i="6" s="1"/>
  <c r="H42" i="6" s="1"/>
  <c r="F26" i="4"/>
  <c r="D27" i="4" s="1"/>
  <c r="G39" i="1"/>
  <c r="D40" i="1"/>
  <c r="F40" i="1" s="1"/>
  <c r="G41" i="6" l="1"/>
  <c r="F42" i="6"/>
  <c r="D43" i="6" s="1"/>
  <c r="H43" i="6" s="1"/>
  <c r="G26" i="4"/>
  <c r="G40" i="1"/>
  <c r="D41" i="1"/>
  <c r="F41" i="1" s="1"/>
  <c r="G42" i="6" l="1"/>
  <c r="F43" i="6"/>
  <c r="D44" i="6" s="1"/>
  <c r="H44" i="6" s="1"/>
  <c r="F27" i="4"/>
  <c r="D28" i="4" s="1"/>
  <c r="G41" i="1"/>
  <c r="D42" i="1"/>
  <c r="F42" i="1" s="1"/>
  <c r="G43" i="6" l="1"/>
  <c r="F44" i="6"/>
  <c r="D45" i="6" s="1"/>
  <c r="H45" i="6" s="1"/>
  <c r="G27" i="4"/>
  <c r="G42" i="1"/>
  <c r="D43" i="1"/>
  <c r="F43" i="1" s="1"/>
  <c r="G44" i="6" l="1"/>
  <c r="F45" i="6"/>
  <c r="D46" i="6" s="1"/>
  <c r="H46" i="6" s="1"/>
  <c r="F28" i="4"/>
  <c r="D29" i="4" s="1"/>
  <c r="G43" i="1"/>
  <c r="D44" i="1"/>
  <c r="F44" i="1" s="1"/>
  <c r="G45" i="6" l="1"/>
  <c r="F46" i="6"/>
  <c r="D47" i="6" s="1"/>
  <c r="H47" i="6" s="1"/>
  <c r="G28" i="4"/>
  <c r="G44" i="1"/>
  <c r="D45" i="1"/>
  <c r="F45" i="1" s="1"/>
  <c r="G46" i="6" l="1"/>
  <c r="F47" i="6"/>
  <c r="D48" i="6" s="1"/>
  <c r="H48" i="6" s="1"/>
  <c r="F29" i="4"/>
  <c r="D30" i="4" s="1"/>
  <c r="G45" i="1"/>
  <c r="D46" i="1"/>
  <c r="F46" i="1" s="1"/>
  <c r="G47" i="6" l="1"/>
  <c r="F48" i="6"/>
  <c r="D49" i="6" s="1"/>
  <c r="H49" i="6" s="1"/>
  <c r="G29" i="4"/>
  <c r="G46" i="1"/>
  <c r="D47" i="1"/>
  <c r="F47" i="1" s="1"/>
  <c r="G48" i="6" l="1"/>
  <c r="F49" i="6"/>
  <c r="D50" i="6" s="1"/>
  <c r="H50" i="6" s="1"/>
  <c r="F30" i="4"/>
  <c r="D31" i="4" s="1"/>
  <c r="G47" i="1"/>
  <c r="D48" i="1"/>
  <c r="F48" i="1" s="1"/>
  <c r="G49" i="6" l="1"/>
  <c r="F50" i="6"/>
  <c r="D51" i="6" s="1"/>
  <c r="H51" i="6" s="1"/>
  <c r="G30" i="4"/>
  <c r="G48" i="1"/>
  <c r="D49" i="1"/>
  <c r="F49" i="1" s="1"/>
  <c r="G50" i="6" l="1"/>
  <c r="F51" i="6"/>
  <c r="D52" i="6" s="1"/>
  <c r="H52" i="6" s="1"/>
  <c r="F31" i="4"/>
  <c r="D32" i="4" s="1"/>
  <c r="G49" i="1"/>
  <c r="D50" i="1"/>
  <c r="F50" i="1" s="1"/>
  <c r="G51" i="6" l="1"/>
  <c r="F52" i="6"/>
  <c r="D53" i="6" s="1"/>
  <c r="H53" i="6" s="1"/>
  <c r="G31" i="4"/>
  <c r="G50" i="1"/>
  <c r="D51" i="1"/>
  <c r="F51" i="1" s="1"/>
  <c r="G52" i="6" l="1"/>
  <c r="F53" i="6"/>
  <c r="D54" i="6" s="1"/>
  <c r="H54" i="6" s="1"/>
  <c r="F32" i="4"/>
  <c r="D33" i="4" s="1"/>
  <c r="G51" i="1"/>
  <c r="D52" i="1"/>
  <c r="F52" i="1" s="1"/>
  <c r="G53" i="6" l="1"/>
  <c r="F54" i="6"/>
  <c r="D55" i="6" s="1"/>
  <c r="H55" i="6" s="1"/>
  <c r="G32" i="4"/>
  <c r="G52" i="1"/>
  <c r="D53" i="1"/>
  <c r="F53" i="1" s="1"/>
  <c r="G54" i="6" l="1"/>
  <c r="F55" i="6"/>
  <c r="D56" i="6" s="1"/>
  <c r="H56" i="6" s="1"/>
  <c r="F33" i="4"/>
  <c r="D34" i="4" s="1"/>
  <c r="G53" i="1"/>
  <c r="D54" i="1"/>
  <c r="F54" i="1" s="1"/>
  <c r="G55" i="6" l="1"/>
  <c r="F56" i="6"/>
  <c r="D57" i="6" s="1"/>
  <c r="H57" i="6" s="1"/>
  <c r="G33" i="4"/>
  <c r="G54" i="1"/>
  <c r="D55" i="1"/>
  <c r="F55" i="1" s="1"/>
  <c r="G56" i="6" l="1"/>
  <c r="F57" i="6"/>
  <c r="D58" i="6" s="1"/>
  <c r="H58" i="6" s="1"/>
  <c r="F34" i="4"/>
  <c r="D35" i="4" s="1"/>
  <c r="G55" i="1"/>
  <c r="D56" i="1"/>
  <c r="F56" i="1" s="1"/>
  <c r="G57" i="6" l="1"/>
  <c r="F58" i="6"/>
  <c r="D59" i="6" s="1"/>
  <c r="H59" i="6" s="1"/>
  <c r="G34" i="4"/>
  <c r="G56" i="1"/>
  <c r="D57" i="1"/>
  <c r="F57" i="1" s="1"/>
  <c r="G58" i="6" l="1"/>
  <c r="F59" i="6"/>
  <c r="D60" i="6" s="1"/>
  <c r="H60" i="6" s="1"/>
  <c r="F35" i="4"/>
  <c r="D36" i="4" s="1"/>
  <c r="G57" i="1"/>
  <c r="D58" i="1"/>
  <c r="F58" i="1" s="1"/>
  <c r="G59" i="6" l="1"/>
  <c r="F60" i="6"/>
  <c r="D61" i="6" s="1"/>
  <c r="H61" i="6" s="1"/>
  <c r="G35" i="4"/>
  <c r="G58" i="1"/>
  <c r="D59" i="1"/>
  <c r="F59" i="1" s="1"/>
  <c r="G60" i="6" l="1"/>
  <c r="F61" i="6"/>
  <c r="D62" i="6" s="1"/>
  <c r="H62" i="6" s="1"/>
  <c r="F36" i="4"/>
  <c r="D37" i="4" s="1"/>
  <c r="G59" i="1"/>
  <c r="D60" i="1"/>
  <c r="F60" i="1" s="1"/>
  <c r="G61" i="6" l="1"/>
  <c r="F62" i="6"/>
  <c r="D63" i="6" s="1"/>
  <c r="H63" i="6" s="1"/>
  <c r="G36" i="4"/>
  <c r="G60" i="1"/>
  <c r="D61" i="1"/>
  <c r="F61" i="1" s="1"/>
  <c r="G62" i="6" l="1"/>
  <c r="F63" i="6"/>
  <c r="D64" i="6" s="1"/>
  <c r="H64" i="6" s="1"/>
  <c r="F37" i="4"/>
  <c r="D38" i="4" s="1"/>
  <c r="G61" i="1"/>
  <c r="D62" i="1"/>
  <c r="F62" i="1" s="1"/>
  <c r="G63" i="6" l="1"/>
  <c r="F64" i="6"/>
  <c r="L6" i="6"/>
  <c r="G37" i="4"/>
  <c r="G62" i="1"/>
  <c r="D63" i="1"/>
  <c r="F63" i="1" s="1"/>
  <c r="G64" i="6" l="1"/>
  <c r="G65" i="6" s="1"/>
  <c r="G66" i="6" s="1"/>
  <c r="L16" i="6" s="1"/>
  <c r="L5" i="6"/>
  <c r="L7" i="6" s="1"/>
  <c r="F38" i="4"/>
  <c r="D39" i="4" s="1"/>
  <c r="G63" i="1"/>
  <c r="D64" i="1"/>
  <c r="F64" i="1" s="1"/>
  <c r="G64" i="1" l="1"/>
  <c r="L5" i="1"/>
  <c r="L7" i="1" s="1"/>
  <c r="K16" i="6"/>
  <c r="G38" i="4"/>
  <c r="G65" i="1"/>
  <c r="F39" i="4" l="1"/>
  <c r="D40" i="4" s="1"/>
  <c r="G66" i="1"/>
  <c r="L16" i="1" s="1"/>
  <c r="K16" i="1"/>
  <c r="G39" i="4" l="1"/>
  <c r="F40" i="4" l="1"/>
  <c r="D41" i="4" s="1"/>
  <c r="G40" i="4" l="1"/>
  <c r="F41" i="4" l="1"/>
  <c r="D42" i="4" s="1"/>
  <c r="G41" i="4" l="1"/>
  <c r="F42" i="4" l="1"/>
  <c r="D43" i="4" s="1"/>
  <c r="G42" i="4" l="1"/>
  <c r="F43" i="4" l="1"/>
  <c r="D44" i="4" s="1"/>
  <c r="G43" i="4" l="1"/>
  <c r="F44" i="4" l="1"/>
  <c r="D45" i="4" s="1"/>
  <c r="G44" i="4" l="1"/>
  <c r="F45" i="4" l="1"/>
  <c r="D46" i="4" s="1"/>
  <c r="G45" i="4" l="1"/>
  <c r="F46" i="4" l="1"/>
  <c r="D47" i="4" s="1"/>
  <c r="G46" i="4" l="1"/>
  <c r="F47" i="4" l="1"/>
  <c r="D48" i="4" s="1"/>
  <c r="G47" i="4" l="1"/>
  <c r="F48" i="4" l="1"/>
  <c r="D49" i="4" s="1"/>
  <c r="G48" i="4" l="1"/>
  <c r="F49" i="4" l="1"/>
  <c r="D50" i="4" s="1"/>
  <c r="G49" i="4" l="1"/>
  <c r="F50" i="4" l="1"/>
  <c r="D51" i="4" s="1"/>
  <c r="G50" i="4" l="1"/>
  <c r="F51" i="4" l="1"/>
  <c r="D52" i="4" s="1"/>
  <c r="G51" i="4" l="1"/>
  <c r="F52" i="4" l="1"/>
  <c r="D53" i="4" s="1"/>
  <c r="G52" i="4" l="1"/>
  <c r="F53" i="4" l="1"/>
  <c r="D54" i="4" s="1"/>
  <c r="G53" i="4" l="1"/>
  <c r="F54" i="4" l="1"/>
  <c r="D55" i="4" s="1"/>
  <c r="G54" i="4" l="1"/>
  <c r="F55" i="4" l="1"/>
  <c r="D56" i="4" s="1"/>
  <c r="G55" i="4" l="1"/>
  <c r="F56" i="4" l="1"/>
  <c r="D57" i="4" s="1"/>
  <c r="G56" i="4" l="1"/>
  <c r="F57" i="4" l="1"/>
  <c r="D58" i="4" s="1"/>
  <c r="G57" i="4" l="1"/>
  <c r="F58" i="4"/>
  <c r="D59" i="4" s="1"/>
  <c r="G58" i="4" l="1"/>
  <c r="F59" i="4"/>
  <c r="D60" i="4" s="1"/>
  <c r="G59" i="4" l="1"/>
  <c r="F60" i="4"/>
  <c r="D61" i="4" s="1"/>
  <c r="G60" i="4" l="1"/>
  <c r="F61" i="4"/>
  <c r="D62" i="4" s="1"/>
  <c r="G61" i="4" l="1"/>
  <c r="F62" i="4"/>
  <c r="D63" i="4" s="1"/>
  <c r="G62" i="4" l="1"/>
  <c r="F63" i="4"/>
  <c r="G63" i="4" s="1"/>
  <c r="G64" i="4" l="1"/>
  <c r="G65" i="4" s="1"/>
  <c r="L15" i="4" s="1"/>
  <c r="K15" i="4" l="1"/>
</calcChain>
</file>

<file path=xl/sharedStrings.xml><?xml version="1.0" encoding="utf-8"?>
<sst xmlns="http://schemas.openxmlformats.org/spreadsheetml/2006/main" count="107" uniqueCount="58">
  <si>
    <t>Maintenance Times</t>
  </si>
  <si>
    <t>Repair time =</t>
  </si>
  <si>
    <t>Probability =</t>
  </si>
  <si>
    <t>week</t>
  </si>
  <si>
    <t>new time</t>
  </si>
  <si>
    <t>this week</t>
  </si>
  <si>
    <t>random #</t>
  </si>
  <si>
    <t>total time</t>
  </si>
  <si>
    <t>desired</t>
  </si>
  <si>
    <t>time</t>
  </si>
  <si>
    <t>carried</t>
  </si>
  <si>
    <t>forward</t>
  </si>
  <si>
    <t>limit</t>
  </si>
  <si>
    <t>Lower ends =</t>
  </si>
  <si>
    <t>over?</t>
  </si>
  <si>
    <t>fraction</t>
  </si>
  <si>
    <t>run #</t>
  </si>
  <si>
    <t>(1=Y, 0 = N)</t>
  </si>
  <si>
    <t>time to be</t>
  </si>
  <si>
    <t>ABC COMPANY</t>
  </si>
  <si>
    <t>any carry</t>
  </si>
  <si>
    <t>fraction of weeks with carry over</t>
  </si>
  <si>
    <t>number of weeks with carry over</t>
  </si>
  <si>
    <t>carry over weeks</t>
  </si>
  <si>
    <t>Data Table</t>
  </si>
  <si>
    <t>avg time/week</t>
  </si>
  <si>
    <t>average repair time per week</t>
  </si>
  <si>
    <t>= long term average repair time per week</t>
  </si>
  <si>
    <t>long term average repair time per week (theoratical)</t>
  </si>
  <si>
    <t>= long term avg carry over weeks</t>
  </si>
  <si>
    <t>= probability that maintenance time will exceed 8 hours in a week</t>
  </si>
  <si>
    <t>= long term percentage of carry over weeks</t>
  </si>
  <si>
    <t>Average Time (Mu) =</t>
  </si>
  <si>
    <t>Standard Deviation (Sigma) =</t>
  </si>
  <si>
    <t>Pr (T&gt;8) =</t>
  </si>
  <si>
    <t>Cost of Production Loss =</t>
  </si>
  <si>
    <t>Cost of Additional Labor =</t>
  </si>
  <si>
    <t>labor</t>
  </si>
  <si>
    <t>hours</t>
  </si>
  <si>
    <t>Total Cost =</t>
  </si>
  <si>
    <t>overtime</t>
  </si>
  <si>
    <t>Week</t>
  </si>
  <si>
    <t>Random #</t>
  </si>
  <si>
    <t>New Time</t>
  </si>
  <si>
    <t>this Week</t>
  </si>
  <si>
    <t>Total Time</t>
  </si>
  <si>
    <t>Desired</t>
  </si>
  <si>
    <t>Time</t>
  </si>
  <si>
    <t>Limit</t>
  </si>
  <si>
    <t>Time to be</t>
  </si>
  <si>
    <t>Carried</t>
  </si>
  <si>
    <t>Forward</t>
  </si>
  <si>
    <t>Any Carry</t>
  </si>
  <si>
    <t>Over?</t>
  </si>
  <si>
    <t>Long term average repair time per week (Theoratical)</t>
  </si>
  <si>
    <t>Number of weeks with carry over</t>
  </si>
  <si>
    <t>Fraction of weeks with carry over</t>
  </si>
  <si>
    <t>Average repair time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</si>
</sst>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Fill="1" applyBorder="1"/>
    <xf numFmtId="0" fontId="0" fillId="0" borderId="2" xfId="0" applyBorder="1"/>
    <xf numFmtId="0" fontId="0" fillId="0" borderId="3" xfId="0" applyBorder="1"/>
    <xf numFmtId="0" fontId="4" fillId="0" borderId="0" xfId="0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5" fillId="0" borderId="4" xfId="0" quotePrefix="1" applyFont="1" applyFill="1" applyBorder="1"/>
    <xf numFmtId="0" fontId="0" fillId="0" borderId="5" xfId="0" applyBorder="1"/>
    <xf numFmtId="0" fontId="5" fillId="0" borderId="0" xfId="0" quotePrefix="1" applyFont="1" applyFill="1" applyBorder="1"/>
    <xf numFmtId="0" fontId="3" fillId="0" borderId="0" xfId="0" applyFont="1" applyBorder="1"/>
    <xf numFmtId="0" fontId="0" fillId="0" borderId="6" xfId="0" applyBorder="1"/>
    <xf numFmtId="0" fontId="5" fillId="0" borderId="7" xfId="0" quotePrefix="1" applyFont="1" applyFill="1" applyBorder="1"/>
    <xf numFmtId="0" fontId="0" fillId="0" borderId="7" xfId="0" applyBorder="1"/>
    <xf numFmtId="0" fontId="0" fillId="0" borderId="8" xfId="0" applyBorder="1"/>
    <xf numFmtId="0" fontId="5" fillId="0" borderId="9" xfId="0" applyFont="1" applyFill="1" applyBorder="1"/>
    <xf numFmtId="0" fontId="0" fillId="0" borderId="9" xfId="0" applyBorder="1" applyAlignment="1">
      <alignment horizontal="center"/>
    </xf>
    <xf numFmtId="0" fontId="5" fillId="0" borderId="9" xfId="0" quotePrefix="1" applyFont="1" applyFill="1" applyBorder="1"/>
    <xf numFmtId="2" fontId="5" fillId="0" borderId="10" xfId="0" applyNumberFormat="1" applyFont="1" applyFill="1" applyBorder="1" applyAlignment="1">
      <alignment horizontal="right"/>
    </xf>
    <xf numFmtId="2" fontId="5" fillId="0" borderId="11" xfId="0" applyNumberFormat="1" applyFont="1" applyFill="1" applyBorder="1" applyAlignment="1">
      <alignment horizontal="right"/>
    </xf>
    <xf numFmtId="2" fontId="5" fillId="0" borderId="1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2" xfId="0" applyFont="1" applyFill="1" applyBorder="1"/>
    <xf numFmtId="0" fontId="6" fillId="0" borderId="0" xfId="0" applyFont="1" applyFill="1" applyBorder="1"/>
    <xf numFmtId="0" fontId="6" fillId="0" borderId="3" xfId="0" applyFont="1" applyFill="1" applyBorder="1"/>
    <xf numFmtId="0" fontId="6" fillId="0" borderId="2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5" fillId="0" borderId="0" xfId="0" applyNumberFormat="1" applyFont="1" applyFill="1" applyBorder="1" applyAlignment="1">
      <alignment horizontal="right"/>
    </xf>
    <xf numFmtId="0" fontId="6" fillId="0" borderId="0" xfId="0" quotePrefix="1" applyFont="1" applyBorder="1"/>
    <xf numFmtId="0" fontId="0" fillId="0" borderId="4" xfId="0" applyBorder="1"/>
    <xf numFmtId="164" fontId="6" fillId="0" borderId="11" xfId="0" applyNumberFormat="1" applyFont="1" applyBorder="1"/>
    <xf numFmtId="0" fontId="3" fillId="0" borderId="7" xfId="0" applyFont="1" applyBorder="1"/>
    <xf numFmtId="0" fontId="5" fillId="0" borderId="9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6"/>
  <sheetViews>
    <sheetView tabSelected="1" workbookViewId="0">
      <selection sqref="A1:N1"/>
    </sheetView>
  </sheetViews>
  <sheetFormatPr defaultRowHeight="12.75" x14ac:dyDescent="0.2"/>
  <cols>
    <col min="1" max="1" width="8.28515625" customWidth="1"/>
    <col min="2" max="9" width="10.7109375" customWidth="1"/>
    <col min="10" max="10" width="9.5703125" customWidth="1"/>
    <col min="11" max="11" width="18.5703125" customWidth="1"/>
    <col min="12" max="12" width="9.5703125" customWidth="1"/>
    <col min="13" max="13" width="14.5703125" customWidth="1"/>
  </cols>
  <sheetData>
    <row r="1" spans="1:14" ht="18" x14ac:dyDescent="0.25">
      <c r="A1" s="48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75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2">
      <c r="B4" s="29" t="s">
        <v>13</v>
      </c>
      <c r="C4" s="3">
        <v>0</v>
      </c>
      <c r="D4" s="3">
        <f t="shared" ref="D4:I4" si="0">C4+C6</f>
        <v>0.1</v>
      </c>
      <c r="E4" s="3">
        <f t="shared" si="0"/>
        <v>0.30000000000000004</v>
      </c>
      <c r="F4" s="3">
        <f t="shared" si="0"/>
        <v>0.60000000000000009</v>
      </c>
      <c r="G4" s="3">
        <f t="shared" si="0"/>
        <v>0.8</v>
      </c>
      <c r="H4" s="3">
        <f t="shared" si="0"/>
        <v>0.91</v>
      </c>
      <c r="I4" s="3">
        <f t="shared" si="0"/>
        <v>0.97</v>
      </c>
    </row>
    <row r="5" spans="1:14" x14ac:dyDescent="0.2">
      <c r="B5" s="29" t="s">
        <v>1</v>
      </c>
      <c r="C5" s="3">
        <v>1</v>
      </c>
      <c r="D5" s="3">
        <v>2</v>
      </c>
      <c r="E5" s="3">
        <v>4</v>
      </c>
      <c r="F5" s="3">
        <v>7</v>
      </c>
      <c r="G5" s="3">
        <v>9</v>
      </c>
      <c r="H5" s="3">
        <v>13</v>
      </c>
      <c r="I5" s="3">
        <v>17</v>
      </c>
      <c r="K5" s="29" t="s">
        <v>35</v>
      </c>
      <c r="L5" s="3">
        <f ca="1">SUM(F13:F64)*1000</f>
        <v>26000</v>
      </c>
    </row>
    <row r="6" spans="1:14" x14ac:dyDescent="0.2">
      <c r="B6" s="29" t="s">
        <v>2</v>
      </c>
      <c r="C6" s="3">
        <v>0.1</v>
      </c>
      <c r="D6" s="3">
        <v>0.2</v>
      </c>
      <c r="E6" s="3">
        <v>0.3</v>
      </c>
      <c r="F6" s="3">
        <v>0.2</v>
      </c>
      <c r="G6" s="3">
        <v>0.11</v>
      </c>
      <c r="H6" s="3">
        <v>0.06</v>
      </c>
      <c r="I6" s="3">
        <v>0.03</v>
      </c>
      <c r="K6" s="29" t="s">
        <v>36</v>
      </c>
      <c r="L6" s="3">
        <v>0</v>
      </c>
    </row>
    <row r="7" spans="1:14" ht="13.5" thickBot="1" x14ac:dyDescent="0.25">
      <c r="B7" s="1"/>
      <c r="C7" s="19" t="s">
        <v>54</v>
      </c>
      <c r="D7" s="20"/>
      <c r="E7" s="20"/>
      <c r="F7" s="21"/>
      <c r="G7" s="20"/>
      <c r="H7" s="44">
        <f>SUMPRODUCT(C5:I5,C6:I6)</f>
        <v>5.38</v>
      </c>
      <c r="I7" s="3"/>
      <c r="K7" s="46" t="s">
        <v>39</v>
      </c>
      <c r="L7" s="44">
        <f ca="1">SUM(L5:L6)</f>
        <v>26000</v>
      </c>
    </row>
    <row r="8" spans="1:14" ht="14.25" thickTop="1" thickBot="1" x14ac:dyDescent="0.25">
      <c r="B8" s="1"/>
    </row>
    <row r="9" spans="1:14" x14ac:dyDescent="0.2">
      <c r="A9" s="3"/>
      <c r="B9" s="3"/>
      <c r="C9" s="3"/>
      <c r="D9" s="30" t="s">
        <v>45</v>
      </c>
      <c r="E9" s="3"/>
      <c r="F9" s="30" t="s">
        <v>49</v>
      </c>
      <c r="G9" s="30" t="s">
        <v>52</v>
      </c>
      <c r="I9" s="22">
        <f>AVERAGE(M17:M116)</f>
        <v>5.4326923076923093</v>
      </c>
      <c r="J9" s="11" t="s">
        <v>27</v>
      </c>
      <c r="K9" s="41"/>
      <c r="L9" s="41"/>
      <c r="M9" s="41"/>
      <c r="N9" s="12"/>
    </row>
    <row r="10" spans="1:14" x14ac:dyDescent="0.2">
      <c r="A10" s="3"/>
      <c r="B10" s="3"/>
      <c r="C10" s="30" t="s">
        <v>43</v>
      </c>
      <c r="D10" s="30" t="s">
        <v>46</v>
      </c>
      <c r="E10" s="30" t="s">
        <v>47</v>
      </c>
      <c r="F10" s="30" t="s">
        <v>50</v>
      </c>
      <c r="G10" s="30" t="s">
        <v>53</v>
      </c>
      <c r="I10" s="23">
        <f>AVERAGE(K17:K116)</f>
        <v>16.68</v>
      </c>
      <c r="J10" s="13" t="s">
        <v>29</v>
      </c>
      <c r="K10" s="14"/>
      <c r="L10" s="10"/>
      <c r="M10" s="10"/>
      <c r="N10" s="15"/>
    </row>
    <row r="11" spans="1:14" x14ac:dyDescent="0.2">
      <c r="A11" s="28" t="s">
        <v>41</v>
      </c>
      <c r="B11" s="28" t="s">
        <v>42</v>
      </c>
      <c r="C11" s="28" t="s">
        <v>44</v>
      </c>
      <c r="D11" s="28" t="s">
        <v>44</v>
      </c>
      <c r="E11" s="28" t="s">
        <v>48</v>
      </c>
      <c r="F11" s="28" t="s">
        <v>51</v>
      </c>
      <c r="G11" s="28" t="s">
        <v>17</v>
      </c>
      <c r="I11" s="42">
        <f>I10/52</f>
        <v>0.32076923076923075</v>
      </c>
      <c r="J11" s="40" t="s">
        <v>30</v>
      </c>
      <c r="K11" s="10"/>
      <c r="L11" s="10"/>
      <c r="M11" s="10"/>
      <c r="N11" s="15"/>
    </row>
    <row r="12" spans="1:14" ht="13.5" thickBot="1" x14ac:dyDescent="0.25">
      <c r="A12" s="3"/>
      <c r="B12" s="3"/>
      <c r="C12" s="3"/>
      <c r="D12" s="3"/>
      <c r="E12" s="3"/>
      <c r="F12" s="3"/>
      <c r="G12" s="3"/>
      <c r="I12" s="24">
        <f>AVERAGE(L17:L116)*100</f>
        <v>32.07692307692308</v>
      </c>
      <c r="J12" s="16" t="s">
        <v>31</v>
      </c>
      <c r="K12" s="43"/>
      <c r="L12" s="17"/>
      <c r="M12" s="17"/>
      <c r="N12" s="18"/>
    </row>
    <row r="13" spans="1:14" x14ac:dyDescent="0.2">
      <c r="A13" s="3">
        <v>1</v>
      </c>
      <c r="B13" s="25">
        <f ca="1">RAND()</f>
        <v>9.3565072057628207E-2</v>
      </c>
      <c r="C13" s="3">
        <f ca="1">HLOOKUP(B13,C$4:I$5,2,TRUE)</f>
        <v>1</v>
      </c>
      <c r="D13" s="3">
        <f ca="1">C13+F12</f>
        <v>1</v>
      </c>
      <c r="E13" s="3">
        <v>8</v>
      </c>
      <c r="F13" s="3">
        <f ca="1">IF(D13&gt;E13,D13-E13,0)</f>
        <v>0</v>
      </c>
      <c r="G13" s="3">
        <f ca="1">IF(F13&gt;0,1,0)</f>
        <v>0</v>
      </c>
      <c r="I13" s="39"/>
      <c r="J13" s="13"/>
      <c r="K13" s="14"/>
      <c r="L13" s="10"/>
    </row>
    <row r="14" spans="1:14" x14ac:dyDescent="0.2">
      <c r="A14" s="3">
        <v>2</v>
      </c>
      <c r="B14" s="25">
        <f t="shared" ref="B14:B64" ca="1" si="1">RAND()</f>
        <v>0.75851205780634401</v>
      </c>
      <c r="C14" s="3">
        <f t="shared" ref="C14:C64" ca="1" si="2">HLOOKUP(B14,C$4:I$5,2,TRUE)</f>
        <v>7</v>
      </c>
      <c r="D14" s="3">
        <f t="shared" ref="D14:D64" ca="1" si="3">C14+F13</f>
        <v>7</v>
      </c>
      <c r="E14" s="3">
        <v>8</v>
      </c>
      <c r="F14" s="3">
        <f t="shared" ref="F14:F64" ca="1" si="4">IF(D14&gt;E14,D14-E14,0)</f>
        <v>0</v>
      </c>
      <c r="G14" s="3">
        <f t="shared" ref="G14:G64" ca="1" si="5">IF(F14&gt;0,1,0)</f>
        <v>0</v>
      </c>
      <c r="J14" s="47" t="s">
        <v>24</v>
      </c>
      <c r="K14" s="47"/>
      <c r="L14" s="47"/>
      <c r="M14" s="47"/>
    </row>
    <row r="15" spans="1:14" x14ac:dyDescent="0.2">
      <c r="A15" s="3">
        <v>3</v>
      </c>
      <c r="B15" s="25">
        <f t="shared" ca="1" si="1"/>
        <v>0.85151311531625495</v>
      </c>
      <c r="C15" s="3">
        <f t="shared" ca="1" si="2"/>
        <v>9</v>
      </c>
      <c r="D15" s="3">
        <f t="shared" ca="1" si="3"/>
        <v>9</v>
      </c>
      <c r="E15" s="3">
        <v>8</v>
      </c>
      <c r="F15" s="3">
        <f t="shared" ca="1" si="4"/>
        <v>1</v>
      </c>
      <c r="G15" s="3">
        <f t="shared" ca="1" si="5"/>
        <v>1</v>
      </c>
      <c r="J15" s="37" t="s">
        <v>16</v>
      </c>
      <c r="K15" s="37" t="s">
        <v>23</v>
      </c>
      <c r="L15" s="37" t="s">
        <v>15</v>
      </c>
      <c r="M15" s="37" t="s">
        <v>25</v>
      </c>
    </row>
    <row r="16" spans="1:14" x14ac:dyDescent="0.2">
      <c r="A16" s="3">
        <v>4</v>
      </c>
      <c r="B16" s="25">
        <f t="shared" ca="1" si="1"/>
        <v>0.80024693262353519</v>
      </c>
      <c r="C16" s="3">
        <f t="shared" ca="1" si="2"/>
        <v>9</v>
      </c>
      <c r="D16" s="3">
        <f t="shared" ca="1" si="3"/>
        <v>10</v>
      </c>
      <c r="E16" s="3">
        <v>8</v>
      </c>
      <c r="F16" s="3">
        <f t="shared" ca="1" si="4"/>
        <v>2</v>
      </c>
      <c r="G16" s="3">
        <f t="shared" ca="1" si="5"/>
        <v>1</v>
      </c>
      <c r="J16" s="3"/>
      <c r="K16" s="3">
        <f ca="1">G65</f>
        <v>9</v>
      </c>
      <c r="L16" s="26">
        <f ca="1">G66</f>
        <v>0.17307692307692307</v>
      </c>
      <c r="M16" s="26">
        <f ca="1">G67</f>
        <v>4.9615384615384617</v>
      </c>
    </row>
    <row r="17" spans="1:13" x14ac:dyDescent="0.2">
      <c r="A17" s="3">
        <v>5</v>
      </c>
      <c r="B17" s="25">
        <f t="shared" ca="1" si="1"/>
        <v>0.11134387700685933</v>
      </c>
      <c r="C17" s="3">
        <f t="shared" ca="1" si="2"/>
        <v>2</v>
      </c>
      <c r="D17" s="3">
        <f t="shared" ca="1" si="3"/>
        <v>4</v>
      </c>
      <c r="E17" s="3">
        <v>8</v>
      </c>
      <c r="F17" s="3">
        <f t="shared" ca="1" si="4"/>
        <v>0</v>
      </c>
      <c r="G17" s="3">
        <f t="shared" ca="1" si="5"/>
        <v>0</v>
      </c>
      <c r="J17" s="3">
        <v>1</v>
      </c>
      <c r="K17" s="3">
        <f t="dataTable" ref="K17:M116" dt2D="0" dtr="0" r1="I14" ca="1"/>
        <v>17</v>
      </c>
      <c r="L17" s="26">
        <v>0.32692307692307693</v>
      </c>
      <c r="M17" s="26">
        <v>5.5961538461538458</v>
      </c>
    </row>
    <row r="18" spans="1:13" x14ac:dyDescent="0.2">
      <c r="A18" s="3">
        <v>6</v>
      </c>
      <c r="B18" s="25">
        <f t="shared" ca="1" si="1"/>
        <v>0.80469299737962496</v>
      </c>
      <c r="C18" s="3">
        <f t="shared" ca="1" si="2"/>
        <v>9</v>
      </c>
      <c r="D18" s="3">
        <f t="shared" ca="1" si="3"/>
        <v>9</v>
      </c>
      <c r="E18" s="3">
        <v>8</v>
      </c>
      <c r="F18" s="3">
        <f t="shared" ca="1" si="4"/>
        <v>1</v>
      </c>
      <c r="G18" s="3">
        <f t="shared" ca="1" si="5"/>
        <v>1</v>
      </c>
      <c r="J18" s="3">
        <v>2</v>
      </c>
      <c r="K18" s="3">
        <v>24</v>
      </c>
      <c r="L18" s="26">
        <v>0.46153846153846156</v>
      </c>
      <c r="M18" s="26">
        <v>6.0769230769230766</v>
      </c>
    </row>
    <row r="19" spans="1:13" x14ac:dyDescent="0.2">
      <c r="A19" s="3">
        <v>7</v>
      </c>
      <c r="B19" s="25">
        <f t="shared" ca="1" si="1"/>
        <v>0.42702870481845767</v>
      </c>
      <c r="C19" s="3">
        <f t="shared" ca="1" si="2"/>
        <v>4</v>
      </c>
      <c r="D19" s="3">
        <f t="shared" ca="1" si="3"/>
        <v>5</v>
      </c>
      <c r="E19" s="3">
        <v>8</v>
      </c>
      <c r="F19" s="3">
        <f t="shared" ca="1" si="4"/>
        <v>0</v>
      </c>
      <c r="G19" s="3">
        <f t="shared" ca="1" si="5"/>
        <v>0</v>
      </c>
      <c r="J19" s="3">
        <v>3</v>
      </c>
      <c r="K19" s="3">
        <v>20</v>
      </c>
      <c r="L19" s="26">
        <v>0.38461538461538464</v>
      </c>
      <c r="M19" s="26">
        <v>5.6538461538461542</v>
      </c>
    </row>
    <row r="20" spans="1:13" x14ac:dyDescent="0.2">
      <c r="A20" s="3">
        <v>8</v>
      </c>
      <c r="B20" s="25">
        <f t="shared" ca="1" si="1"/>
        <v>0.76900845436029241</v>
      </c>
      <c r="C20" s="3">
        <f t="shared" ca="1" si="2"/>
        <v>7</v>
      </c>
      <c r="D20" s="3">
        <f t="shared" ca="1" si="3"/>
        <v>7</v>
      </c>
      <c r="E20" s="3">
        <v>8</v>
      </c>
      <c r="F20" s="3">
        <f t="shared" ca="1" si="4"/>
        <v>0</v>
      </c>
      <c r="G20" s="3">
        <f t="shared" ca="1" si="5"/>
        <v>0</v>
      </c>
      <c r="J20" s="3">
        <v>4</v>
      </c>
      <c r="K20" s="3">
        <v>17</v>
      </c>
      <c r="L20" s="26">
        <v>0.32692307692307693</v>
      </c>
      <c r="M20" s="26">
        <v>5.25</v>
      </c>
    </row>
    <row r="21" spans="1:13" x14ac:dyDescent="0.2">
      <c r="A21" s="3">
        <v>9</v>
      </c>
      <c r="B21" s="25">
        <f t="shared" ca="1" si="1"/>
        <v>0.36764971370704591</v>
      </c>
      <c r="C21" s="3">
        <f t="shared" ca="1" si="2"/>
        <v>4</v>
      </c>
      <c r="D21" s="3">
        <f t="shared" ca="1" si="3"/>
        <v>4</v>
      </c>
      <c r="E21" s="3">
        <v>8</v>
      </c>
      <c r="F21" s="3">
        <f t="shared" ca="1" si="4"/>
        <v>0</v>
      </c>
      <c r="G21" s="3">
        <f t="shared" ca="1" si="5"/>
        <v>0</v>
      </c>
      <c r="J21" s="3">
        <v>5</v>
      </c>
      <c r="K21" s="3">
        <v>12</v>
      </c>
      <c r="L21" s="26">
        <v>0.23076923076923078</v>
      </c>
      <c r="M21" s="26">
        <v>5.0961538461538458</v>
      </c>
    </row>
    <row r="22" spans="1:13" x14ac:dyDescent="0.2">
      <c r="A22" s="3">
        <v>10</v>
      </c>
      <c r="B22" s="25">
        <f t="shared" ca="1" si="1"/>
        <v>0.30303484521134882</v>
      </c>
      <c r="C22" s="3">
        <f t="shared" ca="1" si="2"/>
        <v>4</v>
      </c>
      <c r="D22" s="3">
        <f t="shared" ca="1" si="3"/>
        <v>4</v>
      </c>
      <c r="E22" s="3">
        <v>8</v>
      </c>
      <c r="F22" s="3">
        <f t="shared" ca="1" si="4"/>
        <v>0</v>
      </c>
      <c r="G22" s="3">
        <f t="shared" ca="1" si="5"/>
        <v>0</v>
      </c>
      <c r="J22" s="3">
        <v>6</v>
      </c>
      <c r="K22" s="3">
        <v>12</v>
      </c>
      <c r="L22" s="26">
        <v>0.23076923076923078</v>
      </c>
      <c r="M22" s="26">
        <v>4.75</v>
      </c>
    </row>
    <row r="23" spans="1:13" ht="12.75" hidden="1" customHeight="1" x14ac:dyDescent="0.2">
      <c r="A23" s="3">
        <v>11</v>
      </c>
      <c r="B23" s="25">
        <f t="shared" ca="1" si="1"/>
        <v>0.5852261486325897</v>
      </c>
      <c r="C23" s="3">
        <f t="shared" ca="1" si="2"/>
        <v>4</v>
      </c>
      <c r="D23" s="3">
        <f t="shared" ca="1" si="3"/>
        <v>4</v>
      </c>
      <c r="E23" s="3">
        <v>8</v>
      </c>
      <c r="F23" s="3">
        <f t="shared" ca="1" si="4"/>
        <v>0</v>
      </c>
      <c r="G23" s="3">
        <f t="shared" ca="1" si="5"/>
        <v>0</v>
      </c>
      <c r="J23" s="3">
        <v>7</v>
      </c>
      <c r="K23" s="3">
        <v>19</v>
      </c>
      <c r="L23" s="26">
        <v>0.36538461538461536</v>
      </c>
      <c r="M23" s="26">
        <v>5.7307692307692308</v>
      </c>
    </row>
    <row r="24" spans="1:13" ht="12.75" hidden="1" customHeight="1" x14ac:dyDescent="0.2">
      <c r="A24" s="3">
        <v>12</v>
      </c>
      <c r="B24" s="25">
        <f t="shared" ca="1" si="1"/>
        <v>0.10430568077588853</v>
      </c>
      <c r="C24" s="3">
        <f t="shared" ca="1" si="2"/>
        <v>2</v>
      </c>
      <c r="D24" s="3">
        <f t="shared" ca="1" si="3"/>
        <v>2</v>
      </c>
      <c r="E24" s="3">
        <v>8</v>
      </c>
      <c r="F24" s="3">
        <f t="shared" ca="1" si="4"/>
        <v>0</v>
      </c>
      <c r="G24" s="3">
        <f t="shared" ca="1" si="5"/>
        <v>0</v>
      </c>
      <c r="J24" s="3">
        <v>8</v>
      </c>
      <c r="K24" s="3">
        <v>16</v>
      </c>
      <c r="L24" s="26">
        <v>0.30769230769230771</v>
      </c>
      <c r="M24" s="26">
        <v>5.5192307692307692</v>
      </c>
    </row>
    <row r="25" spans="1:13" ht="12.75" hidden="1" customHeight="1" x14ac:dyDescent="0.2">
      <c r="A25" s="3">
        <v>13</v>
      </c>
      <c r="B25" s="25">
        <f t="shared" ca="1" si="1"/>
        <v>0.63422358153588776</v>
      </c>
      <c r="C25" s="3">
        <f t="shared" ca="1" si="2"/>
        <v>7</v>
      </c>
      <c r="D25" s="3">
        <f t="shared" ca="1" si="3"/>
        <v>7</v>
      </c>
      <c r="E25" s="3">
        <v>8</v>
      </c>
      <c r="F25" s="3">
        <f t="shared" ca="1" si="4"/>
        <v>0</v>
      </c>
      <c r="G25" s="3">
        <f t="shared" ca="1" si="5"/>
        <v>0</v>
      </c>
      <c r="J25" s="3">
        <v>9</v>
      </c>
      <c r="K25" s="3">
        <v>10</v>
      </c>
      <c r="L25" s="26">
        <v>0.19230769230769232</v>
      </c>
      <c r="M25" s="26">
        <v>4.9423076923076925</v>
      </c>
    </row>
    <row r="26" spans="1:13" ht="12.75" hidden="1" customHeight="1" x14ac:dyDescent="0.2">
      <c r="A26" s="3">
        <v>14</v>
      </c>
      <c r="B26" s="25">
        <f t="shared" ca="1" si="1"/>
        <v>0.40054411791518929</v>
      </c>
      <c r="C26" s="3">
        <f t="shared" ca="1" si="2"/>
        <v>4</v>
      </c>
      <c r="D26" s="3">
        <f t="shared" ca="1" si="3"/>
        <v>4</v>
      </c>
      <c r="E26" s="3">
        <v>8</v>
      </c>
      <c r="F26" s="3">
        <f t="shared" ca="1" si="4"/>
        <v>0</v>
      </c>
      <c r="G26" s="3">
        <f t="shared" ca="1" si="5"/>
        <v>0</v>
      </c>
      <c r="J26" s="3">
        <v>10</v>
      </c>
      <c r="K26" s="3">
        <v>10</v>
      </c>
      <c r="L26" s="26">
        <v>0.19230769230769232</v>
      </c>
      <c r="M26" s="26">
        <v>4.8076923076923075</v>
      </c>
    </row>
    <row r="27" spans="1:13" ht="12.75" hidden="1" customHeight="1" x14ac:dyDescent="0.2">
      <c r="A27" s="3">
        <v>15</v>
      </c>
      <c r="B27" s="25">
        <f t="shared" ca="1" si="1"/>
        <v>0.22483626713711391</v>
      </c>
      <c r="C27" s="3">
        <f t="shared" ca="1" si="2"/>
        <v>2</v>
      </c>
      <c r="D27" s="3">
        <f t="shared" ca="1" si="3"/>
        <v>2</v>
      </c>
      <c r="E27" s="3">
        <v>8</v>
      </c>
      <c r="F27" s="3">
        <f t="shared" ca="1" si="4"/>
        <v>0</v>
      </c>
      <c r="G27" s="3">
        <f t="shared" ca="1" si="5"/>
        <v>0</v>
      </c>
      <c r="J27" s="3">
        <v>11</v>
      </c>
      <c r="K27" s="3">
        <v>19</v>
      </c>
      <c r="L27" s="26">
        <v>0.36538461538461536</v>
      </c>
      <c r="M27" s="26">
        <v>6.25</v>
      </c>
    </row>
    <row r="28" spans="1:13" ht="12.75" hidden="1" customHeight="1" x14ac:dyDescent="0.2">
      <c r="A28" s="3">
        <v>16</v>
      </c>
      <c r="B28" s="25">
        <f t="shared" ca="1" si="1"/>
        <v>0.7835505822064317</v>
      </c>
      <c r="C28" s="3">
        <f t="shared" ca="1" si="2"/>
        <v>7</v>
      </c>
      <c r="D28" s="3">
        <f t="shared" ca="1" si="3"/>
        <v>7</v>
      </c>
      <c r="E28" s="3">
        <v>8</v>
      </c>
      <c r="F28" s="3">
        <f t="shared" ca="1" si="4"/>
        <v>0</v>
      </c>
      <c r="G28" s="3">
        <f t="shared" ca="1" si="5"/>
        <v>0</v>
      </c>
      <c r="J28" s="3">
        <v>12</v>
      </c>
      <c r="K28" s="3">
        <v>19</v>
      </c>
      <c r="L28" s="26">
        <v>0.36538461538461536</v>
      </c>
      <c r="M28" s="26">
        <v>5.615384615384615</v>
      </c>
    </row>
    <row r="29" spans="1:13" ht="12.75" hidden="1" customHeight="1" x14ac:dyDescent="0.2">
      <c r="A29" s="3">
        <v>17</v>
      </c>
      <c r="B29" s="25">
        <f t="shared" ca="1" si="1"/>
        <v>6.1128083634770625E-2</v>
      </c>
      <c r="C29" s="3">
        <f t="shared" ca="1" si="2"/>
        <v>1</v>
      </c>
      <c r="D29" s="3">
        <f t="shared" ca="1" si="3"/>
        <v>1</v>
      </c>
      <c r="E29" s="3">
        <v>8</v>
      </c>
      <c r="F29" s="3">
        <f t="shared" ca="1" si="4"/>
        <v>0</v>
      </c>
      <c r="G29" s="3">
        <f t="shared" ca="1" si="5"/>
        <v>0</v>
      </c>
      <c r="J29" s="3">
        <v>13</v>
      </c>
      <c r="K29" s="3">
        <v>17</v>
      </c>
      <c r="L29" s="26">
        <v>0.32692307692307693</v>
      </c>
      <c r="M29" s="26">
        <v>5.4423076923076925</v>
      </c>
    </row>
    <row r="30" spans="1:13" ht="12.75" hidden="1" customHeight="1" x14ac:dyDescent="0.2">
      <c r="A30" s="3">
        <v>18</v>
      </c>
      <c r="B30" s="25">
        <f t="shared" ca="1" si="1"/>
        <v>0.71805433424652254</v>
      </c>
      <c r="C30" s="3">
        <f t="shared" ca="1" si="2"/>
        <v>7</v>
      </c>
      <c r="D30" s="3">
        <f t="shared" ca="1" si="3"/>
        <v>7</v>
      </c>
      <c r="E30" s="3">
        <v>8</v>
      </c>
      <c r="F30" s="3">
        <f t="shared" ca="1" si="4"/>
        <v>0</v>
      </c>
      <c r="G30" s="3">
        <f t="shared" ca="1" si="5"/>
        <v>0</v>
      </c>
      <c r="J30" s="3">
        <v>14</v>
      </c>
      <c r="K30" s="3">
        <v>10</v>
      </c>
      <c r="L30" s="26">
        <v>0.19230769230769232</v>
      </c>
      <c r="M30" s="26">
        <v>4.9230769230769234</v>
      </c>
    </row>
    <row r="31" spans="1:13" ht="12.75" hidden="1" customHeight="1" x14ac:dyDescent="0.2">
      <c r="A31" s="3">
        <v>19</v>
      </c>
      <c r="B31" s="25">
        <f t="shared" ca="1" si="1"/>
        <v>0.11896970747442515</v>
      </c>
      <c r="C31" s="3">
        <f t="shared" ca="1" si="2"/>
        <v>2</v>
      </c>
      <c r="D31" s="3">
        <f t="shared" ca="1" si="3"/>
        <v>2</v>
      </c>
      <c r="E31" s="3">
        <v>8</v>
      </c>
      <c r="F31" s="3">
        <f t="shared" ca="1" si="4"/>
        <v>0</v>
      </c>
      <c r="G31" s="3">
        <f t="shared" ca="1" si="5"/>
        <v>0</v>
      </c>
      <c r="J31" s="3">
        <v>15</v>
      </c>
      <c r="K31" s="3">
        <v>8</v>
      </c>
      <c r="L31" s="26">
        <v>0.15384615384615385</v>
      </c>
      <c r="M31" s="26">
        <v>4.5</v>
      </c>
    </row>
    <row r="32" spans="1:13" ht="12.75" hidden="1" customHeight="1" x14ac:dyDescent="0.2">
      <c r="A32" s="3">
        <v>20</v>
      </c>
      <c r="B32" s="25">
        <f t="shared" ca="1" si="1"/>
        <v>0.5394079159691284</v>
      </c>
      <c r="C32" s="3">
        <f t="shared" ca="1" si="2"/>
        <v>4</v>
      </c>
      <c r="D32" s="3">
        <f t="shared" ca="1" si="3"/>
        <v>4</v>
      </c>
      <c r="E32" s="3">
        <v>8</v>
      </c>
      <c r="F32" s="3">
        <f t="shared" ca="1" si="4"/>
        <v>0</v>
      </c>
      <c r="G32" s="3">
        <f t="shared" ca="1" si="5"/>
        <v>0</v>
      </c>
      <c r="J32" s="3">
        <v>16</v>
      </c>
      <c r="K32" s="3">
        <v>20</v>
      </c>
      <c r="L32" s="26">
        <v>0.38461538461538464</v>
      </c>
      <c r="M32" s="26">
        <v>5.384615384615385</v>
      </c>
    </row>
    <row r="33" spans="1:13" ht="12.75" hidden="1" customHeight="1" x14ac:dyDescent="0.2">
      <c r="A33" s="3">
        <v>21</v>
      </c>
      <c r="B33" s="25">
        <f t="shared" ca="1" si="1"/>
        <v>0.77771866459512684</v>
      </c>
      <c r="C33" s="3">
        <f t="shared" ca="1" si="2"/>
        <v>7</v>
      </c>
      <c r="D33" s="3">
        <f t="shared" ca="1" si="3"/>
        <v>7</v>
      </c>
      <c r="E33" s="3">
        <v>8</v>
      </c>
      <c r="F33" s="3">
        <f t="shared" ca="1" si="4"/>
        <v>0</v>
      </c>
      <c r="G33" s="3">
        <f t="shared" ca="1" si="5"/>
        <v>0</v>
      </c>
      <c r="J33" s="3">
        <v>17</v>
      </c>
      <c r="K33" s="3">
        <v>22</v>
      </c>
      <c r="L33" s="26">
        <v>0.42307692307692307</v>
      </c>
      <c r="M33" s="26">
        <v>5.634615384615385</v>
      </c>
    </row>
    <row r="34" spans="1:13" ht="12.75" hidden="1" customHeight="1" x14ac:dyDescent="0.2">
      <c r="A34" s="3">
        <v>22</v>
      </c>
      <c r="B34" s="25">
        <f t="shared" ca="1" si="1"/>
        <v>0.60330117123017712</v>
      </c>
      <c r="C34" s="3">
        <f t="shared" ca="1" si="2"/>
        <v>7</v>
      </c>
      <c r="D34" s="3">
        <f t="shared" ca="1" si="3"/>
        <v>7</v>
      </c>
      <c r="E34" s="3">
        <v>8</v>
      </c>
      <c r="F34" s="3">
        <f t="shared" ca="1" si="4"/>
        <v>0</v>
      </c>
      <c r="G34" s="3">
        <f t="shared" ca="1" si="5"/>
        <v>0</v>
      </c>
      <c r="J34" s="3">
        <v>18</v>
      </c>
      <c r="K34" s="3">
        <v>12</v>
      </c>
      <c r="L34" s="26">
        <v>0.23076923076923078</v>
      </c>
      <c r="M34" s="26">
        <v>4.9230769230769234</v>
      </c>
    </row>
    <row r="35" spans="1:13" ht="12.75" hidden="1" customHeight="1" x14ac:dyDescent="0.2">
      <c r="A35" s="3">
        <v>23</v>
      </c>
      <c r="B35" s="25">
        <f t="shared" ca="1" si="1"/>
        <v>0.71866740040244836</v>
      </c>
      <c r="C35" s="3">
        <f t="shared" ca="1" si="2"/>
        <v>7</v>
      </c>
      <c r="D35" s="3">
        <f t="shared" ca="1" si="3"/>
        <v>7</v>
      </c>
      <c r="E35" s="3">
        <v>8</v>
      </c>
      <c r="F35" s="3">
        <f t="shared" ca="1" si="4"/>
        <v>0</v>
      </c>
      <c r="G35" s="3">
        <f t="shared" ca="1" si="5"/>
        <v>0</v>
      </c>
      <c r="J35" s="3">
        <v>19</v>
      </c>
      <c r="K35" s="3">
        <v>15</v>
      </c>
      <c r="L35" s="26">
        <v>0.28846153846153844</v>
      </c>
      <c r="M35" s="26">
        <v>5.0384615384615383</v>
      </c>
    </row>
    <row r="36" spans="1:13" ht="12.75" hidden="1" customHeight="1" x14ac:dyDescent="0.2">
      <c r="A36" s="3">
        <v>24</v>
      </c>
      <c r="B36" s="25">
        <f t="shared" ca="1" si="1"/>
        <v>0.51614051388873949</v>
      </c>
      <c r="C36" s="3">
        <f t="shared" ca="1" si="2"/>
        <v>4</v>
      </c>
      <c r="D36" s="3">
        <f t="shared" ca="1" si="3"/>
        <v>4</v>
      </c>
      <c r="E36" s="3">
        <v>8</v>
      </c>
      <c r="F36" s="3">
        <f t="shared" ca="1" si="4"/>
        <v>0</v>
      </c>
      <c r="G36" s="3">
        <f t="shared" ca="1" si="5"/>
        <v>0</v>
      </c>
      <c r="J36" s="3">
        <v>20</v>
      </c>
      <c r="K36" s="3">
        <v>17</v>
      </c>
      <c r="L36" s="26">
        <v>0.32692307692307693</v>
      </c>
      <c r="M36" s="26">
        <v>5.365384615384615</v>
      </c>
    </row>
    <row r="37" spans="1:13" ht="12.75" hidden="1" customHeight="1" x14ac:dyDescent="0.2">
      <c r="A37" s="3">
        <v>25</v>
      </c>
      <c r="B37" s="25">
        <f t="shared" ca="1" si="1"/>
        <v>0.67134754121246298</v>
      </c>
      <c r="C37" s="3">
        <f t="shared" ca="1" si="2"/>
        <v>7</v>
      </c>
      <c r="D37" s="3">
        <f t="shared" ca="1" si="3"/>
        <v>7</v>
      </c>
      <c r="E37" s="3">
        <v>8</v>
      </c>
      <c r="F37" s="3">
        <f t="shared" ca="1" si="4"/>
        <v>0</v>
      </c>
      <c r="G37" s="3">
        <f t="shared" ca="1" si="5"/>
        <v>0</v>
      </c>
      <c r="J37" s="3">
        <v>21</v>
      </c>
      <c r="K37" s="3">
        <v>16</v>
      </c>
      <c r="L37" s="26">
        <v>0.30769230769230771</v>
      </c>
      <c r="M37" s="26">
        <v>4.9615384615384617</v>
      </c>
    </row>
    <row r="38" spans="1:13" ht="12.75" hidden="1" customHeight="1" x14ac:dyDescent="0.2">
      <c r="A38" s="3">
        <v>26</v>
      </c>
      <c r="B38" s="25">
        <f t="shared" ca="1" si="1"/>
        <v>0.32872038625670019</v>
      </c>
      <c r="C38" s="3">
        <f t="shared" ca="1" si="2"/>
        <v>4</v>
      </c>
      <c r="D38" s="3">
        <f t="shared" ca="1" si="3"/>
        <v>4</v>
      </c>
      <c r="E38" s="3">
        <v>8</v>
      </c>
      <c r="F38" s="3">
        <f t="shared" ca="1" si="4"/>
        <v>0</v>
      </c>
      <c r="G38" s="3">
        <f t="shared" ca="1" si="5"/>
        <v>0</v>
      </c>
      <c r="J38" s="3">
        <v>22</v>
      </c>
      <c r="K38" s="3">
        <v>13</v>
      </c>
      <c r="L38" s="26">
        <v>0.25</v>
      </c>
      <c r="M38" s="26">
        <v>4.9423076923076925</v>
      </c>
    </row>
    <row r="39" spans="1:13" ht="12.75" hidden="1" customHeight="1" x14ac:dyDescent="0.2">
      <c r="A39" s="3">
        <v>27</v>
      </c>
      <c r="B39" s="25">
        <f t="shared" ca="1" si="1"/>
        <v>6.2536210869203135E-2</v>
      </c>
      <c r="C39" s="3">
        <f t="shared" ca="1" si="2"/>
        <v>1</v>
      </c>
      <c r="D39" s="3">
        <f t="shared" ca="1" si="3"/>
        <v>1</v>
      </c>
      <c r="E39" s="3">
        <v>8</v>
      </c>
      <c r="F39" s="3">
        <f t="shared" ca="1" si="4"/>
        <v>0</v>
      </c>
      <c r="G39" s="3">
        <f t="shared" ca="1" si="5"/>
        <v>0</v>
      </c>
      <c r="J39" s="3">
        <v>23</v>
      </c>
      <c r="K39" s="3">
        <v>12</v>
      </c>
      <c r="L39" s="26">
        <v>0.23076923076923078</v>
      </c>
      <c r="M39" s="26">
        <v>5.1730769230769234</v>
      </c>
    </row>
    <row r="40" spans="1:13" ht="12.75" hidden="1" customHeight="1" x14ac:dyDescent="0.2">
      <c r="A40" s="3">
        <v>28</v>
      </c>
      <c r="B40" s="25">
        <f t="shared" ca="1" si="1"/>
        <v>0.9983777102155883</v>
      </c>
      <c r="C40" s="3">
        <f t="shared" ca="1" si="2"/>
        <v>17</v>
      </c>
      <c r="D40" s="3">
        <f t="shared" ca="1" si="3"/>
        <v>17</v>
      </c>
      <c r="E40" s="3">
        <v>8</v>
      </c>
      <c r="F40" s="3">
        <f t="shared" ca="1" si="4"/>
        <v>9</v>
      </c>
      <c r="G40" s="3">
        <f t="shared" ca="1" si="5"/>
        <v>1</v>
      </c>
      <c r="J40" s="3">
        <v>24</v>
      </c>
      <c r="K40" s="3">
        <v>12</v>
      </c>
      <c r="L40" s="26">
        <v>0.23076923076923078</v>
      </c>
      <c r="M40" s="26">
        <v>5.3461538461538458</v>
      </c>
    </row>
    <row r="41" spans="1:13" ht="12.75" hidden="1" customHeight="1" x14ac:dyDescent="0.2">
      <c r="A41" s="3">
        <v>29</v>
      </c>
      <c r="B41" s="25">
        <f t="shared" ca="1" si="1"/>
        <v>0.59347668755328775</v>
      </c>
      <c r="C41" s="3">
        <f t="shared" ca="1" si="2"/>
        <v>4</v>
      </c>
      <c r="D41" s="3">
        <f t="shared" ca="1" si="3"/>
        <v>13</v>
      </c>
      <c r="E41" s="3">
        <v>8</v>
      </c>
      <c r="F41" s="3">
        <f t="shared" ca="1" si="4"/>
        <v>5</v>
      </c>
      <c r="G41" s="3">
        <f t="shared" ca="1" si="5"/>
        <v>1</v>
      </c>
      <c r="J41" s="3">
        <v>25</v>
      </c>
      <c r="K41" s="3">
        <v>32</v>
      </c>
      <c r="L41" s="26">
        <v>0.61538461538461542</v>
      </c>
      <c r="M41" s="26">
        <v>6.7115384615384617</v>
      </c>
    </row>
    <row r="42" spans="1:13" ht="12.75" hidden="1" customHeight="1" x14ac:dyDescent="0.2">
      <c r="A42" s="3">
        <v>30</v>
      </c>
      <c r="B42" s="25">
        <f t="shared" ca="1" si="1"/>
        <v>0.13035342885086509</v>
      </c>
      <c r="C42" s="3">
        <f t="shared" ca="1" si="2"/>
        <v>2</v>
      </c>
      <c r="D42" s="3">
        <f t="shared" ca="1" si="3"/>
        <v>7</v>
      </c>
      <c r="E42" s="3">
        <v>8</v>
      </c>
      <c r="F42" s="3">
        <f t="shared" ca="1" si="4"/>
        <v>0</v>
      </c>
      <c r="G42" s="3">
        <f t="shared" ca="1" si="5"/>
        <v>0</v>
      </c>
      <c r="J42" s="3">
        <v>26</v>
      </c>
      <c r="K42" s="3">
        <v>21</v>
      </c>
      <c r="L42" s="26">
        <v>0.40384615384615385</v>
      </c>
      <c r="M42" s="26">
        <v>5.4615384615384617</v>
      </c>
    </row>
    <row r="43" spans="1:13" ht="12.75" hidden="1" customHeight="1" x14ac:dyDescent="0.2">
      <c r="A43" s="3">
        <v>31</v>
      </c>
      <c r="B43" s="25">
        <f t="shared" ca="1" si="1"/>
        <v>0.88308257650277944</v>
      </c>
      <c r="C43" s="3">
        <f t="shared" ca="1" si="2"/>
        <v>9</v>
      </c>
      <c r="D43" s="3">
        <f t="shared" ca="1" si="3"/>
        <v>9</v>
      </c>
      <c r="E43" s="3">
        <v>8</v>
      </c>
      <c r="F43" s="3">
        <f t="shared" ca="1" si="4"/>
        <v>1</v>
      </c>
      <c r="G43" s="3">
        <f t="shared" ca="1" si="5"/>
        <v>1</v>
      </c>
      <c r="J43" s="3">
        <v>27</v>
      </c>
      <c r="K43" s="3">
        <v>15</v>
      </c>
      <c r="L43" s="26">
        <v>0.28846153846153844</v>
      </c>
      <c r="M43" s="26">
        <v>5.7115384615384617</v>
      </c>
    </row>
    <row r="44" spans="1:13" ht="12.75" hidden="1" customHeight="1" x14ac:dyDescent="0.2">
      <c r="A44" s="3">
        <v>32</v>
      </c>
      <c r="B44" s="25">
        <f t="shared" ca="1" si="1"/>
        <v>0.51141250105144209</v>
      </c>
      <c r="C44" s="3">
        <f t="shared" ca="1" si="2"/>
        <v>4</v>
      </c>
      <c r="D44" s="3">
        <f t="shared" ca="1" si="3"/>
        <v>5</v>
      </c>
      <c r="E44" s="3">
        <v>8</v>
      </c>
      <c r="F44" s="3">
        <f t="shared" ca="1" si="4"/>
        <v>0</v>
      </c>
      <c r="G44" s="3">
        <f t="shared" ca="1" si="5"/>
        <v>0</v>
      </c>
      <c r="J44" s="3">
        <v>28</v>
      </c>
      <c r="K44" s="3">
        <v>21</v>
      </c>
      <c r="L44" s="26">
        <v>0.40384615384615385</v>
      </c>
      <c r="M44" s="26">
        <v>5.9230769230769234</v>
      </c>
    </row>
    <row r="45" spans="1:13" ht="12.75" hidden="1" customHeight="1" x14ac:dyDescent="0.2">
      <c r="A45" s="3">
        <v>33</v>
      </c>
      <c r="B45" s="25">
        <f t="shared" ca="1" si="1"/>
        <v>0.67034516261331911</v>
      </c>
      <c r="C45" s="3">
        <f t="shared" ca="1" si="2"/>
        <v>7</v>
      </c>
      <c r="D45" s="3">
        <f t="shared" ca="1" si="3"/>
        <v>7</v>
      </c>
      <c r="E45" s="3">
        <v>8</v>
      </c>
      <c r="F45" s="3">
        <f t="shared" ca="1" si="4"/>
        <v>0</v>
      </c>
      <c r="G45" s="3">
        <f t="shared" ca="1" si="5"/>
        <v>0</v>
      </c>
      <c r="J45" s="3">
        <v>29</v>
      </c>
      <c r="K45" s="3">
        <v>17</v>
      </c>
      <c r="L45" s="26">
        <v>0.32692307692307693</v>
      </c>
      <c r="M45" s="26">
        <v>5.5</v>
      </c>
    </row>
    <row r="46" spans="1:13" ht="12.75" hidden="1" customHeight="1" x14ac:dyDescent="0.2">
      <c r="A46" s="3">
        <v>34</v>
      </c>
      <c r="B46" s="25">
        <f t="shared" ca="1" si="1"/>
        <v>0.92828896104551639</v>
      </c>
      <c r="C46" s="3">
        <f t="shared" ca="1" si="2"/>
        <v>13</v>
      </c>
      <c r="D46" s="3">
        <f t="shared" ca="1" si="3"/>
        <v>13</v>
      </c>
      <c r="E46" s="3">
        <v>8</v>
      </c>
      <c r="F46" s="3">
        <f t="shared" ca="1" si="4"/>
        <v>5</v>
      </c>
      <c r="G46" s="3">
        <f t="shared" ca="1" si="5"/>
        <v>1</v>
      </c>
      <c r="J46" s="3">
        <v>30</v>
      </c>
      <c r="K46" s="3">
        <v>12</v>
      </c>
      <c r="L46" s="26">
        <v>0.23076923076923078</v>
      </c>
      <c r="M46" s="26">
        <v>5.0961538461538458</v>
      </c>
    </row>
    <row r="47" spans="1:13" ht="12.75" hidden="1" customHeight="1" x14ac:dyDescent="0.2">
      <c r="A47" s="3">
        <v>35</v>
      </c>
      <c r="B47" s="25">
        <f t="shared" ca="1" si="1"/>
        <v>7.683047692620637E-2</v>
      </c>
      <c r="C47" s="3">
        <f t="shared" ca="1" si="2"/>
        <v>1</v>
      </c>
      <c r="D47" s="3">
        <f t="shared" ca="1" si="3"/>
        <v>6</v>
      </c>
      <c r="E47" s="3">
        <v>8</v>
      </c>
      <c r="F47" s="3">
        <f t="shared" ca="1" si="4"/>
        <v>0</v>
      </c>
      <c r="G47" s="3">
        <f t="shared" ca="1" si="5"/>
        <v>0</v>
      </c>
      <c r="J47" s="3">
        <v>31</v>
      </c>
      <c r="K47" s="3">
        <v>15</v>
      </c>
      <c r="L47" s="26">
        <v>0.28846153846153844</v>
      </c>
      <c r="M47" s="26">
        <v>5.0961538461538458</v>
      </c>
    </row>
    <row r="48" spans="1:13" ht="12.75" hidden="1" customHeight="1" x14ac:dyDescent="0.2">
      <c r="A48" s="3">
        <v>36</v>
      </c>
      <c r="B48" s="25">
        <f t="shared" ca="1" si="1"/>
        <v>0.50724125032284273</v>
      </c>
      <c r="C48" s="3">
        <f t="shared" ca="1" si="2"/>
        <v>4</v>
      </c>
      <c r="D48" s="3">
        <f t="shared" ca="1" si="3"/>
        <v>4</v>
      </c>
      <c r="E48" s="3">
        <v>8</v>
      </c>
      <c r="F48" s="3">
        <f t="shared" ca="1" si="4"/>
        <v>0</v>
      </c>
      <c r="G48" s="3">
        <f t="shared" ca="1" si="5"/>
        <v>0</v>
      </c>
      <c r="J48" s="3">
        <v>32</v>
      </c>
      <c r="K48" s="3">
        <v>9</v>
      </c>
      <c r="L48" s="26">
        <v>0.17307692307692307</v>
      </c>
      <c r="M48" s="26">
        <v>4.9423076923076925</v>
      </c>
    </row>
    <row r="49" spans="1:13" ht="12.75" hidden="1" customHeight="1" x14ac:dyDescent="0.2">
      <c r="A49" s="3">
        <v>37</v>
      </c>
      <c r="B49" s="25">
        <f t="shared" ca="1" si="1"/>
        <v>0.35239306600590736</v>
      </c>
      <c r="C49" s="3">
        <f t="shared" ca="1" si="2"/>
        <v>4</v>
      </c>
      <c r="D49" s="3">
        <f t="shared" ca="1" si="3"/>
        <v>4</v>
      </c>
      <c r="E49" s="3">
        <v>8</v>
      </c>
      <c r="F49" s="3">
        <f t="shared" ca="1" si="4"/>
        <v>0</v>
      </c>
      <c r="G49" s="3">
        <f t="shared" ca="1" si="5"/>
        <v>0</v>
      </c>
      <c r="J49" s="3">
        <v>33</v>
      </c>
      <c r="K49" s="3">
        <v>14</v>
      </c>
      <c r="L49" s="26">
        <v>0.26923076923076922</v>
      </c>
      <c r="M49" s="26">
        <v>5.4615384615384617</v>
      </c>
    </row>
    <row r="50" spans="1:13" ht="12.75" hidden="1" customHeight="1" x14ac:dyDescent="0.2">
      <c r="A50" s="3">
        <v>38</v>
      </c>
      <c r="B50" s="25">
        <f t="shared" ca="1" si="1"/>
        <v>0.90343159638515869</v>
      </c>
      <c r="C50" s="3">
        <f t="shared" ca="1" si="2"/>
        <v>9</v>
      </c>
      <c r="D50" s="3">
        <f t="shared" ca="1" si="3"/>
        <v>9</v>
      </c>
      <c r="E50" s="3">
        <v>8</v>
      </c>
      <c r="F50" s="3">
        <f t="shared" ca="1" si="4"/>
        <v>1</v>
      </c>
      <c r="G50" s="3">
        <f t="shared" ca="1" si="5"/>
        <v>1</v>
      </c>
      <c r="J50" s="3">
        <v>34</v>
      </c>
      <c r="K50" s="3">
        <v>22</v>
      </c>
      <c r="L50" s="26">
        <v>0.42307692307692307</v>
      </c>
      <c r="M50" s="26">
        <v>5.8076923076923075</v>
      </c>
    </row>
    <row r="51" spans="1:13" ht="12.75" hidden="1" customHeight="1" x14ac:dyDescent="0.2">
      <c r="A51" s="3">
        <v>39</v>
      </c>
      <c r="B51" s="25">
        <f t="shared" ca="1" si="1"/>
        <v>6.6243672243237572E-2</v>
      </c>
      <c r="C51" s="3">
        <f t="shared" ca="1" si="2"/>
        <v>1</v>
      </c>
      <c r="D51" s="3">
        <f t="shared" ca="1" si="3"/>
        <v>2</v>
      </c>
      <c r="E51" s="3">
        <v>8</v>
      </c>
      <c r="F51" s="3">
        <f t="shared" ca="1" si="4"/>
        <v>0</v>
      </c>
      <c r="G51" s="3">
        <f t="shared" ca="1" si="5"/>
        <v>0</v>
      </c>
      <c r="J51" s="3">
        <v>35</v>
      </c>
      <c r="K51" s="3">
        <v>23</v>
      </c>
      <c r="L51" s="26">
        <v>0.44230769230769229</v>
      </c>
      <c r="M51" s="26">
        <v>5.865384615384615</v>
      </c>
    </row>
    <row r="52" spans="1:13" ht="12.75" hidden="1" customHeight="1" x14ac:dyDescent="0.2">
      <c r="A52" s="3">
        <v>40</v>
      </c>
      <c r="B52" s="25">
        <f t="shared" ca="1" si="1"/>
        <v>0.2514700154566778</v>
      </c>
      <c r="C52" s="3">
        <f t="shared" ca="1" si="2"/>
        <v>2</v>
      </c>
      <c r="D52" s="3">
        <f t="shared" ca="1" si="3"/>
        <v>2</v>
      </c>
      <c r="E52" s="3">
        <v>8</v>
      </c>
      <c r="F52" s="3">
        <f t="shared" ca="1" si="4"/>
        <v>0</v>
      </c>
      <c r="G52" s="3">
        <f t="shared" ca="1" si="5"/>
        <v>0</v>
      </c>
      <c r="J52" s="3">
        <v>36</v>
      </c>
      <c r="K52" s="3">
        <v>22</v>
      </c>
      <c r="L52" s="26">
        <v>0.42307692307692307</v>
      </c>
      <c r="M52" s="26">
        <v>5.9423076923076925</v>
      </c>
    </row>
    <row r="53" spans="1:13" ht="12.75" hidden="1" customHeight="1" x14ac:dyDescent="0.2">
      <c r="A53" s="3">
        <v>41</v>
      </c>
      <c r="B53" s="25">
        <f t="shared" ca="1" si="1"/>
        <v>0.5321642014278648</v>
      </c>
      <c r="C53" s="3">
        <f t="shared" ca="1" si="2"/>
        <v>4</v>
      </c>
      <c r="D53" s="3">
        <f t="shared" ca="1" si="3"/>
        <v>4</v>
      </c>
      <c r="E53" s="3">
        <v>8</v>
      </c>
      <c r="F53" s="3">
        <f t="shared" ca="1" si="4"/>
        <v>0</v>
      </c>
      <c r="G53" s="3">
        <f t="shared" ca="1" si="5"/>
        <v>0</v>
      </c>
      <c r="J53" s="3">
        <v>37</v>
      </c>
      <c r="K53" s="3">
        <v>23</v>
      </c>
      <c r="L53" s="26">
        <v>0.44230769230769229</v>
      </c>
      <c r="M53" s="26">
        <v>6.0769230769230766</v>
      </c>
    </row>
    <row r="54" spans="1:13" ht="12.75" hidden="1" customHeight="1" x14ac:dyDescent="0.2">
      <c r="A54" s="3">
        <v>42</v>
      </c>
      <c r="B54" s="25">
        <f t="shared" ca="1" si="1"/>
        <v>0.76924414579133371</v>
      </c>
      <c r="C54" s="3">
        <f t="shared" ca="1" si="2"/>
        <v>7</v>
      </c>
      <c r="D54" s="3">
        <f t="shared" ca="1" si="3"/>
        <v>7</v>
      </c>
      <c r="E54" s="3">
        <v>8</v>
      </c>
      <c r="F54" s="3">
        <f t="shared" ca="1" si="4"/>
        <v>0</v>
      </c>
      <c r="G54" s="3">
        <f t="shared" ca="1" si="5"/>
        <v>0</v>
      </c>
      <c r="J54" s="3">
        <v>38</v>
      </c>
      <c r="K54" s="3">
        <v>22</v>
      </c>
      <c r="L54" s="26">
        <v>0.42307692307692307</v>
      </c>
      <c r="M54" s="26">
        <v>5.8461538461538458</v>
      </c>
    </row>
    <row r="55" spans="1:13" ht="12.75" hidden="1" customHeight="1" x14ac:dyDescent="0.2">
      <c r="A55" s="3">
        <v>43</v>
      </c>
      <c r="B55" s="25">
        <f t="shared" ca="1" si="1"/>
        <v>0.38507960941296138</v>
      </c>
      <c r="C55" s="3">
        <f t="shared" ca="1" si="2"/>
        <v>4</v>
      </c>
      <c r="D55" s="3">
        <f t="shared" ca="1" si="3"/>
        <v>4</v>
      </c>
      <c r="E55" s="3">
        <v>8</v>
      </c>
      <c r="F55" s="3">
        <f t="shared" ca="1" si="4"/>
        <v>0</v>
      </c>
      <c r="G55" s="3">
        <f t="shared" ca="1" si="5"/>
        <v>0</v>
      </c>
      <c r="J55" s="3">
        <v>39</v>
      </c>
      <c r="K55" s="3">
        <v>20</v>
      </c>
      <c r="L55" s="26">
        <v>0.38461538461538464</v>
      </c>
      <c r="M55" s="26">
        <v>6.3076923076923075</v>
      </c>
    </row>
    <row r="56" spans="1:13" ht="12.75" hidden="1" customHeight="1" x14ac:dyDescent="0.2">
      <c r="A56" s="3">
        <v>44</v>
      </c>
      <c r="B56" s="25">
        <f t="shared" ca="1" si="1"/>
        <v>0.38246635170394194</v>
      </c>
      <c r="C56" s="3">
        <f t="shared" ca="1" si="2"/>
        <v>4</v>
      </c>
      <c r="D56" s="3">
        <f t="shared" ca="1" si="3"/>
        <v>4</v>
      </c>
      <c r="E56" s="3">
        <v>8</v>
      </c>
      <c r="F56" s="3">
        <f t="shared" ca="1" si="4"/>
        <v>0</v>
      </c>
      <c r="G56" s="3">
        <f t="shared" ca="1" si="5"/>
        <v>0</v>
      </c>
      <c r="J56" s="3">
        <v>40</v>
      </c>
      <c r="K56" s="3">
        <v>22</v>
      </c>
      <c r="L56" s="26">
        <v>0.42307692307692307</v>
      </c>
      <c r="M56" s="26">
        <v>5.884615384615385</v>
      </c>
    </row>
    <row r="57" spans="1:13" ht="12.75" hidden="1" customHeight="1" x14ac:dyDescent="0.2">
      <c r="A57" s="3">
        <v>45</v>
      </c>
      <c r="B57" s="25">
        <f t="shared" ca="1" si="1"/>
        <v>0.81670487202199338</v>
      </c>
      <c r="C57" s="3">
        <f t="shared" ca="1" si="2"/>
        <v>9</v>
      </c>
      <c r="D57" s="3">
        <f t="shared" ca="1" si="3"/>
        <v>9</v>
      </c>
      <c r="E57" s="3">
        <v>8</v>
      </c>
      <c r="F57" s="3">
        <f t="shared" ca="1" si="4"/>
        <v>1</v>
      </c>
      <c r="G57" s="3">
        <f t="shared" ca="1" si="5"/>
        <v>1</v>
      </c>
      <c r="J57" s="3">
        <v>41</v>
      </c>
      <c r="K57" s="3">
        <v>20</v>
      </c>
      <c r="L57" s="26">
        <v>0.38461538461538464</v>
      </c>
      <c r="M57" s="26">
        <v>6.0576923076923075</v>
      </c>
    </row>
    <row r="58" spans="1:13" ht="12.75" hidden="1" customHeight="1" x14ac:dyDescent="0.2">
      <c r="A58" s="3">
        <v>46</v>
      </c>
      <c r="B58" s="25">
        <f t="shared" ca="1" si="1"/>
        <v>0.14461049974956208</v>
      </c>
      <c r="C58" s="3">
        <f t="shared" ca="1" si="2"/>
        <v>2</v>
      </c>
      <c r="D58" s="3">
        <f t="shared" ca="1" si="3"/>
        <v>3</v>
      </c>
      <c r="E58" s="3">
        <v>8</v>
      </c>
      <c r="F58" s="3">
        <f t="shared" ca="1" si="4"/>
        <v>0</v>
      </c>
      <c r="G58" s="3">
        <f t="shared" ca="1" si="5"/>
        <v>0</v>
      </c>
      <c r="J58" s="3">
        <v>42</v>
      </c>
      <c r="K58" s="3">
        <v>13</v>
      </c>
      <c r="L58" s="26">
        <v>0.25</v>
      </c>
      <c r="M58" s="26">
        <v>5.1730769230769234</v>
      </c>
    </row>
    <row r="59" spans="1:13" ht="12.75" hidden="1" customHeight="1" x14ac:dyDescent="0.2">
      <c r="A59" s="3">
        <v>47</v>
      </c>
      <c r="B59" s="25">
        <f t="shared" ca="1" si="1"/>
        <v>0.11484671634718735</v>
      </c>
      <c r="C59" s="3">
        <f t="shared" ca="1" si="2"/>
        <v>2</v>
      </c>
      <c r="D59" s="3">
        <f t="shared" ca="1" si="3"/>
        <v>2</v>
      </c>
      <c r="E59" s="3">
        <v>8</v>
      </c>
      <c r="F59" s="3">
        <f t="shared" ca="1" si="4"/>
        <v>0</v>
      </c>
      <c r="G59" s="3">
        <f t="shared" ca="1" si="5"/>
        <v>0</v>
      </c>
      <c r="J59" s="3">
        <v>43</v>
      </c>
      <c r="K59" s="3">
        <v>5</v>
      </c>
      <c r="L59" s="26">
        <v>9.6153846153846159E-2</v>
      </c>
      <c r="M59" s="26">
        <v>4.2884615384615383</v>
      </c>
    </row>
    <row r="60" spans="1:13" x14ac:dyDescent="0.2">
      <c r="A60" s="3">
        <v>48</v>
      </c>
      <c r="B60" s="25">
        <f t="shared" ca="1" si="1"/>
        <v>0.12344382130873943</v>
      </c>
      <c r="C60" s="3">
        <f t="shared" ca="1" si="2"/>
        <v>2</v>
      </c>
      <c r="D60" s="3">
        <f t="shared" ca="1" si="3"/>
        <v>2</v>
      </c>
      <c r="E60" s="3">
        <v>8</v>
      </c>
      <c r="F60" s="3">
        <f t="shared" ca="1" si="4"/>
        <v>0</v>
      </c>
      <c r="G60" s="3">
        <f t="shared" ca="1" si="5"/>
        <v>0</v>
      </c>
      <c r="J60" s="3">
        <v>44</v>
      </c>
      <c r="K60" s="3">
        <v>13</v>
      </c>
      <c r="L60" s="26">
        <v>0.25</v>
      </c>
      <c r="M60" s="26">
        <v>5.2115384615384617</v>
      </c>
    </row>
    <row r="61" spans="1:13" x14ac:dyDescent="0.2">
      <c r="A61" s="3">
        <v>49</v>
      </c>
      <c r="B61" s="25">
        <f t="shared" ca="1" si="1"/>
        <v>0.27321308379893006</v>
      </c>
      <c r="C61" s="3">
        <f t="shared" ca="1" si="2"/>
        <v>2</v>
      </c>
      <c r="D61" s="3">
        <f t="shared" ca="1" si="3"/>
        <v>2</v>
      </c>
      <c r="E61" s="3">
        <v>8</v>
      </c>
      <c r="F61" s="3">
        <f t="shared" ca="1" si="4"/>
        <v>0</v>
      </c>
      <c r="G61" s="3">
        <f t="shared" ca="1" si="5"/>
        <v>0</v>
      </c>
      <c r="J61" s="3">
        <v>45</v>
      </c>
      <c r="K61" s="3">
        <v>10</v>
      </c>
      <c r="L61" s="26">
        <v>0.19230769230769232</v>
      </c>
      <c r="M61" s="26">
        <v>4.4615384615384617</v>
      </c>
    </row>
    <row r="62" spans="1:13" x14ac:dyDescent="0.2">
      <c r="A62" s="3">
        <v>50</v>
      </c>
      <c r="B62" s="25">
        <f t="shared" ca="1" si="1"/>
        <v>0.42013855230482422</v>
      </c>
      <c r="C62" s="3">
        <f t="shared" ca="1" si="2"/>
        <v>4</v>
      </c>
      <c r="D62" s="3">
        <f t="shared" ca="1" si="3"/>
        <v>4</v>
      </c>
      <c r="E62" s="3">
        <v>8</v>
      </c>
      <c r="F62" s="3">
        <f t="shared" ca="1" si="4"/>
        <v>0</v>
      </c>
      <c r="G62" s="3">
        <f t="shared" ca="1" si="5"/>
        <v>0</v>
      </c>
      <c r="J62" s="3">
        <v>46</v>
      </c>
      <c r="K62" s="3">
        <v>8</v>
      </c>
      <c r="L62" s="26">
        <v>0.15384615384615385</v>
      </c>
      <c r="M62" s="26">
        <v>4.9615384615384617</v>
      </c>
    </row>
    <row r="63" spans="1:13" x14ac:dyDescent="0.2">
      <c r="A63" s="3">
        <v>51</v>
      </c>
      <c r="B63" s="25">
        <f t="shared" ca="1" si="1"/>
        <v>1.1887489109250193E-3</v>
      </c>
      <c r="C63" s="3">
        <f t="shared" ca="1" si="2"/>
        <v>1</v>
      </c>
      <c r="D63" s="3">
        <f t="shared" ca="1" si="3"/>
        <v>1</v>
      </c>
      <c r="E63" s="3">
        <v>8</v>
      </c>
      <c r="F63" s="3">
        <f t="shared" ca="1" si="4"/>
        <v>0</v>
      </c>
      <c r="G63" s="3">
        <f t="shared" ca="1" si="5"/>
        <v>0</v>
      </c>
      <c r="J63" s="3">
        <v>47</v>
      </c>
      <c r="K63" s="3">
        <v>15</v>
      </c>
      <c r="L63" s="26">
        <v>0.28846153846153844</v>
      </c>
      <c r="M63" s="26">
        <v>5.115384615384615</v>
      </c>
    </row>
    <row r="64" spans="1:13" x14ac:dyDescent="0.2">
      <c r="A64" s="3">
        <v>52</v>
      </c>
      <c r="B64" s="25">
        <f t="shared" ca="1" si="1"/>
        <v>0.60098298505282155</v>
      </c>
      <c r="C64" s="3">
        <f t="shared" ca="1" si="2"/>
        <v>7</v>
      </c>
      <c r="D64" s="3">
        <f t="shared" ca="1" si="3"/>
        <v>7</v>
      </c>
      <c r="E64" s="3">
        <v>8</v>
      </c>
      <c r="F64" s="3">
        <f t="shared" ca="1" si="4"/>
        <v>0</v>
      </c>
      <c r="G64" s="3">
        <f t="shared" ca="1" si="5"/>
        <v>0</v>
      </c>
      <c r="J64" s="3">
        <v>48</v>
      </c>
      <c r="K64" s="3">
        <v>17</v>
      </c>
      <c r="L64" s="26">
        <v>0.32692307692307693</v>
      </c>
      <c r="M64" s="26">
        <v>5.5</v>
      </c>
    </row>
    <row r="65" spans="1:13" x14ac:dyDescent="0.2">
      <c r="A65" s="5"/>
      <c r="B65" s="5"/>
      <c r="C65" s="5"/>
      <c r="D65" s="31" t="s">
        <v>55</v>
      </c>
      <c r="E65" s="4"/>
      <c r="F65" s="4"/>
      <c r="G65" s="34">
        <f ca="1">COUNTIF(G13:G64,1)</f>
        <v>9</v>
      </c>
      <c r="J65" s="3">
        <v>49</v>
      </c>
      <c r="K65" s="3">
        <v>9</v>
      </c>
      <c r="L65" s="26">
        <v>0.17307692307692307</v>
      </c>
      <c r="M65" s="26">
        <v>4.7115384615384617</v>
      </c>
    </row>
    <row r="66" spans="1:13" x14ac:dyDescent="0.2">
      <c r="A66" s="10"/>
      <c r="B66" s="10"/>
      <c r="C66" s="10"/>
      <c r="D66" s="32" t="s">
        <v>56</v>
      </c>
      <c r="E66" s="7"/>
      <c r="F66" s="7"/>
      <c r="G66" s="35">
        <f ca="1">G65/52</f>
        <v>0.17307692307692307</v>
      </c>
      <c r="J66" s="3">
        <v>50</v>
      </c>
      <c r="K66" s="3">
        <v>19</v>
      </c>
      <c r="L66" s="26">
        <v>0.36538461538461536</v>
      </c>
      <c r="M66" s="26">
        <v>5.5576923076923075</v>
      </c>
    </row>
    <row r="67" spans="1:13" ht="13.5" thickBot="1" x14ac:dyDescent="0.25">
      <c r="A67" s="6"/>
      <c r="B67" s="6"/>
      <c r="C67" s="6"/>
      <c r="D67" s="33" t="s">
        <v>57</v>
      </c>
      <c r="E67" s="6"/>
      <c r="F67" s="6"/>
      <c r="G67" s="36">
        <f ca="1">AVERAGE(C13:C64)</f>
        <v>4.9615384615384617</v>
      </c>
      <c r="J67" s="3">
        <v>51</v>
      </c>
      <c r="K67" s="3">
        <v>8</v>
      </c>
      <c r="L67" s="26">
        <v>0.15384615384615385</v>
      </c>
      <c r="M67" s="26">
        <v>4.9615384615384617</v>
      </c>
    </row>
    <row r="68" spans="1:13" ht="13.5" thickTop="1" x14ac:dyDescent="0.2">
      <c r="J68" s="3">
        <v>52</v>
      </c>
      <c r="K68" s="3">
        <v>16</v>
      </c>
      <c r="L68" s="26">
        <v>0.30769230769230771</v>
      </c>
      <c r="M68" s="26">
        <v>5.0192307692307692</v>
      </c>
    </row>
    <row r="69" spans="1:13" ht="12.75" hidden="1" customHeight="1" x14ac:dyDescent="0.2">
      <c r="J69" s="3">
        <v>53</v>
      </c>
      <c r="K69" s="3">
        <v>24</v>
      </c>
      <c r="L69" s="26">
        <v>0.46153846153846156</v>
      </c>
      <c r="M69" s="26">
        <v>6.365384615384615</v>
      </c>
    </row>
    <row r="70" spans="1:13" ht="12.75" hidden="1" customHeight="1" x14ac:dyDescent="0.2">
      <c r="J70" s="3">
        <v>54</v>
      </c>
      <c r="K70" s="3">
        <v>23</v>
      </c>
      <c r="L70" s="26">
        <v>0.44230769230769229</v>
      </c>
      <c r="M70" s="26">
        <v>6.0576923076923075</v>
      </c>
    </row>
    <row r="71" spans="1:13" ht="12.75" hidden="1" customHeight="1" x14ac:dyDescent="0.2">
      <c r="J71" s="3">
        <v>55</v>
      </c>
      <c r="K71" s="3">
        <v>4</v>
      </c>
      <c r="L71" s="26">
        <v>7.6923076923076927E-2</v>
      </c>
      <c r="M71" s="26">
        <v>4.9615384615384617</v>
      </c>
    </row>
    <row r="72" spans="1:13" ht="12.75" hidden="1" customHeight="1" x14ac:dyDescent="0.2">
      <c r="J72" s="3">
        <v>56</v>
      </c>
      <c r="K72" s="3">
        <v>27</v>
      </c>
      <c r="L72" s="26">
        <v>0.51923076923076927</v>
      </c>
      <c r="M72" s="26">
        <v>6.115384615384615</v>
      </c>
    </row>
    <row r="73" spans="1:13" ht="12.75" hidden="1" customHeight="1" x14ac:dyDescent="0.2">
      <c r="J73" s="3">
        <v>57</v>
      </c>
      <c r="K73" s="3">
        <v>16</v>
      </c>
      <c r="L73" s="26">
        <v>0.30769230769230771</v>
      </c>
      <c r="M73" s="26">
        <v>5.1923076923076925</v>
      </c>
    </row>
    <row r="74" spans="1:13" ht="12.75" hidden="1" customHeight="1" x14ac:dyDescent="0.2">
      <c r="J74" s="3">
        <v>58</v>
      </c>
      <c r="K74" s="3">
        <v>18</v>
      </c>
      <c r="L74" s="26">
        <v>0.34615384615384615</v>
      </c>
      <c r="M74" s="26">
        <v>6</v>
      </c>
    </row>
    <row r="75" spans="1:13" ht="12.75" hidden="1" customHeight="1" x14ac:dyDescent="0.2">
      <c r="J75" s="3">
        <v>59</v>
      </c>
      <c r="K75" s="3">
        <v>21</v>
      </c>
      <c r="L75" s="26">
        <v>0.40384615384615385</v>
      </c>
      <c r="M75" s="26">
        <v>5.8269230769230766</v>
      </c>
    </row>
    <row r="76" spans="1:13" ht="12.75" hidden="1" customHeight="1" x14ac:dyDescent="0.2">
      <c r="J76" s="3">
        <v>60</v>
      </c>
      <c r="K76" s="3">
        <v>15</v>
      </c>
      <c r="L76" s="26">
        <v>0.28846153846153844</v>
      </c>
      <c r="M76" s="26">
        <v>5.4230769230769234</v>
      </c>
    </row>
    <row r="77" spans="1:13" ht="12.75" hidden="1" customHeight="1" x14ac:dyDescent="0.2">
      <c r="J77" s="3">
        <v>61</v>
      </c>
      <c r="K77" s="3">
        <v>13</v>
      </c>
      <c r="L77" s="26">
        <v>0.25</v>
      </c>
      <c r="M77" s="26">
        <v>5.0769230769230766</v>
      </c>
    </row>
    <row r="78" spans="1:13" ht="12.75" hidden="1" customHeight="1" x14ac:dyDescent="0.2">
      <c r="J78" s="3">
        <v>62</v>
      </c>
      <c r="K78" s="3">
        <v>19</v>
      </c>
      <c r="L78" s="26">
        <v>0.36538461538461536</v>
      </c>
      <c r="M78" s="26">
        <v>5.1730769230769234</v>
      </c>
    </row>
    <row r="79" spans="1:13" ht="12.75" hidden="1" customHeight="1" x14ac:dyDescent="0.2">
      <c r="J79" s="3">
        <v>63</v>
      </c>
      <c r="K79" s="3">
        <v>16</v>
      </c>
      <c r="L79" s="26">
        <v>0.30769230769230771</v>
      </c>
      <c r="M79" s="26">
        <v>5.134615384615385</v>
      </c>
    </row>
    <row r="80" spans="1:13" ht="12.75" hidden="1" customHeight="1" x14ac:dyDescent="0.2">
      <c r="J80" s="3">
        <v>64</v>
      </c>
      <c r="K80" s="3">
        <v>14</v>
      </c>
      <c r="L80" s="26">
        <v>0.26923076923076922</v>
      </c>
      <c r="M80" s="26">
        <v>5.2307692307692308</v>
      </c>
    </row>
    <row r="81" spans="10:13" ht="12.75" hidden="1" customHeight="1" x14ac:dyDescent="0.2">
      <c r="J81" s="3">
        <v>65</v>
      </c>
      <c r="K81" s="3">
        <v>10</v>
      </c>
      <c r="L81" s="26">
        <v>0.19230769230769232</v>
      </c>
      <c r="M81" s="26">
        <v>5.3076923076923075</v>
      </c>
    </row>
    <row r="82" spans="10:13" ht="12.75" hidden="1" customHeight="1" x14ac:dyDescent="0.2">
      <c r="J82" s="3">
        <v>66</v>
      </c>
      <c r="K82" s="3">
        <v>14</v>
      </c>
      <c r="L82" s="26">
        <v>0.26923076923076922</v>
      </c>
      <c r="M82" s="26">
        <v>4.9615384615384617</v>
      </c>
    </row>
    <row r="83" spans="10:13" ht="12.75" hidden="1" customHeight="1" x14ac:dyDescent="0.2">
      <c r="J83" s="3">
        <v>67</v>
      </c>
      <c r="K83" s="3">
        <v>21</v>
      </c>
      <c r="L83" s="26">
        <v>0.40384615384615385</v>
      </c>
      <c r="M83" s="26">
        <v>5.7307692307692308</v>
      </c>
    </row>
    <row r="84" spans="10:13" ht="12.75" hidden="1" customHeight="1" x14ac:dyDescent="0.2">
      <c r="J84" s="3">
        <v>68</v>
      </c>
      <c r="K84" s="3">
        <v>24</v>
      </c>
      <c r="L84" s="26">
        <v>0.46153846153846156</v>
      </c>
      <c r="M84" s="26">
        <v>5.8269230769230766</v>
      </c>
    </row>
    <row r="85" spans="10:13" ht="12.75" hidden="1" customHeight="1" x14ac:dyDescent="0.2">
      <c r="J85" s="3">
        <v>69</v>
      </c>
      <c r="K85" s="3">
        <v>18</v>
      </c>
      <c r="L85" s="26">
        <v>0.34615384615384615</v>
      </c>
      <c r="M85" s="26">
        <v>5.2115384615384617</v>
      </c>
    </row>
    <row r="86" spans="10:13" ht="12.75" hidden="1" customHeight="1" x14ac:dyDescent="0.2">
      <c r="J86" s="3">
        <v>70</v>
      </c>
      <c r="K86" s="3">
        <v>24</v>
      </c>
      <c r="L86" s="26">
        <v>0.46153846153846156</v>
      </c>
      <c r="M86" s="26">
        <v>6.2307692307692308</v>
      </c>
    </row>
    <row r="87" spans="10:13" ht="12.75" hidden="1" customHeight="1" x14ac:dyDescent="0.2">
      <c r="J87" s="3">
        <v>71</v>
      </c>
      <c r="K87" s="3">
        <v>15</v>
      </c>
      <c r="L87" s="26">
        <v>0.28846153846153844</v>
      </c>
      <c r="M87" s="26">
        <v>5.25</v>
      </c>
    </row>
    <row r="88" spans="10:13" ht="12.75" hidden="1" customHeight="1" x14ac:dyDescent="0.2">
      <c r="J88" s="3">
        <v>72</v>
      </c>
      <c r="K88" s="3">
        <v>12</v>
      </c>
      <c r="L88" s="26">
        <v>0.23076923076923078</v>
      </c>
      <c r="M88" s="26">
        <v>5.115384615384615</v>
      </c>
    </row>
    <row r="89" spans="10:13" ht="12.75" hidden="1" customHeight="1" x14ac:dyDescent="0.2">
      <c r="J89" s="3">
        <v>73</v>
      </c>
      <c r="K89" s="3">
        <v>26</v>
      </c>
      <c r="L89" s="26">
        <v>0.5</v>
      </c>
      <c r="M89" s="26">
        <v>6.6538461538461542</v>
      </c>
    </row>
    <row r="90" spans="10:13" ht="12.75" hidden="1" customHeight="1" x14ac:dyDescent="0.2">
      <c r="J90" s="3">
        <v>74</v>
      </c>
      <c r="K90" s="3">
        <v>22</v>
      </c>
      <c r="L90" s="26">
        <v>0.42307692307692307</v>
      </c>
      <c r="M90" s="26">
        <v>6.0769230769230766</v>
      </c>
    </row>
    <row r="91" spans="10:13" ht="12.75" hidden="1" customHeight="1" x14ac:dyDescent="0.2">
      <c r="J91" s="3">
        <v>75</v>
      </c>
      <c r="K91" s="3">
        <v>28</v>
      </c>
      <c r="L91" s="26">
        <v>0.53846153846153844</v>
      </c>
      <c r="M91" s="26">
        <v>6.4615384615384617</v>
      </c>
    </row>
    <row r="92" spans="10:13" ht="12.75" hidden="1" customHeight="1" x14ac:dyDescent="0.2">
      <c r="J92" s="3">
        <v>76</v>
      </c>
      <c r="K92" s="3">
        <v>11</v>
      </c>
      <c r="L92" s="26">
        <v>0.21153846153846154</v>
      </c>
      <c r="M92" s="26">
        <v>4.9423076923076925</v>
      </c>
    </row>
    <row r="93" spans="10:13" ht="12.75" hidden="1" customHeight="1" x14ac:dyDescent="0.2">
      <c r="J93" s="3">
        <v>77</v>
      </c>
      <c r="K93" s="3">
        <v>21</v>
      </c>
      <c r="L93" s="26">
        <v>0.40384615384615385</v>
      </c>
      <c r="M93" s="26">
        <v>5.6730769230769234</v>
      </c>
    </row>
    <row r="94" spans="10:13" ht="12.75" hidden="1" customHeight="1" x14ac:dyDescent="0.2">
      <c r="J94" s="3">
        <v>78</v>
      </c>
      <c r="K94" s="3">
        <v>15</v>
      </c>
      <c r="L94" s="26">
        <v>0.28846153846153844</v>
      </c>
      <c r="M94" s="26">
        <v>5.115384615384615</v>
      </c>
    </row>
    <row r="95" spans="10:13" ht="12.75" hidden="1" customHeight="1" x14ac:dyDescent="0.2">
      <c r="J95" s="3">
        <v>79</v>
      </c>
      <c r="K95" s="3">
        <v>15</v>
      </c>
      <c r="L95" s="26">
        <v>0.28846153846153844</v>
      </c>
      <c r="M95" s="26">
        <v>5.115384615384615</v>
      </c>
    </row>
    <row r="96" spans="10:13" ht="12.75" hidden="1" customHeight="1" x14ac:dyDescent="0.2">
      <c r="J96" s="3">
        <v>80</v>
      </c>
      <c r="K96" s="3">
        <v>25</v>
      </c>
      <c r="L96" s="26">
        <v>0.48076923076923078</v>
      </c>
      <c r="M96" s="26">
        <v>6.2307692307692308</v>
      </c>
    </row>
    <row r="97" spans="10:13" ht="12.75" hidden="1" customHeight="1" x14ac:dyDescent="0.2">
      <c r="J97" s="3">
        <v>81</v>
      </c>
      <c r="K97" s="3">
        <v>28</v>
      </c>
      <c r="L97" s="26">
        <v>0.53846153846153844</v>
      </c>
      <c r="M97" s="26">
        <v>6.1923076923076925</v>
      </c>
    </row>
    <row r="98" spans="10:13" ht="12.75" hidden="1" customHeight="1" x14ac:dyDescent="0.2">
      <c r="J98" s="3">
        <v>82</v>
      </c>
      <c r="K98" s="3">
        <v>14</v>
      </c>
      <c r="L98" s="26">
        <v>0.26923076923076922</v>
      </c>
      <c r="M98" s="26">
        <v>5.2692307692307692</v>
      </c>
    </row>
    <row r="99" spans="10:13" ht="12.75" hidden="1" customHeight="1" x14ac:dyDescent="0.2">
      <c r="J99" s="3">
        <v>83</v>
      </c>
      <c r="K99" s="3">
        <v>23</v>
      </c>
      <c r="L99" s="26">
        <v>0.44230769230769229</v>
      </c>
      <c r="M99" s="26">
        <v>5.865384615384615</v>
      </c>
    </row>
    <row r="100" spans="10:13" ht="12.75" hidden="1" customHeight="1" x14ac:dyDescent="0.2">
      <c r="J100" s="3">
        <v>84</v>
      </c>
      <c r="K100" s="3">
        <v>13</v>
      </c>
      <c r="L100" s="26">
        <v>0.25</v>
      </c>
      <c r="M100" s="26">
        <v>4.8461538461538458</v>
      </c>
    </row>
    <row r="101" spans="10:13" ht="12.75" hidden="1" customHeight="1" x14ac:dyDescent="0.2">
      <c r="J101" s="3">
        <v>85</v>
      </c>
      <c r="K101" s="3">
        <v>12</v>
      </c>
      <c r="L101" s="26">
        <v>0.23076923076923078</v>
      </c>
      <c r="M101" s="26">
        <v>5.0961538461538458</v>
      </c>
    </row>
    <row r="102" spans="10:13" ht="12.75" hidden="1" customHeight="1" x14ac:dyDescent="0.2">
      <c r="J102" s="3">
        <v>86</v>
      </c>
      <c r="K102" s="3">
        <v>20</v>
      </c>
      <c r="L102" s="26">
        <v>0.38461538461538464</v>
      </c>
      <c r="M102" s="26">
        <v>5.865384615384615</v>
      </c>
    </row>
    <row r="103" spans="10:13" ht="12.75" hidden="1" customHeight="1" x14ac:dyDescent="0.2">
      <c r="J103" s="3">
        <v>87</v>
      </c>
      <c r="K103" s="3">
        <v>11</v>
      </c>
      <c r="L103" s="26">
        <v>0.21153846153846154</v>
      </c>
      <c r="M103" s="26">
        <v>5</v>
      </c>
    </row>
    <row r="104" spans="10:13" ht="12.75" hidden="1" customHeight="1" x14ac:dyDescent="0.2">
      <c r="J104" s="3">
        <v>88</v>
      </c>
      <c r="K104" s="3">
        <v>16</v>
      </c>
      <c r="L104" s="26">
        <v>0.30769230769230771</v>
      </c>
      <c r="M104" s="26">
        <v>5.25</v>
      </c>
    </row>
    <row r="105" spans="10:13" ht="12.75" hidden="1" customHeight="1" x14ac:dyDescent="0.2">
      <c r="J105" s="3">
        <v>89</v>
      </c>
      <c r="K105" s="3">
        <v>17</v>
      </c>
      <c r="L105" s="26">
        <v>0.32692307692307693</v>
      </c>
      <c r="M105" s="26">
        <v>5.5192307692307692</v>
      </c>
    </row>
    <row r="106" spans="10:13" ht="12.75" hidden="1" customHeight="1" x14ac:dyDescent="0.2">
      <c r="J106" s="3">
        <v>90</v>
      </c>
      <c r="K106" s="3">
        <v>17</v>
      </c>
      <c r="L106" s="26">
        <v>0.32692307692307693</v>
      </c>
      <c r="M106" s="26">
        <v>5.3269230769230766</v>
      </c>
    </row>
    <row r="107" spans="10:13" ht="12.75" hidden="1" customHeight="1" x14ac:dyDescent="0.2">
      <c r="J107" s="3">
        <v>91</v>
      </c>
      <c r="K107" s="3">
        <v>21</v>
      </c>
      <c r="L107" s="26">
        <v>0.40384615384615385</v>
      </c>
      <c r="M107" s="26">
        <v>6.0576923076923075</v>
      </c>
    </row>
    <row r="108" spans="10:13" ht="12.75" hidden="1" customHeight="1" x14ac:dyDescent="0.2">
      <c r="J108" s="3">
        <v>92</v>
      </c>
      <c r="K108" s="3">
        <v>9</v>
      </c>
      <c r="L108" s="26">
        <v>0.17307692307692307</v>
      </c>
      <c r="M108" s="26">
        <v>4.5769230769230766</v>
      </c>
    </row>
    <row r="109" spans="10:13" ht="12.75" hidden="1" customHeight="1" x14ac:dyDescent="0.2">
      <c r="J109" s="3">
        <v>93</v>
      </c>
      <c r="K109" s="3">
        <v>16</v>
      </c>
      <c r="L109" s="26">
        <v>0.30769230769230771</v>
      </c>
      <c r="M109" s="26">
        <v>5.5</v>
      </c>
    </row>
    <row r="110" spans="10:13" ht="12.75" hidden="1" customHeight="1" x14ac:dyDescent="0.2">
      <c r="J110" s="3">
        <v>94</v>
      </c>
      <c r="K110" s="3">
        <v>16</v>
      </c>
      <c r="L110" s="26">
        <v>0.30769230769230771</v>
      </c>
      <c r="M110" s="26">
        <v>4.865384615384615</v>
      </c>
    </row>
    <row r="111" spans="10:13" ht="12.75" hidden="1" customHeight="1" x14ac:dyDescent="0.2">
      <c r="J111" s="3">
        <v>95</v>
      </c>
      <c r="K111" s="3">
        <v>19</v>
      </c>
      <c r="L111" s="26">
        <v>0.36538461538461536</v>
      </c>
      <c r="M111" s="26">
        <v>5.0961538461538458</v>
      </c>
    </row>
    <row r="112" spans="10:13" ht="12.75" hidden="1" customHeight="1" x14ac:dyDescent="0.2">
      <c r="J112" s="3">
        <v>96</v>
      </c>
      <c r="K112" s="3">
        <v>15</v>
      </c>
      <c r="L112" s="26">
        <v>0.28846153846153844</v>
      </c>
      <c r="M112" s="26">
        <v>5.7884615384615383</v>
      </c>
    </row>
    <row r="113" spans="4:13" ht="12.75" hidden="1" customHeight="1" x14ac:dyDescent="0.2">
      <c r="J113" s="3">
        <v>97</v>
      </c>
      <c r="K113" s="3">
        <v>13</v>
      </c>
      <c r="L113" s="26">
        <v>0.25</v>
      </c>
      <c r="M113" s="26">
        <v>5.365384615384615</v>
      </c>
    </row>
    <row r="114" spans="4:13" x14ac:dyDescent="0.2">
      <c r="D114" s="7"/>
      <c r="E114" s="7"/>
      <c r="F114" s="7"/>
      <c r="G114" s="8"/>
      <c r="J114" s="3">
        <v>98</v>
      </c>
      <c r="K114" s="3">
        <v>17</v>
      </c>
      <c r="L114" s="26">
        <v>0.32692307692307693</v>
      </c>
      <c r="M114" s="26">
        <v>5.4230769230769234</v>
      </c>
    </row>
    <row r="115" spans="4:13" x14ac:dyDescent="0.2">
      <c r="D115" s="7"/>
      <c r="E115" s="7"/>
      <c r="F115" s="7"/>
      <c r="G115" s="9"/>
      <c r="J115" s="3">
        <v>99</v>
      </c>
      <c r="K115" s="3">
        <v>13</v>
      </c>
      <c r="L115" s="26">
        <v>0.25</v>
      </c>
      <c r="M115" s="26">
        <v>5.4423076923076925</v>
      </c>
    </row>
    <row r="116" spans="4:13" x14ac:dyDescent="0.2">
      <c r="J116" s="2">
        <v>100</v>
      </c>
      <c r="K116" s="2">
        <v>15</v>
      </c>
      <c r="L116" s="27">
        <v>0.28846153846153844</v>
      </c>
      <c r="M116" s="27">
        <v>4.884615384615385</v>
      </c>
    </row>
  </sheetData>
  <mergeCells count="3">
    <mergeCell ref="J14:M14"/>
    <mergeCell ref="A1:N1"/>
    <mergeCell ref="A2:N2"/>
  </mergeCells>
  <phoneticPr fontId="0" type="noConversion"/>
  <printOptions horizontalCentered="1"/>
  <pageMargins left="0.25" right="0.25" top="0.75" bottom="0.75" header="0.3" footer="0.3"/>
  <pageSetup paperSize="9" scale="93" fitToHeight="0" orientation="landscape" horizontalDpi="300" verticalDpi="300" r:id="rId1"/>
  <headerFooter alignWithMargins="0"/>
  <ignoredErrors>
    <ignoredError sqref="I10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workbookViewId="0">
      <selection sqref="A1:N1"/>
    </sheetView>
  </sheetViews>
  <sheetFormatPr defaultRowHeight="12.75" x14ac:dyDescent="0.2"/>
  <cols>
    <col min="1" max="1" width="8.28515625" customWidth="1"/>
    <col min="2" max="9" width="10.7109375" customWidth="1"/>
    <col min="10" max="10" width="9.5703125" customWidth="1"/>
    <col min="11" max="11" width="18.5703125" customWidth="1"/>
    <col min="12" max="12" width="9.5703125" customWidth="1"/>
    <col min="13" max="13" width="14.5703125" customWidth="1"/>
  </cols>
  <sheetData>
    <row r="1" spans="1:14" ht="18" x14ac:dyDescent="0.25">
      <c r="A1" s="48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75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2">
      <c r="B4" s="29" t="s">
        <v>13</v>
      </c>
      <c r="C4" s="3">
        <v>0</v>
      </c>
      <c r="D4" s="3">
        <f t="shared" ref="D4:I4" si="0">C4+C6</f>
        <v>0.1</v>
      </c>
      <c r="E4" s="3">
        <f t="shared" si="0"/>
        <v>0.30000000000000004</v>
      </c>
      <c r="F4" s="3">
        <f t="shared" si="0"/>
        <v>0.60000000000000009</v>
      </c>
      <c r="G4" s="3">
        <f t="shared" si="0"/>
        <v>0.8</v>
      </c>
      <c r="H4" s="3">
        <f t="shared" si="0"/>
        <v>0.91</v>
      </c>
      <c r="I4" s="3">
        <f t="shared" si="0"/>
        <v>0.97</v>
      </c>
    </row>
    <row r="5" spans="1:14" x14ac:dyDescent="0.2">
      <c r="B5" s="29" t="s">
        <v>1</v>
      </c>
      <c r="C5" s="3">
        <v>1</v>
      </c>
      <c r="D5" s="3">
        <v>2</v>
      </c>
      <c r="E5" s="3">
        <v>4</v>
      </c>
      <c r="F5" s="3">
        <v>7</v>
      </c>
      <c r="G5" s="3">
        <v>9</v>
      </c>
      <c r="H5" s="3">
        <v>13</v>
      </c>
      <c r="I5" s="3">
        <v>17</v>
      </c>
      <c r="K5" s="29" t="s">
        <v>35</v>
      </c>
      <c r="L5" s="3">
        <f ca="1">SUM(F13:F64)*1000</f>
        <v>24000</v>
      </c>
    </row>
    <row r="6" spans="1:14" x14ac:dyDescent="0.2">
      <c r="B6" s="29" t="s">
        <v>2</v>
      </c>
      <c r="C6" s="3">
        <v>0.1</v>
      </c>
      <c r="D6" s="3">
        <v>0.2</v>
      </c>
      <c r="E6" s="3">
        <v>0.3</v>
      </c>
      <c r="F6" s="3">
        <v>0.2</v>
      </c>
      <c r="G6" s="3">
        <v>0.11</v>
      </c>
      <c r="H6" s="3">
        <v>0.06</v>
      </c>
      <c r="I6" s="3">
        <v>0.03</v>
      </c>
      <c r="K6" s="29" t="s">
        <v>36</v>
      </c>
      <c r="L6" s="3">
        <f ca="1">SUM(H13:H64)*100</f>
        <v>1700</v>
      </c>
    </row>
    <row r="7" spans="1:14" ht="13.5" thickBot="1" x14ac:dyDescent="0.25">
      <c r="B7" s="1"/>
      <c r="C7" s="19" t="s">
        <v>28</v>
      </c>
      <c r="D7" s="20"/>
      <c r="E7" s="20"/>
      <c r="F7" s="21"/>
      <c r="G7" s="20"/>
      <c r="H7" s="44">
        <f>SUMPRODUCT(C5:I5,C6:I6)</f>
        <v>5.38</v>
      </c>
      <c r="I7" s="3"/>
      <c r="K7" s="46" t="s">
        <v>39</v>
      </c>
      <c r="L7" s="44">
        <f ca="1">SUM(L5:L6)</f>
        <v>25700</v>
      </c>
    </row>
    <row r="8" spans="1:14" ht="14.25" thickTop="1" thickBot="1" x14ac:dyDescent="0.25">
      <c r="B8" s="1"/>
    </row>
    <row r="9" spans="1:14" x14ac:dyDescent="0.2">
      <c r="A9" s="3"/>
      <c r="B9" s="3"/>
      <c r="C9" s="3"/>
      <c r="D9" s="30" t="s">
        <v>7</v>
      </c>
      <c r="E9" s="3"/>
      <c r="F9" s="30" t="s">
        <v>18</v>
      </c>
      <c r="G9" s="30" t="s">
        <v>20</v>
      </c>
      <c r="H9" s="30" t="s">
        <v>40</v>
      </c>
      <c r="I9" s="22">
        <f>AVERAGE(M17:M116)</f>
        <v>5.3378846153846133</v>
      </c>
      <c r="J9" s="11" t="s">
        <v>27</v>
      </c>
      <c r="K9" s="41"/>
      <c r="L9" s="41"/>
      <c r="M9" s="41"/>
      <c r="N9" s="12"/>
    </row>
    <row r="10" spans="1:14" x14ac:dyDescent="0.2">
      <c r="A10" s="3"/>
      <c r="B10" s="3"/>
      <c r="C10" s="30" t="s">
        <v>4</v>
      </c>
      <c r="D10" s="30" t="s">
        <v>8</v>
      </c>
      <c r="E10" s="30" t="s">
        <v>9</v>
      </c>
      <c r="F10" s="30" t="s">
        <v>10</v>
      </c>
      <c r="G10" s="30" t="s">
        <v>14</v>
      </c>
      <c r="H10" s="45" t="s">
        <v>37</v>
      </c>
      <c r="I10" s="23">
        <f>AVERAGE(K17:K116)</f>
        <v>5.91</v>
      </c>
      <c r="J10" s="13" t="s">
        <v>29</v>
      </c>
      <c r="K10" s="14"/>
      <c r="L10" s="10"/>
      <c r="M10" s="10"/>
      <c r="N10" s="15"/>
    </row>
    <row r="11" spans="1:14" x14ac:dyDescent="0.2">
      <c r="A11" s="38" t="s">
        <v>3</v>
      </c>
      <c r="B11" s="38" t="s">
        <v>6</v>
      </c>
      <c r="C11" s="38" t="s">
        <v>5</v>
      </c>
      <c r="D11" s="38" t="s">
        <v>5</v>
      </c>
      <c r="E11" s="38" t="s">
        <v>12</v>
      </c>
      <c r="F11" s="38" t="s">
        <v>11</v>
      </c>
      <c r="G11" s="38" t="s">
        <v>17</v>
      </c>
      <c r="H11" s="38" t="s">
        <v>38</v>
      </c>
      <c r="I11" s="42">
        <f>I10/52</f>
        <v>0.11365384615384616</v>
      </c>
      <c r="J11" s="40" t="s">
        <v>30</v>
      </c>
      <c r="K11" s="10"/>
      <c r="L11" s="10"/>
      <c r="M11" s="10"/>
      <c r="N11" s="15"/>
    </row>
    <row r="12" spans="1:14" ht="13.5" thickBot="1" x14ac:dyDescent="0.25">
      <c r="A12" s="3"/>
      <c r="B12" s="3"/>
      <c r="C12" s="3"/>
      <c r="D12" s="3"/>
      <c r="E12" s="3"/>
      <c r="F12" s="3"/>
      <c r="G12" s="3"/>
      <c r="I12" s="24">
        <f>AVERAGE(L17:L116)*100</f>
        <v>11.365384615384613</v>
      </c>
      <c r="J12" s="16" t="s">
        <v>31</v>
      </c>
      <c r="K12" s="43"/>
      <c r="L12" s="17"/>
      <c r="M12" s="17"/>
      <c r="N12" s="18"/>
    </row>
    <row r="13" spans="1:14" x14ac:dyDescent="0.2">
      <c r="A13" s="3">
        <v>1</v>
      </c>
      <c r="B13" s="25">
        <f ca="1">RAND()</f>
        <v>0.40382561596312783</v>
      </c>
      <c r="C13" s="3">
        <f ca="1">HLOOKUP(B13,C$4:I$5,2,TRUE)</f>
        <v>4</v>
      </c>
      <c r="D13" s="3">
        <f ca="1">C13+F12</f>
        <v>4</v>
      </c>
      <c r="E13" s="3">
        <v>10</v>
      </c>
      <c r="F13" s="3">
        <f ca="1">IF(D13&gt;E13,D13-E13,0)</f>
        <v>0</v>
      </c>
      <c r="G13" s="3">
        <f ca="1">IF(F13&gt;0,1,0)</f>
        <v>0</v>
      </c>
      <c r="H13" s="3">
        <f ca="1">IF(D13&gt;=10,2,IF(D13&gt;8,D13-8,0))</f>
        <v>0</v>
      </c>
      <c r="I13" s="39"/>
      <c r="J13" s="13"/>
      <c r="K13" s="14"/>
      <c r="L13" s="10"/>
    </row>
    <row r="14" spans="1:14" x14ac:dyDescent="0.2">
      <c r="A14" s="3">
        <v>2</v>
      </c>
      <c r="B14" s="25">
        <f t="shared" ref="B14:B64" ca="1" si="1">RAND()</f>
        <v>0.53682722391014048</v>
      </c>
      <c r="C14" s="3">
        <f t="shared" ref="C14:C64" ca="1" si="2">HLOOKUP(B14,C$4:I$5,2,TRUE)</f>
        <v>4</v>
      </c>
      <c r="D14" s="3">
        <f t="shared" ref="D14:D64" ca="1" si="3">C14+F13</f>
        <v>4</v>
      </c>
      <c r="E14" s="3">
        <v>10</v>
      </c>
      <c r="F14" s="3">
        <f t="shared" ref="F14:F64" ca="1" si="4">IF(D14&gt;E14,D14-E14,0)</f>
        <v>0</v>
      </c>
      <c r="G14" s="3">
        <f t="shared" ref="G14:G64" ca="1" si="5">IF(F14&gt;0,1,0)</f>
        <v>0</v>
      </c>
      <c r="H14" s="3">
        <f t="shared" ref="H14:H64" ca="1" si="6">IF(D14&gt;=10,2,IF(D14&gt;8,D14-8,0))</f>
        <v>0</v>
      </c>
      <c r="J14" s="47" t="s">
        <v>24</v>
      </c>
      <c r="K14" s="47"/>
      <c r="L14" s="47"/>
      <c r="M14" s="47"/>
    </row>
    <row r="15" spans="1:14" x14ac:dyDescent="0.2">
      <c r="A15" s="3">
        <v>3</v>
      </c>
      <c r="B15" s="25">
        <f t="shared" ca="1" si="1"/>
        <v>0.59687815602503291</v>
      </c>
      <c r="C15" s="3">
        <f t="shared" ca="1" si="2"/>
        <v>4</v>
      </c>
      <c r="D15" s="3">
        <f t="shared" ca="1" si="3"/>
        <v>4</v>
      </c>
      <c r="E15" s="3">
        <v>10</v>
      </c>
      <c r="F15" s="3">
        <f t="shared" ca="1" si="4"/>
        <v>0</v>
      </c>
      <c r="G15" s="3">
        <f t="shared" ca="1" si="5"/>
        <v>0</v>
      </c>
      <c r="H15" s="3">
        <f t="shared" ca="1" si="6"/>
        <v>0</v>
      </c>
      <c r="J15" s="38" t="s">
        <v>16</v>
      </c>
      <c r="K15" s="38" t="s">
        <v>23</v>
      </c>
      <c r="L15" s="38" t="s">
        <v>15</v>
      </c>
      <c r="M15" s="38" t="s">
        <v>25</v>
      </c>
    </row>
    <row r="16" spans="1:14" x14ac:dyDescent="0.2">
      <c r="A16" s="3">
        <v>4</v>
      </c>
      <c r="B16" s="25">
        <f t="shared" ca="1" si="1"/>
        <v>8.7382134372281373E-2</v>
      </c>
      <c r="C16" s="3">
        <f t="shared" ca="1" si="2"/>
        <v>1</v>
      </c>
      <c r="D16" s="3">
        <f t="shared" ca="1" si="3"/>
        <v>1</v>
      </c>
      <c r="E16" s="3">
        <v>10</v>
      </c>
      <c r="F16" s="3">
        <f t="shared" ca="1" si="4"/>
        <v>0</v>
      </c>
      <c r="G16" s="3">
        <f t="shared" ca="1" si="5"/>
        <v>0</v>
      </c>
      <c r="H16" s="3">
        <f t="shared" ca="1" si="6"/>
        <v>0</v>
      </c>
      <c r="J16" s="3"/>
      <c r="K16" s="3">
        <f ca="1">G65</f>
        <v>6</v>
      </c>
      <c r="L16" s="26">
        <f ca="1">G66</f>
        <v>0.11538461538461539</v>
      </c>
      <c r="M16" s="26">
        <f ca="1">G67</f>
        <v>4.9423076923076925</v>
      </c>
    </row>
    <row r="17" spans="1:13" x14ac:dyDescent="0.2">
      <c r="A17" s="3">
        <v>5</v>
      </c>
      <c r="B17" s="25">
        <f t="shared" ca="1" si="1"/>
        <v>0.65431549983512893</v>
      </c>
      <c r="C17" s="3">
        <f t="shared" ca="1" si="2"/>
        <v>7</v>
      </c>
      <c r="D17" s="3">
        <f t="shared" ca="1" si="3"/>
        <v>7</v>
      </c>
      <c r="E17" s="3">
        <v>10</v>
      </c>
      <c r="F17" s="3">
        <f t="shared" ca="1" si="4"/>
        <v>0</v>
      </c>
      <c r="G17" s="3">
        <f t="shared" ca="1" si="5"/>
        <v>0</v>
      </c>
      <c r="H17" s="3">
        <f t="shared" ca="1" si="6"/>
        <v>0</v>
      </c>
      <c r="J17" s="3">
        <v>1</v>
      </c>
      <c r="K17" s="3">
        <f t="dataTable" ref="K17:M116" dt2D="0" dtr="0" r1="I14" ca="1"/>
        <v>4</v>
      </c>
      <c r="L17" s="26">
        <v>7.6923076923076927E-2</v>
      </c>
      <c r="M17" s="26">
        <v>5.0192307692307692</v>
      </c>
    </row>
    <row r="18" spans="1:13" x14ac:dyDescent="0.2">
      <c r="A18" s="3">
        <v>6</v>
      </c>
      <c r="B18" s="25">
        <f t="shared" ca="1" si="1"/>
        <v>0.41290399586046045</v>
      </c>
      <c r="C18" s="3">
        <f t="shared" ca="1" si="2"/>
        <v>4</v>
      </c>
      <c r="D18" s="3">
        <f t="shared" ca="1" si="3"/>
        <v>4</v>
      </c>
      <c r="E18" s="3">
        <v>10</v>
      </c>
      <c r="F18" s="3">
        <f t="shared" ca="1" si="4"/>
        <v>0</v>
      </c>
      <c r="G18" s="3">
        <f t="shared" ca="1" si="5"/>
        <v>0</v>
      </c>
      <c r="H18" s="3">
        <f t="shared" ca="1" si="6"/>
        <v>0</v>
      </c>
      <c r="J18" s="3">
        <v>2</v>
      </c>
      <c r="K18" s="3">
        <v>10</v>
      </c>
      <c r="L18" s="26">
        <v>0.19230769230769232</v>
      </c>
      <c r="M18" s="26">
        <v>6.0384615384615383</v>
      </c>
    </row>
    <row r="19" spans="1:13" x14ac:dyDescent="0.2">
      <c r="A19" s="3">
        <v>7</v>
      </c>
      <c r="B19" s="25">
        <f t="shared" ca="1" si="1"/>
        <v>0.18165746588372522</v>
      </c>
      <c r="C19" s="3">
        <f t="shared" ca="1" si="2"/>
        <v>2</v>
      </c>
      <c r="D19" s="3">
        <f t="shared" ca="1" si="3"/>
        <v>2</v>
      </c>
      <c r="E19" s="3">
        <v>10</v>
      </c>
      <c r="F19" s="3">
        <f t="shared" ca="1" si="4"/>
        <v>0</v>
      </c>
      <c r="G19" s="3">
        <f t="shared" ca="1" si="5"/>
        <v>0</v>
      </c>
      <c r="H19" s="3">
        <f t="shared" ca="1" si="6"/>
        <v>0</v>
      </c>
      <c r="J19" s="3">
        <v>3</v>
      </c>
      <c r="K19" s="3">
        <v>5</v>
      </c>
      <c r="L19" s="26">
        <v>9.6153846153846159E-2</v>
      </c>
      <c r="M19" s="26">
        <v>5.3461538461538458</v>
      </c>
    </row>
    <row r="20" spans="1:13" x14ac:dyDescent="0.2">
      <c r="A20" s="3">
        <v>8</v>
      </c>
      <c r="B20" s="25">
        <f t="shared" ca="1" si="1"/>
        <v>0.11243107015104348</v>
      </c>
      <c r="C20" s="3">
        <f t="shared" ca="1" si="2"/>
        <v>2</v>
      </c>
      <c r="D20" s="3">
        <f t="shared" ca="1" si="3"/>
        <v>2</v>
      </c>
      <c r="E20" s="3">
        <v>10</v>
      </c>
      <c r="F20" s="3">
        <f t="shared" ca="1" si="4"/>
        <v>0</v>
      </c>
      <c r="G20" s="3">
        <f t="shared" ca="1" si="5"/>
        <v>0</v>
      </c>
      <c r="H20" s="3">
        <f t="shared" ca="1" si="6"/>
        <v>0</v>
      </c>
      <c r="J20" s="3">
        <v>4</v>
      </c>
      <c r="K20" s="3">
        <v>5</v>
      </c>
      <c r="L20" s="26">
        <v>9.6153846153846159E-2</v>
      </c>
      <c r="M20" s="26">
        <v>6</v>
      </c>
    </row>
    <row r="21" spans="1:13" x14ac:dyDescent="0.2">
      <c r="A21" s="3">
        <v>9</v>
      </c>
      <c r="B21" s="25">
        <f t="shared" ca="1" si="1"/>
        <v>0.16758483643931399</v>
      </c>
      <c r="C21" s="3">
        <f t="shared" ca="1" si="2"/>
        <v>2</v>
      </c>
      <c r="D21" s="3">
        <f t="shared" ca="1" si="3"/>
        <v>2</v>
      </c>
      <c r="E21" s="3">
        <v>10</v>
      </c>
      <c r="F21" s="3">
        <f t="shared" ca="1" si="4"/>
        <v>0</v>
      </c>
      <c r="G21" s="3">
        <f t="shared" ca="1" si="5"/>
        <v>0</v>
      </c>
      <c r="H21" s="3">
        <f t="shared" ca="1" si="6"/>
        <v>0</v>
      </c>
      <c r="J21" s="3">
        <v>5</v>
      </c>
      <c r="K21" s="3">
        <v>5</v>
      </c>
      <c r="L21" s="26">
        <v>9.6153846153846159E-2</v>
      </c>
      <c r="M21" s="26">
        <v>5.75</v>
      </c>
    </row>
    <row r="22" spans="1:13" x14ac:dyDescent="0.2">
      <c r="A22" s="3">
        <v>10</v>
      </c>
      <c r="B22" s="25">
        <f t="shared" ca="1" si="1"/>
        <v>0.33168743971557768</v>
      </c>
      <c r="C22" s="3">
        <f t="shared" ca="1" si="2"/>
        <v>4</v>
      </c>
      <c r="D22" s="3">
        <f t="shared" ca="1" si="3"/>
        <v>4</v>
      </c>
      <c r="E22" s="3">
        <v>10</v>
      </c>
      <c r="F22" s="3">
        <f t="shared" ca="1" si="4"/>
        <v>0</v>
      </c>
      <c r="G22" s="3">
        <f t="shared" ca="1" si="5"/>
        <v>0</v>
      </c>
      <c r="H22" s="3">
        <f t="shared" ca="1" si="6"/>
        <v>0</v>
      </c>
      <c r="J22" s="3">
        <v>6</v>
      </c>
      <c r="K22" s="3">
        <v>7</v>
      </c>
      <c r="L22" s="26">
        <v>0.13461538461538461</v>
      </c>
      <c r="M22" s="26">
        <v>5.4615384615384617</v>
      </c>
    </row>
    <row r="23" spans="1:13" ht="12.75" hidden="1" customHeight="1" x14ac:dyDescent="0.2">
      <c r="A23" s="3">
        <v>11</v>
      </c>
      <c r="B23" s="25">
        <f t="shared" ca="1" si="1"/>
        <v>0.71185975604278851</v>
      </c>
      <c r="C23" s="3">
        <f t="shared" ca="1" si="2"/>
        <v>7</v>
      </c>
      <c r="D23" s="3">
        <f t="shared" ca="1" si="3"/>
        <v>7</v>
      </c>
      <c r="E23" s="3">
        <v>10</v>
      </c>
      <c r="F23" s="3">
        <f t="shared" ca="1" si="4"/>
        <v>0</v>
      </c>
      <c r="G23" s="3">
        <f t="shared" ca="1" si="5"/>
        <v>0</v>
      </c>
      <c r="H23" s="3">
        <f t="shared" ca="1" si="6"/>
        <v>0</v>
      </c>
      <c r="J23" s="3">
        <v>7</v>
      </c>
      <c r="K23" s="3">
        <v>10</v>
      </c>
      <c r="L23" s="26">
        <v>0.19230769230769232</v>
      </c>
      <c r="M23" s="26">
        <v>6.0576923076923075</v>
      </c>
    </row>
    <row r="24" spans="1:13" ht="12.75" hidden="1" customHeight="1" x14ac:dyDescent="0.2">
      <c r="A24" s="3">
        <v>12</v>
      </c>
      <c r="B24" s="25">
        <f t="shared" ca="1" si="1"/>
        <v>0.37816223324587128</v>
      </c>
      <c r="C24" s="3">
        <f t="shared" ca="1" si="2"/>
        <v>4</v>
      </c>
      <c r="D24" s="3">
        <f t="shared" ca="1" si="3"/>
        <v>4</v>
      </c>
      <c r="E24" s="3">
        <v>10</v>
      </c>
      <c r="F24" s="3">
        <f t="shared" ca="1" si="4"/>
        <v>0</v>
      </c>
      <c r="G24" s="3">
        <f t="shared" ca="1" si="5"/>
        <v>0</v>
      </c>
      <c r="H24" s="3">
        <f t="shared" ca="1" si="6"/>
        <v>0</v>
      </c>
      <c r="J24" s="3">
        <v>8</v>
      </c>
      <c r="K24" s="3">
        <v>2</v>
      </c>
      <c r="L24" s="26">
        <v>3.8461538461538464E-2</v>
      </c>
      <c r="M24" s="26">
        <v>5.134615384615385</v>
      </c>
    </row>
    <row r="25" spans="1:13" ht="12.75" hidden="1" customHeight="1" x14ac:dyDescent="0.2">
      <c r="A25" s="3">
        <v>13</v>
      </c>
      <c r="B25" s="25">
        <f t="shared" ca="1" si="1"/>
        <v>0.20912671388634496</v>
      </c>
      <c r="C25" s="3">
        <f t="shared" ca="1" si="2"/>
        <v>2</v>
      </c>
      <c r="D25" s="3">
        <f t="shared" ca="1" si="3"/>
        <v>2</v>
      </c>
      <c r="E25" s="3">
        <v>10</v>
      </c>
      <c r="F25" s="3">
        <f t="shared" ca="1" si="4"/>
        <v>0</v>
      </c>
      <c r="G25" s="3">
        <f t="shared" ca="1" si="5"/>
        <v>0</v>
      </c>
      <c r="H25" s="3">
        <f t="shared" ca="1" si="6"/>
        <v>0</v>
      </c>
      <c r="J25" s="3">
        <v>9</v>
      </c>
      <c r="K25" s="3">
        <v>12</v>
      </c>
      <c r="L25" s="26">
        <v>0.23076923076923078</v>
      </c>
      <c r="M25" s="26">
        <v>5.5769230769230766</v>
      </c>
    </row>
    <row r="26" spans="1:13" ht="12.75" hidden="1" customHeight="1" x14ac:dyDescent="0.2">
      <c r="A26" s="3">
        <v>14</v>
      </c>
      <c r="B26" s="25">
        <f t="shared" ca="1" si="1"/>
        <v>0.95585459440699028</v>
      </c>
      <c r="C26" s="3">
        <f t="shared" ca="1" si="2"/>
        <v>13</v>
      </c>
      <c r="D26" s="3">
        <f t="shared" ca="1" si="3"/>
        <v>13</v>
      </c>
      <c r="E26" s="3">
        <v>10</v>
      </c>
      <c r="F26" s="3">
        <f t="shared" ca="1" si="4"/>
        <v>3</v>
      </c>
      <c r="G26" s="3">
        <f t="shared" ca="1" si="5"/>
        <v>1</v>
      </c>
      <c r="H26" s="3">
        <f t="shared" ca="1" si="6"/>
        <v>2</v>
      </c>
      <c r="J26" s="3">
        <v>10</v>
      </c>
      <c r="K26" s="3">
        <v>5</v>
      </c>
      <c r="L26" s="26">
        <v>9.6153846153846159E-2</v>
      </c>
      <c r="M26" s="26">
        <v>5.3076923076923075</v>
      </c>
    </row>
    <row r="27" spans="1:13" ht="12.75" hidden="1" customHeight="1" x14ac:dyDescent="0.2">
      <c r="A27" s="3">
        <v>15</v>
      </c>
      <c r="B27" s="25">
        <f t="shared" ca="1" si="1"/>
        <v>0.55692408939248639</v>
      </c>
      <c r="C27" s="3">
        <f t="shared" ca="1" si="2"/>
        <v>4</v>
      </c>
      <c r="D27" s="3">
        <f t="shared" ca="1" si="3"/>
        <v>7</v>
      </c>
      <c r="E27" s="3">
        <v>10</v>
      </c>
      <c r="F27" s="3">
        <f t="shared" ca="1" si="4"/>
        <v>0</v>
      </c>
      <c r="G27" s="3">
        <f t="shared" ca="1" si="5"/>
        <v>0</v>
      </c>
      <c r="H27" s="3">
        <f t="shared" ca="1" si="6"/>
        <v>0</v>
      </c>
      <c r="J27" s="3">
        <v>11</v>
      </c>
      <c r="K27" s="3">
        <v>6</v>
      </c>
      <c r="L27" s="26">
        <v>0.11538461538461539</v>
      </c>
      <c r="M27" s="26">
        <v>5.4807692307692308</v>
      </c>
    </row>
    <row r="28" spans="1:13" ht="12.75" hidden="1" customHeight="1" x14ac:dyDescent="0.2">
      <c r="A28" s="3">
        <v>16</v>
      </c>
      <c r="B28" s="25">
        <f t="shared" ca="1" si="1"/>
        <v>0.48832809467500282</v>
      </c>
      <c r="C28" s="3">
        <f t="shared" ca="1" si="2"/>
        <v>4</v>
      </c>
      <c r="D28" s="3">
        <f t="shared" ca="1" si="3"/>
        <v>4</v>
      </c>
      <c r="E28" s="3">
        <v>10</v>
      </c>
      <c r="F28" s="3">
        <f t="shared" ca="1" si="4"/>
        <v>0</v>
      </c>
      <c r="G28" s="3">
        <f t="shared" ca="1" si="5"/>
        <v>0</v>
      </c>
      <c r="H28" s="3">
        <f t="shared" ca="1" si="6"/>
        <v>0</v>
      </c>
      <c r="J28" s="3">
        <v>12</v>
      </c>
      <c r="K28" s="3">
        <v>6</v>
      </c>
      <c r="L28" s="26">
        <v>0.11538461538461539</v>
      </c>
      <c r="M28" s="26">
        <v>5.4038461538461542</v>
      </c>
    </row>
    <row r="29" spans="1:13" ht="12.75" hidden="1" customHeight="1" x14ac:dyDescent="0.2">
      <c r="A29" s="3">
        <v>17</v>
      </c>
      <c r="B29" s="25">
        <f t="shared" ca="1" si="1"/>
        <v>0.90384669146396091</v>
      </c>
      <c r="C29" s="3">
        <f t="shared" ca="1" si="2"/>
        <v>9</v>
      </c>
      <c r="D29" s="3">
        <f t="shared" ca="1" si="3"/>
        <v>9</v>
      </c>
      <c r="E29" s="3">
        <v>10</v>
      </c>
      <c r="F29" s="3">
        <f t="shared" ca="1" si="4"/>
        <v>0</v>
      </c>
      <c r="G29" s="3">
        <f t="shared" ca="1" si="5"/>
        <v>0</v>
      </c>
      <c r="H29" s="3">
        <f t="shared" ca="1" si="6"/>
        <v>1</v>
      </c>
      <c r="J29" s="3">
        <v>13</v>
      </c>
      <c r="K29" s="3">
        <v>4</v>
      </c>
      <c r="L29" s="26">
        <v>7.6923076923076927E-2</v>
      </c>
      <c r="M29" s="26">
        <v>5.3461538461538458</v>
      </c>
    </row>
    <row r="30" spans="1:13" ht="12.75" hidden="1" customHeight="1" x14ac:dyDescent="0.2">
      <c r="A30" s="3">
        <v>18</v>
      </c>
      <c r="B30" s="25">
        <f t="shared" ca="1" si="1"/>
        <v>0.1820878619504489</v>
      </c>
      <c r="C30" s="3">
        <f t="shared" ca="1" si="2"/>
        <v>2</v>
      </c>
      <c r="D30" s="3">
        <f t="shared" ca="1" si="3"/>
        <v>2</v>
      </c>
      <c r="E30" s="3">
        <v>10</v>
      </c>
      <c r="F30" s="3">
        <f t="shared" ca="1" si="4"/>
        <v>0</v>
      </c>
      <c r="G30" s="3">
        <f t="shared" ca="1" si="5"/>
        <v>0</v>
      </c>
      <c r="H30" s="3">
        <f t="shared" ca="1" si="6"/>
        <v>0</v>
      </c>
      <c r="J30" s="3">
        <v>14</v>
      </c>
      <c r="K30" s="3">
        <v>5</v>
      </c>
      <c r="L30" s="26">
        <v>9.6153846153846159E-2</v>
      </c>
      <c r="M30" s="26">
        <v>5</v>
      </c>
    </row>
    <row r="31" spans="1:13" ht="12.75" hidden="1" customHeight="1" x14ac:dyDescent="0.2">
      <c r="A31" s="3">
        <v>19</v>
      </c>
      <c r="B31" s="25">
        <f t="shared" ca="1" si="1"/>
        <v>0.3758298775299429</v>
      </c>
      <c r="C31" s="3">
        <f t="shared" ca="1" si="2"/>
        <v>4</v>
      </c>
      <c r="D31" s="3">
        <f t="shared" ca="1" si="3"/>
        <v>4</v>
      </c>
      <c r="E31" s="3">
        <v>10</v>
      </c>
      <c r="F31" s="3">
        <f t="shared" ca="1" si="4"/>
        <v>0</v>
      </c>
      <c r="G31" s="3">
        <f t="shared" ca="1" si="5"/>
        <v>0</v>
      </c>
      <c r="H31" s="3">
        <f t="shared" ca="1" si="6"/>
        <v>0</v>
      </c>
      <c r="J31" s="3">
        <v>15</v>
      </c>
      <c r="K31" s="3">
        <v>6</v>
      </c>
      <c r="L31" s="26">
        <v>0.11538461538461539</v>
      </c>
      <c r="M31" s="26">
        <v>5.2307692307692308</v>
      </c>
    </row>
    <row r="32" spans="1:13" ht="12.75" hidden="1" customHeight="1" x14ac:dyDescent="0.2">
      <c r="A32" s="3">
        <v>20</v>
      </c>
      <c r="B32" s="25">
        <f t="shared" ca="1" si="1"/>
        <v>0.85674435708032093</v>
      </c>
      <c r="C32" s="3">
        <f t="shared" ca="1" si="2"/>
        <v>9</v>
      </c>
      <c r="D32" s="3">
        <f t="shared" ca="1" si="3"/>
        <v>9</v>
      </c>
      <c r="E32" s="3">
        <v>10</v>
      </c>
      <c r="F32" s="3">
        <f t="shared" ca="1" si="4"/>
        <v>0</v>
      </c>
      <c r="G32" s="3">
        <f t="shared" ca="1" si="5"/>
        <v>0</v>
      </c>
      <c r="H32" s="3">
        <f t="shared" ca="1" si="6"/>
        <v>1</v>
      </c>
      <c r="J32" s="3">
        <v>16</v>
      </c>
      <c r="K32" s="3">
        <v>11</v>
      </c>
      <c r="L32" s="26">
        <v>0.21153846153846154</v>
      </c>
      <c r="M32" s="26">
        <v>5.6923076923076925</v>
      </c>
    </row>
    <row r="33" spans="1:13" ht="12.75" hidden="1" customHeight="1" x14ac:dyDescent="0.2">
      <c r="A33" s="3">
        <v>21</v>
      </c>
      <c r="B33" s="25">
        <f t="shared" ca="1" si="1"/>
        <v>0.23637121992273569</v>
      </c>
      <c r="C33" s="3">
        <f t="shared" ca="1" si="2"/>
        <v>2</v>
      </c>
      <c r="D33" s="3">
        <f t="shared" ca="1" si="3"/>
        <v>2</v>
      </c>
      <c r="E33" s="3">
        <v>10</v>
      </c>
      <c r="F33" s="3">
        <f t="shared" ca="1" si="4"/>
        <v>0</v>
      </c>
      <c r="G33" s="3">
        <f t="shared" ca="1" si="5"/>
        <v>0</v>
      </c>
      <c r="H33" s="3">
        <f t="shared" ca="1" si="6"/>
        <v>0</v>
      </c>
      <c r="J33" s="3">
        <v>17</v>
      </c>
      <c r="K33" s="3">
        <v>1</v>
      </c>
      <c r="L33" s="26">
        <v>1.9230769230769232E-2</v>
      </c>
      <c r="M33" s="26">
        <v>4.3461538461538458</v>
      </c>
    </row>
    <row r="34" spans="1:13" ht="12.75" hidden="1" customHeight="1" x14ac:dyDescent="0.2">
      <c r="A34" s="3">
        <v>22</v>
      </c>
      <c r="B34" s="25">
        <f t="shared" ca="1" si="1"/>
        <v>0.54777031863723447</v>
      </c>
      <c r="C34" s="3">
        <f t="shared" ca="1" si="2"/>
        <v>4</v>
      </c>
      <c r="D34" s="3">
        <f t="shared" ca="1" si="3"/>
        <v>4</v>
      </c>
      <c r="E34" s="3">
        <v>10</v>
      </c>
      <c r="F34" s="3">
        <f t="shared" ca="1" si="4"/>
        <v>0</v>
      </c>
      <c r="G34" s="3">
        <f t="shared" ca="1" si="5"/>
        <v>0</v>
      </c>
      <c r="H34" s="3">
        <f t="shared" ca="1" si="6"/>
        <v>0</v>
      </c>
      <c r="J34" s="3">
        <v>18</v>
      </c>
      <c r="K34" s="3">
        <v>10</v>
      </c>
      <c r="L34" s="26">
        <v>0.19230769230769232</v>
      </c>
      <c r="M34" s="26">
        <v>5.884615384615385</v>
      </c>
    </row>
    <row r="35" spans="1:13" ht="12.75" hidden="1" customHeight="1" x14ac:dyDescent="0.2">
      <c r="A35" s="3">
        <v>23</v>
      </c>
      <c r="B35" s="25">
        <f t="shared" ca="1" si="1"/>
        <v>0.34484333682949286</v>
      </c>
      <c r="C35" s="3">
        <f t="shared" ca="1" si="2"/>
        <v>4</v>
      </c>
      <c r="D35" s="3">
        <f t="shared" ca="1" si="3"/>
        <v>4</v>
      </c>
      <c r="E35" s="3">
        <v>10</v>
      </c>
      <c r="F35" s="3">
        <f t="shared" ca="1" si="4"/>
        <v>0</v>
      </c>
      <c r="G35" s="3">
        <f t="shared" ca="1" si="5"/>
        <v>0</v>
      </c>
      <c r="H35" s="3">
        <f t="shared" ca="1" si="6"/>
        <v>0</v>
      </c>
      <c r="J35" s="3">
        <v>19</v>
      </c>
      <c r="K35" s="3">
        <v>4</v>
      </c>
      <c r="L35" s="26">
        <v>7.6923076923076927E-2</v>
      </c>
      <c r="M35" s="26">
        <v>5.0384615384615383</v>
      </c>
    </row>
    <row r="36" spans="1:13" ht="12.75" hidden="1" customHeight="1" x14ac:dyDescent="0.2">
      <c r="A36" s="3">
        <v>24</v>
      </c>
      <c r="B36" s="25">
        <f t="shared" ca="1" si="1"/>
        <v>0.33711582824378639</v>
      </c>
      <c r="C36" s="3">
        <f t="shared" ca="1" si="2"/>
        <v>4</v>
      </c>
      <c r="D36" s="3">
        <f t="shared" ca="1" si="3"/>
        <v>4</v>
      </c>
      <c r="E36" s="3">
        <v>10</v>
      </c>
      <c r="F36" s="3">
        <f t="shared" ca="1" si="4"/>
        <v>0</v>
      </c>
      <c r="G36" s="3">
        <f t="shared" ca="1" si="5"/>
        <v>0</v>
      </c>
      <c r="H36" s="3">
        <f t="shared" ca="1" si="6"/>
        <v>0</v>
      </c>
      <c r="J36" s="3">
        <v>20</v>
      </c>
      <c r="K36" s="3">
        <v>6</v>
      </c>
      <c r="L36" s="26">
        <v>0.11538461538461539</v>
      </c>
      <c r="M36" s="26">
        <v>5.4423076923076925</v>
      </c>
    </row>
    <row r="37" spans="1:13" ht="12.75" hidden="1" customHeight="1" x14ac:dyDescent="0.2">
      <c r="A37" s="3">
        <v>25</v>
      </c>
      <c r="B37" s="25">
        <f t="shared" ca="1" si="1"/>
        <v>0.64474284728319298</v>
      </c>
      <c r="C37" s="3">
        <f t="shared" ca="1" si="2"/>
        <v>7</v>
      </c>
      <c r="D37" s="3">
        <f t="shared" ca="1" si="3"/>
        <v>7</v>
      </c>
      <c r="E37" s="3">
        <v>10</v>
      </c>
      <c r="F37" s="3">
        <f t="shared" ca="1" si="4"/>
        <v>0</v>
      </c>
      <c r="G37" s="3">
        <f t="shared" ca="1" si="5"/>
        <v>0</v>
      </c>
      <c r="H37" s="3">
        <f t="shared" ca="1" si="6"/>
        <v>0</v>
      </c>
      <c r="J37" s="3">
        <v>21</v>
      </c>
      <c r="K37" s="3">
        <v>6</v>
      </c>
      <c r="L37" s="26">
        <v>0.11538461538461539</v>
      </c>
      <c r="M37" s="26">
        <v>5.365384615384615</v>
      </c>
    </row>
    <row r="38" spans="1:13" ht="12.75" hidden="1" customHeight="1" x14ac:dyDescent="0.2">
      <c r="A38" s="3">
        <v>26</v>
      </c>
      <c r="B38" s="25">
        <f t="shared" ca="1" si="1"/>
        <v>0.31552002823343928</v>
      </c>
      <c r="C38" s="3">
        <f t="shared" ca="1" si="2"/>
        <v>4</v>
      </c>
      <c r="D38" s="3">
        <f t="shared" ca="1" si="3"/>
        <v>4</v>
      </c>
      <c r="E38" s="3">
        <v>10</v>
      </c>
      <c r="F38" s="3">
        <f t="shared" ca="1" si="4"/>
        <v>0</v>
      </c>
      <c r="G38" s="3">
        <f t="shared" ca="1" si="5"/>
        <v>0</v>
      </c>
      <c r="H38" s="3">
        <f t="shared" ca="1" si="6"/>
        <v>0</v>
      </c>
      <c r="J38" s="3">
        <v>22</v>
      </c>
      <c r="K38" s="3">
        <v>10</v>
      </c>
      <c r="L38" s="26">
        <v>0.19230769230769232</v>
      </c>
      <c r="M38" s="26">
        <v>5.9807692307692308</v>
      </c>
    </row>
    <row r="39" spans="1:13" ht="12.75" hidden="1" customHeight="1" x14ac:dyDescent="0.2">
      <c r="A39" s="3">
        <v>27</v>
      </c>
      <c r="B39" s="25">
        <f t="shared" ca="1" si="1"/>
        <v>0.15617061750574335</v>
      </c>
      <c r="C39" s="3">
        <f t="shared" ca="1" si="2"/>
        <v>2</v>
      </c>
      <c r="D39" s="3">
        <f t="shared" ca="1" si="3"/>
        <v>2</v>
      </c>
      <c r="E39" s="3">
        <v>10</v>
      </c>
      <c r="F39" s="3">
        <f t="shared" ca="1" si="4"/>
        <v>0</v>
      </c>
      <c r="G39" s="3">
        <f t="shared" ca="1" si="5"/>
        <v>0</v>
      </c>
      <c r="H39" s="3">
        <f t="shared" ca="1" si="6"/>
        <v>0</v>
      </c>
      <c r="J39" s="3">
        <v>23</v>
      </c>
      <c r="K39" s="3">
        <v>4</v>
      </c>
      <c r="L39" s="26">
        <v>7.6923076923076927E-2</v>
      </c>
      <c r="M39" s="26">
        <v>4.9038461538461542</v>
      </c>
    </row>
    <row r="40" spans="1:13" ht="12.75" hidden="1" customHeight="1" x14ac:dyDescent="0.2">
      <c r="A40" s="3">
        <v>28</v>
      </c>
      <c r="B40" s="25">
        <f t="shared" ca="1" si="1"/>
        <v>0.86460998059101069</v>
      </c>
      <c r="C40" s="3">
        <f t="shared" ca="1" si="2"/>
        <v>9</v>
      </c>
      <c r="D40" s="3">
        <f t="shared" ca="1" si="3"/>
        <v>9</v>
      </c>
      <c r="E40" s="3">
        <v>10</v>
      </c>
      <c r="F40" s="3">
        <f t="shared" ca="1" si="4"/>
        <v>0</v>
      </c>
      <c r="G40" s="3">
        <f t="shared" ca="1" si="5"/>
        <v>0</v>
      </c>
      <c r="H40" s="3">
        <f t="shared" ca="1" si="6"/>
        <v>1</v>
      </c>
      <c r="J40" s="3">
        <v>24</v>
      </c>
      <c r="K40" s="3">
        <v>5</v>
      </c>
      <c r="L40" s="26">
        <v>9.6153846153846159E-2</v>
      </c>
      <c r="M40" s="26">
        <v>5.25</v>
      </c>
    </row>
    <row r="41" spans="1:13" ht="12.75" hidden="1" customHeight="1" x14ac:dyDescent="0.2">
      <c r="A41" s="3">
        <v>29</v>
      </c>
      <c r="B41" s="25">
        <f t="shared" ca="1" si="1"/>
        <v>0.13907430453542224</v>
      </c>
      <c r="C41" s="3">
        <f t="shared" ca="1" si="2"/>
        <v>2</v>
      </c>
      <c r="D41" s="3">
        <f t="shared" ca="1" si="3"/>
        <v>2</v>
      </c>
      <c r="E41" s="3">
        <v>10</v>
      </c>
      <c r="F41" s="3">
        <f t="shared" ca="1" si="4"/>
        <v>0</v>
      </c>
      <c r="G41" s="3">
        <f t="shared" ca="1" si="5"/>
        <v>0</v>
      </c>
      <c r="H41" s="3">
        <f t="shared" ca="1" si="6"/>
        <v>0</v>
      </c>
      <c r="J41" s="3">
        <v>25</v>
      </c>
      <c r="K41" s="3">
        <v>8</v>
      </c>
      <c r="L41" s="26">
        <v>0.15384615384615385</v>
      </c>
      <c r="M41" s="26">
        <v>5.6730769230769234</v>
      </c>
    </row>
    <row r="42" spans="1:13" ht="12.75" hidden="1" customHeight="1" x14ac:dyDescent="0.2">
      <c r="A42" s="3">
        <v>30</v>
      </c>
      <c r="B42" s="25">
        <f t="shared" ca="1" si="1"/>
        <v>0.48014554139494114</v>
      </c>
      <c r="C42" s="3">
        <f t="shared" ca="1" si="2"/>
        <v>4</v>
      </c>
      <c r="D42" s="3">
        <f t="shared" ca="1" si="3"/>
        <v>4</v>
      </c>
      <c r="E42" s="3">
        <v>10</v>
      </c>
      <c r="F42" s="3">
        <f t="shared" ca="1" si="4"/>
        <v>0</v>
      </c>
      <c r="G42" s="3">
        <f t="shared" ca="1" si="5"/>
        <v>0</v>
      </c>
      <c r="H42" s="3">
        <f t="shared" ca="1" si="6"/>
        <v>0</v>
      </c>
      <c r="J42" s="3">
        <v>26</v>
      </c>
      <c r="K42" s="3">
        <v>3</v>
      </c>
      <c r="L42" s="26">
        <v>5.7692307692307696E-2</v>
      </c>
      <c r="M42" s="26">
        <v>4.6923076923076925</v>
      </c>
    </row>
    <row r="43" spans="1:13" ht="12.75" hidden="1" customHeight="1" x14ac:dyDescent="0.2">
      <c r="A43" s="3">
        <v>31</v>
      </c>
      <c r="B43" s="25">
        <f t="shared" ca="1" si="1"/>
        <v>5.113973002675376E-2</v>
      </c>
      <c r="C43" s="3">
        <f t="shared" ca="1" si="2"/>
        <v>1</v>
      </c>
      <c r="D43" s="3">
        <f t="shared" ca="1" si="3"/>
        <v>1</v>
      </c>
      <c r="E43" s="3">
        <v>10</v>
      </c>
      <c r="F43" s="3">
        <f t="shared" ca="1" si="4"/>
        <v>0</v>
      </c>
      <c r="G43" s="3">
        <f t="shared" ca="1" si="5"/>
        <v>0</v>
      </c>
      <c r="H43" s="3">
        <f t="shared" ca="1" si="6"/>
        <v>0</v>
      </c>
      <c r="J43" s="3">
        <v>27</v>
      </c>
      <c r="K43" s="3">
        <v>2</v>
      </c>
      <c r="L43" s="26">
        <v>3.8461538461538464E-2</v>
      </c>
      <c r="M43" s="26">
        <v>5.115384615384615</v>
      </c>
    </row>
    <row r="44" spans="1:13" ht="12.75" hidden="1" customHeight="1" x14ac:dyDescent="0.2">
      <c r="A44" s="3">
        <v>32</v>
      </c>
      <c r="B44" s="25">
        <f t="shared" ca="1" si="1"/>
        <v>0.26503939255370179</v>
      </c>
      <c r="C44" s="3">
        <f t="shared" ca="1" si="2"/>
        <v>2</v>
      </c>
      <c r="D44" s="3">
        <f t="shared" ca="1" si="3"/>
        <v>2</v>
      </c>
      <c r="E44" s="3">
        <v>10</v>
      </c>
      <c r="F44" s="3">
        <f t="shared" ca="1" si="4"/>
        <v>0</v>
      </c>
      <c r="G44" s="3">
        <f t="shared" ca="1" si="5"/>
        <v>0</v>
      </c>
      <c r="H44" s="3">
        <f t="shared" ca="1" si="6"/>
        <v>0</v>
      </c>
      <c r="J44" s="3">
        <v>28</v>
      </c>
      <c r="K44" s="3">
        <v>5</v>
      </c>
      <c r="L44" s="26">
        <v>9.6153846153846159E-2</v>
      </c>
      <c r="M44" s="26">
        <v>5.4807692307692308</v>
      </c>
    </row>
    <row r="45" spans="1:13" ht="12.75" hidden="1" customHeight="1" x14ac:dyDescent="0.2">
      <c r="A45" s="3">
        <v>33</v>
      </c>
      <c r="B45" s="25">
        <f t="shared" ca="1" si="1"/>
        <v>0.87286701281389523</v>
      </c>
      <c r="C45" s="3">
        <f t="shared" ca="1" si="2"/>
        <v>9</v>
      </c>
      <c r="D45" s="3">
        <f t="shared" ca="1" si="3"/>
        <v>9</v>
      </c>
      <c r="E45" s="3">
        <v>10</v>
      </c>
      <c r="F45" s="3">
        <f t="shared" ca="1" si="4"/>
        <v>0</v>
      </c>
      <c r="G45" s="3">
        <f t="shared" ca="1" si="5"/>
        <v>0</v>
      </c>
      <c r="H45" s="3">
        <f t="shared" ca="1" si="6"/>
        <v>1</v>
      </c>
      <c r="J45" s="3">
        <v>29</v>
      </c>
      <c r="K45" s="3">
        <v>5</v>
      </c>
      <c r="L45" s="26">
        <v>9.6153846153846159E-2</v>
      </c>
      <c r="M45" s="26">
        <v>5.0961538461538458</v>
      </c>
    </row>
    <row r="46" spans="1:13" ht="12.75" hidden="1" customHeight="1" x14ac:dyDescent="0.2">
      <c r="A46" s="3">
        <v>34</v>
      </c>
      <c r="B46" s="25">
        <f t="shared" ca="1" si="1"/>
        <v>0.1394716912857602</v>
      </c>
      <c r="C46" s="3">
        <f t="shared" ca="1" si="2"/>
        <v>2</v>
      </c>
      <c r="D46" s="3">
        <f t="shared" ca="1" si="3"/>
        <v>2</v>
      </c>
      <c r="E46" s="3">
        <v>10</v>
      </c>
      <c r="F46" s="3">
        <f t="shared" ca="1" si="4"/>
        <v>0</v>
      </c>
      <c r="G46" s="3">
        <f t="shared" ca="1" si="5"/>
        <v>0</v>
      </c>
      <c r="H46" s="3">
        <f t="shared" ca="1" si="6"/>
        <v>0</v>
      </c>
      <c r="J46" s="3">
        <v>30</v>
      </c>
      <c r="K46" s="3">
        <v>2</v>
      </c>
      <c r="L46" s="26">
        <v>3.8461538461538464E-2</v>
      </c>
      <c r="M46" s="26">
        <v>4.3076923076923075</v>
      </c>
    </row>
    <row r="47" spans="1:13" ht="12.75" hidden="1" customHeight="1" x14ac:dyDescent="0.2">
      <c r="A47" s="3">
        <v>35</v>
      </c>
      <c r="B47" s="25">
        <f t="shared" ca="1" si="1"/>
        <v>0.34160614998451688</v>
      </c>
      <c r="C47" s="3">
        <f t="shared" ca="1" si="2"/>
        <v>4</v>
      </c>
      <c r="D47" s="3">
        <f t="shared" ca="1" si="3"/>
        <v>4</v>
      </c>
      <c r="E47" s="3">
        <v>10</v>
      </c>
      <c r="F47" s="3">
        <f t="shared" ca="1" si="4"/>
        <v>0</v>
      </c>
      <c r="G47" s="3">
        <f t="shared" ca="1" si="5"/>
        <v>0</v>
      </c>
      <c r="H47" s="3">
        <f t="shared" ca="1" si="6"/>
        <v>0</v>
      </c>
      <c r="J47" s="3">
        <v>31</v>
      </c>
      <c r="K47" s="3">
        <v>8</v>
      </c>
      <c r="L47" s="26">
        <v>0.15384615384615385</v>
      </c>
      <c r="M47" s="26">
        <v>5.6730769230769234</v>
      </c>
    </row>
    <row r="48" spans="1:13" ht="12.75" hidden="1" customHeight="1" x14ac:dyDescent="0.2">
      <c r="A48" s="3">
        <v>36</v>
      </c>
      <c r="B48" s="25">
        <f t="shared" ca="1" si="1"/>
        <v>0.85494353408367507</v>
      </c>
      <c r="C48" s="3">
        <f t="shared" ca="1" si="2"/>
        <v>9</v>
      </c>
      <c r="D48" s="3">
        <f t="shared" ca="1" si="3"/>
        <v>9</v>
      </c>
      <c r="E48" s="3">
        <v>10</v>
      </c>
      <c r="F48" s="3">
        <f t="shared" ca="1" si="4"/>
        <v>0</v>
      </c>
      <c r="G48" s="3">
        <f t="shared" ca="1" si="5"/>
        <v>0</v>
      </c>
      <c r="H48" s="3">
        <f t="shared" ca="1" si="6"/>
        <v>1</v>
      </c>
      <c r="J48" s="3">
        <v>32</v>
      </c>
      <c r="K48" s="3">
        <v>9</v>
      </c>
      <c r="L48" s="26">
        <v>0.17307692307692307</v>
      </c>
      <c r="M48" s="26">
        <v>6</v>
      </c>
    </row>
    <row r="49" spans="1:13" ht="12.75" hidden="1" customHeight="1" x14ac:dyDescent="0.2">
      <c r="A49" s="3">
        <v>37</v>
      </c>
      <c r="B49" s="25">
        <f t="shared" ca="1" si="1"/>
        <v>0.35185893563705761</v>
      </c>
      <c r="C49" s="3">
        <f t="shared" ca="1" si="2"/>
        <v>4</v>
      </c>
      <c r="D49" s="3">
        <f t="shared" ca="1" si="3"/>
        <v>4</v>
      </c>
      <c r="E49" s="3">
        <v>10</v>
      </c>
      <c r="F49" s="3">
        <f t="shared" ca="1" si="4"/>
        <v>0</v>
      </c>
      <c r="G49" s="3">
        <f t="shared" ca="1" si="5"/>
        <v>0</v>
      </c>
      <c r="H49" s="3">
        <f t="shared" ca="1" si="6"/>
        <v>0</v>
      </c>
      <c r="J49" s="3">
        <v>33</v>
      </c>
      <c r="K49" s="3">
        <v>7</v>
      </c>
      <c r="L49" s="26">
        <v>0.13461538461538461</v>
      </c>
      <c r="M49" s="26">
        <v>5.4230769230769234</v>
      </c>
    </row>
    <row r="50" spans="1:13" ht="12.75" hidden="1" customHeight="1" x14ac:dyDescent="0.2">
      <c r="A50" s="3">
        <v>38</v>
      </c>
      <c r="B50" s="25">
        <f t="shared" ca="1" si="1"/>
        <v>0.25378196677884279</v>
      </c>
      <c r="C50" s="3">
        <f t="shared" ca="1" si="2"/>
        <v>2</v>
      </c>
      <c r="D50" s="3">
        <f t="shared" ca="1" si="3"/>
        <v>2</v>
      </c>
      <c r="E50" s="3">
        <v>10</v>
      </c>
      <c r="F50" s="3">
        <f t="shared" ca="1" si="4"/>
        <v>0</v>
      </c>
      <c r="G50" s="3">
        <f t="shared" ca="1" si="5"/>
        <v>0</v>
      </c>
      <c r="H50" s="3">
        <f t="shared" ca="1" si="6"/>
        <v>0</v>
      </c>
      <c r="J50" s="3">
        <v>34</v>
      </c>
      <c r="K50" s="3">
        <v>10</v>
      </c>
      <c r="L50" s="26">
        <v>0.19230769230769232</v>
      </c>
      <c r="M50" s="26">
        <v>5.7692307692307692</v>
      </c>
    </row>
    <row r="51" spans="1:13" ht="12.75" hidden="1" customHeight="1" x14ac:dyDescent="0.2">
      <c r="A51" s="3">
        <v>39</v>
      </c>
      <c r="B51" s="25">
        <f t="shared" ca="1" si="1"/>
        <v>0.93692891669314293</v>
      </c>
      <c r="C51" s="3">
        <f t="shared" ca="1" si="2"/>
        <v>13</v>
      </c>
      <c r="D51" s="3">
        <f t="shared" ca="1" si="3"/>
        <v>13</v>
      </c>
      <c r="E51" s="3">
        <v>10</v>
      </c>
      <c r="F51" s="3">
        <f t="shared" ca="1" si="4"/>
        <v>3</v>
      </c>
      <c r="G51" s="3">
        <f t="shared" ca="1" si="5"/>
        <v>1</v>
      </c>
      <c r="H51" s="3">
        <f t="shared" ca="1" si="6"/>
        <v>2</v>
      </c>
      <c r="J51" s="3">
        <v>35</v>
      </c>
      <c r="K51" s="3">
        <v>10</v>
      </c>
      <c r="L51" s="26">
        <v>0.19230769230769232</v>
      </c>
      <c r="M51" s="26">
        <v>5.365384615384615</v>
      </c>
    </row>
    <row r="52" spans="1:13" ht="12.75" hidden="1" customHeight="1" x14ac:dyDescent="0.2">
      <c r="A52" s="3">
        <v>40</v>
      </c>
      <c r="B52" s="25">
        <f t="shared" ca="1" si="1"/>
        <v>6.4692966773329252E-2</v>
      </c>
      <c r="C52" s="3">
        <f t="shared" ca="1" si="2"/>
        <v>1</v>
      </c>
      <c r="D52" s="3">
        <f t="shared" ca="1" si="3"/>
        <v>4</v>
      </c>
      <c r="E52" s="3">
        <v>10</v>
      </c>
      <c r="F52" s="3">
        <f t="shared" ca="1" si="4"/>
        <v>0</v>
      </c>
      <c r="G52" s="3">
        <f t="shared" ca="1" si="5"/>
        <v>0</v>
      </c>
      <c r="H52" s="3">
        <f t="shared" ca="1" si="6"/>
        <v>0</v>
      </c>
      <c r="J52" s="3">
        <v>36</v>
      </c>
      <c r="K52" s="3">
        <v>4</v>
      </c>
      <c r="L52" s="26">
        <v>7.6923076923076927E-2</v>
      </c>
      <c r="M52" s="26">
        <v>5.4807692307692308</v>
      </c>
    </row>
    <row r="53" spans="1:13" ht="12.75" hidden="1" customHeight="1" x14ac:dyDescent="0.2">
      <c r="A53" s="3">
        <v>41</v>
      </c>
      <c r="B53" s="25">
        <f t="shared" ca="1" si="1"/>
        <v>0.46942277700022361</v>
      </c>
      <c r="C53" s="3">
        <f t="shared" ca="1" si="2"/>
        <v>4</v>
      </c>
      <c r="D53" s="3">
        <f t="shared" ca="1" si="3"/>
        <v>4</v>
      </c>
      <c r="E53" s="3">
        <v>10</v>
      </c>
      <c r="F53" s="3">
        <f t="shared" ca="1" si="4"/>
        <v>0</v>
      </c>
      <c r="G53" s="3">
        <f t="shared" ca="1" si="5"/>
        <v>0</v>
      </c>
      <c r="H53" s="3">
        <f t="shared" ca="1" si="6"/>
        <v>0</v>
      </c>
      <c r="J53" s="3">
        <v>37</v>
      </c>
      <c r="K53" s="3">
        <v>5</v>
      </c>
      <c r="L53" s="26">
        <v>9.6153846153846159E-2</v>
      </c>
      <c r="M53" s="26">
        <v>4.8461538461538458</v>
      </c>
    </row>
    <row r="54" spans="1:13" ht="12.75" hidden="1" customHeight="1" x14ac:dyDescent="0.2">
      <c r="A54" s="3">
        <v>42</v>
      </c>
      <c r="B54" s="25">
        <f t="shared" ca="1" si="1"/>
        <v>0.23536300497207674</v>
      </c>
      <c r="C54" s="3">
        <f t="shared" ca="1" si="2"/>
        <v>2</v>
      </c>
      <c r="D54" s="3">
        <f t="shared" ca="1" si="3"/>
        <v>2</v>
      </c>
      <c r="E54" s="3">
        <v>10</v>
      </c>
      <c r="F54" s="3">
        <f t="shared" ca="1" si="4"/>
        <v>0</v>
      </c>
      <c r="G54" s="3">
        <f t="shared" ca="1" si="5"/>
        <v>0</v>
      </c>
      <c r="H54" s="3">
        <f t="shared" ca="1" si="6"/>
        <v>0</v>
      </c>
      <c r="J54" s="3">
        <v>38</v>
      </c>
      <c r="K54" s="3">
        <v>7</v>
      </c>
      <c r="L54" s="26">
        <v>0.13461538461538461</v>
      </c>
      <c r="M54" s="26">
        <v>5.4807692307692308</v>
      </c>
    </row>
    <row r="55" spans="1:13" ht="12.75" hidden="1" customHeight="1" x14ac:dyDescent="0.2">
      <c r="A55" s="3">
        <v>43</v>
      </c>
      <c r="B55" s="25">
        <f t="shared" ca="1" si="1"/>
        <v>0.95505339236842635</v>
      </c>
      <c r="C55" s="3">
        <f t="shared" ca="1" si="2"/>
        <v>13</v>
      </c>
      <c r="D55" s="3">
        <f t="shared" ca="1" si="3"/>
        <v>13</v>
      </c>
      <c r="E55" s="3">
        <v>10</v>
      </c>
      <c r="F55" s="3">
        <f t="shared" ca="1" si="4"/>
        <v>3</v>
      </c>
      <c r="G55" s="3">
        <f t="shared" ca="1" si="5"/>
        <v>1</v>
      </c>
      <c r="H55" s="3">
        <f t="shared" ca="1" si="6"/>
        <v>2</v>
      </c>
      <c r="J55" s="3">
        <v>39</v>
      </c>
      <c r="K55" s="3">
        <v>7</v>
      </c>
      <c r="L55" s="26">
        <v>0.13461538461538461</v>
      </c>
      <c r="M55" s="26">
        <v>5.4423076923076925</v>
      </c>
    </row>
    <row r="56" spans="1:13" ht="12.75" hidden="1" customHeight="1" x14ac:dyDescent="0.2">
      <c r="A56" s="3">
        <v>44</v>
      </c>
      <c r="B56" s="25">
        <f t="shared" ca="1" si="1"/>
        <v>0.52484227327640809</v>
      </c>
      <c r="C56" s="3">
        <f t="shared" ca="1" si="2"/>
        <v>4</v>
      </c>
      <c r="D56" s="3">
        <f t="shared" ca="1" si="3"/>
        <v>7</v>
      </c>
      <c r="E56" s="3">
        <v>10</v>
      </c>
      <c r="F56" s="3">
        <f t="shared" ca="1" si="4"/>
        <v>0</v>
      </c>
      <c r="G56" s="3">
        <f t="shared" ca="1" si="5"/>
        <v>0</v>
      </c>
      <c r="H56" s="3">
        <f t="shared" ca="1" si="6"/>
        <v>0</v>
      </c>
      <c r="J56" s="3">
        <v>40</v>
      </c>
      <c r="K56" s="3">
        <v>10</v>
      </c>
      <c r="L56" s="26">
        <v>0.19230769230769232</v>
      </c>
      <c r="M56" s="26">
        <v>5.9038461538461542</v>
      </c>
    </row>
    <row r="57" spans="1:13" ht="12.75" hidden="1" customHeight="1" x14ac:dyDescent="0.2">
      <c r="A57" s="3">
        <v>45</v>
      </c>
      <c r="B57" s="25">
        <f t="shared" ca="1" si="1"/>
        <v>0.36994722857824769</v>
      </c>
      <c r="C57" s="3">
        <f t="shared" ca="1" si="2"/>
        <v>4</v>
      </c>
      <c r="D57" s="3">
        <f t="shared" ca="1" si="3"/>
        <v>4</v>
      </c>
      <c r="E57" s="3">
        <v>10</v>
      </c>
      <c r="F57" s="3">
        <f t="shared" ca="1" si="4"/>
        <v>0</v>
      </c>
      <c r="G57" s="3">
        <f t="shared" ca="1" si="5"/>
        <v>0</v>
      </c>
      <c r="H57" s="3">
        <f t="shared" ca="1" si="6"/>
        <v>0</v>
      </c>
      <c r="J57" s="3">
        <v>41</v>
      </c>
      <c r="K57" s="3">
        <v>2</v>
      </c>
      <c r="L57" s="26">
        <v>3.8461538461538464E-2</v>
      </c>
      <c r="M57" s="26">
        <v>4.5</v>
      </c>
    </row>
    <row r="58" spans="1:13" ht="12.75" hidden="1" customHeight="1" x14ac:dyDescent="0.2">
      <c r="A58" s="3">
        <v>46</v>
      </c>
      <c r="B58" s="25">
        <f t="shared" ca="1" si="1"/>
        <v>0.6540059752786207</v>
      </c>
      <c r="C58" s="3">
        <f t="shared" ca="1" si="2"/>
        <v>7</v>
      </c>
      <c r="D58" s="3">
        <f t="shared" ca="1" si="3"/>
        <v>7</v>
      </c>
      <c r="E58" s="3">
        <v>10</v>
      </c>
      <c r="F58" s="3">
        <f t="shared" ca="1" si="4"/>
        <v>0</v>
      </c>
      <c r="G58" s="3">
        <f t="shared" ca="1" si="5"/>
        <v>0</v>
      </c>
      <c r="H58" s="3">
        <f t="shared" ca="1" si="6"/>
        <v>0</v>
      </c>
      <c r="J58" s="3">
        <v>42</v>
      </c>
      <c r="K58" s="3">
        <v>1</v>
      </c>
      <c r="L58" s="26">
        <v>1.9230769230769232E-2</v>
      </c>
      <c r="M58" s="26">
        <v>4.6923076923076925</v>
      </c>
    </row>
    <row r="59" spans="1:13" ht="12.75" hidden="1" customHeight="1" x14ac:dyDescent="0.2">
      <c r="A59" s="3">
        <v>47</v>
      </c>
      <c r="B59" s="25">
        <f t="shared" ca="1" si="1"/>
        <v>0.16086585373540685</v>
      </c>
      <c r="C59" s="3">
        <f t="shared" ca="1" si="2"/>
        <v>2</v>
      </c>
      <c r="D59" s="3">
        <f t="shared" ca="1" si="3"/>
        <v>2</v>
      </c>
      <c r="E59" s="3">
        <v>10</v>
      </c>
      <c r="F59" s="3">
        <f t="shared" ca="1" si="4"/>
        <v>0</v>
      </c>
      <c r="G59" s="3">
        <f t="shared" ca="1" si="5"/>
        <v>0</v>
      </c>
      <c r="H59" s="3">
        <f t="shared" ca="1" si="6"/>
        <v>0</v>
      </c>
      <c r="J59" s="3">
        <v>43</v>
      </c>
      <c r="K59" s="3">
        <v>4</v>
      </c>
      <c r="L59" s="26">
        <v>7.6923076923076927E-2</v>
      </c>
      <c r="M59" s="26">
        <v>5.134615384615385</v>
      </c>
    </row>
    <row r="60" spans="1:13" x14ac:dyDescent="0.2">
      <c r="A60" s="3">
        <v>48</v>
      </c>
      <c r="B60" s="25">
        <f t="shared" ca="1" si="1"/>
        <v>0.34610185248246506</v>
      </c>
      <c r="C60" s="3">
        <f t="shared" ca="1" si="2"/>
        <v>4</v>
      </c>
      <c r="D60" s="3">
        <f t="shared" ca="1" si="3"/>
        <v>4</v>
      </c>
      <c r="E60" s="3">
        <v>10</v>
      </c>
      <c r="F60" s="3">
        <f t="shared" ca="1" si="4"/>
        <v>0</v>
      </c>
      <c r="G60" s="3">
        <f t="shared" ca="1" si="5"/>
        <v>0</v>
      </c>
      <c r="H60" s="3">
        <f t="shared" ca="1" si="6"/>
        <v>0</v>
      </c>
      <c r="J60" s="3">
        <v>44</v>
      </c>
      <c r="K60" s="3">
        <v>7</v>
      </c>
      <c r="L60" s="26">
        <v>0.13461538461538461</v>
      </c>
      <c r="M60" s="26">
        <v>5.9038461538461542</v>
      </c>
    </row>
    <row r="61" spans="1:13" x14ac:dyDescent="0.2">
      <c r="A61" s="3">
        <v>49</v>
      </c>
      <c r="B61" s="25">
        <f t="shared" ca="1" si="1"/>
        <v>0.96150915196243858</v>
      </c>
      <c r="C61" s="3">
        <f t="shared" ca="1" si="2"/>
        <v>13</v>
      </c>
      <c r="D61" s="3">
        <f t="shared" ca="1" si="3"/>
        <v>13</v>
      </c>
      <c r="E61" s="3">
        <v>10</v>
      </c>
      <c r="F61" s="3">
        <f t="shared" ca="1" si="4"/>
        <v>3</v>
      </c>
      <c r="G61" s="3">
        <f t="shared" ca="1" si="5"/>
        <v>1</v>
      </c>
      <c r="H61" s="3">
        <f t="shared" ca="1" si="6"/>
        <v>2</v>
      </c>
      <c r="J61" s="3">
        <v>45</v>
      </c>
      <c r="K61" s="3">
        <v>2</v>
      </c>
      <c r="L61" s="26">
        <v>3.8461538461538464E-2</v>
      </c>
      <c r="M61" s="26">
        <v>5</v>
      </c>
    </row>
    <row r="62" spans="1:13" x14ac:dyDescent="0.2">
      <c r="A62" s="3">
        <v>50</v>
      </c>
      <c r="B62" s="25">
        <f t="shared" ca="1" si="1"/>
        <v>0.98087976466726778</v>
      </c>
      <c r="C62" s="3">
        <f t="shared" ca="1" si="2"/>
        <v>17</v>
      </c>
      <c r="D62" s="3">
        <f t="shared" ca="1" si="3"/>
        <v>20</v>
      </c>
      <c r="E62" s="3">
        <v>10</v>
      </c>
      <c r="F62" s="3">
        <f t="shared" ca="1" si="4"/>
        <v>10</v>
      </c>
      <c r="G62" s="3">
        <f t="shared" ca="1" si="5"/>
        <v>1</v>
      </c>
      <c r="H62" s="3">
        <f t="shared" ca="1" si="6"/>
        <v>2</v>
      </c>
      <c r="J62" s="3">
        <v>46</v>
      </c>
      <c r="K62" s="3">
        <v>9</v>
      </c>
      <c r="L62" s="26">
        <v>0.17307692307692307</v>
      </c>
      <c r="M62" s="26">
        <v>5.365384615384615</v>
      </c>
    </row>
    <row r="63" spans="1:13" x14ac:dyDescent="0.2">
      <c r="A63" s="3">
        <v>51</v>
      </c>
      <c r="B63" s="25">
        <f t="shared" ca="1" si="1"/>
        <v>0.13930254396946495</v>
      </c>
      <c r="C63" s="3">
        <f t="shared" ca="1" si="2"/>
        <v>2</v>
      </c>
      <c r="D63" s="3">
        <f t="shared" ca="1" si="3"/>
        <v>12</v>
      </c>
      <c r="E63" s="3">
        <v>10</v>
      </c>
      <c r="F63" s="3">
        <f t="shared" ca="1" si="4"/>
        <v>2</v>
      </c>
      <c r="G63" s="3">
        <f t="shared" ca="1" si="5"/>
        <v>1</v>
      </c>
      <c r="H63" s="3">
        <f t="shared" ca="1" si="6"/>
        <v>2</v>
      </c>
      <c r="J63" s="3">
        <v>47</v>
      </c>
      <c r="K63" s="3">
        <v>3</v>
      </c>
      <c r="L63" s="26">
        <v>5.7692307692307696E-2</v>
      </c>
      <c r="M63" s="26">
        <v>5.2884615384615383</v>
      </c>
    </row>
    <row r="64" spans="1:13" x14ac:dyDescent="0.2">
      <c r="A64" s="3">
        <v>52</v>
      </c>
      <c r="B64" s="25">
        <f t="shared" ca="1" si="1"/>
        <v>0.33815137584875476</v>
      </c>
      <c r="C64" s="3">
        <f t="shared" ca="1" si="2"/>
        <v>4</v>
      </c>
      <c r="D64" s="3">
        <f t="shared" ca="1" si="3"/>
        <v>6</v>
      </c>
      <c r="E64" s="3">
        <v>10</v>
      </c>
      <c r="F64" s="3">
        <f t="shared" ca="1" si="4"/>
        <v>0</v>
      </c>
      <c r="G64" s="3">
        <f t="shared" ca="1" si="5"/>
        <v>0</v>
      </c>
      <c r="H64" s="3">
        <f t="shared" ca="1" si="6"/>
        <v>0</v>
      </c>
      <c r="J64" s="3">
        <v>48</v>
      </c>
      <c r="K64" s="3">
        <v>3</v>
      </c>
      <c r="L64" s="26">
        <v>5.7692307692307696E-2</v>
      </c>
      <c r="M64" s="26">
        <v>4.7884615384615383</v>
      </c>
    </row>
    <row r="65" spans="1:13" x14ac:dyDescent="0.2">
      <c r="A65" s="5"/>
      <c r="B65" s="5"/>
      <c r="C65" s="5"/>
      <c r="D65" s="31" t="s">
        <v>22</v>
      </c>
      <c r="E65" s="4"/>
      <c r="F65" s="4"/>
      <c r="G65" s="34">
        <f ca="1">COUNTIF(G13:G64,1)</f>
        <v>6</v>
      </c>
      <c r="H65" s="34"/>
      <c r="J65" s="3">
        <v>49</v>
      </c>
      <c r="K65" s="3">
        <v>8</v>
      </c>
      <c r="L65" s="26">
        <v>0.15384615384615385</v>
      </c>
      <c r="M65" s="26">
        <v>5.9230769230769234</v>
      </c>
    </row>
    <row r="66" spans="1:13" x14ac:dyDescent="0.2">
      <c r="A66" s="10"/>
      <c r="B66" s="10"/>
      <c r="C66" s="10"/>
      <c r="D66" s="32" t="s">
        <v>21</v>
      </c>
      <c r="E66" s="7"/>
      <c r="F66" s="7"/>
      <c r="G66" s="35">
        <f ca="1">G65/52</f>
        <v>0.11538461538461539</v>
      </c>
      <c r="H66" s="35"/>
      <c r="J66" s="3">
        <v>50</v>
      </c>
      <c r="K66" s="3">
        <v>5</v>
      </c>
      <c r="L66" s="26">
        <v>9.6153846153846159E-2</v>
      </c>
      <c r="M66" s="26">
        <v>4.9615384615384617</v>
      </c>
    </row>
    <row r="67" spans="1:13" ht="13.5" thickBot="1" x14ac:dyDescent="0.25">
      <c r="A67" s="6"/>
      <c r="B67" s="6"/>
      <c r="C67" s="6"/>
      <c r="D67" s="33" t="s">
        <v>26</v>
      </c>
      <c r="E67" s="6"/>
      <c r="F67" s="6"/>
      <c r="G67" s="36">
        <f ca="1">AVERAGE(C13:C64)</f>
        <v>4.9423076923076925</v>
      </c>
      <c r="H67" s="36"/>
      <c r="J67" s="3">
        <v>51</v>
      </c>
      <c r="K67" s="3">
        <v>9</v>
      </c>
      <c r="L67" s="26">
        <v>0.17307692307692307</v>
      </c>
      <c r="M67" s="26">
        <v>5.4615384615384617</v>
      </c>
    </row>
    <row r="68" spans="1:13" ht="13.5" thickTop="1" x14ac:dyDescent="0.2">
      <c r="J68" s="3">
        <v>52</v>
      </c>
      <c r="K68" s="3">
        <v>8</v>
      </c>
      <c r="L68" s="26">
        <v>0.15384615384615385</v>
      </c>
      <c r="M68" s="26">
        <v>5.4423076923076925</v>
      </c>
    </row>
    <row r="69" spans="1:13" ht="12.75" hidden="1" customHeight="1" x14ac:dyDescent="0.2">
      <c r="J69" s="3">
        <v>53</v>
      </c>
      <c r="K69" s="3">
        <v>4</v>
      </c>
      <c r="L69" s="26">
        <v>7.6923076923076927E-2</v>
      </c>
      <c r="M69" s="26">
        <v>4.5</v>
      </c>
    </row>
    <row r="70" spans="1:13" ht="12.75" hidden="1" customHeight="1" x14ac:dyDescent="0.2">
      <c r="J70" s="3">
        <v>54</v>
      </c>
      <c r="K70" s="3">
        <v>7</v>
      </c>
      <c r="L70" s="26">
        <v>0.13461538461538461</v>
      </c>
      <c r="M70" s="26">
        <v>5.134615384615385</v>
      </c>
    </row>
    <row r="71" spans="1:13" ht="12.75" hidden="1" customHeight="1" x14ac:dyDescent="0.2">
      <c r="J71" s="3">
        <v>55</v>
      </c>
      <c r="K71" s="3">
        <v>5</v>
      </c>
      <c r="L71" s="26">
        <v>9.6153846153846159E-2</v>
      </c>
      <c r="M71" s="26">
        <v>5.634615384615385</v>
      </c>
    </row>
    <row r="72" spans="1:13" ht="12.75" hidden="1" customHeight="1" x14ac:dyDescent="0.2">
      <c r="J72" s="3">
        <v>56</v>
      </c>
      <c r="K72" s="3">
        <v>10</v>
      </c>
      <c r="L72" s="26">
        <v>0.19230769230769232</v>
      </c>
      <c r="M72" s="26">
        <v>5.5769230769230766</v>
      </c>
    </row>
    <row r="73" spans="1:13" ht="12.75" hidden="1" customHeight="1" x14ac:dyDescent="0.2">
      <c r="J73" s="3">
        <v>57</v>
      </c>
      <c r="K73" s="3">
        <v>5</v>
      </c>
      <c r="L73" s="26">
        <v>9.6153846153846159E-2</v>
      </c>
      <c r="M73" s="26">
        <v>5.0192307692307692</v>
      </c>
    </row>
    <row r="74" spans="1:13" ht="12.75" hidden="1" customHeight="1" x14ac:dyDescent="0.2">
      <c r="J74" s="3">
        <v>58</v>
      </c>
      <c r="K74" s="3">
        <v>4</v>
      </c>
      <c r="L74" s="26">
        <v>7.6923076923076927E-2</v>
      </c>
      <c r="M74" s="26">
        <v>4.4423076923076925</v>
      </c>
    </row>
    <row r="75" spans="1:13" ht="12.75" hidden="1" customHeight="1" x14ac:dyDescent="0.2">
      <c r="J75" s="3">
        <v>59</v>
      </c>
      <c r="K75" s="3">
        <v>8</v>
      </c>
      <c r="L75" s="26">
        <v>0.15384615384615385</v>
      </c>
      <c r="M75" s="26">
        <v>5.3269230769230766</v>
      </c>
    </row>
    <row r="76" spans="1:13" ht="12.75" hidden="1" customHeight="1" x14ac:dyDescent="0.2">
      <c r="J76" s="3">
        <v>60</v>
      </c>
      <c r="K76" s="3">
        <v>8</v>
      </c>
      <c r="L76" s="26">
        <v>0.15384615384615385</v>
      </c>
      <c r="M76" s="26">
        <v>5.634615384615385</v>
      </c>
    </row>
    <row r="77" spans="1:13" ht="12.75" hidden="1" customHeight="1" x14ac:dyDescent="0.2">
      <c r="J77" s="3">
        <v>61</v>
      </c>
      <c r="K77" s="3">
        <v>4</v>
      </c>
      <c r="L77" s="26">
        <v>7.6923076923076927E-2</v>
      </c>
      <c r="M77" s="26">
        <v>5.2884615384615383</v>
      </c>
    </row>
    <row r="78" spans="1:13" ht="12.75" hidden="1" customHeight="1" x14ac:dyDescent="0.2">
      <c r="J78" s="3">
        <v>62</v>
      </c>
      <c r="K78" s="3">
        <v>4</v>
      </c>
      <c r="L78" s="26">
        <v>7.6923076923076927E-2</v>
      </c>
      <c r="M78" s="26">
        <v>4.7115384615384617</v>
      </c>
    </row>
    <row r="79" spans="1:13" ht="12.75" hidden="1" customHeight="1" x14ac:dyDescent="0.2">
      <c r="J79" s="3">
        <v>63</v>
      </c>
      <c r="K79" s="3">
        <v>2</v>
      </c>
      <c r="L79" s="26">
        <v>3.8461538461538464E-2</v>
      </c>
      <c r="M79" s="26">
        <v>5.1923076923076925</v>
      </c>
    </row>
    <row r="80" spans="1:13" ht="12.75" hidden="1" customHeight="1" x14ac:dyDescent="0.2">
      <c r="J80" s="3">
        <v>64</v>
      </c>
      <c r="K80" s="3">
        <v>5</v>
      </c>
      <c r="L80" s="26">
        <v>9.6153846153846159E-2</v>
      </c>
      <c r="M80" s="26">
        <v>5.3269230769230766</v>
      </c>
    </row>
    <row r="81" spans="10:13" ht="12.75" hidden="1" customHeight="1" x14ac:dyDescent="0.2">
      <c r="J81" s="3">
        <v>65</v>
      </c>
      <c r="K81" s="3">
        <v>5</v>
      </c>
      <c r="L81" s="26">
        <v>9.6153846153846159E-2</v>
      </c>
      <c r="M81" s="26">
        <v>5.3461538461538458</v>
      </c>
    </row>
    <row r="82" spans="10:13" ht="12.75" hidden="1" customHeight="1" x14ac:dyDescent="0.2">
      <c r="J82" s="3">
        <v>66</v>
      </c>
      <c r="K82" s="3">
        <v>4</v>
      </c>
      <c r="L82" s="26">
        <v>7.6923076923076927E-2</v>
      </c>
      <c r="M82" s="26">
        <v>5.3076923076923075</v>
      </c>
    </row>
    <row r="83" spans="10:13" ht="12.75" hidden="1" customHeight="1" x14ac:dyDescent="0.2">
      <c r="J83" s="3">
        <v>67</v>
      </c>
      <c r="K83" s="3">
        <v>5</v>
      </c>
      <c r="L83" s="26">
        <v>9.6153846153846159E-2</v>
      </c>
      <c r="M83" s="26">
        <v>5.134615384615385</v>
      </c>
    </row>
    <row r="84" spans="10:13" ht="12.75" hidden="1" customHeight="1" x14ac:dyDescent="0.2">
      <c r="J84" s="3">
        <v>68</v>
      </c>
      <c r="K84" s="3">
        <v>9</v>
      </c>
      <c r="L84" s="26">
        <v>0.17307692307692307</v>
      </c>
      <c r="M84" s="26">
        <v>6.2692307692307692</v>
      </c>
    </row>
    <row r="85" spans="10:13" ht="12.75" hidden="1" customHeight="1" x14ac:dyDescent="0.2">
      <c r="J85" s="3">
        <v>69</v>
      </c>
      <c r="K85" s="3">
        <v>5</v>
      </c>
      <c r="L85" s="26">
        <v>9.6153846153846159E-2</v>
      </c>
      <c r="M85" s="26">
        <v>5.0769230769230766</v>
      </c>
    </row>
    <row r="86" spans="10:13" ht="12.75" hidden="1" customHeight="1" x14ac:dyDescent="0.2">
      <c r="J86" s="3">
        <v>70</v>
      </c>
      <c r="K86" s="3">
        <v>11</v>
      </c>
      <c r="L86" s="26">
        <v>0.21153846153846154</v>
      </c>
      <c r="M86" s="26">
        <v>6.1538461538461542</v>
      </c>
    </row>
    <row r="87" spans="10:13" ht="12.75" hidden="1" customHeight="1" x14ac:dyDescent="0.2">
      <c r="J87" s="3">
        <v>71</v>
      </c>
      <c r="K87" s="3">
        <v>4</v>
      </c>
      <c r="L87" s="26">
        <v>7.6923076923076927E-2</v>
      </c>
      <c r="M87" s="26">
        <v>5.2307692307692308</v>
      </c>
    </row>
    <row r="88" spans="10:13" ht="12.75" hidden="1" customHeight="1" x14ac:dyDescent="0.2">
      <c r="J88" s="3">
        <v>72</v>
      </c>
      <c r="K88" s="3">
        <v>4</v>
      </c>
      <c r="L88" s="26">
        <v>7.6923076923076927E-2</v>
      </c>
      <c r="M88" s="26">
        <v>5.3076923076923075</v>
      </c>
    </row>
    <row r="89" spans="10:13" ht="12.75" hidden="1" customHeight="1" x14ac:dyDescent="0.2">
      <c r="J89" s="3">
        <v>73</v>
      </c>
      <c r="K89" s="3">
        <v>7</v>
      </c>
      <c r="L89" s="26">
        <v>0.13461538461538461</v>
      </c>
      <c r="M89" s="26">
        <v>5.5384615384615383</v>
      </c>
    </row>
    <row r="90" spans="10:13" ht="12.75" hidden="1" customHeight="1" x14ac:dyDescent="0.2">
      <c r="J90" s="3">
        <v>74</v>
      </c>
      <c r="K90" s="3">
        <v>11</v>
      </c>
      <c r="L90" s="26">
        <v>0.21153846153846154</v>
      </c>
      <c r="M90" s="26">
        <v>6.4038461538461542</v>
      </c>
    </row>
    <row r="91" spans="10:13" ht="12.75" hidden="1" customHeight="1" x14ac:dyDescent="0.2">
      <c r="J91" s="3">
        <v>75</v>
      </c>
      <c r="K91" s="3">
        <v>6</v>
      </c>
      <c r="L91" s="26">
        <v>0.11538461538461539</v>
      </c>
      <c r="M91" s="26">
        <v>4.9423076923076925</v>
      </c>
    </row>
    <row r="92" spans="10:13" ht="12.75" hidden="1" customHeight="1" x14ac:dyDescent="0.2">
      <c r="J92" s="3">
        <v>76</v>
      </c>
      <c r="K92" s="3">
        <v>5</v>
      </c>
      <c r="L92" s="26">
        <v>9.6153846153846159E-2</v>
      </c>
      <c r="M92" s="26">
        <v>5.2307692307692308</v>
      </c>
    </row>
    <row r="93" spans="10:13" ht="12.75" hidden="1" customHeight="1" x14ac:dyDescent="0.2">
      <c r="J93" s="3">
        <v>77</v>
      </c>
      <c r="K93" s="3">
        <v>5</v>
      </c>
      <c r="L93" s="26">
        <v>9.6153846153846159E-2</v>
      </c>
      <c r="M93" s="26">
        <v>5.5192307692307692</v>
      </c>
    </row>
    <row r="94" spans="10:13" ht="12.75" hidden="1" customHeight="1" x14ac:dyDescent="0.2">
      <c r="J94" s="3">
        <v>78</v>
      </c>
      <c r="K94" s="3">
        <v>5</v>
      </c>
      <c r="L94" s="26">
        <v>9.6153846153846159E-2</v>
      </c>
      <c r="M94" s="26">
        <v>5.4230769230769234</v>
      </c>
    </row>
    <row r="95" spans="10:13" ht="12.75" hidden="1" customHeight="1" x14ac:dyDescent="0.2">
      <c r="J95" s="3">
        <v>79</v>
      </c>
      <c r="K95" s="3">
        <v>6</v>
      </c>
      <c r="L95" s="26">
        <v>0.11538461538461539</v>
      </c>
      <c r="M95" s="26">
        <v>5.5576923076923075</v>
      </c>
    </row>
    <row r="96" spans="10:13" ht="12.75" hidden="1" customHeight="1" x14ac:dyDescent="0.2">
      <c r="J96" s="3">
        <v>80</v>
      </c>
      <c r="K96" s="3">
        <v>2</v>
      </c>
      <c r="L96" s="26">
        <v>3.8461538461538464E-2</v>
      </c>
      <c r="M96" s="26">
        <v>4.634615384615385</v>
      </c>
    </row>
    <row r="97" spans="10:13" ht="12.75" hidden="1" customHeight="1" x14ac:dyDescent="0.2">
      <c r="J97" s="3">
        <v>81</v>
      </c>
      <c r="K97" s="3">
        <v>5</v>
      </c>
      <c r="L97" s="26">
        <v>9.6153846153846159E-2</v>
      </c>
      <c r="M97" s="26">
        <v>5.0576923076923075</v>
      </c>
    </row>
    <row r="98" spans="10:13" ht="12.75" hidden="1" customHeight="1" x14ac:dyDescent="0.2">
      <c r="J98" s="3">
        <v>82</v>
      </c>
      <c r="K98" s="3">
        <v>10</v>
      </c>
      <c r="L98" s="26">
        <v>0.19230769230769232</v>
      </c>
      <c r="M98" s="26">
        <v>5.6923076923076925</v>
      </c>
    </row>
    <row r="99" spans="10:13" ht="12.75" hidden="1" customHeight="1" x14ac:dyDescent="0.2">
      <c r="J99" s="3">
        <v>83</v>
      </c>
      <c r="K99" s="3">
        <v>4</v>
      </c>
      <c r="L99" s="26">
        <v>7.6923076923076927E-2</v>
      </c>
      <c r="M99" s="26">
        <v>5.4423076923076925</v>
      </c>
    </row>
    <row r="100" spans="10:13" ht="12.75" hidden="1" customHeight="1" x14ac:dyDescent="0.2">
      <c r="J100" s="3">
        <v>84</v>
      </c>
      <c r="K100" s="3">
        <v>9</v>
      </c>
      <c r="L100" s="26">
        <v>0.17307692307692307</v>
      </c>
      <c r="M100" s="26">
        <v>5.4230769230769234</v>
      </c>
    </row>
    <row r="101" spans="10:13" ht="12.75" hidden="1" customHeight="1" x14ac:dyDescent="0.2">
      <c r="J101" s="3">
        <v>85</v>
      </c>
      <c r="K101" s="3">
        <v>6</v>
      </c>
      <c r="L101" s="26">
        <v>0.11538461538461539</v>
      </c>
      <c r="M101" s="26">
        <v>4.9230769230769234</v>
      </c>
    </row>
    <row r="102" spans="10:13" ht="12.75" hidden="1" customHeight="1" x14ac:dyDescent="0.2">
      <c r="J102" s="3">
        <v>86</v>
      </c>
      <c r="K102" s="3">
        <v>8</v>
      </c>
      <c r="L102" s="26">
        <v>0.15384615384615385</v>
      </c>
      <c r="M102" s="26">
        <v>5.8269230769230766</v>
      </c>
    </row>
    <row r="103" spans="10:13" ht="12.75" hidden="1" customHeight="1" x14ac:dyDescent="0.2">
      <c r="J103" s="3">
        <v>87</v>
      </c>
      <c r="K103" s="3">
        <v>6</v>
      </c>
      <c r="L103" s="26">
        <v>0.11538461538461539</v>
      </c>
      <c r="M103" s="26">
        <v>6.115384615384615</v>
      </c>
    </row>
    <row r="104" spans="10:13" ht="12.75" hidden="1" customHeight="1" x14ac:dyDescent="0.2">
      <c r="J104" s="3">
        <v>88</v>
      </c>
      <c r="K104" s="3">
        <v>6</v>
      </c>
      <c r="L104" s="26">
        <v>0.11538461538461539</v>
      </c>
      <c r="M104" s="26">
        <v>4.7692307692307692</v>
      </c>
    </row>
    <row r="105" spans="10:13" ht="12.75" hidden="1" customHeight="1" x14ac:dyDescent="0.2">
      <c r="J105" s="3">
        <v>89</v>
      </c>
      <c r="K105" s="3">
        <v>6</v>
      </c>
      <c r="L105" s="26">
        <v>0.11538461538461539</v>
      </c>
      <c r="M105" s="26">
        <v>4.9807692307692308</v>
      </c>
    </row>
    <row r="106" spans="10:13" ht="12.75" hidden="1" customHeight="1" x14ac:dyDescent="0.2">
      <c r="J106" s="3">
        <v>90</v>
      </c>
      <c r="K106" s="3">
        <v>4</v>
      </c>
      <c r="L106" s="26">
        <v>7.6923076923076927E-2</v>
      </c>
      <c r="M106" s="26">
        <v>5.3461538461538458</v>
      </c>
    </row>
    <row r="107" spans="10:13" ht="12.75" hidden="1" customHeight="1" x14ac:dyDescent="0.2">
      <c r="J107" s="3">
        <v>91</v>
      </c>
      <c r="K107" s="3">
        <v>6</v>
      </c>
      <c r="L107" s="26">
        <v>0.11538461538461539</v>
      </c>
      <c r="M107" s="26">
        <v>5.1538461538461542</v>
      </c>
    </row>
    <row r="108" spans="10:13" ht="12.75" hidden="1" customHeight="1" x14ac:dyDescent="0.2">
      <c r="J108" s="3">
        <v>92</v>
      </c>
      <c r="K108" s="3">
        <v>2</v>
      </c>
      <c r="L108" s="26">
        <v>3.8461538461538464E-2</v>
      </c>
      <c r="M108" s="26">
        <v>4</v>
      </c>
    </row>
    <row r="109" spans="10:13" ht="12.75" hidden="1" customHeight="1" x14ac:dyDescent="0.2">
      <c r="J109" s="3">
        <v>93</v>
      </c>
      <c r="K109" s="3">
        <v>7</v>
      </c>
      <c r="L109" s="26">
        <v>0.13461538461538461</v>
      </c>
      <c r="M109" s="26">
        <v>5.384615384615385</v>
      </c>
    </row>
    <row r="110" spans="10:13" ht="12.75" hidden="1" customHeight="1" x14ac:dyDescent="0.2">
      <c r="J110" s="3">
        <v>94</v>
      </c>
      <c r="K110" s="3">
        <v>1</v>
      </c>
      <c r="L110" s="26">
        <v>1.9230769230769232E-2</v>
      </c>
      <c r="M110" s="26">
        <v>4.9807692307692308</v>
      </c>
    </row>
    <row r="111" spans="10:13" ht="12.75" hidden="1" customHeight="1" x14ac:dyDescent="0.2">
      <c r="J111" s="3">
        <v>95</v>
      </c>
      <c r="K111" s="3">
        <v>5</v>
      </c>
      <c r="L111" s="26">
        <v>9.6153846153846159E-2</v>
      </c>
      <c r="M111" s="26">
        <v>5.4807692307692308</v>
      </c>
    </row>
    <row r="112" spans="10:13" ht="12.75" hidden="1" customHeight="1" x14ac:dyDescent="0.2">
      <c r="J112" s="3">
        <v>96</v>
      </c>
      <c r="K112" s="3">
        <v>6</v>
      </c>
      <c r="L112" s="26">
        <v>0.11538461538461539</v>
      </c>
      <c r="M112" s="26">
        <v>6.0961538461538458</v>
      </c>
    </row>
    <row r="113" spans="4:13" ht="12.75" hidden="1" customHeight="1" x14ac:dyDescent="0.2">
      <c r="J113" s="3">
        <v>97</v>
      </c>
      <c r="K113" s="3">
        <v>11</v>
      </c>
      <c r="L113" s="26">
        <v>0.21153846153846154</v>
      </c>
      <c r="M113" s="26">
        <v>6.0192307692307692</v>
      </c>
    </row>
    <row r="114" spans="4:13" x14ac:dyDescent="0.2">
      <c r="D114" s="7"/>
      <c r="E114" s="7"/>
      <c r="F114" s="7"/>
      <c r="G114" s="8"/>
      <c r="J114" s="3">
        <v>98</v>
      </c>
      <c r="K114" s="3">
        <v>3</v>
      </c>
      <c r="L114" s="26">
        <v>5.7692307692307696E-2</v>
      </c>
      <c r="M114" s="26">
        <v>4.3461538461538458</v>
      </c>
    </row>
    <row r="115" spans="4:13" x14ac:dyDescent="0.2">
      <c r="D115" s="7"/>
      <c r="E115" s="7"/>
      <c r="F115" s="7"/>
      <c r="G115" s="9"/>
      <c r="J115" s="3">
        <v>99</v>
      </c>
      <c r="K115" s="3">
        <v>8</v>
      </c>
      <c r="L115" s="26">
        <v>0.15384615384615385</v>
      </c>
      <c r="M115" s="26">
        <v>6.134615384615385</v>
      </c>
    </row>
    <row r="116" spans="4:13" x14ac:dyDescent="0.2">
      <c r="J116" s="2">
        <v>100</v>
      </c>
      <c r="K116" s="2">
        <v>6</v>
      </c>
      <c r="L116" s="27">
        <v>0.11538461538461539</v>
      </c>
      <c r="M116" s="27">
        <v>5.4807692307692308</v>
      </c>
    </row>
  </sheetData>
  <mergeCells count="3">
    <mergeCell ref="A1:N1"/>
    <mergeCell ref="A2:N2"/>
    <mergeCell ref="J14:M14"/>
  </mergeCells>
  <pageMargins left="0.75" right="0.53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"/>
  <sheetViews>
    <sheetView workbookViewId="0">
      <selection sqref="A1:N1"/>
    </sheetView>
  </sheetViews>
  <sheetFormatPr defaultRowHeight="12.75" x14ac:dyDescent="0.2"/>
  <cols>
    <col min="1" max="1" width="9.5703125" customWidth="1"/>
    <col min="2" max="10" width="10.7109375" customWidth="1"/>
    <col min="11" max="11" width="18.5703125" customWidth="1"/>
    <col min="12" max="12" width="9.5703125" customWidth="1"/>
    <col min="13" max="13" width="14.5703125" customWidth="1"/>
  </cols>
  <sheetData>
    <row r="1" spans="1:14" ht="18" x14ac:dyDescent="0.25">
      <c r="A1" s="48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75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2">
      <c r="B4" s="29"/>
      <c r="C4" s="29" t="s">
        <v>32</v>
      </c>
      <c r="D4" s="3">
        <v>6</v>
      </c>
      <c r="E4" s="3"/>
      <c r="F4" s="3"/>
      <c r="G4" s="3"/>
      <c r="H4" s="3"/>
      <c r="I4" s="3"/>
    </row>
    <row r="5" spans="1:14" x14ac:dyDescent="0.2">
      <c r="B5" s="29"/>
      <c r="C5" s="29" t="s">
        <v>33</v>
      </c>
      <c r="D5" s="3">
        <v>2</v>
      </c>
      <c r="E5" s="3"/>
      <c r="F5" s="3"/>
      <c r="G5" s="3"/>
      <c r="H5" s="3"/>
      <c r="I5" s="3"/>
    </row>
    <row r="6" spans="1:14" x14ac:dyDescent="0.2">
      <c r="B6" s="29"/>
      <c r="C6" s="29" t="s">
        <v>34</v>
      </c>
      <c r="D6" s="25">
        <f>1-_xlfn.NORM.DIST(8,D4,D5,TRUE)</f>
        <v>0.15865525393145696</v>
      </c>
      <c r="E6" s="3"/>
      <c r="F6" s="3"/>
      <c r="G6" s="3"/>
      <c r="H6" s="3"/>
      <c r="I6" s="3"/>
    </row>
    <row r="7" spans="1:14" ht="13.5" thickBot="1" x14ac:dyDescent="0.25">
      <c r="B7" s="1"/>
    </row>
    <row r="8" spans="1:14" x14ac:dyDescent="0.2">
      <c r="A8" s="3"/>
      <c r="B8" s="3"/>
      <c r="C8" s="3"/>
      <c r="D8" s="30" t="s">
        <v>7</v>
      </c>
      <c r="E8" s="3"/>
      <c r="F8" s="30" t="s">
        <v>18</v>
      </c>
      <c r="G8" s="30" t="s">
        <v>20</v>
      </c>
      <c r="I8" s="22">
        <f>AVERAGE(M16:M115)</f>
        <v>5.97810863570571</v>
      </c>
      <c r="J8" s="11" t="s">
        <v>27</v>
      </c>
      <c r="K8" s="41"/>
      <c r="L8" s="41"/>
      <c r="M8" s="41"/>
      <c r="N8" s="12"/>
    </row>
    <row r="9" spans="1:14" x14ac:dyDescent="0.2">
      <c r="A9" s="3"/>
      <c r="B9" s="3"/>
      <c r="C9" s="30" t="s">
        <v>4</v>
      </c>
      <c r="D9" s="30" t="s">
        <v>8</v>
      </c>
      <c r="E9" s="30" t="s">
        <v>9</v>
      </c>
      <c r="F9" s="30" t="s">
        <v>10</v>
      </c>
      <c r="G9" s="30" t="s">
        <v>14</v>
      </c>
      <c r="I9" s="23">
        <f>AVERAGE(K16:K115)</f>
        <v>10.5</v>
      </c>
      <c r="J9" s="13" t="s">
        <v>29</v>
      </c>
      <c r="K9" s="14"/>
      <c r="L9" s="10"/>
      <c r="M9" s="10"/>
      <c r="N9" s="15"/>
    </row>
    <row r="10" spans="1:14" x14ac:dyDescent="0.2">
      <c r="A10" s="37" t="s">
        <v>3</v>
      </c>
      <c r="B10" s="37" t="s">
        <v>6</v>
      </c>
      <c r="C10" s="37" t="s">
        <v>5</v>
      </c>
      <c r="D10" s="37" t="s">
        <v>5</v>
      </c>
      <c r="E10" s="37" t="s">
        <v>12</v>
      </c>
      <c r="F10" s="37" t="s">
        <v>11</v>
      </c>
      <c r="G10" s="37" t="s">
        <v>17</v>
      </c>
      <c r="I10" s="42">
        <f>I9/52</f>
        <v>0.20192307692307693</v>
      </c>
      <c r="J10" s="40" t="s">
        <v>30</v>
      </c>
      <c r="K10" s="10"/>
      <c r="L10" s="10"/>
      <c r="M10" s="10"/>
      <c r="N10" s="15"/>
    </row>
    <row r="11" spans="1:14" ht="13.5" thickBot="1" x14ac:dyDescent="0.25">
      <c r="A11" s="3"/>
      <c r="B11" s="3"/>
      <c r="C11" s="3"/>
      <c r="D11" s="3"/>
      <c r="E11" s="3"/>
      <c r="F11" s="3"/>
      <c r="G11" s="3"/>
      <c r="I11" s="24">
        <f>AVERAGE(L16:L115)*100</f>
        <v>20.192307692307679</v>
      </c>
      <c r="J11" s="16" t="s">
        <v>31</v>
      </c>
      <c r="K11" s="43"/>
      <c r="L11" s="17"/>
      <c r="M11" s="17"/>
      <c r="N11" s="18"/>
    </row>
    <row r="12" spans="1:14" x14ac:dyDescent="0.2">
      <c r="A12" s="3">
        <v>1</v>
      </c>
      <c r="B12" s="25">
        <f ca="1">RAND()</f>
        <v>0.87409983081706621</v>
      </c>
      <c r="C12" s="26">
        <f ca="1">MAX(_xlfn.NORM.INV(B12,D$4,D$5),0)</f>
        <v>8.2919749315254609</v>
      </c>
      <c r="D12" s="26">
        <f ca="1">C12+F11</f>
        <v>8.2919749315254609</v>
      </c>
      <c r="E12" s="3">
        <v>8</v>
      </c>
      <c r="F12" s="26">
        <f ca="1">IF(D12&gt;E12,D12-E12,0)</f>
        <v>0.29197493152546095</v>
      </c>
      <c r="G12" s="3">
        <f ca="1">IF(F12&gt;0,1,0)</f>
        <v>1</v>
      </c>
      <c r="I12" s="39"/>
      <c r="J12" s="13"/>
      <c r="K12" s="14"/>
      <c r="L12" s="10"/>
    </row>
    <row r="13" spans="1:14" x14ac:dyDescent="0.2">
      <c r="A13" s="3">
        <v>2</v>
      </c>
      <c r="B13" s="25">
        <f t="shared" ref="B13:B63" ca="1" si="0">RAND()</f>
        <v>0.45700456432438108</v>
      </c>
      <c r="C13" s="26">
        <f t="shared" ref="C13:C63" ca="1" si="1">MAX(_xlfn.NORM.INV(B13,D$4,D$5),0)</f>
        <v>5.7840338771214581</v>
      </c>
      <c r="D13" s="26">
        <f t="shared" ref="D13:D63" ca="1" si="2">C13+F12</f>
        <v>6.0760088086469191</v>
      </c>
      <c r="E13" s="3">
        <v>8</v>
      </c>
      <c r="F13" s="26">
        <f t="shared" ref="F13:F63" ca="1" si="3">IF(D13&gt;E13,D13-E13,0)</f>
        <v>0</v>
      </c>
      <c r="G13" s="3">
        <f t="shared" ref="G13:G63" ca="1" si="4">IF(F13&gt;0,1,0)</f>
        <v>0</v>
      </c>
      <c r="J13" s="47" t="s">
        <v>24</v>
      </c>
      <c r="K13" s="47"/>
      <c r="L13" s="47"/>
      <c r="M13" s="47"/>
    </row>
    <row r="14" spans="1:14" x14ac:dyDescent="0.2">
      <c r="A14" s="3">
        <v>3</v>
      </c>
      <c r="B14" s="25">
        <f t="shared" ca="1" si="0"/>
        <v>0.17931132689686591</v>
      </c>
      <c r="C14" s="26">
        <f t="shared" ca="1" si="1"/>
        <v>4.1640144705853768</v>
      </c>
      <c r="D14" s="26">
        <f t="shared" ca="1" si="2"/>
        <v>4.1640144705853768</v>
      </c>
      <c r="E14" s="3">
        <v>8</v>
      </c>
      <c r="F14" s="26">
        <f t="shared" ca="1" si="3"/>
        <v>0</v>
      </c>
      <c r="G14" s="3">
        <f t="shared" ca="1" si="4"/>
        <v>0</v>
      </c>
      <c r="J14" s="37" t="s">
        <v>16</v>
      </c>
      <c r="K14" s="37" t="s">
        <v>23</v>
      </c>
      <c r="L14" s="37" t="s">
        <v>15</v>
      </c>
      <c r="M14" s="37" t="s">
        <v>25</v>
      </c>
    </row>
    <row r="15" spans="1:14" x14ac:dyDescent="0.2">
      <c r="A15" s="3">
        <v>4</v>
      </c>
      <c r="B15" s="25">
        <f t="shared" ca="1" si="0"/>
        <v>0.37288364706850186</v>
      </c>
      <c r="C15" s="26">
        <f t="shared" ca="1" si="1"/>
        <v>5.3515489376586887</v>
      </c>
      <c r="D15" s="26">
        <f t="shared" ca="1" si="2"/>
        <v>5.3515489376586887</v>
      </c>
      <c r="E15" s="3">
        <v>8</v>
      </c>
      <c r="F15" s="26">
        <f t="shared" ca="1" si="3"/>
        <v>0</v>
      </c>
      <c r="G15" s="3">
        <f t="shared" ca="1" si="4"/>
        <v>0</v>
      </c>
      <c r="J15" s="3"/>
      <c r="K15" s="3">
        <f ca="1">G64</f>
        <v>7</v>
      </c>
      <c r="L15" s="26">
        <f ca="1">G65</f>
        <v>0.13461538461538461</v>
      </c>
      <c r="M15" s="26">
        <f ca="1">G66</f>
        <v>5.7632760406599539</v>
      </c>
    </row>
    <row r="16" spans="1:14" x14ac:dyDescent="0.2">
      <c r="A16" s="3">
        <v>5</v>
      </c>
      <c r="B16" s="25">
        <f t="shared" ca="1" si="0"/>
        <v>0.93463056132965161</v>
      </c>
      <c r="C16" s="26">
        <f t="shared" ca="1" si="1"/>
        <v>9.0223892038007492</v>
      </c>
      <c r="D16" s="26">
        <f t="shared" ca="1" si="2"/>
        <v>9.0223892038007492</v>
      </c>
      <c r="E16" s="3">
        <v>8</v>
      </c>
      <c r="F16" s="26">
        <f t="shared" ca="1" si="3"/>
        <v>1.0223892038007492</v>
      </c>
      <c r="G16" s="3">
        <f t="shared" ca="1" si="4"/>
        <v>1</v>
      </c>
      <c r="J16" s="3">
        <v>1</v>
      </c>
      <c r="K16" s="3">
        <f t="dataTable" ref="K16:M115" dt2D="0" dtr="0" r1="I13" ca="1"/>
        <v>13</v>
      </c>
      <c r="L16" s="26">
        <v>0.25</v>
      </c>
      <c r="M16" s="26">
        <v>6.342695025661242</v>
      </c>
    </row>
    <row r="17" spans="1:13" x14ac:dyDescent="0.2">
      <c r="A17" s="3">
        <v>6</v>
      </c>
      <c r="B17" s="25">
        <f t="shared" ca="1" si="0"/>
        <v>0.40998151202467403</v>
      </c>
      <c r="C17" s="26">
        <f t="shared" ca="1" si="1"/>
        <v>5.5448149304492684</v>
      </c>
      <c r="D17" s="26">
        <f t="shared" ca="1" si="2"/>
        <v>6.5672041342500176</v>
      </c>
      <c r="E17" s="3">
        <v>8</v>
      </c>
      <c r="F17" s="26">
        <f t="shared" ca="1" si="3"/>
        <v>0</v>
      </c>
      <c r="G17" s="3">
        <f t="shared" ca="1" si="4"/>
        <v>0</v>
      </c>
      <c r="J17" s="3">
        <v>2</v>
      </c>
      <c r="K17" s="3">
        <v>5</v>
      </c>
      <c r="L17" s="26">
        <v>9.6153846153846159E-2</v>
      </c>
      <c r="M17" s="26">
        <v>5.7249831003776812</v>
      </c>
    </row>
    <row r="18" spans="1:13" x14ac:dyDescent="0.2">
      <c r="A18" s="3">
        <v>7</v>
      </c>
      <c r="B18" s="25">
        <f t="shared" ca="1" si="0"/>
        <v>0.80054025164507858</v>
      </c>
      <c r="C18" s="26">
        <f t="shared" ca="1" si="1"/>
        <v>7.6871050722354823</v>
      </c>
      <c r="D18" s="26">
        <f t="shared" ca="1" si="2"/>
        <v>7.6871050722354823</v>
      </c>
      <c r="E18" s="3">
        <v>8</v>
      </c>
      <c r="F18" s="26">
        <f t="shared" ca="1" si="3"/>
        <v>0</v>
      </c>
      <c r="G18" s="3">
        <f t="shared" ca="1" si="4"/>
        <v>0</v>
      </c>
      <c r="J18" s="3">
        <v>3</v>
      </c>
      <c r="K18" s="3">
        <v>8</v>
      </c>
      <c r="L18" s="26">
        <v>0.15384615384615385</v>
      </c>
      <c r="M18" s="26">
        <v>5.9127921291441172</v>
      </c>
    </row>
    <row r="19" spans="1:13" x14ac:dyDescent="0.2">
      <c r="A19" s="3">
        <v>8</v>
      </c>
      <c r="B19" s="25">
        <f t="shared" ca="1" si="0"/>
        <v>0.90794030771332701</v>
      </c>
      <c r="C19" s="26">
        <f t="shared" ca="1" si="1"/>
        <v>8.6563555510490637</v>
      </c>
      <c r="D19" s="26">
        <f t="shared" ca="1" si="2"/>
        <v>8.6563555510490637</v>
      </c>
      <c r="E19" s="3">
        <v>8</v>
      </c>
      <c r="F19" s="26">
        <f t="shared" ca="1" si="3"/>
        <v>0.65635555104906373</v>
      </c>
      <c r="G19" s="3">
        <f t="shared" ca="1" si="4"/>
        <v>1</v>
      </c>
      <c r="J19" s="3">
        <v>4</v>
      </c>
      <c r="K19" s="3">
        <v>7</v>
      </c>
      <c r="L19" s="26">
        <v>0.13461538461538461</v>
      </c>
      <c r="M19" s="26">
        <v>6.0330603294405023</v>
      </c>
    </row>
    <row r="20" spans="1:13" x14ac:dyDescent="0.2">
      <c r="A20" s="3">
        <v>9</v>
      </c>
      <c r="B20" s="25">
        <f t="shared" ca="1" si="0"/>
        <v>0.56887760358954653</v>
      </c>
      <c r="C20" s="26">
        <f t="shared" ca="1" si="1"/>
        <v>6.3470346963878059</v>
      </c>
      <c r="D20" s="26">
        <f t="shared" ca="1" si="2"/>
        <v>7.0033902474368697</v>
      </c>
      <c r="E20" s="3">
        <v>8</v>
      </c>
      <c r="F20" s="26">
        <f t="shared" ca="1" si="3"/>
        <v>0</v>
      </c>
      <c r="G20" s="3">
        <f t="shared" ca="1" si="4"/>
        <v>0</v>
      </c>
      <c r="J20" s="3">
        <v>5</v>
      </c>
      <c r="K20" s="3">
        <v>7</v>
      </c>
      <c r="L20" s="26">
        <v>0.13461538461538461</v>
      </c>
      <c r="M20" s="26">
        <v>6.1054242585568419</v>
      </c>
    </row>
    <row r="21" spans="1:13" x14ac:dyDescent="0.2">
      <c r="A21" s="3">
        <v>10</v>
      </c>
      <c r="B21" s="25">
        <f t="shared" ca="1" si="0"/>
        <v>0.74014012847640065</v>
      </c>
      <c r="C21" s="26">
        <f t="shared" ca="1" si="1"/>
        <v>7.2875549475705803</v>
      </c>
      <c r="D21" s="26">
        <f t="shared" ca="1" si="2"/>
        <v>7.2875549475705803</v>
      </c>
      <c r="E21" s="3">
        <v>8</v>
      </c>
      <c r="F21" s="26">
        <f t="shared" ca="1" si="3"/>
        <v>0</v>
      </c>
      <c r="G21" s="3">
        <f t="shared" ca="1" si="4"/>
        <v>0</v>
      </c>
      <c r="J21" s="3">
        <v>6</v>
      </c>
      <c r="K21" s="3">
        <v>12</v>
      </c>
      <c r="L21" s="26">
        <v>0.23076923076923078</v>
      </c>
      <c r="M21" s="26">
        <v>5.938370620251618</v>
      </c>
    </row>
    <row r="22" spans="1:13" ht="12.75" hidden="1" customHeight="1" x14ac:dyDescent="0.2">
      <c r="A22" s="3">
        <v>11</v>
      </c>
      <c r="B22" s="25">
        <f t="shared" ca="1" si="0"/>
        <v>0.46923378536158789</v>
      </c>
      <c r="C22" s="26">
        <f t="shared" ca="1" si="1"/>
        <v>5.8456078668338911</v>
      </c>
      <c r="D22" s="26">
        <f t="shared" ca="1" si="2"/>
        <v>5.8456078668338911</v>
      </c>
      <c r="E22" s="3">
        <v>8</v>
      </c>
      <c r="F22" s="26">
        <f t="shared" ca="1" si="3"/>
        <v>0</v>
      </c>
      <c r="G22" s="3">
        <f t="shared" ca="1" si="4"/>
        <v>0</v>
      </c>
      <c r="J22" s="3">
        <v>7</v>
      </c>
      <c r="K22" s="3">
        <v>10</v>
      </c>
      <c r="L22" s="26">
        <v>0.19230769230769232</v>
      </c>
      <c r="M22" s="26">
        <v>6.1704431123760006</v>
      </c>
    </row>
    <row r="23" spans="1:13" ht="12.75" hidden="1" customHeight="1" x14ac:dyDescent="0.2">
      <c r="A23" s="3">
        <v>12</v>
      </c>
      <c r="B23" s="25">
        <f t="shared" ca="1" si="0"/>
        <v>0.87962730806194578</v>
      </c>
      <c r="C23" s="26">
        <f t="shared" ca="1" si="1"/>
        <v>8.3462514893775275</v>
      </c>
      <c r="D23" s="26">
        <f t="shared" ca="1" si="2"/>
        <v>8.3462514893775275</v>
      </c>
      <c r="E23" s="3">
        <v>8</v>
      </c>
      <c r="F23" s="26">
        <f t="shared" ca="1" si="3"/>
        <v>0.34625148937752748</v>
      </c>
      <c r="G23" s="3">
        <f t="shared" ca="1" si="4"/>
        <v>1</v>
      </c>
      <c r="J23" s="3">
        <v>8</v>
      </c>
      <c r="K23" s="3">
        <v>10</v>
      </c>
      <c r="L23" s="26">
        <v>0.19230769230769232</v>
      </c>
      <c r="M23" s="26">
        <v>5.8455368959240852</v>
      </c>
    </row>
    <row r="24" spans="1:13" ht="12.75" hidden="1" customHeight="1" x14ac:dyDescent="0.2">
      <c r="A24" s="3">
        <v>13</v>
      </c>
      <c r="B24" s="25">
        <f t="shared" ca="1" si="0"/>
        <v>0.14891634960722844</v>
      </c>
      <c r="C24" s="26">
        <f t="shared" ca="1" si="1"/>
        <v>3.9178153411850634</v>
      </c>
      <c r="D24" s="26">
        <f t="shared" ca="1" si="2"/>
        <v>4.2640668305625908</v>
      </c>
      <c r="E24" s="3">
        <v>8</v>
      </c>
      <c r="F24" s="26">
        <f t="shared" ca="1" si="3"/>
        <v>0</v>
      </c>
      <c r="G24" s="3">
        <f t="shared" ca="1" si="4"/>
        <v>0</v>
      </c>
      <c r="J24" s="3">
        <v>9</v>
      </c>
      <c r="K24" s="3">
        <v>14</v>
      </c>
      <c r="L24" s="26">
        <v>0.26923076923076922</v>
      </c>
      <c r="M24" s="26">
        <v>6.2264776534478496</v>
      </c>
    </row>
    <row r="25" spans="1:13" ht="12.75" hidden="1" customHeight="1" x14ac:dyDescent="0.2">
      <c r="A25" s="3">
        <v>14</v>
      </c>
      <c r="B25" s="25">
        <f t="shared" ca="1" si="0"/>
        <v>0.3731203865829078</v>
      </c>
      <c r="C25" s="26">
        <f t="shared" ca="1" si="1"/>
        <v>5.3527996967688658</v>
      </c>
      <c r="D25" s="26">
        <f t="shared" ca="1" si="2"/>
        <v>5.3527996967688658</v>
      </c>
      <c r="E25" s="3">
        <v>8</v>
      </c>
      <c r="F25" s="26">
        <f t="shared" ca="1" si="3"/>
        <v>0</v>
      </c>
      <c r="G25" s="3">
        <f t="shared" ca="1" si="4"/>
        <v>0</v>
      </c>
      <c r="J25" s="3">
        <v>10</v>
      </c>
      <c r="K25" s="3">
        <v>12</v>
      </c>
      <c r="L25" s="26">
        <v>0.23076923076923078</v>
      </c>
      <c r="M25" s="26">
        <v>5.9192738256319517</v>
      </c>
    </row>
    <row r="26" spans="1:13" ht="12.75" hidden="1" customHeight="1" x14ac:dyDescent="0.2">
      <c r="A26" s="3">
        <v>15</v>
      </c>
      <c r="B26" s="25">
        <f t="shared" ca="1" si="0"/>
        <v>1.1486551336563622E-2</v>
      </c>
      <c r="C26" s="26">
        <f t="shared" ca="1" si="1"/>
        <v>1.4522366799336712</v>
      </c>
      <c r="D26" s="26">
        <f t="shared" ca="1" si="2"/>
        <v>1.4522366799336712</v>
      </c>
      <c r="E26" s="3">
        <v>8</v>
      </c>
      <c r="F26" s="26">
        <f t="shared" ca="1" si="3"/>
        <v>0</v>
      </c>
      <c r="G26" s="3">
        <f t="shared" ca="1" si="4"/>
        <v>0</v>
      </c>
      <c r="J26" s="3">
        <v>11</v>
      </c>
      <c r="K26" s="3">
        <v>4</v>
      </c>
      <c r="L26" s="26">
        <v>7.6923076923076927E-2</v>
      </c>
      <c r="M26" s="26">
        <v>5.3200212834724532</v>
      </c>
    </row>
    <row r="27" spans="1:13" ht="12.75" hidden="1" customHeight="1" x14ac:dyDescent="0.2">
      <c r="A27" s="3">
        <v>16</v>
      </c>
      <c r="B27" s="25">
        <f t="shared" ca="1" si="0"/>
        <v>0.15457752192231466</v>
      </c>
      <c r="C27" s="26">
        <f t="shared" ca="1" si="1"/>
        <v>3.9660067873795208</v>
      </c>
      <c r="D27" s="26">
        <f t="shared" ca="1" si="2"/>
        <v>3.9660067873795208</v>
      </c>
      <c r="E27" s="3">
        <v>8</v>
      </c>
      <c r="F27" s="26">
        <f t="shared" ca="1" si="3"/>
        <v>0</v>
      </c>
      <c r="G27" s="3">
        <f t="shared" ca="1" si="4"/>
        <v>0</v>
      </c>
      <c r="J27" s="3">
        <v>12</v>
      </c>
      <c r="K27" s="3">
        <v>9</v>
      </c>
      <c r="L27" s="26">
        <v>0.17307692307692307</v>
      </c>
      <c r="M27" s="26">
        <v>6.056096376193854</v>
      </c>
    </row>
    <row r="28" spans="1:13" ht="12.75" hidden="1" customHeight="1" x14ac:dyDescent="0.2">
      <c r="A28" s="3">
        <v>17</v>
      </c>
      <c r="B28" s="25">
        <f t="shared" ca="1" si="0"/>
        <v>0.8133313583969124</v>
      </c>
      <c r="C28" s="26">
        <f t="shared" ca="1" si="1"/>
        <v>7.7804790592314035</v>
      </c>
      <c r="D28" s="26">
        <f t="shared" ca="1" si="2"/>
        <v>7.7804790592314035</v>
      </c>
      <c r="E28" s="3">
        <v>8</v>
      </c>
      <c r="F28" s="26">
        <f t="shared" ca="1" si="3"/>
        <v>0</v>
      </c>
      <c r="G28" s="3">
        <f t="shared" ca="1" si="4"/>
        <v>0</v>
      </c>
      <c r="J28" s="3">
        <v>13</v>
      </c>
      <c r="K28" s="3">
        <v>17</v>
      </c>
      <c r="L28" s="26">
        <v>0.32692307692307693</v>
      </c>
      <c r="M28" s="26">
        <v>6.25261268495154</v>
      </c>
    </row>
    <row r="29" spans="1:13" ht="12.75" hidden="1" customHeight="1" x14ac:dyDescent="0.2">
      <c r="A29" s="3">
        <v>18</v>
      </c>
      <c r="B29" s="25">
        <f t="shared" ca="1" si="0"/>
        <v>0.7241405408268583</v>
      </c>
      <c r="C29" s="26">
        <f t="shared" ca="1" si="1"/>
        <v>7.1903726854998666</v>
      </c>
      <c r="D29" s="26">
        <f t="shared" ca="1" si="2"/>
        <v>7.1903726854998666</v>
      </c>
      <c r="E29" s="3">
        <v>8</v>
      </c>
      <c r="F29" s="26">
        <f t="shared" ca="1" si="3"/>
        <v>0</v>
      </c>
      <c r="G29" s="3">
        <f t="shared" ca="1" si="4"/>
        <v>0</v>
      </c>
      <c r="J29" s="3">
        <v>14</v>
      </c>
      <c r="K29" s="3">
        <v>8</v>
      </c>
      <c r="L29" s="26">
        <v>0.15384615384615385</v>
      </c>
      <c r="M29" s="26">
        <v>5.7545744690736464</v>
      </c>
    </row>
    <row r="30" spans="1:13" ht="12.75" hidden="1" customHeight="1" x14ac:dyDescent="0.2">
      <c r="A30" s="3">
        <v>19</v>
      </c>
      <c r="B30" s="25">
        <f t="shared" ca="1" si="0"/>
        <v>0.58361954511848002</v>
      </c>
      <c r="C30" s="26">
        <f t="shared" ca="1" si="1"/>
        <v>6.4223238769621558</v>
      </c>
      <c r="D30" s="26">
        <f t="shared" ca="1" si="2"/>
        <v>6.4223238769621558</v>
      </c>
      <c r="E30" s="3">
        <v>8</v>
      </c>
      <c r="F30" s="26">
        <f t="shared" ca="1" si="3"/>
        <v>0</v>
      </c>
      <c r="G30" s="3">
        <f t="shared" ca="1" si="4"/>
        <v>0</v>
      </c>
      <c r="J30" s="3">
        <v>15</v>
      </c>
      <c r="K30" s="3">
        <v>12</v>
      </c>
      <c r="L30" s="26">
        <v>0.23076923076923078</v>
      </c>
      <c r="M30" s="26">
        <v>6.0696796968477607</v>
      </c>
    </row>
    <row r="31" spans="1:13" ht="12.75" hidden="1" customHeight="1" x14ac:dyDescent="0.2">
      <c r="A31" s="3">
        <v>20</v>
      </c>
      <c r="B31" s="25">
        <f t="shared" ca="1" si="0"/>
        <v>0.1654086492664838</v>
      </c>
      <c r="C31" s="26">
        <f t="shared" ca="1" si="1"/>
        <v>4.0550620755253632</v>
      </c>
      <c r="D31" s="26">
        <f t="shared" ca="1" si="2"/>
        <v>4.0550620755253632</v>
      </c>
      <c r="E31" s="3">
        <v>8</v>
      </c>
      <c r="F31" s="26">
        <f t="shared" ca="1" si="3"/>
        <v>0</v>
      </c>
      <c r="G31" s="3">
        <f t="shared" ca="1" si="4"/>
        <v>0</v>
      </c>
      <c r="J31" s="3">
        <v>16</v>
      </c>
      <c r="K31" s="3">
        <v>13</v>
      </c>
      <c r="L31" s="26">
        <v>0.25</v>
      </c>
      <c r="M31" s="26">
        <v>6.2240413021584207</v>
      </c>
    </row>
    <row r="32" spans="1:13" ht="12.75" hidden="1" customHeight="1" x14ac:dyDescent="0.2">
      <c r="A32" s="3">
        <v>21</v>
      </c>
      <c r="B32" s="25">
        <f t="shared" ca="1" si="0"/>
        <v>0.25108121047511511</v>
      </c>
      <c r="C32" s="26">
        <f t="shared" ca="1" si="1"/>
        <v>4.6578175633670957</v>
      </c>
      <c r="D32" s="26">
        <f t="shared" ca="1" si="2"/>
        <v>4.6578175633670957</v>
      </c>
      <c r="E32" s="3">
        <v>8</v>
      </c>
      <c r="F32" s="26">
        <f t="shared" ca="1" si="3"/>
        <v>0</v>
      </c>
      <c r="G32" s="3">
        <f t="shared" ca="1" si="4"/>
        <v>0</v>
      </c>
      <c r="J32" s="3">
        <v>17</v>
      </c>
      <c r="K32" s="3">
        <v>17</v>
      </c>
      <c r="L32" s="26">
        <v>0.32692307692307693</v>
      </c>
      <c r="M32" s="26">
        <v>6.4431685709548452</v>
      </c>
    </row>
    <row r="33" spans="1:13" ht="12.75" hidden="1" customHeight="1" x14ac:dyDescent="0.2">
      <c r="A33" s="3">
        <v>22</v>
      </c>
      <c r="B33" s="25">
        <f t="shared" ca="1" si="0"/>
        <v>0.77709918940159972</v>
      </c>
      <c r="C33" s="26">
        <f t="shared" ca="1" si="1"/>
        <v>7.5248659856764348</v>
      </c>
      <c r="D33" s="26">
        <f t="shared" ca="1" si="2"/>
        <v>7.5248659856764348</v>
      </c>
      <c r="E33" s="3">
        <v>8</v>
      </c>
      <c r="F33" s="26">
        <f t="shared" ca="1" si="3"/>
        <v>0</v>
      </c>
      <c r="G33" s="3">
        <f t="shared" ca="1" si="4"/>
        <v>0</v>
      </c>
      <c r="J33" s="3">
        <v>18</v>
      </c>
      <c r="K33" s="3">
        <v>7</v>
      </c>
      <c r="L33" s="26">
        <v>0.13461538461538461</v>
      </c>
      <c r="M33" s="26">
        <v>5.9812554008885632</v>
      </c>
    </row>
    <row r="34" spans="1:13" ht="12.75" hidden="1" customHeight="1" x14ac:dyDescent="0.2">
      <c r="A34" s="3">
        <v>23</v>
      </c>
      <c r="B34" s="25">
        <f t="shared" ca="1" si="0"/>
        <v>0.74189529207444582</v>
      </c>
      <c r="C34" s="26">
        <f t="shared" ca="1" si="1"/>
        <v>7.2983990588011949</v>
      </c>
      <c r="D34" s="26">
        <f t="shared" ca="1" si="2"/>
        <v>7.2983990588011949</v>
      </c>
      <c r="E34" s="3">
        <v>8</v>
      </c>
      <c r="F34" s="26">
        <f t="shared" ca="1" si="3"/>
        <v>0</v>
      </c>
      <c r="G34" s="3">
        <f t="shared" ca="1" si="4"/>
        <v>0</v>
      </c>
      <c r="J34" s="3">
        <v>19</v>
      </c>
      <c r="K34" s="3">
        <v>10</v>
      </c>
      <c r="L34" s="26">
        <v>0.19230769230769232</v>
      </c>
      <c r="M34" s="26">
        <v>5.8273927930064939</v>
      </c>
    </row>
    <row r="35" spans="1:13" ht="12.75" hidden="1" customHeight="1" x14ac:dyDescent="0.2">
      <c r="A35" s="3">
        <v>24</v>
      </c>
      <c r="B35" s="25">
        <f t="shared" ca="1" si="0"/>
        <v>0.18150546982111304</v>
      </c>
      <c r="C35" s="26">
        <f t="shared" ca="1" si="1"/>
        <v>4.1807144777393201</v>
      </c>
      <c r="D35" s="26">
        <f t="shared" ca="1" si="2"/>
        <v>4.1807144777393201</v>
      </c>
      <c r="E35" s="3">
        <v>8</v>
      </c>
      <c r="F35" s="26">
        <f t="shared" ca="1" si="3"/>
        <v>0</v>
      </c>
      <c r="G35" s="3">
        <f t="shared" ca="1" si="4"/>
        <v>0</v>
      </c>
      <c r="J35" s="3">
        <v>20</v>
      </c>
      <c r="K35" s="3">
        <v>13</v>
      </c>
      <c r="L35" s="26">
        <v>0.25</v>
      </c>
      <c r="M35" s="26">
        <v>6.2785570794601373</v>
      </c>
    </row>
    <row r="36" spans="1:13" ht="12.75" hidden="1" customHeight="1" x14ac:dyDescent="0.2">
      <c r="A36" s="3">
        <v>25</v>
      </c>
      <c r="B36" s="25">
        <f t="shared" ca="1" si="0"/>
        <v>0.76580707066940401</v>
      </c>
      <c r="C36" s="26">
        <f t="shared" ca="1" si="1"/>
        <v>7.4502157335293884</v>
      </c>
      <c r="D36" s="26">
        <f t="shared" ca="1" si="2"/>
        <v>7.4502157335293884</v>
      </c>
      <c r="E36" s="3">
        <v>8</v>
      </c>
      <c r="F36" s="26">
        <f t="shared" ca="1" si="3"/>
        <v>0</v>
      </c>
      <c r="G36" s="3">
        <f t="shared" ca="1" si="4"/>
        <v>0</v>
      </c>
      <c r="J36" s="3">
        <v>21</v>
      </c>
      <c r="K36" s="3">
        <v>16</v>
      </c>
      <c r="L36" s="26">
        <v>0.30769230769230771</v>
      </c>
      <c r="M36" s="26">
        <v>6.2433856521291533</v>
      </c>
    </row>
    <row r="37" spans="1:13" ht="12.75" hidden="1" customHeight="1" x14ac:dyDescent="0.2">
      <c r="A37" s="3">
        <v>26</v>
      </c>
      <c r="B37" s="25">
        <f t="shared" ca="1" si="0"/>
        <v>0.3169349291869944</v>
      </c>
      <c r="C37" s="26">
        <f t="shared" ca="1" si="1"/>
        <v>5.0474258111539871</v>
      </c>
      <c r="D37" s="26">
        <f t="shared" ca="1" si="2"/>
        <v>5.0474258111539871</v>
      </c>
      <c r="E37" s="3">
        <v>8</v>
      </c>
      <c r="F37" s="26">
        <f t="shared" ca="1" si="3"/>
        <v>0</v>
      </c>
      <c r="G37" s="3">
        <f t="shared" ca="1" si="4"/>
        <v>0</v>
      </c>
      <c r="J37" s="3">
        <v>22</v>
      </c>
      <c r="K37" s="3">
        <v>11</v>
      </c>
      <c r="L37" s="26">
        <v>0.21153846153846154</v>
      </c>
      <c r="M37" s="26">
        <v>6.0851512358257542</v>
      </c>
    </row>
    <row r="38" spans="1:13" ht="12.75" hidden="1" customHeight="1" x14ac:dyDescent="0.2">
      <c r="A38" s="3">
        <v>27</v>
      </c>
      <c r="B38" s="25">
        <f t="shared" ca="1" si="0"/>
        <v>1.6149845379329619E-2</v>
      </c>
      <c r="C38" s="26">
        <f t="shared" ca="1" si="1"/>
        <v>1.7186359928842707</v>
      </c>
      <c r="D38" s="26">
        <f t="shared" ca="1" si="2"/>
        <v>1.7186359928842707</v>
      </c>
      <c r="E38" s="3">
        <v>8</v>
      </c>
      <c r="F38" s="26">
        <f t="shared" ca="1" si="3"/>
        <v>0</v>
      </c>
      <c r="G38" s="3">
        <f t="shared" ca="1" si="4"/>
        <v>0</v>
      </c>
      <c r="J38" s="3">
        <v>23</v>
      </c>
      <c r="K38" s="3">
        <v>5</v>
      </c>
      <c r="L38" s="26">
        <v>9.6153846153846159E-2</v>
      </c>
      <c r="M38" s="26">
        <v>5.5578295950112757</v>
      </c>
    </row>
    <row r="39" spans="1:13" ht="12.75" hidden="1" customHeight="1" x14ac:dyDescent="0.2">
      <c r="A39" s="3">
        <v>28</v>
      </c>
      <c r="B39" s="25">
        <f t="shared" ca="1" si="0"/>
        <v>0.94361323626482074</v>
      </c>
      <c r="C39" s="26">
        <f t="shared" ca="1" si="1"/>
        <v>9.171698350373692</v>
      </c>
      <c r="D39" s="26">
        <f t="shared" ca="1" si="2"/>
        <v>9.171698350373692</v>
      </c>
      <c r="E39" s="3">
        <v>8</v>
      </c>
      <c r="F39" s="26">
        <f t="shared" ca="1" si="3"/>
        <v>1.171698350373692</v>
      </c>
      <c r="G39" s="3">
        <f t="shared" ca="1" si="4"/>
        <v>1</v>
      </c>
      <c r="J39" s="3">
        <v>24</v>
      </c>
      <c r="K39" s="3">
        <v>7</v>
      </c>
      <c r="L39" s="26">
        <v>0.13461538461538461</v>
      </c>
      <c r="M39" s="26">
        <v>5.9026349905652706</v>
      </c>
    </row>
    <row r="40" spans="1:13" ht="12.75" hidden="1" customHeight="1" x14ac:dyDescent="0.2">
      <c r="A40" s="3">
        <v>29</v>
      </c>
      <c r="B40" s="25">
        <f t="shared" ca="1" si="0"/>
        <v>0.75927188328130879</v>
      </c>
      <c r="C40" s="26">
        <f t="shared" ca="1" si="1"/>
        <v>7.4079246591257473</v>
      </c>
      <c r="D40" s="26">
        <f t="shared" ca="1" si="2"/>
        <v>8.5796230094994392</v>
      </c>
      <c r="E40" s="3">
        <v>8</v>
      </c>
      <c r="F40" s="26">
        <f t="shared" ca="1" si="3"/>
        <v>0.57962300949943923</v>
      </c>
      <c r="G40" s="3">
        <f t="shared" ca="1" si="4"/>
        <v>1</v>
      </c>
      <c r="J40" s="3">
        <v>25</v>
      </c>
      <c r="K40" s="3">
        <v>17</v>
      </c>
      <c r="L40" s="26">
        <v>0.32692307692307693</v>
      </c>
      <c r="M40" s="26">
        <v>6.4761606938560385</v>
      </c>
    </row>
    <row r="41" spans="1:13" ht="12.75" hidden="1" customHeight="1" x14ac:dyDescent="0.2">
      <c r="A41" s="3">
        <v>30</v>
      </c>
      <c r="B41" s="25">
        <f t="shared" ca="1" si="0"/>
        <v>0.34311630761238776</v>
      </c>
      <c r="C41" s="26">
        <f t="shared" ca="1" si="1"/>
        <v>5.1920541123376003</v>
      </c>
      <c r="D41" s="26">
        <f t="shared" ca="1" si="2"/>
        <v>5.7716771218370395</v>
      </c>
      <c r="E41" s="3">
        <v>8</v>
      </c>
      <c r="F41" s="26">
        <f t="shared" ca="1" si="3"/>
        <v>0</v>
      </c>
      <c r="G41" s="3">
        <f t="shared" ca="1" si="4"/>
        <v>0</v>
      </c>
      <c r="J41" s="3">
        <v>26</v>
      </c>
      <c r="K41" s="3">
        <v>11</v>
      </c>
      <c r="L41" s="26">
        <v>0.21153846153846154</v>
      </c>
      <c r="M41" s="26">
        <v>6.1067385860965793</v>
      </c>
    </row>
    <row r="42" spans="1:13" ht="12.75" hidden="1" customHeight="1" x14ac:dyDescent="0.2">
      <c r="A42" s="3">
        <v>31</v>
      </c>
      <c r="B42" s="25">
        <f t="shared" ca="1" si="0"/>
        <v>0.39600798382500813</v>
      </c>
      <c r="C42" s="26">
        <f t="shared" ca="1" si="1"/>
        <v>5.4726126446611891</v>
      </c>
      <c r="D42" s="26">
        <f t="shared" ca="1" si="2"/>
        <v>5.4726126446611891</v>
      </c>
      <c r="E42" s="3">
        <v>8</v>
      </c>
      <c r="F42" s="26">
        <f t="shared" ca="1" si="3"/>
        <v>0</v>
      </c>
      <c r="G42" s="3">
        <f t="shared" ca="1" si="4"/>
        <v>0</v>
      </c>
      <c r="J42" s="3">
        <v>27</v>
      </c>
      <c r="K42" s="3">
        <v>5</v>
      </c>
      <c r="L42" s="26">
        <v>9.6153846153846159E-2</v>
      </c>
      <c r="M42" s="26">
        <v>5.3177924497582296</v>
      </c>
    </row>
    <row r="43" spans="1:13" ht="12.75" hidden="1" customHeight="1" x14ac:dyDescent="0.2">
      <c r="A43" s="3">
        <v>32</v>
      </c>
      <c r="B43" s="25">
        <f t="shared" ca="1" si="0"/>
        <v>0.1036026796275199</v>
      </c>
      <c r="C43" s="26">
        <f t="shared" ca="1" si="1"/>
        <v>3.4774254226017227</v>
      </c>
      <c r="D43" s="26">
        <f t="shared" ca="1" si="2"/>
        <v>3.4774254226017227</v>
      </c>
      <c r="E43" s="3">
        <v>8</v>
      </c>
      <c r="F43" s="26">
        <f t="shared" ca="1" si="3"/>
        <v>0</v>
      </c>
      <c r="G43" s="3">
        <f t="shared" ca="1" si="4"/>
        <v>0</v>
      </c>
      <c r="J43" s="3">
        <v>28</v>
      </c>
      <c r="K43" s="3">
        <v>13</v>
      </c>
      <c r="L43" s="26">
        <v>0.25</v>
      </c>
      <c r="M43" s="26">
        <v>5.9962934125754499</v>
      </c>
    </row>
    <row r="44" spans="1:13" ht="12.75" hidden="1" customHeight="1" x14ac:dyDescent="0.2">
      <c r="A44" s="3">
        <v>33</v>
      </c>
      <c r="B44" s="25">
        <f t="shared" ca="1" si="0"/>
        <v>0.10769678967911822</v>
      </c>
      <c r="C44" s="26">
        <f t="shared" ca="1" si="1"/>
        <v>3.5222596440793654</v>
      </c>
      <c r="D44" s="26">
        <f t="shared" ca="1" si="2"/>
        <v>3.5222596440793654</v>
      </c>
      <c r="E44" s="3">
        <v>8</v>
      </c>
      <c r="F44" s="26">
        <f t="shared" ca="1" si="3"/>
        <v>0</v>
      </c>
      <c r="G44" s="3">
        <f t="shared" ca="1" si="4"/>
        <v>0</v>
      </c>
      <c r="J44" s="3">
        <v>29</v>
      </c>
      <c r="K44" s="3">
        <v>8</v>
      </c>
      <c r="L44" s="26">
        <v>0.15384615384615385</v>
      </c>
      <c r="M44" s="26">
        <v>5.7671121112211052</v>
      </c>
    </row>
    <row r="45" spans="1:13" ht="12.75" hidden="1" customHeight="1" x14ac:dyDescent="0.2">
      <c r="A45" s="3">
        <v>34</v>
      </c>
      <c r="B45" s="25">
        <f t="shared" ca="1" si="0"/>
        <v>0.6012146248383754</v>
      </c>
      <c r="C45" s="26">
        <f t="shared" ca="1" si="1"/>
        <v>6.5129845352821025</v>
      </c>
      <c r="D45" s="26">
        <f t="shared" ca="1" si="2"/>
        <v>6.5129845352821025</v>
      </c>
      <c r="E45" s="3">
        <v>8</v>
      </c>
      <c r="F45" s="26">
        <f t="shared" ca="1" si="3"/>
        <v>0</v>
      </c>
      <c r="G45" s="3">
        <f t="shared" ca="1" si="4"/>
        <v>0</v>
      </c>
      <c r="J45" s="3">
        <v>30</v>
      </c>
      <c r="K45" s="3">
        <v>11</v>
      </c>
      <c r="L45" s="26">
        <v>0.21153846153846154</v>
      </c>
      <c r="M45" s="26">
        <v>6.0236727879489296</v>
      </c>
    </row>
    <row r="46" spans="1:13" ht="12.75" hidden="1" customHeight="1" x14ac:dyDescent="0.2">
      <c r="A46" s="3">
        <v>35</v>
      </c>
      <c r="B46" s="25">
        <f t="shared" ca="1" si="0"/>
        <v>0.36476338402647213</v>
      </c>
      <c r="C46" s="26">
        <f t="shared" ca="1" si="1"/>
        <v>5.3084897914309987</v>
      </c>
      <c r="D46" s="26">
        <f t="shared" ca="1" si="2"/>
        <v>5.3084897914309987</v>
      </c>
      <c r="E46" s="3">
        <v>8</v>
      </c>
      <c r="F46" s="26">
        <f t="shared" ca="1" si="3"/>
        <v>0</v>
      </c>
      <c r="G46" s="3">
        <f t="shared" ca="1" si="4"/>
        <v>0</v>
      </c>
      <c r="J46" s="3">
        <v>31</v>
      </c>
      <c r="K46" s="3">
        <v>11</v>
      </c>
      <c r="L46" s="26">
        <v>0.21153846153846154</v>
      </c>
      <c r="M46" s="26">
        <v>6.2003103224733742</v>
      </c>
    </row>
    <row r="47" spans="1:13" ht="12.75" hidden="1" customHeight="1" x14ac:dyDescent="0.2">
      <c r="A47" s="3">
        <v>36</v>
      </c>
      <c r="B47" s="25">
        <f t="shared" ca="1" si="0"/>
        <v>0.4374873066772188</v>
      </c>
      <c r="C47" s="26">
        <f t="shared" ca="1" si="1"/>
        <v>5.6853142034663176</v>
      </c>
      <c r="D47" s="26">
        <f t="shared" ca="1" si="2"/>
        <v>5.6853142034663176</v>
      </c>
      <c r="E47" s="3">
        <v>8</v>
      </c>
      <c r="F47" s="26">
        <f t="shared" ca="1" si="3"/>
        <v>0</v>
      </c>
      <c r="G47" s="3">
        <f t="shared" ca="1" si="4"/>
        <v>0</v>
      </c>
      <c r="J47" s="3">
        <v>32</v>
      </c>
      <c r="K47" s="3">
        <v>11</v>
      </c>
      <c r="L47" s="26">
        <v>0.21153846153846154</v>
      </c>
      <c r="M47" s="26">
        <v>6.0415820071656174</v>
      </c>
    </row>
    <row r="48" spans="1:13" ht="12.75" hidden="1" customHeight="1" x14ac:dyDescent="0.2">
      <c r="A48" s="3">
        <v>37</v>
      </c>
      <c r="B48" s="25">
        <f t="shared" ca="1" si="0"/>
        <v>0.77821251846037831</v>
      </c>
      <c r="C48" s="26">
        <f t="shared" ca="1" si="1"/>
        <v>7.532340649519913</v>
      </c>
      <c r="D48" s="26">
        <f t="shared" ca="1" si="2"/>
        <v>7.532340649519913</v>
      </c>
      <c r="E48" s="3">
        <v>8</v>
      </c>
      <c r="F48" s="26">
        <f t="shared" ca="1" si="3"/>
        <v>0</v>
      </c>
      <c r="G48" s="3">
        <f t="shared" ca="1" si="4"/>
        <v>0</v>
      </c>
      <c r="J48" s="3">
        <v>33</v>
      </c>
      <c r="K48" s="3">
        <v>13</v>
      </c>
      <c r="L48" s="26">
        <v>0.25</v>
      </c>
      <c r="M48" s="26">
        <v>6.345406432144804</v>
      </c>
    </row>
    <row r="49" spans="1:13" ht="12.75" hidden="1" customHeight="1" x14ac:dyDescent="0.2">
      <c r="A49" s="3">
        <v>38</v>
      </c>
      <c r="B49" s="25">
        <f t="shared" ca="1" si="0"/>
        <v>0.333834288198531</v>
      </c>
      <c r="C49" s="26">
        <f t="shared" ca="1" si="1"/>
        <v>5.141300114000563</v>
      </c>
      <c r="D49" s="26">
        <f t="shared" ca="1" si="2"/>
        <v>5.141300114000563</v>
      </c>
      <c r="E49" s="3">
        <v>8</v>
      </c>
      <c r="F49" s="26">
        <f t="shared" ca="1" si="3"/>
        <v>0</v>
      </c>
      <c r="G49" s="3">
        <f t="shared" ca="1" si="4"/>
        <v>0</v>
      </c>
      <c r="J49" s="3">
        <v>34</v>
      </c>
      <c r="K49" s="3">
        <v>8</v>
      </c>
      <c r="L49" s="26">
        <v>0.15384615384615385</v>
      </c>
      <c r="M49" s="26">
        <v>5.7793076905915317</v>
      </c>
    </row>
    <row r="50" spans="1:13" ht="12.75" hidden="1" customHeight="1" x14ac:dyDescent="0.2">
      <c r="A50" s="3">
        <v>39</v>
      </c>
      <c r="B50" s="25">
        <f t="shared" ca="1" si="0"/>
        <v>0.32371950747807898</v>
      </c>
      <c r="C50" s="26">
        <f t="shared" ca="1" si="1"/>
        <v>5.0853543188220298</v>
      </c>
      <c r="D50" s="26">
        <f t="shared" ca="1" si="2"/>
        <v>5.0853543188220298</v>
      </c>
      <c r="E50" s="3">
        <v>8</v>
      </c>
      <c r="F50" s="26">
        <f t="shared" ca="1" si="3"/>
        <v>0</v>
      </c>
      <c r="G50" s="3">
        <f t="shared" ca="1" si="4"/>
        <v>0</v>
      </c>
      <c r="J50" s="3">
        <v>35</v>
      </c>
      <c r="K50" s="3">
        <v>11</v>
      </c>
      <c r="L50" s="26">
        <v>0.21153846153846154</v>
      </c>
      <c r="M50" s="26">
        <v>6.1309772698217992</v>
      </c>
    </row>
    <row r="51" spans="1:13" ht="12.75" hidden="1" customHeight="1" x14ac:dyDescent="0.2">
      <c r="A51" s="3">
        <v>40</v>
      </c>
      <c r="B51" s="25">
        <f t="shared" ca="1" si="0"/>
        <v>0.85542134955105997</v>
      </c>
      <c r="C51" s="26">
        <f t="shared" ca="1" si="1"/>
        <v>8.1199441622955071</v>
      </c>
      <c r="D51" s="26">
        <f t="shared" ca="1" si="2"/>
        <v>8.1199441622955071</v>
      </c>
      <c r="E51" s="3">
        <v>8</v>
      </c>
      <c r="F51" s="26">
        <f t="shared" ca="1" si="3"/>
        <v>0.11994416229550708</v>
      </c>
      <c r="G51" s="3">
        <f t="shared" ca="1" si="4"/>
        <v>1</v>
      </c>
      <c r="J51" s="3">
        <v>36</v>
      </c>
      <c r="K51" s="3">
        <v>7</v>
      </c>
      <c r="L51" s="26">
        <v>0.13461538461538461</v>
      </c>
      <c r="M51" s="26">
        <v>5.7106143357949231</v>
      </c>
    </row>
    <row r="52" spans="1:13" ht="12.75" hidden="1" customHeight="1" x14ac:dyDescent="0.2">
      <c r="A52" s="3">
        <v>41</v>
      </c>
      <c r="B52" s="25">
        <f t="shared" ca="1" si="0"/>
        <v>0.25643762339683229</v>
      </c>
      <c r="C52" s="26">
        <f t="shared" ca="1" si="1"/>
        <v>4.6912655561652858</v>
      </c>
      <c r="D52" s="26">
        <f t="shared" ca="1" si="2"/>
        <v>4.8112097184607929</v>
      </c>
      <c r="E52" s="3">
        <v>8</v>
      </c>
      <c r="F52" s="26">
        <f t="shared" ca="1" si="3"/>
        <v>0</v>
      </c>
      <c r="G52" s="3">
        <f t="shared" ca="1" si="4"/>
        <v>0</v>
      </c>
      <c r="J52" s="3">
        <v>37</v>
      </c>
      <c r="K52" s="3">
        <v>13</v>
      </c>
      <c r="L52" s="26">
        <v>0.25</v>
      </c>
      <c r="M52" s="26">
        <v>6.0112418122172455</v>
      </c>
    </row>
    <row r="53" spans="1:13" ht="12.75" hidden="1" customHeight="1" x14ac:dyDescent="0.2">
      <c r="A53" s="3">
        <v>42</v>
      </c>
      <c r="B53" s="25">
        <f t="shared" ca="1" si="0"/>
        <v>0.42965309814152874</v>
      </c>
      <c r="C53" s="26">
        <f t="shared" ca="1" si="1"/>
        <v>5.6454851631923209</v>
      </c>
      <c r="D53" s="26">
        <f t="shared" ca="1" si="2"/>
        <v>5.6454851631923209</v>
      </c>
      <c r="E53" s="3">
        <v>8</v>
      </c>
      <c r="F53" s="26">
        <f t="shared" ca="1" si="3"/>
        <v>0</v>
      </c>
      <c r="G53" s="3">
        <f t="shared" ca="1" si="4"/>
        <v>0</v>
      </c>
      <c r="J53" s="3">
        <v>38</v>
      </c>
      <c r="K53" s="3">
        <v>17</v>
      </c>
      <c r="L53" s="26">
        <v>0.32692307692307693</v>
      </c>
      <c r="M53" s="26">
        <v>6.2297094459900908</v>
      </c>
    </row>
    <row r="54" spans="1:13" ht="12.75" hidden="1" customHeight="1" x14ac:dyDescent="0.2">
      <c r="A54" s="3">
        <v>43</v>
      </c>
      <c r="B54" s="25">
        <f t="shared" ca="1" si="0"/>
        <v>0.60936088494347274</v>
      </c>
      <c r="C54" s="26">
        <f t="shared" ca="1" si="1"/>
        <v>6.5553073360256935</v>
      </c>
      <c r="D54" s="26">
        <f t="shared" ca="1" si="2"/>
        <v>6.5553073360256935</v>
      </c>
      <c r="E54" s="3">
        <v>8</v>
      </c>
      <c r="F54" s="26">
        <f t="shared" ca="1" si="3"/>
        <v>0</v>
      </c>
      <c r="G54" s="3">
        <f t="shared" ca="1" si="4"/>
        <v>0</v>
      </c>
      <c r="J54" s="3">
        <v>39</v>
      </c>
      <c r="K54" s="3">
        <v>16</v>
      </c>
      <c r="L54" s="26">
        <v>0.30769230769230771</v>
      </c>
      <c r="M54" s="26">
        <v>6.5686286242310148</v>
      </c>
    </row>
    <row r="55" spans="1:13" ht="12.75" hidden="1" customHeight="1" x14ac:dyDescent="0.2">
      <c r="A55" s="3">
        <v>44</v>
      </c>
      <c r="B55" s="25">
        <f t="shared" ca="1" si="0"/>
        <v>0.1943555949095902</v>
      </c>
      <c r="C55" s="26">
        <f t="shared" ca="1" si="1"/>
        <v>4.2760860332928834</v>
      </c>
      <c r="D55" s="26">
        <f t="shared" ca="1" si="2"/>
        <v>4.2760860332928834</v>
      </c>
      <c r="E55" s="3">
        <v>8</v>
      </c>
      <c r="F55" s="26">
        <f t="shared" ca="1" si="3"/>
        <v>0</v>
      </c>
      <c r="G55" s="3">
        <f t="shared" ca="1" si="4"/>
        <v>0</v>
      </c>
      <c r="J55" s="3">
        <v>40</v>
      </c>
      <c r="K55" s="3">
        <v>13</v>
      </c>
      <c r="L55" s="26">
        <v>0.25</v>
      </c>
      <c r="M55" s="26">
        <v>5.7943870822075256</v>
      </c>
    </row>
    <row r="56" spans="1:13" ht="12.75" hidden="1" customHeight="1" x14ac:dyDescent="0.2">
      <c r="A56" s="3">
        <v>45</v>
      </c>
      <c r="B56" s="25">
        <f t="shared" ca="1" si="0"/>
        <v>9.1706832818479356E-2</v>
      </c>
      <c r="C56" s="26">
        <f t="shared" ca="1" si="1"/>
        <v>3.3393648905082434</v>
      </c>
      <c r="D56" s="26">
        <f t="shared" ca="1" si="2"/>
        <v>3.3393648905082434</v>
      </c>
      <c r="E56" s="3">
        <v>8</v>
      </c>
      <c r="F56" s="26">
        <f t="shared" ca="1" si="3"/>
        <v>0</v>
      </c>
      <c r="G56" s="3">
        <f t="shared" ca="1" si="4"/>
        <v>0</v>
      </c>
      <c r="J56" s="3">
        <v>41</v>
      </c>
      <c r="K56" s="3">
        <v>9</v>
      </c>
      <c r="L56" s="26">
        <v>0.17307692307692307</v>
      </c>
      <c r="M56" s="26">
        <v>5.542045660741918</v>
      </c>
    </row>
    <row r="57" spans="1:13" ht="12.75" hidden="1" customHeight="1" x14ac:dyDescent="0.2">
      <c r="A57" s="3">
        <v>46</v>
      </c>
      <c r="B57" s="25">
        <f t="shared" ca="1" si="0"/>
        <v>0.79532538798714292</v>
      </c>
      <c r="C57" s="26">
        <f t="shared" ca="1" si="1"/>
        <v>7.6500787941798993</v>
      </c>
      <c r="D57" s="26">
        <f t="shared" ca="1" si="2"/>
        <v>7.6500787941798993</v>
      </c>
      <c r="E57" s="3">
        <v>8</v>
      </c>
      <c r="F57" s="26">
        <f t="shared" ca="1" si="3"/>
        <v>0</v>
      </c>
      <c r="G57" s="3">
        <f t="shared" ca="1" si="4"/>
        <v>0</v>
      </c>
      <c r="J57" s="3">
        <v>42</v>
      </c>
      <c r="K57" s="3">
        <v>10</v>
      </c>
      <c r="L57" s="26">
        <v>0.19230769230769232</v>
      </c>
      <c r="M57" s="26">
        <v>6.037692493468878</v>
      </c>
    </row>
    <row r="58" spans="1:13" ht="12.75" hidden="1" customHeight="1" x14ac:dyDescent="0.2">
      <c r="A58" s="3">
        <v>47</v>
      </c>
      <c r="B58" s="25">
        <f t="shared" ca="1" si="0"/>
        <v>0.44833265735929029</v>
      </c>
      <c r="C58" s="26">
        <f t="shared" ca="1" si="1"/>
        <v>5.740249976918669</v>
      </c>
      <c r="D58" s="26">
        <f t="shared" ca="1" si="2"/>
        <v>5.740249976918669</v>
      </c>
      <c r="E58" s="3">
        <v>8</v>
      </c>
      <c r="F58" s="26">
        <f t="shared" ca="1" si="3"/>
        <v>0</v>
      </c>
      <c r="G58" s="3">
        <f t="shared" ca="1" si="4"/>
        <v>0</v>
      </c>
      <c r="J58" s="3">
        <v>43</v>
      </c>
      <c r="K58" s="3">
        <v>10</v>
      </c>
      <c r="L58" s="26">
        <v>0.19230769230769232</v>
      </c>
      <c r="M58" s="26">
        <v>6.0353881986901987</v>
      </c>
    </row>
    <row r="59" spans="1:13" x14ac:dyDescent="0.2">
      <c r="A59" s="3">
        <v>48</v>
      </c>
      <c r="B59" s="25">
        <f t="shared" ca="1" si="0"/>
        <v>1.4052231875280929E-2</v>
      </c>
      <c r="C59" s="26">
        <f t="shared" ca="1" si="1"/>
        <v>1.6083497823482862</v>
      </c>
      <c r="D59" s="26">
        <f t="shared" ca="1" si="2"/>
        <v>1.6083497823482862</v>
      </c>
      <c r="E59" s="3">
        <v>8</v>
      </c>
      <c r="F59" s="26">
        <f t="shared" ca="1" si="3"/>
        <v>0</v>
      </c>
      <c r="G59" s="3">
        <f t="shared" ca="1" si="4"/>
        <v>0</v>
      </c>
      <c r="J59" s="3">
        <v>44</v>
      </c>
      <c r="K59" s="3">
        <v>10</v>
      </c>
      <c r="L59" s="26">
        <v>0.19230769230769232</v>
      </c>
      <c r="M59" s="26">
        <v>5.8677906577990724</v>
      </c>
    </row>
    <row r="60" spans="1:13" x14ac:dyDescent="0.2">
      <c r="A60" s="3">
        <v>49</v>
      </c>
      <c r="B60" s="25">
        <f t="shared" ca="1" si="0"/>
        <v>0.19598627901468491</v>
      </c>
      <c r="C60" s="26">
        <f t="shared" ca="1" si="1"/>
        <v>4.287908803225899</v>
      </c>
      <c r="D60" s="26">
        <f t="shared" ca="1" si="2"/>
        <v>4.287908803225899</v>
      </c>
      <c r="E60" s="3">
        <v>8</v>
      </c>
      <c r="F60" s="26">
        <f t="shared" ca="1" si="3"/>
        <v>0</v>
      </c>
      <c r="G60" s="3">
        <f t="shared" ca="1" si="4"/>
        <v>0</v>
      </c>
      <c r="J60" s="3">
        <v>45</v>
      </c>
      <c r="K60" s="3">
        <v>6</v>
      </c>
      <c r="L60" s="26">
        <v>0.11538461538461539</v>
      </c>
      <c r="M60" s="26">
        <v>5.9710226333068679</v>
      </c>
    </row>
    <row r="61" spans="1:13" x14ac:dyDescent="0.2">
      <c r="A61" s="3">
        <v>50</v>
      </c>
      <c r="B61" s="25">
        <f t="shared" ca="1" si="0"/>
        <v>0.78752985260043584</v>
      </c>
      <c r="C61" s="26">
        <f t="shared" ca="1" si="1"/>
        <v>7.5957594341874284</v>
      </c>
      <c r="D61" s="26">
        <f t="shared" ca="1" si="2"/>
        <v>7.5957594341874284</v>
      </c>
      <c r="E61" s="3">
        <v>8</v>
      </c>
      <c r="F61" s="26">
        <f t="shared" ca="1" si="3"/>
        <v>0</v>
      </c>
      <c r="G61" s="3">
        <f t="shared" ca="1" si="4"/>
        <v>0</v>
      </c>
      <c r="J61" s="3">
        <v>46</v>
      </c>
      <c r="K61" s="3">
        <v>8</v>
      </c>
      <c r="L61" s="26">
        <v>0.15384615384615385</v>
      </c>
      <c r="M61" s="26">
        <v>5.7818484205220715</v>
      </c>
    </row>
    <row r="62" spans="1:13" x14ac:dyDescent="0.2">
      <c r="A62" s="3">
        <v>51</v>
      </c>
      <c r="B62" s="25">
        <f t="shared" ca="1" si="0"/>
        <v>0.50619317931614549</v>
      </c>
      <c r="C62" s="26">
        <f t="shared" ca="1" si="1"/>
        <v>6.0310492439388286</v>
      </c>
      <c r="D62" s="26">
        <f t="shared" ca="1" si="2"/>
        <v>6.0310492439388286</v>
      </c>
      <c r="E62" s="3">
        <v>8</v>
      </c>
      <c r="F62" s="26">
        <f t="shared" ca="1" si="3"/>
        <v>0</v>
      </c>
      <c r="G62" s="3">
        <f t="shared" ca="1" si="4"/>
        <v>0</v>
      </c>
      <c r="J62" s="3">
        <v>47</v>
      </c>
      <c r="K62" s="3">
        <v>8</v>
      </c>
      <c r="L62" s="26">
        <v>0.15384615384615385</v>
      </c>
      <c r="M62" s="26">
        <v>5.8135943522994005</v>
      </c>
    </row>
    <row r="63" spans="1:13" x14ac:dyDescent="0.2">
      <c r="A63" s="3">
        <v>52</v>
      </c>
      <c r="B63" s="25">
        <f t="shared" ca="1" si="0"/>
        <v>0.19709174049579004</v>
      </c>
      <c r="C63" s="26">
        <f t="shared" ca="1" si="1"/>
        <v>4.2958896921045797</v>
      </c>
      <c r="D63" s="26">
        <f t="shared" ca="1" si="2"/>
        <v>4.2958896921045797</v>
      </c>
      <c r="E63" s="3">
        <v>8</v>
      </c>
      <c r="F63" s="26">
        <f t="shared" ca="1" si="3"/>
        <v>0</v>
      </c>
      <c r="G63" s="3">
        <f t="shared" ca="1" si="4"/>
        <v>0</v>
      </c>
      <c r="J63" s="3">
        <v>48</v>
      </c>
      <c r="K63" s="3">
        <v>11</v>
      </c>
      <c r="L63" s="26">
        <v>0.21153846153846154</v>
      </c>
      <c r="M63" s="26">
        <v>6.3605527876623054</v>
      </c>
    </row>
    <row r="64" spans="1:13" x14ac:dyDescent="0.2">
      <c r="A64" s="5"/>
      <c r="B64" s="5"/>
      <c r="C64" s="5"/>
      <c r="D64" s="31" t="s">
        <v>22</v>
      </c>
      <c r="E64" s="4"/>
      <c r="F64" s="4"/>
      <c r="G64" s="34">
        <f ca="1">COUNTIF(G12:G63,1)</f>
        <v>7</v>
      </c>
      <c r="J64" s="3">
        <v>49</v>
      </c>
      <c r="K64" s="3">
        <v>23</v>
      </c>
      <c r="L64" s="26">
        <v>0.44230769230769229</v>
      </c>
      <c r="M64" s="26">
        <v>6.5596536673535173</v>
      </c>
    </row>
    <row r="65" spans="1:13" x14ac:dyDescent="0.2">
      <c r="A65" s="10"/>
      <c r="B65" s="10"/>
      <c r="C65" s="10"/>
      <c r="D65" s="32" t="s">
        <v>21</v>
      </c>
      <c r="E65" s="7"/>
      <c r="F65" s="7"/>
      <c r="G65" s="35">
        <f ca="1">G64/52</f>
        <v>0.13461538461538461</v>
      </c>
      <c r="J65" s="3">
        <v>50</v>
      </c>
      <c r="K65" s="3">
        <v>15</v>
      </c>
      <c r="L65" s="26">
        <v>0.28846153846153844</v>
      </c>
      <c r="M65" s="26">
        <v>6.0614614029485363</v>
      </c>
    </row>
    <row r="66" spans="1:13" ht="13.5" thickBot="1" x14ac:dyDescent="0.25">
      <c r="A66" s="6"/>
      <c r="B66" s="6"/>
      <c r="C66" s="6"/>
      <c r="D66" s="33" t="s">
        <v>26</v>
      </c>
      <c r="E66" s="6"/>
      <c r="F66" s="6"/>
      <c r="G66" s="36">
        <f ca="1">AVERAGE(C12:C63)</f>
        <v>5.7632760406599539</v>
      </c>
      <c r="J66" s="3">
        <v>51</v>
      </c>
      <c r="K66" s="3">
        <v>8</v>
      </c>
      <c r="L66" s="26">
        <v>0.15384615384615385</v>
      </c>
      <c r="M66" s="26">
        <v>5.5957272471629329</v>
      </c>
    </row>
    <row r="67" spans="1:13" ht="13.5" thickTop="1" x14ac:dyDescent="0.2">
      <c r="J67" s="3">
        <v>52</v>
      </c>
      <c r="K67" s="3">
        <v>10</v>
      </c>
      <c r="L67" s="26">
        <v>0.19230769230769232</v>
      </c>
      <c r="M67" s="26">
        <v>5.8407103446703097</v>
      </c>
    </row>
    <row r="68" spans="1:13" ht="12.75" hidden="1" customHeight="1" x14ac:dyDescent="0.2">
      <c r="J68" s="3">
        <v>53</v>
      </c>
      <c r="K68" s="3">
        <v>8</v>
      </c>
      <c r="L68" s="26">
        <v>0.15384615384615385</v>
      </c>
      <c r="M68" s="26">
        <v>6.1898387655876812</v>
      </c>
    </row>
    <row r="69" spans="1:13" ht="12.75" hidden="1" customHeight="1" x14ac:dyDescent="0.2">
      <c r="J69" s="3">
        <v>54</v>
      </c>
      <c r="K69" s="3">
        <v>17</v>
      </c>
      <c r="L69" s="26">
        <v>0.32692307692307693</v>
      </c>
      <c r="M69" s="26">
        <v>6.2788111249887146</v>
      </c>
    </row>
    <row r="70" spans="1:13" ht="12.75" hidden="1" customHeight="1" x14ac:dyDescent="0.2">
      <c r="J70" s="3">
        <v>55</v>
      </c>
      <c r="K70" s="3">
        <v>18</v>
      </c>
      <c r="L70" s="26">
        <v>0.34615384615384615</v>
      </c>
      <c r="M70" s="26">
        <v>6.3537438506136956</v>
      </c>
    </row>
    <row r="71" spans="1:13" ht="12.75" hidden="1" customHeight="1" x14ac:dyDescent="0.2">
      <c r="J71" s="3">
        <v>56</v>
      </c>
      <c r="K71" s="3">
        <v>10</v>
      </c>
      <c r="L71" s="26">
        <v>0.19230769230769232</v>
      </c>
      <c r="M71" s="26">
        <v>6.021974234678745</v>
      </c>
    </row>
    <row r="72" spans="1:13" ht="12.75" hidden="1" customHeight="1" x14ac:dyDescent="0.2">
      <c r="J72" s="3">
        <v>57</v>
      </c>
      <c r="K72" s="3">
        <v>21</v>
      </c>
      <c r="L72" s="26">
        <v>0.40384615384615385</v>
      </c>
      <c r="M72" s="26">
        <v>6.5689864154661768</v>
      </c>
    </row>
    <row r="73" spans="1:13" ht="12.75" hidden="1" customHeight="1" x14ac:dyDescent="0.2">
      <c r="J73" s="3">
        <v>58</v>
      </c>
      <c r="K73" s="3">
        <v>13</v>
      </c>
      <c r="L73" s="26">
        <v>0.25</v>
      </c>
      <c r="M73" s="26">
        <v>5.8246464415220167</v>
      </c>
    </row>
    <row r="74" spans="1:13" ht="12.75" hidden="1" customHeight="1" x14ac:dyDescent="0.2">
      <c r="J74" s="3">
        <v>59</v>
      </c>
      <c r="K74" s="3">
        <v>10</v>
      </c>
      <c r="L74" s="26">
        <v>0.19230769230769232</v>
      </c>
      <c r="M74" s="26">
        <v>5.7630046647941686</v>
      </c>
    </row>
    <row r="75" spans="1:13" ht="12.75" hidden="1" customHeight="1" x14ac:dyDescent="0.2">
      <c r="J75" s="3">
        <v>60</v>
      </c>
      <c r="K75" s="3">
        <v>12</v>
      </c>
      <c r="L75" s="26">
        <v>0.23076923076923078</v>
      </c>
      <c r="M75" s="26">
        <v>6.0606720454139582</v>
      </c>
    </row>
    <row r="76" spans="1:13" ht="12.75" hidden="1" customHeight="1" x14ac:dyDescent="0.2">
      <c r="J76" s="3">
        <v>61</v>
      </c>
      <c r="K76" s="3">
        <v>8</v>
      </c>
      <c r="L76" s="26">
        <v>0.15384615384615385</v>
      </c>
      <c r="M76" s="26">
        <v>5.9756292514906928</v>
      </c>
    </row>
    <row r="77" spans="1:13" ht="12.75" hidden="1" customHeight="1" x14ac:dyDescent="0.2">
      <c r="J77" s="3">
        <v>62</v>
      </c>
      <c r="K77" s="3">
        <v>4</v>
      </c>
      <c r="L77" s="26">
        <v>7.6923076923076927E-2</v>
      </c>
      <c r="M77" s="26">
        <v>5.7840037911017763</v>
      </c>
    </row>
    <row r="78" spans="1:13" ht="12.75" hidden="1" customHeight="1" x14ac:dyDescent="0.2">
      <c r="J78" s="3">
        <v>63</v>
      </c>
      <c r="K78" s="3">
        <v>13</v>
      </c>
      <c r="L78" s="26">
        <v>0.25</v>
      </c>
      <c r="M78" s="26">
        <v>6.0612284124860913</v>
      </c>
    </row>
    <row r="79" spans="1:13" ht="12.75" hidden="1" customHeight="1" x14ac:dyDescent="0.2">
      <c r="J79" s="3">
        <v>64</v>
      </c>
      <c r="K79" s="3">
        <v>6</v>
      </c>
      <c r="L79" s="26">
        <v>0.11538461538461539</v>
      </c>
      <c r="M79" s="26">
        <v>5.8777958046803684</v>
      </c>
    </row>
    <row r="80" spans="1:13" ht="12.75" hidden="1" customHeight="1" x14ac:dyDescent="0.2">
      <c r="J80" s="3">
        <v>65</v>
      </c>
      <c r="K80" s="3">
        <v>6</v>
      </c>
      <c r="L80" s="26">
        <v>0.11538461538461539</v>
      </c>
      <c r="M80" s="26">
        <v>5.6917902302649388</v>
      </c>
    </row>
    <row r="81" spans="10:13" ht="12.75" hidden="1" customHeight="1" x14ac:dyDescent="0.2">
      <c r="J81" s="3">
        <v>66</v>
      </c>
      <c r="K81" s="3">
        <v>4</v>
      </c>
      <c r="L81" s="26">
        <v>7.6923076923076927E-2</v>
      </c>
      <c r="M81" s="26">
        <v>5.3722681455310886</v>
      </c>
    </row>
    <row r="82" spans="10:13" ht="12.75" hidden="1" customHeight="1" x14ac:dyDescent="0.2">
      <c r="J82" s="3">
        <v>67</v>
      </c>
      <c r="K82" s="3">
        <v>12</v>
      </c>
      <c r="L82" s="26">
        <v>0.23076923076923078</v>
      </c>
      <c r="M82" s="26">
        <v>5.9972284817476549</v>
      </c>
    </row>
    <row r="83" spans="10:13" ht="12.75" hidden="1" customHeight="1" x14ac:dyDescent="0.2">
      <c r="J83" s="3">
        <v>68</v>
      </c>
      <c r="K83" s="3">
        <v>19</v>
      </c>
      <c r="L83" s="26">
        <v>0.36538461538461536</v>
      </c>
      <c r="M83" s="26">
        <v>6.5055053659615591</v>
      </c>
    </row>
    <row r="84" spans="10:13" ht="12.75" hidden="1" customHeight="1" x14ac:dyDescent="0.2">
      <c r="J84" s="3">
        <v>69</v>
      </c>
      <c r="K84" s="3">
        <v>11</v>
      </c>
      <c r="L84" s="26">
        <v>0.21153846153846154</v>
      </c>
      <c r="M84" s="26">
        <v>5.6422079009019104</v>
      </c>
    </row>
    <row r="85" spans="10:13" ht="12.75" hidden="1" customHeight="1" x14ac:dyDescent="0.2">
      <c r="J85" s="3">
        <v>70</v>
      </c>
      <c r="K85" s="3">
        <v>12</v>
      </c>
      <c r="L85" s="26">
        <v>0.23076923076923078</v>
      </c>
      <c r="M85" s="26">
        <v>6.1826100058183648</v>
      </c>
    </row>
    <row r="86" spans="10:13" ht="12.75" hidden="1" customHeight="1" x14ac:dyDescent="0.2">
      <c r="J86" s="3">
        <v>71</v>
      </c>
      <c r="K86" s="3">
        <v>6</v>
      </c>
      <c r="L86" s="26">
        <v>0.11538461538461539</v>
      </c>
      <c r="M86" s="26">
        <v>5.8555892890301831</v>
      </c>
    </row>
    <row r="87" spans="10:13" ht="12.75" hidden="1" customHeight="1" x14ac:dyDescent="0.2">
      <c r="J87" s="3">
        <v>72</v>
      </c>
      <c r="K87" s="3">
        <v>13</v>
      </c>
      <c r="L87" s="26">
        <v>0.25</v>
      </c>
      <c r="M87" s="26">
        <v>6.171858628195162</v>
      </c>
    </row>
    <row r="88" spans="10:13" ht="12.75" hidden="1" customHeight="1" x14ac:dyDescent="0.2">
      <c r="J88" s="3">
        <v>73</v>
      </c>
      <c r="K88" s="3">
        <v>11</v>
      </c>
      <c r="L88" s="26">
        <v>0.21153846153846154</v>
      </c>
      <c r="M88" s="26">
        <v>5.8784191793298213</v>
      </c>
    </row>
    <row r="89" spans="10:13" ht="12.75" hidden="1" customHeight="1" x14ac:dyDescent="0.2">
      <c r="J89" s="3">
        <v>74</v>
      </c>
      <c r="K89" s="3">
        <v>8</v>
      </c>
      <c r="L89" s="26">
        <v>0.15384615384615385</v>
      </c>
      <c r="M89" s="26">
        <v>5.9160359070552122</v>
      </c>
    </row>
    <row r="90" spans="10:13" ht="12.75" hidden="1" customHeight="1" x14ac:dyDescent="0.2">
      <c r="J90" s="3">
        <v>75</v>
      </c>
      <c r="K90" s="3">
        <v>5</v>
      </c>
      <c r="L90" s="26">
        <v>9.6153846153846159E-2</v>
      </c>
      <c r="M90" s="26">
        <v>5.7049852416793509</v>
      </c>
    </row>
    <row r="91" spans="10:13" ht="12.75" hidden="1" customHeight="1" x14ac:dyDescent="0.2">
      <c r="J91" s="3">
        <v>76</v>
      </c>
      <c r="K91" s="3">
        <v>8</v>
      </c>
      <c r="L91" s="26">
        <v>0.15384615384615385</v>
      </c>
      <c r="M91" s="26">
        <v>5.8668668340018559</v>
      </c>
    </row>
    <row r="92" spans="10:13" ht="12.75" hidden="1" customHeight="1" x14ac:dyDescent="0.2">
      <c r="J92" s="3">
        <v>77</v>
      </c>
      <c r="K92" s="3">
        <v>9</v>
      </c>
      <c r="L92" s="26">
        <v>0.17307692307692307</v>
      </c>
      <c r="M92" s="26">
        <v>5.7546111789149466</v>
      </c>
    </row>
    <row r="93" spans="10:13" ht="12.75" hidden="1" customHeight="1" x14ac:dyDescent="0.2">
      <c r="J93" s="3">
        <v>78</v>
      </c>
      <c r="K93" s="3">
        <v>14</v>
      </c>
      <c r="L93" s="26">
        <v>0.26923076923076922</v>
      </c>
      <c r="M93" s="26">
        <v>6.1606048118203169</v>
      </c>
    </row>
    <row r="94" spans="10:13" ht="12.75" hidden="1" customHeight="1" x14ac:dyDescent="0.2">
      <c r="J94" s="3">
        <v>79</v>
      </c>
      <c r="K94" s="3">
        <v>11</v>
      </c>
      <c r="L94" s="26">
        <v>0.21153846153846154</v>
      </c>
      <c r="M94" s="26">
        <v>6.1351739920155843</v>
      </c>
    </row>
    <row r="95" spans="10:13" ht="12.75" hidden="1" customHeight="1" x14ac:dyDescent="0.2">
      <c r="J95" s="3">
        <v>80</v>
      </c>
      <c r="K95" s="3">
        <v>9</v>
      </c>
      <c r="L95" s="26">
        <v>0.17307692307692307</v>
      </c>
      <c r="M95" s="26">
        <v>5.9186871257232303</v>
      </c>
    </row>
    <row r="96" spans="10:13" ht="12.75" hidden="1" customHeight="1" x14ac:dyDescent="0.2">
      <c r="J96" s="3">
        <v>81</v>
      </c>
      <c r="K96" s="3">
        <v>2</v>
      </c>
      <c r="L96" s="26">
        <v>3.8461538461538464E-2</v>
      </c>
      <c r="M96" s="26">
        <v>5.5383193696032356</v>
      </c>
    </row>
    <row r="97" spans="10:13" ht="12.75" hidden="1" customHeight="1" x14ac:dyDescent="0.2">
      <c r="J97" s="3">
        <v>82</v>
      </c>
      <c r="K97" s="3">
        <v>14</v>
      </c>
      <c r="L97" s="26">
        <v>0.26923076923076922</v>
      </c>
      <c r="M97" s="26">
        <v>6.4134024835037513</v>
      </c>
    </row>
    <row r="98" spans="10:13" ht="12.75" hidden="1" customHeight="1" x14ac:dyDescent="0.2">
      <c r="J98" s="3">
        <v>83</v>
      </c>
      <c r="K98" s="3">
        <v>3</v>
      </c>
      <c r="L98" s="26">
        <v>5.7692307692307696E-2</v>
      </c>
      <c r="M98" s="26">
        <v>5.6434873802949985</v>
      </c>
    </row>
    <row r="99" spans="10:13" ht="12.75" hidden="1" customHeight="1" x14ac:dyDescent="0.2">
      <c r="J99" s="3">
        <v>84</v>
      </c>
      <c r="K99" s="3">
        <v>7</v>
      </c>
      <c r="L99" s="26">
        <v>0.13461538461538461</v>
      </c>
      <c r="M99" s="26">
        <v>5.5877519932415192</v>
      </c>
    </row>
    <row r="100" spans="10:13" ht="12.75" hidden="1" customHeight="1" x14ac:dyDescent="0.2">
      <c r="J100" s="3">
        <v>85</v>
      </c>
      <c r="K100" s="3">
        <v>14</v>
      </c>
      <c r="L100" s="26">
        <v>0.26923076923076922</v>
      </c>
      <c r="M100" s="26">
        <v>6.2773344004790541</v>
      </c>
    </row>
    <row r="101" spans="10:13" ht="12.75" hidden="1" customHeight="1" x14ac:dyDescent="0.2">
      <c r="J101" s="3">
        <v>86</v>
      </c>
      <c r="K101" s="3">
        <v>11</v>
      </c>
      <c r="L101" s="26">
        <v>0.21153846153846154</v>
      </c>
      <c r="M101" s="26">
        <v>5.9737680251084537</v>
      </c>
    </row>
    <row r="102" spans="10:13" ht="12.75" hidden="1" customHeight="1" x14ac:dyDescent="0.2">
      <c r="J102" s="3">
        <v>87</v>
      </c>
      <c r="K102" s="3">
        <v>13</v>
      </c>
      <c r="L102" s="26">
        <v>0.25</v>
      </c>
      <c r="M102" s="26">
        <v>6.2989121662902745</v>
      </c>
    </row>
    <row r="103" spans="10:13" ht="12.75" hidden="1" customHeight="1" x14ac:dyDescent="0.2">
      <c r="J103" s="3">
        <v>88</v>
      </c>
      <c r="K103" s="3">
        <v>11</v>
      </c>
      <c r="L103" s="26">
        <v>0.21153846153846154</v>
      </c>
      <c r="M103" s="26">
        <v>5.5460684652550452</v>
      </c>
    </row>
    <row r="104" spans="10:13" ht="12.75" hidden="1" customHeight="1" x14ac:dyDescent="0.2">
      <c r="J104" s="3">
        <v>89</v>
      </c>
      <c r="K104" s="3">
        <v>17</v>
      </c>
      <c r="L104" s="26">
        <v>0.32692307692307693</v>
      </c>
      <c r="M104" s="26">
        <v>6.1191120840547875</v>
      </c>
    </row>
    <row r="105" spans="10:13" ht="12.75" hidden="1" customHeight="1" x14ac:dyDescent="0.2">
      <c r="J105" s="3">
        <v>90</v>
      </c>
      <c r="K105" s="3">
        <v>9</v>
      </c>
      <c r="L105" s="26">
        <v>0.17307692307692307</v>
      </c>
      <c r="M105" s="26">
        <v>5.7045125315029086</v>
      </c>
    </row>
    <row r="106" spans="10:13" ht="12.75" hidden="1" customHeight="1" x14ac:dyDescent="0.2">
      <c r="J106" s="3">
        <v>91</v>
      </c>
      <c r="K106" s="3">
        <v>7</v>
      </c>
      <c r="L106" s="26">
        <v>0.13461538461538461</v>
      </c>
      <c r="M106" s="26">
        <v>5.863712198712026</v>
      </c>
    </row>
    <row r="107" spans="10:13" ht="12.75" hidden="1" customHeight="1" x14ac:dyDescent="0.2">
      <c r="J107" s="3">
        <v>92</v>
      </c>
      <c r="K107" s="3">
        <v>13</v>
      </c>
      <c r="L107" s="26">
        <v>0.25</v>
      </c>
      <c r="M107" s="26">
        <v>5.8710980245747972</v>
      </c>
    </row>
    <row r="108" spans="10:13" ht="12.75" hidden="1" customHeight="1" x14ac:dyDescent="0.2">
      <c r="J108" s="3">
        <v>93</v>
      </c>
      <c r="K108" s="3">
        <v>9</v>
      </c>
      <c r="L108" s="26">
        <v>0.17307692307692307</v>
      </c>
      <c r="M108" s="26">
        <v>5.7071035579279688</v>
      </c>
    </row>
    <row r="109" spans="10:13" ht="12.75" hidden="1" customHeight="1" x14ac:dyDescent="0.2">
      <c r="J109" s="3">
        <v>94</v>
      </c>
      <c r="K109" s="3">
        <v>10</v>
      </c>
      <c r="L109" s="26">
        <v>0.19230769230769232</v>
      </c>
      <c r="M109" s="26">
        <v>5.8421159737002641</v>
      </c>
    </row>
    <row r="110" spans="10:13" ht="12.75" hidden="1" customHeight="1" x14ac:dyDescent="0.2">
      <c r="J110" s="3">
        <v>95</v>
      </c>
      <c r="K110" s="3">
        <v>5</v>
      </c>
      <c r="L110" s="26">
        <v>9.6153846153846159E-2</v>
      </c>
      <c r="M110" s="26">
        <v>5.9175215521125715</v>
      </c>
    </row>
    <row r="111" spans="10:13" ht="12.75" hidden="1" customHeight="1" x14ac:dyDescent="0.2">
      <c r="J111" s="3">
        <v>96</v>
      </c>
      <c r="K111" s="3">
        <v>9</v>
      </c>
      <c r="L111" s="26">
        <v>0.17307692307692307</v>
      </c>
      <c r="M111" s="26">
        <v>5.9149000072994316</v>
      </c>
    </row>
    <row r="112" spans="10:13" ht="12.75" hidden="1" customHeight="1" x14ac:dyDescent="0.2">
      <c r="J112" s="3">
        <v>97</v>
      </c>
      <c r="K112" s="3">
        <v>5</v>
      </c>
      <c r="L112" s="26">
        <v>9.6153846153846159E-2</v>
      </c>
      <c r="M112" s="26">
        <v>5.6975684763777101</v>
      </c>
    </row>
    <row r="113" spans="4:13" x14ac:dyDescent="0.2">
      <c r="D113" s="7"/>
      <c r="E113" s="7"/>
      <c r="F113" s="7"/>
      <c r="G113" s="8"/>
      <c r="J113" s="3">
        <v>98</v>
      </c>
      <c r="K113" s="3">
        <v>14</v>
      </c>
      <c r="L113" s="26">
        <v>0.26923076923076922</v>
      </c>
      <c r="M113" s="26">
        <v>6.1034836649707227</v>
      </c>
    </row>
    <row r="114" spans="4:13" x14ac:dyDescent="0.2">
      <c r="D114" s="7"/>
      <c r="E114" s="7"/>
      <c r="F114" s="7"/>
      <c r="G114" s="9"/>
      <c r="J114" s="3">
        <v>99</v>
      </c>
      <c r="K114" s="3">
        <v>13</v>
      </c>
      <c r="L114" s="26">
        <v>0.25</v>
      </c>
      <c r="M114" s="26">
        <v>5.9655307029636742</v>
      </c>
    </row>
    <row r="115" spans="4:13" x14ac:dyDescent="0.2">
      <c r="J115" s="2">
        <v>100</v>
      </c>
      <c r="K115" s="2">
        <v>6</v>
      </c>
      <c r="L115" s="27">
        <v>0.11538461538461539</v>
      </c>
      <c r="M115" s="27">
        <v>6.1275023797109629</v>
      </c>
    </row>
  </sheetData>
  <mergeCells count="3">
    <mergeCell ref="A1:N1"/>
    <mergeCell ref="A2:N2"/>
    <mergeCell ref="J13:M13"/>
  </mergeCells>
  <pageMargins left="0.75" right="0.53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Non Uniform (8 Hours)</vt:lpstr>
      <vt:lpstr>Non Uniform (10 Hours)</vt:lpstr>
      <vt:lpstr>Normal</vt:lpstr>
      <vt:lpstr>'Non Uniform (10 Hours)'!Print_Area</vt:lpstr>
      <vt:lpstr>Normal!Print_Area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Laptop</dc:creator>
  <cp:lastModifiedBy>Shahid Ahmad</cp:lastModifiedBy>
  <cp:lastPrinted>2018-01-04T05:05:04Z</cp:lastPrinted>
  <dcterms:created xsi:type="dcterms:W3CDTF">2002-10-14T18:52:10Z</dcterms:created>
  <dcterms:modified xsi:type="dcterms:W3CDTF">2018-10-12T07:09:35Z</dcterms:modified>
</cp:coreProperties>
</file>