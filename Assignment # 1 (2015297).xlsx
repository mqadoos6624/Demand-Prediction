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-Q\ALL COURSES  ( 401 )  7TH  SEMESTER\ALL (ES-444) COMPUTER SIMULATION PROCESSES\ASSIGNMENTS AND PROJECT\PROJECT\FOR FACULTY\EXTRAS\"/>
    </mc:Choice>
  </mc:AlternateContent>
  <xr:revisionPtr revIDLastSave="0" documentId="13_ncr:1_{9437CA3B-0623-4070-8727-655E52DDF6EB}" xr6:coauthVersionLast="38" xr6:coauthVersionMax="38" xr10:uidLastSave="{00000000-0000-0000-0000-000000000000}"/>
  <bookViews>
    <workbookView xWindow="0" yWindow="0" windowWidth="20490" windowHeight="7545" firstSheet="1" activeTab="3" xr2:uid="{00000000-000D-0000-FFFF-FFFF00000000}"/>
  </bookViews>
  <sheets>
    <sheet name="Sheet3" sheetId="3" state="hidden" r:id="rId1"/>
    <sheet name="Repair Time(8 Hours)" sheetId="4" r:id="rId2"/>
    <sheet name="Repair Time(10 Hours)" sheetId="6" r:id="rId3"/>
    <sheet name="Repair Time Using Normal Dist." sheetId="7" r:id="rId4"/>
  </sheets>
  <calcPr calcId="162913" calcMode="autoNoTable"/>
</workbook>
</file>

<file path=xl/calcChain.xml><?xml version="1.0" encoding="utf-8"?>
<calcChain xmlns="http://schemas.openxmlformats.org/spreadsheetml/2006/main">
  <c r="D15" i="7" l="1"/>
  <c r="H19" i="4"/>
  <c r="N104" i="7"/>
  <c r="H18" i="7" s="1"/>
  <c r="L104" i="7"/>
  <c r="H16" i="7" s="1"/>
  <c r="H19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H17" i="7"/>
  <c r="D14" i="7"/>
  <c r="D8" i="7"/>
  <c r="C8" i="7"/>
  <c r="D5" i="7" s="1"/>
  <c r="N104" i="6"/>
  <c r="H18" i="6" s="1"/>
  <c r="L104" i="6"/>
  <c r="H16" i="6" s="1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H19" i="6"/>
  <c r="H17" i="6"/>
  <c r="D14" i="6"/>
  <c r="D8" i="6"/>
  <c r="E5" i="6" s="1"/>
  <c r="C8" i="6"/>
  <c r="D5" i="6"/>
  <c r="D14" i="4"/>
  <c r="E5" i="7" l="1"/>
  <c r="E8" i="7"/>
  <c r="E8" i="6"/>
  <c r="F8" i="7" l="1"/>
  <c r="F5" i="7"/>
  <c r="F5" i="6"/>
  <c r="F8" i="6"/>
  <c r="G8" i="7" l="1"/>
  <c r="G5" i="7"/>
  <c r="G8" i="6"/>
  <c r="G5" i="6"/>
  <c r="C36" i="6"/>
  <c r="C28" i="6"/>
  <c r="C44" i="6"/>
  <c r="C24" i="6"/>
  <c r="C50" i="6"/>
  <c r="C56" i="6"/>
  <c r="C65" i="6"/>
  <c r="C61" i="6"/>
  <c r="C66" i="6"/>
  <c r="C38" i="6"/>
  <c r="C35" i="6"/>
  <c r="C31" i="6"/>
  <c r="C45" i="6"/>
  <c r="C30" i="6"/>
  <c r="C26" i="6"/>
  <c r="C32" i="6"/>
  <c r="C49" i="6"/>
  <c r="C27" i="6"/>
  <c r="C55" i="6"/>
  <c r="C60" i="6"/>
  <c r="C33" i="6"/>
  <c r="C42" i="6"/>
  <c r="C46" i="6"/>
  <c r="C59" i="6"/>
  <c r="C71" i="6"/>
  <c r="C41" i="6"/>
  <c r="H5" i="7" l="1"/>
  <c r="H8" i="7"/>
  <c r="D23" i="7"/>
  <c r="H8" i="6"/>
  <c r="H5" i="6"/>
  <c r="E23" i="7" l="1"/>
  <c r="I5" i="7"/>
  <c r="I8" i="7"/>
  <c r="C52" i="6"/>
  <c r="C40" i="6"/>
  <c r="C37" i="6"/>
  <c r="C63" i="6"/>
  <c r="C23" i="6"/>
  <c r="C68" i="6"/>
  <c r="C58" i="6"/>
  <c r="C67" i="6"/>
  <c r="C47" i="6"/>
  <c r="C74" i="6"/>
  <c r="C69" i="6"/>
  <c r="C70" i="6"/>
  <c r="C53" i="6"/>
  <c r="C25" i="6"/>
  <c r="C43" i="6"/>
  <c r="C64" i="6"/>
  <c r="C29" i="6"/>
  <c r="C48" i="6"/>
  <c r="C62" i="6"/>
  <c r="C34" i="6"/>
  <c r="C51" i="6"/>
  <c r="C57" i="6"/>
  <c r="I5" i="6"/>
  <c r="C39" i="6" s="1"/>
  <c r="I8" i="6"/>
  <c r="C76" i="7" l="1"/>
  <c r="H11" i="7" s="1"/>
  <c r="N2" i="7" s="1"/>
  <c r="D24" i="7"/>
  <c r="F23" i="7"/>
  <c r="C54" i="6"/>
  <c r="C72" i="6"/>
  <c r="C73" i="6"/>
  <c r="D23" i="6"/>
  <c r="E24" i="7" l="1"/>
  <c r="E23" i="6"/>
  <c r="G23" i="6" s="1"/>
  <c r="C76" i="6"/>
  <c r="H11" i="6" s="1"/>
  <c r="N2" i="6" s="1"/>
  <c r="F24" i="7" l="1"/>
  <c r="D25" i="7"/>
  <c r="F23" i="6"/>
  <c r="D24" i="6"/>
  <c r="E25" i="7" l="1"/>
  <c r="E24" i="6"/>
  <c r="G24" i="6" s="1"/>
  <c r="F25" i="7" l="1"/>
  <c r="D26" i="7"/>
  <c r="F24" i="6"/>
  <c r="D25" i="6"/>
  <c r="E26" i="7" l="1"/>
  <c r="E25" i="6"/>
  <c r="G25" i="6" s="1"/>
  <c r="F26" i="7" l="1"/>
  <c r="D27" i="7"/>
  <c r="F25" i="6"/>
  <c r="D26" i="6"/>
  <c r="E27" i="7" l="1"/>
  <c r="E26" i="6"/>
  <c r="G26" i="6" s="1"/>
  <c r="F27" i="7" l="1"/>
  <c r="D28" i="7"/>
  <c r="E28" i="7" s="1"/>
  <c r="F26" i="6"/>
  <c r="D27" i="6"/>
  <c r="F28" i="7" l="1"/>
  <c r="D29" i="7"/>
  <c r="E29" i="7" s="1"/>
  <c r="E27" i="6"/>
  <c r="G27" i="6" s="1"/>
  <c r="F29" i="7" l="1"/>
  <c r="D30" i="7"/>
  <c r="E30" i="7" s="1"/>
  <c r="F27" i="6"/>
  <c r="D28" i="6"/>
  <c r="E28" i="6" s="1"/>
  <c r="G28" i="6" s="1"/>
  <c r="F30" i="7" l="1"/>
  <c r="D31" i="7"/>
  <c r="E31" i="7" s="1"/>
  <c r="F28" i="6"/>
  <c r="D29" i="6"/>
  <c r="E29" i="6" s="1"/>
  <c r="G29" i="6" s="1"/>
  <c r="F31" i="7" l="1"/>
  <c r="D32" i="7"/>
  <c r="E32" i="7" s="1"/>
  <c r="F29" i="6"/>
  <c r="D30" i="6"/>
  <c r="E30" i="6" s="1"/>
  <c r="G30" i="6" s="1"/>
  <c r="F32" i="7" l="1"/>
  <c r="D33" i="7"/>
  <c r="E33" i="7" s="1"/>
  <c r="F30" i="6"/>
  <c r="D31" i="6"/>
  <c r="E31" i="6" s="1"/>
  <c r="G31" i="6" s="1"/>
  <c r="F33" i="7" l="1"/>
  <c r="D34" i="7"/>
  <c r="E34" i="7" s="1"/>
  <c r="F31" i="6"/>
  <c r="D32" i="6"/>
  <c r="E32" i="6" s="1"/>
  <c r="G32" i="6" s="1"/>
  <c r="F34" i="7" l="1"/>
  <c r="D35" i="7"/>
  <c r="E35" i="7" s="1"/>
  <c r="F32" i="6"/>
  <c r="D33" i="6"/>
  <c r="E33" i="6" s="1"/>
  <c r="G33" i="6" s="1"/>
  <c r="F35" i="7" l="1"/>
  <c r="D36" i="7"/>
  <c r="E36" i="7" s="1"/>
  <c r="F33" i="6"/>
  <c r="D34" i="6"/>
  <c r="E34" i="6" s="1"/>
  <c r="G34" i="6" s="1"/>
  <c r="F36" i="7" l="1"/>
  <c r="D37" i="7"/>
  <c r="E37" i="7" s="1"/>
  <c r="F34" i="6"/>
  <c r="D35" i="6"/>
  <c r="E35" i="6" s="1"/>
  <c r="G35" i="6" s="1"/>
  <c r="F37" i="7" l="1"/>
  <c r="D38" i="7"/>
  <c r="E38" i="7" s="1"/>
  <c r="F35" i="6"/>
  <c r="D36" i="6"/>
  <c r="E36" i="6" s="1"/>
  <c r="G36" i="6" s="1"/>
  <c r="F38" i="7" l="1"/>
  <c r="D39" i="7"/>
  <c r="E39" i="7" s="1"/>
  <c r="F36" i="6"/>
  <c r="D37" i="6"/>
  <c r="E37" i="6" s="1"/>
  <c r="G37" i="6" s="1"/>
  <c r="F39" i="7" l="1"/>
  <c r="D40" i="7"/>
  <c r="E40" i="7" s="1"/>
  <c r="F37" i="6"/>
  <c r="D38" i="6"/>
  <c r="E38" i="6" s="1"/>
  <c r="G38" i="6" s="1"/>
  <c r="F40" i="7" l="1"/>
  <c r="D41" i="7"/>
  <c r="E41" i="7" s="1"/>
  <c r="F38" i="6"/>
  <c r="D39" i="6"/>
  <c r="E39" i="6" s="1"/>
  <c r="G39" i="6" s="1"/>
  <c r="F41" i="7" l="1"/>
  <c r="D42" i="7"/>
  <c r="E42" i="7" s="1"/>
  <c r="F39" i="6"/>
  <c r="D40" i="6"/>
  <c r="E40" i="6" s="1"/>
  <c r="G40" i="6" s="1"/>
  <c r="F42" i="7" l="1"/>
  <c r="D43" i="7"/>
  <c r="E43" i="7" s="1"/>
  <c r="F40" i="6"/>
  <c r="D41" i="6"/>
  <c r="E41" i="6" s="1"/>
  <c r="G41" i="6" s="1"/>
  <c r="F43" i="7" l="1"/>
  <c r="D44" i="7"/>
  <c r="E44" i="7" s="1"/>
  <c r="F41" i="6"/>
  <c r="D42" i="6"/>
  <c r="E42" i="6" s="1"/>
  <c r="G42" i="6" s="1"/>
  <c r="F44" i="7" l="1"/>
  <c r="D45" i="7"/>
  <c r="E45" i="7" s="1"/>
  <c r="F42" i="6"/>
  <c r="D43" i="6"/>
  <c r="E43" i="6" s="1"/>
  <c r="G43" i="6" s="1"/>
  <c r="F45" i="7" l="1"/>
  <c r="D46" i="7"/>
  <c r="E46" i="7" s="1"/>
  <c r="F43" i="6"/>
  <c r="D44" i="6"/>
  <c r="E44" i="6" s="1"/>
  <c r="G44" i="6" s="1"/>
  <c r="F46" i="7" l="1"/>
  <c r="D47" i="7"/>
  <c r="E47" i="7" s="1"/>
  <c r="F44" i="6"/>
  <c r="D45" i="6"/>
  <c r="E45" i="6" s="1"/>
  <c r="G45" i="6" s="1"/>
  <c r="F47" i="7" l="1"/>
  <c r="D48" i="7"/>
  <c r="E48" i="7" s="1"/>
  <c r="F45" i="6"/>
  <c r="D46" i="6"/>
  <c r="E46" i="6" s="1"/>
  <c r="G46" i="6" s="1"/>
  <c r="F48" i="7" l="1"/>
  <c r="D49" i="7"/>
  <c r="E49" i="7" s="1"/>
  <c r="F46" i="6"/>
  <c r="D47" i="6"/>
  <c r="E47" i="6" s="1"/>
  <c r="G47" i="6" s="1"/>
  <c r="F49" i="7" l="1"/>
  <c r="D50" i="7"/>
  <c r="E50" i="7" s="1"/>
  <c r="F47" i="6"/>
  <c r="D48" i="6"/>
  <c r="E48" i="6" s="1"/>
  <c r="G48" i="6" s="1"/>
  <c r="F50" i="7" l="1"/>
  <c r="D51" i="7"/>
  <c r="E51" i="7" s="1"/>
  <c r="F48" i="6"/>
  <c r="D49" i="6"/>
  <c r="E49" i="6" s="1"/>
  <c r="G49" i="6" s="1"/>
  <c r="F51" i="7" l="1"/>
  <c r="D52" i="7"/>
  <c r="E52" i="7" s="1"/>
  <c r="F49" i="6"/>
  <c r="D50" i="6"/>
  <c r="E50" i="6" s="1"/>
  <c r="G50" i="6" s="1"/>
  <c r="F52" i="7" l="1"/>
  <c r="D53" i="7"/>
  <c r="E53" i="7" s="1"/>
  <c r="F50" i="6"/>
  <c r="D51" i="6"/>
  <c r="E51" i="6" s="1"/>
  <c r="G51" i="6" s="1"/>
  <c r="F53" i="7" l="1"/>
  <c r="D54" i="7"/>
  <c r="E54" i="7" s="1"/>
  <c r="F51" i="6"/>
  <c r="D52" i="6"/>
  <c r="E52" i="6" s="1"/>
  <c r="G52" i="6" s="1"/>
  <c r="F54" i="7" l="1"/>
  <c r="D55" i="7"/>
  <c r="E55" i="7" s="1"/>
  <c r="F52" i="6"/>
  <c r="D53" i="6"/>
  <c r="E53" i="6" s="1"/>
  <c r="G53" i="6" s="1"/>
  <c r="F55" i="7" l="1"/>
  <c r="D56" i="7"/>
  <c r="E56" i="7" s="1"/>
  <c r="F53" i="6"/>
  <c r="D54" i="6"/>
  <c r="E54" i="6" s="1"/>
  <c r="G54" i="6" s="1"/>
  <c r="F56" i="7" l="1"/>
  <c r="D57" i="7"/>
  <c r="E57" i="7" s="1"/>
  <c r="F54" i="6"/>
  <c r="D55" i="6"/>
  <c r="E55" i="6" s="1"/>
  <c r="G55" i="6" s="1"/>
  <c r="F57" i="7" l="1"/>
  <c r="D58" i="7"/>
  <c r="E58" i="7" s="1"/>
  <c r="F55" i="6"/>
  <c r="D56" i="6"/>
  <c r="E56" i="6" s="1"/>
  <c r="G56" i="6" s="1"/>
  <c r="F58" i="7" l="1"/>
  <c r="D59" i="7"/>
  <c r="E59" i="7" s="1"/>
  <c r="F56" i="6"/>
  <c r="D57" i="6"/>
  <c r="E57" i="6" s="1"/>
  <c r="G57" i="6" s="1"/>
  <c r="F59" i="7" l="1"/>
  <c r="D60" i="7"/>
  <c r="E60" i="7" s="1"/>
  <c r="F57" i="6"/>
  <c r="D58" i="6"/>
  <c r="E58" i="6" s="1"/>
  <c r="G58" i="6" s="1"/>
  <c r="F60" i="7" l="1"/>
  <c r="D61" i="7"/>
  <c r="E61" i="7" s="1"/>
  <c r="F58" i="6"/>
  <c r="D59" i="6"/>
  <c r="E59" i="6" s="1"/>
  <c r="G59" i="6" s="1"/>
  <c r="F61" i="7" l="1"/>
  <c r="D62" i="7"/>
  <c r="E62" i="7" s="1"/>
  <c r="F59" i="6"/>
  <c r="D60" i="6"/>
  <c r="E60" i="6" s="1"/>
  <c r="G60" i="6" s="1"/>
  <c r="F62" i="7" l="1"/>
  <c r="D63" i="7"/>
  <c r="E63" i="7" s="1"/>
  <c r="F60" i="6"/>
  <c r="D61" i="6"/>
  <c r="E61" i="6" s="1"/>
  <c r="G61" i="6" s="1"/>
  <c r="F63" i="7" l="1"/>
  <c r="D64" i="7"/>
  <c r="E64" i="7" s="1"/>
  <c r="F61" i="6"/>
  <c r="D62" i="6"/>
  <c r="E62" i="6" s="1"/>
  <c r="G62" i="6" s="1"/>
  <c r="F64" i="7" l="1"/>
  <c r="D65" i="7"/>
  <c r="E65" i="7" s="1"/>
  <c r="F62" i="6"/>
  <c r="D63" i="6"/>
  <c r="E63" i="6" s="1"/>
  <c r="G63" i="6" s="1"/>
  <c r="F65" i="7" l="1"/>
  <c r="D66" i="7"/>
  <c r="E66" i="7" s="1"/>
  <c r="F63" i="6"/>
  <c r="D64" i="6"/>
  <c r="E64" i="6" s="1"/>
  <c r="G64" i="6" s="1"/>
  <c r="F66" i="7" l="1"/>
  <c r="D67" i="7"/>
  <c r="E67" i="7" s="1"/>
  <c r="F64" i="6"/>
  <c r="D65" i="6"/>
  <c r="E65" i="6" s="1"/>
  <c r="G65" i="6" s="1"/>
  <c r="F67" i="7" l="1"/>
  <c r="D68" i="7"/>
  <c r="E68" i="7" s="1"/>
  <c r="F65" i="6"/>
  <c r="D66" i="6"/>
  <c r="E66" i="6" s="1"/>
  <c r="G66" i="6" s="1"/>
  <c r="F68" i="7" l="1"/>
  <c r="D69" i="7"/>
  <c r="E69" i="7" s="1"/>
  <c r="F66" i="6"/>
  <c r="D67" i="6"/>
  <c r="E67" i="6" s="1"/>
  <c r="G67" i="6" s="1"/>
  <c r="F69" i="7" l="1"/>
  <c r="D70" i="7"/>
  <c r="E70" i="7" s="1"/>
  <c r="F67" i="6"/>
  <c r="D68" i="6"/>
  <c r="E68" i="6" s="1"/>
  <c r="G68" i="6" s="1"/>
  <c r="F70" i="7" l="1"/>
  <c r="D71" i="7"/>
  <c r="E71" i="7" s="1"/>
  <c r="F68" i="6"/>
  <c r="D69" i="6"/>
  <c r="E69" i="6" s="1"/>
  <c r="G69" i="6" s="1"/>
  <c r="F71" i="7" l="1"/>
  <c r="D72" i="7"/>
  <c r="E72" i="7" s="1"/>
  <c r="F69" i="6"/>
  <c r="D70" i="6"/>
  <c r="E70" i="6" s="1"/>
  <c r="G70" i="6" s="1"/>
  <c r="F72" i="7" l="1"/>
  <c r="D73" i="7"/>
  <c r="E73" i="7" s="1"/>
  <c r="F70" i="6"/>
  <c r="D71" i="6"/>
  <c r="E71" i="6" s="1"/>
  <c r="G71" i="6" s="1"/>
  <c r="F73" i="7" l="1"/>
  <c r="D74" i="7"/>
  <c r="F71" i="6"/>
  <c r="D72" i="6"/>
  <c r="E72" i="6" s="1"/>
  <c r="G72" i="6" s="1"/>
  <c r="E74" i="7" l="1"/>
  <c r="D76" i="7"/>
  <c r="F72" i="6"/>
  <c r="D73" i="6"/>
  <c r="E73" i="6" s="1"/>
  <c r="G73" i="6" s="1"/>
  <c r="F74" i="7" l="1"/>
  <c r="H12" i="7" s="1"/>
  <c r="H14" i="7" s="1"/>
  <c r="E76" i="7"/>
  <c r="F73" i="6"/>
  <c r="D74" i="6"/>
  <c r="L2" i="7" l="1"/>
  <c r="H13" i="7"/>
  <c r="M2" i="7" s="1"/>
  <c r="E74" i="6"/>
  <c r="G74" i="6" s="1"/>
  <c r="D76" i="6"/>
  <c r="G76" i="6" l="1"/>
  <c r="F74" i="6"/>
  <c r="H12" i="6" s="1"/>
  <c r="E76" i="6"/>
  <c r="L2" i="6" l="1"/>
  <c r="H13" i="6"/>
  <c r="M2" i="6" s="1"/>
  <c r="N104" i="4" l="1"/>
  <c r="H18" i="4" s="1"/>
  <c r="L104" i="4"/>
  <c r="H16" i="4" s="1"/>
  <c r="H17" i="4" l="1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23" i="4"/>
  <c r="C8" i="4" l="1"/>
  <c r="D5" i="4" s="1"/>
  <c r="L5" i="3"/>
  <c r="L14" i="3"/>
  <c r="L15" i="3" s="1"/>
  <c r="D8" i="4" l="1"/>
  <c r="E5" i="4" s="1"/>
  <c r="E8" i="4" l="1"/>
  <c r="F8" i="4" s="1"/>
  <c r="M6" i="3"/>
  <c r="L8" i="3"/>
  <c r="M8" i="3" s="1"/>
  <c r="N8" i="3" s="1"/>
  <c r="O8" i="3" s="1"/>
  <c r="K8" i="3"/>
  <c r="O6" i="3"/>
  <c r="N6" i="3"/>
  <c r="L6" i="3"/>
  <c r="K6" i="3"/>
  <c r="M5" i="3"/>
  <c r="B27" i="3" l="1"/>
  <c r="B47" i="3"/>
  <c r="B63" i="3"/>
  <c r="B67" i="3"/>
  <c r="B71" i="3"/>
  <c r="B95" i="3"/>
  <c r="B111" i="3"/>
  <c r="B119" i="3"/>
  <c r="B147" i="3"/>
  <c r="B183" i="3"/>
  <c r="B195" i="3"/>
  <c r="B223" i="3"/>
  <c r="B247" i="3"/>
  <c r="B259" i="3"/>
  <c r="B28" i="3"/>
  <c r="B48" i="3"/>
  <c r="B80" i="3"/>
  <c r="B92" i="3"/>
  <c r="B100" i="3"/>
  <c r="B108" i="3"/>
  <c r="B152" i="3"/>
  <c r="B204" i="3"/>
  <c r="B216" i="3"/>
  <c r="B260" i="3"/>
  <c r="B288" i="3"/>
  <c r="B296" i="3"/>
  <c r="B312" i="3"/>
  <c r="B332" i="3"/>
  <c r="B336" i="3"/>
  <c r="B348" i="3"/>
  <c r="B17" i="3"/>
  <c r="B45" i="3"/>
  <c r="B53" i="3"/>
  <c r="B85" i="3"/>
  <c r="B109" i="3"/>
  <c r="B121" i="3"/>
  <c r="B125" i="3"/>
  <c r="B181" i="3"/>
  <c r="B189" i="3"/>
  <c r="B217" i="3"/>
  <c r="B253" i="3"/>
  <c r="B273" i="3"/>
  <c r="B333" i="3"/>
  <c r="B345" i="3"/>
  <c r="B82" i="3"/>
  <c r="B162" i="3"/>
  <c r="B226" i="3"/>
  <c r="B242" i="3"/>
  <c r="B283" i="3"/>
  <c r="B291" i="3"/>
  <c r="B307" i="3"/>
  <c r="B339" i="3"/>
  <c r="B355" i="3"/>
  <c r="B338" i="3"/>
  <c r="B358" i="3"/>
  <c r="B70" i="3"/>
  <c r="B102" i="3"/>
  <c r="B134" i="3"/>
  <c r="B294" i="3"/>
  <c r="B310" i="3"/>
  <c r="B334" i="3"/>
  <c r="B94" i="3"/>
  <c r="B266" i="3"/>
  <c r="B282" i="3"/>
  <c r="B346" i="3"/>
  <c r="B26" i="3"/>
  <c r="B42" i="3"/>
  <c r="B74" i="3"/>
  <c r="B106" i="3"/>
  <c r="B122" i="3"/>
  <c r="B186" i="3"/>
  <c r="B234" i="3"/>
  <c r="B271" i="3"/>
  <c r="B279" i="3"/>
  <c r="B295" i="3"/>
  <c r="B343" i="3"/>
  <c r="B158" i="3"/>
  <c r="B222" i="3"/>
  <c r="B306" i="3"/>
  <c r="B366" i="3"/>
  <c r="B19" i="3"/>
  <c r="B35" i="3"/>
  <c r="B43" i="3"/>
  <c r="B75" i="3"/>
  <c r="B87" i="3"/>
  <c r="B123" i="3"/>
  <c r="B131" i="3"/>
  <c r="B135" i="3"/>
  <c r="B163" i="3"/>
  <c r="B187" i="3"/>
  <c r="B211" i="3"/>
  <c r="B215" i="3"/>
  <c r="B255" i="3"/>
  <c r="B24" i="3"/>
  <c r="B36" i="3"/>
  <c r="B60" i="3"/>
  <c r="B84" i="3"/>
  <c r="B88" i="3"/>
  <c r="B116" i="3"/>
  <c r="B124" i="3"/>
  <c r="B136" i="3"/>
  <c r="B164" i="3"/>
  <c r="B168" i="3"/>
  <c r="B176" i="3"/>
  <c r="B184" i="3"/>
  <c r="B244" i="3"/>
  <c r="B264" i="3"/>
  <c r="B292" i="3"/>
  <c r="B316" i="3"/>
  <c r="B29" i="3"/>
  <c r="B81" i="3"/>
  <c r="B89" i="3"/>
  <c r="B97" i="3"/>
  <c r="B133" i="3"/>
  <c r="B137" i="3"/>
  <c r="B141" i="3"/>
  <c r="B145" i="3"/>
  <c r="B165" i="3"/>
  <c r="B177" i="3"/>
  <c r="B205" i="3"/>
  <c r="B237" i="3"/>
  <c r="B261" i="3"/>
  <c r="B277" i="3"/>
  <c r="B301" i="3"/>
  <c r="B313" i="3"/>
  <c r="B337" i="3"/>
  <c r="B18" i="3"/>
  <c r="B34" i="3"/>
  <c r="B114" i="3"/>
  <c r="B146" i="3"/>
  <c r="B194" i="3"/>
  <c r="B347" i="3"/>
  <c r="B363" i="3"/>
  <c r="B38" i="3"/>
  <c r="B54" i="3"/>
  <c r="B86" i="3"/>
  <c r="B150" i="3"/>
  <c r="B166" i="3"/>
  <c r="B214" i="3"/>
  <c r="B302" i="3"/>
  <c r="B360" i="3"/>
  <c r="B364" i="3"/>
  <c r="B368" i="3"/>
  <c r="B376" i="3"/>
  <c r="B174" i="3"/>
  <c r="B90" i="3"/>
  <c r="B154" i="3"/>
  <c r="B170" i="3"/>
  <c r="B287" i="3"/>
  <c r="B319" i="3"/>
  <c r="B290" i="3"/>
  <c r="B354" i="3"/>
  <c r="B23" i="3"/>
  <c r="B51" i="3"/>
  <c r="B91" i="3"/>
  <c r="B127" i="3"/>
  <c r="B159" i="3"/>
  <c r="B167" i="3"/>
  <c r="B171" i="3"/>
  <c r="B191" i="3"/>
  <c r="B199" i="3"/>
  <c r="B207" i="3"/>
  <c r="B227" i="3"/>
  <c r="B239" i="3"/>
  <c r="B251" i="3"/>
  <c r="B44" i="3"/>
  <c r="B56" i="3"/>
  <c r="B76" i="3"/>
  <c r="B104" i="3"/>
  <c r="B112" i="3"/>
  <c r="B140" i="3"/>
  <c r="B148" i="3"/>
  <c r="B200" i="3"/>
  <c r="B208" i="3"/>
  <c r="B224" i="3"/>
  <c r="B228" i="3"/>
  <c r="B232" i="3"/>
  <c r="B256" i="3"/>
  <c r="B304" i="3"/>
  <c r="B308" i="3"/>
  <c r="B340" i="3"/>
  <c r="B344" i="3"/>
  <c r="B25" i="3"/>
  <c r="B41" i="3"/>
  <c r="B61" i="3"/>
  <c r="B77" i="3"/>
  <c r="B93" i="3"/>
  <c r="B101" i="3"/>
  <c r="B113" i="3"/>
  <c r="B149" i="3"/>
  <c r="B197" i="3"/>
  <c r="B201" i="3"/>
  <c r="B225" i="3"/>
  <c r="B233" i="3"/>
  <c r="B241" i="3"/>
  <c r="B245" i="3"/>
  <c r="B257" i="3"/>
  <c r="B293" i="3"/>
  <c r="B305" i="3"/>
  <c r="B353" i="3"/>
  <c r="B210" i="3"/>
  <c r="B299" i="3"/>
  <c r="B315" i="3"/>
  <c r="B46" i="3"/>
  <c r="B190" i="3"/>
  <c r="B274" i="3"/>
  <c r="B370" i="3"/>
  <c r="B22" i="3"/>
  <c r="B182" i="3"/>
  <c r="B198" i="3"/>
  <c r="B246" i="3"/>
  <c r="B286" i="3"/>
  <c r="B318" i="3"/>
  <c r="B326" i="3"/>
  <c r="B356" i="3"/>
  <c r="B126" i="3"/>
  <c r="B362" i="3"/>
  <c r="B138" i="3"/>
  <c r="B250" i="3"/>
  <c r="B263" i="3"/>
  <c r="B303" i="3"/>
  <c r="B377" i="3"/>
  <c r="B30" i="3"/>
  <c r="B78" i="3"/>
  <c r="B378" i="3"/>
  <c r="B31" i="3"/>
  <c r="B39" i="3"/>
  <c r="B55" i="3"/>
  <c r="B59" i="3"/>
  <c r="B79" i="3"/>
  <c r="B83" i="3"/>
  <c r="B103" i="3"/>
  <c r="B107" i="3"/>
  <c r="B139" i="3"/>
  <c r="B143" i="3"/>
  <c r="B203" i="3"/>
  <c r="B231" i="3"/>
  <c r="B243" i="3"/>
  <c r="B32" i="3"/>
  <c r="B40" i="3"/>
  <c r="B52" i="3"/>
  <c r="B64" i="3"/>
  <c r="B68" i="3"/>
  <c r="B72" i="3"/>
  <c r="B96" i="3"/>
  <c r="B144" i="3"/>
  <c r="B172" i="3"/>
  <c r="B188" i="3"/>
  <c r="B192" i="3"/>
  <c r="B196" i="3"/>
  <c r="B220" i="3"/>
  <c r="B236" i="3"/>
  <c r="B240" i="3"/>
  <c r="B272" i="3"/>
  <c r="B276" i="3"/>
  <c r="B280" i="3"/>
  <c r="B284" i="3"/>
  <c r="B21" i="3"/>
  <c r="B49" i="3"/>
  <c r="B65" i="3"/>
  <c r="B73" i="3"/>
  <c r="B105" i="3"/>
  <c r="B117" i="3"/>
  <c r="B153" i="3"/>
  <c r="B157" i="3"/>
  <c r="B161" i="3"/>
  <c r="B169" i="3"/>
  <c r="B193" i="3"/>
  <c r="B221" i="3"/>
  <c r="B229" i="3"/>
  <c r="B249" i="3"/>
  <c r="B269" i="3"/>
  <c r="B285" i="3"/>
  <c r="B289" i="3"/>
  <c r="B297" i="3"/>
  <c r="B309" i="3"/>
  <c r="B329" i="3"/>
  <c r="B349" i="3"/>
  <c r="B50" i="3"/>
  <c r="B178" i="3"/>
  <c r="B267" i="3"/>
  <c r="B323" i="3"/>
  <c r="B331" i="3"/>
  <c r="B142" i="3"/>
  <c r="B238" i="3"/>
  <c r="B314" i="3"/>
  <c r="B270" i="3"/>
  <c r="B342" i="3"/>
  <c r="B372" i="3"/>
  <c r="B62" i="3"/>
  <c r="B298" i="3"/>
  <c r="B322" i="3"/>
  <c r="B58" i="3"/>
  <c r="B311" i="3"/>
  <c r="B327" i="3"/>
  <c r="B351" i="3"/>
  <c r="B361" i="3"/>
  <c r="B365" i="3"/>
  <c r="B369" i="3"/>
  <c r="B373" i="3"/>
  <c r="B15" i="3"/>
  <c r="B99" i="3"/>
  <c r="B115" i="3"/>
  <c r="B151" i="3"/>
  <c r="B155" i="3"/>
  <c r="B175" i="3"/>
  <c r="B179" i="3"/>
  <c r="B219" i="3"/>
  <c r="B235" i="3"/>
  <c r="B16" i="3"/>
  <c r="B20" i="3"/>
  <c r="B120" i="3"/>
  <c r="B128" i="3"/>
  <c r="B132" i="3"/>
  <c r="B156" i="3"/>
  <c r="B160" i="3"/>
  <c r="B180" i="3"/>
  <c r="B212" i="3"/>
  <c r="C212" i="3" s="1"/>
  <c r="B248" i="3"/>
  <c r="B252" i="3"/>
  <c r="B268" i="3"/>
  <c r="B300" i="3"/>
  <c r="B320" i="3"/>
  <c r="B324" i="3"/>
  <c r="B328" i="3"/>
  <c r="B352" i="3"/>
  <c r="B33" i="3"/>
  <c r="B37" i="3"/>
  <c r="B57" i="3"/>
  <c r="B69" i="3"/>
  <c r="B129" i="3"/>
  <c r="B173" i="3"/>
  <c r="B185" i="3"/>
  <c r="B209" i="3"/>
  <c r="B213" i="3"/>
  <c r="B265" i="3"/>
  <c r="B281" i="3"/>
  <c r="B317" i="3"/>
  <c r="B321" i="3"/>
  <c r="B325" i="3"/>
  <c r="B341" i="3"/>
  <c r="B66" i="3"/>
  <c r="B98" i="3"/>
  <c r="B130" i="3"/>
  <c r="B258" i="3"/>
  <c r="B275" i="3"/>
  <c r="B359" i="3"/>
  <c r="B367" i="3"/>
  <c r="B371" i="3"/>
  <c r="B375" i="3"/>
  <c r="B118" i="3"/>
  <c r="B230" i="3"/>
  <c r="B262" i="3"/>
  <c r="B278" i="3"/>
  <c r="B350" i="3"/>
  <c r="B206" i="3"/>
  <c r="B374" i="3"/>
  <c r="B202" i="3"/>
  <c r="B218" i="3"/>
  <c r="B335" i="3"/>
  <c r="B357" i="3"/>
  <c r="B110" i="3"/>
  <c r="B254" i="3"/>
  <c r="B330" i="3"/>
  <c r="B14" i="3"/>
  <c r="C14" i="3" s="1"/>
  <c r="F5" i="4"/>
  <c r="G8" i="4"/>
  <c r="G5" i="4"/>
  <c r="B741" i="3"/>
  <c r="B737" i="3"/>
  <c r="B725" i="3"/>
  <c r="B721" i="3"/>
  <c r="B705" i="3"/>
  <c r="B701" i="3"/>
  <c r="B693" i="3"/>
  <c r="B689" i="3"/>
  <c r="B685" i="3"/>
  <c r="B681" i="3"/>
  <c r="B677" i="3"/>
  <c r="B673" i="3"/>
  <c r="B742" i="3"/>
  <c r="B734" i="3"/>
  <c r="B752" i="3"/>
  <c r="B744" i="3"/>
  <c r="B736" i="3"/>
  <c r="B732" i="3"/>
  <c r="B723" i="3"/>
  <c r="B714" i="3"/>
  <c r="B698" i="3"/>
  <c r="B691" i="3"/>
  <c r="B675" i="3"/>
  <c r="B668" i="3"/>
  <c r="B656" i="3"/>
  <c r="B652" i="3"/>
  <c r="B648" i="3"/>
  <c r="B735" i="3"/>
  <c r="B718" i="3"/>
  <c r="B699" i="3"/>
  <c r="B687" i="3"/>
  <c r="B680" i="3"/>
  <c r="B663" i="3"/>
  <c r="B661" i="3"/>
  <c r="B647" i="3"/>
  <c r="B631" i="3"/>
  <c r="B627" i="3"/>
  <c r="B623" i="3"/>
  <c r="B615" i="3"/>
  <c r="B611" i="3"/>
  <c r="B599" i="3"/>
  <c r="B595" i="3"/>
  <c r="B587" i="3"/>
  <c r="B583" i="3"/>
  <c r="B567" i="3"/>
  <c r="B559" i="3"/>
  <c r="B555" i="3"/>
  <c r="B551" i="3"/>
  <c r="B539" i="3"/>
  <c r="B740" i="3"/>
  <c r="B710" i="3"/>
  <c r="B695" i="3"/>
  <c r="B662" i="3"/>
  <c r="B655" i="3"/>
  <c r="B646" i="3"/>
  <c r="B644" i="3"/>
  <c r="B628" i="3"/>
  <c r="B621" i="3"/>
  <c r="B605" i="3"/>
  <c r="B589" i="3"/>
  <c r="B582" i="3"/>
  <c r="B564" i="3"/>
  <c r="B557" i="3"/>
  <c r="B541" i="3"/>
  <c r="B524" i="3"/>
  <c r="B508" i="3"/>
  <c r="B748" i="3"/>
  <c r="B722" i="3"/>
  <c r="B688" i="3"/>
  <c r="B678" i="3"/>
  <c r="B659" i="3"/>
  <c r="B642" i="3"/>
  <c r="B640" i="3"/>
  <c r="B626" i="3"/>
  <c r="B610" i="3"/>
  <c r="B608" i="3"/>
  <c r="B601" i="3"/>
  <c r="B592" i="3"/>
  <c r="B585" i="3"/>
  <c r="B578" i="3"/>
  <c r="B576" i="3"/>
  <c r="B562" i="3"/>
  <c r="B544" i="3"/>
  <c r="B525" i="3"/>
  <c r="B509" i="3"/>
  <c r="B505" i="3"/>
  <c r="B493" i="3"/>
  <c r="B489" i="3"/>
  <c r="B485" i="3"/>
  <c r="B482" i="3"/>
  <c r="B481" i="3"/>
  <c r="B480" i="3"/>
  <c r="B478" i="3"/>
  <c r="B477" i="3"/>
  <c r="B476" i="3"/>
  <c r="B473" i="3"/>
  <c r="B471" i="3"/>
  <c r="B469" i="3"/>
  <c r="B465" i="3"/>
  <c r="B461" i="3"/>
  <c r="B457" i="3"/>
  <c r="B456" i="3"/>
  <c r="B455" i="3"/>
  <c r="B453" i="3"/>
  <c r="B450" i="3"/>
  <c r="B449" i="3"/>
  <c r="B445" i="3"/>
  <c r="B441" i="3"/>
  <c r="B438" i="3"/>
  <c r="B437" i="3"/>
  <c r="B433" i="3"/>
  <c r="B431" i="3"/>
  <c r="B429" i="3"/>
  <c r="B427" i="3"/>
  <c r="B425" i="3"/>
  <c r="B424" i="3"/>
  <c r="B421" i="3"/>
  <c r="B420" i="3"/>
  <c r="B417" i="3"/>
  <c r="B731" i="3"/>
  <c r="B712" i="3"/>
  <c r="B649" i="3"/>
  <c r="B638" i="3"/>
  <c r="B620" i="3"/>
  <c r="B613" i="3"/>
  <c r="B606" i="3"/>
  <c r="B588" i="3"/>
  <c r="B581" i="3"/>
  <c r="B574" i="3"/>
  <c r="B549" i="3"/>
  <c r="B542" i="3"/>
  <c r="B522" i="3"/>
  <c r="B514" i="3"/>
  <c r="B506" i="3"/>
  <c r="B411" i="3"/>
  <c r="B395" i="3"/>
  <c r="B686" i="3"/>
  <c r="B653" i="3"/>
  <c r="B634" i="3"/>
  <c r="B609" i="3"/>
  <c r="B602" i="3"/>
  <c r="B570" i="3"/>
  <c r="B535" i="3"/>
  <c r="B519" i="3"/>
  <c r="B503" i="3"/>
  <c r="B412" i="3"/>
  <c r="B404" i="3"/>
  <c r="B400" i="3"/>
  <c r="B388" i="3"/>
  <c r="B728" i="3"/>
  <c r="B696" i="3"/>
  <c r="B671" i="3"/>
  <c r="B629" i="3"/>
  <c r="B590" i="3"/>
  <c r="B565" i="3"/>
  <c r="B558" i="3"/>
  <c r="B540" i="3"/>
  <c r="B534" i="3"/>
  <c r="B526" i="3"/>
  <c r="B518" i="3"/>
  <c r="B510" i="3"/>
  <c r="B683" i="3"/>
  <c r="B586" i="3"/>
  <c r="B499" i="3"/>
  <c r="B414" i="3"/>
  <c r="B393" i="3"/>
  <c r="B625" i="3"/>
  <c r="B568" i="3"/>
  <c r="B554" i="3"/>
  <c r="B413" i="3"/>
  <c r="B405" i="3"/>
  <c r="B670" i="3"/>
  <c r="B593" i="3"/>
  <c r="B394" i="3"/>
  <c r="B632" i="3"/>
  <c r="B561" i="3"/>
  <c r="B409" i="3"/>
  <c r="N5" i="3"/>
  <c r="O5" i="3" s="1"/>
  <c r="C25" i="4" l="1"/>
  <c r="C28" i="4"/>
  <c r="C71" i="4"/>
  <c r="C30" i="4"/>
  <c r="C70" i="4"/>
  <c r="C61" i="4"/>
  <c r="H8" i="4"/>
  <c r="H5" i="4"/>
  <c r="C41" i="4" s="1"/>
  <c r="C186" i="3"/>
  <c r="D152" i="3"/>
  <c r="C288" i="3"/>
  <c r="C355" i="3"/>
  <c r="C364" i="3"/>
  <c r="D328" i="3"/>
  <c r="C178" i="3"/>
  <c r="C314" i="3"/>
  <c r="C292" i="3"/>
  <c r="C91" i="3"/>
  <c r="C234" i="3"/>
  <c r="C55" i="3"/>
  <c r="C59" i="3"/>
  <c r="C170" i="3"/>
  <c r="D69" i="3"/>
  <c r="C58" i="3"/>
  <c r="D339" i="3"/>
  <c r="C84" i="3"/>
  <c r="D92" i="3"/>
  <c r="C46" i="3"/>
  <c r="C64" i="3"/>
  <c r="C67" i="3"/>
  <c r="C89" i="3"/>
  <c r="C176" i="3"/>
  <c r="C196" i="3"/>
  <c r="C222" i="3"/>
  <c r="C115" i="3"/>
  <c r="C119" i="3"/>
  <c r="D121" i="3"/>
  <c r="C136" i="3"/>
  <c r="C175" i="3"/>
  <c r="C181" i="3"/>
  <c r="D251" i="3"/>
  <c r="C279" i="3"/>
  <c r="C307" i="3"/>
  <c r="D341" i="3"/>
  <c r="C371" i="3"/>
  <c r="C362" i="3"/>
  <c r="C374" i="3"/>
  <c r="C27" i="3"/>
  <c r="C44" i="3"/>
  <c r="C52" i="3"/>
  <c r="C63" i="3"/>
  <c r="C154" i="3"/>
  <c r="C188" i="3"/>
  <c r="C194" i="3"/>
  <c r="C202" i="3"/>
  <c r="C99" i="3"/>
  <c r="C107" i="3"/>
  <c r="D113" i="3"/>
  <c r="D118" i="3"/>
  <c r="C123" i="3"/>
  <c r="C142" i="3"/>
  <c r="C143" i="3"/>
  <c r="D193" i="3"/>
  <c r="C205" i="3"/>
  <c r="D273" i="3"/>
  <c r="C361" i="3"/>
  <c r="D14" i="3"/>
  <c r="C88" i="3"/>
  <c r="C25" i="3"/>
  <c r="C28" i="3"/>
  <c r="C39" i="3"/>
  <c r="C43" i="3"/>
  <c r="C85" i="3"/>
  <c r="C162" i="3"/>
  <c r="D226" i="3"/>
  <c r="C122" i="3"/>
  <c r="C137" i="3"/>
  <c r="C147" i="3"/>
  <c r="D149" i="3"/>
  <c r="C173" i="3"/>
  <c r="D185" i="3"/>
  <c r="C237" i="3"/>
  <c r="C244" i="3"/>
  <c r="C253" i="3"/>
  <c r="C323" i="3"/>
  <c r="C335" i="3"/>
  <c r="C363" i="3"/>
  <c r="D310" i="3"/>
  <c r="D286" i="3"/>
  <c r="C126" i="3"/>
  <c r="D344" i="3"/>
  <c r="D151" i="3"/>
  <c r="C103" i="3"/>
  <c r="C31" i="3"/>
  <c r="C326" i="3"/>
  <c r="C174" i="3"/>
  <c r="C297" i="3"/>
  <c r="D145" i="3"/>
  <c r="C73" i="3"/>
  <c r="C252" i="3"/>
  <c r="D378" i="3"/>
  <c r="C350" i="3"/>
  <c r="C218" i="3"/>
  <c r="D86" i="3"/>
  <c r="C293" i="3"/>
  <c r="C229" i="3"/>
  <c r="C280" i="3"/>
  <c r="C327" i="3"/>
  <c r="C167" i="3"/>
  <c r="C75" i="3"/>
  <c r="C356" i="3"/>
  <c r="C94" i="3"/>
  <c r="C18" i="3"/>
  <c r="C265" i="3"/>
  <c r="C120" i="3"/>
  <c r="C36" i="3"/>
  <c r="C271" i="3"/>
  <c r="C114" i="3"/>
  <c r="D192" i="3"/>
  <c r="C139" i="3"/>
  <c r="C268" i="3"/>
  <c r="C343" i="3"/>
  <c r="C106" i="3"/>
  <c r="C189" i="3"/>
  <c r="C241" i="3"/>
  <c r="C353" i="3"/>
  <c r="D375" i="3"/>
  <c r="C249" i="3"/>
  <c r="C278" i="3"/>
  <c r="C277" i="3"/>
  <c r="D338" i="3"/>
  <c r="D348" i="3"/>
  <c r="D225" i="3"/>
  <c r="D238" i="3"/>
  <c r="C245" i="3"/>
  <c r="C254" i="3"/>
  <c r="C316" i="3"/>
  <c r="C266" i="3"/>
  <c r="C298" i="3"/>
  <c r="C330" i="3"/>
  <c r="C273" i="3"/>
  <c r="D388" i="3"/>
  <c r="D393" i="3"/>
  <c r="D405" i="3"/>
  <c r="D409" i="3"/>
  <c r="D413" i="3"/>
  <c r="D417" i="3"/>
  <c r="D421" i="3"/>
  <c r="D425" i="3"/>
  <c r="D429" i="3"/>
  <c r="D433" i="3"/>
  <c r="D437" i="3"/>
  <c r="D441" i="3"/>
  <c r="D445" i="3"/>
  <c r="D449" i="3"/>
  <c r="D453" i="3"/>
  <c r="D457" i="3"/>
  <c r="D461" i="3"/>
  <c r="D465" i="3"/>
  <c r="D469" i="3"/>
  <c r="D473" i="3"/>
  <c r="D477" i="3"/>
  <c r="D481" i="3"/>
  <c r="D485" i="3"/>
  <c r="D489" i="3"/>
  <c r="D493" i="3"/>
  <c r="D505" i="3"/>
  <c r="D509" i="3"/>
  <c r="D525" i="3"/>
  <c r="D541" i="3"/>
  <c r="D549" i="3"/>
  <c r="D557" i="3"/>
  <c r="D561" i="3"/>
  <c r="D565" i="3"/>
  <c r="D581" i="3"/>
  <c r="D585" i="3"/>
  <c r="D589" i="3"/>
  <c r="D593" i="3"/>
  <c r="D601" i="3"/>
  <c r="D605" i="3"/>
  <c r="D609" i="3"/>
  <c r="D613" i="3"/>
  <c r="D621" i="3"/>
  <c r="D625" i="3"/>
  <c r="D629" i="3"/>
  <c r="D649" i="3"/>
  <c r="D653" i="3"/>
  <c r="D661" i="3"/>
  <c r="D673" i="3"/>
  <c r="D677" i="3"/>
  <c r="D681" i="3"/>
  <c r="D685" i="3"/>
  <c r="D689" i="3"/>
  <c r="D693" i="3"/>
  <c r="D701" i="3"/>
  <c r="D705" i="3"/>
  <c r="D721" i="3"/>
  <c r="D725" i="3"/>
  <c r="D394" i="3"/>
  <c r="D414" i="3"/>
  <c r="D438" i="3"/>
  <c r="D450" i="3"/>
  <c r="D478" i="3"/>
  <c r="D482" i="3"/>
  <c r="D506" i="3"/>
  <c r="D510" i="3"/>
  <c r="D514" i="3"/>
  <c r="D518" i="3"/>
  <c r="D522" i="3"/>
  <c r="D526" i="3"/>
  <c r="D534" i="3"/>
  <c r="D542" i="3"/>
  <c r="D554" i="3"/>
  <c r="D558" i="3"/>
  <c r="D562" i="3"/>
  <c r="D570" i="3"/>
  <c r="D574" i="3"/>
  <c r="D578" i="3"/>
  <c r="D582" i="3"/>
  <c r="D586" i="3"/>
  <c r="D590" i="3"/>
  <c r="D602" i="3"/>
  <c r="D606" i="3"/>
  <c r="D610" i="3"/>
  <c r="D626" i="3"/>
  <c r="D634" i="3"/>
  <c r="D638" i="3"/>
  <c r="D642" i="3"/>
  <c r="D646" i="3"/>
  <c r="D662" i="3"/>
  <c r="D670" i="3"/>
  <c r="D678" i="3"/>
  <c r="D686" i="3"/>
  <c r="D698" i="3"/>
  <c r="D395" i="3"/>
  <c r="D411" i="3"/>
  <c r="D427" i="3"/>
  <c r="D431" i="3"/>
  <c r="D455" i="3"/>
  <c r="D471" i="3"/>
  <c r="D499" i="3"/>
  <c r="D503" i="3"/>
  <c r="D519" i="3"/>
  <c r="D535" i="3"/>
  <c r="D539" i="3"/>
  <c r="D551" i="3"/>
  <c r="D555" i="3"/>
  <c r="D559" i="3"/>
  <c r="D567" i="3"/>
  <c r="D583" i="3"/>
  <c r="D587" i="3"/>
  <c r="D595" i="3"/>
  <c r="D599" i="3"/>
  <c r="D611" i="3"/>
  <c r="D615" i="3"/>
  <c r="D623" i="3"/>
  <c r="D627" i="3"/>
  <c r="D631" i="3"/>
  <c r="D647" i="3"/>
  <c r="D655" i="3"/>
  <c r="D659" i="3"/>
  <c r="D663" i="3"/>
  <c r="D671" i="3"/>
  <c r="D675" i="3"/>
  <c r="D683" i="3"/>
  <c r="D687" i="3"/>
  <c r="D691" i="3"/>
  <c r="D695" i="3"/>
  <c r="D699" i="3"/>
  <c r="D424" i="3"/>
  <c r="D456" i="3"/>
  <c r="D568" i="3"/>
  <c r="D632" i="3"/>
  <c r="D648" i="3"/>
  <c r="D680" i="3"/>
  <c r="D696" i="3"/>
  <c r="D722" i="3"/>
  <c r="D731" i="3"/>
  <c r="D735" i="3"/>
  <c r="D744" i="3"/>
  <c r="D748" i="3"/>
  <c r="D404" i="3"/>
  <c r="D710" i="3"/>
  <c r="D412" i="3"/>
  <c r="D476" i="3"/>
  <c r="D508" i="3"/>
  <c r="D524" i="3"/>
  <c r="D540" i="3"/>
  <c r="D588" i="3"/>
  <c r="D620" i="3"/>
  <c r="D652" i="3"/>
  <c r="D668" i="3"/>
  <c r="D712" i="3"/>
  <c r="D718" i="3"/>
  <c r="D723" i="3"/>
  <c r="D728" i="3"/>
  <c r="D732" i="3"/>
  <c r="D736" i="3"/>
  <c r="D740" i="3"/>
  <c r="D752" i="3"/>
  <c r="D564" i="3"/>
  <c r="D628" i="3"/>
  <c r="D734" i="3"/>
  <c r="D742" i="3"/>
  <c r="D400" i="3"/>
  <c r="D480" i="3"/>
  <c r="D544" i="3"/>
  <c r="D576" i="3"/>
  <c r="D592" i="3"/>
  <c r="D608" i="3"/>
  <c r="D640" i="3"/>
  <c r="D656" i="3"/>
  <c r="D688" i="3"/>
  <c r="D714" i="3"/>
  <c r="D737" i="3"/>
  <c r="D741" i="3"/>
  <c r="D420" i="3"/>
  <c r="D644" i="3"/>
  <c r="C251" i="3"/>
  <c r="C86" i="3"/>
  <c r="C328" i="3"/>
  <c r="C145" i="3"/>
  <c r="C344" i="3"/>
  <c r="E344" i="3" s="1"/>
  <c r="C193" i="3"/>
  <c r="C225" i="3"/>
  <c r="C310" i="3"/>
  <c r="C92" i="3"/>
  <c r="E92" i="3" s="1"/>
  <c r="C113" i="3"/>
  <c r="C149" i="3"/>
  <c r="C286" i="3"/>
  <c r="C338" i="3"/>
  <c r="C348" i="3"/>
  <c r="D254" i="3"/>
  <c r="C151" i="3"/>
  <c r="C118" i="3"/>
  <c r="C185" i="3"/>
  <c r="C226" i="3"/>
  <c r="C339" i="3"/>
  <c r="C378" i="3"/>
  <c r="D266" i="3"/>
  <c r="C69" i="3"/>
  <c r="C121" i="3"/>
  <c r="C192" i="3"/>
  <c r="C238" i="3"/>
  <c r="C375" i="3"/>
  <c r="C341" i="3"/>
  <c r="D194" i="3"/>
  <c r="D280" i="3"/>
  <c r="D107" i="3"/>
  <c r="C152" i="3"/>
  <c r="D94" i="3"/>
  <c r="D277" i="3"/>
  <c r="D136" i="3"/>
  <c r="D55" i="3"/>
  <c r="D189" i="3"/>
  <c r="D350" i="3"/>
  <c r="D36" i="3"/>
  <c r="D326" i="3"/>
  <c r="D278" i="3"/>
  <c r="D46" i="3"/>
  <c r="E46" i="3" s="1"/>
  <c r="D173" i="3"/>
  <c r="D234" i="3"/>
  <c r="D162" i="3"/>
  <c r="D297" i="3"/>
  <c r="D137" i="3"/>
  <c r="D244" i="3"/>
  <c r="D120" i="3"/>
  <c r="D343" i="3"/>
  <c r="D139" i="3"/>
  <c r="D91" i="3"/>
  <c r="D43" i="3"/>
  <c r="D353" i="3"/>
  <c r="D330" i="3"/>
  <c r="D106" i="3"/>
  <c r="D85" i="3"/>
  <c r="D265" i="3"/>
  <c r="D73" i="3"/>
  <c r="D212" i="3"/>
  <c r="E212" i="3" s="1"/>
  <c r="D88" i="3"/>
  <c r="D327" i="3"/>
  <c r="D123" i="3"/>
  <c r="D75" i="3"/>
  <c r="D39" i="3"/>
  <c r="E39" i="3" s="1"/>
  <c r="D222" i="3"/>
  <c r="D174" i="3"/>
  <c r="D253" i="3"/>
  <c r="D298" i="3"/>
  <c r="D202" i="3"/>
  <c r="D84" i="3"/>
  <c r="D119" i="3"/>
  <c r="D59" i="3"/>
  <c r="D361" i="3"/>
  <c r="C72" i="3"/>
  <c r="D72" i="3"/>
  <c r="C83" i="3"/>
  <c r="D83" i="3"/>
  <c r="C76" i="3"/>
  <c r="D76" i="3"/>
  <c r="C40" i="3"/>
  <c r="D40" i="3"/>
  <c r="C45" i="3"/>
  <c r="D45" i="3"/>
  <c r="C48" i="3"/>
  <c r="D48" i="3"/>
  <c r="C66" i="3"/>
  <c r="D66" i="3"/>
  <c r="C70" i="3"/>
  <c r="D70" i="3"/>
  <c r="C20" i="3"/>
  <c r="D20" i="3"/>
  <c r="C26" i="3"/>
  <c r="D26" i="3"/>
  <c r="C37" i="3"/>
  <c r="D37" i="3"/>
  <c r="C272" i="3"/>
  <c r="D272" i="3"/>
  <c r="C210" i="3"/>
  <c r="D210" i="3"/>
  <c r="C220" i="3"/>
  <c r="D220" i="3"/>
  <c r="C109" i="3"/>
  <c r="D109" i="3"/>
  <c r="C111" i="3"/>
  <c r="D111" i="3"/>
  <c r="C127" i="3"/>
  <c r="D127" i="3"/>
  <c r="C131" i="3"/>
  <c r="D131" i="3"/>
  <c r="C135" i="3"/>
  <c r="D135" i="3"/>
  <c r="C157" i="3"/>
  <c r="D157" i="3"/>
  <c r="C165" i="3"/>
  <c r="D165" i="3"/>
  <c r="C187" i="3"/>
  <c r="D187" i="3"/>
  <c r="C197" i="3"/>
  <c r="D197" i="3"/>
  <c r="C203" i="3"/>
  <c r="D203" i="3"/>
  <c r="C209" i="3"/>
  <c r="D209" i="3"/>
  <c r="C213" i="3"/>
  <c r="D213" i="3"/>
  <c r="C221" i="3"/>
  <c r="D221" i="3"/>
  <c r="C276" i="3"/>
  <c r="D276" i="3"/>
  <c r="C246" i="3"/>
  <c r="D246" i="3"/>
  <c r="C250" i="3"/>
  <c r="D250" i="3"/>
  <c r="C256" i="3"/>
  <c r="D256" i="3"/>
  <c r="C257" i="3"/>
  <c r="D257" i="3"/>
  <c r="C258" i="3"/>
  <c r="D258" i="3"/>
  <c r="C275" i="3"/>
  <c r="D275" i="3"/>
  <c r="C281" i="3"/>
  <c r="D281" i="3"/>
  <c r="C274" i="3"/>
  <c r="D274" i="3"/>
  <c r="C325" i="3"/>
  <c r="D325" i="3"/>
  <c r="C359" i="3"/>
  <c r="D359" i="3"/>
  <c r="C302" i="3"/>
  <c r="D302" i="3"/>
  <c r="C351" i="3"/>
  <c r="D351" i="3"/>
  <c r="C309" i="3"/>
  <c r="D309" i="3"/>
  <c r="C321" i="3"/>
  <c r="D321" i="3"/>
  <c r="C332" i="3"/>
  <c r="D332" i="3"/>
  <c r="C336" i="3"/>
  <c r="D336" i="3"/>
  <c r="C360" i="3"/>
  <c r="D360" i="3"/>
  <c r="C340" i="3"/>
  <c r="D340" i="3"/>
  <c r="C354" i="3"/>
  <c r="D354" i="3"/>
  <c r="C357" i="3"/>
  <c r="D357" i="3"/>
  <c r="C365" i="3"/>
  <c r="D365" i="3"/>
  <c r="C372" i="3"/>
  <c r="D372" i="3"/>
  <c r="D170" i="3"/>
  <c r="D27" i="3"/>
  <c r="D237" i="3"/>
  <c r="D364" i="3"/>
  <c r="D363" i="3"/>
  <c r="D292" i="3"/>
  <c r="D196" i="3"/>
  <c r="D52" i="3"/>
  <c r="D279" i="3"/>
  <c r="D167" i="3"/>
  <c r="D103" i="3"/>
  <c r="D374" i="3"/>
  <c r="D142" i="3"/>
  <c r="D314" i="3"/>
  <c r="D218" i="3"/>
  <c r="D186" i="3"/>
  <c r="D154" i="3"/>
  <c r="D122" i="3"/>
  <c r="D58" i="3"/>
  <c r="D245" i="3"/>
  <c r="D181" i="3"/>
  <c r="D249" i="3"/>
  <c r="D89" i="3"/>
  <c r="D25" i="3"/>
  <c r="D288" i="3"/>
  <c r="D176" i="3"/>
  <c r="D64" i="3"/>
  <c r="D323" i="3"/>
  <c r="D307" i="3"/>
  <c r="D147" i="3"/>
  <c r="D115" i="3"/>
  <c r="D99" i="3"/>
  <c r="D67" i="3"/>
  <c r="D362" i="3"/>
  <c r="D126" i="3"/>
  <c r="D205" i="3"/>
  <c r="E205" i="3" s="1"/>
  <c r="D356" i="3"/>
  <c r="D178" i="3"/>
  <c r="D114" i="3"/>
  <c r="D18" i="3"/>
  <c r="D293" i="3"/>
  <c r="D229" i="3"/>
  <c r="D371" i="3"/>
  <c r="D355" i="3"/>
  <c r="D241" i="3"/>
  <c r="D316" i="3"/>
  <c r="D268" i="3"/>
  <c r="D252" i="3"/>
  <c r="E252" i="3" s="1"/>
  <c r="D188" i="3"/>
  <c r="D44" i="3"/>
  <c r="D28" i="3"/>
  <c r="D335" i="3"/>
  <c r="D271" i="3"/>
  <c r="E271" i="3" s="1"/>
  <c r="D175" i="3"/>
  <c r="D143" i="3"/>
  <c r="D63" i="3"/>
  <c r="D31" i="3"/>
  <c r="D15" i="3"/>
  <c r="B390" i="3"/>
  <c r="C390" i="3" s="1"/>
  <c r="B618" i="3"/>
  <c r="C618" i="3" s="1"/>
  <c r="B402" i="3"/>
  <c r="C402" i="3" s="1"/>
  <c r="B651" i="3"/>
  <c r="C651" i="3" s="1"/>
  <c r="B389" i="3"/>
  <c r="C389" i="3" s="1"/>
  <c r="B398" i="3"/>
  <c r="C398" i="3" s="1"/>
  <c r="B531" i="3"/>
  <c r="C531" i="3" s="1"/>
  <c r="B708" i="3"/>
  <c r="C708" i="3" s="1"/>
  <c r="B597" i="3"/>
  <c r="C597" i="3" s="1"/>
  <c r="B636" i="3"/>
  <c r="C636" i="3" s="1"/>
  <c r="B715" i="3"/>
  <c r="C715" i="3" s="1"/>
  <c r="B392" i="3"/>
  <c r="C392" i="3" s="1"/>
  <c r="B408" i="3"/>
  <c r="C408" i="3" s="1"/>
  <c r="B511" i="3"/>
  <c r="C511" i="3" s="1"/>
  <c r="B538" i="3"/>
  <c r="C538" i="3" s="1"/>
  <c r="B577" i="3"/>
  <c r="C577" i="3" s="1"/>
  <c r="B616" i="3"/>
  <c r="C616" i="3" s="1"/>
  <c r="B658" i="3"/>
  <c r="C658" i="3" s="1"/>
  <c r="B399" i="3"/>
  <c r="C399" i="3" s="1"/>
  <c r="B415" i="3"/>
  <c r="C415" i="3" s="1"/>
  <c r="B556" i="3"/>
  <c r="C556" i="3" s="1"/>
  <c r="B645" i="3"/>
  <c r="C645" i="3" s="1"/>
  <c r="B418" i="3"/>
  <c r="C418" i="3" s="1"/>
  <c r="B422" i="3"/>
  <c r="C422" i="3" s="1"/>
  <c r="B426" i="3"/>
  <c r="C426" i="3" s="1"/>
  <c r="B430" i="3"/>
  <c r="C430" i="3" s="1"/>
  <c r="B434" i="3"/>
  <c r="C434" i="3" s="1"/>
  <c r="B442" i="3"/>
  <c r="C442" i="3" s="1"/>
  <c r="B446" i="3"/>
  <c r="C446" i="3" s="1"/>
  <c r="B454" i="3"/>
  <c r="C454" i="3" s="1"/>
  <c r="B458" i="3"/>
  <c r="C458" i="3" s="1"/>
  <c r="B462" i="3"/>
  <c r="C462" i="3" s="1"/>
  <c r="B466" i="3"/>
  <c r="C466" i="3" s="1"/>
  <c r="B470" i="3"/>
  <c r="C470" i="3" s="1"/>
  <c r="B474" i="3"/>
  <c r="C474" i="3" s="1"/>
  <c r="B486" i="3"/>
  <c r="C486" i="3" s="1"/>
  <c r="B490" i="3"/>
  <c r="C490" i="3" s="1"/>
  <c r="B497" i="3"/>
  <c r="C497" i="3" s="1"/>
  <c r="B513" i="3"/>
  <c r="C513" i="3" s="1"/>
  <c r="B529" i="3"/>
  <c r="C529" i="3" s="1"/>
  <c r="B546" i="3"/>
  <c r="C546" i="3" s="1"/>
  <c r="B569" i="3"/>
  <c r="C569" i="3" s="1"/>
  <c r="B633" i="3"/>
  <c r="C633" i="3" s="1"/>
  <c r="B666" i="3"/>
  <c r="C666" i="3" s="1"/>
  <c r="B703" i="3"/>
  <c r="C703" i="3" s="1"/>
  <c r="B496" i="3"/>
  <c r="C496" i="3" s="1"/>
  <c r="B512" i="3"/>
  <c r="C512" i="3" s="1"/>
  <c r="B528" i="3"/>
  <c r="C528" i="3" s="1"/>
  <c r="B548" i="3"/>
  <c r="C548" i="3" s="1"/>
  <c r="B566" i="3"/>
  <c r="C566" i="3" s="1"/>
  <c r="B612" i="3"/>
  <c r="C612" i="3" s="1"/>
  <c r="B630" i="3"/>
  <c r="C630" i="3" s="1"/>
  <c r="B650" i="3"/>
  <c r="C650" i="3" s="1"/>
  <c r="B667" i="3"/>
  <c r="C667" i="3" s="1"/>
  <c r="B571" i="3"/>
  <c r="C571" i="3" s="1"/>
  <c r="B603" i="3"/>
  <c r="C603" i="3" s="1"/>
  <c r="B619" i="3"/>
  <c r="C619" i="3" s="1"/>
  <c r="B635" i="3"/>
  <c r="C635" i="3" s="1"/>
  <c r="B654" i="3"/>
  <c r="C654" i="3" s="1"/>
  <c r="B704" i="3"/>
  <c r="C704" i="3" s="1"/>
  <c r="B716" i="3"/>
  <c r="C716" i="3" s="1"/>
  <c r="B739" i="3"/>
  <c r="C739" i="3" s="1"/>
  <c r="B746" i="3"/>
  <c r="C746" i="3" s="1"/>
  <c r="B709" i="3"/>
  <c r="C709" i="3" s="1"/>
  <c r="B401" i="3"/>
  <c r="C401" i="3" s="1"/>
  <c r="B523" i="3"/>
  <c r="C523" i="3" s="1"/>
  <c r="B410" i="3"/>
  <c r="C410" i="3" s="1"/>
  <c r="B391" i="3"/>
  <c r="C391" i="3" s="1"/>
  <c r="B507" i="3"/>
  <c r="C507" i="3" s="1"/>
  <c r="B702" i="3"/>
  <c r="C702" i="3" s="1"/>
  <c r="B406" i="3"/>
  <c r="C406" i="3" s="1"/>
  <c r="B494" i="3"/>
  <c r="C494" i="3" s="1"/>
  <c r="B604" i="3"/>
  <c r="C604" i="3" s="1"/>
  <c r="B396" i="3"/>
  <c r="C396" i="3" s="1"/>
  <c r="B545" i="3"/>
  <c r="C545" i="3" s="1"/>
  <c r="B584" i="3"/>
  <c r="C584" i="3" s="1"/>
  <c r="B403" i="3"/>
  <c r="C403" i="3" s="1"/>
  <c r="B498" i="3"/>
  <c r="C498" i="3" s="1"/>
  <c r="B530" i="3"/>
  <c r="C530" i="3" s="1"/>
  <c r="B743" i="3"/>
  <c r="C743" i="3" s="1"/>
  <c r="B419" i="3"/>
  <c r="C419" i="3" s="1"/>
  <c r="B423" i="3"/>
  <c r="C423" i="3" s="1"/>
  <c r="B435" i="3"/>
  <c r="C435" i="3" s="1"/>
  <c r="B439" i="3"/>
  <c r="C439" i="3" s="1"/>
  <c r="B443" i="3"/>
  <c r="C443" i="3" s="1"/>
  <c r="B447" i="3"/>
  <c r="C447" i="3" s="1"/>
  <c r="B451" i="3"/>
  <c r="C451" i="3" s="1"/>
  <c r="B459" i="3"/>
  <c r="C459" i="3" s="1"/>
  <c r="B463" i="3"/>
  <c r="C463" i="3" s="1"/>
  <c r="B467" i="3"/>
  <c r="C467" i="3" s="1"/>
  <c r="B475" i="3"/>
  <c r="C475" i="3" s="1"/>
  <c r="B479" i="3"/>
  <c r="C479" i="3" s="1"/>
  <c r="B483" i="3"/>
  <c r="C483" i="3" s="1"/>
  <c r="B487" i="3"/>
  <c r="C487" i="3" s="1"/>
  <c r="B491" i="3"/>
  <c r="C491" i="3" s="1"/>
  <c r="B501" i="3"/>
  <c r="C501" i="3" s="1"/>
  <c r="B517" i="3"/>
  <c r="C517" i="3" s="1"/>
  <c r="B533" i="3"/>
  <c r="C533" i="3" s="1"/>
  <c r="B553" i="3"/>
  <c r="C553" i="3" s="1"/>
  <c r="B594" i="3"/>
  <c r="C594" i="3" s="1"/>
  <c r="B617" i="3"/>
  <c r="C617" i="3" s="1"/>
  <c r="B672" i="3"/>
  <c r="C672" i="3" s="1"/>
  <c r="B719" i="3"/>
  <c r="C719" i="3" s="1"/>
  <c r="B500" i="3"/>
  <c r="C500" i="3" s="1"/>
  <c r="B516" i="3"/>
  <c r="C516" i="3" s="1"/>
  <c r="B532" i="3"/>
  <c r="C532" i="3" s="1"/>
  <c r="B550" i="3"/>
  <c r="C550" i="3" s="1"/>
  <c r="B573" i="3"/>
  <c r="C573" i="3" s="1"/>
  <c r="B596" i="3"/>
  <c r="C596" i="3" s="1"/>
  <c r="B614" i="3"/>
  <c r="C614" i="3" s="1"/>
  <c r="B637" i="3"/>
  <c r="C637" i="3" s="1"/>
  <c r="B676" i="3"/>
  <c r="C676" i="3" s="1"/>
  <c r="B720" i="3"/>
  <c r="C720" i="3" s="1"/>
  <c r="B543" i="3"/>
  <c r="C543" i="3" s="1"/>
  <c r="B575" i="3"/>
  <c r="C575" i="3" s="1"/>
  <c r="B591" i="3"/>
  <c r="C591" i="3" s="1"/>
  <c r="B607" i="3"/>
  <c r="C607" i="3" s="1"/>
  <c r="B639" i="3"/>
  <c r="C639" i="3" s="1"/>
  <c r="B692" i="3"/>
  <c r="C692" i="3" s="1"/>
  <c r="B706" i="3"/>
  <c r="C706" i="3" s="1"/>
  <c r="B751" i="3"/>
  <c r="C751" i="3" s="1"/>
  <c r="B660" i="3"/>
  <c r="C660" i="3" s="1"/>
  <c r="B682" i="3"/>
  <c r="C682" i="3" s="1"/>
  <c r="B700" i="3"/>
  <c r="C700" i="3" s="1"/>
  <c r="B747" i="3"/>
  <c r="C747" i="3" s="1"/>
  <c r="B750" i="3"/>
  <c r="C750" i="3" s="1"/>
  <c r="B697" i="3"/>
  <c r="C697" i="3" s="1"/>
  <c r="B713" i="3"/>
  <c r="C713" i="3" s="1"/>
  <c r="B729" i="3"/>
  <c r="C729" i="3" s="1"/>
  <c r="B745" i="3"/>
  <c r="C745" i="3" s="1"/>
  <c r="C742" i="3"/>
  <c r="C734" i="3"/>
  <c r="C722" i="3"/>
  <c r="C718" i="3"/>
  <c r="C714" i="3"/>
  <c r="C710" i="3"/>
  <c r="C698" i="3"/>
  <c r="C686" i="3"/>
  <c r="C678" i="3"/>
  <c r="C670" i="3"/>
  <c r="C735" i="3"/>
  <c r="C752" i="3"/>
  <c r="C744" i="3"/>
  <c r="C736" i="3"/>
  <c r="C741" i="3"/>
  <c r="C728" i="3"/>
  <c r="C721" i="3"/>
  <c r="C712" i="3"/>
  <c r="C705" i="3"/>
  <c r="C696" i="3"/>
  <c r="C689" i="3"/>
  <c r="C687" i="3"/>
  <c r="C680" i="3"/>
  <c r="C673" i="3"/>
  <c r="C671" i="3"/>
  <c r="C661" i="3"/>
  <c r="C653" i="3"/>
  <c r="C649" i="3"/>
  <c r="C740" i="3"/>
  <c r="C732" i="3"/>
  <c r="C725" i="3"/>
  <c r="C701" i="3"/>
  <c r="C675" i="3"/>
  <c r="C668" i="3"/>
  <c r="C659" i="3"/>
  <c r="C652" i="3"/>
  <c r="C644" i="3"/>
  <c r="C640" i="3"/>
  <c r="C632" i="3"/>
  <c r="C628" i="3"/>
  <c r="C620" i="3"/>
  <c r="C608" i="3"/>
  <c r="C592" i="3"/>
  <c r="C588" i="3"/>
  <c r="C576" i="3"/>
  <c r="C568" i="3"/>
  <c r="C564" i="3"/>
  <c r="C544" i="3"/>
  <c r="C540" i="3"/>
  <c r="C748" i="3"/>
  <c r="C723" i="3"/>
  <c r="C691" i="3"/>
  <c r="C688" i="3"/>
  <c r="C685" i="3"/>
  <c r="C642" i="3"/>
  <c r="C626" i="3"/>
  <c r="C610" i="3"/>
  <c r="C601" i="3"/>
  <c r="C587" i="3"/>
  <c r="C585" i="3"/>
  <c r="C578" i="3"/>
  <c r="C562" i="3"/>
  <c r="C555" i="3"/>
  <c r="C539" i="3"/>
  <c r="C525" i="3"/>
  <c r="C509" i="3"/>
  <c r="C505" i="3"/>
  <c r="C493" i="3"/>
  <c r="C489" i="3"/>
  <c r="C485" i="3"/>
  <c r="C482" i="3"/>
  <c r="C481" i="3"/>
  <c r="C480" i="3"/>
  <c r="C478" i="3"/>
  <c r="C477" i="3"/>
  <c r="C476" i="3"/>
  <c r="C473" i="3"/>
  <c r="C471" i="3"/>
  <c r="C469" i="3"/>
  <c r="C465" i="3"/>
  <c r="C461" i="3"/>
  <c r="C457" i="3"/>
  <c r="C456" i="3"/>
  <c r="C455" i="3"/>
  <c r="C453" i="3"/>
  <c r="C450" i="3"/>
  <c r="C449" i="3"/>
  <c r="C445" i="3"/>
  <c r="C441" i="3"/>
  <c r="C438" i="3"/>
  <c r="C437" i="3"/>
  <c r="C433" i="3"/>
  <c r="C431" i="3"/>
  <c r="C429" i="3"/>
  <c r="C427" i="3"/>
  <c r="C425" i="3"/>
  <c r="C424" i="3"/>
  <c r="C421" i="3"/>
  <c r="C420" i="3"/>
  <c r="C417" i="3"/>
  <c r="C414" i="3"/>
  <c r="C413" i="3"/>
  <c r="C412" i="3"/>
  <c r="C411" i="3"/>
  <c r="C409" i="3"/>
  <c r="C405" i="3"/>
  <c r="C404" i="3"/>
  <c r="C400" i="3"/>
  <c r="C395" i="3"/>
  <c r="C394" i="3"/>
  <c r="C393" i="3"/>
  <c r="C388" i="3"/>
  <c r="C737" i="3"/>
  <c r="C731" i="3"/>
  <c r="C681" i="3"/>
  <c r="C647" i="3"/>
  <c r="C638" i="3"/>
  <c r="C631" i="3"/>
  <c r="C629" i="3"/>
  <c r="C615" i="3"/>
  <c r="C613" i="3"/>
  <c r="C606" i="3"/>
  <c r="C599" i="3"/>
  <c r="C590" i="3"/>
  <c r="C583" i="3"/>
  <c r="C581" i="3"/>
  <c r="C574" i="3"/>
  <c r="C567" i="3"/>
  <c r="C565" i="3"/>
  <c r="C558" i="3"/>
  <c r="C551" i="3"/>
  <c r="C549" i="3"/>
  <c r="C542" i="3"/>
  <c r="C534" i="3"/>
  <c r="C526" i="3"/>
  <c r="C522" i="3"/>
  <c r="C518" i="3"/>
  <c r="C514" i="3"/>
  <c r="C510" i="3"/>
  <c r="C506" i="3"/>
  <c r="C699" i="3"/>
  <c r="C693" i="3"/>
  <c r="C663" i="3"/>
  <c r="C634" i="3"/>
  <c r="C627" i="3"/>
  <c r="C609" i="3"/>
  <c r="C602" i="3"/>
  <c r="C595" i="3"/>
  <c r="C570" i="3"/>
  <c r="C535" i="3"/>
  <c r="C519" i="3"/>
  <c r="C503" i="3"/>
  <c r="C662" i="3"/>
  <c r="C648" i="3"/>
  <c r="C623" i="3"/>
  <c r="C605" i="3"/>
  <c r="C559" i="3"/>
  <c r="C541" i="3"/>
  <c r="C524" i="3"/>
  <c r="C508" i="3"/>
  <c r="C683" i="3"/>
  <c r="C677" i="3"/>
  <c r="C656" i="3"/>
  <c r="C625" i="3"/>
  <c r="C611" i="3"/>
  <c r="C593" i="3"/>
  <c r="C586" i="3"/>
  <c r="C561" i="3"/>
  <c r="C554" i="3"/>
  <c r="C499" i="3"/>
  <c r="C557" i="3"/>
  <c r="C655" i="3"/>
  <c r="C582" i="3"/>
  <c r="C695" i="3"/>
  <c r="C621" i="3"/>
  <c r="C646" i="3"/>
  <c r="C589" i="3"/>
  <c r="D16" i="3"/>
  <c r="B665" i="3"/>
  <c r="C665" i="3" s="1"/>
  <c r="B515" i="3"/>
  <c r="C515" i="3" s="1"/>
  <c r="B397" i="3"/>
  <c r="C397" i="3" s="1"/>
  <c r="B727" i="3"/>
  <c r="C727" i="3" s="1"/>
  <c r="B600" i="3"/>
  <c r="C600" i="3" s="1"/>
  <c r="B502" i="3"/>
  <c r="C502" i="3" s="1"/>
  <c r="B572" i="3"/>
  <c r="C572" i="3" s="1"/>
  <c r="B622" i="3"/>
  <c r="C622" i="3" s="1"/>
  <c r="B690" i="3"/>
  <c r="C690" i="3" s="1"/>
  <c r="B495" i="3"/>
  <c r="C495" i="3" s="1"/>
  <c r="B527" i="3"/>
  <c r="C527" i="3" s="1"/>
  <c r="B552" i="3"/>
  <c r="C552" i="3" s="1"/>
  <c r="B641" i="3"/>
  <c r="C641" i="3" s="1"/>
  <c r="B724" i="3"/>
  <c r="C724" i="3" s="1"/>
  <c r="B407" i="3"/>
  <c r="C407" i="3" s="1"/>
  <c r="B674" i="3"/>
  <c r="C674" i="3" s="1"/>
  <c r="B416" i="3"/>
  <c r="C416" i="3" s="1"/>
  <c r="B428" i="3"/>
  <c r="C428" i="3" s="1"/>
  <c r="B432" i="3"/>
  <c r="C432" i="3" s="1"/>
  <c r="B436" i="3"/>
  <c r="C436" i="3" s="1"/>
  <c r="B440" i="3"/>
  <c r="C440" i="3" s="1"/>
  <c r="B444" i="3"/>
  <c r="C444" i="3" s="1"/>
  <c r="B448" i="3"/>
  <c r="C448" i="3" s="1"/>
  <c r="B452" i="3"/>
  <c r="C452" i="3" s="1"/>
  <c r="B460" i="3"/>
  <c r="C460" i="3" s="1"/>
  <c r="B464" i="3"/>
  <c r="C464" i="3" s="1"/>
  <c r="B468" i="3"/>
  <c r="C468" i="3" s="1"/>
  <c r="B472" i="3"/>
  <c r="C472" i="3" s="1"/>
  <c r="B484" i="3"/>
  <c r="C484" i="3" s="1"/>
  <c r="B488" i="3"/>
  <c r="C488" i="3" s="1"/>
  <c r="B492" i="3"/>
  <c r="C492" i="3" s="1"/>
  <c r="B521" i="3"/>
  <c r="C521" i="3" s="1"/>
  <c r="B537" i="3"/>
  <c r="C537" i="3" s="1"/>
  <c r="B560" i="3"/>
  <c r="C560" i="3" s="1"/>
  <c r="B624" i="3"/>
  <c r="C624" i="3" s="1"/>
  <c r="B504" i="3"/>
  <c r="C504" i="3" s="1"/>
  <c r="B520" i="3"/>
  <c r="C520" i="3" s="1"/>
  <c r="B536" i="3"/>
  <c r="C536" i="3" s="1"/>
  <c r="B580" i="3"/>
  <c r="C580" i="3" s="1"/>
  <c r="B598" i="3"/>
  <c r="C598" i="3" s="1"/>
  <c r="B657" i="3"/>
  <c r="C657" i="3" s="1"/>
  <c r="B679" i="3"/>
  <c r="C679" i="3" s="1"/>
  <c r="B726" i="3"/>
  <c r="C726" i="3" s="1"/>
  <c r="B547" i="3"/>
  <c r="C547" i="3" s="1"/>
  <c r="B563" i="3"/>
  <c r="C563" i="3" s="1"/>
  <c r="B579" i="3"/>
  <c r="C579" i="3" s="1"/>
  <c r="B643" i="3"/>
  <c r="C643" i="3" s="1"/>
  <c r="B694" i="3"/>
  <c r="C694" i="3" s="1"/>
  <c r="B711" i="3"/>
  <c r="C711" i="3" s="1"/>
  <c r="B664" i="3"/>
  <c r="C664" i="3" s="1"/>
  <c r="B684" i="3"/>
  <c r="C684" i="3" s="1"/>
  <c r="B707" i="3"/>
  <c r="C707" i="3" s="1"/>
  <c r="B730" i="3"/>
  <c r="C730" i="3" s="1"/>
  <c r="B738" i="3"/>
  <c r="C738" i="3" s="1"/>
  <c r="B669" i="3"/>
  <c r="C669" i="3" s="1"/>
  <c r="B717" i="3"/>
  <c r="C717" i="3" s="1"/>
  <c r="B733" i="3"/>
  <c r="C733" i="3" s="1"/>
  <c r="B749" i="3"/>
  <c r="C749" i="3" s="1"/>
  <c r="C53" i="4" l="1"/>
  <c r="C45" i="4"/>
  <c r="C31" i="4"/>
  <c r="C47" i="4"/>
  <c r="C33" i="4"/>
  <c r="C66" i="4"/>
  <c r="E89" i="3"/>
  <c r="E192" i="3"/>
  <c r="C39" i="4"/>
  <c r="C60" i="4"/>
  <c r="C42" i="4"/>
  <c r="C48" i="4"/>
  <c r="C69" i="4"/>
  <c r="C44" i="4"/>
  <c r="C26" i="4"/>
  <c r="C54" i="4"/>
  <c r="C51" i="4"/>
  <c r="C36" i="4"/>
  <c r="C50" i="4"/>
  <c r="C23" i="4"/>
  <c r="C73" i="4"/>
  <c r="C74" i="4"/>
  <c r="C27" i="4"/>
  <c r="C38" i="4"/>
  <c r="C52" i="4"/>
  <c r="C46" i="4"/>
  <c r="C56" i="4"/>
  <c r="E145" i="3"/>
  <c r="E362" i="3"/>
  <c r="E229" i="3"/>
  <c r="E118" i="3"/>
  <c r="E142" i="3"/>
  <c r="E75" i="3"/>
  <c r="E91" i="3"/>
  <c r="I8" i="4"/>
  <c r="I5" i="4"/>
  <c r="C49" i="4" s="1"/>
  <c r="E353" i="3"/>
  <c r="E343" i="3"/>
  <c r="E277" i="3"/>
  <c r="E86" i="3"/>
  <c r="E268" i="3"/>
  <c r="E278" i="3"/>
  <c r="E170" i="3"/>
  <c r="E58" i="3"/>
  <c r="E249" i="3"/>
  <c r="E152" i="3"/>
  <c r="E28" i="3"/>
  <c r="E126" i="3"/>
  <c r="E237" i="3"/>
  <c r="E114" i="3"/>
  <c r="E189" i="3"/>
  <c r="E188" i="3"/>
  <c r="E31" i="3"/>
  <c r="E67" i="3"/>
  <c r="E279" i="3"/>
  <c r="E330" i="3"/>
  <c r="E375" i="3"/>
  <c r="E69" i="3"/>
  <c r="E254" i="3"/>
  <c r="E335" i="3"/>
  <c r="E364" i="3"/>
  <c r="E328" i="3"/>
  <c r="E178" i="3"/>
  <c r="E14" i="3"/>
  <c r="E244" i="3"/>
  <c r="E326" i="3"/>
  <c r="E55" i="3"/>
  <c r="E339" i="3"/>
  <c r="E241" i="3"/>
  <c r="E356" i="3"/>
  <c r="E363" i="3"/>
  <c r="E73" i="3"/>
  <c r="E225" i="3"/>
  <c r="E374" i="3"/>
  <c r="E280" i="3"/>
  <c r="E88" i="3"/>
  <c r="E43" i="3"/>
  <c r="E94" i="3"/>
  <c r="E176" i="3"/>
  <c r="E122" i="3"/>
  <c r="E253" i="3"/>
  <c r="E341" i="3"/>
  <c r="E310" i="3"/>
  <c r="E181" i="3"/>
  <c r="E154" i="3"/>
  <c r="E123" i="3"/>
  <c r="E139" i="3"/>
  <c r="E173" i="3"/>
  <c r="E196" i="3"/>
  <c r="E378" i="3"/>
  <c r="E106" i="3"/>
  <c r="E121" i="3"/>
  <c r="E338" i="3"/>
  <c r="D496" i="3"/>
  <c r="E496" i="3" s="1"/>
  <c r="D727" i="3"/>
  <c r="E727" i="3" s="1"/>
  <c r="D575" i="3"/>
  <c r="E575" i="3" s="1"/>
  <c r="D527" i="3"/>
  <c r="E527" i="3" s="1"/>
  <c r="D474" i="3"/>
  <c r="E474" i="3" s="1"/>
  <c r="D426" i="3"/>
  <c r="E426" i="3" s="1"/>
  <c r="D548" i="3"/>
  <c r="E548" i="3" s="1"/>
  <c r="D719" i="3"/>
  <c r="E719" i="3" s="1"/>
  <c r="D639" i="3"/>
  <c r="E639" i="3" s="1"/>
  <c r="D543" i="3"/>
  <c r="E543" i="3" s="1"/>
  <c r="D495" i="3"/>
  <c r="E495" i="3" s="1"/>
  <c r="D447" i="3"/>
  <c r="E447" i="3" s="1"/>
  <c r="D399" i="3"/>
  <c r="E399" i="3" s="1"/>
  <c r="D682" i="3"/>
  <c r="E682" i="3" s="1"/>
  <c r="D650" i="3"/>
  <c r="E650" i="3" s="1"/>
  <c r="D538" i="3"/>
  <c r="E538" i="3" s="1"/>
  <c r="D490" i="3"/>
  <c r="E490" i="3" s="1"/>
  <c r="D458" i="3"/>
  <c r="E458" i="3" s="1"/>
  <c r="D397" i="3"/>
  <c r="E397" i="3" s="1"/>
  <c r="D624" i="3"/>
  <c r="E624" i="3" s="1"/>
  <c r="D560" i="3"/>
  <c r="E560" i="3" s="1"/>
  <c r="D432" i="3"/>
  <c r="E432" i="3" s="1"/>
  <c r="D692" i="3"/>
  <c r="E692" i="3" s="1"/>
  <c r="D511" i="3"/>
  <c r="E511" i="3" s="1"/>
  <c r="D410" i="3"/>
  <c r="E410" i="3" s="1"/>
  <c r="D669" i="3"/>
  <c r="E669" i="3" s="1"/>
  <c r="D637" i="3"/>
  <c r="E637" i="3" s="1"/>
  <c r="D738" i="3"/>
  <c r="E738" i="3" s="1"/>
  <c r="D520" i="3"/>
  <c r="E520" i="3" s="1"/>
  <c r="D607" i="3"/>
  <c r="E607" i="3" s="1"/>
  <c r="D463" i="3"/>
  <c r="E463" i="3" s="1"/>
  <c r="D618" i="3"/>
  <c r="E618" i="3" s="1"/>
  <c r="D676" i="3"/>
  <c r="E676" i="3" s="1"/>
  <c r="D706" i="3"/>
  <c r="E706" i="3" s="1"/>
  <c r="D584" i="3"/>
  <c r="E584" i="3" s="1"/>
  <c r="D666" i="3"/>
  <c r="E666" i="3" s="1"/>
  <c r="D442" i="3"/>
  <c r="E442" i="3" s="1"/>
  <c r="D717" i="3"/>
  <c r="E717" i="3" s="1"/>
  <c r="D730" i="3"/>
  <c r="E730" i="3" s="1"/>
  <c r="D532" i="3"/>
  <c r="E532" i="3" s="1"/>
  <c r="D749" i="3"/>
  <c r="E749" i="3" s="1"/>
  <c r="D733" i="3"/>
  <c r="E733" i="3" s="1"/>
  <c r="D672" i="3"/>
  <c r="E672" i="3" s="1"/>
  <c r="D416" i="3"/>
  <c r="E416" i="3" s="1"/>
  <c r="D660" i="3"/>
  <c r="E660" i="3" s="1"/>
  <c r="D516" i="3"/>
  <c r="E516" i="3" s="1"/>
  <c r="D707" i="3"/>
  <c r="E707" i="3" s="1"/>
  <c r="D460" i="3"/>
  <c r="E460" i="3" s="1"/>
  <c r="D396" i="3"/>
  <c r="E396" i="3" s="1"/>
  <c r="D739" i="3"/>
  <c r="E739" i="3" s="1"/>
  <c r="D504" i="3"/>
  <c r="E504" i="3" s="1"/>
  <c r="D440" i="3"/>
  <c r="E440" i="3" s="1"/>
  <c r="D667" i="3"/>
  <c r="E667" i="3" s="1"/>
  <c r="D651" i="3"/>
  <c r="E651" i="3" s="1"/>
  <c r="D635" i="3"/>
  <c r="E635" i="3" s="1"/>
  <c r="D619" i="3"/>
  <c r="E619" i="3" s="1"/>
  <c r="D603" i="3"/>
  <c r="E603" i="3" s="1"/>
  <c r="D571" i="3"/>
  <c r="E571" i="3" s="1"/>
  <c r="D523" i="3"/>
  <c r="E523" i="3" s="1"/>
  <c r="D507" i="3"/>
  <c r="E507" i="3" s="1"/>
  <c r="D491" i="3"/>
  <c r="E491" i="3" s="1"/>
  <c r="D475" i="3"/>
  <c r="E475" i="3" s="1"/>
  <c r="D459" i="3"/>
  <c r="E459" i="3" s="1"/>
  <c r="D443" i="3"/>
  <c r="E443" i="3" s="1"/>
  <c r="D694" i="3"/>
  <c r="E694" i="3" s="1"/>
  <c r="D630" i="3"/>
  <c r="E630" i="3" s="1"/>
  <c r="D614" i="3"/>
  <c r="E614" i="3" s="1"/>
  <c r="D598" i="3"/>
  <c r="E598" i="3" s="1"/>
  <c r="D566" i="3"/>
  <c r="E566" i="3" s="1"/>
  <c r="D550" i="3"/>
  <c r="E550" i="3" s="1"/>
  <c r="D502" i="3"/>
  <c r="E502" i="3" s="1"/>
  <c r="D486" i="3"/>
  <c r="E486" i="3" s="1"/>
  <c r="D470" i="3"/>
  <c r="E470" i="3" s="1"/>
  <c r="D454" i="3"/>
  <c r="E454" i="3" s="1"/>
  <c r="D422" i="3"/>
  <c r="E422" i="3" s="1"/>
  <c r="D406" i="3"/>
  <c r="E406" i="3" s="1"/>
  <c r="D390" i="3"/>
  <c r="E390" i="3" s="1"/>
  <c r="D713" i="3"/>
  <c r="E713" i="3" s="1"/>
  <c r="D697" i="3"/>
  <c r="E697" i="3" s="1"/>
  <c r="D665" i="3"/>
  <c r="E665" i="3" s="1"/>
  <c r="D633" i="3"/>
  <c r="E633" i="3" s="1"/>
  <c r="D617" i="3"/>
  <c r="E617" i="3" s="1"/>
  <c r="D569" i="3"/>
  <c r="E569" i="3" s="1"/>
  <c r="D553" i="3"/>
  <c r="E553" i="3" s="1"/>
  <c r="D537" i="3"/>
  <c r="E537" i="3" s="1"/>
  <c r="D521" i="3"/>
  <c r="E521" i="3" s="1"/>
  <c r="D436" i="3"/>
  <c r="E436" i="3" s="1"/>
  <c r="D604" i="3"/>
  <c r="E604" i="3" s="1"/>
  <c r="D743" i="3"/>
  <c r="E743" i="3" s="1"/>
  <c r="D392" i="3"/>
  <c r="E392" i="3" s="1"/>
  <c r="D591" i="3"/>
  <c r="E591" i="3" s="1"/>
  <c r="D479" i="3"/>
  <c r="E479" i="3" s="1"/>
  <c r="D415" i="3"/>
  <c r="E415" i="3" s="1"/>
  <c r="D573" i="3"/>
  <c r="E573" i="3" s="1"/>
  <c r="D720" i="3"/>
  <c r="E720" i="3" s="1"/>
  <c r="D612" i="3"/>
  <c r="E612" i="3" s="1"/>
  <c r="D500" i="3"/>
  <c r="E500" i="3" s="1"/>
  <c r="D745" i="3"/>
  <c r="E745" i="3" s="1"/>
  <c r="D729" i="3"/>
  <c r="E729" i="3" s="1"/>
  <c r="D708" i="3"/>
  <c r="E708" i="3" s="1"/>
  <c r="D528" i="3"/>
  <c r="E528" i="3" s="1"/>
  <c r="D464" i="3"/>
  <c r="E464" i="3" s="1"/>
  <c r="D726" i="3"/>
  <c r="E726" i="3" s="1"/>
  <c r="D484" i="3"/>
  <c r="E484" i="3" s="1"/>
  <c r="D700" i="3"/>
  <c r="E700" i="3" s="1"/>
  <c r="D636" i="3"/>
  <c r="E636" i="3" s="1"/>
  <c r="D572" i="3"/>
  <c r="E572" i="3" s="1"/>
  <c r="D444" i="3"/>
  <c r="E444" i="3" s="1"/>
  <c r="D751" i="3"/>
  <c r="E751" i="3" s="1"/>
  <c r="D716" i="3"/>
  <c r="E716" i="3" s="1"/>
  <c r="D616" i="3"/>
  <c r="E616" i="3" s="1"/>
  <c r="D552" i="3"/>
  <c r="E552" i="3" s="1"/>
  <c r="D488" i="3"/>
  <c r="E488" i="3" s="1"/>
  <c r="D679" i="3"/>
  <c r="E679" i="3" s="1"/>
  <c r="D487" i="3"/>
  <c r="E487" i="3" s="1"/>
  <c r="D439" i="3"/>
  <c r="E439" i="3" s="1"/>
  <c r="D423" i="3"/>
  <c r="E423" i="3" s="1"/>
  <c r="D407" i="3"/>
  <c r="E407" i="3" s="1"/>
  <c r="D391" i="3"/>
  <c r="E391" i="3" s="1"/>
  <c r="D690" i="3"/>
  <c r="E690" i="3" s="1"/>
  <c r="D674" i="3"/>
  <c r="E674" i="3" s="1"/>
  <c r="D658" i="3"/>
  <c r="E658" i="3" s="1"/>
  <c r="D594" i="3"/>
  <c r="E594" i="3" s="1"/>
  <c r="D546" i="3"/>
  <c r="E546" i="3" s="1"/>
  <c r="D530" i="3"/>
  <c r="E530" i="3" s="1"/>
  <c r="D498" i="3"/>
  <c r="E498" i="3" s="1"/>
  <c r="D466" i="3"/>
  <c r="E466" i="3" s="1"/>
  <c r="D434" i="3"/>
  <c r="E434" i="3" s="1"/>
  <c r="D418" i="3"/>
  <c r="E418" i="3" s="1"/>
  <c r="D402" i="3"/>
  <c r="E402" i="3" s="1"/>
  <c r="D709" i="3"/>
  <c r="E709" i="3" s="1"/>
  <c r="D645" i="3"/>
  <c r="E645" i="3" s="1"/>
  <c r="D597" i="3"/>
  <c r="E597" i="3" s="1"/>
  <c r="D533" i="3"/>
  <c r="E533" i="3" s="1"/>
  <c r="D517" i="3"/>
  <c r="E517" i="3" s="1"/>
  <c r="D501" i="3"/>
  <c r="E501" i="3" s="1"/>
  <c r="D389" i="3"/>
  <c r="E389" i="3" s="1"/>
  <c r="D746" i="3"/>
  <c r="E746" i="3" s="1"/>
  <c r="D704" i="3"/>
  <c r="E704" i="3" s="1"/>
  <c r="D580" i="3"/>
  <c r="E580" i="3" s="1"/>
  <c r="D468" i="3"/>
  <c r="E468" i="3" s="1"/>
  <c r="D724" i="3"/>
  <c r="E724" i="3" s="1"/>
  <c r="D703" i="3"/>
  <c r="E703" i="3" s="1"/>
  <c r="D512" i="3"/>
  <c r="E512" i="3" s="1"/>
  <c r="D448" i="3"/>
  <c r="E448" i="3" s="1"/>
  <c r="D750" i="3"/>
  <c r="E750" i="3" s="1"/>
  <c r="D715" i="3"/>
  <c r="E715" i="3" s="1"/>
  <c r="D596" i="3"/>
  <c r="E596" i="3" s="1"/>
  <c r="D452" i="3"/>
  <c r="E452" i="3" s="1"/>
  <c r="D684" i="3"/>
  <c r="E684" i="3" s="1"/>
  <c r="D556" i="3"/>
  <c r="E556" i="3" s="1"/>
  <c r="D492" i="3"/>
  <c r="E492" i="3" s="1"/>
  <c r="D428" i="3"/>
  <c r="E428" i="3" s="1"/>
  <c r="D747" i="3"/>
  <c r="E747" i="3" s="1"/>
  <c r="D711" i="3"/>
  <c r="E711" i="3" s="1"/>
  <c r="D664" i="3"/>
  <c r="E664" i="3" s="1"/>
  <c r="D600" i="3"/>
  <c r="E600" i="3" s="1"/>
  <c r="D536" i="3"/>
  <c r="E536" i="3" s="1"/>
  <c r="D472" i="3"/>
  <c r="E472" i="3" s="1"/>
  <c r="D408" i="3"/>
  <c r="E408" i="3" s="1"/>
  <c r="D643" i="3"/>
  <c r="E643" i="3" s="1"/>
  <c r="D579" i="3"/>
  <c r="E579" i="3" s="1"/>
  <c r="D563" i="3"/>
  <c r="E563" i="3" s="1"/>
  <c r="D547" i="3"/>
  <c r="E547" i="3" s="1"/>
  <c r="D531" i="3"/>
  <c r="E531" i="3" s="1"/>
  <c r="D515" i="3"/>
  <c r="E515" i="3" s="1"/>
  <c r="D483" i="3"/>
  <c r="E483" i="3" s="1"/>
  <c r="D467" i="3"/>
  <c r="E467" i="3" s="1"/>
  <c r="D451" i="3"/>
  <c r="E451" i="3" s="1"/>
  <c r="D435" i="3"/>
  <c r="E435" i="3" s="1"/>
  <c r="D419" i="3"/>
  <c r="E419" i="3" s="1"/>
  <c r="D403" i="3"/>
  <c r="E403" i="3" s="1"/>
  <c r="D702" i="3"/>
  <c r="E702" i="3" s="1"/>
  <c r="D654" i="3"/>
  <c r="E654" i="3" s="1"/>
  <c r="D622" i="3"/>
  <c r="E622" i="3" s="1"/>
  <c r="D494" i="3"/>
  <c r="E494" i="3" s="1"/>
  <c r="D462" i="3"/>
  <c r="E462" i="3" s="1"/>
  <c r="D446" i="3"/>
  <c r="E446" i="3" s="1"/>
  <c r="D430" i="3"/>
  <c r="E430" i="3" s="1"/>
  <c r="D398" i="3"/>
  <c r="E398" i="3" s="1"/>
  <c r="D657" i="3"/>
  <c r="E657" i="3" s="1"/>
  <c r="D641" i="3"/>
  <c r="E641" i="3" s="1"/>
  <c r="D577" i="3"/>
  <c r="E577" i="3" s="1"/>
  <c r="D545" i="3"/>
  <c r="E545" i="3" s="1"/>
  <c r="D529" i="3"/>
  <c r="E529" i="3" s="1"/>
  <c r="D513" i="3"/>
  <c r="E513" i="3" s="1"/>
  <c r="D497" i="3"/>
  <c r="E497" i="3" s="1"/>
  <c r="D401" i="3"/>
  <c r="E401" i="3" s="1"/>
  <c r="E256" i="3"/>
  <c r="E66" i="3"/>
  <c r="E76" i="3"/>
  <c r="E360" i="3"/>
  <c r="E221" i="3"/>
  <c r="E357" i="3"/>
  <c r="E359" i="3"/>
  <c r="E275" i="3"/>
  <c r="E213" i="3"/>
  <c r="E157" i="3"/>
  <c r="E351" i="3"/>
  <c r="E274" i="3"/>
  <c r="E257" i="3"/>
  <c r="E276" i="3"/>
  <c r="E365" i="3"/>
  <c r="E354" i="3"/>
  <c r="E281" i="3"/>
  <c r="E197" i="3"/>
  <c r="E165" i="3"/>
  <c r="E109" i="3"/>
  <c r="E72" i="3"/>
  <c r="E70" i="3"/>
  <c r="E48" i="3"/>
  <c r="E40" i="3"/>
  <c r="C303" i="3"/>
  <c r="D303" i="3"/>
  <c r="C260" i="3"/>
  <c r="D260" i="3"/>
  <c r="C208" i="3"/>
  <c r="D208" i="3"/>
  <c r="C41" i="3"/>
  <c r="D41" i="3"/>
  <c r="C125" i="3"/>
  <c r="D125" i="3"/>
  <c r="C349" i="3"/>
  <c r="D349" i="3"/>
  <c r="C345" i="3"/>
  <c r="D345" i="3"/>
  <c r="C313" i="3"/>
  <c r="D313" i="3"/>
  <c r="C337" i="3"/>
  <c r="D337" i="3"/>
  <c r="C308" i="3"/>
  <c r="D308" i="3"/>
  <c r="C231" i="3"/>
  <c r="D231" i="3"/>
  <c r="C183" i="3"/>
  <c r="D183" i="3"/>
  <c r="C112" i="3"/>
  <c r="D112" i="3"/>
  <c r="C33" i="3"/>
  <c r="D33" i="3"/>
  <c r="C68" i="3"/>
  <c r="D68" i="3"/>
  <c r="C56" i="3"/>
  <c r="D56" i="3"/>
  <c r="C334" i="3"/>
  <c r="D334" i="3"/>
  <c r="C294" i="3"/>
  <c r="D294" i="3"/>
  <c r="C269" i="3"/>
  <c r="D269" i="3"/>
  <c r="C240" i="3"/>
  <c r="D240" i="3"/>
  <c r="C236" i="3"/>
  <c r="D236" i="3"/>
  <c r="C227" i="3"/>
  <c r="D227" i="3"/>
  <c r="C219" i="3"/>
  <c r="D219" i="3"/>
  <c r="C211" i="3"/>
  <c r="D211" i="3"/>
  <c r="C195" i="3"/>
  <c r="D195" i="3"/>
  <c r="C179" i="3"/>
  <c r="D179" i="3"/>
  <c r="C171" i="3"/>
  <c r="D171" i="3"/>
  <c r="C163" i="3"/>
  <c r="D163" i="3"/>
  <c r="C110" i="3"/>
  <c r="D110" i="3"/>
  <c r="C34" i="3"/>
  <c r="D34" i="3"/>
  <c r="C23" i="3"/>
  <c r="D23" i="3"/>
  <c r="C87" i="3"/>
  <c r="D87" i="3"/>
  <c r="C342" i="3"/>
  <c r="D342" i="3"/>
  <c r="C301" i="3"/>
  <c r="D301" i="3"/>
  <c r="C287" i="3"/>
  <c r="D287" i="3"/>
  <c r="C239" i="3"/>
  <c r="D239" i="3"/>
  <c r="C133" i="3"/>
  <c r="D133" i="3"/>
  <c r="C101" i="3"/>
  <c r="D101" i="3"/>
  <c r="C97" i="3"/>
  <c r="D97" i="3"/>
  <c r="C214" i="3"/>
  <c r="D214" i="3"/>
  <c r="C35" i="3"/>
  <c r="D35" i="3"/>
  <c r="C80" i="3"/>
  <c r="D80" i="3"/>
  <c r="C311" i="3"/>
  <c r="D311" i="3"/>
  <c r="C262" i="3"/>
  <c r="D262" i="3"/>
  <c r="C285" i="3"/>
  <c r="D285" i="3"/>
  <c r="C263" i="3"/>
  <c r="D263" i="3"/>
  <c r="C199" i="3"/>
  <c r="D199" i="3"/>
  <c r="C144" i="3"/>
  <c r="D144" i="3"/>
  <c r="C132" i="3"/>
  <c r="D132" i="3"/>
  <c r="C128" i="3"/>
  <c r="D128" i="3"/>
  <c r="C124" i="3"/>
  <c r="D124" i="3"/>
  <c r="C164" i="3"/>
  <c r="D164" i="3"/>
  <c r="C93" i="3"/>
  <c r="D93" i="3"/>
  <c r="C90" i="3"/>
  <c r="D90" i="3"/>
  <c r="C60" i="3"/>
  <c r="D60" i="3"/>
  <c r="C42" i="3"/>
  <c r="D42" i="3"/>
  <c r="C95" i="3"/>
  <c r="D95" i="3"/>
  <c r="C79" i="3"/>
  <c r="D79" i="3"/>
  <c r="C290" i="3"/>
  <c r="D290" i="3"/>
  <c r="C138" i="3"/>
  <c r="D138" i="3"/>
  <c r="C130" i="3"/>
  <c r="D130" i="3"/>
  <c r="C82" i="3"/>
  <c r="D82" i="3"/>
  <c r="C296" i="3"/>
  <c r="D296" i="3"/>
  <c r="C289" i="3"/>
  <c r="D289" i="3"/>
  <c r="C259" i="3"/>
  <c r="D259" i="3"/>
  <c r="C206" i="3"/>
  <c r="D206" i="3"/>
  <c r="C190" i="3"/>
  <c r="D190" i="3"/>
  <c r="C148" i="3"/>
  <c r="D148" i="3"/>
  <c r="C108" i="3"/>
  <c r="D108" i="3"/>
  <c r="C370" i="3"/>
  <c r="D370" i="3"/>
  <c r="C347" i="3"/>
  <c r="D347" i="3"/>
  <c r="C305" i="3"/>
  <c r="D305" i="3"/>
  <c r="C312" i="3"/>
  <c r="D312" i="3"/>
  <c r="C300" i="3"/>
  <c r="D300" i="3"/>
  <c r="C155" i="3"/>
  <c r="D155" i="3"/>
  <c r="C98" i="3"/>
  <c r="D98" i="3"/>
  <c r="C200" i="3"/>
  <c r="D200" i="3"/>
  <c r="C168" i="3"/>
  <c r="D168" i="3"/>
  <c r="C160" i="3"/>
  <c r="D160" i="3"/>
  <c r="C49" i="3"/>
  <c r="D49" i="3"/>
  <c r="C29" i="3"/>
  <c r="D29" i="3"/>
  <c r="C62" i="3"/>
  <c r="D62" i="3"/>
  <c r="C71" i="3"/>
  <c r="D71" i="3"/>
  <c r="C373" i="3"/>
  <c r="D373" i="3"/>
  <c r="C366" i="3"/>
  <c r="D366" i="3"/>
  <c r="C346" i="3"/>
  <c r="D346" i="3"/>
  <c r="C331" i="3"/>
  <c r="D331" i="3"/>
  <c r="C315" i="3"/>
  <c r="D315" i="3"/>
  <c r="C324" i="3"/>
  <c r="D324" i="3"/>
  <c r="C267" i="3"/>
  <c r="D267" i="3"/>
  <c r="C255" i="3"/>
  <c r="D255" i="3"/>
  <c r="C169" i="3"/>
  <c r="D169" i="3"/>
  <c r="C161" i="3"/>
  <c r="D161" i="3"/>
  <c r="C153" i="3"/>
  <c r="D153" i="3"/>
  <c r="C129" i="3"/>
  <c r="D129" i="3"/>
  <c r="C117" i="3"/>
  <c r="D117" i="3"/>
  <c r="C105" i="3"/>
  <c r="D105" i="3"/>
  <c r="C198" i="3"/>
  <c r="D198" i="3"/>
  <c r="C47" i="3"/>
  <c r="D47" i="3"/>
  <c r="C284" i="3"/>
  <c r="D284" i="3"/>
  <c r="C78" i="3"/>
  <c r="D78" i="3"/>
  <c r="C53" i="3"/>
  <c r="D53" i="3"/>
  <c r="C32" i="3"/>
  <c r="D32" i="3"/>
  <c r="C17" i="3"/>
  <c r="D17" i="3"/>
  <c r="C358" i="3"/>
  <c r="D358" i="3"/>
  <c r="C352" i="3"/>
  <c r="D352" i="3"/>
  <c r="C318" i="3"/>
  <c r="D318" i="3"/>
  <c r="C295" i="3"/>
  <c r="D295" i="3"/>
  <c r="C242" i="3"/>
  <c r="D242" i="3"/>
  <c r="C215" i="3"/>
  <c r="D215" i="3"/>
  <c r="C207" i="3"/>
  <c r="D207" i="3"/>
  <c r="C100" i="3"/>
  <c r="D100" i="3"/>
  <c r="C228" i="3"/>
  <c r="D228" i="3"/>
  <c r="C172" i="3"/>
  <c r="D172" i="3"/>
  <c r="C74" i="3"/>
  <c r="D74" i="3"/>
  <c r="C38" i="3"/>
  <c r="D38" i="3"/>
  <c r="C30" i="3"/>
  <c r="D30" i="3"/>
  <c r="C377" i="3"/>
  <c r="D377" i="3"/>
  <c r="C319" i="3"/>
  <c r="D319" i="3"/>
  <c r="C291" i="3"/>
  <c r="D291" i="3"/>
  <c r="C248" i="3"/>
  <c r="D248" i="3"/>
  <c r="C146" i="3"/>
  <c r="D146" i="3"/>
  <c r="C134" i="3"/>
  <c r="D134" i="3"/>
  <c r="C322" i="3"/>
  <c r="D322" i="3"/>
  <c r="C243" i="3"/>
  <c r="D243" i="3"/>
  <c r="C21" i="3"/>
  <c r="D21" i="3"/>
  <c r="C369" i="3"/>
  <c r="D369" i="3"/>
  <c r="C329" i="3"/>
  <c r="D329" i="3"/>
  <c r="C282" i="3"/>
  <c r="D282" i="3"/>
  <c r="C191" i="3"/>
  <c r="D191" i="3"/>
  <c r="C116" i="3"/>
  <c r="D116" i="3"/>
  <c r="C77" i="3"/>
  <c r="D77" i="3"/>
  <c r="C50" i="3"/>
  <c r="D50" i="3"/>
  <c r="C333" i="3"/>
  <c r="D333" i="3"/>
  <c r="C270" i="3"/>
  <c r="D270" i="3"/>
  <c r="C235" i="3"/>
  <c r="D235" i="3"/>
  <c r="C102" i="3"/>
  <c r="D102" i="3"/>
  <c r="C232" i="3"/>
  <c r="D232" i="3"/>
  <c r="C224" i="3"/>
  <c r="D224" i="3"/>
  <c r="C216" i="3"/>
  <c r="D216" i="3"/>
  <c r="C184" i="3"/>
  <c r="D184" i="3"/>
  <c r="C320" i="3"/>
  <c r="D320" i="3"/>
  <c r="C24" i="3"/>
  <c r="D24" i="3"/>
  <c r="C54" i="3"/>
  <c r="D54" i="3"/>
  <c r="C376" i="3"/>
  <c r="D376" i="3"/>
  <c r="C317" i="3"/>
  <c r="D317" i="3"/>
  <c r="C306" i="3"/>
  <c r="D306" i="3"/>
  <c r="C367" i="3"/>
  <c r="D367" i="3"/>
  <c r="C299" i="3"/>
  <c r="D299" i="3"/>
  <c r="C247" i="3"/>
  <c r="D247" i="3"/>
  <c r="C233" i="3"/>
  <c r="D233" i="3"/>
  <c r="C217" i="3"/>
  <c r="D217" i="3"/>
  <c r="C201" i="3"/>
  <c r="D201" i="3"/>
  <c r="C177" i="3"/>
  <c r="D177" i="3"/>
  <c r="C141" i="3"/>
  <c r="D141" i="3"/>
  <c r="C304" i="3"/>
  <c r="D304" i="3"/>
  <c r="C230" i="3"/>
  <c r="D230" i="3"/>
  <c r="C182" i="3"/>
  <c r="D182" i="3"/>
  <c r="C166" i="3"/>
  <c r="D166" i="3"/>
  <c r="C158" i="3"/>
  <c r="D158" i="3"/>
  <c r="C81" i="3"/>
  <c r="D81" i="3"/>
  <c r="C22" i="3"/>
  <c r="D22" i="3"/>
  <c r="C65" i="3"/>
  <c r="D65" i="3"/>
  <c r="C61" i="3"/>
  <c r="D61" i="3"/>
  <c r="C57" i="3"/>
  <c r="D57" i="3"/>
  <c r="C150" i="3"/>
  <c r="D150" i="3"/>
  <c r="C368" i="3"/>
  <c r="D368" i="3"/>
  <c r="C283" i="3"/>
  <c r="D283" i="3"/>
  <c r="C261" i="3"/>
  <c r="D261" i="3"/>
  <c r="C223" i="3"/>
  <c r="D223" i="3"/>
  <c r="C159" i="3"/>
  <c r="D159" i="3"/>
  <c r="C264" i="3"/>
  <c r="D264" i="3"/>
  <c r="C140" i="3"/>
  <c r="D140" i="3"/>
  <c r="C104" i="3"/>
  <c r="D104" i="3"/>
  <c r="C96" i="3"/>
  <c r="D96" i="3"/>
  <c r="C204" i="3"/>
  <c r="D204" i="3"/>
  <c r="C180" i="3"/>
  <c r="D180" i="3"/>
  <c r="C156" i="3"/>
  <c r="D156" i="3"/>
  <c r="C51" i="3"/>
  <c r="D51" i="3"/>
  <c r="C19" i="3"/>
  <c r="D19" i="3"/>
  <c r="E266" i="3"/>
  <c r="E202" i="3"/>
  <c r="E135" i="3"/>
  <c r="E127" i="3"/>
  <c r="E350" i="3"/>
  <c r="E203" i="3"/>
  <c r="E52" i="3"/>
  <c r="C16" i="3"/>
  <c r="E327" i="3"/>
  <c r="E258" i="3"/>
  <c r="E120" i="3"/>
  <c r="E20" i="3"/>
  <c r="E361" i="3"/>
  <c r="E355" i="3"/>
  <c r="E321" i="3"/>
  <c r="E298" i="3"/>
  <c r="E245" i="3"/>
  <c r="E218" i="3"/>
  <c r="E210" i="3"/>
  <c r="E103" i="3"/>
  <c r="E175" i="3"/>
  <c r="E297" i="3"/>
  <c r="E272" i="3"/>
  <c r="E222" i="3"/>
  <c r="E174" i="3"/>
  <c r="E37" i="3"/>
  <c r="E136" i="3"/>
  <c r="E314" i="3"/>
  <c r="E265" i="3"/>
  <c r="E147" i="3"/>
  <c r="E131" i="3"/>
  <c r="E167" i="3"/>
  <c r="E63" i="3"/>
  <c r="E45" i="3"/>
  <c r="E336" i="3"/>
  <c r="E273" i="3"/>
  <c r="E238" i="3"/>
  <c r="E187" i="3"/>
  <c r="E323" i="3"/>
  <c r="E27" i="3"/>
  <c r="E309" i="3"/>
  <c r="E302" i="3"/>
  <c r="E250" i="3"/>
  <c r="E220" i="3"/>
  <c r="E307" i="3"/>
  <c r="E185" i="3"/>
  <c r="E84" i="3"/>
  <c r="E25" i="3"/>
  <c r="E64" i="3"/>
  <c r="E371" i="3"/>
  <c r="E286" i="3"/>
  <c r="E226" i="3"/>
  <c r="E162" i="3"/>
  <c r="E143" i="3"/>
  <c r="E107" i="3"/>
  <c r="E99" i="3"/>
  <c r="E113" i="3"/>
  <c r="E26" i="3"/>
  <c r="E83" i="3"/>
  <c r="E288" i="3"/>
  <c r="E293" i="3"/>
  <c r="E251" i="3"/>
  <c r="E149" i="3"/>
  <c r="E137" i="3"/>
  <c r="E44" i="3"/>
  <c r="E85" i="3"/>
  <c r="E325" i="3"/>
  <c r="E292" i="3"/>
  <c r="E246" i="3"/>
  <c r="E209" i="3"/>
  <c r="E193" i="3"/>
  <c r="E372" i="3"/>
  <c r="E348" i="3"/>
  <c r="E316" i="3"/>
  <c r="E340" i="3"/>
  <c r="E332" i="3"/>
  <c r="E234" i="3"/>
  <c r="E194" i="3"/>
  <c r="E186" i="3"/>
  <c r="E151" i="3"/>
  <c r="E119" i="3"/>
  <c r="E115" i="3"/>
  <c r="E111" i="3"/>
  <c r="E36" i="3"/>
  <c r="E59" i="3"/>
  <c r="C15" i="3"/>
  <c r="E629" i="3"/>
  <c r="E590" i="3"/>
  <c r="E752" i="3"/>
  <c r="E748" i="3"/>
  <c r="E505" i="3"/>
  <c r="E691" i="3"/>
  <c r="E554" i="3"/>
  <c r="E634" i="3"/>
  <c r="E611" i="3"/>
  <c r="E625" i="3"/>
  <c r="E605" i="3"/>
  <c r="E663" i="3"/>
  <c r="E655" i="3"/>
  <c r="E681" i="3"/>
  <c r="E685" i="3"/>
  <c r="E508" i="3"/>
  <c r="E648" i="3"/>
  <c r="E574" i="3"/>
  <c r="E514" i="3"/>
  <c r="E534" i="3"/>
  <c r="E731" i="3"/>
  <c r="E693" i="3"/>
  <c r="E518" i="3"/>
  <c r="E558" i="3"/>
  <c r="E506" i="3"/>
  <c r="E522" i="3"/>
  <c r="E557" i="3"/>
  <c r="E677" i="3"/>
  <c r="E510" i="3"/>
  <c r="E526" i="3"/>
  <c r="E741" i="3"/>
  <c r="E744" i="3"/>
  <c r="E621" i="3"/>
  <c r="E542" i="3"/>
  <c r="E519" i="3"/>
  <c r="E671" i="3"/>
  <c r="E549" i="3"/>
  <c r="E581" i="3"/>
  <c r="E613" i="3"/>
  <c r="E647" i="3"/>
  <c r="E476" i="3"/>
  <c r="E683" i="3"/>
  <c r="E649" i="3"/>
  <c r="E593" i="3"/>
  <c r="E524" i="3"/>
  <c r="E565" i="3"/>
  <c r="E606" i="3"/>
  <c r="E631" i="3"/>
  <c r="E695" i="3"/>
  <c r="E595" i="3"/>
  <c r="E412" i="3"/>
  <c r="E480" i="3"/>
  <c r="E723" i="3"/>
  <c r="E673" i="3"/>
  <c r="E589" i="3"/>
  <c r="E586" i="3"/>
  <c r="E656" i="3"/>
  <c r="E541" i="3"/>
  <c r="E662" i="3"/>
  <c r="E535" i="3"/>
  <c r="E551" i="3"/>
  <c r="E583" i="3"/>
  <c r="E615" i="3"/>
  <c r="E638" i="3"/>
  <c r="E404" i="3"/>
  <c r="E675" i="3"/>
  <c r="E687" i="3"/>
  <c r="E499" i="3"/>
  <c r="E503" i="3"/>
  <c r="E388" i="3"/>
  <c r="E642" i="3"/>
  <c r="E736" i="3"/>
  <c r="E705" i="3"/>
  <c r="E582" i="3"/>
  <c r="E570" i="3"/>
  <c r="E699" i="3"/>
  <c r="E567" i="3"/>
  <c r="E599" i="3"/>
  <c r="E420" i="3"/>
  <c r="E424" i="3"/>
  <c r="E456" i="3"/>
  <c r="E578" i="3"/>
  <c r="E601" i="3"/>
  <c r="E610" i="3"/>
  <c r="E659" i="3"/>
  <c r="E701" i="3"/>
  <c r="E735" i="3"/>
  <c r="E722" i="3"/>
  <c r="E400" i="3"/>
  <c r="E698" i="3"/>
  <c r="E714" i="3"/>
  <c r="E561" i="3"/>
  <c r="E393" i="3"/>
  <c r="E405" i="3"/>
  <c r="E409" i="3"/>
  <c r="E413" i="3"/>
  <c r="E417" i="3"/>
  <c r="E421" i="3"/>
  <c r="E425" i="3"/>
  <c r="E429" i="3"/>
  <c r="E433" i="3"/>
  <c r="E437" i="3"/>
  <c r="E441" i="3"/>
  <c r="E445" i="3"/>
  <c r="E449" i="3"/>
  <c r="E453" i="3"/>
  <c r="E457" i="3"/>
  <c r="E461" i="3"/>
  <c r="E465" i="3"/>
  <c r="E469" i="3"/>
  <c r="E473" i="3"/>
  <c r="E477" i="3"/>
  <c r="E481" i="3"/>
  <c r="E485" i="3"/>
  <c r="E489" i="3"/>
  <c r="E493" i="3"/>
  <c r="E509" i="3"/>
  <c r="E525" i="3"/>
  <c r="E539" i="3"/>
  <c r="E688" i="3"/>
  <c r="E540" i="3"/>
  <c r="E564" i="3"/>
  <c r="E588" i="3"/>
  <c r="E620" i="3"/>
  <c r="E628" i="3"/>
  <c r="E644" i="3"/>
  <c r="E652" i="3"/>
  <c r="E732" i="3"/>
  <c r="E696" i="3"/>
  <c r="E728" i="3"/>
  <c r="E646" i="3"/>
  <c r="E559" i="3"/>
  <c r="E623" i="3"/>
  <c r="E602" i="3"/>
  <c r="E627" i="3"/>
  <c r="E394" i="3"/>
  <c r="E414" i="3"/>
  <c r="E438" i="3"/>
  <c r="E450" i="3"/>
  <c r="E478" i="3"/>
  <c r="E482" i="3"/>
  <c r="E562" i="3"/>
  <c r="E585" i="3"/>
  <c r="E626" i="3"/>
  <c r="E725" i="3"/>
  <c r="E740" i="3"/>
  <c r="E653" i="3"/>
  <c r="E661" i="3"/>
  <c r="E689" i="3"/>
  <c r="E721" i="3"/>
  <c r="E670" i="3"/>
  <c r="E678" i="3"/>
  <c r="E686" i="3"/>
  <c r="E710" i="3"/>
  <c r="E718" i="3"/>
  <c r="E734" i="3"/>
  <c r="E742" i="3"/>
  <c r="E609" i="3"/>
  <c r="E737" i="3"/>
  <c r="E395" i="3"/>
  <c r="E411" i="3"/>
  <c r="E427" i="3"/>
  <c r="E431" i="3"/>
  <c r="E455" i="3"/>
  <c r="E471" i="3"/>
  <c r="E555" i="3"/>
  <c r="E587" i="3"/>
  <c r="E544" i="3"/>
  <c r="E568" i="3"/>
  <c r="E576" i="3"/>
  <c r="E592" i="3"/>
  <c r="E608" i="3"/>
  <c r="E632" i="3"/>
  <c r="E640" i="3"/>
  <c r="E668" i="3"/>
  <c r="E680" i="3"/>
  <c r="E712" i="3"/>
  <c r="C63" i="4" l="1"/>
  <c r="C57" i="4"/>
  <c r="C64" i="4"/>
  <c r="C55" i="4"/>
  <c r="C72" i="4"/>
  <c r="C62" i="4"/>
  <c r="C67" i="4"/>
  <c r="C68" i="4"/>
  <c r="C35" i="4"/>
  <c r="D23" i="4"/>
  <c r="E23" i="4" s="1"/>
  <c r="C24" i="4"/>
  <c r="C58" i="4"/>
  <c r="C32" i="4"/>
  <c r="C34" i="4"/>
  <c r="C43" i="4"/>
  <c r="C40" i="4"/>
  <c r="C59" i="4"/>
  <c r="C65" i="4"/>
  <c r="C37" i="4"/>
  <c r="C29" i="4"/>
  <c r="E51" i="3"/>
  <c r="E289" i="3"/>
  <c r="E87" i="3"/>
  <c r="E77" i="3"/>
  <c r="E191" i="3"/>
  <c r="E329" i="3"/>
  <c r="E21" i="3"/>
  <c r="E322" i="3"/>
  <c r="E146" i="3"/>
  <c r="E291" i="3"/>
  <c r="E377" i="3"/>
  <c r="E38" i="3"/>
  <c r="E172" i="3"/>
  <c r="E100" i="3"/>
  <c r="E215" i="3"/>
  <c r="E295" i="3"/>
  <c r="E352" i="3"/>
  <c r="E17" i="3"/>
  <c r="E53" i="3"/>
  <c r="E284" i="3"/>
  <c r="E198" i="3"/>
  <c r="E117" i="3"/>
  <c r="E153" i="3"/>
  <c r="E169" i="3"/>
  <c r="E267" i="3"/>
  <c r="E315" i="3"/>
  <c r="E346" i="3"/>
  <c r="E373" i="3"/>
  <c r="E62" i="3"/>
  <c r="E49" i="3"/>
  <c r="E168" i="3"/>
  <c r="E98" i="3"/>
  <c r="E300" i="3"/>
  <c r="E305" i="3"/>
  <c r="E370" i="3"/>
  <c r="E208" i="3"/>
  <c r="E255" i="3"/>
  <c r="E166" i="3"/>
  <c r="E270" i="3"/>
  <c r="E239" i="3"/>
  <c r="E179" i="3"/>
  <c r="E294" i="3"/>
  <c r="E112" i="3"/>
  <c r="E180" i="3"/>
  <c r="E96" i="3"/>
  <c r="E140" i="3"/>
  <c r="E159" i="3"/>
  <c r="E261" i="3"/>
  <c r="E368" i="3"/>
  <c r="E57" i="3"/>
  <c r="E65" i="3"/>
  <c r="E81" i="3"/>
  <c r="E230" i="3"/>
  <c r="E141" i="3"/>
  <c r="E201" i="3"/>
  <c r="E233" i="3"/>
  <c r="E299" i="3"/>
  <c r="E306" i="3"/>
  <c r="E376" i="3"/>
  <c r="E24" i="3"/>
  <c r="E184" i="3"/>
  <c r="E224" i="3"/>
  <c r="E102" i="3"/>
  <c r="E148" i="3"/>
  <c r="E206" i="3"/>
  <c r="E82" i="3"/>
  <c r="E138" i="3"/>
  <c r="E79" i="3"/>
  <c r="E42" i="3"/>
  <c r="E90" i="3"/>
  <c r="E164" i="3"/>
  <c r="E128" i="3"/>
  <c r="E144" i="3"/>
  <c r="E263" i="3"/>
  <c r="E262" i="3"/>
  <c r="E80" i="3"/>
  <c r="E214" i="3"/>
  <c r="E101" i="3"/>
  <c r="E301" i="3"/>
  <c r="E34" i="3"/>
  <c r="E163" i="3"/>
  <c r="E211" i="3"/>
  <c r="E227" i="3"/>
  <c r="E240" i="3"/>
  <c r="E68" i="3"/>
  <c r="E231" i="3"/>
  <c r="E337" i="3"/>
  <c r="E345" i="3"/>
  <c r="E125" i="3"/>
  <c r="E303" i="3"/>
  <c r="E199" i="3"/>
  <c r="E23" i="3"/>
  <c r="E334" i="3"/>
  <c r="E50" i="3"/>
  <c r="E116" i="3"/>
  <c r="E282" i="3"/>
  <c r="E369" i="3"/>
  <c r="E243" i="3"/>
  <c r="E134" i="3"/>
  <c r="E248" i="3"/>
  <c r="E319" i="3"/>
  <c r="E30" i="3"/>
  <c r="E74" i="3"/>
  <c r="E228" i="3"/>
  <c r="E207" i="3"/>
  <c r="E242" i="3"/>
  <c r="E318" i="3"/>
  <c r="E358" i="3"/>
  <c r="E32" i="3"/>
  <c r="E78" i="3"/>
  <c r="E47" i="3"/>
  <c r="E105" i="3"/>
  <c r="E129" i="3"/>
  <c r="E161" i="3"/>
  <c r="E324" i="3"/>
  <c r="E331" i="3"/>
  <c r="E366" i="3"/>
  <c r="E71" i="3"/>
  <c r="E29" i="3"/>
  <c r="E160" i="3"/>
  <c r="E200" i="3"/>
  <c r="E155" i="3"/>
  <c r="E312" i="3"/>
  <c r="E347" i="3"/>
  <c r="E124" i="3"/>
  <c r="E204" i="3"/>
  <c r="E264" i="3"/>
  <c r="E232" i="3"/>
  <c r="E259" i="3"/>
  <c r="E93" i="3"/>
  <c r="E342" i="3"/>
  <c r="E236" i="3"/>
  <c r="E308" i="3"/>
  <c r="E156" i="3"/>
  <c r="E223" i="3"/>
  <c r="E367" i="3"/>
  <c r="E54" i="3"/>
  <c r="E104" i="3"/>
  <c r="E283" i="3"/>
  <c r="E150" i="3"/>
  <c r="E61" i="3"/>
  <c r="E22" i="3"/>
  <c r="E158" i="3"/>
  <c r="E182" i="3"/>
  <c r="E304" i="3"/>
  <c r="E177" i="3"/>
  <c r="E217" i="3"/>
  <c r="E247" i="3"/>
  <c r="E317" i="3"/>
  <c r="E320" i="3"/>
  <c r="E216" i="3"/>
  <c r="E235" i="3"/>
  <c r="E333" i="3"/>
  <c r="E108" i="3"/>
  <c r="E190" i="3"/>
  <c r="E296" i="3"/>
  <c r="E130" i="3"/>
  <c r="E290" i="3"/>
  <c r="E95" i="3"/>
  <c r="E60" i="3"/>
  <c r="E132" i="3"/>
  <c r="E285" i="3"/>
  <c r="E311" i="3"/>
  <c r="E35" i="3"/>
  <c r="E97" i="3"/>
  <c r="E133" i="3"/>
  <c r="E287" i="3"/>
  <c r="E110" i="3"/>
  <c r="E171" i="3"/>
  <c r="E195" i="3"/>
  <c r="E219" i="3"/>
  <c r="E269" i="3"/>
  <c r="E56" i="3"/>
  <c r="E33" i="3"/>
  <c r="E183" i="3"/>
  <c r="E313" i="3"/>
  <c r="E349" i="3"/>
  <c r="E41" i="3"/>
  <c r="E260" i="3"/>
  <c r="E16" i="3"/>
  <c r="E19" i="3"/>
  <c r="E15" i="3"/>
  <c r="E18" i="3"/>
  <c r="E753" i="3"/>
  <c r="C76" i="4" l="1"/>
  <c r="H11" i="4" s="1"/>
  <c r="E379" i="3"/>
  <c r="G23" i="4" l="1"/>
  <c r="F23" i="4"/>
  <c r="D24" i="4"/>
  <c r="J11" i="3"/>
  <c r="E24" i="4" l="1"/>
  <c r="G24" i="4" l="1"/>
  <c r="D25" i="4"/>
  <c r="F24" i="4"/>
  <c r="E25" i="4" l="1"/>
  <c r="G25" i="4" l="1"/>
  <c r="F25" i="4"/>
  <c r="D26" i="4"/>
  <c r="E26" i="4" s="1"/>
  <c r="G26" i="4" l="1"/>
  <c r="D27" i="4"/>
  <c r="E27" i="4" s="1"/>
  <c r="F26" i="4"/>
  <c r="G27" i="4" l="1"/>
  <c r="D28" i="4"/>
  <c r="E28" i="4" s="1"/>
  <c r="F27" i="4"/>
  <c r="G28" i="4" l="1"/>
  <c r="D29" i="4"/>
  <c r="F28" i="4"/>
  <c r="E29" i="4" l="1"/>
  <c r="G29" i="4" l="1"/>
  <c r="F29" i="4"/>
  <c r="D30" i="4"/>
  <c r="E30" i="4" l="1"/>
  <c r="G30" i="4" l="1"/>
  <c r="F30" i="4"/>
  <c r="D31" i="4"/>
  <c r="E31" i="4" l="1"/>
  <c r="G31" i="4" l="1"/>
  <c r="F31" i="4"/>
  <c r="D32" i="4"/>
  <c r="E32" i="4" l="1"/>
  <c r="G32" i="4" l="1"/>
  <c r="D33" i="4"/>
  <c r="F32" i="4"/>
  <c r="E33" i="4" l="1"/>
  <c r="G33" i="4" l="1"/>
  <c r="F33" i="4"/>
  <c r="D34" i="4"/>
  <c r="E34" i="4" l="1"/>
  <c r="G34" i="4" l="1"/>
  <c r="F34" i="4"/>
  <c r="D35" i="4"/>
  <c r="E35" i="4" l="1"/>
  <c r="G35" i="4" l="1"/>
  <c r="D36" i="4"/>
  <c r="F35" i="4"/>
  <c r="E36" i="4" l="1"/>
  <c r="G36" i="4" l="1"/>
  <c r="D37" i="4"/>
  <c r="F36" i="4"/>
  <c r="E37" i="4" l="1"/>
  <c r="G37" i="4" l="1"/>
  <c r="D38" i="4"/>
  <c r="F37" i="4"/>
  <c r="E38" i="4" l="1"/>
  <c r="G38" i="4" l="1"/>
  <c r="D39" i="4"/>
  <c r="F38" i="4"/>
  <c r="E39" i="4" l="1"/>
  <c r="G39" i="4" l="1"/>
  <c r="D40" i="4"/>
  <c r="F39" i="4"/>
  <c r="E40" i="4" l="1"/>
  <c r="G40" i="4" l="1"/>
  <c r="F40" i="4"/>
  <c r="D41" i="4"/>
  <c r="E41" i="4" l="1"/>
  <c r="G41" i="4" l="1"/>
  <c r="D42" i="4"/>
  <c r="F41" i="4"/>
  <c r="E42" i="4" l="1"/>
  <c r="G42" i="4" l="1"/>
  <c r="F42" i="4"/>
  <c r="D43" i="4"/>
  <c r="E43" i="4" l="1"/>
  <c r="G43" i="4" l="1"/>
  <c r="D44" i="4"/>
  <c r="F43" i="4"/>
  <c r="E44" i="4" l="1"/>
  <c r="G44" i="4" l="1"/>
  <c r="F44" i="4"/>
  <c r="D45" i="4"/>
  <c r="E45" i="4" l="1"/>
  <c r="G45" i="4" l="1"/>
  <c r="D46" i="4"/>
  <c r="F45" i="4"/>
  <c r="E46" i="4" l="1"/>
  <c r="G46" i="4" l="1"/>
  <c r="F46" i="4"/>
  <c r="D47" i="4"/>
  <c r="E47" i="4" l="1"/>
  <c r="G47" i="4" l="1"/>
  <c r="D48" i="4"/>
  <c r="F47" i="4"/>
  <c r="E48" i="4" l="1"/>
  <c r="G48" i="4" l="1"/>
  <c r="D49" i="4"/>
  <c r="F48" i="4"/>
  <c r="E49" i="4" l="1"/>
  <c r="G49" i="4" l="1"/>
  <c r="F49" i="4"/>
  <c r="D50" i="4"/>
  <c r="E50" i="4" l="1"/>
  <c r="N2" i="4"/>
  <c r="G50" i="4" l="1"/>
  <c r="F50" i="4"/>
  <c r="D51" i="4"/>
  <c r="E51" i="4" l="1"/>
  <c r="G51" i="4" l="1"/>
  <c r="F51" i="4"/>
  <c r="D52" i="4"/>
  <c r="E52" i="4" l="1"/>
  <c r="G52" i="4" l="1"/>
  <c r="D53" i="4"/>
  <c r="F52" i="4"/>
  <c r="E53" i="4" l="1"/>
  <c r="G53" i="4" l="1"/>
  <c r="F53" i="4"/>
  <c r="D54" i="4"/>
  <c r="E54" i="4" l="1"/>
  <c r="G54" i="4" l="1"/>
  <c r="D55" i="4"/>
  <c r="F54" i="4"/>
  <c r="E55" i="4" l="1"/>
  <c r="G55" i="4" l="1"/>
  <c r="D56" i="4"/>
  <c r="F55" i="4"/>
  <c r="E56" i="4" l="1"/>
  <c r="G56" i="4" l="1"/>
  <c r="D57" i="4"/>
  <c r="F56" i="4"/>
  <c r="E57" i="4" l="1"/>
  <c r="G57" i="4" l="1"/>
  <c r="F57" i="4"/>
  <c r="D58" i="4"/>
  <c r="E58" i="4" l="1"/>
  <c r="G58" i="4" l="1"/>
  <c r="F58" i="4"/>
  <c r="D59" i="4"/>
  <c r="E59" i="4" l="1"/>
  <c r="G59" i="4" l="1"/>
  <c r="D60" i="4"/>
  <c r="F59" i="4"/>
  <c r="E60" i="4" l="1"/>
  <c r="G60" i="4" l="1"/>
  <c r="D61" i="4"/>
  <c r="F60" i="4"/>
  <c r="E61" i="4" l="1"/>
  <c r="G61" i="4" l="1"/>
  <c r="F61" i="4"/>
  <c r="D62" i="4"/>
  <c r="E62" i="4" l="1"/>
  <c r="G62" i="4" l="1"/>
  <c r="D63" i="4"/>
  <c r="F62" i="4"/>
  <c r="E63" i="4" l="1"/>
  <c r="G63" i="4" l="1"/>
  <c r="D64" i="4"/>
  <c r="F63" i="4"/>
  <c r="E64" i="4" l="1"/>
  <c r="G64" i="4" l="1"/>
  <c r="D65" i="4"/>
  <c r="E65" i="4" s="1"/>
  <c r="F64" i="4"/>
  <c r="F65" i="4" l="1"/>
  <c r="G65" i="4"/>
  <c r="D66" i="4"/>
  <c r="E66" i="4" s="1"/>
  <c r="G66" i="4" l="1"/>
  <c r="F66" i="4"/>
  <c r="D67" i="4"/>
  <c r="E67" i="4" s="1"/>
  <c r="G67" i="4" l="1"/>
  <c r="F67" i="4"/>
  <c r="D68" i="4"/>
  <c r="E68" i="4" l="1"/>
  <c r="G68" i="4" l="1"/>
  <c r="D69" i="4"/>
  <c r="E69" i="4" s="1"/>
  <c r="F68" i="4"/>
  <c r="D70" i="4" l="1"/>
  <c r="E70" i="4" s="1"/>
  <c r="G69" i="4"/>
  <c r="F69" i="4"/>
  <c r="F70" i="4" l="1"/>
  <c r="G70" i="4"/>
  <c r="D71" i="4"/>
  <c r="E71" i="4" s="1"/>
  <c r="D72" i="4" l="1"/>
  <c r="E72" i="4" s="1"/>
  <c r="G71" i="4"/>
  <c r="F71" i="4"/>
  <c r="D73" i="4" l="1"/>
  <c r="E73" i="4" s="1"/>
  <c r="F72" i="4"/>
  <c r="G72" i="4"/>
  <c r="G73" i="4" l="1"/>
  <c r="F73" i="4"/>
  <c r="D74" i="4"/>
  <c r="E74" i="4" s="1"/>
  <c r="D76" i="4" l="1"/>
  <c r="G74" i="4"/>
  <c r="G76" i="4" s="1"/>
  <c r="F74" i="4"/>
  <c r="H12" i="4" s="1"/>
  <c r="E76" i="4"/>
  <c r="L2" i="4" l="1"/>
  <c r="H13" i="4"/>
  <c r="M2" i="4" s="1"/>
</calcChain>
</file>

<file path=xl/sharedStrings.xml><?xml version="1.0" encoding="utf-8"?>
<sst xmlns="http://schemas.openxmlformats.org/spreadsheetml/2006/main" count="137" uniqueCount="61">
  <si>
    <t>Demanad Distribution</t>
  </si>
  <si>
    <t>Demand</t>
  </si>
  <si>
    <t>Probability</t>
  </si>
  <si>
    <t>Lower Ends (Modified CP)</t>
  </si>
  <si>
    <t>Demand (D)</t>
  </si>
  <si>
    <t>Revenue</t>
  </si>
  <si>
    <t>Cost</t>
  </si>
  <si>
    <t>Profit</t>
  </si>
  <si>
    <t>Current Policy (P):</t>
  </si>
  <si>
    <t>Given Data</t>
  </si>
  <si>
    <t>Optimal Policy:</t>
  </si>
  <si>
    <t>Cumulative Probability</t>
  </si>
  <si>
    <t>Maximum Profit per Day:</t>
  </si>
  <si>
    <t>200-220</t>
  </si>
  <si>
    <t>221-240</t>
  </si>
  <si>
    <t>241-260</t>
  </si>
  <si>
    <t>261-280</t>
  </si>
  <si>
    <t>281-300</t>
  </si>
  <si>
    <t>Production Price of fresh meat per pound:</t>
  </si>
  <si>
    <t>Production Price of Dry pet food per pound:</t>
  </si>
  <si>
    <t>Sale price for fresh meat per pound:</t>
  </si>
  <si>
    <t>Sale price for Dry pet food per pound:</t>
  </si>
  <si>
    <t>Additional cost for storing per pound per night:</t>
  </si>
  <si>
    <t>ABC Company Problem</t>
  </si>
  <si>
    <t>Days</t>
  </si>
  <si>
    <t>Average Profit</t>
  </si>
  <si>
    <t>Policy</t>
  </si>
  <si>
    <t>M</t>
  </si>
  <si>
    <t>Number of Hours per Week</t>
  </si>
  <si>
    <t>Repair Time</t>
  </si>
  <si>
    <t>Lower Cumulative</t>
  </si>
  <si>
    <t>Average Hours of Normal Distribution</t>
  </si>
  <si>
    <t>Variance of Normal Distribution</t>
  </si>
  <si>
    <t>Week</t>
  </si>
  <si>
    <t>ABC Repair Time</t>
  </si>
  <si>
    <t>Repair Time Distribution</t>
  </si>
  <si>
    <t>Rand</t>
  </si>
  <si>
    <t>New Repair Time</t>
  </si>
  <si>
    <t>Carry Over</t>
  </si>
  <si>
    <t>Carry Over Week</t>
  </si>
  <si>
    <t>Fraction of COW</t>
  </si>
  <si>
    <t>Avg.Time per week</t>
  </si>
  <si>
    <t>Years</t>
  </si>
  <si>
    <t>Standard Deviation</t>
  </si>
  <si>
    <t>Avg.Repair Time (Theoratical)</t>
  </si>
  <si>
    <t>Long Run Avg of Carry over week</t>
  </si>
  <si>
    <t>Avg.Repair Time (Long Run)</t>
  </si>
  <si>
    <t>For 100 years:</t>
  </si>
  <si>
    <t>For 1 year:</t>
  </si>
  <si>
    <t>Carry over Time</t>
  </si>
  <si>
    <t>Initial=&gt;</t>
  </si>
  <si>
    <t>Number of times Carry Over Occurred</t>
  </si>
  <si>
    <t>Fraction of Carry Over Occurred</t>
  </si>
  <si>
    <t>Current Repair Time</t>
  </si>
  <si>
    <t>Averages:</t>
  </si>
  <si>
    <t>Average Repair Time Per week</t>
  </si>
  <si>
    <t>Cost for (8 Hours)</t>
  </si>
  <si>
    <t>Cost for (10 Hours)</t>
  </si>
  <si>
    <t>Probability that (T&gt;8)</t>
  </si>
  <si>
    <t>Probability that Time exceed 8 hours(Long Run)</t>
  </si>
  <si>
    <t>Carry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</si>
</sst>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[$$-409]#,##0.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2" fontId="1" fillId="0" borderId="0" xfId="0" applyNumberFormat="1" applyFon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/>
    <xf numFmtId="0" fontId="0" fillId="0" borderId="2" xfId="0" applyFont="1" applyBorder="1" applyAlignment="1">
      <alignment horizontal="right"/>
    </xf>
    <xf numFmtId="2" fontId="0" fillId="0" borderId="2" xfId="0" applyNumberFormat="1" applyFill="1" applyBorder="1"/>
    <xf numFmtId="2" fontId="0" fillId="0" borderId="2" xfId="0" applyNumberFormat="1" applyBorder="1"/>
    <xf numFmtId="0" fontId="0" fillId="0" borderId="2" xfId="0" applyBorder="1"/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right" vertical="center"/>
    </xf>
    <xf numFmtId="1" fontId="1" fillId="0" borderId="4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0" xfId="0" applyBorder="1"/>
    <xf numFmtId="2" fontId="0" fillId="0" borderId="0" xfId="0" applyNumberFormat="1" applyBorder="1"/>
    <xf numFmtId="0" fontId="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165" fontId="0" fillId="0" borderId="0" xfId="0" applyNumberFormat="1"/>
    <xf numFmtId="0" fontId="9" fillId="0" borderId="0" xfId="0" applyFont="1"/>
    <xf numFmtId="0" fontId="9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2" fontId="10" fillId="0" borderId="0" xfId="0" applyNumberFormat="1" applyFont="1" applyBorder="1"/>
    <xf numFmtId="165" fontId="10" fillId="0" borderId="0" xfId="0" applyNumberFormat="1" applyFont="1" applyBorder="1"/>
    <xf numFmtId="165" fontId="12" fillId="2" borderId="6" xfId="0" applyNumberFormat="1" applyFont="1" applyFill="1" applyBorder="1"/>
    <xf numFmtId="0" fontId="10" fillId="0" borderId="7" xfId="0" applyFont="1" applyBorder="1"/>
    <xf numFmtId="165" fontId="10" fillId="0" borderId="8" xfId="0" applyNumberFormat="1" applyFont="1" applyBorder="1"/>
    <xf numFmtId="0" fontId="10" fillId="0" borderId="5" xfId="0" applyFont="1" applyBorder="1"/>
    <xf numFmtId="0" fontId="10" fillId="0" borderId="5" xfId="0" applyFont="1" applyBorder="1" applyAlignment="1">
      <alignment horizontal="right"/>
    </xf>
    <xf numFmtId="164" fontId="10" fillId="0" borderId="0" xfId="0" applyNumberFormat="1" applyFont="1" applyBorder="1"/>
    <xf numFmtId="0" fontId="10" fillId="0" borderId="8" xfId="0" applyFont="1" applyBorder="1"/>
    <xf numFmtId="0" fontId="0" fillId="0" borderId="8" xfId="0" applyBorder="1"/>
    <xf numFmtId="0" fontId="0" fillId="0" borderId="7" xfId="0" applyBorder="1"/>
    <xf numFmtId="0" fontId="10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Fill="1" applyBorder="1"/>
    <xf numFmtId="0" fontId="12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10" fillId="0" borderId="0" xfId="0" applyFont="1" applyFill="1" applyBorder="1"/>
    <xf numFmtId="166" fontId="0" fillId="0" borderId="0" xfId="0" applyNumberFormat="1" applyFill="1" applyBorder="1"/>
    <xf numFmtId="0" fontId="0" fillId="0" borderId="0" xfId="0" applyFont="1" applyBorder="1"/>
    <xf numFmtId="0" fontId="10" fillId="0" borderId="0" xfId="0" applyFont="1" applyFill="1" applyBorder="1" applyAlignment="1">
      <alignment horizontal="center"/>
    </xf>
    <xf numFmtId="0" fontId="0" fillId="0" borderId="0" xfId="0" applyFont="1" applyFill="1" applyBorder="1"/>
    <xf numFmtId="166" fontId="0" fillId="0" borderId="0" xfId="0" applyNumberFormat="1" applyFont="1" applyFill="1" applyBorder="1"/>
    <xf numFmtId="165" fontId="10" fillId="0" borderId="5" xfId="0" applyNumberFormat="1" applyFont="1" applyBorder="1" applyAlignment="1">
      <alignment horizontal="right"/>
    </xf>
    <xf numFmtId="165" fontId="0" fillId="0" borderId="0" xfId="0" applyNumberFormat="1" applyFont="1" applyFill="1" applyBorder="1"/>
    <xf numFmtId="0" fontId="10" fillId="0" borderId="8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2" fillId="2" borderId="6" xfId="0" applyNumberFormat="1" applyFont="1" applyFill="1" applyBorder="1"/>
    <xf numFmtId="0" fontId="7" fillId="5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3" fillId="2" borderId="6" xfId="0" applyFont="1" applyFill="1" applyBorder="1"/>
    <xf numFmtId="0" fontId="10" fillId="2" borderId="9" xfId="0" applyFont="1" applyFill="1" applyBorder="1"/>
    <xf numFmtId="0" fontId="10" fillId="6" borderId="6" xfId="0" applyFont="1" applyFill="1" applyBorder="1"/>
    <xf numFmtId="2" fontId="10" fillId="6" borderId="6" xfId="0" applyNumberFormat="1" applyFont="1" applyFill="1" applyBorder="1"/>
    <xf numFmtId="2" fontId="10" fillId="3" borderId="9" xfId="0" applyNumberFormat="1" applyFont="1" applyFill="1" applyBorder="1"/>
    <xf numFmtId="2" fontId="10" fillId="3" borderId="6" xfId="0" applyNumberFormat="1" applyFont="1" applyFill="1" applyBorder="1"/>
    <xf numFmtId="0" fontId="12" fillId="8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2" fontId="10" fillId="3" borderId="9" xfId="0" applyNumberFormat="1" applyFont="1" applyFill="1" applyBorder="1" applyAlignment="1">
      <alignment horizontal="left"/>
    </xf>
    <xf numFmtId="0" fontId="10" fillId="6" borderId="6" xfId="0" applyFont="1" applyFill="1" applyBorder="1" applyAlignment="1">
      <alignment horizontal="left"/>
    </xf>
    <xf numFmtId="2" fontId="10" fillId="3" borderId="6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0" fillId="0" borderId="8" xfId="0" applyFont="1" applyBorder="1" applyAlignment="1">
      <alignment horizontal="left"/>
    </xf>
    <xf numFmtId="0" fontId="7" fillId="9" borderId="6" xfId="0" applyFont="1" applyFill="1" applyBorder="1" applyAlignment="1">
      <alignment vertical="center"/>
    </xf>
    <xf numFmtId="0" fontId="10" fillId="9" borderId="6" xfId="0" applyFont="1" applyFill="1" applyBorder="1"/>
    <xf numFmtId="165" fontId="12" fillId="9" borderId="6" xfId="0" applyNumberFormat="1" applyFont="1" applyFill="1" applyBorder="1"/>
    <xf numFmtId="0" fontId="0" fillId="9" borderId="6" xfId="0" applyFont="1" applyFill="1" applyBorder="1"/>
    <xf numFmtId="0" fontId="7" fillId="9" borderId="6" xfId="0" applyFont="1" applyFill="1" applyBorder="1"/>
    <xf numFmtId="0" fontId="2" fillId="9" borderId="6" xfId="0" applyFont="1" applyFill="1" applyBorder="1"/>
    <xf numFmtId="166" fontId="2" fillId="9" borderId="6" xfId="0" applyNumberFormat="1" applyFont="1" applyFill="1" applyBorder="1" applyAlignment="1">
      <alignment horizontal="left"/>
    </xf>
    <xf numFmtId="0" fontId="7" fillId="9" borderId="6" xfId="0" applyFont="1" applyFill="1" applyBorder="1" applyAlignment="1">
      <alignment horizontal="center"/>
    </xf>
    <xf numFmtId="165" fontId="7" fillId="9" borderId="6" xfId="0" applyNumberFormat="1" applyFont="1" applyFill="1" applyBorder="1"/>
    <xf numFmtId="0" fontId="6" fillId="4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0" fillId="2" borderId="6" xfId="0" applyFont="1" applyFill="1" applyBorder="1"/>
    <xf numFmtId="0" fontId="12" fillId="2" borderId="9" xfId="0" applyFont="1" applyFill="1" applyBorder="1"/>
    <xf numFmtId="0" fontId="12" fillId="2" borderId="6" xfId="0" applyFont="1" applyFill="1" applyBorder="1"/>
    <xf numFmtId="0" fontId="7" fillId="7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166" fontId="2" fillId="9" borderId="6" xfId="0" applyNumberFormat="1" applyFont="1" applyFill="1" applyBorder="1"/>
    <xf numFmtId="0" fontId="14" fillId="4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65" fontId="4" fillId="2" borderId="6" xfId="0" applyNumberFormat="1" applyFont="1" applyFill="1" applyBorder="1"/>
    <xf numFmtId="165" fontId="7" fillId="7" borderId="6" xfId="0" applyNumberFormat="1" applyFont="1" applyFill="1" applyBorder="1" applyAlignment="1">
      <alignment horizontal="left"/>
    </xf>
    <xf numFmtId="0" fontId="7" fillId="7" borderId="6" xfId="0" applyFont="1" applyFill="1" applyBorder="1"/>
    <xf numFmtId="0" fontId="6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54"/>
  <sheetViews>
    <sheetView topLeftCell="A31" zoomScaleNormal="100" workbookViewId="0">
      <selection activeCell="I16" sqref="I16"/>
    </sheetView>
  </sheetViews>
  <sheetFormatPr defaultRowHeight="15" x14ac:dyDescent="0.25"/>
  <sheetData>
    <row r="1" spans="1:29" x14ac:dyDescent="0.25">
      <c r="A1" s="56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29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4" spans="1:29" ht="18.75" x14ac:dyDescent="0.3">
      <c r="A4" s="58" t="s">
        <v>9</v>
      </c>
      <c r="B4" s="58"/>
      <c r="C4" s="58"/>
      <c r="D4" s="58"/>
      <c r="E4" s="58"/>
      <c r="F4" s="58"/>
      <c r="H4" s="58" t="s">
        <v>0</v>
      </c>
      <c r="I4" s="58"/>
      <c r="J4" s="58"/>
      <c r="K4" s="58"/>
      <c r="L4" s="58"/>
      <c r="M4" s="58"/>
      <c r="N4" s="58"/>
      <c r="O4" s="7"/>
      <c r="P4" s="7"/>
      <c r="Q4" s="7"/>
      <c r="R4" s="7"/>
      <c r="S4" s="7"/>
      <c r="T4" s="7"/>
    </row>
    <row r="5" spans="1:29" x14ac:dyDescent="0.25">
      <c r="A5" s="59" t="s">
        <v>18</v>
      </c>
      <c r="B5" s="59"/>
      <c r="C5" s="59"/>
      <c r="D5" s="59"/>
      <c r="E5" s="59"/>
      <c r="F5" s="11">
        <v>4</v>
      </c>
      <c r="H5" s="60" t="s">
        <v>3</v>
      </c>
      <c r="I5" s="60"/>
      <c r="J5" s="60"/>
      <c r="K5" s="2">
        <v>0</v>
      </c>
      <c r="L5" s="2">
        <f>K5+K7</f>
        <v>0.15</v>
      </c>
      <c r="M5" s="2">
        <f>L5+L7</f>
        <v>0.35</v>
      </c>
      <c r="N5" s="2">
        <f t="shared" ref="N5:O5" si="0">M5+M7</f>
        <v>0.6</v>
      </c>
      <c r="O5" s="2">
        <f t="shared" si="0"/>
        <v>0.8</v>
      </c>
      <c r="P5" s="2"/>
      <c r="Q5" s="2"/>
      <c r="R5" s="2"/>
      <c r="S5" s="2"/>
      <c r="T5" s="2"/>
    </row>
    <row r="6" spans="1:29" x14ac:dyDescent="0.25">
      <c r="A6" s="59" t="s">
        <v>19</v>
      </c>
      <c r="B6" s="59"/>
      <c r="C6" s="59"/>
      <c r="D6" s="59"/>
      <c r="E6" s="59"/>
      <c r="F6" s="11">
        <v>1.5</v>
      </c>
      <c r="H6" s="60" t="s">
        <v>4</v>
      </c>
      <c r="I6" s="60"/>
      <c r="J6" s="60"/>
      <c r="K6" s="13">
        <f ca="1">200+(220-200)*RAND()</f>
        <v>217.18668662249479</v>
      </c>
      <c r="L6" s="14">
        <f ca="1">221+(240-221)*RAND()</f>
        <v>228.35119816119044</v>
      </c>
      <c r="M6" s="14">
        <f ca="1">241+(260-241)*RAND()</f>
        <v>258.43256826853184</v>
      </c>
      <c r="N6" s="14">
        <f ca="1">261+(280-261)*RAND()</f>
        <v>263.35536460676792</v>
      </c>
      <c r="O6" s="13">
        <f ca="1">281+(300-281)*RAND()</f>
        <v>293.76646764418979</v>
      </c>
    </row>
    <row r="7" spans="1:29" x14ac:dyDescent="0.25">
      <c r="A7" s="59" t="s">
        <v>20</v>
      </c>
      <c r="B7" s="61"/>
      <c r="C7" s="61"/>
      <c r="D7" s="61"/>
      <c r="E7" s="61"/>
      <c r="F7" s="10">
        <v>5.5</v>
      </c>
      <c r="H7" s="60" t="s">
        <v>2</v>
      </c>
      <c r="I7" s="60"/>
      <c r="J7" s="60"/>
      <c r="K7" s="2">
        <v>0.15</v>
      </c>
      <c r="L7" s="2">
        <v>0.2</v>
      </c>
      <c r="M7" s="2">
        <v>0.25</v>
      </c>
      <c r="N7" s="2">
        <v>0.2</v>
      </c>
      <c r="O7" s="2">
        <v>0.1</v>
      </c>
      <c r="P7" s="2"/>
      <c r="Q7" s="2"/>
      <c r="R7" s="2"/>
      <c r="S7" s="2"/>
      <c r="T7" s="2"/>
    </row>
    <row r="8" spans="1:29" x14ac:dyDescent="0.25">
      <c r="A8" s="59" t="s">
        <v>21</v>
      </c>
      <c r="B8" s="59"/>
      <c r="C8" s="59"/>
      <c r="D8" s="59"/>
      <c r="E8" s="59"/>
      <c r="F8" s="9">
        <v>3</v>
      </c>
      <c r="H8" s="60" t="s">
        <v>11</v>
      </c>
      <c r="I8" s="60"/>
      <c r="J8" s="60"/>
      <c r="K8" s="2">
        <f>K7</f>
        <v>0.15</v>
      </c>
      <c r="L8" s="2">
        <f>K8+L7</f>
        <v>0.35</v>
      </c>
      <c r="M8" s="2">
        <f t="shared" ref="M8:O8" si="1">L8+M7</f>
        <v>0.6</v>
      </c>
      <c r="N8" s="2">
        <f t="shared" si="1"/>
        <v>0.8</v>
      </c>
      <c r="O8" s="2">
        <f t="shared" si="1"/>
        <v>0.9</v>
      </c>
      <c r="P8" s="2"/>
      <c r="Q8" s="2"/>
      <c r="R8" s="2"/>
      <c r="S8" s="2"/>
      <c r="T8" s="2"/>
    </row>
    <row r="9" spans="1:29" x14ac:dyDescent="0.25">
      <c r="A9" s="59" t="s">
        <v>22</v>
      </c>
      <c r="B9" s="61"/>
      <c r="C9" s="61"/>
      <c r="D9" s="61"/>
      <c r="E9" s="61"/>
      <c r="F9" s="8">
        <v>0.25</v>
      </c>
    </row>
    <row r="10" spans="1:29" x14ac:dyDescent="0.25">
      <c r="G10" s="65" t="s">
        <v>26</v>
      </c>
      <c r="H10" s="66"/>
      <c r="K10" s="4">
        <v>212</v>
      </c>
      <c r="L10" s="4">
        <v>235</v>
      </c>
      <c r="M10" s="4">
        <v>255</v>
      </c>
      <c r="N10" s="4">
        <v>270</v>
      </c>
      <c r="O10" s="4">
        <v>296</v>
      </c>
      <c r="P10" s="4">
        <v>215</v>
      </c>
    </row>
    <row r="11" spans="1:29" x14ac:dyDescent="0.25">
      <c r="A11" s="54" t="s">
        <v>8</v>
      </c>
      <c r="B11" s="55"/>
      <c r="C11" s="16">
        <v>215</v>
      </c>
      <c r="D11" s="63" t="s">
        <v>15</v>
      </c>
      <c r="E11" s="64"/>
      <c r="G11" s="65" t="s">
        <v>25</v>
      </c>
      <c r="H11" s="65"/>
      <c r="J11">
        <f ca="1">E379</f>
        <v>322.5</v>
      </c>
      <c r="K11">
        <f t="dataTable" ref="K11:P11" dt2D="0" dtr="1" r1="C11" ca="1"/>
        <v>318</v>
      </c>
      <c r="L11">
        <v>353.71093794005128</v>
      </c>
      <c r="M11">
        <v>386.41577720439744</v>
      </c>
      <c r="N11">
        <v>410.69637414731466</v>
      </c>
      <c r="O11">
        <v>455.46439621020755</v>
      </c>
      <c r="P11">
        <v>322.5</v>
      </c>
    </row>
    <row r="12" spans="1:29" x14ac:dyDescent="0.25">
      <c r="K12" s="1" t="s">
        <v>13</v>
      </c>
      <c r="L12" s="1" t="s">
        <v>14</v>
      </c>
      <c r="M12" s="1" t="s">
        <v>15</v>
      </c>
      <c r="N12" s="6" t="s">
        <v>16</v>
      </c>
      <c r="O12" s="6" t="s">
        <v>17</v>
      </c>
    </row>
    <row r="13" spans="1:29" x14ac:dyDescent="0.25">
      <c r="A13" s="12" t="s">
        <v>24</v>
      </c>
      <c r="B13" s="12" t="s">
        <v>1</v>
      </c>
      <c r="C13" s="12" t="s">
        <v>5</v>
      </c>
      <c r="D13" s="12" t="s">
        <v>6</v>
      </c>
      <c r="E13" s="12" t="s">
        <v>7</v>
      </c>
      <c r="G13" s="65"/>
      <c r="H13" s="66"/>
    </row>
    <row r="14" spans="1:29" x14ac:dyDescent="0.25">
      <c r="A14">
        <v>1</v>
      </c>
      <c r="B14" s="4">
        <f ca="1">HLOOKUP(RAND(),K$5:O$6,2,TRUE)</f>
        <v>263.35536460676792</v>
      </c>
      <c r="C14">
        <f ca="1">IF(C$11&gt;B14,B14*F$7+(C$11-B14)*F$8+(C$11-B14)*F$9,C$11*F$7)</f>
        <v>1182.5</v>
      </c>
      <c r="D14">
        <f ca="1">IF(C$11&gt;B14,B14*F$5+(C$11-B14)*F$6,C$11*F$5)</f>
        <v>860</v>
      </c>
      <c r="E14">
        <f ca="1">C14-D14</f>
        <v>322.5</v>
      </c>
      <c r="G14" s="65"/>
      <c r="H14" s="65"/>
      <c r="I14" s="62" t="s">
        <v>12</v>
      </c>
      <c r="J14" s="62"/>
      <c r="K14" s="62"/>
      <c r="L14" s="3">
        <f>MAX(K11:O11)</f>
        <v>455.46439621020755</v>
      </c>
    </row>
    <row r="15" spans="1:29" x14ac:dyDescent="0.25">
      <c r="A15">
        <v>2</v>
      </c>
      <c r="B15" s="4">
        <f t="shared" ref="B15:B78" ca="1" si="2">HLOOKUP(RAND(),K$5:O$6,2,TRUE)</f>
        <v>217.18668662249479</v>
      </c>
      <c r="C15">
        <f t="shared" ref="C15:C78" ca="1" si="3">IF(C$11&gt;B15,B15*F$7+(C$11-B15)*F$8+(C$11-B15)*F$9,C$11*F$7)</f>
        <v>1182.5</v>
      </c>
      <c r="D15">
        <f t="shared" ref="D15:D78" ca="1" si="4">IF(C$11&gt;B15,B15*F$5+(C$11-B15)*F$6,C$11*F$5)</f>
        <v>860</v>
      </c>
      <c r="E15">
        <f t="shared" ref="E15:E78" ca="1" si="5">C15-D15</f>
        <v>322.5</v>
      </c>
      <c r="J15" s="62" t="s">
        <v>10</v>
      </c>
      <c r="K15" s="62"/>
      <c r="L15" s="15" t="str">
        <f>HLOOKUP(L14,$K$11:$O$12,2,FALSE)</f>
        <v>281-300</v>
      </c>
    </row>
    <row r="16" spans="1:29" x14ac:dyDescent="0.25">
      <c r="A16">
        <v>3</v>
      </c>
      <c r="B16" s="4">
        <f t="shared" ca="1" si="2"/>
        <v>258.43256826853184</v>
      </c>
      <c r="C16">
        <f t="shared" ca="1" si="3"/>
        <v>1182.5</v>
      </c>
      <c r="D16">
        <f t="shared" ca="1" si="4"/>
        <v>860</v>
      </c>
      <c r="E16">
        <f t="shared" ca="1" si="5"/>
        <v>322.5</v>
      </c>
      <c r="G16" s="17"/>
      <c r="H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x14ac:dyDescent="0.25">
      <c r="A17">
        <v>4</v>
      </c>
      <c r="B17" s="4">
        <f t="shared" ca="1" si="2"/>
        <v>217.18668662249479</v>
      </c>
      <c r="C17">
        <f t="shared" ca="1" si="3"/>
        <v>1182.5</v>
      </c>
      <c r="D17">
        <f t="shared" ca="1" si="4"/>
        <v>860</v>
      </c>
      <c r="E17">
        <f t="shared" ca="1" si="5"/>
        <v>322.5</v>
      </c>
      <c r="G17" s="17"/>
      <c r="H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x14ac:dyDescent="0.25">
      <c r="A18">
        <v>5</v>
      </c>
      <c r="B18" s="4">
        <f t="shared" ca="1" si="2"/>
        <v>258.43256826853184</v>
      </c>
      <c r="C18">
        <f t="shared" ca="1" si="3"/>
        <v>1182.5</v>
      </c>
      <c r="D18">
        <f t="shared" ca="1" si="4"/>
        <v>860</v>
      </c>
      <c r="E18">
        <f t="shared" ca="1" si="5"/>
        <v>322.5</v>
      </c>
      <c r="G18" s="17"/>
      <c r="H18" s="17"/>
      <c r="I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x14ac:dyDescent="0.25">
      <c r="A19">
        <v>6</v>
      </c>
      <c r="B19" s="4">
        <f t="shared" ca="1" si="2"/>
        <v>263.35536460676792</v>
      </c>
      <c r="C19">
        <f t="shared" ca="1" si="3"/>
        <v>1182.5</v>
      </c>
      <c r="D19">
        <f t="shared" ca="1" si="4"/>
        <v>860</v>
      </c>
      <c r="E19">
        <f t="shared" ca="1" si="5"/>
        <v>322.5</v>
      </c>
      <c r="G19" s="17"/>
      <c r="H19" s="17"/>
      <c r="I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x14ac:dyDescent="0.25">
      <c r="A20">
        <v>7</v>
      </c>
      <c r="B20" s="4">
        <f t="shared" ca="1" si="2"/>
        <v>258.43256826853184</v>
      </c>
      <c r="C20">
        <f t="shared" ca="1" si="3"/>
        <v>1182.5</v>
      </c>
      <c r="D20">
        <f t="shared" ca="1" si="4"/>
        <v>860</v>
      </c>
      <c r="E20">
        <f t="shared" ca="1" si="5"/>
        <v>322.5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x14ac:dyDescent="0.25">
      <c r="A21">
        <v>8</v>
      </c>
      <c r="B21" s="4">
        <f t="shared" ca="1" si="2"/>
        <v>263.35536460676792</v>
      </c>
      <c r="C21">
        <f t="shared" ca="1" si="3"/>
        <v>1182.5</v>
      </c>
      <c r="D21">
        <f t="shared" ca="1" si="4"/>
        <v>860</v>
      </c>
      <c r="E21">
        <f t="shared" ca="1" si="5"/>
        <v>322.5</v>
      </c>
      <c r="G21" s="17"/>
      <c r="H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x14ac:dyDescent="0.25">
      <c r="A22">
        <v>9</v>
      </c>
      <c r="B22" s="4">
        <f t="shared" ca="1" si="2"/>
        <v>258.43256826853184</v>
      </c>
      <c r="C22">
        <f t="shared" ca="1" si="3"/>
        <v>1182.5</v>
      </c>
      <c r="D22">
        <f t="shared" ca="1" si="4"/>
        <v>860</v>
      </c>
      <c r="E22">
        <f t="shared" ca="1" si="5"/>
        <v>322.5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x14ac:dyDescent="0.25">
      <c r="A23">
        <v>10</v>
      </c>
      <c r="B23" s="4">
        <f t="shared" ca="1" si="2"/>
        <v>217.18668662249479</v>
      </c>
      <c r="C23">
        <f t="shared" ca="1" si="3"/>
        <v>1182.5</v>
      </c>
      <c r="D23">
        <f t="shared" ca="1" si="4"/>
        <v>860</v>
      </c>
      <c r="E23">
        <f t="shared" ca="1" si="5"/>
        <v>322.5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x14ac:dyDescent="0.25">
      <c r="A24">
        <v>11</v>
      </c>
      <c r="B24" s="4">
        <f t="shared" ca="1" si="2"/>
        <v>293.76646764418979</v>
      </c>
      <c r="C24">
        <f t="shared" ca="1" si="3"/>
        <v>1182.5</v>
      </c>
      <c r="D24">
        <f t="shared" ca="1" si="4"/>
        <v>860</v>
      </c>
      <c r="E24">
        <f t="shared" ca="1" si="5"/>
        <v>322.5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x14ac:dyDescent="0.25">
      <c r="A25">
        <v>12</v>
      </c>
      <c r="B25" s="4">
        <f t="shared" ca="1" si="2"/>
        <v>258.43256826853184</v>
      </c>
      <c r="C25">
        <f t="shared" ca="1" si="3"/>
        <v>1182.5</v>
      </c>
      <c r="D25">
        <f t="shared" ca="1" si="4"/>
        <v>860</v>
      </c>
      <c r="E25">
        <f t="shared" ca="1" si="5"/>
        <v>322.5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x14ac:dyDescent="0.25">
      <c r="A26">
        <v>13</v>
      </c>
      <c r="B26" s="4">
        <f t="shared" ca="1" si="2"/>
        <v>217.18668662249479</v>
      </c>
      <c r="C26">
        <f t="shared" ca="1" si="3"/>
        <v>1182.5</v>
      </c>
      <c r="D26">
        <f t="shared" ca="1" si="4"/>
        <v>860</v>
      </c>
      <c r="E26">
        <f t="shared" ca="1" si="5"/>
        <v>322.5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x14ac:dyDescent="0.25">
      <c r="A27">
        <v>14</v>
      </c>
      <c r="B27" s="4">
        <f t="shared" ca="1" si="2"/>
        <v>293.76646764418979</v>
      </c>
      <c r="C27">
        <f t="shared" ca="1" si="3"/>
        <v>1182.5</v>
      </c>
      <c r="D27">
        <f t="shared" ca="1" si="4"/>
        <v>860</v>
      </c>
      <c r="E27">
        <f t="shared" ca="1" si="5"/>
        <v>322.5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x14ac:dyDescent="0.25">
      <c r="A28">
        <v>15</v>
      </c>
      <c r="B28" s="4">
        <f t="shared" ca="1" si="2"/>
        <v>217.18668662249479</v>
      </c>
      <c r="C28">
        <f t="shared" ca="1" si="3"/>
        <v>1182.5</v>
      </c>
      <c r="D28">
        <f t="shared" ca="1" si="4"/>
        <v>860</v>
      </c>
      <c r="E28">
        <f t="shared" ca="1" si="5"/>
        <v>322.5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x14ac:dyDescent="0.25">
      <c r="A29">
        <v>16</v>
      </c>
      <c r="B29" s="4">
        <f t="shared" ca="1" si="2"/>
        <v>258.43256826853184</v>
      </c>
      <c r="C29">
        <f t="shared" ca="1" si="3"/>
        <v>1182.5</v>
      </c>
      <c r="D29">
        <f t="shared" ca="1" si="4"/>
        <v>860</v>
      </c>
      <c r="E29">
        <f t="shared" ca="1" si="5"/>
        <v>322.5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x14ac:dyDescent="0.25">
      <c r="A30">
        <v>17</v>
      </c>
      <c r="B30" s="4">
        <f t="shared" ca="1" si="2"/>
        <v>258.43256826853184</v>
      </c>
      <c r="C30">
        <f t="shared" ca="1" si="3"/>
        <v>1182.5</v>
      </c>
      <c r="D30">
        <f t="shared" ca="1" si="4"/>
        <v>860</v>
      </c>
      <c r="E30">
        <f t="shared" ca="1" si="5"/>
        <v>322.5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x14ac:dyDescent="0.25">
      <c r="A31">
        <v>18</v>
      </c>
      <c r="B31" s="4">
        <f t="shared" ca="1" si="2"/>
        <v>217.18668662249479</v>
      </c>
      <c r="C31">
        <f t="shared" ca="1" si="3"/>
        <v>1182.5</v>
      </c>
      <c r="D31">
        <f t="shared" ca="1" si="4"/>
        <v>860</v>
      </c>
      <c r="E31">
        <f t="shared" ca="1" si="5"/>
        <v>322.5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x14ac:dyDescent="0.25">
      <c r="A32">
        <v>19</v>
      </c>
      <c r="B32" s="4">
        <f t="shared" ca="1" si="2"/>
        <v>263.35536460676792</v>
      </c>
      <c r="C32">
        <f t="shared" ca="1" si="3"/>
        <v>1182.5</v>
      </c>
      <c r="D32">
        <f t="shared" ca="1" si="4"/>
        <v>860</v>
      </c>
      <c r="E32">
        <f t="shared" ca="1" si="5"/>
        <v>322.5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x14ac:dyDescent="0.25">
      <c r="A33">
        <v>20</v>
      </c>
      <c r="B33" s="4">
        <f t="shared" ca="1" si="2"/>
        <v>217.18668662249479</v>
      </c>
      <c r="C33">
        <f t="shared" ca="1" si="3"/>
        <v>1182.5</v>
      </c>
      <c r="D33">
        <f t="shared" ca="1" si="4"/>
        <v>860</v>
      </c>
      <c r="E33">
        <f t="shared" ca="1" si="5"/>
        <v>322.5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x14ac:dyDescent="0.25">
      <c r="A34">
        <v>21</v>
      </c>
      <c r="B34" s="4">
        <f t="shared" ca="1" si="2"/>
        <v>258.43256826853184</v>
      </c>
      <c r="C34">
        <f t="shared" ca="1" si="3"/>
        <v>1182.5</v>
      </c>
      <c r="D34">
        <f t="shared" ca="1" si="4"/>
        <v>860</v>
      </c>
      <c r="E34">
        <f t="shared" ca="1" si="5"/>
        <v>322.5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x14ac:dyDescent="0.25">
      <c r="A35">
        <v>22</v>
      </c>
      <c r="B35" s="4">
        <f t="shared" ca="1" si="2"/>
        <v>228.35119816119044</v>
      </c>
      <c r="C35">
        <f t="shared" ca="1" si="3"/>
        <v>1182.5</v>
      </c>
      <c r="D35">
        <f t="shared" ca="1" si="4"/>
        <v>860</v>
      </c>
      <c r="E35">
        <f t="shared" ca="1" si="5"/>
        <v>322.5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x14ac:dyDescent="0.25">
      <c r="A36">
        <v>23</v>
      </c>
      <c r="B36" s="4">
        <f t="shared" ca="1" si="2"/>
        <v>293.76646764418979</v>
      </c>
      <c r="C36">
        <f t="shared" ca="1" si="3"/>
        <v>1182.5</v>
      </c>
      <c r="D36">
        <f t="shared" ca="1" si="4"/>
        <v>860</v>
      </c>
      <c r="E36">
        <f t="shared" ca="1" si="5"/>
        <v>322.5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x14ac:dyDescent="0.25">
      <c r="A37">
        <v>24</v>
      </c>
      <c r="B37" s="4">
        <f t="shared" ca="1" si="2"/>
        <v>263.35536460676792</v>
      </c>
      <c r="C37">
        <f t="shared" ca="1" si="3"/>
        <v>1182.5</v>
      </c>
      <c r="D37">
        <f t="shared" ca="1" si="4"/>
        <v>860</v>
      </c>
      <c r="E37">
        <f t="shared" ca="1" si="5"/>
        <v>322.5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x14ac:dyDescent="0.25">
      <c r="A38">
        <v>25</v>
      </c>
      <c r="B38" s="4">
        <f t="shared" ca="1" si="2"/>
        <v>217.18668662249479</v>
      </c>
      <c r="C38">
        <f t="shared" ca="1" si="3"/>
        <v>1182.5</v>
      </c>
      <c r="D38">
        <f t="shared" ca="1" si="4"/>
        <v>860</v>
      </c>
      <c r="E38">
        <f t="shared" ca="1" si="5"/>
        <v>322.5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x14ac:dyDescent="0.25">
      <c r="A39">
        <v>26</v>
      </c>
      <c r="B39" s="4">
        <f t="shared" ca="1" si="2"/>
        <v>217.18668662249479</v>
      </c>
      <c r="C39">
        <f t="shared" ca="1" si="3"/>
        <v>1182.5</v>
      </c>
      <c r="D39">
        <f t="shared" ca="1" si="4"/>
        <v>860</v>
      </c>
      <c r="E39">
        <f t="shared" ca="1" si="5"/>
        <v>322.5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x14ac:dyDescent="0.25">
      <c r="A40">
        <v>27</v>
      </c>
      <c r="B40" s="4">
        <f t="shared" ca="1" si="2"/>
        <v>258.43256826853184</v>
      </c>
      <c r="C40">
        <f t="shared" ca="1" si="3"/>
        <v>1182.5</v>
      </c>
      <c r="D40">
        <f t="shared" ca="1" si="4"/>
        <v>860</v>
      </c>
      <c r="E40">
        <f t="shared" ca="1" si="5"/>
        <v>322.5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x14ac:dyDescent="0.25">
      <c r="A41">
        <v>28</v>
      </c>
      <c r="B41" s="4">
        <f t="shared" ca="1" si="2"/>
        <v>217.18668662249479</v>
      </c>
      <c r="C41">
        <f t="shared" ca="1" si="3"/>
        <v>1182.5</v>
      </c>
      <c r="D41">
        <f t="shared" ca="1" si="4"/>
        <v>860</v>
      </c>
      <c r="E41">
        <f t="shared" ca="1" si="5"/>
        <v>322.5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x14ac:dyDescent="0.25">
      <c r="A42">
        <v>29</v>
      </c>
      <c r="B42" s="4">
        <f t="shared" ca="1" si="2"/>
        <v>258.43256826853184</v>
      </c>
      <c r="C42">
        <f t="shared" ca="1" si="3"/>
        <v>1182.5</v>
      </c>
      <c r="D42">
        <f t="shared" ca="1" si="4"/>
        <v>860</v>
      </c>
      <c r="E42">
        <f t="shared" ca="1" si="5"/>
        <v>322.5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x14ac:dyDescent="0.25">
      <c r="A43">
        <v>30</v>
      </c>
      <c r="B43" s="4">
        <f t="shared" ca="1" si="2"/>
        <v>217.18668662249479</v>
      </c>
      <c r="C43">
        <f t="shared" ca="1" si="3"/>
        <v>1182.5</v>
      </c>
      <c r="D43">
        <f t="shared" ca="1" si="4"/>
        <v>860</v>
      </c>
      <c r="E43">
        <f t="shared" ca="1" si="5"/>
        <v>322.5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x14ac:dyDescent="0.25">
      <c r="A44">
        <v>31</v>
      </c>
      <c r="B44" s="4">
        <f t="shared" ca="1" si="2"/>
        <v>228.35119816119044</v>
      </c>
      <c r="C44">
        <f t="shared" ca="1" si="3"/>
        <v>1182.5</v>
      </c>
      <c r="D44">
        <f t="shared" ca="1" si="4"/>
        <v>860</v>
      </c>
      <c r="E44">
        <f t="shared" ca="1" si="5"/>
        <v>322.5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x14ac:dyDescent="0.25">
      <c r="A45">
        <v>32</v>
      </c>
      <c r="B45" s="4">
        <f t="shared" ca="1" si="2"/>
        <v>228.35119816119044</v>
      </c>
      <c r="C45">
        <f t="shared" ca="1" si="3"/>
        <v>1182.5</v>
      </c>
      <c r="D45">
        <f t="shared" ca="1" si="4"/>
        <v>860</v>
      </c>
      <c r="E45">
        <f t="shared" ca="1" si="5"/>
        <v>322.5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x14ac:dyDescent="0.25">
      <c r="A46">
        <v>33</v>
      </c>
      <c r="B46" s="4">
        <f t="shared" ca="1" si="2"/>
        <v>258.43256826853184</v>
      </c>
      <c r="C46">
        <f t="shared" ca="1" si="3"/>
        <v>1182.5</v>
      </c>
      <c r="D46">
        <f t="shared" ca="1" si="4"/>
        <v>860</v>
      </c>
      <c r="E46">
        <f t="shared" ca="1" si="5"/>
        <v>322.5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x14ac:dyDescent="0.25">
      <c r="A47">
        <v>34</v>
      </c>
      <c r="B47" s="4">
        <f t="shared" ca="1" si="2"/>
        <v>258.43256826853184</v>
      </c>
      <c r="C47">
        <f t="shared" ca="1" si="3"/>
        <v>1182.5</v>
      </c>
      <c r="D47">
        <f t="shared" ca="1" si="4"/>
        <v>860</v>
      </c>
      <c r="E47">
        <f t="shared" ca="1" si="5"/>
        <v>322.5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x14ac:dyDescent="0.25">
      <c r="A48">
        <v>35</v>
      </c>
      <c r="B48" s="4">
        <f t="shared" ca="1" si="2"/>
        <v>258.43256826853184</v>
      </c>
      <c r="C48">
        <f t="shared" ca="1" si="3"/>
        <v>1182.5</v>
      </c>
      <c r="D48">
        <f t="shared" ca="1" si="4"/>
        <v>860</v>
      </c>
      <c r="E48">
        <f t="shared" ca="1" si="5"/>
        <v>322.5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x14ac:dyDescent="0.25">
      <c r="A49">
        <v>36</v>
      </c>
      <c r="B49" s="4">
        <f t="shared" ca="1" si="2"/>
        <v>263.35536460676792</v>
      </c>
      <c r="C49">
        <f t="shared" ca="1" si="3"/>
        <v>1182.5</v>
      </c>
      <c r="D49">
        <f t="shared" ca="1" si="4"/>
        <v>860</v>
      </c>
      <c r="E49">
        <f t="shared" ca="1" si="5"/>
        <v>322.5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x14ac:dyDescent="0.25">
      <c r="A50">
        <v>37</v>
      </c>
      <c r="B50" s="4">
        <f t="shared" ca="1" si="2"/>
        <v>263.35536460676792</v>
      </c>
      <c r="C50">
        <f t="shared" ca="1" si="3"/>
        <v>1182.5</v>
      </c>
      <c r="D50">
        <f t="shared" ca="1" si="4"/>
        <v>860</v>
      </c>
      <c r="E50">
        <f t="shared" ca="1" si="5"/>
        <v>322.5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x14ac:dyDescent="0.25">
      <c r="A51">
        <v>38</v>
      </c>
      <c r="B51" s="4">
        <f t="shared" ca="1" si="2"/>
        <v>258.43256826853184</v>
      </c>
      <c r="C51">
        <f t="shared" ca="1" si="3"/>
        <v>1182.5</v>
      </c>
      <c r="D51">
        <f t="shared" ca="1" si="4"/>
        <v>860</v>
      </c>
      <c r="E51">
        <f t="shared" ca="1" si="5"/>
        <v>322.5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x14ac:dyDescent="0.25">
      <c r="A52">
        <v>39</v>
      </c>
      <c r="B52" s="4">
        <f t="shared" ca="1" si="2"/>
        <v>217.18668662249479</v>
      </c>
      <c r="C52">
        <f t="shared" ca="1" si="3"/>
        <v>1182.5</v>
      </c>
      <c r="D52">
        <f t="shared" ca="1" si="4"/>
        <v>860</v>
      </c>
      <c r="E52">
        <f t="shared" ca="1" si="5"/>
        <v>322.5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x14ac:dyDescent="0.25">
      <c r="A53">
        <v>40</v>
      </c>
      <c r="B53" s="4">
        <f t="shared" ca="1" si="2"/>
        <v>228.35119816119044</v>
      </c>
      <c r="C53">
        <f t="shared" ca="1" si="3"/>
        <v>1182.5</v>
      </c>
      <c r="D53">
        <f t="shared" ca="1" si="4"/>
        <v>860</v>
      </c>
      <c r="E53">
        <f t="shared" ca="1" si="5"/>
        <v>322.5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x14ac:dyDescent="0.25">
      <c r="A54">
        <v>41</v>
      </c>
      <c r="B54" s="4">
        <f t="shared" ca="1" si="2"/>
        <v>228.35119816119044</v>
      </c>
      <c r="C54">
        <f t="shared" ca="1" si="3"/>
        <v>1182.5</v>
      </c>
      <c r="D54">
        <f t="shared" ca="1" si="4"/>
        <v>860</v>
      </c>
      <c r="E54">
        <f t="shared" ca="1" si="5"/>
        <v>322.5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x14ac:dyDescent="0.25">
      <c r="A55">
        <v>42</v>
      </c>
      <c r="B55" s="4">
        <f t="shared" ca="1" si="2"/>
        <v>263.35536460676792</v>
      </c>
      <c r="C55">
        <f t="shared" ca="1" si="3"/>
        <v>1182.5</v>
      </c>
      <c r="D55">
        <f t="shared" ca="1" si="4"/>
        <v>860</v>
      </c>
      <c r="E55">
        <f t="shared" ca="1" si="5"/>
        <v>322.5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x14ac:dyDescent="0.25">
      <c r="A56">
        <v>43</v>
      </c>
      <c r="B56" s="4">
        <f t="shared" ca="1" si="2"/>
        <v>217.18668662249479</v>
      </c>
      <c r="C56">
        <f t="shared" ca="1" si="3"/>
        <v>1182.5</v>
      </c>
      <c r="D56">
        <f t="shared" ca="1" si="4"/>
        <v>860</v>
      </c>
      <c r="E56">
        <f t="shared" ca="1" si="5"/>
        <v>322.5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x14ac:dyDescent="0.25">
      <c r="A57">
        <v>44</v>
      </c>
      <c r="B57" s="4">
        <f t="shared" ca="1" si="2"/>
        <v>217.18668662249479</v>
      </c>
      <c r="C57">
        <f t="shared" ca="1" si="3"/>
        <v>1182.5</v>
      </c>
      <c r="D57">
        <f t="shared" ca="1" si="4"/>
        <v>860</v>
      </c>
      <c r="E57">
        <f t="shared" ca="1" si="5"/>
        <v>322.5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x14ac:dyDescent="0.25">
      <c r="A58">
        <v>45</v>
      </c>
      <c r="B58" s="4">
        <f t="shared" ca="1" si="2"/>
        <v>263.35536460676792</v>
      </c>
      <c r="C58">
        <f t="shared" ca="1" si="3"/>
        <v>1182.5</v>
      </c>
      <c r="D58">
        <f t="shared" ca="1" si="4"/>
        <v>860</v>
      </c>
      <c r="E58">
        <f t="shared" ca="1" si="5"/>
        <v>322.5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x14ac:dyDescent="0.25">
      <c r="A59">
        <v>46</v>
      </c>
      <c r="B59" s="4">
        <f t="shared" ca="1" si="2"/>
        <v>228.35119816119044</v>
      </c>
      <c r="C59">
        <f t="shared" ca="1" si="3"/>
        <v>1182.5</v>
      </c>
      <c r="D59">
        <f t="shared" ca="1" si="4"/>
        <v>860</v>
      </c>
      <c r="E59">
        <f t="shared" ca="1" si="5"/>
        <v>322.5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x14ac:dyDescent="0.25">
      <c r="A60">
        <v>47</v>
      </c>
      <c r="B60" s="4">
        <f t="shared" ca="1" si="2"/>
        <v>293.76646764418979</v>
      </c>
      <c r="C60">
        <f t="shared" ca="1" si="3"/>
        <v>1182.5</v>
      </c>
      <c r="D60">
        <f t="shared" ca="1" si="4"/>
        <v>860</v>
      </c>
      <c r="E60">
        <f t="shared" ca="1" si="5"/>
        <v>322.5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x14ac:dyDescent="0.25">
      <c r="A61">
        <v>48</v>
      </c>
      <c r="B61" s="4">
        <f t="shared" ca="1" si="2"/>
        <v>217.18668662249479</v>
      </c>
      <c r="C61">
        <f t="shared" ca="1" si="3"/>
        <v>1182.5</v>
      </c>
      <c r="D61">
        <f t="shared" ca="1" si="4"/>
        <v>860</v>
      </c>
      <c r="E61">
        <f t="shared" ca="1" si="5"/>
        <v>322.5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x14ac:dyDescent="0.25">
      <c r="A62">
        <v>49</v>
      </c>
      <c r="B62" s="4">
        <f t="shared" ca="1" si="2"/>
        <v>228.35119816119044</v>
      </c>
      <c r="C62">
        <f t="shared" ca="1" si="3"/>
        <v>1182.5</v>
      </c>
      <c r="D62">
        <f t="shared" ca="1" si="4"/>
        <v>860</v>
      </c>
      <c r="E62">
        <f t="shared" ca="1" si="5"/>
        <v>322.5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x14ac:dyDescent="0.25">
      <c r="A63">
        <v>50</v>
      </c>
      <c r="B63" s="4">
        <f t="shared" ca="1" si="2"/>
        <v>293.76646764418979</v>
      </c>
      <c r="C63">
        <f t="shared" ca="1" si="3"/>
        <v>1182.5</v>
      </c>
      <c r="D63">
        <f t="shared" ca="1" si="4"/>
        <v>860</v>
      </c>
      <c r="E63">
        <f t="shared" ca="1" si="5"/>
        <v>322.5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x14ac:dyDescent="0.25">
      <c r="A64">
        <v>51</v>
      </c>
      <c r="B64" s="4">
        <f t="shared" ca="1" si="2"/>
        <v>263.35536460676792</v>
      </c>
      <c r="C64">
        <f t="shared" ca="1" si="3"/>
        <v>1182.5</v>
      </c>
      <c r="D64">
        <f t="shared" ca="1" si="4"/>
        <v>860</v>
      </c>
      <c r="E64">
        <f t="shared" ca="1" si="5"/>
        <v>322.5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x14ac:dyDescent="0.25">
      <c r="A65">
        <v>52</v>
      </c>
      <c r="B65" s="4">
        <f t="shared" ca="1" si="2"/>
        <v>217.18668662249479</v>
      </c>
      <c r="C65">
        <f t="shared" ca="1" si="3"/>
        <v>1182.5</v>
      </c>
      <c r="D65">
        <f t="shared" ca="1" si="4"/>
        <v>860</v>
      </c>
      <c r="E65">
        <f t="shared" ca="1" si="5"/>
        <v>322.5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x14ac:dyDescent="0.25">
      <c r="A66">
        <v>53</v>
      </c>
      <c r="B66" s="4">
        <f t="shared" ca="1" si="2"/>
        <v>228.35119816119044</v>
      </c>
      <c r="C66">
        <f t="shared" ca="1" si="3"/>
        <v>1182.5</v>
      </c>
      <c r="D66">
        <f t="shared" ca="1" si="4"/>
        <v>860</v>
      </c>
      <c r="E66">
        <f t="shared" ca="1" si="5"/>
        <v>322.5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x14ac:dyDescent="0.25">
      <c r="A67">
        <v>54</v>
      </c>
      <c r="B67" s="4">
        <f t="shared" ca="1" si="2"/>
        <v>263.35536460676792</v>
      </c>
      <c r="C67">
        <f t="shared" ca="1" si="3"/>
        <v>1182.5</v>
      </c>
      <c r="D67">
        <f t="shared" ca="1" si="4"/>
        <v>860</v>
      </c>
      <c r="E67">
        <f t="shared" ca="1" si="5"/>
        <v>322.5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x14ac:dyDescent="0.25">
      <c r="A68">
        <v>55</v>
      </c>
      <c r="B68" s="4">
        <f t="shared" ca="1" si="2"/>
        <v>258.43256826853184</v>
      </c>
      <c r="C68">
        <f t="shared" ca="1" si="3"/>
        <v>1182.5</v>
      </c>
      <c r="D68">
        <f t="shared" ca="1" si="4"/>
        <v>860</v>
      </c>
      <c r="E68">
        <f t="shared" ca="1" si="5"/>
        <v>322.5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x14ac:dyDescent="0.25">
      <c r="A69">
        <v>56</v>
      </c>
      <c r="B69" s="4">
        <f t="shared" ca="1" si="2"/>
        <v>217.18668662249479</v>
      </c>
      <c r="C69">
        <f t="shared" ca="1" si="3"/>
        <v>1182.5</v>
      </c>
      <c r="D69">
        <f t="shared" ca="1" si="4"/>
        <v>860</v>
      </c>
      <c r="E69">
        <f t="shared" ca="1" si="5"/>
        <v>322.5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x14ac:dyDescent="0.25">
      <c r="A70">
        <v>57</v>
      </c>
      <c r="B70" s="4">
        <f t="shared" ca="1" si="2"/>
        <v>228.35119816119044</v>
      </c>
      <c r="C70">
        <f t="shared" ca="1" si="3"/>
        <v>1182.5</v>
      </c>
      <c r="D70">
        <f t="shared" ca="1" si="4"/>
        <v>860</v>
      </c>
      <c r="E70">
        <f t="shared" ca="1" si="5"/>
        <v>322.5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x14ac:dyDescent="0.25">
      <c r="A71">
        <v>58</v>
      </c>
      <c r="B71" s="4">
        <f t="shared" ca="1" si="2"/>
        <v>293.76646764418979</v>
      </c>
      <c r="C71">
        <f t="shared" ca="1" si="3"/>
        <v>1182.5</v>
      </c>
      <c r="D71">
        <f t="shared" ca="1" si="4"/>
        <v>860</v>
      </c>
      <c r="E71">
        <f t="shared" ca="1" si="5"/>
        <v>322.5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x14ac:dyDescent="0.25">
      <c r="A72">
        <v>59</v>
      </c>
      <c r="B72" s="4">
        <f t="shared" ca="1" si="2"/>
        <v>217.18668662249479</v>
      </c>
      <c r="C72">
        <f t="shared" ca="1" si="3"/>
        <v>1182.5</v>
      </c>
      <c r="D72">
        <f t="shared" ca="1" si="4"/>
        <v>860</v>
      </c>
      <c r="E72">
        <f t="shared" ca="1" si="5"/>
        <v>322.5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x14ac:dyDescent="0.25">
      <c r="A73">
        <v>60</v>
      </c>
      <c r="B73" s="4">
        <f t="shared" ca="1" si="2"/>
        <v>217.18668662249479</v>
      </c>
      <c r="C73">
        <f t="shared" ca="1" si="3"/>
        <v>1182.5</v>
      </c>
      <c r="D73">
        <f t="shared" ca="1" si="4"/>
        <v>860</v>
      </c>
      <c r="E73">
        <f t="shared" ca="1" si="5"/>
        <v>322.5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x14ac:dyDescent="0.25">
      <c r="A74">
        <v>61</v>
      </c>
      <c r="B74" s="4">
        <f t="shared" ca="1" si="2"/>
        <v>263.35536460676792</v>
      </c>
      <c r="C74">
        <f t="shared" ca="1" si="3"/>
        <v>1182.5</v>
      </c>
      <c r="D74">
        <f t="shared" ca="1" si="4"/>
        <v>860</v>
      </c>
      <c r="E74">
        <f t="shared" ca="1" si="5"/>
        <v>322.5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x14ac:dyDescent="0.25">
      <c r="A75">
        <v>62</v>
      </c>
      <c r="B75" s="4">
        <f t="shared" ca="1" si="2"/>
        <v>258.43256826853184</v>
      </c>
      <c r="C75">
        <f t="shared" ca="1" si="3"/>
        <v>1182.5</v>
      </c>
      <c r="D75">
        <f t="shared" ca="1" si="4"/>
        <v>860</v>
      </c>
      <c r="E75">
        <f t="shared" ca="1" si="5"/>
        <v>322.5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x14ac:dyDescent="0.25">
      <c r="A76">
        <v>63</v>
      </c>
      <c r="B76" s="4">
        <f t="shared" ca="1" si="2"/>
        <v>217.18668662249479</v>
      </c>
      <c r="C76">
        <f t="shared" ca="1" si="3"/>
        <v>1182.5</v>
      </c>
      <c r="D76">
        <f t="shared" ca="1" si="4"/>
        <v>860</v>
      </c>
      <c r="E76">
        <f t="shared" ca="1" si="5"/>
        <v>322.5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x14ac:dyDescent="0.25">
      <c r="A77">
        <v>64</v>
      </c>
      <c r="B77" s="4">
        <f t="shared" ca="1" si="2"/>
        <v>217.18668662249479</v>
      </c>
      <c r="C77">
        <f t="shared" ca="1" si="3"/>
        <v>1182.5</v>
      </c>
      <c r="D77">
        <f t="shared" ca="1" si="4"/>
        <v>860</v>
      </c>
      <c r="E77">
        <f t="shared" ca="1" si="5"/>
        <v>322.5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x14ac:dyDescent="0.25">
      <c r="A78">
        <v>65</v>
      </c>
      <c r="B78" s="4">
        <f t="shared" ca="1" si="2"/>
        <v>228.35119816119044</v>
      </c>
      <c r="C78">
        <f t="shared" ca="1" si="3"/>
        <v>1182.5</v>
      </c>
      <c r="D78">
        <f t="shared" ca="1" si="4"/>
        <v>860</v>
      </c>
      <c r="E78">
        <f t="shared" ca="1" si="5"/>
        <v>322.5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x14ac:dyDescent="0.25">
      <c r="A79">
        <v>66</v>
      </c>
      <c r="B79" s="4">
        <f t="shared" ref="B79:B142" ca="1" si="6">HLOOKUP(RAND(),K$5:O$6,2,TRUE)</f>
        <v>293.76646764418979</v>
      </c>
      <c r="C79">
        <f t="shared" ref="C79:C142" ca="1" si="7">IF(C$11&gt;B79,B79*F$7+(C$11-B79)*F$8+(C$11-B79)*F$9,C$11*F$7)</f>
        <v>1182.5</v>
      </c>
      <c r="D79">
        <f t="shared" ref="D79:D142" ca="1" si="8">IF(C$11&gt;B79,B79*F$5+(C$11-B79)*F$6,C$11*F$5)</f>
        <v>860</v>
      </c>
      <c r="E79">
        <f t="shared" ref="E79:E142" ca="1" si="9">C79-D79</f>
        <v>322.5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x14ac:dyDescent="0.25">
      <c r="A80">
        <v>67</v>
      </c>
      <c r="B80" s="4">
        <f t="shared" ca="1" si="6"/>
        <v>228.35119816119044</v>
      </c>
      <c r="C80">
        <f t="shared" ca="1" si="7"/>
        <v>1182.5</v>
      </c>
      <c r="D80">
        <f t="shared" ca="1" si="8"/>
        <v>860</v>
      </c>
      <c r="E80">
        <f t="shared" ca="1" si="9"/>
        <v>322.5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x14ac:dyDescent="0.25">
      <c r="A81">
        <v>68</v>
      </c>
      <c r="B81" s="4">
        <f t="shared" ca="1" si="6"/>
        <v>293.76646764418979</v>
      </c>
      <c r="C81">
        <f t="shared" ca="1" si="7"/>
        <v>1182.5</v>
      </c>
      <c r="D81">
        <f t="shared" ca="1" si="8"/>
        <v>860</v>
      </c>
      <c r="E81">
        <f t="shared" ca="1" si="9"/>
        <v>322.5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x14ac:dyDescent="0.25">
      <c r="A82">
        <v>69</v>
      </c>
      <c r="B82" s="4">
        <f t="shared" ca="1" si="6"/>
        <v>258.43256826853184</v>
      </c>
      <c r="C82">
        <f t="shared" ca="1" si="7"/>
        <v>1182.5</v>
      </c>
      <c r="D82">
        <f t="shared" ca="1" si="8"/>
        <v>860</v>
      </c>
      <c r="E82">
        <f t="shared" ca="1" si="9"/>
        <v>322.5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x14ac:dyDescent="0.25">
      <c r="A83">
        <v>70</v>
      </c>
      <c r="B83" s="4">
        <f t="shared" ca="1" si="6"/>
        <v>217.18668662249479</v>
      </c>
      <c r="C83">
        <f t="shared" ca="1" si="7"/>
        <v>1182.5</v>
      </c>
      <c r="D83">
        <f t="shared" ca="1" si="8"/>
        <v>860</v>
      </c>
      <c r="E83">
        <f t="shared" ca="1" si="9"/>
        <v>322.5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x14ac:dyDescent="0.25">
      <c r="A84">
        <v>71</v>
      </c>
      <c r="B84" s="4">
        <f t="shared" ca="1" si="6"/>
        <v>293.76646764418979</v>
      </c>
      <c r="C84">
        <f t="shared" ca="1" si="7"/>
        <v>1182.5</v>
      </c>
      <c r="D84">
        <f t="shared" ca="1" si="8"/>
        <v>860</v>
      </c>
      <c r="E84">
        <f t="shared" ca="1" si="9"/>
        <v>322.5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x14ac:dyDescent="0.25">
      <c r="A85">
        <v>72</v>
      </c>
      <c r="B85" s="4">
        <f t="shared" ca="1" si="6"/>
        <v>263.35536460676792</v>
      </c>
      <c r="C85">
        <f t="shared" ca="1" si="7"/>
        <v>1182.5</v>
      </c>
      <c r="D85">
        <f t="shared" ca="1" si="8"/>
        <v>860</v>
      </c>
      <c r="E85">
        <f t="shared" ca="1" si="9"/>
        <v>322.5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x14ac:dyDescent="0.25">
      <c r="A86">
        <v>73</v>
      </c>
      <c r="B86" s="4">
        <f t="shared" ca="1" si="6"/>
        <v>228.35119816119044</v>
      </c>
      <c r="C86">
        <f t="shared" ca="1" si="7"/>
        <v>1182.5</v>
      </c>
      <c r="D86">
        <f t="shared" ca="1" si="8"/>
        <v>860</v>
      </c>
      <c r="E86">
        <f t="shared" ca="1" si="9"/>
        <v>322.5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x14ac:dyDescent="0.25">
      <c r="A87">
        <v>74</v>
      </c>
      <c r="B87" s="4">
        <f t="shared" ca="1" si="6"/>
        <v>293.76646764418979</v>
      </c>
      <c r="C87">
        <f t="shared" ca="1" si="7"/>
        <v>1182.5</v>
      </c>
      <c r="D87">
        <f t="shared" ca="1" si="8"/>
        <v>860</v>
      </c>
      <c r="E87">
        <f t="shared" ca="1" si="9"/>
        <v>322.5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x14ac:dyDescent="0.25">
      <c r="A88">
        <v>75</v>
      </c>
      <c r="B88" s="4">
        <f t="shared" ca="1" si="6"/>
        <v>217.18668662249479</v>
      </c>
      <c r="C88">
        <f t="shared" ca="1" si="7"/>
        <v>1182.5</v>
      </c>
      <c r="D88">
        <f t="shared" ca="1" si="8"/>
        <v>860</v>
      </c>
      <c r="E88">
        <f t="shared" ca="1" si="9"/>
        <v>322.5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x14ac:dyDescent="0.25">
      <c r="A89">
        <v>76</v>
      </c>
      <c r="B89" s="4">
        <f t="shared" ca="1" si="6"/>
        <v>263.35536460676792</v>
      </c>
      <c r="C89">
        <f t="shared" ca="1" si="7"/>
        <v>1182.5</v>
      </c>
      <c r="D89">
        <f t="shared" ca="1" si="8"/>
        <v>860</v>
      </c>
      <c r="E89">
        <f t="shared" ca="1" si="9"/>
        <v>322.5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x14ac:dyDescent="0.25">
      <c r="A90">
        <v>77</v>
      </c>
      <c r="B90" s="4">
        <f t="shared" ca="1" si="6"/>
        <v>258.43256826853184</v>
      </c>
      <c r="C90">
        <f t="shared" ca="1" si="7"/>
        <v>1182.5</v>
      </c>
      <c r="D90">
        <f t="shared" ca="1" si="8"/>
        <v>860</v>
      </c>
      <c r="E90">
        <f t="shared" ca="1" si="9"/>
        <v>322.5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x14ac:dyDescent="0.25">
      <c r="A91">
        <v>78</v>
      </c>
      <c r="B91" s="4">
        <f t="shared" ca="1" si="6"/>
        <v>217.18668662249479</v>
      </c>
      <c r="C91">
        <f t="shared" ca="1" si="7"/>
        <v>1182.5</v>
      </c>
      <c r="D91">
        <f t="shared" ca="1" si="8"/>
        <v>860</v>
      </c>
      <c r="E91">
        <f t="shared" ca="1" si="9"/>
        <v>322.5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x14ac:dyDescent="0.25">
      <c r="A92">
        <v>79</v>
      </c>
      <c r="B92" s="4">
        <f t="shared" ca="1" si="6"/>
        <v>258.43256826853184</v>
      </c>
      <c r="C92">
        <f t="shared" ca="1" si="7"/>
        <v>1182.5</v>
      </c>
      <c r="D92">
        <f t="shared" ca="1" si="8"/>
        <v>860</v>
      </c>
      <c r="E92">
        <f t="shared" ca="1" si="9"/>
        <v>322.5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x14ac:dyDescent="0.25">
      <c r="A93">
        <v>80</v>
      </c>
      <c r="B93" s="4">
        <f t="shared" ca="1" si="6"/>
        <v>293.76646764418979</v>
      </c>
      <c r="C93">
        <f t="shared" ca="1" si="7"/>
        <v>1182.5</v>
      </c>
      <c r="D93">
        <f t="shared" ca="1" si="8"/>
        <v>860</v>
      </c>
      <c r="E93">
        <f t="shared" ca="1" si="9"/>
        <v>322.5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x14ac:dyDescent="0.25">
      <c r="A94">
        <v>81</v>
      </c>
      <c r="B94" s="4">
        <f t="shared" ca="1" si="6"/>
        <v>263.35536460676792</v>
      </c>
      <c r="C94">
        <f t="shared" ca="1" si="7"/>
        <v>1182.5</v>
      </c>
      <c r="D94">
        <f t="shared" ca="1" si="8"/>
        <v>860</v>
      </c>
      <c r="E94">
        <f t="shared" ca="1" si="9"/>
        <v>322.5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x14ac:dyDescent="0.25">
      <c r="A95">
        <v>82</v>
      </c>
      <c r="B95" s="4">
        <f t="shared" ca="1" si="6"/>
        <v>228.35119816119044</v>
      </c>
      <c r="C95">
        <f t="shared" ca="1" si="7"/>
        <v>1182.5</v>
      </c>
      <c r="D95">
        <f t="shared" ca="1" si="8"/>
        <v>860</v>
      </c>
      <c r="E95">
        <f t="shared" ca="1" si="9"/>
        <v>322.5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x14ac:dyDescent="0.25">
      <c r="A96">
        <v>83</v>
      </c>
      <c r="B96" s="4">
        <f t="shared" ca="1" si="6"/>
        <v>263.35536460676792</v>
      </c>
      <c r="C96">
        <f t="shared" ca="1" si="7"/>
        <v>1182.5</v>
      </c>
      <c r="D96">
        <f t="shared" ca="1" si="8"/>
        <v>860</v>
      </c>
      <c r="E96">
        <f t="shared" ca="1" si="9"/>
        <v>322.5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x14ac:dyDescent="0.25">
      <c r="A97">
        <v>84</v>
      </c>
      <c r="B97" s="4">
        <f t="shared" ca="1" si="6"/>
        <v>258.43256826853184</v>
      </c>
      <c r="C97">
        <f t="shared" ca="1" si="7"/>
        <v>1182.5</v>
      </c>
      <c r="D97">
        <f t="shared" ca="1" si="8"/>
        <v>860</v>
      </c>
      <c r="E97">
        <f t="shared" ca="1" si="9"/>
        <v>322.5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x14ac:dyDescent="0.25">
      <c r="A98">
        <v>85</v>
      </c>
      <c r="B98" s="4">
        <f t="shared" ca="1" si="6"/>
        <v>258.43256826853184</v>
      </c>
      <c r="C98">
        <f t="shared" ca="1" si="7"/>
        <v>1182.5</v>
      </c>
      <c r="D98">
        <f t="shared" ca="1" si="8"/>
        <v>860</v>
      </c>
      <c r="E98">
        <f t="shared" ca="1" si="9"/>
        <v>322.5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x14ac:dyDescent="0.25">
      <c r="A99">
        <v>86</v>
      </c>
      <c r="B99" s="4">
        <f t="shared" ca="1" si="6"/>
        <v>217.18668662249479</v>
      </c>
      <c r="C99">
        <f t="shared" ca="1" si="7"/>
        <v>1182.5</v>
      </c>
      <c r="D99">
        <f t="shared" ca="1" si="8"/>
        <v>860</v>
      </c>
      <c r="E99">
        <f t="shared" ca="1" si="9"/>
        <v>322.5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x14ac:dyDescent="0.25">
      <c r="A100">
        <v>87</v>
      </c>
      <c r="B100" s="4">
        <f t="shared" ca="1" si="6"/>
        <v>263.35536460676792</v>
      </c>
      <c r="C100">
        <f t="shared" ca="1" si="7"/>
        <v>1182.5</v>
      </c>
      <c r="D100">
        <f t="shared" ca="1" si="8"/>
        <v>860</v>
      </c>
      <c r="E100">
        <f t="shared" ca="1" si="9"/>
        <v>322.5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x14ac:dyDescent="0.25">
      <c r="A101">
        <v>88</v>
      </c>
      <c r="B101" s="4">
        <f t="shared" ca="1" si="6"/>
        <v>263.35536460676792</v>
      </c>
      <c r="C101">
        <f t="shared" ca="1" si="7"/>
        <v>1182.5</v>
      </c>
      <c r="D101">
        <f t="shared" ca="1" si="8"/>
        <v>860</v>
      </c>
      <c r="E101">
        <f t="shared" ca="1" si="9"/>
        <v>322.5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x14ac:dyDescent="0.25">
      <c r="A102">
        <v>89</v>
      </c>
      <c r="B102" s="4">
        <f t="shared" ca="1" si="6"/>
        <v>258.43256826853184</v>
      </c>
      <c r="C102">
        <f t="shared" ca="1" si="7"/>
        <v>1182.5</v>
      </c>
      <c r="D102">
        <f t="shared" ca="1" si="8"/>
        <v>860</v>
      </c>
      <c r="E102">
        <f t="shared" ca="1" si="9"/>
        <v>322.5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x14ac:dyDescent="0.25">
      <c r="A103">
        <v>90</v>
      </c>
      <c r="B103" s="4">
        <f t="shared" ca="1" si="6"/>
        <v>258.43256826853184</v>
      </c>
      <c r="C103">
        <f t="shared" ca="1" si="7"/>
        <v>1182.5</v>
      </c>
      <c r="D103">
        <f t="shared" ca="1" si="8"/>
        <v>860</v>
      </c>
      <c r="E103">
        <f t="shared" ca="1" si="9"/>
        <v>322.5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x14ac:dyDescent="0.25">
      <c r="A104">
        <v>91</v>
      </c>
      <c r="B104" s="4">
        <f t="shared" ca="1" si="6"/>
        <v>217.18668662249479</v>
      </c>
      <c r="C104">
        <f t="shared" ca="1" si="7"/>
        <v>1182.5</v>
      </c>
      <c r="D104">
        <f t="shared" ca="1" si="8"/>
        <v>860</v>
      </c>
      <c r="E104">
        <f t="shared" ca="1" si="9"/>
        <v>322.5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x14ac:dyDescent="0.25">
      <c r="A105">
        <v>92</v>
      </c>
      <c r="B105" s="4">
        <f t="shared" ca="1" si="6"/>
        <v>263.35536460676792</v>
      </c>
      <c r="C105">
        <f t="shared" ca="1" si="7"/>
        <v>1182.5</v>
      </c>
      <c r="D105">
        <f t="shared" ca="1" si="8"/>
        <v>860</v>
      </c>
      <c r="E105">
        <f t="shared" ca="1" si="9"/>
        <v>322.5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x14ac:dyDescent="0.25">
      <c r="A106">
        <v>93</v>
      </c>
      <c r="B106" s="4">
        <f t="shared" ca="1" si="6"/>
        <v>258.43256826853184</v>
      </c>
      <c r="C106">
        <f t="shared" ca="1" si="7"/>
        <v>1182.5</v>
      </c>
      <c r="D106">
        <f t="shared" ca="1" si="8"/>
        <v>860</v>
      </c>
      <c r="E106">
        <f t="shared" ca="1" si="9"/>
        <v>322.5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x14ac:dyDescent="0.25">
      <c r="A107">
        <v>94</v>
      </c>
      <c r="B107" s="4">
        <f t="shared" ca="1" si="6"/>
        <v>228.35119816119044</v>
      </c>
      <c r="C107">
        <f t="shared" ca="1" si="7"/>
        <v>1182.5</v>
      </c>
      <c r="D107">
        <f t="shared" ca="1" si="8"/>
        <v>860</v>
      </c>
      <c r="E107">
        <f t="shared" ca="1" si="9"/>
        <v>322.5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x14ac:dyDescent="0.25">
      <c r="A108">
        <v>95</v>
      </c>
      <c r="B108" s="4">
        <f t="shared" ca="1" si="6"/>
        <v>258.43256826853184</v>
      </c>
      <c r="C108">
        <f t="shared" ca="1" si="7"/>
        <v>1182.5</v>
      </c>
      <c r="D108">
        <f t="shared" ca="1" si="8"/>
        <v>860</v>
      </c>
      <c r="E108">
        <f t="shared" ca="1" si="9"/>
        <v>322.5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x14ac:dyDescent="0.25">
      <c r="A109">
        <v>96</v>
      </c>
      <c r="B109" s="4">
        <f t="shared" ca="1" si="6"/>
        <v>258.43256826853184</v>
      </c>
      <c r="C109">
        <f t="shared" ca="1" si="7"/>
        <v>1182.5</v>
      </c>
      <c r="D109">
        <f t="shared" ca="1" si="8"/>
        <v>860</v>
      </c>
      <c r="E109">
        <f t="shared" ca="1" si="9"/>
        <v>322.5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x14ac:dyDescent="0.25">
      <c r="A110">
        <v>97</v>
      </c>
      <c r="B110" s="4">
        <f t="shared" ca="1" si="6"/>
        <v>228.35119816119044</v>
      </c>
      <c r="C110">
        <f t="shared" ca="1" si="7"/>
        <v>1182.5</v>
      </c>
      <c r="D110">
        <f t="shared" ca="1" si="8"/>
        <v>860</v>
      </c>
      <c r="E110">
        <f t="shared" ca="1" si="9"/>
        <v>322.5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x14ac:dyDescent="0.25">
      <c r="A111">
        <v>98</v>
      </c>
      <c r="B111" s="4">
        <f t="shared" ca="1" si="6"/>
        <v>263.35536460676792</v>
      </c>
      <c r="C111">
        <f t="shared" ca="1" si="7"/>
        <v>1182.5</v>
      </c>
      <c r="D111">
        <f t="shared" ca="1" si="8"/>
        <v>860</v>
      </c>
      <c r="E111">
        <f t="shared" ca="1" si="9"/>
        <v>322.5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x14ac:dyDescent="0.25">
      <c r="A112">
        <v>99</v>
      </c>
      <c r="B112" s="4">
        <f t="shared" ca="1" si="6"/>
        <v>228.35119816119044</v>
      </c>
      <c r="C112">
        <f t="shared" ca="1" si="7"/>
        <v>1182.5</v>
      </c>
      <c r="D112">
        <f t="shared" ca="1" si="8"/>
        <v>860</v>
      </c>
      <c r="E112">
        <f t="shared" ca="1" si="9"/>
        <v>322.5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x14ac:dyDescent="0.25">
      <c r="A113">
        <v>100</v>
      </c>
      <c r="B113" s="4">
        <f t="shared" ca="1" si="6"/>
        <v>258.43256826853184</v>
      </c>
      <c r="C113">
        <f t="shared" ca="1" si="7"/>
        <v>1182.5</v>
      </c>
      <c r="D113">
        <f t="shared" ca="1" si="8"/>
        <v>860</v>
      </c>
      <c r="E113">
        <f t="shared" ca="1" si="9"/>
        <v>322.5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x14ac:dyDescent="0.25">
      <c r="A114">
        <v>101</v>
      </c>
      <c r="B114" s="4">
        <f t="shared" ca="1" si="6"/>
        <v>263.35536460676792</v>
      </c>
      <c r="C114">
        <f t="shared" ca="1" si="7"/>
        <v>1182.5</v>
      </c>
      <c r="D114">
        <f t="shared" ca="1" si="8"/>
        <v>860</v>
      </c>
      <c r="E114">
        <f t="shared" ca="1" si="9"/>
        <v>322.5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x14ac:dyDescent="0.25">
      <c r="A115">
        <v>102</v>
      </c>
      <c r="B115" s="4">
        <f t="shared" ca="1" si="6"/>
        <v>263.35536460676792</v>
      </c>
      <c r="C115">
        <f t="shared" ca="1" si="7"/>
        <v>1182.5</v>
      </c>
      <c r="D115">
        <f t="shared" ca="1" si="8"/>
        <v>860</v>
      </c>
      <c r="E115">
        <f t="shared" ca="1" si="9"/>
        <v>322.5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x14ac:dyDescent="0.25">
      <c r="A116">
        <v>103</v>
      </c>
      <c r="B116" s="4">
        <f t="shared" ca="1" si="6"/>
        <v>263.35536460676792</v>
      </c>
      <c r="C116">
        <f t="shared" ca="1" si="7"/>
        <v>1182.5</v>
      </c>
      <c r="D116">
        <f t="shared" ca="1" si="8"/>
        <v>860</v>
      </c>
      <c r="E116">
        <f t="shared" ca="1" si="9"/>
        <v>322.5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x14ac:dyDescent="0.25">
      <c r="A117">
        <v>104</v>
      </c>
      <c r="B117" s="4">
        <f t="shared" ca="1" si="6"/>
        <v>258.43256826853184</v>
      </c>
      <c r="C117">
        <f t="shared" ca="1" si="7"/>
        <v>1182.5</v>
      </c>
      <c r="D117">
        <f t="shared" ca="1" si="8"/>
        <v>860</v>
      </c>
      <c r="E117">
        <f t="shared" ca="1" si="9"/>
        <v>322.5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x14ac:dyDescent="0.25">
      <c r="A118">
        <v>105</v>
      </c>
      <c r="B118" s="4">
        <f t="shared" ca="1" si="6"/>
        <v>217.18668662249479</v>
      </c>
      <c r="C118">
        <f t="shared" ca="1" si="7"/>
        <v>1182.5</v>
      </c>
      <c r="D118">
        <f t="shared" ca="1" si="8"/>
        <v>860</v>
      </c>
      <c r="E118">
        <f t="shared" ca="1" si="9"/>
        <v>322.5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x14ac:dyDescent="0.25">
      <c r="A119">
        <v>106</v>
      </c>
      <c r="B119" s="4">
        <f t="shared" ca="1" si="6"/>
        <v>263.35536460676792</v>
      </c>
      <c r="C119">
        <f t="shared" ca="1" si="7"/>
        <v>1182.5</v>
      </c>
      <c r="D119">
        <f t="shared" ca="1" si="8"/>
        <v>860</v>
      </c>
      <c r="E119">
        <f t="shared" ca="1" si="9"/>
        <v>322.5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x14ac:dyDescent="0.25">
      <c r="A120">
        <v>107</v>
      </c>
      <c r="B120" s="4">
        <f t="shared" ca="1" si="6"/>
        <v>228.35119816119044</v>
      </c>
      <c r="C120">
        <f t="shared" ca="1" si="7"/>
        <v>1182.5</v>
      </c>
      <c r="D120">
        <f t="shared" ca="1" si="8"/>
        <v>860</v>
      </c>
      <c r="E120">
        <f t="shared" ca="1" si="9"/>
        <v>322.5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x14ac:dyDescent="0.25">
      <c r="A121">
        <v>108</v>
      </c>
      <c r="B121" s="4">
        <f t="shared" ca="1" si="6"/>
        <v>258.43256826853184</v>
      </c>
      <c r="C121">
        <f t="shared" ca="1" si="7"/>
        <v>1182.5</v>
      </c>
      <c r="D121">
        <f t="shared" ca="1" si="8"/>
        <v>860</v>
      </c>
      <c r="E121">
        <f t="shared" ca="1" si="9"/>
        <v>322.5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x14ac:dyDescent="0.25">
      <c r="A122">
        <v>109</v>
      </c>
      <c r="B122" s="4">
        <f t="shared" ca="1" si="6"/>
        <v>263.35536460676792</v>
      </c>
      <c r="C122">
        <f t="shared" ca="1" si="7"/>
        <v>1182.5</v>
      </c>
      <c r="D122">
        <f t="shared" ca="1" si="8"/>
        <v>860</v>
      </c>
      <c r="E122">
        <f t="shared" ca="1" si="9"/>
        <v>322.5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x14ac:dyDescent="0.25">
      <c r="A123">
        <v>110</v>
      </c>
      <c r="B123" s="4">
        <f t="shared" ca="1" si="6"/>
        <v>263.35536460676792</v>
      </c>
      <c r="C123">
        <f t="shared" ca="1" si="7"/>
        <v>1182.5</v>
      </c>
      <c r="D123">
        <f t="shared" ca="1" si="8"/>
        <v>860</v>
      </c>
      <c r="E123">
        <f t="shared" ca="1" si="9"/>
        <v>322.5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x14ac:dyDescent="0.25">
      <c r="A124">
        <v>111</v>
      </c>
      <c r="B124" s="4">
        <f t="shared" ca="1" si="6"/>
        <v>217.18668662249479</v>
      </c>
      <c r="C124">
        <f t="shared" ca="1" si="7"/>
        <v>1182.5</v>
      </c>
      <c r="D124">
        <f t="shared" ca="1" si="8"/>
        <v>860</v>
      </c>
      <c r="E124">
        <f t="shared" ca="1" si="9"/>
        <v>322.5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x14ac:dyDescent="0.25">
      <c r="A125">
        <v>112</v>
      </c>
      <c r="B125" s="4">
        <f t="shared" ca="1" si="6"/>
        <v>258.43256826853184</v>
      </c>
      <c r="C125">
        <f t="shared" ca="1" si="7"/>
        <v>1182.5</v>
      </c>
      <c r="D125">
        <f t="shared" ca="1" si="8"/>
        <v>860</v>
      </c>
      <c r="E125">
        <f t="shared" ca="1" si="9"/>
        <v>322.5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x14ac:dyDescent="0.25">
      <c r="A126">
        <v>113</v>
      </c>
      <c r="B126" s="4">
        <f t="shared" ca="1" si="6"/>
        <v>293.76646764418979</v>
      </c>
      <c r="C126">
        <f t="shared" ca="1" si="7"/>
        <v>1182.5</v>
      </c>
      <c r="D126">
        <f t="shared" ca="1" si="8"/>
        <v>860</v>
      </c>
      <c r="E126">
        <f t="shared" ca="1" si="9"/>
        <v>322.5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x14ac:dyDescent="0.25">
      <c r="A127">
        <v>114</v>
      </c>
      <c r="B127" s="4">
        <f t="shared" ca="1" si="6"/>
        <v>217.18668662249479</v>
      </c>
      <c r="C127">
        <f t="shared" ca="1" si="7"/>
        <v>1182.5</v>
      </c>
      <c r="D127">
        <f t="shared" ca="1" si="8"/>
        <v>860</v>
      </c>
      <c r="E127">
        <f t="shared" ca="1" si="9"/>
        <v>322.5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x14ac:dyDescent="0.25">
      <c r="A128">
        <v>115</v>
      </c>
      <c r="B128" s="4">
        <f t="shared" ca="1" si="6"/>
        <v>263.35536460676792</v>
      </c>
      <c r="C128">
        <f t="shared" ca="1" si="7"/>
        <v>1182.5</v>
      </c>
      <c r="D128">
        <f t="shared" ca="1" si="8"/>
        <v>860</v>
      </c>
      <c r="E128">
        <f t="shared" ca="1" si="9"/>
        <v>322.5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x14ac:dyDescent="0.25">
      <c r="A129">
        <v>116</v>
      </c>
      <c r="B129" s="4">
        <f t="shared" ca="1" si="6"/>
        <v>263.35536460676792</v>
      </c>
      <c r="C129">
        <f t="shared" ca="1" si="7"/>
        <v>1182.5</v>
      </c>
      <c r="D129">
        <f t="shared" ca="1" si="8"/>
        <v>860</v>
      </c>
      <c r="E129">
        <f t="shared" ca="1" si="9"/>
        <v>322.5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x14ac:dyDescent="0.25">
      <c r="A130">
        <v>117</v>
      </c>
      <c r="B130" s="4">
        <f t="shared" ca="1" si="6"/>
        <v>263.35536460676792</v>
      </c>
      <c r="C130">
        <f t="shared" ca="1" si="7"/>
        <v>1182.5</v>
      </c>
      <c r="D130">
        <f t="shared" ca="1" si="8"/>
        <v>860</v>
      </c>
      <c r="E130">
        <f t="shared" ca="1" si="9"/>
        <v>322.5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x14ac:dyDescent="0.25">
      <c r="A131">
        <v>118</v>
      </c>
      <c r="B131" s="4">
        <f t="shared" ca="1" si="6"/>
        <v>258.43256826853184</v>
      </c>
      <c r="C131">
        <f t="shared" ca="1" si="7"/>
        <v>1182.5</v>
      </c>
      <c r="D131">
        <f t="shared" ca="1" si="8"/>
        <v>860</v>
      </c>
      <c r="E131">
        <f t="shared" ca="1" si="9"/>
        <v>322.5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x14ac:dyDescent="0.25">
      <c r="A132">
        <v>119</v>
      </c>
      <c r="B132" s="4">
        <f t="shared" ca="1" si="6"/>
        <v>263.35536460676792</v>
      </c>
      <c r="C132">
        <f t="shared" ca="1" si="7"/>
        <v>1182.5</v>
      </c>
      <c r="D132">
        <f t="shared" ca="1" si="8"/>
        <v>860</v>
      </c>
      <c r="E132">
        <f t="shared" ca="1" si="9"/>
        <v>322.5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x14ac:dyDescent="0.25">
      <c r="A133">
        <v>120</v>
      </c>
      <c r="B133" s="4">
        <f t="shared" ca="1" si="6"/>
        <v>263.35536460676792</v>
      </c>
      <c r="C133">
        <f t="shared" ca="1" si="7"/>
        <v>1182.5</v>
      </c>
      <c r="D133">
        <f t="shared" ca="1" si="8"/>
        <v>860</v>
      </c>
      <c r="E133">
        <f t="shared" ca="1" si="9"/>
        <v>322.5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x14ac:dyDescent="0.25">
      <c r="A134">
        <v>121</v>
      </c>
      <c r="B134" s="4">
        <f t="shared" ca="1" si="6"/>
        <v>263.35536460676792</v>
      </c>
      <c r="C134">
        <f t="shared" ca="1" si="7"/>
        <v>1182.5</v>
      </c>
      <c r="D134">
        <f t="shared" ca="1" si="8"/>
        <v>860</v>
      </c>
      <c r="E134">
        <f t="shared" ca="1" si="9"/>
        <v>322.5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x14ac:dyDescent="0.25">
      <c r="A135">
        <v>122</v>
      </c>
      <c r="B135" s="4">
        <f t="shared" ca="1" si="6"/>
        <v>258.43256826853184</v>
      </c>
      <c r="C135">
        <f t="shared" ca="1" si="7"/>
        <v>1182.5</v>
      </c>
      <c r="D135">
        <f t="shared" ca="1" si="8"/>
        <v>860</v>
      </c>
      <c r="E135">
        <f t="shared" ca="1" si="9"/>
        <v>322.5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x14ac:dyDescent="0.25">
      <c r="A136">
        <v>123</v>
      </c>
      <c r="B136" s="4">
        <f t="shared" ca="1" si="6"/>
        <v>228.35119816119044</v>
      </c>
      <c r="C136">
        <f t="shared" ca="1" si="7"/>
        <v>1182.5</v>
      </c>
      <c r="D136">
        <f t="shared" ca="1" si="8"/>
        <v>860</v>
      </c>
      <c r="E136">
        <f t="shared" ca="1" si="9"/>
        <v>322.5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x14ac:dyDescent="0.25">
      <c r="A137">
        <v>124</v>
      </c>
      <c r="B137" s="4">
        <f t="shared" ca="1" si="6"/>
        <v>258.43256826853184</v>
      </c>
      <c r="C137">
        <f t="shared" ca="1" si="7"/>
        <v>1182.5</v>
      </c>
      <c r="D137">
        <f t="shared" ca="1" si="8"/>
        <v>860</v>
      </c>
      <c r="E137">
        <f t="shared" ca="1" si="9"/>
        <v>322.5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>
        <v>125</v>
      </c>
      <c r="B138" s="4">
        <f t="shared" ca="1" si="6"/>
        <v>293.76646764418979</v>
      </c>
      <c r="C138">
        <f t="shared" ca="1" si="7"/>
        <v>1182.5</v>
      </c>
      <c r="D138">
        <f t="shared" ca="1" si="8"/>
        <v>860</v>
      </c>
      <c r="E138">
        <f t="shared" ca="1" si="9"/>
        <v>322.5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x14ac:dyDescent="0.25">
      <c r="A139">
        <v>126</v>
      </c>
      <c r="B139" s="4">
        <f t="shared" ca="1" si="6"/>
        <v>228.35119816119044</v>
      </c>
      <c r="C139">
        <f t="shared" ca="1" si="7"/>
        <v>1182.5</v>
      </c>
      <c r="D139">
        <f t="shared" ca="1" si="8"/>
        <v>860</v>
      </c>
      <c r="E139">
        <f t="shared" ca="1" si="9"/>
        <v>322.5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x14ac:dyDescent="0.25">
      <c r="A140">
        <v>127</v>
      </c>
      <c r="B140" s="4">
        <f t="shared" ca="1" si="6"/>
        <v>228.35119816119044</v>
      </c>
      <c r="C140">
        <f t="shared" ca="1" si="7"/>
        <v>1182.5</v>
      </c>
      <c r="D140">
        <f t="shared" ca="1" si="8"/>
        <v>860</v>
      </c>
      <c r="E140">
        <f t="shared" ca="1" si="9"/>
        <v>322.5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x14ac:dyDescent="0.25">
      <c r="A141">
        <v>128</v>
      </c>
      <c r="B141" s="4">
        <f t="shared" ca="1" si="6"/>
        <v>263.35536460676792</v>
      </c>
      <c r="C141">
        <f t="shared" ca="1" si="7"/>
        <v>1182.5</v>
      </c>
      <c r="D141">
        <f t="shared" ca="1" si="8"/>
        <v>860</v>
      </c>
      <c r="E141">
        <f t="shared" ca="1" si="9"/>
        <v>322.5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>
        <v>129</v>
      </c>
      <c r="B142" s="4">
        <f t="shared" ca="1" si="6"/>
        <v>293.76646764418979</v>
      </c>
      <c r="C142">
        <f t="shared" ca="1" si="7"/>
        <v>1182.5</v>
      </c>
      <c r="D142">
        <f t="shared" ca="1" si="8"/>
        <v>860</v>
      </c>
      <c r="E142">
        <f t="shared" ca="1" si="9"/>
        <v>322.5</v>
      </c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x14ac:dyDescent="0.25">
      <c r="A143">
        <v>130</v>
      </c>
      <c r="B143" s="4">
        <f t="shared" ref="B143:B206" ca="1" si="10">HLOOKUP(RAND(),K$5:O$6,2,TRUE)</f>
        <v>217.18668662249479</v>
      </c>
      <c r="C143">
        <f t="shared" ref="C143:C206" ca="1" si="11">IF(C$11&gt;B143,B143*F$7+(C$11-B143)*F$8+(C$11-B143)*F$9,C$11*F$7)</f>
        <v>1182.5</v>
      </c>
      <c r="D143">
        <f t="shared" ref="D143:D206" ca="1" si="12">IF(C$11&gt;B143,B143*F$5+(C$11-B143)*F$6,C$11*F$5)</f>
        <v>860</v>
      </c>
      <c r="E143">
        <f t="shared" ref="E143:E206" ca="1" si="13">C143-D143</f>
        <v>322.5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x14ac:dyDescent="0.25">
      <c r="A144">
        <v>131</v>
      </c>
      <c r="B144" s="4">
        <f t="shared" ca="1" si="10"/>
        <v>263.35536460676792</v>
      </c>
      <c r="C144">
        <f t="shared" ca="1" si="11"/>
        <v>1182.5</v>
      </c>
      <c r="D144">
        <f t="shared" ca="1" si="12"/>
        <v>860</v>
      </c>
      <c r="E144">
        <f t="shared" ca="1" si="13"/>
        <v>322.5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x14ac:dyDescent="0.25">
      <c r="A145">
        <v>132</v>
      </c>
      <c r="B145" s="4">
        <f t="shared" ca="1" si="10"/>
        <v>228.35119816119044</v>
      </c>
      <c r="C145">
        <f t="shared" ca="1" si="11"/>
        <v>1182.5</v>
      </c>
      <c r="D145">
        <f t="shared" ca="1" si="12"/>
        <v>860</v>
      </c>
      <c r="E145">
        <f t="shared" ca="1" si="13"/>
        <v>322.5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x14ac:dyDescent="0.25">
      <c r="A146">
        <v>133</v>
      </c>
      <c r="B146" s="4">
        <f t="shared" ca="1" si="10"/>
        <v>263.35536460676792</v>
      </c>
      <c r="C146">
        <f t="shared" ca="1" si="11"/>
        <v>1182.5</v>
      </c>
      <c r="D146">
        <f t="shared" ca="1" si="12"/>
        <v>860</v>
      </c>
      <c r="E146">
        <f t="shared" ca="1" si="13"/>
        <v>322.5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x14ac:dyDescent="0.25">
      <c r="A147">
        <v>134</v>
      </c>
      <c r="B147" s="4">
        <f t="shared" ca="1" si="10"/>
        <v>263.35536460676792</v>
      </c>
      <c r="C147">
        <f t="shared" ca="1" si="11"/>
        <v>1182.5</v>
      </c>
      <c r="D147">
        <f t="shared" ca="1" si="12"/>
        <v>860</v>
      </c>
      <c r="E147">
        <f t="shared" ca="1" si="13"/>
        <v>322.5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x14ac:dyDescent="0.25">
      <c r="A148">
        <v>135</v>
      </c>
      <c r="B148" s="4">
        <f t="shared" ca="1" si="10"/>
        <v>217.18668662249479</v>
      </c>
      <c r="C148">
        <f t="shared" ca="1" si="11"/>
        <v>1182.5</v>
      </c>
      <c r="D148">
        <f t="shared" ca="1" si="12"/>
        <v>860</v>
      </c>
      <c r="E148">
        <f t="shared" ca="1" si="13"/>
        <v>322.5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x14ac:dyDescent="0.25">
      <c r="A149">
        <v>136</v>
      </c>
      <c r="B149" s="4">
        <f t="shared" ca="1" si="10"/>
        <v>228.35119816119044</v>
      </c>
      <c r="C149">
        <f t="shared" ca="1" si="11"/>
        <v>1182.5</v>
      </c>
      <c r="D149">
        <f t="shared" ca="1" si="12"/>
        <v>860</v>
      </c>
      <c r="E149">
        <f t="shared" ca="1" si="13"/>
        <v>322.5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x14ac:dyDescent="0.25">
      <c r="A150">
        <v>137</v>
      </c>
      <c r="B150" s="4">
        <f t="shared" ca="1" si="10"/>
        <v>258.43256826853184</v>
      </c>
      <c r="C150">
        <f t="shared" ca="1" si="11"/>
        <v>1182.5</v>
      </c>
      <c r="D150">
        <f t="shared" ca="1" si="12"/>
        <v>860</v>
      </c>
      <c r="E150">
        <f t="shared" ca="1" si="13"/>
        <v>322.5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x14ac:dyDescent="0.25">
      <c r="A151">
        <v>138</v>
      </c>
      <c r="B151" s="4">
        <f t="shared" ca="1" si="10"/>
        <v>228.35119816119044</v>
      </c>
      <c r="C151">
        <f t="shared" ca="1" si="11"/>
        <v>1182.5</v>
      </c>
      <c r="D151">
        <f t="shared" ca="1" si="12"/>
        <v>860</v>
      </c>
      <c r="E151">
        <f t="shared" ca="1" si="13"/>
        <v>322.5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x14ac:dyDescent="0.25">
      <c r="A152">
        <v>139</v>
      </c>
      <c r="B152" s="4">
        <f t="shared" ca="1" si="10"/>
        <v>258.43256826853184</v>
      </c>
      <c r="C152">
        <f t="shared" ca="1" si="11"/>
        <v>1182.5</v>
      </c>
      <c r="D152">
        <f t="shared" ca="1" si="12"/>
        <v>860</v>
      </c>
      <c r="E152">
        <f t="shared" ca="1" si="13"/>
        <v>322.5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x14ac:dyDescent="0.25">
      <c r="A153">
        <v>140</v>
      </c>
      <c r="B153" s="4">
        <f t="shared" ca="1" si="10"/>
        <v>258.43256826853184</v>
      </c>
      <c r="C153">
        <f t="shared" ca="1" si="11"/>
        <v>1182.5</v>
      </c>
      <c r="D153">
        <f t="shared" ca="1" si="12"/>
        <v>860</v>
      </c>
      <c r="E153">
        <f t="shared" ca="1" si="13"/>
        <v>322.5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x14ac:dyDescent="0.25">
      <c r="A154">
        <v>141</v>
      </c>
      <c r="B154" s="4">
        <f t="shared" ca="1" si="10"/>
        <v>228.35119816119044</v>
      </c>
      <c r="C154">
        <f t="shared" ca="1" si="11"/>
        <v>1182.5</v>
      </c>
      <c r="D154">
        <f t="shared" ca="1" si="12"/>
        <v>860</v>
      </c>
      <c r="E154">
        <f t="shared" ca="1" si="13"/>
        <v>322.5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x14ac:dyDescent="0.25">
      <c r="A155">
        <v>142</v>
      </c>
      <c r="B155" s="4">
        <f t="shared" ca="1" si="10"/>
        <v>258.43256826853184</v>
      </c>
      <c r="C155">
        <f t="shared" ca="1" si="11"/>
        <v>1182.5</v>
      </c>
      <c r="D155">
        <f t="shared" ca="1" si="12"/>
        <v>860</v>
      </c>
      <c r="E155">
        <f t="shared" ca="1" si="13"/>
        <v>322.5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x14ac:dyDescent="0.25">
      <c r="A156">
        <v>143</v>
      </c>
      <c r="B156" s="4">
        <f t="shared" ca="1" si="10"/>
        <v>263.35536460676792</v>
      </c>
      <c r="C156">
        <f t="shared" ca="1" si="11"/>
        <v>1182.5</v>
      </c>
      <c r="D156">
        <f t="shared" ca="1" si="12"/>
        <v>860</v>
      </c>
      <c r="E156">
        <f t="shared" ca="1" si="13"/>
        <v>322.5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x14ac:dyDescent="0.25">
      <c r="A157">
        <v>144</v>
      </c>
      <c r="B157" s="4">
        <f t="shared" ca="1" si="10"/>
        <v>258.43256826853184</v>
      </c>
      <c r="C157">
        <f t="shared" ca="1" si="11"/>
        <v>1182.5</v>
      </c>
      <c r="D157">
        <f t="shared" ca="1" si="12"/>
        <v>860</v>
      </c>
      <c r="E157">
        <f t="shared" ca="1" si="13"/>
        <v>322.5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x14ac:dyDescent="0.25">
      <c r="A158">
        <v>145</v>
      </c>
      <c r="B158" s="4">
        <f t="shared" ca="1" si="10"/>
        <v>263.35536460676792</v>
      </c>
      <c r="C158">
        <f t="shared" ca="1" si="11"/>
        <v>1182.5</v>
      </c>
      <c r="D158">
        <f t="shared" ca="1" si="12"/>
        <v>860</v>
      </c>
      <c r="E158">
        <f t="shared" ca="1" si="13"/>
        <v>322.5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x14ac:dyDescent="0.25">
      <c r="A159">
        <v>146</v>
      </c>
      <c r="B159" s="4">
        <f t="shared" ca="1" si="10"/>
        <v>228.35119816119044</v>
      </c>
      <c r="C159">
        <f t="shared" ca="1" si="11"/>
        <v>1182.5</v>
      </c>
      <c r="D159">
        <f t="shared" ca="1" si="12"/>
        <v>860</v>
      </c>
      <c r="E159">
        <f t="shared" ca="1" si="13"/>
        <v>322.5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x14ac:dyDescent="0.25">
      <c r="A160">
        <v>147</v>
      </c>
      <c r="B160" s="4">
        <f t="shared" ca="1" si="10"/>
        <v>263.35536460676792</v>
      </c>
      <c r="C160">
        <f t="shared" ca="1" si="11"/>
        <v>1182.5</v>
      </c>
      <c r="D160">
        <f t="shared" ca="1" si="12"/>
        <v>860</v>
      </c>
      <c r="E160">
        <f t="shared" ca="1" si="13"/>
        <v>322.5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x14ac:dyDescent="0.25">
      <c r="A161">
        <v>148</v>
      </c>
      <c r="B161" s="4">
        <f t="shared" ca="1" si="10"/>
        <v>228.35119816119044</v>
      </c>
      <c r="C161">
        <f t="shared" ca="1" si="11"/>
        <v>1182.5</v>
      </c>
      <c r="D161">
        <f t="shared" ca="1" si="12"/>
        <v>860</v>
      </c>
      <c r="E161">
        <f t="shared" ca="1" si="13"/>
        <v>322.5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x14ac:dyDescent="0.25">
      <c r="A162">
        <v>149</v>
      </c>
      <c r="B162" s="4">
        <f t="shared" ca="1" si="10"/>
        <v>258.43256826853184</v>
      </c>
      <c r="C162">
        <f t="shared" ca="1" si="11"/>
        <v>1182.5</v>
      </c>
      <c r="D162">
        <f t="shared" ca="1" si="12"/>
        <v>860</v>
      </c>
      <c r="E162">
        <f t="shared" ca="1" si="13"/>
        <v>322.5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x14ac:dyDescent="0.25">
      <c r="A163">
        <v>150</v>
      </c>
      <c r="B163" s="4">
        <f t="shared" ca="1" si="10"/>
        <v>263.35536460676792</v>
      </c>
      <c r="C163">
        <f t="shared" ca="1" si="11"/>
        <v>1182.5</v>
      </c>
      <c r="D163">
        <f t="shared" ca="1" si="12"/>
        <v>860</v>
      </c>
      <c r="E163">
        <f t="shared" ca="1" si="13"/>
        <v>322.5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x14ac:dyDescent="0.25">
      <c r="A164">
        <v>151</v>
      </c>
      <c r="B164" s="4">
        <f t="shared" ca="1" si="10"/>
        <v>217.18668662249479</v>
      </c>
      <c r="C164">
        <f t="shared" ca="1" si="11"/>
        <v>1182.5</v>
      </c>
      <c r="D164">
        <f t="shared" ca="1" si="12"/>
        <v>860</v>
      </c>
      <c r="E164">
        <f t="shared" ca="1" si="13"/>
        <v>322.5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x14ac:dyDescent="0.25">
      <c r="A165">
        <v>152</v>
      </c>
      <c r="B165" s="4">
        <f t="shared" ca="1" si="10"/>
        <v>217.18668662249479</v>
      </c>
      <c r="C165">
        <f t="shared" ca="1" si="11"/>
        <v>1182.5</v>
      </c>
      <c r="D165">
        <f t="shared" ca="1" si="12"/>
        <v>860</v>
      </c>
      <c r="E165">
        <f t="shared" ca="1" si="13"/>
        <v>322.5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x14ac:dyDescent="0.25">
      <c r="A166">
        <v>153</v>
      </c>
      <c r="B166" s="4">
        <f t="shared" ca="1" si="10"/>
        <v>258.43256826853184</v>
      </c>
      <c r="C166">
        <f t="shared" ca="1" si="11"/>
        <v>1182.5</v>
      </c>
      <c r="D166">
        <f t="shared" ca="1" si="12"/>
        <v>860</v>
      </c>
      <c r="E166">
        <f t="shared" ca="1" si="13"/>
        <v>322.5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x14ac:dyDescent="0.25">
      <c r="A167">
        <v>154</v>
      </c>
      <c r="B167" s="4">
        <f t="shared" ca="1" si="10"/>
        <v>263.35536460676792</v>
      </c>
      <c r="C167">
        <f t="shared" ca="1" si="11"/>
        <v>1182.5</v>
      </c>
      <c r="D167">
        <f t="shared" ca="1" si="12"/>
        <v>860</v>
      </c>
      <c r="E167">
        <f t="shared" ca="1" si="13"/>
        <v>322.5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x14ac:dyDescent="0.25">
      <c r="A168">
        <v>155</v>
      </c>
      <c r="B168" s="4">
        <f t="shared" ca="1" si="10"/>
        <v>293.76646764418979</v>
      </c>
      <c r="C168">
        <f t="shared" ca="1" si="11"/>
        <v>1182.5</v>
      </c>
      <c r="D168">
        <f t="shared" ca="1" si="12"/>
        <v>860</v>
      </c>
      <c r="E168">
        <f t="shared" ca="1" si="13"/>
        <v>322.5</v>
      </c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x14ac:dyDescent="0.25">
      <c r="A169">
        <v>156</v>
      </c>
      <c r="B169" s="4">
        <f t="shared" ca="1" si="10"/>
        <v>258.43256826853184</v>
      </c>
      <c r="C169">
        <f t="shared" ca="1" si="11"/>
        <v>1182.5</v>
      </c>
      <c r="D169">
        <f t="shared" ca="1" si="12"/>
        <v>860</v>
      </c>
      <c r="E169">
        <f t="shared" ca="1" si="13"/>
        <v>322.5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x14ac:dyDescent="0.25">
      <c r="A170">
        <v>157</v>
      </c>
      <c r="B170" s="4">
        <f t="shared" ca="1" si="10"/>
        <v>258.43256826853184</v>
      </c>
      <c r="C170">
        <f t="shared" ca="1" si="11"/>
        <v>1182.5</v>
      </c>
      <c r="D170">
        <f t="shared" ca="1" si="12"/>
        <v>860</v>
      </c>
      <c r="E170">
        <f t="shared" ca="1" si="13"/>
        <v>322.5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x14ac:dyDescent="0.25">
      <c r="A171">
        <v>158</v>
      </c>
      <c r="B171" s="4">
        <f t="shared" ca="1" si="10"/>
        <v>263.35536460676792</v>
      </c>
      <c r="C171">
        <f t="shared" ca="1" si="11"/>
        <v>1182.5</v>
      </c>
      <c r="D171">
        <f t="shared" ca="1" si="12"/>
        <v>860</v>
      </c>
      <c r="E171">
        <f t="shared" ca="1" si="13"/>
        <v>322.5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x14ac:dyDescent="0.25">
      <c r="A172">
        <v>159</v>
      </c>
      <c r="B172" s="4">
        <f t="shared" ca="1" si="10"/>
        <v>217.18668662249479</v>
      </c>
      <c r="C172">
        <f t="shared" ca="1" si="11"/>
        <v>1182.5</v>
      </c>
      <c r="D172">
        <f t="shared" ca="1" si="12"/>
        <v>860</v>
      </c>
      <c r="E172">
        <f t="shared" ca="1" si="13"/>
        <v>322.5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x14ac:dyDescent="0.25">
      <c r="A173">
        <v>160</v>
      </c>
      <c r="B173" s="4">
        <f t="shared" ca="1" si="10"/>
        <v>293.76646764418979</v>
      </c>
      <c r="C173">
        <f t="shared" ca="1" si="11"/>
        <v>1182.5</v>
      </c>
      <c r="D173">
        <f t="shared" ca="1" si="12"/>
        <v>860</v>
      </c>
      <c r="E173">
        <f t="shared" ca="1" si="13"/>
        <v>322.5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x14ac:dyDescent="0.25">
      <c r="A174">
        <v>161</v>
      </c>
      <c r="B174" s="4">
        <f t="shared" ca="1" si="10"/>
        <v>263.35536460676792</v>
      </c>
      <c r="C174">
        <f t="shared" ca="1" si="11"/>
        <v>1182.5</v>
      </c>
      <c r="D174">
        <f t="shared" ca="1" si="12"/>
        <v>860</v>
      </c>
      <c r="E174">
        <f t="shared" ca="1" si="13"/>
        <v>322.5</v>
      </c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x14ac:dyDescent="0.25">
      <c r="A175">
        <v>162</v>
      </c>
      <c r="B175" s="4">
        <f t="shared" ca="1" si="10"/>
        <v>228.35119816119044</v>
      </c>
      <c r="C175">
        <f t="shared" ca="1" si="11"/>
        <v>1182.5</v>
      </c>
      <c r="D175">
        <f t="shared" ca="1" si="12"/>
        <v>860</v>
      </c>
      <c r="E175">
        <f t="shared" ca="1" si="13"/>
        <v>322.5</v>
      </c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x14ac:dyDescent="0.25">
      <c r="A176">
        <v>163</v>
      </c>
      <c r="B176" s="4">
        <f t="shared" ca="1" si="10"/>
        <v>228.35119816119044</v>
      </c>
      <c r="C176">
        <f t="shared" ca="1" si="11"/>
        <v>1182.5</v>
      </c>
      <c r="D176">
        <f t="shared" ca="1" si="12"/>
        <v>860</v>
      </c>
      <c r="E176">
        <f t="shared" ca="1" si="13"/>
        <v>322.5</v>
      </c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x14ac:dyDescent="0.25">
      <c r="A177">
        <v>164</v>
      </c>
      <c r="B177" s="4">
        <f t="shared" ca="1" si="10"/>
        <v>258.43256826853184</v>
      </c>
      <c r="C177">
        <f t="shared" ca="1" si="11"/>
        <v>1182.5</v>
      </c>
      <c r="D177">
        <f t="shared" ca="1" si="12"/>
        <v>860</v>
      </c>
      <c r="E177">
        <f t="shared" ca="1" si="13"/>
        <v>322.5</v>
      </c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x14ac:dyDescent="0.25">
      <c r="A178">
        <v>165</v>
      </c>
      <c r="B178" s="4">
        <f t="shared" ca="1" si="10"/>
        <v>217.18668662249479</v>
      </c>
      <c r="C178">
        <f t="shared" ca="1" si="11"/>
        <v>1182.5</v>
      </c>
      <c r="D178">
        <f t="shared" ca="1" si="12"/>
        <v>860</v>
      </c>
      <c r="E178">
        <f t="shared" ca="1" si="13"/>
        <v>322.5</v>
      </c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x14ac:dyDescent="0.25">
      <c r="A179">
        <v>166</v>
      </c>
      <c r="B179" s="4">
        <f t="shared" ca="1" si="10"/>
        <v>217.18668662249479</v>
      </c>
      <c r="C179">
        <f t="shared" ca="1" si="11"/>
        <v>1182.5</v>
      </c>
      <c r="D179">
        <f t="shared" ca="1" si="12"/>
        <v>860</v>
      </c>
      <c r="E179">
        <f t="shared" ca="1" si="13"/>
        <v>322.5</v>
      </c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x14ac:dyDescent="0.25">
      <c r="A180">
        <v>167</v>
      </c>
      <c r="B180" s="4">
        <f t="shared" ca="1" si="10"/>
        <v>258.43256826853184</v>
      </c>
      <c r="C180">
        <f t="shared" ca="1" si="11"/>
        <v>1182.5</v>
      </c>
      <c r="D180">
        <f t="shared" ca="1" si="12"/>
        <v>860</v>
      </c>
      <c r="E180">
        <f t="shared" ca="1" si="13"/>
        <v>322.5</v>
      </c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x14ac:dyDescent="0.25">
      <c r="A181">
        <v>168</v>
      </c>
      <c r="B181" s="4">
        <f t="shared" ca="1" si="10"/>
        <v>217.18668662249479</v>
      </c>
      <c r="C181">
        <f t="shared" ca="1" si="11"/>
        <v>1182.5</v>
      </c>
      <c r="D181">
        <f t="shared" ca="1" si="12"/>
        <v>860</v>
      </c>
      <c r="E181">
        <f t="shared" ca="1" si="13"/>
        <v>322.5</v>
      </c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x14ac:dyDescent="0.25">
      <c r="A182">
        <v>169</v>
      </c>
      <c r="B182" s="4">
        <f t="shared" ca="1" si="10"/>
        <v>228.35119816119044</v>
      </c>
      <c r="C182">
        <f t="shared" ca="1" si="11"/>
        <v>1182.5</v>
      </c>
      <c r="D182">
        <f t="shared" ca="1" si="12"/>
        <v>860</v>
      </c>
      <c r="E182">
        <f t="shared" ca="1" si="13"/>
        <v>322.5</v>
      </c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x14ac:dyDescent="0.25">
      <c r="A183">
        <v>170</v>
      </c>
      <c r="B183" s="4">
        <f t="shared" ca="1" si="10"/>
        <v>293.76646764418979</v>
      </c>
      <c r="C183">
        <f t="shared" ca="1" si="11"/>
        <v>1182.5</v>
      </c>
      <c r="D183">
        <f t="shared" ca="1" si="12"/>
        <v>860</v>
      </c>
      <c r="E183">
        <f t="shared" ca="1" si="13"/>
        <v>322.5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x14ac:dyDescent="0.25">
      <c r="A184">
        <v>171</v>
      </c>
      <c r="B184" s="4">
        <f t="shared" ca="1" si="10"/>
        <v>263.35536460676792</v>
      </c>
      <c r="C184">
        <f t="shared" ca="1" si="11"/>
        <v>1182.5</v>
      </c>
      <c r="D184">
        <f t="shared" ca="1" si="12"/>
        <v>860</v>
      </c>
      <c r="E184">
        <f t="shared" ca="1" si="13"/>
        <v>322.5</v>
      </c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x14ac:dyDescent="0.25">
      <c r="A185">
        <v>172</v>
      </c>
      <c r="B185" s="4">
        <f t="shared" ca="1" si="10"/>
        <v>228.35119816119044</v>
      </c>
      <c r="C185">
        <f t="shared" ca="1" si="11"/>
        <v>1182.5</v>
      </c>
      <c r="D185">
        <f t="shared" ca="1" si="12"/>
        <v>860</v>
      </c>
      <c r="E185">
        <f t="shared" ca="1" si="13"/>
        <v>322.5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x14ac:dyDescent="0.25">
      <c r="A186">
        <v>173</v>
      </c>
      <c r="B186" s="4">
        <f t="shared" ca="1" si="10"/>
        <v>263.35536460676792</v>
      </c>
      <c r="C186">
        <f t="shared" ca="1" si="11"/>
        <v>1182.5</v>
      </c>
      <c r="D186">
        <f t="shared" ca="1" si="12"/>
        <v>860</v>
      </c>
      <c r="E186">
        <f t="shared" ca="1" si="13"/>
        <v>322.5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x14ac:dyDescent="0.25">
      <c r="A187">
        <v>174</v>
      </c>
      <c r="B187" s="4">
        <f t="shared" ca="1" si="10"/>
        <v>258.43256826853184</v>
      </c>
      <c r="C187">
        <f t="shared" ca="1" si="11"/>
        <v>1182.5</v>
      </c>
      <c r="D187">
        <f t="shared" ca="1" si="12"/>
        <v>860</v>
      </c>
      <c r="E187">
        <f t="shared" ca="1" si="13"/>
        <v>322.5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x14ac:dyDescent="0.25">
      <c r="A188">
        <v>175</v>
      </c>
      <c r="B188" s="4">
        <f t="shared" ca="1" si="10"/>
        <v>263.35536460676792</v>
      </c>
      <c r="C188">
        <f t="shared" ca="1" si="11"/>
        <v>1182.5</v>
      </c>
      <c r="D188">
        <f t="shared" ca="1" si="12"/>
        <v>860</v>
      </c>
      <c r="E188">
        <f t="shared" ca="1" si="13"/>
        <v>322.5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x14ac:dyDescent="0.25">
      <c r="A189">
        <v>176</v>
      </c>
      <c r="B189" s="4">
        <f t="shared" ca="1" si="10"/>
        <v>228.35119816119044</v>
      </c>
      <c r="C189">
        <f t="shared" ca="1" si="11"/>
        <v>1182.5</v>
      </c>
      <c r="D189">
        <f t="shared" ca="1" si="12"/>
        <v>860</v>
      </c>
      <c r="E189">
        <f t="shared" ca="1" si="13"/>
        <v>322.5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x14ac:dyDescent="0.25">
      <c r="A190">
        <v>177</v>
      </c>
      <c r="B190" s="4">
        <f t="shared" ca="1" si="10"/>
        <v>228.35119816119044</v>
      </c>
      <c r="C190">
        <f t="shared" ca="1" si="11"/>
        <v>1182.5</v>
      </c>
      <c r="D190">
        <f t="shared" ca="1" si="12"/>
        <v>860</v>
      </c>
      <c r="E190">
        <f t="shared" ca="1" si="13"/>
        <v>322.5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x14ac:dyDescent="0.25">
      <c r="A191">
        <v>178</v>
      </c>
      <c r="B191" s="4">
        <f t="shared" ca="1" si="10"/>
        <v>217.18668662249479</v>
      </c>
      <c r="C191">
        <f t="shared" ca="1" si="11"/>
        <v>1182.5</v>
      </c>
      <c r="D191">
        <f t="shared" ca="1" si="12"/>
        <v>860</v>
      </c>
      <c r="E191">
        <f t="shared" ca="1" si="13"/>
        <v>322.5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x14ac:dyDescent="0.25">
      <c r="A192">
        <v>179</v>
      </c>
      <c r="B192" s="4">
        <f t="shared" ca="1" si="10"/>
        <v>293.76646764418979</v>
      </c>
      <c r="C192">
        <f t="shared" ca="1" si="11"/>
        <v>1182.5</v>
      </c>
      <c r="D192">
        <f t="shared" ca="1" si="12"/>
        <v>860</v>
      </c>
      <c r="E192">
        <f t="shared" ca="1" si="13"/>
        <v>322.5</v>
      </c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x14ac:dyDescent="0.25">
      <c r="A193">
        <v>180</v>
      </c>
      <c r="B193" s="4">
        <f t="shared" ca="1" si="10"/>
        <v>293.76646764418979</v>
      </c>
      <c r="C193">
        <f t="shared" ca="1" si="11"/>
        <v>1182.5</v>
      </c>
      <c r="D193">
        <f t="shared" ca="1" si="12"/>
        <v>860</v>
      </c>
      <c r="E193">
        <f t="shared" ca="1" si="13"/>
        <v>322.5</v>
      </c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x14ac:dyDescent="0.25">
      <c r="A194">
        <v>181</v>
      </c>
      <c r="B194" s="4">
        <f t="shared" ca="1" si="10"/>
        <v>258.43256826853184</v>
      </c>
      <c r="C194">
        <f t="shared" ca="1" si="11"/>
        <v>1182.5</v>
      </c>
      <c r="D194">
        <f t="shared" ca="1" si="12"/>
        <v>860</v>
      </c>
      <c r="E194">
        <f t="shared" ca="1" si="13"/>
        <v>322.5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x14ac:dyDescent="0.25">
      <c r="A195">
        <v>182</v>
      </c>
      <c r="B195" s="4">
        <f t="shared" ca="1" si="10"/>
        <v>228.35119816119044</v>
      </c>
      <c r="C195">
        <f t="shared" ca="1" si="11"/>
        <v>1182.5</v>
      </c>
      <c r="D195">
        <f t="shared" ca="1" si="12"/>
        <v>860</v>
      </c>
      <c r="E195">
        <f t="shared" ca="1" si="13"/>
        <v>322.5</v>
      </c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x14ac:dyDescent="0.25">
      <c r="A196">
        <v>183</v>
      </c>
      <c r="B196" s="4">
        <f t="shared" ca="1" si="10"/>
        <v>258.43256826853184</v>
      </c>
      <c r="C196">
        <f t="shared" ca="1" si="11"/>
        <v>1182.5</v>
      </c>
      <c r="D196">
        <f t="shared" ca="1" si="12"/>
        <v>860</v>
      </c>
      <c r="E196">
        <f t="shared" ca="1" si="13"/>
        <v>322.5</v>
      </c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x14ac:dyDescent="0.25">
      <c r="A197">
        <v>184</v>
      </c>
      <c r="B197" s="4">
        <f t="shared" ca="1" si="10"/>
        <v>293.76646764418979</v>
      </c>
      <c r="C197">
        <f t="shared" ca="1" si="11"/>
        <v>1182.5</v>
      </c>
      <c r="D197">
        <f t="shared" ca="1" si="12"/>
        <v>860</v>
      </c>
      <c r="E197">
        <f t="shared" ca="1" si="13"/>
        <v>322.5</v>
      </c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x14ac:dyDescent="0.25">
      <c r="A198">
        <v>185</v>
      </c>
      <c r="B198" s="4">
        <f t="shared" ca="1" si="10"/>
        <v>258.43256826853184</v>
      </c>
      <c r="C198">
        <f t="shared" ca="1" si="11"/>
        <v>1182.5</v>
      </c>
      <c r="D198">
        <f t="shared" ca="1" si="12"/>
        <v>860</v>
      </c>
      <c r="E198">
        <f t="shared" ca="1" si="13"/>
        <v>322.5</v>
      </c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x14ac:dyDescent="0.25">
      <c r="A199">
        <v>186</v>
      </c>
      <c r="B199" s="4">
        <f t="shared" ca="1" si="10"/>
        <v>228.35119816119044</v>
      </c>
      <c r="C199">
        <f t="shared" ca="1" si="11"/>
        <v>1182.5</v>
      </c>
      <c r="D199">
        <f t="shared" ca="1" si="12"/>
        <v>860</v>
      </c>
      <c r="E199">
        <f t="shared" ca="1" si="13"/>
        <v>322.5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x14ac:dyDescent="0.25">
      <c r="A200">
        <v>187</v>
      </c>
      <c r="B200" s="4">
        <f t="shared" ca="1" si="10"/>
        <v>258.43256826853184</v>
      </c>
      <c r="C200">
        <f t="shared" ca="1" si="11"/>
        <v>1182.5</v>
      </c>
      <c r="D200">
        <f t="shared" ca="1" si="12"/>
        <v>860</v>
      </c>
      <c r="E200">
        <f t="shared" ca="1" si="13"/>
        <v>322.5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x14ac:dyDescent="0.25">
      <c r="A201">
        <v>188</v>
      </c>
      <c r="B201" s="4">
        <f t="shared" ca="1" si="10"/>
        <v>258.43256826853184</v>
      </c>
      <c r="C201">
        <f t="shared" ca="1" si="11"/>
        <v>1182.5</v>
      </c>
      <c r="D201">
        <f t="shared" ca="1" si="12"/>
        <v>860</v>
      </c>
      <c r="E201">
        <f t="shared" ca="1" si="13"/>
        <v>322.5</v>
      </c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x14ac:dyDescent="0.25">
      <c r="A202">
        <v>189</v>
      </c>
      <c r="B202" s="4">
        <f t="shared" ca="1" si="10"/>
        <v>258.43256826853184</v>
      </c>
      <c r="C202">
        <f t="shared" ca="1" si="11"/>
        <v>1182.5</v>
      </c>
      <c r="D202">
        <f t="shared" ca="1" si="12"/>
        <v>860</v>
      </c>
      <c r="E202">
        <f t="shared" ca="1" si="13"/>
        <v>322.5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x14ac:dyDescent="0.25">
      <c r="A203">
        <v>190</v>
      </c>
      <c r="B203" s="4">
        <f t="shared" ca="1" si="10"/>
        <v>258.43256826853184</v>
      </c>
      <c r="C203">
        <f t="shared" ca="1" si="11"/>
        <v>1182.5</v>
      </c>
      <c r="D203">
        <f t="shared" ca="1" si="12"/>
        <v>860</v>
      </c>
      <c r="E203">
        <f t="shared" ca="1" si="13"/>
        <v>322.5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x14ac:dyDescent="0.25">
      <c r="A204">
        <v>191</v>
      </c>
      <c r="B204" s="4">
        <f t="shared" ca="1" si="10"/>
        <v>228.35119816119044</v>
      </c>
      <c r="C204">
        <f t="shared" ca="1" si="11"/>
        <v>1182.5</v>
      </c>
      <c r="D204">
        <f t="shared" ca="1" si="12"/>
        <v>860</v>
      </c>
      <c r="E204">
        <f t="shared" ca="1" si="13"/>
        <v>322.5</v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x14ac:dyDescent="0.25">
      <c r="A205">
        <v>192</v>
      </c>
      <c r="B205" s="4">
        <f t="shared" ca="1" si="10"/>
        <v>258.43256826853184</v>
      </c>
      <c r="C205">
        <f t="shared" ca="1" si="11"/>
        <v>1182.5</v>
      </c>
      <c r="D205">
        <f t="shared" ca="1" si="12"/>
        <v>860</v>
      </c>
      <c r="E205">
        <f t="shared" ca="1" si="13"/>
        <v>322.5</v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x14ac:dyDescent="0.25">
      <c r="A206">
        <v>193</v>
      </c>
      <c r="B206" s="4">
        <f t="shared" ca="1" si="10"/>
        <v>228.35119816119044</v>
      </c>
      <c r="C206">
        <f t="shared" ca="1" si="11"/>
        <v>1182.5</v>
      </c>
      <c r="D206">
        <f t="shared" ca="1" si="12"/>
        <v>860</v>
      </c>
      <c r="E206">
        <f t="shared" ca="1" si="13"/>
        <v>322.5</v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x14ac:dyDescent="0.25">
      <c r="A207">
        <v>194</v>
      </c>
      <c r="B207" s="4">
        <f t="shared" ref="B207:B270" ca="1" si="14">HLOOKUP(RAND(),K$5:O$6,2,TRUE)</f>
        <v>263.35536460676792</v>
      </c>
      <c r="C207">
        <f t="shared" ref="C207:C270" ca="1" si="15">IF(C$11&gt;B207,B207*F$7+(C$11-B207)*F$8+(C$11-B207)*F$9,C$11*F$7)</f>
        <v>1182.5</v>
      </c>
      <c r="D207">
        <f t="shared" ref="D207:D270" ca="1" si="16">IF(C$11&gt;B207,B207*F$5+(C$11-B207)*F$6,C$11*F$5)</f>
        <v>860</v>
      </c>
      <c r="E207">
        <f t="shared" ref="E207:E270" ca="1" si="17">C207-D207</f>
        <v>322.5</v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x14ac:dyDescent="0.25">
      <c r="A208">
        <v>195</v>
      </c>
      <c r="B208" s="4">
        <f t="shared" ca="1" si="14"/>
        <v>228.35119816119044</v>
      </c>
      <c r="C208">
        <f t="shared" ca="1" si="15"/>
        <v>1182.5</v>
      </c>
      <c r="D208">
        <f t="shared" ca="1" si="16"/>
        <v>860</v>
      </c>
      <c r="E208">
        <f t="shared" ca="1" si="17"/>
        <v>322.5</v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x14ac:dyDescent="0.25">
      <c r="A209">
        <v>196</v>
      </c>
      <c r="B209" s="4">
        <f t="shared" ca="1" si="14"/>
        <v>258.43256826853184</v>
      </c>
      <c r="C209">
        <f t="shared" ca="1" si="15"/>
        <v>1182.5</v>
      </c>
      <c r="D209">
        <f t="shared" ca="1" si="16"/>
        <v>860</v>
      </c>
      <c r="E209">
        <f t="shared" ca="1" si="17"/>
        <v>322.5</v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x14ac:dyDescent="0.25">
      <c r="A210">
        <v>197</v>
      </c>
      <c r="B210" s="4">
        <f t="shared" ca="1" si="14"/>
        <v>217.18668662249479</v>
      </c>
      <c r="C210">
        <f t="shared" ca="1" si="15"/>
        <v>1182.5</v>
      </c>
      <c r="D210">
        <f t="shared" ca="1" si="16"/>
        <v>860</v>
      </c>
      <c r="E210">
        <f t="shared" ca="1" si="17"/>
        <v>322.5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x14ac:dyDescent="0.25">
      <c r="A211">
        <v>198</v>
      </c>
      <c r="B211" s="4">
        <f t="shared" ca="1" si="14"/>
        <v>228.35119816119044</v>
      </c>
      <c r="C211">
        <f t="shared" ca="1" si="15"/>
        <v>1182.5</v>
      </c>
      <c r="D211">
        <f t="shared" ca="1" si="16"/>
        <v>860</v>
      </c>
      <c r="E211">
        <f t="shared" ca="1" si="17"/>
        <v>322.5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x14ac:dyDescent="0.25">
      <c r="A212">
        <v>199</v>
      </c>
      <c r="B212" s="4">
        <f t="shared" ca="1" si="14"/>
        <v>293.76646764418979</v>
      </c>
      <c r="C212">
        <f t="shared" ca="1" si="15"/>
        <v>1182.5</v>
      </c>
      <c r="D212">
        <f t="shared" ca="1" si="16"/>
        <v>860</v>
      </c>
      <c r="E212">
        <f t="shared" ca="1" si="17"/>
        <v>322.5</v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x14ac:dyDescent="0.25">
      <c r="A213">
        <v>200</v>
      </c>
      <c r="B213" s="4">
        <f t="shared" ca="1" si="14"/>
        <v>228.35119816119044</v>
      </c>
      <c r="C213">
        <f t="shared" ca="1" si="15"/>
        <v>1182.5</v>
      </c>
      <c r="D213">
        <f t="shared" ca="1" si="16"/>
        <v>860</v>
      </c>
      <c r="E213">
        <f t="shared" ca="1" si="17"/>
        <v>322.5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x14ac:dyDescent="0.25">
      <c r="A214">
        <v>201</v>
      </c>
      <c r="B214" s="4">
        <f t="shared" ca="1" si="14"/>
        <v>293.76646764418979</v>
      </c>
      <c r="C214">
        <f t="shared" ca="1" si="15"/>
        <v>1182.5</v>
      </c>
      <c r="D214">
        <f t="shared" ca="1" si="16"/>
        <v>860</v>
      </c>
      <c r="E214">
        <f t="shared" ca="1" si="17"/>
        <v>322.5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x14ac:dyDescent="0.25">
      <c r="A215">
        <v>202</v>
      </c>
      <c r="B215" s="4">
        <f t="shared" ca="1" si="14"/>
        <v>217.18668662249479</v>
      </c>
      <c r="C215">
        <f t="shared" ca="1" si="15"/>
        <v>1182.5</v>
      </c>
      <c r="D215">
        <f t="shared" ca="1" si="16"/>
        <v>860</v>
      </c>
      <c r="E215">
        <f t="shared" ca="1" si="17"/>
        <v>322.5</v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x14ac:dyDescent="0.25">
      <c r="A216">
        <v>203</v>
      </c>
      <c r="B216" s="4">
        <f t="shared" ca="1" si="14"/>
        <v>217.18668662249479</v>
      </c>
      <c r="C216">
        <f t="shared" ca="1" si="15"/>
        <v>1182.5</v>
      </c>
      <c r="D216">
        <f t="shared" ca="1" si="16"/>
        <v>860</v>
      </c>
      <c r="E216">
        <f t="shared" ca="1" si="17"/>
        <v>322.5</v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x14ac:dyDescent="0.25">
      <c r="A217">
        <v>204</v>
      </c>
      <c r="B217" s="4">
        <f t="shared" ca="1" si="14"/>
        <v>263.35536460676792</v>
      </c>
      <c r="C217">
        <f t="shared" ca="1" si="15"/>
        <v>1182.5</v>
      </c>
      <c r="D217">
        <f t="shared" ca="1" si="16"/>
        <v>860</v>
      </c>
      <c r="E217">
        <f t="shared" ca="1" si="17"/>
        <v>322.5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x14ac:dyDescent="0.25">
      <c r="A218">
        <v>205</v>
      </c>
      <c r="B218" s="4">
        <f t="shared" ca="1" si="14"/>
        <v>217.18668662249479</v>
      </c>
      <c r="C218">
        <f t="shared" ca="1" si="15"/>
        <v>1182.5</v>
      </c>
      <c r="D218">
        <f t="shared" ca="1" si="16"/>
        <v>860</v>
      </c>
      <c r="E218">
        <f t="shared" ca="1" si="17"/>
        <v>322.5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x14ac:dyDescent="0.25">
      <c r="A219">
        <v>206</v>
      </c>
      <c r="B219" s="4">
        <f t="shared" ca="1" si="14"/>
        <v>217.18668662249479</v>
      </c>
      <c r="C219">
        <f t="shared" ca="1" si="15"/>
        <v>1182.5</v>
      </c>
      <c r="D219">
        <f t="shared" ca="1" si="16"/>
        <v>860</v>
      </c>
      <c r="E219">
        <f t="shared" ca="1" si="17"/>
        <v>322.5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x14ac:dyDescent="0.25">
      <c r="A220">
        <v>207</v>
      </c>
      <c r="B220" s="4">
        <f t="shared" ca="1" si="14"/>
        <v>228.35119816119044</v>
      </c>
      <c r="C220">
        <f t="shared" ca="1" si="15"/>
        <v>1182.5</v>
      </c>
      <c r="D220">
        <f t="shared" ca="1" si="16"/>
        <v>860</v>
      </c>
      <c r="E220">
        <f t="shared" ca="1" si="17"/>
        <v>322.5</v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x14ac:dyDescent="0.25">
      <c r="A221">
        <v>208</v>
      </c>
      <c r="B221" s="4">
        <f t="shared" ca="1" si="14"/>
        <v>228.35119816119044</v>
      </c>
      <c r="C221">
        <f t="shared" ca="1" si="15"/>
        <v>1182.5</v>
      </c>
      <c r="D221">
        <f t="shared" ca="1" si="16"/>
        <v>860</v>
      </c>
      <c r="E221">
        <f t="shared" ca="1" si="17"/>
        <v>322.5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x14ac:dyDescent="0.25">
      <c r="A222">
        <v>209</v>
      </c>
      <c r="B222" s="4">
        <f t="shared" ca="1" si="14"/>
        <v>263.35536460676792</v>
      </c>
      <c r="C222">
        <f t="shared" ca="1" si="15"/>
        <v>1182.5</v>
      </c>
      <c r="D222">
        <f t="shared" ca="1" si="16"/>
        <v>860</v>
      </c>
      <c r="E222">
        <f t="shared" ca="1" si="17"/>
        <v>322.5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x14ac:dyDescent="0.25">
      <c r="A223">
        <v>210</v>
      </c>
      <c r="B223" s="4">
        <f t="shared" ca="1" si="14"/>
        <v>228.35119816119044</v>
      </c>
      <c r="C223">
        <f t="shared" ca="1" si="15"/>
        <v>1182.5</v>
      </c>
      <c r="D223">
        <f t="shared" ca="1" si="16"/>
        <v>860</v>
      </c>
      <c r="E223">
        <f t="shared" ca="1" si="17"/>
        <v>322.5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x14ac:dyDescent="0.25">
      <c r="A224">
        <v>211</v>
      </c>
      <c r="B224" s="4">
        <f t="shared" ca="1" si="14"/>
        <v>263.35536460676792</v>
      </c>
      <c r="C224">
        <f t="shared" ca="1" si="15"/>
        <v>1182.5</v>
      </c>
      <c r="D224">
        <f t="shared" ca="1" si="16"/>
        <v>860</v>
      </c>
      <c r="E224">
        <f t="shared" ca="1" si="17"/>
        <v>322.5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x14ac:dyDescent="0.25">
      <c r="A225">
        <v>212</v>
      </c>
      <c r="B225" s="4">
        <f t="shared" ca="1" si="14"/>
        <v>228.35119816119044</v>
      </c>
      <c r="C225">
        <f t="shared" ca="1" si="15"/>
        <v>1182.5</v>
      </c>
      <c r="D225">
        <f t="shared" ca="1" si="16"/>
        <v>860</v>
      </c>
      <c r="E225">
        <f t="shared" ca="1" si="17"/>
        <v>322.5</v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x14ac:dyDescent="0.25">
      <c r="A226">
        <v>213</v>
      </c>
      <c r="B226" s="4">
        <f t="shared" ca="1" si="14"/>
        <v>293.76646764418979</v>
      </c>
      <c r="C226">
        <f t="shared" ca="1" si="15"/>
        <v>1182.5</v>
      </c>
      <c r="D226">
        <f t="shared" ca="1" si="16"/>
        <v>860</v>
      </c>
      <c r="E226">
        <f t="shared" ca="1" si="17"/>
        <v>322.5</v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x14ac:dyDescent="0.25">
      <c r="A227">
        <v>214</v>
      </c>
      <c r="B227" s="4">
        <f t="shared" ca="1" si="14"/>
        <v>228.35119816119044</v>
      </c>
      <c r="C227">
        <f t="shared" ca="1" si="15"/>
        <v>1182.5</v>
      </c>
      <c r="D227">
        <f t="shared" ca="1" si="16"/>
        <v>860</v>
      </c>
      <c r="E227">
        <f t="shared" ca="1" si="17"/>
        <v>322.5</v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x14ac:dyDescent="0.25">
      <c r="A228">
        <v>215</v>
      </c>
      <c r="B228" s="4">
        <f t="shared" ca="1" si="14"/>
        <v>293.76646764418979</v>
      </c>
      <c r="C228">
        <f t="shared" ca="1" si="15"/>
        <v>1182.5</v>
      </c>
      <c r="D228">
        <f t="shared" ca="1" si="16"/>
        <v>860</v>
      </c>
      <c r="E228">
        <f t="shared" ca="1" si="17"/>
        <v>322.5</v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x14ac:dyDescent="0.25">
      <c r="A229">
        <v>216</v>
      </c>
      <c r="B229" s="4">
        <f t="shared" ca="1" si="14"/>
        <v>263.35536460676792</v>
      </c>
      <c r="C229">
        <f t="shared" ca="1" si="15"/>
        <v>1182.5</v>
      </c>
      <c r="D229">
        <f t="shared" ca="1" si="16"/>
        <v>860</v>
      </c>
      <c r="E229">
        <f t="shared" ca="1" si="17"/>
        <v>322.5</v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x14ac:dyDescent="0.25">
      <c r="A230">
        <v>217</v>
      </c>
      <c r="B230" s="4">
        <f t="shared" ca="1" si="14"/>
        <v>258.43256826853184</v>
      </c>
      <c r="C230">
        <f t="shared" ca="1" si="15"/>
        <v>1182.5</v>
      </c>
      <c r="D230">
        <f t="shared" ca="1" si="16"/>
        <v>860</v>
      </c>
      <c r="E230">
        <f t="shared" ca="1" si="17"/>
        <v>322.5</v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x14ac:dyDescent="0.25">
      <c r="A231">
        <v>218</v>
      </c>
      <c r="B231" s="4">
        <f t="shared" ca="1" si="14"/>
        <v>258.43256826853184</v>
      </c>
      <c r="C231">
        <f t="shared" ca="1" si="15"/>
        <v>1182.5</v>
      </c>
      <c r="D231">
        <f t="shared" ca="1" si="16"/>
        <v>860</v>
      </c>
      <c r="E231">
        <f t="shared" ca="1" si="17"/>
        <v>322.5</v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x14ac:dyDescent="0.25">
      <c r="A232">
        <v>219</v>
      </c>
      <c r="B232" s="4">
        <f t="shared" ca="1" si="14"/>
        <v>228.35119816119044</v>
      </c>
      <c r="C232">
        <f t="shared" ca="1" si="15"/>
        <v>1182.5</v>
      </c>
      <c r="D232">
        <f t="shared" ca="1" si="16"/>
        <v>860</v>
      </c>
      <c r="E232">
        <f t="shared" ca="1" si="17"/>
        <v>322.5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x14ac:dyDescent="0.25">
      <c r="A233">
        <v>220</v>
      </c>
      <c r="B233" s="4">
        <f t="shared" ca="1" si="14"/>
        <v>293.76646764418979</v>
      </c>
      <c r="C233">
        <f t="shared" ca="1" si="15"/>
        <v>1182.5</v>
      </c>
      <c r="D233">
        <f t="shared" ca="1" si="16"/>
        <v>860</v>
      </c>
      <c r="E233">
        <f t="shared" ca="1" si="17"/>
        <v>322.5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x14ac:dyDescent="0.25">
      <c r="A234">
        <v>221</v>
      </c>
      <c r="B234" s="4">
        <f t="shared" ca="1" si="14"/>
        <v>258.43256826853184</v>
      </c>
      <c r="C234">
        <f t="shared" ca="1" si="15"/>
        <v>1182.5</v>
      </c>
      <c r="D234">
        <f t="shared" ca="1" si="16"/>
        <v>860</v>
      </c>
      <c r="E234">
        <f t="shared" ca="1" si="17"/>
        <v>322.5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x14ac:dyDescent="0.25">
      <c r="A235">
        <v>222</v>
      </c>
      <c r="B235" s="4">
        <f t="shared" ca="1" si="14"/>
        <v>258.43256826853184</v>
      </c>
      <c r="C235">
        <f t="shared" ca="1" si="15"/>
        <v>1182.5</v>
      </c>
      <c r="D235">
        <f t="shared" ca="1" si="16"/>
        <v>860</v>
      </c>
      <c r="E235">
        <f t="shared" ca="1" si="17"/>
        <v>322.5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x14ac:dyDescent="0.25">
      <c r="A236">
        <v>223</v>
      </c>
      <c r="B236" s="4">
        <f t="shared" ca="1" si="14"/>
        <v>217.18668662249479</v>
      </c>
      <c r="C236">
        <f t="shared" ca="1" si="15"/>
        <v>1182.5</v>
      </c>
      <c r="D236">
        <f t="shared" ca="1" si="16"/>
        <v>860</v>
      </c>
      <c r="E236">
        <f t="shared" ca="1" si="17"/>
        <v>322.5</v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x14ac:dyDescent="0.25">
      <c r="A237">
        <v>224</v>
      </c>
      <c r="B237" s="4">
        <f t="shared" ca="1" si="14"/>
        <v>263.35536460676792</v>
      </c>
      <c r="C237">
        <f t="shared" ca="1" si="15"/>
        <v>1182.5</v>
      </c>
      <c r="D237">
        <f t="shared" ca="1" si="16"/>
        <v>860</v>
      </c>
      <c r="E237">
        <f t="shared" ca="1" si="17"/>
        <v>322.5</v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x14ac:dyDescent="0.25">
      <c r="A238">
        <v>225</v>
      </c>
      <c r="B238" s="4">
        <f t="shared" ca="1" si="14"/>
        <v>258.43256826853184</v>
      </c>
      <c r="C238">
        <f t="shared" ca="1" si="15"/>
        <v>1182.5</v>
      </c>
      <c r="D238">
        <f t="shared" ca="1" si="16"/>
        <v>860</v>
      </c>
      <c r="E238">
        <f t="shared" ca="1" si="17"/>
        <v>322.5</v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x14ac:dyDescent="0.25">
      <c r="A239">
        <v>226</v>
      </c>
      <c r="B239" s="4">
        <f t="shared" ca="1" si="14"/>
        <v>293.76646764418979</v>
      </c>
      <c r="C239">
        <f t="shared" ca="1" si="15"/>
        <v>1182.5</v>
      </c>
      <c r="D239">
        <f t="shared" ca="1" si="16"/>
        <v>860</v>
      </c>
      <c r="E239">
        <f t="shared" ca="1" si="17"/>
        <v>322.5</v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x14ac:dyDescent="0.25">
      <c r="A240">
        <v>227</v>
      </c>
      <c r="B240" s="4">
        <f t="shared" ca="1" si="14"/>
        <v>263.35536460676792</v>
      </c>
      <c r="C240">
        <f t="shared" ca="1" si="15"/>
        <v>1182.5</v>
      </c>
      <c r="D240">
        <f t="shared" ca="1" si="16"/>
        <v>860</v>
      </c>
      <c r="E240">
        <f t="shared" ca="1" si="17"/>
        <v>322.5</v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x14ac:dyDescent="0.25">
      <c r="A241">
        <v>228</v>
      </c>
      <c r="B241" s="4">
        <f t="shared" ca="1" si="14"/>
        <v>263.35536460676792</v>
      </c>
      <c r="C241">
        <f t="shared" ca="1" si="15"/>
        <v>1182.5</v>
      </c>
      <c r="D241">
        <f t="shared" ca="1" si="16"/>
        <v>860</v>
      </c>
      <c r="E241">
        <f t="shared" ca="1" si="17"/>
        <v>322.5</v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x14ac:dyDescent="0.25">
      <c r="A242">
        <v>229</v>
      </c>
      <c r="B242" s="4">
        <f t="shared" ca="1" si="14"/>
        <v>293.76646764418979</v>
      </c>
      <c r="C242">
        <f t="shared" ca="1" si="15"/>
        <v>1182.5</v>
      </c>
      <c r="D242">
        <f t="shared" ca="1" si="16"/>
        <v>860</v>
      </c>
      <c r="E242">
        <f t="shared" ca="1" si="17"/>
        <v>322.5</v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x14ac:dyDescent="0.25">
      <c r="A243">
        <v>230</v>
      </c>
      <c r="B243" s="4">
        <f t="shared" ca="1" si="14"/>
        <v>228.35119816119044</v>
      </c>
      <c r="C243">
        <f t="shared" ca="1" si="15"/>
        <v>1182.5</v>
      </c>
      <c r="D243">
        <f t="shared" ca="1" si="16"/>
        <v>860</v>
      </c>
      <c r="E243">
        <f t="shared" ca="1" si="17"/>
        <v>322.5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x14ac:dyDescent="0.25">
      <c r="A244">
        <v>231</v>
      </c>
      <c r="B244" s="4">
        <f t="shared" ca="1" si="14"/>
        <v>217.18668662249479</v>
      </c>
      <c r="C244">
        <f t="shared" ca="1" si="15"/>
        <v>1182.5</v>
      </c>
      <c r="D244">
        <f t="shared" ca="1" si="16"/>
        <v>860</v>
      </c>
      <c r="E244">
        <f t="shared" ca="1" si="17"/>
        <v>322.5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x14ac:dyDescent="0.25">
      <c r="A245">
        <v>232</v>
      </c>
      <c r="B245" s="4">
        <f t="shared" ca="1" si="14"/>
        <v>263.35536460676792</v>
      </c>
      <c r="C245">
        <f t="shared" ca="1" si="15"/>
        <v>1182.5</v>
      </c>
      <c r="D245">
        <f t="shared" ca="1" si="16"/>
        <v>860</v>
      </c>
      <c r="E245">
        <f t="shared" ca="1" si="17"/>
        <v>322.5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x14ac:dyDescent="0.25">
      <c r="A246">
        <v>233</v>
      </c>
      <c r="B246" s="4">
        <f t="shared" ca="1" si="14"/>
        <v>217.18668662249479</v>
      </c>
      <c r="C246">
        <f t="shared" ca="1" si="15"/>
        <v>1182.5</v>
      </c>
      <c r="D246">
        <f t="shared" ca="1" si="16"/>
        <v>860</v>
      </c>
      <c r="E246">
        <f t="shared" ca="1" si="17"/>
        <v>322.5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x14ac:dyDescent="0.25">
      <c r="A247">
        <v>234</v>
      </c>
      <c r="B247" s="4">
        <f t="shared" ca="1" si="14"/>
        <v>228.35119816119044</v>
      </c>
      <c r="C247">
        <f t="shared" ca="1" si="15"/>
        <v>1182.5</v>
      </c>
      <c r="D247">
        <f t="shared" ca="1" si="16"/>
        <v>860</v>
      </c>
      <c r="E247">
        <f t="shared" ca="1" si="17"/>
        <v>322.5</v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x14ac:dyDescent="0.25">
      <c r="A248">
        <v>235</v>
      </c>
      <c r="B248" s="4">
        <f t="shared" ca="1" si="14"/>
        <v>228.35119816119044</v>
      </c>
      <c r="C248">
        <f t="shared" ca="1" si="15"/>
        <v>1182.5</v>
      </c>
      <c r="D248">
        <f t="shared" ca="1" si="16"/>
        <v>860</v>
      </c>
      <c r="E248">
        <f t="shared" ca="1" si="17"/>
        <v>322.5</v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x14ac:dyDescent="0.25">
      <c r="A249">
        <v>236</v>
      </c>
      <c r="B249" s="4">
        <f t="shared" ca="1" si="14"/>
        <v>263.35536460676792</v>
      </c>
      <c r="C249">
        <f t="shared" ca="1" si="15"/>
        <v>1182.5</v>
      </c>
      <c r="D249">
        <f t="shared" ca="1" si="16"/>
        <v>860</v>
      </c>
      <c r="E249">
        <f t="shared" ca="1" si="17"/>
        <v>322.5</v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x14ac:dyDescent="0.25">
      <c r="A250">
        <v>237</v>
      </c>
      <c r="B250" s="4">
        <f t="shared" ca="1" si="14"/>
        <v>263.35536460676792</v>
      </c>
      <c r="C250">
        <f t="shared" ca="1" si="15"/>
        <v>1182.5</v>
      </c>
      <c r="D250">
        <f t="shared" ca="1" si="16"/>
        <v>860</v>
      </c>
      <c r="E250">
        <f t="shared" ca="1" si="17"/>
        <v>322.5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x14ac:dyDescent="0.25">
      <c r="A251">
        <v>238</v>
      </c>
      <c r="B251" s="4">
        <f t="shared" ca="1" si="14"/>
        <v>228.35119816119044</v>
      </c>
      <c r="C251">
        <f t="shared" ca="1" si="15"/>
        <v>1182.5</v>
      </c>
      <c r="D251">
        <f t="shared" ca="1" si="16"/>
        <v>860</v>
      </c>
      <c r="E251">
        <f t="shared" ca="1" si="17"/>
        <v>322.5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x14ac:dyDescent="0.25">
      <c r="A252">
        <v>239</v>
      </c>
      <c r="B252" s="4">
        <f t="shared" ca="1" si="14"/>
        <v>293.76646764418979</v>
      </c>
      <c r="C252">
        <f t="shared" ca="1" si="15"/>
        <v>1182.5</v>
      </c>
      <c r="D252">
        <f t="shared" ca="1" si="16"/>
        <v>860</v>
      </c>
      <c r="E252">
        <f t="shared" ca="1" si="17"/>
        <v>322.5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x14ac:dyDescent="0.25">
      <c r="A253">
        <v>240</v>
      </c>
      <c r="B253" s="4">
        <f t="shared" ca="1" si="14"/>
        <v>263.35536460676792</v>
      </c>
      <c r="C253">
        <f t="shared" ca="1" si="15"/>
        <v>1182.5</v>
      </c>
      <c r="D253">
        <f t="shared" ca="1" si="16"/>
        <v>860</v>
      </c>
      <c r="E253">
        <f t="shared" ca="1" si="17"/>
        <v>322.5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x14ac:dyDescent="0.25">
      <c r="A254">
        <v>241</v>
      </c>
      <c r="B254" s="4">
        <f t="shared" ca="1" si="14"/>
        <v>217.18668662249479</v>
      </c>
      <c r="C254">
        <f t="shared" ca="1" si="15"/>
        <v>1182.5</v>
      </c>
      <c r="D254">
        <f t="shared" ca="1" si="16"/>
        <v>860</v>
      </c>
      <c r="E254">
        <f t="shared" ca="1" si="17"/>
        <v>322.5</v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x14ac:dyDescent="0.25">
      <c r="A255">
        <v>242</v>
      </c>
      <c r="B255" s="4">
        <f t="shared" ca="1" si="14"/>
        <v>258.43256826853184</v>
      </c>
      <c r="C255">
        <f t="shared" ca="1" si="15"/>
        <v>1182.5</v>
      </c>
      <c r="D255">
        <f t="shared" ca="1" si="16"/>
        <v>860</v>
      </c>
      <c r="E255">
        <f t="shared" ca="1" si="17"/>
        <v>322.5</v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x14ac:dyDescent="0.25">
      <c r="A256">
        <v>243</v>
      </c>
      <c r="B256" s="4">
        <f t="shared" ca="1" si="14"/>
        <v>263.35536460676792</v>
      </c>
      <c r="C256">
        <f t="shared" ca="1" si="15"/>
        <v>1182.5</v>
      </c>
      <c r="D256">
        <f t="shared" ca="1" si="16"/>
        <v>860</v>
      </c>
      <c r="E256">
        <f t="shared" ca="1" si="17"/>
        <v>322.5</v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x14ac:dyDescent="0.25">
      <c r="A257">
        <v>244</v>
      </c>
      <c r="B257" s="4">
        <f t="shared" ca="1" si="14"/>
        <v>293.76646764418979</v>
      </c>
      <c r="C257">
        <f t="shared" ca="1" si="15"/>
        <v>1182.5</v>
      </c>
      <c r="D257">
        <f t="shared" ca="1" si="16"/>
        <v>860</v>
      </c>
      <c r="E257">
        <f t="shared" ca="1" si="17"/>
        <v>322.5</v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x14ac:dyDescent="0.25">
      <c r="A258">
        <v>245</v>
      </c>
      <c r="B258" s="4">
        <f t="shared" ca="1" si="14"/>
        <v>217.18668662249479</v>
      </c>
      <c r="C258">
        <f t="shared" ca="1" si="15"/>
        <v>1182.5</v>
      </c>
      <c r="D258">
        <f t="shared" ca="1" si="16"/>
        <v>860</v>
      </c>
      <c r="E258">
        <f t="shared" ca="1" si="17"/>
        <v>322.5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x14ac:dyDescent="0.25">
      <c r="A259">
        <v>246</v>
      </c>
      <c r="B259" s="4">
        <f t="shared" ca="1" si="14"/>
        <v>293.76646764418979</v>
      </c>
      <c r="C259">
        <f t="shared" ca="1" si="15"/>
        <v>1182.5</v>
      </c>
      <c r="D259">
        <f t="shared" ca="1" si="16"/>
        <v>860</v>
      </c>
      <c r="E259">
        <f t="shared" ca="1" si="17"/>
        <v>322.5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x14ac:dyDescent="0.25">
      <c r="A260">
        <v>247</v>
      </c>
      <c r="B260" s="4">
        <f t="shared" ca="1" si="14"/>
        <v>263.35536460676792</v>
      </c>
      <c r="C260">
        <f t="shared" ca="1" si="15"/>
        <v>1182.5</v>
      </c>
      <c r="D260">
        <f t="shared" ca="1" si="16"/>
        <v>860</v>
      </c>
      <c r="E260">
        <f t="shared" ca="1" si="17"/>
        <v>322.5</v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x14ac:dyDescent="0.25">
      <c r="A261">
        <v>248</v>
      </c>
      <c r="B261" s="4">
        <f t="shared" ca="1" si="14"/>
        <v>228.35119816119044</v>
      </c>
      <c r="C261">
        <f t="shared" ca="1" si="15"/>
        <v>1182.5</v>
      </c>
      <c r="D261">
        <f t="shared" ca="1" si="16"/>
        <v>860</v>
      </c>
      <c r="E261">
        <f t="shared" ca="1" si="17"/>
        <v>322.5</v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x14ac:dyDescent="0.25">
      <c r="A262">
        <v>249</v>
      </c>
      <c r="B262" s="4">
        <f t="shared" ca="1" si="14"/>
        <v>293.76646764418979</v>
      </c>
      <c r="C262">
        <f t="shared" ca="1" si="15"/>
        <v>1182.5</v>
      </c>
      <c r="D262">
        <f t="shared" ca="1" si="16"/>
        <v>860</v>
      </c>
      <c r="E262">
        <f t="shared" ca="1" si="17"/>
        <v>322.5</v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x14ac:dyDescent="0.25">
      <c r="A263">
        <v>250</v>
      </c>
      <c r="B263" s="4">
        <f t="shared" ca="1" si="14"/>
        <v>258.43256826853184</v>
      </c>
      <c r="C263">
        <f t="shared" ca="1" si="15"/>
        <v>1182.5</v>
      </c>
      <c r="D263">
        <f t="shared" ca="1" si="16"/>
        <v>860</v>
      </c>
      <c r="E263">
        <f t="shared" ca="1" si="17"/>
        <v>322.5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x14ac:dyDescent="0.25">
      <c r="A264">
        <v>251</v>
      </c>
      <c r="B264" s="4">
        <f t="shared" ca="1" si="14"/>
        <v>293.76646764418979</v>
      </c>
      <c r="C264">
        <f t="shared" ca="1" si="15"/>
        <v>1182.5</v>
      </c>
      <c r="D264">
        <f t="shared" ca="1" si="16"/>
        <v>860</v>
      </c>
      <c r="E264">
        <f t="shared" ca="1" si="17"/>
        <v>322.5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x14ac:dyDescent="0.25">
      <c r="A265">
        <v>252</v>
      </c>
      <c r="B265" s="4">
        <f t="shared" ca="1" si="14"/>
        <v>228.35119816119044</v>
      </c>
      <c r="C265">
        <f t="shared" ca="1" si="15"/>
        <v>1182.5</v>
      </c>
      <c r="D265">
        <f t="shared" ca="1" si="16"/>
        <v>860</v>
      </c>
      <c r="E265">
        <f t="shared" ca="1" si="17"/>
        <v>322.5</v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x14ac:dyDescent="0.25">
      <c r="A266">
        <v>253</v>
      </c>
      <c r="B266" s="4">
        <f t="shared" ca="1" si="14"/>
        <v>293.76646764418979</v>
      </c>
      <c r="C266">
        <f t="shared" ca="1" si="15"/>
        <v>1182.5</v>
      </c>
      <c r="D266">
        <f t="shared" ca="1" si="16"/>
        <v>860</v>
      </c>
      <c r="E266">
        <f t="shared" ca="1" si="17"/>
        <v>322.5</v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x14ac:dyDescent="0.25">
      <c r="A267">
        <v>254</v>
      </c>
      <c r="B267" s="4">
        <f t="shared" ca="1" si="14"/>
        <v>293.76646764418979</v>
      </c>
      <c r="C267">
        <f t="shared" ca="1" si="15"/>
        <v>1182.5</v>
      </c>
      <c r="D267">
        <f t="shared" ca="1" si="16"/>
        <v>860</v>
      </c>
      <c r="E267">
        <f t="shared" ca="1" si="17"/>
        <v>322.5</v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x14ac:dyDescent="0.25">
      <c r="A268">
        <v>255</v>
      </c>
      <c r="B268" s="4">
        <f t="shared" ca="1" si="14"/>
        <v>258.43256826853184</v>
      </c>
      <c r="C268">
        <f t="shared" ca="1" si="15"/>
        <v>1182.5</v>
      </c>
      <c r="D268">
        <f t="shared" ca="1" si="16"/>
        <v>860</v>
      </c>
      <c r="E268">
        <f t="shared" ca="1" si="17"/>
        <v>322.5</v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x14ac:dyDescent="0.25">
      <c r="A269">
        <v>256</v>
      </c>
      <c r="B269" s="4">
        <f t="shared" ca="1" si="14"/>
        <v>228.35119816119044</v>
      </c>
      <c r="C269">
        <f t="shared" ca="1" si="15"/>
        <v>1182.5</v>
      </c>
      <c r="D269">
        <f t="shared" ca="1" si="16"/>
        <v>860</v>
      </c>
      <c r="E269">
        <f t="shared" ca="1" si="17"/>
        <v>322.5</v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x14ac:dyDescent="0.25">
      <c r="A270">
        <v>257</v>
      </c>
      <c r="B270" s="4">
        <f t="shared" ca="1" si="14"/>
        <v>258.43256826853184</v>
      </c>
      <c r="C270">
        <f t="shared" ca="1" si="15"/>
        <v>1182.5</v>
      </c>
      <c r="D270">
        <f t="shared" ca="1" si="16"/>
        <v>860</v>
      </c>
      <c r="E270">
        <f t="shared" ca="1" si="17"/>
        <v>322.5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x14ac:dyDescent="0.25">
      <c r="A271">
        <v>258</v>
      </c>
      <c r="B271" s="4">
        <f t="shared" ref="B271:B334" ca="1" si="18">HLOOKUP(RAND(),K$5:O$6,2,TRUE)</f>
        <v>258.43256826853184</v>
      </c>
      <c r="C271">
        <f t="shared" ref="C271:C334" ca="1" si="19">IF(C$11&gt;B271,B271*F$7+(C$11-B271)*F$8+(C$11-B271)*F$9,C$11*F$7)</f>
        <v>1182.5</v>
      </c>
      <c r="D271">
        <f t="shared" ref="D271:D334" ca="1" si="20">IF(C$11&gt;B271,B271*F$5+(C$11-B271)*F$6,C$11*F$5)</f>
        <v>860</v>
      </c>
      <c r="E271">
        <f t="shared" ref="E271:E334" ca="1" si="21">C271-D271</f>
        <v>322.5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x14ac:dyDescent="0.25">
      <c r="A272">
        <v>259</v>
      </c>
      <c r="B272" s="4">
        <f t="shared" ca="1" si="18"/>
        <v>228.35119816119044</v>
      </c>
      <c r="C272">
        <f t="shared" ca="1" si="19"/>
        <v>1182.5</v>
      </c>
      <c r="D272">
        <f t="shared" ca="1" si="20"/>
        <v>860</v>
      </c>
      <c r="E272">
        <f t="shared" ca="1" si="21"/>
        <v>322.5</v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x14ac:dyDescent="0.25">
      <c r="A273">
        <v>260</v>
      </c>
      <c r="B273" s="4">
        <f t="shared" ca="1" si="18"/>
        <v>217.18668662249479</v>
      </c>
      <c r="C273">
        <f t="shared" ca="1" si="19"/>
        <v>1182.5</v>
      </c>
      <c r="D273">
        <f t="shared" ca="1" si="20"/>
        <v>860</v>
      </c>
      <c r="E273">
        <f t="shared" ca="1" si="21"/>
        <v>322.5</v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x14ac:dyDescent="0.25">
      <c r="A274">
        <v>261</v>
      </c>
      <c r="B274" s="4">
        <f t="shared" ca="1" si="18"/>
        <v>228.35119816119044</v>
      </c>
      <c r="C274">
        <f t="shared" ca="1" si="19"/>
        <v>1182.5</v>
      </c>
      <c r="D274">
        <f t="shared" ca="1" si="20"/>
        <v>860</v>
      </c>
      <c r="E274">
        <f t="shared" ca="1" si="21"/>
        <v>322.5</v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x14ac:dyDescent="0.25">
      <c r="A275">
        <v>262</v>
      </c>
      <c r="B275" s="4">
        <f t="shared" ca="1" si="18"/>
        <v>258.43256826853184</v>
      </c>
      <c r="C275">
        <f t="shared" ca="1" si="19"/>
        <v>1182.5</v>
      </c>
      <c r="D275">
        <f t="shared" ca="1" si="20"/>
        <v>860</v>
      </c>
      <c r="E275">
        <f t="shared" ca="1" si="21"/>
        <v>322.5</v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x14ac:dyDescent="0.25">
      <c r="A276">
        <v>263</v>
      </c>
      <c r="B276" s="4">
        <f t="shared" ca="1" si="18"/>
        <v>293.76646764418979</v>
      </c>
      <c r="C276">
        <f t="shared" ca="1" si="19"/>
        <v>1182.5</v>
      </c>
      <c r="D276">
        <f t="shared" ca="1" si="20"/>
        <v>860</v>
      </c>
      <c r="E276">
        <f t="shared" ca="1" si="21"/>
        <v>322.5</v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x14ac:dyDescent="0.25">
      <c r="A277">
        <v>264</v>
      </c>
      <c r="B277" s="4">
        <f t="shared" ca="1" si="18"/>
        <v>217.18668662249479</v>
      </c>
      <c r="C277">
        <f t="shared" ca="1" si="19"/>
        <v>1182.5</v>
      </c>
      <c r="D277">
        <f t="shared" ca="1" si="20"/>
        <v>860</v>
      </c>
      <c r="E277">
        <f t="shared" ca="1" si="21"/>
        <v>322.5</v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x14ac:dyDescent="0.25">
      <c r="A278">
        <v>265</v>
      </c>
      <c r="B278" s="4">
        <f t="shared" ca="1" si="18"/>
        <v>293.76646764418979</v>
      </c>
      <c r="C278">
        <f t="shared" ca="1" si="19"/>
        <v>1182.5</v>
      </c>
      <c r="D278">
        <f t="shared" ca="1" si="20"/>
        <v>860</v>
      </c>
      <c r="E278">
        <f t="shared" ca="1" si="21"/>
        <v>322.5</v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x14ac:dyDescent="0.25">
      <c r="A279">
        <v>266</v>
      </c>
      <c r="B279" s="4">
        <f t="shared" ca="1" si="18"/>
        <v>293.76646764418979</v>
      </c>
      <c r="C279">
        <f t="shared" ca="1" si="19"/>
        <v>1182.5</v>
      </c>
      <c r="D279">
        <f t="shared" ca="1" si="20"/>
        <v>860</v>
      </c>
      <c r="E279">
        <f t="shared" ca="1" si="21"/>
        <v>322.5</v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x14ac:dyDescent="0.25">
      <c r="A280">
        <v>267</v>
      </c>
      <c r="B280" s="4">
        <f t="shared" ca="1" si="18"/>
        <v>263.35536460676792</v>
      </c>
      <c r="C280">
        <f t="shared" ca="1" si="19"/>
        <v>1182.5</v>
      </c>
      <c r="D280">
        <f t="shared" ca="1" si="20"/>
        <v>860</v>
      </c>
      <c r="E280">
        <f t="shared" ca="1" si="21"/>
        <v>322.5</v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x14ac:dyDescent="0.25">
      <c r="A281">
        <v>268</v>
      </c>
      <c r="B281" s="4">
        <f t="shared" ca="1" si="18"/>
        <v>228.35119816119044</v>
      </c>
      <c r="C281">
        <f t="shared" ca="1" si="19"/>
        <v>1182.5</v>
      </c>
      <c r="D281">
        <f t="shared" ca="1" si="20"/>
        <v>860</v>
      </c>
      <c r="E281">
        <f t="shared" ca="1" si="21"/>
        <v>322.5</v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x14ac:dyDescent="0.25">
      <c r="A282">
        <v>269</v>
      </c>
      <c r="B282" s="4">
        <f t="shared" ca="1" si="18"/>
        <v>217.18668662249479</v>
      </c>
      <c r="C282">
        <f t="shared" ca="1" si="19"/>
        <v>1182.5</v>
      </c>
      <c r="D282">
        <f t="shared" ca="1" si="20"/>
        <v>860</v>
      </c>
      <c r="E282">
        <f t="shared" ca="1" si="21"/>
        <v>322.5</v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x14ac:dyDescent="0.25">
      <c r="A283">
        <v>270</v>
      </c>
      <c r="B283" s="4">
        <f t="shared" ca="1" si="18"/>
        <v>263.35536460676792</v>
      </c>
      <c r="C283">
        <f t="shared" ca="1" si="19"/>
        <v>1182.5</v>
      </c>
      <c r="D283">
        <f t="shared" ca="1" si="20"/>
        <v>860</v>
      </c>
      <c r="E283">
        <f t="shared" ca="1" si="21"/>
        <v>322.5</v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x14ac:dyDescent="0.25">
      <c r="A284">
        <v>271</v>
      </c>
      <c r="B284" s="4">
        <f t="shared" ca="1" si="18"/>
        <v>263.35536460676792</v>
      </c>
      <c r="C284">
        <f t="shared" ca="1" si="19"/>
        <v>1182.5</v>
      </c>
      <c r="D284">
        <f t="shared" ca="1" si="20"/>
        <v>860</v>
      </c>
      <c r="E284">
        <f t="shared" ca="1" si="21"/>
        <v>322.5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x14ac:dyDescent="0.25">
      <c r="A285">
        <v>272</v>
      </c>
      <c r="B285" s="4">
        <f t="shared" ca="1" si="18"/>
        <v>263.35536460676792</v>
      </c>
      <c r="C285">
        <f t="shared" ca="1" si="19"/>
        <v>1182.5</v>
      </c>
      <c r="D285">
        <f t="shared" ca="1" si="20"/>
        <v>860</v>
      </c>
      <c r="E285">
        <f t="shared" ca="1" si="21"/>
        <v>322.5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x14ac:dyDescent="0.25">
      <c r="A286">
        <v>273</v>
      </c>
      <c r="B286" s="4">
        <f t="shared" ca="1" si="18"/>
        <v>263.35536460676792</v>
      </c>
      <c r="C286">
        <f t="shared" ca="1" si="19"/>
        <v>1182.5</v>
      </c>
      <c r="D286">
        <f t="shared" ca="1" si="20"/>
        <v>860</v>
      </c>
      <c r="E286">
        <f t="shared" ca="1" si="21"/>
        <v>322.5</v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x14ac:dyDescent="0.25">
      <c r="A287">
        <v>274</v>
      </c>
      <c r="B287" s="4">
        <f t="shared" ca="1" si="18"/>
        <v>258.43256826853184</v>
      </c>
      <c r="C287">
        <f t="shared" ca="1" si="19"/>
        <v>1182.5</v>
      </c>
      <c r="D287">
        <f t="shared" ca="1" si="20"/>
        <v>860</v>
      </c>
      <c r="E287">
        <f t="shared" ca="1" si="21"/>
        <v>322.5</v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x14ac:dyDescent="0.25">
      <c r="A288">
        <v>275</v>
      </c>
      <c r="B288" s="4">
        <f t="shared" ca="1" si="18"/>
        <v>217.18668662249479</v>
      </c>
      <c r="C288">
        <f t="shared" ca="1" si="19"/>
        <v>1182.5</v>
      </c>
      <c r="D288">
        <f t="shared" ca="1" si="20"/>
        <v>860</v>
      </c>
      <c r="E288">
        <f t="shared" ca="1" si="21"/>
        <v>322.5</v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x14ac:dyDescent="0.25">
      <c r="A289">
        <v>276</v>
      </c>
      <c r="B289" s="4">
        <f t="shared" ca="1" si="18"/>
        <v>217.18668662249479</v>
      </c>
      <c r="C289">
        <f t="shared" ca="1" si="19"/>
        <v>1182.5</v>
      </c>
      <c r="D289">
        <f t="shared" ca="1" si="20"/>
        <v>860</v>
      </c>
      <c r="E289">
        <f t="shared" ca="1" si="21"/>
        <v>322.5</v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x14ac:dyDescent="0.25">
      <c r="A290">
        <v>277</v>
      </c>
      <c r="B290" s="4">
        <f t="shared" ca="1" si="18"/>
        <v>263.35536460676792</v>
      </c>
      <c r="C290">
        <f t="shared" ca="1" si="19"/>
        <v>1182.5</v>
      </c>
      <c r="D290">
        <f t="shared" ca="1" si="20"/>
        <v>860</v>
      </c>
      <c r="E290">
        <f t="shared" ca="1" si="21"/>
        <v>322.5</v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x14ac:dyDescent="0.25">
      <c r="A291">
        <v>278</v>
      </c>
      <c r="B291" s="4">
        <f t="shared" ca="1" si="18"/>
        <v>293.76646764418979</v>
      </c>
      <c r="C291">
        <f t="shared" ca="1" si="19"/>
        <v>1182.5</v>
      </c>
      <c r="D291">
        <f t="shared" ca="1" si="20"/>
        <v>860</v>
      </c>
      <c r="E291">
        <f t="shared" ca="1" si="21"/>
        <v>322.5</v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x14ac:dyDescent="0.25">
      <c r="A292">
        <v>279</v>
      </c>
      <c r="B292" s="4">
        <f t="shared" ca="1" si="18"/>
        <v>258.43256826853184</v>
      </c>
      <c r="C292">
        <f t="shared" ca="1" si="19"/>
        <v>1182.5</v>
      </c>
      <c r="D292">
        <f t="shared" ca="1" si="20"/>
        <v>860</v>
      </c>
      <c r="E292">
        <f t="shared" ca="1" si="21"/>
        <v>322.5</v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x14ac:dyDescent="0.25">
      <c r="A293">
        <v>280</v>
      </c>
      <c r="B293" s="4">
        <f t="shared" ca="1" si="18"/>
        <v>258.43256826853184</v>
      </c>
      <c r="C293">
        <f t="shared" ca="1" si="19"/>
        <v>1182.5</v>
      </c>
      <c r="D293">
        <f t="shared" ca="1" si="20"/>
        <v>860</v>
      </c>
      <c r="E293">
        <f t="shared" ca="1" si="21"/>
        <v>322.5</v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x14ac:dyDescent="0.25">
      <c r="A294">
        <v>281</v>
      </c>
      <c r="B294" s="4">
        <f t="shared" ca="1" si="18"/>
        <v>217.18668662249479</v>
      </c>
      <c r="C294">
        <f t="shared" ca="1" si="19"/>
        <v>1182.5</v>
      </c>
      <c r="D294">
        <f t="shared" ca="1" si="20"/>
        <v>860</v>
      </c>
      <c r="E294">
        <f t="shared" ca="1" si="21"/>
        <v>322.5</v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x14ac:dyDescent="0.25">
      <c r="A295">
        <v>282</v>
      </c>
      <c r="B295" s="4">
        <f t="shared" ca="1" si="18"/>
        <v>258.43256826853184</v>
      </c>
      <c r="C295">
        <f t="shared" ca="1" si="19"/>
        <v>1182.5</v>
      </c>
      <c r="D295">
        <f t="shared" ca="1" si="20"/>
        <v>860</v>
      </c>
      <c r="E295">
        <f t="shared" ca="1" si="21"/>
        <v>322.5</v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x14ac:dyDescent="0.25">
      <c r="A296">
        <v>283</v>
      </c>
      <c r="B296" s="4">
        <f t="shared" ca="1" si="18"/>
        <v>228.35119816119044</v>
      </c>
      <c r="C296">
        <f t="shared" ca="1" si="19"/>
        <v>1182.5</v>
      </c>
      <c r="D296">
        <f t="shared" ca="1" si="20"/>
        <v>860</v>
      </c>
      <c r="E296">
        <f t="shared" ca="1" si="21"/>
        <v>322.5</v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x14ac:dyDescent="0.25">
      <c r="A297">
        <v>284</v>
      </c>
      <c r="B297" s="4">
        <f t="shared" ca="1" si="18"/>
        <v>228.35119816119044</v>
      </c>
      <c r="C297">
        <f t="shared" ca="1" si="19"/>
        <v>1182.5</v>
      </c>
      <c r="D297">
        <f t="shared" ca="1" si="20"/>
        <v>860</v>
      </c>
      <c r="E297">
        <f t="shared" ca="1" si="21"/>
        <v>322.5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x14ac:dyDescent="0.25">
      <c r="A298">
        <v>285</v>
      </c>
      <c r="B298" s="4">
        <f t="shared" ca="1" si="18"/>
        <v>217.18668662249479</v>
      </c>
      <c r="C298">
        <f t="shared" ca="1" si="19"/>
        <v>1182.5</v>
      </c>
      <c r="D298">
        <f t="shared" ca="1" si="20"/>
        <v>860</v>
      </c>
      <c r="E298">
        <f t="shared" ca="1" si="21"/>
        <v>322.5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x14ac:dyDescent="0.25">
      <c r="A299">
        <v>286</v>
      </c>
      <c r="B299" s="4">
        <f t="shared" ca="1" si="18"/>
        <v>258.43256826853184</v>
      </c>
      <c r="C299">
        <f t="shared" ca="1" si="19"/>
        <v>1182.5</v>
      </c>
      <c r="D299">
        <f t="shared" ca="1" si="20"/>
        <v>860</v>
      </c>
      <c r="E299">
        <f t="shared" ca="1" si="21"/>
        <v>322.5</v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x14ac:dyDescent="0.25">
      <c r="A300">
        <v>287</v>
      </c>
      <c r="B300" s="4">
        <f t="shared" ca="1" si="18"/>
        <v>263.35536460676792</v>
      </c>
      <c r="C300">
        <f t="shared" ca="1" si="19"/>
        <v>1182.5</v>
      </c>
      <c r="D300">
        <f t="shared" ca="1" si="20"/>
        <v>860</v>
      </c>
      <c r="E300">
        <f t="shared" ca="1" si="21"/>
        <v>322.5</v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x14ac:dyDescent="0.25">
      <c r="A301">
        <v>288</v>
      </c>
      <c r="B301" s="4">
        <f t="shared" ca="1" si="18"/>
        <v>258.43256826853184</v>
      </c>
      <c r="C301">
        <f t="shared" ca="1" si="19"/>
        <v>1182.5</v>
      </c>
      <c r="D301">
        <f t="shared" ca="1" si="20"/>
        <v>860</v>
      </c>
      <c r="E301">
        <f t="shared" ca="1" si="21"/>
        <v>322.5</v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x14ac:dyDescent="0.25">
      <c r="A302">
        <v>289</v>
      </c>
      <c r="B302" s="4">
        <f t="shared" ca="1" si="18"/>
        <v>228.35119816119044</v>
      </c>
      <c r="C302">
        <f t="shared" ca="1" si="19"/>
        <v>1182.5</v>
      </c>
      <c r="D302">
        <f t="shared" ca="1" si="20"/>
        <v>860</v>
      </c>
      <c r="E302">
        <f t="shared" ca="1" si="21"/>
        <v>322.5</v>
      </c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x14ac:dyDescent="0.25">
      <c r="A303">
        <v>290</v>
      </c>
      <c r="B303" s="4">
        <f t="shared" ca="1" si="18"/>
        <v>258.43256826853184</v>
      </c>
      <c r="C303">
        <f t="shared" ca="1" si="19"/>
        <v>1182.5</v>
      </c>
      <c r="D303">
        <f t="shared" ca="1" si="20"/>
        <v>860</v>
      </c>
      <c r="E303">
        <f t="shared" ca="1" si="21"/>
        <v>322.5</v>
      </c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x14ac:dyDescent="0.25">
      <c r="A304">
        <v>291</v>
      </c>
      <c r="B304" s="4">
        <f t="shared" ca="1" si="18"/>
        <v>293.76646764418979</v>
      </c>
      <c r="C304">
        <f t="shared" ca="1" si="19"/>
        <v>1182.5</v>
      </c>
      <c r="D304">
        <f t="shared" ca="1" si="20"/>
        <v>860</v>
      </c>
      <c r="E304">
        <f t="shared" ca="1" si="21"/>
        <v>322.5</v>
      </c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x14ac:dyDescent="0.25">
      <c r="A305">
        <v>292</v>
      </c>
      <c r="B305" s="4">
        <f t="shared" ca="1" si="18"/>
        <v>217.18668662249479</v>
      </c>
      <c r="C305">
        <f t="shared" ca="1" si="19"/>
        <v>1182.5</v>
      </c>
      <c r="D305">
        <f t="shared" ca="1" si="20"/>
        <v>860</v>
      </c>
      <c r="E305">
        <f t="shared" ca="1" si="21"/>
        <v>322.5</v>
      </c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x14ac:dyDescent="0.25">
      <c r="A306">
        <v>293</v>
      </c>
      <c r="B306" s="4">
        <f t="shared" ca="1" si="18"/>
        <v>217.18668662249479</v>
      </c>
      <c r="C306">
        <f t="shared" ca="1" si="19"/>
        <v>1182.5</v>
      </c>
      <c r="D306">
        <f t="shared" ca="1" si="20"/>
        <v>860</v>
      </c>
      <c r="E306">
        <f t="shared" ca="1" si="21"/>
        <v>322.5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x14ac:dyDescent="0.25">
      <c r="A307">
        <v>294</v>
      </c>
      <c r="B307" s="4">
        <f t="shared" ca="1" si="18"/>
        <v>228.35119816119044</v>
      </c>
      <c r="C307">
        <f t="shared" ca="1" si="19"/>
        <v>1182.5</v>
      </c>
      <c r="D307">
        <f t="shared" ca="1" si="20"/>
        <v>860</v>
      </c>
      <c r="E307">
        <f t="shared" ca="1" si="21"/>
        <v>322.5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x14ac:dyDescent="0.25">
      <c r="A308">
        <v>295</v>
      </c>
      <c r="B308" s="4">
        <f t="shared" ca="1" si="18"/>
        <v>228.35119816119044</v>
      </c>
      <c r="C308">
        <f t="shared" ca="1" si="19"/>
        <v>1182.5</v>
      </c>
      <c r="D308">
        <f t="shared" ca="1" si="20"/>
        <v>860</v>
      </c>
      <c r="E308">
        <f t="shared" ca="1" si="21"/>
        <v>322.5</v>
      </c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x14ac:dyDescent="0.25">
      <c r="A309">
        <v>296</v>
      </c>
      <c r="B309" s="4">
        <f t="shared" ca="1" si="18"/>
        <v>228.35119816119044</v>
      </c>
      <c r="C309">
        <f t="shared" ca="1" si="19"/>
        <v>1182.5</v>
      </c>
      <c r="D309">
        <f t="shared" ca="1" si="20"/>
        <v>860</v>
      </c>
      <c r="E309">
        <f t="shared" ca="1" si="21"/>
        <v>322.5</v>
      </c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x14ac:dyDescent="0.25">
      <c r="A310">
        <v>297</v>
      </c>
      <c r="B310" s="4">
        <f t="shared" ca="1" si="18"/>
        <v>258.43256826853184</v>
      </c>
      <c r="C310">
        <f t="shared" ca="1" si="19"/>
        <v>1182.5</v>
      </c>
      <c r="D310">
        <f t="shared" ca="1" si="20"/>
        <v>860</v>
      </c>
      <c r="E310">
        <f t="shared" ca="1" si="21"/>
        <v>322.5</v>
      </c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x14ac:dyDescent="0.25">
      <c r="A311">
        <v>298</v>
      </c>
      <c r="B311" s="4">
        <f t="shared" ca="1" si="18"/>
        <v>258.43256826853184</v>
      </c>
      <c r="C311">
        <f t="shared" ca="1" si="19"/>
        <v>1182.5</v>
      </c>
      <c r="D311">
        <f t="shared" ca="1" si="20"/>
        <v>860</v>
      </c>
      <c r="E311">
        <f t="shared" ca="1" si="21"/>
        <v>322.5</v>
      </c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x14ac:dyDescent="0.25">
      <c r="A312">
        <v>299</v>
      </c>
      <c r="B312" s="4">
        <f t="shared" ca="1" si="18"/>
        <v>263.35536460676792</v>
      </c>
      <c r="C312">
        <f t="shared" ca="1" si="19"/>
        <v>1182.5</v>
      </c>
      <c r="D312">
        <f t="shared" ca="1" si="20"/>
        <v>860</v>
      </c>
      <c r="E312">
        <f t="shared" ca="1" si="21"/>
        <v>322.5</v>
      </c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x14ac:dyDescent="0.25">
      <c r="A313">
        <v>300</v>
      </c>
      <c r="B313" s="4">
        <f t="shared" ca="1" si="18"/>
        <v>293.76646764418979</v>
      </c>
      <c r="C313">
        <f t="shared" ca="1" si="19"/>
        <v>1182.5</v>
      </c>
      <c r="D313">
        <f t="shared" ca="1" si="20"/>
        <v>860</v>
      </c>
      <c r="E313">
        <f t="shared" ca="1" si="21"/>
        <v>322.5</v>
      </c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x14ac:dyDescent="0.25">
      <c r="A314">
        <v>301</v>
      </c>
      <c r="B314" s="4">
        <f t="shared" ca="1" si="18"/>
        <v>263.35536460676792</v>
      </c>
      <c r="C314">
        <f t="shared" ca="1" si="19"/>
        <v>1182.5</v>
      </c>
      <c r="D314">
        <f t="shared" ca="1" si="20"/>
        <v>860</v>
      </c>
      <c r="E314">
        <f t="shared" ca="1" si="21"/>
        <v>322.5</v>
      </c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x14ac:dyDescent="0.25">
      <c r="A315">
        <v>302</v>
      </c>
      <c r="B315" s="4">
        <f t="shared" ca="1" si="18"/>
        <v>263.35536460676792</v>
      </c>
      <c r="C315">
        <f t="shared" ca="1" si="19"/>
        <v>1182.5</v>
      </c>
      <c r="D315">
        <f t="shared" ca="1" si="20"/>
        <v>860</v>
      </c>
      <c r="E315">
        <f t="shared" ca="1" si="21"/>
        <v>322.5</v>
      </c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x14ac:dyDescent="0.25">
      <c r="A316">
        <v>303</v>
      </c>
      <c r="B316" s="4">
        <f t="shared" ca="1" si="18"/>
        <v>217.18668662249479</v>
      </c>
      <c r="C316">
        <f t="shared" ca="1" si="19"/>
        <v>1182.5</v>
      </c>
      <c r="D316">
        <f t="shared" ca="1" si="20"/>
        <v>860</v>
      </c>
      <c r="E316">
        <f t="shared" ca="1" si="21"/>
        <v>322.5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x14ac:dyDescent="0.25">
      <c r="A317">
        <v>304</v>
      </c>
      <c r="B317" s="4">
        <f t="shared" ca="1" si="18"/>
        <v>258.43256826853184</v>
      </c>
      <c r="C317">
        <f t="shared" ca="1" si="19"/>
        <v>1182.5</v>
      </c>
      <c r="D317">
        <f t="shared" ca="1" si="20"/>
        <v>860</v>
      </c>
      <c r="E317">
        <f t="shared" ca="1" si="21"/>
        <v>322.5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x14ac:dyDescent="0.25">
      <c r="A318">
        <v>305</v>
      </c>
      <c r="B318" s="4">
        <f t="shared" ca="1" si="18"/>
        <v>263.35536460676792</v>
      </c>
      <c r="C318">
        <f t="shared" ca="1" si="19"/>
        <v>1182.5</v>
      </c>
      <c r="D318">
        <f t="shared" ca="1" si="20"/>
        <v>860</v>
      </c>
      <c r="E318">
        <f t="shared" ca="1" si="21"/>
        <v>322.5</v>
      </c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x14ac:dyDescent="0.25">
      <c r="A319">
        <v>306</v>
      </c>
      <c r="B319" s="4">
        <f t="shared" ca="1" si="18"/>
        <v>263.35536460676792</v>
      </c>
      <c r="C319">
        <f t="shared" ca="1" si="19"/>
        <v>1182.5</v>
      </c>
      <c r="D319">
        <f t="shared" ca="1" si="20"/>
        <v>860</v>
      </c>
      <c r="E319">
        <f t="shared" ca="1" si="21"/>
        <v>322.5</v>
      </c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x14ac:dyDescent="0.25">
      <c r="A320">
        <v>307</v>
      </c>
      <c r="B320" s="4">
        <f t="shared" ca="1" si="18"/>
        <v>217.18668662249479</v>
      </c>
      <c r="C320">
        <f t="shared" ca="1" si="19"/>
        <v>1182.5</v>
      </c>
      <c r="D320">
        <f t="shared" ca="1" si="20"/>
        <v>860</v>
      </c>
      <c r="E320">
        <f t="shared" ca="1" si="21"/>
        <v>322.5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x14ac:dyDescent="0.25">
      <c r="A321">
        <v>308</v>
      </c>
      <c r="B321" s="4">
        <f t="shared" ca="1" si="18"/>
        <v>263.35536460676792</v>
      </c>
      <c r="C321">
        <f t="shared" ca="1" si="19"/>
        <v>1182.5</v>
      </c>
      <c r="D321">
        <f t="shared" ca="1" si="20"/>
        <v>860</v>
      </c>
      <c r="E321">
        <f t="shared" ca="1" si="21"/>
        <v>322.5</v>
      </c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x14ac:dyDescent="0.25">
      <c r="A322">
        <v>309</v>
      </c>
      <c r="B322" s="4">
        <f t="shared" ca="1" si="18"/>
        <v>217.18668662249479</v>
      </c>
      <c r="C322">
        <f t="shared" ca="1" si="19"/>
        <v>1182.5</v>
      </c>
      <c r="D322">
        <f t="shared" ca="1" si="20"/>
        <v>860</v>
      </c>
      <c r="E322">
        <f t="shared" ca="1" si="21"/>
        <v>322.5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x14ac:dyDescent="0.25">
      <c r="A323">
        <v>310</v>
      </c>
      <c r="B323" s="4">
        <f t="shared" ca="1" si="18"/>
        <v>263.35536460676792</v>
      </c>
      <c r="C323">
        <f t="shared" ca="1" si="19"/>
        <v>1182.5</v>
      </c>
      <c r="D323">
        <f t="shared" ca="1" si="20"/>
        <v>860</v>
      </c>
      <c r="E323">
        <f t="shared" ca="1" si="21"/>
        <v>322.5</v>
      </c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x14ac:dyDescent="0.25">
      <c r="A324">
        <v>311</v>
      </c>
      <c r="B324" s="4">
        <f t="shared" ca="1" si="18"/>
        <v>258.43256826853184</v>
      </c>
      <c r="C324">
        <f t="shared" ca="1" si="19"/>
        <v>1182.5</v>
      </c>
      <c r="D324">
        <f t="shared" ca="1" si="20"/>
        <v>860</v>
      </c>
      <c r="E324">
        <f t="shared" ca="1" si="21"/>
        <v>322.5</v>
      </c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x14ac:dyDescent="0.25">
      <c r="A325">
        <v>312</v>
      </c>
      <c r="B325" s="4">
        <f t="shared" ca="1" si="18"/>
        <v>258.43256826853184</v>
      </c>
      <c r="C325">
        <f t="shared" ca="1" si="19"/>
        <v>1182.5</v>
      </c>
      <c r="D325">
        <f t="shared" ca="1" si="20"/>
        <v>860</v>
      </c>
      <c r="E325">
        <f t="shared" ca="1" si="21"/>
        <v>322.5</v>
      </c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x14ac:dyDescent="0.25">
      <c r="A326">
        <v>313</v>
      </c>
      <c r="B326" s="4">
        <f t="shared" ca="1" si="18"/>
        <v>228.35119816119044</v>
      </c>
      <c r="C326">
        <f t="shared" ca="1" si="19"/>
        <v>1182.5</v>
      </c>
      <c r="D326">
        <f t="shared" ca="1" si="20"/>
        <v>860</v>
      </c>
      <c r="E326">
        <f t="shared" ca="1" si="21"/>
        <v>322.5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x14ac:dyDescent="0.25">
      <c r="A327">
        <v>314</v>
      </c>
      <c r="B327" s="4">
        <f t="shared" ca="1" si="18"/>
        <v>258.43256826853184</v>
      </c>
      <c r="C327">
        <f t="shared" ca="1" si="19"/>
        <v>1182.5</v>
      </c>
      <c r="D327">
        <f t="shared" ca="1" si="20"/>
        <v>860</v>
      </c>
      <c r="E327">
        <f t="shared" ca="1" si="21"/>
        <v>322.5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x14ac:dyDescent="0.25">
      <c r="A328">
        <v>315</v>
      </c>
      <c r="B328" s="4">
        <f t="shared" ca="1" si="18"/>
        <v>258.43256826853184</v>
      </c>
      <c r="C328">
        <f t="shared" ca="1" si="19"/>
        <v>1182.5</v>
      </c>
      <c r="D328">
        <f t="shared" ca="1" si="20"/>
        <v>860</v>
      </c>
      <c r="E328">
        <f t="shared" ca="1" si="21"/>
        <v>322.5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x14ac:dyDescent="0.25">
      <c r="A329">
        <v>316</v>
      </c>
      <c r="B329" s="4">
        <f t="shared" ca="1" si="18"/>
        <v>258.43256826853184</v>
      </c>
      <c r="C329">
        <f t="shared" ca="1" si="19"/>
        <v>1182.5</v>
      </c>
      <c r="D329">
        <f t="shared" ca="1" si="20"/>
        <v>860</v>
      </c>
      <c r="E329">
        <f t="shared" ca="1" si="21"/>
        <v>322.5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x14ac:dyDescent="0.25">
      <c r="A330">
        <v>317</v>
      </c>
      <c r="B330" s="4">
        <f t="shared" ca="1" si="18"/>
        <v>217.18668662249479</v>
      </c>
      <c r="C330">
        <f t="shared" ca="1" si="19"/>
        <v>1182.5</v>
      </c>
      <c r="D330">
        <f t="shared" ca="1" si="20"/>
        <v>860</v>
      </c>
      <c r="E330">
        <f t="shared" ca="1" si="21"/>
        <v>322.5</v>
      </c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x14ac:dyDescent="0.25">
      <c r="A331">
        <v>318</v>
      </c>
      <c r="B331" s="4">
        <f t="shared" ca="1" si="18"/>
        <v>293.76646764418979</v>
      </c>
      <c r="C331">
        <f t="shared" ca="1" si="19"/>
        <v>1182.5</v>
      </c>
      <c r="D331">
        <f t="shared" ca="1" si="20"/>
        <v>860</v>
      </c>
      <c r="E331">
        <f t="shared" ca="1" si="21"/>
        <v>322.5</v>
      </c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x14ac:dyDescent="0.25">
      <c r="A332">
        <v>319</v>
      </c>
      <c r="B332" s="4">
        <f t="shared" ca="1" si="18"/>
        <v>228.35119816119044</v>
      </c>
      <c r="C332">
        <f t="shared" ca="1" si="19"/>
        <v>1182.5</v>
      </c>
      <c r="D332">
        <f t="shared" ca="1" si="20"/>
        <v>860</v>
      </c>
      <c r="E332">
        <f t="shared" ca="1" si="21"/>
        <v>322.5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x14ac:dyDescent="0.25">
      <c r="A333">
        <v>320</v>
      </c>
      <c r="B333" s="4">
        <f t="shared" ca="1" si="18"/>
        <v>293.76646764418979</v>
      </c>
      <c r="C333">
        <f t="shared" ca="1" si="19"/>
        <v>1182.5</v>
      </c>
      <c r="D333">
        <f t="shared" ca="1" si="20"/>
        <v>860</v>
      </c>
      <c r="E333">
        <f t="shared" ca="1" si="21"/>
        <v>322.5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x14ac:dyDescent="0.25">
      <c r="A334">
        <v>321</v>
      </c>
      <c r="B334" s="4">
        <f t="shared" ca="1" si="18"/>
        <v>293.76646764418979</v>
      </c>
      <c r="C334">
        <f t="shared" ca="1" si="19"/>
        <v>1182.5</v>
      </c>
      <c r="D334">
        <f t="shared" ca="1" si="20"/>
        <v>860</v>
      </c>
      <c r="E334">
        <f t="shared" ca="1" si="21"/>
        <v>322.5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x14ac:dyDescent="0.25">
      <c r="A335">
        <v>322</v>
      </c>
      <c r="B335" s="4">
        <f t="shared" ref="B335:B378" ca="1" si="22">HLOOKUP(RAND(),K$5:O$6,2,TRUE)</f>
        <v>263.35536460676792</v>
      </c>
      <c r="C335">
        <f t="shared" ref="C335:C378" ca="1" si="23">IF(C$11&gt;B335,B335*F$7+(C$11-B335)*F$8+(C$11-B335)*F$9,C$11*F$7)</f>
        <v>1182.5</v>
      </c>
      <c r="D335">
        <f t="shared" ref="D335:D378" ca="1" si="24">IF(C$11&gt;B335,B335*F$5+(C$11-B335)*F$6,C$11*F$5)</f>
        <v>860</v>
      </c>
      <c r="E335">
        <f t="shared" ref="E335:E378" ca="1" si="25">C335-D335</f>
        <v>322.5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x14ac:dyDescent="0.25">
      <c r="A336">
        <v>323</v>
      </c>
      <c r="B336" s="4">
        <f t="shared" ca="1" si="22"/>
        <v>228.35119816119044</v>
      </c>
      <c r="C336">
        <f t="shared" ca="1" si="23"/>
        <v>1182.5</v>
      </c>
      <c r="D336">
        <f t="shared" ca="1" si="24"/>
        <v>860</v>
      </c>
      <c r="E336">
        <f t="shared" ca="1" si="25"/>
        <v>322.5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x14ac:dyDescent="0.25">
      <c r="A337">
        <v>324</v>
      </c>
      <c r="B337" s="4">
        <f t="shared" ca="1" si="22"/>
        <v>217.18668662249479</v>
      </c>
      <c r="C337">
        <f t="shared" ca="1" si="23"/>
        <v>1182.5</v>
      </c>
      <c r="D337">
        <f t="shared" ca="1" si="24"/>
        <v>860</v>
      </c>
      <c r="E337">
        <f t="shared" ca="1" si="25"/>
        <v>322.5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x14ac:dyDescent="0.25">
      <c r="A338">
        <v>325</v>
      </c>
      <c r="B338" s="4">
        <f t="shared" ca="1" si="22"/>
        <v>258.43256826853184</v>
      </c>
      <c r="C338">
        <f t="shared" ca="1" si="23"/>
        <v>1182.5</v>
      </c>
      <c r="D338">
        <f t="shared" ca="1" si="24"/>
        <v>860</v>
      </c>
      <c r="E338">
        <f t="shared" ca="1" si="25"/>
        <v>322.5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x14ac:dyDescent="0.25">
      <c r="A339">
        <v>326</v>
      </c>
      <c r="B339" s="4">
        <f t="shared" ca="1" si="22"/>
        <v>258.43256826853184</v>
      </c>
      <c r="C339">
        <f t="shared" ca="1" si="23"/>
        <v>1182.5</v>
      </c>
      <c r="D339">
        <f t="shared" ca="1" si="24"/>
        <v>860</v>
      </c>
      <c r="E339">
        <f t="shared" ca="1" si="25"/>
        <v>322.5</v>
      </c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x14ac:dyDescent="0.25">
      <c r="A340">
        <v>327</v>
      </c>
      <c r="B340" s="4">
        <f t="shared" ca="1" si="22"/>
        <v>293.76646764418979</v>
      </c>
      <c r="C340">
        <f t="shared" ca="1" si="23"/>
        <v>1182.5</v>
      </c>
      <c r="D340">
        <f t="shared" ca="1" si="24"/>
        <v>860</v>
      </c>
      <c r="E340">
        <f t="shared" ca="1" si="25"/>
        <v>322.5</v>
      </c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x14ac:dyDescent="0.25">
      <c r="A341">
        <v>328</v>
      </c>
      <c r="B341" s="4">
        <f t="shared" ca="1" si="22"/>
        <v>258.43256826853184</v>
      </c>
      <c r="C341">
        <f t="shared" ca="1" si="23"/>
        <v>1182.5</v>
      </c>
      <c r="D341">
        <f t="shared" ca="1" si="24"/>
        <v>860</v>
      </c>
      <c r="E341">
        <f t="shared" ca="1" si="25"/>
        <v>322.5</v>
      </c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x14ac:dyDescent="0.25">
      <c r="A342">
        <v>329</v>
      </c>
      <c r="B342" s="4">
        <f t="shared" ca="1" si="22"/>
        <v>293.76646764418979</v>
      </c>
      <c r="C342">
        <f t="shared" ca="1" si="23"/>
        <v>1182.5</v>
      </c>
      <c r="D342">
        <f t="shared" ca="1" si="24"/>
        <v>860</v>
      </c>
      <c r="E342">
        <f t="shared" ca="1" si="25"/>
        <v>322.5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x14ac:dyDescent="0.25">
      <c r="A343">
        <v>330</v>
      </c>
      <c r="B343" s="4">
        <f t="shared" ca="1" si="22"/>
        <v>228.35119816119044</v>
      </c>
      <c r="C343">
        <f t="shared" ca="1" si="23"/>
        <v>1182.5</v>
      </c>
      <c r="D343">
        <f t="shared" ca="1" si="24"/>
        <v>860</v>
      </c>
      <c r="E343">
        <f t="shared" ca="1" si="25"/>
        <v>322.5</v>
      </c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x14ac:dyDescent="0.25">
      <c r="A344">
        <v>331</v>
      </c>
      <c r="B344" s="4">
        <f t="shared" ca="1" si="22"/>
        <v>293.76646764418979</v>
      </c>
      <c r="C344">
        <f t="shared" ca="1" si="23"/>
        <v>1182.5</v>
      </c>
      <c r="D344">
        <f t="shared" ca="1" si="24"/>
        <v>860</v>
      </c>
      <c r="E344">
        <f t="shared" ca="1" si="25"/>
        <v>322.5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x14ac:dyDescent="0.25">
      <c r="A345">
        <v>332</v>
      </c>
      <c r="B345" s="4">
        <f t="shared" ca="1" si="22"/>
        <v>263.35536460676792</v>
      </c>
      <c r="C345">
        <f t="shared" ca="1" si="23"/>
        <v>1182.5</v>
      </c>
      <c r="D345">
        <f t="shared" ca="1" si="24"/>
        <v>860</v>
      </c>
      <c r="E345">
        <f t="shared" ca="1" si="25"/>
        <v>322.5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x14ac:dyDescent="0.25">
      <c r="A346">
        <v>333</v>
      </c>
      <c r="B346" s="4">
        <f t="shared" ca="1" si="22"/>
        <v>293.76646764418979</v>
      </c>
      <c r="C346">
        <f t="shared" ca="1" si="23"/>
        <v>1182.5</v>
      </c>
      <c r="D346">
        <f t="shared" ca="1" si="24"/>
        <v>860</v>
      </c>
      <c r="E346">
        <f t="shared" ca="1" si="25"/>
        <v>322.5</v>
      </c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x14ac:dyDescent="0.25">
      <c r="A347">
        <v>334</v>
      </c>
      <c r="B347" s="4">
        <f t="shared" ca="1" si="22"/>
        <v>293.76646764418979</v>
      </c>
      <c r="C347">
        <f t="shared" ca="1" si="23"/>
        <v>1182.5</v>
      </c>
      <c r="D347">
        <f t="shared" ca="1" si="24"/>
        <v>860</v>
      </c>
      <c r="E347">
        <f t="shared" ca="1" si="25"/>
        <v>322.5</v>
      </c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x14ac:dyDescent="0.25">
      <c r="A348">
        <v>335</v>
      </c>
      <c r="B348" s="4">
        <f t="shared" ca="1" si="22"/>
        <v>293.76646764418979</v>
      </c>
      <c r="C348">
        <f t="shared" ca="1" si="23"/>
        <v>1182.5</v>
      </c>
      <c r="D348">
        <f t="shared" ca="1" si="24"/>
        <v>860</v>
      </c>
      <c r="E348">
        <f t="shared" ca="1" si="25"/>
        <v>322.5</v>
      </c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x14ac:dyDescent="0.25">
      <c r="A349">
        <v>336</v>
      </c>
      <c r="B349" s="4">
        <f t="shared" ca="1" si="22"/>
        <v>258.43256826853184</v>
      </c>
      <c r="C349">
        <f t="shared" ca="1" si="23"/>
        <v>1182.5</v>
      </c>
      <c r="D349">
        <f t="shared" ca="1" si="24"/>
        <v>860</v>
      </c>
      <c r="E349">
        <f t="shared" ca="1" si="25"/>
        <v>322.5</v>
      </c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x14ac:dyDescent="0.25">
      <c r="A350">
        <v>337</v>
      </c>
      <c r="B350" s="4">
        <f t="shared" ca="1" si="22"/>
        <v>263.35536460676792</v>
      </c>
      <c r="C350">
        <f t="shared" ca="1" si="23"/>
        <v>1182.5</v>
      </c>
      <c r="D350">
        <f t="shared" ca="1" si="24"/>
        <v>860</v>
      </c>
      <c r="E350">
        <f t="shared" ca="1" si="25"/>
        <v>322.5</v>
      </c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x14ac:dyDescent="0.25">
      <c r="A351">
        <v>338</v>
      </c>
      <c r="B351" s="4">
        <f t="shared" ca="1" si="22"/>
        <v>263.35536460676792</v>
      </c>
      <c r="C351">
        <f t="shared" ca="1" si="23"/>
        <v>1182.5</v>
      </c>
      <c r="D351">
        <f t="shared" ca="1" si="24"/>
        <v>860</v>
      </c>
      <c r="E351">
        <f t="shared" ca="1" si="25"/>
        <v>322.5</v>
      </c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x14ac:dyDescent="0.25">
      <c r="A352">
        <v>339</v>
      </c>
      <c r="B352" s="4">
        <f t="shared" ca="1" si="22"/>
        <v>217.18668662249479</v>
      </c>
      <c r="C352">
        <f t="shared" ca="1" si="23"/>
        <v>1182.5</v>
      </c>
      <c r="D352">
        <f t="shared" ca="1" si="24"/>
        <v>860</v>
      </c>
      <c r="E352">
        <f t="shared" ca="1" si="25"/>
        <v>322.5</v>
      </c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x14ac:dyDescent="0.25">
      <c r="A353">
        <v>340</v>
      </c>
      <c r="B353" s="4">
        <f t="shared" ca="1" si="22"/>
        <v>293.76646764418979</v>
      </c>
      <c r="C353">
        <f t="shared" ca="1" si="23"/>
        <v>1182.5</v>
      </c>
      <c r="D353">
        <f t="shared" ca="1" si="24"/>
        <v>860</v>
      </c>
      <c r="E353">
        <f t="shared" ca="1" si="25"/>
        <v>322.5</v>
      </c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x14ac:dyDescent="0.25">
      <c r="A354">
        <v>341</v>
      </c>
      <c r="B354" s="4">
        <f t="shared" ca="1" si="22"/>
        <v>217.18668662249479</v>
      </c>
      <c r="C354">
        <f t="shared" ca="1" si="23"/>
        <v>1182.5</v>
      </c>
      <c r="D354">
        <f t="shared" ca="1" si="24"/>
        <v>860</v>
      </c>
      <c r="E354">
        <f t="shared" ca="1" si="25"/>
        <v>322.5</v>
      </c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x14ac:dyDescent="0.25">
      <c r="A355">
        <v>342</v>
      </c>
      <c r="B355" s="4">
        <f t="shared" ca="1" si="22"/>
        <v>293.76646764418979</v>
      </c>
      <c r="C355">
        <f t="shared" ca="1" si="23"/>
        <v>1182.5</v>
      </c>
      <c r="D355">
        <f t="shared" ca="1" si="24"/>
        <v>860</v>
      </c>
      <c r="E355">
        <f t="shared" ca="1" si="25"/>
        <v>322.5</v>
      </c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x14ac:dyDescent="0.25">
      <c r="A356">
        <v>343</v>
      </c>
      <c r="B356" s="4">
        <f t="shared" ca="1" si="22"/>
        <v>293.76646764418979</v>
      </c>
      <c r="C356">
        <f t="shared" ca="1" si="23"/>
        <v>1182.5</v>
      </c>
      <c r="D356">
        <f t="shared" ca="1" si="24"/>
        <v>860</v>
      </c>
      <c r="E356">
        <f t="shared" ca="1" si="25"/>
        <v>322.5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x14ac:dyDescent="0.25">
      <c r="A357">
        <v>344</v>
      </c>
      <c r="B357" s="4">
        <f t="shared" ca="1" si="22"/>
        <v>258.43256826853184</v>
      </c>
      <c r="C357">
        <f t="shared" ca="1" si="23"/>
        <v>1182.5</v>
      </c>
      <c r="D357">
        <f t="shared" ca="1" si="24"/>
        <v>860</v>
      </c>
      <c r="E357">
        <f t="shared" ca="1" si="25"/>
        <v>322.5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x14ac:dyDescent="0.25">
      <c r="A358">
        <v>345</v>
      </c>
      <c r="B358" s="4">
        <f t="shared" ca="1" si="22"/>
        <v>258.43256826853184</v>
      </c>
      <c r="C358">
        <f t="shared" ca="1" si="23"/>
        <v>1182.5</v>
      </c>
      <c r="D358">
        <f t="shared" ca="1" si="24"/>
        <v>860</v>
      </c>
      <c r="E358">
        <f t="shared" ca="1" si="25"/>
        <v>322.5</v>
      </c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x14ac:dyDescent="0.25">
      <c r="A359">
        <v>346</v>
      </c>
      <c r="B359" s="4">
        <f t="shared" ca="1" si="22"/>
        <v>293.76646764418979</v>
      </c>
      <c r="C359">
        <f t="shared" ca="1" si="23"/>
        <v>1182.5</v>
      </c>
      <c r="D359">
        <f t="shared" ca="1" si="24"/>
        <v>860</v>
      </c>
      <c r="E359">
        <f t="shared" ca="1" si="25"/>
        <v>322.5</v>
      </c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x14ac:dyDescent="0.25">
      <c r="A360">
        <v>347</v>
      </c>
      <c r="B360" s="4">
        <f t="shared" ca="1" si="22"/>
        <v>217.18668662249479</v>
      </c>
      <c r="C360">
        <f t="shared" ca="1" si="23"/>
        <v>1182.5</v>
      </c>
      <c r="D360">
        <f t="shared" ca="1" si="24"/>
        <v>860</v>
      </c>
      <c r="E360">
        <f t="shared" ca="1" si="25"/>
        <v>322.5</v>
      </c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x14ac:dyDescent="0.25">
      <c r="A361">
        <v>348</v>
      </c>
      <c r="B361" s="4">
        <f t="shared" ca="1" si="22"/>
        <v>263.35536460676792</v>
      </c>
      <c r="C361">
        <f t="shared" ca="1" si="23"/>
        <v>1182.5</v>
      </c>
      <c r="D361">
        <f t="shared" ca="1" si="24"/>
        <v>860</v>
      </c>
      <c r="E361">
        <f t="shared" ca="1" si="25"/>
        <v>322.5</v>
      </c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x14ac:dyDescent="0.25">
      <c r="A362">
        <v>349</v>
      </c>
      <c r="B362" s="4">
        <f t="shared" ca="1" si="22"/>
        <v>263.35536460676792</v>
      </c>
      <c r="C362">
        <f t="shared" ca="1" si="23"/>
        <v>1182.5</v>
      </c>
      <c r="D362">
        <f t="shared" ca="1" si="24"/>
        <v>860</v>
      </c>
      <c r="E362">
        <f t="shared" ca="1" si="25"/>
        <v>322.5</v>
      </c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x14ac:dyDescent="0.25">
      <c r="A363">
        <v>350</v>
      </c>
      <c r="B363" s="4">
        <f t="shared" ca="1" si="22"/>
        <v>217.18668662249479</v>
      </c>
      <c r="C363">
        <f t="shared" ca="1" si="23"/>
        <v>1182.5</v>
      </c>
      <c r="D363">
        <f t="shared" ca="1" si="24"/>
        <v>860</v>
      </c>
      <c r="E363">
        <f t="shared" ca="1" si="25"/>
        <v>322.5</v>
      </c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x14ac:dyDescent="0.25">
      <c r="A364">
        <v>351</v>
      </c>
      <c r="B364" s="4">
        <f t="shared" ca="1" si="22"/>
        <v>217.18668662249479</v>
      </c>
      <c r="C364">
        <f t="shared" ca="1" si="23"/>
        <v>1182.5</v>
      </c>
      <c r="D364">
        <f t="shared" ca="1" si="24"/>
        <v>860</v>
      </c>
      <c r="E364">
        <f t="shared" ca="1" si="25"/>
        <v>322.5</v>
      </c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x14ac:dyDescent="0.25">
      <c r="A365">
        <v>352</v>
      </c>
      <c r="B365" s="4">
        <f t="shared" ca="1" si="22"/>
        <v>217.18668662249479</v>
      </c>
      <c r="C365">
        <f t="shared" ca="1" si="23"/>
        <v>1182.5</v>
      </c>
      <c r="D365">
        <f t="shared" ca="1" si="24"/>
        <v>860</v>
      </c>
      <c r="E365">
        <f t="shared" ca="1" si="25"/>
        <v>322.5</v>
      </c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x14ac:dyDescent="0.25">
      <c r="A366">
        <v>353</v>
      </c>
      <c r="B366" s="4">
        <f t="shared" ca="1" si="22"/>
        <v>258.43256826853184</v>
      </c>
      <c r="C366">
        <f t="shared" ca="1" si="23"/>
        <v>1182.5</v>
      </c>
      <c r="D366">
        <f t="shared" ca="1" si="24"/>
        <v>860</v>
      </c>
      <c r="E366">
        <f t="shared" ca="1" si="25"/>
        <v>322.5</v>
      </c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x14ac:dyDescent="0.25">
      <c r="A367">
        <v>354</v>
      </c>
      <c r="B367" s="4">
        <f t="shared" ca="1" si="22"/>
        <v>258.43256826853184</v>
      </c>
      <c r="C367">
        <f t="shared" ca="1" si="23"/>
        <v>1182.5</v>
      </c>
      <c r="D367">
        <f t="shared" ca="1" si="24"/>
        <v>860</v>
      </c>
      <c r="E367">
        <f t="shared" ca="1" si="25"/>
        <v>322.5</v>
      </c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x14ac:dyDescent="0.25">
      <c r="A368">
        <v>355</v>
      </c>
      <c r="B368" s="4">
        <f t="shared" ca="1" si="22"/>
        <v>263.35536460676792</v>
      </c>
      <c r="C368">
        <f t="shared" ca="1" si="23"/>
        <v>1182.5</v>
      </c>
      <c r="D368">
        <f t="shared" ca="1" si="24"/>
        <v>860</v>
      </c>
      <c r="E368">
        <f t="shared" ca="1" si="25"/>
        <v>322.5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x14ac:dyDescent="0.25">
      <c r="A369">
        <v>356</v>
      </c>
      <c r="B369" s="4">
        <f t="shared" ca="1" si="22"/>
        <v>263.35536460676792</v>
      </c>
      <c r="C369">
        <f t="shared" ca="1" si="23"/>
        <v>1182.5</v>
      </c>
      <c r="D369">
        <f t="shared" ca="1" si="24"/>
        <v>860</v>
      </c>
      <c r="E369">
        <f t="shared" ca="1" si="25"/>
        <v>322.5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x14ac:dyDescent="0.25">
      <c r="A370">
        <v>357</v>
      </c>
      <c r="B370" s="4">
        <f t="shared" ca="1" si="22"/>
        <v>293.76646764418979</v>
      </c>
      <c r="C370">
        <f t="shared" ca="1" si="23"/>
        <v>1182.5</v>
      </c>
      <c r="D370">
        <f t="shared" ca="1" si="24"/>
        <v>860</v>
      </c>
      <c r="E370">
        <f t="shared" ca="1" si="25"/>
        <v>322.5</v>
      </c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x14ac:dyDescent="0.25">
      <c r="A371">
        <v>358</v>
      </c>
      <c r="B371" s="4">
        <f t="shared" ca="1" si="22"/>
        <v>217.18668662249479</v>
      </c>
      <c r="C371">
        <f t="shared" ca="1" si="23"/>
        <v>1182.5</v>
      </c>
      <c r="D371">
        <f t="shared" ca="1" si="24"/>
        <v>860</v>
      </c>
      <c r="E371">
        <f t="shared" ca="1" si="25"/>
        <v>322.5</v>
      </c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x14ac:dyDescent="0.25">
      <c r="A372">
        <v>359</v>
      </c>
      <c r="B372" s="4">
        <f t="shared" ca="1" si="22"/>
        <v>293.76646764418979</v>
      </c>
      <c r="C372">
        <f t="shared" ca="1" si="23"/>
        <v>1182.5</v>
      </c>
      <c r="D372">
        <f t="shared" ca="1" si="24"/>
        <v>860</v>
      </c>
      <c r="E372">
        <f t="shared" ca="1" si="25"/>
        <v>322.5</v>
      </c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x14ac:dyDescent="0.25">
      <c r="A373">
        <v>360</v>
      </c>
      <c r="B373" s="4">
        <f t="shared" ca="1" si="22"/>
        <v>258.43256826853184</v>
      </c>
      <c r="C373">
        <f t="shared" ca="1" si="23"/>
        <v>1182.5</v>
      </c>
      <c r="D373">
        <f t="shared" ca="1" si="24"/>
        <v>860</v>
      </c>
      <c r="E373">
        <f t="shared" ca="1" si="25"/>
        <v>322.5</v>
      </c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x14ac:dyDescent="0.25">
      <c r="A374">
        <v>361</v>
      </c>
      <c r="B374" s="4">
        <f t="shared" ca="1" si="22"/>
        <v>217.18668662249479</v>
      </c>
      <c r="C374">
        <f t="shared" ca="1" si="23"/>
        <v>1182.5</v>
      </c>
      <c r="D374">
        <f t="shared" ca="1" si="24"/>
        <v>860</v>
      </c>
      <c r="E374">
        <f t="shared" ca="1" si="25"/>
        <v>322.5</v>
      </c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x14ac:dyDescent="0.25">
      <c r="A375">
        <v>362</v>
      </c>
      <c r="B375" s="4">
        <f t="shared" ca="1" si="22"/>
        <v>263.35536460676792</v>
      </c>
      <c r="C375">
        <f t="shared" ca="1" si="23"/>
        <v>1182.5</v>
      </c>
      <c r="D375">
        <f t="shared" ca="1" si="24"/>
        <v>860</v>
      </c>
      <c r="E375">
        <f t="shared" ca="1" si="25"/>
        <v>322.5</v>
      </c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x14ac:dyDescent="0.25">
      <c r="A376">
        <v>363</v>
      </c>
      <c r="B376" s="4">
        <f t="shared" ca="1" si="22"/>
        <v>228.35119816119044</v>
      </c>
      <c r="C376">
        <f t="shared" ca="1" si="23"/>
        <v>1182.5</v>
      </c>
      <c r="D376">
        <f t="shared" ca="1" si="24"/>
        <v>860</v>
      </c>
      <c r="E376">
        <f t="shared" ca="1" si="25"/>
        <v>322.5</v>
      </c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x14ac:dyDescent="0.25">
      <c r="A377">
        <v>364</v>
      </c>
      <c r="B377" s="4">
        <f t="shared" ca="1" si="22"/>
        <v>263.35536460676792</v>
      </c>
      <c r="C377">
        <f t="shared" ca="1" si="23"/>
        <v>1182.5</v>
      </c>
      <c r="D377">
        <f t="shared" ca="1" si="24"/>
        <v>860</v>
      </c>
      <c r="E377">
        <f t="shared" ca="1" si="25"/>
        <v>322.5</v>
      </c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x14ac:dyDescent="0.25">
      <c r="A378">
        <v>365</v>
      </c>
      <c r="B378" s="4">
        <f t="shared" ca="1" si="22"/>
        <v>217.18668662249479</v>
      </c>
      <c r="C378">
        <f t="shared" ca="1" si="23"/>
        <v>1182.5</v>
      </c>
      <c r="D378">
        <f t="shared" ca="1" si="24"/>
        <v>860</v>
      </c>
      <c r="E378">
        <f t="shared" ca="1" si="25"/>
        <v>322.5</v>
      </c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x14ac:dyDescent="0.25">
      <c r="C379" s="67"/>
      <c r="D379" s="67"/>
      <c r="E379" s="67">
        <f ca="1">AVERAGE(E14:E378)</f>
        <v>322.5</v>
      </c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x14ac:dyDescent="0.25">
      <c r="C380" s="67"/>
      <c r="D380" s="67"/>
      <c r="E380" s="6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x14ac:dyDescent="0.25"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x14ac:dyDescent="0.25"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x14ac:dyDescent="0.25"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x14ac:dyDescent="0.25"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6" spans="1:5" x14ac:dyDescent="0.25">
      <c r="C386" s="12" t="s">
        <v>27</v>
      </c>
    </row>
    <row r="387" spans="1:5" x14ac:dyDescent="0.25">
      <c r="A387" s="12" t="s">
        <v>24</v>
      </c>
      <c r="B387" s="12" t="s">
        <v>1</v>
      </c>
      <c r="C387" s="12" t="s">
        <v>5</v>
      </c>
      <c r="D387" s="12" t="s">
        <v>6</v>
      </c>
      <c r="E387" s="12" t="s">
        <v>7</v>
      </c>
    </row>
    <row r="388" spans="1:5" x14ac:dyDescent="0.25">
      <c r="A388">
        <v>1</v>
      </c>
      <c r="B388" s="4">
        <f ca="1">HLOOKUP(RAND(),$K$5:$O$6,2,TRUE)</f>
        <v>258.43256826853184</v>
      </c>
      <c r="C388">
        <f t="shared" ref="C388:C451" ca="1" si="26">IF($M$10&gt;$B388,$B388*$F$7+($M$10-$B388)*$F$8+($M$10-$B388)*$F$9,$M$10*$F$7)</f>
        <v>1402.5</v>
      </c>
      <c r="D388">
        <f t="shared" ref="D388:D451" ca="1" si="27">IF(M$10&gt;B388,B388*F$5+(M$10-B388)*F$6,M$10*F$5)</f>
        <v>1020</v>
      </c>
      <c r="E388">
        <f ca="1">C388-D388</f>
        <v>382.5</v>
      </c>
    </row>
    <row r="389" spans="1:5" x14ac:dyDescent="0.25">
      <c r="A389">
        <v>2</v>
      </c>
      <c r="B389" s="4">
        <f t="shared" ref="B389:B452" ca="1" si="28">HLOOKUP(RAND(),$K$5:$O$6,2,TRUE)</f>
        <v>258.43256826853184</v>
      </c>
      <c r="C389">
        <f t="shared" ca="1" si="26"/>
        <v>1402.5</v>
      </c>
      <c r="D389">
        <f t="shared" ca="1" si="27"/>
        <v>1020</v>
      </c>
      <c r="E389">
        <f ca="1">C389-D389</f>
        <v>382.5</v>
      </c>
    </row>
    <row r="390" spans="1:5" x14ac:dyDescent="0.25">
      <c r="A390">
        <v>3</v>
      </c>
      <c r="B390" s="4">
        <f t="shared" ca="1" si="28"/>
        <v>258.43256826853184</v>
      </c>
      <c r="C390">
        <f t="shared" ca="1" si="26"/>
        <v>1402.5</v>
      </c>
      <c r="D390">
        <f t="shared" ca="1" si="27"/>
        <v>1020</v>
      </c>
      <c r="E390">
        <f t="shared" ref="E390:E453" ca="1" si="29">C390-D390</f>
        <v>382.5</v>
      </c>
    </row>
    <row r="391" spans="1:5" x14ac:dyDescent="0.25">
      <c r="A391">
        <v>4</v>
      </c>
      <c r="B391" s="4">
        <f t="shared" ca="1" si="28"/>
        <v>263.35536460676792</v>
      </c>
      <c r="C391">
        <f t="shared" ca="1" si="26"/>
        <v>1402.5</v>
      </c>
      <c r="D391">
        <f t="shared" ca="1" si="27"/>
        <v>1020</v>
      </c>
      <c r="E391">
        <f t="shared" ca="1" si="29"/>
        <v>382.5</v>
      </c>
    </row>
    <row r="392" spans="1:5" x14ac:dyDescent="0.25">
      <c r="A392">
        <v>5</v>
      </c>
      <c r="B392" s="4">
        <f t="shared" ca="1" si="28"/>
        <v>258.43256826853184</v>
      </c>
      <c r="C392">
        <f t="shared" ca="1" si="26"/>
        <v>1402.5</v>
      </c>
      <c r="D392">
        <f t="shared" ca="1" si="27"/>
        <v>1020</v>
      </c>
      <c r="E392">
        <f t="shared" ca="1" si="29"/>
        <v>382.5</v>
      </c>
    </row>
    <row r="393" spans="1:5" x14ac:dyDescent="0.25">
      <c r="A393">
        <v>6</v>
      </c>
      <c r="B393" s="4">
        <f t="shared" ca="1" si="28"/>
        <v>293.76646764418979</v>
      </c>
      <c r="C393">
        <f t="shared" ca="1" si="26"/>
        <v>1402.5</v>
      </c>
      <c r="D393">
        <f t="shared" ca="1" si="27"/>
        <v>1020</v>
      </c>
      <c r="E393">
        <f t="shared" ca="1" si="29"/>
        <v>382.5</v>
      </c>
    </row>
    <row r="394" spans="1:5" x14ac:dyDescent="0.25">
      <c r="A394">
        <v>7</v>
      </c>
      <c r="B394" s="4">
        <f t="shared" ca="1" si="28"/>
        <v>258.43256826853184</v>
      </c>
      <c r="C394">
        <f t="shared" ca="1" si="26"/>
        <v>1402.5</v>
      </c>
      <c r="D394">
        <f t="shared" ca="1" si="27"/>
        <v>1020</v>
      </c>
      <c r="E394">
        <f t="shared" ca="1" si="29"/>
        <v>382.5</v>
      </c>
    </row>
    <row r="395" spans="1:5" x14ac:dyDescent="0.25">
      <c r="A395">
        <v>8</v>
      </c>
      <c r="B395" s="4">
        <f t="shared" ca="1" si="28"/>
        <v>263.35536460676792</v>
      </c>
      <c r="C395">
        <f t="shared" ca="1" si="26"/>
        <v>1402.5</v>
      </c>
      <c r="D395">
        <f t="shared" ca="1" si="27"/>
        <v>1020</v>
      </c>
      <c r="E395">
        <f t="shared" ca="1" si="29"/>
        <v>382.5</v>
      </c>
    </row>
    <row r="396" spans="1:5" x14ac:dyDescent="0.25">
      <c r="A396">
        <v>9</v>
      </c>
      <c r="B396" s="4">
        <f t="shared" ca="1" si="28"/>
        <v>263.35536460676792</v>
      </c>
      <c r="C396">
        <f t="shared" ca="1" si="26"/>
        <v>1402.5</v>
      </c>
      <c r="D396">
        <f t="shared" ca="1" si="27"/>
        <v>1020</v>
      </c>
      <c r="E396">
        <f t="shared" ca="1" si="29"/>
        <v>382.5</v>
      </c>
    </row>
    <row r="397" spans="1:5" x14ac:dyDescent="0.25">
      <c r="A397">
        <v>10</v>
      </c>
      <c r="B397" s="4">
        <f t="shared" ca="1" si="28"/>
        <v>217.18668662249479</v>
      </c>
      <c r="C397">
        <f t="shared" ca="1" si="26"/>
        <v>1317.4200449006134</v>
      </c>
      <c r="D397">
        <f t="shared" ca="1" si="27"/>
        <v>925.46671655623697</v>
      </c>
      <c r="E397">
        <f t="shared" ca="1" si="29"/>
        <v>391.95332834437647</v>
      </c>
    </row>
    <row r="398" spans="1:5" x14ac:dyDescent="0.25">
      <c r="A398">
        <v>11</v>
      </c>
      <c r="B398" s="4">
        <f t="shared" ca="1" si="28"/>
        <v>217.18668662249479</v>
      </c>
      <c r="C398">
        <f t="shared" ca="1" si="26"/>
        <v>1317.4200449006134</v>
      </c>
      <c r="D398">
        <f t="shared" ca="1" si="27"/>
        <v>925.46671655623697</v>
      </c>
      <c r="E398">
        <f t="shared" ca="1" si="29"/>
        <v>391.95332834437647</v>
      </c>
    </row>
    <row r="399" spans="1:5" x14ac:dyDescent="0.25">
      <c r="A399">
        <v>12</v>
      </c>
      <c r="B399" s="4">
        <f t="shared" ca="1" si="28"/>
        <v>228.35119816119044</v>
      </c>
      <c r="C399">
        <f t="shared" ca="1" si="26"/>
        <v>1342.5401958626787</v>
      </c>
      <c r="D399">
        <f t="shared" ca="1" si="27"/>
        <v>953.37799540297613</v>
      </c>
      <c r="E399">
        <f t="shared" ca="1" si="29"/>
        <v>389.1622004597026</v>
      </c>
    </row>
    <row r="400" spans="1:5" x14ac:dyDescent="0.25">
      <c r="A400">
        <v>13</v>
      </c>
      <c r="B400" s="4">
        <f t="shared" ca="1" si="28"/>
        <v>217.18668662249479</v>
      </c>
      <c r="C400">
        <f t="shared" ca="1" si="26"/>
        <v>1317.4200449006134</v>
      </c>
      <c r="D400">
        <f t="shared" ca="1" si="27"/>
        <v>925.46671655623697</v>
      </c>
      <c r="E400">
        <f t="shared" ca="1" si="29"/>
        <v>391.95332834437647</v>
      </c>
    </row>
    <row r="401" spans="1:5" x14ac:dyDescent="0.25">
      <c r="A401">
        <v>14</v>
      </c>
      <c r="B401" s="4">
        <f t="shared" ca="1" si="28"/>
        <v>293.76646764418979</v>
      </c>
      <c r="C401">
        <f t="shared" ca="1" si="26"/>
        <v>1402.5</v>
      </c>
      <c r="D401">
        <f t="shared" ca="1" si="27"/>
        <v>1020</v>
      </c>
      <c r="E401">
        <f t="shared" ca="1" si="29"/>
        <v>382.5</v>
      </c>
    </row>
    <row r="402" spans="1:5" x14ac:dyDescent="0.25">
      <c r="A402">
        <v>15</v>
      </c>
      <c r="B402" s="4">
        <f t="shared" ca="1" si="28"/>
        <v>228.35119816119044</v>
      </c>
      <c r="C402">
        <f t="shared" ca="1" si="26"/>
        <v>1342.5401958626787</v>
      </c>
      <c r="D402">
        <f t="shared" ca="1" si="27"/>
        <v>953.37799540297613</v>
      </c>
      <c r="E402">
        <f t="shared" ca="1" si="29"/>
        <v>389.1622004597026</v>
      </c>
    </row>
    <row r="403" spans="1:5" x14ac:dyDescent="0.25">
      <c r="A403">
        <v>16</v>
      </c>
      <c r="B403" s="4">
        <f t="shared" ca="1" si="28"/>
        <v>293.76646764418979</v>
      </c>
      <c r="C403">
        <f t="shared" ca="1" si="26"/>
        <v>1402.5</v>
      </c>
      <c r="D403">
        <f t="shared" ca="1" si="27"/>
        <v>1020</v>
      </c>
      <c r="E403">
        <f t="shared" ca="1" si="29"/>
        <v>382.5</v>
      </c>
    </row>
    <row r="404" spans="1:5" x14ac:dyDescent="0.25">
      <c r="A404">
        <v>17</v>
      </c>
      <c r="B404" s="4">
        <f t="shared" ca="1" si="28"/>
        <v>263.35536460676792</v>
      </c>
      <c r="C404">
        <f t="shared" ca="1" si="26"/>
        <v>1402.5</v>
      </c>
      <c r="D404">
        <f t="shared" ca="1" si="27"/>
        <v>1020</v>
      </c>
      <c r="E404">
        <f t="shared" ca="1" si="29"/>
        <v>382.5</v>
      </c>
    </row>
    <row r="405" spans="1:5" x14ac:dyDescent="0.25">
      <c r="A405">
        <v>18</v>
      </c>
      <c r="B405" s="4">
        <f t="shared" ca="1" si="28"/>
        <v>263.35536460676792</v>
      </c>
      <c r="C405">
        <f t="shared" ca="1" si="26"/>
        <v>1402.5</v>
      </c>
      <c r="D405">
        <f t="shared" ca="1" si="27"/>
        <v>1020</v>
      </c>
      <c r="E405">
        <f t="shared" ca="1" si="29"/>
        <v>382.5</v>
      </c>
    </row>
    <row r="406" spans="1:5" x14ac:dyDescent="0.25">
      <c r="A406">
        <v>19</v>
      </c>
      <c r="B406" s="4">
        <f t="shared" ca="1" si="28"/>
        <v>258.43256826853184</v>
      </c>
      <c r="C406">
        <f t="shared" ca="1" si="26"/>
        <v>1402.5</v>
      </c>
      <c r="D406">
        <f t="shared" ca="1" si="27"/>
        <v>1020</v>
      </c>
      <c r="E406">
        <f t="shared" ca="1" si="29"/>
        <v>382.5</v>
      </c>
    </row>
    <row r="407" spans="1:5" x14ac:dyDescent="0.25">
      <c r="A407">
        <v>20</v>
      </c>
      <c r="B407" s="4">
        <f t="shared" ca="1" si="28"/>
        <v>228.35119816119044</v>
      </c>
      <c r="C407">
        <f t="shared" ca="1" si="26"/>
        <v>1342.5401958626787</v>
      </c>
      <c r="D407">
        <f t="shared" ca="1" si="27"/>
        <v>953.37799540297613</v>
      </c>
      <c r="E407">
        <f t="shared" ca="1" si="29"/>
        <v>389.1622004597026</v>
      </c>
    </row>
    <row r="408" spans="1:5" x14ac:dyDescent="0.25">
      <c r="A408">
        <v>21</v>
      </c>
      <c r="B408" s="4">
        <f t="shared" ca="1" si="28"/>
        <v>228.35119816119044</v>
      </c>
      <c r="C408">
        <f t="shared" ca="1" si="26"/>
        <v>1342.5401958626787</v>
      </c>
      <c r="D408">
        <f t="shared" ca="1" si="27"/>
        <v>953.37799540297613</v>
      </c>
      <c r="E408">
        <f t="shared" ca="1" si="29"/>
        <v>389.1622004597026</v>
      </c>
    </row>
    <row r="409" spans="1:5" x14ac:dyDescent="0.25">
      <c r="A409">
        <v>22</v>
      </c>
      <c r="B409" s="4">
        <f t="shared" ca="1" si="28"/>
        <v>228.35119816119044</v>
      </c>
      <c r="C409">
        <f t="shared" ca="1" si="26"/>
        <v>1342.5401958626787</v>
      </c>
      <c r="D409">
        <f t="shared" ca="1" si="27"/>
        <v>953.37799540297613</v>
      </c>
      <c r="E409">
        <f t="shared" ca="1" si="29"/>
        <v>389.1622004597026</v>
      </c>
    </row>
    <row r="410" spans="1:5" x14ac:dyDescent="0.25">
      <c r="A410">
        <v>23</v>
      </c>
      <c r="B410" s="4">
        <f t="shared" ca="1" si="28"/>
        <v>228.35119816119044</v>
      </c>
      <c r="C410">
        <f t="shared" ca="1" si="26"/>
        <v>1342.5401958626787</v>
      </c>
      <c r="D410">
        <f t="shared" ca="1" si="27"/>
        <v>953.37799540297613</v>
      </c>
      <c r="E410">
        <f t="shared" ca="1" si="29"/>
        <v>389.1622004597026</v>
      </c>
    </row>
    <row r="411" spans="1:5" x14ac:dyDescent="0.25">
      <c r="A411">
        <v>24</v>
      </c>
      <c r="B411" s="4">
        <f t="shared" ca="1" si="28"/>
        <v>263.35536460676792</v>
      </c>
      <c r="C411">
        <f t="shared" ca="1" si="26"/>
        <v>1402.5</v>
      </c>
      <c r="D411">
        <f t="shared" ca="1" si="27"/>
        <v>1020</v>
      </c>
      <c r="E411">
        <f t="shared" ca="1" si="29"/>
        <v>382.5</v>
      </c>
    </row>
    <row r="412" spans="1:5" x14ac:dyDescent="0.25">
      <c r="A412">
        <v>25</v>
      </c>
      <c r="B412" s="4">
        <f t="shared" ca="1" si="28"/>
        <v>228.35119816119044</v>
      </c>
      <c r="C412">
        <f t="shared" ca="1" si="26"/>
        <v>1342.5401958626787</v>
      </c>
      <c r="D412">
        <f t="shared" ca="1" si="27"/>
        <v>953.37799540297613</v>
      </c>
      <c r="E412">
        <f t="shared" ca="1" si="29"/>
        <v>389.1622004597026</v>
      </c>
    </row>
    <row r="413" spans="1:5" x14ac:dyDescent="0.25">
      <c r="A413">
        <v>26</v>
      </c>
      <c r="B413" s="4">
        <f t="shared" ca="1" si="28"/>
        <v>293.76646764418979</v>
      </c>
      <c r="C413">
        <f t="shared" ca="1" si="26"/>
        <v>1402.5</v>
      </c>
      <c r="D413">
        <f t="shared" ca="1" si="27"/>
        <v>1020</v>
      </c>
      <c r="E413">
        <f t="shared" ca="1" si="29"/>
        <v>382.5</v>
      </c>
    </row>
    <row r="414" spans="1:5" x14ac:dyDescent="0.25">
      <c r="A414">
        <v>27</v>
      </c>
      <c r="B414" s="4">
        <f t="shared" ca="1" si="28"/>
        <v>263.35536460676792</v>
      </c>
      <c r="C414">
        <f t="shared" ca="1" si="26"/>
        <v>1402.5</v>
      </c>
      <c r="D414">
        <f t="shared" ca="1" si="27"/>
        <v>1020</v>
      </c>
      <c r="E414">
        <f t="shared" ca="1" si="29"/>
        <v>382.5</v>
      </c>
    </row>
    <row r="415" spans="1:5" x14ac:dyDescent="0.25">
      <c r="A415">
        <v>28</v>
      </c>
      <c r="B415" s="4">
        <f t="shared" ca="1" si="28"/>
        <v>228.35119816119044</v>
      </c>
      <c r="C415">
        <f t="shared" ca="1" si="26"/>
        <v>1342.5401958626787</v>
      </c>
      <c r="D415">
        <f t="shared" ca="1" si="27"/>
        <v>953.37799540297613</v>
      </c>
      <c r="E415">
        <f t="shared" ca="1" si="29"/>
        <v>389.1622004597026</v>
      </c>
    </row>
    <row r="416" spans="1:5" x14ac:dyDescent="0.25">
      <c r="A416">
        <v>29</v>
      </c>
      <c r="B416" s="4">
        <f t="shared" ca="1" si="28"/>
        <v>228.35119816119044</v>
      </c>
      <c r="C416">
        <f t="shared" ca="1" si="26"/>
        <v>1342.5401958626787</v>
      </c>
      <c r="D416">
        <f t="shared" ca="1" si="27"/>
        <v>953.37799540297613</v>
      </c>
      <c r="E416">
        <f t="shared" ca="1" si="29"/>
        <v>389.1622004597026</v>
      </c>
    </row>
    <row r="417" spans="1:5" x14ac:dyDescent="0.25">
      <c r="A417">
        <v>30</v>
      </c>
      <c r="B417" s="4">
        <f t="shared" ca="1" si="28"/>
        <v>263.35536460676792</v>
      </c>
      <c r="C417">
        <f t="shared" ca="1" si="26"/>
        <v>1402.5</v>
      </c>
      <c r="D417">
        <f t="shared" ca="1" si="27"/>
        <v>1020</v>
      </c>
      <c r="E417">
        <f t="shared" ca="1" si="29"/>
        <v>382.5</v>
      </c>
    </row>
    <row r="418" spans="1:5" x14ac:dyDescent="0.25">
      <c r="A418">
        <v>31</v>
      </c>
      <c r="B418" s="4">
        <f t="shared" ca="1" si="28"/>
        <v>293.76646764418979</v>
      </c>
      <c r="C418">
        <f t="shared" ca="1" si="26"/>
        <v>1402.5</v>
      </c>
      <c r="D418">
        <f t="shared" ca="1" si="27"/>
        <v>1020</v>
      </c>
      <c r="E418">
        <f t="shared" ca="1" si="29"/>
        <v>382.5</v>
      </c>
    </row>
    <row r="419" spans="1:5" x14ac:dyDescent="0.25">
      <c r="A419">
        <v>32</v>
      </c>
      <c r="B419" s="4">
        <f t="shared" ca="1" si="28"/>
        <v>228.35119816119044</v>
      </c>
      <c r="C419">
        <f t="shared" ca="1" si="26"/>
        <v>1342.5401958626787</v>
      </c>
      <c r="D419">
        <f t="shared" ca="1" si="27"/>
        <v>953.37799540297613</v>
      </c>
      <c r="E419">
        <f t="shared" ca="1" si="29"/>
        <v>389.1622004597026</v>
      </c>
    </row>
    <row r="420" spans="1:5" x14ac:dyDescent="0.25">
      <c r="A420">
        <v>33</v>
      </c>
      <c r="B420" s="4">
        <f t="shared" ca="1" si="28"/>
        <v>293.76646764418979</v>
      </c>
      <c r="C420">
        <f t="shared" ca="1" si="26"/>
        <v>1402.5</v>
      </c>
      <c r="D420">
        <f t="shared" ca="1" si="27"/>
        <v>1020</v>
      </c>
      <c r="E420">
        <f t="shared" ca="1" si="29"/>
        <v>382.5</v>
      </c>
    </row>
    <row r="421" spans="1:5" x14ac:dyDescent="0.25">
      <c r="A421">
        <v>34</v>
      </c>
      <c r="B421" s="4">
        <f t="shared" ca="1" si="28"/>
        <v>258.43256826853184</v>
      </c>
      <c r="C421">
        <f t="shared" ca="1" si="26"/>
        <v>1402.5</v>
      </c>
      <c r="D421">
        <f t="shared" ca="1" si="27"/>
        <v>1020</v>
      </c>
      <c r="E421">
        <f t="shared" ca="1" si="29"/>
        <v>382.5</v>
      </c>
    </row>
    <row r="422" spans="1:5" x14ac:dyDescent="0.25">
      <c r="A422">
        <v>35</v>
      </c>
      <c r="B422" s="4">
        <f t="shared" ca="1" si="28"/>
        <v>228.35119816119044</v>
      </c>
      <c r="C422">
        <f t="shared" ca="1" si="26"/>
        <v>1342.5401958626787</v>
      </c>
      <c r="D422">
        <f t="shared" ca="1" si="27"/>
        <v>953.37799540297613</v>
      </c>
      <c r="E422">
        <f t="shared" ca="1" si="29"/>
        <v>389.1622004597026</v>
      </c>
    </row>
    <row r="423" spans="1:5" x14ac:dyDescent="0.25">
      <c r="A423">
        <v>36</v>
      </c>
      <c r="B423" s="4">
        <f t="shared" ca="1" si="28"/>
        <v>217.18668662249479</v>
      </c>
      <c r="C423">
        <f t="shared" ca="1" si="26"/>
        <v>1317.4200449006134</v>
      </c>
      <c r="D423">
        <f t="shared" ca="1" si="27"/>
        <v>925.46671655623697</v>
      </c>
      <c r="E423">
        <f t="shared" ca="1" si="29"/>
        <v>391.95332834437647</v>
      </c>
    </row>
    <row r="424" spans="1:5" x14ac:dyDescent="0.25">
      <c r="A424">
        <v>37</v>
      </c>
      <c r="B424" s="4">
        <f t="shared" ca="1" si="28"/>
        <v>293.76646764418979</v>
      </c>
      <c r="C424">
        <f t="shared" ca="1" si="26"/>
        <v>1402.5</v>
      </c>
      <c r="D424">
        <f t="shared" ca="1" si="27"/>
        <v>1020</v>
      </c>
      <c r="E424">
        <f t="shared" ca="1" si="29"/>
        <v>382.5</v>
      </c>
    </row>
    <row r="425" spans="1:5" x14ac:dyDescent="0.25">
      <c r="A425">
        <v>38</v>
      </c>
      <c r="B425" s="4">
        <f t="shared" ca="1" si="28"/>
        <v>217.18668662249479</v>
      </c>
      <c r="C425">
        <f t="shared" ca="1" si="26"/>
        <v>1317.4200449006134</v>
      </c>
      <c r="D425">
        <f t="shared" ca="1" si="27"/>
        <v>925.46671655623697</v>
      </c>
      <c r="E425">
        <f t="shared" ca="1" si="29"/>
        <v>391.95332834437647</v>
      </c>
    </row>
    <row r="426" spans="1:5" x14ac:dyDescent="0.25">
      <c r="A426">
        <v>39</v>
      </c>
      <c r="B426" s="4">
        <f t="shared" ca="1" si="28"/>
        <v>228.35119816119044</v>
      </c>
      <c r="C426">
        <f t="shared" ca="1" si="26"/>
        <v>1342.5401958626787</v>
      </c>
      <c r="D426">
        <f t="shared" ca="1" si="27"/>
        <v>953.37799540297613</v>
      </c>
      <c r="E426">
        <f t="shared" ca="1" si="29"/>
        <v>389.1622004597026</v>
      </c>
    </row>
    <row r="427" spans="1:5" x14ac:dyDescent="0.25">
      <c r="A427">
        <v>40</v>
      </c>
      <c r="B427" s="4">
        <f t="shared" ca="1" si="28"/>
        <v>293.76646764418979</v>
      </c>
      <c r="C427">
        <f t="shared" ca="1" si="26"/>
        <v>1402.5</v>
      </c>
      <c r="D427">
        <f t="shared" ca="1" si="27"/>
        <v>1020</v>
      </c>
      <c r="E427">
        <f t="shared" ca="1" si="29"/>
        <v>382.5</v>
      </c>
    </row>
    <row r="428" spans="1:5" x14ac:dyDescent="0.25">
      <c r="A428">
        <v>41</v>
      </c>
      <c r="B428" s="4">
        <f t="shared" ca="1" si="28"/>
        <v>258.43256826853184</v>
      </c>
      <c r="C428">
        <f t="shared" ca="1" si="26"/>
        <v>1402.5</v>
      </c>
      <c r="D428">
        <f t="shared" ca="1" si="27"/>
        <v>1020</v>
      </c>
      <c r="E428">
        <f t="shared" ca="1" si="29"/>
        <v>382.5</v>
      </c>
    </row>
    <row r="429" spans="1:5" x14ac:dyDescent="0.25">
      <c r="A429">
        <v>42</v>
      </c>
      <c r="B429" s="4">
        <f t="shared" ca="1" si="28"/>
        <v>258.43256826853184</v>
      </c>
      <c r="C429">
        <f t="shared" ca="1" si="26"/>
        <v>1402.5</v>
      </c>
      <c r="D429">
        <f t="shared" ca="1" si="27"/>
        <v>1020</v>
      </c>
      <c r="E429">
        <f t="shared" ca="1" si="29"/>
        <v>382.5</v>
      </c>
    </row>
    <row r="430" spans="1:5" x14ac:dyDescent="0.25">
      <c r="A430">
        <v>43</v>
      </c>
      <c r="B430" s="4">
        <f t="shared" ca="1" si="28"/>
        <v>263.35536460676792</v>
      </c>
      <c r="C430">
        <f t="shared" ca="1" si="26"/>
        <v>1402.5</v>
      </c>
      <c r="D430">
        <f t="shared" ca="1" si="27"/>
        <v>1020</v>
      </c>
      <c r="E430">
        <f t="shared" ca="1" si="29"/>
        <v>382.5</v>
      </c>
    </row>
    <row r="431" spans="1:5" x14ac:dyDescent="0.25">
      <c r="A431">
        <v>44</v>
      </c>
      <c r="B431" s="4">
        <f t="shared" ca="1" si="28"/>
        <v>228.35119816119044</v>
      </c>
      <c r="C431">
        <f t="shared" ca="1" si="26"/>
        <v>1342.5401958626787</v>
      </c>
      <c r="D431">
        <f t="shared" ca="1" si="27"/>
        <v>953.37799540297613</v>
      </c>
      <c r="E431">
        <f t="shared" ca="1" si="29"/>
        <v>389.1622004597026</v>
      </c>
    </row>
    <row r="432" spans="1:5" x14ac:dyDescent="0.25">
      <c r="A432">
        <v>45</v>
      </c>
      <c r="B432" s="4">
        <f t="shared" ca="1" si="28"/>
        <v>258.43256826853184</v>
      </c>
      <c r="C432">
        <f t="shared" ca="1" si="26"/>
        <v>1402.5</v>
      </c>
      <c r="D432">
        <f t="shared" ca="1" si="27"/>
        <v>1020</v>
      </c>
      <c r="E432">
        <f t="shared" ca="1" si="29"/>
        <v>382.5</v>
      </c>
    </row>
    <row r="433" spans="1:5" x14ac:dyDescent="0.25">
      <c r="A433">
        <v>46</v>
      </c>
      <c r="B433" s="4">
        <f t="shared" ca="1" si="28"/>
        <v>258.43256826853184</v>
      </c>
      <c r="C433">
        <f t="shared" ca="1" si="26"/>
        <v>1402.5</v>
      </c>
      <c r="D433">
        <f t="shared" ca="1" si="27"/>
        <v>1020</v>
      </c>
      <c r="E433">
        <f t="shared" ca="1" si="29"/>
        <v>382.5</v>
      </c>
    </row>
    <row r="434" spans="1:5" x14ac:dyDescent="0.25">
      <c r="A434">
        <v>47</v>
      </c>
      <c r="B434" s="4">
        <f t="shared" ca="1" si="28"/>
        <v>263.35536460676792</v>
      </c>
      <c r="C434">
        <f t="shared" ca="1" si="26"/>
        <v>1402.5</v>
      </c>
      <c r="D434">
        <f t="shared" ca="1" si="27"/>
        <v>1020</v>
      </c>
      <c r="E434">
        <f t="shared" ca="1" si="29"/>
        <v>382.5</v>
      </c>
    </row>
    <row r="435" spans="1:5" x14ac:dyDescent="0.25">
      <c r="A435">
        <v>48</v>
      </c>
      <c r="B435" s="4">
        <f t="shared" ca="1" si="28"/>
        <v>293.76646764418979</v>
      </c>
      <c r="C435">
        <f t="shared" ca="1" si="26"/>
        <v>1402.5</v>
      </c>
      <c r="D435">
        <f t="shared" ca="1" si="27"/>
        <v>1020</v>
      </c>
      <c r="E435">
        <f t="shared" ca="1" si="29"/>
        <v>382.5</v>
      </c>
    </row>
    <row r="436" spans="1:5" x14ac:dyDescent="0.25">
      <c r="A436">
        <v>49</v>
      </c>
      <c r="B436" s="4">
        <f t="shared" ca="1" si="28"/>
        <v>228.35119816119044</v>
      </c>
      <c r="C436">
        <f t="shared" ca="1" si="26"/>
        <v>1342.5401958626787</v>
      </c>
      <c r="D436">
        <f t="shared" ca="1" si="27"/>
        <v>953.37799540297613</v>
      </c>
      <c r="E436">
        <f t="shared" ca="1" si="29"/>
        <v>389.1622004597026</v>
      </c>
    </row>
    <row r="437" spans="1:5" x14ac:dyDescent="0.25">
      <c r="A437">
        <v>50</v>
      </c>
      <c r="B437" s="4">
        <f t="shared" ca="1" si="28"/>
        <v>263.35536460676792</v>
      </c>
      <c r="C437">
        <f t="shared" ca="1" si="26"/>
        <v>1402.5</v>
      </c>
      <c r="D437">
        <f t="shared" ca="1" si="27"/>
        <v>1020</v>
      </c>
      <c r="E437">
        <f t="shared" ca="1" si="29"/>
        <v>382.5</v>
      </c>
    </row>
    <row r="438" spans="1:5" x14ac:dyDescent="0.25">
      <c r="A438">
        <v>51</v>
      </c>
      <c r="B438" s="4">
        <f t="shared" ca="1" si="28"/>
        <v>258.43256826853184</v>
      </c>
      <c r="C438">
        <f t="shared" ca="1" si="26"/>
        <v>1402.5</v>
      </c>
      <c r="D438">
        <f t="shared" ca="1" si="27"/>
        <v>1020</v>
      </c>
      <c r="E438">
        <f t="shared" ca="1" si="29"/>
        <v>382.5</v>
      </c>
    </row>
    <row r="439" spans="1:5" x14ac:dyDescent="0.25">
      <c r="A439">
        <v>52</v>
      </c>
      <c r="B439" s="4">
        <f t="shared" ca="1" si="28"/>
        <v>263.35536460676792</v>
      </c>
      <c r="C439">
        <f t="shared" ca="1" si="26"/>
        <v>1402.5</v>
      </c>
      <c r="D439">
        <f t="shared" ca="1" si="27"/>
        <v>1020</v>
      </c>
      <c r="E439">
        <f t="shared" ca="1" si="29"/>
        <v>382.5</v>
      </c>
    </row>
    <row r="440" spans="1:5" x14ac:dyDescent="0.25">
      <c r="A440">
        <v>53</v>
      </c>
      <c r="B440" s="4">
        <f t="shared" ca="1" si="28"/>
        <v>293.76646764418979</v>
      </c>
      <c r="C440">
        <f t="shared" ca="1" si="26"/>
        <v>1402.5</v>
      </c>
      <c r="D440">
        <f t="shared" ca="1" si="27"/>
        <v>1020</v>
      </c>
      <c r="E440">
        <f t="shared" ca="1" si="29"/>
        <v>382.5</v>
      </c>
    </row>
    <row r="441" spans="1:5" x14ac:dyDescent="0.25">
      <c r="A441">
        <v>54</v>
      </c>
      <c r="B441" s="4">
        <f t="shared" ca="1" si="28"/>
        <v>228.35119816119044</v>
      </c>
      <c r="C441">
        <f t="shared" ca="1" si="26"/>
        <v>1342.5401958626787</v>
      </c>
      <c r="D441">
        <f t="shared" ca="1" si="27"/>
        <v>953.37799540297613</v>
      </c>
      <c r="E441">
        <f t="shared" ca="1" si="29"/>
        <v>389.1622004597026</v>
      </c>
    </row>
    <row r="442" spans="1:5" x14ac:dyDescent="0.25">
      <c r="A442">
        <v>55</v>
      </c>
      <c r="B442" s="4">
        <f t="shared" ca="1" si="28"/>
        <v>263.35536460676792</v>
      </c>
      <c r="C442">
        <f t="shared" ca="1" si="26"/>
        <v>1402.5</v>
      </c>
      <c r="D442">
        <f t="shared" ca="1" si="27"/>
        <v>1020</v>
      </c>
      <c r="E442">
        <f t="shared" ca="1" si="29"/>
        <v>382.5</v>
      </c>
    </row>
    <row r="443" spans="1:5" x14ac:dyDescent="0.25">
      <c r="A443">
        <v>56</v>
      </c>
      <c r="B443" s="4">
        <f t="shared" ca="1" si="28"/>
        <v>217.18668662249479</v>
      </c>
      <c r="C443">
        <f t="shared" ca="1" si="26"/>
        <v>1317.4200449006134</v>
      </c>
      <c r="D443">
        <f t="shared" ca="1" si="27"/>
        <v>925.46671655623697</v>
      </c>
      <c r="E443">
        <f t="shared" ca="1" si="29"/>
        <v>391.95332834437647</v>
      </c>
    </row>
    <row r="444" spans="1:5" x14ac:dyDescent="0.25">
      <c r="A444">
        <v>57</v>
      </c>
      <c r="B444" s="4">
        <f t="shared" ca="1" si="28"/>
        <v>228.35119816119044</v>
      </c>
      <c r="C444">
        <f t="shared" ca="1" si="26"/>
        <v>1342.5401958626787</v>
      </c>
      <c r="D444">
        <f t="shared" ca="1" si="27"/>
        <v>953.37799540297613</v>
      </c>
      <c r="E444">
        <f t="shared" ca="1" si="29"/>
        <v>389.1622004597026</v>
      </c>
    </row>
    <row r="445" spans="1:5" x14ac:dyDescent="0.25">
      <c r="A445">
        <v>58</v>
      </c>
      <c r="B445" s="4">
        <f t="shared" ca="1" si="28"/>
        <v>258.43256826853184</v>
      </c>
      <c r="C445">
        <f t="shared" ca="1" si="26"/>
        <v>1402.5</v>
      </c>
      <c r="D445">
        <f t="shared" ca="1" si="27"/>
        <v>1020</v>
      </c>
      <c r="E445">
        <f t="shared" ca="1" si="29"/>
        <v>382.5</v>
      </c>
    </row>
    <row r="446" spans="1:5" x14ac:dyDescent="0.25">
      <c r="A446">
        <v>59</v>
      </c>
      <c r="B446" s="4">
        <f t="shared" ca="1" si="28"/>
        <v>293.76646764418979</v>
      </c>
      <c r="C446">
        <f t="shared" ca="1" si="26"/>
        <v>1402.5</v>
      </c>
      <c r="D446">
        <f t="shared" ca="1" si="27"/>
        <v>1020</v>
      </c>
      <c r="E446">
        <f t="shared" ca="1" si="29"/>
        <v>382.5</v>
      </c>
    </row>
    <row r="447" spans="1:5" x14ac:dyDescent="0.25">
      <c r="A447">
        <v>60</v>
      </c>
      <c r="B447" s="4">
        <f t="shared" ca="1" si="28"/>
        <v>293.76646764418979</v>
      </c>
      <c r="C447">
        <f t="shared" ca="1" si="26"/>
        <v>1402.5</v>
      </c>
      <c r="D447">
        <f t="shared" ca="1" si="27"/>
        <v>1020</v>
      </c>
      <c r="E447">
        <f t="shared" ca="1" si="29"/>
        <v>382.5</v>
      </c>
    </row>
    <row r="448" spans="1:5" x14ac:dyDescent="0.25">
      <c r="A448">
        <v>61</v>
      </c>
      <c r="B448" s="4">
        <f t="shared" ca="1" si="28"/>
        <v>258.43256826853184</v>
      </c>
      <c r="C448">
        <f t="shared" ca="1" si="26"/>
        <v>1402.5</v>
      </c>
      <c r="D448">
        <f t="shared" ca="1" si="27"/>
        <v>1020</v>
      </c>
      <c r="E448">
        <f t="shared" ca="1" si="29"/>
        <v>382.5</v>
      </c>
    </row>
    <row r="449" spans="1:5" x14ac:dyDescent="0.25">
      <c r="A449">
        <v>62</v>
      </c>
      <c r="B449" s="4">
        <f t="shared" ca="1" si="28"/>
        <v>263.35536460676792</v>
      </c>
      <c r="C449">
        <f t="shared" ca="1" si="26"/>
        <v>1402.5</v>
      </c>
      <c r="D449">
        <f t="shared" ca="1" si="27"/>
        <v>1020</v>
      </c>
      <c r="E449">
        <f t="shared" ca="1" si="29"/>
        <v>382.5</v>
      </c>
    </row>
    <row r="450" spans="1:5" x14ac:dyDescent="0.25">
      <c r="A450">
        <v>63</v>
      </c>
      <c r="B450" s="4">
        <f t="shared" ca="1" si="28"/>
        <v>293.76646764418979</v>
      </c>
      <c r="C450">
        <f t="shared" ca="1" si="26"/>
        <v>1402.5</v>
      </c>
      <c r="D450">
        <f t="shared" ca="1" si="27"/>
        <v>1020</v>
      </c>
      <c r="E450">
        <f t="shared" ca="1" si="29"/>
        <v>382.5</v>
      </c>
    </row>
    <row r="451" spans="1:5" x14ac:dyDescent="0.25">
      <c r="A451">
        <v>64</v>
      </c>
      <c r="B451" s="4">
        <f t="shared" ca="1" si="28"/>
        <v>228.35119816119044</v>
      </c>
      <c r="C451">
        <f t="shared" ca="1" si="26"/>
        <v>1342.5401958626787</v>
      </c>
      <c r="D451">
        <f t="shared" ca="1" si="27"/>
        <v>953.37799540297613</v>
      </c>
      <c r="E451">
        <f t="shared" ca="1" si="29"/>
        <v>389.1622004597026</v>
      </c>
    </row>
    <row r="452" spans="1:5" x14ac:dyDescent="0.25">
      <c r="A452">
        <v>65</v>
      </c>
      <c r="B452" s="4">
        <f t="shared" ca="1" si="28"/>
        <v>217.18668662249479</v>
      </c>
      <c r="C452">
        <f t="shared" ref="C452:C515" ca="1" si="30">IF($M$10&gt;$B452,$B452*$F$7+($M$10-$B452)*$F$8+($M$10-$B452)*$F$9,$M$10*$F$7)</f>
        <v>1317.4200449006134</v>
      </c>
      <c r="D452">
        <f t="shared" ref="D452:D515" ca="1" si="31">IF(M$10&gt;B452,B452*F$5+(M$10-B452)*F$6,M$10*F$5)</f>
        <v>925.46671655623697</v>
      </c>
      <c r="E452">
        <f t="shared" ca="1" si="29"/>
        <v>391.95332834437647</v>
      </c>
    </row>
    <row r="453" spans="1:5" x14ac:dyDescent="0.25">
      <c r="A453">
        <v>66</v>
      </c>
      <c r="B453" s="4">
        <f t="shared" ref="B453:B516" ca="1" si="32">HLOOKUP(RAND(),$K$5:$O$6,2,TRUE)</f>
        <v>293.76646764418979</v>
      </c>
      <c r="C453">
        <f t="shared" ca="1" si="30"/>
        <v>1402.5</v>
      </c>
      <c r="D453">
        <f t="shared" ca="1" si="31"/>
        <v>1020</v>
      </c>
      <c r="E453">
        <f t="shared" ca="1" si="29"/>
        <v>382.5</v>
      </c>
    </row>
    <row r="454" spans="1:5" x14ac:dyDescent="0.25">
      <c r="A454">
        <v>67</v>
      </c>
      <c r="B454" s="4">
        <f t="shared" ca="1" si="32"/>
        <v>228.35119816119044</v>
      </c>
      <c r="C454">
        <f t="shared" ca="1" si="30"/>
        <v>1342.5401958626787</v>
      </c>
      <c r="D454">
        <f t="shared" ca="1" si="31"/>
        <v>953.37799540297613</v>
      </c>
      <c r="E454">
        <f t="shared" ref="E454:E517" ca="1" si="33">C454-D454</f>
        <v>389.1622004597026</v>
      </c>
    </row>
    <row r="455" spans="1:5" x14ac:dyDescent="0.25">
      <c r="A455">
        <v>68</v>
      </c>
      <c r="B455" s="4">
        <f t="shared" ca="1" si="32"/>
        <v>293.76646764418979</v>
      </c>
      <c r="C455">
        <f t="shared" ca="1" si="30"/>
        <v>1402.5</v>
      </c>
      <c r="D455">
        <f t="shared" ca="1" si="31"/>
        <v>1020</v>
      </c>
      <c r="E455">
        <f t="shared" ca="1" si="33"/>
        <v>382.5</v>
      </c>
    </row>
    <row r="456" spans="1:5" x14ac:dyDescent="0.25">
      <c r="A456">
        <v>69</v>
      </c>
      <c r="B456" s="4">
        <f t="shared" ca="1" si="32"/>
        <v>293.76646764418979</v>
      </c>
      <c r="C456">
        <f t="shared" ca="1" si="30"/>
        <v>1402.5</v>
      </c>
      <c r="D456">
        <f t="shared" ca="1" si="31"/>
        <v>1020</v>
      </c>
      <c r="E456">
        <f t="shared" ca="1" si="33"/>
        <v>382.5</v>
      </c>
    </row>
    <row r="457" spans="1:5" x14ac:dyDescent="0.25">
      <c r="A457">
        <v>70</v>
      </c>
      <c r="B457" s="4">
        <f t="shared" ca="1" si="32"/>
        <v>217.18668662249479</v>
      </c>
      <c r="C457">
        <f t="shared" ca="1" si="30"/>
        <v>1317.4200449006134</v>
      </c>
      <c r="D457">
        <f t="shared" ca="1" si="31"/>
        <v>925.46671655623697</v>
      </c>
      <c r="E457">
        <f t="shared" ca="1" si="33"/>
        <v>391.95332834437647</v>
      </c>
    </row>
    <row r="458" spans="1:5" x14ac:dyDescent="0.25">
      <c r="A458">
        <v>71</v>
      </c>
      <c r="B458" s="4">
        <f t="shared" ca="1" si="32"/>
        <v>293.76646764418979</v>
      </c>
      <c r="C458">
        <f t="shared" ca="1" si="30"/>
        <v>1402.5</v>
      </c>
      <c r="D458">
        <f t="shared" ca="1" si="31"/>
        <v>1020</v>
      </c>
      <c r="E458">
        <f t="shared" ca="1" si="33"/>
        <v>382.5</v>
      </c>
    </row>
    <row r="459" spans="1:5" x14ac:dyDescent="0.25">
      <c r="A459">
        <v>72</v>
      </c>
      <c r="B459" s="4">
        <f t="shared" ca="1" si="32"/>
        <v>293.76646764418979</v>
      </c>
      <c r="C459">
        <f t="shared" ca="1" si="30"/>
        <v>1402.5</v>
      </c>
      <c r="D459">
        <f t="shared" ca="1" si="31"/>
        <v>1020</v>
      </c>
      <c r="E459">
        <f t="shared" ca="1" si="33"/>
        <v>382.5</v>
      </c>
    </row>
    <row r="460" spans="1:5" x14ac:dyDescent="0.25">
      <c r="A460">
        <v>73</v>
      </c>
      <c r="B460" s="4">
        <f t="shared" ca="1" si="32"/>
        <v>258.43256826853184</v>
      </c>
      <c r="C460">
        <f t="shared" ca="1" si="30"/>
        <v>1402.5</v>
      </c>
      <c r="D460">
        <f t="shared" ca="1" si="31"/>
        <v>1020</v>
      </c>
      <c r="E460">
        <f t="shared" ca="1" si="33"/>
        <v>382.5</v>
      </c>
    </row>
    <row r="461" spans="1:5" x14ac:dyDescent="0.25">
      <c r="A461">
        <v>74</v>
      </c>
      <c r="B461" s="4">
        <f t="shared" ca="1" si="32"/>
        <v>263.35536460676792</v>
      </c>
      <c r="C461">
        <f t="shared" ca="1" si="30"/>
        <v>1402.5</v>
      </c>
      <c r="D461">
        <f t="shared" ca="1" si="31"/>
        <v>1020</v>
      </c>
      <c r="E461">
        <f t="shared" ca="1" si="33"/>
        <v>382.5</v>
      </c>
    </row>
    <row r="462" spans="1:5" x14ac:dyDescent="0.25">
      <c r="A462">
        <v>75</v>
      </c>
      <c r="B462" s="4">
        <f t="shared" ca="1" si="32"/>
        <v>263.35536460676792</v>
      </c>
      <c r="C462">
        <f t="shared" ca="1" si="30"/>
        <v>1402.5</v>
      </c>
      <c r="D462">
        <f t="shared" ca="1" si="31"/>
        <v>1020</v>
      </c>
      <c r="E462">
        <f t="shared" ca="1" si="33"/>
        <v>382.5</v>
      </c>
    </row>
    <row r="463" spans="1:5" x14ac:dyDescent="0.25">
      <c r="A463">
        <v>76</v>
      </c>
      <c r="B463" s="4">
        <f t="shared" ca="1" si="32"/>
        <v>258.43256826853184</v>
      </c>
      <c r="C463">
        <f t="shared" ca="1" si="30"/>
        <v>1402.5</v>
      </c>
      <c r="D463">
        <f t="shared" ca="1" si="31"/>
        <v>1020</v>
      </c>
      <c r="E463">
        <f t="shared" ca="1" si="33"/>
        <v>382.5</v>
      </c>
    </row>
    <row r="464" spans="1:5" x14ac:dyDescent="0.25">
      <c r="A464">
        <v>77</v>
      </c>
      <c r="B464" s="4">
        <f t="shared" ca="1" si="32"/>
        <v>263.35536460676792</v>
      </c>
      <c r="C464">
        <f t="shared" ca="1" si="30"/>
        <v>1402.5</v>
      </c>
      <c r="D464">
        <f t="shared" ca="1" si="31"/>
        <v>1020</v>
      </c>
      <c r="E464">
        <f t="shared" ca="1" si="33"/>
        <v>382.5</v>
      </c>
    </row>
    <row r="465" spans="1:5" x14ac:dyDescent="0.25">
      <c r="A465">
        <v>78</v>
      </c>
      <c r="B465" s="4">
        <f t="shared" ca="1" si="32"/>
        <v>258.43256826853184</v>
      </c>
      <c r="C465">
        <f t="shared" ca="1" si="30"/>
        <v>1402.5</v>
      </c>
      <c r="D465">
        <f t="shared" ca="1" si="31"/>
        <v>1020</v>
      </c>
      <c r="E465">
        <f t="shared" ca="1" si="33"/>
        <v>382.5</v>
      </c>
    </row>
    <row r="466" spans="1:5" x14ac:dyDescent="0.25">
      <c r="A466">
        <v>79</v>
      </c>
      <c r="B466" s="4">
        <f t="shared" ca="1" si="32"/>
        <v>217.18668662249479</v>
      </c>
      <c r="C466">
        <f t="shared" ca="1" si="30"/>
        <v>1317.4200449006134</v>
      </c>
      <c r="D466">
        <f t="shared" ca="1" si="31"/>
        <v>925.46671655623697</v>
      </c>
      <c r="E466">
        <f t="shared" ca="1" si="33"/>
        <v>391.95332834437647</v>
      </c>
    </row>
    <row r="467" spans="1:5" x14ac:dyDescent="0.25">
      <c r="A467">
        <v>80</v>
      </c>
      <c r="B467" s="4">
        <f t="shared" ca="1" si="32"/>
        <v>258.43256826853184</v>
      </c>
      <c r="C467">
        <f t="shared" ca="1" si="30"/>
        <v>1402.5</v>
      </c>
      <c r="D467">
        <f t="shared" ca="1" si="31"/>
        <v>1020</v>
      </c>
      <c r="E467">
        <f t="shared" ca="1" si="33"/>
        <v>382.5</v>
      </c>
    </row>
    <row r="468" spans="1:5" x14ac:dyDescent="0.25">
      <c r="A468">
        <v>81</v>
      </c>
      <c r="B468" s="4">
        <f t="shared" ca="1" si="32"/>
        <v>263.35536460676792</v>
      </c>
      <c r="C468">
        <f t="shared" ca="1" si="30"/>
        <v>1402.5</v>
      </c>
      <c r="D468">
        <f t="shared" ca="1" si="31"/>
        <v>1020</v>
      </c>
      <c r="E468">
        <f t="shared" ca="1" si="33"/>
        <v>382.5</v>
      </c>
    </row>
    <row r="469" spans="1:5" x14ac:dyDescent="0.25">
      <c r="A469">
        <v>82</v>
      </c>
      <c r="B469" s="4">
        <f t="shared" ca="1" si="32"/>
        <v>228.35119816119044</v>
      </c>
      <c r="C469">
        <f t="shared" ca="1" si="30"/>
        <v>1342.5401958626787</v>
      </c>
      <c r="D469">
        <f t="shared" ca="1" si="31"/>
        <v>953.37799540297613</v>
      </c>
      <c r="E469">
        <f t="shared" ca="1" si="33"/>
        <v>389.1622004597026</v>
      </c>
    </row>
    <row r="470" spans="1:5" x14ac:dyDescent="0.25">
      <c r="A470">
        <v>83</v>
      </c>
      <c r="B470" s="4">
        <f t="shared" ca="1" si="32"/>
        <v>217.18668662249479</v>
      </c>
      <c r="C470">
        <f t="shared" ca="1" si="30"/>
        <v>1317.4200449006134</v>
      </c>
      <c r="D470">
        <f t="shared" ca="1" si="31"/>
        <v>925.46671655623697</v>
      </c>
      <c r="E470">
        <f t="shared" ca="1" si="33"/>
        <v>391.95332834437647</v>
      </c>
    </row>
    <row r="471" spans="1:5" x14ac:dyDescent="0.25">
      <c r="A471">
        <v>84</v>
      </c>
      <c r="B471" s="4">
        <f t="shared" ca="1" si="32"/>
        <v>258.43256826853184</v>
      </c>
      <c r="C471">
        <f t="shared" ca="1" si="30"/>
        <v>1402.5</v>
      </c>
      <c r="D471">
        <f t="shared" ca="1" si="31"/>
        <v>1020</v>
      </c>
      <c r="E471">
        <f t="shared" ca="1" si="33"/>
        <v>382.5</v>
      </c>
    </row>
    <row r="472" spans="1:5" x14ac:dyDescent="0.25">
      <c r="A472">
        <v>85</v>
      </c>
      <c r="B472" s="4">
        <f t="shared" ca="1" si="32"/>
        <v>228.35119816119044</v>
      </c>
      <c r="C472">
        <f t="shared" ca="1" si="30"/>
        <v>1342.5401958626787</v>
      </c>
      <c r="D472">
        <f t="shared" ca="1" si="31"/>
        <v>953.37799540297613</v>
      </c>
      <c r="E472">
        <f t="shared" ca="1" si="33"/>
        <v>389.1622004597026</v>
      </c>
    </row>
    <row r="473" spans="1:5" x14ac:dyDescent="0.25">
      <c r="A473">
        <v>86</v>
      </c>
      <c r="B473" s="4">
        <f t="shared" ca="1" si="32"/>
        <v>217.18668662249479</v>
      </c>
      <c r="C473">
        <f t="shared" ca="1" si="30"/>
        <v>1317.4200449006134</v>
      </c>
      <c r="D473">
        <f t="shared" ca="1" si="31"/>
        <v>925.46671655623697</v>
      </c>
      <c r="E473">
        <f t="shared" ca="1" si="33"/>
        <v>391.95332834437647</v>
      </c>
    </row>
    <row r="474" spans="1:5" x14ac:dyDescent="0.25">
      <c r="A474">
        <v>87</v>
      </c>
      <c r="B474" s="4">
        <f t="shared" ca="1" si="32"/>
        <v>293.76646764418979</v>
      </c>
      <c r="C474">
        <f t="shared" ca="1" si="30"/>
        <v>1402.5</v>
      </c>
      <c r="D474">
        <f t="shared" ca="1" si="31"/>
        <v>1020</v>
      </c>
      <c r="E474">
        <f t="shared" ca="1" si="33"/>
        <v>382.5</v>
      </c>
    </row>
    <row r="475" spans="1:5" x14ac:dyDescent="0.25">
      <c r="A475">
        <v>88</v>
      </c>
      <c r="B475" s="4">
        <f t="shared" ca="1" si="32"/>
        <v>228.35119816119044</v>
      </c>
      <c r="C475">
        <f t="shared" ca="1" si="30"/>
        <v>1342.5401958626787</v>
      </c>
      <c r="D475">
        <f t="shared" ca="1" si="31"/>
        <v>953.37799540297613</v>
      </c>
      <c r="E475">
        <f t="shared" ca="1" si="33"/>
        <v>389.1622004597026</v>
      </c>
    </row>
    <row r="476" spans="1:5" x14ac:dyDescent="0.25">
      <c r="A476">
        <v>89</v>
      </c>
      <c r="B476" s="4">
        <f t="shared" ca="1" si="32"/>
        <v>258.43256826853184</v>
      </c>
      <c r="C476">
        <f t="shared" ca="1" si="30"/>
        <v>1402.5</v>
      </c>
      <c r="D476">
        <f t="shared" ca="1" si="31"/>
        <v>1020</v>
      </c>
      <c r="E476">
        <f t="shared" ca="1" si="33"/>
        <v>382.5</v>
      </c>
    </row>
    <row r="477" spans="1:5" x14ac:dyDescent="0.25">
      <c r="A477">
        <v>90</v>
      </c>
      <c r="B477" s="4">
        <f t="shared" ca="1" si="32"/>
        <v>258.43256826853184</v>
      </c>
      <c r="C477">
        <f t="shared" ca="1" si="30"/>
        <v>1402.5</v>
      </c>
      <c r="D477">
        <f t="shared" ca="1" si="31"/>
        <v>1020</v>
      </c>
      <c r="E477">
        <f t="shared" ca="1" si="33"/>
        <v>382.5</v>
      </c>
    </row>
    <row r="478" spans="1:5" x14ac:dyDescent="0.25">
      <c r="A478">
        <v>91</v>
      </c>
      <c r="B478" s="4">
        <f t="shared" ca="1" si="32"/>
        <v>293.76646764418979</v>
      </c>
      <c r="C478">
        <f t="shared" ca="1" si="30"/>
        <v>1402.5</v>
      </c>
      <c r="D478">
        <f t="shared" ca="1" si="31"/>
        <v>1020</v>
      </c>
      <c r="E478">
        <f t="shared" ca="1" si="33"/>
        <v>382.5</v>
      </c>
    </row>
    <row r="479" spans="1:5" x14ac:dyDescent="0.25">
      <c r="A479">
        <v>92</v>
      </c>
      <c r="B479" s="4">
        <f t="shared" ca="1" si="32"/>
        <v>258.43256826853184</v>
      </c>
      <c r="C479">
        <f t="shared" ca="1" si="30"/>
        <v>1402.5</v>
      </c>
      <c r="D479">
        <f t="shared" ca="1" si="31"/>
        <v>1020</v>
      </c>
      <c r="E479">
        <f t="shared" ca="1" si="33"/>
        <v>382.5</v>
      </c>
    </row>
    <row r="480" spans="1:5" x14ac:dyDescent="0.25">
      <c r="A480">
        <v>93</v>
      </c>
      <c r="B480" s="4">
        <f t="shared" ca="1" si="32"/>
        <v>217.18668662249479</v>
      </c>
      <c r="C480">
        <f t="shared" ca="1" si="30"/>
        <v>1317.4200449006134</v>
      </c>
      <c r="D480">
        <f t="shared" ca="1" si="31"/>
        <v>925.46671655623697</v>
      </c>
      <c r="E480">
        <f t="shared" ca="1" si="33"/>
        <v>391.95332834437647</v>
      </c>
    </row>
    <row r="481" spans="1:5" x14ac:dyDescent="0.25">
      <c r="A481">
        <v>94</v>
      </c>
      <c r="B481" s="4">
        <f t="shared" ca="1" si="32"/>
        <v>258.43256826853184</v>
      </c>
      <c r="C481">
        <f t="shared" ca="1" si="30"/>
        <v>1402.5</v>
      </c>
      <c r="D481">
        <f t="shared" ca="1" si="31"/>
        <v>1020</v>
      </c>
      <c r="E481">
        <f t="shared" ca="1" si="33"/>
        <v>382.5</v>
      </c>
    </row>
    <row r="482" spans="1:5" x14ac:dyDescent="0.25">
      <c r="A482">
        <v>95</v>
      </c>
      <c r="B482" s="4">
        <f t="shared" ca="1" si="32"/>
        <v>228.35119816119044</v>
      </c>
      <c r="C482">
        <f t="shared" ca="1" si="30"/>
        <v>1342.5401958626787</v>
      </c>
      <c r="D482">
        <f t="shared" ca="1" si="31"/>
        <v>953.37799540297613</v>
      </c>
      <c r="E482">
        <f t="shared" ca="1" si="33"/>
        <v>389.1622004597026</v>
      </c>
    </row>
    <row r="483" spans="1:5" x14ac:dyDescent="0.25">
      <c r="A483">
        <v>96</v>
      </c>
      <c r="B483" s="4">
        <f t="shared" ca="1" si="32"/>
        <v>217.18668662249479</v>
      </c>
      <c r="C483">
        <f t="shared" ca="1" si="30"/>
        <v>1317.4200449006134</v>
      </c>
      <c r="D483">
        <f t="shared" ca="1" si="31"/>
        <v>925.46671655623697</v>
      </c>
      <c r="E483">
        <f t="shared" ca="1" si="33"/>
        <v>391.95332834437647</v>
      </c>
    </row>
    <row r="484" spans="1:5" x14ac:dyDescent="0.25">
      <c r="A484">
        <v>97</v>
      </c>
      <c r="B484" s="4">
        <f t="shared" ca="1" si="32"/>
        <v>217.18668662249479</v>
      </c>
      <c r="C484">
        <f t="shared" ca="1" si="30"/>
        <v>1317.4200449006134</v>
      </c>
      <c r="D484">
        <f t="shared" ca="1" si="31"/>
        <v>925.46671655623697</v>
      </c>
      <c r="E484">
        <f t="shared" ca="1" si="33"/>
        <v>391.95332834437647</v>
      </c>
    </row>
    <row r="485" spans="1:5" x14ac:dyDescent="0.25">
      <c r="A485">
        <v>98</v>
      </c>
      <c r="B485" s="4">
        <f t="shared" ca="1" si="32"/>
        <v>217.18668662249479</v>
      </c>
      <c r="C485">
        <f t="shared" ca="1" si="30"/>
        <v>1317.4200449006134</v>
      </c>
      <c r="D485">
        <f t="shared" ca="1" si="31"/>
        <v>925.46671655623697</v>
      </c>
      <c r="E485">
        <f t="shared" ca="1" si="33"/>
        <v>391.95332834437647</v>
      </c>
    </row>
    <row r="486" spans="1:5" x14ac:dyDescent="0.25">
      <c r="A486">
        <v>99</v>
      </c>
      <c r="B486" s="4">
        <f t="shared" ca="1" si="32"/>
        <v>293.76646764418979</v>
      </c>
      <c r="C486">
        <f t="shared" ca="1" si="30"/>
        <v>1402.5</v>
      </c>
      <c r="D486">
        <f t="shared" ca="1" si="31"/>
        <v>1020</v>
      </c>
      <c r="E486">
        <f t="shared" ca="1" si="33"/>
        <v>382.5</v>
      </c>
    </row>
    <row r="487" spans="1:5" x14ac:dyDescent="0.25">
      <c r="A487">
        <v>100</v>
      </c>
      <c r="B487" s="4">
        <f t="shared" ca="1" si="32"/>
        <v>263.35536460676792</v>
      </c>
      <c r="C487">
        <f t="shared" ca="1" si="30"/>
        <v>1402.5</v>
      </c>
      <c r="D487">
        <f t="shared" ca="1" si="31"/>
        <v>1020</v>
      </c>
      <c r="E487">
        <f t="shared" ca="1" si="33"/>
        <v>382.5</v>
      </c>
    </row>
    <row r="488" spans="1:5" x14ac:dyDescent="0.25">
      <c r="A488">
        <v>101</v>
      </c>
      <c r="B488" s="4">
        <f t="shared" ca="1" si="32"/>
        <v>217.18668662249479</v>
      </c>
      <c r="C488">
        <f t="shared" ca="1" si="30"/>
        <v>1317.4200449006134</v>
      </c>
      <c r="D488">
        <f t="shared" ca="1" si="31"/>
        <v>925.46671655623697</v>
      </c>
      <c r="E488">
        <f t="shared" ca="1" si="33"/>
        <v>391.95332834437647</v>
      </c>
    </row>
    <row r="489" spans="1:5" x14ac:dyDescent="0.25">
      <c r="A489">
        <v>102</v>
      </c>
      <c r="B489" s="4">
        <f t="shared" ca="1" si="32"/>
        <v>258.43256826853184</v>
      </c>
      <c r="C489">
        <f t="shared" ca="1" si="30"/>
        <v>1402.5</v>
      </c>
      <c r="D489">
        <f t="shared" ca="1" si="31"/>
        <v>1020</v>
      </c>
      <c r="E489">
        <f t="shared" ca="1" si="33"/>
        <v>382.5</v>
      </c>
    </row>
    <row r="490" spans="1:5" x14ac:dyDescent="0.25">
      <c r="A490">
        <v>103</v>
      </c>
      <c r="B490" s="4">
        <f t="shared" ca="1" si="32"/>
        <v>228.35119816119044</v>
      </c>
      <c r="C490">
        <f t="shared" ca="1" si="30"/>
        <v>1342.5401958626787</v>
      </c>
      <c r="D490">
        <f t="shared" ca="1" si="31"/>
        <v>953.37799540297613</v>
      </c>
      <c r="E490">
        <f t="shared" ca="1" si="33"/>
        <v>389.1622004597026</v>
      </c>
    </row>
    <row r="491" spans="1:5" x14ac:dyDescent="0.25">
      <c r="A491">
        <v>104</v>
      </c>
      <c r="B491" s="4">
        <f t="shared" ca="1" si="32"/>
        <v>293.76646764418979</v>
      </c>
      <c r="C491">
        <f t="shared" ca="1" si="30"/>
        <v>1402.5</v>
      </c>
      <c r="D491">
        <f t="shared" ca="1" si="31"/>
        <v>1020</v>
      </c>
      <c r="E491">
        <f t="shared" ca="1" si="33"/>
        <v>382.5</v>
      </c>
    </row>
    <row r="492" spans="1:5" x14ac:dyDescent="0.25">
      <c r="A492">
        <v>105</v>
      </c>
      <c r="B492" s="4">
        <f t="shared" ca="1" si="32"/>
        <v>293.76646764418979</v>
      </c>
      <c r="C492">
        <f t="shared" ca="1" si="30"/>
        <v>1402.5</v>
      </c>
      <c r="D492">
        <f t="shared" ca="1" si="31"/>
        <v>1020</v>
      </c>
      <c r="E492">
        <f t="shared" ca="1" si="33"/>
        <v>382.5</v>
      </c>
    </row>
    <row r="493" spans="1:5" x14ac:dyDescent="0.25">
      <c r="A493">
        <v>106</v>
      </c>
      <c r="B493" s="4">
        <f t="shared" ca="1" si="32"/>
        <v>258.43256826853184</v>
      </c>
      <c r="C493">
        <f t="shared" ca="1" si="30"/>
        <v>1402.5</v>
      </c>
      <c r="D493">
        <f t="shared" ca="1" si="31"/>
        <v>1020</v>
      </c>
      <c r="E493">
        <f t="shared" ca="1" si="33"/>
        <v>382.5</v>
      </c>
    </row>
    <row r="494" spans="1:5" x14ac:dyDescent="0.25">
      <c r="A494">
        <v>107</v>
      </c>
      <c r="B494" s="4">
        <f t="shared" ca="1" si="32"/>
        <v>228.35119816119044</v>
      </c>
      <c r="C494">
        <f t="shared" ca="1" si="30"/>
        <v>1342.5401958626787</v>
      </c>
      <c r="D494">
        <f t="shared" ca="1" si="31"/>
        <v>953.37799540297613</v>
      </c>
      <c r="E494">
        <f t="shared" ca="1" si="33"/>
        <v>389.1622004597026</v>
      </c>
    </row>
    <row r="495" spans="1:5" x14ac:dyDescent="0.25">
      <c r="A495">
        <v>108</v>
      </c>
      <c r="B495" s="4">
        <f t="shared" ca="1" si="32"/>
        <v>263.35536460676792</v>
      </c>
      <c r="C495">
        <f t="shared" ca="1" si="30"/>
        <v>1402.5</v>
      </c>
      <c r="D495">
        <f t="shared" ca="1" si="31"/>
        <v>1020</v>
      </c>
      <c r="E495">
        <f t="shared" ca="1" si="33"/>
        <v>382.5</v>
      </c>
    </row>
    <row r="496" spans="1:5" x14ac:dyDescent="0.25">
      <c r="A496">
        <v>109</v>
      </c>
      <c r="B496" s="4">
        <f t="shared" ca="1" si="32"/>
        <v>258.43256826853184</v>
      </c>
      <c r="C496">
        <f t="shared" ca="1" si="30"/>
        <v>1402.5</v>
      </c>
      <c r="D496">
        <f t="shared" ca="1" si="31"/>
        <v>1020</v>
      </c>
      <c r="E496">
        <f t="shared" ca="1" si="33"/>
        <v>382.5</v>
      </c>
    </row>
    <row r="497" spans="1:5" x14ac:dyDescent="0.25">
      <c r="A497">
        <v>110</v>
      </c>
      <c r="B497" s="4">
        <f t="shared" ca="1" si="32"/>
        <v>293.76646764418979</v>
      </c>
      <c r="C497">
        <f t="shared" ca="1" si="30"/>
        <v>1402.5</v>
      </c>
      <c r="D497">
        <f t="shared" ca="1" si="31"/>
        <v>1020</v>
      </c>
      <c r="E497">
        <f t="shared" ca="1" si="33"/>
        <v>382.5</v>
      </c>
    </row>
    <row r="498" spans="1:5" x14ac:dyDescent="0.25">
      <c r="A498">
        <v>111</v>
      </c>
      <c r="B498" s="4">
        <f t="shared" ca="1" si="32"/>
        <v>258.43256826853184</v>
      </c>
      <c r="C498">
        <f t="shared" ca="1" si="30"/>
        <v>1402.5</v>
      </c>
      <c r="D498">
        <f t="shared" ca="1" si="31"/>
        <v>1020</v>
      </c>
      <c r="E498">
        <f t="shared" ca="1" si="33"/>
        <v>382.5</v>
      </c>
    </row>
    <row r="499" spans="1:5" x14ac:dyDescent="0.25">
      <c r="A499">
        <v>112</v>
      </c>
      <c r="B499" s="4">
        <f t="shared" ca="1" si="32"/>
        <v>217.18668662249479</v>
      </c>
      <c r="C499">
        <f t="shared" ca="1" si="30"/>
        <v>1317.4200449006134</v>
      </c>
      <c r="D499">
        <f t="shared" ca="1" si="31"/>
        <v>925.46671655623697</v>
      </c>
      <c r="E499">
        <f t="shared" ca="1" si="33"/>
        <v>391.95332834437647</v>
      </c>
    </row>
    <row r="500" spans="1:5" x14ac:dyDescent="0.25">
      <c r="A500">
        <v>113</v>
      </c>
      <c r="B500" s="4">
        <f t="shared" ca="1" si="32"/>
        <v>263.35536460676792</v>
      </c>
      <c r="C500">
        <f t="shared" ca="1" si="30"/>
        <v>1402.5</v>
      </c>
      <c r="D500">
        <f t="shared" ca="1" si="31"/>
        <v>1020</v>
      </c>
      <c r="E500">
        <f t="shared" ca="1" si="33"/>
        <v>382.5</v>
      </c>
    </row>
    <row r="501" spans="1:5" x14ac:dyDescent="0.25">
      <c r="A501">
        <v>114</v>
      </c>
      <c r="B501" s="4">
        <f t="shared" ca="1" si="32"/>
        <v>217.18668662249479</v>
      </c>
      <c r="C501">
        <f t="shared" ca="1" si="30"/>
        <v>1317.4200449006134</v>
      </c>
      <c r="D501">
        <f t="shared" ca="1" si="31"/>
        <v>925.46671655623697</v>
      </c>
      <c r="E501">
        <f t="shared" ca="1" si="33"/>
        <v>391.95332834437647</v>
      </c>
    </row>
    <row r="502" spans="1:5" x14ac:dyDescent="0.25">
      <c r="A502">
        <v>115</v>
      </c>
      <c r="B502" s="4">
        <f t="shared" ca="1" si="32"/>
        <v>258.43256826853184</v>
      </c>
      <c r="C502">
        <f t="shared" ca="1" si="30"/>
        <v>1402.5</v>
      </c>
      <c r="D502">
        <f t="shared" ca="1" si="31"/>
        <v>1020</v>
      </c>
      <c r="E502">
        <f t="shared" ca="1" si="33"/>
        <v>382.5</v>
      </c>
    </row>
    <row r="503" spans="1:5" x14ac:dyDescent="0.25">
      <c r="A503">
        <v>116</v>
      </c>
      <c r="B503" s="4">
        <f t="shared" ca="1" si="32"/>
        <v>263.35536460676792</v>
      </c>
      <c r="C503">
        <f t="shared" ca="1" si="30"/>
        <v>1402.5</v>
      </c>
      <c r="D503">
        <f t="shared" ca="1" si="31"/>
        <v>1020</v>
      </c>
      <c r="E503">
        <f t="shared" ca="1" si="33"/>
        <v>382.5</v>
      </c>
    </row>
    <row r="504" spans="1:5" x14ac:dyDescent="0.25">
      <c r="A504">
        <v>117</v>
      </c>
      <c r="B504" s="4">
        <f t="shared" ca="1" si="32"/>
        <v>263.35536460676792</v>
      </c>
      <c r="C504">
        <f t="shared" ca="1" si="30"/>
        <v>1402.5</v>
      </c>
      <c r="D504">
        <f t="shared" ca="1" si="31"/>
        <v>1020</v>
      </c>
      <c r="E504">
        <f t="shared" ca="1" si="33"/>
        <v>382.5</v>
      </c>
    </row>
    <row r="505" spans="1:5" x14ac:dyDescent="0.25">
      <c r="A505">
        <v>118</v>
      </c>
      <c r="B505" s="4">
        <f t="shared" ca="1" si="32"/>
        <v>263.35536460676792</v>
      </c>
      <c r="C505">
        <f t="shared" ca="1" si="30"/>
        <v>1402.5</v>
      </c>
      <c r="D505">
        <f t="shared" ca="1" si="31"/>
        <v>1020</v>
      </c>
      <c r="E505">
        <f t="shared" ca="1" si="33"/>
        <v>382.5</v>
      </c>
    </row>
    <row r="506" spans="1:5" x14ac:dyDescent="0.25">
      <c r="A506">
        <v>119</v>
      </c>
      <c r="B506" s="4">
        <f t="shared" ca="1" si="32"/>
        <v>293.76646764418979</v>
      </c>
      <c r="C506">
        <f t="shared" ca="1" si="30"/>
        <v>1402.5</v>
      </c>
      <c r="D506">
        <f t="shared" ca="1" si="31"/>
        <v>1020</v>
      </c>
      <c r="E506">
        <f t="shared" ca="1" si="33"/>
        <v>382.5</v>
      </c>
    </row>
    <row r="507" spans="1:5" x14ac:dyDescent="0.25">
      <c r="A507">
        <v>120</v>
      </c>
      <c r="B507" s="4">
        <f t="shared" ca="1" si="32"/>
        <v>263.35536460676792</v>
      </c>
      <c r="C507">
        <f t="shared" ca="1" si="30"/>
        <v>1402.5</v>
      </c>
      <c r="D507">
        <f t="shared" ca="1" si="31"/>
        <v>1020</v>
      </c>
      <c r="E507">
        <f t="shared" ca="1" si="33"/>
        <v>382.5</v>
      </c>
    </row>
    <row r="508" spans="1:5" x14ac:dyDescent="0.25">
      <c r="A508">
        <v>121</v>
      </c>
      <c r="B508" s="4">
        <f t="shared" ca="1" si="32"/>
        <v>217.18668662249479</v>
      </c>
      <c r="C508">
        <f t="shared" ca="1" si="30"/>
        <v>1317.4200449006134</v>
      </c>
      <c r="D508">
        <f t="shared" ca="1" si="31"/>
        <v>925.46671655623697</v>
      </c>
      <c r="E508">
        <f t="shared" ca="1" si="33"/>
        <v>391.95332834437647</v>
      </c>
    </row>
    <row r="509" spans="1:5" x14ac:dyDescent="0.25">
      <c r="A509">
        <v>122</v>
      </c>
      <c r="B509" s="4">
        <f t="shared" ca="1" si="32"/>
        <v>217.18668662249479</v>
      </c>
      <c r="C509">
        <f t="shared" ca="1" si="30"/>
        <v>1317.4200449006134</v>
      </c>
      <c r="D509">
        <f t="shared" ca="1" si="31"/>
        <v>925.46671655623697</v>
      </c>
      <c r="E509">
        <f t="shared" ca="1" si="33"/>
        <v>391.95332834437647</v>
      </c>
    </row>
    <row r="510" spans="1:5" x14ac:dyDescent="0.25">
      <c r="A510">
        <v>123</v>
      </c>
      <c r="B510" s="4">
        <f t="shared" ca="1" si="32"/>
        <v>258.43256826853184</v>
      </c>
      <c r="C510">
        <f t="shared" ca="1" si="30"/>
        <v>1402.5</v>
      </c>
      <c r="D510">
        <f t="shared" ca="1" si="31"/>
        <v>1020</v>
      </c>
      <c r="E510">
        <f t="shared" ca="1" si="33"/>
        <v>382.5</v>
      </c>
    </row>
    <row r="511" spans="1:5" x14ac:dyDescent="0.25">
      <c r="A511">
        <v>124</v>
      </c>
      <c r="B511" s="4">
        <f t="shared" ca="1" si="32"/>
        <v>228.35119816119044</v>
      </c>
      <c r="C511">
        <f t="shared" ca="1" si="30"/>
        <v>1342.5401958626787</v>
      </c>
      <c r="D511">
        <f t="shared" ca="1" si="31"/>
        <v>953.37799540297613</v>
      </c>
      <c r="E511">
        <f t="shared" ca="1" si="33"/>
        <v>389.1622004597026</v>
      </c>
    </row>
    <row r="512" spans="1:5" x14ac:dyDescent="0.25">
      <c r="A512">
        <v>125</v>
      </c>
      <c r="B512" s="4">
        <f t="shared" ca="1" si="32"/>
        <v>263.35536460676792</v>
      </c>
      <c r="C512">
        <f t="shared" ca="1" si="30"/>
        <v>1402.5</v>
      </c>
      <c r="D512">
        <f t="shared" ca="1" si="31"/>
        <v>1020</v>
      </c>
      <c r="E512">
        <f t="shared" ca="1" si="33"/>
        <v>382.5</v>
      </c>
    </row>
    <row r="513" spans="1:5" x14ac:dyDescent="0.25">
      <c r="A513">
        <v>126</v>
      </c>
      <c r="B513" s="4">
        <f t="shared" ca="1" si="32"/>
        <v>258.43256826853184</v>
      </c>
      <c r="C513">
        <f t="shared" ca="1" si="30"/>
        <v>1402.5</v>
      </c>
      <c r="D513">
        <f t="shared" ca="1" si="31"/>
        <v>1020</v>
      </c>
      <c r="E513">
        <f t="shared" ca="1" si="33"/>
        <v>382.5</v>
      </c>
    </row>
    <row r="514" spans="1:5" x14ac:dyDescent="0.25">
      <c r="A514">
        <v>127</v>
      </c>
      <c r="B514" s="4">
        <f t="shared" ca="1" si="32"/>
        <v>293.76646764418979</v>
      </c>
      <c r="C514">
        <f t="shared" ca="1" si="30"/>
        <v>1402.5</v>
      </c>
      <c r="D514">
        <f t="shared" ca="1" si="31"/>
        <v>1020</v>
      </c>
      <c r="E514">
        <f t="shared" ca="1" si="33"/>
        <v>382.5</v>
      </c>
    </row>
    <row r="515" spans="1:5" x14ac:dyDescent="0.25">
      <c r="A515">
        <v>128</v>
      </c>
      <c r="B515" s="4">
        <f t="shared" ca="1" si="32"/>
        <v>258.43256826853184</v>
      </c>
      <c r="C515">
        <f t="shared" ca="1" si="30"/>
        <v>1402.5</v>
      </c>
      <c r="D515">
        <f t="shared" ca="1" si="31"/>
        <v>1020</v>
      </c>
      <c r="E515">
        <f t="shared" ca="1" si="33"/>
        <v>382.5</v>
      </c>
    </row>
    <row r="516" spans="1:5" x14ac:dyDescent="0.25">
      <c r="A516">
        <v>129</v>
      </c>
      <c r="B516" s="4">
        <f t="shared" ca="1" si="32"/>
        <v>293.76646764418979</v>
      </c>
      <c r="C516">
        <f t="shared" ref="C516:C579" ca="1" si="34">IF($M$10&gt;$B516,$B516*$F$7+($M$10-$B516)*$F$8+($M$10-$B516)*$F$9,$M$10*$F$7)</f>
        <v>1402.5</v>
      </c>
      <c r="D516">
        <f t="shared" ref="D516:D579" ca="1" si="35">IF(M$10&gt;B516,B516*F$5+(M$10-B516)*F$6,M$10*F$5)</f>
        <v>1020</v>
      </c>
      <c r="E516">
        <f t="shared" ca="1" si="33"/>
        <v>382.5</v>
      </c>
    </row>
    <row r="517" spans="1:5" x14ac:dyDescent="0.25">
      <c r="A517">
        <v>130</v>
      </c>
      <c r="B517" s="4">
        <f t="shared" ref="B517:B580" ca="1" si="36">HLOOKUP(RAND(),$K$5:$O$6,2,TRUE)</f>
        <v>258.43256826853184</v>
      </c>
      <c r="C517">
        <f t="shared" ca="1" si="34"/>
        <v>1402.5</v>
      </c>
      <c r="D517">
        <f t="shared" ca="1" si="35"/>
        <v>1020</v>
      </c>
      <c r="E517">
        <f t="shared" ca="1" si="33"/>
        <v>382.5</v>
      </c>
    </row>
    <row r="518" spans="1:5" x14ac:dyDescent="0.25">
      <c r="A518">
        <v>131</v>
      </c>
      <c r="B518" s="4">
        <f t="shared" ca="1" si="36"/>
        <v>263.35536460676792</v>
      </c>
      <c r="C518">
        <f t="shared" ca="1" si="34"/>
        <v>1402.5</v>
      </c>
      <c r="D518">
        <f t="shared" ca="1" si="35"/>
        <v>1020</v>
      </c>
      <c r="E518">
        <f t="shared" ref="E518:E581" ca="1" si="37">C518-D518</f>
        <v>382.5</v>
      </c>
    </row>
    <row r="519" spans="1:5" x14ac:dyDescent="0.25">
      <c r="A519">
        <v>132</v>
      </c>
      <c r="B519" s="4">
        <f t="shared" ca="1" si="36"/>
        <v>258.43256826853184</v>
      </c>
      <c r="C519">
        <f t="shared" ca="1" si="34"/>
        <v>1402.5</v>
      </c>
      <c r="D519">
        <f t="shared" ca="1" si="35"/>
        <v>1020</v>
      </c>
      <c r="E519">
        <f t="shared" ca="1" si="37"/>
        <v>382.5</v>
      </c>
    </row>
    <row r="520" spans="1:5" x14ac:dyDescent="0.25">
      <c r="A520">
        <v>133</v>
      </c>
      <c r="B520" s="4">
        <f t="shared" ca="1" si="36"/>
        <v>228.35119816119044</v>
      </c>
      <c r="C520">
        <f t="shared" ca="1" si="34"/>
        <v>1342.5401958626787</v>
      </c>
      <c r="D520">
        <f t="shared" ca="1" si="35"/>
        <v>953.37799540297613</v>
      </c>
      <c r="E520">
        <f t="shared" ca="1" si="37"/>
        <v>389.1622004597026</v>
      </c>
    </row>
    <row r="521" spans="1:5" x14ac:dyDescent="0.25">
      <c r="A521">
        <v>134</v>
      </c>
      <c r="B521" s="4">
        <f t="shared" ca="1" si="36"/>
        <v>293.76646764418979</v>
      </c>
      <c r="C521">
        <f t="shared" ca="1" si="34"/>
        <v>1402.5</v>
      </c>
      <c r="D521">
        <f t="shared" ca="1" si="35"/>
        <v>1020</v>
      </c>
      <c r="E521">
        <f t="shared" ca="1" si="37"/>
        <v>382.5</v>
      </c>
    </row>
    <row r="522" spans="1:5" x14ac:dyDescent="0.25">
      <c r="A522">
        <v>135</v>
      </c>
      <c r="B522" s="4">
        <f t="shared" ca="1" si="36"/>
        <v>293.76646764418979</v>
      </c>
      <c r="C522">
        <f t="shared" ca="1" si="34"/>
        <v>1402.5</v>
      </c>
      <c r="D522">
        <f t="shared" ca="1" si="35"/>
        <v>1020</v>
      </c>
      <c r="E522">
        <f t="shared" ca="1" si="37"/>
        <v>382.5</v>
      </c>
    </row>
    <row r="523" spans="1:5" x14ac:dyDescent="0.25">
      <c r="A523">
        <v>136</v>
      </c>
      <c r="B523" s="4">
        <f t="shared" ca="1" si="36"/>
        <v>258.43256826853184</v>
      </c>
      <c r="C523">
        <f t="shared" ca="1" si="34"/>
        <v>1402.5</v>
      </c>
      <c r="D523">
        <f t="shared" ca="1" si="35"/>
        <v>1020</v>
      </c>
      <c r="E523">
        <f t="shared" ca="1" si="37"/>
        <v>382.5</v>
      </c>
    </row>
    <row r="524" spans="1:5" x14ac:dyDescent="0.25">
      <c r="A524">
        <v>137</v>
      </c>
      <c r="B524" s="4">
        <f t="shared" ca="1" si="36"/>
        <v>263.35536460676792</v>
      </c>
      <c r="C524">
        <f t="shared" ca="1" si="34"/>
        <v>1402.5</v>
      </c>
      <c r="D524">
        <f t="shared" ca="1" si="35"/>
        <v>1020</v>
      </c>
      <c r="E524">
        <f t="shared" ca="1" si="37"/>
        <v>382.5</v>
      </c>
    </row>
    <row r="525" spans="1:5" x14ac:dyDescent="0.25">
      <c r="A525">
        <v>138</v>
      </c>
      <c r="B525" s="4">
        <f t="shared" ca="1" si="36"/>
        <v>258.43256826853184</v>
      </c>
      <c r="C525">
        <f t="shared" ca="1" si="34"/>
        <v>1402.5</v>
      </c>
      <c r="D525">
        <f t="shared" ca="1" si="35"/>
        <v>1020</v>
      </c>
      <c r="E525">
        <f t="shared" ca="1" si="37"/>
        <v>382.5</v>
      </c>
    </row>
    <row r="526" spans="1:5" x14ac:dyDescent="0.25">
      <c r="A526">
        <v>139</v>
      </c>
      <c r="B526" s="4">
        <f t="shared" ca="1" si="36"/>
        <v>263.35536460676792</v>
      </c>
      <c r="C526">
        <f t="shared" ca="1" si="34"/>
        <v>1402.5</v>
      </c>
      <c r="D526">
        <f t="shared" ca="1" si="35"/>
        <v>1020</v>
      </c>
      <c r="E526">
        <f t="shared" ca="1" si="37"/>
        <v>382.5</v>
      </c>
    </row>
    <row r="527" spans="1:5" x14ac:dyDescent="0.25">
      <c r="A527">
        <v>140</v>
      </c>
      <c r="B527" s="4">
        <f t="shared" ca="1" si="36"/>
        <v>228.35119816119044</v>
      </c>
      <c r="C527">
        <f t="shared" ca="1" si="34"/>
        <v>1342.5401958626787</v>
      </c>
      <c r="D527">
        <f t="shared" ca="1" si="35"/>
        <v>953.37799540297613</v>
      </c>
      <c r="E527">
        <f t="shared" ca="1" si="37"/>
        <v>389.1622004597026</v>
      </c>
    </row>
    <row r="528" spans="1:5" x14ac:dyDescent="0.25">
      <c r="A528">
        <v>141</v>
      </c>
      <c r="B528" s="4">
        <f t="shared" ca="1" si="36"/>
        <v>258.43256826853184</v>
      </c>
      <c r="C528">
        <f t="shared" ca="1" si="34"/>
        <v>1402.5</v>
      </c>
      <c r="D528">
        <f t="shared" ca="1" si="35"/>
        <v>1020</v>
      </c>
      <c r="E528">
        <f t="shared" ca="1" si="37"/>
        <v>382.5</v>
      </c>
    </row>
    <row r="529" spans="1:5" x14ac:dyDescent="0.25">
      <c r="A529">
        <v>142</v>
      </c>
      <c r="B529" s="4">
        <f t="shared" ca="1" si="36"/>
        <v>258.43256826853184</v>
      </c>
      <c r="C529">
        <f t="shared" ca="1" si="34"/>
        <v>1402.5</v>
      </c>
      <c r="D529">
        <f t="shared" ca="1" si="35"/>
        <v>1020</v>
      </c>
      <c r="E529">
        <f t="shared" ca="1" si="37"/>
        <v>382.5</v>
      </c>
    </row>
    <row r="530" spans="1:5" x14ac:dyDescent="0.25">
      <c r="A530">
        <v>143</v>
      </c>
      <c r="B530" s="4">
        <f t="shared" ca="1" si="36"/>
        <v>217.18668662249479</v>
      </c>
      <c r="C530">
        <f t="shared" ca="1" si="34"/>
        <v>1317.4200449006134</v>
      </c>
      <c r="D530">
        <f t="shared" ca="1" si="35"/>
        <v>925.46671655623697</v>
      </c>
      <c r="E530">
        <f t="shared" ca="1" si="37"/>
        <v>391.95332834437647</v>
      </c>
    </row>
    <row r="531" spans="1:5" x14ac:dyDescent="0.25">
      <c r="A531">
        <v>144</v>
      </c>
      <c r="B531" s="4">
        <f t="shared" ca="1" si="36"/>
        <v>217.18668662249479</v>
      </c>
      <c r="C531">
        <f t="shared" ca="1" si="34"/>
        <v>1317.4200449006134</v>
      </c>
      <c r="D531">
        <f t="shared" ca="1" si="35"/>
        <v>925.46671655623697</v>
      </c>
      <c r="E531">
        <f t="shared" ca="1" si="37"/>
        <v>391.95332834437647</v>
      </c>
    </row>
    <row r="532" spans="1:5" x14ac:dyDescent="0.25">
      <c r="A532">
        <v>145</v>
      </c>
      <c r="B532" s="4">
        <f t="shared" ca="1" si="36"/>
        <v>263.35536460676792</v>
      </c>
      <c r="C532">
        <f t="shared" ca="1" si="34"/>
        <v>1402.5</v>
      </c>
      <c r="D532">
        <f t="shared" ca="1" si="35"/>
        <v>1020</v>
      </c>
      <c r="E532">
        <f t="shared" ca="1" si="37"/>
        <v>382.5</v>
      </c>
    </row>
    <row r="533" spans="1:5" x14ac:dyDescent="0.25">
      <c r="A533">
        <v>146</v>
      </c>
      <c r="B533" s="4">
        <f t="shared" ca="1" si="36"/>
        <v>263.35536460676792</v>
      </c>
      <c r="C533">
        <f t="shared" ca="1" si="34"/>
        <v>1402.5</v>
      </c>
      <c r="D533">
        <f t="shared" ca="1" si="35"/>
        <v>1020</v>
      </c>
      <c r="E533">
        <f t="shared" ca="1" si="37"/>
        <v>382.5</v>
      </c>
    </row>
    <row r="534" spans="1:5" x14ac:dyDescent="0.25">
      <c r="A534">
        <v>147</v>
      </c>
      <c r="B534" s="4">
        <f t="shared" ca="1" si="36"/>
        <v>263.35536460676792</v>
      </c>
      <c r="C534">
        <f t="shared" ca="1" si="34"/>
        <v>1402.5</v>
      </c>
      <c r="D534">
        <f t="shared" ca="1" si="35"/>
        <v>1020</v>
      </c>
      <c r="E534">
        <f t="shared" ca="1" si="37"/>
        <v>382.5</v>
      </c>
    </row>
    <row r="535" spans="1:5" x14ac:dyDescent="0.25">
      <c r="A535">
        <v>148</v>
      </c>
      <c r="B535" s="4">
        <f t="shared" ca="1" si="36"/>
        <v>263.35536460676792</v>
      </c>
      <c r="C535">
        <f t="shared" ca="1" si="34"/>
        <v>1402.5</v>
      </c>
      <c r="D535">
        <f t="shared" ca="1" si="35"/>
        <v>1020</v>
      </c>
      <c r="E535">
        <f t="shared" ca="1" si="37"/>
        <v>382.5</v>
      </c>
    </row>
    <row r="536" spans="1:5" x14ac:dyDescent="0.25">
      <c r="A536">
        <v>149</v>
      </c>
      <c r="B536" s="4">
        <f t="shared" ca="1" si="36"/>
        <v>263.35536460676792</v>
      </c>
      <c r="C536">
        <f t="shared" ca="1" si="34"/>
        <v>1402.5</v>
      </c>
      <c r="D536">
        <f t="shared" ca="1" si="35"/>
        <v>1020</v>
      </c>
      <c r="E536">
        <f t="shared" ca="1" si="37"/>
        <v>382.5</v>
      </c>
    </row>
    <row r="537" spans="1:5" x14ac:dyDescent="0.25">
      <c r="A537">
        <v>150</v>
      </c>
      <c r="B537" s="4">
        <f t="shared" ca="1" si="36"/>
        <v>217.18668662249479</v>
      </c>
      <c r="C537">
        <f t="shared" ca="1" si="34"/>
        <v>1317.4200449006134</v>
      </c>
      <c r="D537">
        <f t="shared" ca="1" si="35"/>
        <v>925.46671655623697</v>
      </c>
      <c r="E537">
        <f t="shared" ca="1" si="37"/>
        <v>391.95332834437647</v>
      </c>
    </row>
    <row r="538" spans="1:5" x14ac:dyDescent="0.25">
      <c r="A538">
        <v>151</v>
      </c>
      <c r="B538" s="4">
        <f t="shared" ca="1" si="36"/>
        <v>228.35119816119044</v>
      </c>
      <c r="C538">
        <f t="shared" ca="1" si="34"/>
        <v>1342.5401958626787</v>
      </c>
      <c r="D538">
        <f t="shared" ca="1" si="35"/>
        <v>953.37799540297613</v>
      </c>
      <c r="E538">
        <f t="shared" ca="1" si="37"/>
        <v>389.1622004597026</v>
      </c>
    </row>
    <row r="539" spans="1:5" x14ac:dyDescent="0.25">
      <c r="A539">
        <v>152</v>
      </c>
      <c r="B539" s="4">
        <f t="shared" ca="1" si="36"/>
        <v>258.43256826853184</v>
      </c>
      <c r="C539">
        <f t="shared" ca="1" si="34"/>
        <v>1402.5</v>
      </c>
      <c r="D539">
        <f t="shared" ca="1" si="35"/>
        <v>1020</v>
      </c>
      <c r="E539">
        <f t="shared" ca="1" si="37"/>
        <v>382.5</v>
      </c>
    </row>
    <row r="540" spans="1:5" x14ac:dyDescent="0.25">
      <c r="A540">
        <v>153</v>
      </c>
      <c r="B540" s="4">
        <f t="shared" ca="1" si="36"/>
        <v>293.76646764418979</v>
      </c>
      <c r="C540">
        <f t="shared" ca="1" si="34"/>
        <v>1402.5</v>
      </c>
      <c r="D540">
        <f t="shared" ca="1" si="35"/>
        <v>1020</v>
      </c>
      <c r="E540">
        <f t="shared" ca="1" si="37"/>
        <v>382.5</v>
      </c>
    </row>
    <row r="541" spans="1:5" x14ac:dyDescent="0.25">
      <c r="A541">
        <v>154</v>
      </c>
      <c r="B541" s="4">
        <f t="shared" ca="1" si="36"/>
        <v>293.76646764418979</v>
      </c>
      <c r="C541">
        <f t="shared" ca="1" si="34"/>
        <v>1402.5</v>
      </c>
      <c r="D541">
        <f t="shared" ca="1" si="35"/>
        <v>1020</v>
      </c>
      <c r="E541">
        <f t="shared" ca="1" si="37"/>
        <v>382.5</v>
      </c>
    </row>
    <row r="542" spans="1:5" x14ac:dyDescent="0.25">
      <c r="A542">
        <v>155</v>
      </c>
      <c r="B542" s="4">
        <f t="shared" ca="1" si="36"/>
        <v>217.18668662249479</v>
      </c>
      <c r="C542">
        <f t="shared" ca="1" si="34"/>
        <v>1317.4200449006134</v>
      </c>
      <c r="D542">
        <f t="shared" ca="1" si="35"/>
        <v>925.46671655623697</v>
      </c>
      <c r="E542">
        <f t="shared" ca="1" si="37"/>
        <v>391.95332834437647</v>
      </c>
    </row>
    <row r="543" spans="1:5" x14ac:dyDescent="0.25">
      <c r="A543">
        <v>156</v>
      </c>
      <c r="B543" s="4">
        <f t="shared" ca="1" si="36"/>
        <v>228.35119816119044</v>
      </c>
      <c r="C543">
        <f t="shared" ca="1" si="34"/>
        <v>1342.5401958626787</v>
      </c>
      <c r="D543">
        <f t="shared" ca="1" si="35"/>
        <v>953.37799540297613</v>
      </c>
      <c r="E543">
        <f t="shared" ca="1" si="37"/>
        <v>389.1622004597026</v>
      </c>
    </row>
    <row r="544" spans="1:5" x14ac:dyDescent="0.25">
      <c r="A544">
        <v>157</v>
      </c>
      <c r="B544" s="4">
        <f t="shared" ca="1" si="36"/>
        <v>263.35536460676792</v>
      </c>
      <c r="C544">
        <f t="shared" ca="1" si="34"/>
        <v>1402.5</v>
      </c>
      <c r="D544">
        <f t="shared" ca="1" si="35"/>
        <v>1020</v>
      </c>
      <c r="E544">
        <f t="shared" ca="1" si="37"/>
        <v>382.5</v>
      </c>
    </row>
    <row r="545" spans="1:5" x14ac:dyDescent="0.25">
      <c r="A545">
        <v>158</v>
      </c>
      <c r="B545" s="4">
        <f t="shared" ca="1" si="36"/>
        <v>258.43256826853184</v>
      </c>
      <c r="C545">
        <f t="shared" ca="1" si="34"/>
        <v>1402.5</v>
      </c>
      <c r="D545">
        <f t="shared" ca="1" si="35"/>
        <v>1020</v>
      </c>
      <c r="E545">
        <f t="shared" ca="1" si="37"/>
        <v>382.5</v>
      </c>
    </row>
    <row r="546" spans="1:5" x14ac:dyDescent="0.25">
      <c r="A546">
        <v>159</v>
      </c>
      <c r="B546" s="4">
        <f t="shared" ca="1" si="36"/>
        <v>258.43256826853184</v>
      </c>
      <c r="C546">
        <f t="shared" ca="1" si="34"/>
        <v>1402.5</v>
      </c>
      <c r="D546">
        <f t="shared" ca="1" si="35"/>
        <v>1020</v>
      </c>
      <c r="E546">
        <f t="shared" ca="1" si="37"/>
        <v>382.5</v>
      </c>
    </row>
    <row r="547" spans="1:5" x14ac:dyDescent="0.25">
      <c r="A547">
        <v>160</v>
      </c>
      <c r="B547" s="4">
        <f t="shared" ca="1" si="36"/>
        <v>293.76646764418979</v>
      </c>
      <c r="C547">
        <f t="shared" ca="1" si="34"/>
        <v>1402.5</v>
      </c>
      <c r="D547">
        <f t="shared" ca="1" si="35"/>
        <v>1020</v>
      </c>
      <c r="E547">
        <f t="shared" ca="1" si="37"/>
        <v>382.5</v>
      </c>
    </row>
    <row r="548" spans="1:5" x14ac:dyDescent="0.25">
      <c r="A548">
        <v>161</v>
      </c>
      <c r="B548" s="4">
        <f t="shared" ca="1" si="36"/>
        <v>258.43256826853184</v>
      </c>
      <c r="C548">
        <f t="shared" ca="1" si="34"/>
        <v>1402.5</v>
      </c>
      <c r="D548">
        <f t="shared" ca="1" si="35"/>
        <v>1020</v>
      </c>
      <c r="E548">
        <f t="shared" ca="1" si="37"/>
        <v>382.5</v>
      </c>
    </row>
    <row r="549" spans="1:5" x14ac:dyDescent="0.25">
      <c r="A549">
        <v>162</v>
      </c>
      <c r="B549" s="4">
        <f t="shared" ca="1" si="36"/>
        <v>258.43256826853184</v>
      </c>
      <c r="C549">
        <f t="shared" ca="1" si="34"/>
        <v>1402.5</v>
      </c>
      <c r="D549">
        <f t="shared" ca="1" si="35"/>
        <v>1020</v>
      </c>
      <c r="E549">
        <f t="shared" ca="1" si="37"/>
        <v>382.5</v>
      </c>
    </row>
    <row r="550" spans="1:5" x14ac:dyDescent="0.25">
      <c r="A550">
        <v>163</v>
      </c>
      <c r="B550" s="4">
        <f t="shared" ca="1" si="36"/>
        <v>263.35536460676792</v>
      </c>
      <c r="C550">
        <f t="shared" ca="1" si="34"/>
        <v>1402.5</v>
      </c>
      <c r="D550">
        <f t="shared" ca="1" si="35"/>
        <v>1020</v>
      </c>
      <c r="E550">
        <f t="shared" ca="1" si="37"/>
        <v>382.5</v>
      </c>
    </row>
    <row r="551" spans="1:5" x14ac:dyDescent="0.25">
      <c r="A551">
        <v>164</v>
      </c>
      <c r="B551" s="4">
        <f t="shared" ca="1" si="36"/>
        <v>228.35119816119044</v>
      </c>
      <c r="C551">
        <f t="shared" ca="1" si="34"/>
        <v>1342.5401958626787</v>
      </c>
      <c r="D551">
        <f t="shared" ca="1" si="35"/>
        <v>953.37799540297613</v>
      </c>
      <c r="E551">
        <f t="shared" ca="1" si="37"/>
        <v>389.1622004597026</v>
      </c>
    </row>
    <row r="552" spans="1:5" x14ac:dyDescent="0.25">
      <c r="A552">
        <v>165</v>
      </c>
      <c r="B552" s="4">
        <f t="shared" ca="1" si="36"/>
        <v>293.76646764418979</v>
      </c>
      <c r="C552">
        <f t="shared" ca="1" si="34"/>
        <v>1402.5</v>
      </c>
      <c r="D552">
        <f t="shared" ca="1" si="35"/>
        <v>1020</v>
      </c>
      <c r="E552">
        <f t="shared" ca="1" si="37"/>
        <v>382.5</v>
      </c>
    </row>
    <row r="553" spans="1:5" x14ac:dyDescent="0.25">
      <c r="A553">
        <v>166</v>
      </c>
      <c r="B553" s="4">
        <f t="shared" ca="1" si="36"/>
        <v>258.43256826853184</v>
      </c>
      <c r="C553">
        <f t="shared" ca="1" si="34"/>
        <v>1402.5</v>
      </c>
      <c r="D553">
        <f t="shared" ca="1" si="35"/>
        <v>1020</v>
      </c>
      <c r="E553">
        <f t="shared" ca="1" si="37"/>
        <v>382.5</v>
      </c>
    </row>
    <row r="554" spans="1:5" x14ac:dyDescent="0.25">
      <c r="A554">
        <v>167</v>
      </c>
      <c r="B554" s="4">
        <f t="shared" ca="1" si="36"/>
        <v>263.35536460676792</v>
      </c>
      <c r="C554">
        <f t="shared" ca="1" si="34"/>
        <v>1402.5</v>
      </c>
      <c r="D554">
        <f t="shared" ca="1" si="35"/>
        <v>1020</v>
      </c>
      <c r="E554">
        <f t="shared" ca="1" si="37"/>
        <v>382.5</v>
      </c>
    </row>
    <row r="555" spans="1:5" x14ac:dyDescent="0.25">
      <c r="A555">
        <v>168</v>
      </c>
      <c r="B555" s="4">
        <f t="shared" ca="1" si="36"/>
        <v>293.76646764418979</v>
      </c>
      <c r="C555">
        <f t="shared" ca="1" si="34"/>
        <v>1402.5</v>
      </c>
      <c r="D555">
        <f t="shared" ca="1" si="35"/>
        <v>1020</v>
      </c>
      <c r="E555">
        <f t="shared" ca="1" si="37"/>
        <v>382.5</v>
      </c>
    </row>
    <row r="556" spans="1:5" x14ac:dyDescent="0.25">
      <c r="A556">
        <v>169</v>
      </c>
      <c r="B556" s="4">
        <f t="shared" ca="1" si="36"/>
        <v>263.35536460676792</v>
      </c>
      <c r="C556">
        <f t="shared" ca="1" si="34"/>
        <v>1402.5</v>
      </c>
      <c r="D556">
        <f t="shared" ca="1" si="35"/>
        <v>1020</v>
      </c>
      <c r="E556">
        <f t="shared" ca="1" si="37"/>
        <v>382.5</v>
      </c>
    </row>
    <row r="557" spans="1:5" x14ac:dyDescent="0.25">
      <c r="A557">
        <v>170</v>
      </c>
      <c r="B557" s="4">
        <f t="shared" ca="1" si="36"/>
        <v>258.43256826853184</v>
      </c>
      <c r="C557">
        <f t="shared" ca="1" si="34"/>
        <v>1402.5</v>
      </c>
      <c r="D557">
        <f t="shared" ca="1" si="35"/>
        <v>1020</v>
      </c>
      <c r="E557">
        <f t="shared" ca="1" si="37"/>
        <v>382.5</v>
      </c>
    </row>
    <row r="558" spans="1:5" x14ac:dyDescent="0.25">
      <c r="A558">
        <v>171</v>
      </c>
      <c r="B558" s="4">
        <f t="shared" ca="1" si="36"/>
        <v>293.76646764418979</v>
      </c>
      <c r="C558">
        <f t="shared" ca="1" si="34"/>
        <v>1402.5</v>
      </c>
      <c r="D558">
        <f t="shared" ca="1" si="35"/>
        <v>1020</v>
      </c>
      <c r="E558">
        <f t="shared" ca="1" si="37"/>
        <v>382.5</v>
      </c>
    </row>
    <row r="559" spans="1:5" x14ac:dyDescent="0.25">
      <c r="A559">
        <v>172</v>
      </c>
      <c r="B559" s="4">
        <f t="shared" ca="1" si="36"/>
        <v>258.43256826853184</v>
      </c>
      <c r="C559">
        <f t="shared" ca="1" si="34"/>
        <v>1402.5</v>
      </c>
      <c r="D559">
        <f t="shared" ca="1" si="35"/>
        <v>1020</v>
      </c>
      <c r="E559">
        <f t="shared" ca="1" si="37"/>
        <v>382.5</v>
      </c>
    </row>
    <row r="560" spans="1:5" x14ac:dyDescent="0.25">
      <c r="A560">
        <v>173</v>
      </c>
      <c r="B560" s="4">
        <f t="shared" ca="1" si="36"/>
        <v>293.76646764418979</v>
      </c>
      <c r="C560">
        <f t="shared" ca="1" si="34"/>
        <v>1402.5</v>
      </c>
      <c r="D560">
        <f t="shared" ca="1" si="35"/>
        <v>1020</v>
      </c>
      <c r="E560">
        <f t="shared" ca="1" si="37"/>
        <v>382.5</v>
      </c>
    </row>
    <row r="561" spans="1:5" x14ac:dyDescent="0.25">
      <c r="A561">
        <v>174</v>
      </c>
      <c r="B561" s="4">
        <f t="shared" ca="1" si="36"/>
        <v>217.18668662249479</v>
      </c>
      <c r="C561">
        <f t="shared" ca="1" si="34"/>
        <v>1317.4200449006134</v>
      </c>
      <c r="D561">
        <f t="shared" ca="1" si="35"/>
        <v>925.46671655623697</v>
      </c>
      <c r="E561">
        <f t="shared" ca="1" si="37"/>
        <v>391.95332834437647</v>
      </c>
    </row>
    <row r="562" spans="1:5" x14ac:dyDescent="0.25">
      <c r="A562">
        <v>175</v>
      </c>
      <c r="B562" s="4">
        <f t="shared" ca="1" si="36"/>
        <v>263.35536460676792</v>
      </c>
      <c r="C562">
        <f t="shared" ca="1" si="34"/>
        <v>1402.5</v>
      </c>
      <c r="D562">
        <f t="shared" ca="1" si="35"/>
        <v>1020</v>
      </c>
      <c r="E562">
        <f t="shared" ca="1" si="37"/>
        <v>382.5</v>
      </c>
    </row>
    <row r="563" spans="1:5" x14ac:dyDescent="0.25">
      <c r="A563">
        <v>176</v>
      </c>
      <c r="B563" s="4">
        <f t="shared" ca="1" si="36"/>
        <v>258.43256826853184</v>
      </c>
      <c r="C563">
        <f t="shared" ca="1" si="34"/>
        <v>1402.5</v>
      </c>
      <c r="D563">
        <f t="shared" ca="1" si="35"/>
        <v>1020</v>
      </c>
      <c r="E563">
        <f t="shared" ca="1" si="37"/>
        <v>382.5</v>
      </c>
    </row>
    <row r="564" spans="1:5" x14ac:dyDescent="0.25">
      <c r="A564">
        <v>177</v>
      </c>
      <c r="B564" s="4">
        <f t="shared" ca="1" si="36"/>
        <v>263.35536460676792</v>
      </c>
      <c r="C564">
        <f t="shared" ca="1" si="34"/>
        <v>1402.5</v>
      </c>
      <c r="D564">
        <f t="shared" ca="1" si="35"/>
        <v>1020</v>
      </c>
      <c r="E564">
        <f t="shared" ca="1" si="37"/>
        <v>382.5</v>
      </c>
    </row>
    <row r="565" spans="1:5" x14ac:dyDescent="0.25">
      <c r="A565">
        <v>178</v>
      </c>
      <c r="B565" s="4">
        <f t="shared" ca="1" si="36"/>
        <v>263.35536460676792</v>
      </c>
      <c r="C565">
        <f t="shared" ca="1" si="34"/>
        <v>1402.5</v>
      </c>
      <c r="D565">
        <f t="shared" ca="1" si="35"/>
        <v>1020</v>
      </c>
      <c r="E565">
        <f t="shared" ca="1" si="37"/>
        <v>382.5</v>
      </c>
    </row>
    <row r="566" spans="1:5" x14ac:dyDescent="0.25">
      <c r="A566">
        <v>179</v>
      </c>
      <c r="B566" s="4">
        <f t="shared" ca="1" si="36"/>
        <v>228.35119816119044</v>
      </c>
      <c r="C566">
        <f t="shared" ca="1" si="34"/>
        <v>1342.5401958626787</v>
      </c>
      <c r="D566">
        <f t="shared" ca="1" si="35"/>
        <v>953.37799540297613</v>
      </c>
      <c r="E566">
        <f t="shared" ca="1" si="37"/>
        <v>389.1622004597026</v>
      </c>
    </row>
    <row r="567" spans="1:5" x14ac:dyDescent="0.25">
      <c r="A567">
        <v>180</v>
      </c>
      <c r="B567" s="4">
        <f t="shared" ca="1" si="36"/>
        <v>263.35536460676792</v>
      </c>
      <c r="C567">
        <f t="shared" ca="1" si="34"/>
        <v>1402.5</v>
      </c>
      <c r="D567">
        <f t="shared" ca="1" si="35"/>
        <v>1020</v>
      </c>
      <c r="E567">
        <f t="shared" ca="1" si="37"/>
        <v>382.5</v>
      </c>
    </row>
    <row r="568" spans="1:5" x14ac:dyDescent="0.25">
      <c r="A568">
        <v>181</v>
      </c>
      <c r="B568" s="4">
        <f t="shared" ca="1" si="36"/>
        <v>258.43256826853184</v>
      </c>
      <c r="C568">
        <f t="shared" ca="1" si="34"/>
        <v>1402.5</v>
      </c>
      <c r="D568">
        <f t="shared" ca="1" si="35"/>
        <v>1020</v>
      </c>
      <c r="E568">
        <f t="shared" ca="1" si="37"/>
        <v>382.5</v>
      </c>
    </row>
    <row r="569" spans="1:5" x14ac:dyDescent="0.25">
      <c r="A569">
        <v>182</v>
      </c>
      <c r="B569" s="4">
        <f t="shared" ca="1" si="36"/>
        <v>263.35536460676792</v>
      </c>
      <c r="C569">
        <f t="shared" ca="1" si="34"/>
        <v>1402.5</v>
      </c>
      <c r="D569">
        <f t="shared" ca="1" si="35"/>
        <v>1020</v>
      </c>
      <c r="E569">
        <f t="shared" ca="1" si="37"/>
        <v>382.5</v>
      </c>
    </row>
    <row r="570" spans="1:5" x14ac:dyDescent="0.25">
      <c r="A570">
        <v>183</v>
      </c>
      <c r="B570" s="4">
        <f t="shared" ca="1" si="36"/>
        <v>263.35536460676792</v>
      </c>
      <c r="C570">
        <f t="shared" ca="1" si="34"/>
        <v>1402.5</v>
      </c>
      <c r="D570">
        <f t="shared" ca="1" si="35"/>
        <v>1020</v>
      </c>
      <c r="E570">
        <f t="shared" ca="1" si="37"/>
        <v>382.5</v>
      </c>
    </row>
    <row r="571" spans="1:5" x14ac:dyDescent="0.25">
      <c r="A571">
        <v>184</v>
      </c>
      <c r="B571" s="4">
        <f t="shared" ca="1" si="36"/>
        <v>263.35536460676792</v>
      </c>
      <c r="C571">
        <f t="shared" ca="1" si="34"/>
        <v>1402.5</v>
      </c>
      <c r="D571">
        <f t="shared" ca="1" si="35"/>
        <v>1020</v>
      </c>
      <c r="E571">
        <f t="shared" ca="1" si="37"/>
        <v>382.5</v>
      </c>
    </row>
    <row r="572" spans="1:5" x14ac:dyDescent="0.25">
      <c r="A572">
        <v>185</v>
      </c>
      <c r="B572" s="4">
        <f t="shared" ca="1" si="36"/>
        <v>228.35119816119044</v>
      </c>
      <c r="C572">
        <f t="shared" ca="1" si="34"/>
        <v>1342.5401958626787</v>
      </c>
      <c r="D572">
        <f t="shared" ca="1" si="35"/>
        <v>953.37799540297613</v>
      </c>
      <c r="E572">
        <f t="shared" ca="1" si="37"/>
        <v>389.1622004597026</v>
      </c>
    </row>
    <row r="573" spans="1:5" x14ac:dyDescent="0.25">
      <c r="A573">
        <v>186</v>
      </c>
      <c r="B573" s="4">
        <f t="shared" ca="1" si="36"/>
        <v>293.76646764418979</v>
      </c>
      <c r="C573">
        <f t="shared" ca="1" si="34"/>
        <v>1402.5</v>
      </c>
      <c r="D573">
        <f t="shared" ca="1" si="35"/>
        <v>1020</v>
      </c>
      <c r="E573">
        <f t="shared" ca="1" si="37"/>
        <v>382.5</v>
      </c>
    </row>
    <row r="574" spans="1:5" x14ac:dyDescent="0.25">
      <c r="A574">
        <v>187</v>
      </c>
      <c r="B574" s="4">
        <f t="shared" ca="1" si="36"/>
        <v>293.76646764418979</v>
      </c>
      <c r="C574">
        <f t="shared" ca="1" si="34"/>
        <v>1402.5</v>
      </c>
      <c r="D574">
        <f t="shared" ca="1" si="35"/>
        <v>1020</v>
      </c>
      <c r="E574">
        <f t="shared" ca="1" si="37"/>
        <v>382.5</v>
      </c>
    </row>
    <row r="575" spans="1:5" x14ac:dyDescent="0.25">
      <c r="A575">
        <v>188</v>
      </c>
      <c r="B575" s="4">
        <f t="shared" ca="1" si="36"/>
        <v>217.18668662249479</v>
      </c>
      <c r="C575">
        <f t="shared" ca="1" si="34"/>
        <v>1317.4200449006134</v>
      </c>
      <c r="D575">
        <f t="shared" ca="1" si="35"/>
        <v>925.46671655623697</v>
      </c>
      <c r="E575">
        <f t="shared" ca="1" si="37"/>
        <v>391.95332834437647</v>
      </c>
    </row>
    <row r="576" spans="1:5" x14ac:dyDescent="0.25">
      <c r="A576">
        <v>189</v>
      </c>
      <c r="B576" s="4">
        <f t="shared" ca="1" si="36"/>
        <v>293.76646764418979</v>
      </c>
      <c r="C576">
        <f t="shared" ca="1" si="34"/>
        <v>1402.5</v>
      </c>
      <c r="D576">
        <f t="shared" ca="1" si="35"/>
        <v>1020</v>
      </c>
      <c r="E576">
        <f t="shared" ca="1" si="37"/>
        <v>382.5</v>
      </c>
    </row>
    <row r="577" spans="1:5" x14ac:dyDescent="0.25">
      <c r="A577">
        <v>190</v>
      </c>
      <c r="B577" s="4">
        <f t="shared" ca="1" si="36"/>
        <v>258.43256826853184</v>
      </c>
      <c r="C577">
        <f t="shared" ca="1" si="34"/>
        <v>1402.5</v>
      </c>
      <c r="D577">
        <f t="shared" ca="1" si="35"/>
        <v>1020</v>
      </c>
      <c r="E577">
        <f t="shared" ca="1" si="37"/>
        <v>382.5</v>
      </c>
    </row>
    <row r="578" spans="1:5" x14ac:dyDescent="0.25">
      <c r="A578">
        <v>191</v>
      </c>
      <c r="B578" s="4">
        <f t="shared" ca="1" si="36"/>
        <v>228.35119816119044</v>
      </c>
      <c r="C578">
        <f t="shared" ca="1" si="34"/>
        <v>1342.5401958626787</v>
      </c>
      <c r="D578">
        <f t="shared" ca="1" si="35"/>
        <v>953.37799540297613</v>
      </c>
      <c r="E578">
        <f t="shared" ca="1" si="37"/>
        <v>389.1622004597026</v>
      </c>
    </row>
    <row r="579" spans="1:5" x14ac:dyDescent="0.25">
      <c r="A579">
        <v>192</v>
      </c>
      <c r="B579" s="4">
        <f t="shared" ca="1" si="36"/>
        <v>293.76646764418979</v>
      </c>
      <c r="C579">
        <f t="shared" ca="1" si="34"/>
        <v>1402.5</v>
      </c>
      <c r="D579">
        <f t="shared" ca="1" si="35"/>
        <v>1020</v>
      </c>
      <c r="E579">
        <f t="shared" ca="1" si="37"/>
        <v>382.5</v>
      </c>
    </row>
    <row r="580" spans="1:5" x14ac:dyDescent="0.25">
      <c r="A580">
        <v>193</v>
      </c>
      <c r="B580" s="4">
        <f t="shared" ca="1" si="36"/>
        <v>263.35536460676792</v>
      </c>
      <c r="C580">
        <f t="shared" ref="C580:C643" ca="1" si="38">IF($M$10&gt;$B580,$B580*$F$7+($M$10-$B580)*$F$8+($M$10-$B580)*$F$9,$M$10*$F$7)</f>
        <v>1402.5</v>
      </c>
      <c r="D580">
        <f t="shared" ref="D580:D643" ca="1" si="39">IF(M$10&gt;B580,B580*F$5+(M$10-B580)*F$6,M$10*F$5)</f>
        <v>1020</v>
      </c>
      <c r="E580">
        <f t="shared" ca="1" si="37"/>
        <v>382.5</v>
      </c>
    </row>
    <row r="581" spans="1:5" x14ac:dyDescent="0.25">
      <c r="A581">
        <v>194</v>
      </c>
      <c r="B581" s="4">
        <f t="shared" ref="B581:B644" ca="1" si="40">HLOOKUP(RAND(),$K$5:$O$6,2,TRUE)</f>
        <v>263.35536460676792</v>
      </c>
      <c r="C581">
        <f t="shared" ca="1" si="38"/>
        <v>1402.5</v>
      </c>
      <c r="D581">
        <f t="shared" ca="1" si="39"/>
        <v>1020</v>
      </c>
      <c r="E581">
        <f t="shared" ca="1" si="37"/>
        <v>382.5</v>
      </c>
    </row>
    <row r="582" spans="1:5" x14ac:dyDescent="0.25">
      <c r="A582">
        <v>195</v>
      </c>
      <c r="B582" s="4">
        <f t="shared" ca="1" si="40"/>
        <v>263.35536460676792</v>
      </c>
      <c r="C582">
        <f t="shared" ca="1" si="38"/>
        <v>1402.5</v>
      </c>
      <c r="D582">
        <f t="shared" ca="1" si="39"/>
        <v>1020</v>
      </c>
      <c r="E582">
        <f t="shared" ref="E582:E645" ca="1" si="41">C582-D582</f>
        <v>382.5</v>
      </c>
    </row>
    <row r="583" spans="1:5" x14ac:dyDescent="0.25">
      <c r="A583">
        <v>196</v>
      </c>
      <c r="B583" s="4">
        <f t="shared" ca="1" si="40"/>
        <v>263.35536460676792</v>
      </c>
      <c r="C583">
        <f t="shared" ca="1" si="38"/>
        <v>1402.5</v>
      </c>
      <c r="D583">
        <f t="shared" ca="1" si="39"/>
        <v>1020</v>
      </c>
      <c r="E583">
        <f t="shared" ca="1" si="41"/>
        <v>382.5</v>
      </c>
    </row>
    <row r="584" spans="1:5" x14ac:dyDescent="0.25">
      <c r="A584">
        <v>197</v>
      </c>
      <c r="B584" s="4">
        <f t="shared" ca="1" si="40"/>
        <v>293.76646764418979</v>
      </c>
      <c r="C584">
        <f t="shared" ca="1" si="38"/>
        <v>1402.5</v>
      </c>
      <c r="D584">
        <f t="shared" ca="1" si="39"/>
        <v>1020</v>
      </c>
      <c r="E584">
        <f t="shared" ca="1" si="41"/>
        <v>382.5</v>
      </c>
    </row>
    <row r="585" spans="1:5" x14ac:dyDescent="0.25">
      <c r="A585">
        <v>198</v>
      </c>
      <c r="B585" s="4">
        <f t="shared" ca="1" si="40"/>
        <v>258.43256826853184</v>
      </c>
      <c r="C585">
        <f t="shared" ca="1" si="38"/>
        <v>1402.5</v>
      </c>
      <c r="D585">
        <f t="shared" ca="1" si="39"/>
        <v>1020</v>
      </c>
      <c r="E585">
        <f t="shared" ca="1" si="41"/>
        <v>382.5</v>
      </c>
    </row>
    <row r="586" spans="1:5" x14ac:dyDescent="0.25">
      <c r="A586">
        <v>199</v>
      </c>
      <c r="B586" s="4">
        <f t="shared" ca="1" si="40"/>
        <v>293.76646764418979</v>
      </c>
      <c r="C586">
        <f t="shared" ca="1" si="38"/>
        <v>1402.5</v>
      </c>
      <c r="D586">
        <f t="shared" ca="1" si="39"/>
        <v>1020</v>
      </c>
      <c r="E586">
        <f t="shared" ca="1" si="41"/>
        <v>382.5</v>
      </c>
    </row>
    <row r="587" spans="1:5" x14ac:dyDescent="0.25">
      <c r="A587">
        <v>200</v>
      </c>
      <c r="B587" s="4">
        <f t="shared" ca="1" si="40"/>
        <v>258.43256826853184</v>
      </c>
      <c r="C587">
        <f t="shared" ca="1" si="38"/>
        <v>1402.5</v>
      </c>
      <c r="D587">
        <f t="shared" ca="1" si="39"/>
        <v>1020</v>
      </c>
      <c r="E587">
        <f t="shared" ca="1" si="41"/>
        <v>382.5</v>
      </c>
    </row>
    <row r="588" spans="1:5" x14ac:dyDescent="0.25">
      <c r="A588">
        <v>201</v>
      </c>
      <c r="B588" s="4">
        <f t="shared" ca="1" si="40"/>
        <v>263.35536460676792</v>
      </c>
      <c r="C588">
        <f t="shared" ca="1" si="38"/>
        <v>1402.5</v>
      </c>
      <c r="D588">
        <f t="shared" ca="1" si="39"/>
        <v>1020</v>
      </c>
      <c r="E588">
        <f t="shared" ca="1" si="41"/>
        <v>382.5</v>
      </c>
    </row>
    <row r="589" spans="1:5" x14ac:dyDescent="0.25">
      <c r="A589">
        <v>202</v>
      </c>
      <c r="B589" s="4">
        <f t="shared" ca="1" si="40"/>
        <v>258.43256826853184</v>
      </c>
      <c r="C589">
        <f t="shared" ca="1" si="38"/>
        <v>1402.5</v>
      </c>
      <c r="D589">
        <f t="shared" ca="1" si="39"/>
        <v>1020</v>
      </c>
      <c r="E589">
        <f t="shared" ca="1" si="41"/>
        <v>382.5</v>
      </c>
    </row>
    <row r="590" spans="1:5" x14ac:dyDescent="0.25">
      <c r="A590">
        <v>203</v>
      </c>
      <c r="B590" s="4">
        <f t="shared" ca="1" si="40"/>
        <v>293.76646764418979</v>
      </c>
      <c r="C590">
        <f t="shared" ca="1" si="38"/>
        <v>1402.5</v>
      </c>
      <c r="D590">
        <f t="shared" ca="1" si="39"/>
        <v>1020</v>
      </c>
      <c r="E590">
        <f t="shared" ca="1" si="41"/>
        <v>382.5</v>
      </c>
    </row>
    <row r="591" spans="1:5" x14ac:dyDescent="0.25">
      <c r="A591">
        <v>204</v>
      </c>
      <c r="B591" s="4">
        <f t="shared" ca="1" si="40"/>
        <v>228.35119816119044</v>
      </c>
      <c r="C591">
        <f t="shared" ca="1" si="38"/>
        <v>1342.5401958626787</v>
      </c>
      <c r="D591">
        <f t="shared" ca="1" si="39"/>
        <v>953.37799540297613</v>
      </c>
      <c r="E591">
        <f t="shared" ca="1" si="41"/>
        <v>389.1622004597026</v>
      </c>
    </row>
    <row r="592" spans="1:5" x14ac:dyDescent="0.25">
      <c r="A592">
        <v>205</v>
      </c>
      <c r="B592" s="4">
        <f t="shared" ca="1" si="40"/>
        <v>258.43256826853184</v>
      </c>
      <c r="C592">
        <f t="shared" ca="1" si="38"/>
        <v>1402.5</v>
      </c>
      <c r="D592">
        <f t="shared" ca="1" si="39"/>
        <v>1020</v>
      </c>
      <c r="E592">
        <f t="shared" ca="1" si="41"/>
        <v>382.5</v>
      </c>
    </row>
    <row r="593" spans="1:5" x14ac:dyDescent="0.25">
      <c r="A593">
        <v>206</v>
      </c>
      <c r="B593" s="4">
        <f t="shared" ca="1" si="40"/>
        <v>217.18668662249479</v>
      </c>
      <c r="C593">
        <f t="shared" ca="1" si="38"/>
        <v>1317.4200449006134</v>
      </c>
      <c r="D593">
        <f t="shared" ca="1" si="39"/>
        <v>925.46671655623697</v>
      </c>
      <c r="E593">
        <f t="shared" ca="1" si="41"/>
        <v>391.95332834437647</v>
      </c>
    </row>
    <row r="594" spans="1:5" x14ac:dyDescent="0.25">
      <c r="A594">
        <v>207</v>
      </c>
      <c r="B594" s="4">
        <f t="shared" ca="1" si="40"/>
        <v>217.18668662249479</v>
      </c>
      <c r="C594">
        <f t="shared" ca="1" si="38"/>
        <v>1317.4200449006134</v>
      </c>
      <c r="D594">
        <f t="shared" ca="1" si="39"/>
        <v>925.46671655623697</v>
      </c>
      <c r="E594">
        <f t="shared" ca="1" si="41"/>
        <v>391.95332834437647</v>
      </c>
    </row>
    <row r="595" spans="1:5" x14ac:dyDescent="0.25">
      <c r="A595">
        <v>208</v>
      </c>
      <c r="B595" s="4">
        <f t="shared" ca="1" si="40"/>
        <v>263.35536460676792</v>
      </c>
      <c r="C595">
        <f t="shared" ca="1" si="38"/>
        <v>1402.5</v>
      </c>
      <c r="D595">
        <f t="shared" ca="1" si="39"/>
        <v>1020</v>
      </c>
      <c r="E595">
        <f t="shared" ca="1" si="41"/>
        <v>382.5</v>
      </c>
    </row>
    <row r="596" spans="1:5" x14ac:dyDescent="0.25">
      <c r="A596">
        <v>209</v>
      </c>
      <c r="B596" s="4">
        <f t="shared" ca="1" si="40"/>
        <v>217.18668662249479</v>
      </c>
      <c r="C596">
        <f t="shared" ca="1" si="38"/>
        <v>1317.4200449006134</v>
      </c>
      <c r="D596">
        <f t="shared" ca="1" si="39"/>
        <v>925.46671655623697</v>
      </c>
      <c r="E596">
        <f t="shared" ca="1" si="41"/>
        <v>391.95332834437647</v>
      </c>
    </row>
    <row r="597" spans="1:5" x14ac:dyDescent="0.25">
      <c r="A597">
        <v>210</v>
      </c>
      <c r="B597" s="4">
        <f t="shared" ca="1" si="40"/>
        <v>258.43256826853184</v>
      </c>
      <c r="C597">
        <f t="shared" ca="1" si="38"/>
        <v>1402.5</v>
      </c>
      <c r="D597">
        <f t="shared" ca="1" si="39"/>
        <v>1020</v>
      </c>
      <c r="E597">
        <f t="shared" ca="1" si="41"/>
        <v>382.5</v>
      </c>
    </row>
    <row r="598" spans="1:5" x14ac:dyDescent="0.25">
      <c r="A598">
        <v>211</v>
      </c>
      <c r="B598" s="4">
        <f t="shared" ca="1" si="40"/>
        <v>258.43256826853184</v>
      </c>
      <c r="C598">
        <f t="shared" ca="1" si="38"/>
        <v>1402.5</v>
      </c>
      <c r="D598">
        <f t="shared" ca="1" si="39"/>
        <v>1020</v>
      </c>
      <c r="E598">
        <f t="shared" ca="1" si="41"/>
        <v>382.5</v>
      </c>
    </row>
    <row r="599" spans="1:5" x14ac:dyDescent="0.25">
      <c r="A599">
        <v>212</v>
      </c>
      <c r="B599" s="4">
        <f t="shared" ca="1" si="40"/>
        <v>258.43256826853184</v>
      </c>
      <c r="C599">
        <f t="shared" ca="1" si="38"/>
        <v>1402.5</v>
      </c>
      <c r="D599">
        <f t="shared" ca="1" si="39"/>
        <v>1020</v>
      </c>
      <c r="E599">
        <f t="shared" ca="1" si="41"/>
        <v>382.5</v>
      </c>
    </row>
    <row r="600" spans="1:5" x14ac:dyDescent="0.25">
      <c r="A600">
        <v>213</v>
      </c>
      <c r="B600" s="4">
        <f t="shared" ca="1" si="40"/>
        <v>228.35119816119044</v>
      </c>
      <c r="C600">
        <f t="shared" ca="1" si="38"/>
        <v>1342.5401958626787</v>
      </c>
      <c r="D600">
        <f t="shared" ca="1" si="39"/>
        <v>953.37799540297613</v>
      </c>
      <c r="E600">
        <f t="shared" ca="1" si="41"/>
        <v>389.1622004597026</v>
      </c>
    </row>
    <row r="601" spans="1:5" x14ac:dyDescent="0.25">
      <c r="A601">
        <v>214</v>
      </c>
      <c r="B601" s="4">
        <f t="shared" ca="1" si="40"/>
        <v>263.35536460676792</v>
      </c>
      <c r="C601">
        <f t="shared" ca="1" si="38"/>
        <v>1402.5</v>
      </c>
      <c r="D601">
        <f t="shared" ca="1" si="39"/>
        <v>1020</v>
      </c>
      <c r="E601">
        <f t="shared" ca="1" si="41"/>
        <v>382.5</v>
      </c>
    </row>
    <row r="602" spans="1:5" x14ac:dyDescent="0.25">
      <c r="A602">
        <v>215</v>
      </c>
      <c r="B602" s="4">
        <f t="shared" ca="1" si="40"/>
        <v>293.76646764418979</v>
      </c>
      <c r="C602">
        <f t="shared" ca="1" si="38"/>
        <v>1402.5</v>
      </c>
      <c r="D602">
        <f t="shared" ca="1" si="39"/>
        <v>1020</v>
      </c>
      <c r="E602">
        <f t="shared" ca="1" si="41"/>
        <v>382.5</v>
      </c>
    </row>
    <row r="603" spans="1:5" x14ac:dyDescent="0.25">
      <c r="A603">
        <v>216</v>
      </c>
      <c r="B603" s="4">
        <f t="shared" ca="1" si="40"/>
        <v>217.18668662249479</v>
      </c>
      <c r="C603">
        <f t="shared" ca="1" si="38"/>
        <v>1317.4200449006134</v>
      </c>
      <c r="D603">
        <f t="shared" ca="1" si="39"/>
        <v>925.46671655623697</v>
      </c>
      <c r="E603">
        <f t="shared" ca="1" si="41"/>
        <v>391.95332834437647</v>
      </c>
    </row>
    <row r="604" spans="1:5" x14ac:dyDescent="0.25">
      <c r="A604">
        <v>217</v>
      </c>
      <c r="B604" s="4">
        <f t="shared" ca="1" si="40"/>
        <v>293.76646764418979</v>
      </c>
      <c r="C604">
        <f t="shared" ca="1" si="38"/>
        <v>1402.5</v>
      </c>
      <c r="D604">
        <f t="shared" ca="1" si="39"/>
        <v>1020</v>
      </c>
      <c r="E604">
        <f t="shared" ca="1" si="41"/>
        <v>382.5</v>
      </c>
    </row>
    <row r="605" spans="1:5" x14ac:dyDescent="0.25">
      <c r="A605">
        <v>218</v>
      </c>
      <c r="B605" s="4">
        <f t="shared" ca="1" si="40"/>
        <v>258.43256826853184</v>
      </c>
      <c r="C605">
        <f t="shared" ca="1" si="38"/>
        <v>1402.5</v>
      </c>
      <c r="D605">
        <f t="shared" ca="1" si="39"/>
        <v>1020</v>
      </c>
      <c r="E605">
        <f t="shared" ca="1" si="41"/>
        <v>382.5</v>
      </c>
    </row>
    <row r="606" spans="1:5" x14ac:dyDescent="0.25">
      <c r="A606">
        <v>219</v>
      </c>
      <c r="B606" s="4">
        <f t="shared" ca="1" si="40"/>
        <v>293.76646764418979</v>
      </c>
      <c r="C606">
        <f t="shared" ca="1" si="38"/>
        <v>1402.5</v>
      </c>
      <c r="D606">
        <f t="shared" ca="1" si="39"/>
        <v>1020</v>
      </c>
      <c r="E606">
        <f t="shared" ca="1" si="41"/>
        <v>382.5</v>
      </c>
    </row>
    <row r="607" spans="1:5" x14ac:dyDescent="0.25">
      <c r="A607">
        <v>220</v>
      </c>
      <c r="B607" s="4">
        <f t="shared" ca="1" si="40"/>
        <v>293.76646764418979</v>
      </c>
      <c r="C607">
        <f t="shared" ca="1" si="38"/>
        <v>1402.5</v>
      </c>
      <c r="D607">
        <f t="shared" ca="1" si="39"/>
        <v>1020</v>
      </c>
      <c r="E607">
        <f t="shared" ca="1" si="41"/>
        <v>382.5</v>
      </c>
    </row>
    <row r="608" spans="1:5" x14ac:dyDescent="0.25">
      <c r="A608">
        <v>221</v>
      </c>
      <c r="B608" s="4">
        <f t="shared" ca="1" si="40"/>
        <v>293.76646764418979</v>
      </c>
      <c r="C608">
        <f t="shared" ca="1" si="38"/>
        <v>1402.5</v>
      </c>
      <c r="D608">
        <f t="shared" ca="1" si="39"/>
        <v>1020</v>
      </c>
      <c r="E608">
        <f t="shared" ca="1" si="41"/>
        <v>382.5</v>
      </c>
    </row>
    <row r="609" spans="1:5" x14ac:dyDescent="0.25">
      <c r="A609">
        <v>222</v>
      </c>
      <c r="B609" s="4">
        <f t="shared" ca="1" si="40"/>
        <v>263.35536460676792</v>
      </c>
      <c r="C609">
        <f t="shared" ca="1" si="38"/>
        <v>1402.5</v>
      </c>
      <c r="D609">
        <f t="shared" ca="1" si="39"/>
        <v>1020</v>
      </c>
      <c r="E609">
        <f t="shared" ca="1" si="41"/>
        <v>382.5</v>
      </c>
    </row>
    <row r="610" spans="1:5" x14ac:dyDescent="0.25">
      <c r="A610">
        <v>223</v>
      </c>
      <c r="B610" s="4">
        <f t="shared" ca="1" si="40"/>
        <v>228.35119816119044</v>
      </c>
      <c r="C610">
        <f t="shared" ca="1" si="38"/>
        <v>1342.5401958626787</v>
      </c>
      <c r="D610">
        <f t="shared" ca="1" si="39"/>
        <v>953.37799540297613</v>
      </c>
      <c r="E610">
        <f t="shared" ca="1" si="41"/>
        <v>389.1622004597026</v>
      </c>
    </row>
    <row r="611" spans="1:5" x14ac:dyDescent="0.25">
      <c r="A611">
        <v>224</v>
      </c>
      <c r="B611" s="4">
        <f t="shared" ca="1" si="40"/>
        <v>217.18668662249479</v>
      </c>
      <c r="C611">
        <f t="shared" ca="1" si="38"/>
        <v>1317.4200449006134</v>
      </c>
      <c r="D611">
        <f t="shared" ca="1" si="39"/>
        <v>925.46671655623697</v>
      </c>
      <c r="E611">
        <f t="shared" ca="1" si="41"/>
        <v>391.95332834437647</v>
      </c>
    </row>
    <row r="612" spans="1:5" x14ac:dyDescent="0.25">
      <c r="A612">
        <v>225</v>
      </c>
      <c r="B612" s="4">
        <f t="shared" ca="1" si="40"/>
        <v>228.35119816119044</v>
      </c>
      <c r="C612">
        <f t="shared" ca="1" si="38"/>
        <v>1342.5401958626787</v>
      </c>
      <c r="D612">
        <f t="shared" ca="1" si="39"/>
        <v>953.37799540297613</v>
      </c>
      <c r="E612">
        <f t="shared" ca="1" si="41"/>
        <v>389.1622004597026</v>
      </c>
    </row>
    <row r="613" spans="1:5" x14ac:dyDescent="0.25">
      <c r="A613">
        <v>226</v>
      </c>
      <c r="B613" s="4">
        <f t="shared" ca="1" si="40"/>
        <v>263.35536460676792</v>
      </c>
      <c r="C613">
        <f t="shared" ca="1" si="38"/>
        <v>1402.5</v>
      </c>
      <c r="D613">
        <f t="shared" ca="1" si="39"/>
        <v>1020</v>
      </c>
      <c r="E613">
        <f t="shared" ca="1" si="41"/>
        <v>382.5</v>
      </c>
    </row>
    <row r="614" spans="1:5" x14ac:dyDescent="0.25">
      <c r="A614">
        <v>227</v>
      </c>
      <c r="B614" s="4">
        <f t="shared" ca="1" si="40"/>
        <v>293.76646764418979</v>
      </c>
      <c r="C614">
        <f t="shared" ca="1" si="38"/>
        <v>1402.5</v>
      </c>
      <c r="D614">
        <f t="shared" ca="1" si="39"/>
        <v>1020</v>
      </c>
      <c r="E614">
        <f t="shared" ca="1" si="41"/>
        <v>382.5</v>
      </c>
    </row>
    <row r="615" spans="1:5" x14ac:dyDescent="0.25">
      <c r="A615">
        <v>228</v>
      </c>
      <c r="B615" s="4">
        <f t="shared" ca="1" si="40"/>
        <v>293.76646764418979</v>
      </c>
      <c r="C615">
        <f t="shared" ca="1" si="38"/>
        <v>1402.5</v>
      </c>
      <c r="D615">
        <f t="shared" ca="1" si="39"/>
        <v>1020</v>
      </c>
      <c r="E615">
        <f t="shared" ca="1" si="41"/>
        <v>382.5</v>
      </c>
    </row>
    <row r="616" spans="1:5" x14ac:dyDescent="0.25">
      <c r="A616">
        <v>229</v>
      </c>
      <c r="B616" s="4">
        <f t="shared" ca="1" si="40"/>
        <v>258.43256826853184</v>
      </c>
      <c r="C616">
        <f t="shared" ca="1" si="38"/>
        <v>1402.5</v>
      </c>
      <c r="D616">
        <f t="shared" ca="1" si="39"/>
        <v>1020</v>
      </c>
      <c r="E616">
        <f t="shared" ca="1" si="41"/>
        <v>382.5</v>
      </c>
    </row>
    <row r="617" spans="1:5" x14ac:dyDescent="0.25">
      <c r="A617">
        <v>230</v>
      </c>
      <c r="B617" s="4">
        <f t="shared" ca="1" si="40"/>
        <v>258.43256826853184</v>
      </c>
      <c r="C617">
        <f t="shared" ca="1" si="38"/>
        <v>1402.5</v>
      </c>
      <c r="D617">
        <f t="shared" ca="1" si="39"/>
        <v>1020</v>
      </c>
      <c r="E617">
        <f t="shared" ca="1" si="41"/>
        <v>382.5</v>
      </c>
    </row>
    <row r="618" spans="1:5" x14ac:dyDescent="0.25">
      <c r="A618">
        <v>231</v>
      </c>
      <c r="B618" s="4">
        <f t="shared" ca="1" si="40"/>
        <v>258.43256826853184</v>
      </c>
      <c r="C618">
        <f t="shared" ca="1" si="38"/>
        <v>1402.5</v>
      </c>
      <c r="D618">
        <f t="shared" ca="1" si="39"/>
        <v>1020</v>
      </c>
      <c r="E618">
        <f t="shared" ca="1" si="41"/>
        <v>382.5</v>
      </c>
    </row>
    <row r="619" spans="1:5" x14ac:dyDescent="0.25">
      <c r="A619">
        <v>232</v>
      </c>
      <c r="B619" s="4">
        <f t="shared" ca="1" si="40"/>
        <v>263.35536460676792</v>
      </c>
      <c r="C619">
        <f t="shared" ca="1" si="38"/>
        <v>1402.5</v>
      </c>
      <c r="D619">
        <f t="shared" ca="1" si="39"/>
        <v>1020</v>
      </c>
      <c r="E619">
        <f t="shared" ca="1" si="41"/>
        <v>382.5</v>
      </c>
    </row>
    <row r="620" spans="1:5" x14ac:dyDescent="0.25">
      <c r="A620">
        <v>233</v>
      </c>
      <c r="B620" s="4">
        <f t="shared" ca="1" si="40"/>
        <v>293.76646764418979</v>
      </c>
      <c r="C620">
        <f t="shared" ca="1" si="38"/>
        <v>1402.5</v>
      </c>
      <c r="D620">
        <f t="shared" ca="1" si="39"/>
        <v>1020</v>
      </c>
      <c r="E620">
        <f t="shared" ca="1" si="41"/>
        <v>382.5</v>
      </c>
    </row>
    <row r="621" spans="1:5" x14ac:dyDescent="0.25">
      <c r="A621">
        <v>234</v>
      </c>
      <c r="B621" s="4">
        <f t="shared" ca="1" si="40"/>
        <v>258.43256826853184</v>
      </c>
      <c r="C621">
        <f t="shared" ca="1" si="38"/>
        <v>1402.5</v>
      </c>
      <c r="D621">
        <f t="shared" ca="1" si="39"/>
        <v>1020</v>
      </c>
      <c r="E621">
        <f t="shared" ca="1" si="41"/>
        <v>382.5</v>
      </c>
    </row>
    <row r="622" spans="1:5" x14ac:dyDescent="0.25">
      <c r="A622">
        <v>235</v>
      </c>
      <c r="B622" s="4">
        <f t="shared" ca="1" si="40"/>
        <v>263.35536460676792</v>
      </c>
      <c r="C622">
        <f t="shared" ca="1" si="38"/>
        <v>1402.5</v>
      </c>
      <c r="D622">
        <f t="shared" ca="1" si="39"/>
        <v>1020</v>
      </c>
      <c r="E622">
        <f t="shared" ca="1" si="41"/>
        <v>382.5</v>
      </c>
    </row>
    <row r="623" spans="1:5" x14ac:dyDescent="0.25">
      <c r="A623">
        <v>236</v>
      </c>
      <c r="B623" s="4">
        <f t="shared" ca="1" si="40"/>
        <v>293.76646764418979</v>
      </c>
      <c r="C623">
        <f t="shared" ca="1" si="38"/>
        <v>1402.5</v>
      </c>
      <c r="D623">
        <f t="shared" ca="1" si="39"/>
        <v>1020</v>
      </c>
      <c r="E623">
        <f t="shared" ca="1" si="41"/>
        <v>382.5</v>
      </c>
    </row>
    <row r="624" spans="1:5" x14ac:dyDescent="0.25">
      <c r="A624">
        <v>237</v>
      </c>
      <c r="B624" s="4">
        <f t="shared" ca="1" si="40"/>
        <v>258.43256826853184</v>
      </c>
      <c r="C624">
        <f t="shared" ca="1" si="38"/>
        <v>1402.5</v>
      </c>
      <c r="D624">
        <f t="shared" ca="1" si="39"/>
        <v>1020</v>
      </c>
      <c r="E624">
        <f t="shared" ca="1" si="41"/>
        <v>382.5</v>
      </c>
    </row>
    <row r="625" spans="1:5" x14ac:dyDescent="0.25">
      <c r="A625">
        <v>238</v>
      </c>
      <c r="B625" s="4">
        <f t="shared" ca="1" si="40"/>
        <v>293.76646764418979</v>
      </c>
      <c r="C625">
        <f t="shared" ca="1" si="38"/>
        <v>1402.5</v>
      </c>
      <c r="D625">
        <f t="shared" ca="1" si="39"/>
        <v>1020</v>
      </c>
      <c r="E625">
        <f t="shared" ca="1" si="41"/>
        <v>382.5</v>
      </c>
    </row>
    <row r="626" spans="1:5" x14ac:dyDescent="0.25">
      <c r="A626">
        <v>239</v>
      </c>
      <c r="B626" s="4">
        <f t="shared" ca="1" si="40"/>
        <v>217.18668662249479</v>
      </c>
      <c r="C626">
        <f t="shared" ca="1" si="38"/>
        <v>1317.4200449006134</v>
      </c>
      <c r="D626">
        <f t="shared" ca="1" si="39"/>
        <v>925.46671655623697</v>
      </c>
      <c r="E626">
        <f t="shared" ca="1" si="41"/>
        <v>391.95332834437647</v>
      </c>
    </row>
    <row r="627" spans="1:5" x14ac:dyDescent="0.25">
      <c r="A627">
        <v>240</v>
      </c>
      <c r="B627" s="4">
        <f t="shared" ca="1" si="40"/>
        <v>258.43256826853184</v>
      </c>
      <c r="C627">
        <f t="shared" ca="1" si="38"/>
        <v>1402.5</v>
      </c>
      <c r="D627">
        <f t="shared" ca="1" si="39"/>
        <v>1020</v>
      </c>
      <c r="E627">
        <f t="shared" ca="1" si="41"/>
        <v>382.5</v>
      </c>
    </row>
    <row r="628" spans="1:5" x14ac:dyDescent="0.25">
      <c r="A628">
        <v>241</v>
      </c>
      <c r="B628" s="4">
        <f t="shared" ca="1" si="40"/>
        <v>258.43256826853184</v>
      </c>
      <c r="C628">
        <f t="shared" ca="1" si="38"/>
        <v>1402.5</v>
      </c>
      <c r="D628">
        <f t="shared" ca="1" si="39"/>
        <v>1020</v>
      </c>
      <c r="E628">
        <f t="shared" ca="1" si="41"/>
        <v>382.5</v>
      </c>
    </row>
    <row r="629" spans="1:5" x14ac:dyDescent="0.25">
      <c r="A629">
        <v>242</v>
      </c>
      <c r="B629" s="4">
        <f t="shared" ca="1" si="40"/>
        <v>258.43256826853184</v>
      </c>
      <c r="C629">
        <f t="shared" ca="1" si="38"/>
        <v>1402.5</v>
      </c>
      <c r="D629">
        <f t="shared" ca="1" si="39"/>
        <v>1020</v>
      </c>
      <c r="E629">
        <f t="shared" ca="1" si="41"/>
        <v>382.5</v>
      </c>
    </row>
    <row r="630" spans="1:5" x14ac:dyDescent="0.25">
      <c r="A630">
        <v>243</v>
      </c>
      <c r="B630" s="4">
        <f t="shared" ca="1" si="40"/>
        <v>217.18668662249479</v>
      </c>
      <c r="C630">
        <f t="shared" ca="1" si="38"/>
        <v>1317.4200449006134</v>
      </c>
      <c r="D630">
        <f t="shared" ca="1" si="39"/>
        <v>925.46671655623697</v>
      </c>
      <c r="E630">
        <f t="shared" ca="1" si="41"/>
        <v>391.95332834437647</v>
      </c>
    </row>
    <row r="631" spans="1:5" x14ac:dyDescent="0.25">
      <c r="A631">
        <v>244</v>
      </c>
      <c r="B631" s="4">
        <f t="shared" ca="1" si="40"/>
        <v>293.76646764418979</v>
      </c>
      <c r="C631">
        <f t="shared" ca="1" si="38"/>
        <v>1402.5</v>
      </c>
      <c r="D631">
        <f t="shared" ca="1" si="39"/>
        <v>1020</v>
      </c>
      <c r="E631">
        <f t="shared" ca="1" si="41"/>
        <v>382.5</v>
      </c>
    </row>
    <row r="632" spans="1:5" x14ac:dyDescent="0.25">
      <c r="A632">
        <v>245</v>
      </c>
      <c r="B632" s="4">
        <f t="shared" ca="1" si="40"/>
        <v>258.43256826853184</v>
      </c>
      <c r="C632">
        <f t="shared" ca="1" si="38"/>
        <v>1402.5</v>
      </c>
      <c r="D632">
        <f t="shared" ca="1" si="39"/>
        <v>1020</v>
      </c>
      <c r="E632">
        <f t="shared" ca="1" si="41"/>
        <v>382.5</v>
      </c>
    </row>
    <row r="633" spans="1:5" x14ac:dyDescent="0.25">
      <c r="A633">
        <v>246</v>
      </c>
      <c r="B633" s="4">
        <f t="shared" ca="1" si="40"/>
        <v>293.76646764418979</v>
      </c>
      <c r="C633">
        <f t="shared" ca="1" si="38"/>
        <v>1402.5</v>
      </c>
      <c r="D633">
        <f t="shared" ca="1" si="39"/>
        <v>1020</v>
      </c>
      <c r="E633">
        <f t="shared" ca="1" si="41"/>
        <v>382.5</v>
      </c>
    </row>
    <row r="634" spans="1:5" x14ac:dyDescent="0.25">
      <c r="A634">
        <v>247</v>
      </c>
      <c r="B634" s="4">
        <f t="shared" ca="1" si="40"/>
        <v>293.76646764418979</v>
      </c>
      <c r="C634">
        <f t="shared" ca="1" si="38"/>
        <v>1402.5</v>
      </c>
      <c r="D634">
        <f t="shared" ca="1" si="39"/>
        <v>1020</v>
      </c>
      <c r="E634">
        <f t="shared" ca="1" si="41"/>
        <v>382.5</v>
      </c>
    </row>
    <row r="635" spans="1:5" x14ac:dyDescent="0.25">
      <c r="A635">
        <v>248</v>
      </c>
      <c r="B635" s="4">
        <f t="shared" ca="1" si="40"/>
        <v>228.35119816119044</v>
      </c>
      <c r="C635">
        <f t="shared" ca="1" si="38"/>
        <v>1342.5401958626787</v>
      </c>
      <c r="D635">
        <f t="shared" ca="1" si="39"/>
        <v>953.37799540297613</v>
      </c>
      <c r="E635">
        <f t="shared" ca="1" si="41"/>
        <v>389.1622004597026</v>
      </c>
    </row>
    <row r="636" spans="1:5" x14ac:dyDescent="0.25">
      <c r="A636">
        <v>249</v>
      </c>
      <c r="B636" s="4">
        <f t="shared" ca="1" si="40"/>
        <v>263.35536460676792</v>
      </c>
      <c r="C636">
        <f t="shared" ca="1" si="38"/>
        <v>1402.5</v>
      </c>
      <c r="D636">
        <f t="shared" ca="1" si="39"/>
        <v>1020</v>
      </c>
      <c r="E636">
        <f t="shared" ca="1" si="41"/>
        <v>382.5</v>
      </c>
    </row>
    <row r="637" spans="1:5" x14ac:dyDescent="0.25">
      <c r="A637">
        <v>250</v>
      </c>
      <c r="B637" s="4">
        <f t="shared" ca="1" si="40"/>
        <v>293.76646764418979</v>
      </c>
      <c r="C637">
        <f t="shared" ca="1" si="38"/>
        <v>1402.5</v>
      </c>
      <c r="D637">
        <f t="shared" ca="1" si="39"/>
        <v>1020</v>
      </c>
      <c r="E637">
        <f t="shared" ca="1" si="41"/>
        <v>382.5</v>
      </c>
    </row>
    <row r="638" spans="1:5" x14ac:dyDescent="0.25">
      <c r="A638">
        <v>251</v>
      </c>
      <c r="B638" s="4">
        <f t="shared" ca="1" si="40"/>
        <v>293.76646764418979</v>
      </c>
      <c r="C638">
        <f t="shared" ca="1" si="38"/>
        <v>1402.5</v>
      </c>
      <c r="D638">
        <f t="shared" ca="1" si="39"/>
        <v>1020</v>
      </c>
      <c r="E638">
        <f t="shared" ca="1" si="41"/>
        <v>382.5</v>
      </c>
    </row>
    <row r="639" spans="1:5" x14ac:dyDescent="0.25">
      <c r="A639">
        <v>252</v>
      </c>
      <c r="B639" s="4">
        <f t="shared" ca="1" si="40"/>
        <v>217.18668662249479</v>
      </c>
      <c r="C639">
        <f t="shared" ca="1" si="38"/>
        <v>1317.4200449006134</v>
      </c>
      <c r="D639">
        <f t="shared" ca="1" si="39"/>
        <v>925.46671655623697</v>
      </c>
      <c r="E639">
        <f t="shared" ca="1" si="41"/>
        <v>391.95332834437647</v>
      </c>
    </row>
    <row r="640" spans="1:5" x14ac:dyDescent="0.25">
      <c r="A640">
        <v>253</v>
      </c>
      <c r="B640" s="4">
        <f t="shared" ca="1" si="40"/>
        <v>217.18668662249479</v>
      </c>
      <c r="C640">
        <f t="shared" ca="1" si="38"/>
        <v>1317.4200449006134</v>
      </c>
      <c r="D640">
        <f t="shared" ca="1" si="39"/>
        <v>925.46671655623697</v>
      </c>
      <c r="E640">
        <f t="shared" ca="1" si="41"/>
        <v>391.95332834437647</v>
      </c>
    </row>
    <row r="641" spans="1:5" x14ac:dyDescent="0.25">
      <c r="A641">
        <v>254</v>
      </c>
      <c r="B641" s="4">
        <f t="shared" ca="1" si="40"/>
        <v>258.43256826853184</v>
      </c>
      <c r="C641">
        <f t="shared" ca="1" si="38"/>
        <v>1402.5</v>
      </c>
      <c r="D641">
        <f t="shared" ca="1" si="39"/>
        <v>1020</v>
      </c>
      <c r="E641">
        <f t="shared" ca="1" si="41"/>
        <v>382.5</v>
      </c>
    </row>
    <row r="642" spans="1:5" x14ac:dyDescent="0.25">
      <c r="A642">
        <v>255</v>
      </c>
      <c r="B642" s="4">
        <f t="shared" ca="1" si="40"/>
        <v>263.35536460676792</v>
      </c>
      <c r="C642">
        <f t="shared" ca="1" si="38"/>
        <v>1402.5</v>
      </c>
      <c r="D642">
        <f t="shared" ca="1" si="39"/>
        <v>1020</v>
      </c>
      <c r="E642">
        <f t="shared" ca="1" si="41"/>
        <v>382.5</v>
      </c>
    </row>
    <row r="643" spans="1:5" x14ac:dyDescent="0.25">
      <c r="A643">
        <v>256</v>
      </c>
      <c r="B643" s="4">
        <f t="shared" ca="1" si="40"/>
        <v>228.35119816119044</v>
      </c>
      <c r="C643">
        <f t="shared" ca="1" si="38"/>
        <v>1342.5401958626787</v>
      </c>
      <c r="D643">
        <f t="shared" ca="1" si="39"/>
        <v>953.37799540297613</v>
      </c>
      <c r="E643">
        <f t="shared" ca="1" si="41"/>
        <v>389.1622004597026</v>
      </c>
    </row>
    <row r="644" spans="1:5" x14ac:dyDescent="0.25">
      <c r="A644">
        <v>257</v>
      </c>
      <c r="B644" s="4">
        <f t="shared" ca="1" si="40"/>
        <v>263.35536460676792</v>
      </c>
      <c r="C644">
        <f t="shared" ref="C644:C707" ca="1" si="42">IF($M$10&gt;$B644,$B644*$F$7+($M$10-$B644)*$F$8+($M$10-$B644)*$F$9,$M$10*$F$7)</f>
        <v>1402.5</v>
      </c>
      <c r="D644">
        <f t="shared" ref="D644:D707" ca="1" si="43">IF(M$10&gt;B644,B644*F$5+(M$10-B644)*F$6,M$10*F$5)</f>
        <v>1020</v>
      </c>
      <c r="E644">
        <f t="shared" ca="1" si="41"/>
        <v>382.5</v>
      </c>
    </row>
    <row r="645" spans="1:5" x14ac:dyDescent="0.25">
      <c r="A645">
        <v>258</v>
      </c>
      <c r="B645" s="4">
        <f t="shared" ref="B645:B708" ca="1" si="44">HLOOKUP(RAND(),$K$5:$O$6,2,TRUE)</f>
        <v>293.76646764418979</v>
      </c>
      <c r="C645">
        <f t="shared" ca="1" si="42"/>
        <v>1402.5</v>
      </c>
      <c r="D645">
        <f t="shared" ca="1" si="43"/>
        <v>1020</v>
      </c>
      <c r="E645">
        <f t="shared" ca="1" si="41"/>
        <v>382.5</v>
      </c>
    </row>
    <row r="646" spans="1:5" x14ac:dyDescent="0.25">
      <c r="A646">
        <v>259</v>
      </c>
      <c r="B646" s="4">
        <f t="shared" ca="1" si="44"/>
        <v>263.35536460676792</v>
      </c>
      <c r="C646">
        <f t="shared" ca="1" si="42"/>
        <v>1402.5</v>
      </c>
      <c r="D646">
        <f t="shared" ca="1" si="43"/>
        <v>1020</v>
      </c>
      <c r="E646">
        <f t="shared" ref="E646:E709" ca="1" si="45">C646-D646</f>
        <v>382.5</v>
      </c>
    </row>
    <row r="647" spans="1:5" x14ac:dyDescent="0.25">
      <c r="A647">
        <v>260</v>
      </c>
      <c r="B647" s="4">
        <f t="shared" ca="1" si="44"/>
        <v>258.43256826853184</v>
      </c>
      <c r="C647">
        <f t="shared" ca="1" si="42"/>
        <v>1402.5</v>
      </c>
      <c r="D647">
        <f t="shared" ca="1" si="43"/>
        <v>1020</v>
      </c>
      <c r="E647">
        <f t="shared" ca="1" si="45"/>
        <v>382.5</v>
      </c>
    </row>
    <row r="648" spans="1:5" x14ac:dyDescent="0.25">
      <c r="A648">
        <v>261</v>
      </c>
      <c r="B648" s="4">
        <f t="shared" ca="1" si="44"/>
        <v>228.35119816119044</v>
      </c>
      <c r="C648">
        <f t="shared" ca="1" si="42"/>
        <v>1342.5401958626787</v>
      </c>
      <c r="D648">
        <f t="shared" ca="1" si="43"/>
        <v>953.37799540297613</v>
      </c>
      <c r="E648">
        <f t="shared" ca="1" si="45"/>
        <v>389.1622004597026</v>
      </c>
    </row>
    <row r="649" spans="1:5" x14ac:dyDescent="0.25">
      <c r="A649">
        <v>262</v>
      </c>
      <c r="B649" s="4">
        <f t="shared" ca="1" si="44"/>
        <v>293.76646764418979</v>
      </c>
      <c r="C649">
        <f t="shared" ca="1" si="42"/>
        <v>1402.5</v>
      </c>
      <c r="D649">
        <f t="shared" ca="1" si="43"/>
        <v>1020</v>
      </c>
      <c r="E649">
        <f t="shared" ca="1" si="45"/>
        <v>382.5</v>
      </c>
    </row>
    <row r="650" spans="1:5" x14ac:dyDescent="0.25">
      <c r="A650">
        <v>263</v>
      </c>
      <c r="B650" s="4">
        <f t="shared" ca="1" si="44"/>
        <v>263.35536460676792</v>
      </c>
      <c r="C650">
        <f t="shared" ca="1" si="42"/>
        <v>1402.5</v>
      </c>
      <c r="D650">
        <f t="shared" ca="1" si="43"/>
        <v>1020</v>
      </c>
      <c r="E650">
        <f t="shared" ca="1" si="45"/>
        <v>382.5</v>
      </c>
    </row>
    <row r="651" spans="1:5" x14ac:dyDescent="0.25">
      <c r="A651">
        <v>264</v>
      </c>
      <c r="B651" s="4">
        <f t="shared" ca="1" si="44"/>
        <v>263.35536460676792</v>
      </c>
      <c r="C651">
        <f t="shared" ca="1" si="42"/>
        <v>1402.5</v>
      </c>
      <c r="D651">
        <f t="shared" ca="1" si="43"/>
        <v>1020</v>
      </c>
      <c r="E651">
        <f t="shared" ca="1" si="45"/>
        <v>382.5</v>
      </c>
    </row>
    <row r="652" spans="1:5" x14ac:dyDescent="0.25">
      <c r="A652">
        <v>265</v>
      </c>
      <c r="B652" s="4">
        <f t="shared" ca="1" si="44"/>
        <v>263.35536460676792</v>
      </c>
      <c r="C652">
        <f t="shared" ca="1" si="42"/>
        <v>1402.5</v>
      </c>
      <c r="D652">
        <f t="shared" ca="1" si="43"/>
        <v>1020</v>
      </c>
      <c r="E652">
        <f t="shared" ca="1" si="45"/>
        <v>382.5</v>
      </c>
    </row>
    <row r="653" spans="1:5" x14ac:dyDescent="0.25">
      <c r="A653">
        <v>266</v>
      </c>
      <c r="B653" s="4">
        <f t="shared" ca="1" si="44"/>
        <v>258.43256826853184</v>
      </c>
      <c r="C653">
        <f t="shared" ca="1" si="42"/>
        <v>1402.5</v>
      </c>
      <c r="D653">
        <f t="shared" ca="1" si="43"/>
        <v>1020</v>
      </c>
      <c r="E653">
        <f t="shared" ca="1" si="45"/>
        <v>382.5</v>
      </c>
    </row>
    <row r="654" spans="1:5" x14ac:dyDescent="0.25">
      <c r="A654">
        <v>267</v>
      </c>
      <c r="B654" s="4">
        <f t="shared" ca="1" si="44"/>
        <v>293.76646764418979</v>
      </c>
      <c r="C654">
        <f t="shared" ca="1" si="42"/>
        <v>1402.5</v>
      </c>
      <c r="D654">
        <f t="shared" ca="1" si="43"/>
        <v>1020</v>
      </c>
      <c r="E654">
        <f t="shared" ca="1" si="45"/>
        <v>382.5</v>
      </c>
    </row>
    <row r="655" spans="1:5" x14ac:dyDescent="0.25">
      <c r="A655">
        <v>268</v>
      </c>
      <c r="B655" s="4">
        <f t="shared" ca="1" si="44"/>
        <v>293.76646764418979</v>
      </c>
      <c r="C655">
        <f t="shared" ca="1" si="42"/>
        <v>1402.5</v>
      </c>
      <c r="D655">
        <f t="shared" ca="1" si="43"/>
        <v>1020</v>
      </c>
      <c r="E655">
        <f t="shared" ca="1" si="45"/>
        <v>382.5</v>
      </c>
    </row>
    <row r="656" spans="1:5" x14ac:dyDescent="0.25">
      <c r="A656">
        <v>269</v>
      </c>
      <c r="B656" s="4">
        <f t="shared" ca="1" si="44"/>
        <v>258.43256826853184</v>
      </c>
      <c r="C656">
        <f t="shared" ca="1" si="42"/>
        <v>1402.5</v>
      </c>
      <c r="D656">
        <f t="shared" ca="1" si="43"/>
        <v>1020</v>
      </c>
      <c r="E656">
        <f t="shared" ca="1" si="45"/>
        <v>382.5</v>
      </c>
    </row>
    <row r="657" spans="1:5" x14ac:dyDescent="0.25">
      <c r="A657">
        <v>270</v>
      </c>
      <c r="B657" s="4">
        <f t="shared" ca="1" si="44"/>
        <v>293.76646764418979</v>
      </c>
      <c r="C657">
        <f t="shared" ca="1" si="42"/>
        <v>1402.5</v>
      </c>
      <c r="D657">
        <f t="shared" ca="1" si="43"/>
        <v>1020</v>
      </c>
      <c r="E657">
        <f t="shared" ca="1" si="45"/>
        <v>382.5</v>
      </c>
    </row>
    <row r="658" spans="1:5" x14ac:dyDescent="0.25">
      <c r="A658">
        <v>271</v>
      </c>
      <c r="B658" s="4">
        <f t="shared" ca="1" si="44"/>
        <v>258.43256826853184</v>
      </c>
      <c r="C658">
        <f t="shared" ca="1" si="42"/>
        <v>1402.5</v>
      </c>
      <c r="D658">
        <f t="shared" ca="1" si="43"/>
        <v>1020</v>
      </c>
      <c r="E658">
        <f t="shared" ca="1" si="45"/>
        <v>382.5</v>
      </c>
    </row>
    <row r="659" spans="1:5" x14ac:dyDescent="0.25">
      <c r="A659">
        <v>272</v>
      </c>
      <c r="B659" s="4">
        <f t="shared" ca="1" si="44"/>
        <v>258.43256826853184</v>
      </c>
      <c r="C659">
        <f t="shared" ca="1" si="42"/>
        <v>1402.5</v>
      </c>
      <c r="D659">
        <f t="shared" ca="1" si="43"/>
        <v>1020</v>
      </c>
      <c r="E659">
        <f t="shared" ca="1" si="45"/>
        <v>382.5</v>
      </c>
    </row>
    <row r="660" spans="1:5" x14ac:dyDescent="0.25">
      <c r="A660">
        <v>273</v>
      </c>
      <c r="B660" s="4">
        <f t="shared" ca="1" si="44"/>
        <v>258.43256826853184</v>
      </c>
      <c r="C660">
        <f t="shared" ca="1" si="42"/>
        <v>1402.5</v>
      </c>
      <c r="D660">
        <f t="shared" ca="1" si="43"/>
        <v>1020</v>
      </c>
      <c r="E660">
        <f t="shared" ca="1" si="45"/>
        <v>382.5</v>
      </c>
    </row>
    <row r="661" spans="1:5" x14ac:dyDescent="0.25">
      <c r="A661">
        <v>274</v>
      </c>
      <c r="B661" s="4">
        <f t="shared" ca="1" si="44"/>
        <v>228.35119816119044</v>
      </c>
      <c r="C661">
        <f t="shared" ca="1" si="42"/>
        <v>1342.5401958626787</v>
      </c>
      <c r="D661">
        <f t="shared" ca="1" si="43"/>
        <v>953.37799540297613</v>
      </c>
      <c r="E661">
        <f t="shared" ca="1" si="45"/>
        <v>389.1622004597026</v>
      </c>
    </row>
    <row r="662" spans="1:5" x14ac:dyDescent="0.25">
      <c r="A662">
        <v>275</v>
      </c>
      <c r="B662" s="4">
        <f t="shared" ca="1" si="44"/>
        <v>258.43256826853184</v>
      </c>
      <c r="C662">
        <f t="shared" ca="1" si="42"/>
        <v>1402.5</v>
      </c>
      <c r="D662">
        <f t="shared" ca="1" si="43"/>
        <v>1020</v>
      </c>
      <c r="E662">
        <f t="shared" ca="1" si="45"/>
        <v>382.5</v>
      </c>
    </row>
    <row r="663" spans="1:5" x14ac:dyDescent="0.25">
      <c r="A663">
        <v>276</v>
      </c>
      <c r="B663" s="4">
        <f t="shared" ca="1" si="44"/>
        <v>293.76646764418979</v>
      </c>
      <c r="C663">
        <f t="shared" ca="1" si="42"/>
        <v>1402.5</v>
      </c>
      <c r="D663">
        <f t="shared" ca="1" si="43"/>
        <v>1020</v>
      </c>
      <c r="E663">
        <f t="shared" ca="1" si="45"/>
        <v>382.5</v>
      </c>
    </row>
    <row r="664" spans="1:5" x14ac:dyDescent="0.25">
      <c r="A664">
        <v>277</v>
      </c>
      <c r="B664" s="4">
        <f t="shared" ca="1" si="44"/>
        <v>263.35536460676792</v>
      </c>
      <c r="C664">
        <f t="shared" ca="1" si="42"/>
        <v>1402.5</v>
      </c>
      <c r="D664">
        <f t="shared" ca="1" si="43"/>
        <v>1020</v>
      </c>
      <c r="E664">
        <f t="shared" ca="1" si="45"/>
        <v>382.5</v>
      </c>
    </row>
    <row r="665" spans="1:5" x14ac:dyDescent="0.25">
      <c r="A665">
        <v>278</v>
      </c>
      <c r="B665" s="4">
        <f t="shared" ca="1" si="44"/>
        <v>263.35536460676792</v>
      </c>
      <c r="C665">
        <f t="shared" ca="1" si="42"/>
        <v>1402.5</v>
      </c>
      <c r="D665">
        <f t="shared" ca="1" si="43"/>
        <v>1020</v>
      </c>
      <c r="E665">
        <f t="shared" ca="1" si="45"/>
        <v>382.5</v>
      </c>
    </row>
    <row r="666" spans="1:5" x14ac:dyDescent="0.25">
      <c r="A666">
        <v>279</v>
      </c>
      <c r="B666" s="4">
        <f t="shared" ca="1" si="44"/>
        <v>263.35536460676792</v>
      </c>
      <c r="C666">
        <f t="shared" ca="1" si="42"/>
        <v>1402.5</v>
      </c>
      <c r="D666">
        <f t="shared" ca="1" si="43"/>
        <v>1020</v>
      </c>
      <c r="E666">
        <f t="shared" ca="1" si="45"/>
        <v>382.5</v>
      </c>
    </row>
    <row r="667" spans="1:5" x14ac:dyDescent="0.25">
      <c r="A667">
        <v>280</v>
      </c>
      <c r="B667" s="4">
        <f t="shared" ca="1" si="44"/>
        <v>217.18668662249479</v>
      </c>
      <c r="C667">
        <f t="shared" ca="1" si="42"/>
        <v>1317.4200449006134</v>
      </c>
      <c r="D667">
        <f t="shared" ca="1" si="43"/>
        <v>925.46671655623697</v>
      </c>
      <c r="E667">
        <f t="shared" ca="1" si="45"/>
        <v>391.95332834437647</v>
      </c>
    </row>
    <row r="668" spans="1:5" x14ac:dyDescent="0.25">
      <c r="A668">
        <v>281</v>
      </c>
      <c r="B668" s="4">
        <f t="shared" ca="1" si="44"/>
        <v>263.35536460676792</v>
      </c>
      <c r="C668">
        <f t="shared" ca="1" si="42"/>
        <v>1402.5</v>
      </c>
      <c r="D668">
        <f t="shared" ca="1" si="43"/>
        <v>1020</v>
      </c>
      <c r="E668">
        <f t="shared" ca="1" si="45"/>
        <v>382.5</v>
      </c>
    </row>
    <row r="669" spans="1:5" x14ac:dyDescent="0.25">
      <c r="A669">
        <v>282</v>
      </c>
      <c r="B669" s="4">
        <f t="shared" ca="1" si="44"/>
        <v>258.43256826853184</v>
      </c>
      <c r="C669">
        <f t="shared" ca="1" si="42"/>
        <v>1402.5</v>
      </c>
      <c r="D669">
        <f t="shared" ca="1" si="43"/>
        <v>1020</v>
      </c>
      <c r="E669">
        <f t="shared" ca="1" si="45"/>
        <v>382.5</v>
      </c>
    </row>
    <row r="670" spans="1:5" x14ac:dyDescent="0.25">
      <c r="A670">
        <v>283</v>
      </c>
      <c r="B670" s="4">
        <f t="shared" ca="1" si="44"/>
        <v>293.76646764418979</v>
      </c>
      <c r="C670">
        <f t="shared" ca="1" si="42"/>
        <v>1402.5</v>
      </c>
      <c r="D670">
        <f t="shared" ca="1" si="43"/>
        <v>1020</v>
      </c>
      <c r="E670">
        <f t="shared" ca="1" si="45"/>
        <v>382.5</v>
      </c>
    </row>
    <row r="671" spans="1:5" x14ac:dyDescent="0.25">
      <c r="A671">
        <v>284</v>
      </c>
      <c r="B671" s="4">
        <f t="shared" ca="1" si="44"/>
        <v>258.43256826853184</v>
      </c>
      <c r="C671">
        <f t="shared" ca="1" si="42"/>
        <v>1402.5</v>
      </c>
      <c r="D671">
        <f t="shared" ca="1" si="43"/>
        <v>1020</v>
      </c>
      <c r="E671">
        <f t="shared" ca="1" si="45"/>
        <v>382.5</v>
      </c>
    </row>
    <row r="672" spans="1:5" x14ac:dyDescent="0.25">
      <c r="A672">
        <v>285</v>
      </c>
      <c r="B672" s="4">
        <f t="shared" ca="1" si="44"/>
        <v>258.43256826853184</v>
      </c>
      <c r="C672">
        <f t="shared" ca="1" si="42"/>
        <v>1402.5</v>
      </c>
      <c r="D672">
        <f t="shared" ca="1" si="43"/>
        <v>1020</v>
      </c>
      <c r="E672">
        <f t="shared" ca="1" si="45"/>
        <v>382.5</v>
      </c>
    </row>
    <row r="673" spans="1:5" x14ac:dyDescent="0.25">
      <c r="A673">
        <v>286</v>
      </c>
      <c r="B673" s="4">
        <f t="shared" ca="1" si="44"/>
        <v>258.43256826853184</v>
      </c>
      <c r="C673">
        <f t="shared" ca="1" si="42"/>
        <v>1402.5</v>
      </c>
      <c r="D673">
        <f t="shared" ca="1" si="43"/>
        <v>1020</v>
      </c>
      <c r="E673">
        <f t="shared" ca="1" si="45"/>
        <v>382.5</v>
      </c>
    </row>
    <row r="674" spans="1:5" x14ac:dyDescent="0.25">
      <c r="A674">
        <v>287</v>
      </c>
      <c r="B674" s="4">
        <f t="shared" ca="1" si="44"/>
        <v>263.35536460676792</v>
      </c>
      <c r="C674">
        <f t="shared" ca="1" si="42"/>
        <v>1402.5</v>
      </c>
      <c r="D674">
        <f t="shared" ca="1" si="43"/>
        <v>1020</v>
      </c>
      <c r="E674">
        <f t="shared" ca="1" si="45"/>
        <v>382.5</v>
      </c>
    </row>
    <row r="675" spans="1:5" x14ac:dyDescent="0.25">
      <c r="A675">
        <v>288</v>
      </c>
      <c r="B675" s="4">
        <f t="shared" ca="1" si="44"/>
        <v>293.76646764418979</v>
      </c>
      <c r="C675">
        <f t="shared" ca="1" si="42"/>
        <v>1402.5</v>
      </c>
      <c r="D675">
        <f t="shared" ca="1" si="43"/>
        <v>1020</v>
      </c>
      <c r="E675">
        <f t="shared" ca="1" si="45"/>
        <v>382.5</v>
      </c>
    </row>
    <row r="676" spans="1:5" x14ac:dyDescent="0.25">
      <c r="A676">
        <v>289</v>
      </c>
      <c r="B676" s="4">
        <f t="shared" ca="1" si="44"/>
        <v>228.35119816119044</v>
      </c>
      <c r="C676">
        <f t="shared" ca="1" si="42"/>
        <v>1342.5401958626787</v>
      </c>
      <c r="D676">
        <f t="shared" ca="1" si="43"/>
        <v>953.37799540297613</v>
      </c>
      <c r="E676">
        <f t="shared" ca="1" si="45"/>
        <v>389.1622004597026</v>
      </c>
    </row>
    <row r="677" spans="1:5" x14ac:dyDescent="0.25">
      <c r="A677">
        <v>290</v>
      </c>
      <c r="B677" s="4">
        <f t="shared" ca="1" si="44"/>
        <v>293.76646764418979</v>
      </c>
      <c r="C677">
        <f t="shared" ca="1" si="42"/>
        <v>1402.5</v>
      </c>
      <c r="D677">
        <f t="shared" ca="1" si="43"/>
        <v>1020</v>
      </c>
      <c r="E677">
        <f t="shared" ca="1" si="45"/>
        <v>382.5</v>
      </c>
    </row>
    <row r="678" spans="1:5" x14ac:dyDescent="0.25">
      <c r="A678">
        <v>291</v>
      </c>
      <c r="B678" s="4">
        <f t="shared" ca="1" si="44"/>
        <v>258.43256826853184</v>
      </c>
      <c r="C678">
        <f t="shared" ca="1" si="42"/>
        <v>1402.5</v>
      </c>
      <c r="D678">
        <f t="shared" ca="1" si="43"/>
        <v>1020</v>
      </c>
      <c r="E678">
        <f t="shared" ca="1" si="45"/>
        <v>382.5</v>
      </c>
    </row>
    <row r="679" spans="1:5" x14ac:dyDescent="0.25">
      <c r="A679">
        <v>292</v>
      </c>
      <c r="B679" s="4">
        <f t="shared" ca="1" si="44"/>
        <v>258.43256826853184</v>
      </c>
      <c r="C679">
        <f t="shared" ca="1" si="42"/>
        <v>1402.5</v>
      </c>
      <c r="D679">
        <f t="shared" ca="1" si="43"/>
        <v>1020</v>
      </c>
      <c r="E679">
        <f t="shared" ca="1" si="45"/>
        <v>382.5</v>
      </c>
    </row>
    <row r="680" spans="1:5" x14ac:dyDescent="0.25">
      <c r="A680">
        <v>293</v>
      </c>
      <c r="B680" s="4">
        <f t="shared" ca="1" si="44"/>
        <v>258.43256826853184</v>
      </c>
      <c r="C680">
        <f t="shared" ca="1" si="42"/>
        <v>1402.5</v>
      </c>
      <c r="D680">
        <f t="shared" ca="1" si="43"/>
        <v>1020</v>
      </c>
      <c r="E680">
        <f t="shared" ca="1" si="45"/>
        <v>382.5</v>
      </c>
    </row>
    <row r="681" spans="1:5" x14ac:dyDescent="0.25">
      <c r="A681">
        <v>294</v>
      </c>
      <c r="B681" s="4">
        <f t="shared" ca="1" si="44"/>
        <v>258.43256826853184</v>
      </c>
      <c r="C681">
        <f t="shared" ca="1" si="42"/>
        <v>1402.5</v>
      </c>
      <c r="D681">
        <f t="shared" ca="1" si="43"/>
        <v>1020</v>
      </c>
      <c r="E681">
        <f t="shared" ca="1" si="45"/>
        <v>382.5</v>
      </c>
    </row>
    <row r="682" spans="1:5" x14ac:dyDescent="0.25">
      <c r="A682">
        <v>295</v>
      </c>
      <c r="B682" s="4">
        <f t="shared" ca="1" si="44"/>
        <v>258.43256826853184</v>
      </c>
      <c r="C682">
        <f t="shared" ca="1" si="42"/>
        <v>1402.5</v>
      </c>
      <c r="D682">
        <f t="shared" ca="1" si="43"/>
        <v>1020</v>
      </c>
      <c r="E682">
        <f t="shared" ca="1" si="45"/>
        <v>382.5</v>
      </c>
    </row>
    <row r="683" spans="1:5" x14ac:dyDescent="0.25">
      <c r="A683">
        <v>296</v>
      </c>
      <c r="B683" s="4">
        <f t="shared" ca="1" si="44"/>
        <v>293.76646764418979</v>
      </c>
      <c r="C683">
        <f t="shared" ca="1" si="42"/>
        <v>1402.5</v>
      </c>
      <c r="D683">
        <f t="shared" ca="1" si="43"/>
        <v>1020</v>
      </c>
      <c r="E683">
        <f t="shared" ca="1" si="45"/>
        <v>382.5</v>
      </c>
    </row>
    <row r="684" spans="1:5" x14ac:dyDescent="0.25">
      <c r="A684">
        <v>297</v>
      </c>
      <c r="B684" s="4">
        <f t="shared" ca="1" si="44"/>
        <v>258.43256826853184</v>
      </c>
      <c r="C684">
        <f t="shared" ca="1" si="42"/>
        <v>1402.5</v>
      </c>
      <c r="D684">
        <f t="shared" ca="1" si="43"/>
        <v>1020</v>
      </c>
      <c r="E684">
        <f t="shared" ca="1" si="45"/>
        <v>382.5</v>
      </c>
    </row>
    <row r="685" spans="1:5" x14ac:dyDescent="0.25">
      <c r="A685">
        <v>298</v>
      </c>
      <c r="B685" s="4">
        <f t="shared" ca="1" si="44"/>
        <v>263.35536460676792</v>
      </c>
      <c r="C685">
        <f t="shared" ca="1" si="42"/>
        <v>1402.5</v>
      </c>
      <c r="D685">
        <f t="shared" ca="1" si="43"/>
        <v>1020</v>
      </c>
      <c r="E685">
        <f t="shared" ca="1" si="45"/>
        <v>382.5</v>
      </c>
    </row>
    <row r="686" spans="1:5" x14ac:dyDescent="0.25">
      <c r="A686">
        <v>299</v>
      </c>
      <c r="B686" s="4">
        <f t="shared" ca="1" si="44"/>
        <v>258.43256826853184</v>
      </c>
      <c r="C686">
        <f t="shared" ca="1" si="42"/>
        <v>1402.5</v>
      </c>
      <c r="D686">
        <f t="shared" ca="1" si="43"/>
        <v>1020</v>
      </c>
      <c r="E686">
        <f t="shared" ca="1" si="45"/>
        <v>382.5</v>
      </c>
    </row>
    <row r="687" spans="1:5" x14ac:dyDescent="0.25">
      <c r="A687">
        <v>300</v>
      </c>
      <c r="B687" s="4">
        <f t="shared" ca="1" si="44"/>
        <v>293.76646764418979</v>
      </c>
      <c r="C687">
        <f t="shared" ca="1" si="42"/>
        <v>1402.5</v>
      </c>
      <c r="D687">
        <f t="shared" ca="1" si="43"/>
        <v>1020</v>
      </c>
      <c r="E687">
        <f t="shared" ca="1" si="45"/>
        <v>382.5</v>
      </c>
    </row>
    <row r="688" spans="1:5" x14ac:dyDescent="0.25">
      <c r="A688">
        <v>301</v>
      </c>
      <c r="B688" s="4">
        <f t="shared" ca="1" si="44"/>
        <v>217.18668662249479</v>
      </c>
      <c r="C688">
        <f t="shared" ca="1" si="42"/>
        <v>1317.4200449006134</v>
      </c>
      <c r="D688">
        <f t="shared" ca="1" si="43"/>
        <v>925.46671655623697</v>
      </c>
      <c r="E688">
        <f t="shared" ca="1" si="45"/>
        <v>391.95332834437647</v>
      </c>
    </row>
    <row r="689" spans="1:5" x14ac:dyDescent="0.25">
      <c r="A689">
        <v>302</v>
      </c>
      <c r="B689" s="4">
        <f t="shared" ca="1" si="44"/>
        <v>228.35119816119044</v>
      </c>
      <c r="C689">
        <f t="shared" ca="1" si="42"/>
        <v>1342.5401958626787</v>
      </c>
      <c r="D689">
        <f t="shared" ca="1" si="43"/>
        <v>953.37799540297613</v>
      </c>
      <c r="E689">
        <f t="shared" ca="1" si="45"/>
        <v>389.1622004597026</v>
      </c>
    </row>
    <row r="690" spans="1:5" x14ac:dyDescent="0.25">
      <c r="A690">
        <v>303</v>
      </c>
      <c r="B690" s="4">
        <f t="shared" ca="1" si="44"/>
        <v>217.18668662249479</v>
      </c>
      <c r="C690">
        <f t="shared" ca="1" si="42"/>
        <v>1317.4200449006134</v>
      </c>
      <c r="D690">
        <f t="shared" ca="1" si="43"/>
        <v>925.46671655623697</v>
      </c>
      <c r="E690">
        <f t="shared" ca="1" si="45"/>
        <v>391.95332834437647</v>
      </c>
    </row>
    <row r="691" spans="1:5" x14ac:dyDescent="0.25">
      <c r="A691">
        <v>304</v>
      </c>
      <c r="B691" s="4">
        <f t="shared" ca="1" si="44"/>
        <v>228.35119816119044</v>
      </c>
      <c r="C691">
        <f t="shared" ca="1" si="42"/>
        <v>1342.5401958626787</v>
      </c>
      <c r="D691">
        <f t="shared" ca="1" si="43"/>
        <v>953.37799540297613</v>
      </c>
      <c r="E691">
        <f t="shared" ca="1" si="45"/>
        <v>389.1622004597026</v>
      </c>
    </row>
    <row r="692" spans="1:5" x14ac:dyDescent="0.25">
      <c r="A692">
        <v>305</v>
      </c>
      <c r="B692" s="4">
        <f t="shared" ca="1" si="44"/>
        <v>263.35536460676792</v>
      </c>
      <c r="C692">
        <f t="shared" ca="1" si="42"/>
        <v>1402.5</v>
      </c>
      <c r="D692">
        <f t="shared" ca="1" si="43"/>
        <v>1020</v>
      </c>
      <c r="E692">
        <f t="shared" ca="1" si="45"/>
        <v>382.5</v>
      </c>
    </row>
    <row r="693" spans="1:5" x14ac:dyDescent="0.25">
      <c r="A693">
        <v>306</v>
      </c>
      <c r="B693" s="4">
        <f t="shared" ca="1" si="44"/>
        <v>263.35536460676792</v>
      </c>
      <c r="C693">
        <f t="shared" ca="1" si="42"/>
        <v>1402.5</v>
      </c>
      <c r="D693">
        <f t="shared" ca="1" si="43"/>
        <v>1020</v>
      </c>
      <c r="E693">
        <f t="shared" ca="1" si="45"/>
        <v>382.5</v>
      </c>
    </row>
    <row r="694" spans="1:5" x14ac:dyDescent="0.25">
      <c r="A694">
        <v>307</v>
      </c>
      <c r="B694" s="4">
        <f t="shared" ca="1" si="44"/>
        <v>228.35119816119044</v>
      </c>
      <c r="C694">
        <f t="shared" ca="1" si="42"/>
        <v>1342.5401958626787</v>
      </c>
      <c r="D694">
        <f t="shared" ca="1" si="43"/>
        <v>953.37799540297613</v>
      </c>
      <c r="E694">
        <f t="shared" ca="1" si="45"/>
        <v>389.1622004597026</v>
      </c>
    </row>
    <row r="695" spans="1:5" x14ac:dyDescent="0.25">
      <c r="A695">
        <v>308</v>
      </c>
      <c r="B695" s="4">
        <f t="shared" ca="1" si="44"/>
        <v>258.43256826853184</v>
      </c>
      <c r="C695">
        <f t="shared" ca="1" si="42"/>
        <v>1402.5</v>
      </c>
      <c r="D695">
        <f t="shared" ca="1" si="43"/>
        <v>1020</v>
      </c>
      <c r="E695">
        <f t="shared" ca="1" si="45"/>
        <v>382.5</v>
      </c>
    </row>
    <row r="696" spans="1:5" x14ac:dyDescent="0.25">
      <c r="A696">
        <v>309</v>
      </c>
      <c r="B696" s="4">
        <f t="shared" ca="1" si="44"/>
        <v>293.76646764418979</v>
      </c>
      <c r="C696">
        <f t="shared" ca="1" si="42"/>
        <v>1402.5</v>
      </c>
      <c r="D696">
        <f t="shared" ca="1" si="43"/>
        <v>1020</v>
      </c>
      <c r="E696">
        <f t="shared" ca="1" si="45"/>
        <v>382.5</v>
      </c>
    </row>
    <row r="697" spans="1:5" x14ac:dyDescent="0.25">
      <c r="A697">
        <v>310</v>
      </c>
      <c r="B697" s="4">
        <f t="shared" ca="1" si="44"/>
        <v>217.18668662249479</v>
      </c>
      <c r="C697">
        <f t="shared" ca="1" si="42"/>
        <v>1317.4200449006134</v>
      </c>
      <c r="D697">
        <f t="shared" ca="1" si="43"/>
        <v>925.46671655623697</v>
      </c>
      <c r="E697">
        <f t="shared" ca="1" si="45"/>
        <v>391.95332834437647</v>
      </c>
    </row>
    <row r="698" spans="1:5" x14ac:dyDescent="0.25">
      <c r="A698">
        <v>311</v>
      </c>
      <c r="B698" s="4">
        <f t="shared" ca="1" si="44"/>
        <v>258.43256826853184</v>
      </c>
      <c r="C698">
        <f t="shared" ca="1" si="42"/>
        <v>1402.5</v>
      </c>
      <c r="D698">
        <f t="shared" ca="1" si="43"/>
        <v>1020</v>
      </c>
      <c r="E698">
        <f t="shared" ca="1" si="45"/>
        <v>382.5</v>
      </c>
    </row>
    <row r="699" spans="1:5" x14ac:dyDescent="0.25">
      <c r="A699">
        <v>312</v>
      </c>
      <c r="B699" s="4">
        <f t="shared" ca="1" si="44"/>
        <v>228.35119816119044</v>
      </c>
      <c r="C699">
        <f t="shared" ca="1" si="42"/>
        <v>1342.5401958626787</v>
      </c>
      <c r="D699">
        <f t="shared" ca="1" si="43"/>
        <v>953.37799540297613</v>
      </c>
      <c r="E699">
        <f t="shared" ca="1" si="45"/>
        <v>389.1622004597026</v>
      </c>
    </row>
    <row r="700" spans="1:5" x14ac:dyDescent="0.25">
      <c r="A700">
        <v>313</v>
      </c>
      <c r="B700" s="4">
        <f t="shared" ca="1" si="44"/>
        <v>263.35536460676792</v>
      </c>
      <c r="C700">
        <f t="shared" ca="1" si="42"/>
        <v>1402.5</v>
      </c>
      <c r="D700">
        <f t="shared" ca="1" si="43"/>
        <v>1020</v>
      </c>
      <c r="E700">
        <f t="shared" ca="1" si="45"/>
        <v>382.5</v>
      </c>
    </row>
    <row r="701" spans="1:5" x14ac:dyDescent="0.25">
      <c r="A701">
        <v>314</v>
      </c>
      <c r="B701" s="4">
        <f t="shared" ca="1" si="44"/>
        <v>263.35536460676792</v>
      </c>
      <c r="C701">
        <f t="shared" ca="1" si="42"/>
        <v>1402.5</v>
      </c>
      <c r="D701">
        <f t="shared" ca="1" si="43"/>
        <v>1020</v>
      </c>
      <c r="E701">
        <f t="shared" ca="1" si="45"/>
        <v>382.5</v>
      </c>
    </row>
    <row r="702" spans="1:5" x14ac:dyDescent="0.25">
      <c r="A702">
        <v>315</v>
      </c>
      <c r="B702" s="4">
        <f t="shared" ca="1" si="44"/>
        <v>293.76646764418979</v>
      </c>
      <c r="C702">
        <f t="shared" ca="1" si="42"/>
        <v>1402.5</v>
      </c>
      <c r="D702">
        <f t="shared" ca="1" si="43"/>
        <v>1020</v>
      </c>
      <c r="E702">
        <f t="shared" ca="1" si="45"/>
        <v>382.5</v>
      </c>
    </row>
    <row r="703" spans="1:5" x14ac:dyDescent="0.25">
      <c r="A703">
        <v>316</v>
      </c>
      <c r="B703" s="4">
        <f t="shared" ca="1" si="44"/>
        <v>217.18668662249479</v>
      </c>
      <c r="C703">
        <f t="shared" ca="1" si="42"/>
        <v>1317.4200449006134</v>
      </c>
      <c r="D703">
        <f t="shared" ca="1" si="43"/>
        <v>925.46671655623697</v>
      </c>
      <c r="E703">
        <f t="shared" ca="1" si="45"/>
        <v>391.95332834437647</v>
      </c>
    </row>
    <row r="704" spans="1:5" x14ac:dyDescent="0.25">
      <c r="A704">
        <v>317</v>
      </c>
      <c r="B704" s="4">
        <f t="shared" ca="1" si="44"/>
        <v>228.35119816119044</v>
      </c>
      <c r="C704">
        <f t="shared" ca="1" si="42"/>
        <v>1342.5401958626787</v>
      </c>
      <c r="D704">
        <f t="shared" ca="1" si="43"/>
        <v>953.37799540297613</v>
      </c>
      <c r="E704">
        <f t="shared" ca="1" si="45"/>
        <v>389.1622004597026</v>
      </c>
    </row>
    <row r="705" spans="1:5" x14ac:dyDescent="0.25">
      <c r="A705">
        <v>318</v>
      </c>
      <c r="B705" s="4">
        <f t="shared" ca="1" si="44"/>
        <v>263.35536460676792</v>
      </c>
      <c r="C705">
        <f t="shared" ca="1" si="42"/>
        <v>1402.5</v>
      </c>
      <c r="D705">
        <f t="shared" ca="1" si="43"/>
        <v>1020</v>
      </c>
      <c r="E705">
        <f t="shared" ca="1" si="45"/>
        <v>382.5</v>
      </c>
    </row>
    <row r="706" spans="1:5" x14ac:dyDescent="0.25">
      <c r="A706">
        <v>319</v>
      </c>
      <c r="B706" s="4">
        <f t="shared" ca="1" si="44"/>
        <v>228.35119816119044</v>
      </c>
      <c r="C706">
        <f t="shared" ca="1" si="42"/>
        <v>1342.5401958626787</v>
      </c>
      <c r="D706">
        <f t="shared" ca="1" si="43"/>
        <v>953.37799540297613</v>
      </c>
      <c r="E706">
        <f t="shared" ca="1" si="45"/>
        <v>389.1622004597026</v>
      </c>
    </row>
    <row r="707" spans="1:5" x14ac:dyDescent="0.25">
      <c r="A707">
        <v>320</v>
      </c>
      <c r="B707" s="4">
        <f t="shared" ca="1" si="44"/>
        <v>293.76646764418979</v>
      </c>
      <c r="C707">
        <f t="shared" ca="1" si="42"/>
        <v>1402.5</v>
      </c>
      <c r="D707">
        <f t="shared" ca="1" si="43"/>
        <v>1020</v>
      </c>
      <c r="E707">
        <f t="shared" ca="1" si="45"/>
        <v>382.5</v>
      </c>
    </row>
    <row r="708" spans="1:5" x14ac:dyDescent="0.25">
      <c r="A708">
        <v>321</v>
      </c>
      <c r="B708" s="4">
        <f t="shared" ca="1" si="44"/>
        <v>228.35119816119044</v>
      </c>
      <c r="C708">
        <f t="shared" ref="C708:C752" ca="1" si="46">IF($M$10&gt;$B708,$B708*$F$7+($M$10-$B708)*$F$8+($M$10-$B708)*$F$9,$M$10*$F$7)</f>
        <v>1342.5401958626787</v>
      </c>
      <c r="D708">
        <f t="shared" ref="D708:D752" ca="1" si="47">IF(M$10&gt;B708,B708*F$5+(M$10-B708)*F$6,M$10*F$5)</f>
        <v>953.37799540297613</v>
      </c>
      <c r="E708">
        <f t="shared" ca="1" si="45"/>
        <v>389.1622004597026</v>
      </c>
    </row>
    <row r="709" spans="1:5" x14ac:dyDescent="0.25">
      <c r="A709">
        <v>322</v>
      </c>
      <c r="B709" s="4">
        <f t="shared" ref="B709:B752" ca="1" si="48">HLOOKUP(RAND(),$K$5:$O$6,2,TRUE)</f>
        <v>293.76646764418979</v>
      </c>
      <c r="C709">
        <f t="shared" ca="1" si="46"/>
        <v>1402.5</v>
      </c>
      <c r="D709">
        <f t="shared" ca="1" si="47"/>
        <v>1020</v>
      </c>
      <c r="E709">
        <f t="shared" ca="1" si="45"/>
        <v>382.5</v>
      </c>
    </row>
    <row r="710" spans="1:5" x14ac:dyDescent="0.25">
      <c r="A710">
        <v>323</v>
      </c>
      <c r="B710" s="4">
        <f t="shared" ca="1" si="48"/>
        <v>228.35119816119044</v>
      </c>
      <c r="C710">
        <f t="shared" ca="1" si="46"/>
        <v>1342.5401958626787</v>
      </c>
      <c r="D710">
        <f t="shared" ca="1" si="47"/>
        <v>953.37799540297613</v>
      </c>
      <c r="E710">
        <f t="shared" ref="E710:E752" ca="1" si="49">C710-D710</f>
        <v>389.1622004597026</v>
      </c>
    </row>
    <row r="711" spans="1:5" x14ac:dyDescent="0.25">
      <c r="A711">
        <v>324</v>
      </c>
      <c r="B711" s="4">
        <f t="shared" ca="1" si="48"/>
        <v>228.35119816119044</v>
      </c>
      <c r="C711">
        <f t="shared" ca="1" si="46"/>
        <v>1342.5401958626787</v>
      </c>
      <c r="D711">
        <f t="shared" ca="1" si="47"/>
        <v>953.37799540297613</v>
      </c>
      <c r="E711">
        <f t="shared" ca="1" si="49"/>
        <v>389.1622004597026</v>
      </c>
    </row>
    <row r="712" spans="1:5" x14ac:dyDescent="0.25">
      <c r="A712">
        <v>325</v>
      </c>
      <c r="B712" s="4">
        <f t="shared" ca="1" si="48"/>
        <v>228.35119816119044</v>
      </c>
      <c r="C712">
        <f t="shared" ca="1" si="46"/>
        <v>1342.5401958626787</v>
      </c>
      <c r="D712">
        <f t="shared" ca="1" si="47"/>
        <v>953.37799540297613</v>
      </c>
      <c r="E712">
        <f t="shared" ca="1" si="49"/>
        <v>389.1622004597026</v>
      </c>
    </row>
    <row r="713" spans="1:5" x14ac:dyDescent="0.25">
      <c r="A713">
        <v>326</v>
      </c>
      <c r="B713" s="4">
        <f t="shared" ca="1" si="48"/>
        <v>263.35536460676792</v>
      </c>
      <c r="C713">
        <f t="shared" ca="1" si="46"/>
        <v>1402.5</v>
      </c>
      <c r="D713">
        <f t="shared" ca="1" si="47"/>
        <v>1020</v>
      </c>
      <c r="E713">
        <f t="shared" ca="1" si="49"/>
        <v>382.5</v>
      </c>
    </row>
    <row r="714" spans="1:5" x14ac:dyDescent="0.25">
      <c r="A714">
        <v>327</v>
      </c>
      <c r="B714" s="4">
        <f t="shared" ca="1" si="48"/>
        <v>263.35536460676792</v>
      </c>
      <c r="C714">
        <f t="shared" ca="1" si="46"/>
        <v>1402.5</v>
      </c>
      <c r="D714">
        <f t="shared" ca="1" si="47"/>
        <v>1020</v>
      </c>
      <c r="E714">
        <f t="shared" ca="1" si="49"/>
        <v>382.5</v>
      </c>
    </row>
    <row r="715" spans="1:5" x14ac:dyDescent="0.25">
      <c r="A715">
        <v>328</v>
      </c>
      <c r="B715" s="4">
        <f t="shared" ca="1" si="48"/>
        <v>258.43256826853184</v>
      </c>
      <c r="C715">
        <f t="shared" ca="1" si="46"/>
        <v>1402.5</v>
      </c>
      <c r="D715">
        <f t="shared" ca="1" si="47"/>
        <v>1020</v>
      </c>
      <c r="E715">
        <f t="shared" ca="1" si="49"/>
        <v>382.5</v>
      </c>
    </row>
    <row r="716" spans="1:5" x14ac:dyDescent="0.25">
      <c r="A716">
        <v>329</v>
      </c>
      <c r="B716" s="4">
        <f t="shared" ca="1" si="48"/>
        <v>258.43256826853184</v>
      </c>
      <c r="C716">
        <f t="shared" ca="1" si="46"/>
        <v>1402.5</v>
      </c>
      <c r="D716">
        <f t="shared" ca="1" si="47"/>
        <v>1020</v>
      </c>
      <c r="E716">
        <f t="shared" ca="1" si="49"/>
        <v>382.5</v>
      </c>
    </row>
    <row r="717" spans="1:5" x14ac:dyDescent="0.25">
      <c r="A717">
        <v>330</v>
      </c>
      <c r="B717" s="4">
        <f t="shared" ca="1" si="48"/>
        <v>263.35536460676792</v>
      </c>
      <c r="C717">
        <f t="shared" ca="1" si="46"/>
        <v>1402.5</v>
      </c>
      <c r="D717">
        <f t="shared" ca="1" si="47"/>
        <v>1020</v>
      </c>
      <c r="E717">
        <f t="shared" ca="1" si="49"/>
        <v>382.5</v>
      </c>
    </row>
    <row r="718" spans="1:5" x14ac:dyDescent="0.25">
      <c r="A718">
        <v>331</v>
      </c>
      <c r="B718" s="4">
        <f t="shared" ca="1" si="48"/>
        <v>263.35536460676792</v>
      </c>
      <c r="C718">
        <f t="shared" ca="1" si="46"/>
        <v>1402.5</v>
      </c>
      <c r="D718">
        <f t="shared" ca="1" si="47"/>
        <v>1020</v>
      </c>
      <c r="E718">
        <f t="shared" ca="1" si="49"/>
        <v>382.5</v>
      </c>
    </row>
    <row r="719" spans="1:5" x14ac:dyDescent="0.25">
      <c r="A719">
        <v>332</v>
      </c>
      <c r="B719" s="4">
        <f t="shared" ca="1" si="48"/>
        <v>293.76646764418979</v>
      </c>
      <c r="C719">
        <f t="shared" ca="1" si="46"/>
        <v>1402.5</v>
      </c>
      <c r="D719">
        <f t="shared" ca="1" si="47"/>
        <v>1020</v>
      </c>
      <c r="E719">
        <f t="shared" ca="1" si="49"/>
        <v>382.5</v>
      </c>
    </row>
    <row r="720" spans="1:5" x14ac:dyDescent="0.25">
      <c r="A720">
        <v>333</v>
      </c>
      <c r="B720" s="4">
        <f t="shared" ca="1" si="48"/>
        <v>293.76646764418979</v>
      </c>
      <c r="C720">
        <f t="shared" ca="1" si="46"/>
        <v>1402.5</v>
      </c>
      <c r="D720">
        <f t="shared" ca="1" si="47"/>
        <v>1020</v>
      </c>
      <c r="E720">
        <f t="shared" ca="1" si="49"/>
        <v>382.5</v>
      </c>
    </row>
    <row r="721" spans="1:5" x14ac:dyDescent="0.25">
      <c r="A721">
        <v>334</v>
      </c>
      <c r="B721" s="4">
        <f t="shared" ca="1" si="48"/>
        <v>228.35119816119044</v>
      </c>
      <c r="C721">
        <f t="shared" ca="1" si="46"/>
        <v>1342.5401958626787</v>
      </c>
      <c r="D721">
        <f t="shared" ca="1" si="47"/>
        <v>953.37799540297613</v>
      </c>
      <c r="E721">
        <f t="shared" ca="1" si="49"/>
        <v>389.1622004597026</v>
      </c>
    </row>
    <row r="722" spans="1:5" x14ac:dyDescent="0.25">
      <c r="A722">
        <v>335</v>
      </c>
      <c r="B722" s="4">
        <f t="shared" ca="1" si="48"/>
        <v>258.43256826853184</v>
      </c>
      <c r="C722">
        <f t="shared" ca="1" si="46"/>
        <v>1402.5</v>
      </c>
      <c r="D722">
        <f t="shared" ca="1" si="47"/>
        <v>1020</v>
      </c>
      <c r="E722">
        <f t="shared" ca="1" si="49"/>
        <v>382.5</v>
      </c>
    </row>
    <row r="723" spans="1:5" x14ac:dyDescent="0.25">
      <c r="A723">
        <v>336</v>
      </c>
      <c r="B723" s="4">
        <f t="shared" ca="1" si="48"/>
        <v>228.35119816119044</v>
      </c>
      <c r="C723">
        <f t="shared" ca="1" si="46"/>
        <v>1342.5401958626787</v>
      </c>
      <c r="D723">
        <f t="shared" ca="1" si="47"/>
        <v>953.37799540297613</v>
      </c>
      <c r="E723">
        <f t="shared" ca="1" si="49"/>
        <v>389.1622004597026</v>
      </c>
    </row>
    <row r="724" spans="1:5" x14ac:dyDescent="0.25">
      <c r="A724">
        <v>337</v>
      </c>
      <c r="B724" s="4">
        <f t="shared" ca="1" si="48"/>
        <v>217.18668662249479</v>
      </c>
      <c r="C724">
        <f t="shared" ca="1" si="46"/>
        <v>1317.4200449006134</v>
      </c>
      <c r="D724">
        <f t="shared" ca="1" si="47"/>
        <v>925.46671655623697</v>
      </c>
      <c r="E724">
        <f t="shared" ca="1" si="49"/>
        <v>391.95332834437647</v>
      </c>
    </row>
    <row r="725" spans="1:5" x14ac:dyDescent="0.25">
      <c r="A725">
        <v>338</v>
      </c>
      <c r="B725" s="4">
        <f t="shared" ca="1" si="48"/>
        <v>293.76646764418979</v>
      </c>
      <c r="C725">
        <f t="shared" ca="1" si="46"/>
        <v>1402.5</v>
      </c>
      <c r="D725">
        <f t="shared" ca="1" si="47"/>
        <v>1020</v>
      </c>
      <c r="E725">
        <f t="shared" ca="1" si="49"/>
        <v>382.5</v>
      </c>
    </row>
    <row r="726" spans="1:5" x14ac:dyDescent="0.25">
      <c r="A726">
        <v>339</v>
      </c>
      <c r="B726" s="4">
        <f t="shared" ca="1" si="48"/>
        <v>258.43256826853184</v>
      </c>
      <c r="C726">
        <f t="shared" ca="1" si="46"/>
        <v>1402.5</v>
      </c>
      <c r="D726">
        <f t="shared" ca="1" si="47"/>
        <v>1020</v>
      </c>
      <c r="E726">
        <f t="shared" ca="1" si="49"/>
        <v>382.5</v>
      </c>
    </row>
    <row r="727" spans="1:5" x14ac:dyDescent="0.25">
      <c r="A727">
        <v>340</v>
      </c>
      <c r="B727" s="4">
        <f t="shared" ca="1" si="48"/>
        <v>217.18668662249479</v>
      </c>
      <c r="C727">
        <f t="shared" ca="1" si="46"/>
        <v>1317.4200449006134</v>
      </c>
      <c r="D727">
        <f t="shared" ca="1" si="47"/>
        <v>925.46671655623697</v>
      </c>
      <c r="E727">
        <f t="shared" ca="1" si="49"/>
        <v>391.95332834437647</v>
      </c>
    </row>
    <row r="728" spans="1:5" x14ac:dyDescent="0.25">
      <c r="A728">
        <v>341</v>
      </c>
      <c r="B728" s="4">
        <f t="shared" ca="1" si="48"/>
        <v>258.43256826853184</v>
      </c>
      <c r="C728">
        <f t="shared" ca="1" si="46"/>
        <v>1402.5</v>
      </c>
      <c r="D728">
        <f t="shared" ca="1" si="47"/>
        <v>1020</v>
      </c>
      <c r="E728">
        <f t="shared" ca="1" si="49"/>
        <v>382.5</v>
      </c>
    </row>
    <row r="729" spans="1:5" x14ac:dyDescent="0.25">
      <c r="A729">
        <v>342</v>
      </c>
      <c r="B729" s="4">
        <f t="shared" ca="1" si="48"/>
        <v>293.76646764418979</v>
      </c>
      <c r="C729">
        <f t="shared" ca="1" si="46"/>
        <v>1402.5</v>
      </c>
      <c r="D729">
        <f t="shared" ca="1" si="47"/>
        <v>1020</v>
      </c>
      <c r="E729">
        <f t="shared" ca="1" si="49"/>
        <v>382.5</v>
      </c>
    </row>
    <row r="730" spans="1:5" x14ac:dyDescent="0.25">
      <c r="A730">
        <v>343</v>
      </c>
      <c r="B730" s="4">
        <f t="shared" ca="1" si="48"/>
        <v>258.43256826853184</v>
      </c>
      <c r="C730">
        <f t="shared" ca="1" si="46"/>
        <v>1402.5</v>
      </c>
      <c r="D730">
        <f t="shared" ca="1" si="47"/>
        <v>1020</v>
      </c>
      <c r="E730">
        <f t="shared" ca="1" si="49"/>
        <v>382.5</v>
      </c>
    </row>
    <row r="731" spans="1:5" x14ac:dyDescent="0.25">
      <c r="A731">
        <v>344</v>
      </c>
      <c r="B731" s="4">
        <f t="shared" ca="1" si="48"/>
        <v>217.18668662249479</v>
      </c>
      <c r="C731">
        <f t="shared" ca="1" si="46"/>
        <v>1317.4200449006134</v>
      </c>
      <c r="D731">
        <f t="shared" ca="1" si="47"/>
        <v>925.46671655623697</v>
      </c>
      <c r="E731">
        <f t="shared" ca="1" si="49"/>
        <v>391.95332834437647</v>
      </c>
    </row>
    <row r="732" spans="1:5" x14ac:dyDescent="0.25">
      <c r="A732">
        <v>345</v>
      </c>
      <c r="B732" s="4">
        <f t="shared" ca="1" si="48"/>
        <v>263.35536460676792</v>
      </c>
      <c r="C732">
        <f t="shared" ca="1" si="46"/>
        <v>1402.5</v>
      </c>
      <c r="D732">
        <f t="shared" ca="1" si="47"/>
        <v>1020</v>
      </c>
      <c r="E732">
        <f t="shared" ca="1" si="49"/>
        <v>382.5</v>
      </c>
    </row>
    <row r="733" spans="1:5" x14ac:dyDescent="0.25">
      <c r="A733">
        <v>346</v>
      </c>
      <c r="B733" s="4">
        <f t="shared" ca="1" si="48"/>
        <v>263.35536460676792</v>
      </c>
      <c r="C733">
        <f t="shared" ca="1" si="46"/>
        <v>1402.5</v>
      </c>
      <c r="D733">
        <f t="shared" ca="1" si="47"/>
        <v>1020</v>
      </c>
      <c r="E733">
        <f t="shared" ca="1" si="49"/>
        <v>382.5</v>
      </c>
    </row>
    <row r="734" spans="1:5" x14ac:dyDescent="0.25">
      <c r="A734">
        <v>347</v>
      </c>
      <c r="B734" s="4">
        <f t="shared" ca="1" si="48"/>
        <v>228.35119816119044</v>
      </c>
      <c r="C734">
        <f t="shared" ca="1" si="46"/>
        <v>1342.5401958626787</v>
      </c>
      <c r="D734">
        <f t="shared" ca="1" si="47"/>
        <v>953.37799540297613</v>
      </c>
      <c r="E734">
        <f t="shared" ca="1" si="49"/>
        <v>389.1622004597026</v>
      </c>
    </row>
    <row r="735" spans="1:5" x14ac:dyDescent="0.25">
      <c r="A735">
        <v>348</v>
      </c>
      <c r="B735" s="4">
        <f t="shared" ca="1" si="48"/>
        <v>217.18668662249479</v>
      </c>
      <c r="C735">
        <f t="shared" ca="1" si="46"/>
        <v>1317.4200449006134</v>
      </c>
      <c r="D735">
        <f t="shared" ca="1" si="47"/>
        <v>925.46671655623697</v>
      </c>
      <c r="E735">
        <f t="shared" ca="1" si="49"/>
        <v>391.95332834437647</v>
      </c>
    </row>
    <row r="736" spans="1:5" x14ac:dyDescent="0.25">
      <c r="A736">
        <v>349</v>
      </c>
      <c r="B736" s="4">
        <f t="shared" ca="1" si="48"/>
        <v>258.43256826853184</v>
      </c>
      <c r="C736">
        <f t="shared" ca="1" si="46"/>
        <v>1402.5</v>
      </c>
      <c r="D736">
        <f t="shared" ca="1" si="47"/>
        <v>1020</v>
      </c>
      <c r="E736">
        <f t="shared" ca="1" si="49"/>
        <v>382.5</v>
      </c>
    </row>
    <row r="737" spans="1:5" x14ac:dyDescent="0.25">
      <c r="A737">
        <v>350</v>
      </c>
      <c r="B737" s="4">
        <f t="shared" ca="1" si="48"/>
        <v>228.35119816119044</v>
      </c>
      <c r="C737">
        <f t="shared" ca="1" si="46"/>
        <v>1342.5401958626787</v>
      </c>
      <c r="D737">
        <f t="shared" ca="1" si="47"/>
        <v>953.37799540297613</v>
      </c>
      <c r="E737">
        <f t="shared" ca="1" si="49"/>
        <v>389.1622004597026</v>
      </c>
    </row>
    <row r="738" spans="1:5" x14ac:dyDescent="0.25">
      <c r="A738">
        <v>351</v>
      </c>
      <c r="B738" s="4">
        <f t="shared" ca="1" si="48"/>
        <v>263.35536460676792</v>
      </c>
      <c r="C738">
        <f t="shared" ca="1" si="46"/>
        <v>1402.5</v>
      </c>
      <c r="D738">
        <f t="shared" ca="1" si="47"/>
        <v>1020</v>
      </c>
      <c r="E738">
        <f t="shared" ca="1" si="49"/>
        <v>382.5</v>
      </c>
    </row>
    <row r="739" spans="1:5" x14ac:dyDescent="0.25">
      <c r="A739">
        <v>352</v>
      </c>
      <c r="B739" s="4">
        <f t="shared" ca="1" si="48"/>
        <v>258.43256826853184</v>
      </c>
      <c r="C739">
        <f t="shared" ca="1" si="46"/>
        <v>1402.5</v>
      </c>
      <c r="D739">
        <f t="shared" ca="1" si="47"/>
        <v>1020</v>
      </c>
      <c r="E739">
        <f t="shared" ca="1" si="49"/>
        <v>382.5</v>
      </c>
    </row>
    <row r="740" spans="1:5" x14ac:dyDescent="0.25">
      <c r="A740">
        <v>353</v>
      </c>
      <c r="B740" s="4">
        <f t="shared" ca="1" si="48"/>
        <v>263.35536460676792</v>
      </c>
      <c r="C740">
        <f t="shared" ca="1" si="46"/>
        <v>1402.5</v>
      </c>
      <c r="D740">
        <f t="shared" ca="1" si="47"/>
        <v>1020</v>
      </c>
      <c r="E740">
        <f t="shared" ca="1" si="49"/>
        <v>382.5</v>
      </c>
    </row>
    <row r="741" spans="1:5" x14ac:dyDescent="0.25">
      <c r="A741">
        <v>354</v>
      </c>
      <c r="B741" s="4">
        <f t="shared" ca="1" si="48"/>
        <v>258.43256826853184</v>
      </c>
      <c r="C741">
        <f t="shared" ca="1" si="46"/>
        <v>1402.5</v>
      </c>
      <c r="D741">
        <f t="shared" ca="1" si="47"/>
        <v>1020</v>
      </c>
      <c r="E741">
        <f t="shared" ca="1" si="49"/>
        <v>382.5</v>
      </c>
    </row>
    <row r="742" spans="1:5" x14ac:dyDescent="0.25">
      <c r="A742">
        <v>355</v>
      </c>
      <c r="B742" s="4">
        <f t="shared" ca="1" si="48"/>
        <v>258.43256826853184</v>
      </c>
      <c r="C742">
        <f t="shared" ca="1" si="46"/>
        <v>1402.5</v>
      </c>
      <c r="D742">
        <f t="shared" ca="1" si="47"/>
        <v>1020</v>
      </c>
      <c r="E742">
        <f t="shared" ca="1" si="49"/>
        <v>382.5</v>
      </c>
    </row>
    <row r="743" spans="1:5" x14ac:dyDescent="0.25">
      <c r="A743">
        <v>356</v>
      </c>
      <c r="B743" s="4">
        <f t="shared" ca="1" si="48"/>
        <v>228.35119816119044</v>
      </c>
      <c r="C743">
        <f t="shared" ca="1" si="46"/>
        <v>1342.5401958626787</v>
      </c>
      <c r="D743">
        <f t="shared" ca="1" si="47"/>
        <v>953.37799540297613</v>
      </c>
      <c r="E743">
        <f t="shared" ca="1" si="49"/>
        <v>389.1622004597026</v>
      </c>
    </row>
    <row r="744" spans="1:5" x14ac:dyDescent="0.25">
      <c r="A744">
        <v>357</v>
      </c>
      <c r="B744" s="4">
        <f t="shared" ca="1" si="48"/>
        <v>258.43256826853184</v>
      </c>
      <c r="C744">
        <f t="shared" ca="1" si="46"/>
        <v>1402.5</v>
      </c>
      <c r="D744">
        <f t="shared" ca="1" si="47"/>
        <v>1020</v>
      </c>
      <c r="E744">
        <f t="shared" ca="1" si="49"/>
        <v>382.5</v>
      </c>
    </row>
    <row r="745" spans="1:5" x14ac:dyDescent="0.25">
      <c r="A745">
        <v>358</v>
      </c>
      <c r="B745" s="4">
        <f t="shared" ca="1" si="48"/>
        <v>258.43256826853184</v>
      </c>
      <c r="C745">
        <f t="shared" ca="1" si="46"/>
        <v>1402.5</v>
      </c>
      <c r="D745">
        <f t="shared" ca="1" si="47"/>
        <v>1020</v>
      </c>
      <c r="E745">
        <f t="shared" ca="1" si="49"/>
        <v>382.5</v>
      </c>
    </row>
    <row r="746" spans="1:5" x14ac:dyDescent="0.25">
      <c r="A746">
        <v>359</v>
      </c>
      <c r="B746" s="4">
        <f t="shared" ca="1" si="48"/>
        <v>258.43256826853184</v>
      </c>
      <c r="C746">
        <f t="shared" ca="1" si="46"/>
        <v>1402.5</v>
      </c>
      <c r="D746">
        <f t="shared" ca="1" si="47"/>
        <v>1020</v>
      </c>
      <c r="E746">
        <f t="shared" ca="1" si="49"/>
        <v>382.5</v>
      </c>
    </row>
    <row r="747" spans="1:5" x14ac:dyDescent="0.25">
      <c r="A747">
        <v>360</v>
      </c>
      <c r="B747" s="4">
        <f t="shared" ca="1" si="48"/>
        <v>258.43256826853184</v>
      </c>
      <c r="C747">
        <f t="shared" ca="1" si="46"/>
        <v>1402.5</v>
      </c>
      <c r="D747">
        <f t="shared" ca="1" si="47"/>
        <v>1020</v>
      </c>
      <c r="E747">
        <f t="shared" ca="1" si="49"/>
        <v>382.5</v>
      </c>
    </row>
    <row r="748" spans="1:5" x14ac:dyDescent="0.25">
      <c r="A748">
        <v>361</v>
      </c>
      <c r="B748" s="4">
        <f t="shared" ca="1" si="48"/>
        <v>293.76646764418979</v>
      </c>
      <c r="C748">
        <f t="shared" ca="1" si="46"/>
        <v>1402.5</v>
      </c>
      <c r="D748">
        <f t="shared" ca="1" si="47"/>
        <v>1020</v>
      </c>
      <c r="E748">
        <f t="shared" ca="1" si="49"/>
        <v>382.5</v>
      </c>
    </row>
    <row r="749" spans="1:5" x14ac:dyDescent="0.25">
      <c r="A749">
        <v>362</v>
      </c>
      <c r="B749" s="4">
        <f t="shared" ca="1" si="48"/>
        <v>217.18668662249479</v>
      </c>
      <c r="C749">
        <f t="shared" ca="1" si="46"/>
        <v>1317.4200449006134</v>
      </c>
      <c r="D749">
        <f t="shared" ca="1" si="47"/>
        <v>925.46671655623697</v>
      </c>
      <c r="E749">
        <f t="shared" ca="1" si="49"/>
        <v>391.95332834437647</v>
      </c>
    </row>
    <row r="750" spans="1:5" x14ac:dyDescent="0.25">
      <c r="A750">
        <v>363</v>
      </c>
      <c r="B750" s="4">
        <f t="shared" ca="1" si="48"/>
        <v>228.35119816119044</v>
      </c>
      <c r="C750">
        <f t="shared" ca="1" si="46"/>
        <v>1342.5401958626787</v>
      </c>
      <c r="D750">
        <f t="shared" ca="1" si="47"/>
        <v>953.37799540297613</v>
      </c>
      <c r="E750">
        <f t="shared" ca="1" si="49"/>
        <v>389.1622004597026</v>
      </c>
    </row>
    <row r="751" spans="1:5" x14ac:dyDescent="0.25">
      <c r="A751">
        <v>364</v>
      </c>
      <c r="B751" s="4">
        <f t="shared" ca="1" si="48"/>
        <v>228.35119816119044</v>
      </c>
      <c r="C751">
        <f t="shared" ca="1" si="46"/>
        <v>1342.5401958626787</v>
      </c>
      <c r="D751">
        <f t="shared" ca="1" si="47"/>
        <v>953.37799540297613</v>
      </c>
      <c r="E751">
        <f t="shared" ca="1" si="49"/>
        <v>389.1622004597026</v>
      </c>
    </row>
    <row r="752" spans="1:5" x14ac:dyDescent="0.25">
      <c r="A752">
        <v>365</v>
      </c>
      <c r="B752" s="4">
        <f t="shared" ca="1" si="48"/>
        <v>293.76646764418979</v>
      </c>
      <c r="C752">
        <f t="shared" ca="1" si="46"/>
        <v>1402.5</v>
      </c>
      <c r="D752">
        <f t="shared" ca="1" si="47"/>
        <v>1020</v>
      </c>
      <c r="E752">
        <f t="shared" ca="1" si="49"/>
        <v>382.5</v>
      </c>
    </row>
    <row r="753" spans="3:5" x14ac:dyDescent="0.25">
      <c r="C753" s="5"/>
      <c r="D753" s="5"/>
      <c r="E753" s="67">
        <f ca="1">AVERAGE(E388:E752)</f>
        <v>384.74238247292982</v>
      </c>
    </row>
    <row r="754" spans="3:5" x14ac:dyDescent="0.25">
      <c r="C754" s="5"/>
      <c r="D754" s="5"/>
      <c r="E754" s="67"/>
    </row>
  </sheetData>
  <mergeCells count="23">
    <mergeCell ref="E753:E754"/>
    <mergeCell ref="G13:H13"/>
    <mergeCell ref="G14:H14"/>
    <mergeCell ref="C379:D380"/>
    <mergeCell ref="E379:E380"/>
    <mergeCell ref="I14:K14"/>
    <mergeCell ref="J15:K15"/>
    <mergeCell ref="D11:E11"/>
    <mergeCell ref="G10:H10"/>
    <mergeCell ref="G11:H11"/>
    <mergeCell ref="A11:B11"/>
    <mergeCell ref="A1:P2"/>
    <mergeCell ref="A4:F4"/>
    <mergeCell ref="H4:N4"/>
    <mergeCell ref="A5:E5"/>
    <mergeCell ref="H5:J5"/>
    <mergeCell ref="A6:E6"/>
    <mergeCell ref="H6:J6"/>
    <mergeCell ref="A7:E7"/>
    <mergeCell ref="H7:J7"/>
    <mergeCell ref="A8:E8"/>
    <mergeCell ref="H8:J8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9BD-F924-4C06-890E-F93A71A6ABEF}">
  <sheetPr>
    <tabColor rgb="FFFF0000"/>
  </sheetPr>
  <dimension ref="A1:T375"/>
  <sheetViews>
    <sheetView zoomScaleNormal="100" workbookViewId="0">
      <selection activeCell="D16" sqref="D16"/>
    </sheetView>
  </sheetViews>
  <sheetFormatPr defaultRowHeight="15" x14ac:dyDescent="0.25"/>
  <cols>
    <col min="1" max="1" width="18.42578125" customWidth="1"/>
    <col min="2" max="2" width="10.7109375" customWidth="1"/>
    <col min="3" max="3" width="12.7109375" customWidth="1"/>
    <col min="4" max="4" width="18" customWidth="1"/>
    <col min="5" max="5" width="16.28515625" customWidth="1"/>
    <col min="6" max="6" width="13.5703125" customWidth="1"/>
    <col min="7" max="7" width="18.7109375" style="100" customWidth="1"/>
    <col min="8" max="9" width="18.28515625" bestFit="1" customWidth="1"/>
    <col min="10" max="10" width="15.5703125" bestFit="1" customWidth="1"/>
    <col min="11" max="11" width="15.42578125" bestFit="1" customWidth="1"/>
    <col min="12" max="12" width="18.28515625" bestFit="1" customWidth="1"/>
    <col min="13" max="13" width="17.28515625" bestFit="1" customWidth="1"/>
    <col min="14" max="14" width="19.85546875" bestFit="1" customWidth="1"/>
    <col min="15" max="15" width="18.140625" bestFit="1" customWidth="1"/>
  </cols>
  <sheetData>
    <row r="1" spans="1:20" ht="15.75" x14ac:dyDescent="0.25">
      <c r="A1" s="112" t="s">
        <v>34</v>
      </c>
      <c r="B1" s="113"/>
      <c r="C1" s="113"/>
      <c r="D1" s="113"/>
      <c r="E1" s="113"/>
      <c r="F1" s="113"/>
      <c r="G1" s="113"/>
      <c r="H1" s="113"/>
      <c r="I1" s="113"/>
      <c r="J1" s="114"/>
      <c r="K1" s="121" t="s">
        <v>42</v>
      </c>
      <c r="L1" s="128" t="s">
        <v>39</v>
      </c>
      <c r="M1" s="121" t="s">
        <v>40</v>
      </c>
      <c r="N1" s="128" t="s">
        <v>41</v>
      </c>
      <c r="O1" s="25"/>
      <c r="P1" s="25"/>
      <c r="Q1" s="25"/>
    </row>
    <row r="2" spans="1:20" ht="15.75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7"/>
      <c r="K2" s="32"/>
      <c r="L2" s="27">
        <f ca="1">H12</f>
        <v>21</v>
      </c>
      <c r="M2" s="29">
        <f ca="1">H13</f>
        <v>0.40384615384615385</v>
      </c>
      <c r="N2" s="33">
        <f ca="1">H11</f>
        <v>5.9807692307692308</v>
      </c>
      <c r="O2" s="25"/>
      <c r="P2" s="25"/>
      <c r="Q2" s="25"/>
    </row>
    <row r="3" spans="1:20" ht="15.75" x14ac:dyDescent="0.25">
      <c r="A3" s="26"/>
      <c r="B3" s="26"/>
      <c r="C3" s="26"/>
      <c r="D3" s="26"/>
      <c r="E3" s="26"/>
      <c r="F3" s="26"/>
      <c r="G3" s="96"/>
      <c r="H3" s="26"/>
      <c r="I3" s="26"/>
      <c r="J3" s="26"/>
      <c r="K3" s="32">
        <v>1</v>
      </c>
      <c r="L3" s="27">
        <f t="dataTable" ref="L3:N102" dt2D="0" dtr="0" r1="I15" ca="1"/>
        <v>12</v>
      </c>
      <c r="M3" s="29">
        <v>0.23076923076923078</v>
      </c>
      <c r="N3" s="33">
        <v>4.7884615384615383</v>
      </c>
    </row>
    <row r="4" spans="1:20" ht="15.75" x14ac:dyDescent="0.25">
      <c r="A4" s="68" t="s">
        <v>35</v>
      </c>
      <c r="B4" s="69"/>
      <c r="C4" s="69"/>
      <c r="D4" s="69"/>
      <c r="E4" s="69"/>
      <c r="F4" s="69"/>
      <c r="G4" s="69"/>
      <c r="H4" s="69"/>
      <c r="I4" s="69"/>
      <c r="J4" s="70"/>
      <c r="K4" s="27">
        <v>2</v>
      </c>
      <c r="L4" s="27">
        <v>10</v>
      </c>
      <c r="M4" s="29">
        <v>0.19230769230769232</v>
      </c>
      <c r="N4" s="33">
        <v>4.4230769230769234</v>
      </c>
    </row>
    <row r="5" spans="1:20" ht="15.75" x14ac:dyDescent="0.25">
      <c r="A5" s="71" t="s">
        <v>30</v>
      </c>
      <c r="B5" s="71"/>
      <c r="C5" s="91">
        <v>0</v>
      </c>
      <c r="D5" s="91">
        <f>C8</f>
        <v>0.1</v>
      </c>
      <c r="E5" s="91">
        <f>D8</f>
        <v>0.30000000000000004</v>
      </c>
      <c r="F5" s="91">
        <f t="shared" ref="F5:I5" si="0">E8</f>
        <v>0.60000000000000009</v>
      </c>
      <c r="G5" s="97">
        <f t="shared" si="0"/>
        <v>0.8</v>
      </c>
      <c r="H5" s="91">
        <f t="shared" si="0"/>
        <v>0.91</v>
      </c>
      <c r="I5" s="91">
        <f t="shared" si="0"/>
        <v>0.97</v>
      </c>
      <c r="J5" s="26"/>
      <c r="K5" s="32">
        <v>3</v>
      </c>
      <c r="L5" s="27">
        <v>16</v>
      </c>
      <c r="M5" s="29">
        <v>0.30769230769230771</v>
      </c>
      <c r="N5" s="33">
        <v>5.7307692307692308</v>
      </c>
    </row>
    <row r="6" spans="1:20" ht="15.75" x14ac:dyDescent="0.25">
      <c r="A6" s="72" t="s">
        <v>29</v>
      </c>
      <c r="B6" s="72"/>
      <c r="C6" s="89">
        <v>1</v>
      </c>
      <c r="D6" s="89">
        <v>2</v>
      </c>
      <c r="E6" s="89">
        <v>4</v>
      </c>
      <c r="F6" s="89">
        <v>7</v>
      </c>
      <c r="G6" s="98">
        <v>9</v>
      </c>
      <c r="H6" s="89">
        <v>13</v>
      </c>
      <c r="I6" s="89">
        <v>17</v>
      </c>
      <c r="J6" s="26"/>
      <c r="K6" s="32">
        <v>4</v>
      </c>
      <c r="L6" s="27">
        <v>20</v>
      </c>
      <c r="M6" s="29">
        <v>0.38461538461538464</v>
      </c>
      <c r="N6" s="33">
        <v>5.5</v>
      </c>
    </row>
    <row r="7" spans="1:20" ht="15.75" x14ac:dyDescent="0.25">
      <c r="A7" s="72" t="s">
        <v>2</v>
      </c>
      <c r="B7" s="72"/>
      <c r="C7" s="90">
        <v>0.1</v>
      </c>
      <c r="D7" s="90">
        <v>0.2</v>
      </c>
      <c r="E7" s="90">
        <v>0.3</v>
      </c>
      <c r="F7" s="90">
        <v>0.2</v>
      </c>
      <c r="G7" s="98">
        <v>0.11</v>
      </c>
      <c r="H7" s="89">
        <v>0.06</v>
      </c>
      <c r="I7" s="89">
        <v>0.03</v>
      </c>
      <c r="J7" s="26"/>
      <c r="K7" s="32">
        <v>5</v>
      </c>
      <c r="L7" s="27">
        <v>14</v>
      </c>
      <c r="M7" s="29">
        <v>0.26923076923076922</v>
      </c>
      <c r="N7" s="33">
        <v>4.7692307692307692</v>
      </c>
      <c r="T7" s="2"/>
    </row>
    <row r="8" spans="1:20" ht="15.75" x14ac:dyDescent="0.25">
      <c r="A8" s="72" t="s">
        <v>11</v>
      </c>
      <c r="B8" s="72"/>
      <c r="C8" s="92">
        <f>C7</f>
        <v>0.1</v>
      </c>
      <c r="D8" s="92">
        <f>D7+C8</f>
        <v>0.30000000000000004</v>
      </c>
      <c r="E8" s="92">
        <f t="shared" ref="E8:I8" si="1">E7+D8</f>
        <v>0.60000000000000009</v>
      </c>
      <c r="F8" s="92">
        <f t="shared" si="1"/>
        <v>0.8</v>
      </c>
      <c r="G8" s="99">
        <f t="shared" si="1"/>
        <v>0.91</v>
      </c>
      <c r="H8" s="92">
        <f t="shared" si="1"/>
        <v>0.97</v>
      </c>
      <c r="I8" s="92">
        <f t="shared" si="1"/>
        <v>1</v>
      </c>
      <c r="J8" s="26"/>
      <c r="K8" s="32">
        <v>6</v>
      </c>
      <c r="L8" s="27">
        <v>16</v>
      </c>
      <c r="M8" s="29">
        <v>0.30769230769230771</v>
      </c>
      <c r="N8" s="33">
        <v>5.5192307692307692</v>
      </c>
    </row>
    <row r="9" spans="1:20" ht="15.75" x14ac:dyDescent="0.25">
      <c r="A9" s="26"/>
      <c r="B9" s="26"/>
      <c r="C9" s="26"/>
      <c r="D9" s="26"/>
      <c r="E9" s="26"/>
      <c r="J9" s="26"/>
      <c r="K9" s="32">
        <v>7</v>
      </c>
      <c r="L9" s="27">
        <v>20</v>
      </c>
      <c r="M9" s="29">
        <v>0.38461538461538464</v>
      </c>
      <c r="N9" s="33">
        <v>5.884615384615385</v>
      </c>
    </row>
    <row r="10" spans="1:20" ht="15.75" x14ac:dyDescent="0.25">
      <c r="A10" s="73" t="s">
        <v>9</v>
      </c>
      <c r="B10" s="73"/>
      <c r="C10" s="73"/>
      <c r="D10" s="74"/>
      <c r="E10" s="78" t="s">
        <v>48</v>
      </c>
      <c r="F10" s="79"/>
      <c r="G10" s="96"/>
      <c r="H10" s="26"/>
      <c r="I10" s="42"/>
      <c r="J10" s="42"/>
      <c r="K10" s="32">
        <v>8</v>
      </c>
      <c r="L10" s="27">
        <v>23</v>
      </c>
      <c r="M10" s="29">
        <v>0.44230769230769229</v>
      </c>
      <c r="N10" s="33">
        <v>6.4807692307692308</v>
      </c>
    </row>
    <row r="11" spans="1:20" ht="15" customHeight="1" x14ac:dyDescent="0.25">
      <c r="A11" s="76" t="s">
        <v>28</v>
      </c>
      <c r="B11" s="77"/>
      <c r="C11" s="77"/>
      <c r="D11" s="118">
        <v>8</v>
      </c>
      <c r="E11" s="80" t="s">
        <v>55</v>
      </c>
      <c r="F11" s="81"/>
      <c r="G11" s="82"/>
      <c r="H11" s="31">
        <f ca="1">C76</f>
        <v>5.9807692307692308</v>
      </c>
      <c r="I11" s="18"/>
      <c r="J11" s="27"/>
      <c r="K11" s="32">
        <v>9</v>
      </c>
      <c r="L11" s="27">
        <v>20</v>
      </c>
      <c r="M11" s="29">
        <v>0.38461538461538464</v>
      </c>
      <c r="N11" s="33">
        <v>5.5576923076923075</v>
      </c>
    </row>
    <row r="12" spans="1:20" ht="15" customHeight="1" x14ac:dyDescent="0.25">
      <c r="A12" s="76" t="s">
        <v>31</v>
      </c>
      <c r="B12" s="77"/>
      <c r="C12" s="77"/>
      <c r="D12" s="118">
        <v>6</v>
      </c>
      <c r="E12" s="80" t="s">
        <v>51</v>
      </c>
      <c r="F12" s="81"/>
      <c r="G12" s="82"/>
      <c r="H12" s="120">
        <f ca="1">COUNTIF(F23:F74,TRUE)</f>
        <v>21</v>
      </c>
      <c r="J12" s="26"/>
      <c r="K12" s="32">
        <v>10</v>
      </c>
      <c r="L12" s="27">
        <v>15</v>
      </c>
      <c r="M12" s="29">
        <v>0.28846153846153844</v>
      </c>
      <c r="N12" s="33">
        <v>5.2307692307692308</v>
      </c>
    </row>
    <row r="13" spans="1:20" ht="15" customHeight="1" x14ac:dyDescent="0.25">
      <c r="A13" s="76" t="s">
        <v>32</v>
      </c>
      <c r="B13" s="77"/>
      <c r="C13" s="77"/>
      <c r="D13" s="118">
        <v>4</v>
      </c>
      <c r="E13" s="80" t="s">
        <v>52</v>
      </c>
      <c r="F13" s="81"/>
      <c r="G13" s="82"/>
      <c r="H13" s="83">
        <f ca="1">H12/COUNT(A23:A74)</f>
        <v>0.40384615384615385</v>
      </c>
      <c r="J13" s="26"/>
      <c r="K13" s="32">
        <v>11</v>
      </c>
      <c r="L13" s="27">
        <v>10</v>
      </c>
      <c r="M13" s="29">
        <v>0.19230769230769232</v>
      </c>
      <c r="N13" s="33">
        <v>5.115384615384615</v>
      </c>
    </row>
    <row r="14" spans="1:20" ht="15" customHeight="1" x14ac:dyDescent="0.25">
      <c r="A14" s="75" t="s">
        <v>53</v>
      </c>
      <c r="B14" s="75"/>
      <c r="C14" s="75"/>
      <c r="D14" s="119">
        <f>D11</f>
        <v>8</v>
      </c>
      <c r="J14" s="26"/>
      <c r="K14" s="32">
        <v>12</v>
      </c>
      <c r="L14" s="27">
        <v>25</v>
      </c>
      <c r="M14" s="29">
        <v>0.48076923076923078</v>
      </c>
      <c r="N14" s="33">
        <v>6.0192307692307692</v>
      </c>
    </row>
    <row r="15" spans="1:20" ht="15" customHeight="1" x14ac:dyDescent="0.25">
      <c r="A15" s="26"/>
      <c r="B15" s="26"/>
      <c r="C15" s="26"/>
      <c r="D15" s="26"/>
      <c r="E15" s="84" t="s">
        <v>47</v>
      </c>
      <c r="F15" s="85"/>
      <c r="G15" s="96"/>
      <c r="H15" s="26"/>
      <c r="I15" s="26"/>
      <c r="K15" s="32">
        <v>13</v>
      </c>
      <c r="L15" s="27">
        <v>19</v>
      </c>
      <c r="M15" s="29">
        <v>0.36538461538461536</v>
      </c>
      <c r="N15" s="33">
        <v>5.5576923076923075</v>
      </c>
    </row>
    <row r="16" spans="1:20" ht="15" customHeight="1" x14ac:dyDescent="0.25">
      <c r="E16" s="76" t="s">
        <v>45</v>
      </c>
      <c r="F16" s="77"/>
      <c r="G16" s="86"/>
      <c r="H16" s="31">
        <f>L104</f>
        <v>14.98</v>
      </c>
      <c r="K16" s="32">
        <v>14</v>
      </c>
      <c r="L16" s="27">
        <v>14</v>
      </c>
      <c r="M16" s="29">
        <v>0.26923076923076922</v>
      </c>
      <c r="N16" s="33">
        <v>5.6730769230769234</v>
      </c>
    </row>
    <row r="17" spans="1:14" ht="15" customHeight="1" x14ac:dyDescent="0.25">
      <c r="A17" s="43"/>
      <c r="B17" s="43"/>
      <c r="C17" s="43"/>
      <c r="D17" s="41"/>
      <c r="E17" s="76" t="s">
        <v>44</v>
      </c>
      <c r="F17" s="77"/>
      <c r="G17" s="86"/>
      <c r="H17" s="31">
        <f>SUMPRODUCT(C6:I6,C7:I7)</f>
        <v>5.38</v>
      </c>
      <c r="K17" s="32">
        <v>15</v>
      </c>
      <c r="L17" s="27">
        <v>21</v>
      </c>
      <c r="M17" s="29">
        <v>0.40384615384615385</v>
      </c>
      <c r="N17" s="33">
        <v>6.0961538461538458</v>
      </c>
    </row>
    <row r="18" spans="1:14" ht="15" customHeight="1" x14ac:dyDescent="0.25">
      <c r="E18" s="76" t="s">
        <v>46</v>
      </c>
      <c r="F18" s="77"/>
      <c r="G18" s="86"/>
      <c r="H18" s="31">
        <f>N104</f>
        <v>5.2886538461538475</v>
      </c>
      <c r="K18" s="32">
        <v>16</v>
      </c>
      <c r="L18" s="27">
        <v>15</v>
      </c>
      <c r="M18" s="29">
        <v>0.28846153846153844</v>
      </c>
      <c r="N18" s="33">
        <v>5.0384615384615383</v>
      </c>
    </row>
    <row r="19" spans="1:14" ht="15" customHeight="1" x14ac:dyDescent="0.25">
      <c r="E19" s="76" t="s">
        <v>43</v>
      </c>
      <c r="F19" s="77"/>
      <c r="G19" s="86"/>
      <c r="H19" s="31">
        <f>STDEV(L3:L102)</f>
        <v>5.1207243805752887</v>
      </c>
      <c r="K19" s="32">
        <v>17</v>
      </c>
      <c r="L19" s="27">
        <v>12</v>
      </c>
      <c r="M19" s="29">
        <v>0.23076923076923078</v>
      </c>
      <c r="N19" s="33">
        <v>5.3076923076923075</v>
      </c>
    </row>
    <row r="20" spans="1:14" ht="15" customHeight="1" x14ac:dyDescent="0.25">
      <c r="K20" s="32">
        <v>18</v>
      </c>
      <c r="L20" s="27">
        <v>23</v>
      </c>
      <c r="M20" s="29">
        <v>0.44230769230769229</v>
      </c>
      <c r="N20" s="33">
        <v>5.865384615384615</v>
      </c>
    </row>
    <row r="21" spans="1:14" ht="15" customHeight="1" x14ac:dyDescent="0.25">
      <c r="A21" s="121" t="s">
        <v>33</v>
      </c>
      <c r="B21" s="121" t="s">
        <v>36</v>
      </c>
      <c r="C21" s="122" t="s">
        <v>29</v>
      </c>
      <c r="D21" s="122" t="s">
        <v>37</v>
      </c>
      <c r="E21" s="122" t="s">
        <v>49</v>
      </c>
      <c r="F21" s="122" t="s">
        <v>38</v>
      </c>
      <c r="G21" s="122" t="s">
        <v>56</v>
      </c>
      <c r="H21" s="48"/>
      <c r="I21" s="48"/>
      <c r="K21" s="32">
        <v>19</v>
      </c>
      <c r="L21" s="27">
        <v>16</v>
      </c>
      <c r="M21" s="29">
        <v>0.30769230769230771</v>
      </c>
      <c r="N21" s="33">
        <v>5.5961538461538458</v>
      </c>
    </row>
    <row r="22" spans="1:14" ht="15.75" x14ac:dyDescent="0.25">
      <c r="A22" s="93" t="s">
        <v>50</v>
      </c>
      <c r="B22" s="34"/>
      <c r="C22" s="34">
        <v>0</v>
      </c>
      <c r="D22" s="35">
        <v>0</v>
      </c>
      <c r="E22" s="35">
        <v>0</v>
      </c>
      <c r="F22" s="40"/>
      <c r="G22" s="101"/>
      <c r="H22" s="47"/>
      <c r="I22" s="47"/>
      <c r="K22" s="32">
        <v>20</v>
      </c>
      <c r="L22" s="27">
        <v>20</v>
      </c>
      <c r="M22" s="29">
        <v>0.38461538461538464</v>
      </c>
      <c r="N22" s="33">
        <v>5.9423076923076925</v>
      </c>
    </row>
    <row r="23" spans="1:14" ht="15" customHeight="1" x14ac:dyDescent="0.25">
      <c r="A23" s="94">
        <v>1</v>
      </c>
      <c r="B23" s="36">
        <f ca="1">RAND()</f>
        <v>0.74178288525049108</v>
      </c>
      <c r="C23" s="27">
        <f t="shared" ref="C23:C54" ca="1" si="2">HLOOKUP(B23,$C$5:$I$6,2,TRUE)</f>
        <v>7</v>
      </c>
      <c r="D23" s="27">
        <f ca="1">C23+E22</f>
        <v>7</v>
      </c>
      <c r="E23" s="27">
        <f ca="1">IF(D23&gt;$D$14,D23-$D$14,0)</f>
        <v>0</v>
      </c>
      <c r="F23" s="27" t="b">
        <f t="shared" ref="F23:F54" ca="1" si="3">IF(E23&gt;0,TRUE,FALSE)</f>
        <v>0</v>
      </c>
      <c r="G23" s="101">
        <f ca="1">E23*1000</f>
        <v>0</v>
      </c>
      <c r="H23" s="47"/>
      <c r="I23" s="47"/>
      <c r="K23" s="32">
        <v>21</v>
      </c>
      <c r="L23" s="27">
        <v>9</v>
      </c>
      <c r="M23" s="29">
        <v>0.17307692307692307</v>
      </c>
      <c r="N23" s="33">
        <v>4.6538461538461542</v>
      </c>
    </row>
    <row r="24" spans="1:14" ht="15" customHeight="1" x14ac:dyDescent="0.25">
      <c r="A24" s="94">
        <v>2</v>
      </c>
      <c r="B24" s="36">
        <f t="shared" ref="B24:B74" ca="1" si="4">RAND()</f>
        <v>0.48370339804096496</v>
      </c>
      <c r="C24" s="27">
        <f t="shared" ca="1" si="2"/>
        <v>4</v>
      </c>
      <c r="D24" s="27">
        <f t="shared" ref="D24:D74" ca="1" si="5">C24+E23</f>
        <v>4</v>
      </c>
      <c r="E24" s="27">
        <f t="shared" ref="E24:E54" ca="1" si="6">IF(D24&gt;$D$14,D24-$D$14,0)</f>
        <v>0</v>
      </c>
      <c r="F24" s="27" t="b">
        <f t="shared" ca="1" si="3"/>
        <v>0</v>
      </c>
      <c r="G24" s="101">
        <f t="shared" ref="G24:G74" ca="1" si="7">E24*1000</f>
        <v>0</v>
      </c>
      <c r="H24" s="47"/>
      <c r="I24" s="47"/>
      <c r="K24" s="32">
        <v>22</v>
      </c>
      <c r="L24" s="27">
        <v>16</v>
      </c>
      <c r="M24" s="29">
        <v>0.30769230769230771</v>
      </c>
      <c r="N24" s="33">
        <v>5.134615384615385</v>
      </c>
    </row>
    <row r="25" spans="1:14" ht="15" customHeight="1" x14ac:dyDescent="0.25">
      <c r="A25" s="94">
        <v>3</v>
      </c>
      <c r="B25" s="36">
        <f t="shared" ca="1" si="4"/>
        <v>0.92705010281273459</v>
      </c>
      <c r="C25" s="27">
        <f t="shared" ca="1" si="2"/>
        <v>13</v>
      </c>
      <c r="D25" s="27">
        <f t="shared" ca="1" si="5"/>
        <v>13</v>
      </c>
      <c r="E25" s="27">
        <f t="shared" ca="1" si="6"/>
        <v>5</v>
      </c>
      <c r="F25" s="27" t="b">
        <f t="shared" ca="1" si="3"/>
        <v>1</v>
      </c>
      <c r="G25" s="101">
        <f t="shared" ca="1" si="7"/>
        <v>5000</v>
      </c>
      <c r="H25" s="47"/>
      <c r="I25" s="47"/>
      <c r="K25" s="32">
        <v>23</v>
      </c>
      <c r="L25" s="27">
        <v>16</v>
      </c>
      <c r="M25" s="29">
        <v>0.30769230769230771</v>
      </c>
      <c r="N25" s="33">
        <v>5.2692307692307692</v>
      </c>
    </row>
    <row r="26" spans="1:14" ht="15" customHeight="1" x14ac:dyDescent="0.25">
      <c r="A26" s="94">
        <v>4</v>
      </c>
      <c r="B26" s="36">
        <f t="shared" ca="1" si="4"/>
        <v>0.54857090933023922</v>
      </c>
      <c r="C26" s="27">
        <f t="shared" ca="1" si="2"/>
        <v>4</v>
      </c>
      <c r="D26" s="27">
        <f t="shared" ca="1" si="5"/>
        <v>9</v>
      </c>
      <c r="E26" s="27">
        <f t="shared" ca="1" si="6"/>
        <v>1</v>
      </c>
      <c r="F26" s="27" t="b">
        <f t="shared" ca="1" si="3"/>
        <v>1</v>
      </c>
      <c r="G26" s="101">
        <f t="shared" ca="1" si="7"/>
        <v>1000</v>
      </c>
      <c r="H26" s="47"/>
      <c r="I26" s="47"/>
      <c r="K26" s="32">
        <v>24</v>
      </c>
      <c r="L26" s="27">
        <v>13</v>
      </c>
      <c r="M26" s="29">
        <v>0.25</v>
      </c>
      <c r="N26" s="33">
        <v>5.0769230769230766</v>
      </c>
    </row>
    <row r="27" spans="1:14" ht="15" hidden="1" customHeight="1" x14ac:dyDescent="0.25">
      <c r="A27" s="94">
        <v>5</v>
      </c>
      <c r="B27" s="36">
        <f t="shared" ca="1" si="4"/>
        <v>9.9796713533666703E-2</v>
      </c>
      <c r="C27" s="27">
        <f t="shared" ca="1" si="2"/>
        <v>1</v>
      </c>
      <c r="D27" s="27">
        <f t="shared" ca="1" si="5"/>
        <v>2</v>
      </c>
      <c r="E27" s="27">
        <f t="shared" ca="1" si="6"/>
        <v>0</v>
      </c>
      <c r="F27" s="27" t="b">
        <f t="shared" ca="1" si="3"/>
        <v>0</v>
      </c>
      <c r="G27" s="101">
        <f t="shared" ca="1" si="7"/>
        <v>0</v>
      </c>
      <c r="H27" s="47"/>
      <c r="I27" s="47"/>
      <c r="J27" s="26"/>
      <c r="K27" s="32">
        <v>25</v>
      </c>
      <c r="L27" s="27">
        <v>14</v>
      </c>
      <c r="M27" s="29">
        <v>0.26923076923076922</v>
      </c>
      <c r="N27" s="33">
        <v>5.3269230769230766</v>
      </c>
    </row>
    <row r="28" spans="1:14" ht="15" hidden="1" customHeight="1" x14ac:dyDescent="0.25">
      <c r="A28" s="94">
        <v>6</v>
      </c>
      <c r="B28" s="36">
        <f t="shared" ca="1" si="4"/>
        <v>0.47678012500974309</v>
      </c>
      <c r="C28" s="27">
        <f t="shared" ca="1" si="2"/>
        <v>4</v>
      </c>
      <c r="D28" s="27">
        <f t="shared" ca="1" si="5"/>
        <v>4</v>
      </c>
      <c r="E28" s="27">
        <f t="shared" ca="1" si="6"/>
        <v>0</v>
      </c>
      <c r="F28" s="27" t="b">
        <f t="shared" ca="1" si="3"/>
        <v>0</v>
      </c>
      <c r="G28" s="101">
        <f t="shared" ca="1" si="7"/>
        <v>0</v>
      </c>
      <c r="H28" s="47"/>
      <c r="I28" s="47"/>
      <c r="J28" s="26"/>
      <c r="K28" s="32">
        <v>26</v>
      </c>
      <c r="L28" s="27">
        <v>13</v>
      </c>
      <c r="M28" s="29">
        <v>0.25</v>
      </c>
      <c r="N28" s="33">
        <v>5.134615384615385</v>
      </c>
    </row>
    <row r="29" spans="1:14" ht="15" hidden="1" customHeight="1" x14ac:dyDescent="0.25">
      <c r="A29" s="94">
        <v>7</v>
      </c>
      <c r="B29" s="36">
        <f t="shared" ca="1" si="4"/>
        <v>0.94291527293752742</v>
      </c>
      <c r="C29" s="27">
        <f t="shared" ca="1" si="2"/>
        <v>13</v>
      </c>
      <c r="D29" s="27">
        <f t="shared" ca="1" si="5"/>
        <v>13</v>
      </c>
      <c r="E29" s="27">
        <f t="shared" ca="1" si="6"/>
        <v>5</v>
      </c>
      <c r="F29" s="27" t="b">
        <f t="shared" ca="1" si="3"/>
        <v>1</v>
      </c>
      <c r="G29" s="101">
        <f t="shared" ca="1" si="7"/>
        <v>5000</v>
      </c>
      <c r="H29" s="47"/>
      <c r="I29" s="47"/>
      <c r="J29" s="26"/>
      <c r="K29" s="32">
        <v>27</v>
      </c>
      <c r="L29" s="27">
        <v>13</v>
      </c>
      <c r="M29" s="29">
        <v>0.25</v>
      </c>
      <c r="N29" s="33">
        <v>5.2307692307692308</v>
      </c>
    </row>
    <row r="30" spans="1:14" ht="15" hidden="1" customHeight="1" x14ac:dyDescent="0.25">
      <c r="A30" s="94">
        <v>8</v>
      </c>
      <c r="B30" s="36">
        <f t="shared" ca="1" si="4"/>
        <v>0.92921122997700967</v>
      </c>
      <c r="C30" s="27">
        <f t="shared" ca="1" si="2"/>
        <v>13</v>
      </c>
      <c r="D30" s="27">
        <f t="shared" ca="1" si="5"/>
        <v>18</v>
      </c>
      <c r="E30" s="27">
        <f t="shared" ca="1" si="6"/>
        <v>10</v>
      </c>
      <c r="F30" s="27" t="b">
        <f t="shared" ca="1" si="3"/>
        <v>1</v>
      </c>
      <c r="G30" s="101">
        <f t="shared" ca="1" si="7"/>
        <v>10000</v>
      </c>
      <c r="H30" s="47"/>
      <c r="I30" s="47"/>
      <c r="J30" s="26"/>
      <c r="K30" s="32">
        <v>28</v>
      </c>
      <c r="L30" s="27">
        <v>6</v>
      </c>
      <c r="M30" s="29">
        <v>0.11538461538461539</v>
      </c>
      <c r="N30" s="33">
        <v>4.5384615384615383</v>
      </c>
    </row>
    <row r="31" spans="1:14" ht="15" hidden="1" customHeight="1" x14ac:dyDescent="0.25">
      <c r="A31" s="94">
        <v>9</v>
      </c>
      <c r="B31" s="36">
        <f t="shared" ca="1" si="4"/>
        <v>0.97836104576607508</v>
      </c>
      <c r="C31" s="27">
        <f t="shared" ca="1" si="2"/>
        <v>17</v>
      </c>
      <c r="D31" s="27">
        <f t="shared" ca="1" si="5"/>
        <v>27</v>
      </c>
      <c r="E31" s="27">
        <f t="shared" ca="1" si="6"/>
        <v>19</v>
      </c>
      <c r="F31" s="27" t="b">
        <f t="shared" ca="1" si="3"/>
        <v>1</v>
      </c>
      <c r="G31" s="101">
        <f t="shared" ca="1" si="7"/>
        <v>19000</v>
      </c>
      <c r="H31" s="47"/>
      <c r="I31" s="47"/>
      <c r="J31" s="26"/>
      <c r="K31" s="32">
        <v>29</v>
      </c>
      <c r="L31" s="27">
        <v>13</v>
      </c>
      <c r="M31" s="29">
        <v>0.25</v>
      </c>
      <c r="N31" s="33">
        <v>4.8076923076923075</v>
      </c>
    </row>
    <row r="32" spans="1:14" ht="15" hidden="1" customHeight="1" x14ac:dyDescent="0.25">
      <c r="A32" s="94">
        <v>10</v>
      </c>
      <c r="B32" s="36">
        <f t="shared" ca="1" si="4"/>
        <v>0.16761720693422311</v>
      </c>
      <c r="C32" s="27">
        <f t="shared" ca="1" si="2"/>
        <v>2</v>
      </c>
      <c r="D32" s="27">
        <f t="shared" ca="1" si="5"/>
        <v>21</v>
      </c>
      <c r="E32" s="27">
        <f t="shared" ca="1" si="6"/>
        <v>13</v>
      </c>
      <c r="F32" s="27" t="b">
        <f t="shared" ca="1" si="3"/>
        <v>1</v>
      </c>
      <c r="G32" s="101">
        <f t="shared" ca="1" si="7"/>
        <v>13000</v>
      </c>
      <c r="H32" s="47"/>
      <c r="I32" s="47"/>
      <c r="J32" s="26"/>
      <c r="K32" s="32">
        <v>30</v>
      </c>
      <c r="L32" s="27">
        <v>13</v>
      </c>
      <c r="M32" s="29">
        <v>0.25</v>
      </c>
      <c r="N32" s="33">
        <v>5.0961538461538458</v>
      </c>
    </row>
    <row r="33" spans="1:14" ht="15" hidden="1" customHeight="1" x14ac:dyDescent="0.25">
      <c r="A33" s="94">
        <v>11</v>
      </c>
      <c r="B33" s="36">
        <f t="shared" ca="1" si="4"/>
        <v>0.16491472413517372</v>
      </c>
      <c r="C33" s="27">
        <f t="shared" ca="1" si="2"/>
        <v>2</v>
      </c>
      <c r="D33" s="27">
        <f t="shared" ca="1" si="5"/>
        <v>15</v>
      </c>
      <c r="E33" s="27">
        <f t="shared" ca="1" si="6"/>
        <v>7</v>
      </c>
      <c r="F33" s="27" t="b">
        <f t="shared" ca="1" si="3"/>
        <v>1</v>
      </c>
      <c r="G33" s="101">
        <f t="shared" ca="1" si="7"/>
        <v>7000</v>
      </c>
      <c r="H33" s="47"/>
      <c r="I33" s="47"/>
      <c r="J33" s="26"/>
      <c r="K33" s="32">
        <v>31</v>
      </c>
      <c r="L33" s="27">
        <v>23</v>
      </c>
      <c r="M33" s="29">
        <v>0.44230769230769229</v>
      </c>
      <c r="N33" s="33">
        <v>5.6730769230769234</v>
      </c>
    </row>
    <row r="34" spans="1:14" ht="15" hidden="1" customHeight="1" x14ac:dyDescent="0.25">
      <c r="A34" s="94">
        <v>12</v>
      </c>
      <c r="B34" s="36">
        <f t="shared" ca="1" si="4"/>
        <v>0.61786775049357623</v>
      </c>
      <c r="C34" s="27">
        <f t="shared" ca="1" si="2"/>
        <v>7</v>
      </c>
      <c r="D34" s="27">
        <f t="shared" ca="1" si="5"/>
        <v>14</v>
      </c>
      <c r="E34" s="27">
        <f t="shared" ca="1" si="6"/>
        <v>6</v>
      </c>
      <c r="F34" s="27" t="b">
        <f t="shared" ca="1" si="3"/>
        <v>1</v>
      </c>
      <c r="G34" s="101">
        <f t="shared" ca="1" si="7"/>
        <v>6000</v>
      </c>
      <c r="H34" s="47"/>
      <c r="I34" s="47"/>
      <c r="J34" s="26"/>
      <c r="K34" s="32">
        <v>32</v>
      </c>
      <c r="L34" s="27">
        <v>14</v>
      </c>
      <c r="M34" s="29">
        <v>0.26923076923076922</v>
      </c>
      <c r="N34" s="33">
        <v>4.884615384615385</v>
      </c>
    </row>
    <row r="35" spans="1:14" ht="15" hidden="1" customHeight="1" x14ac:dyDescent="0.25">
      <c r="A35" s="94">
        <v>13</v>
      </c>
      <c r="B35" s="36">
        <f t="shared" ca="1" si="4"/>
        <v>7.1775410597638922E-2</v>
      </c>
      <c r="C35" s="27">
        <f t="shared" ca="1" si="2"/>
        <v>1</v>
      </c>
      <c r="D35" s="27">
        <f t="shared" ca="1" si="5"/>
        <v>7</v>
      </c>
      <c r="E35" s="27">
        <f t="shared" ca="1" si="6"/>
        <v>0</v>
      </c>
      <c r="F35" s="27" t="b">
        <f t="shared" ca="1" si="3"/>
        <v>0</v>
      </c>
      <c r="G35" s="101">
        <f t="shared" ca="1" si="7"/>
        <v>0</v>
      </c>
      <c r="H35" s="47"/>
      <c r="I35" s="47"/>
      <c r="J35" s="26"/>
      <c r="K35" s="32">
        <v>33</v>
      </c>
      <c r="L35" s="27">
        <v>14</v>
      </c>
      <c r="M35" s="29">
        <v>0.26923076923076922</v>
      </c>
      <c r="N35" s="33">
        <v>5.2115384615384617</v>
      </c>
    </row>
    <row r="36" spans="1:14" ht="15" hidden="1" customHeight="1" x14ac:dyDescent="0.25">
      <c r="A36" s="94">
        <v>14</v>
      </c>
      <c r="B36" s="36">
        <f t="shared" ca="1" si="4"/>
        <v>0.8904581688710137</v>
      </c>
      <c r="C36" s="27">
        <f t="shared" ca="1" si="2"/>
        <v>9</v>
      </c>
      <c r="D36" s="27">
        <f t="shared" ca="1" si="5"/>
        <v>9</v>
      </c>
      <c r="E36" s="27">
        <f t="shared" ca="1" si="6"/>
        <v>1</v>
      </c>
      <c r="F36" s="27" t="b">
        <f t="shared" ca="1" si="3"/>
        <v>1</v>
      </c>
      <c r="G36" s="101">
        <f t="shared" ca="1" si="7"/>
        <v>1000</v>
      </c>
      <c r="H36" s="47"/>
      <c r="I36" s="47"/>
      <c r="J36" s="26"/>
      <c r="K36" s="32">
        <v>34</v>
      </c>
      <c r="L36" s="27">
        <v>22</v>
      </c>
      <c r="M36" s="29">
        <v>0.42307692307692307</v>
      </c>
      <c r="N36" s="33">
        <v>6.0192307692307692</v>
      </c>
    </row>
    <row r="37" spans="1:14" ht="15" hidden="1" customHeight="1" x14ac:dyDescent="0.25">
      <c r="A37" s="94">
        <v>15</v>
      </c>
      <c r="B37" s="36">
        <f t="shared" ca="1" si="4"/>
        <v>2.1482278090079743E-2</v>
      </c>
      <c r="C37" s="27">
        <f t="shared" ca="1" si="2"/>
        <v>1</v>
      </c>
      <c r="D37" s="27">
        <f t="shared" ca="1" si="5"/>
        <v>2</v>
      </c>
      <c r="E37" s="27">
        <f t="shared" ca="1" si="6"/>
        <v>0</v>
      </c>
      <c r="F37" s="27" t="b">
        <f t="shared" ca="1" si="3"/>
        <v>0</v>
      </c>
      <c r="G37" s="101">
        <f t="shared" ca="1" si="7"/>
        <v>0</v>
      </c>
      <c r="H37" s="47"/>
      <c r="I37" s="47"/>
      <c r="J37" s="26"/>
      <c r="K37" s="32">
        <v>35</v>
      </c>
      <c r="L37" s="27">
        <v>14</v>
      </c>
      <c r="M37" s="29">
        <v>0.26923076923076922</v>
      </c>
      <c r="N37" s="33">
        <v>5.25</v>
      </c>
    </row>
    <row r="38" spans="1:14" ht="15" hidden="1" customHeight="1" x14ac:dyDescent="0.25">
      <c r="A38" s="94">
        <v>16</v>
      </c>
      <c r="B38" s="36">
        <f t="shared" ca="1" si="4"/>
        <v>6.9381957632387081E-2</v>
      </c>
      <c r="C38" s="27">
        <f t="shared" ca="1" si="2"/>
        <v>1</v>
      </c>
      <c r="D38" s="27">
        <f t="shared" ca="1" si="5"/>
        <v>1</v>
      </c>
      <c r="E38" s="27">
        <f t="shared" ca="1" si="6"/>
        <v>0</v>
      </c>
      <c r="F38" s="27" t="b">
        <f t="shared" ca="1" si="3"/>
        <v>0</v>
      </c>
      <c r="G38" s="101">
        <f t="shared" ca="1" si="7"/>
        <v>0</v>
      </c>
      <c r="H38" s="47"/>
      <c r="I38" s="47"/>
      <c r="J38" s="26"/>
      <c r="K38" s="32">
        <v>36</v>
      </c>
      <c r="L38" s="27">
        <v>12</v>
      </c>
      <c r="M38" s="29">
        <v>0.23076923076923078</v>
      </c>
      <c r="N38" s="33">
        <v>5.0961538461538458</v>
      </c>
    </row>
    <row r="39" spans="1:14" ht="15" hidden="1" customHeight="1" x14ac:dyDescent="0.25">
      <c r="A39" s="94">
        <v>17</v>
      </c>
      <c r="B39" s="36">
        <f t="shared" ca="1" si="4"/>
        <v>0.57455870483534732</v>
      </c>
      <c r="C39" s="27">
        <f t="shared" ca="1" si="2"/>
        <v>4</v>
      </c>
      <c r="D39" s="27">
        <f t="shared" ca="1" si="5"/>
        <v>4</v>
      </c>
      <c r="E39" s="27">
        <f t="shared" ca="1" si="6"/>
        <v>0</v>
      </c>
      <c r="F39" s="27" t="b">
        <f t="shared" ca="1" si="3"/>
        <v>0</v>
      </c>
      <c r="G39" s="101">
        <f t="shared" ca="1" si="7"/>
        <v>0</v>
      </c>
      <c r="H39" s="47"/>
      <c r="I39" s="47"/>
      <c r="J39" s="26"/>
      <c r="K39" s="32">
        <v>37</v>
      </c>
      <c r="L39" s="27">
        <v>10</v>
      </c>
      <c r="M39" s="29">
        <v>0.19230769230769232</v>
      </c>
      <c r="N39" s="33">
        <v>5.2307692307692308</v>
      </c>
    </row>
    <row r="40" spans="1:14" ht="15" hidden="1" customHeight="1" x14ac:dyDescent="0.25">
      <c r="A40" s="94">
        <v>18</v>
      </c>
      <c r="B40" s="36">
        <f t="shared" ca="1" si="4"/>
        <v>0.53961760462679109</v>
      </c>
      <c r="C40" s="27">
        <f t="shared" ca="1" si="2"/>
        <v>4</v>
      </c>
      <c r="D40" s="27">
        <f t="shared" ca="1" si="5"/>
        <v>4</v>
      </c>
      <c r="E40" s="27">
        <f t="shared" ca="1" si="6"/>
        <v>0</v>
      </c>
      <c r="F40" s="27" t="b">
        <f t="shared" ca="1" si="3"/>
        <v>0</v>
      </c>
      <c r="G40" s="101">
        <f t="shared" ca="1" si="7"/>
        <v>0</v>
      </c>
      <c r="H40" s="47"/>
      <c r="I40" s="47"/>
      <c r="J40" s="26"/>
      <c r="K40" s="32">
        <v>38</v>
      </c>
      <c r="L40" s="27">
        <v>10</v>
      </c>
      <c r="M40" s="29">
        <v>0.19230769230769232</v>
      </c>
      <c r="N40" s="33">
        <v>4.5576923076923075</v>
      </c>
    </row>
    <row r="41" spans="1:14" ht="15" hidden="1" customHeight="1" x14ac:dyDescent="0.25">
      <c r="A41" s="94">
        <v>19</v>
      </c>
      <c r="B41" s="36">
        <f t="shared" ca="1" si="4"/>
        <v>0.53782562722062666</v>
      </c>
      <c r="C41" s="27">
        <f t="shared" ca="1" si="2"/>
        <v>4</v>
      </c>
      <c r="D41" s="27">
        <f t="shared" ca="1" si="5"/>
        <v>4</v>
      </c>
      <c r="E41" s="27">
        <f t="shared" ca="1" si="6"/>
        <v>0</v>
      </c>
      <c r="F41" s="27" t="b">
        <f t="shared" ca="1" si="3"/>
        <v>0</v>
      </c>
      <c r="G41" s="101">
        <f t="shared" ca="1" si="7"/>
        <v>0</v>
      </c>
      <c r="H41" s="47"/>
      <c r="I41" s="47"/>
      <c r="J41" s="26"/>
      <c r="K41" s="32">
        <v>39</v>
      </c>
      <c r="L41" s="27">
        <v>17</v>
      </c>
      <c r="M41" s="29">
        <v>0.32692307692307693</v>
      </c>
      <c r="N41" s="33">
        <v>5.134615384615385</v>
      </c>
    </row>
    <row r="42" spans="1:14" ht="15" hidden="1" customHeight="1" x14ac:dyDescent="0.25">
      <c r="A42" s="94">
        <v>20</v>
      </c>
      <c r="B42" s="36">
        <f t="shared" ca="1" si="4"/>
        <v>0.90516879557925745</v>
      </c>
      <c r="C42" s="27">
        <f t="shared" ca="1" si="2"/>
        <v>9</v>
      </c>
      <c r="D42" s="27">
        <f t="shared" ca="1" si="5"/>
        <v>9</v>
      </c>
      <c r="E42" s="27">
        <f t="shared" ca="1" si="6"/>
        <v>1</v>
      </c>
      <c r="F42" s="27" t="b">
        <f t="shared" ca="1" si="3"/>
        <v>1</v>
      </c>
      <c r="G42" s="101">
        <f t="shared" ca="1" si="7"/>
        <v>1000</v>
      </c>
      <c r="H42" s="47"/>
      <c r="I42" s="47"/>
      <c r="J42" s="26"/>
      <c r="K42" s="32">
        <v>40</v>
      </c>
      <c r="L42" s="27">
        <v>11</v>
      </c>
      <c r="M42" s="29">
        <v>0.21153846153846154</v>
      </c>
      <c r="N42" s="33">
        <v>4.865384615384615</v>
      </c>
    </row>
    <row r="43" spans="1:14" ht="15" hidden="1" customHeight="1" x14ac:dyDescent="0.25">
      <c r="A43" s="94">
        <v>21</v>
      </c>
      <c r="B43" s="36">
        <f t="shared" ca="1" si="4"/>
        <v>0.33860590218319886</v>
      </c>
      <c r="C43" s="27">
        <f t="shared" ca="1" si="2"/>
        <v>4</v>
      </c>
      <c r="D43" s="27">
        <f t="shared" ca="1" si="5"/>
        <v>5</v>
      </c>
      <c r="E43" s="27">
        <f t="shared" ca="1" si="6"/>
        <v>0</v>
      </c>
      <c r="F43" s="27" t="b">
        <f t="shared" ca="1" si="3"/>
        <v>0</v>
      </c>
      <c r="G43" s="101">
        <f t="shared" ca="1" si="7"/>
        <v>0</v>
      </c>
      <c r="H43" s="47"/>
      <c r="I43" s="47"/>
      <c r="J43" s="26"/>
      <c r="K43" s="32">
        <v>41</v>
      </c>
      <c r="L43" s="27">
        <v>21</v>
      </c>
      <c r="M43" s="29">
        <v>0.40384615384615385</v>
      </c>
      <c r="N43" s="33">
        <v>5.75</v>
      </c>
    </row>
    <row r="44" spans="1:14" ht="15" hidden="1" customHeight="1" x14ac:dyDescent="0.25">
      <c r="A44" s="94">
        <v>22</v>
      </c>
      <c r="B44" s="36">
        <f t="shared" ca="1" si="4"/>
        <v>4.7633771738305297E-2</v>
      </c>
      <c r="C44" s="27">
        <f t="shared" ca="1" si="2"/>
        <v>1</v>
      </c>
      <c r="D44" s="27">
        <f t="shared" ca="1" si="5"/>
        <v>1</v>
      </c>
      <c r="E44" s="27">
        <f t="shared" ca="1" si="6"/>
        <v>0</v>
      </c>
      <c r="F44" s="27" t="b">
        <f t="shared" ca="1" si="3"/>
        <v>0</v>
      </c>
      <c r="G44" s="101">
        <f t="shared" ca="1" si="7"/>
        <v>0</v>
      </c>
      <c r="H44" s="47"/>
      <c r="I44" s="47"/>
      <c r="J44" s="26"/>
      <c r="K44" s="32">
        <v>42</v>
      </c>
      <c r="L44" s="27">
        <v>15</v>
      </c>
      <c r="M44" s="29">
        <v>0.28846153846153844</v>
      </c>
      <c r="N44" s="33">
        <v>5.134615384615385</v>
      </c>
    </row>
    <row r="45" spans="1:14" ht="15" hidden="1" customHeight="1" x14ac:dyDescent="0.25">
      <c r="A45" s="94">
        <v>23</v>
      </c>
      <c r="B45" s="36">
        <f t="shared" ca="1" si="4"/>
        <v>0.60400755980667342</v>
      </c>
      <c r="C45" s="27">
        <f t="shared" ca="1" si="2"/>
        <v>7</v>
      </c>
      <c r="D45" s="27">
        <f t="shared" ca="1" si="5"/>
        <v>7</v>
      </c>
      <c r="E45" s="27">
        <f t="shared" ca="1" si="6"/>
        <v>0</v>
      </c>
      <c r="F45" s="27" t="b">
        <f t="shared" ca="1" si="3"/>
        <v>0</v>
      </c>
      <c r="G45" s="101">
        <f t="shared" ca="1" si="7"/>
        <v>0</v>
      </c>
      <c r="H45" s="47"/>
      <c r="I45" s="47"/>
      <c r="J45" s="26"/>
      <c r="K45" s="32">
        <v>43</v>
      </c>
      <c r="L45" s="27">
        <v>15</v>
      </c>
      <c r="M45" s="29">
        <v>0.28846153846153844</v>
      </c>
      <c r="N45" s="33">
        <v>4.884615384615385</v>
      </c>
    </row>
    <row r="46" spans="1:14" ht="15" hidden="1" customHeight="1" x14ac:dyDescent="0.25">
      <c r="A46" s="94">
        <v>24</v>
      </c>
      <c r="B46" s="36">
        <f t="shared" ca="1" si="4"/>
        <v>0.53466675558574606</v>
      </c>
      <c r="C46" s="27">
        <f t="shared" ca="1" si="2"/>
        <v>4</v>
      </c>
      <c r="D46" s="27">
        <f t="shared" ca="1" si="5"/>
        <v>4</v>
      </c>
      <c r="E46" s="27">
        <f t="shared" ca="1" si="6"/>
        <v>0</v>
      </c>
      <c r="F46" s="27" t="b">
        <f t="shared" ca="1" si="3"/>
        <v>0</v>
      </c>
      <c r="G46" s="101">
        <f t="shared" ca="1" si="7"/>
        <v>0</v>
      </c>
      <c r="H46" s="47"/>
      <c r="I46" s="47"/>
      <c r="J46" s="26"/>
      <c r="K46" s="32">
        <v>44</v>
      </c>
      <c r="L46" s="27">
        <v>17</v>
      </c>
      <c r="M46" s="29">
        <v>0.32692307692307693</v>
      </c>
      <c r="N46" s="33">
        <v>5.2884615384615383</v>
      </c>
    </row>
    <row r="47" spans="1:14" ht="15" hidden="1" customHeight="1" x14ac:dyDescent="0.25">
      <c r="A47" s="94">
        <v>25</v>
      </c>
      <c r="B47" s="36">
        <f t="shared" ca="1" si="4"/>
        <v>0.5283319778188138</v>
      </c>
      <c r="C47" s="27">
        <f t="shared" ca="1" si="2"/>
        <v>4</v>
      </c>
      <c r="D47" s="27">
        <f t="shared" ca="1" si="5"/>
        <v>4</v>
      </c>
      <c r="E47" s="27">
        <f t="shared" ca="1" si="6"/>
        <v>0</v>
      </c>
      <c r="F47" s="27" t="b">
        <f t="shared" ca="1" si="3"/>
        <v>0</v>
      </c>
      <c r="G47" s="101">
        <f t="shared" ca="1" si="7"/>
        <v>0</v>
      </c>
      <c r="H47" s="47"/>
      <c r="I47" s="47"/>
      <c r="J47" s="26"/>
      <c r="K47" s="32">
        <v>45</v>
      </c>
      <c r="L47" s="27">
        <v>10</v>
      </c>
      <c r="M47" s="29">
        <v>0.19230769230769232</v>
      </c>
      <c r="N47" s="33">
        <v>4.9038461538461542</v>
      </c>
    </row>
    <row r="48" spans="1:14" ht="15" hidden="1" customHeight="1" x14ac:dyDescent="0.25">
      <c r="A48" s="94">
        <v>26</v>
      </c>
      <c r="B48" s="36">
        <f t="shared" ca="1" si="4"/>
        <v>0.7786735517298059</v>
      </c>
      <c r="C48" s="27">
        <f t="shared" ca="1" si="2"/>
        <v>7</v>
      </c>
      <c r="D48" s="27">
        <f t="shared" ca="1" si="5"/>
        <v>7</v>
      </c>
      <c r="E48" s="27">
        <f t="shared" ca="1" si="6"/>
        <v>0</v>
      </c>
      <c r="F48" s="27" t="b">
        <f t="shared" ca="1" si="3"/>
        <v>0</v>
      </c>
      <c r="G48" s="101">
        <f t="shared" ca="1" si="7"/>
        <v>0</v>
      </c>
      <c r="H48" s="47"/>
      <c r="I48" s="47"/>
      <c r="J48" s="26"/>
      <c r="K48" s="32">
        <v>46</v>
      </c>
      <c r="L48" s="27">
        <v>19</v>
      </c>
      <c r="M48" s="29">
        <v>0.36538461538461536</v>
      </c>
      <c r="N48" s="33">
        <v>5.7884615384615383</v>
      </c>
    </row>
    <row r="49" spans="1:14" ht="15" hidden="1" customHeight="1" x14ac:dyDescent="0.25">
      <c r="A49" s="94">
        <v>27</v>
      </c>
      <c r="B49" s="36">
        <f t="shared" ca="1" si="4"/>
        <v>0.76720013755253691</v>
      </c>
      <c r="C49" s="27">
        <f t="shared" ca="1" si="2"/>
        <v>7</v>
      </c>
      <c r="D49" s="27">
        <f t="shared" ca="1" si="5"/>
        <v>7</v>
      </c>
      <c r="E49" s="27">
        <f t="shared" ca="1" si="6"/>
        <v>0</v>
      </c>
      <c r="F49" s="27" t="b">
        <f t="shared" ca="1" si="3"/>
        <v>0</v>
      </c>
      <c r="G49" s="101">
        <f t="shared" ca="1" si="7"/>
        <v>0</v>
      </c>
      <c r="H49" s="47"/>
      <c r="I49" s="47"/>
      <c r="J49" s="26"/>
      <c r="K49" s="32">
        <v>47</v>
      </c>
      <c r="L49" s="27">
        <v>15</v>
      </c>
      <c r="M49" s="29">
        <v>0.28846153846153844</v>
      </c>
      <c r="N49" s="33">
        <v>5.7884615384615383</v>
      </c>
    </row>
    <row r="50" spans="1:14" ht="15" hidden="1" customHeight="1" x14ac:dyDescent="0.25">
      <c r="A50" s="94">
        <v>28</v>
      </c>
      <c r="B50" s="36">
        <f t="shared" ca="1" si="4"/>
        <v>0.64262932766776248</v>
      </c>
      <c r="C50" s="27">
        <f t="shared" ca="1" si="2"/>
        <v>7</v>
      </c>
      <c r="D50" s="27">
        <f t="shared" ca="1" si="5"/>
        <v>7</v>
      </c>
      <c r="E50" s="27">
        <f t="shared" ca="1" si="6"/>
        <v>0</v>
      </c>
      <c r="F50" s="27" t="b">
        <f t="shared" ca="1" si="3"/>
        <v>0</v>
      </c>
      <c r="G50" s="101">
        <f t="shared" ca="1" si="7"/>
        <v>0</v>
      </c>
      <c r="H50" s="47"/>
      <c r="I50" s="47"/>
      <c r="J50" s="26"/>
      <c r="K50" s="32">
        <v>48</v>
      </c>
      <c r="L50" s="27">
        <v>9</v>
      </c>
      <c r="M50" s="29">
        <v>0.17307692307692307</v>
      </c>
      <c r="N50" s="33">
        <v>4.9038461538461542</v>
      </c>
    </row>
    <row r="51" spans="1:14" ht="15" hidden="1" customHeight="1" x14ac:dyDescent="0.25">
      <c r="A51" s="94">
        <v>29</v>
      </c>
      <c r="B51" s="36">
        <f t="shared" ca="1" si="4"/>
        <v>0.96264129332765946</v>
      </c>
      <c r="C51" s="27">
        <f t="shared" ca="1" si="2"/>
        <v>13</v>
      </c>
      <c r="D51" s="27">
        <f t="shared" ca="1" si="5"/>
        <v>13</v>
      </c>
      <c r="E51" s="27">
        <f t="shared" ca="1" si="6"/>
        <v>5</v>
      </c>
      <c r="F51" s="27" t="b">
        <f t="shared" ca="1" si="3"/>
        <v>1</v>
      </c>
      <c r="G51" s="101">
        <f t="shared" ca="1" si="7"/>
        <v>5000</v>
      </c>
      <c r="H51" s="47"/>
      <c r="I51" s="47"/>
      <c r="J51" s="26"/>
      <c r="K51" s="32">
        <v>49</v>
      </c>
      <c r="L51" s="27">
        <v>28</v>
      </c>
      <c r="M51" s="29">
        <v>0.53846153846153844</v>
      </c>
      <c r="N51" s="33">
        <v>6.4807692307692308</v>
      </c>
    </row>
    <row r="52" spans="1:14" ht="15" hidden="1" customHeight="1" x14ac:dyDescent="0.25">
      <c r="A52" s="94">
        <v>30</v>
      </c>
      <c r="B52" s="36">
        <f t="shared" ca="1" si="4"/>
        <v>0.47029048402692075</v>
      </c>
      <c r="C52" s="27">
        <f t="shared" ca="1" si="2"/>
        <v>4</v>
      </c>
      <c r="D52" s="27">
        <f t="shared" ca="1" si="5"/>
        <v>9</v>
      </c>
      <c r="E52" s="27">
        <f t="shared" ca="1" si="6"/>
        <v>1</v>
      </c>
      <c r="F52" s="27" t="b">
        <f t="shared" ca="1" si="3"/>
        <v>1</v>
      </c>
      <c r="G52" s="101">
        <f t="shared" ca="1" si="7"/>
        <v>1000</v>
      </c>
      <c r="H52" s="47"/>
      <c r="I52" s="47"/>
      <c r="J52" s="26"/>
      <c r="K52" s="32">
        <v>50</v>
      </c>
      <c r="L52" s="27">
        <v>12</v>
      </c>
      <c r="M52" s="29">
        <v>0.23076923076923078</v>
      </c>
      <c r="N52" s="33">
        <v>4.9615384615384617</v>
      </c>
    </row>
    <row r="53" spans="1:14" ht="15" hidden="1" customHeight="1" x14ac:dyDescent="0.25">
      <c r="A53" s="94">
        <v>31</v>
      </c>
      <c r="B53" s="36">
        <f t="shared" ca="1" si="4"/>
        <v>0.80545589967817854</v>
      </c>
      <c r="C53" s="27">
        <f t="shared" ca="1" si="2"/>
        <v>9</v>
      </c>
      <c r="D53" s="27">
        <f t="shared" ca="1" si="5"/>
        <v>10</v>
      </c>
      <c r="E53" s="27">
        <f t="shared" ca="1" si="6"/>
        <v>2</v>
      </c>
      <c r="F53" s="27" t="b">
        <f t="shared" ca="1" si="3"/>
        <v>1</v>
      </c>
      <c r="G53" s="101">
        <f t="shared" ca="1" si="7"/>
        <v>2000</v>
      </c>
      <c r="H53" s="47"/>
      <c r="I53" s="47"/>
      <c r="J53" s="26"/>
      <c r="K53" s="32">
        <v>51</v>
      </c>
      <c r="L53" s="27">
        <v>11</v>
      </c>
      <c r="M53" s="29">
        <v>0.21153846153846154</v>
      </c>
      <c r="N53" s="33">
        <v>5.0384615384615383</v>
      </c>
    </row>
    <row r="54" spans="1:14" ht="15" hidden="1" customHeight="1" x14ac:dyDescent="0.25">
      <c r="A54" s="94">
        <v>32</v>
      </c>
      <c r="B54" s="36">
        <f t="shared" ca="1" si="4"/>
        <v>0.21899342823663925</v>
      </c>
      <c r="C54" s="27">
        <f t="shared" ca="1" si="2"/>
        <v>2</v>
      </c>
      <c r="D54" s="27">
        <f t="shared" ca="1" si="5"/>
        <v>4</v>
      </c>
      <c r="E54" s="27">
        <f t="shared" ca="1" si="6"/>
        <v>0</v>
      </c>
      <c r="F54" s="27" t="b">
        <f t="shared" ca="1" si="3"/>
        <v>0</v>
      </c>
      <c r="G54" s="101">
        <f t="shared" ca="1" si="7"/>
        <v>0</v>
      </c>
      <c r="H54" s="47"/>
      <c r="I54" s="47"/>
      <c r="J54" s="26"/>
      <c r="K54" s="32">
        <v>52</v>
      </c>
      <c r="L54" s="27">
        <v>8</v>
      </c>
      <c r="M54" s="29">
        <v>0.15384615384615385</v>
      </c>
      <c r="N54" s="33">
        <v>4.5769230769230766</v>
      </c>
    </row>
    <row r="55" spans="1:14" ht="15" hidden="1" customHeight="1" x14ac:dyDescent="0.25">
      <c r="A55" s="94">
        <v>33</v>
      </c>
      <c r="B55" s="36">
        <f t="shared" ca="1" si="4"/>
        <v>0.16910945968177105</v>
      </c>
      <c r="C55" s="27">
        <f t="shared" ref="C55:C74" ca="1" si="8">HLOOKUP(B55,$C$5:$I$6,2,TRUE)</f>
        <v>2</v>
      </c>
      <c r="D55" s="27">
        <f t="shared" ca="1" si="5"/>
        <v>2</v>
      </c>
      <c r="E55" s="27">
        <f t="shared" ref="E55:E74" ca="1" si="9">IF(D55&gt;$D$14,D55-$D$14,0)</f>
        <v>0</v>
      </c>
      <c r="F55" s="27" t="b">
        <f t="shared" ref="F55:F74" ca="1" si="10">IF(E55&gt;0,TRUE,FALSE)</f>
        <v>0</v>
      </c>
      <c r="G55" s="101">
        <f t="shared" ca="1" si="7"/>
        <v>0</v>
      </c>
      <c r="H55" s="47"/>
      <c r="I55" s="47"/>
      <c r="J55" s="26"/>
      <c r="K55" s="32">
        <v>53</v>
      </c>
      <c r="L55" s="27">
        <v>13</v>
      </c>
      <c r="M55" s="29">
        <v>0.25</v>
      </c>
      <c r="N55" s="33">
        <v>5.5384615384615383</v>
      </c>
    </row>
    <row r="56" spans="1:14" ht="15" hidden="1" customHeight="1" x14ac:dyDescent="0.25">
      <c r="A56" s="94">
        <v>34</v>
      </c>
      <c r="B56" s="36">
        <f t="shared" ca="1" si="4"/>
        <v>0.62642153555173252</v>
      </c>
      <c r="C56" s="27">
        <f t="shared" ca="1" si="8"/>
        <v>7</v>
      </c>
      <c r="D56" s="27">
        <f t="shared" ca="1" si="5"/>
        <v>7</v>
      </c>
      <c r="E56" s="27">
        <f t="shared" ca="1" si="9"/>
        <v>0</v>
      </c>
      <c r="F56" s="27" t="b">
        <f t="shared" ca="1" si="10"/>
        <v>0</v>
      </c>
      <c r="G56" s="101">
        <f t="shared" ca="1" si="7"/>
        <v>0</v>
      </c>
      <c r="H56" s="47"/>
      <c r="I56" s="47"/>
      <c r="J56" s="26"/>
      <c r="K56" s="32">
        <v>54</v>
      </c>
      <c r="L56" s="27">
        <v>6</v>
      </c>
      <c r="M56" s="29">
        <v>0.11538461538461539</v>
      </c>
      <c r="N56" s="33">
        <v>4.3269230769230766</v>
      </c>
    </row>
    <row r="57" spans="1:14" ht="15" hidden="1" customHeight="1" x14ac:dyDescent="0.25">
      <c r="A57" s="94">
        <v>35</v>
      </c>
      <c r="B57" s="36">
        <f t="shared" ca="1" si="4"/>
        <v>0.48723730485687844</v>
      </c>
      <c r="C57" s="27">
        <f t="shared" ca="1" si="8"/>
        <v>4</v>
      </c>
      <c r="D57" s="27">
        <f t="shared" ca="1" si="5"/>
        <v>4</v>
      </c>
      <c r="E57" s="27">
        <f t="shared" ca="1" si="9"/>
        <v>0</v>
      </c>
      <c r="F57" s="27" t="b">
        <f t="shared" ca="1" si="10"/>
        <v>0</v>
      </c>
      <c r="G57" s="101">
        <f t="shared" ca="1" si="7"/>
        <v>0</v>
      </c>
      <c r="H57" s="47"/>
      <c r="I57" s="47"/>
      <c r="J57" s="26"/>
      <c r="K57" s="32">
        <v>55</v>
      </c>
      <c r="L57" s="27">
        <v>18</v>
      </c>
      <c r="M57" s="29">
        <v>0.34615384615384615</v>
      </c>
      <c r="N57" s="33">
        <v>5.2115384615384617</v>
      </c>
    </row>
    <row r="58" spans="1:14" ht="15" hidden="1" customHeight="1" x14ac:dyDescent="0.25">
      <c r="A58" s="94">
        <v>36</v>
      </c>
      <c r="B58" s="36">
        <f t="shared" ca="1" si="4"/>
        <v>0.39921267849927289</v>
      </c>
      <c r="C58" s="27">
        <f t="shared" ca="1" si="8"/>
        <v>4</v>
      </c>
      <c r="D58" s="27">
        <f t="shared" ca="1" si="5"/>
        <v>4</v>
      </c>
      <c r="E58" s="27">
        <f t="shared" ca="1" si="9"/>
        <v>0</v>
      </c>
      <c r="F58" s="27" t="b">
        <f t="shared" ca="1" si="10"/>
        <v>0</v>
      </c>
      <c r="G58" s="101">
        <f t="shared" ca="1" si="7"/>
        <v>0</v>
      </c>
      <c r="H58" s="47"/>
      <c r="I58" s="47"/>
      <c r="J58" s="26"/>
      <c r="K58" s="32">
        <v>56</v>
      </c>
      <c r="L58" s="27">
        <v>29</v>
      </c>
      <c r="M58" s="29">
        <v>0.55769230769230771</v>
      </c>
      <c r="N58" s="33">
        <v>6.2307692307692308</v>
      </c>
    </row>
    <row r="59" spans="1:14" ht="15" hidden="1" customHeight="1" x14ac:dyDescent="0.25">
      <c r="A59" s="94">
        <v>37</v>
      </c>
      <c r="B59" s="36">
        <f t="shared" ca="1" si="4"/>
        <v>0.60754017661935067</v>
      </c>
      <c r="C59" s="27">
        <f t="shared" ca="1" si="8"/>
        <v>7</v>
      </c>
      <c r="D59" s="27">
        <f t="shared" ca="1" si="5"/>
        <v>7</v>
      </c>
      <c r="E59" s="27">
        <f t="shared" ca="1" si="9"/>
        <v>0</v>
      </c>
      <c r="F59" s="27" t="b">
        <f t="shared" ca="1" si="10"/>
        <v>0</v>
      </c>
      <c r="G59" s="101">
        <f t="shared" ca="1" si="7"/>
        <v>0</v>
      </c>
      <c r="H59" s="47"/>
      <c r="I59" s="47"/>
      <c r="J59" s="26"/>
      <c r="K59" s="32">
        <v>57</v>
      </c>
      <c r="L59" s="27">
        <v>10</v>
      </c>
      <c r="M59" s="29">
        <v>0.19230769230769232</v>
      </c>
      <c r="N59" s="33">
        <v>5.0192307692307692</v>
      </c>
    </row>
    <row r="60" spans="1:14" ht="14.25" hidden="1" customHeight="1" x14ac:dyDescent="0.25">
      <c r="A60" s="94">
        <v>38</v>
      </c>
      <c r="B60" s="36">
        <f t="shared" ca="1" si="4"/>
        <v>0.52850983930116247</v>
      </c>
      <c r="C60" s="27">
        <f t="shared" ca="1" si="8"/>
        <v>4</v>
      </c>
      <c r="D60" s="27">
        <f t="shared" ca="1" si="5"/>
        <v>4</v>
      </c>
      <c r="E60" s="27">
        <f t="shared" ca="1" si="9"/>
        <v>0</v>
      </c>
      <c r="F60" s="27" t="b">
        <f t="shared" ca="1" si="10"/>
        <v>0</v>
      </c>
      <c r="G60" s="101">
        <f t="shared" ca="1" si="7"/>
        <v>0</v>
      </c>
      <c r="H60" s="47"/>
      <c r="I60" s="47"/>
      <c r="J60" s="26"/>
      <c r="K60" s="32">
        <v>58</v>
      </c>
      <c r="L60" s="27">
        <v>17</v>
      </c>
      <c r="M60" s="29">
        <v>0.32692307692307693</v>
      </c>
      <c r="N60" s="33">
        <v>5.5961538461538458</v>
      </c>
    </row>
    <row r="61" spans="1:14" ht="15.75" hidden="1" x14ac:dyDescent="0.25">
      <c r="A61" s="94">
        <v>39</v>
      </c>
      <c r="B61" s="36">
        <f t="shared" ca="1" si="4"/>
        <v>0.97951018725908079</v>
      </c>
      <c r="C61" s="27">
        <f t="shared" ca="1" si="8"/>
        <v>17</v>
      </c>
      <c r="D61" s="27">
        <f t="shared" ca="1" si="5"/>
        <v>17</v>
      </c>
      <c r="E61" s="27">
        <f t="shared" ca="1" si="9"/>
        <v>9</v>
      </c>
      <c r="F61" s="27" t="b">
        <f t="shared" ca="1" si="10"/>
        <v>1</v>
      </c>
      <c r="G61" s="101">
        <f t="shared" ca="1" si="7"/>
        <v>9000</v>
      </c>
      <c r="H61" s="47"/>
      <c r="I61" s="47"/>
      <c r="J61" s="26"/>
      <c r="K61" s="32">
        <v>59</v>
      </c>
      <c r="L61" s="27">
        <v>18</v>
      </c>
      <c r="M61" s="29">
        <v>0.34615384615384615</v>
      </c>
      <c r="N61" s="33">
        <v>5.884615384615385</v>
      </c>
    </row>
    <row r="62" spans="1:14" ht="15.75" hidden="1" x14ac:dyDescent="0.25">
      <c r="A62" s="94">
        <v>40</v>
      </c>
      <c r="B62" s="36">
        <f t="shared" ca="1" si="4"/>
        <v>0.18208617150346029</v>
      </c>
      <c r="C62" s="27">
        <f t="shared" ca="1" si="8"/>
        <v>2</v>
      </c>
      <c r="D62" s="27">
        <f t="shared" ca="1" si="5"/>
        <v>11</v>
      </c>
      <c r="E62" s="27">
        <f t="shared" ca="1" si="9"/>
        <v>3</v>
      </c>
      <c r="F62" s="27" t="b">
        <f t="shared" ca="1" si="10"/>
        <v>1</v>
      </c>
      <c r="G62" s="101">
        <f t="shared" ca="1" si="7"/>
        <v>3000</v>
      </c>
      <c r="H62" s="47"/>
      <c r="I62" s="47"/>
      <c r="J62" s="26"/>
      <c r="K62" s="32">
        <v>60</v>
      </c>
      <c r="L62" s="27">
        <v>25</v>
      </c>
      <c r="M62" s="29">
        <v>0.48076923076923078</v>
      </c>
      <c r="N62" s="33">
        <v>6.4038461538461542</v>
      </c>
    </row>
    <row r="63" spans="1:14" ht="15.75" hidden="1" x14ac:dyDescent="0.25">
      <c r="A63" s="94">
        <v>41</v>
      </c>
      <c r="B63" s="36">
        <f t="shared" ca="1" si="4"/>
        <v>0.99609065859156387</v>
      </c>
      <c r="C63" s="27">
        <f t="shared" ca="1" si="8"/>
        <v>17</v>
      </c>
      <c r="D63" s="27">
        <f t="shared" ca="1" si="5"/>
        <v>20</v>
      </c>
      <c r="E63" s="27">
        <f t="shared" ca="1" si="9"/>
        <v>12</v>
      </c>
      <c r="F63" s="27" t="b">
        <f t="shared" ca="1" si="10"/>
        <v>1</v>
      </c>
      <c r="G63" s="101">
        <f t="shared" ca="1" si="7"/>
        <v>12000</v>
      </c>
      <c r="H63" s="47"/>
      <c r="I63" s="47"/>
      <c r="J63" s="26"/>
      <c r="K63" s="32">
        <v>61</v>
      </c>
      <c r="L63" s="27">
        <v>5</v>
      </c>
      <c r="M63" s="29">
        <v>9.6153846153846159E-2</v>
      </c>
      <c r="N63" s="33">
        <v>4</v>
      </c>
    </row>
    <row r="64" spans="1:14" ht="15" hidden="1" customHeight="1" x14ac:dyDescent="0.25">
      <c r="A64" s="94">
        <v>42</v>
      </c>
      <c r="B64" s="36">
        <f t="shared" ca="1" si="4"/>
        <v>0.83513795684602776</v>
      </c>
      <c r="C64" s="27">
        <f t="shared" ca="1" si="8"/>
        <v>9</v>
      </c>
      <c r="D64" s="27">
        <f t="shared" ca="1" si="5"/>
        <v>21</v>
      </c>
      <c r="E64" s="27">
        <f t="shared" ca="1" si="9"/>
        <v>13</v>
      </c>
      <c r="F64" s="27" t="b">
        <f t="shared" ca="1" si="10"/>
        <v>1</v>
      </c>
      <c r="G64" s="101">
        <f t="shared" ca="1" si="7"/>
        <v>13000</v>
      </c>
      <c r="H64" s="47"/>
      <c r="I64" s="47"/>
      <c r="J64" s="26"/>
      <c r="K64" s="32">
        <v>62</v>
      </c>
      <c r="L64" s="27">
        <v>10</v>
      </c>
      <c r="M64" s="29">
        <v>0.19230769230769232</v>
      </c>
      <c r="N64" s="33">
        <v>5.0769230769230766</v>
      </c>
    </row>
    <row r="65" spans="1:14" ht="15" hidden="1" customHeight="1" x14ac:dyDescent="0.25">
      <c r="A65" s="94">
        <v>43</v>
      </c>
      <c r="B65" s="36">
        <f t="shared" ca="1" si="4"/>
        <v>0.6734476710399262</v>
      </c>
      <c r="C65" s="27">
        <f t="shared" ca="1" si="8"/>
        <v>7</v>
      </c>
      <c r="D65" s="27">
        <f t="shared" ca="1" si="5"/>
        <v>20</v>
      </c>
      <c r="E65" s="27">
        <f t="shared" ca="1" si="9"/>
        <v>12</v>
      </c>
      <c r="F65" s="27" t="b">
        <f t="shared" ca="1" si="10"/>
        <v>1</v>
      </c>
      <c r="G65" s="101">
        <f t="shared" ca="1" si="7"/>
        <v>12000</v>
      </c>
      <c r="H65" s="47"/>
      <c r="I65" s="47"/>
      <c r="J65" s="26"/>
      <c r="K65" s="32">
        <v>63</v>
      </c>
      <c r="L65" s="27">
        <v>6</v>
      </c>
      <c r="M65" s="29">
        <v>0.11538461538461539</v>
      </c>
      <c r="N65" s="33">
        <v>4.115384615384615</v>
      </c>
    </row>
    <row r="66" spans="1:14" ht="15" hidden="1" customHeight="1" x14ac:dyDescent="0.25">
      <c r="A66" s="94">
        <v>44</v>
      </c>
      <c r="B66" s="36">
        <f t="shared" ca="1" si="4"/>
        <v>0.14082584325185177</v>
      </c>
      <c r="C66" s="27">
        <f t="shared" ca="1" si="8"/>
        <v>2</v>
      </c>
      <c r="D66" s="27">
        <f t="shared" ca="1" si="5"/>
        <v>14</v>
      </c>
      <c r="E66" s="27">
        <f t="shared" ca="1" si="9"/>
        <v>6</v>
      </c>
      <c r="F66" s="27" t="b">
        <f t="shared" ca="1" si="10"/>
        <v>1</v>
      </c>
      <c r="G66" s="101">
        <f t="shared" ca="1" si="7"/>
        <v>6000</v>
      </c>
      <c r="H66" s="47"/>
      <c r="I66" s="47"/>
      <c r="J66" s="26"/>
      <c r="K66" s="32">
        <v>64</v>
      </c>
      <c r="L66" s="27">
        <v>10</v>
      </c>
      <c r="M66" s="29">
        <v>0.19230769230769232</v>
      </c>
      <c r="N66" s="33">
        <v>4.615384615384615</v>
      </c>
    </row>
    <row r="67" spans="1:14" ht="15" hidden="1" customHeight="1" x14ac:dyDescent="0.25">
      <c r="A67" s="94">
        <v>45</v>
      </c>
      <c r="B67" s="36">
        <f t="shared" ca="1" si="4"/>
        <v>0.38418734940456245</v>
      </c>
      <c r="C67" s="27">
        <f t="shared" ca="1" si="8"/>
        <v>4</v>
      </c>
      <c r="D67" s="27">
        <f t="shared" ca="1" si="5"/>
        <v>10</v>
      </c>
      <c r="E67" s="27">
        <f t="shared" ca="1" si="9"/>
        <v>2</v>
      </c>
      <c r="F67" s="27" t="b">
        <f t="shared" ca="1" si="10"/>
        <v>1</v>
      </c>
      <c r="G67" s="101">
        <f t="shared" ca="1" si="7"/>
        <v>2000</v>
      </c>
      <c r="H67" s="47"/>
      <c r="I67" s="47"/>
      <c r="J67" s="26"/>
      <c r="K67" s="32">
        <v>65</v>
      </c>
      <c r="L67" s="27">
        <v>14</v>
      </c>
      <c r="M67" s="29">
        <v>0.26923076923076922</v>
      </c>
      <c r="N67" s="33">
        <v>4.8076923076923075</v>
      </c>
    </row>
    <row r="68" spans="1:14" ht="15" hidden="1" customHeight="1" x14ac:dyDescent="0.25">
      <c r="A68" s="94">
        <v>46</v>
      </c>
      <c r="B68" s="36">
        <f t="shared" ca="1" si="4"/>
        <v>0.34905173315384885</v>
      </c>
      <c r="C68" s="27">
        <f t="shared" ca="1" si="8"/>
        <v>4</v>
      </c>
      <c r="D68" s="27">
        <f t="shared" ca="1" si="5"/>
        <v>6</v>
      </c>
      <c r="E68" s="27">
        <f t="shared" ca="1" si="9"/>
        <v>0</v>
      </c>
      <c r="F68" s="27" t="b">
        <f t="shared" ca="1" si="10"/>
        <v>0</v>
      </c>
      <c r="G68" s="101">
        <f t="shared" ca="1" si="7"/>
        <v>0</v>
      </c>
      <c r="H68" s="47"/>
      <c r="I68" s="47"/>
      <c r="J68" s="26"/>
      <c r="K68" s="32">
        <v>66</v>
      </c>
      <c r="L68" s="27">
        <v>17</v>
      </c>
      <c r="M68" s="29">
        <v>0.32692307692307693</v>
      </c>
      <c r="N68" s="33">
        <v>5.6730769230769234</v>
      </c>
    </row>
    <row r="69" spans="1:14" ht="15" hidden="1" customHeight="1" x14ac:dyDescent="0.25">
      <c r="A69" s="94">
        <v>47</v>
      </c>
      <c r="B69" s="36">
        <f t="shared" ca="1" si="4"/>
        <v>0.46483681600961746</v>
      </c>
      <c r="C69" s="27">
        <f t="shared" ca="1" si="8"/>
        <v>4</v>
      </c>
      <c r="D69" s="27">
        <f t="shared" ca="1" si="5"/>
        <v>4</v>
      </c>
      <c r="E69" s="27">
        <f t="shared" ca="1" si="9"/>
        <v>0</v>
      </c>
      <c r="F69" s="27" t="b">
        <f t="shared" ca="1" si="10"/>
        <v>0</v>
      </c>
      <c r="G69" s="101">
        <f t="shared" ca="1" si="7"/>
        <v>0</v>
      </c>
      <c r="H69" s="47"/>
      <c r="I69" s="47"/>
      <c r="J69" s="26"/>
      <c r="K69" s="32">
        <v>67</v>
      </c>
      <c r="L69" s="27">
        <v>4</v>
      </c>
      <c r="M69" s="29">
        <v>7.6923076923076927E-2</v>
      </c>
      <c r="N69" s="33">
        <v>3.8846153846153846</v>
      </c>
    </row>
    <row r="70" spans="1:14" ht="15" hidden="1" customHeight="1" x14ac:dyDescent="0.25">
      <c r="A70" s="94">
        <v>48</v>
      </c>
      <c r="B70" s="36">
        <f t="shared" ca="1" si="4"/>
        <v>0.92707907697231517</v>
      </c>
      <c r="C70" s="27">
        <f t="shared" ca="1" si="8"/>
        <v>13</v>
      </c>
      <c r="D70" s="27">
        <f t="shared" ca="1" si="5"/>
        <v>13</v>
      </c>
      <c r="E70" s="27">
        <f t="shared" ca="1" si="9"/>
        <v>5</v>
      </c>
      <c r="F70" s="27" t="b">
        <f t="shared" ca="1" si="10"/>
        <v>1</v>
      </c>
      <c r="G70" s="101">
        <f t="shared" ca="1" si="7"/>
        <v>5000</v>
      </c>
      <c r="H70" s="47"/>
      <c r="I70" s="47"/>
      <c r="J70" s="26"/>
      <c r="K70" s="32">
        <v>68</v>
      </c>
      <c r="L70" s="27">
        <v>15</v>
      </c>
      <c r="M70" s="29">
        <v>0.28846153846153844</v>
      </c>
      <c r="N70" s="33">
        <v>5.7115384615384617</v>
      </c>
    </row>
    <row r="71" spans="1:14" ht="15" customHeight="1" x14ac:dyDescent="0.25">
      <c r="A71" s="94">
        <v>49</v>
      </c>
      <c r="B71" s="36">
        <f t="shared" ca="1" si="4"/>
        <v>0.17613703216850429</v>
      </c>
      <c r="C71" s="27">
        <f t="shared" ca="1" si="8"/>
        <v>2</v>
      </c>
      <c r="D71" s="27">
        <f t="shared" ca="1" si="5"/>
        <v>7</v>
      </c>
      <c r="E71" s="27">
        <f t="shared" ca="1" si="9"/>
        <v>0</v>
      </c>
      <c r="F71" s="27" t="b">
        <f t="shared" ca="1" si="10"/>
        <v>0</v>
      </c>
      <c r="G71" s="101">
        <f t="shared" ca="1" si="7"/>
        <v>0</v>
      </c>
      <c r="H71" s="47"/>
      <c r="I71" s="47"/>
      <c r="J71" s="26"/>
      <c r="K71" s="32">
        <v>69</v>
      </c>
      <c r="L71" s="27">
        <v>26</v>
      </c>
      <c r="M71" s="29">
        <v>0.5</v>
      </c>
      <c r="N71" s="33">
        <v>6.3076923076923075</v>
      </c>
    </row>
    <row r="72" spans="1:14" ht="15" customHeight="1" x14ac:dyDescent="0.25">
      <c r="A72" s="94">
        <v>50</v>
      </c>
      <c r="B72" s="36">
        <f t="shared" ca="1" si="4"/>
        <v>0.48799491037054532</v>
      </c>
      <c r="C72" s="27">
        <f t="shared" ca="1" si="8"/>
        <v>4</v>
      </c>
      <c r="D72" s="27">
        <f t="shared" ca="1" si="5"/>
        <v>4</v>
      </c>
      <c r="E72" s="27">
        <f t="shared" ca="1" si="9"/>
        <v>0</v>
      </c>
      <c r="F72" s="27" t="b">
        <f t="shared" ca="1" si="10"/>
        <v>0</v>
      </c>
      <c r="G72" s="101">
        <f t="shared" ca="1" si="7"/>
        <v>0</v>
      </c>
      <c r="H72" s="47"/>
      <c r="I72" s="47"/>
      <c r="J72" s="26"/>
      <c r="K72" s="32">
        <v>70</v>
      </c>
      <c r="L72" s="27">
        <v>11</v>
      </c>
      <c r="M72" s="29">
        <v>0.21153846153846154</v>
      </c>
      <c r="N72" s="33">
        <v>4.7884615384615383</v>
      </c>
    </row>
    <row r="73" spans="1:14" ht="15" customHeight="1" x14ac:dyDescent="0.25">
      <c r="A73" s="94">
        <v>51</v>
      </c>
      <c r="B73" s="36">
        <f t="shared" ca="1" si="4"/>
        <v>0.62328399259940481</v>
      </c>
      <c r="C73" s="27">
        <f t="shared" ca="1" si="8"/>
        <v>7</v>
      </c>
      <c r="D73" s="27">
        <f t="shared" ca="1" si="5"/>
        <v>7</v>
      </c>
      <c r="E73" s="27">
        <f t="shared" ca="1" si="9"/>
        <v>0</v>
      </c>
      <c r="F73" s="27" t="b">
        <f t="shared" ca="1" si="10"/>
        <v>0</v>
      </c>
      <c r="G73" s="101">
        <f t="shared" ca="1" si="7"/>
        <v>0</v>
      </c>
      <c r="H73" s="47"/>
      <c r="I73" s="47"/>
      <c r="J73" s="26"/>
      <c r="K73" s="32">
        <v>71</v>
      </c>
      <c r="L73" s="27">
        <v>20</v>
      </c>
      <c r="M73" s="29">
        <v>0.38461538461538464</v>
      </c>
      <c r="N73" s="33">
        <v>5.6730769230769234</v>
      </c>
    </row>
    <row r="74" spans="1:14" ht="15" customHeight="1" x14ac:dyDescent="0.25">
      <c r="A74" s="95">
        <v>52</v>
      </c>
      <c r="B74" s="36">
        <f t="shared" ca="1" si="4"/>
        <v>0.17227633253909402</v>
      </c>
      <c r="C74" s="27">
        <f t="shared" ca="1" si="8"/>
        <v>2</v>
      </c>
      <c r="D74" s="27">
        <f t="shared" ca="1" si="5"/>
        <v>2</v>
      </c>
      <c r="E74" s="27">
        <f t="shared" ca="1" si="9"/>
        <v>0</v>
      </c>
      <c r="F74" s="27" t="b">
        <f t="shared" ca="1" si="10"/>
        <v>0</v>
      </c>
      <c r="G74" s="101">
        <f t="shared" ca="1" si="7"/>
        <v>0</v>
      </c>
      <c r="H74" s="49"/>
      <c r="I74" s="49"/>
      <c r="J74" s="26"/>
      <c r="K74" s="32">
        <v>72</v>
      </c>
      <c r="L74" s="27">
        <v>14</v>
      </c>
      <c r="M74" s="29">
        <v>0.26923076923076922</v>
      </c>
      <c r="N74" s="33">
        <v>5.3461538461538458</v>
      </c>
    </row>
    <row r="75" spans="1:14" ht="15" customHeight="1" x14ac:dyDescent="0.25">
      <c r="F75" s="18"/>
      <c r="G75" s="102"/>
      <c r="H75" s="45"/>
      <c r="I75" s="45"/>
      <c r="J75" s="26"/>
      <c r="K75" s="32">
        <v>73</v>
      </c>
      <c r="L75" s="27">
        <v>16</v>
      </c>
      <c r="M75" s="29">
        <v>0.30769230769230771</v>
      </c>
      <c r="N75" s="33">
        <v>5.6538461538461542</v>
      </c>
    </row>
    <row r="76" spans="1:14" ht="15" customHeight="1" x14ac:dyDescent="0.25">
      <c r="A76" s="103" t="s">
        <v>54</v>
      </c>
      <c r="B76" s="107"/>
      <c r="C76" s="105">
        <f ca="1">AVERAGE(C23:C74)</f>
        <v>5.9807692307692308</v>
      </c>
      <c r="D76" s="105">
        <f ca="1">AVERAGE(D23:D74)</f>
        <v>8.634615384615385</v>
      </c>
      <c r="E76" s="105">
        <f ca="1">AVERAGE(E23:E74)</f>
        <v>2.6538461538461537</v>
      </c>
      <c r="F76" s="108"/>
      <c r="G76" s="109">
        <f ca="1">AVERAGE(G23:G74)</f>
        <v>2653.8461538461538</v>
      </c>
      <c r="H76" s="50"/>
      <c r="I76" s="50"/>
      <c r="J76" s="26"/>
      <c r="K76" s="32">
        <v>74</v>
      </c>
      <c r="L76" s="27">
        <v>11</v>
      </c>
      <c r="M76" s="29">
        <v>0.21153846153846154</v>
      </c>
      <c r="N76" s="33">
        <v>4.9038461538461542</v>
      </c>
    </row>
    <row r="77" spans="1:14" ht="15" customHeight="1" x14ac:dyDescent="0.25">
      <c r="A77" s="28"/>
      <c r="H77" s="49"/>
      <c r="I77" s="45"/>
      <c r="J77" s="26"/>
      <c r="K77" s="32">
        <v>75</v>
      </c>
      <c r="L77" s="27">
        <v>9</v>
      </c>
      <c r="M77" s="29">
        <v>0.17307692307692307</v>
      </c>
      <c r="N77" s="33">
        <v>4.884615384615385</v>
      </c>
    </row>
    <row r="78" spans="1:14" ht="15" customHeight="1" x14ac:dyDescent="0.25">
      <c r="A78" s="28"/>
      <c r="H78" s="49"/>
      <c r="I78" s="45"/>
      <c r="J78" s="26"/>
      <c r="K78" s="32">
        <v>76</v>
      </c>
      <c r="L78" s="27">
        <v>16</v>
      </c>
      <c r="M78" s="29">
        <v>0.30769230769230771</v>
      </c>
      <c r="N78" s="33">
        <v>5.0961538461538458</v>
      </c>
    </row>
    <row r="79" spans="1:14" ht="15" customHeight="1" x14ac:dyDescent="0.25">
      <c r="A79" s="28"/>
      <c r="H79" s="49"/>
      <c r="I79" s="45"/>
      <c r="J79" s="26"/>
      <c r="K79" s="32">
        <v>77</v>
      </c>
      <c r="L79" s="27">
        <v>16</v>
      </c>
      <c r="M79" s="29">
        <v>0.30769230769230771</v>
      </c>
      <c r="N79" s="33">
        <v>5.5384615384615383</v>
      </c>
    </row>
    <row r="80" spans="1:14" ht="15" customHeight="1" x14ac:dyDescent="0.25">
      <c r="A80" s="28"/>
      <c r="H80" s="49"/>
      <c r="I80" s="45"/>
      <c r="J80" s="26"/>
      <c r="K80" s="32">
        <v>78</v>
      </c>
      <c r="L80" s="27">
        <v>13</v>
      </c>
      <c r="M80" s="29">
        <v>0.25</v>
      </c>
      <c r="N80" s="33">
        <v>5.3076923076923075</v>
      </c>
    </row>
    <row r="81" spans="1:14" ht="15" customHeight="1" x14ac:dyDescent="0.25">
      <c r="A81" s="28"/>
      <c r="H81" s="49"/>
      <c r="I81" s="45"/>
      <c r="J81" s="26"/>
      <c r="K81" s="32">
        <v>79</v>
      </c>
      <c r="L81" s="27">
        <v>22</v>
      </c>
      <c r="M81" s="29">
        <v>0.42307692307692307</v>
      </c>
      <c r="N81" s="33">
        <v>6.0961538461538458</v>
      </c>
    </row>
    <row r="82" spans="1:14" ht="15" customHeight="1" x14ac:dyDescent="0.25">
      <c r="A82" s="28"/>
      <c r="H82" s="49"/>
      <c r="I82" s="45"/>
      <c r="J82" s="26"/>
      <c r="K82" s="32">
        <v>80</v>
      </c>
      <c r="L82" s="27">
        <v>10</v>
      </c>
      <c r="M82" s="29">
        <v>0.19230769230769232</v>
      </c>
      <c r="N82" s="33">
        <v>5</v>
      </c>
    </row>
    <row r="83" spans="1:14" ht="15" customHeight="1" x14ac:dyDescent="0.25">
      <c r="A83" s="28"/>
      <c r="H83" s="49"/>
      <c r="I83" s="45"/>
      <c r="J83" s="26"/>
      <c r="K83" s="32">
        <v>81</v>
      </c>
      <c r="L83" s="27">
        <v>11</v>
      </c>
      <c r="M83" s="29">
        <v>0.21153846153846154</v>
      </c>
      <c r="N83" s="33">
        <v>5.0961538461538458</v>
      </c>
    </row>
    <row r="84" spans="1:14" ht="15" customHeight="1" x14ac:dyDescent="0.25">
      <c r="A84" s="28"/>
      <c r="H84" s="49"/>
      <c r="I84" s="45"/>
      <c r="J84" s="26"/>
      <c r="K84" s="32">
        <v>82</v>
      </c>
      <c r="L84" s="27">
        <v>22</v>
      </c>
      <c r="M84" s="29">
        <v>0.42307692307692307</v>
      </c>
      <c r="N84" s="33">
        <v>5.5384615384615383</v>
      </c>
    </row>
    <row r="85" spans="1:14" ht="15" customHeight="1" x14ac:dyDescent="0.25">
      <c r="A85" s="28"/>
      <c r="H85" s="49"/>
      <c r="I85" s="45"/>
      <c r="J85" s="26"/>
      <c r="K85" s="32">
        <v>83</v>
      </c>
      <c r="L85" s="27">
        <v>23</v>
      </c>
      <c r="M85" s="29">
        <v>0.44230769230769229</v>
      </c>
      <c r="N85" s="33">
        <v>5.634615384615385</v>
      </c>
    </row>
    <row r="86" spans="1:14" ht="15" customHeight="1" x14ac:dyDescent="0.25">
      <c r="A86" s="28"/>
      <c r="H86" s="49"/>
      <c r="I86" s="45"/>
      <c r="J86" s="26"/>
      <c r="K86" s="32">
        <v>84</v>
      </c>
      <c r="L86" s="27">
        <v>16</v>
      </c>
      <c r="M86" s="29">
        <v>0.30769230769230771</v>
      </c>
      <c r="N86" s="33">
        <v>5.4807692307692308</v>
      </c>
    </row>
    <row r="87" spans="1:14" ht="15" customHeight="1" x14ac:dyDescent="0.25">
      <c r="A87" s="28"/>
      <c r="H87" s="49"/>
      <c r="I87" s="45"/>
      <c r="J87" s="26"/>
      <c r="K87" s="32">
        <v>85</v>
      </c>
      <c r="L87" s="27">
        <v>11</v>
      </c>
      <c r="M87" s="29">
        <v>0.21153846153846154</v>
      </c>
      <c r="N87" s="33">
        <v>5.365384615384615</v>
      </c>
    </row>
    <row r="88" spans="1:14" ht="15" customHeight="1" x14ac:dyDescent="0.25">
      <c r="A88" s="28"/>
      <c r="I88" s="26"/>
      <c r="J88" s="26"/>
      <c r="K88" s="32">
        <v>86</v>
      </c>
      <c r="L88" s="27">
        <v>19</v>
      </c>
      <c r="M88" s="29">
        <v>0.36538461538461536</v>
      </c>
      <c r="N88" s="33">
        <v>6.0192307692307692</v>
      </c>
    </row>
    <row r="89" spans="1:14" ht="15" customHeight="1" x14ac:dyDescent="0.25">
      <c r="A89" s="28"/>
      <c r="I89" s="26"/>
      <c r="J89" s="26"/>
      <c r="K89" s="32">
        <v>87</v>
      </c>
      <c r="L89" s="27">
        <v>14</v>
      </c>
      <c r="M89" s="29">
        <v>0.26923076923076922</v>
      </c>
      <c r="N89" s="33">
        <v>5.2884615384615383</v>
      </c>
    </row>
    <row r="90" spans="1:14" ht="15" customHeight="1" x14ac:dyDescent="0.25">
      <c r="A90" s="28"/>
      <c r="I90" s="26"/>
      <c r="J90" s="26"/>
      <c r="K90" s="32">
        <v>88</v>
      </c>
      <c r="L90" s="27">
        <v>12</v>
      </c>
      <c r="M90" s="29">
        <v>0.23076923076923078</v>
      </c>
      <c r="N90" s="33">
        <v>5.2692307692307692</v>
      </c>
    </row>
    <row r="91" spans="1:14" ht="15" customHeight="1" x14ac:dyDescent="0.25">
      <c r="A91" s="28"/>
      <c r="I91" s="26"/>
      <c r="J91" s="26"/>
      <c r="K91" s="32">
        <v>89</v>
      </c>
      <c r="L91" s="27">
        <v>11</v>
      </c>
      <c r="M91" s="29">
        <v>0.21153846153846154</v>
      </c>
      <c r="N91" s="33">
        <v>5.2307692307692308</v>
      </c>
    </row>
    <row r="92" spans="1:14" ht="15" customHeight="1" x14ac:dyDescent="0.25">
      <c r="A92" s="28"/>
      <c r="I92" s="26"/>
      <c r="J92" s="26"/>
      <c r="K92" s="32">
        <v>90</v>
      </c>
      <c r="L92" s="27">
        <v>10</v>
      </c>
      <c r="M92" s="29">
        <v>0.19230769230769232</v>
      </c>
      <c r="N92" s="33">
        <v>4.884615384615385</v>
      </c>
    </row>
    <row r="93" spans="1:14" ht="15" customHeight="1" x14ac:dyDescent="0.25">
      <c r="A93" s="28"/>
      <c r="I93" s="26"/>
      <c r="J93" s="26"/>
      <c r="K93" s="32">
        <v>91</v>
      </c>
      <c r="L93" s="27">
        <v>18</v>
      </c>
      <c r="M93" s="29">
        <v>0.34615384615384615</v>
      </c>
      <c r="N93" s="33">
        <v>5.4807692307692308</v>
      </c>
    </row>
    <row r="94" spans="1:14" ht="15" customHeight="1" x14ac:dyDescent="0.25">
      <c r="A94" s="28"/>
      <c r="I94" s="26"/>
      <c r="J94" s="26"/>
      <c r="K94" s="32">
        <v>92</v>
      </c>
      <c r="L94" s="27">
        <v>11</v>
      </c>
      <c r="M94" s="29">
        <v>0.21153846153846154</v>
      </c>
      <c r="N94" s="33">
        <v>4.8461538461538458</v>
      </c>
    </row>
    <row r="95" spans="1:14" ht="15" customHeight="1" x14ac:dyDescent="0.25">
      <c r="A95" s="28"/>
      <c r="I95" s="26"/>
      <c r="J95" s="26"/>
      <c r="K95" s="32">
        <v>93</v>
      </c>
      <c r="L95" s="27">
        <v>10</v>
      </c>
      <c r="M95" s="29">
        <v>0.19230769230769232</v>
      </c>
      <c r="N95" s="33">
        <v>4.7115384615384617</v>
      </c>
    </row>
    <row r="96" spans="1:14" ht="15" customHeight="1" x14ac:dyDescent="0.25">
      <c r="A96" s="28"/>
      <c r="I96" s="26"/>
      <c r="J96" s="26"/>
      <c r="K96" s="32">
        <v>94</v>
      </c>
      <c r="L96" s="27">
        <v>14</v>
      </c>
      <c r="M96" s="29">
        <v>0.26923076923076922</v>
      </c>
      <c r="N96" s="33">
        <v>5.365384615384615</v>
      </c>
    </row>
    <row r="97" spans="1:17" ht="15" customHeight="1" x14ac:dyDescent="0.25">
      <c r="A97" s="28"/>
      <c r="I97" s="26"/>
      <c r="J97" s="26"/>
      <c r="K97" s="32">
        <v>95</v>
      </c>
      <c r="L97" s="27">
        <v>13</v>
      </c>
      <c r="M97" s="29">
        <v>0.25</v>
      </c>
      <c r="N97" s="33">
        <v>4.6923076923076925</v>
      </c>
    </row>
    <row r="98" spans="1:17" ht="15" customHeight="1" x14ac:dyDescent="0.25">
      <c r="A98" s="28"/>
      <c r="I98" s="26"/>
      <c r="J98" s="26"/>
      <c r="K98" s="32">
        <v>96</v>
      </c>
      <c r="L98" s="27">
        <v>14</v>
      </c>
      <c r="M98" s="29">
        <v>0.26923076923076922</v>
      </c>
      <c r="N98" s="33">
        <v>5.0576923076923075</v>
      </c>
    </row>
    <row r="99" spans="1:17" ht="15" customHeight="1" x14ac:dyDescent="0.25">
      <c r="A99" s="28"/>
      <c r="I99" s="26"/>
      <c r="J99" s="26"/>
      <c r="K99" s="32">
        <v>97</v>
      </c>
      <c r="L99" s="27">
        <v>24</v>
      </c>
      <c r="M99" s="29">
        <v>0.46153846153846156</v>
      </c>
      <c r="N99" s="33">
        <v>5.8461538461538458</v>
      </c>
    </row>
    <row r="100" spans="1:17" ht="15" customHeight="1" x14ac:dyDescent="0.25">
      <c r="A100" s="28"/>
      <c r="I100" s="26"/>
      <c r="J100" s="26"/>
      <c r="K100" s="32">
        <v>98</v>
      </c>
      <c r="L100" s="27">
        <v>15</v>
      </c>
      <c r="M100" s="29">
        <v>0.28846153846153844</v>
      </c>
      <c r="N100" s="33">
        <v>5.25</v>
      </c>
    </row>
    <row r="101" spans="1:17" ht="15" customHeight="1" x14ac:dyDescent="0.25">
      <c r="A101" s="28"/>
      <c r="I101" s="26"/>
      <c r="J101" s="26"/>
      <c r="K101" s="32">
        <v>99</v>
      </c>
      <c r="L101" s="27">
        <v>16</v>
      </c>
      <c r="M101" s="29">
        <v>0.30769230769230771</v>
      </c>
      <c r="N101" s="33">
        <v>5.6923076923076925</v>
      </c>
    </row>
    <row r="102" spans="1:17" ht="15" customHeight="1" x14ac:dyDescent="0.25">
      <c r="A102" s="28"/>
      <c r="I102" s="26"/>
      <c r="J102" s="26"/>
      <c r="K102" s="32">
        <v>100</v>
      </c>
      <c r="L102" s="27">
        <v>19</v>
      </c>
      <c r="M102" s="29">
        <v>0.36538461538461536</v>
      </c>
      <c r="N102" s="33">
        <v>5.634615384615385</v>
      </c>
    </row>
    <row r="103" spans="1:17" ht="15" customHeight="1" x14ac:dyDescent="0.25">
      <c r="A103" s="28"/>
      <c r="I103" s="26"/>
      <c r="J103" s="26"/>
      <c r="K103" s="39"/>
      <c r="L103" s="18"/>
      <c r="M103" s="18"/>
      <c r="N103" s="38"/>
    </row>
    <row r="104" spans="1:17" ht="15" customHeight="1" x14ac:dyDescent="0.25">
      <c r="A104" s="28"/>
      <c r="I104" s="26"/>
      <c r="J104" s="26"/>
      <c r="K104" s="110" t="s">
        <v>54</v>
      </c>
      <c r="L104" s="107">
        <f>AVERAGE(L3:L102)</f>
        <v>14.98</v>
      </c>
      <c r="M104" s="104"/>
      <c r="N104" s="111">
        <f>AVERAGE(N3:N102)</f>
        <v>5.2886538461538475</v>
      </c>
    </row>
    <row r="105" spans="1:17" ht="15" customHeight="1" x14ac:dyDescent="0.25">
      <c r="A105" s="24"/>
      <c r="I105" s="23"/>
      <c r="N105" s="23"/>
      <c r="O105" s="23"/>
      <c r="P105" s="23"/>
      <c r="Q105" s="23"/>
    </row>
    <row r="106" spans="1:17" ht="15" customHeight="1" x14ac:dyDescent="0.25">
      <c r="A106" s="24"/>
      <c r="I106" s="23"/>
      <c r="N106" s="23"/>
      <c r="O106" s="23"/>
      <c r="P106" s="23"/>
      <c r="Q106" s="23"/>
    </row>
    <row r="107" spans="1:17" ht="15" customHeight="1" x14ac:dyDescent="0.25">
      <c r="A107" s="24"/>
      <c r="I107" s="23"/>
      <c r="N107" s="23"/>
      <c r="O107" s="23"/>
      <c r="P107" s="23"/>
      <c r="Q107" s="23"/>
    </row>
    <row r="108" spans="1:17" ht="15" customHeight="1" x14ac:dyDescent="0.25">
      <c r="A108" s="24"/>
      <c r="I108" s="23"/>
      <c r="N108" s="23"/>
      <c r="O108" s="23"/>
      <c r="P108" s="23"/>
      <c r="Q108" s="23"/>
    </row>
    <row r="109" spans="1:17" ht="15" customHeight="1" x14ac:dyDescent="0.25">
      <c r="A109" s="24"/>
      <c r="I109" s="23"/>
      <c r="N109" s="23"/>
      <c r="O109" s="23"/>
      <c r="P109" s="23"/>
      <c r="Q109" s="23"/>
    </row>
    <row r="110" spans="1:17" ht="15" customHeight="1" x14ac:dyDescent="0.25">
      <c r="A110" s="24"/>
      <c r="I110" s="23"/>
      <c r="N110" s="23"/>
      <c r="O110" s="23"/>
      <c r="P110" s="23"/>
      <c r="Q110" s="23"/>
    </row>
    <row r="111" spans="1:17" ht="15" customHeight="1" x14ac:dyDescent="0.25">
      <c r="A111" s="24"/>
      <c r="I111" s="23"/>
      <c r="N111" s="23"/>
      <c r="O111" s="23"/>
      <c r="P111" s="23"/>
      <c r="Q111" s="23"/>
    </row>
    <row r="112" spans="1:17" ht="15" customHeight="1" x14ac:dyDescent="0.25">
      <c r="A112" s="24"/>
      <c r="I112" s="23"/>
      <c r="N112" s="23"/>
      <c r="O112" s="23"/>
      <c r="P112" s="23"/>
      <c r="Q112" s="23"/>
    </row>
    <row r="113" spans="1:17" ht="15" customHeight="1" x14ac:dyDescent="0.25">
      <c r="A113" s="24"/>
      <c r="I113" s="23"/>
      <c r="N113" s="23"/>
      <c r="O113" s="23"/>
      <c r="P113" s="23"/>
      <c r="Q113" s="23"/>
    </row>
    <row r="114" spans="1:17" ht="15" customHeight="1" x14ac:dyDescent="0.25">
      <c r="A114" s="24"/>
      <c r="I114" s="23"/>
      <c r="N114" s="23"/>
      <c r="O114" s="23"/>
      <c r="P114" s="23"/>
      <c r="Q114" s="23"/>
    </row>
    <row r="115" spans="1:17" ht="15" customHeight="1" x14ac:dyDescent="0.25">
      <c r="A115" s="24"/>
      <c r="I115" s="23"/>
      <c r="N115" s="23"/>
      <c r="O115" s="23"/>
      <c r="P115" s="23"/>
      <c r="Q115" s="23"/>
    </row>
    <row r="116" spans="1:17" ht="15" customHeight="1" x14ac:dyDescent="0.25">
      <c r="A116" s="24"/>
      <c r="I116" s="23"/>
      <c r="N116" s="23"/>
      <c r="O116" s="23"/>
      <c r="P116" s="23"/>
      <c r="Q116" s="23"/>
    </row>
    <row r="117" spans="1:17" ht="15" customHeight="1" x14ac:dyDescent="0.25">
      <c r="A117" s="24"/>
      <c r="I117" s="23"/>
      <c r="N117" s="23"/>
      <c r="O117" s="23"/>
      <c r="P117" s="23"/>
      <c r="Q117" s="23"/>
    </row>
    <row r="118" spans="1:17" ht="15" customHeight="1" x14ac:dyDescent="0.25">
      <c r="A118" s="20"/>
      <c r="L118" s="22"/>
      <c r="M118" s="22"/>
    </row>
    <row r="119" spans="1:17" ht="15" customHeight="1" x14ac:dyDescent="0.25">
      <c r="A119" s="20"/>
    </row>
    <row r="120" spans="1:17" ht="15" customHeight="1" x14ac:dyDescent="0.25">
      <c r="A120" s="20"/>
    </row>
    <row r="121" spans="1:17" ht="15" customHeight="1" x14ac:dyDescent="0.25">
      <c r="A121" s="20"/>
    </row>
    <row r="122" spans="1:17" ht="15" customHeight="1" x14ac:dyDescent="0.25">
      <c r="A122" s="20"/>
    </row>
    <row r="123" spans="1:17" ht="15" customHeight="1" x14ac:dyDescent="0.25">
      <c r="A123" s="20"/>
    </row>
    <row r="124" spans="1:17" ht="15" customHeight="1" x14ac:dyDescent="0.25">
      <c r="A124" s="20"/>
    </row>
    <row r="125" spans="1:17" ht="15" customHeight="1" x14ac:dyDescent="0.25">
      <c r="A125" s="20"/>
    </row>
    <row r="126" spans="1:17" ht="15" customHeight="1" x14ac:dyDescent="0.25">
      <c r="A126" s="20"/>
    </row>
    <row r="127" spans="1:17" ht="15" customHeight="1" x14ac:dyDescent="0.25">
      <c r="A127" s="20"/>
    </row>
    <row r="128" spans="1:17" ht="15" customHeight="1" x14ac:dyDescent="0.25">
      <c r="A128" s="20"/>
    </row>
    <row r="129" spans="1:5" ht="15" customHeight="1" x14ac:dyDescent="0.25">
      <c r="A129" s="20"/>
    </row>
    <row r="130" spans="1:5" ht="15" customHeight="1" x14ac:dyDescent="0.25">
      <c r="A130" s="20"/>
    </row>
    <row r="131" spans="1:5" ht="15" customHeight="1" x14ac:dyDescent="0.25">
      <c r="A131" s="20"/>
      <c r="B131" s="18"/>
    </row>
    <row r="132" spans="1:5" ht="15" customHeight="1" x14ac:dyDescent="0.25">
      <c r="A132" s="20"/>
      <c r="B132" s="18"/>
      <c r="C132" s="19"/>
      <c r="D132" s="18"/>
      <c r="E132" s="21"/>
    </row>
    <row r="133" spans="1:5" ht="15" customHeight="1" x14ac:dyDescent="0.25">
      <c r="A133" s="20"/>
      <c r="B133" s="18"/>
      <c r="C133" s="19"/>
      <c r="D133" s="18"/>
      <c r="E133" s="21"/>
    </row>
    <row r="134" spans="1:5" ht="15" customHeight="1" x14ac:dyDescent="0.25">
      <c r="A134" s="20"/>
      <c r="B134" s="18"/>
      <c r="C134" s="19"/>
      <c r="D134" s="18"/>
      <c r="E134" s="21"/>
    </row>
    <row r="135" spans="1:5" ht="15" customHeight="1" x14ac:dyDescent="0.25">
      <c r="A135" s="20"/>
      <c r="B135" s="18"/>
      <c r="C135" s="19"/>
      <c r="D135" s="18"/>
      <c r="E135" s="21"/>
    </row>
    <row r="136" spans="1:5" ht="15" customHeight="1" x14ac:dyDescent="0.25">
      <c r="A136" s="20"/>
      <c r="B136" s="18"/>
      <c r="C136" s="19"/>
      <c r="D136" s="18"/>
      <c r="E136" s="21"/>
    </row>
    <row r="137" spans="1:5" ht="15" customHeight="1" x14ac:dyDescent="0.25">
      <c r="A137" s="20"/>
      <c r="B137" s="18"/>
      <c r="C137" s="19"/>
      <c r="D137" s="18"/>
      <c r="E137" s="21"/>
    </row>
    <row r="138" spans="1:5" ht="15" customHeight="1" x14ac:dyDescent="0.25">
      <c r="A138" s="20"/>
      <c r="B138" s="18"/>
      <c r="C138" s="19"/>
      <c r="D138" s="18"/>
      <c r="E138" s="21"/>
    </row>
    <row r="139" spans="1:5" ht="15" customHeight="1" x14ac:dyDescent="0.25">
      <c r="A139" s="20"/>
      <c r="B139" s="18"/>
      <c r="C139" s="19"/>
      <c r="D139" s="18"/>
      <c r="E139" s="21"/>
    </row>
    <row r="140" spans="1:5" ht="15" customHeight="1" x14ac:dyDescent="0.25">
      <c r="A140" s="20"/>
      <c r="B140" s="18"/>
      <c r="C140" s="19"/>
      <c r="D140" s="18"/>
      <c r="E140" s="21"/>
    </row>
    <row r="141" spans="1:5" ht="15" customHeight="1" x14ac:dyDescent="0.25">
      <c r="A141" s="20"/>
      <c r="B141" s="18"/>
      <c r="C141" s="19"/>
      <c r="D141" s="18"/>
      <c r="E141" s="21"/>
    </row>
    <row r="142" spans="1:5" ht="15" customHeight="1" x14ac:dyDescent="0.25">
      <c r="A142" s="20"/>
      <c r="B142" s="18"/>
      <c r="C142" s="19"/>
      <c r="D142" s="18"/>
      <c r="E142" s="21"/>
    </row>
    <row r="143" spans="1:5" ht="15" customHeight="1" x14ac:dyDescent="0.25">
      <c r="A143" s="20"/>
      <c r="B143" s="18"/>
      <c r="C143" s="19"/>
      <c r="D143" s="18"/>
      <c r="E143" s="21"/>
    </row>
    <row r="144" spans="1:5" ht="15" customHeight="1" x14ac:dyDescent="0.25">
      <c r="A144" s="20"/>
      <c r="B144" s="18"/>
      <c r="C144" s="19"/>
      <c r="D144" s="18"/>
      <c r="E144" s="21"/>
    </row>
    <row r="145" spans="1:5" ht="15" customHeight="1" x14ac:dyDescent="0.25">
      <c r="A145" s="20"/>
      <c r="B145" s="18"/>
      <c r="C145" s="19"/>
      <c r="D145" s="18"/>
      <c r="E145" s="21"/>
    </row>
    <row r="146" spans="1:5" ht="15" customHeight="1" x14ac:dyDescent="0.25">
      <c r="A146" s="20"/>
      <c r="B146" s="18"/>
      <c r="C146" s="19"/>
      <c r="D146" s="18"/>
      <c r="E146" s="21"/>
    </row>
    <row r="147" spans="1:5" ht="15" customHeight="1" x14ac:dyDescent="0.25">
      <c r="A147" s="20"/>
      <c r="B147" s="18"/>
      <c r="C147" s="19"/>
      <c r="D147" s="18"/>
      <c r="E147" s="21"/>
    </row>
    <row r="148" spans="1:5" ht="15" customHeight="1" x14ac:dyDescent="0.25">
      <c r="A148" s="20"/>
      <c r="B148" s="18"/>
      <c r="C148" s="19"/>
      <c r="D148" s="18"/>
      <c r="E148" s="21"/>
    </row>
    <row r="149" spans="1:5" ht="15" customHeight="1" x14ac:dyDescent="0.25">
      <c r="A149" s="20"/>
      <c r="B149" s="18"/>
      <c r="C149" s="19"/>
      <c r="D149" s="18"/>
      <c r="E149" s="21"/>
    </row>
    <row r="150" spans="1:5" ht="15" customHeight="1" x14ac:dyDescent="0.25">
      <c r="A150" s="20"/>
      <c r="B150" s="18"/>
      <c r="C150" s="19"/>
      <c r="D150" s="18"/>
      <c r="E150" s="21"/>
    </row>
    <row r="151" spans="1:5" ht="15" customHeight="1" x14ac:dyDescent="0.25">
      <c r="A151" s="20"/>
      <c r="B151" s="18"/>
      <c r="C151" s="19"/>
      <c r="D151" s="18"/>
      <c r="E151" s="21"/>
    </row>
    <row r="152" spans="1:5" ht="15" customHeight="1" x14ac:dyDescent="0.25">
      <c r="A152" s="20"/>
      <c r="B152" s="18"/>
      <c r="C152" s="19"/>
      <c r="D152" s="18"/>
      <c r="E152" s="21"/>
    </row>
    <row r="153" spans="1:5" ht="15" customHeight="1" x14ac:dyDescent="0.25">
      <c r="A153" s="20"/>
      <c r="B153" s="18"/>
      <c r="C153" s="19"/>
      <c r="D153" s="18"/>
      <c r="E153" s="21"/>
    </row>
    <row r="154" spans="1:5" ht="15" customHeight="1" x14ac:dyDescent="0.25">
      <c r="A154" s="20"/>
      <c r="B154" s="18"/>
      <c r="C154" s="19"/>
      <c r="D154" s="18"/>
      <c r="E154" s="21"/>
    </row>
    <row r="155" spans="1:5" ht="15" customHeight="1" x14ac:dyDescent="0.25">
      <c r="A155" s="20"/>
      <c r="B155" s="18"/>
      <c r="C155" s="19"/>
      <c r="D155" s="18"/>
      <c r="E155" s="21"/>
    </row>
    <row r="156" spans="1:5" ht="15" customHeight="1" x14ac:dyDescent="0.25">
      <c r="A156" s="20"/>
      <c r="B156" s="18"/>
      <c r="C156" s="19"/>
      <c r="D156" s="18"/>
      <c r="E156" s="21"/>
    </row>
    <row r="157" spans="1:5" ht="15" customHeight="1" x14ac:dyDescent="0.25">
      <c r="A157" s="20"/>
      <c r="B157" s="18"/>
      <c r="C157" s="19"/>
      <c r="D157" s="18"/>
      <c r="E157" s="21"/>
    </row>
    <row r="158" spans="1:5" ht="15" customHeight="1" x14ac:dyDescent="0.25">
      <c r="A158" s="20"/>
      <c r="B158" s="18"/>
      <c r="C158" s="19"/>
      <c r="D158" s="18"/>
      <c r="E158" s="21"/>
    </row>
    <row r="159" spans="1:5" ht="15" customHeight="1" x14ac:dyDescent="0.25">
      <c r="A159" s="20"/>
      <c r="B159" s="18"/>
      <c r="C159" s="19"/>
      <c r="D159" s="18"/>
      <c r="E159" s="21"/>
    </row>
    <row r="160" spans="1:5" ht="15" customHeight="1" x14ac:dyDescent="0.25">
      <c r="A160" s="20"/>
      <c r="B160" s="18"/>
      <c r="C160" s="19"/>
      <c r="D160" s="18"/>
      <c r="E160" s="21"/>
    </row>
    <row r="161" spans="1:5" ht="15" customHeight="1" x14ac:dyDescent="0.25">
      <c r="A161" s="20"/>
      <c r="B161" s="18"/>
      <c r="C161" s="19"/>
      <c r="D161" s="18"/>
      <c r="E161" s="21"/>
    </row>
    <row r="162" spans="1:5" ht="15" customHeight="1" x14ac:dyDescent="0.25">
      <c r="A162" s="20"/>
      <c r="B162" s="18"/>
      <c r="C162" s="19"/>
      <c r="D162" s="18"/>
      <c r="E162" s="21"/>
    </row>
    <row r="163" spans="1:5" ht="15" customHeight="1" x14ac:dyDescent="0.25">
      <c r="A163" s="20"/>
      <c r="B163" s="18"/>
      <c r="C163" s="19"/>
      <c r="D163" s="18"/>
      <c r="E163" s="21"/>
    </row>
    <row r="164" spans="1:5" ht="15" customHeight="1" x14ac:dyDescent="0.25">
      <c r="A164" s="20"/>
      <c r="B164" s="18"/>
      <c r="C164" s="19"/>
      <c r="D164" s="18"/>
      <c r="E164" s="21"/>
    </row>
    <row r="165" spans="1:5" ht="15" customHeight="1" x14ac:dyDescent="0.25">
      <c r="A165" s="20"/>
      <c r="B165" s="18"/>
      <c r="C165" s="19"/>
      <c r="D165" s="18"/>
      <c r="E165" s="21"/>
    </row>
    <row r="166" spans="1:5" ht="15" customHeight="1" x14ac:dyDescent="0.25">
      <c r="A166" s="20"/>
      <c r="B166" s="18"/>
      <c r="C166" s="19"/>
      <c r="D166" s="18"/>
      <c r="E166" s="21"/>
    </row>
    <row r="167" spans="1:5" ht="15" customHeight="1" x14ac:dyDescent="0.25">
      <c r="A167" s="20"/>
      <c r="B167" s="18"/>
      <c r="C167" s="19"/>
      <c r="D167" s="18"/>
      <c r="E167" s="21"/>
    </row>
    <row r="168" spans="1:5" ht="15" customHeight="1" x14ac:dyDescent="0.25">
      <c r="A168" s="20"/>
      <c r="B168" s="18"/>
      <c r="C168" s="19"/>
      <c r="D168" s="18"/>
      <c r="E168" s="21"/>
    </row>
    <row r="169" spans="1:5" ht="15" customHeight="1" x14ac:dyDescent="0.25">
      <c r="A169" s="20"/>
      <c r="B169" s="18"/>
      <c r="C169" s="19"/>
      <c r="D169" s="18"/>
      <c r="E169" s="21"/>
    </row>
    <row r="170" spans="1:5" ht="15" customHeight="1" x14ac:dyDescent="0.25">
      <c r="A170" s="20"/>
      <c r="B170" s="18"/>
      <c r="C170" s="19"/>
      <c r="D170" s="18"/>
      <c r="E170" s="21"/>
    </row>
    <row r="171" spans="1:5" ht="15" customHeight="1" x14ac:dyDescent="0.25">
      <c r="A171" s="20"/>
      <c r="B171" s="18"/>
      <c r="C171" s="19"/>
      <c r="D171" s="18"/>
      <c r="E171" s="21"/>
    </row>
    <row r="172" spans="1:5" ht="15" customHeight="1" x14ac:dyDescent="0.25">
      <c r="A172" s="20"/>
      <c r="B172" s="18"/>
      <c r="C172" s="19"/>
      <c r="D172" s="18"/>
      <c r="E172" s="21"/>
    </row>
    <row r="173" spans="1:5" ht="15" customHeight="1" x14ac:dyDescent="0.25">
      <c r="A173" s="20"/>
      <c r="B173" s="18"/>
      <c r="C173" s="19"/>
      <c r="D173" s="18"/>
      <c r="E173" s="21"/>
    </row>
    <row r="174" spans="1:5" ht="15" customHeight="1" x14ac:dyDescent="0.25">
      <c r="A174" s="20"/>
      <c r="B174" s="18"/>
      <c r="C174" s="19"/>
      <c r="D174" s="18"/>
      <c r="E174" s="21"/>
    </row>
    <row r="175" spans="1:5" ht="15" customHeight="1" x14ac:dyDescent="0.25">
      <c r="A175" s="20"/>
      <c r="B175" s="18"/>
      <c r="C175" s="19"/>
      <c r="D175" s="18"/>
      <c r="E175" s="21"/>
    </row>
    <row r="176" spans="1:5" ht="15" customHeight="1" x14ac:dyDescent="0.25">
      <c r="A176" s="20"/>
      <c r="B176" s="18"/>
      <c r="C176" s="19"/>
      <c r="D176" s="18"/>
      <c r="E176" s="21"/>
    </row>
    <row r="177" spans="1:5" ht="15" customHeight="1" x14ac:dyDescent="0.25">
      <c r="A177" s="20"/>
      <c r="B177" s="18"/>
      <c r="C177" s="19"/>
      <c r="D177" s="18"/>
      <c r="E177" s="21"/>
    </row>
    <row r="178" spans="1:5" ht="15" customHeight="1" x14ac:dyDescent="0.25">
      <c r="A178" s="20"/>
      <c r="B178" s="18"/>
      <c r="C178" s="19"/>
      <c r="D178" s="18"/>
      <c r="E178" s="21"/>
    </row>
    <row r="179" spans="1:5" ht="15" customHeight="1" x14ac:dyDescent="0.25">
      <c r="A179" s="20"/>
      <c r="B179" s="18"/>
      <c r="C179" s="19"/>
      <c r="D179" s="18"/>
      <c r="E179" s="21"/>
    </row>
    <row r="180" spans="1:5" ht="15" customHeight="1" x14ac:dyDescent="0.25">
      <c r="A180" s="20"/>
      <c r="B180" s="18"/>
      <c r="C180" s="19"/>
      <c r="D180" s="18"/>
      <c r="E180" s="21"/>
    </row>
    <row r="181" spans="1:5" ht="15" customHeight="1" x14ac:dyDescent="0.25">
      <c r="A181" s="20"/>
      <c r="B181" s="18"/>
      <c r="C181" s="19"/>
      <c r="D181" s="18"/>
      <c r="E181" s="21"/>
    </row>
    <row r="182" spans="1:5" ht="15" customHeight="1" x14ac:dyDescent="0.25">
      <c r="A182" s="20"/>
      <c r="B182" s="18"/>
      <c r="C182" s="19"/>
      <c r="D182" s="18"/>
      <c r="E182" s="21"/>
    </row>
    <row r="183" spans="1:5" ht="15" customHeight="1" x14ac:dyDescent="0.25">
      <c r="A183" s="20"/>
      <c r="B183" s="18"/>
      <c r="C183" s="19"/>
      <c r="D183" s="18"/>
      <c r="E183" s="21"/>
    </row>
    <row r="184" spans="1:5" ht="15" customHeight="1" x14ac:dyDescent="0.25">
      <c r="A184" s="20"/>
      <c r="B184" s="18"/>
      <c r="C184" s="19"/>
      <c r="D184" s="18"/>
      <c r="E184" s="21"/>
    </row>
    <row r="185" spans="1:5" ht="15" customHeight="1" x14ac:dyDescent="0.25">
      <c r="A185" s="20"/>
      <c r="B185" s="18"/>
      <c r="C185" s="19"/>
      <c r="D185" s="18"/>
      <c r="E185" s="21"/>
    </row>
    <row r="186" spans="1:5" ht="15" customHeight="1" x14ac:dyDescent="0.25">
      <c r="A186" s="20"/>
      <c r="B186" s="18"/>
      <c r="C186" s="19"/>
      <c r="D186" s="18"/>
      <c r="E186" s="21"/>
    </row>
    <row r="187" spans="1:5" ht="15" customHeight="1" x14ac:dyDescent="0.25">
      <c r="A187" s="20"/>
      <c r="B187" s="18"/>
      <c r="C187" s="19"/>
      <c r="D187" s="18"/>
      <c r="E187" s="21"/>
    </row>
    <row r="188" spans="1:5" ht="15" customHeight="1" x14ac:dyDescent="0.25">
      <c r="A188" s="20"/>
      <c r="B188" s="18"/>
      <c r="C188" s="19"/>
      <c r="D188" s="18"/>
      <c r="E188" s="21"/>
    </row>
    <row r="189" spans="1:5" ht="15" customHeight="1" x14ac:dyDescent="0.25">
      <c r="A189" s="20"/>
      <c r="B189" s="18"/>
      <c r="C189" s="19"/>
      <c r="D189" s="18"/>
      <c r="E189" s="21"/>
    </row>
    <row r="190" spans="1:5" ht="15" customHeight="1" x14ac:dyDescent="0.25">
      <c r="A190" s="20"/>
      <c r="B190" s="18"/>
      <c r="C190" s="19"/>
      <c r="D190" s="18"/>
      <c r="E190" s="21"/>
    </row>
    <row r="191" spans="1:5" ht="15" customHeight="1" x14ac:dyDescent="0.25">
      <c r="A191" s="20"/>
      <c r="B191" s="18"/>
      <c r="C191" s="19"/>
      <c r="D191" s="18"/>
      <c r="E191" s="21"/>
    </row>
    <row r="192" spans="1:5" ht="15" customHeight="1" x14ac:dyDescent="0.25">
      <c r="A192" s="20"/>
      <c r="B192" s="18"/>
      <c r="C192" s="19"/>
      <c r="D192" s="18"/>
      <c r="E192" s="21"/>
    </row>
    <row r="193" spans="1:5" ht="15" customHeight="1" x14ac:dyDescent="0.25">
      <c r="A193" s="20"/>
      <c r="B193" s="18"/>
      <c r="C193" s="19"/>
      <c r="D193" s="18"/>
      <c r="E193" s="21"/>
    </row>
    <row r="194" spans="1:5" ht="15" customHeight="1" x14ac:dyDescent="0.25">
      <c r="A194" s="20"/>
      <c r="B194" s="18"/>
      <c r="C194" s="19"/>
      <c r="D194" s="18"/>
      <c r="E194" s="21"/>
    </row>
    <row r="195" spans="1:5" ht="15" customHeight="1" x14ac:dyDescent="0.25">
      <c r="A195" s="20"/>
      <c r="B195" s="18"/>
      <c r="C195" s="19"/>
      <c r="D195" s="18"/>
      <c r="E195" s="21"/>
    </row>
    <row r="196" spans="1:5" ht="15" customHeight="1" x14ac:dyDescent="0.25">
      <c r="A196" s="20"/>
      <c r="B196" s="18"/>
      <c r="C196" s="19"/>
      <c r="D196" s="18"/>
      <c r="E196" s="21"/>
    </row>
    <row r="197" spans="1:5" ht="15" customHeight="1" x14ac:dyDescent="0.25">
      <c r="A197" s="20"/>
      <c r="B197" s="18"/>
      <c r="C197" s="19"/>
      <c r="D197" s="18"/>
      <c r="E197" s="21"/>
    </row>
    <row r="198" spans="1:5" ht="15" customHeight="1" x14ac:dyDescent="0.25">
      <c r="A198" s="20"/>
      <c r="B198" s="18"/>
      <c r="C198" s="19"/>
      <c r="D198" s="18"/>
      <c r="E198" s="21"/>
    </row>
    <row r="199" spans="1:5" ht="15" customHeight="1" x14ac:dyDescent="0.25">
      <c r="A199" s="20"/>
      <c r="B199" s="18"/>
      <c r="C199" s="19"/>
      <c r="D199" s="18"/>
      <c r="E199" s="21"/>
    </row>
    <row r="200" spans="1:5" ht="15" customHeight="1" x14ac:dyDescent="0.25">
      <c r="A200" s="20"/>
      <c r="B200" s="18"/>
      <c r="C200" s="19"/>
      <c r="D200" s="18"/>
      <c r="E200" s="21"/>
    </row>
    <row r="201" spans="1:5" ht="15" customHeight="1" x14ac:dyDescent="0.25">
      <c r="A201" s="20"/>
      <c r="B201" s="18"/>
      <c r="C201" s="19"/>
      <c r="D201" s="18"/>
      <c r="E201" s="21"/>
    </row>
    <row r="202" spans="1:5" ht="15" customHeight="1" x14ac:dyDescent="0.25">
      <c r="A202" s="20"/>
      <c r="B202" s="18"/>
      <c r="C202" s="19"/>
      <c r="D202" s="18"/>
      <c r="E202" s="21"/>
    </row>
    <row r="203" spans="1:5" ht="15" customHeight="1" x14ac:dyDescent="0.25">
      <c r="A203" s="20"/>
      <c r="B203" s="18"/>
      <c r="C203" s="19"/>
      <c r="D203" s="18"/>
      <c r="E203" s="21"/>
    </row>
    <row r="204" spans="1:5" ht="15" customHeight="1" x14ac:dyDescent="0.25">
      <c r="A204" s="20"/>
      <c r="B204" s="18"/>
      <c r="C204" s="19"/>
      <c r="D204" s="18"/>
      <c r="E204" s="21"/>
    </row>
    <row r="205" spans="1:5" ht="15" customHeight="1" x14ac:dyDescent="0.25">
      <c r="A205" s="20"/>
      <c r="B205" s="18"/>
      <c r="C205" s="19"/>
      <c r="D205" s="18"/>
      <c r="E205" s="21"/>
    </row>
    <row r="206" spans="1:5" ht="15" customHeight="1" x14ac:dyDescent="0.25">
      <c r="A206" s="20"/>
      <c r="B206" s="18"/>
      <c r="C206" s="19"/>
      <c r="D206" s="18"/>
      <c r="E206" s="21"/>
    </row>
    <row r="207" spans="1:5" ht="15" customHeight="1" x14ac:dyDescent="0.25">
      <c r="A207" s="20"/>
      <c r="B207" s="18"/>
      <c r="C207" s="19"/>
      <c r="D207" s="18"/>
      <c r="E207" s="21"/>
    </row>
    <row r="208" spans="1:5" ht="15" customHeight="1" x14ac:dyDescent="0.25">
      <c r="A208" s="20"/>
      <c r="B208" s="18"/>
      <c r="C208" s="19"/>
      <c r="D208" s="18"/>
      <c r="E208" s="21"/>
    </row>
    <row r="209" spans="1:5" ht="15" customHeight="1" x14ac:dyDescent="0.25">
      <c r="A209" s="20"/>
      <c r="B209" s="18"/>
      <c r="C209" s="19"/>
      <c r="D209" s="18"/>
      <c r="E209" s="21"/>
    </row>
    <row r="210" spans="1:5" ht="15" customHeight="1" x14ac:dyDescent="0.25">
      <c r="A210" s="20"/>
      <c r="B210" s="18"/>
      <c r="C210" s="19"/>
      <c r="D210" s="18"/>
      <c r="E210" s="21"/>
    </row>
    <row r="211" spans="1:5" ht="15" customHeight="1" x14ac:dyDescent="0.25">
      <c r="A211" s="20"/>
      <c r="B211" s="18"/>
      <c r="C211" s="19"/>
      <c r="D211" s="18"/>
      <c r="E211" s="21"/>
    </row>
    <row r="212" spans="1:5" ht="15" customHeight="1" x14ac:dyDescent="0.25">
      <c r="A212" s="20"/>
      <c r="B212" s="18"/>
      <c r="C212" s="19"/>
      <c r="D212" s="18"/>
      <c r="E212" s="21"/>
    </row>
    <row r="213" spans="1:5" ht="15" customHeight="1" x14ac:dyDescent="0.25">
      <c r="A213" s="20"/>
      <c r="B213" s="18"/>
      <c r="C213" s="19"/>
      <c r="D213" s="18"/>
      <c r="E213" s="21"/>
    </row>
    <row r="214" spans="1:5" ht="15" customHeight="1" x14ac:dyDescent="0.25">
      <c r="A214" s="20"/>
      <c r="B214" s="18"/>
      <c r="C214" s="19"/>
      <c r="D214" s="18"/>
      <c r="E214" s="21"/>
    </row>
    <row r="215" spans="1:5" ht="15" customHeight="1" x14ac:dyDescent="0.25">
      <c r="A215" s="20"/>
      <c r="B215" s="18"/>
      <c r="C215" s="19"/>
      <c r="D215" s="18"/>
      <c r="E215" s="21"/>
    </row>
    <row r="216" spans="1:5" ht="15" customHeight="1" x14ac:dyDescent="0.25">
      <c r="A216" s="20"/>
      <c r="B216" s="18"/>
      <c r="C216" s="19"/>
      <c r="D216" s="18"/>
      <c r="E216" s="21"/>
    </row>
    <row r="217" spans="1:5" ht="15" customHeight="1" x14ac:dyDescent="0.25">
      <c r="A217" s="20"/>
      <c r="B217" s="18"/>
      <c r="C217" s="19"/>
      <c r="D217" s="18"/>
      <c r="E217" s="21"/>
    </row>
    <row r="218" spans="1:5" ht="15" customHeight="1" x14ac:dyDescent="0.25">
      <c r="A218" s="20"/>
      <c r="B218" s="18"/>
      <c r="C218" s="19"/>
      <c r="D218" s="18"/>
      <c r="E218" s="21"/>
    </row>
    <row r="219" spans="1:5" ht="15" customHeight="1" x14ac:dyDescent="0.25">
      <c r="A219" s="20"/>
      <c r="B219" s="18"/>
      <c r="C219" s="19"/>
      <c r="D219" s="18"/>
      <c r="E219" s="21"/>
    </row>
    <row r="220" spans="1:5" ht="15" customHeight="1" x14ac:dyDescent="0.25">
      <c r="A220" s="20"/>
      <c r="B220" s="18"/>
      <c r="C220" s="19"/>
      <c r="D220" s="18"/>
      <c r="E220" s="21"/>
    </row>
    <row r="221" spans="1:5" ht="15" customHeight="1" x14ac:dyDescent="0.25">
      <c r="A221" s="20"/>
      <c r="B221" s="18"/>
      <c r="C221" s="19"/>
      <c r="D221" s="18"/>
      <c r="E221" s="21"/>
    </row>
    <row r="222" spans="1:5" ht="15" customHeight="1" x14ac:dyDescent="0.25">
      <c r="A222" s="20"/>
      <c r="B222" s="18"/>
      <c r="C222" s="19"/>
      <c r="D222" s="18"/>
      <c r="E222" s="21"/>
    </row>
    <row r="223" spans="1:5" ht="15" customHeight="1" x14ac:dyDescent="0.25">
      <c r="A223" s="20"/>
      <c r="B223" s="18"/>
      <c r="C223" s="19"/>
      <c r="D223" s="18"/>
      <c r="E223" s="21"/>
    </row>
    <row r="224" spans="1:5" ht="15" customHeight="1" x14ac:dyDescent="0.25">
      <c r="A224" s="20"/>
      <c r="B224" s="18"/>
      <c r="C224" s="19"/>
      <c r="D224" s="18"/>
      <c r="E224" s="21"/>
    </row>
    <row r="225" spans="1:5" ht="15" customHeight="1" x14ac:dyDescent="0.25">
      <c r="A225" s="20"/>
      <c r="B225" s="18"/>
      <c r="C225" s="19"/>
      <c r="D225" s="18"/>
      <c r="E225" s="21"/>
    </row>
    <row r="226" spans="1:5" ht="15" customHeight="1" x14ac:dyDescent="0.25">
      <c r="A226" s="20"/>
      <c r="B226" s="18"/>
      <c r="C226" s="19"/>
      <c r="D226" s="18"/>
      <c r="E226" s="21"/>
    </row>
    <row r="227" spans="1:5" ht="15" customHeight="1" x14ac:dyDescent="0.25">
      <c r="A227" s="20"/>
      <c r="B227" s="18"/>
      <c r="C227" s="19"/>
      <c r="D227" s="18"/>
      <c r="E227" s="21"/>
    </row>
    <row r="228" spans="1:5" ht="15" customHeight="1" x14ac:dyDescent="0.25">
      <c r="A228" s="20"/>
      <c r="B228" s="18"/>
      <c r="C228" s="19"/>
      <c r="D228" s="18"/>
      <c r="E228" s="21"/>
    </row>
    <row r="229" spans="1:5" ht="15" customHeight="1" x14ac:dyDescent="0.25">
      <c r="A229" s="20"/>
      <c r="B229" s="18"/>
      <c r="C229" s="19"/>
      <c r="D229" s="18"/>
      <c r="E229" s="21"/>
    </row>
    <row r="230" spans="1:5" ht="15" customHeight="1" x14ac:dyDescent="0.25">
      <c r="A230" s="20"/>
      <c r="B230" s="18"/>
      <c r="C230" s="19"/>
      <c r="D230" s="18"/>
      <c r="E230" s="21"/>
    </row>
    <row r="231" spans="1:5" ht="15" customHeight="1" x14ac:dyDescent="0.25">
      <c r="A231" s="20"/>
      <c r="B231" s="18"/>
      <c r="C231" s="19"/>
      <c r="D231" s="18"/>
      <c r="E231" s="21"/>
    </row>
    <row r="232" spans="1:5" ht="15" customHeight="1" x14ac:dyDescent="0.25">
      <c r="A232" s="20"/>
      <c r="B232" s="18"/>
      <c r="C232" s="19"/>
      <c r="D232" s="18"/>
      <c r="E232" s="21"/>
    </row>
    <row r="233" spans="1:5" ht="15" customHeight="1" x14ac:dyDescent="0.25">
      <c r="A233" s="20"/>
      <c r="B233" s="18"/>
      <c r="C233" s="19"/>
      <c r="D233" s="18"/>
      <c r="E233" s="21"/>
    </row>
    <row r="234" spans="1:5" ht="15" customHeight="1" x14ac:dyDescent="0.25">
      <c r="A234" s="20"/>
      <c r="B234" s="18"/>
      <c r="C234" s="19"/>
      <c r="D234" s="18"/>
      <c r="E234" s="21"/>
    </row>
    <row r="235" spans="1:5" ht="15" customHeight="1" x14ac:dyDescent="0.25">
      <c r="A235" s="20"/>
      <c r="B235" s="18"/>
      <c r="C235" s="19"/>
      <c r="D235" s="18"/>
      <c r="E235" s="21"/>
    </row>
    <row r="236" spans="1:5" ht="15" customHeight="1" x14ac:dyDescent="0.25">
      <c r="A236" s="20"/>
      <c r="B236" s="18"/>
      <c r="C236" s="19"/>
      <c r="D236" s="18"/>
      <c r="E236" s="21"/>
    </row>
    <row r="237" spans="1:5" ht="15" customHeight="1" x14ac:dyDescent="0.25">
      <c r="A237" s="20"/>
      <c r="B237" s="18"/>
      <c r="C237" s="19"/>
      <c r="D237" s="18"/>
      <c r="E237" s="21"/>
    </row>
    <row r="238" spans="1:5" ht="15" customHeight="1" x14ac:dyDescent="0.25">
      <c r="A238" s="20"/>
      <c r="B238" s="18"/>
      <c r="C238" s="19"/>
      <c r="D238" s="18"/>
      <c r="E238" s="21"/>
    </row>
    <row r="239" spans="1:5" ht="15" customHeight="1" x14ac:dyDescent="0.25">
      <c r="A239" s="20"/>
      <c r="B239" s="18"/>
      <c r="C239" s="19"/>
      <c r="D239" s="18"/>
      <c r="E239" s="21"/>
    </row>
    <row r="240" spans="1:5" ht="15" customHeight="1" x14ac:dyDescent="0.25">
      <c r="A240" s="20"/>
      <c r="B240" s="18"/>
      <c r="C240" s="19"/>
      <c r="D240" s="18"/>
      <c r="E240" s="21"/>
    </row>
    <row r="241" spans="1:5" ht="15" customHeight="1" x14ac:dyDescent="0.25">
      <c r="A241" s="20"/>
      <c r="B241" s="18"/>
      <c r="C241" s="19"/>
      <c r="D241" s="18"/>
      <c r="E241" s="21"/>
    </row>
    <row r="242" spans="1:5" ht="15" customHeight="1" x14ac:dyDescent="0.25">
      <c r="A242" s="20"/>
      <c r="B242" s="18"/>
      <c r="C242" s="19"/>
      <c r="D242" s="18"/>
      <c r="E242" s="21"/>
    </row>
    <row r="243" spans="1:5" ht="15" customHeight="1" x14ac:dyDescent="0.25">
      <c r="A243" s="20"/>
      <c r="B243" s="18"/>
      <c r="C243" s="19"/>
      <c r="D243" s="18"/>
      <c r="E243" s="21"/>
    </row>
    <row r="244" spans="1:5" ht="15" customHeight="1" x14ac:dyDescent="0.25">
      <c r="A244" s="20"/>
      <c r="B244" s="18"/>
      <c r="C244" s="19"/>
      <c r="D244" s="18"/>
      <c r="E244" s="21"/>
    </row>
    <row r="245" spans="1:5" ht="15" customHeight="1" x14ac:dyDescent="0.25">
      <c r="A245" s="20"/>
      <c r="B245" s="18"/>
      <c r="C245" s="19"/>
      <c r="D245" s="18"/>
      <c r="E245" s="21"/>
    </row>
    <row r="246" spans="1:5" ht="15" customHeight="1" x14ac:dyDescent="0.25">
      <c r="A246" s="20"/>
      <c r="B246" s="18"/>
      <c r="C246" s="19"/>
      <c r="D246" s="18"/>
      <c r="E246" s="21"/>
    </row>
    <row r="247" spans="1:5" ht="15" customHeight="1" x14ac:dyDescent="0.25">
      <c r="A247" s="20"/>
      <c r="B247" s="18"/>
      <c r="C247" s="19"/>
      <c r="D247" s="18"/>
      <c r="E247" s="21"/>
    </row>
    <row r="248" spans="1:5" ht="15" customHeight="1" x14ac:dyDescent="0.25">
      <c r="A248" s="20"/>
      <c r="B248" s="18"/>
      <c r="C248" s="19"/>
      <c r="D248" s="18"/>
      <c r="E248" s="21"/>
    </row>
    <row r="249" spans="1:5" ht="15" customHeight="1" x14ac:dyDescent="0.25">
      <c r="A249" s="20"/>
      <c r="B249" s="18"/>
      <c r="C249" s="19"/>
      <c r="D249" s="18"/>
      <c r="E249" s="21"/>
    </row>
    <row r="250" spans="1:5" ht="15" customHeight="1" x14ac:dyDescent="0.25">
      <c r="A250" s="20"/>
      <c r="B250" s="18"/>
      <c r="C250" s="19"/>
      <c r="D250" s="18"/>
      <c r="E250" s="21"/>
    </row>
    <row r="251" spans="1:5" ht="15" customHeight="1" x14ac:dyDescent="0.25">
      <c r="A251" s="20"/>
      <c r="B251" s="18"/>
      <c r="C251" s="19"/>
      <c r="D251" s="18"/>
      <c r="E251" s="21"/>
    </row>
    <row r="252" spans="1:5" ht="15" customHeight="1" x14ac:dyDescent="0.25">
      <c r="A252" s="20"/>
      <c r="B252" s="18"/>
      <c r="C252" s="19"/>
      <c r="D252" s="18"/>
      <c r="E252" s="21"/>
    </row>
    <row r="253" spans="1:5" ht="15" customHeight="1" x14ac:dyDescent="0.25">
      <c r="A253" s="20"/>
      <c r="B253" s="18"/>
      <c r="C253" s="19"/>
      <c r="D253" s="18"/>
      <c r="E253" s="21"/>
    </row>
    <row r="254" spans="1:5" ht="15" customHeight="1" x14ac:dyDescent="0.25">
      <c r="A254" s="20"/>
      <c r="B254" s="18"/>
      <c r="C254" s="19"/>
      <c r="D254" s="18"/>
      <c r="E254" s="21"/>
    </row>
    <row r="255" spans="1:5" ht="15" customHeight="1" x14ac:dyDescent="0.25">
      <c r="A255" s="20"/>
      <c r="B255" s="18"/>
      <c r="C255" s="19"/>
      <c r="D255" s="18"/>
      <c r="E255" s="21"/>
    </row>
    <row r="256" spans="1:5" ht="15" customHeight="1" x14ac:dyDescent="0.25">
      <c r="A256" s="20"/>
      <c r="B256" s="18"/>
      <c r="C256" s="19"/>
      <c r="D256" s="18"/>
      <c r="E256" s="21"/>
    </row>
    <row r="257" spans="1:5" ht="15" customHeight="1" x14ac:dyDescent="0.25">
      <c r="A257" s="20"/>
      <c r="B257" s="18"/>
      <c r="C257" s="19"/>
      <c r="D257" s="18"/>
      <c r="E257" s="21"/>
    </row>
    <row r="258" spans="1:5" ht="15" customHeight="1" x14ac:dyDescent="0.25">
      <c r="A258" s="20"/>
      <c r="B258" s="18"/>
      <c r="C258" s="19"/>
      <c r="D258" s="18"/>
      <c r="E258" s="21"/>
    </row>
    <row r="259" spans="1:5" ht="15" customHeight="1" x14ac:dyDescent="0.25">
      <c r="A259" s="20"/>
      <c r="B259" s="18"/>
      <c r="C259" s="19"/>
      <c r="D259" s="18"/>
      <c r="E259" s="21"/>
    </row>
    <row r="260" spans="1:5" ht="15" customHeight="1" x14ac:dyDescent="0.25">
      <c r="A260" s="20"/>
      <c r="B260" s="18"/>
      <c r="C260" s="19"/>
      <c r="D260" s="18"/>
      <c r="E260" s="21"/>
    </row>
    <row r="261" spans="1:5" ht="15" customHeight="1" x14ac:dyDescent="0.25">
      <c r="A261" s="20"/>
      <c r="B261" s="18"/>
      <c r="C261" s="19"/>
      <c r="D261" s="18"/>
      <c r="E261" s="21"/>
    </row>
    <row r="262" spans="1:5" ht="15" customHeight="1" x14ac:dyDescent="0.25">
      <c r="A262" s="20"/>
      <c r="B262" s="18"/>
      <c r="C262" s="19"/>
      <c r="D262" s="18"/>
      <c r="E262" s="21"/>
    </row>
    <row r="263" spans="1:5" ht="15" customHeight="1" x14ac:dyDescent="0.25">
      <c r="A263" s="20"/>
      <c r="B263" s="18"/>
      <c r="C263" s="19"/>
      <c r="D263" s="18"/>
      <c r="E263" s="21"/>
    </row>
    <row r="264" spans="1:5" ht="15" customHeight="1" x14ac:dyDescent="0.25">
      <c r="A264" s="20"/>
      <c r="B264" s="18"/>
      <c r="C264" s="19"/>
      <c r="D264" s="18"/>
      <c r="E264" s="21"/>
    </row>
    <row r="265" spans="1:5" ht="15" customHeight="1" x14ac:dyDescent="0.25">
      <c r="A265" s="20"/>
      <c r="B265" s="18"/>
      <c r="C265" s="19"/>
      <c r="D265" s="18"/>
      <c r="E265" s="21"/>
    </row>
    <row r="266" spans="1:5" ht="15" customHeight="1" x14ac:dyDescent="0.25">
      <c r="A266" s="20"/>
      <c r="B266" s="18"/>
      <c r="C266" s="19"/>
      <c r="D266" s="18"/>
      <c r="E266" s="21"/>
    </row>
    <row r="267" spans="1:5" ht="15" customHeight="1" x14ac:dyDescent="0.25">
      <c r="A267" s="20"/>
      <c r="B267" s="18"/>
      <c r="C267" s="19"/>
      <c r="D267" s="18"/>
      <c r="E267" s="21"/>
    </row>
    <row r="268" spans="1:5" ht="15" customHeight="1" x14ac:dyDescent="0.25">
      <c r="A268" s="20"/>
      <c r="B268" s="18"/>
      <c r="C268" s="19"/>
      <c r="D268" s="18"/>
      <c r="E268" s="21"/>
    </row>
    <row r="269" spans="1:5" ht="15" customHeight="1" x14ac:dyDescent="0.25">
      <c r="A269" s="20"/>
      <c r="B269" s="18"/>
      <c r="C269" s="19"/>
      <c r="D269" s="18"/>
      <c r="E269" s="21"/>
    </row>
    <row r="270" spans="1:5" ht="15" customHeight="1" x14ac:dyDescent="0.25">
      <c r="A270" s="20"/>
      <c r="B270" s="18"/>
      <c r="C270" s="19"/>
      <c r="D270" s="18"/>
      <c r="E270" s="21"/>
    </row>
    <row r="271" spans="1:5" ht="15" customHeight="1" x14ac:dyDescent="0.25">
      <c r="A271" s="20"/>
      <c r="B271" s="18"/>
      <c r="C271" s="19"/>
      <c r="D271" s="18"/>
      <c r="E271" s="21"/>
    </row>
    <row r="272" spans="1:5" ht="15" customHeight="1" x14ac:dyDescent="0.25">
      <c r="A272" s="20"/>
      <c r="B272" s="18"/>
      <c r="C272" s="19"/>
      <c r="D272" s="18"/>
      <c r="E272" s="21"/>
    </row>
    <row r="273" spans="1:5" ht="15" customHeight="1" x14ac:dyDescent="0.25">
      <c r="A273" s="20"/>
      <c r="B273" s="18"/>
      <c r="C273" s="19"/>
      <c r="D273" s="18"/>
      <c r="E273" s="21"/>
    </row>
    <row r="274" spans="1:5" ht="15" customHeight="1" x14ac:dyDescent="0.25">
      <c r="A274" s="20"/>
      <c r="B274" s="18"/>
      <c r="C274" s="19"/>
      <c r="D274" s="18"/>
      <c r="E274" s="21"/>
    </row>
    <row r="275" spans="1:5" ht="15" customHeight="1" x14ac:dyDescent="0.25">
      <c r="A275" s="20"/>
      <c r="B275" s="18"/>
      <c r="C275" s="19"/>
      <c r="D275" s="18"/>
      <c r="E275" s="21"/>
    </row>
    <row r="276" spans="1:5" ht="15" customHeight="1" x14ac:dyDescent="0.25">
      <c r="A276" s="20"/>
      <c r="B276" s="18"/>
      <c r="C276" s="19"/>
      <c r="D276" s="18"/>
      <c r="E276" s="21"/>
    </row>
    <row r="277" spans="1:5" ht="15" customHeight="1" x14ac:dyDescent="0.25">
      <c r="A277" s="20"/>
      <c r="B277" s="18"/>
      <c r="C277" s="19"/>
      <c r="D277" s="18"/>
      <c r="E277" s="21"/>
    </row>
    <row r="278" spans="1:5" ht="15" customHeight="1" x14ac:dyDescent="0.25">
      <c r="A278" s="20"/>
      <c r="B278" s="18"/>
      <c r="C278" s="19"/>
      <c r="D278" s="18"/>
      <c r="E278" s="21"/>
    </row>
    <row r="279" spans="1:5" ht="15" customHeight="1" x14ac:dyDescent="0.25">
      <c r="A279" s="20"/>
      <c r="B279" s="18"/>
      <c r="C279" s="19"/>
      <c r="D279" s="18"/>
      <c r="E279" s="21"/>
    </row>
    <row r="280" spans="1:5" ht="15" customHeight="1" x14ac:dyDescent="0.25">
      <c r="A280" s="20"/>
      <c r="B280" s="18"/>
      <c r="C280" s="19"/>
      <c r="D280" s="18"/>
      <c r="E280" s="21"/>
    </row>
    <row r="281" spans="1:5" ht="15" customHeight="1" x14ac:dyDescent="0.25">
      <c r="A281" s="20"/>
      <c r="B281" s="18"/>
      <c r="C281" s="19"/>
      <c r="D281" s="18"/>
      <c r="E281" s="21"/>
    </row>
    <row r="282" spans="1:5" ht="15" customHeight="1" x14ac:dyDescent="0.25">
      <c r="A282" s="20"/>
      <c r="B282" s="18"/>
      <c r="C282" s="19"/>
      <c r="D282" s="18"/>
      <c r="E282" s="21"/>
    </row>
    <row r="283" spans="1:5" ht="15" customHeight="1" x14ac:dyDescent="0.25">
      <c r="A283" s="20"/>
      <c r="B283" s="18"/>
      <c r="C283" s="19"/>
      <c r="D283" s="18"/>
      <c r="E283" s="21"/>
    </row>
    <row r="284" spans="1:5" ht="15" customHeight="1" x14ac:dyDescent="0.25">
      <c r="A284" s="20"/>
      <c r="B284" s="18"/>
      <c r="C284" s="19"/>
      <c r="D284" s="18"/>
      <c r="E284" s="21"/>
    </row>
    <row r="285" spans="1:5" ht="15" customHeight="1" x14ac:dyDescent="0.25">
      <c r="A285" s="20"/>
      <c r="B285" s="18"/>
      <c r="C285" s="19"/>
      <c r="D285" s="18"/>
      <c r="E285" s="21"/>
    </row>
    <row r="286" spans="1:5" ht="15" customHeight="1" x14ac:dyDescent="0.25">
      <c r="A286" s="20"/>
      <c r="B286" s="18"/>
      <c r="C286" s="19"/>
      <c r="D286" s="18"/>
      <c r="E286" s="21"/>
    </row>
    <row r="287" spans="1:5" ht="15" customHeight="1" x14ac:dyDescent="0.25">
      <c r="A287" s="20"/>
      <c r="B287" s="18"/>
      <c r="C287" s="19"/>
      <c r="D287" s="18"/>
      <c r="E287" s="21"/>
    </row>
    <row r="288" spans="1:5" ht="15" customHeight="1" x14ac:dyDescent="0.25">
      <c r="A288" s="20"/>
      <c r="B288" s="18"/>
      <c r="C288" s="19"/>
      <c r="D288" s="18"/>
      <c r="E288" s="21"/>
    </row>
    <row r="289" spans="1:5" ht="15" customHeight="1" x14ac:dyDescent="0.25">
      <c r="A289" s="20"/>
      <c r="B289" s="18"/>
      <c r="C289" s="19"/>
      <c r="D289" s="18"/>
      <c r="E289" s="21"/>
    </row>
    <row r="290" spans="1:5" ht="15" customHeight="1" x14ac:dyDescent="0.25">
      <c r="A290" s="20"/>
      <c r="B290" s="18"/>
      <c r="C290" s="19"/>
      <c r="D290" s="18"/>
      <c r="E290" s="21"/>
    </row>
    <row r="291" spans="1:5" ht="15" customHeight="1" x14ac:dyDescent="0.25">
      <c r="A291" s="20"/>
      <c r="B291" s="18"/>
      <c r="C291" s="19"/>
      <c r="D291" s="18"/>
      <c r="E291" s="21"/>
    </row>
    <row r="292" spans="1:5" ht="15" customHeight="1" x14ac:dyDescent="0.25">
      <c r="A292" s="20"/>
      <c r="B292" s="18"/>
      <c r="C292" s="19"/>
      <c r="D292" s="18"/>
      <c r="E292" s="21"/>
    </row>
    <row r="293" spans="1:5" ht="15" customHeight="1" x14ac:dyDescent="0.25">
      <c r="A293" s="20"/>
      <c r="B293" s="18"/>
      <c r="C293" s="19"/>
      <c r="D293" s="18"/>
      <c r="E293" s="21"/>
    </row>
    <row r="294" spans="1:5" ht="15" customHeight="1" x14ac:dyDescent="0.25">
      <c r="A294" s="20"/>
      <c r="B294" s="18"/>
      <c r="C294" s="19"/>
      <c r="D294" s="18"/>
      <c r="E294" s="21"/>
    </row>
    <row r="295" spans="1:5" ht="15" customHeight="1" x14ac:dyDescent="0.25">
      <c r="A295" s="20"/>
      <c r="B295" s="18"/>
      <c r="C295" s="19"/>
      <c r="D295" s="18"/>
      <c r="E295" s="21"/>
    </row>
    <row r="296" spans="1:5" ht="15" customHeight="1" x14ac:dyDescent="0.25">
      <c r="A296" s="20"/>
      <c r="B296" s="18"/>
      <c r="C296" s="19"/>
      <c r="D296" s="18"/>
      <c r="E296" s="21"/>
    </row>
    <row r="297" spans="1:5" ht="15" customHeight="1" x14ac:dyDescent="0.25">
      <c r="A297" s="20"/>
      <c r="B297" s="18"/>
      <c r="C297" s="19"/>
      <c r="D297" s="18"/>
      <c r="E297" s="21"/>
    </row>
    <row r="298" spans="1:5" ht="15" customHeight="1" x14ac:dyDescent="0.25">
      <c r="A298" s="20"/>
      <c r="B298" s="18"/>
      <c r="C298" s="19"/>
      <c r="D298" s="18"/>
      <c r="E298" s="21"/>
    </row>
    <row r="299" spans="1:5" ht="15" customHeight="1" x14ac:dyDescent="0.25">
      <c r="A299" s="20"/>
      <c r="B299" s="18"/>
      <c r="C299" s="19"/>
      <c r="D299" s="18"/>
      <c r="E299" s="21"/>
    </row>
    <row r="300" spans="1:5" ht="15" customHeight="1" x14ac:dyDescent="0.25">
      <c r="A300" s="20"/>
      <c r="B300" s="18"/>
      <c r="C300" s="19"/>
      <c r="D300" s="18"/>
      <c r="E300" s="21"/>
    </row>
    <row r="301" spans="1:5" ht="15" customHeight="1" x14ac:dyDescent="0.25">
      <c r="A301" s="20"/>
      <c r="B301" s="18"/>
      <c r="C301" s="19"/>
      <c r="D301" s="18"/>
      <c r="E301" s="21"/>
    </row>
    <row r="302" spans="1:5" ht="15" customHeight="1" x14ac:dyDescent="0.25">
      <c r="A302" s="20"/>
      <c r="B302" s="18"/>
      <c r="C302" s="19"/>
      <c r="D302" s="18"/>
      <c r="E302" s="21"/>
    </row>
    <row r="303" spans="1:5" ht="15" customHeight="1" x14ac:dyDescent="0.25">
      <c r="A303" s="20"/>
      <c r="B303" s="18"/>
      <c r="C303" s="19"/>
      <c r="D303" s="18"/>
      <c r="E303" s="21"/>
    </row>
    <row r="304" spans="1:5" ht="15" customHeight="1" x14ac:dyDescent="0.25">
      <c r="A304" s="20"/>
      <c r="B304" s="18"/>
      <c r="C304" s="19"/>
      <c r="D304" s="18"/>
      <c r="E304" s="21"/>
    </row>
    <row r="305" spans="1:5" ht="15" customHeight="1" x14ac:dyDescent="0.25">
      <c r="A305" s="20"/>
      <c r="B305" s="18"/>
      <c r="C305" s="19"/>
      <c r="D305" s="18"/>
      <c r="E305" s="21"/>
    </row>
    <row r="306" spans="1:5" ht="15" customHeight="1" x14ac:dyDescent="0.25">
      <c r="A306" s="20"/>
      <c r="B306" s="18"/>
      <c r="C306" s="19"/>
      <c r="D306" s="18"/>
      <c r="E306" s="21"/>
    </row>
    <row r="307" spans="1:5" ht="15" customHeight="1" x14ac:dyDescent="0.25">
      <c r="A307" s="20"/>
      <c r="B307" s="18"/>
      <c r="C307" s="19"/>
      <c r="D307" s="18"/>
      <c r="E307" s="21"/>
    </row>
    <row r="308" spans="1:5" ht="15" customHeight="1" x14ac:dyDescent="0.25">
      <c r="A308" s="20"/>
      <c r="B308" s="18"/>
      <c r="C308" s="19"/>
      <c r="D308" s="18"/>
      <c r="E308" s="21"/>
    </row>
    <row r="309" spans="1:5" ht="15" customHeight="1" x14ac:dyDescent="0.25">
      <c r="A309" s="20"/>
      <c r="B309" s="18"/>
      <c r="C309" s="19"/>
      <c r="D309" s="18"/>
      <c r="E309" s="21"/>
    </row>
    <row r="310" spans="1:5" ht="15" customHeight="1" x14ac:dyDescent="0.25">
      <c r="A310" s="20"/>
      <c r="B310" s="18"/>
      <c r="C310" s="19"/>
      <c r="D310" s="18"/>
      <c r="E310" s="21"/>
    </row>
    <row r="311" spans="1:5" ht="15" customHeight="1" x14ac:dyDescent="0.25">
      <c r="A311" s="20"/>
      <c r="B311" s="18"/>
      <c r="C311" s="19"/>
      <c r="D311" s="18"/>
      <c r="E311" s="21"/>
    </row>
    <row r="312" spans="1:5" ht="15" customHeight="1" x14ac:dyDescent="0.25">
      <c r="A312" s="20"/>
      <c r="B312" s="18"/>
      <c r="C312" s="19"/>
      <c r="D312" s="18"/>
      <c r="E312" s="21"/>
    </row>
    <row r="313" spans="1:5" ht="15" customHeight="1" x14ac:dyDescent="0.25">
      <c r="A313" s="20"/>
      <c r="B313" s="18"/>
      <c r="C313" s="19"/>
      <c r="D313" s="18"/>
      <c r="E313" s="21"/>
    </row>
    <row r="314" spans="1:5" ht="15" customHeight="1" x14ac:dyDescent="0.25">
      <c r="A314" s="20"/>
      <c r="B314" s="18"/>
      <c r="C314" s="19"/>
      <c r="D314" s="18"/>
      <c r="E314" s="21"/>
    </row>
    <row r="315" spans="1:5" ht="15" customHeight="1" x14ac:dyDescent="0.25">
      <c r="A315" s="20"/>
      <c r="B315" s="18"/>
      <c r="C315" s="19"/>
      <c r="D315" s="18"/>
      <c r="E315" s="21"/>
    </row>
    <row r="316" spans="1:5" ht="15" customHeight="1" x14ac:dyDescent="0.25">
      <c r="A316" s="20"/>
      <c r="B316" s="18"/>
      <c r="C316" s="19"/>
      <c r="D316" s="18"/>
      <c r="E316" s="21"/>
    </row>
    <row r="317" spans="1:5" ht="15" customHeight="1" x14ac:dyDescent="0.25">
      <c r="A317" s="20"/>
      <c r="B317" s="18"/>
      <c r="C317" s="19"/>
      <c r="D317" s="18"/>
      <c r="E317" s="21"/>
    </row>
    <row r="318" spans="1:5" ht="15" customHeight="1" x14ac:dyDescent="0.25">
      <c r="A318" s="20"/>
      <c r="B318" s="18"/>
      <c r="C318" s="19"/>
      <c r="D318" s="18"/>
      <c r="E318" s="21"/>
    </row>
    <row r="319" spans="1:5" ht="15" customHeight="1" x14ac:dyDescent="0.25">
      <c r="A319" s="20"/>
      <c r="B319" s="18"/>
      <c r="C319" s="19"/>
      <c r="D319" s="18"/>
      <c r="E319" s="21"/>
    </row>
    <row r="320" spans="1:5" ht="15" customHeight="1" x14ac:dyDescent="0.25">
      <c r="A320" s="20"/>
      <c r="B320" s="18"/>
      <c r="C320" s="19"/>
      <c r="D320" s="18"/>
      <c r="E320" s="21"/>
    </row>
    <row r="321" spans="1:5" ht="15" customHeight="1" x14ac:dyDescent="0.25">
      <c r="A321" s="20"/>
      <c r="B321" s="18"/>
      <c r="C321" s="19"/>
      <c r="D321" s="18"/>
      <c r="E321" s="21"/>
    </row>
    <row r="322" spans="1:5" ht="15" customHeight="1" x14ac:dyDescent="0.25">
      <c r="A322" s="20"/>
      <c r="B322" s="18"/>
      <c r="C322" s="19"/>
      <c r="D322" s="18"/>
      <c r="E322" s="21"/>
    </row>
    <row r="323" spans="1:5" ht="15" customHeight="1" x14ac:dyDescent="0.25">
      <c r="A323" s="20"/>
      <c r="B323" s="18"/>
      <c r="C323" s="19"/>
      <c r="D323" s="18"/>
      <c r="E323" s="21"/>
    </row>
    <row r="324" spans="1:5" ht="15" customHeight="1" x14ac:dyDescent="0.25">
      <c r="A324" s="20"/>
      <c r="B324" s="18"/>
      <c r="C324" s="19"/>
      <c r="D324" s="18"/>
      <c r="E324" s="21"/>
    </row>
    <row r="325" spans="1:5" ht="15" customHeight="1" x14ac:dyDescent="0.25">
      <c r="A325" s="20"/>
      <c r="B325" s="18"/>
      <c r="C325" s="19"/>
      <c r="D325" s="18"/>
      <c r="E325" s="21"/>
    </row>
    <row r="326" spans="1:5" ht="15" customHeight="1" x14ac:dyDescent="0.25">
      <c r="A326" s="20"/>
      <c r="B326" s="18"/>
      <c r="C326" s="19"/>
      <c r="D326" s="18"/>
      <c r="E326" s="21"/>
    </row>
    <row r="327" spans="1:5" ht="15" customHeight="1" x14ac:dyDescent="0.25">
      <c r="A327" s="20"/>
      <c r="B327" s="18"/>
      <c r="C327" s="19"/>
      <c r="D327" s="18"/>
      <c r="E327" s="21"/>
    </row>
    <row r="328" spans="1:5" ht="15" customHeight="1" x14ac:dyDescent="0.25">
      <c r="A328" s="20"/>
      <c r="B328" s="18"/>
      <c r="C328" s="19"/>
      <c r="D328" s="18"/>
      <c r="E328" s="21"/>
    </row>
    <row r="329" spans="1:5" ht="15" customHeight="1" x14ac:dyDescent="0.25">
      <c r="A329" s="20"/>
      <c r="B329" s="18"/>
      <c r="C329" s="19"/>
      <c r="D329" s="18"/>
      <c r="E329" s="21"/>
    </row>
    <row r="330" spans="1:5" ht="15" customHeight="1" x14ac:dyDescent="0.25">
      <c r="A330" s="20"/>
      <c r="B330" s="18"/>
      <c r="C330" s="19"/>
      <c r="D330" s="18"/>
      <c r="E330" s="21"/>
    </row>
    <row r="331" spans="1:5" ht="15" customHeight="1" x14ac:dyDescent="0.25">
      <c r="A331" s="20"/>
      <c r="B331" s="18"/>
      <c r="C331" s="19"/>
      <c r="D331" s="18"/>
      <c r="E331" s="21"/>
    </row>
    <row r="332" spans="1:5" ht="15" customHeight="1" x14ac:dyDescent="0.25">
      <c r="A332" s="20"/>
      <c r="B332" s="18"/>
      <c r="C332" s="19"/>
      <c r="D332" s="18"/>
      <c r="E332" s="21"/>
    </row>
    <row r="333" spans="1:5" ht="15" customHeight="1" x14ac:dyDescent="0.25">
      <c r="A333" s="20"/>
      <c r="B333" s="18"/>
      <c r="C333" s="19"/>
      <c r="D333" s="18"/>
      <c r="E333" s="21"/>
    </row>
    <row r="334" spans="1:5" ht="15" customHeight="1" x14ac:dyDescent="0.25">
      <c r="A334" s="20"/>
      <c r="B334" s="18"/>
      <c r="C334" s="19"/>
      <c r="D334" s="18"/>
      <c r="E334" s="21"/>
    </row>
    <row r="335" spans="1:5" ht="15" customHeight="1" x14ac:dyDescent="0.25">
      <c r="A335" s="20"/>
      <c r="B335" s="18"/>
      <c r="C335" s="19"/>
      <c r="D335" s="18"/>
      <c r="E335" s="21"/>
    </row>
    <row r="336" spans="1:5" ht="15" customHeight="1" x14ac:dyDescent="0.25">
      <c r="A336" s="20"/>
      <c r="B336" s="18"/>
      <c r="C336" s="19"/>
      <c r="D336" s="18"/>
      <c r="E336" s="21"/>
    </row>
    <row r="337" spans="1:5" ht="15" customHeight="1" x14ac:dyDescent="0.25">
      <c r="A337" s="20"/>
      <c r="B337" s="18"/>
      <c r="C337" s="19"/>
      <c r="D337" s="18"/>
      <c r="E337" s="21"/>
    </row>
    <row r="338" spans="1:5" ht="15" customHeight="1" x14ac:dyDescent="0.25">
      <c r="A338" s="20"/>
      <c r="B338" s="18"/>
      <c r="C338" s="19"/>
      <c r="D338" s="18"/>
      <c r="E338" s="21"/>
    </row>
    <row r="339" spans="1:5" ht="15" customHeight="1" x14ac:dyDescent="0.25">
      <c r="A339" s="20"/>
      <c r="B339" s="18"/>
      <c r="C339" s="19"/>
      <c r="D339" s="18"/>
      <c r="E339" s="21"/>
    </row>
    <row r="340" spans="1:5" ht="15" customHeight="1" x14ac:dyDescent="0.25">
      <c r="A340" s="20"/>
      <c r="B340" s="18"/>
      <c r="C340" s="19"/>
      <c r="D340" s="18"/>
      <c r="E340" s="21"/>
    </row>
    <row r="341" spans="1:5" ht="15" customHeight="1" x14ac:dyDescent="0.25">
      <c r="A341" s="20"/>
      <c r="B341" s="18"/>
      <c r="C341" s="19"/>
      <c r="D341" s="18"/>
      <c r="E341" s="21"/>
    </row>
    <row r="342" spans="1:5" ht="15" customHeight="1" x14ac:dyDescent="0.25">
      <c r="A342" s="20"/>
      <c r="B342" s="18"/>
      <c r="C342" s="19"/>
      <c r="D342" s="18"/>
      <c r="E342" s="21"/>
    </row>
    <row r="343" spans="1:5" ht="15" customHeight="1" x14ac:dyDescent="0.25">
      <c r="A343" s="20"/>
      <c r="B343" s="18"/>
      <c r="C343" s="19"/>
      <c r="D343" s="18"/>
      <c r="E343" s="21"/>
    </row>
    <row r="344" spans="1:5" ht="15" customHeight="1" x14ac:dyDescent="0.25">
      <c r="A344" s="20"/>
      <c r="B344" s="18"/>
      <c r="C344" s="19"/>
      <c r="D344" s="18"/>
      <c r="E344" s="21"/>
    </row>
    <row r="345" spans="1:5" ht="15" customHeight="1" x14ac:dyDescent="0.25">
      <c r="A345" s="20"/>
      <c r="B345" s="18"/>
      <c r="C345" s="19"/>
      <c r="D345" s="18"/>
      <c r="E345" s="21"/>
    </row>
    <row r="346" spans="1:5" ht="15" customHeight="1" x14ac:dyDescent="0.25">
      <c r="A346" s="20"/>
      <c r="B346" s="18"/>
      <c r="C346" s="19"/>
      <c r="D346" s="18"/>
      <c r="E346" s="21"/>
    </row>
    <row r="347" spans="1:5" ht="15" customHeight="1" x14ac:dyDescent="0.25">
      <c r="A347" s="20"/>
      <c r="B347" s="18"/>
      <c r="C347" s="19"/>
      <c r="D347" s="18"/>
      <c r="E347" s="21"/>
    </row>
    <row r="348" spans="1:5" ht="15" customHeight="1" x14ac:dyDescent="0.25">
      <c r="A348" s="20"/>
      <c r="B348" s="18"/>
      <c r="C348" s="19"/>
      <c r="D348" s="18"/>
      <c r="E348" s="21"/>
    </row>
    <row r="349" spans="1:5" ht="15" customHeight="1" x14ac:dyDescent="0.25">
      <c r="A349" s="20"/>
      <c r="B349" s="18"/>
      <c r="C349" s="19"/>
      <c r="D349" s="18"/>
      <c r="E349" s="21"/>
    </row>
    <row r="350" spans="1:5" ht="15" customHeight="1" x14ac:dyDescent="0.25">
      <c r="A350" s="20"/>
      <c r="B350" s="18"/>
      <c r="C350" s="19"/>
      <c r="D350" s="18"/>
      <c r="E350" s="21"/>
    </row>
    <row r="351" spans="1:5" ht="15" customHeight="1" x14ac:dyDescent="0.25">
      <c r="A351" s="20"/>
      <c r="B351" s="18"/>
      <c r="C351" s="19"/>
      <c r="D351" s="18"/>
      <c r="E351" s="21"/>
    </row>
    <row r="352" spans="1:5" ht="15" customHeight="1" x14ac:dyDescent="0.25">
      <c r="A352" s="20"/>
      <c r="B352" s="18"/>
      <c r="C352" s="19"/>
      <c r="D352" s="18"/>
      <c r="E352" s="21"/>
    </row>
    <row r="353" spans="1:5" ht="15" customHeight="1" x14ac:dyDescent="0.25">
      <c r="A353" s="20"/>
      <c r="B353" s="18"/>
      <c r="C353" s="19"/>
      <c r="D353" s="18"/>
      <c r="E353" s="21"/>
    </row>
    <row r="354" spans="1:5" ht="15" customHeight="1" x14ac:dyDescent="0.25">
      <c r="A354" s="20"/>
      <c r="B354" s="18"/>
      <c r="C354" s="19"/>
      <c r="D354" s="18"/>
      <c r="E354" s="21"/>
    </row>
    <row r="355" spans="1:5" ht="15" customHeight="1" x14ac:dyDescent="0.25">
      <c r="A355" s="20"/>
      <c r="B355" s="18"/>
      <c r="C355" s="19"/>
      <c r="D355" s="18"/>
      <c r="E355" s="21"/>
    </row>
    <row r="356" spans="1:5" ht="15" customHeight="1" x14ac:dyDescent="0.25">
      <c r="A356" s="20"/>
      <c r="B356" s="18"/>
      <c r="C356" s="19"/>
      <c r="D356" s="18"/>
      <c r="E356" s="21"/>
    </row>
    <row r="357" spans="1:5" ht="15" customHeight="1" x14ac:dyDescent="0.25">
      <c r="A357" s="20"/>
      <c r="B357" s="18"/>
      <c r="C357" s="19"/>
      <c r="D357" s="18"/>
      <c r="E357" s="21"/>
    </row>
    <row r="358" spans="1:5" ht="15" customHeight="1" x14ac:dyDescent="0.25">
      <c r="A358" s="20"/>
      <c r="B358" s="18"/>
      <c r="C358" s="19"/>
      <c r="D358" s="18"/>
      <c r="E358" s="21"/>
    </row>
    <row r="359" spans="1:5" ht="15" customHeight="1" x14ac:dyDescent="0.25">
      <c r="A359" s="20"/>
      <c r="B359" s="18"/>
      <c r="C359" s="19"/>
      <c r="D359" s="18"/>
      <c r="E359" s="21"/>
    </row>
    <row r="360" spans="1:5" ht="15" customHeight="1" x14ac:dyDescent="0.25">
      <c r="A360" s="20"/>
      <c r="B360" s="18"/>
      <c r="C360" s="19"/>
      <c r="D360" s="18"/>
      <c r="E360" s="21"/>
    </row>
    <row r="361" spans="1:5" ht="15" customHeight="1" x14ac:dyDescent="0.25">
      <c r="A361" s="20"/>
      <c r="B361" s="18"/>
      <c r="C361" s="19"/>
      <c r="D361" s="18"/>
      <c r="E361" s="21"/>
    </row>
    <row r="362" spans="1:5" ht="15" customHeight="1" x14ac:dyDescent="0.25">
      <c r="A362" s="20"/>
      <c r="B362" s="18"/>
      <c r="C362" s="19"/>
      <c r="D362" s="18"/>
      <c r="E362" s="21"/>
    </row>
    <row r="363" spans="1:5" ht="15" customHeight="1" x14ac:dyDescent="0.25">
      <c r="A363" s="20"/>
      <c r="B363" s="18"/>
      <c r="C363" s="19"/>
      <c r="D363" s="18"/>
      <c r="E363" s="21"/>
    </row>
    <row r="364" spans="1:5" ht="15" customHeight="1" x14ac:dyDescent="0.25">
      <c r="A364" s="20"/>
      <c r="B364" s="18"/>
      <c r="C364" s="19"/>
      <c r="D364" s="18"/>
      <c r="E364" s="21"/>
    </row>
    <row r="365" spans="1:5" ht="15" customHeight="1" x14ac:dyDescent="0.25">
      <c r="A365" s="20"/>
      <c r="B365" s="18"/>
      <c r="C365" s="19"/>
      <c r="D365" s="18"/>
      <c r="E365" s="21"/>
    </row>
    <row r="366" spans="1:5" ht="15" customHeight="1" x14ac:dyDescent="0.25">
      <c r="A366" s="20"/>
      <c r="B366" s="18"/>
      <c r="C366" s="19"/>
      <c r="D366" s="18"/>
      <c r="E366" s="21"/>
    </row>
    <row r="367" spans="1:5" ht="15" customHeight="1" x14ac:dyDescent="0.25">
      <c r="A367" s="20"/>
      <c r="B367" s="18"/>
      <c r="C367" s="19"/>
      <c r="D367" s="18"/>
      <c r="E367" s="21"/>
    </row>
    <row r="368" spans="1:5" ht="15" customHeight="1" x14ac:dyDescent="0.25">
      <c r="A368" s="20"/>
      <c r="B368" s="18"/>
      <c r="C368" s="19"/>
      <c r="D368" s="18"/>
      <c r="E368" s="21"/>
    </row>
    <row r="369" spans="1:5" ht="15" customHeight="1" x14ac:dyDescent="0.25">
      <c r="A369" s="20"/>
      <c r="B369" s="18"/>
      <c r="C369" s="19"/>
      <c r="D369" s="18"/>
      <c r="E369" s="21"/>
    </row>
    <row r="370" spans="1:5" ht="15" customHeight="1" x14ac:dyDescent="0.25">
      <c r="A370" s="20"/>
      <c r="B370" s="18"/>
      <c r="C370" s="19"/>
      <c r="D370" s="18"/>
      <c r="E370" s="21"/>
    </row>
    <row r="371" spans="1:5" ht="15" customHeight="1" x14ac:dyDescent="0.25">
      <c r="A371" s="20"/>
      <c r="B371" s="18"/>
      <c r="C371" s="19"/>
      <c r="D371" s="18"/>
      <c r="E371" s="21"/>
    </row>
    <row r="372" spans="1:5" ht="15" customHeight="1" x14ac:dyDescent="0.25">
      <c r="A372" s="20"/>
      <c r="B372" s="18"/>
      <c r="C372" s="19"/>
      <c r="D372" s="18"/>
      <c r="E372" s="21"/>
    </row>
    <row r="373" spans="1:5" ht="15" customHeight="1" x14ac:dyDescent="0.25">
      <c r="A373" s="20"/>
      <c r="B373" s="18"/>
      <c r="C373" s="19"/>
      <c r="D373" s="18"/>
      <c r="E373" s="21"/>
    </row>
    <row r="374" spans="1:5" ht="15" customHeight="1" x14ac:dyDescent="0.25">
      <c r="A374" s="20"/>
      <c r="B374" s="18"/>
      <c r="C374" s="19"/>
      <c r="D374" s="18"/>
      <c r="E374" s="21"/>
    </row>
    <row r="375" spans="1:5" x14ac:dyDescent="0.25">
      <c r="A375" s="20"/>
      <c r="B375" s="18"/>
      <c r="C375" s="19"/>
      <c r="D375" s="18"/>
      <c r="E375" s="18"/>
    </row>
  </sheetData>
  <mergeCells count="20">
    <mergeCell ref="A8:B8"/>
    <mergeCell ref="A4:J4"/>
    <mergeCell ref="A1:J2"/>
    <mergeCell ref="A5:B5"/>
    <mergeCell ref="A6:B6"/>
    <mergeCell ref="A7:B7"/>
    <mergeCell ref="A14:C14"/>
    <mergeCell ref="E11:G11"/>
    <mergeCell ref="E12:G12"/>
    <mergeCell ref="E13:G13"/>
    <mergeCell ref="A10:C10"/>
    <mergeCell ref="A11:C11"/>
    <mergeCell ref="A12:C12"/>
    <mergeCell ref="A13:C13"/>
    <mergeCell ref="E10:F10"/>
    <mergeCell ref="E16:G16"/>
    <mergeCell ref="E17:G17"/>
    <mergeCell ref="E18:G18"/>
    <mergeCell ref="E19:G19"/>
    <mergeCell ref="E15:F1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8343-9735-41A2-AC68-B25543E0A349}">
  <sheetPr>
    <tabColor theme="3" tint="0.39997558519241921"/>
  </sheetPr>
  <dimension ref="A1:T375"/>
  <sheetViews>
    <sheetView workbookViewId="0">
      <selection activeCell="K1" sqref="K1:N1"/>
    </sheetView>
  </sheetViews>
  <sheetFormatPr defaultRowHeight="15" x14ac:dyDescent="0.25"/>
  <cols>
    <col min="1" max="1" width="18.42578125" customWidth="1"/>
    <col min="3" max="3" width="12.5703125" bestFit="1" customWidth="1"/>
    <col min="4" max="4" width="17.85546875" bestFit="1" customWidth="1"/>
    <col min="5" max="5" width="16.5703125" bestFit="1" customWidth="1"/>
    <col min="6" max="6" width="17.85546875" bestFit="1" customWidth="1"/>
    <col min="7" max="7" width="18.5703125" customWidth="1"/>
    <col min="8" max="9" width="18.28515625" bestFit="1" customWidth="1"/>
    <col min="10" max="10" width="15.5703125" bestFit="1" customWidth="1"/>
    <col min="11" max="11" width="15.42578125" bestFit="1" customWidth="1"/>
    <col min="12" max="12" width="18.28515625" bestFit="1" customWidth="1"/>
    <col min="13" max="13" width="17.28515625" bestFit="1" customWidth="1"/>
    <col min="14" max="14" width="19.85546875" bestFit="1" customWidth="1"/>
    <col min="15" max="15" width="18.140625" bestFit="1" customWidth="1"/>
  </cols>
  <sheetData>
    <row r="1" spans="1:20" ht="15.75" x14ac:dyDescent="0.25">
      <c r="A1" s="112" t="s">
        <v>34</v>
      </c>
      <c r="B1" s="113"/>
      <c r="C1" s="113"/>
      <c r="D1" s="113"/>
      <c r="E1" s="113"/>
      <c r="F1" s="113"/>
      <c r="G1" s="113"/>
      <c r="H1" s="113"/>
      <c r="I1" s="113"/>
      <c r="J1" s="114"/>
      <c r="K1" s="121" t="s">
        <v>42</v>
      </c>
      <c r="L1" s="128" t="s">
        <v>39</v>
      </c>
      <c r="M1" s="121" t="s">
        <v>40</v>
      </c>
      <c r="N1" s="128" t="s">
        <v>41</v>
      </c>
      <c r="O1" s="25"/>
      <c r="P1" s="25"/>
      <c r="Q1" s="25"/>
    </row>
    <row r="2" spans="1:20" ht="15.75" x14ac:dyDescent="0.25">
      <c r="A2" s="115"/>
      <c r="B2" s="116"/>
      <c r="C2" s="116"/>
      <c r="D2" s="116"/>
      <c r="E2" s="116"/>
      <c r="F2" s="116"/>
      <c r="G2" s="116"/>
      <c r="H2" s="116"/>
      <c r="I2" s="116"/>
      <c r="J2" s="117"/>
      <c r="K2" s="32"/>
      <c r="L2" s="27">
        <f ca="1">H12</f>
        <v>9</v>
      </c>
      <c r="M2" s="29">
        <f ca="1">H13</f>
        <v>0.17307692307692307</v>
      </c>
      <c r="N2" s="33">
        <f ca="1">H11</f>
        <v>5.7115384615384617</v>
      </c>
      <c r="O2" s="25"/>
      <c r="P2" s="25"/>
      <c r="Q2" s="25"/>
    </row>
    <row r="3" spans="1:20" ht="15.7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32">
        <v>1</v>
      </c>
      <c r="L3" s="27">
        <f t="dataTable" ref="L3:N102" dt2D="0" dtr="0" r1="Q8" ca="1"/>
        <v>6</v>
      </c>
      <c r="M3" s="29">
        <v>0.11538461538461539</v>
      </c>
      <c r="N3" s="33">
        <v>5.9807692307692308</v>
      </c>
    </row>
    <row r="4" spans="1:20" ht="15.75" x14ac:dyDescent="0.25">
      <c r="A4" s="68" t="s">
        <v>35</v>
      </c>
      <c r="B4" s="69"/>
      <c r="C4" s="69"/>
      <c r="D4" s="69"/>
      <c r="E4" s="69"/>
      <c r="F4" s="69"/>
      <c r="G4" s="69"/>
      <c r="H4" s="69"/>
      <c r="I4" s="69"/>
      <c r="J4" s="70"/>
      <c r="K4" s="27">
        <v>2</v>
      </c>
      <c r="L4" s="27">
        <v>3</v>
      </c>
      <c r="M4" s="29">
        <v>5.7692307692307696E-2</v>
      </c>
      <c r="N4" s="33">
        <v>4.4230769230769234</v>
      </c>
    </row>
    <row r="5" spans="1:20" ht="15.75" x14ac:dyDescent="0.25">
      <c r="A5" s="71" t="s">
        <v>30</v>
      </c>
      <c r="B5" s="71"/>
      <c r="C5" s="91">
        <v>0</v>
      </c>
      <c r="D5" s="91">
        <f>C8</f>
        <v>0.1</v>
      </c>
      <c r="E5" s="91">
        <f>D8</f>
        <v>0.30000000000000004</v>
      </c>
      <c r="F5" s="91">
        <f t="shared" ref="F5:I5" si="0">E8</f>
        <v>0.60000000000000009</v>
      </c>
      <c r="G5" s="91">
        <f t="shared" si="0"/>
        <v>0.8</v>
      </c>
      <c r="H5" s="91">
        <f t="shared" si="0"/>
        <v>0.91</v>
      </c>
      <c r="I5" s="91">
        <f t="shared" si="0"/>
        <v>0.97</v>
      </c>
      <c r="J5" s="26"/>
      <c r="K5" s="32">
        <v>3</v>
      </c>
      <c r="L5" s="27">
        <v>6</v>
      </c>
      <c r="M5" s="29">
        <v>0.11538461538461539</v>
      </c>
      <c r="N5" s="33">
        <v>5.4423076923076925</v>
      </c>
    </row>
    <row r="6" spans="1:20" ht="15.75" x14ac:dyDescent="0.25">
      <c r="A6" s="72" t="s">
        <v>29</v>
      </c>
      <c r="B6" s="72"/>
      <c r="C6" s="89">
        <v>1</v>
      </c>
      <c r="D6" s="89">
        <v>2</v>
      </c>
      <c r="E6" s="89">
        <v>4</v>
      </c>
      <c r="F6" s="89">
        <v>7</v>
      </c>
      <c r="G6" s="89">
        <v>9</v>
      </c>
      <c r="H6" s="89">
        <v>13</v>
      </c>
      <c r="I6" s="89">
        <v>17</v>
      </c>
      <c r="J6" s="26"/>
      <c r="K6" s="32">
        <v>4</v>
      </c>
      <c r="L6" s="27">
        <v>5</v>
      </c>
      <c r="M6" s="29">
        <v>9.6153846153846159E-2</v>
      </c>
      <c r="N6" s="33">
        <v>5.5</v>
      </c>
    </row>
    <row r="7" spans="1:20" ht="15.75" x14ac:dyDescent="0.25">
      <c r="A7" s="72" t="s">
        <v>2</v>
      </c>
      <c r="B7" s="72"/>
      <c r="C7" s="90">
        <v>0.1</v>
      </c>
      <c r="D7" s="90">
        <v>0.2</v>
      </c>
      <c r="E7" s="90">
        <v>0.3</v>
      </c>
      <c r="F7" s="90">
        <v>0.2</v>
      </c>
      <c r="G7" s="89">
        <v>0.11</v>
      </c>
      <c r="H7" s="89">
        <v>0.06</v>
      </c>
      <c r="I7" s="89">
        <v>0.03</v>
      </c>
      <c r="J7" s="26"/>
      <c r="K7" s="32">
        <v>5</v>
      </c>
      <c r="L7" s="27">
        <v>6</v>
      </c>
      <c r="M7" s="29">
        <v>0.11538461538461539</v>
      </c>
      <c r="N7" s="33">
        <v>5.2884615384615383</v>
      </c>
      <c r="T7" s="2"/>
    </row>
    <row r="8" spans="1:20" ht="15.75" x14ac:dyDescent="0.25">
      <c r="A8" s="72" t="s">
        <v>11</v>
      </c>
      <c r="B8" s="72"/>
      <c r="C8" s="92">
        <f>C7</f>
        <v>0.1</v>
      </c>
      <c r="D8" s="92">
        <f>D7+C8</f>
        <v>0.30000000000000004</v>
      </c>
      <c r="E8" s="92">
        <f t="shared" ref="E8:I8" si="1">E7+D8</f>
        <v>0.60000000000000009</v>
      </c>
      <c r="F8" s="92">
        <f t="shared" si="1"/>
        <v>0.8</v>
      </c>
      <c r="G8" s="92">
        <f t="shared" si="1"/>
        <v>0.91</v>
      </c>
      <c r="H8" s="92">
        <f t="shared" si="1"/>
        <v>0.97</v>
      </c>
      <c r="I8" s="92">
        <f t="shared" si="1"/>
        <v>1</v>
      </c>
      <c r="J8" s="26"/>
      <c r="K8" s="32">
        <v>6</v>
      </c>
      <c r="L8" s="27">
        <v>7</v>
      </c>
      <c r="M8" s="29">
        <v>0.13461538461538461</v>
      </c>
      <c r="N8" s="33">
        <v>5.4038461538461542</v>
      </c>
    </row>
    <row r="9" spans="1:20" ht="15.75" x14ac:dyDescent="0.25">
      <c r="A9" s="26"/>
      <c r="B9" s="26"/>
      <c r="C9" s="26"/>
      <c r="D9" s="26"/>
      <c r="E9" s="26"/>
      <c r="J9" s="26"/>
      <c r="K9" s="32">
        <v>7</v>
      </c>
      <c r="L9" s="27">
        <v>8</v>
      </c>
      <c r="M9" s="29">
        <v>0.15384615384615385</v>
      </c>
      <c r="N9" s="33">
        <v>5.5384615384615383</v>
      </c>
    </row>
    <row r="10" spans="1:20" ht="15.75" x14ac:dyDescent="0.25">
      <c r="A10" s="73" t="s">
        <v>9</v>
      </c>
      <c r="B10" s="73"/>
      <c r="C10" s="73"/>
      <c r="D10" s="74"/>
      <c r="E10" s="78" t="s">
        <v>48</v>
      </c>
      <c r="F10" s="79"/>
      <c r="G10" s="26"/>
      <c r="H10" s="26"/>
      <c r="I10" s="42"/>
      <c r="J10" s="42"/>
      <c r="K10" s="32">
        <v>8</v>
      </c>
      <c r="L10" s="27">
        <v>5</v>
      </c>
      <c r="M10" s="29">
        <v>9.6153846153846159E-2</v>
      </c>
      <c r="N10" s="33">
        <v>5.4615384615384617</v>
      </c>
    </row>
    <row r="11" spans="1:20" ht="15" customHeight="1" x14ac:dyDescent="0.25">
      <c r="A11" s="76" t="s">
        <v>28</v>
      </c>
      <c r="B11" s="77"/>
      <c r="C11" s="77"/>
      <c r="D11" s="87">
        <v>10</v>
      </c>
      <c r="E11" s="80" t="s">
        <v>55</v>
      </c>
      <c r="F11" s="81"/>
      <c r="G11" s="82"/>
      <c r="H11" s="31">
        <f ca="1">C76</f>
        <v>5.7115384615384617</v>
      </c>
      <c r="I11" s="18"/>
      <c r="J11" s="27"/>
      <c r="K11" s="32">
        <v>9</v>
      </c>
      <c r="L11" s="27">
        <v>9</v>
      </c>
      <c r="M11" s="29">
        <v>0.17307692307692307</v>
      </c>
      <c r="N11" s="33">
        <v>5.7307692307692308</v>
      </c>
    </row>
    <row r="12" spans="1:20" ht="15" customHeight="1" x14ac:dyDescent="0.25">
      <c r="A12" s="76" t="s">
        <v>31</v>
      </c>
      <c r="B12" s="77"/>
      <c r="C12" s="77"/>
      <c r="D12" s="87">
        <v>6</v>
      </c>
      <c r="E12" s="80" t="s">
        <v>51</v>
      </c>
      <c r="F12" s="81"/>
      <c r="G12" s="82"/>
      <c r="H12" s="120">
        <f ca="1">COUNTIF(F23:F74,TRUE)</f>
        <v>9</v>
      </c>
      <c r="J12" s="26"/>
      <c r="K12" s="32">
        <v>10</v>
      </c>
      <c r="L12" s="27">
        <v>6</v>
      </c>
      <c r="M12" s="29">
        <v>0.11538461538461539</v>
      </c>
      <c r="N12" s="33">
        <v>5.365384615384615</v>
      </c>
    </row>
    <row r="13" spans="1:20" ht="15" customHeight="1" x14ac:dyDescent="0.25">
      <c r="A13" s="76" t="s">
        <v>32</v>
      </c>
      <c r="B13" s="77"/>
      <c r="C13" s="77"/>
      <c r="D13" s="87">
        <v>4</v>
      </c>
      <c r="E13" s="80" t="s">
        <v>52</v>
      </c>
      <c r="F13" s="81"/>
      <c r="G13" s="82"/>
      <c r="H13" s="83">
        <f ca="1">H12/COUNT(A23:A74)</f>
        <v>0.17307692307692307</v>
      </c>
      <c r="J13" s="26"/>
      <c r="K13" s="32">
        <v>11</v>
      </c>
      <c r="L13" s="27">
        <v>5</v>
      </c>
      <c r="M13" s="29">
        <v>9.6153846153846159E-2</v>
      </c>
      <c r="N13" s="33">
        <v>4.8269230769230766</v>
      </c>
    </row>
    <row r="14" spans="1:20" ht="15" customHeight="1" x14ac:dyDescent="0.25">
      <c r="A14" s="75" t="s">
        <v>53</v>
      </c>
      <c r="B14" s="75"/>
      <c r="C14" s="75"/>
      <c r="D14" s="88">
        <f>D11</f>
        <v>10</v>
      </c>
      <c r="J14" s="26"/>
      <c r="K14" s="32">
        <v>12</v>
      </c>
      <c r="L14" s="27">
        <v>6</v>
      </c>
      <c r="M14" s="29">
        <v>0.11538461538461539</v>
      </c>
      <c r="N14" s="33">
        <v>5.4423076923076925</v>
      </c>
    </row>
    <row r="15" spans="1:20" ht="15" customHeight="1" x14ac:dyDescent="0.25">
      <c r="A15" s="26"/>
      <c r="B15" s="26"/>
      <c r="C15" s="26"/>
      <c r="D15" s="26"/>
      <c r="E15" s="84" t="s">
        <v>47</v>
      </c>
      <c r="F15" s="85"/>
      <c r="G15" s="26"/>
      <c r="H15" s="26"/>
      <c r="I15" s="26"/>
      <c r="K15" s="32">
        <v>13</v>
      </c>
      <c r="L15" s="27">
        <v>10</v>
      </c>
      <c r="M15" s="29">
        <v>0.19230769230769232</v>
      </c>
      <c r="N15" s="33">
        <v>6.3076923076923075</v>
      </c>
    </row>
    <row r="16" spans="1:20" ht="15" customHeight="1" x14ac:dyDescent="0.25">
      <c r="E16" s="76" t="s">
        <v>45</v>
      </c>
      <c r="F16" s="77"/>
      <c r="G16" s="86"/>
      <c r="H16" s="31">
        <f>L104</f>
        <v>7.07</v>
      </c>
      <c r="K16" s="32">
        <v>14</v>
      </c>
      <c r="L16" s="27">
        <v>14</v>
      </c>
      <c r="M16" s="29">
        <v>0.26923076923076922</v>
      </c>
      <c r="N16" s="33">
        <v>6.4230769230769234</v>
      </c>
    </row>
    <row r="17" spans="1:14" ht="15" customHeight="1" x14ac:dyDescent="0.25">
      <c r="A17" s="43"/>
      <c r="B17" s="43"/>
      <c r="C17" s="43"/>
      <c r="D17" s="41"/>
      <c r="E17" s="76" t="s">
        <v>44</v>
      </c>
      <c r="F17" s="77"/>
      <c r="G17" s="86"/>
      <c r="H17" s="31">
        <f>SUMPRODUCT(C6:I6,C7:I7)</f>
        <v>5.38</v>
      </c>
      <c r="K17" s="32">
        <v>15</v>
      </c>
      <c r="L17" s="27">
        <v>16</v>
      </c>
      <c r="M17" s="29">
        <v>0.30769230769230771</v>
      </c>
      <c r="N17" s="33">
        <v>6.615384615384615</v>
      </c>
    </row>
    <row r="18" spans="1:14" ht="15" customHeight="1" x14ac:dyDescent="0.25">
      <c r="E18" s="76" t="s">
        <v>46</v>
      </c>
      <c r="F18" s="77"/>
      <c r="G18" s="86"/>
      <c r="H18" s="31">
        <f>N104</f>
        <v>5.4625000000000012</v>
      </c>
      <c r="K18" s="32">
        <v>16</v>
      </c>
      <c r="L18" s="27">
        <v>6</v>
      </c>
      <c r="M18" s="29">
        <v>0.11538461538461539</v>
      </c>
      <c r="N18" s="33">
        <v>5.365384615384615</v>
      </c>
    </row>
    <row r="19" spans="1:14" ht="15" customHeight="1" x14ac:dyDescent="0.25">
      <c r="E19" s="76" t="s">
        <v>43</v>
      </c>
      <c r="F19" s="77"/>
      <c r="G19" s="86"/>
      <c r="H19" s="31">
        <f>STDEV(L3:L102)</f>
        <v>3.3822322435774499</v>
      </c>
      <c r="K19" s="32">
        <v>17</v>
      </c>
      <c r="L19" s="27">
        <v>5</v>
      </c>
      <c r="M19" s="29">
        <v>9.6153846153846159E-2</v>
      </c>
      <c r="N19" s="33">
        <v>5.1730769230769234</v>
      </c>
    </row>
    <row r="20" spans="1:14" ht="15" customHeight="1" x14ac:dyDescent="0.25">
      <c r="K20" s="32">
        <v>18</v>
      </c>
      <c r="L20" s="27">
        <v>9</v>
      </c>
      <c r="M20" s="29">
        <v>0.17307692307692307</v>
      </c>
      <c r="N20" s="33">
        <v>6.0576923076923075</v>
      </c>
    </row>
    <row r="21" spans="1:14" ht="15" customHeight="1" x14ac:dyDescent="0.25">
      <c r="A21" s="121" t="s">
        <v>33</v>
      </c>
      <c r="B21" s="122" t="s">
        <v>36</v>
      </c>
      <c r="C21" s="122" t="s">
        <v>29</v>
      </c>
      <c r="D21" s="122" t="s">
        <v>37</v>
      </c>
      <c r="E21" s="122" t="s">
        <v>49</v>
      </c>
      <c r="F21" s="122" t="s">
        <v>38</v>
      </c>
      <c r="G21" s="122" t="s">
        <v>57</v>
      </c>
      <c r="H21" s="44"/>
      <c r="I21" s="44"/>
      <c r="K21" s="32">
        <v>19</v>
      </c>
      <c r="L21" s="27">
        <v>7</v>
      </c>
      <c r="M21" s="29">
        <v>0.13461538461538461</v>
      </c>
      <c r="N21" s="33">
        <v>5.5</v>
      </c>
    </row>
    <row r="22" spans="1:14" ht="15.75" x14ac:dyDescent="0.25">
      <c r="A22" s="93" t="s">
        <v>50</v>
      </c>
      <c r="B22" s="34"/>
      <c r="C22" s="34">
        <v>0</v>
      </c>
      <c r="D22" s="35">
        <v>0</v>
      </c>
      <c r="E22" s="35">
        <v>0</v>
      </c>
      <c r="F22" s="40"/>
      <c r="G22" s="38"/>
      <c r="H22" s="42"/>
      <c r="I22" s="42"/>
      <c r="K22" s="32">
        <v>20</v>
      </c>
      <c r="L22" s="27">
        <v>8</v>
      </c>
      <c r="M22" s="29">
        <v>0.15384615384615385</v>
      </c>
      <c r="N22" s="33">
        <v>5.4807692307692308</v>
      </c>
    </row>
    <row r="23" spans="1:14" ht="15" customHeight="1" x14ac:dyDescent="0.25">
      <c r="A23" s="32">
        <v>1</v>
      </c>
      <c r="B23" s="36">
        <f ca="1">RAND()</f>
        <v>0.13125591724271823</v>
      </c>
      <c r="C23" s="27">
        <f t="shared" ref="C23:C74" ca="1" si="2">HLOOKUP(B23,$C$5:$I$6,2,TRUE)</f>
        <v>2</v>
      </c>
      <c r="D23" s="27">
        <f ca="1">C23+E22</f>
        <v>2</v>
      </c>
      <c r="E23" s="27">
        <f ca="1">IF(D23&gt;$D$14,D23-$D$14,0)</f>
        <v>0</v>
      </c>
      <c r="F23" s="27" t="b">
        <f t="shared" ref="F23:F74" ca="1" si="3">IF(E23&gt;0,TRUE,FALSE)</f>
        <v>0</v>
      </c>
      <c r="G23" s="38">
        <f ca="1">E23*1000+E23*200</f>
        <v>0</v>
      </c>
      <c r="H23" s="42"/>
      <c r="I23" s="42"/>
      <c r="K23" s="32">
        <v>21</v>
      </c>
      <c r="L23" s="27">
        <v>4</v>
      </c>
      <c r="M23" s="29">
        <v>7.6923076923076927E-2</v>
      </c>
      <c r="N23" s="33">
        <v>4.9615384615384617</v>
      </c>
    </row>
    <row r="24" spans="1:14" ht="15" customHeight="1" x14ac:dyDescent="0.25">
      <c r="A24" s="32">
        <v>2</v>
      </c>
      <c r="B24" s="36">
        <f t="shared" ref="B24:B74" ca="1" si="4">RAND()</f>
        <v>0.55076589862109582</v>
      </c>
      <c r="C24" s="27">
        <f t="shared" ca="1" si="2"/>
        <v>4</v>
      </c>
      <c r="D24" s="27">
        <f t="shared" ref="D24:D74" ca="1" si="5">C24+E23</f>
        <v>4</v>
      </c>
      <c r="E24" s="27">
        <f t="shared" ref="E24:E74" ca="1" si="6">IF(D24&gt;$D$14,D24-$D$14,0)</f>
        <v>0</v>
      </c>
      <c r="F24" s="27" t="b">
        <f t="shared" ca="1" si="3"/>
        <v>0</v>
      </c>
      <c r="G24" s="38">
        <f t="shared" ref="G24:G74" ca="1" si="7">E24*1000+E24*200</f>
        <v>0</v>
      </c>
      <c r="H24" s="42"/>
      <c r="I24" s="42"/>
      <c r="K24" s="32">
        <v>22</v>
      </c>
      <c r="L24" s="27">
        <v>2</v>
      </c>
      <c r="M24" s="29">
        <v>3.8461538461538464E-2</v>
      </c>
      <c r="N24" s="33">
        <v>4.3461538461538458</v>
      </c>
    </row>
    <row r="25" spans="1:14" ht="15" customHeight="1" x14ac:dyDescent="0.25">
      <c r="A25" s="32">
        <v>3</v>
      </c>
      <c r="B25" s="36">
        <f t="shared" ca="1" si="4"/>
        <v>0.25696005269860278</v>
      </c>
      <c r="C25" s="27">
        <f t="shared" ca="1" si="2"/>
        <v>2</v>
      </c>
      <c r="D25" s="27">
        <f t="shared" ca="1" si="5"/>
        <v>2</v>
      </c>
      <c r="E25" s="27">
        <f t="shared" ca="1" si="6"/>
        <v>0</v>
      </c>
      <c r="F25" s="27" t="b">
        <f t="shared" ca="1" si="3"/>
        <v>0</v>
      </c>
      <c r="G25" s="38">
        <f t="shared" ca="1" si="7"/>
        <v>0</v>
      </c>
      <c r="H25" s="42"/>
      <c r="I25" s="42"/>
      <c r="K25" s="32">
        <v>23</v>
      </c>
      <c r="L25" s="27">
        <v>8</v>
      </c>
      <c r="M25" s="29">
        <v>0.15384615384615385</v>
      </c>
      <c r="N25" s="33">
        <v>5.8269230769230766</v>
      </c>
    </row>
    <row r="26" spans="1:14" ht="15" customHeight="1" x14ac:dyDescent="0.25">
      <c r="A26" s="32">
        <v>4</v>
      </c>
      <c r="B26" s="36">
        <f t="shared" ca="1" si="4"/>
        <v>0.85282863974470635</v>
      </c>
      <c r="C26" s="27">
        <f t="shared" ca="1" si="2"/>
        <v>9</v>
      </c>
      <c r="D26" s="27">
        <f t="shared" ca="1" si="5"/>
        <v>9</v>
      </c>
      <c r="E26" s="27">
        <f t="shared" ca="1" si="6"/>
        <v>0</v>
      </c>
      <c r="F26" s="27" t="b">
        <f t="shared" ca="1" si="3"/>
        <v>0</v>
      </c>
      <c r="G26" s="38">
        <f t="shared" ca="1" si="7"/>
        <v>0</v>
      </c>
      <c r="H26" s="42"/>
      <c r="I26" s="42"/>
      <c r="K26" s="32">
        <v>24</v>
      </c>
      <c r="L26" s="27">
        <v>2</v>
      </c>
      <c r="M26" s="29">
        <v>3.8461538461538464E-2</v>
      </c>
      <c r="N26" s="33">
        <v>4.9807692307692308</v>
      </c>
    </row>
    <row r="27" spans="1:14" ht="15" customHeight="1" x14ac:dyDescent="0.25">
      <c r="A27" s="32">
        <v>5</v>
      </c>
      <c r="B27" s="36">
        <f t="shared" ca="1" si="4"/>
        <v>0.85444847370164678</v>
      </c>
      <c r="C27" s="27">
        <f t="shared" ca="1" si="2"/>
        <v>9</v>
      </c>
      <c r="D27" s="27">
        <f t="shared" ca="1" si="5"/>
        <v>9</v>
      </c>
      <c r="E27" s="27">
        <f t="shared" ca="1" si="6"/>
        <v>0</v>
      </c>
      <c r="F27" s="27" t="b">
        <f t="shared" ca="1" si="3"/>
        <v>0</v>
      </c>
      <c r="G27" s="38">
        <f t="shared" ca="1" si="7"/>
        <v>0</v>
      </c>
      <c r="H27" s="42"/>
      <c r="I27" s="42"/>
      <c r="J27" s="26"/>
      <c r="K27" s="32">
        <v>25</v>
      </c>
      <c r="L27" s="27">
        <v>4</v>
      </c>
      <c r="M27" s="29">
        <v>7.6923076923076927E-2</v>
      </c>
      <c r="N27" s="33">
        <v>5.1923076923076925</v>
      </c>
    </row>
    <row r="28" spans="1:14" ht="15" hidden="1" customHeight="1" x14ac:dyDescent="0.25">
      <c r="A28" s="32">
        <v>6</v>
      </c>
      <c r="B28" s="36">
        <f t="shared" ca="1" si="4"/>
        <v>4.2537669723434757E-2</v>
      </c>
      <c r="C28" s="27">
        <f t="shared" ca="1" si="2"/>
        <v>1</v>
      </c>
      <c r="D28" s="27">
        <f t="shared" ca="1" si="5"/>
        <v>1</v>
      </c>
      <c r="E28" s="27">
        <f t="shared" ca="1" si="6"/>
        <v>0</v>
      </c>
      <c r="F28" s="27" t="b">
        <f t="shared" ca="1" si="3"/>
        <v>0</v>
      </c>
      <c r="G28" s="38">
        <f t="shared" ca="1" si="7"/>
        <v>0</v>
      </c>
      <c r="H28" s="42"/>
      <c r="I28" s="42"/>
      <c r="J28" s="26"/>
      <c r="K28" s="32">
        <v>26</v>
      </c>
      <c r="L28" s="27">
        <v>6</v>
      </c>
      <c r="M28" s="29">
        <v>0.11538461538461539</v>
      </c>
      <c r="N28" s="33">
        <v>5.4423076923076925</v>
      </c>
    </row>
    <row r="29" spans="1:14" ht="15" hidden="1" customHeight="1" x14ac:dyDescent="0.25">
      <c r="A29" s="32">
        <v>7</v>
      </c>
      <c r="B29" s="36">
        <f t="shared" ca="1" si="4"/>
        <v>0.9399541449348312</v>
      </c>
      <c r="C29" s="27">
        <f t="shared" ca="1" si="2"/>
        <v>13</v>
      </c>
      <c r="D29" s="27">
        <f t="shared" ca="1" si="5"/>
        <v>13</v>
      </c>
      <c r="E29" s="27">
        <f t="shared" ca="1" si="6"/>
        <v>3</v>
      </c>
      <c r="F29" s="27" t="b">
        <f t="shared" ca="1" si="3"/>
        <v>1</v>
      </c>
      <c r="G29" s="38">
        <f t="shared" ca="1" si="7"/>
        <v>3600</v>
      </c>
      <c r="H29" s="42"/>
      <c r="I29" s="42"/>
      <c r="J29" s="26"/>
      <c r="K29" s="32">
        <v>27</v>
      </c>
      <c r="L29" s="27">
        <v>6</v>
      </c>
      <c r="M29" s="29">
        <v>0.11538461538461539</v>
      </c>
      <c r="N29" s="33">
        <v>5.384615384615385</v>
      </c>
    </row>
    <row r="30" spans="1:14" ht="15" hidden="1" customHeight="1" x14ac:dyDescent="0.25">
      <c r="A30" s="32">
        <v>8</v>
      </c>
      <c r="B30" s="36">
        <f t="shared" ca="1" si="4"/>
        <v>0.19446691240240754</v>
      </c>
      <c r="C30" s="27">
        <f t="shared" ca="1" si="2"/>
        <v>2</v>
      </c>
      <c r="D30" s="27">
        <f t="shared" ca="1" si="5"/>
        <v>5</v>
      </c>
      <c r="E30" s="27">
        <f t="shared" ca="1" si="6"/>
        <v>0</v>
      </c>
      <c r="F30" s="27" t="b">
        <f t="shared" ca="1" si="3"/>
        <v>0</v>
      </c>
      <c r="G30" s="38">
        <f t="shared" ca="1" si="7"/>
        <v>0</v>
      </c>
      <c r="H30" s="42"/>
      <c r="I30" s="42"/>
      <c r="J30" s="26"/>
      <c r="K30" s="32">
        <v>28</v>
      </c>
      <c r="L30" s="27">
        <v>9</v>
      </c>
      <c r="M30" s="29">
        <v>0.17307692307692307</v>
      </c>
      <c r="N30" s="33">
        <v>5.9038461538461542</v>
      </c>
    </row>
    <row r="31" spans="1:14" ht="15" hidden="1" customHeight="1" x14ac:dyDescent="0.25">
      <c r="A31" s="32">
        <v>9</v>
      </c>
      <c r="B31" s="36">
        <f t="shared" ca="1" si="4"/>
        <v>0.94458569987807084</v>
      </c>
      <c r="C31" s="27">
        <f t="shared" ca="1" si="2"/>
        <v>13</v>
      </c>
      <c r="D31" s="27">
        <f t="shared" ca="1" si="5"/>
        <v>13</v>
      </c>
      <c r="E31" s="27">
        <f t="shared" ca="1" si="6"/>
        <v>3</v>
      </c>
      <c r="F31" s="27" t="b">
        <f t="shared" ca="1" si="3"/>
        <v>1</v>
      </c>
      <c r="G31" s="38">
        <f t="shared" ca="1" si="7"/>
        <v>3600</v>
      </c>
      <c r="H31" s="42"/>
      <c r="I31" s="42"/>
      <c r="J31" s="26"/>
      <c r="K31" s="32">
        <v>29</v>
      </c>
      <c r="L31" s="27">
        <v>7</v>
      </c>
      <c r="M31" s="29">
        <v>0.13461538461538461</v>
      </c>
      <c r="N31" s="33">
        <v>5.4423076923076925</v>
      </c>
    </row>
    <row r="32" spans="1:14" ht="15" hidden="1" customHeight="1" x14ac:dyDescent="0.25">
      <c r="A32" s="32">
        <v>10</v>
      </c>
      <c r="B32" s="36">
        <f t="shared" ca="1" si="4"/>
        <v>0.57534022333569745</v>
      </c>
      <c r="C32" s="27">
        <f t="shared" ca="1" si="2"/>
        <v>4</v>
      </c>
      <c r="D32" s="27">
        <f t="shared" ca="1" si="5"/>
        <v>7</v>
      </c>
      <c r="E32" s="27">
        <f t="shared" ca="1" si="6"/>
        <v>0</v>
      </c>
      <c r="F32" s="27" t="b">
        <f t="shared" ca="1" si="3"/>
        <v>0</v>
      </c>
      <c r="G32" s="38">
        <f t="shared" ca="1" si="7"/>
        <v>0</v>
      </c>
      <c r="H32" s="42"/>
      <c r="I32" s="42"/>
      <c r="J32" s="26"/>
      <c r="K32" s="32">
        <v>30</v>
      </c>
      <c r="L32" s="27">
        <v>5</v>
      </c>
      <c r="M32" s="29">
        <v>9.6153846153846159E-2</v>
      </c>
      <c r="N32" s="33">
        <v>4.615384615384615</v>
      </c>
    </row>
    <row r="33" spans="1:14" ht="15" hidden="1" customHeight="1" x14ac:dyDescent="0.25">
      <c r="A33" s="32">
        <v>11</v>
      </c>
      <c r="B33" s="36">
        <f t="shared" ca="1" si="4"/>
        <v>0.25886950380431151</v>
      </c>
      <c r="C33" s="27">
        <f t="shared" ca="1" si="2"/>
        <v>2</v>
      </c>
      <c r="D33" s="27">
        <f t="shared" ca="1" si="5"/>
        <v>2</v>
      </c>
      <c r="E33" s="27">
        <f t="shared" ca="1" si="6"/>
        <v>0</v>
      </c>
      <c r="F33" s="27" t="b">
        <f t="shared" ca="1" si="3"/>
        <v>0</v>
      </c>
      <c r="G33" s="38">
        <f t="shared" ca="1" si="7"/>
        <v>0</v>
      </c>
      <c r="H33" s="42"/>
      <c r="I33" s="42"/>
      <c r="J33" s="26"/>
      <c r="K33" s="32">
        <v>31</v>
      </c>
      <c r="L33" s="27">
        <v>8</v>
      </c>
      <c r="M33" s="29">
        <v>0.15384615384615385</v>
      </c>
      <c r="N33" s="33">
        <v>6.2115384615384617</v>
      </c>
    </row>
    <row r="34" spans="1:14" ht="15" hidden="1" customHeight="1" x14ac:dyDescent="0.25">
      <c r="A34" s="32">
        <v>12</v>
      </c>
      <c r="B34" s="36">
        <f t="shared" ca="1" si="4"/>
        <v>0.26712540053840117</v>
      </c>
      <c r="C34" s="27">
        <f t="shared" ca="1" si="2"/>
        <v>2</v>
      </c>
      <c r="D34" s="27">
        <f t="shared" ca="1" si="5"/>
        <v>2</v>
      </c>
      <c r="E34" s="27">
        <f t="shared" ca="1" si="6"/>
        <v>0</v>
      </c>
      <c r="F34" s="27" t="b">
        <f t="shared" ca="1" si="3"/>
        <v>0</v>
      </c>
      <c r="G34" s="38">
        <f t="shared" ca="1" si="7"/>
        <v>0</v>
      </c>
      <c r="H34" s="42"/>
      <c r="I34" s="42"/>
      <c r="J34" s="26"/>
      <c r="K34" s="32">
        <v>32</v>
      </c>
      <c r="L34" s="27">
        <v>8</v>
      </c>
      <c r="M34" s="29">
        <v>0.15384615384615385</v>
      </c>
      <c r="N34" s="33">
        <v>5.615384615384615</v>
      </c>
    </row>
    <row r="35" spans="1:14" ht="15" hidden="1" customHeight="1" x14ac:dyDescent="0.25">
      <c r="A35" s="32">
        <v>13</v>
      </c>
      <c r="B35" s="36">
        <f t="shared" ca="1" si="4"/>
        <v>0.82439397853807306</v>
      </c>
      <c r="C35" s="27">
        <f t="shared" ca="1" si="2"/>
        <v>9</v>
      </c>
      <c r="D35" s="27">
        <f t="shared" ca="1" si="5"/>
        <v>9</v>
      </c>
      <c r="E35" s="27">
        <f t="shared" ca="1" si="6"/>
        <v>0</v>
      </c>
      <c r="F35" s="27" t="b">
        <f t="shared" ca="1" si="3"/>
        <v>0</v>
      </c>
      <c r="G35" s="38">
        <f t="shared" ca="1" si="7"/>
        <v>0</v>
      </c>
      <c r="H35" s="42"/>
      <c r="I35" s="42"/>
      <c r="J35" s="26"/>
      <c r="K35" s="32">
        <v>33</v>
      </c>
      <c r="L35" s="27">
        <v>4</v>
      </c>
      <c r="M35" s="29">
        <v>7.6923076923076927E-2</v>
      </c>
      <c r="N35" s="33">
        <v>5.1923076923076925</v>
      </c>
    </row>
    <row r="36" spans="1:14" ht="15" hidden="1" customHeight="1" x14ac:dyDescent="0.25">
      <c r="A36" s="32">
        <v>14</v>
      </c>
      <c r="B36" s="36">
        <f t="shared" ca="1" si="4"/>
        <v>0.39276327329183791</v>
      </c>
      <c r="C36" s="27">
        <f t="shared" ca="1" si="2"/>
        <v>4</v>
      </c>
      <c r="D36" s="27">
        <f t="shared" ca="1" si="5"/>
        <v>4</v>
      </c>
      <c r="E36" s="27">
        <f t="shared" ca="1" si="6"/>
        <v>0</v>
      </c>
      <c r="F36" s="27" t="b">
        <f t="shared" ca="1" si="3"/>
        <v>0</v>
      </c>
      <c r="G36" s="38">
        <f t="shared" ca="1" si="7"/>
        <v>0</v>
      </c>
      <c r="H36" s="42"/>
      <c r="I36" s="42"/>
      <c r="J36" s="26"/>
      <c r="K36" s="32">
        <v>34</v>
      </c>
      <c r="L36" s="27">
        <v>9</v>
      </c>
      <c r="M36" s="29">
        <v>0.17307692307692307</v>
      </c>
      <c r="N36" s="33">
        <v>5.9038461538461542</v>
      </c>
    </row>
    <row r="37" spans="1:14" ht="15" hidden="1" customHeight="1" x14ac:dyDescent="0.25">
      <c r="A37" s="32">
        <v>15</v>
      </c>
      <c r="B37" s="36">
        <f t="shared" ca="1" si="4"/>
        <v>0.41502413140691319</v>
      </c>
      <c r="C37" s="27">
        <f t="shared" ca="1" si="2"/>
        <v>4</v>
      </c>
      <c r="D37" s="27">
        <f t="shared" ca="1" si="5"/>
        <v>4</v>
      </c>
      <c r="E37" s="27">
        <f t="shared" ca="1" si="6"/>
        <v>0</v>
      </c>
      <c r="F37" s="27" t="b">
        <f t="shared" ca="1" si="3"/>
        <v>0</v>
      </c>
      <c r="G37" s="38">
        <f t="shared" ca="1" si="7"/>
        <v>0</v>
      </c>
      <c r="H37" s="42"/>
      <c r="I37" s="42"/>
      <c r="J37" s="26"/>
      <c r="K37" s="32">
        <v>35</v>
      </c>
      <c r="L37" s="27">
        <v>6</v>
      </c>
      <c r="M37" s="29">
        <v>0.11538461538461539</v>
      </c>
      <c r="N37" s="33">
        <v>4.7115384615384617</v>
      </c>
    </row>
    <row r="38" spans="1:14" ht="15" hidden="1" customHeight="1" x14ac:dyDescent="0.25">
      <c r="A38" s="32">
        <v>16</v>
      </c>
      <c r="B38" s="36">
        <f t="shared" ca="1" si="4"/>
        <v>0.30782100986990524</v>
      </c>
      <c r="C38" s="27">
        <f t="shared" ca="1" si="2"/>
        <v>4</v>
      </c>
      <c r="D38" s="27">
        <f t="shared" ca="1" si="5"/>
        <v>4</v>
      </c>
      <c r="E38" s="27">
        <f t="shared" ca="1" si="6"/>
        <v>0</v>
      </c>
      <c r="F38" s="27" t="b">
        <f t="shared" ca="1" si="3"/>
        <v>0</v>
      </c>
      <c r="G38" s="38">
        <f t="shared" ca="1" si="7"/>
        <v>0</v>
      </c>
      <c r="H38" s="42"/>
      <c r="I38" s="42"/>
      <c r="J38" s="26"/>
      <c r="K38" s="32">
        <v>36</v>
      </c>
      <c r="L38" s="27">
        <v>9</v>
      </c>
      <c r="M38" s="29">
        <v>0.17307692307692307</v>
      </c>
      <c r="N38" s="33">
        <v>5.3269230769230766</v>
      </c>
    </row>
    <row r="39" spans="1:14" ht="15" hidden="1" customHeight="1" x14ac:dyDescent="0.25">
      <c r="A39" s="32">
        <v>17</v>
      </c>
      <c r="B39" s="36">
        <f t="shared" ca="1" si="4"/>
        <v>0.98241250187302664</v>
      </c>
      <c r="C39" s="27">
        <f t="shared" ca="1" si="2"/>
        <v>17</v>
      </c>
      <c r="D39" s="27">
        <f t="shared" ca="1" si="5"/>
        <v>17</v>
      </c>
      <c r="E39" s="27">
        <f t="shared" ca="1" si="6"/>
        <v>7</v>
      </c>
      <c r="F39" s="27" t="b">
        <f t="shared" ca="1" si="3"/>
        <v>1</v>
      </c>
      <c r="G39" s="38">
        <f t="shared" ca="1" si="7"/>
        <v>8400</v>
      </c>
      <c r="H39" s="42"/>
      <c r="I39" s="42"/>
      <c r="J39" s="26"/>
      <c r="K39" s="32">
        <v>37</v>
      </c>
      <c r="L39" s="27">
        <v>5</v>
      </c>
      <c r="M39" s="29">
        <v>9.6153846153846159E-2</v>
      </c>
      <c r="N39" s="33">
        <v>4.9807692307692308</v>
      </c>
    </row>
    <row r="40" spans="1:14" ht="15" hidden="1" customHeight="1" x14ac:dyDescent="0.25">
      <c r="A40" s="32">
        <v>18</v>
      </c>
      <c r="B40" s="36">
        <f t="shared" ca="1" si="4"/>
        <v>0.32273216886848077</v>
      </c>
      <c r="C40" s="27">
        <f t="shared" ca="1" si="2"/>
        <v>4</v>
      </c>
      <c r="D40" s="27">
        <f t="shared" ca="1" si="5"/>
        <v>11</v>
      </c>
      <c r="E40" s="27">
        <f t="shared" ca="1" si="6"/>
        <v>1</v>
      </c>
      <c r="F40" s="27" t="b">
        <f t="shared" ca="1" si="3"/>
        <v>1</v>
      </c>
      <c r="G40" s="38">
        <f t="shared" ca="1" si="7"/>
        <v>1200</v>
      </c>
      <c r="H40" s="42"/>
      <c r="I40" s="42"/>
      <c r="J40" s="26"/>
      <c r="K40" s="32">
        <v>38</v>
      </c>
      <c r="L40" s="27">
        <v>9</v>
      </c>
      <c r="M40" s="29">
        <v>0.17307692307692307</v>
      </c>
      <c r="N40" s="33">
        <v>5.5384615384615383</v>
      </c>
    </row>
    <row r="41" spans="1:14" ht="15" hidden="1" customHeight="1" x14ac:dyDescent="0.25">
      <c r="A41" s="32">
        <v>19</v>
      </c>
      <c r="B41" s="36">
        <f t="shared" ca="1" si="4"/>
        <v>0.62269125897231314</v>
      </c>
      <c r="C41" s="27">
        <f t="shared" ca="1" si="2"/>
        <v>7</v>
      </c>
      <c r="D41" s="27">
        <f t="shared" ca="1" si="5"/>
        <v>8</v>
      </c>
      <c r="E41" s="27">
        <f t="shared" ca="1" si="6"/>
        <v>0</v>
      </c>
      <c r="F41" s="27" t="b">
        <f t="shared" ca="1" si="3"/>
        <v>0</v>
      </c>
      <c r="G41" s="38">
        <f t="shared" ca="1" si="7"/>
        <v>0</v>
      </c>
      <c r="H41" s="42"/>
      <c r="I41" s="42"/>
      <c r="J41" s="26"/>
      <c r="K41" s="32">
        <v>39</v>
      </c>
      <c r="L41" s="27">
        <v>6</v>
      </c>
      <c r="M41" s="29">
        <v>0.11538461538461539</v>
      </c>
      <c r="N41" s="33">
        <v>5.4423076923076925</v>
      </c>
    </row>
    <row r="42" spans="1:14" ht="15" hidden="1" customHeight="1" x14ac:dyDescent="0.25">
      <c r="A42" s="32">
        <v>20</v>
      </c>
      <c r="B42" s="36">
        <f t="shared" ca="1" si="4"/>
        <v>0.46134298900502424</v>
      </c>
      <c r="C42" s="27">
        <f t="shared" ca="1" si="2"/>
        <v>4</v>
      </c>
      <c r="D42" s="27">
        <f t="shared" ca="1" si="5"/>
        <v>4</v>
      </c>
      <c r="E42" s="27">
        <f t="shared" ca="1" si="6"/>
        <v>0</v>
      </c>
      <c r="F42" s="27" t="b">
        <f t="shared" ca="1" si="3"/>
        <v>0</v>
      </c>
      <c r="G42" s="38">
        <f t="shared" ca="1" si="7"/>
        <v>0</v>
      </c>
      <c r="H42" s="42"/>
      <c r="I42" s="42"/>
      <c r="J42" s="26"/>
      <c r="K42" s="32">
        <v>40</v>
      </c>
      <c r="L42" s="27">
        <v>2</v>
      </c>
      <c r="M42" s="29">
        <v>3.8461538461538464E-2</v>
      </c>
      <c r="N42" s="33">
        <v>4.8076923076923075</v>
      </c>
    </row>
    <row r="43" spans="1:14" ht="15" hidden="1" customHeight="1" x14ac:dyDescent="0.25">
      <c r="A43" s="32">
        <v>21</v>
      </c>
      <c r="B43" s="36">
        <f t="shared" ca="1" si="4"/>
        <v>0.8607364628907137</v>
      </c>
      <c r="C43" s="27">
        <f t="shared" ca="1" si="2"/>
        <v>9</v>
      </c>
      <c r="D43" s="27">
        <f t="shared" ca="1" si="5"/>
        <v>9</v>
      </c>
      <c r="E43" s="27">
        <f t="shared" ca="1" si="6"/>
        <v>0</v>
      </c>
      <c r="F43" s="27" t="b">
        <f t="shared" ca="1" si="3"/>
        <v>0</v>
      </c>
      <c r="G43" s="38">
        <f t="shared" ca="1" si="7"/>
        <v>0</v>
      </c>
      <c r="H43" s="42"/>
      <c r="I43" s="42"/>
      <c r="J43" s="26"/>
      <c r="K43" s="32">
        <v>41</v>
      </c>
      <c r="L43" s="27">
        <v>7</v>
      </c>
      <c r="M43" s="29">
        <v>0.13461538461538461</v>
      </c>
      <c r="N43" s="33">
        <v>5.4230769230769234</v>
      </c>
    </row>
    <row r="44" spans="1:14" ht="15" hidden="1" customHeight="1" x14ac:dyDescent="0.25">
      <c r="A44" s="32">
        <v>22</v>
      </c>
      <c r="B44" s="36">
        <f t="shared" ca="1" si="4"/>
        <v>4.8530637741529103E-2</v>
      </c>
      <c r="C44" s="27">
        <f t="shared" ca="1" si="2"/>
        <v>1</v>
      </c>
      <c r="D44" s="27">
        <f t="shared" ca="1" si="5"/>
        <v>1</v>
      </c>
      <c r="E44" s="27">
        <f t="shared" ca="1" si="6"/>
        <v>0</v>
      </c>
      <c r="F44" s="27" t="b">
        <f t="shared" ca="1" si="3"/>
        <v>0</v>
      </c>
      <c r="G44" s="38">
        <f t="shared" ca="1" si="7"/>
        <v>0</v>
      </c>
      <c r="H44" s="42"/>
      <c r="I44" s="42"/>
      <c r="J44" s="26"/>
      <c r="K44" s="32">
        <v>42</v>
      </c>
      <c r="L44" s="27">
        <v>6</v>
      </c>
      <c r="M44" s="29">
        <v>0.11538461538461539</v>
      </c>
      <c r="N44" s="33">
        <v>5.9230769230769234</v>
      </c>
    </row>
    <row r="45" spans="1:14" ht="15" hidden="1" customHeight="1" x14ac:dyDescent="0.25">
      <c r="A45" s="32">
        <v>23</v>
      </c>
      <c r="B45" s="36">
        <f t="shared" ca="1" si="4"/>
        <v>5.0528705436673205E-3</v>
      </c>
      <c r="C45" s="27">
        <f t="shared" ca="1" si="2"/>
        <v>1</v>
      </c>
      <c r="D45" s="27">
        <f t="shared" ca="1" si="5"/>
        <v>1</v>
      </c>
      <c r="E45" s="27">
        <f t="shared" ca="1" si="6"/>
        <v>0</v>
      </c>
      <c r="F45" s="27" t="b">
        <f t="shared" ca="1" si="3"/>
        <v>0</v>
      </c>
      <c r="G45" s="38">
        <f t="shared" ca="1" si="7"/>
        <v>0</v>
      </c>
      <c r="H45" s="42"/>
      <c r="I45" s="42"/>
      <c r="J45" s="26"/>
      <c r="K45" s="32">
        <v>43</v>
      </c>
      <c r="L45" s="27">
        <v>6</v>
      </c>
      <c r="M45" s="29">
        <v>0.11538461538461539</v>
      </c>
      <c r="N45" s="33">
        <v>5.3076923076923075</v>
      </c>
    </row>
    <row r="46" spans="1:14" ht="15" hidden="1" customHeight="1" x14ac:dyDescent="0.25">
      <c r="A46" s="32">
        <v>24</v>
      </c>
      <c r="B46" s="36">
        <f t="shared" ca="1" si="4"/>
        <v>8.5485578335913193E-2</v>
      </c>
      <c r="C46" s="27">
        <f t="shared" ca="1" si="2"/>
        <v>1</v>
      </c>
      <c r="D46" s="27">
        <f t="shared" ca="1" si="5"/>
        <v>1</v>
      </c>
      <c r="E46" s="27">
        <f t="shared" ca="1" si="6"/>
        <v>0</v>
      </c>
      <c r="F46" s="27" t="b">
        <f t="shared" ca="1" si="3"/>
        <v>0</v>
      </c>
      <c r="G46" s="38">
        <f t="shared" ca="1" si="7"/>
        <v>0</v>
      </c>
      <c r="H46" s="42"/>
      <c r="I46" s="42"/>
      <c r="J46" s="26"/>
      <c r="K46" s="32">
        <v>44</v>
      </c>
      <c r="L46" s="27">
        <v>5</v>
      </c>
      <c r="M46" s="29">
        <v>9.6153846153846159E-2</v>
      </c>
      <c r="N46" s="33">
        <v>5.4038461538461542</v>
      </c>
    </row>
    <row r="47" spans="1:14" ht="15" hidden="1" customHeight="1" x14ac:dyDescent="0.25">
      <c r="A47" s="32">
        <v>25</v>
      </c>
      <c r="B47" s="36">
        <f t="shared" ca="1" si="4"/>
        <v>0.64285655802419683</v>
      </c>
      <c r="C47" s="27">
        <f t="shared" ca="1" si="2"/>
        <v>7</v>
      </c>
      <c r="D47" s="27">
        <f t="shared" ca="1" si="5"/>
        <v>7</v>
      </c>
      <c r="E47" s="27">
        <f t="shared" ca="1" si="6"/>
        <v>0</v>
      </c>
      <c r="F47" s="27" t="b">
        <f t="shared" ca="1" si="3"/>
        <v>0</v>
      </c>
      <c r="G47" s="38">
        <f t="shared" ca="1" si="7"/>
        <v>0</v>
      </c>
      <c r="H47" s="42"/>
      <c r="I47" s="42"/>
      <c r="J47" s="26"/>
      <c r="K47" s="32">
        <v>45</v>
      </c>
      <c r="L47" s="27">
        <v>7</v>
      </c>
      <c r="M47" s="29">
        <v>0.13461538461538461</v>
      </c>
      <c r="N47" s="33">
        <v>5.884615384615385</v>
      </c>
    </row>
    <row r="48" spans="1:14" ht="15" hidden="1" customHeight="1" x14ac:dyDescent="0.25">
      <c r="A48" s="32">
        <v>26</v>
      </c>
      <c r="B48" s="36">
        <f t="shared" ca="1" si="4"/>
        <v>0.17496291901588745</v>
      </c>
      <c r="C48" s="27">
        <f t="shared" ca="1" si="2"/>
        <v>2</v>
      </c>
      <c r="D48" s="27">
        <f t="shared" ca="1" si="5"/>
        <v>2</v>
      </c>
      <c r="E48" s="27">
        <f t="shared" ca="1" si="6"/>
        <v>0</v>
      </c>
      <c r="F48" s="27" t="b">
        <f t="shared" ca="1" si="3"/>
        <v>0</v>
      </c>
      <c r="G48" s="38">
        <f t="shared" ca="1" si="7"/>
        <v>0</v>
      </c>
      <c r="H48" s="42"/>
      <c r="I48" s="42"/>
      <c r="J48" s="26"/>
      <c r="K48" s="32">
        <v>46</v>
      </c>
      <c r="L48" s="27">
        <v>14</v>
      </c>
      <c r="M48" s="29">
        <v>0.26923076923076922</v>
      </c>
      <c r="N48" s="33">
        <v>6.6923076923076925</v>
      </c>
    </row>
    <row r="49" spans="1:14" ht="15" hidden="1" customHeight="1" x14ac:dyDescent="0.25">
      <c r="A49" s="32">
        <v>27</v>
      </c>
      <c r="B49" s="36">
        <f t="shared" ca="1" si="4"/>
        <v>0.85632665727812973</v>
      </c>
      <c r="C49" s="27">
        <f t="shared" ca="1" si="2"/>
        <v>9</v>
      </c>
      <c r="D49" s="27">
        <f t="shared" ca="1" si="5"/>
        <v>9</v>
      </c>
      <c r="E49" s="27">
        <f t="shared" ca="1" si="6"/>
        <v>0</v>
      </c>
      <c r="F49" s="27" t="b">
        <f t="shared" ca="1" si="3"/>
        <v>0</v>
      </c>
      <c r="G49" s="38">
        <f t="shared" ca="1" si="7"/>
        <v>0</v>
      </c>
      <c r="H49" s="42"/>
      <c r="I49" s="42"/>
      <c r="J49" s="26"/>
      <c r="K49" s="32">
        <v>47</v>
      </c>
      <c r="L49" s="27">
        <v>15</v>
      </c>
      <c r="M49" s="29">
        <v>0.28846153846153844</v>
      </c>
      <c r="N49" s="33">
        <v>6.4807692307692308</v>
      </c>
    </row>
    <row r="50" spans="1:14" ht="15" hidden="1" customHeight="1" x14ac:dyDescent="0.25">
      <c r="A50" s="32">
        <v>28</v>
      </c>
      <c r="B50" s="36">
        <f t="shared" ca="1" si="4"/>
        <v>0.69297958536784721</v>
      </c>
      <c r="C50" s="27">
        <f t="shared" ca="1" si="2"/>
        <v>7</v>
      </c>
      <c r="D50" s="27">
        <f t="shared" ca="1" si="5"/>
        <v>7</v>
      </c>
      <c r="E50" s="27">
        <f t="shared" ca="1" si="6"/>
        <v>0</v>
      </c>
      <c r="F50" s="27" t="b">
        <f t="shared" ca="1" si="3"/>
        <v>0</v>
      </c>
      <c r="G50" s="38">
        <f t="shared" ca="1" si="7"/>
        <v>0</v>
      </c>
      <c r="H50" s="42"/>
      <c r="I50" s="42"/>
      <c r="J50" s="26"/>
      <c r="K50" s="32">
        <v>48</v>
      </c>
      <c r="L50" s="27">
        <v>13</v>
      </c>
      <c r="M50" s="29">
        <v>0.25</v>
      </c>
      <c r="N50" s="33">
        <v>6.4230769230769234</v>
      </c>
    </row>
    <row r="51" spans="1:14" ht="15" hidden="1" customHeight="1" x14ac:dyDescent="0.25">
      <c r="A51" s="32">
        <v>29</v>
      </c>
      <c r="B51" s="36">
        <f t="shared" ca="1" si="4"/>
        <v>0.94294487877826183</v>
      </c>
      <c r="C51" s="27">
        <f t="shared" ca="1" si="2"/>
        <v>13</v>
      </c>
      <c r="D51" s="27">
        <f t="shared" ca="1" si="5"/>
        <v>13</v>
      </c>
      <c r="E51" s="27">
        <f t="shared" ca="1" si="6"/>
        <v>3</v>
      </c>
      <c r="F51" s="27" t="b">
        <f t="shared" ca="1" si="3"/>
        <v>1</v>
      </c>
      <c r="G51" s="38">
        <f t="shared" ca="1" si="7"/>
        <v>3600</v>
      </c>
      <c r="H51" s="42"/>
      <c r="I51" s="42"/>
      <c r="J51" s="26"/>
      <c r="K51" s="32">
        <v>49</v>
      </c>
      <c r="L51" s="27">
        <v>8</v>
      </c>
      <c r="M51" s="29">
        <v>0.15384615384615385</v>
      </c>
      <c r="N51" s="33">
        <v>5.3461538461538458</v>
      </c>
    </row>
    <row r="52" spans="1:14" ht="15" hidden="1" customHeight="1" x14ac:dyDescent="0.25">
      <c r="A52" s="32">
        <v>30</v>
      </c>
      <c r="B52" s="36">
        <f t="shared" ca="1" si="4"/>
        <v>0.39848655229977503</v>
      </c>
      <c r="C52" s="27">
        <f t="shared" ca="1" si="2"/>
        <v>4</v>
      </c>
      <c r="D52" s="27">
        <f t="shared" ca="1" si="5"/>
        <v>7</v>
      </c>
      <c r="E52" s="27">
        <f t="shared" ca="1" si="6"/>
        <v>0</v>
      </c>
      <c r="F52" s="27" t="b">
        <f t="shared" ca="1" si="3"/>
        <v>0</v>
      </c>
      <c r="G52" s="38">
        <f t="shared" ca="1" si="7"/>
        <v>0</v>
      </c>
      <c r="H52" s="42"/>
      <c r="I52" s="42"/>
      <c r="J52" s="26"/>
      <c r="K52" s="32">
        <v>50</v>
      </c>
      <c r="L52" s="27">
        <v>9</v>
      </c>
      <c r="M52" s="29">
        <v>0.17307692307692307</v>
      </c>
      <c r="N52" s="33">
        <v>5.865384615384615</v>
      </c>
    </row>
    <row r="53" spans="1:14" ht="15" hidden="1" customHeight="1" x14ac:dyDescent="0.25">
      <c r="A53" s="32">
        <v>31</v>
      </c>
      <c r="B53" s="36">
        <f t="shared" ca="1" si="4"/>
        <v>0.34728309768341548</v>
      </c>
      <c r="C53" s="27">
        <f t="shared" ca="1" si="2"/>
        <v>4</v>
      </c>
      <c r="D53" s="27">
        <f t="shared" ca="1" si="5"/>
        <v>4</v>
      </c>
      <c r="E53" s="27">
        <f t="shared" ca="1" si="6"/>
        <v>0</v>
      </c>
      <c r="F53" s="27" t="b">
        <f t="shared" ca="1" si="3"/>
        <v>0</v>
      </c>
      <c r="G53" s="38">
        <f t="shared" ca="1" si="7"/>
        <v>0</v>
      </c>
      <c r="H53" s="42"/>
      <c r="I53" s="42"/>
      <c r="J53" s="26"/>
      <c r="K53" s="32">
        <v>51</v>
      </c>
      <c r="L53" s="27">
        <v>1</v>
      </c>
      <c r="M53" s="29">
        <v>1.9230769230769232E-2</v>
      </c>
      <c r="N53" s="33">
        <v>4.4423076923076925</v>
      </c>
    </row>
    <row r="54" spans="1:14" ht="15" hidden="1" customHeight="1" x14ac:dyDescent="0.25">
      <c r="A54" s="32">
        <v>32</v>
      </c>
      <c r="B54" s="36">
        <f t="shared" ca="1" si="4"/>
        <v>0.81750236224421702</v>
      </c>
      <c r="C54" s="27">
        <f t="shared" ca="1" si="2"/>
        <v>9</v>
      </c>
      <c r="D54" s="27">
        <f t="shared" ca="1" si="5"/>
        <v>9</v>
      </c>
      <c r="E54" s="27">
        <f t="shared" ca="1" si="6"/>
        <v>0</v>
      </c>
      <c r="F54" s="27" t="b">
        <f t="shared" ca="1" si="3"/>
        <v>0</v>
      </c>
      <c r="G54" s="38">
        <f t="shared" ca="1" si="7"/>
        <v>0</v>
      </c>
      <c r="H54" s="42"/>
      <c r="I54" s="42"/>
      <c r="J54" s="26"/>
      <c r="K54" s="32">
        <v>52</v>
      </c>
      <c r="L54" s="27">
        <v>4</v>
      </c>
      <c r="M54" s="29">
        <v>7.6923076923076927E-2</v>
      </c>
      <c r="N54" s="33">
        <v>5.8269230769230766</v>
      </c>
    </row>
    <row r="55" spans="1:14" ht="15" hidden="1" customHeight="1" x14ac:dyDescent="0.25">
      <c r="A55" s="32">
        <v>33</v>
      </c>
      <c r="B55" s="36">
        <f t="shared" ca="1" si="4"/>
        <v>0.13085670465039878</v>
      </c>
      <c r="C55" s="27">
        <f t="shared" ca="1" si="2"/>
        <v>2</v>
      </c>
      <c r="D55" s="27">
        <f t="shared" ca="1" si="5"/>
        <v>2</v>
      </c>
      <c r="E55" s="27">
        <f t="shared" ca="1" si="6"/>
        <v>0</v>
      </c>
      <c r="F55" s="27" t="b">
        <f t="shared" ca="1" si="3"/>
        <v>0</v>
      </c>
      <c r="G55" s="38">
        <f t="shared" ca="1" si="7"/>
        <v>0</v>
      </c>
      <c r="H55" s="42"/>
      <c r="I55" s="42"/>
      <c r="J55" s="26"/>
      <c r="K55" s="32">
        <v>53</v>
      </c>
      <c r="L55" s="27">
        <v>4</v>
      </c>
      <c r="M55" s="29">
        <v>7.6923076923076927E-2</v>
      </c>
      <c r="N55" s="33">
        <v>5.0576923076923075</v>
      </c>
    </row>
    <row r="56" spans="1:14" ht="15" hidden="1" customHeight="1" x14ac:dyDescent="0.25">
      <c r="A56" s="32">
        <v>34</v>
      </c>
      <c r="B56" s="36">
        <f t="shared" ca="1" si="4"/>
        <v>0.96694120207130219</v>
      </c>
      <c r="C56" s="27">
        <f t="shared" ca="1" si="2"/>
        <v>13</v>
      </c>
      <c r="D56" s="27">
        <f t="shared" ca="1" si="5"/>
        <v>13</v>
      </c>
      <c r="E56" s="27">
        <f t="shared" ca="1" si="6"/>
        <v>3</v>
      </c>
      <c r="F56" s="27" t="b">
        <f t="shared" ca="1" si="3"/>
        <v>1</v>
      </c>
      <c r="G56" s="38">
        <f t="shared" ca="1" si="7"/>
        <v>3600</v>
      </c>
      <c r="H56" s="42"/>
      <c r="I56" s="42"/>
      <c r="J56" s="26"/>
      <c r="K56" s="32">
        <v>54</v>
      </c>
      <c r="L56" s="27">
        <v>2</v>
      </c>
      <c r="M56" s="29">
        <v>3.8461538461538464E-2</v>
      </c>
      <c r="N56" s="33">
        <v>5.0769230769230766</v>
      </c>
    </row>
    <row r="57" spans="1:14" ht="15" hidden="1" customHeight="1" x14ac:dyDescent="0.25">
      <c r="A57" s="32">
        <v>35</v>
      </c>
      <c r="B57" s="36">
        <f t="shared" ca="1" si="4"/>
        <v>0.56139778711632593</v>
      </c>
      <c r="C57" s="27">
        <f t="shared" ca="1" si="2"/>
        <v>4</v>
      </c>
      <c r="D57" s="27">
        <f t="shared" ca="1" si="5"/>
        <v>7</v>
      </c>
      <c r="E57" s="27">
        <f t="shared" ca="1" si="6"/>
        <v>0</v>
      </c>
      <c r="F57" s="27" t="b">
        <f t="shared" ca="1" si="3"/>
        <v>0</v>
      </c>
      <c r="G57" s="38">
        <f t="shared" ca="1" si="7"/>
        <v>0</v>
      </c>
      <c r="H57" s="42"/>
      <c r="I57" s="42"/>
      <c r="J57" s="26"/>
      <c r="K57" s="32">
        <v>55</v>
      </c>
      <c r="L57" s="27">
        <v>4</v>
      </c>
      <c r="M57" s="29">
        <v>7.6923076923076927E-2</v>
      </c>
      <c r="N57" s="33">
        <v>4.6538461538461542</v>
      </c>
    </row>
    <row r="58" spans="1:14" ht="15" hidden="1" customHeight="1" x14ac:dyDescent="0.25">
      <c r="A58" s="32">
        <v>36</v>
      </c>
      <c r="B58" s="36">
        <f t="shared" ca="1" si="4"/>
        <v>0.46217241859175207</v>
      </c>
      <c r="C58" s="27">
        <f t="shared" ca="1" si="2"/>
        <v>4</v>
      </c>
      <c r="D58" s="27">
        <f t="shared" ca="1" si="5"/>
        <v>4</v>
      </c>
      <c r="E58" s="27">
        <f t="shared" ca="1" si="6"/>
        <v>0</v>
      </c>
      <c r="F58" s="27" t="b">
        <f t="shared" ca="1" si="3"/>
        <v>0</v>
      </c>
      <c r="G58" s="38">
        <f t="shared" ca="1" si="7"/>
        <v>0</v>
      </c>
      <c r="H58" s="42"/>
      <c r="I58" s="42"/>
      <c r="J58" s="26"/>
      <c r="K58" s="32">
        <v>56</v>
      </c>
      <c r="L58" s="27">
        <v>7</v>
      </c>
      <c r="M58" s="29">
        <v>0.13461538461538461</v>
      </c>
      <c r="N58" s="33">
        <v>6.2115384615384617</v>
      </c>
    </row>
    <row r="59" spans="1:14" ht="15" hidden="1" customHeight="1" x14ac:dyDescent="0.25">
      <c r="A59" s="32">
        <v>37</v>
      </c>
      <c r="B59" s="36">
        <f t="shared" ca="1" si="4"/>
        <v>0.70804858591311037</v>
      </c>
      <c r="C59" s="27">
        <f t="shared" ca="1" si="2"/>
        <v>7</v>
      </c>
      <c r="D59" s="27">
        <f t="shared" ca="1" si="5"/>
        <v>7</v>
      </c>
      <c r="E59" s="27">
        <f t="shared" ca="1" si="6"/>
        <v>0</v>
      </c>
      <c r="F59" s="27" t="b">
        <f t="shared" ca="1" si="3"/>
        <v>0</v>
      </c>
      <c r="G59" s="38">
        <f t="shared" ca="1" si="7"/>
        <v>0</v>
      </c>
      <c r="H59" s="42"/>
      <c r="I59" s="42"/>
      <c r="J59" s="26"/>
      <c r="K59" s="32">
        <v>57</v>
      </c>
      <c r="L59" s="27">
        <v>7</v>
      </c>
      <c r="M59" s="29">
        <v>0.13461538461538461</v>
      </c>
      <c r="N59" s="33">
        <v>5.115384615384615</v>
      </c>
    </row>
    <row r="60" spans="1:14" ht="14.25" hidden="1" customHeight="1" x14ac:dyDescent="0.25">
      <c r="A60" s="32">
        <v>38</v>
      </c>
      <c r="B60" s="36">
        <f t="shared" ca="1" si="4"/>
        <v>0.55656832623520769</v>
      </c>
      <c r="C60" s="27">
        <f t="shared" ca="1" si="2"/>
        <v>4</v>
      </c>
      <c r="D60" s="27">
        <f t="shared" ca="1" si="5"/>
        <v>4</v>
      </c>
      <c r="E60" s="27">
        <f t="shared" ca="1" si="6"/>
        <v>0</v>
      </c>
      <c r="F60" s="27" t="b">
        <f t="shared" ca="1" si="3"/>
        <v>0</v>
      </c>
      <c r="G60" s="38">
        <f t="shared" ca="1" si="7"/>
        <v>0</v>
      </c>
      <c r="H60" s="42"/>
      <c r="I60" s="42"/>
      <c r="J60" s="26"/>
      <c r="K60" s="32">
        <v>58</v>
      </c>
      <c r="L60" s="27">
        <v>3</v>
      </c>
      <c r="M60" s="29">
        <v>5.7692307692307696E-2</v>
      </c>
      <c r="N60" s="33">
        <v>5.1923076923076925</v>
      </c>
    </row>
    <row r="61" spans="1:14" ht="15.75" hidden="1" x14ac:dyDescent="0.25">
      <c r="A61" s="32">
        <v>39</v>
      </c>
      <c r="B61" s="36">
        <f t="shared" ca="1" si="4"/>
        <v>0.37158425483573043</v>
      </c>
      <c r="C61" s="27">
        <f t="shared" ca="1" si="2"/>
        <v>4</v>
      </c>
      <c r="D61" s="27">
        <f t="shared" ca="1" si="5"/>
        <v>4</v>
      </c>
      <c r="E61" s="27">
        <f t="shared" ca="1" si="6"/>
        <v>0</v>
      </c>
      <c r="F61" s="27" t="b">
        <f t="shared" ca="1" si="3"/>
        <v>0</v>
      </c>
      <c r="G61" s="38">
        <f t="shared" ca="1" si="7"/>
        <v>0</v>
      </c>
      <c r="H61" s="42"/>
      <c r="I61" s="42"/>
      <c r="J61" s="26"/>
      <c r="K61" s="32">
        <v>59</v>
      </c>
      <c r="L61" s="27">
        <v>6</v>
      </c>
      <c r="M61" s="29">
        <v>0.11538461538461539</v>
      </c>
      <c r="N61" s="33">
        <v>5.2884615384615383</v>
      </c>
    </row>
    <row r="62" spans="1:14" ht="15.75" hidden="1" x14ac:dyDescent="0.25">
      <c r="A62" s="32">
        <v>40</v>
      </c>
      <c r="B62" s="36">
        <f t="shared" ca="1" si="4"/>
        <v>0.36300779289920782</v>
      </c>
      <c r="C62" s="27">
        <f t="shared" ca="1" si="2"/>
        <v>4</v>
      </c>
      <c r="D62" s="27">
        <f t="shared" ca="1" si="5"/>
        <v>4</v>
      </c>
      <c r="E62" s="27">
        <f t="shared" ca="1" si="6"/>
        <v>0</v>
      </c>
      <c r="F62" s="27" t="b">
        <f t="shared" ca="1" si="3"/>
        <v>0</v>
      </c>
      <c r="G62" s="38">
        <f t="shared" ca="1" si="7"/>
        <v>0</v>
      </c>
      <c r="H62" s="42"/>
      <c r="I62" s="42"/>
      <c r="J62" s="26"/>
      <c r="K62" s="32">
        <v>60</v>
      </c>
      <c r="L62" s="27">
        <v>10</v>
      </c>
      <c r="M62" s="29">
        <v>0.19230769230769232</v>
      </c>
      <c r="N62" s="33">
        <v>5.3076923076923075</v>
      </c>
    </row>
    <row r="63" spans="1:14" ht="15.75" hidden="1" x14ac:dyDescent="0.25">
      <c r="A63" s="32">
        <v>41</v>
      </c>
      <c r="B63" s="36">
        <f t="shared" ca="1" si="4"/>
        <v>0.96285387285884949</v>
      </c>
      <c r="C63" s="27">
        <f t="shared" ca="1" si="2"/>
        <v>13</v>
      </c>
      <c r="D63" s="27">
        <f t="shared" ca="1" si="5"/>
        <v>13</v>
      </c>
      <c r="E63" s="27">
        <f t="shared" ca="1" si="6"/>
        <v>3</v>
      </c>
      <c r="F63" s="27" t="b">
        <f t="shared" ca="1" si="3"/>
        <v>1</v>
      </c>
      <c r="G63" s="38">
        <f t="shared" ca="1" si="7"/>
        <v>3600</v>
      </c>
      <c r="H63" s="42"/>
      <c r="I63" s="42"/>
      <c r="J63" s="26"/>
      <c r="K63" s="32">
        <v>61</v>
      </c>
      <c r="L63" s="27">
        <v>8</v>
      </c>
      <c r="M63" s="29">
        <v>0.15384615384615385</v>
      </c>
      <c r="N63" s="33">
        <v>6.0576923076923075</v>
      </c>
    </row>
    <row r="64" spans="1:14" ht="15" hidden="1" customHeight="1" x14ac:dyDescent="0.25">
      <c r="A64" s="32">
        <v>42</v>
      </c>
      <c r="B64" s="36">
        <f t="shared" ca="1" si="4"/>
        <v>0.93338903061715317</v>
      </c>
      <c r="C64" s="27">
        <f t="shared" ca="1" si="2"/>
        <v>13</v>
      </c>
      <c r="D64" s="27">
        <f t="shared" ca="1" si="5"/>
        <v>16</v>
      </c>
      <c r="E64" s="27">
        <f t="shared" ca="1" si="6"/>
        <v>6</v>
      </c>
      <c r="F64" s="27" t="b">
        <f t="shared" ca="1" si="3"/>
        <v>1</v>
      </c>
      <c r="G64" s="38">
        <f t="shared" ca="1" si="7"/>
        <v>7200</v>
      </c>
      <c r="H64" s="42"/>
      <c r="I64" s="42"/>
      <c r="J64" s="26"/>
      <c r="K64" s="32">
        <v>62</v>
      </c>
      <c r="L64" s="27">
        <v>5</v>
      </c>
      <c r="M64" s="29">
        <v>9.6153846153846159E-2</v>
      </c>
      <c r="N64" s="33">
        <v>5.3076923076923075</v>
      </c>
    </row>
    <row r="65" spans="1:14" ht="15" hidden="1" customHeight="1" x14ac:dyDescent="0.25">
      <c r="A65" s="32">
        <v>43</v>
      </c>
      <c r="B65" s="36">
        <f t="shared" ca="1" si="4"/>
        <v>0.44519064664719299</v>
      </c>
      <c r="C65" s="27">
        <f t="shared" ca="1" si="2"/>
        <v>4</v>
      </c>
      <c r="D65" s="27">
        <f t="shared" ca="1" si="5"/>
        <v>10</v>
      </c>
      <c r="E65" s="27">
        <f t="shared" ca="1" si="6"/>
        <v>0</v>
      </c>
      <c r="F65" s="27" t="b">
        <f t="shared" ca="1" si="3"/>
        <v>0</v>
      </c>
      <c r="G65" s="38">
        <f t="shared" ca="1" si="7"/>
        <v>0</v>
      </c>
      <c r="H65" s="42"/>
      <c r="I65" s="42"/>
      <c r="J65" s="26"/>
      <c r="K65" s="32">
        <v>63</v>
      </c>
      <c r="L65" s="27">
        <v>10</v>
      </c>
      <c r="M65" s="29">
        <v>0.19230769230769232</v>
      </c>
      <c r="N65" s="33">
        <v>5.6538461538461542</v>
      </c>
    </row>
    <row r="66" spans="1:14" ht="15" hidden="1" customHeight="1" x14ac:dyDescent="0.25">
      <c r="A66" s="32">
        <v>44</v>
      </c>
      <c r="B66" s="36">
        <f t="shared" ca="1" si="4"/>
        <v>0.11985043632907666</v>
      </c>
      <c r="C66" s="27">
        <f t="shared" ca="1" si="2"/>
        <v>2</v>
      </c>
      <c r="D66" s="27">
        <f t="shared" ca="1" si="5"/>
        <v>2</v>
      </c>
      <c r="E66" s="27">
        <f t="shared" ca="1" si="6"/>
        <v>0</v>
      </c>
      <c r="F66" s="27" t="b">
        <f t="shared" ca="1" si="3"/>
        <v>0</v>
      </c>
      <c r="G66" s="38">
        <f t="shared" ca="1" si="7"/>
        <v>0</v>
      </c>
      <c r="H66" s="42"/>
      <c r="I66" s="42"/>
      <c r="J66" s="26"/>
      <c r="K66" s="32">
        <v>64</v>
      </c>
      <c r="L66" s="27">
        <v>3</v>
      </c>
      <c r="M66" s="29">
        <v>5.7692307692307696E-2</v>
      </c>
      <c r="N66" s="33">
        <v>5</v>
      </c>
    </row>
    <row r="67" spans="1:14" ht="15" hidden="1" customHeight="1" x14ac:dyDescent="0.25">
      <c r="A67" s="32">
        <v>45</v>
      </c>
      <c r="B67" s="36">
        <f t="shared" ca="1" si="4"/>
        <v>0.10948960645784489</v>
      </c>
      <c r="C67" s="27">
        <f t="shared" ca="1" si="2"/>
        <v>2</v>
      </c>
      <c r="D67" s="27">
        <f t="shared" ca="1" si="5"/>
        <v>2</v>
      </c>
      <c r="E67" s="27">
        <f t="shared" ca="1" si="6"/>
        <v>0</v>
      </c>
      <c r="F67" s="27" t="b">
        <f t="shared" ca="1" si="3"/>
        <v>0</v>
      </c>
      <c r="G67" s="38">
        <f t="shared" ca="1" si="7"/>
        <v>0</v>
      </c>
      <c r="H67" s="42"/>
      <c r="I67" s="42"/>
      <c r="J67" s="26"/>
      <c r="K67" s="32">
        <v>65</v>
      </c>
      <c r="L67" s="27">
        <v>6</v>
      </c>
      <c r="M67" s="29">
        <v>0.11538461538461539</v>
      </c>
      <c r="N67" s="33">
        <v>5.3269230769230766</v>
      </c>
    </row>
    <row r="68" spans="1:14" ht="15" hidden="1" customHeight="1" x14ac:dyDescent="0.25">
      <c r="A68" s="32">
        <v>46</v>
      </c>
      <c r="B68" s="36">
        <f t="shared" ca="1" si="4"/>
        <v>0.49780027238002778</v>
      </c>
      <c r="C68" s="27">
        <f t="shared" ca="1" si="2"/>
        <v>4</v>
      </c>
      <c r="D68" s="27">
        <f t="shared" ca="1" si="5"/>
        <v>4</v>
      </c>
      <c r="E68" s="27">
        <f t="shared" ca="1" si="6"/>
        <v>0</v>
      </c>
      <c r="F68" s="27" t="b">
        <f t="shared" ca="1" si="3"/>
        <v>0</v>
      </c>
      <c r="G68" s="38">
        <f t="shared" ca="1" si="7"/>
        <v>0</v>
      </c>
      <c r="H68" s="42"/>
      <c r="I68" s="42"/>
      <c r="J68" s="26"/>
      <c r="K68" s="32">
        <v>66</v>
      </c>
      <c r="L68" s="27">
        <v>14</v>
      </c>
      <c r="M68" s="29">
        <v>0.26923076923076922</v>
      </c>
      <c r="N68" s="33">
        <v>6.365384615384615</v>
      </c>
    </row>
    <row r="69" spans="1:14" ht="15" hidden="1" customHeight="1" x14ac:dyDescent="0.25">
      <c r="A69" s="32">
        <v>47</v>
      </c>
      <c r="B69" s="36">
        <f t="shared" ca="1" si="4"/>
        <v>0.16246149085676564</v>
      </c>
      <c r="C69" s="27">
        <f t="shared" ca="1" si="2"/>
        <v>2</v>
      </c>
      <c r="D69" s="27">
        <f t="shared" ca="1" si="5"/>
        <v>2</v>
      </c>
      <c r="E69" s="27">
        <f t="shared" ca="1" si="6"/>
        <v>0</v>
      </c>
      <c r="F69" s="27" t="b">
        <f t="shared" ca="1" si="3"/>
        <v>0</v>
      </c>
      <c r="G69" s="38">
        <f t="shared" ca="1" si="7"/>
        <v>0</v>
      </c>
      <c r="H69" s="42"/>
      <c r="I69" s="42"/>
      <c r="J69" s="26"/>
      <c r="K69" s="32">
        <v>67</v>
      </c>
      <c r="L69" s="27">
        <v>1</v>
      </c>
      <c r="M69" s="29">
        <v>1.9230769230769232E-2</v>
      </c>
      <c r="N69" s="33">
        <v>4.2692307692307692</v>
      </c>
    </row>
    <row r="70" spans="1:14" ht="15" hidden="1" customHeight="1" x14ac:dyDescent="0.25">
      <c r="A70" s="32">
        <v>48</v>
      </c>
      <c r="B70" s="36">
        <f t="shared" ca="1" si="4"/>
        <v>0.33965146682225977</v>
      </c>
      <c r="C70" s="27">
        <f t="shared" ca="1" si="2"/>
        <v>4</v>
      </c>
      <c r="D70" s="27">
        <f t="shared" ca="1" si="5"/>
        <v>4</v>
      </c>
      <c r="E70" s="27">
        <f t="shared" ca="1" si="6"/>
        <v>0</v>
      </c>
      <c r="F70" s="27" t="b">
        <f t="shared" ca="1" si="3"/>
        <v>0</v>
      </c>
      <c r="G70" s="38">
        <f t="shared" ca="1" si="7"/>
        <v>0</v>
      </c>
      <c r="H70" s="42"/>
      <c r="I70" s="42"/>
      <c r="J70" s="26"/>
      <c r="K70" s="32">
        <v>68</v>
      </c>
      <c r="L70" s="27">
        <v>10</v>
      </c>
      <c r="M70" s="29">
        <v>0.19230769230769232</v>
      </c>
      <c r="N70" s="33">
        <v>5.9230769230769234</v>
      </c>
    </row>
    <row r="71" spans="1:14" ht="15" customHeight="1" x14ac:dyDescent="0.25">
      <c r="A71" s="32">
        <v>49</v>
      </c>
      <c r="B71" s="36">
        <f t="shared" ca="1" si="4"/>
        <v>0.94040841126433772</v>
      </c>
      <c r="C71" s="27">
        <f t="shared" ca="1" si="2"/>
        <v>13</v>
      </c>
      <c r="D71" s="27">
        <f t="shared" ca="1" si="5"/>
        <v>13</v>
      </c>
      <c r="E71" s="27">
        <f t="shared" ca="1" si="6"/>
        <v>3</v>
      </c>
      <c r="F71" s="27" t="b">
        <f t="shared" ca="1" si="3"/>
        <v>1</v>
      </c>
      <c r="G71" s="38">
        <f t="shared" ca="1" si="7"/>
        <v>3600</v>
      </c>
      <c r="H71" s="42"/>
      <c r="I71" s="42"/>
      <c r="J71" s="26"/>
      <c r="K71" s="32">
        <v>69</v>
      </c>
      <c r="L71" s="27">
        <v>12</v>
      </c>
      <c r="M71" s="29">
        <v>0.23076923076923078</v>
      </c>
      <c r="N71" s="33">
        <v>6.1730769230769234</v>
      </c>
    </row>
    <row r="72" spans="1:14" ht="15" customHeight="1" x14ac:dyDescent="0.25">
      <c r="A72" s="32">
        <v>50</v>
      </c>
      <c r="B72" s="36">
        <f t="shared" ca="1" si="4"/>
        <v>0.21391880208150782</v>
      </c>
      <c r="C72" s="27">
        <f t="shared" ca="1" si="2"/>
        <v>2</v>
      </c>
      <c r="D72" s="27">
        <f t="shared" ca="1" si="5"/>
        <v>5</v>
      </c>
      <c r="E72" s="27">
        <f t="shared" ca="1" si="6"/>
        <v>0</v>
      </c>
      <c r="F72" s="27" t="b">
        <f t="shared" ca="1" si="3"/>
        <v>0</v>
      </c>
      <c r="G72" s="38">
        <f t="shared" ca="1" si="7"/>
        <v>0</v>
      </c>
      <c r="H72" s="42"/>
      <c r="I72" s="42"/>
      <c r="J72" s="26"/>
      <c r="K72" s="32">
        <v>70</v>
      </c>
      <c r="L72" s="27">
        <v>3</v>
      </c>
      <c r="M72" s="29">
        <v>5.7692307692307696E-2</v>
      </c>
      <c r="N72" s="33">
        <v>4.5961538461538458</v>
      </c>
    </row>
    <row r="73" spans="1:14" ht="15" customHeight="1" x14ac:dyDescent="0.25">
      <c r="A73" s="32">
        <v>51</v>
      </c>
      <c r="B73" s="36">
        <f t="shared" ca="1" si="4"/>
        <v>0.82324043057215734</v>
      </c>
      <c r="C73" s="27">
        <f t="shared" ca="1" si="2"/>
        <v>9</v>
      </c>
      <c r="D73" s="27">
        <f t="shared" ca="1" si="5"/>
        <v>9</v>
      </c>
      <c r="E73" s="27">
        <f t="shared" ca="1" si="6"/>
        <v>0</v>
      </c>
      <c r="F73" s="27" t="b">
        <f t="shared" ca="1" si="3"/>
        <v>0</v>
      </c>
      <c r="G73" s="38">
        <f t="shared" ca="1" si="7"/>
        <v>0</v>
      </c>
      <c r="H73" s="42"/>
      <c r="I73" s="42"/>
      <c r="J73" s="26"/>
      <c r="K73" s="32">
        <v>71</v>
      </c>
      <c r="L73" s="27">
        <v>9</v>
      </c>
      <c r="M73" s="29">
        <v>0.17307692307692307</v>
      </c>
      <c r="N73" s="33">
        <v>5.7307692307692308</v>
      </c>
    </row>
    <row r="74" spans="1:14" ht="15" customHeight="1" x14ac:dyDescent="0.25">
      <c r="A74" s="27">
        <v>52</v>
      </c>
      <c r="B74" s="36">
        <f t="shared" ca="1" si="4"/>
        <v>0.39689600375415335</v>
      </c>
      <c r="C74" s="27">
        <f t="shared" ca="1" si="2"/>
        <v>4</v>
      </c>
      <c r="D74" s="27">
        <f t="shared" ca="1" si="5"/>
        <v>4</v>
      </c>
      <c r="E74" s="27">
        <f t="shared" ca="1" si="6"/>
        <v>0</v>
      </c>
      <c r="F74" s="27" t="b">
        <f t="shared" ca="1" si="3"/>
        <v>0</v>
      </c>
      <c r="G74" s="38">
        <f t="shared" ca="1" si="7"/>
        <v>0</v>
      </c>
      <c r="H74" s="42"/>
      <c r="I74" s="42"/>
      <c r="J74" s="26"/>
      <c r="K74" s="32">
        <v>72</v>
      </c>
      <c r="L74" s="27">
        <v>13</v>
      </c>
      <c r="M74" s="29">
        <v>0.25</v>
      </c>
      <c r="N74" s="33">
        <v>6.0384615384615383</v>
      </c>
    </row>
    <row r="75" spans="1:14" ht="15" customHeight="1" x14ac:dyDescent="0.25">
      <c r="F75" s="18"/>
      <c r="G75" s="37"/>
      <c r="H75" s="45"/>
      <c r="I75" s="45"/>
      <c r="J75" s="26"/>
      <c r="K75" s="32">
        <v>73</v>
      </c>
      <c r="L75" s="27">
        <v>13</v>
      </c>
      <c r="M75" s="29">
        <v>0.25</v>
      </c>
      <c r="N75" s="33">
        <v>5.7115384615384617</v>
      </c>
    </row>
    <row r="76" spans="1:14" ht="15" customHeight="1" x14ac:dyDescent="0.25">
      <c r="A76" s="103" t="s">
        <v>54</v>
      </c>
      <c r="B76" s="104"/>
      <c r="C76" s="111">
        <f ca="1">AVERAGE(C23:C74)</f>
        <v>5.7115384615384617</v>
      </c>
      <c r="D76" s="111">
        <f ca="1">AVERAGE(D23:D74)</f>
        <v>6.3269230769230766</v>
      </c>
      <c r="E76" s="111">
        <f ca="1">AVERAGE(E23:E74)</f>
        <v>0.61538461538461542</v>
      </c>
      <c r="F76" s="106"/>
      <c r="G76" s="123">
        <f ca="1">AVERAGE(G23:G74)</f>
        <v>738.46153846153845</v>
      </c>
      <c r="H76" s="46"/>
      <c r="I76" s="46"/>
      <c r="J76" s="26"/>
      <c r="K76" s="32">
        <v>74</v>
      </c>
      <c r="L76" s="27">
        <v>10</v>
      </c>
      <c r="M76" s="29">
        <v>0.19230769230769232</v>
      </c>
      <c r="N76" s="33">
        <v>6.134615384615385</v>
      </c>
    </row>
    <row r="77" spans="1:14" ht="15" customHeight="1" x14ac:dyDescent="0.25">
      <c r="A77" s="28"/>
      <c r="H77" s="42"/>
      <c r="I77" s="45"/>
      <c r="J77" s="26"/>
      <c r="K77" s="32">
        <v>75</v>
      </c>
      <c r="L77" s="27">
        <v>6</v>
      </c>
      <c r="M77" s="29">
        <v>0.11538461538461539</v>
      </c>
      <c r="N77" s="33">
        <v>5.634615384615385</v>
      </c>
    </row>
    <row r="78" spans="1:14" ht="15" customHeight="1" x14ac:dyDescent="0.25">
      <c r="A78" s="28"/>
      <c r="H78" s="42"/>
      <c r="I78" s="45"/>
      <c r="J78" s="26"/>
      <c r="K78" s="32">
        <v>76</v>
      </c>
      <c r="L78" s="27">
        <v>9</v>
      </c>
      <c r="M78" s="29">
        <v>0.17307692307692307</v>
      </c>
      <c r="N78" s="33">
        <v>5.6538461538461542</v>
      </c>
    </row>
    <row r="79" spans="1:14" ht="15" customHeight="1" x14ac:dyDescent="0.25">
      <c r="A79" s="28"/>
      <c r="H79" s="42"/>
      <c r="I79" s="45"/>
      <c r="J79" s="26"/>
      <c r="K79" s="32">
        <v>77</v>
      </c>
      <c r="L79" s="27">
        <v>6</v>
      </c>
      <c r="M79" s="29">
        <v>0.11538461538461539</v>
      </c>
      <c r="N79" s="33">
        <v>4.9807692307692308</v>
      </c>
    </row>
    <row r="80" spans="1:14" ht="15" customHeight="1" x14ac:dyDescent="0.25">
      <c r="A80" s="28"/>
      <c r="H80" s="42"/>
      <c r="I80" s="45"/>
      <c r="J80" s="26"/>
      <c r="K80" s="32">
        <v>78</v>
      </c>
      <c r="L80" s="27">
        <v>7</v>
      </c>
      <c r="M80" s="29">
        <v>0.13461538461538461</v>
      </c>
      <c r="N80" s="33">
        <v>5.3461538461538458</v>
      </c>
    </row>
    <row r="81" spans="1:14" ht="15" customHeight="1" x14ac:dyDescent="0.25">
      <c r="A81" s="28"/>
      <c r="H81" s="42"/>
      <c r="I81" s="45"/>
      <c r="J81" s="26"/>
      <c r="K81" s="32">
        <v>79</v>
      </c>
      <c r="L81" s="27">
        <v>4</v>
      </c>
      <c r="M81" s="29">
        <v>7.6923076923076927E-2</v>
      </c>
      <c r="N81" s="33">
        <v>4.8076923076923075</v>
      </c>
    </row>
    <row r="82" spans="1:14" ht="15" customHeight="1" x14ac:dyDescent="0.25">
      <c r="A82" s="28"/>
      <c r="H82" s="42"/>
      <c r="I82" s="45"/>
      <c r="J82" s="26"/>
      <c r="K82" s="32">
        <v>80</v>
      </c>
      <c r="L82" s="27">
        <v>3</v>
      </c>
      <c r="M82" s="29">
        <v>5.7692307692307696E-2</v>
      </c>
      <c r="N82" s="33">
        <v>4.365384615384615</v>
      </c>
    </row>
    <row r="83" spans="1:14" ht="15" customHeight="1" x14ac:dyDescent="0.25">
      <c r="A83" s="28"/>
      <c r="I83" s="26"/>
      <c r="J83" s="26"/>
      <c r="K83" s="32">
        <v>81</v>
      </c>
      <c r="L83" s="27">
        <v>1</v>
      </c>
      <c r="M83" s="29">
        <v>1.9230769230769232E-2</v>
      </c>
      <c r="N83" s="33">
        <v>5.2692307692307692</v>
      </c>
    </row>
    <row r="84" spans="1:14" ht="15" customHeight="1" x14ac:dyDescent="0.25">
      <c r="A84" s="28"/>
      <c r="I84" s="26"/>
      <c r="J84" s="26"/>
      <c r="K84" s="32">
        <v>82</v>
      </c>
      <c r="L84" s="27">
        <v>3</v>
      </c>
      <c r="M84" s="29">
        <v>5.7692307692307696E-2</v>
      </c>
      <c r="N84" s="33">
        <v>5.2115384615384617</v>
      </c>
    </row>
    <row r="85" spans="1:14" ht="15" customHeight="1" x14ac:dyDescent="0.25">
      <c r="A85" s="28"/>
      <c r="I85" s="26"/>
      <c r="J85" s="26"/>
      <c r="K85" s="32">
        <v>83</v>
      </c>
      <c r="L85" s="27">
        <v>9</v>
      </c>
      <c r="M85" s="29">
        <v>0.17307692307692307</v>
      </c>
      <c r="N85" s="33">
        <v>5.7307692307692308</v>
      </c>
    </row>
    <row r="86" spans="1:14" ht="15" customHeight="1" x14ac:dyDescent="0.25">
      <c r="A86" s="28"/>
      <c r="I86" s="26"/>
      <c r="J86" s="26"/>
      <c r="K86" s="32">
        <v>84</v>
      </c>
      <c r="L86" s="27">
        <v>8</v>
      </c>
      <c r="M86" s="29">
        <v>0.15384615384615385</v>
      </c>
      <c r="N86" s="33">
        <v>6.0576923076923075</v>
      </c>
    </row>
    <row r="87" spans="1:14" ht="15" customHeight="1" x14ac:dyDescent="0.25">
      <c r="A87" s="28"/>
      <c r="I87" s="26"/>
      <c r="J87" s="26"/>
      <c r="K87" s="32">
        <v>85</v>
      </c>
      <c r="L87" s="27">
        <v>4</v>
      </c>
      <c r="M87" s="29">
        <v>7.6923076923076927E-2</v>
      </c>
      <c r="N87" s="33">
        <v>4.7115384615384617</v>
      </c>
    </row>
    <row r="88" spans="1:14" ht="15" customHeight="1" x14ac:dyDescent="0.25">
      <c r="A88" s="28"/>
      <c r="I88" s="26"/>
      <c r="J88" s="26"/>
      <c r="K88" s="32">
        <v>86</v>
      </c>
      <c r="L88" s="27">
        <v>10</v>
      </c>
      <c r="M88" s="29">
        <v>0.19230769230769232</v>
      </c>
      <c r="N88" s="33">
        <v>5.6923076923076925</v>
      </c>
    </row>
    <row r="89" spans="1:14" ht="15" customHeight="1" x14ac:dyDescent="0.25">
      <c r="A89" s="28"/>
      <c r="I89" s="26"/>
      <c r="J89" s="26"/>
      <c r="K89" s="32">
        <v>87</v>
      </c>
      <c r="L89" s="27">
        <v>3</v>
      </c>
      <c r="M89" s="29">
        <v>5.7692307692307696E-2</v>
      </c>
      <c r="N89" s="33">
        <v>5.5192307692307692</v>
      </c>
    </row>
    <row r="90" spans="1:14" ht="15" customHeight="1" x14ac:dyDescent="0.25">
      <c r="A90" s="28"/>
      <c r="I90" s="26"/>
      <c r="J90" s="26"/>
      <c r="K90" s="32">
        <v>88</v>
      </c>
      <c r="L90" s="27">
        <v>4</v>
      </c>
      <c r="M90" s="29">
        <v>7.6923076923076927E-2</v>
      </c>
      <c r="N90" s="33">
        <v>4.8269230769230766</v>
      </c>
    </row>
    <row r="91" spans="1:14" ht="15" customHeight="1" x14ac:dyDescent="0.25">
      <c r="A91" s="28"/>
      <c r="I91" s="26"/>
      <c r="J91" s="26"/>
      <c r="K91" s="32">
        <v>89</v>
      </c>
      <c r="L91" s="27">
        <v>11</v>
      </c>
      <c r="M91" s="29">
        <v>0.21153846153846154</v>
      </c>
      <c r="N91" s="33">
        <v>5.9807692307692308</v>
      </c>
    </row>
    <row r="92" spans="1:14" ht="15" customHeight="1" x14ac:dyDescent="0.25">
      <c r="A92" s="28"/>
      <c r="I92" s="26"/>
      <c r="J92" s="26"/>
      <c r="K92" s="32">
        <v>90</v>
      </c>
      <c r="L92" s="27">
        <v>8</v>
      </c>
      <c r="M92" s="29">
        <v>0.15384615384615385</v>
      </c>
      <c r="N92" s="33">
        <v>5.4615384615384617</v>
      </c>
    </row>
    <row r="93" spans="1:14" ht="15" customHeight="1" x14ac:dyDescent="0.25">
      <c r="A93" s="28"/>
      <c r="I93" s="26"/>
      <c r="J93" s="26"/>
      <c r="K93" s="32">
        <v>91</v>
      </c>
      <c r="L93" s="27">
        <v>6</v>
      </c>
      <c r="M93" s="29">
        <v>0.11538461538461539</v>
      </c>
      <c r="N93" s="33">
        <v>4.5384615384615383</v>
      </c>
    </row>
    <row r="94" spans="1:14" ht="15" customHeight="1" x14ac:dyDescent="0.25">
      <c r="A94" s="28"/>
      <c r="I94" s="26"/>
      <c r="J94" s="26"/>
      <c r="K94" s="32">
        <v>92</v>
      </c>
      <c r="L94" s="27">
        <v>9</v>
      </c>
      <c r="M94" s="29">
        <v>0.17307692307692307</v>
      </c>
      <c r="N94" s="33">
        <v>5.365384615384615</v>
      </c>
    </row>
    <row r="95" spans="1:14" ht="15" customHeight="1" x14ac:dyDescent="0.25">
      <c r="A95" s="28"/>
      <c r="I95" s="26"/>
      <c r="J95" s="26"/>
      <c r="K95" s="32">
        <v>93</v>
      </c>
      <c r="L95" s="27">
        <v>11</v>
      </c>
      <c r="M95" s="29">
        <v>0.21153846153846154</v>
      </c>
      <c r="N95" s="33">
        <v>5.8076923076923075</v>
      </c>
    </row>
    <row r="96" spans="1:14" ht="15" customHeight="1" x14ac:dyDescent="0.25">
      <c r="A96" s="28"/>
      <c r="I96" s="26"/>
      <c r="J96" s="26"/>
      <c r="K96" s="32">
        <v>94</v>
      </c>
      <c r="L96" s="27">
        <v>6</v>
      </c>
      <c r="M96" s="29">
        <v>0.11538461538461539</v>
      </c>
      <c r="N96" s="33">
        <v>4.615384615384615</v>
      </c>
    </row>
    <row r="97" spans="1:17" ht="15" customHeight="1" x14ac:dyDescent="0.25">
      <c r="A97" s="28"/>
      <c r="I97" s="26"/>
      <c r="J97" s="26"/>
      <c r="K97" s="32">
        <v>95</v>
      </c>
      <c r="L97" s="27">
        <v>13</v>
      </c>
      <c r="M97" s="29">
        <v>0.25</v>
      </c>
      <c r="N97" s="33">
        <v>6.0961538461538458</v>
      </c>
    </row>
    <row r="98" spans="1:17" ht="15" customHeight="1" x14ac:dyDescent="0.25">
      <c r="A98" s="28"/>
      <c r="I98" s="26"/>
      <c r="J98" s="26"/>
      <c r="K98" s="32">
        <v>96</v>
      </c>
      <c r="L98" s="27">
        <v>3</v>
      </c>
      <c r="M98" s="29">
        <v>5.7692307692307696E-2</v>
      </c>
      <c r="N98" s="33">
        <v>4.7115384615384617</v>
      </c>
    </row>
    <row r="99" spans="1:17" ht="15" customHeight="1" x14ac:dyDescent="0.25">
      <c r="A99" s="28"/>
      <c r="I99" s="26"/>
      <c r="J99" s="26"/>
      <c r="K99" s="32">
        <v>97</v>
      </c>
      <c r="L99" s="27">
        <v>14</v>
      </c>
      <c r="M99" s="29">
        <v>0.26923076923076922</v>
      </c>
      <c r="N99" s="33">
        <v>6.365384615384615</v>
      </c>
    </row>
    <row r="100" spans="1:17" ht="15" customHeight="1" x14ac:dyDescent="0.25">
      <c r="A100" s="28"/>
      <c r="I100" s="26"/>
      <c r="J100" s="26"/>
      <c r="K100" s="32">
        <v>98</v>
      </c>
      <c r="L100" s="27">
        <v>9</v>
      </c>
      <c r="M100" s="29">
        <v>0.17307692307692307</v>
      </c>
      <c r="N100" s="33">
        <v>5.25</v>
      </c>
    </row>
    <row r="101" spans="1:17" ht="15" customHeight="1" x14ac:dyDescent="0.25">
      <c r="A101" s="28"/>
      <c r="I101" s="26"/>
      <c r="J101" s="26"/>
      <c r="K101" s="32">
        <v>99</v>
      </c>
      <c r="L101" s="27">
        <v>9</v>
      </c>
      <c r="M101" s="29">
        <v>0.17307692307692307</v>
      </c>
      <c r="N101" s="33">
        <v>5.865384615384615</v>
      </c>
    </row>
    <row r="102" spans="1:17" ht="15" customHeight="1" x14ac:dyDescent="0.25">
      <c r="A102" s="28"/>
      <c r="I102" s="26"/>
      <c r="J102" s="26"/>
      <c r="K102" s="32">
        <v>100</v>
      </c>
      <c r="L102" s="27">
        <v>10</v>
      </c>
      <c r="M102" s="29">
        <v>0.19230769230769232</v>
      </c>
      <c r="N102" s="33">
        <v>6.0192307692307692</v>
      </c>
    </row>
    <row r="103" spans="1:17" ht="15" customHeight="1" x14ac:dyDescent="0.25">
      <c r="A103" s="28"/>
      <c r="I103" s="26"/>
      <c r="J103" s="26"/>
      <c r="K103" s="39"/>
      <c r="L103" s="18"/>
      <c r="M103" s="18"/>
      <c r="N103" s="38"/>
    </row>
    <row r="104" spans="1:17" ht="15" customHeight="1" x14ac:dyDescent="0.25">
      <c r="A104" s="28"/>
      <c r="I104" s="26"/>
      <c r="J104" s="26"/>
      <c r="K104" s="110" t="s">
        <v>54</v>
      </c>
      <c r="L104" s="107">
        <f>AVERAGE(L3:L102)</f>
        <v>7.07</v>
      </c>
      <c r="M104" s="104"/>
      <c r="N104" s="111">
        <f>AVERAGE(N3:N102)</f>
        <v>5.4625000000000012</v>
      </c>
    </row>
    <row r="105" spans="1:17" ht="15" customHeight="1" x14ac:dyDescent="0.25">
      <c r="A105" s="24"/>
      <c r="I105" s="23"/>
      <c r="N105" s="23"/>
      <c r="O105" s="23"/>
      <c r="P105" s="23"/>
      <c r="Q105" s="23"/>
    </row>
    <row r="106" spans="1:17" ht="15" customHeight="1" x14ac:dyDescent="0.25">
      <c r="A106" s="24"/>
      <c r="I106" s="23"/>
      <c r="N106" s="23"/>
      <c r="O106" s="23"/>
      <c r="P106" s="23"/>
      <c r="Q106" s="23"/>
    </row>
    <row r="107" spans="1:17" ht="15" customHeight="1" x14ac:dyDescent="0.25">
      <c r="A107" s="24"/>
      <c r="I107" s="23"/>
      <c r="N107" s="23"/>
      <c r="O107" s="23"/>
      <c r="P107" s="23"/>
      <c r="Q107" s="23"/>
    </row>
    <row r="108" spans="1:17" ht="15" customHeight="1" x14ac:dyDescent="0.25">
      <c r="A108" s="24"/>
      <c r="I108" s="23"/>
      <c r="N108" s="23"/>
      <c r="O108" s="23"/>
      <c r="P108" s="23"/>
      <c r="Q108" s="23"/>
    </row>
    <row r="109" spans="1:17" ht="15" customHeight="1" x14ac:dyDescent="0.25">
      <c r="A109" s="24"/>
      <c r="I109" s="23"/>
      <c r="N109" s="23"/>
      <c r="O109" s="23"/>
      <c r="P109" s="23"/>
      <c r="Q109" s="23"/>
    </row>
    <row r="110" spans="1:17" ht="15" customHeight="1" x14ac:dyDescent="0.25">
      <c r="A110" s="24"/>
      <c r="I110" s="23"/>
      <c r="N110" s="23"/>
      <c r="O110" s="23"/>
      <c r="P110" s="23"/>
      <c r="Q110" s="23"/>
    </row>
    <row r="111" spans="1:17" ht="15" customHeight="1" x14ac:dyDescent="0.25">
      <c r="A111" s="24"/>
      <c r="I111" s="23"/>
      <c r="N111" s="23"/>
      <c r="O111" s="23"/>
      <c r="P111" s="23"/>
      <c r="Q111" s="23"/>
    </row>
    <row r="112" spans="1:17" ht="15" customHeight="1" x14ac:dyDescent="0.25">
      <c r="A112" s="24"/>
      <c r="I112" s="23"/>
      <c r="N112" s="23"/>
      <c r="O112" s="23"/>
      <c r="P112" s="23"/>
      <c r="Q112" s="23"/>
    </row>
    <row r="113" spans="1:17" ht="15" customHeight="1" x14ac:dyDescent="0.25">
      <c r="A113" s="24"/>
      <c r="I113" s="23"/>
      <c r="N113" s="23"/>
      <c r="O113" s="23"/>
      <c r="P113" s="23"/>
      <c r="Q113" s="23"/>
    </row>
    <row r="114" spans="1:17" ht="15" customHeight="1" x14ac:dyDescent="0.25">
      <c r="A114" s="24"/>
      <c r="I114" s="23"/>
      <c r="N114" s="23"/>
      <c r="O114" s="23"/>
      <c r="P114" s="23"/>
      <c r="Q114" s="23"/>
    </row>
    <row r="115" spans="1:17" ht="15" customHeight="1" x14ac:dyDescent="0.25">
      <c r="A115" s="24"/>
      <c r="I115" s="23"/>
      <c r="N115" s="23"/>
      <c r="O115" s="23"/>
      <c r="P115" s="23"/>
      <c r="Q115" s="23"/>
    </row>
    <row r="116" spans="1:17" ht="15" customHeight="1" x14ac:dyDescent="0.25">
      <c r="A116" s="24"/>
      <c r="I116" s="23"/>
      <c r="N116" s="23"/>
      <c r="O116" s="23"/>
      <c r="P116" s="23"/>
      <c r="Q116" s="23"/>
    </row>
    <row r="117" spans="1:17" ht="15" customHeight="1" x14ac:dyDescent="0.25">
      <c r="A117" s="24"/>
      <c r="I117" s="23"/>
      <c r="N117" s="23"/>
      <c r="O117" s="23"/>
      <c r="P117" s="23"/>
      <c r="Q117" s="23"/>
    </row>
    <row r="118" spans="1:17" ht="15" customHeight="1" x14ac:dyDescent="0.25">
      <c r="A118" s="20"/>
      <c r="L118" s="22"/>
      <c r="M118" s="22"/>
    </row>
    <row r="119" spans="1:17" ht="15" customHeight="1" x14ac:dyDescent="0.25">
      <c r="A119" s="20"/>
    </row>
    <row r="120" spans="1:17" ht="15" customHeight="1" x14ac:dyDescent="0.25">
      <c r="A120" s="20"/>
    </row>
    <row r="121" spans="1:17" ht="15" customHeight="1" x14ac:dyDescent="0.25">
      <c r="A121" s="20"/>
    </row>
    <row r="122" spans="1:17" ht="15" customHeight="1" x14ac:dyDescent="0.25">
      <c r="A122" s="20"/>
    </row>
    <row r="123" spans="1:17" ht="15" customHeight="1" x14ac:dyDescent="0.25">
      <c r="A123" s="20"/>
    </row>
    <row r="124" spans="1:17" ht="15" customHeight="1" x14ac:dyDescent="0.25">
      <c r="A124" s="20"/>
    </row>
    <row r="125" spans="1:17" ht="15" customHeight="1" x14ac:dyDescent="0.25">
      <c r="A125" s="20"/>
    </row>
    <row r="126" spans="1:17" ht="15" customHeight="1" x14ac:dyDescent="0.25">
      <c r="A126" s="20"/>
    </row>
    <row r="127" spans="1:17" ht="15" customHeight="1" x14ac:dyDescent="0.25">
      <c r="A127" s="20"/>
    </row>
    <row r="128" spans="1:17" ht="15" customHeight="1" x14ac:dyDescent="0.25">
      <c r="A128" s="20"/>
    </row>
    <row r="129" spans="1:5" ht="15" customHeight="1" x14ac:dyDescent="0.25">
      <c r="A129" s="20"/>
    </row>
    <row r="130" spans="1:5" ht="15" customHeight="1" x14ac:dyDescent="0.25">
      <c r="A130" s="20"/>
    </row>
    <row r="131" spans="1:5" ht="15" customHeight="1" x14ac:dyDescent="0.25">
      <c r="A131" s="20"/>
      <c r="B131" s="18"/>
    </row>
    <row r="132" spans="1:5" ht="15" customHeight="1" x14ac:dyDescent="0.25">
      <c r="A132" s="20"/>
      <c r="B132" s="18"/>
      <c r="C132" s="19"/>
      <c r="D132" s="18"/>
      <c r="E132" s="21"/>
    </row>
    <row r="133" spans="1:5" ht="15" customHeight="1" x14ac:dyDescent="0.25">
      <c r="A133" s="20"/>
      <c r="B133" s="18"/>
      <c r="C133" s="19"/>
      <c r="D133" s="18"/>
      <c r="E133" s="21"/>
    </row>
    <row r="134" spans="1:5" ht="15" customHeight="1" x14ac:dyDescent="0.25">
      <c r="A134" s="20"/>
      <c r="B134" s="18"/>
      <c r="C134" s="19"/>
      <c r="D134" s="18"/>
      <c r="E134" s="21"/>
    </row>
    <row r="135" spans="1:5" ht="15" customHeight="1" x14ac:dyDescent="0.25">
      <c r="A135" s="20"/>
      <c r="B135" s="18"/>
      <c r="C135" s="19"/>
      <c r="D135" s="18"/>
      <c r="E135" s="21"/>
    </row>
    <row r="136" spans="1:5" ht="15" customHeight="1" x14ac:dyDescent="0.25">
      <c r="A136" s="20"/>
      <c r="B136" s="18"/>
      <c r="C136" s="19"/>
      <c r="D136" s="18"/>
      <c r="E136" s="21"/>
    </row>
    <row r="137" spans="1:5" ht="15" customHeight="1" x14ac:dyDescent="0.25">
      <c r="A137" s="20"/>
      <c r="B137" s="18"/>
      <c r="C137" s="19"/>
      <c r="D137" s="18"/>
      <c r="E137" s="21"/>
    </row>
    <row r="138" spans="1:5" ht="15" customHeight="1" x14ac:dyDescent="0.25">
      <c r="A138" s="20"/>
      <c r="B138" s="18"/>
      <c r="C138" s="19"/>
      <c r="D138" s="18"/>
      <c r="E138" s="21"/>
    </row>
    <row r="139" spans="1:5" ht="15" customHeight="1" x14ac:dyDescent="0.25">
      <c r="A139" s="20"/>
      <c r="B139" s="18"/>
      <c r="C139" s="19"/>
      <c r="D139" s="18"/>
      <c r="E139" s="21"/>
    </row>
    <row r="140" spans="1:5" ht="15" customHeight="1" x14ac:dyDescent="0.25">
      <c r="A140" s="20"/>
      <c r="B140" s="18"/>
      <c r="C140" s="19"/>
      <c r="D140" s="18"/>
      <c r="E140" s="21"/>
    </row>
    <row r="141" spans="1:5" ht="15" customHeight="1" x14ac:dyDescent="0.25">
      <c r="A141" s="20"/>
      <c r="B141" s="18"/>
      <c r="C141" s="19"/>
      <c r="D141" s="18"/>
      <c r="E141" s="21"/>
    </row>
    <row r="142" spans="1:5" ht="15" customHeight="1" x14ac:dyDescent="0.25">
      <c r="A142" s="20"/>
      <c r="B142" s="18"/>
      <c r="C142" s="19"/>
      <c r="D142" s="18"/>
      <c r="E142" s="21"/>
    </row>
    <row r="143" spans="1:5" ht="15" customHeight="1" x14ac:dyDescent="0.25">
      <c r="A143" s="20"/>
      <c r="B143" s="18"/>
      <c r="C143" s="19"/>
      <c r="D143" s="18"/>
      <c r="E143" s="21"/>
    </row>
    <row r="144" spans="1:5" ht="15" customHeight="1" x14ac:dyDescent="0.25">
      <c r="A144" s="20"/>
      <c r="B144" s="18"/>
      <c r="C144" s="19"/>
      <c r="D144" s="18"/>
      <c r="E144" s="21"/>
    </row>
    <row r="145" spans="1:5" ht="15" customHeight="1" x14ac:dyDescent="0.25">
      <c r="A145" s="20"/>
      <c r="B145" s="18"/>
      <c r="C145" s="19"/>
      <c r="D145" s="18"/>
      <c r="E145" s="21"/>
    </row>
    <row r="146" spans="1:5" ht="15" customHeight="1" x14ac:dyDescent="0.25">
      <c r="A146" s="20"/>
      <c r="B146" s="18"/>
      <c r="C146" s="19"/>
      <c r="D146" s="18"/>
      <c r="E146" s="21"/>
    </row>
    <row r="147" spans="1:5" ht="15" customHeight="1" x14ac:dyDescent="0.25">
      <c r="A147" s="20"/>
      <c r="B147" s="18"/>
      <c r="C147" s="19"/>
      <c r="D147" s="18"/>
      <c r="E147" s="21"/>
    </row>
    <row r="148" spans="1:5" ht="15" customHeight="1" x14ac:dyDescent="0.25">
      <c r="A148" s="20"/>
      <c r="B148" s="18"/>
      <c r="C148" s="19"/>
      <c r="D148" s="18"/>
      <c r="E148" s="21"/>
    </row>
    <row r="149" spans="1:5" ht="15" customHeight="1" x14ac:dyDescent="0.25">
      <c r="A149" s="20"/>
      <c r="B149" s="18"/>
      <c r="C149" s="19"/>
      <c r="D149" s="18"/>
      <c r="E149" s="21"/>
    </row>
    <row r="150" spans="1:5" ht="15" customHeight="1" x14ac:dyDescent="0.25">
      <c r="A150" s="20"/>
      <c r="B150" s="18"/>
      <c r="C150" s="19"/>
      <c r="D150" s="18"/>
      <c r="E150" s="21"/>
    </row>
    <row r="151" spans="1:5" ht="15" customHeight="1" x14ac:dyDescent="0.25">
      <c r="A151" s="20"/>
      <c r="B151" s="18"/>
      <c r="C151" s="19"/>
      <c r="D151" s="18"/>
      <c r="E151" s="21"/>
    </row>
    <row r="152" spans="1:5" ht="15" customHeight="1" x14ac:dyDescent="0.25">
      <c r="A152" s="20"/>
      <c r="B152" s="18"/>
      <c r="C152" s="19"/>
      <c r="D152" s="18"/>
      <c r="E152" s="21"/>
    </row>
    <row r="153" spans="1:5" ht="15" customHeight="1" x14ac:dyDescent="0.25">
      <c r="A153" s="20"/>
      <c r="B153" s="18"/>
      <c r="C153" s="19"/>
      <c r="D153" s="18"/>
      <c r="E153" s="21"/>
    </row>
    <row r="154" spans="1:5" ht="15" customHeight="1" x14ac:dyDescent="0.25">
      <c r="A154" s="20"/>
      <c r="B154" s="18"/>
      <c r="C154" s="19"/>
      <c r="D154" s="18"/>
      <c r="E154" s="21"/>
    </row>
    <row r="155" spans="1:5" ht="15" customHeight="1" x14ac:dyDescent="0.25">
      <c r="A155" s="20"/>
      <c r="B155" s="18"/>
      <c r="C155" s="19"/>
      <c r="D155" s="18"/>
      <c r="E155" s="21"/>
    </row>
    <row r="156" spans="1:5" ht="15" customHeight="1" x14ac:dyDescent="0.25">
      <c r="A156" s="20"/>
      <c r="B156" s="18"/>
      <c r="C156" s="19"/>
      <c r="D156" s="18"/>
      <c r="E156" s="21"/>
    </row>
    <row r="157" spans="1:5" ht="15" customHeight="1" x14ac:dyDescent="0.25">
      <c r="A157" s="20"/>
      <c r="B157" s="18"/>
      <c r="C157" s="19"/>
      <c r="D157" s="18"/>
      <c r="E157" s="21"/>
    </row>
    <row r="158" spans="1:5" ht="15" customHeight="1" x14ac:dyDescent="0.25">
      <c r="A158" s="20"/>
      <c r="B158" s="18"/>
      <c r="C158" s="19"/>
      <c r="D158" s="18"/>
      <c r="E158" s="21"/>
    </row>
    <row r="159" spans="1:5" ht="15" customHeight="1" x14ac:dyDescent="0.25">
      <c r="A159" s="20"/>
      <c r="B159" s="18"/>
      <c r="C159" s="19"/>
      <c r="D159" s="18"/>
      <c r="E159" s="21"/>
    </row>
    <row r="160" spans="1:5" ht="15" customHeight="1" x14ac:dyDescent="0.25">
      <c r="A160" s="20"/>
      <c r="B160" s="18"/>
      <c r="C160" s="19"/>
      <c r="D160" s="18"/>
      <c r="E160" s="21"/>
    </row>
    <row r="161" spans="1:5" ht="15" customHeight="1" x14ac:dyDescent="0.25">
      <c r="A161" s="20"/>
      <c r="B161" s="18"/>
      <c r="C161" s="19"/>
      <c r="D161" s="18"/>
      <c r="E161" s="21"/>
    </row>
    <row r="162" spans="1:5" ht="15" customHeight="1" x14ac:dyDescent="0.25">
      <c r="A162" s="20"/>
      <c r="B162" s="18"/>
      <c r="C162" s="19"/>
      <c r="D162" s="18"/>
      <c r="E162" s="21"/>
    </row>
    <row r="163" spans="1:5" ht="15" customHeight="1" x14ac:dyDescent="0.25">
      <c r="A163" s="20"/>
      <c r="B163" s="18"/>
      <c r="C163" s="19"/>
      <c r="D163" s="18"/>
      <c r="E163" s="21"/>
    </row>
    <row r="164" spans="1:5" ht="15" customHeight="1" x14ac:dyDescent="0.25">
      <c r="A164" s="20"/>
      <c r="B164" s="18"/>
      <c r="C164" s="19"/>
      <c r="D164" s="18"/>
      <c r="E164" s="21"/>
    </row>
    <row r="165" spans="1:5" ht="15" customHeight="1" x14ac:dyDescent="0.25">
      <c r="A165" s="20"/>
      <c r="B165" s="18"/>
      <c r="C165" s="19"/>
      <c r="D165" s="18"/>
      <c r="E165" s="21"/>
    </row>
    <row r="166" spans="1:5" ht="15" customHeight="1" x14ac:dyDescent="0.25">
      <c r="A166" s="20"/>
      <c r="B166" s="18"/>
      <c r="C166" s="19"/>
      <c r="D166" s="18"/>
      <c r="E166" s="21"/>
    </row>
    <row r="167" spans="1:5" ht="15" customHeight="1" x14ac:dyDescent="0.25">
      <c r="A167" s="20"/>
      <c r="B167" s="18"/>
      <c r="C167" s="19"/>
      <c r="D167" s="18"/>
      <c r="E167" s="21"/>
    </row>
    <row r="168" spans="1:5" ht="15" customHeight="1" x14ac:dyDescent="0.25">
      <c r="A168" s="20"/>
      <c r="B168" s="18"/>
      <c r="C168" s="19"/>
      <c r="D168" s="18"/>
      <c r="E168" s="21"/>
    </row>
    <row r="169" spans="1:5" ht="15" customHeight="1" x14ac:dyDescent="0.25">
      <c r="A169" s="20"/>
      <c r="B169" s="18"/>
      <c r="C169" s="19"/>
      <c r="D169" s="18"/>
      <c r="E169" s="21"/>
    </row>
    <row r="170" spans="1:5" ht="15" customHeight="1" x14ac:dyDescent="0.25">
      <c r="A170" s="20"/>
      <c r="B170" s="18"/>
      <c r="C170" s="19"/>
      <c r="D170" s="18"/>
      <c r="E170" s="21"/>
    </row>
    <row r="171" spans="1:5" ht="15" customHeight="1" x14ac:dyDescent="0.25">
      <c r="A171" s="20"/>
      <c r="B171" s="18"/>
      <c r="C171" s="19"/>
      <c r="D171" s="18"/>
      <c r="E171" s="21"/>
    </row>
    <row r="172" spans="1:5" ht="15" customHeight="1" x14ac:dyDescent="0.25">
      <c r="A172" s="20"/>
      <c r="B172" s="18"/>
      <c r="C172" s="19"/>
      <c r="D172" s="18"/>
      <c r="E172" s="21"/>
    </row>
    <row r="173" spans="1:5" ht="15" customHeight="1" x14ac:dyDescent="0.25">
      <c r="A173" s="20"/>
      <c r="B173" s="18"/>
      <c r="C173" s="19"/>
      <c r="D173" s="18"/>
      <c r="E173" s="21"/>
    </row>
    <row r="174" spans="1:5" ht="15" customHeight="1" x14ac:dyDescent="0.25">
      <c r="A174" s="20"/>
      <c r="B174" s="18"/>
      <c r="C174" s="19"/>
      <c r="D174" s="18"/>
      <c r="E174" s="21"/>
    </row>
    <row r="175" spans="1:5" ht="15" customHeight="1" x14ac:dyDescent="0.25">
      <c r="A175" s="20"/>
      <c r="B175" s="18"/>
      <c r="C175" s="19"/>
      <c r="D175" s="18"/>
      <c r="E175" s="21"/>
    </row>
    <row r="176" spans="1:5" ht="15" customHeight="1" x14ac:dyDescent="0.25">
      <c r="A176" s="20"/>
      <c r="B176" s="18"/>
      <c r="C176" s="19"/>
      <c r="D176" s="18"/>
      <c r="E176" s="21"/>
    </row>
    <row r="177" spans="1:5" ht="15" customHeight="1" x14ac:dyDescent="0.25">
      <c r="A177" s="20"/>
      <c r="B177" s="18"/>
      <c r="C177" s="19"/>
      <c r="D177" s="18"/>
      <c r="E177" s="21"/>
    </row>
    <row r="178" spans="1:5" ht="15" customHeight="1" x14ac:dyDescent="0.25">
      <c r="A178" s="20"/>
      <c r="B178" s="18"/>
      <c r="C178" s="19"/>
      <c r="D178" s="18"/>
      <c r="E178" s="21"/>
    </row>
    <row r="179" spans="1:5" ht="15" customHeight="1" x14ac:dyDescent="0.25">
      <c r="A179" s="20"/>
      <c r="B179" s="18"/>
      <c r="C179" s="19"/>
      <c r="D179" s="18"/>
      <c r="E179" s="21"/>
    </row>
    <row r="180" spans="1:5" ht="15" customHeight="1" x14ac:dyDescent="0.25">
      <c r="A180" s="20"/>
      <c r="B180" s="18"/>
      <c r="C180" s="19"/>
      <c r="D180" s="18"/>
      <c r="E180" s="21"/>
    </row>
    <row r="181" spans="1:5" ht="15" customHeight="1" x14ac:dyDescent="0.25">
      <c r="A181" s="20"/>
      <c r="B181" s="18"/>
      <c r="C181" s="19"/>
      <c r="D181" s="18"/>
      <c r="E181" s="21"/>
    </row>
    <row r="182" spans="1:5" ht="15" customHeight="1" x14ac:dyDescent="0.25">
      <c r="A182" s="20"/>
      <c r="B182" s="18"/>
      <c r="C182" s="19"/>
      <c r="D182" s="18"/>
      <c r="E182" s="21"/>
    </row>
    <row r="183" spans="1:5" ht="15" customHeight="1" x14ac:dyDescent="0.25">
      <c r="A183" s="20"/>
      <c r="B183" s="18"/>
      <c r="C183" s="19"/>
      <c r="D183" s="18"/>
      <c r="E183" s="21"/>
    </row>
    <row r="184" spans="1:5" ht="15" customHeight="1" x14ac:dyDescent="0.25">
      <c r="A184" s="20"/>
      <c r="B184" s="18"/>
      <c r="C184" s="19"/>
      <c r="D184" s="18"/>
      <c r="E184" s="21"/>
    </row>
    <row r="185" spans="1:5" ht="15" customHeight="1" x14ac:dyDescent="0.25">
      <c r="A185" s="20"/>
      <c r="B185" s="18"/>
      <c r="C185" s="19"/>
      <c r="D185" s="18"/>
      <c r="E185" s="21"/>
    </row>
    <row r="186" spans="1:5" ht="15" customHeight="1" x14ac:dyDescent="0.25">
      <c r="A186" s="20"/>
      <c r="B186" s="18"/>
      <c r="C186" s="19"/>
      <c r="D186" s="18"/>
      <c r="E186" s="21"/>
    </row>
    <row r="187" spans="1:5" ht="15" customHeight="1" x14ac:dyDescent="0.25">
      <c r="A187" s="20"/>
      <c r="B187" s="18"/>
      <c r="C187" s="19"/>
      <c r="D187" s="18"/>
      <c r="E187" s="21"/>
    </row>
    <row r="188" spans="1:5" ht="15" customHeight="1" x14ac:dyDescent="0.25">
      <c r="A188" s="20"/>
      <c r="B188" s="18"/>
      <c r="C188" s="19"/>
      <c r="D188" s="18"/>
      <c r="E188" s="21"/>
    </row>
    <row r="189" spans="1:5" ht="15" customHeight="1" x14ac:dyDescent="0.25">
      <c r="A189" s="20"/>
      <c r="B189" s="18"/>
      <c r="C189" s="19"/>
      <c r="D189" s="18"/>
      <c r="E189" s="21"/>
    </row>
    <row r="190" spans="1:5" ht="15" customHeight="1" x14ac:dyDescent="0.25">
      <c r="A190" s="20"/>
      <c r="B190" s="18"/>
      <c r="C190" s="19"/>
      <c r="D190" s="18"/>
      <c r="E190" s="21"/>
    </row>
    <row r="191" spans="1:5" ht="15" customHeight="1" x14ac:dyDescent="0.25">
      <c r="A191" s="20"/>
      <c r="B191" s="18"/>
      <c r="C191" s="19"/>
      <c r="D191" s="18"/>
      <c r="E191" s="21"/>
    </row>
    <row r="192" spans="1:5" ht="15" customHeight="1" x14ac:dyDescent="0.25">
      <c r="A192" s="20"/>
      <c r="B192" s="18"/>
      <c r="C192" s="19"/>
      <c r="D192" s="18"/>
      <c r="E192" s="21"/>
    </row>
    <row r="193" spans="1:5" ht="15" customHeight="1" x14ac:dyDescent="0.25">
      <c r="A193" s="20"/>
      <c r="B193" s="18"/>
      <c r="C193" s="19"/>
      <c r="D193" s="18"/>
      <c r="E193" s="21"/>
    </row>
    <row r="194" spans="1:5" ht="15" customHeight="1" x14ac:dyDescent="0.25">
      <c r="A194" s="20"/>
      <c r="B194" s="18"/>
      <c r="C194" s="19"/>
      <c r="D194" s="18"/>
      <c r="E194" s="21"/>
    </row>
    <row r="195" spans="1:5" ht="15" customHeight="1" x14ac:dyDescent="0.25">
      <c r="A195" s="20"/>
      <c r="B195" s="18"/>
      <c r="C195" s="19"/>
      <c r="D195" s="18"/>
      <c r="E195" s="21"/>
    </row>
    <row r="196" spans="1:5" ht="15" customHeight="1" x14ac:dyDescent="0.25">
      <c r="A196" s="20"/>
      <c r="B196" s="18"/>
      <c r="C196" s="19"/>
      <c r="D196" s="18"/>
      <c r="E196" s="21"/>
    </row>
    <row r="197" spans="1:5" ht="15" customHeight="1" x14ac:dyDescent="0.25">
      <c r="A197" s="20"/>
      <c r="B197" s="18"/>
      <c r="C197" s="19"/>
      <c r="D197" s="18"/>
      <c r="E197" s="21"/>
    </row>
    <row r="198" spans="1:5" ht="15" customHeight="1" x14ac:dyDescent="0.25">
      <c r="A198" s="20"/>
      <c r="B198" s="18"/>
      <c r="C198" s="19"/>
      <c r="D198" s="18"/>
      <c r="E198" s="21"/>
    </row>
    <row r="199" spans="1:5" ht="15" customHeight="1" x14ac:dyDescent="0.25">
      <c r="A199" s="20"/>
      <c r="B199" s="18"/>
      <c r="C199" s="19"/>
      <c r="D199" s="18"/>
      <c r="E199" s="21"/>
    </row>
    <row r="200" spans="1:5" ht="15" customHeight="1" x14ac:dyDescent="0.25">
      <c r="A200" s="20"/>
      <c r="B200" s="18"/>
      <c r="C200" s="19"/>
      <c r="D200" s="18"/>
      <c r="E200" s="21"/>
    </row>
    <row r="201" spans="1:5" ht="15" customHeight="1" x14ac:dyDescent="0.25">
      <c r="A201" s="20"/>
      <c r="B201" s="18"/>
      <c r="C201" s="19"/>
      <c r="D201" s="18"/>
      <c r="E201" s="21"/>
    </row>
    <row r="202" spans="1:5" ht="15" customHeight="1" x14ac:dyDescent="0.25">
      <c r="A202" s="20"/>
      <c r="B202" s="18"/>
      <c r="C202" s="19"/>
      <c r="D202" s="18"/>
      <c r="E202" s="21"/>
    </row>
    <row r="203" spans="1:5" ht="15" customHeight="1" x14ac:dyDescent="0.25">
      <c r="A203" s="20"/>
      <c r="B203" s="18"/>
      <c r="C203" s="19"/>
      <c r="D203" s="18"/>
      <c r="E203" s="21"/>
    </row>
    <row r="204" spans="1:5" ht="15" customHeight="1" x14ac:dyDescent="0.25">
      <c r="A204" s="20"/>
      <c r="B204" s="18"/>
      <c r="C204" s="19"/>
      <c r="D204" s="18"/>
      <c r="E204" s="21"/>
    </row>
    <row r="205" spans="1:5" ht="15" customHeight="1" x14ac:dyDescent="0.25">
      <c r="A205" s="20"/>
      <c r="B205" s="18"/>
      <c r="C205" s="19"/>
      <c r="D205" s="18"/>
      <c r="E205" s="21"/>
    </row>
    <row r="206" spans="1:5" ht="15" customHeight="1" x14ac:dyDescent="0.25">
      <c r="A206" s="20"/>
      <c r="B206" s="18"/>
      <c r="C206" s="19"/>
      <c r="D206" s="18"/>
      <c r="E206" s="21"/>
    </row>
    <row r="207" spans="1:5" ht="15" customHeight="1" x14ac:dyDescent="0.25">
      <c r="A207" s="20"/>
      <c r="B207" s="18"/>
      <c r="C207" s="19"/>
      <c r="D207" s="18"/>
      <c r="E207" s="21"/>
    </row>
    <row r="208" spans="1:5" ht="15" customHeight="1" x14ac:dyDescent="0.25">
      <c r="A208" s="20"/>
      <c r="B208" s="18"/>
      <c r="C208" s="19"/>
      <c r="D208" s="18"/>
      <c r="E208" s="21"/>
    </row>
    <row r="209" spans="1:5" ht="15" customHeight="1" x14ac:dyDescent="0.25">
      <c r="A209" s="20"/>
      <c r="B209" s="18"/>
      <c r="C209" s="19"/>
      <c r="D209" s="18"/>
      <c r="E209" s="21"/>
    </row>
    <row r="210" spans="1:5" ht="15" customHeight="1" x14ac:dyDescent="0.25">
      <c r="A210" s="20"/>
      <c r="B210" s="18"/>
      <c r="C210" s="19"/>
      <c r="D210" s="18"/>
      <c r="E210" s="21"/>
    </row>
    <row r="211" spans="1:5" ht="15" customHeight="1" x14ac:dyDescent="0.25">
      <c r="A211" s="20"/>
      <c r="B211" s="18"/>
      <c r="C211" s="19"/>
      <c r="D211" s="18"/>
      <c r="E211" s="21"/>
    </row>
    <row r="212" spans="1:5" ht="15" customHeight="1" x14ac:dyDescent="0.25">
      <c r="A212" s="20"/>
      <c r="B212" s="18"/>
      <c r="C212" s="19"/>
      <c r="D212" s="18"/>
      <c r="E212" s="21"/>
    </row>
    <row r="213" spans="1:5" ht="15" customHeight="1" x14ac:dyDescent="0.25">
      <c r="A213" s="20"/>
      <c r="B213" s="18"/>
      <c r="C213" s="19"/>
      <c r="D213" s="18"/>
      <c r="E213" s="21"/>
    </row>
    <row r="214" spans="1:5" ht="15" customHeight="1" x14ac:dyDescent="0.25">
      <c r="A214" s="20"/>
      <c r="B214" s="18"/>
      <c r="C214" s="19"/>
      <c r="D214" s="18"/>
      <c r="E214" s="21"/>
    </row>
    <row r="215" spans="1:5" ht="15" customHeight="1" x14ac:dyDescent="0.25">
      <c r="A215" s="20"/>
      <c r="B215" s="18"/>
      <c r="C215" s="19"/>
      <c r="D215" s="18"/>
      <c r="E215" s="21"/>
    </row>
    <row r="216" spans="1:5" ht="15" customHeight="1" x14ac:dyDescent="0.25">
      <c r="A216" s="20"/>
      <c r="B216" s="18"/>
      <c r="C216" s="19"/>
      <c r="D216" s="18"/>
      <c r="E216" s="21"/>
    </row>
    <row r="217" spans="1:5" ht="15" customHeight="1" x14ac:dyDescent="0.25">
      <c r="A217" s="20"/>
      <c r="B217" s="18"/>
      <c r="C217" s="19"/>
      <c r="D217" s="18"/>
      <c r="E217" s="21"/>
    </row>
    <row r="218" spans="1:5" ht="15" customHeight="1" x14ac:dyDescent="0.25">
      <c r="A218" s="20"/>
      <c r="B218" s="18"/>
      <c r="C218" s="19"/>
      <c r="D218" s="18"/>
      <c r="E218" s="21"/>
    </row>
    <row r="219" spans="1:5" ht="15" customHeight="1" x14ac:dyDescent="0.25">
      <c r="A219" s="20"/>
      <c r="B219" s="18"/>
      <c r="C219" s="19"/>
      <c r="D219" s="18"/>
      <c r="E219" s="21"/>
    </row>
    <row r="220" spans="1:5" ht="15" customHeight="1" x14ac:dyDescent="0.25">
      <c r="A220" s="20"/>
      <c r="B220" s="18"/>
      <c r="C220" s="19"/>
      <c r="D220" s="18"/>
      <c r="E220" s="21"/>
    </row>
    <row r="221" spans="1:5" ht="15" customHeight="1" x14ac:dyDescent="0.25">
      <c r="A221" s="20"/>
      <c r="B221" s="18"/>
      <c r="C221" s="19"/>
      <c r="D221" s="18"/>
      <c r="E221" s="21"/>
    </row>
    <row r="222" spans="1:5" ht="15" customHeight="1" x14ac:dyDescent="0.25">
      <c r="A222" s="20"/>
      <c r="B222" s="18"/>
      <c r="C222" s="19"/>
      <c r="D222" s="18"/>
      <c r="E222" s="21"/>
    </row>
    <row r="223" spans="1:5" ht="15" customHeight="1" x14ac:dyDescent="0.25">
      <c r="A223" s="20"/>
      <c r="B223" s="18"/>
      <c r="C223" s="19"/>
      <c r="D223" s="18"/>
      <c r="E223" s="21"/>
    </row>
    <row r="224" spans="1:5" ht="15" customHeight="1" x14ac:dyDescent="0.25">
      <c r="A224" s="20"/>
      <c r="B224" s="18"/>
      <c r="C224" s="19"/>
      <c r="D224" s="18"/>
      <c r="E224" s="21"/>
    </row>
    <row r="225" spans="1:5" ht="15" customHeight="1" x14ac:dyDescent="0.25">
      <c r="A225" s="20"/>
      <c r="B225" s="18"/>
      <c r="C225" s="19"/>
      <c r="D225" s="18"/>
      <c r="E225" s="21"/>
    </row>
    <row r="226" spans="1:5" ht="15" customHeight="1" x14ac:dyDescent="0.25">
      <c r="A226" s="20"/>
      <c r="B226" s="18"/>
      <c r="C226" s="19"/>
      <c r="D226" s="18"/>
      <c r="E226" s="21"/>
    </row>
    <row r="227" spans="1:5" ht="15" customHeight="1" x14ac:dyDescent="0.25">
      <c r="A227" s="20"/>
      <c r="B227" s="18"/>
      <c r="C227" s="19"/>
      <c r="D227" s="18"/>
      <c r="E227" s="21"/>
    </row>
    <row r="228" spans="1:5" ht="15" customHeight="1" x14ac:dyDescent="0.25">
      <c r="A228" s="20"/>
      <c r="B228" s="18"/>
      <c r="C228" s="19"/>
      <c r="D228" s="18"/>
      <c r="E228" s="21"/>
    </row>
    <row r="229" spans="1:5" ht="15" customHeight="1" x14ac:dyDescent="0.25">
      <c r="A229" s="20"/>
      <c r="B229" s="18"/>
      <c r="C229" s="19"/>
      <c r="D229" s="18"/>
      <c r="E229" s="21"/>
    </row>
    <row r="230" spans="1:5" ht="15" customHeight="1" x14ac:dyDescent="0.25">
      <c r="A230" s="20"/>
      <c r="B230" s="18"/>
      <c r="C230" s="19"/>
      <c r="D230" s="18"/>
      <c r="E230" s="21"/>
    </row>
    <row r="231" spans="1:5" ht="15" customHeight="1" x14ac:dyDescent="0.25">
      <c r="A231" s="20"/>
      <c r="B231" s="18"/>
      <c r="C231" s="19"/>
      <c r="D231" s="18"/>
      <c r="E231" s="21"/>
    </row>
    <row r="232" spans="1:5" ht="15" customHeight="1" x14ac:dyDescent="0.25">
      <c r="A232" s="20"/>
      <c r="B232" s="18"/>
      <c r="C232" s="19"/>
      <c r="D232" s="18"/>
      <c r="E232" s="21"/>
    </row>
    <row r="233" spans="1:5" ht="15" customHeight="1" x14ac:dyDescent="0.25">
      <c r="A233" s="20"/>
      <c r="B233" s="18"/>
      <c r="C233" s="19"/>
      <c r="D233" s="18"/>
      <c r="E233" s="21"/>
    </row>
    <row r="234" spans="1:5" ht="15" customHeight="1" x14ac:dyDescent="0.25">
      <c r="A234" s="20"/>
      <c r="B234" s="18"/>
      <c r="C234" s="19"/>
      <c r="D234" s="18"/>
      <c r="E234" s="21"/>
    </row>
    <row r="235" spans="1:5" ht="15" customHeight="1" x14ac:dyDescent="0.25">
      <c r="A235" s="20"/>
      <c r="B235" s="18"/>
      <c r="C235" s="19"/>
      <c r="D235" s="18"/>
      <c r="E235" s="21"/>
    </row>
    <row r="236" spans="1:5" ht="15" customHeight="1" x14ac:dyDescent="0.25">
      <c r="A236" s="20"/>
      <c r="B236" s="18"/>
      <c r="C236" s="19"/>
      <c r="D236" s="18"/>
      <c r="E236" s="21"/>
    </row>
    <row r="237" spans="1:5" ht="15" customHeight="1" x14ac:dyDescent="0.25">
      <c r="A237" s="20"/>
      <c r="B237" s="18"/>
      <c r="C237" s="19"/>
      <c r="D237" s="18"/>
      <c r="E237" s="21"/>
    </row>
    <row r="238" spans="1:5" ht="15" customHeight="1" x14ac:dyDescent="0.25">
      <c r="A238" s="20"/>
      <c r="B238" s="18"/>
      <c r="C238" s="19"/>
      <c r="D238" s="18"/>
      <c r="E238" s="21"/>
    </row>
    <row r="239" spans="1:5" ht="15" customHeight="1" x14ac:dyDescent="0.25">
      <c r="A239" s="20"/>
      <c r="B239" s="18"/>
      <c r="C239" s="19"/>
      <c r="D239" s="18"/>
      <c r="E239" s="21"/>
    </row>
    <row r="240" spans="1:5" ht="15" customHeight="1" x14ac:dyDescent="0.25">
      <c r="A240" s="20"/>
      <c r="B240" s="18"/>
      <c r="C240" s="19"/>
      <c r="D240" s="18"/>
      <c r="E240" s="21"/>
    </row>
    <row r="241" spans="1:5" ht="15" customHeight="1" x14ac:dyDescent="0.25">
      <c r="A241" s="20"/>
      <c r="B241" s="18"/>
      <c r="C241" s="19"/>
      <c r="D241" s="18"/>
      <c r="E241" s="21"/>
    </row>
    <row r="242" spans="1:5" ht="15" customHeight="1" x14ac:dyDescent="0.25">
      <c r="A242" s="20"/>
      <c r="B242" s="18"/>
      <c r="C242" s="19"/>
      <c r="D242" s="18"/>
      <c r="E242" s="21"/>
    </row>
    <row r="243" spans="1:5" ht="15" customHeight="1" x14ac:dyDescent="0.25">
      <c r="A243" s="20"/>
      <c r="B243" s="18"/>
      <c r="C243" s="19"/>
      <c r="D243" s="18"/>
      <c r="E243" s="21"/>
    </row>
    <row r="244" spans="1:5" ht="15" customHeight="1" x14ac:dyDescent="0.25">
      <c r="A244" s="20"/>
      <c r="B244" s="18"/>
      <c r="C244" s="19"/>
      <c r="D244" s="18"/>
      <c r="E244" s="21"/>
    </row>
    <row r="245" spans="1:5" ht="15" customHeight="1" x14ac:dyDescent="0.25">
      <c r="A245" s="20"/>
      <c r="B245" s="18"/>
      <c r="C245" s="19"/>
      <c r="D245" s="18"/>
      <c r="E245" s="21"/>
    </row>
    <row r="246" spans="1:5" ht="15" customHeight="1" x14ac:dyDescent="0.25">
      <c r="A246" s="20"/>
      <c r="B246" s="18"/>
      <c r="C246" s="19"/>
      <c r="D246" s="18"/>
      <c r="E246" s="21"/>
    </row>
    <row r="247" spans="1:5" ht="15" customHeight="1" x14ac:dyDescent="0.25">
      <c r="A247" s="20"/>
      <c r="B247" s="18"/>
      <c r="C247" s="19"/>
      <c r="D247" s="18"/>
      <c r="E247" s="21"/>
    </row>
    <row r="248" spans="1:5" ht="15" customHeight="1" x14ac:dyDescent="0.25">
      <c r="A248" s="20"/>
      <c r="B248" s="18"/>
      <c r="C248" s="19"/>
      <c r="D248" s="18"/>
      <c r="E248" s="21"/>
    </row>
    <row r="249" spans="1:5" ht="15" customHeight="1" x14ac:dyDescent="0.25">
      <c r="A249" s="20"/>
      <c r="B249" s="18"/>
      <c r="C249" s="19"/>
      <c r="D249" s="18"/>
      <c r="E249" s="21"/>
    </row>
    <row r="250" spans="1:5" ht="15" customHeight="1" x14ac:dyDescent="0.25">
      <c r="A250" s="20"/>
      <c r="B250" s="18"/>
      <c r="C250" s="19"/>
      <c r="D250" s="18"/>
      <c r="E250" s="21"/>
    </row>
    <row r="251" spans="1:5" ht="15" customHeight="1" x14ac:dyDescent="0.25">
      <c r="A251" s="20"/>
      <c r="B251" s="18"/>
      <c r="C251" s="19"/>
      <c r="D251" s="18"/>
      <c r="E251" s="21"/>
    </row>
    <row r="252" spans="1:5" ht="15" customHeight="1" x14ac:dyDescent="0.25">
      <c r="A252" s="20"/>
      <c r="B252" s="18"/>
      <c r="C252" s="19"/>
      <c r="D252" s="18"/>
      <c r="E252" s="21"/>
    </row>
    <row r="253" spans="1:5" ht="15" customHeight="1" x14ac:dyDescent="0.25">
      <c r="A253" s="20"/>
      <c r="B253" s="18"/>
      <c r="C253" s="19"/>
      <c r="D253" s="18"/>
      <c r="E253" s="21"/>
    </row>
    <row r="254" spans="1:5" ht="15" customHeight="1" x14ac:dyDescent="0.25">
      <c r="A254" s="20"/>
      <c r="B254" s="18"/>
      <c r="C254" s="19"/>
      <c r="D254" s="18"/>
      <c r="E254" s="21"/>
    </row>
    <row r="255" spans="1:5" ht="15" customHeight="1" x14ac:dyDescent="0.25">
      <c r="A255" s="20"/>
      <c r="B255" s="18"/>
      <c r="C255" s="19"/>
      <c r="D255" s="18"/>
      <c r="E255" s="21"/>
    </row>
    <row r="256" spans="1:5" ht="15" customHeight="1" x14ac:dyDescent="0.25">
      <c r="A256" s="20"/>
      <c r="B256" s="18"/>
      <c r="C256" s="19"/>
      <c r="D256" s="18"/>
      <c r="E256" s="21"/>
    </row>
    <row r="257" spans="1:5" ht="15" customHeight="1" x14ac:dyDescent="0.25">
      <c r="A257" s="20"/>
      <c r="B257" s="18"/>
      <c r="C257" s="19"/>
      <c r="D257" s="18"/>
      <c r="E257" s="21"/>
    </row>
    <row r="258" spans="1:5" ht="15" customHeight="1" x14ac:dyDescent="0.25">
      <c r="A258" s="20"/>
      <c r="B258" s="18"/>
      <c r="C258" s="19"/>
      <c r="D258" s="18"/>
      <c r="E258" s="21"/>
    </row>
    <row r="259" spans="1:5" ht="15" customHeight="1" x14ac:dyDescent="0.25">
      <c r="A259" s="20"/>
      <c r="B259" s="18"/>
      <c r="C259" s="19"/>
      <c r="D259" s="18"/>
      <c r="E259" s="21"/>
    </row>
    <row r="260" spans="1:5" ht="15" customHeight="1" x14ac:dyDescent="0.25">
      <c r="A260" s="20"/>
      <c r="B260" s="18"/>
      <c r="C260" s="19"/>
      <c r="D260" s="18"/>
      <c r="E260" s="21"/>
    </row>
    <row r="261" spans="1:5" ht="15" customHeight="1" x14ac:dyDescent="0.25">
      <c r="A261" s="20"/>
      <c r="B261" s="18"/>
      <c r="C261" s="19"/>
      <c r="D261" s="18"/>
      <c r="E261" s="21"/>
    </row>
    <row r="262" spans="1:5" ht="15" customHeight="1" x14ac:dyDescent="0.25">
      <c r="A262" s="20"/>
      <c r="B262" s="18"/>
      <c r="C262" s="19"/>
      <c r="D262" s="18"/>
      <c r="E262" s="21"/>
    </row>
    <row r="263" spans="1:5" ht="15" customHeight="1" x14ac:dyDescent="0.25">
      <c r="A263" s="20"/>
      <c r="B263" s="18"/>
      <c r="C263" s="19"/>
      <c r="D263" s="18"/>
      <c r="E263" s="21"/>
    </row>
    <row r="264" spans="1:5" ht="15" customHeight="1" x14ac:dyDescent="0.25">
      <c r="A264" s="20"/>
      <c r="B264" s="18"/>
      <c r="C264" s="19"/>
      <c r="D264" s="18"/>
      <c r="E264" s="21"/>
    </row>
    <row r="265" spans="1:5" ht="15" customHeight="1" x14ac:dyDescent="0.25">
      <c r="A265" s="20"/>
      <c r="B265" s="18"/>
      <c r="C265" s="19"/>
      <c r="D265" s="18"/>
      <c r="E265" s="21"/>
    </row>
    <row r="266" spans="1:5" ht="15" customHeight="1" x14ac:dyDescent="0.25">
      <c r="A266" s="20"/>
      <c r="B266" s="18"/>
      <c r="C266" s="19"/>
      <c r="D266" s="18"/>
      <c r="E266" s="21"/>
    </row>
    <row r="267" spans="1:5" ht="15" customHeight="1" x14ac:dyDescent="0.25">
      <c r="A267" s="20"/>
      <c r="B267" s="18"/>
      <c r="C267" s="19"/>
      <c r="D267" s="18"/>
      <c r="E267" s="21"/>
    </row>
    <row r="268" spans="1:5" ht="15" customHeight="1" x14ac:dyDescent="0.25">
      <c r="A268" s="20"/>
      <c r="B268" s="18"/>
      <c r="C268" s="19"/>
      <c r="D268" s="18"/>
      <c r="E268" s="21"/>
    </row>
    <row r="269" spans="1:5" ht="15" customHeight="1" x14ac:dyDescent="0.25">
      <c r="A269" s="20"/>
      <c r="B269" s="18"/>
      <c r="C269" s="19"/>
      <c r="D269" s="18"/>
      <c r="E269" s="21"/>
    </row>
    <row r="270" spans="1:5" ht="15" customHeight="1" x14ac:dyDescent="0.25">
      <c r="A270" s="20"/>
      <c r="B270" s="18"/>
      <c r="C270" s="19"/>
      <c r="D270" s="18"/>
      <c r="E270" s="21"/>
    </row>
    <row r="271" spans="1:5" ht="15" customHeight="1" x14ac:dyDescent="0.25">
      <c r="A271" s="20"/>
      <c r="B271" s="18"/>
      <c r="C271" s="19"/>
      <c r="D271" s="18"/>
      <c r="E271" s="21"/>
    </row>
    <row r="272" spans="1:5" ht="15" customHeight="1" x14ac:dyDescent="0.25">
      <c r="A272" s="20"/>
      <c r="B272" s="18"/>
      <c r="C272" s="19"/>
      <c r="D272" s="18"/>
      <c r="E272" s="21"/>
    </row>
    <row r="273" spans="1:5" ht="15" customHeight="1" x14ac:dyDescent="0.25">
      <c r="A273" s="20"/>
      <c r="B273" s="18"/>
      <c r="C273" s="19"/>
      <c r="D273" s="18"/>
      <c r="E273" s="21"/>
    </row>
    <row r="274" spans="1:5" ht="15" customHeight="1" x14ac:dyDescent="0.25">
      <c r="A274" s="20"/>
      <c r="B274" s="18"/>
      <c r="C274" s="19"/>
      <c r="D274" s="18"/>
      <c r="E274" s="21"/>
    </row>
    <row r="275" spans="1:5" ht="15" customHeight="1" x14ac:dyDescent="0.25">
      <c r="A275" s="20"/>
      <c r="B275" s="18"/>
      <c r="C275" s="19"/>
      <c r="D275" s="18"/>
      <c r="E275" s="21"/>
    </row>
    <row r="276" spans="1:5" ht="15" customHeight="1" x14ac:dyDescent="0.25">
      <c r="A276" s="20"/>
      <c r="B276" s="18"/>
      <c r="C276" s="19"/>
      <c r="D276" s="18"/>
      <c r="E276" s="21"/>
    </row>
    <row r="277" spans="1:5" ht="15" customHeight="1" x14ac:dyDescent="0.25">
      <c r="A277" s="20"/>
      <c r="B277" s="18"/>
      <c r="C277" s="19"/>
      <c r="D277" s="18"/>
      <c r="E277" s="21"/>
    </row>
    <row r="278" spans="1:5" ht="15" customHeight="1" x14ac:dyDescent="0.25">
      <c r="A278" s="20"/>
      <c r="B278" s="18"/>
      <c r="C278" s="19"/>
      <c r="D278" s="18"/>
      <c r="E278" s="21"/>
    </row>
    <row r="279" spans="1:5" ht="15" customHeight="1" x14ac:dyDescent="0.25">
      <c r="A279" s="20"/>
      <c r="B279" s="18"/>
      <c r="C279" s="19"/>
      <c r="D279" s="18"/>
      <c r="E279" s="21"/>
    </row>
    <row r="280" spans="1:5" ht="15" customHeight="1" x14ac:dyDescent="0.25">
      <c r="A280" s="20"/>
      <c r="B280" s="18"/>
      <c r="C280" s="19"/>
      <c r="D280" s="18"/>
      <c r="E280" s="21"/>
    </row>
    <row r="281" spans="1:5" ht="15" customHeight="1" x14ac:dyDescent="0.25">
      <c r="A281" s="20"/>
      <c r="B281" s="18"/>
      <c r="C281" s="19"/>
      <c r="D281" s="18"/>
      <c r="E281" s="21"/>
    </row>
    <row r="282" spans="1:5" ht="15" customHeight="1" x14ac:dyDescent="0.25">
      <c r="A282" s="20"/>
      <c r="B282" s="18"/>
      <c r="C282" s="19"/>
      <c r="D282" s="18"/>
      <c r="E282" s="21"/>
    </row>
    <row r="283" spans="1:5" ht="15" customHeight="1" x14ac:dyDescent="0.25">
      <c r="A283" s="20"/>
      <c r="B283" s="18"/>
      <c r="C283" s="19"/>
      <c r="D283" s="18"/>
      <c r="E283" s="21"/>
    </row>
    <row r="284" spans="1:5" ht="15" customHeight="1" x14ac:dyDescent="0.25">
      <c r="A284" s="20"/>
      <c r="B284" s="18"/>
      <c r="C284" s="19"/>
      <c r="D284" s="18"/>
      <c r="E284" s="21"/>
    </row>
    <row r="285" spans="1:5" ht="15" customHeight="1" x14ac:dyDescent="0.25">
      <c r="A285" s="20"/>
      <c r="B285" s="18"/>
      <c r="C285" s="19"/>
      <c r="D285" s="18"/>
      <c r="E285" s="21"/>
    </row>
    <row r="286" spans="1:5" ht="15" customHeight="1" x14ac:dyDescent="0.25">
      <c r="A286" s="20"/>
      <c r="B286" s="18"/>
      <c r="C286" s="19"/>
      <c r="D286" s="18"/>
      <c r="E286" s="21"/>
    </row>
    <row r="287" spans="1:5" ht="15" customHeight="1" x14ac:dyDescent="0.25">
      <c r="A287" s="20"/>
      <c r="B287" s="18"/>
      <c r="C287" s="19"/>
      <c r="D287" s="18"/>
      <c r="E287" s="21"/>
    </row>
    <row r="288" spans="1:5" ht="15" customHeight="1" x14ac:dyDescent="0.25">
      <c r="A288" s="20"/>
      <c r="B288" s="18"/>
      <c r="C288" s="19"/>
      <c r="D288" s="18"/>
      <c r="E288" s="21"/>
    </row>
    <row r="289" spans="1:5" ht="15" customHeight="1" x14ac:dyDescent="0.25">
      <c r="A289" s="20"/>
      <c r="B289" s="18"/>
      <c r="C289" s="19"/>
      <c r="D289" s="18"/>
      <c r="E289" s="21"/>
    </row>
    <row r="290" spans="1:5" ht="15" customHeight="1" x14ac:dyDescent="0.25">
      <c r="A290" s="20"/>
      <c r="B290" s="18"/>
      <c r="C290" s="19"/>
      <c r="D290" s="18"/>
      <c r="E290" s="21"/>
    </row>
    <row r="291" spans="1:5" ht="15" customHeight="1" x14ac:dyDescent="0.25">
      <c r="A291" s="20"/>
      <c r="B291" s="18"/>
      <c r="C291" s="19"/>
      <c r="D291" s="18"/>
      <c r="E291" s="21"/>
    </row>
    <row r="292" spans="1:5" ht="15" customHeight="1" x14ac:dyDescent="0.25">
      <c r="A292" s="20"/>
      <c r="B292" s="18"/>
      <c r="C292" s="19"/>
      <c r="D292" s="18"/>
      <c r="E292" s="21"/>
    </row>
    <row r="293" spans="1:5" ht="15" customHeight="1" x14ac:dyDescent="0.25">
      <c r="A293" s="20"/>
      <c r="B293" s="18"/>
      <c r="C293" s="19"/>
      <c r="D293" s="18"/>
      <c r="E293" s="21"/>
    </row>
    <row r="294" spans="1:5" ht="15" customHeight="1" x14ac:dyDescent="0.25">
      <c r="A294" s="20"/>
      <c r="B294" s="18"/>
      <c r="C294" s="19"/>
      <c r="D294" s="18"/>
      <c r="E294" s="21"/>
    </row>
    <row r="295" spans="1:5" ht="15" customHeight="1" x14ac:dyDescent="0.25">
      <c r="A295" s="20"/>
      <c r="B295" s="18"/>
      <c r="C295" s="19"/>
      <c r="D295" s="18"/>
      <c r="E295" s="21"/>
    </row>
    <row r="296" spans="1:5" ht="15" customHeight="1" x14ac:dyDescent="0.25">
      <c r="A296" s="20"/>
      <c r="B296" s="18"/>
      <c r="C296" s="19"/>
      <c r="D296" s="18"/>
      <c r="E296" s="21"/>
    </row>
    <row r="297" spans="1:5" ht="15" customHeight="1" x14ac:dyDescent="0.25">
      <c r="A297" s="20"/>
      <c r="B297" s="18"/>
      <c r="C297" s="19"/>
      <c r="D297" s="18"/>
      <c r="E297" s="21"/>
    </row>
    <row r="298" spans="1:5" ht="15" customHeight="1" x14ac:dyDescent="0.25">
      <c r="A298" s="20"/>
      <c r="B298" s="18"/>
      <c r="C298" s="19"/>
      <c r="D298" s="18"/>
      <c r="E298" s="21"/>
    </row>
    <row r="299" spans="1:5" ht="15" customHeight="1" x14ac:dyDescent="0.25">
      <c r="A299" s="20"/>
      <c r="B299" s="18"/>
      <c r="C299" s="19"/>
      <c r="D299" s="18"/>
      <c r="E299" s="21"/>
    </row>
    <row r="300" spans="1:5" ht="15" customHeight="1" x14ac:dyDescent="0.25">
      <c r="A300" s="20"/>
      <c r="B300" s="18"/>
      <c r="C300" s="19"/>
      <c r="D300" s="18"/>
      <c r="E300" s="21"/>
    </row>
    <row r="301" spans="1:5" ht="15" customHeight="1" x14ac:dyDescent="0.25">
      <c r="A301" s="20"/>
      <c r="B301" s="18"/>
      <c r="C301" s="19"/>
      <c r="D301" s="18"/>
      <c r="E301" s="21"/>
    </row>
    <row r="302" spans="1:5" ht="15" customHeight="1" x14ac:dyDescent="0.25">
      <c r="A302" s="20"/>
      <c r="B302" s="18"/>
      <c r="C302" s="19"/>
      <c r="D302" s="18"/>
      <c r="E302" s="21"/>
    </row>
    <row r="303" spans="1:5" ht="15" customHeight="1" x14ac:dyDescent="0.25">
      <c r="A303" s="20"/>
      <c r="B303" s="18"/>
      <c r="C303" s="19"/>
      <c r="D303" s="18"/>
      <c r="E303" s="21"/>
    </row>
    <row r="304" spans="1:5" ht="15" customHeight="1" x14ac:dyDescent="0.25">
      <c r="A304" s="20"/>
      <c r="B304" s="18"/>
      <c r="C304" s="19"/>
      <c r="D304" s="18"/>
      <c r="E304" s="21"/>
    </row>
    <row r="305" spans="1:5" ht="15" customHeight="1" x14ac:dyDescent="0.25">
      <c r="A305" s="20"/>
      <c r="B305" s="18"/>
      <c r="C305" s="19"/>
      <c r="D305" s="18"/>
      <c r="E305" s="21"/>
    </row>
    <row r="306" spans="1:5" ht="15" customHeight="1" x14ac:dyDescent="0.25">
      <c r="A306" s="20"/>
      <c r="B306" s="18"/>
      <c r="C306" s="19"/>
      <c r="D306" s="18"/>
      <c r="E306" s="21"/>
    </row>
    <row r="307" spans="1:5" ht="15" customHeight="1" x14ac:dyDescent="0.25">
      <c r="A307" s="20"/>
      <c r="B307" s="18"/>
      <c r="C307" s="19"/>
      <c r="D307" s="18"/>
      <c r="E307" s="21"/>
    </row>
    <row r="308" spans="1:5" ht="15" customHeight="1" x14ac:dyDescent="0.25">
      <c r="A308" s="20"/>
      <c r="B308" s="18"/>
      <c r="C308" s="19"/>
      <c r="D308" s="18"/>
      <c r="E308" s="21"/>
    </row>
    <row r="309" spans="1:5" ht="15" customHeight="1" x14ac:dyDescent="0.25">
      <c r="A309" s="20"/>
      <c r="B309" s="18"/>
      <c r="C309" s="19"/>
      <c r="D309" s="18"/>
      <c r="E309" s="21"/>
    </row>
    <row r="310" spans="1:5" ht="15" customHeight="1" x14ac:dyDescent="0.25">
      <c r="A310" s="20"/>
      <c r="B310" s="18"/>
      <c r="C310" s="19"/>
      <c r="D310" s="18"/>
      <c r="E310" s="21"/>
    </row>
    <row r="311" spans="1:5" ht="15" customHeight="1" x14ac:dyDescent="0.25">
      <c r="A311" s="20"/>
      <c r="B311" s="18"/>
      <c r="C311" s="19"/>
      <c r="D311" s="18"/>
      <c r="E311" s="21"/>
    </row>
    <row r="312" spans="1:5" ht="15" customHeight="1" x14ac:dyDescent="0.25">
      <c r="A312" s="20"/>
      <c r="B312" s="18"/>
      <c r="C312" s="19"/>
      <c r="D312" s="18"/>
      <c r="E312" s="21"/>
    </row>
    <row r="313" spans="1:5" ht="15" customHeight="1" x14ac:dyDescent="0.25">
      <c r="A313" s="20"/>
      <c r="B313" s="18"/>
      <c r="C313" s="19"/>
      <c r="D313" s="18"/>
      <c r="E313" s="21"/>
    </row>
    <row r="314" spans="1:5" ht="15" customHeight="1" x14ac:dyDescent="0.25">
      <c r="A314" s="20"/>
      <c r="B314" s="18"/>
      <c r="C314" s="19"/>
      <c r="D314" s="18"/>
      <c r="E314" s="21"/>
    </row>
    <row r="315" spans="1:5" ht="15" customHeight="1" x14ac:dyDescent="0.25">
      <c r="A315" s="20"/>
      <c r="B315" s="18"/>
      <c r="C315" s="19"/>
      <c r="D315" s="18"/>
      <c r="E315" s="21"/>
    </row>
    <row r="316" spans="1:5" ht="15" customHeight="1" x14ac:dyDescent="0.25">
      <c r="A316" s="20"/>
      <c r="B316" s="18"/>
      <c r="C316" s="19"/>
      <c r="D316" s="18"/>
      <c r="E316" s="21"/>
    </row>
    <row r="317" spans="1:5" ht="15" customHeight="1" x14ac:dyDescent="0.25">
      <c r="A317" s="20"/>
      <c r="B317" s="18"/>
      <c r="C317" s="19"/>
      <c r="D317" s="18"/>
      <c r="E317" s="21"/>
    </row>
    <row r="318" spans="1:5" ht="15" customHeight="1" x14ac:dyDescent="0.25">
      <c r="A318" s="20"/>
      <c r="B318" s="18"/>
      <c r="C318" s="19"/>
      <c r="D318" s="18"/>
      <c r="E318" s="21"/>
    </row>
    <row r="319" spans="1:5" ht="15" customHeight="1" x14ac:dyDescent="0.25">
      <c r="A319" s="20"/>
      <c r="B319" s="18"/>
      <c r="C319" s="19"/>
      <c r="D319" s="18"/>
      <c r="E319" s="21"/>
    </row>
    <row r="320" spans="1:5" ht="15" customHeight="1" x14ac:dyDescent="0.25">
      <c r="A320" s="20"/>
      <c r="B320" s="18"/>
      <c r="C320" s="19"/>
      <c r="D320" s="18"/>
      <c r="E320" s="21"/>
    </row>
    <row r="321" spans="1:5" ht="15" customHeight="1" x14ac:dyDescent="0.25">
      <c r="A321" s="20"/>
      <c r="B321" s="18"/>
      <c r="C321" s="19"/>
      <c r="D321" s="18"/>
      <c r="E321" s="21"/>
    </row>
    <row r="322" spans="1:5" ht="15" customHeight="1" x14ac:dyDescent="0.25">
      <c r="A322" s="20"/>
      <c r="B322" s="18"/>
      <c r="C322" s="19"/>
      <c r="D322" s="18"/>
      <c r="E322" s="21"/>
    </row>
    <row r="323" spans="1:5" ht="15" customHeight="1" x14ac:dyDescent="0.25">
      <c r="A323" s="20"/>
      <c r="B323" s="18"/>
      <c r="C323" s="19"/>
      <c r="D323" s="18"/>
      <c r="E323" s="21"/>
    </row>
    <row r="324" spans="1:5" ht="15" customHeight="1" x14ac:dyDescent="0.25">
      <c r="A324" s="20"/>
      <c r="B324" s="18"/>
      <c r="C324" s="19"/>
      <c r="D324" s="18"/>
      <c r="E324" s="21"/>
    </row>
    <row r="325" spans="1:5" ht="15" customHeight="1" x14ac:dyDescent="0.25">
      <c r="A325" s="20"/>
      <c r="B325" s="18"/>
      <c r="C325" s="19"/>
      <c r="D325" s="18"/>
      <c r="E325" s="21"/>
    </row>
    <row r="326" spans="1:5" ht="15" customHeight="1" x14ac:dyDescent="0.25">
      <c r="A326" s="20"/>
      <c r="B326" s="18"/>
      <c r="C326" s="19"/>
      <c r="D326" s="18"/>
      <c r="E326" s="21"/>
    </row>
    <row r="327" spans="1:5" ht="15" customHeight="1" x14ac:dyDescent="0.25">
      <c r="A327" s="20"/>
      <c r="B327" s="18"/>
      <c r="C327" s="19"/>
      <c r="D327" s="18"/>
      <c r="E327" s="21"/>
    </row>
    <row r="328" spans="1:5" ht="15" customHeight="1" x14ac:dyDescent="0.25">
      <c r="A328" s="20"/>
      <c r="B328" s="18"/>
      <c r="C328" s="19"/>
      <c r="D328" s="18"/>
      <c r="E328" s="21"/>
    </row>
    <row r="329" spans="1:5" ht="15" customHeight="1" x14ac:dyDescent="0.25">
      <c r="A329" s="20"/>
      <c r="B329" s="18"/>
      <c r="C329" s="19"/>
      <c r="D329" s="18"/>
      <c r="E329" s="21"/>
    </row>
    <row r="330" spans="1:5" ht="15" customHeight="1" x14ac:dyDescent="0.25">
      <c r="A330" s="20"/>
      <c r="B330" s="18"/>
      <c r="C330" s="19"/>
      <c r="D330" s="18"/>
      <c r="E330" s="21"/>
    </row>
    <row r="331" spans="1:5" ht="15" customHeight="1" x14ac:dyDescent="0.25">
      <c r="A331" s="20"/>
      <c r="B331" s="18"/>
      <c r="C331" s="19"/>
      <c r="D331" s="18"/>
      <c r="E331" s="21"/>
    </row>
    <row r="332" spans="1:5" ht="15" customHeight="1" x14ac:dyDescent="0.25">
      <c r="A332" s="20"/>
      <c r="B332" s="18"/>
      <c r="C332" s="19"/>
      <c r="D332" s="18"/>
      <c r="E332" s="21"/>
    </row>
    <row r="333" spans="1:5" ht="15" customHeight="1" x14ac:dyDescent="0.25">
      <c r="A333" s="20"/>
      <c r="B333" s="18"/>
      <c r="C333" s="19"/>
      <c r="D333" s="18"/>
      <c r="E333" s="21"/>
    </row>
    <row r="334" spans="1:5" ht="15" customHeight="1" x14ac:dyDescent="0.25">
      <c r="A334" s="20"/>
      <c r="B334" s="18"/>
      <c r="C334" s="19"/>
      <c r="D334" s="18"/>
      <c r="E334" s="21"/>
    </row>
    <row r="335" spans="1:5" ht="15" customHeight="1" x14ac:dyDescent="0.25">
      <c r="A335" s="20"/>
      <c r="B335" s="18"/>
      <c r="C335" s="19"/>
      <c r="D335" s="18"/>
      <c r="E335" s="21"/>
    </row>
    <row r="336" spans="1:5" ht="15" customHeight="1" x14ac:dyDescent="0.25">
      <c r="A336" s="20"/>
      <c r="B336" s="18"/>
      <c r="C336" s="19"/>
      <c r="D336" s="18"/>
      <c r="E336" s="21"/>
    </row>
    <row r="337" spans="1:5" ht="15" customHeight="1" x14ac:dyDescent="0.25">
      <c r="A337" s="20"/>
      <c r="B337" s="18"/>
      <c r="C337" s="19"/>
      <c r="D337" s="18"/>
      <c r="E337" s="21"/>
    </row>
    <row r="338" spans="1:5" ht="15" customHeight="1" x14ac:dyDescent="0.25">
      <c r="A338" s="20"/>
      <c r="B338" s="18"/>
      <c r="C338" s="19"/>
      <c r="D338" s="18"/>
      <c r="E338" s="21"/>
    </row>
    <row r="339" spans="1:5" ht="15" customHeight="1" x14ac:dyDescent="0.25">
      <c r="A339" s="20"/>
      <c r="B339" s="18"/>
      <c r="C339" s="19"/>
      <c r="D339" s="18"/>
      <c r="E339" s="21"/>
    </row>
    <row r="340" spans="1:5" ht="15" customHeight="1" x14ac:dyDescent="0.25">
      <c r="A340" s="20"/>
      <c r="B340" s="18"/>
      <c r="C340" s="19"/>
      <c r="D340" s="18"/>
      <c r="E340" s="21"/>
    </row>
    <row r="341" spans="1:5" ht="15" customHeight="1" x14ac:dyDescent="0.25">
      <c r="A341" s="20"/>
      <c r="B341" s="18"/>
      <c r="C341" s="19"/>
      <c r="D341" s="18"/>
      <c r="E341" s="21"/>
    </row>
    <row r="342" spans="1:5" ht="15" customHeight="1" x14ac:dyDescent="0.25">
      <c r="A342" s="20"/>
      <c r="B342" s="18"/>
      <c r="C342" s="19"/>
      <c r="D342" s="18"/>
      <c r="E342" s="21"/>
    </row>
    <row r="343" spans="1:5" ht="15" customHeight="1" x14ac:dyDescent="0.25">
      <c r="A343" s="20"/>
      <c r="B343" s="18"/>
      <c r="C343" s="19"/>
      <c r="D343" s="18"/>
      <c r="E343" s="21"/>
    </row>
    <row r="344" spans="1:5" ht="15" customHeight="1" x14ac:dyDescent="0.25">
      <c r="A344" s="20"/>
      <c r="B344" s="18"/>
      <c r="C344" s="19"/>
      <c r="D344" s="18"/>
      <c r="E344" s="21"/>
    </row>
    <row r="345" spans="1:5" ht="15" customHeight="1" x14ac:dyDescent="0.25">
      <c r="A345" s="20"/>
      <c r="B345" s="18"/>
      <c r="C345" s="19"/>
      <c r="D345" s="18"/>
      <c r="E345" s="21"/>
    </row>
    <row r="346" spans="1:5" ht="15" customHeight="1" x14ac:dyDescent="0.25">
      <c r="A346" s="20"/>
      <c r="B346" s="18"/>
      <c r="C346" s="19"/>
      <c r="D346" s="18"/>
      <c r="E346" s="21"/>
    </row>
    <row r="347" spans="1:5" ht="15" customHeight="1" x14ac:dyDescent="0.25">
      <c r="A347" s="20"/>
      <c r="B347" s="18"/>
      <c r="C347" s="19"/>
      <c r="D347" s="18"/>
      <c r="E347" s="21"/>
    </row>
    <row r="348" spans="1:5" ht="15" customHeight="1" x14ac:dyDescent="0.25">
      <c r="A348" s="20"/>
      <c r="B348" s="18"/>
      <c r="C348" s="19"/>
      <c r="D348" s="18"/>
      <c r="E348" s="21"/>
    </row>
    <row r="349" spans="1:5" ht="15" customHeight="1" x14ac:dyDescent="0.25">
      <c r="A349" s="20"/>
      <c r="B349" s="18"/>
      <c r="C349" s="19"/>
      <c r="D349" s="18"/>
      <c r="E349" s="21"/>
    </row>
    <row r="350" spans="1:5" ht="15" customHeight="1" x14ac:dyDescent="0.25">
      <c r="A350" s="20"/>
      <c r="B350" s="18"/>
      <c r="C350" s="19"/>
      <c r="D350" s="18"/>
      <c r="E350" s="21"/>
    </row>
    <row r="351" spans="1:5" ht="15" customHeight="1" x14ac:dyDescent="0.25">
      <c r="A351" s="20"/>
      <c r="B351" s="18"/>
      <c r="C351" s="19"/>
      <c r="D351" s="18"/>
      <c r="E351" s="21"/>
    </row>
    <row r="352" spans="1:5" ht="15" customHeight="1" x14ac:dyDescent="0.25">
      <c r="A352" s="20"/>
      <c r="B352" s="18"/>
      <c r="C352" s="19"/>
      <c r="D352" s="18"/>
      <c r="E352" s="21"/>
    </row>
    <row r="353" spans="1:5" ht="15" customHeight="1" x14ac:dyDescent="0.25">
      <c r="A353" s="20"/>
      <c r="B353" s="18"/>
      <c r="C353" s="19"/>
      <c r="D353" s="18"/>
      <c r="E353" s="21"/>
    </row>
    <row r="354" spans="1:5" ht="15" customHeight="1" x14ac:dyDescent="0.25">
      <c r="A354" s="20"/>
      <c r="B354" s="18"/>
      <c r="C354" s="19"/>
      <c r="D354" s="18"/>
      <c r="E354" s="21"/>
    </row>
    <row r="355" spans="1:5" ht="15" customHeight="1" x14ac:dyDescent="0.25">
      <c r="A355" s="20"/>
      <c r="B355" s="18"/>
      <c r="C355" s="19"/>
      <c r="D355" s="18"/>
      <c r="E355" s="21"/>
    </row>
    <row r="356" spans="1:5" ht="15" customHeight="1" x14ac:dyDescent="0.25">
      <c r="A356" s="20"/>
      <c r="B356" s="18"/>
      <c r="C356" s="19"/>
      <c r="D356" s="18"/>
      <c r="E356" s="21"/>
    </row>
    <row r="357" spans="1:5" ht="15" customHeight="1" x14ac:dyDescent="0.25">
      <c r="A357" s="20"/>
      <c r="B357" s="18"/>
      <c r="C357" s="19"/>
      <c r="D357" s="18"/>
      <c r="E357" s="21"/>
    </row>
    <row r="358" spans="1:5" ht="15" customHeight="1" x14ac:dyDescent="0.25">
      <c r="A358" s="20"/>
      <c r="B358" s="18"/>
      <c r="C358" s="19"/>
      <c r="D358" s="18"/>
      <c r="E358" s="21"/>
    </row>
    <row r="359" spans="1:5" ht="15" customHeight="1" x14ac:dyDescent="0.25">
      <c r="A359" s="20"/>
      <c r="B359" s="18"/>
      <c r="C359" s="19"/>
      <c r="D359" s="18"/>
      <c r="E359" s="21"/>
    </row>
    <row r="360" spans="1:5" ht="15" customHeight="1" x14ac:dyDescent="0.25">
      <c r="A360" s="20"/>
      <c r="B360" s="18"/>
      <c r="C360" s="19"/>
      <c r="D360" s="18"/>
      <c r="E360" s="21"/>
    </row>
    <row r="361" spans="1:5" ht="15" customHeight="1" x14ac:dyDescent="0.25">
      <c r="A361" s="20"/>
      <c r="B361" s="18"/>
      <c r="C361" s="19"/>
      <c r="D361" s="18"/>
      <c r="E361" s="21"/>
    </row>
    <row r="362" spans="1:5" ht="15" customHeight="1" x14ac:dyDescent="0.25">
      <c r="A362" s="20"/>
      <c r="B362" s="18"/>
      <c r="C362" s="19"/>
      <c r="D362" s="18"/>
      <c r="E362" s="21"/>
    </row>
    <row r="363" spans="1:5" ht="15" customHeight="1" x14ac:dyDescent="0.25">
      <c r="A363" s="20"/>
      <c r="B363" s="18"/>
      <c r="C363" s="19"/>
      <c r="D363" s="18"/>
      <c r="E363" s="21"/>
    </row>
    <row r="364" spans="1:5" ht="15" customHeight="1" x14ac:dyDescent="0.25">
      <c r="A364" s="20"/>
      <c r="B364" s="18"/>
      <c r="C364" s="19"/>
      <c r="D364" s="18"/>
      <c r="E364" s="21"/>
    </row>
    <row r="365" spans="1:5" ht="15" customHeight="1" x14ac:dyDescent="0.25">
      <c r="A365" s="20"/>
      <c r="B365" s="18"/>
      <c r="C365" s="19"/>
      <c r="D365" s="18"/>
      <c r="E365" s="21"/>
    </row>
    <row r="366" spans="1:5" ht="15" customHeight="1" x14ac:dyDescent="0.25">
      <c r="A366" s="20"/>
      <c r="B366" s="18"/>
      <c r="C366" s="19"/>
      <c r="D366" s="18"/>
      <c r="E366" s="21"/>
    </row>
    <row r="367" spans="1:5" ht="15" customHeight="1" x14ac:dyDescent="0.25">
      <c r="A367" s="20"/>
      <c r="B367" s="18"/>
      <c r="C367" s="19"/>
      <c r="D367" s="18"/>
      <c r="E367" s="21"/>
    </row>
    <row r="368" spans="1:5" ht="15" customHeight="1" x14ac:dyDescent="0.25">
      <c r="A368" s="20"/>
      <c r="B368" s="18"/>
      <c r="C368" s="19"/>
      <c r="D368" s="18"/>
      <c r="E368" s="21"/>
    </row>
    <row r="369" spans="1:5" ht="15" customHeight="1" x14ac:dyDescent="0.25">
      <c r="A369" s="20"/>
      <c r="B369" s="18"/>
      <c r="C369" s="19"/>
      <c r="D369" s="18"/>
      <c r="E369" s="21"/>
    </row>
    <row r="370" spans="1:5" ht="15" customHeight="1" x14ac:dyDescent="0.25">
      <c r="A370" s="20"/>
      <c r="B370" s="18"/>
      <c r="C370" s="19"/>
      <c r="D370" s="18"/>
      <c r="E370" s="21"/>
    </row>
    <row r="371" spans="1:5" ht="15" customHeight="1" x14ac:dyDescent="0.25">
      <c r="A371" s="20"/>
      <c r="B371" s="18"/>
      <c r="C371" s="19"/>
      <c r="D371" s="18"/>
      <c r="E371" s="21"/>
    </row>
    <row r="372" spans="1:5" ht="15" customHeight="1" x14ac:dyDescent="0.25">
      <c r="A372" s="20"/>
      <c r="B372" s="18"/>
      <c r="C372" s="19"/>
      <c r="D372" s="18"/>
      <c r="E372" s="21"/>
    </row>
    <row r="373" spans="1:5" ht="15" customHeight="1" x14ac:dyDescent="0.25">
      <c r="A373" s="20"/>
      <c r="B373" s="18"/>
      <c r="C373" s="19"/>
      <c r="D373" s="18"/>
      <c r="E373" s="21"/>
    </row>
    <row r="374" spans="1:5" ht="15" customHeight="1" x14ac:dyDescent="0.25">
      <c r="A374" s="20"/>
      <c r="B374" s="18"/>
      <c r="C374" s="19"/>
      <c r="D374" s="18"/>
      <c r="E374" s="21"/>
    </row>
    <row r="375" spans="1:5" x14ac:dyDescent="0.25">
      <c r="A375" s="20"/>
      <c r="B375" s="18"/>
      <c r="C375" s="19"/>
      <c r="D375" s="18"/>
      <c r="E375" s="18"/>
    </row>
  </sheetData>
  <mergeCells count="20">
    <mergeCell ref="A8:B8"/>
    <mergeCell ref="A1:J2"/>
    <mergeCell ref="A4:J4"/>
    <mergeCell ref="A5:B5"/>
    <mergeCell ref="A6:B6"/>
    <mergeCell ref="A7:B7"/>
    <mergeCell ref="A10:C10"/>
    <mergeCell ref="E10:F10"/>
    <mergeCell ref="A11:C11"/>
    <mergeCell ref="E11:G11"/>
    <mergeCell ref="A12:C12"/>
    <mergeCell ref="E12:G12"/>
    <mergeCell ref="E18:G18"/>
    <mergeCell ref="E19:G19"/>
    <mergeCell ref="A13:C13"/>
    <mergeCell ref="E13:G13"/>
    <mergeCell ref="A14:C14"/>
    <mergeCell ref="E15:F15"/>
    <mergeCell ref="E16:G16"/>
    <mergeCell ref="E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D16B-96BB-4FA1-BA26-EF5A9208D249}">
  <sheetPr>
    <tabColor rgb="FF92D050"/>
  </sheetPr>
  <dimension ref="A1:T375"/>
  <sheetViews>
    <sheetView tabSelected="1" workbookViewId="0">
      <selection activeCell="J19" sqref="J19"/>
    </sheetView>
  </sheetViews>
  <sheetFormatPr defaultRowHeight="15" x14ac:dyDescent="0.25"/>
  <cols>
    <col min="1" max="1" width="18.42578125" customWidth="1"/>
    <col min="3" max="3" width="12.5703125" bestFit="1" customWidth="1"/>
    <col min="4" max="4" width="17.85546875" bestFit="1" customWidth="1"/>
    <col min="5" max="5" width="16.5703125" bestFit="1" customWidth="1"/>
    <col min="6" max="6" width="17.85546875" bestFit="1" customWidth="1"/>
    <col min="7" max="9" width="18.28515625" bestFit="1" customWidth="1"/>
    <col min="10" max="10" width="15.5703125" bestFit="1" customWidth="1"/>
    <col min="11" max="11" width="15.42578125" bestFit="1" customWidth="1"/>
    <col min="12" max="12" width="18.28515625" bestFit="1" customWidth="1"/>
    <col min="13" max="13" width="17.28515625" bestFit="1" customWidth="1"/>
    <col min="14" max="14" width="19.85546875" bestFit="1" customWidth="1"/>
    <col min="15" max="15" width="18.140625" bestFit="1" customWidth="1"/>
  </cols>
  <sheetData>
    <row r="1" spans="1:20" ht="15.75" x14ac:dyDescent="0.25">
      <c r="A1" s="129" t="s">
        <v>34</v>
      </c>
      <c r="B1" s="129"/>
      <c r="C1" s="129"/>
      <c r="D1" s="129"/>
      <c r="E1" s="129"/>
      <c r="F1" s="129"/>
      <c r="G1" s="129"/>
      <c r="H1" s="129"/>
      <c r="I1" s="129"/>
      <c r="J1" s="129"/>
      <c r="K1" s="121" t="s">
        <v>42</v>
      </c>
      <c r="L1" s="128" t="s">
        <v>60</v>
      </c>
      <c r="M1" s="121" t="s">
        <v>40</v>
      </c>
      <c r="N1" s="128" t="s">
        <v>41</v>
      </c>
      <c r="O1" s="25"/>
      <c r="P1" s="25"/>
      <c r="Q1" s="25"/>
    </row>
    <row r="2" spans="1:20" ht="15.75" x14ac:dyDescent="0.2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32"/>
      <c r="L2" s="27">
        <f ca="1">H12</f>
        <v>28</v>
      </c>
      <c r="M2" s="29">
        <f ca="1">H13</f>
        <v>0.53846153846153844</v>
      </c>
      <c r="N2" s="33">
        <f ca="1">H11</f>
        <v>6.1690355717874876</v>
      </c>
      <c r="O2" s="25"/>
      <c r="P2" s="25"/>
      <c r="Q2" s="25"/>
    </row>
    <row r="3" spans="1:20" ht="15.7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32">
        <v>1</v>
      </c>
      <c r="L3" s="27">
        <f t="dataTable" ref="L3:N102" dt2D="0" dtr="0" r1="O7" ca="1"/>
        <v>25</v>
      </c>
      <c r="M3" s="29">
        <v>0.48076923076923078</v>
      </c>
      <c r="N3" s="33">
        <v>6.725989653879993</v>
      </c>
    </row>
    <row r="4" spans="1:20" ht="15.75" x14ac:dyDescent="0.25">
      <c r="A4" s="68" t="s">
        <v>35</v>
      </c>
      <c r="B4" s="69"/>
      <c r="C4" s="69"/>
      <c r="D4" s="69"/>
      <c r="E4" s="69"/>
      <c r="F4" s="69"/>
      <c r="G4" s="69"/>
      <c r="H4" s="69"/>
      <c r="I4" s="69"/>
      <c r="J4" s="70"/>
      <c r="K4" s="27">
        <v>2</v>
      </c>
      <c r="L4" s="27">
        <v>25</v>
      </c>
      <c r="M4" s="29">
        <v>0.48076923076923078</v>
      </c>
      <c r="N4" s="33">
        <v>6.2301058530433453</v>
      </c>
    </row>
    <row r="5" spans="1:20" ht="15.75" x14ac:dyDescent="0.25">
      <c r="A5" s="71" t="s">
        <v>30</v>
      </c>
      <c r="B5" s="71"/>
      <c r="C5" s="91">
        <v>0</v>
      </c>
      <c r="D5" s="91">
        <f>C8</f>
        <v>0.1</v>
      </c>
      <c r="E5" s="91">
        <f>D8</f>
        <v>0.30000000000000004</v>
      </c>
      <c r="F5" s="91">
        <f t="shared" ref="F5:I5" si="0">E8</f>
        <v>0.60000000000000009</v>
      </c>
      <c r="G5" s="91">
        <f t="shared" si="0"/>
        <v>0.8</v>
      </c>
      <c r="H5" s="91">
        <f t="shared" si="0"/>
        <v>0.91</v>
      </c>
      <c r="I5" s="91">
        <f t="shared" si="0"/>
        <v>0.97</v>
      </c>
      <c r="J5" s="26"/>
      <c r="K5" s="32">
        <v>3</v>
      </c>
      <c r="L5" s="27">
        <v>18</v>
      </c>
      <c r="M5" s="29">
        <v>0.34615384615384615</v>
      </c>
      <c r="N5" s="33">
        <v>5.3999347306382939</v>
      </c>
    </row>
    <row r="6" spans="1:20" ht="15.75" x14ac:dyDescent="0.25">
      <c r="A6" s="72" t="s">
        <v>29</v>
      </c>
      <c r="B6" s="72"/>
      <c r="C6" s="89">
        <v>1</v>
      </c>
      <c r="D6" s="89">
        <v>2</v>
      </c>
      <c r="E6" s="89">
        <v>4</v>
      </c>
      <c r="F6" s="89">
        <v>7</v>
      </c>
      <c r="G6" s="89">
        <v>9</v>
      </c>
      <c r="H6" s="89">
        <v>13</v>
      </c>
      <c r="I6" s="89">
        <v>17</v>
      </c>
      <c r="J6" s="26"/>
      <c r="K6" s="32">
        <v>4</v>
      </c>
      <c r="L6" s="27">
        <v>25</v>
      </c>
      <c r="M6" s="29">
        <v>0.48076923076923078</v>
      </c>
      <c r="N6" s="33">
        <v>6.1176458437575452</v>
      </c>
    </row>
    <row r="7" spans="1:20" ht="15.75" x14ac:dyDescent="0.25">
      <c r="A7" s="72" t="s">
        <v>2</v>
      </c>
      <c r="B7" s="72"/>
      <c r="C7" s="90">
        <v>0.1</v>
      </c>
      <c r="D7" s="90">
        <v>0.2</v>
      </c>
      <c r="E7" s="90">
        <v>0.3</v>
      </c>
      <c r="F7" s="90">
        <v>0.2</v>
      </c>
      <c r="G7" s="89">
        <v>0.11</v>
      </c>
      <c r="H7" s="89">
        <v>0.06</v>
      </c>
      <c r="I7" s="89">
        <v>0.03</v>
      </c>
      <c r="J7" s="26"/>
      <c r="K7" s="32">
        <v>5</v>
      </c>
      <c r="L7" s="27">
        <v>31</v>
      </c>
      <c r="M7" s="29">
        <v>0.59615384615384615</v>
      </c>
      <c r="N7" s="33">
        <v>6.61852439655219</v>
      </c>
      <c r="T7" s="2"/>
    </row>
    <row r="8" spans="1:20" ht="15.75" x14ac:dyDescent="0.25">
      <c r="A8" s="72" t="s">
        <v>11</v>
      </c>
      <c r="B8" s="72"/>
      <c r="C8" s="92">
        <f>C7</f>
        <v>0.1</v>
      </c>
      <c r="D8" s="92">
        <f>D7+C8</f>
        <v>0.30000000000000004</v>
      </c>
      <c r="E8" s="92">
        <f t="shared" ref="E8:I8" si="1">E7+D8</f>
        <v>0.60000000000000009</v>
      </c>
      <c r="F8" s="92">
        <f t="shared" si="1"/>
        <v>0.8</v>
      </c>
      <c r="G8" s="92">
        <f t="shared" si="1"/>
        <v>0.91</v>
      </c>
      <c r="H8" s="92">
        <f t="shared" si="1"/>
        <v>0.97</v>
      </c>
      <c r="I8" s="92">
        <f t="shared" si="1"/>
        <v>1</v>
      </c>
      <c r="J8" s="26"/>
      <c r="K8" s="32">
        <v>6</v>
      </c>
      <c r="L8" s="27">
        <v>17</v>
      </c>
      <c r="M8" s="29">
        <v>0.32692307692307693</v>
      </c>
      <c r="N8" s="33">
        <v>5.9462550108720409</v>
      </c>
    </row>
    <row r="9" spans="1:20" ht="15.75" x14ac:dyDescent="0.25">
      <c r="A9" s="26"/>
      <c r="B9" s="26"/>
      <c r="C9" s="26"/>
      <c r="D9" s="26"/>
      <c r="E9" s="26"/>
      <c r="J9" s="26"/>
      <c r="K9" s="32">
        <v>7</v>
      </c>
      <c r="L9" s="27">
        <v>25</v>
      </c>
      <c r="M9" s="29">
        <v>0.48076923076923078</v>
      </c>
      <c r="N9" s="33">
        <v>6.1605950288092162</v>
      </c>
    </row>
    <row r="10" spans="1:20" ht="15.75" x14ac:dyDescent="0.25">
      <c r="A10" s="73" t="s">
        <v>9</v>
      </c>
      <c r="B10" s="73"/>
      <c r="C10" s="73"/>
      <c r="D10" s="74"/>
      <c r="E10" s="78" t="s">
        <v>48</v>
      </c>
      <c r="F10" s="79"/>
      <c r="G10" s="26"/>
      <c r="H10" s="26"/>
      <c r="I10" s="42"/>
      <c r="J10" s="42"/>
      <c r="K10" s="32">
        <v>8</v>
      </c>
      <c r="L10" s="27">
        <v>20</v>
      </c>
      <c r="M10" s="29">
        <v>0.38461538461538464</v>
      </c>
      <c r="N10" s="33">
        <v>5.5227410771046017</v>
      </c>
    </row>
    <row r="11" spans="1:20" ht="15" customHeight="1" x14ac:dyDescent="0.25">
      <c r="A11" s="76" t="s">
        <v>28</v>
      </c>
      <c r="B11" s="77"/>
      <c r="C11" s="77"/>
      <c r="D11" s="118">
        <v>8</v>
      </c>
      <c r="E11" s="80" t="s">
        <v>55</v>
      </c>
      <c r="F11" s="81"/>
      <c r="G11" s="82"/>
      <c r="H11" s="31">
        <f ca="1">C76</f>
        <v>6.1690355717874876</v>
      </c>
      <c r="I11" s="18"/>
      <c r="J11" s="27"/>
      <c r="K11" s="32">
        <v>9</v>
      </c>
      <c r="L11" s="27">
        <v>33</v>
      </c>
      <c r="M11" s="29">
        <v>0.63461538461538458</v>
      </c>
      <c r="N11" s="33">
        <v>6.9485571733536906</v>
      </c>
    </row>
    <row r="12" spans="1:20" ht="15" customHeight="1" x14ac:dyDescent="0.25">
      <c r="A12" s="76" t="s">
        <v>31</v>
      </c>
      <c r="B12" s="77"/>
      <c r="C12" s="77"/>
      <c r="D12" s="118">
        <v>6</v>
      </c>
      <c r="E12" s="80" t="s">
        <v>51</v>
      </c>
      <c r="F12" s="81"/>
      <c r="G12" s="82"/>
      <c r="H12" s="120">
        <f ca="1">COUNTIF(F23:F74,TRUE)</f>
        <v>28</v>
      </c>
      <c r="J12" s="26"/>
      <c r="K12" s="32">
        <v>10</v>
      </c>
      <c r="L12" s="27">
        <v>25</v>
      </c>
      <c r="M12" s="29">
        <v>0.48076923076923078</v>
      </c>
      <c r="N12" s="33">
        <v>6.356175751416254</v>
      </c>
    </row>
    <row r="13" spans="1:20" ht="15" customHeight="1" x14ac:dyDescent="0.25">
      <c r="A13" s="76" t="s">
        <v>32</v>
      </c>
      <c r="B13" s="77"/>
      <c r="C13" s="77"/>
      <c r="D13" s="118">
        <v>4</v>
      </c>
      <c r="E13" s="80" t="s">
        <v>52</v>
      </c>
      <c r="F13" s="81"/>
      <c r="G13" s="82"/>
      <c r="H13" s="83">
        <f ca="1">H12/COUNT(A23:A74)</f>
        <v>0.53846153846153844</v>
      </c>
      <c r="J13" s="26"/>
      <c r="K13" s="32">
        <v>11</v>
      </c>
      <c r="L13" s="27">
        <v>21</v>
      </c>
      <c r="M13" s="29">
        <v>0.40384615384615385</v>
      </c>
      <c r="N13" s="33">
        <v>5.6401879200608818</v>
      </c>
    </row>
    <row r="14" spans="1:20" ht="15" customHeight="1" x14ac:dyDescent="0.25">
      <c r="A14" s="124" t="s">
        <v>53</v>
      </c>
      <c r="B14" s="124"/>
      <c r="C14" s="124"/>
      <c r="D14" s="88">
        <f>D11</f>
        <v>8</v>
      </c>
      <c r="E14" s="76" t="s">
        <v>59</v>
      </c>
      <c r="F14" s="77"/>
      <c r="G14" s="86"/>
      <c r="H14" s="126">
        <f ca="1">H12/52</f>
        <v>0.53846153846153844</v>
      </c>
      <c r="J14" s="26"/>
      <c r="K14" s="32">
        <v>12</v>
      </c>
      <c r="L14" s="27">
        <v>25</v>
      </c>
      <c r="M14" s="29">
        <v>0.48076923076923078</v>
      </c>
      <c r="N14" s="33">
        <v>6.7136980273537956</v>
      </c>
    </row>
    <row r="15" spans="1:20" ht="15" customHeight="1" x14ac:dyDescent="0.25">
      <c r="A15" s="125" t="s">
        <v>58</v>
      </c>
      <c r="B15" s="125"/>
      <c r="C15" s="125"/>
      <c r="D15" s="31">
        <f>1-_xlfn.NORM.DIST(8,D12,D13,TRUE)</f>
        <v>0.30853753872598688</v>
      </c>
      <c r="E15" s="84" t="s">
        <v>47</v>
      </c>
      <c r="F15" s="85"/>
      <c r="G15" s="26"/>
      <c r="H15" s="26"/>
      <c r="I15" s="26"/>
      <c r="K15" s="32">
        <v>13</v>
      </c>
      <c r="L15" s="27">
        <v>14</v>
      </c>
      <c r="M15" s="29">
        <v>0.26923076923076922</v>
      </c>
      <c r="N15" s="33">
        <v>5.2300676841146343</v>
      </c>
    </row>
    <row r="16" spans="1:20" ht="15" customHeight="1" x14ac:dyDescent="0.25">
      <c r="E16" s="76" t="s">
        <v>45</v>
      </c>
      <c r="F16" s="77"/>
      <c r="G16" s="86"/>
      <c r="H16" s="31">
        <f>L104</f>
        <v>24.31</v>
      </c>
      <c r="K16" s="32">
        <v>14</v>
      </c>
      <c r="L16" s="27">
        <v>22</v>
      </c>
      <c r="M16" s="29">
        <v>0.42307692307692307</v>
      </c>
      <c r="N16" s="33">
        <v>6.0517031468693094</v>
      </c>
    </row>
    <row r="17" spans="1:14" ht="15" customHeight="1" x14ac:dyDescent="0.25">
      <c r="A17" s="43"/>
      <c r="B17" s="43"/>
      <c r="C17" s="43"/>
      <c r="D17" s="41"/>
      <c r="E17" s="125" t="s">
        <v>44</v>
      </c>
      <c r="F17" s="125"/>
      <c r="G17" s="125"/>
      <c r="H17" s="31">
        <f>SUMPRODUCT(C6:I6,C7:I7)</f>
        <v>5.38</v>
      </c>
      <c r="K17" s="32">
        <v>15</v>
      </c>
      <c r="L17" s="27">
        <v>27</v>
      </c>
      <c r="M17" s="29">
        <v>0.51923076923076927</v>
      </c>
      <c r="N17" s="33">
        <v>6.5282592663729977</v>
      </c>
    </row>
    <row r="18" spans="1:14" ht="15" customHeight="1" x14ac:dyDescent="0.25">
      <c r="E18" s="76" t="s">
        <v>46</v>
      </c>
      <c r="F18" s="77"/>
      <c r="G18" s="86"/>
      <c r="H18" s="31">
        <f>N104</f>
        <v>6.1553716680793809</v>
      </c>
      <c r="K18" s="32">
        <v>16</v>
      </c>
      <c r="L18" s="27">
        <v>22</v>
      </c>
      <c r="M18" s="29">
        <v>0.42307692307692307</v>
      </c>
      <c r="N18" s="33">
        <v>6.1141908404202363</v>
      </c>
    </row>
    <row r="19" spans="1:14" ht="15" customHeight="1" x14ac:dyDescent="0.25">
      <c r="E19" s="76" t="s">
        <v>59</v>
      </c>
      <c r="F19" s="77"/>
      <c r="G19" s="86"/>
      <c r="H19" s="31">
        <f>H16/52</f>
        <v>0.46749999999999997</v>
      </c>
      <c r="K19" s="32">
        <v>17</v>
      </c>
      <c r="L19" s="27">
        <v>21</v>
      </c>
      <c r="M19" s="29">
        <v>0.40384615384615385</v>
      </c>
      <c r="N19" s="33">
        <v>6.0517354075984064</v>
      </c>
    </row>
    <row r="20" spans="1:14" ht="15" customHeight="1" x14ac:dyDescent="0.25">
      <c r="K20" s="32">
        <v>18</v>
      </c>
      <c r="L20" s="27">
        <v>27</v>
      </c>
      <c r="M20" s="29">
        <v>0.51923076923076927</v>
      </c>
      <c r="N20" s="33">
        <v>6.3496152550959977</v>
      </c>
    </row>
    <row r="21" spans="1:14" ht="15" customHeight="1" x14ac:dyDescent="0.25">
      <c r="A21" s="122" t="s">
        <v>33</v>
      </c>
      <c r="B21" s="122" t="s">
        <v>36</v>
      </c>
      <c r="C21" s="122" t="s">
        <v>29</v>
      </c>
      <c r="D21" s="127" t="s">
        <v>37</v>
      </c>
      <c r="E21" s="122" t="s">
        <v>49</v>
      </c>
      <c r="F21" s="122" t="s">
        <v>38</v>
      </c>
      <c r="G21" s="48"/>
      <c r="H21" s="48"/>
      <c r="I21" s="48"/>
      <c r="K21" s="32">
        <v>19</v>
      </c>
      <c r="L21" s="27">
        <v>37</v>
      </c>
      <c r="M21" s="29">
        <v>0.71153846153846156</v>
      </c>
      <c r="N21" s="33">
        <v>6.7677050245811436</v>
      </c>
    </row>
    <row r="22" spans="1:14" ht="15.75" x14ac:dyDescent="0.25">
      <c r="A22" s="93" t="s">
        <v>50</v>
      </c>
      <c r="B22" s="34"/>
      <c r="C22" s="34">
        <v>0</v>
      </c>
      <c r="D22" s="51">
        <v>0</v>
      </c>
      <c r="E22" s="35">
        <v>0</v>
      </c>
      <c r="F22" s="53"/>
      <c r="G22" s="49"/>
      <c r="H22" s="47"/>
      <c r="I22" s="47"/>
      <c r="K22" s="32">
        <v>20</v>
      </c>
      <c r="L22" s="27">
        <v>23</v>
      </c>
      <c r="M22" s="29">
        <v>0.44230769230769229</v>
      </c>
      <c r="N22" s="33">
        <v>6.2292717817819216</v>
      </c>
    </row>
    <row r="23" spans="1:14" ht="15" customHeight="1" x14ac:dyDescent="0.25">
      <c r="A23" s="32">
        <v>1</v>
      </c>
      <c r="B23" s="36">
        <f ca="1">RAND()</f>
        <v>0.63560400120794958</v>
      </c>
      <c r="C23" s="36">
        <f ca="1">MAX(_xlfn.NORM.INV(B23,D$12,D$13),0)</f>
        <v>7.3869315657206887</v>
      </c>
      <c r="D23" s="30">
        <f ca="1">C23+E22</f>
        <v>7.3869315657206887</v>
      </c>
      <c r="E23" s="30">
        <f ca="1">IF(D23&gt;$D$14,D23-$D$14,0)</f>
        <v>0</v>
      </c>
      <c r="F23" s="37" t="b">
        <f t="shared" ref="F23:F74" ca="1" si="2">IF(E23&gt;0,TRUE,FALSE)</f>
        <v>0</v>
      </c>
      <c r="G23" s="52"/>
      <c r="H23" s="47"/>
      <c r="I23" s="47"/>
      <c r="K23" s="32">
        <v>21</v>
      </c>
      <c r="L23" s="27">
        <v>17</v>
      </c>
      <c r="M23" s="29">
        <v>0.32692307692307693</v>
      </c>
      <c r="N23" s="33">
        <v>5.6561529483286028</v>
      </c>
    </row>
    <row r="24" spans="1:14" ht="15" customHeight="1" x14ac:dyDescent="0.25">
      <c r="A24" s="32">
        <v>2</v>
      </c>
      <c r="B24" s="36">
        <f t="shared" ref="B24:B74" ca="1" si="3">RAND()</f>
        <v>0.78457122810579338</v>
      </c>
      <c r="C24" s="36">
        <f t="shared" ref="C24:C74" ca="1" si="4">MAX(_xlfn.NORM.INV(B24,D$12,D$13),0)</f>
        <v>9.1509002408814233</v>
      </c>
      <c r="D24" s="30">
        <f t="shared" ref="D24:D74" ca="1" si="5">C24+E23</f>
        <v>9.1509002408814233</v>
      </c>
      <c r="E24" s="30">
        <f t="shared" ref="E24:E74" ca="1" si="6">IF(D24&gt;$D$14,D24-$D$14,0)</f>
        <v>1.1509002408814233</v>
      </c>
      <c r="F24" s="37" t="b">
        <f t="shared" ca="1" si="2"/>
        <v>1</v>
      </c>
      <c r="G24" s="52"/>
      <c r="H24" s="47"/>
      <c r="I24" s="47"/>
      <c r="K24" s="32">
        <v>22</v>
      </c>
      <c r="L24" s="27">
        <v>18</v>
      </c>
      <c r="M24" s="29">
        <v>0.34615384615384615</v>
      </c>
      <c r="N24" s="33">
        <v>5.572905238953104</v>
      </c>
    </row>
    <row r="25" spans="1:14" ht="15" customHeight="1" x14ac:dyDescent="0.25">
      <c r="A25" s="32">
        <v>3</v>
      </c>
      <c r="B25" s="36">
        <f t="shared" ca="1" si="3"/>
        <v>0.97679578102853037</v>
      </c>
      <c r="C25" s="36">
        <f t="shared" ca="1" si="4"/>
        <v>13.966637718870313</v>
      </c>
      <c r="D25" s="30">
        <f t="shared" ca="1" si="5"/>
        <v>15.117537959751736</v>
      </c>
      <c r="E25" s="30">
        <f t="shared" ca="1" si="6"/>
        <v>7.1175379597517363</v>
      </c>
      <c r="F25" s="37" t="b">
        <f t="shared" ca="1" si="2"/>
        <v>1</v>
      </c>
      <c r="G25" s="52"/>
      <c r="H25" s="47"/>
      <c r="I25" s="47"/>
      <c r="K25" s="32">
        <v>23</v>
      </c>
      <c r="L25" s="27">
        <v>27</v>
      </c>
      <c r="M25" s="29">
        <v>0.51923076923076927</v>
      </c>
      <c r="N25" s="33">
        <v>6.3301563164571366</v>
      </c>
    </row>
    <row r="26" spans="1:14" ht="15" customHeight="1" x14ac:dyDescent="0.25">
      <c r="A26" s="32">
        <v>4</v>
      </c>
      <c r="B26" s="36">
        <f t="shared" ca="1" si="3"/>
        <v>0.42907883433948368</v>
      </c>
      <c r="C26" s="36">
        <f t="shared" ca="1" si="4"/>
        <v>5.2851205317450045</v>
      </c>
      <c r="D26" s="30">
        <f t="shared" ca="1" si="5"/>
        <v>12.402658491496741</v>
      </c>
      <c r="E26" s="30">
        <f t="shared" ca="1" si="6"/>
        <v>4.4026584914967408</v>
      </c>
      <c r="F26" s="37" t="b">
        <f t="shared" ca="1" si="2"/>
        <v>1</v>
      </c>
      <c r="G26" s="52"/>
      <c r="H26" s="47"/>
      <c r="I26" s="47"/>
      <c r="K26" s="32">
        <v>24</v>
      </c>
      <c r="L26" s="27">
        <v>24</v>
      </c>
      <c r="M26" s="29">
        <v>0.46153846153846156</v>
      </c>
      <c r="N26" s="33">
        <v>5.8676969442412563</v>
      </c>
    </row>
    <row r="27" spans="1:14" ht="15" hidden="1" customHeight="1" x14ac:dyDescent="0.25">
      <c r="A27" s="32">
        <v>5</v>
      </c>
      <c r="B27" s="36">
        <f t="shared" ca="1" si="3"/>
        <v>7.145848967142876E-3</v>
      </c>
      <c r="C27" s="36">
        <f t="shared" ca="1" si="4"/>
        <v>0</v>
      </c>
      <c r="D27" s="30">
        <f t="shared" ca="1" si="5"/>
        <v>4.4026584914967408</v>
      </c>
      <c r="E27" s="30">
        <f t="shared" ca="1" si="6"/>
        <v>0</v>
      </c>
      <c r="F27" s="37" t="b">
        <f t="shared" ca="1" si="2"/>
        <v>0</v>
      </c>
      <c r="G27" s="52"/>
      <c r="H27" s="47"/>
      <c r="I27" s="47"/>
      <c r="J27" s="26"/>
      <c r="K27" s="32">
        <v>25</v>
      </c>
      <c r="L27" s="27">
        <v>28</v>
      </c>
      <c r="M27" s="29">
        <v>0.53846153846153844</v>
      </c>
      <c r="N27" s="33">
        <v>6.4906315247296602</v>
      </c>
    </row>
    <row r="28" spans="1:14" ht="15" hidden="1" customHeight="1" x14ac:dyDescent="0.25">
      <c r="A28" s="32">
        <v>6</v>
      </c>
      <c r="B28" s="36">
        <f t="shared" ca="1" si="3"/>
        <v>7.9693631091123818E-2</v>
      </c>
      <c r="C28" s="36">
        <f t="shared" ca="1" si="4"/>
        <v>0.37145866153822205</v>
      </c>
      <c r="D28" s="30">
        <f t="shared" ca="1" si="5"/>
        <v>0.37145866153822205</v>
      </c>
      <c r="E28" s="30">
        <f t="shared" ca="1" si="6"/>
        <v>0</v>
      </c>
      <c r="F28" s="37" t="b">
        <f t="shared" ca="1" si="2"/>
        <v>0</v>
      </c>
      <c r="G28" s="52"/>
      <c r="H28" s="47"/>
      <c r="I28" s="47"/>
      <c r="J28" s="26"/>
      <c r="K28" s="32">
        <v>26</v>
      </c>
      <c r="L28" s="27">
        <v>33</v>
      </c>
      <c r="M28" s="29">
        <v>0.63461538461538458</v>
      </c>
      <c r="N28" s="33">
        <v>7.0113027804982746</v>
      </c>
    </row>
    <row r="29" spans="1:14" ht="15" hidden="1" customHeight="1" x14ac:dyDescent="0.25">
      <c r="A29" s="32">
        <v>7</v>
      </c>
      <c r="B29" s="36">
        <f t="shared" ca="1" si="3"/>
        <v>0.12381147331016351</v>
      </c>
      <c r="C29" s="36">
        <f t="shared" ca="1" si="4"/>
        <v>1.3754307046138834</v>
      </c>
      <c r="D29" s="30">
        <f t="shared" ca="1" si="5"/>
        <v>1.3754307046138834</v>
      </c>
      <c r="E29" s="30">
        <f t="shared" ca="1" si="6"/>
        <v>0</v>
      </c>
      <c r="F29" s="37" t="b">
        <f t="shared" ca="1" si="2"/>
        <v>0</v>
      </c>
      <c r="G29" s="52"/>
      <c r="H29" s="47"/>
      <c r="I29" s="47"/>
      <c r="J29" s="26"/>
      <c r="K29" s="32">
        <v>27</v>
      </c>
      <c r="L29" s="27">
        <v>19</v>
      </c>
      <c r="M29" s="29">
        <v>0.36538461538461536</v>
      </c>
      <c r="N29" s="33">
        <v>5.9892462720304698</v>
      </c>
    </row>
    <row r="30" spans="1:14" ht="15" hidden="1" customHeight="1" x14ac:dyDescent="0.25">
      <c r="A30" s="32">
        <v>8</v>
      </c>
      <c r="B30" s="36">
        <f t="shared" ca="1" si="3"/>
        <v>3.5287008845544365E-2</v>
      </c>
      <c r="C30" s="36">
        <f t="shared" ca="1" si="4"/>
        <v>0</v>
      </c>
      <c r="D30" s="30">
        <f t="shared" ca="1" si="5"/>
        <v>0</v>
      </c>
      <c r="E30" s="30">
        <f t="shared" ca="1" si="6"/>
        <v>0</v>
      </c>
      <c r="F30" s="37" t="b">
        <f t="shared" ca="1" si="2"/>
        <v>0</v>
      </c>
      <c r="G30" s="52"/>
      <c r="H30" s="47"/>
      <c r="I30" s="47"/>
      <c r="J30" s="26"/>
      <c r="K30" s="32">
        <v>28</v>
      </c>
      <c r="L30" s="27">
        <v>20</v>
      </c>
      <c r="M30" s="29">
        <v>0.38461538461538464</v>
      </c>
      <c r="N30" s="33">
        <v>5.8980984809874917</v>
      </c>
    </row>
    <row r="31" spans="1:14" ht="15" hidden="1" customHeight="1" x14ac:dyDescent="0.25">
      <c r="A31" s="32">
        <v>9</v>
      </c>
      <c r="B31" s="36">
        <f t="shared" ca="1" si="3"/>
        <v>0.92922006999634754</v>
      </c>
      <c r="C31" s="36">
        <f t="shared" ca="1" si="4"/>
        <v>11.88002797242523</v>
      </c>
      <c r="D31" s="30">
        <f t="shared" ca="1" si="5"/>
        <v>11.88002797242523</v>
      </c>
      <c r="E31" s="30">
        <f t="shared" ca="1" si="6"/>
        <v>3.8800279724252302</v>
      </c>
      <c r="F31" s="37" t="b">
        <f t="shared" ca="1" si="2"/>
        <v>1</v>
      </c>
      <c r="G31" s="52"/>
      <c r="H31" s="47"/>
      <c r="I31" s="47"/>
      <c r="J31" s="26"/>
      <c r="K31" s="32">
        <v>29</v>
      </c>
      <c r="L31" s="27">
        <v>24</v>
      </c>
      <c r="M31" s="29">
        <v>0.46153846153846156</v>
      </c>
      <c r="N31" s="33">
        <v>6.2583258869502068</v>
      </c>
    </row>
    <row r="32" spans="1:14" ht="15" hidden="1" customHeight="1" x14ac:dyDescent="0.25">
      <c r="A32" s="32">
        <v>10</v>
      </c>
      <c r="B32" s="36">
        <f t="shared" ca="1" si="3"/>
        <v>0.71225847596340697</v>
      </c>
      <c r="C32" s="36">
        <f t="shared" ca="1" si="4"/>
        <v>8.239978827653637</v>
      </c>
      <c r="D32" s="30">
        <f t="shared" ca="1" si="5"/>
        <v>12.120006800078867</v>
      </c>
      <c r="E32" s="30">
        <f t="shared" ca="1" si="6"/>
        <v>4.1200068000788672</v>
      </c>
      <c r="F32" s="37" t="b">
        <f t="shared" ca="1" si="2"/>
        <v>1</v>
      </c>
      <c r="G32" s="52"/>
      <c r="H32" s="47"/>
      <c r="I32" s="47"/>
      <c r="J32" s="26"/>
      <c r="K32" s="32">
        <v>30</v>
      </c>
      <c r="L32" s="27">
        <v>17</v>
      </c>
      <c r="M32" s="29">
        <v>0.32692307692307693</v>
      </c>
      <c r="N32" s="33">
        <v>5.6378499143190908</v>
      </c>
    </row>
    <row r="33" spans="1:14" ht="15" hidden="1" customHeight="1" x14ac:dyDescent="0.25">
      <c r="A33" s="32">
        <v>11</v>
      </c>
      <c r="B33" s="36">
        <f t="shared" ca="1" si="3"/>
        <v>0.98211725860591648</v>
      </c>
      <c r="C33" s="36">
        <f t="shared" ca="1" si="4"/>
        <v>14.398334576955586</v>
      </c>
      <c r="D33" s="30">
        <f t="shared" ca="1" si="5"/>
        <v>18.518341377034453</v>
      </c>
      <c r="E33" s="30">
        <f t="shared" ca="1" si="6"/>
        <v>10.518341377034453</v>
      </c>
      <c r="F33" s="37" t="b">
        <f t="shared" ca="1" si="2"/>
        <v>1</v>
      </c>
      <c r="G33" s="52"/>
      <c r="H33" s="47"/>
      <c r="I33" s="47"/>
      <c r="J33" s="26"/>
      <c r="K33" s="32">
        <v>31</v>
      </c>
      <c r="L33" s="27">
        <v>33</v>
      </c>
      <c r="M33" s="29">
        <v>0.63461538461538458</v>
      </c>
      <c r="N33" s="33">
        <v>6.7223324387479781</v>
      </c>
    </row>
    <row r="34" spans="1:14" ht="15" hidden="1" customHeight="1" x14ac:dyDescent="0.25">
      <c r="A34" s="32">
        <v>12</v>
      </c>
      <c r="B34" s="36">
        <f t="shared" ca="1" si="3"/>
        <v>0.26086067664539803</v>
      </c>
      <c r="C34" s="36">
        <f t="shared" ca="1" si="4"/>
        <v>3.437223015792759</v>
      </c>
      <c r="D34" s="30">
        <f t="shared" ca="1" si="5"/>
        <v>13.955564392827212</v>
      </c>
      <c r="E34" s="30">
        <f t="shared" ca="1" si="6"/>
        <v>5.9555643928272115</v>
      </c>
      <c r="F34" s="37" t="b">
        <f t="shared" ca="1" si="2"/>
        <v>1</v>
      </c>
      <c r="G34" s="52"/>
      <c r="H34" s="47"/>
      <c r="I34" s="47"/>
      <c r="J34" s="26"/>
      <c r="K34" s="32">
        <v>32</v>
      </c>
      <c r="L34" s="27">
        <v>22</v>
      </c>
      <c r="M34" s="29">
        <v>0.42307692307692307</v>
      </c>
      <c r="N34" s="33">
        <v>6.4406048323099157</v>
      </c>
    </row>
    <row r="35" spans="1:14" ht="15" hidden="1" customHeight="1" x14ac:dyDescent="0.25">
      <c r="A35" s="32">
        <v>13</v>
      </c>
      <c r="B35" s="36">
        <f t="shared" ca="1" si="3"/>
        <v>0.44824603591366552</v>
      </c>
      <c r="C35" s="36">
        <f t="shared" ca="1" si="4"/>
        <v>5.4796240745287434</v>
      </c>
      <c r="D35" s="30">
        <f t="shared" ca="1" si="5"/>
        <v>11.435188467355955</v>
      </c>
      <c r="E35" s="30">
        <f t="shared" ca="1" si="6"/>
        <v>3.435188467355955</v>
      </c>
      <c r="F35" s="37" t="b">
        <f t="shared" ca="1" si="2"/>
        <v>1</v>
      </c>
      <c r="G35" s="52"/>
      <c r="H35" s="47"/>
      <c r="I35" s="47"/>
      <c r="J35" s="26"/>
      <c r="K35" s="32">
        <v>33</v>
      </c>
      <c r="L35" s="27">
        <v>22</v>
      </c>
      <c r="M35" s="29">
        <v>0.42307692307692307</v>
      </c>
      <c r="N35" s="33">
        <v>5.9987468528653034</v>
      </c>
    </row>
    <row r="36" spans="1:14" ht="15" hidden="1" customHeight="1" x14ac:dyDescent="0.25">
      <c r="A36" s="32">
        <v>14</v>
      </c>
      <c r="B36" s="36">
        <f t="shared" ca="1" si="3"/>
        <v>0.12837440193566085</v>
      </c>
      <c r="C36" s="36">
        <f t="shared" ca="1" si="4"/>
        <v>1.4635637614760206</v>
      </c>
      <c r="D36" s="30">
        <f t="shared" ca="1" si="5"/>
        <v>4.8987522288319756</v>
      </c>
      <c r="E36" s="30">
        <f t="shared" ca="1" si="6"/>
        <v>0</v>
      </c>
      <c r="F36" s="37" t="b">
        <f t="shared" ca="1" si="2"/>
        <v>0</v>
      </c>
      <c r="G36" s="52"/>
      <c r="H36" s="47"/>
      <c r="I36" s="47"/>
      <c r="J36" s="26"/>
      <c r="K36" s="32">
        <v>34</v>
      </c>
      <c r="L36" s="27">
        <v>18</v>
      </c>
      <c r="M36" s="29">
        <v>0.34615384615384615</v>
      </c>
      <c r="N36" s="33">
        <v>5.678986517555753</v>
      </c>
    </row>
    <row r="37" spans="1:14" ht="15" hidden="1" customHeight="1" x14ac:dyDescent="0.25">
      <c r="A37" s="32">
        <v>15</v>
      </c>
      <c r="B37" s="36">
        <f t="shared" ca="1" si="3"/>
        <v>0.88769882918817622</v>
      </c>
      <c r="C37" s="36">
        <f t="shared" ca="1" si="4"/>
        <v>10.857523222291444</v>
      </c>
      <c r="D37" s="30">
        <f t="shared" ca="1" si="5"/>
        <v>10.857523222291444</v>
      </c>
      <c r="E37" s="30">
        <f t="shared" ca="1" si="6"/>
        <v>2.8575232222914444</v>
      </c>
      <c r="F37" s="37" t="b">
        <f t="shared" ca="1" si="2"/>
        <v>1</v>
      </c>
      <c r="G37" s="52"/>
      <c r="H37" s="47"/>
      <c r="I37" s="47"/>
      <c r="J37" s="26"/>
      <c r="K37" s="32">
        <v>35</v>
      </c>
      <c r="L37" s="27">
        <v>21</v>
      </c>
      <c r="M37" s="29">
        <v>0.40384615384615385</v>
      </c>
      <c r="N37" s="33">
        <v>5.8947868328366448</v>
      </c>
    </row>
    <row r="38" spans="1:14" ht="15" hidden="1" customHeight="1" x14ac:dyDescent="0.25">
      <c r="A38" s="32">
        <v>16</v>
      </c>
      <c r="B38" s="36">
        <f t="shared" ca="1" si="3"/>
        <v>0.72496752832973843</v>
      </c>
      <c r="C38" s="36">
        <f t="shared" ca="1" si="4"/>
        <v>8.3906512508188023</v>
      </c>
      <c r="D38" s="30">
        <f t="shared" ca="1" si="5"/>
        <v>11.248174473110247</v>
      </c>
      <c r="E38" s="30">
        <f t="shared" ca="1" si="6"/>
        <v>3.2481744731102467</v>
      </c>
      <c r="F38" s="37" t="b">
        <f t="shared" ca="1" si="2"/>
        <v>1</v>
      </c>
      <c r="G38" s="52"/>
      <c r="H38" s="47"/>
      <c r="I38" s="47"/>
      <c r="J38" s="26"/>
      <c r="K38" s="32">
        <v>36</v>
      </c>
      <c r="L38" s="27">
        <v>23</v>
      </c>
      <c r="M38" s="29">
        <v>0.44230769230769229</v>
      </c>
      <c r="N38" s="33">
        <v>6.0872990041741319</v>
      </c>
    </row>
    <row r="39" spans="1:14" ht="15" hidden="1" customHeight="1" x14ac:dyDescent="0.25">
      <c r="A39" s="32">
        <v>17</v>
      </c>
      <c r="B39" s="36">
        <f t="shared" ca="1" si="3"/>
        <v>0.11089292448330024</v>
      </c>
      <c r="C39" s="36">
        <f t="shared" ca="1" si="4"/>
        <v>1.1128272872979741</v>
      </c>
      <c r="D39" s="30">
        <f t="shared" ca="1" si="5"/>
        <v>4.3610017604082207</v>
      </c>
      <c r="E39" s="30">
        <f t="shared" ca="1" si="6"/>
        <v>0</v>
      </c>
      <c r="F39" s="37" t="b">
        <f t="shared" ca="1" si="2"/>
        <v>0</v>
      </c>
      <c r="G39" s="52"/>
      <c r="H39" s="47"/>
      <c r="I39" s="47"/>
      <c r="J39" s="26"/>
      <c r="K39" s="32">
        <v>37</v>
      </c>
      <c r="L39" s="27">
        <v>34</v>
      </c>
      <c r="M39" s="29">
        <v>0.65384615384615385</v>
      </c>
      <c r="N39" s="33">
        <v>6.6486900845416894</v>
      </c>
    </row>
    <row r="40" spans="1:14" ht="15" hidden="1" customHeight="1" x14ac:dyDescent="0.25">
      <c r="A40" s="32">
        <v>18</v>
      </c>
      <c r="B40" s="36">
        <f t="shared" ca="1" si="3"/>
        <v>0.62475149123901708</v>
      </c>
      <c r="C40" s="36">
        <f t="shared" ca="1" si="4"/>
        <v>7.2719362960170191</v>
      </c>
      <c r="D40" s="30">
        <f t="shared" ca="1" si="5"/>
        <v>7.2719362960170191</v>
      </c>
      <c r="E40" s="30">
        <f t="shared" ca="1" si="6"/>
        <v>0</v>
      </c>
      <c r="F40" s="37" t="b">
        <f t="shared" ca="1" si="2"/>
        <v>0</v>
      </c>
      <c r="G40" s="52"/>
      <c r="H40" s="47"/>
      <c r="I40" s="47"/>
      <c r="J40" s="26"/>
      <c r="K40" s="32">
        <v>38</v>
      </c>
      <c r="L40" s="27">
        <v>20</v>
      </c>
      <c r="M40" s="29">
        <v>0.38461538461538464</v>
      </c>
      <c r="N40" s="33">
        <v>5.5282369415061812</v>
      </c>
    </row>
    <row r="41" spans="1:14" ht="15" hidden="1" customHeight="1" x14ac:dyDescent="0.25">
      <c r="A41" s="32">
        <v>19</v>
      </c>
      <c r="B41" s="36">
        <f t="shared" ca="1" si="3"/>
        <v>0.61434503616554315</v>
      </c>
      <c r="C41" s="36">
        <f t="shared" ca="1" si="4"/>
        <v>7.1626475256247746</v>
      </c>
      <c r="D41" s="30">
        <f t="shared" ca="1" si="5"/>
        <v>7.1626475256247746</v>
      </c>
      <c r="E41" s="30">
        <f t="shared" ca="1" si="6"/>
        <v>0</v>
      </c>
      <c r="F41" s="37" t="b">
        <f t="shared" ca="1" si="2"/>
        <v>0</v>
      </c>
      <c r="G41" s="52"/>
      <c r="H41" s="47"/>
      <c r="I41" s="47"/>
      <c r="J41" s="26"/>
      <c r="K41" s="32">
        <v>39</v>
      </c>
      <c r="L41" s="27">
        <v>23</v>
      </c>
      <c r="M41" s="29">
        <v>0.44230769230769229</v>
      </c>
      <c r="N41" s="33">
        <v>6.5382308153502589</v>
      </c>
    </row>
    <row r="42" spans="1:14" ht="15" hidden="1" customHeight="1" x14ac:dyDescent="0.25">
      <c r="A42" s="32">
        <v>20</v>
      </c>
      <c r="B42" s="36">
        <f t="shared" ca="1" si="3"/>
        <v>0.84493415112672909</v>
      </c>
      <c r="C42" s="36">
        <f t="shared" ca="1" si="4"/>
        <v>10.059782920421178</v>
      </c>
      <c r="D42" s="30">
        <f t="shared" ca="1" si="5"/>
        <v>10.059782920421178</v>
      </c>
      <c r="E42" s="30">
        <f t="shared" ca="1" si="6"/>
        <v>2.0597829204211777</v>
      </c>
      <c r="F42" s="37" t="b">
        <f t="shared" ca="1" si="2"/>
        <v>1</v>
      </c>
      <c r="G42" s="52"/>
      <c r="H42" s="47"/>
      <c r="I42" s="47"/>
      <c r="J42" s="26"/>
      <c r="K42" s="32">
        <v>40</v>
      </c>
      <c r="L42" s="27">
        <v>26</v>
      </c>
      <c r="M42" s="29">
        <v>0.5</v>
      </c>
      <c r="N42" s="33">
        <v>6.3755897855876915</v>
      </c>
    </row>
    <row r="43" spans="1:14" ht="15" hidden="1" customHeight="1" x14ac:dyDescent="0.25">
      <c r="A43" s="32">
        <v>21</v>
      </c>
      <c r="B43" s="36">
        <f t="shared" ca="1" si="3"/>
        <v>0.35911469712692357</v>
      </c>
      <c r="C43" s="36">
        <f t="shared" ca="1" si="4"/>
        <v>4.5566952996728398</v>
      </c>
      <c r="D43" s="30">
        <f t="shared" ca="1" si="5"/>
        <v>6.6164782200940175</v>
      </c>
      <c r="E43" s="30">
        <f t="shared" ca="1" si="6"/>
        <v>0</v>
      </c>
      <c r="F43" s="37" t="b">
        <f t="shared" ca="1" si="2"/>
        <v>0</v>
      </c>
      <c r="G43" s="52"/>
      <c r="H43" s="47"/>
      <c r="I43" s="47"/>
      <c r="J43" s="26"/>
      <c r="K43" s="32">
        <v>41</v>
      </c>
      <c r="L43" s="27">
        <v>28</v>
      </c>
      <c r="M43" s="29">
        <v>0.53846153846153844</v>
      </c>
      <c r="N43" s="33">
        <v>6.8082766656305376</v>
      </c>
    </row>
    <row r="44" spans="1:14" ht="15" hidden="1" customHeight="1" x14ac:dyDescent="0.25">
      <c r="A44" s="32">
        <v>22</v>
      </c>
      <c r="B44" s="36">
        <f t="shared" ca="1" si="3"/>
        <v>0.44128738360335895</v>
      </c>
      <c r="C44" s="36">
        <f t="shared" ca="1" si="4"/>
        <v>5.4091758527206055</v>
      </c>
      <c r="D44" s="30">
        <f t="shared" ca="1" si="5"/>
        <v>5.4091758527206055</v>
      </c>
      <c r="E44" s="30">
        <f t="shared" ca="1" si="6"/>
        <v>0</v>
      </c>
      <c r="F44" s="37" t="b">
        <f t="shared" ca="1" si="2"/>
        <v>0</v>
      </c>
      <c r="G44" s="52"/>
      <c r="H44" s="47"/>
      <c r="I44" s="47"/>
      <c r="J44" s="26"/>
      <c r="K44" s="32">
        <v>42</v>
      </c>
      <c r="L44" s="27">
        <v>18</v>
      </c>
      <c r="M44" s="29">
        <v>0.34615384615384615</v>
      </c>
      <c r="N44" s="33">
        <v>5.3182197145116623</v>
      </c>
    </row>
    <row r="45" spans="1:14" ht="15" hidden="1" customHeight="1" x14ac:dyDescent="0.25">
      <c r="A45" s="32">
        <v>23</v>
      </c>
      <c r="B45" s="36">
        <f t="shared" ca="1" si="3"/>
        <v>0.26521700862125963</v>
      </c>
      <c r="C45" s="36">
        <f t="shared" ca="1" si="4"/>
        <v>3.4906255259835772</v>
      </c>
      <c r="D45" s="30">
        <f t="shared" ca="1" si="5"/>
        <v>3.4906255259835772</v>
      </c>
      <c r="E45" s="30">
        <f t="shared" ca="1" si="6"/>
        <v>0</v>
      </c>
      <c r="F45" s="37" t="b">
        <f t="shared" ca="1" si="2"/>
        <v>0</v>
      </c>
      <c r="G45" s="52"/>
      <c r="H45" s="47"/>
      <c r="I45" s="47"/>
      <c r="J45" s="26"/>
      <c r="K45" s="32">
        <v>43</v>
      </c>
      <c r="L45" s="27">
        <v>37</v>
      </c>
      <c r="M45" s="29">
        <v>0.71153846153846156</v>
      </c>
      <c r="N45" s="33">
        <v>7.1418775545259097</v>
      </c>
    </row>
    <row r="46" spans="1:14" ht="15" hidden="1" customHeight="1" x14ac:dyDescent="0.25">
      <c r="A46" s="32">
        <v>24</v>
      </c>
      <c r="B46" s="36">
        <f t="shared" ca="1" si="3"/>
        <v>0.26139387986818585</v>
      </c>
      <c r="C46" s="36">
        <f t="shared" ca="1" si="4"/>
        <v>3.4437837320474021</v>
      </c>
      <c r="D46" s="30">
        <f t="shared" ca="1" si="5"/>
        <v>3.4437837320474021</v>
      </c>
      <c r="E46" s="30">
        <f t="shared" ca="1" si="6"/>
        <v>0</v>
      </c>
      <c r="F46" s="37" t="b">
        <f t="shared" ca="1" si="2"/>
        <v>0</v>
      </c>
      <c r="G46" s="52"/>
      <c r="H46" s="47"/>
      <c r="I46" s="47"/>
      <c r="J46" s="26"/>
      <c r="K46" s="32">
        <v>44</v>
      </c>
      <c r="L46" s="27">
        <v>38</v>
      </c>
      <c r="M46" s="29">
        <v>0.73076923076923073</v>
      </c>
      <c r="N46" s="33">
        <v>6.97733401679809</v>
      </c>
    </row>
    <row r="47" spans="1:14" ht="15" hidden="1" customHeight="1" x14ac:dyDescent="0.25">
      <c r="A47" s="32">
        <v>25</v>
      </c>
      <c r="B47" s="36">
        <f t="shared" ca="1" si="3"/>
        <v>4.3204897278474763E-2</v>
      </c>
      <c r="C47" s="36">
        <f t="shared" ca="1" si="4"/>
        <v>0</v>
      </c>
      <c r="D47" s="30">
        <f t="shared" ca="1" si="5"/>
        <v>0</v>
      </c>
      <c r="E47" s="30">
        <f t="shared" ca="1" si="6"/>
        <v>0</v>
      </c>
      <c r="F47" s="37" t="b">
        <f t="shared" ca="1" si="2"/>
        <v>0</v>
      </c>
      <c r="G47" s="52"/>
      <c r="H47" s="47"/>
      <c r="I47" s="47"/>
      <c r="J47" s="26"/>
      <c r="K47" s="32">
        <v>45</v>
      </c>
      <c r="L47" s="27">
        <v>22</v>
      </c>
      <c r="M47" s="29">
        <v>0.42307692307692307</v>
      </c>
      <c r="N47" s="33">
        <v>6.0629545048034235</v>
      </c>
    </row>
    <row r="48" spans="1:14" ht="15" hidden="1" customHeight="1" x14ac:dyDescent="0.25">
      <c r="A48" s="32">
        <v>26</v>
      </c>
      <c r="B48" s="36">
        <f t="shared" ca="1" si="3"/>
        <v>0.89614923842702576</v>
      </c>
      <c r="C48" s="36">
        <f t="shared" ca="1" si="4"/>
        <v>11.03964341198883</v>
      </c>
      <c r="D48" s="30">
        <f t="shared" ca="1" si="5"/>
        <v>11.03964341198883</v>
      </c>
      <c r="E48" s="30">
        <f t="shared" ca="1" si="6"/>
        <v>3.0396434119888305</v>
      </c>
      <c r="F48" s="37" t="b">
        <f t="shared" ca="1" si="2"/>
        <v>1</v>
      </c>
      <c r="G48" s="52"/>
      <c r="H48" s="47"/>
      <c r="I48" s="47"/>
      <c r="J48" s="26"/>
      <c r="K48" s="32">
        <v>46</v>
      </c>
      <c r="L48" s="27">
        <v>18</v>
      </c>
      <c r="M48" s="29">
        <v>0.34615384615384615</v>
      </c>
      <c r="N48" s="33">
        <v>5.3185932908720774</v>
      </c>
    </row>
    <row r="49" spans="1:14" ht="15" hidden="1" customHeight="1" x14ac:dyDescent="0.25">
      <c r="A49" s="32">
        <v>27</v>
      </c>
      <c r="B49" s="36">
        <f t="shared" ca="1" si="3"/>
        <v>0.72482105921029849</v>
      </c>
      <c r="C49" s="36">
        <f t="shared" ca="1" si="4"/>
        <v>8.3888957371020219</v>
      </c>
      <c r="D49" s="30">
        <f t="shared" ca="1" si="5"/>
        <v>11.428539149090852</v>
      </c>
      <c r="E49" s="30">
        <f t="shared" ca="1" si="6"/>
        <v>3.4285391490908523</v>
      </c>
      <c r="F49" s="37" t="b">
        <f t="shared" ca="1" si="2"/>
        <v>1</v>
      </c>
      <c r="G49" s="52"/>
      <c r="H49" s="47"/>
      <c r="I49" s="47"/>
      <c r="J49" s="26"/>
      <c r="K49" s="32">
        <v>47</v>
      </c>
      <c r="L49" s="27">
        <v>23</v>
      </c>
      <c r="M49" s="29">
        <v>0.44230769230769229</v>
      </c>
      <c r="N49" s="33">
        <v>6.1103683321153905</v>
      </c>
    </row>
    <row r="50" spans="1:14" ht="15" hidden="1" customHeight="1" x14ac:dyDescent="0.25">
      <c r="A50" s="32">
        <v>28</v>
      </c>
      <c r="B50" s="36">
        <f t="shared" ca="1" si="3"/>
        <v>6.1755520327401725E-2</v>
      </c>
      <c r="C50" s="36">
        <f t="shared" ca="1" si="4"/>
        <v>0</v>
      </c>
      <c r="D50" s="30">
        <f t="shared" ca="1" si="5"/>
        <v>3.4285391490908523</v>
      </c>
      <c r="E50" s="30">
        <f t="shared" ca="1" si="6"/>
        <v>0</v>
      </c>
      <c r="F50" s="37" t="b">
        <f t="shared" ca="1" si="2"/>
        <v>0</v>
      </c>
      <c r="G50" s="52"/>
      <c r="H50" s="47"/>
      <c r="I50" s="47"/>
      <c r="J50" s="26"/>
      <c r="K50" s="32">
        <v>48</v>
      </c>
      <c r="L50" s="27">
        <v>19</v>
      </c>
      <c r="M50" s="29">
        <v>0.36538461538461536</v>
      </c>
      <c r="N50" s="33">
        <v>6.2132210348190124</v>
      </c>
    </row>
    <row r="51" spans="1:14" ht="15" hidden="1" customHeight="1" x14ac:dyDescent="0.25">
      <c r="A51" s="32">
        <v>29</v>
      </c>
      <c r="B51" s="36">
        <f t="shared" ca="1" si="3"/>
        <v>0.99596952684080986</v>
      </c>
      <c r="C51" s="36">
        <f t="shared" ca="1" si="4"/>
        <v>16.598025302884064</v>
      </c>
      <c r="D51" s="30">
        <f t="shared" ca="1" si="5"/>
        <v>16.598025302884064</v>
      </c>
      <c r="E51" s="30">
        <f t="shared" ca="1" si="6"/>
        <v>8.5980253028840643</v>
      </c>
      <c r="F51" s="37" t="b">
        <f t="shared" ca="1" si="2"/>
        <v>1</v>
      </c>
      <c r="G51" s="52"/>
      <c r="H51" s="47"/>
      <c r="I51" s="47"/>
      <c r="J51" s="26"/>
      <c r="K51" s="32">
        <v>49</v>
      </c>
      <c r="L51" s="27">
        <v>37</v>
      </c>
      <c r="M51" s="29">
        <v>0.71153846153846156</v>
      </c>
      <c r="N51" s="33">
        <v>7.27856877903392</v>
      </c>
    </row>
    <row r="52" spans="1:14" ht="15" hidden="1" customHeight="1" x14ac:dyDescent="0.25">
      <c r="A52" s="32">
        <v>30</v>
      </c>
      <c r="B52" s="36">
        <f t="shared" ca="1" si="3"/>
        <v>0.67662233207474265</v>
      </c>
      <c r="C52" s="36">
        <f t="shared" ca="1" si="4"/>
        <v>7.8330974770735855</v>
      </c>
      <c r="D52" s="30">
        <f t="shared" ca="1" si="5"/>
        <v>16.431122779957651</v>
      </c>
      <c r="E52" s="30">
        <f t="shared" ca="1" si="6"/>
        <v>8.4311227799576507</v>
      </c>
      <c r="F52" s="37" t="b">
        <f t="shared" ca="1" si="2"/>
        <v>1</v>
      </c>
      <c r="G52" s="52"/>
      <c r="H52" s="47"/>
      <c r="I52" s="47"/>
      <c r="J52" s="26"/>
      <c r="K52" s="32">
        <v>50</v>
      </c>
      <c r="L52" s="27">
        <v>15</v>
      </c>
      <c r="M52" s="29">
        <v>0.28846153846153844</v>
      </c>
      <c r="N52" s="33">
        <v>5.5039664478696722</v>
      </c>
    </row>
    <row r="53" spans="1:14" ht="15" hidden="1" customHeight="1" x14ac:dyDescent="0.25">
      <c r="A53" s="32">
        <v>31</v>
      </c>
      <c r="B53" s="36">
        <f t="shared" ca="1" si="3"/>
        <v>0.67195743371034555</v>
      </c>
      <c r="C53" s="36">
        <f t="shared" ca="1" si="4"/>
        <v>7.7812987327305061</v>
      </c>
      <c r="D53" s="30">
        <f t="shared" ca="1" si="5"/>
        <v>16.212421512688156</v>
      </c>
      <c r="E53" s="30">
        <f t="shared" ca="1" si="6"/>
        <v>8.2124215126881559</v>
      </c>
      <c r="F53" s="37" t="b">
        <f t="shared" ca="1" si="2"/>
        <v>1</v>
      </c>
      <c r="G53" s="52"/>
      <c r="H53" s="47"/>
      <c r="I53" s="47"/>
      <c r="J53" s="26"/>
      <c r="K53" s="32">
        <v>51</v>
      </c>
      <c r="L53" s="27">
        <v>20</v>
      </c>
      <c r="M53" s="29">
        <v>0.38461538461538464</v>
      </c>
      <c r="N53" s="33">
        <v>6.1868515137952569</v>
      </c>
    </row>
    <row r="54" spans="1:14" ht="15" hidden="1" customHeight="1" x14ac:dyDescent="0.25">
      <c r="A54" s="32">
        <v>32</v>
      </c>
      <c r="B54" s="36">
        <f t="shared" ca="1" si="3"/>
        <v>4.651915439740173E-2</v>
      </c>
      <c r="C54" s="36">
        <f t="shared" ca="1" si="4"/>
        <v>0</v>
      </c>
      <c r="D54" s="30">
        <f t="shared" ca="1" si="5"/>
        <v>8.2124215126881559</v>
      </c>
      <c r="E54" s="30">
        <f t="shared" ca="1" si="6"/>
        <v>0.2124215126881559</v>
      </c>
      <c r="F54" s="37" t="b">
        <f t="shared" ca="1" si="2"/>
        <v>1</v>
      </c>
      <c r="G54" s="52"/>
      <c r="H54" s="47"/>
      <c r="I54" s="47"/>
      <c r="J54" s="26"/>
      <c r="K54" s="32">
        <v>52</v>
      </c>
      <c r="L54" s="27">
        <v>24</v>
      </c>
      <c r="M54" s="29">
        <v>0.46153846153846156</v>
      </c>
      <c r="N54" s="33">
        <v>6.823369653298343</v>
      </c>
    </row>
    <row r="55" spans="1:14" ht="15" hidden="1" customHeight="1" x14ac:dyDescent="0.25">
      <c r="A55" s="32">
        <v>33</v>
      </c>
      <c r="B55" s="36">
        <f t="shared" ca="1" si="3"/>
        <v>0.47744452519975167</v>
      </c>
      <c r="C55" s="36">
        <f t="shared" ca="1" si="4"/>
        <v>5.7737266160753649</v>
      </c>
      <c r="D55" s="30">
        <f t="shared" ca="1" si="5"/>
        <v>5.9861481287635208</v>
      </c>
      <c r="E55" s="30">
        <f t="shared" ca="1" si="6"/>
        <v>0</v>
      </c>
      <c r="F55" s="37" t="b">
        <f t="shared" ca="1" si="2"/>
        <v>0</v>
      </c>
      <c r="G55" s="52"/>
      <c r="H55" s="47"/>
      <c r="I55" s="47"/>
      <c r="J55" s="26"/>
      <c r="K55" s="32">
        <v>53</v>
      </c>
      <c r="L55" s="27">
        <v>31</v>
      </c>
      <c r="M55" s="29">
        <v>0.59615384615384615</v>
      </c>
      <c r="N55" s="33">
        <v>6.9088610434701438</v>
      </c>
    </row>
    <row r="56" spans="1:14" ht="15" hidden="1" customHeight="1" x14ac:dyDescent="0.25">
      <c r="A56" s="32">
        <v>34</v>
      </c>
      <c r="B56" s="36">
        <f t="shared" ca="1" si="3"/>
        <v>0.41746717810272838</v>
      </c>
      <c r="C56" s="36">
        <f t="shared" ca="1" si="4"/>
        <v>5.1664906817706573</v>
      </c>
      <c r="D56" s="30">
        <f t="shared" ca="1" si="5"/>
        <v>5.1664906817706573</v>
      </c>
      <c r="E56" s="30">
        <f t="shared" ca="1" si="6"/>
        <v>0</v>
      </c>
      <c r="F56" s="37" t="b">
        <f t="shared" ca="1" si="2"/>
        <v>0</v>
      </c>
      <c r="G56" s="52"/>
      <c r="H56" s="47"/>
      <c r="I56" s="47"/>
      <c r="J56" s="26"/>
      <c r="K56" s="32">
        <v>54</v>
      </c>
      <c r="L56" s="27">
        <v>19</v>
      </c>
      <c r="M56" s="29">
        <v>0.36538461538461536</v>
      </c>
      <c r="N56" s="33">
        <v>5.202078426748189</v>
      </c>
    </row>
    <row r="57" spans="1:14" ht="15" hidden="1" customHeight="1" x14ac:dyDescent="0.25">
      <c r="A57" s="32">
        <v>35</v>
      </c>
      <c r="B57" s="36">
        <f t="shared" ca="1" si="3"/>
        <v>0.71259433183205267</v>
      </c>
      <c r="C57" s="36">
        <f t="shared" ca="1" si="4"/>
        <v>8.2439190325162688</v>
      </c>
      <c r="D57" s="30">
        <f t="shared" ca="1" si="5"/>
        <v>8.2439190325162688</v>
      </c>
      <c r="E57" s="30">
        <f t="shared" ca="1" si="6"/>
        <v>0.24391903251626879</v>
      </c>
      <c r="F57" s="37" t="b">
        <f t="shared" ca="1" si="2"/>
        <v>1</v>
      </c>
      <c r="G57" s="52"/>
      <c r="H57" s="47"/>
      <c r="I57" s="47"/>
      <c r="J57" s="26"/>
      <c r="K57" s="32">
        <v>55</v>
      </c>
      <c r="L57" s="27">
        <v>23</v>
      </c>
      <c r="M57" s="29">
        <v>0.44230769230769229</v>
      </c>
      <c r="N57" s="33">
        <v>6.4816654952186843</v>
      </c>
    </row>
    <row r="58" spans="1:14" ht="15" hidden="1" customHeight="1" x14ac:dyDescent="0.25">
      <c r="A58" s="32">
        <v>36</v>
      </c>
      <c r="B58" s="36">
        <f t="shared" ca="1" si="3"/>
        <v>0.68863757021569794</v>
      </c>
      <c r="C58" s="36">
        <f t="shared" ca="1" si="4"/>
        <v>7.9679687889033728</v>
      </c>
      <c r="D58" s="30">
        <f t="shared" ca="1" si="5"/>
        <v>8.2118878214196407</v>
      </c>
      <c r="E58" s="30">
        <f t="shared" ca="1" si="6"/>
        <v>0.21188782141964069</v>
      </c>
      <c r="F58" s="37" t="b">
        <f t="shared" ca="1" si="2"/>
        <v>1</v>
      </c>
      <c r="G58" s="52"/>
      <c r="H58" s="47"/>
      <c r="I58" s="47"/>
      <c r="J58" s="26"/>
      <c r="K58" s="32">
        <v>56</v>
      </c>
      <c r="L58" s="27">
        <v>27</v>
      </c>
      <c r="M58" s="29">
        <v>0.51923076923076927</v>
      </c>
      <c r="N58" s="33">
        <v>6.1202445141321569</v>
      </c>
    </row>
    <row r="59" spans="1:14" ht="15" hidden="1" customHeight="1" x14ac:dyDescent="0.25">
      <c r="A59" s="32">
        <v>37</v>
      </c>
      <c r="B59" s="36">
        <f t="shared" ca="1" si="3"/>
        <v>0.27006968787817021</v>
      </c>
      <c r="C59" s="36">
        <f t="shared" ca="1" si="4"/>
        <v>3.5495910339417289</v>
      </c>
      <c r="D59" s="30">
        <f t="shared" ca="1" si="5"/>
        <v>3.7614788553613696</v>
      </c>
      <c r="E59" s="30">
        <f t="shared" ca="1" si="6"/>
        <v>0</v>
      </c>
      <c r="F59" s="37" t="b">
        <f t="shared" ca="1" si="2"/>
        <v>0</v>
      </c>
      <c r="G59" s="52"/>
      <c r="H59" s="47"/>
      <c r="I59" s="47"/>
      <c r="J59" s="26"/>
      <c r="K59" s="32">
        <v>57</v>
      </c>
      <c r="L59" s="27">
        <v>11</v>
      </c>
      <c r="M59" s="29">
        <v>0.21153846153846154</v>
      </c>
      <c r="N59" s="33">
        <v>4.9123649881529401</v>
      </c>
    </row>
    <row r="60" spans="1:14" ht="14.25" hidden="1" customHeight="1" x14ac:dyDescent="0.25">
      <c r="A60" s="32">
        <v>38</v>
      </c>
      <c r="B60" s="36">
        <f t="shared" ca="1" si="3"/>
        <v>5.3355235351182362E-3</v>
      </c>
      <c r="C60" s="36">
        <f t="shared" ca="1" si="4"/>
        <v>0</v>
      </c>
      <c r="D60" s="30">
        <f t="shared" ca="1" si="5"/>
        <v>0</v>
      </c>
      <c r="E60" s="30">
        <f t="shared" ca="1" si="6"/>
        <v>0</v>
      </c>
      <c r="F60" s="37" t="b">
        <f t="shared" ca="1" si="2"/>
        <v>0</v>
      </c>
      <c r="G60" s="52"/>
      <c r="H60" s="47"/>
      <c r="I60" s="47"/>
      <c r="J60" s="26"/>
      <c r="K60" s="32">
        <v>58</v>
      </c>
      <c r="L60" s="27">
        <v>21</v>
      </c>
      <c r="M60" s="29">
        <v>0.40384615384615385</v>
      </c>
      <c r="N60" s="33">
        <v>5.7273127696382877</v>
      </c>
    </row>
    <row r="61" spans="1:14" ht="15.75" hidden="1" x14ac:dyDescent="0.25">
      <c r="A61" s="32">
        <v>39</v>
      </c>
      <c r="B61" s="36">
        <f t="shared" ca="1" si="3"/>
        <v>0.35259901746324973</v>
      </c>
      <c r="C61" s="36">
        <f t="shared" ca="1" si="4"/>
        <v>4.4867477076034739</v>
      </c>
      <c r="D61" s="30">
        <f t="shared" ca="1" si="5"/>
        <v>4.4867477076034739</v>
      </c>
      <c r="E61" s="30">
        <f t="shared" ca="1" si="6"/>
        <v>0</v>
      </c>
      <c r="F61" s="37" t="b">
        <f t="shared" ca="1" si="2"/>
        <v>0</v>
      </c>
      <c r="G61" s="52"/>
      <c r="H61" s="47"/>
      <c r="I61" s="47"/>
      <c r="J61" s="26"/>
      <c r="K61" s="32">
        <v>59</v>
      </c>
      <c r="L61" s="27">
        <v>34</v>
      </c>
      <c r="M61" s="29">
        <v>0.65384615384615385</v>
      </c>
      <c r="N61" s="33">
        <v>6.8096343441758052</v>
      </c>
    </row>
    <row r="62" spans="1:14" ht="15.75" hidden="1" x14ac:dyDescent="0.25">
      <c r="A62" s="32">
        <v>40</v>
      </c>
      <c r="B62" s="36">
        <f t="shared" ca="1" si="3"/>
        <v>0.25042513100550179</v>
      </c>
      <c r="C62" s="36">
        <f t="shared" ca="1" si="4"/>
        <v>3.3073899075358781</v>
      </c>
      <c r="D62" s="30">
        <f t="shared" ca="1" si="5"/>
        <v>3.3073899075358781</v>
      </c>
      <c r="E62" s="30">
        <f t="shared" ca="1" si="6"/>
        <v>0</v>
      </c>
      <c r="F62" s="37" t="b">
        <f t="shared" ca="1" si="2"/>
        <v>0</v>
      </c>
      <c r="G62" s="52"/>
      <c r="H62" s="47"/>
      <c r="I62" s="47"/>
      <c r="J62" s="26"/>
      <c r="K62" s="32">
        <v>60</v>
      </c>
      <c r="L62" s="27">
        <v>26</v>
      </c>
      <c r="M62" s="29">
        <v>0.5</v>
      </c>
      <c r="N62" s="33">
        <v>6.3081461430805206</v>
      </c>
    </row>
    <row r="63" spans="1:14" ht="15.75" hidden="1" x14ac:dyDescent="0.25">
      <c r="A63" s="32">
        <v>41</v>
      </c>
      <c r="B63" s="36">
        <f t="shared" ca="1" si="3"/>
        <v>0.8076167950143065</v>
      </c>
      <c r="C63" s="36">
        <f t="shared" ca="1" si="4"/>
        <v>9.4765903565101581</v>
      </c>
      <c r="D63" s="30">
        <f t="shared" ca="1" si="5"/>
        <v>9.4765903565101581</v>
      </c>
      <c r="E63" s="30">
        <f t="shared" ca="1" si="6"/>
        <v>1.4765903565101581</v>
      </c>
      <c r="F63" s="37" t="b">
        <f t="shared" ca="1" si="2"/>
        <v>1</v>
      </c>
      <c r="G63" s="52"/>
      <c r="H63" s="47"/>
      <c r="I63" s="47"/>
      <c r="J63" s="26"/>
      <c r="K63" s="32">
        <v>61</v>
      </c>
      <c r="L63" s="27">
        <v>23</v>
      </c>
      <c r="M63" s="29">
        <v>0.44230769230769229</v>
      </c>
      <c r="N63" s="33">
        <v>5.7181726665751347</v>
      </c>
    </row>
    <row r="64" spans="1:14" ht="15" hidden="1" customHeight="1" x14ac:dyDescent="0.25">
      <c r="A64" s="32">
        <v>42</v>
      </c>
      <c r="B64" s="36">
        <f t="shared" ca="1" si="3"/>
        <v>1.240855048300249E-2</v>
      </c>
      <c r="C64" s="36">
        <f t="shared" ca="1" si="4"/>
        <v>0</v>
      </c>
      <c r="D64" s="30">
        <f t="shared" ca="1" si="5"/>
        <v>1.4765903565101581</v>
      </c>
      <c r="E64" s="30">
        <f t="shared" ca="1" si="6"/>
        <v>0</v>
      </c>
      <c r="F64" s="37" t="b">
        <f t="shared" ca="1" si="2"/>
        <v>0</v>
      </c>
      <c r="G64" s="52"/>
      <c r="H64" s="47"/>
      <c r="I64" s="47"/>
      <c r="J64" s="26"/>
      <c r="K64" s="32">
        <v>62</v>
      </c>
      <c r="L64" s="27">
        <v>20</v>
      </c>
      <c r="M64" s="29">
        <v>0.38461538461538464</v>
      </c>
      <c r="N64" s="33">
        <v>5.5799418236642078</v>
      </c>
    </row>
    <row r="65" spans="1:14" ht="15" hidden="1" customHeight="1" x14ac:dyDescent="0.25">
      <c r="A65" s="32">
        <v>43</v>
      </c>
      <c r="B65" s="36">
        <f t="shared" ca="1" si="3"/>
        <v>0.96593794557507784</v>
      </c>
      <c r="C65" s="36">
        <f t="shared" ca="1" si="4"/>
        <v>13.296739991395466</v>
      </c>
      <c r="D65" s="30">
        <f t="shared" ca="1" si="5"/>
        <v>13.296739991395466</v>
      </c>
      <c r="E65" s="30">
        <f t="shared" ca="1" si="6"/>
        <v>5.2967399913954658</v>
      </c>
      <c r="F65" s="37" t="b">
        <f t="shared" ca="1" si="2"/>
        <v>1</v>
      </c>
      <c r="G65" s="52"/>
      <c r="H65" s="47"/>
      <c r="I65" s="47"/>
      <c r="J65" s="26"/>
      <c r="K65" s="32">
        <v>63</v>
      </c>
      <c r="L65" s="27">
        <v>26</v>
      </c>
      <c r="M65" s="29">
        <v>0.5</v>
      </c>
      <c r="N65" s="33">
        <v>6.5008954499795246</v>
      </c>
    </row>
    <row r="66" spans="1:14" ht="15" hidden="1" customHeight="1" x14ac:dyDescent="0.25">
      <c r="A66" s="32">
        <v>44</v>
      </c>
      <c r="B66" s="36">
        <f t="shared" ca="1" si="3"/>
        <v>0.66780491260061547</v>
      </c>
      <c r="C66" s="36">
        <f t="shared" ca="1" si="4"/>
        <v>7.7354396327427093</v>
      </c>
      <c r="D66" s="30">
        <f t="shared" ca="1" si="5"/>
        <v>13.032179624138175</v>
      </c>
      <c r="E66" s="30">
        <f t="shared" ca="1" si="6"/>
        <v>5.0321796241381751</v>
      </c>
      <c r="F66" s="37" t="b">
        <f t="shared" ca="1" si="2"/>
        <v>1</v>
      </c>
      <c r="G66" s="52"/>
      <c r="H66" s="47"/>
      <c r="I66" s="47"/>
      <c r="J66" s="26"/>
      <c r="K66" s="32">
        <v>64</v>
      </c>
      <c r="L66" s="27">
        <v>26</v>
      </c>
      <c r="M66" s="29">
        <v>0.5</v>
      </c>
      <c r="N66" s="33">
        <v>6.3099447424318758</v>
      </c>
    </row>
    <row r="67" spans="1:14" ht="15" hidden="1" customHeight="1" x14ac:dyDescent="0.25">
      <c r="A67" s="32">
        <v>45</v>
      </c>
      <c r="B67" s="36">
        <f t="shared" ca="1" si="3"/>
        <v>3.802572580540875E-2</v>
      </c>
      <c r="C67" s="36">
        <f t="shared" ca="1" si="4"/>
        <v>0</v>
      </c>
      <c r="D67" s="30">
        <f t="shared" ca="1" si="5"/>
        <v>5.0321796241381751</v>
      </c>
      <c r="E67" s="30">
        <f t="shared" ca="1" si="6"/>
        <v>0</v>
      </c>
      <c r="F67" s="37" t="b">
        <f t="shared" ca="1" si="2"/>
        <v>0</v>
      </c>
      <c r="G67" s="52"/>
      <c r="H67" s="47"/>
      <c r="I67" s="47"/>
      <c r="J67" s="26"/>
      <c r="K67" s="32">
        <v>65</v>
      </c>
      <c r="L67" s="27">
        <v>23</v>
      </c>
      <c r="M67" s="29">
        <v>0.44230769230769229</v>
      </c>
      <c r="N67" s="33">
        <v>5.6240167281730695</v>
      </c>
    </row>
    <row r="68" spans="1:14" ht="15" hidden="1" customHeight="1" x14ac:dyDescent="0.25">
      <c r="A68" s="32">
        <v>46</v>
      </c>
      <c r="B68" s="36">
        <f t="shared" ca="1" si="3"/>
        <v>0.99650217140408437</v>
      </c>
      <c r="C68" s="36">
        <f t="shared" ca="1" si="4"/>
        <v>16.788203684130195</v>
      </c>
      <c r="D68" s="30">
        <f t="shared" ca="1" si="5"/>
        <v>16.788203684130195</v>
      </c>
      <c r="E68" s="30">
        <f t="shared" ca="1" si="6"/>
        <v>8.7882036841301954</v>
      </c>
      <c r="F68" s="37" t="b">
        <f t="shared" ca="1" si="2"/>
        <v>1</v>
      </c>
      <c r="G68" s="52"/>
      <c r="H68" s="47"/>
      <c r="I68" s="47"/>
      <c r="J68" s="26"/>
      <c r="K68" s="32">
        <v>66</v>
      </c>
      <c r="L68" s="27">
        <v>33</v>
      </c>
      <c r="M68" s="29">
        <v>0.63461538461538458</v>
      </c>
      <c r="N68" s="33">
        <v>6.8708101151931782</v>
      </c>
    </row>
    <row r="69" spans="1:14" ht="15" hidden="1" customHeight="1" x14ac:dyDescent="0.25">
      <c r="A69" s="32">
        <v>47</v>
      </c>
      <c r="B69" s="36">
        <f t="shared" ca="1" si="3"/>
        <v>1.5234037592952832E-2</v>
      </c>
      <c r="C69" s="36">
        <f t="shared" ca="1" si="4"/>
        <v>0</v>
      </c>
      <c r="D69" s="30">
        <f t="shared" ca="1" si="5"/>
        <v>8.7882036841301954</v>
      </c>
      <c r="E69" s="30">
        <f t="shared" ca="1" si="6"/>
        <v>0.78820368413019537</v>
      </c>
      <c r="F69" s="37" t="b">
        <f t="shared" ca="1" si="2"/>
        <v>1</v>
      </c>
      <c r="G69" s="52"/>
      <c r="H69" s="47"/>
      <c r="I69" s="47"/>
      <c r="J69" s="26"/>
      <c r="K69" s="32">
        <v>67</v>
      </c>
      <c r="L69" s="27">
        <v>21</v>
      </c>
      <c r="M69" s="29">
        <v>0.40384615384615385</v>
      </c>
      <c r="N69" s="33">
        <v>6.3903258431287959</v>
      </c>
    </row>
    <row r="70" spans="1:14" ht="15" customHeight="1" x14ac:dyDescent="0.25">
      <c r="A70" s="32">
        <v>48</v>
      </c>
      <c r="B70" s="36">
        <f t="shared" ca="1" si="3"/>
        <v>0.98135294019700636</v>
      </c>
      <c r="C70" s="36">
        <f t="shared" ca="1" si="4"/>
        <v>14.330118508705736</v>
      </c>
      <c r="D70" s="30">
        <f t="shared" ca="1" si="5"/>
        <v>15.118322192835931</v>
      </c>
      <c r="E70" s="30">
        <f t="shared" ca="1" si="6"/>
        <v>7.1183221928359313</v>
      </c>
      <c r="F70" s="37" t="b">
        <f t="shared" ca="1" si="2"/>
        <v>1</v>
      </c>
      <c r="G70" s="52"/>
      <c r="H70" s="47"/>
      <c r="I70" s="47"/>
      <c r="J70" s="26"/>
      <c r="K70" s="32">
        <v>68</v>
      </c>
      <c r="L70" s="27">
        <v>14</v>
      </c>
      <c r="M70" s="29">
        <v>0.26923076923076922</v>
      </c>
      <c r="N70" s="33">
        <v>4.8928523505318999</v>
      </c>
    </row>
    <row r="71" spans="1:14" ht="15" customHeight="1" x14ac:dyDescent="0.25">
      <c r="A71" s="32">
        <v>49</v>
      </c>
      <c r="B71" s="36">
        <f t="shared" ca="1" si="3"/>
        <v>0.66961129878079806</v>
      </c>
      <c r="C71" s="36">
        <f t="shared" ca="1" si="4"/>
        <v>7.7553603977980679</v>
      </c>
      <c r="D71" s="30">
        <f t="shared" ca="1" si="5"/>
        <v>14.873682590633999</v>
      </c>
      <c r="E71" s="30">
        <f t="shared" ca="1" si="6"/>
        <v>6.8736825906339991</v>
      </c>
      <c r="F71" s="37" t="b">
        <f t="shared" ca="1" si="2"/>
        <v>1</v>
      </c>
      <c r="G71" s="52"/>
      <c r="H71" s="47"/>
      <c r="I71" s="47"/>
      <c r="J71" s="26"/>
      <c r="K71" s="32">
        <v>69</v>
      </c>
      <c r="L71" s="27">
        <v>22</v>
      </c>
      <c r="M71" s="29">
        <v>0.42307692307692307</v>
      </c>
      <c r="N71" s="33">
        <v>5.6237762420703188</v>
      </c>
    </row>
    <row r="72" spans="1:14" ht="15" customHeight="1" x14ac:dyDescent="0.25">
      <c r="A72" s="32">
        <v>50</v>
      </c>
      <c r="B72" s="36">
        <f t="shared" ca="1" si="3"/>
        <v>0.72203281219809556</v>
      </c>
      <c r="C72" s="36">
        <f t="shared" ca="1" si="4"/>
        <v>8.3555641187771332</v>
      </c>
      <c r="D72" s="30">
        <f t="shared" ca="1" si="5"/>
        <v>15.229246709411132</v>
      </c>
      <c r="E72" s="30">
        <f t="shared" ca="1" si="6"/>
        <v>7.2292467094111323</v>
      </c>
      <c r="F72" s="37" t="b">
        <f t="shared" ca="1" si="2"/>
        <v>1</v>
      </c>
      <c r="G72" s="52"/>
      <c r="H72" s="47"/>
      <c r="I72" s="47"/>
      <c r="J72" s="26"/>
      <c r="K72" s="32">
        <v>70</v>
      </c>
      <c r="L72" s="27">
        <v>20</v>
      </c>
      <c r="M72" s="29">
        <v>0.38461538461538464</v>
      </c>
      <c r="N72" s="33">
        <v>6.1129677697820464</v>
      </c>
    </row>
    <row r="73" spans="1:14" ht="15" customHeight="1" x14ac:dyDescent="0.25">
      <c r="A73" s="32">
        <v>51</v>
      </c>
      <c r="B73" s="36">
        <f t="shared" ca="1" si="3"/>
        <v>0.23173366411792951</v>
      </c>
      <c r="C73" s="36">
        <f t="shared" ca="1" si="4"/>
        <v>3.067402499279952</v>
      </c>
      <c r="D73" s="30">
        <f t="shared" ca="1" si="5"/>
        <v>10.296649208691084</v>
      </c>
      <c r="E73" s="30">
        <f t="shared" ca="1" si="6"/>
        <v>2.2966492086910844</v>
      </c>
      <c r="F73" s="37" t="b">
        <f t="shared" ca="1" si="2"/>
        <v>1</v>
      </c>
      <c r="G73" s="52"/>
      <c r="H73" s="47"/>
      <c r="I73" s="47"/>
      <c r="J73" s="26"/>
      <c r="K73" s="32">
        <v>71</v>
      </c>
      <c r="L73" s="27">
        <v>19</v>
      </c>
      <c r="M73" s="29">
        <v>0.36538461538461536</v>
      </c>
      <c r="N73" s="33">
        <v>6.0805941511151218</v>
      </c>
    </row>
    <row r="74" spans="1:14" ht="15" customHeight="1" x14ac:dyDescent="0.25">
      <c r="A74" s="27">
        <v>52</v>
      </c>
      <c r="B74" s="36">
        <f t="shared" ca="1" si="3"/>
        <v>0.46580828612373582</v>
      </c>
      <c r="C74" s="36">
        <f t="shared" ca="1" si="4"/>
        <v>5.6567555483870136</v>
      </c>
      <c r="D74" s="30">
        <f t="shared" ca="1" si="5"/>
        <v>7.9534047570780979</v>
      </c>
      <c r="E74" s="30">
        <f t="shared" ca="1" si="6"/>
        <v>0</v>
      </c>
      <c r="F74" s="37" t="b">
        <f t="shared" ca="1" si="2"/>
        <v>0</v>
      </c>
      <c r="G74" s="52"/>
      <c r="H74" s="47"/>
      <c r="I74" s="47"/>
      <c r="J74" s="26"/>
      <c r="K74" s="32">
        <v>72</v>
      </c>
      <c r="L74" s="27">
        <v>23</v>
      </c>
      <c r="M74" s="29">
        <v>0.44230769230769229</v>
      </c>
      <c r="N74" s="33">
        <v>5.7131678442397753</v>
      </c>
    </row>
    <row r="75" spans="1:14" ht="15" customHeight="1" x14ac:dyDescent="0.25">
      <c r="F75" s="38"/>
      <c r="G75" s="45"/>
      <c r="H75" s="27"/>
      <c r="I75" s="27"/>
      <c r="J75" s="26"/>
      <c r="K75" s="32">
        <v>73</v>
      </c>
      <c r="L75" s="27">
        <v>25</v>
      </c>
      <c r="M75" s="29">
        <v>0.48076923076923078</v>
      </c>
      <c r="N75" s="33">
        <v>6.3541228653781294</v>
      </c>
    </row>
    <row r="76" spans="1:14" ht="15" customHeight="1" x14ac:dyDescent="0.25">
      <c r="A76" s="103" t="s">
        <v>54</v>
      </c>
      <c r="B76" s="104"/>
      <c r="C76" s="111">
        <f ca="1">AVERAGE(C23:C74)</f>
        <v>6.1690355717874876</v>
      </c>
      <c r="D76" s="111">
        <f ca="1">AVERAGE(D23:D74)</f>
        <v>8.5925645118410312</v>
      </c>
      <c r="E76" s="111">
        <f ca="1">AVERAGE(E23:E74)</f>
        <v>2.4235289400535471</v>
      </c>
      <c r="F76" s="106"/>
      <c r="G76" s="50"/>
      <c r="H76" s="50"/>
      <c r="I76" s="50"/>
      <c r="J76" s="26"/>
      <c r="K76" s="32">
        <v>74</v>
      </c>
      <c r="L76" s="27">
        <v>19</v>
      </c>
      <c r="M76" s="29">
        <v>0.36538461538461536</v>
      </c>
      <c r="N76" s="33">
        <v>5.2774694396117336</v>
      </c>
    </row>
    <row r="77" spans="1:14" ht="15" customHeight="1" x14ac:dyDescent="0.25">
      <c r="A77" s="28"/>
      <c r="G77" s="49"/>
      <c r="H77" s="49"/>
      <c r="I77" s="45"/>
      <c r="J77" s="26"/>
      <c r="K77" s="32">
        <v>75</v>
      </c>
      <c r="L77" s="27">
        <v>22</v>
      </c>
      <c r="M77" s="29">
        <v>0.42307692307692307</v>
      </c>
      <c r="N77" s="33">
        <v>5.4648594047802233</v>
      </c>
    </row>
    <row r="78" spans="1:14" ht="15" customHeight="1" x14ac:dyDescent="0.25">
      <c r="A78" s="28"/>
      <c r="G78" s="49"/>
      <c r="H78" s="47"/>
      <c r="I78" s="27"/>
      <c r="J78" s="26"/>
      <c r="K78" s="32">
        <v>76</v>
      </c>
      <c r="L78" s="27">
        <v>27</v>
      </c>
      <c r="M78" s="29">
        <v>0.51923076923076927</v>
      </c>
      <c r="N78" s="33">
        <v>6.6336142535275702</v>
      </c>
    </row>
    <row r="79" spans="1:14" ht="15" customHeight="1" x14ac:dyDescent="0.25">
      <c r="A79" s="28"/>
      <c r="G79" s="49"/>
      <c r="H79" s="47"/>
      <c r="I79" s="27"/>
      <c r="J79" s="26"/>
      <c r="K79" s="32">
        <v>77</v>
      </c>
      <c r="L79" s="27">
        <v>32</v>
      </c>
      <c r="M79" s="29">
        <v>0.61538461538461542</v>
      </c>
      <c r="N79" s="33">
        <v>6.5019265785289191</v>
      </c>
    </row>
    <row r="80" spans="1:14" ht="15" customHeight="1" x14ac:dyDescent="0.25">
      <c r="A80" s="28"/>
      <c r="G80" s="49"/>
      <c r="H80" s="47"/>
      <c r="I80" s="27"/>
      <c r="J80" s="26"/>
      <c r="K80" s="32">
        <v>78</v>
      </c>
      <c r="L80" s="27">
        <v>30</v>
      </c>
      <c r="M80" s="29">
        <v>0.57692307692307687</v>
      </c>
      <c r="N80" s="33">
        <v>6.4798433664376791</v>
      </c>
    </row>
    <row r="81" spans="1:14" ht="15" customHeight="1" x14ac:dyDescent="0.25">
      <c r="A81" s="28"/>
      <c r="H81" s="47"/>
      <c r="I81" s="27"/>
      <c r="J81" s="26"/>
      <c r="K81" s="32">
        <v>79</v>
      </c>
      <c r="L81" s="27">
        <v>29</v>
      </c>
      <c r="M81" s="29">
        <v>0.55769230769230771</v>
      </c>
      <c r="N81" s="33">
        <v>6.2405979006438592</v>
      </c>
    </row>
    <row r="82" spans="1:14" ht="15" customHeight="1" x14ac:dyDescent="0.25">
      <c r="A82" s="28"/>
      <c r="H82" s="47"/>
      <c r="I82" s="27"/>
      <c r="J82" s="26"/>
      <c r="K82" s="32">
        <v>80</v>
      </c>
      <c r="L82" s="27">
        <v>31</v>
      </c>
      <c r="M82" s="29">
        <v>0.59615384615384615</v>
      </c>
      <c r="N82" s="33">
        <v>6.8997059816549617</v>
      </c>
    </row>
    <row r="83" spans="1:14" ht="15" customHeight="1" x14ac:dyDescent="0.25">
      <c r="A83" s="28"/>
      <c r="H83" s="47"/>
      <c r="I83" s="27"/>
      <c r="J83" s="26"/>
      <c r="K83" s="32">
        <v>81</v>
      </c>
      <c r="L83" s="27">
        <v>30</v>
      </c>
      <c r="M83" s="29">
        <v>0.57692307692307687</v>
      </c>
      <c r="N83" s="33">
        <v>6.3984274945504849</v>
      </c>
    </row>
    <row r="84" spans="1:14" ht="15" customHeight="1" x14ac:dyDescent="0.25">
      <c r="A84" s="28"/>
      <c r="H84" s="47"/>
      <c r="I84" s="27"/>
      <c r="J84" s="26"/>
      <c r="K84" s="32">
        <v>82</v>
      </c>
      <c r="L84" s="27">
        <v>22</v>
      </c>
      <c r="M84" s="29">
        <v>0.42307692307692307</v>
      </c>
      <c r="N84" s="33">
        <v>6.0206803939310651</v>
      </c>
    </row>
    <row r="85" spans="1:14" ht="15" customHeight="1" x14ac:dyDescent="0.25">
      <c r="A85" s="28"/>
      <c r="H85" s="47"/>
      <c r="I85" s="27"/>
      <c r="J85" s="26"/>
      <c r="K85" s="32">
        <v>83</v>
      </c>
      <c r="L85" s="27">
        <v>29</v>
      </c>
      <c r="M85" s="29">
        <v>0.55769230769230771</v>
      </c>
      <c r="N85" s="33">
        <v>6.3193834695819202</v>
      </c>
    </row>
    <row r="86" spans="1:14" ht="15" customHeight="1" x14ac:dyDescent="0.25">
      <c r="A86" s="28"/>
      <c r="H86" s="47"/>
      <c r="I86" s="27"/>
      <c r="J86" s="26"/>
      <c r="K86" s="32">
        <v>84</v>
      </c>
      <c r="L86" s="27">
        <v>24</v>
      </c>
      <c r="M86" s="29">
        <v>0.46153846153846156</v>
      </c>
      <c r="N86" s="33">
        <v>6.1207089530525263</v>
      </c>
    </row>
    <row r="87" spans="1:14" ht="15" customHeight="1" x14ac:dyDescent="0.25">
      <c r="A87" s="28"/>
      <c r="H87" s="47"/>
      <c r="I87" s="27"/>
      <c r="J87" s="26"/>
      <c r="K87" s="32">
        <v>85</v>
      </c>
      <c r="L87" s="27">
        <v>34</v>
      </c>
      <c r="M87" s="29">
        <v>0.65384615384615385</v>
      </c>
      <c r="N87" s="33">
        <v>6.76123966300141</v>
      </c>
    </row>
    <row r="88" spans="1:14" ht="15" customHeight="1" x14ac:dyDescent="0.25">
      <c r="A88" s="28"/>
      <c r="I88" s="26"/>
      <c r="J88" s="26"/>
      <c r="K88" s="32">
        <v>86</v>
      </c>
      <c r="L88" s="27">
        <v>17</v>
      </c>
      <c r="M88" s="29">
        <v>0.32692307692307693</v>
      </c>
      <c r="N88" s="33">
        <v>5.247503837369659</v>
      </c>
    </row>
    <row r="89" spans="1:14" ht="15" customHeight="1" x14ac:dyDescent="0.25">
      <c r="A89" s="28"/>
      <c r="I89" s="26"/>
      <c r="J89" s="26"/>
      <c r="K89" s="32">
        <v>87</v>
      </c>
      <c r="L89" s="27">
        <v>18</v>
      </c>
      <c r="M89" s="29">
        <v>0.34615384615384615</v>
      </c>
      <c r="N89" s="33">
        <v>5.6514991510253401</v>
      </c>
    </row>
    <row r="90" spans="1:14" ht="15" customHeight="1" x14ac:dyDescent="0.25">
      <c r="A90" s="28"/>
      <c r="I90" s="26"/>
      <c r="J90" s="26"/>
      <c r="K90" s="32">
        <v>88</v>
      </c>
      <c r="L90" s="27">
        <v>18</v>
      </c>
      <c r="M90" s="29">
        <v>0.34615384615384615</v>
      </c>
      <c r="N90" s="33">
        <v>5.5205162054412256</v>
      </c>
    </row>
    <row r="91" spans="1:14" ht="15" customHeight="1" x14ac:dyDescent="0.25">
      <c r="A91" s="28"/>
      <c r="I91" s="26"/>
      <c r="J91" s="26"/>
      <c r="K91" s="32">
        <v>89</v>
      </c>
      <c r="L91" s="27">
        <v>21</v>
      </c>
      <c r="M91" s="29">
        <v>0.40384615384615385</v>
      </c>
      <c r="N91" s="33">
        <v>6.7076245061742279</v>
      </c>
    </row>
    <row r="92" spans="1:14" ht="15" customHeight="1" x14ac:dyDescent="0.25">
      <c r="A92" s="28"/>
      <c r="I92" s="26"/>
      <c r="J92" s="26"/>
      <c r="K92" s="32">
        <v>90</v>
      </c>
      <c r="L92" s="27">
        <v>18</v>
      </c>
      <c r="M92" s="29">
        <v>0.34615384615384615</v>
      </c>
      <c r="N92" s="33">
        <v>6.0477034146236024</v>
      </c>
    </row>
    <row r="93" spans="1:14" ht="15" customHeight="1" x14ac:dyDescent="0.25">
      <c r="A93" s="28"/>
      <c r="I93" s="26"/>
      <c r="J93" s="26"/>
      <c r="K93" s="32">
        <v>91</v>
      </c>
      <c r="L93" s="27">
        <v>26</v>
      </c>
      <c r="M93" s="29">
        <v>0.5</v>
      </c>
      <c r="N93" s="33">
        <v>5.8111340371865996</v>
      </c>
    </row>
    <row r="94" spans="1:14" ht="15" customHeight="1" x14ac:dyDescent="0.25">
      <c r="A94" s="28"/>
      <c r="I94" s="26"/>
      <c r="J94" s="26"/>
      <c r="K94" s="32">
        <v>92</v>
      </c>
      <c r="L94" s="27">
        <v>30</v>
      </c>
      <c r="M94" s="29">
        <v>0.57692307692307687</v>
      </c>
      <c r="N94" s="33">
        <v>6.4539962270731115</v>
      </c>
    </row>
    <row r="95" spans="1:14" ht="15" customHeight="1" x14ac:dyDescent="0.25">
      <c r="A95" s="28"/>
      <c r="I95" s="26"/>
      <c r="J95" s="26"/>
      <c r="K95" s="32">
        <v>93</v>
      </c>
      <c r="L95" s="27">
        <v>17</v>
      </c>
      <c r="M95" s="29">
        <v>0.32692307692307693</v>
      </c>
      <c r="N95" s="33">
        <v>5.7346928920027702</v>
      </c>
    </row>
    <row r="96" spans="1:14" ht="15" customHeight="1" x14ac:dyDescent="0.25">
      <c r="A96" s="28"/>
      <c r="I96" s="26"/>
      <c r="J96" s="26"/>
      <c r="K96" s="32">
        <v>94</v>
      </c>
      <c r="L96" s="27">
        <v>23</v>
      </c>
      <c r="M96" s="29">
        <v>0.44230769230769229</v>
      </c>
      <c r="N96" s="33">
        <v>6.2342260038805923</v>
      </c>
    </row>
    <row r="97" spans="1:17" ht="15" customHeight="1" x14ac:dyDescent="0.25">
      <c r="A97" s="28"/>
      <c r="I97" s="26"/>
      <c r="J97" s="26"/>
      <c r="K97" s="32">
        <v>95</v>
      </c>
      <c r="L97" s="27">
        <v>26</v>
      </c>
      <c r="M97" s="29">
        <v>0.5</v>
      </c>
      <c r="N97" s="33">
        <v>6.1406477060596734</v>
      </c>
    </row>
    <row r="98" spans="1:17" ht="15" customHeight="1" x14ac:dyDescent="0.25">
      <c r="A98" s="28"/>
      <c r="I98" s="26"/>
      <c r="J98" s="26"/>
      <c r="K98" s="32">
        <v>96</v>
      </c>
      <c r="L98" s="27">
        <v>38</v>
      </c>
      <c r="M98" s="29">
        <v>0.73076923076923073</v>
      </c>
      <c r="N98" s="33">
        <v>7.82891583473487</v>
      </c>
    </row>
    <row r="99" spans="1:17" ht="15" customHeight="1" x14ac:dyDescent="0.25">
      <c r="A99" s="28"/>
      <c r="I99" s="26"/>
      <c r="J99" s="26"/>
      <c r="K99" s="32">
        <v>97</v>
      </c>
      <c r="L99" s="27">
        <v>20</v>
      </c>
      <c r="M99" s="29">
        <v>0.38461538461538464</v>
      </c>
      <c r="N99" s="33">
        <v>5.3008988762929468</v>
      </c>
    </row>
    <row r="100" spans="1:17" ht="15" customHeight="1" x14ac:dyDescent="0.25">
      <c r="A100" s="28"/>
      <c r="I100" s="26"/>
      <c r="J100" s="26"/>
      <c r="K100" s="32">
        <v>98</v>
      </c>
      <c r="L100" s="27">
        <v>30</v>
      </c>
      <c r="M100" s="29">
        <v>0.57692307692307687</v>
      </c>
      <c r="N100" s="33">
        <v>6.4418664535202517</v>
      </c>
    </row>
    <row r="101" spans="1:17" ht="15" customHeight="1" x14ac:dyDescent="0.25">
      <c r="A101" s="28"/>
      <c r="I101" s="26"/>
      <c r="J101" s="26"/>
      <c r="K101" s="32">
        <v>99</v>
      </c>
      <c r="L101" s="27">
        <v>33</v>
      </c>
      <c r="M101" s="29">
        <v>0.63461538461538458</v>
      </c>
      <c r="N101" s="33">
        <v>6.8569411587129938</v>
      </c>
    </row>
    <row r="102" spans="1:17" ht="15" customHeight="1" x14ac:dyDescent="0.25">
      <c r="A102" s="28"/>
      <c r="I102" s="26"/>
      <c r="J102" s="26"/>
      <c r="K102" s="32">
        <v>100</v>
      </c>
      <c r="L102" s="27">
        <v>29</v>
      </c>
      <c r="M102" s="29">
        <v>0.55769230769230771</v>
      </c>
      <c r="N102" s="33">
        <v>6.1262164929372638</v>
      </c>
    </row>
    <row r="103" spans="1:17" ht="15" customHeight="1" x14ac:dyDescent="0.25">
      <c r="A103" s="28"/>
      <c r="I103" s="26"/>
      <c r="J103" s="26"/>
      <c r="K103" s="39"/>
      <c r="L103" s="18"/>
      <c r="M103" s="18"/>
      <c r="N103" s="38"/>
    </row>
    <row r="104" spans="1:17" ht="15" customHeight="1" x14ac:dyDescent="0.25">
      <c r="A104" s="28"/>
      <c r="I104" s="26"/>
      <c r="J104" s="26"/>
      <c r="K104" s="110" t="s">
        <v>54</v>
      </c>
      <c r="L104" s="107">
        <f>AVERAGE(L3:L102)</f>
        <v>24.31</v>
      </c>
      <c r="M104" s="104"/>
      <c r="N104" s="111">
        <f>AVERAGE(N3:N102)</f>
        <v>6.1553716680793809</v>
      </c>
    </row>
    <row r="105" spans="1:17" ht="15" customHeight="1" x14ac:dyDescent="0.25">
      <c r="A105" s="24"/>
      <c r="I105" s="23"/>
      <c r="N105" s="23"/>
      <c r="O105" s="23"/>
      <c r="P105" s="23"/>
      <c r="Q105" s="23"/>
    </row>
    <row r="106" spans="1:17" ht="15" customHeight="1" x14ac:dyDescent="0.25">
      <c r="A106" s="24"/>
      <c r="I106" s="23"/>
      <c r="N106" s="23"/>
      <c r="O106" s="23"/>
      <c r="P106" s="23"/>
      <c r="Q106" s="23"/>
    </row>
    <row r="107" spans="1:17" ht="15" customHeight="1" x14ac:dyDescent="0.25">
      <c r="A107" s="24"/>
      <c r="I107" s="23"/>
      <c r="N107" s="23"/>
      <c r="O107" s="23"/>
      <c r="P107" s="23"/>
      <c r="Q107" s="23"/>
    </row>
    <row r="108" spans="1:17" ht="15" customHeight="1" x14ac:dyDescent="0.25">
      <c r="A108" s="24"/>
      <c r="I108" s="23"/>
      <c r="N108" s="23"/>
      <c r="O108" s="23"/>
      <c r="P108" s="23"/>
      <c r="Q108" s="23"/>
    </row>
    <row r="109" spans="1:17" ht="15" customHeight="1" x14ac:dyDescent="0.25">
      <c r="A109" s="24"/>
      <c r="I109" s="23"/>
      <c r="N109" s="23"/>
      <c r="O109" s="23"/>
      <c r="P109" s="23"/>
      <c r="Q109" s="23"/>
    </row>
    <row r="110" spans="1:17" ht="15" customHeight="1" x14ac:dyDescent="0.25">
      <c r="A110" s="24"/>
      <c r="I110" s="23"/>
      <c r="N110" s="23"/>
      <c r="O110" s="23"/>
      <c r="P110" s="23"/>
      <c r="Q110" s="23"/>
    </row>
    <row r="111" spans="1:17" ht="15" customHeight="1" x14ac:dyDescent="0.25">
      <c r="A111" s="24"/>
      <c r="I111" s="23"/>
      <c r="N111" s="23"/>
      <c r="O111" s="23"/>
      <c r="P111" s="23"/>
      <c r="Q111" s="23"/>
    </row>
    <row r="112" spans="1:17" ht="15" customHeight="1" x14ac:dyDescent="0.25">
      <c r="A112" s="24"/>
      <c r="I112" s="23"/>
      <c r="N112" s="23"/>
      <c r="O112" s="23"/>
      <c r="P112" s="23"/>
      <c r="Q112" s="23"/>
    </row>
    <row r="113" spans="1:17" ht="15" customHeight="1" x14ac:dyDescent="0.25">
      <c r="A113" s="24"/>
      <c r="I113" s="23"/>
      <c r="N113" s="23"/>
      <c r="O113" s="23"/>
      <c r="P113" s="23"/>
      <c r="Q113" s="23"/>
    </row>
    <row r="114" spans="1:17" ht="15" customHeight="1" x14ac:dyDescent="0.25">
      <c r="A114" s="24"/>
      <c r="I114" s="23"/>
      <c r="N114" s="23"/>
      <c r="O114" s="23"/>
      <c r="P114" s="23"/>
      <c r="Q114" s="23"/>
    </row>
    <row r="115" spans="1:17" ht="15" customHeight="1" x14ac:dyDescent="0.25">
      <c r="A115" s="24"/>
      <c r="I115" s="23"/>
      <c r="N115" s="23"/>
      <c r="O115" s="23"/>
      <c r="P115" s="23"/>
      <c r="Q115" s="23"/>
    </row>
    <row r="116" spans="1:17" ht="15" customHeight="1" x14ac:dyDescent="0.25">
      <c r="A116" s="24"/>
      <c r="I116" s="23"/>
      <c r="N116" s="23"/>
      <c r="O116" s="23"/>
      <c r="P116" s="23"/>
      <c r="Q116" s="23"/>
    </row>
    <row r="117" spans="1:17" ht="15" customHeight="1" x14ac:dyDescent="0.25">
      <c r="A117" s="24"/>
      <c r="I117" s="23"/>
      <c r="N117" s="23"/>
      <c r="O117" s="23"/>
      <c r="P117" s="23"/>
      <c r="Q117" s="23"/>
    </row>
    <row r="118" spans="1:17" ht="15" customHeight="1" x14ac:dyDescent="0.25">
      <c r="A118" s="20"/>
      <c r="L118" s="22"/>
      <c r="M118" s="22"/>
    </row>
    <row r="119" spans="1:17" ht="15" customHeight="1" x14ac:dyDescent="0.25">
      <c r="A119" s="20"/>
    </row>
    <row r="120" spans="1:17" ht="15" customHeight="1" x14ac:dyDescent="0.25">
      <c r="A120" s="20"/>
    </row>
    <row r="121" spans="1:17" ht="15" customHeight="1" x14ac:dyDescent="0.25">
      <c r="A121" s="20"/>
    </row>
    <row r="122" spans="1:17" ht="15" customHeight="1" x14ac:dyDescent="0.25">
      <c r="A122" s="20"/>
    </row>
    <row r="123" spans="1:17" ht="15" customHeight="1" x14ac:dyDescent="0.25">
      <c r="A123" s="20"/>
    </row>
    <row r="124" spans="1:17" ht="15" customHeight="1" x14ac:dyDescent="0.25">
      <c r="A124" s="20"/>
    </row>
    <row r="125" spans="1:17" ht="15" customHeight="1" x14ac:dyDescent="0.25">
      <c r="A125" s="20"/>
    </row>
    <row r="126" spans="1:17" ht="15" customHeight="1" x14ac:dyDescent="0.25">
      <c r="A126" s="20"/>
    </row>
    <row r="127" spans="1:17" ht="15" customHeight="1" x14ac:dyDescent="0.25">
      <c r="A127" s="20"/>
    </row>
    <row r="128" spans="1:17" ht="15" customHeight="1" x14ac:dyDescent="0.25">
      <c r="A128" s="20"/>
    </row>
    <row r="129" spans="1:5" ht="15" customHeight="1" x14ac:dyDescent="0.25">
      <c r="A129" s="20"/>
    </row>
    <row r="130" spans="1:5" ht="15" customHeight="1" x14ac:dyDescent="0.25">
      <c r="A130" s="20"/>
    </row>
    <row r="131" spans="1:5" ht="15" customHeight="1" x14ac:dyDescent="0.25">
      <c r="A131" s="20"/>
      <c r="B131" s="18"/>
    </row>
    <row r="132" spans="1:5" ht="15" customHeight="1" x14ac:dyDescent="0.25">
      <c r="A132" s="20"/>
      <c r="B132" s="18"/>
      <c r="C132" s="19"/>
      <c r="D132" s="18"/>
      <c r="E132" s="21"/>
    </row>
    <row r="133" spans="1:5" ht="15" customHeight="1" x14ac:dyDescent="0.25">
      <c r="A133" s="20"/>
      <c r="B133" s="18"/>
      <c r="C133" s="19"/>
      <c r="D133" s="18"/>
      <c r="E133" s="21"/>
    </row>
    <row r="134" spans="1:5" ht="15" customHeight="1" x14ac:dyDescent="0.25">
      <c r="A134" s="20"/>
      <c r="B134" s="18"/>
      <c r="C134" s="19"/>
      <c r="D134" s="18"/>
      <c r="E134" s="21"/>
    </row>
    <row r="135" spans="1:5" ht="15" customHeight="1" x14ac:dyDescent="0.25">
      <c r="A135" s="20"/>
      <c r="B135" s="18"/>
      <c r="C135" s="19"/>
      <c r="D135" s="18"/>
      <c r="E135" s="21"/>
    </row>
    <row r="136" spans="1:5" ht="15" customHeight="1" x14ac:dyDescent="0.25">
      <c r="A136" s="20"/>
      <c r="B136" s="18"/>
      <c r="C136" s="19"/>
      <c r="D136" s="18"/>
      <c r="E136" s="21"/>
    </row>
    <row r="137" spans="1:5" ht="15" customHeight="1" x14ac:dyDescent="0.25">
      <c r="A137" s="20"/>
      <c r="B137" s="18"/>
      <c r="C137" s="19"/>
      <c r="D137" s="18"/>
      <c r="E137" s="21"/>
    </row>
    <row r="138" spans="1:5" ht="15" customHeight="1" x14ac:dyDescent="0.25">
      <c r="A138" s="20"/>
      <c r="B138" s="18"/>
      <c r="C138" s="19"/>
      <c r="D138" s="18"/>
      <c r="E138" s="21"/>
    </row>
    <row r="139" spans="1:5" ht="15" customHeight="1" x14ac:dyDescent="0.25">
      <c r="A139" s="20"/>
      <c r="B139" s="18"/>
      <c r="C139" s="19"/>
      <c r="D139" s="18"/>
      <c r="E139" s="21"/>
    </row>
    <row r="140" spans="1:5" ht="15" customHeight="1" x14ac:dyDescent="0.25">
      <c r="A140" s="20"/>
      <c r="B140" s="18"/>
      <c r="C140" s="19"/>
      <c r="D140" s="18"/>
      <c r="E140" s="21"/>
    </row>
    <row r="141" spans="1:5" ht="15" customHeight="1" x14ac:dyDescent="0.25">
      <c r="A141" s="20"/>
      <c r="B141" s="18"/>
      <c r="C141" s="19"/>
      <c r="D141" s="18"/>
      <c r="E141" s="21"/>
    </row>
    <row r="142" spans="1:5" ht="15" customHeight="1" x14ac:dyDescent="0.25">
      <c r="A142" s="20"/>
      <c r="B142" s="18"/>
      <c r="C142" s="19"/>
      <c r="D142" s="18"/>
      <c r="E142" s="21"/>
    </row>
    <row r="143" spans="1:5" ht="15" customHeight="1" x14ac:dyDescent="0.25">
      <c r="A143" s="20"/>
      <c r="B143" s="18"/>
      <c r="C143" s="19"/>
      <c r="D143" s="18"/>
      <c r="E143" s="21"/>
    </row>
    <row r="144" spans="1:5" ht="15" customHeight="1" x14ac:dyDescent="0.25">
      <c r="A144" s="20"/>
      <c r="B144" s="18"/>
      <c r="C144" s="19"/>
      <c r="D144" s="18"/>
      <c r="E144" s="21"/>
    </row>
    <row r="145" spans="1:5" ht="15" customHeight="1" x14ac:dyDescent="0.25">
      <c r="A145" s="20"/>
      <c r="B145" s="18"/>
      <c r="C145" s="19"/>
      <c r="D145" s="18"/>
      <c r="E145" s="21"/>
    </row>
    <row r="146" spans="1:5" ht="15" customHeight="1" x14ac:dyDescent="0.25">
      <c r="A146" s="20"/>
      <c r="B146" s="18"/>
      <c r="C146" s="19"/>
      <c r="D146" s="18"/>
      <c r="E146" s="21"/>
    </row>
    <row r="147" spans="1:5" ht="15" customHeight="1" x14ac:dyDescent="0.25">
      <c r="A147" s="20"/>
      <c r="B147" s="18"/>
      <c r="C147" s="19"/>
      <c r="D147" s="18"/>
      <c r="E147" s="21"/>
    </row>
    <row r="148" spans="1:5" ht="15" customHeight="1" x14ac:dyDescent="0.25">
      <c r="A148" s="20"/>
      <c r="B148" s="18"/>
      <c r="C148" s="19"/>
      <c r="D148" s="18"/>
      <c r="E148" s="21"/>
    </row>
    <row r="149" spans="1:5" ht="15" customHeight="1" x14ac:dyDescent="0.25">
      <c r="A149" s="20"/>
      <c r="B149" s="18"/>
      <c r="C149" s="19"/>
      <c r="D149" s="18"/>
      <c r="E149" s="21"/>
    </row>
    <row r="150" spans="1:5" ht="15" customHeight="1" x14ac:dyDescent="0.25">
      <c r="A150" s="20"/>
      <c r="B150" s="18"/>
      <c r="C150" s="19"/>
      <c r="D150" s="18"/>
      <c r="E150" s="21"/>
    </row>
    <row r="151" spans="1:5" ht="15" customHeight="1" x14ac:dyDescent="0.25">
      <c r="A151" s="20"/>
      <c r="B151" s="18"/>
      <c r="C151" s="19"/>
      <c r="D151" s="18"/>
      <c r="E151" s="21"/>
    </row>
    <row r="152" spans="1:5" ht="15" customHeight="1" x14ac:dyDescent="0.25">
      <c r="A152" s="20"/>
      <c r="B152" s="18"/>
      <c r="C152" s="19"/>
      <c r="D152" s="18"/>
      <c r="E152" s="21"/>
    </row>
    <row r="153" spans="1:5" ht="15" customHeight="1" x14ac:dyDescent="0.25">
      <c r="A153" s="20"/>
      <c r="B153" s="18"/>
      <c r="C153" s="19"/>
      <c r="D153" s="18"/>
      <c r="E153" s="21"/>
    </row>
    <row r="154" spans="1:5" ht="15" customHeight="1" x14ac:dyDescent="0.25">
      <c r="A154" s="20"/>
      <c r="B154" s="18"/>
      <c r="C154" s="19"/>
      <c r="D154" s="18"/>
      <c r="E154" s="21"/>
    </row>
    <row r="155" spans="1:5" ht="15" customHeight="1" x14ac:dyDescent="0.25">
      <c r="A155" s="20"/>
      <c r="B155" s="18"/>
      <c r="C155" s="19"/>
      <c r="D155" s="18"/>
      <c r="E155" s="21"/>
    </row>
    <row r="156" spans="1:5" ht="15" customHeight="1" x14ac:dyDescent="0.25">
      <c r="A156" s="20"/>
      <c r="B156" s="18"/>
      <c r="C156" s="19"/>
      <c r="D156" s="18"/>
      <c r="E156" s="21"/>
    </row>
    <row r="157" spans="1:5" ht="15" customHeight="1" x14ac:dyDescent="0.25">
      <c r="A157" s="20"/>
      <c r="B157" s="18"/>
      <c r="C157" s="19"/>
      <c r="D157" s="18"/>
      <c r="E157" s="21"/>
    </row>
    <row r="158" spans="1:5" ht="15" customHeight="1" x14ac:dyDescent="0.25">
      <c r="A158" s="20"/>
      <c r="B158" s="18"/>
      <c r="C158" s="19"/>
      <c r="D158" s="18"/>
      <c r="E158" s="21"/>
    </row>
    <row r="159" spans="1:5" ht="15" customHeight="1" x14ac:dyDescent="0.25">
      <c r="A159" s="20"/>
      <c r="B159" s="18"/>
      <c r="C159" s="19"/>
      <c r="D159" s="18"/>
      <c r="E159" s="21"/>
    </row>
    <row r="160" spans="1:5" ht="15" customHeight="1" x14ac:dyDescent="0.25">
      <c r="A160" s="20"/>
      <c r="B160" s="18"/>
      <c r="C160" s="19"/>
      <c r="D160" s="18"/>
      <c r="E160" s="21"/>
    </row>
    <row r="161" spans="1:5" ht="15" customHeight="1" x14ac:dyDescent="0.25">
      <c r="A161" s="20"/>
      <c r="B161" s="18"/>
      <c r="C161" s="19"/>
      <c r="D161" s="18"/>
      <c r="E161" s="21"/>
    </row>
    <row r="162" spans="1:5" ht="15" customHeight="1" x14ac:dyDescent="0.25">
      <c r="A162" s="20"/>
      <c r="B162" s="18"/>
      <c r="C162" s="19"/>
      <c r="D162" s="18"/>
      <c r="E162" s="21"/>
    </row>
    <row r="163" spans="1:5" ht="15" customHeight="1" x14ac:dyDescent="0.25">
      <c r="A163" s="20"/>
      <c r="B163" s="18"/>
      <c r="C163" s="19"/>
      <c r="D163" s="18"/>
      <c r="E163" s="21"/>
    </row>
    <row r="164" spans="1:5" ht="15" customHeight="1" x14ac:dyDescent="0.25">
      <c r="A164" s="20"/>
      <c r="B164" s="18"/>
      <c r="C164" s="19"/>
      <c r="D164" s="18"/>
      <c r="E164" s="21"/>
    </row>
    <row r="165" spans="1:5" ht="15" customHeight="1" x14ac:dyDescent="0.25">
      <c r="A165" s="20"/>
      <c r="B165" s="18"/>
      <c r="C165" s="19"/>
      <c r="D165" s="18"/>
      <c r="E165" s="21"/>
    </row>
    <row r="166" spans="1:5" ht="15" customHeight="1" x14ac:dyDescent="0.25">
      <c r="A166" s="20"/>
      <c r="B166" s="18"/>
      <c r="C166" s="19"/>
      <c r="D166" s="18"/>
      <c r="E166" s="21"/>
    </row>
    <row r="167" spans="1:5" ht="15" customHeight="1" x14ac:dyDescent="0.25">
      <c r="A167" s="20"/>
      <c r="B167" s="18"/>
      <c r="C167" s="19"/>
      <c r="D167" s="18"/>
      <c r="E167" s="21"/>
    </row>
    <row r="168" spans="1:5" ht="15" customHeight="1" x14ac:dyDescent="0.25">
      <c r="A168" s="20"/>
      <c r="B168" s="18"/>
      <c r="C168" s="19"/>
      <c r="D168" s="18"/>
      <c r="E168" s="21"/>
    </row>
    <row r="169" spans="1:5" ht="15" customHeight="1" x14ac:dyDescent="0.25">
      <c r="A169" s="20"/>
      <c r="B169" s="18"/>
      <c r="C169" s="19"/>
      <c r="D169" s="18"/>
      <c r="E169" s="21"/>
    </row>
    <row r="170" spans="1:5" ht="15" customHeight="1" x14ac:dyDescent="0.25">
      <c r="A170" s="20"/>
      <c r="B170" s="18"/>
      <c r="C170" s="19"/>
      <c r="D170" s="18"/>
      <c r="E170" s="21"/>
    </row>
    <row r="171" spans="1:5" ht="15" customHeight="1" x14ac:dyDescent="0.25">
      <c r="A171" s="20"/>
      <c r="B171" s="18"/>
      <c r="C171" s="19"/>
      <c r="D171" s="18"/>
      <c r="E171" s="21"/>
    </row>
    <row r="172" spans="1:5" ht="15" customHeight="1" x14ac:dyDescent="0.25">
      <c r="A172" s="20"/>
      <c r="B172" s="18"/>
      <c r="C172" s="19"/>
      <c r="D172" s="18"/>
      <c r="E172" s="21"/>
    </row>
    <row r="173" spans="1:5" ht="15" customHeight="1" x14ac:dyDescent="0.25">
      <c r="A173" s="20"/>
      <c r="B173" s="18"/>
      <c r="C173" s="19"/>
      <c r="D173" s="18"/>
      <c r="E173" s="21"/>
    </row>
    <row r="174" spans="1:5" ht="15" customHeight="1" x14ac:dyDescent="0.25">
      <c r="A174" s="20"/>
      <c r="B174" s="18"/>
      <c r="C174" s="19"/>
      <c r="D174" s="18"/>
      <c r="E174" s="21"/>
    </row>
    <row r="175" spans="1:5" ht="15" customHeight="1" x14ac:dyDescent="0.25">
      <c r="A175" s="20"/>
      <c r="B175" s="18"/>
      <c r="C175" s="19"/>
      <c r="D175" s="18"/>
      <c r="E175" s="21"/>
    </row>
    <row r="176" spans="1:5" ht="15" customHeight="1" x14ac:dyDescent="0.25">
      <c r="A176" s="20"/>
      <c r="B176" s="18"/>
      <c r="C176" s="19"/>
      <c r="D176" s="18"/>
      <c r="E176" s="21"/>
    </row>
    <row r="177" spans="1:5" ht="15" customHeight="1" x14ac:dyDescent="0.25">
      <c r="A177" s="20"/>
      <c r="B177" s="18"/>
      <c r="C177" s="19"/>
      <c r="D177" s="18"/>
      <c r="E177" s="21"/>
    </row>
    <row r="178" spans="1:5" ht="15" customHeight="1" x14ac:dyDescent="0.25">
      <c r="A178" s="20"/>
      <c r="B178" s="18"/>
      <c r="C178" s="19"/>
      <c r="D178" s="18"/>
      <c r="E178" s="21"/>
    </row>
    <row r="179" spans="1:5" ht="15" customHeight="1" x14ac:dyDescent="0.25">
      <c r="A179" s="20"/>
      <c r="B179" s="18"/>
      <c r="C179" s="19"/>
      <c r="D179" s="18"/>
      <c r="E179" s="21"/>
    </row>
    <row r="180" spans="1:5" ht="15" customHeight="1" x14ac:dyDescent="0.25">
      <c r="A180" s="20"/>
      <c r="B180" s="18"/>
      <c r="C180" s="19"/>
      <c r="D180" s="18"/>
      <c r="E180" s="21"/>
    </row>
    <row r="181" spans="1:5" ht="15" customHeight="1" x14ac:dyDescent="0.25">
      <c r="A181" s="20"/>
      <c r="B181" s="18"/>
      <c r="C181" s="19"/>
      <c r="D181" s="18"/>
      <c r="E181" s="21"/>
    </row>
    <row r="182" spans="1:5" ht="15" customHeight="1" x14ac:dyDescent="0.25">
      <c r="A182" s="20"/>
      <c r="B182" s="18"/>
      <c r="C182" s="19"/>
      <c r="D182" s="18"/>
      <c r="E182" s="21"/>
    </row>
    <row r="183" spans="1:5" ht="15" customHeight="1" x14ac:dyDescent="0.25">
      <c r="A183" s="20"/>
      <c r="B183" s="18"/>
      <c r="C183" s="19"/>
      <c r="D183" s="18"/>
      <c r="E183" s="21"/>
    </row>
    <row r="184" spans="1:5" ht="15" customHeight="1" x14ac:dyDescent="0.25">
      <c r="A184" s="20"/>
      <c r="B184" s="18"/>
      <c r="C184" s="19"/>
      <c r="D184" s="18"/>
      <c r="E184" s="21"/>
    </row>
    <row r="185" spans="1:5" ht="15" customHeight="1" x14ac:dyDescent="0.25">
      <c r="A185" s="20"/>
      <c r="B185" s="18"/>
      <c r="C185" s="19"/>
      <c r="D185" s="18"/>
      <c r="E185" s="21"/>
    </row>
    <row r="186" spans="1:5" ht="15" customHeight="1" x14ac:dyDescent="0.25">
      <c r="A186" s="20"/>
      <c r="B186" s="18"/>
      <c r="C186" s="19"/>
      <c r="D186" s="18"/>
      <c r="E186" s="21"/>
    </row>
    <row r="187" spans="1:5" ht="15" customHeight="1" x14ac:dyDescent="0.25">
      <c r="A187" s="20"/>
      <c r="B187" s="18"/>
      <c r="C187" s="19"/>
      <c r="D187" s="18"/>
      <c r="E187" s="21"/>
    </row>
    <row r="188" spans="1:5" ht="15" customHeight="1" x14ac:dyDescent="0.25">
      <c r="A188" s="20"/>
      <c r="B188" s="18"/>
      <c r="C188" s="19"/>
      <c r="D188" s="18"/>
      <c r="E188" s="21"/>
    </row>
    <row r="189" spans="1:5" ht="15" customHeight="1" x14ac:dyDescent="0.25">
      <c r="A189" s="20"/>
      <c r="B189" s="18"/>
      <c r="C189" s="19"/>
      <c r="D189" s="18"/>
      <c r="E189" s="21"/>
    </row>
    <row r="190" spans="1:5" ht="15" customHeight="1" x14ac:dyDescent="0.25">
      <c r="A190" s="20"/>
      <c r="B190" s="18"/>
      <c r="C190" s="19"/>
      <c r="D190" s="18"/>
      <c r="E190" s="21"/>
    </row>
    <row r="191" spans="1:5" ht="15" customHeight="1" x14ac:dyDescent="0.25">
      <c r="A191" s="20"/>
      <c r="B191" s="18"/>
      <c r="C191" s="19"/>
      <c r="D191" s="18"/>
      <c r="E191" s="21"/>
    </row>
    <row r="192" spans="1:5" ht="15" customHeight="1" x14ac:dyDescent="0.25">
      <c r="A192" s="20"/>
      <c r="B192" s="18"/>
      <c r="C192" s="19"/>
      <c r="D192" s="18"/>
      <c r="E192" s="21"/>
    </row>
    <row r="193" spans="1:5" ht="15" customHeight="1" x14ac:dyDescent="0.25">
      <c r="A193" s="20"/>
      <c r="B193" s="18"/>
      <c r="C193" s="19"/>
      <c r="D193" s="18"/>
      <c r="E193" s="21"/>
    </row>
    <row r="194" spans="1:5" ht="15" customHeight="1" x14ac:dyDescent="0.25">
      <c r="A194" s="20"/>
      <c r="B194" s="18"/>
      <c r="C194" s="19"/>
      <c r="D194" s="18"/>
      <c r="E194" s="21"/>
    </row>
    <row r="195" spans="1:5" ht="15" customHeight="1" x14ac:dyDescent="0.25">
      <c r="A195" s="20"/>
      <c r="B195" s="18"/>
      <c r="C195" s="19"/>
      <c r="D195" s="18"/>
      <c r="E195" s="21"/>
    </row>
    <row r="196" spans="1:5" ht="15" customHeight="1" x14ac:dyDescent="0.25">
      <c r="A196" s="20"/>
      <c r="B196" s="18"/>
      <c r="C196" s="19"/>
      <c r="D196" s="18"/>
      <c r="E196" s="21"/>
    </row>
    <row r="197" spans="1:5" ht="15" customHeight="1" x14ac:dyDescent="0.25">
      <c r="A197" s="20"/>
      <c r="B197" s="18"/>
      <c r="C197" s="19"/>
      <c r="D197" s="18"/>
      <c r="E197" s="21"/>
    </row>
    <row r="198" spans="1:5" ht="15" customHeight="1" x14ac:dyDescent="0.25">
      <c r="A198" s="20"/>
      <c r="B198" s="18"/>
      <c r="C198" s="19"/>
      <c r="D198" s="18"/>
      <c r="E198" s="21"/>
    </row>
    <row r="199" spans="1:5" ht="15" customHeight="1" x14ac:dyDescent="0.25">
      <c r="A199" s="20"/>
      <c r="B199" s="18"/>
      <c r="C199" s="19"/>
      <c r="D199" s="18"/>
      <c r="E199" s="21"/>
    </row>
    <row r="200" spans="1:5" ht="15" customHeight="1" x14ac:dyDescent="0.25">
      <c r="A200" s="20"/>
      <c r="B200" s="18"/>
      <c r="C200" s="19"/>
      <c r="D200" s="18"/>
      <c r="E200" s="21"/>
    </row>
    <row r="201" spans="1:5" ht="15" customHeight="1" x14ac:dyDescent="0.25">
      <c r="A201" s="20"/>
      <c r="B201" s="18"/>
      <c r="C201" s="19"/>
      <c r="D201" s="18"/>
      <c r="E201" s="21"/>
    </row>
    <row r="202" spans="1:5" ht="15" customHeight="1" x14ac:dyDescent="0.25">
      <c r="A202" s="20"/>
      <c r="B202" s="18"/>
      <c r="C202" s="19"/>
      <c r="D202" s="18"/>
      <c r="E202" s="21"/>
    </row>
    <row r="203" spans="1:5" ht="15" customHeight="1" x14ac:dyDescent="0.25">
      <c r="A203" s="20"/>
      <c r="B203" s="18"/>
      <c r="C203" s="19"/>
      <c r="D203" s="18"/>
      <c r="E203" s="21"/>
    </row>
    <row r="204" spans="1:5" ht="15" customHeight="1" x14ac:dyDescent="0.25">
      <c r="A204" s="20"/>
      <c r="B204" s="18"/>
      <c r="C204" s="19"/>
      <c r="D204" s="18"/>
      <c r="E204" s="21"/>
    </row>
    <row r="205" spans="1:5" ht="15" customHeight="1" x14ac:dyDescent="0.25">
      <c r="A205" s="20"/>
      <c r="B205" s="18"/>
      <c r="C205" s="19"/>
      <c r="D205" s="18"/>
      <c r="E205" s="21"/>
    </row>
    <row r="206" spans="1:5" ht="15" customHeight="1" x14ac:dyDescent="0.25">
      <c r="A206" s="20"/>
      <c r="B206" s="18"/>
      <c r="C206" s="19"/>
      <c r="D206" s="18"/>
      <c r="E206" s="21"/>
    </row>
    <row r="207" spans="1:5" ht="15" customHeight="1" x14ac:dyDescent="0.25">
      <c r="A207" s="20"/>
      <c r="B207" s="18"/>
      <c r="C207" s="19"/>
      <c r="D207" s="18"/>
      <c r="E207" s="21"/>
    </row>
    <row r="208" spans="1:5" ht="15" customHeight="1" x14ac:dyDescent="0.25">
      <c r="A208" s="20"/>
      <c r="B208" s="18"/>
      <c r="C208" s="19"/>
      <c r="D208" s="18"/>
      <c r="E208" s="21"/>
    </row>
    <row r="209" spans="1:5" ht="15" customHeight="1" x14ac:dyDescent="0.25">
      <c r="A209" s="20"/>
      <c r="B209" s="18"/>
      <c r="C209" s="19"/>
      <c r="D209" s="18"/>
      <c r="E209" s="21"/>
    </row>
    <row r="210" spans="1:5" ht="15" customHeight="1" x14ac:dyDescent="0.25">
      <c r="A210" s="20"/>
      <c r="B210" s="18"/>
      <c r="C210" s="19"/>
      <c r="D210" s="18"/>
      <c r="E210" s="21"/>
    </row>
    <row r="211" spans="1:5" ht="15" customHeight="1" x14ac:dyDescent="0.25">
      <c r="A211" s="20"/>
      <c r="B211" s="18"/>
      <c r="C211" s="19"/>
      <c r="D211" s="18"/>
      <c r="E211" s="21"/>
    </row>
    <row r="212" spans="1:5" ht="15" customHeight="1" x14ac:dyDescent="0.25">
      <c r="A212" s="20"/>
      <c r="B212" s="18"/>
      <c r="C212" s="19"/>
      <c r="D212" s="18"/>
      <c r="E212" s="21"/>
    </row>
    <row r="213" spans="1:5" ht="15" customHeight="1" x14ac:dyDescent="0.25">
      <c r="A213" s="20"/>
      <c r="B213" s="18"/>
      <c r="C213" s="19"/>
      <c r="D213" s="18"/>
      <c r="E213" s="21"/>
    </row>
    <row r="214" spans="1:5" ht="15" customHeight="1" x14ac:dyDescent="0.25">
      <c r="A214" s="20"/>
      <c r="B214" s="18"/>
      <c r="C214" s="19"/>
      <c r="D214" s="18"/>
      <c r="E214" s="21"/>
    </row>
    <row r="215" spans="1:5" ht="15" customHeight="1" x14ac:dyDescent="0.25">
      <c r="A215" s="20"/>
      <c r="B215" s="18"/>
      <c r="C215" s="19"/>
      <c r="D215" s="18"/>
      <c r="E215" s="21"/>
    </row>
    <row r="216" spans="1:5" ht="15" customHeight="1" x14ac:dyDescent="0.25">
      <c r="A216" s="20"/>
      <c r="B216" s="18"/>
      <c r="C216" s="19"/>
      <c r="D216" s="18"/>
      <c r="E216" s="21"/>
    </row>
    <row r="217" spans="1:5" ht="15" customHeight="1" x14ac:dyDescent="0.25">
      <c r="A217" s="20"/>
      <c r="B217" s="18"/>
      <c r="C217" s="19"/>
      <c r="D217" s="18"/>
      <c r="E217" s="21"/>
    </row>
    <row r="218" spans="1:5" ht="15" customHeight="1" x14ac:dyDescent="0.25">
      <c r="A218" s="20"/>
      <c r="B218" s="18"/>
      <c r="C218" s="19"/>
      <c r="D218" s="18"/>
      <c r="E218" s="21"/>
    </row>
    <row r="219" spans="1:5" ht="15" customHeight="1" x14ac:dyDescent="0.25">
      <c r="A219" s="20"/>
      <c r="B219" s="18"/>
      <c r="C219" s="19"/>
      <c r="D219" s="18"/>
      <c r="E219" s="21"/>
    </row>
    <row r="220" spans="1:5" ht="15" customHeight="1" x14ac:dyDescent="0.25">
      <c r="A220" s="20"/>
      <c r="B220" s="18"/>
      <c r="C220" s="19"/>
      <c r="D220" s="18"/>
      <c r="E220" s="21"/>
    </row>
    <row r="221" spans="1:5" ht="15" customHeight="1" x14ac:dyDescent="0.25">
      <c r="A221" s="20"/>
      <c r="B221" s="18"/>
      <c r="C221" s="19"/>
      <c r="D221" s="18"/>
      <c r="E221" s="21"/>
    </row>
    <row r="222" spans="1:5" ht="15" customHeight="1" x14ac:dyDescent="0.25">
      <c r="A222" s="20"/>
      <c r="B222" s="18"/>
      <c r="C222" s="19"/>
      <c r="D222" s="18"/>
      <c r="E222" s="21"/>
    </row>
    <row r="223" spans="1:5" ht="15" customHeight="1" x14ac:dyDescent="0.25">
      <c r="A223" s="20"/>
      <c r="B223" s="18"/>
      <c r="C223" s="19"/>
      <c r="D223" s="18"/>
      <c r="E223" s="21"/>
    </row>
    <row r="224" spans="1:5" ht="15" customHeight="1" x14ac:dyDescent="0.25">
      <c r="A224" s="20"/>
      <c r="B224" s="18"/>
      <c r="C224" s="19"/>
      <c r="D224" s="18"/>
      <c r="E224" s="21"/>
    </row>
    <row r="225" spans="1:5" ht="15" customHeight="1" x14ac:dyDescent="0.25">
      <c r="A225" s="20"/>
      <c r="B225" s="18"/>
      <c r="C225" s="19"/>
      <c r="D225" s="18"/>
      <c r="E225" s="21"/>
    </row>
    <row r="226" spans="1:5" ht="15" customHeight="1" x14ac:dyDescent="0.25">
      <c r="A226" s="20"/>
      <c r="B226" s="18"/>
      <c r="C226" s="19"/>
      <c r="D226" s="18"/>
      <c r="E226" s="21"/>
    </row>
    <row r="227" spans="1:5" ht="15" customHeight="1" x14ac:dyDescent="0.25">
      <c r="A227" s="20"/>
      <c r="B227" s="18"/>
      <c r="C227" s="19"/>
      <c r="D227" s="18"/>
      <c r="E227" s="21"/>
    </row>
    <row r="228" spans="1:5" ht="15" customHeight="1" x14ac:dyDescent="0.25">
      <c r="A228" s="20"/>
      <c r="B228" s="18"/>
      <c r="C228" s="19"/>
      <c r="D228" s="18"/>
      <c r="E228" s="21"/>
    </row>
    <row r="229" spans="1:5" ht="15" customHeight="1" x14ac:dyDescent="0.25">
      <c r="A229" s="20"/>
      <c r="B229" s="18"/>
      <c r="C229" s="19"/>
      <c r="D229" s="18"/>
      <c r="E229" s="21"/>
    </row>
    <row r="230" spans="1:5" ht="15" customHeight="1" x14ac:dyDescent="0.25">
      <c r="A230" s="20"/>
      <c r="B230" s="18"/>
      <c r="C230" s="19"/>
      <c r="D230" s="18"/>
      <c r="E230" s="21"/>
    </row>
    <row r="231" spans="1:5" ht="15" customHeight="1" x14ac:dyDescent="0.25">
      <c r="A231" s="20"/>
      <c r="B231" s="18"/>
      <c r="C231" s="19"/>
      <c r="D231" s="18"/>
      <c r="E231" s="21"/>
    </row>
    <row r="232" spans="1:5" ht="15" customHeight="1" x14ac:dyDescent="0.25">
      <c r="A232" s="20"/>
      <c r="B232" s="18"/>
      <c r="C232" s="19"/>
      <c r="D232" s="18"/>
      <c r="E232" s="21"/>
    </row>
    <row r="233" spans="1:5" ht="15" customHeight="1" x14ac:dyDescent="0.25">
      <c r="A233" s="20"/>
      <c r="B233" s="18"/>
      <c r="C233" s="19"/>
      <c r="D233" s="18"/>
      <c r="E233" s="21"/>
    </row>
    <row r="234" spans="1:5" ht="15" customHeight="1" x14ac:dyDescent="0.25">
      <c r="A234" s="20"/>
      <c r="B234" s="18"/>
      <c r="C234" s="19"/>
      <c r="D234" s="18"/>
      <c r="E234" s="21"/>
    </row>
    <row r="235" spans="1:5" ht="15" customHeight="1" x14ac:dyDescent="0.25">
      <c r="A235" s="20"/>
      <c r="B235" s="18"/>
      <c r="C235" s="19"/>
      <c r="D235" s="18"/>
      <c r="E235" s="21"/>
    </row>
    <row r="236" spans="1:5" ht="15" customHeight="1" x14ac:dyDescent="0.25">
      <c r="A236" s="20"/>
      <c r="B236" s="18"/>
      <c r="C236" s="19"/>
      <c r="D236" s="18"/>
      <c r="E236" s="21"/>
    </row>
    <row r="237" spans="1:5" ht="15" customHeight="1" x14ac:dyDescent="0.25">
      <c r="A237" s="20"/>
      <c r="B237" s="18"/>
      <c r="C237" s="19"/>
      <c r="D237" s="18"/>
      <c r="E237" s="21"/>
    </row>
    <row r="238" spans="1:5" ht="15" customHeight="1" x14ac:dyDescent="0.25">
      <c r="A238" s="20"/>
      <c r="B238" s="18"/>
      <c r="C238" s="19"/>
      <c r="D238" s="18"/>
      <c r="E238" s="21"/>
    </row>
    <row r="239" spans="1:5" ht="15" customHeight="1" x14ac:dyDescent="0.25">
      <c r="A239" s="20"/>
      <c r="B239" s="18"/>
      <c r="C239" s="19"/>
      <c r="D239" s="18"/>
      <c r="E239" s="21"/>
    </row>
    <row r="240" spans="1:5" ht="15" customHeight="1" x14ac:dyDescent="0.25">
      <c r="A240" s="20"/>
      <c r="B240" s="18"/>
      <c r="C240" s="19"/>
      <c r="D240" s="18"/>
      <c r="E240" s="21"/>
    </row>
    <row r="241" spans="1:5" ht="15" customHeight="1" x14ac:dyDescent="0.25">
      <c r="A241" s="20"/>
      <c r="B241" s="18"/>
      <c r="C241" s="19"/>
      <c r="D241" s="18"/>
      <c r="E241" s="21"/>
    </row>
    <row r="242" spans="1:5" ht="15" customHeight="1" x14ac:dyDescent="0.25">
      <c r="A242" s="20"/>
      <c r="B242" s="18"/>
      <c r="C242" s="19"/>
      <c r="D242" s="18"/>
      <c r="E242" s="21"/>
    </row>
    <row r="243" spans="1:5" ht="15" customHeight="1" x14ac:dyDescent="0.25">
      <c r="A243" s="20"/>
      <c r="B243" s="18"/>
      <c r="C243" s="19"/>
      <c r="D243" s="18"/>
      <c r="E243" s="21"/>
    </row>
    <row r="244" spans="1:5" ht="15" customHeight="1" x14ac:dyDescent="0.25">
      <c r="A244" s="20"/>
      <c r="B244" s="18"/>
      <c r="C244" s="19"/>
      <c r="D244" s="18"/>
      <c r="E244" s="21"/>
    </row>
    <row r="245" spans="1:5" ht="15" customHeight="1" x14ac:dyDescent="0.25">
      <c r="A245" s="20"/>
      <c r="B245" s="18"/>
      <c r="C245" s="19"/>
      <c r="D245" s="18"/>
      <c r="E245" s="21"/>
    </row>
    <row r="246" spans="1:5" ht="15" customHeight="1" x14ac:dyDescent="0.25">
      <c r="A246" s="20"/>
      <c r="B246" s="18"/>
      <c r="C246" s="19"/>
      <c r="D246" s="18"/>
      <c r="E246" s="21"/>
    </row>
    <row r="247" spans="1:5" ht="15" customHeight="1" x14ac:dyDescent="0.25">
      <c r="A247" s="20"/>
      <c r="B247" s="18"/>
      <c r="C247" s="19"/>
      <c r="D247" s="18"/>
      <c r="E247" s="21"/>
    </row>
    <row r="248" spans="1:5" ht="15" customHeight="1" x14ac:dyDescent="0.25">
      <c r="A248" s="20"/>
      <c r="B248" s="18"/>
      <c r="C248" s="19"/>
      <c r="D248" s="18"/>
      <c r="E248" s="21"/>
    </row>
    <row r="249" spans="1:5" ht="15" customHeight="1" x14ac:dyDescent="0.25">
      <c r="A249" s="20"/>
      <c r="B249" s="18"/>
      <c r="C249" s="19"/>
      <c r="D249" s="18"/>
      <c r="E249" s="21"/>
    </row>
    <row r="250" spans="1:5" ht="15" customHeight="1" x14ac:dyDescent="0.25">
      <c r="A250" s="20"/>
      <c r="B250" s="18"/>
      <c r="C250" s="19"/>
      <c r="D250" s="18"/>
      <c r="E250" s="21"/>
    </row>
    <row r="251" spans="1:5" ht="15" customHeight="1" x14ac:dyDescent="0.25">
      <c r="A251" s="20"/>
      <c r="B251" s="18"/>
      <c r="C251" s="19"/>
      <c r="D251" s="18"/>
      <c r="E251" s="21"/>
    </row>
    <row r="252" spans="1:5" ht="15" customHeight="1" x14ac:dyDescent="0.25">
      <c r="A252" s="20"/>
      <c r="B252" s="18"/>
      <c r="C252" s="19"/>
      <c r="D252" s="18"/>
      <c r="E252" s="21"/>
    </row>
    <row r="253" spans="1:5" ht="15" customHeight="1" x14ac:dyDescent="0.25">
      <c r="A253" s="20"/>
      <c r="B253" s="18"/>
      <c r="C253" s="19"/>
      <c r="D253" s="18"/>
      <c r="E253" s="21"/>
    </row>
    <row r="254" spans="1:5" ht="15" customHeight="1" x14ac:dyDescent="0.25">
      <c r="A254" s="20"/>
      <c r="B254" s="18"/>
      <c r="C254" s="19"/>
      <c r="D254" s="18"/>
      <c r="E254" s="21"/>
    </row>
    <row r="255" spans="1:5" ht="15" customHeight="1" x14ac:dyDescent="0.25">
      <c r="A255" s="20"/>
      <c r="B255" s="18"/>
      <c r="C255" s="19"/>
      <c r="D255" s="18"/>
      <c r="E255" s="21"/>
    </row>
    <row r="256" spans="1:5" ht="15" customHeight="1" x14ac:dyDescent="0.25">
      <c r="A256" s="20"/>
      <c r="B256" s="18"/>
      <c r="C256" s="19"/>
      <c r="D256" s="18"/>
      <c r="E256" s="21"/>
    </row>
    <row r="257" spans="1:5" ht="15" customHeight="1" x14ac:dyDescent="0.25">
      <c r="A257" s="20"/>
      <c r="B257" s="18"/>
      <c r="C257" s="19"/>
      <c r="D257" s="18"/>
      <c r="E257" s="21"/>
    </row>
    <row r="258" spans="1:5" ht="15" customHeight="1" x14ac:dyDescent="0.25">
      <c r="A258" s="20"/>
      <c r="B258" s="18"/>
      <c r="C258" s="19"/>
      <c r="D258" s="18"/>
      <c r="E258" s="21"/>
    </row>
    <row r="259" spans="1:5" ht="15" customHeight="1" x14ac:dyDescent="0.25">
      <c r="A259" s="20"/>
      <c r="B259" s="18"/>
      <c r="C259" s="19"/>
      <c r="D259" s="18"/>
      <c r="E259" s="21"/>
    </row>
    <row r="260" spans="1:5" ht="15" customHeight="1" x14ac:dyDescent="0.25">
      <c r="A260" s="20"/>
      <c r="B260" s="18"/>
      <c r="C260" s="19"/>
      <c r="D260" s="18"/>
      <c r="E260" s="21"/>
    </row>
    <row r="261" spans="1:5" ht="15" customHeight="1" x14ac:dyDescent="0.25">
      <c r="A261" s="20"/>
      <c r="B261" s="18"/>
      <c r="C261" s="19"/>
      <c r="D261" s="18"/>
      <c r="E261" s="21"/>
    </row>
    <row r="262" spans="1:5" ht="15" customHeight="1" x14ac:dyDescent="0.25">
      <c r="A262" s="20"/>
      <c r="B262" s="18"/>
      <c r="C262" s="19"/>
      <c r="D262" s="18"/>
      <c r="E262" s="21"/>
    </row>
    <row r="263" spans="1:5" ht="15" customHeight="1" x14ac:dyDescent="0.25">
      <c r="A263" s="20"/>
      <c r="B263" s="18"/>
      <c r="C263" s="19"/>
      <c r="D263" s="18"/>
      <c r="E263" s="21"/>
    </row>
    <row r="264" spans="1:5" ht="15" customHeight="1" x14ac:dyDescent="0.25">
      <c r="A264" s="20"/>
      <c r="B264" s="18"/>
      <c r="C264" s="19"/>
      <c r="D264" s="18"/>
      <c r="E264" s="21"/>
    </row>
    <row r="265" spans="1:5" ht="15" customHeight="1" x14ac:dyDescent="0.25">
      <c r="A265" s="20"/>
      <c r="B265" s="18"/>
      <c r="C265" s="19"/>
      <c r="D265" s="18"/>
      <c r="E265" s="21"/>
    </row>
    <row r="266" spans="1:5" ht="15" customHeight="1" x14ac:dyDescent="0.25">
      <c r="A266" s="20"/>
      <c r="B266" s="18"/>
      <c r="C266" s="19"/>
      <c r="D266" s="18"/>
      <c r="E266" s="21"/>
    </row>
    <row r="267" spans="1:5" ht="15" customHeight="1" x14ac:dyDescent="0.25">
      <c r="A267" s="20"/>
      <c r="B267" s="18"/>
      <c r="C267" s="19"/>
      <c r="D267" s="18"/>
      <c r="E267" s="21"/>
    </row>
    <row r="268" spans="1:5" ht="15" customHeight="1" x14ac:dyDescent="0.25">
      <c r="A268" s="20"/>
      <c r="B268" s="18"/>
      <c r="C268" s="19"/>
      <c r="D268" s="18"/>
      <c r="E268" s="21"/>
    </row>
    <row r="269" spans="1:5" ht="15" customHeight="1" x14ac:dyDescent="0.25">
      <c r="A269" s="20"/>
      <c r="B269" s="18"/>
      <c r="C269" s="19"/>
      <c r="D269" s="18"/>
      <c r="E269" s="21"/>
    </row>
    <row r="270" spans="1:5" ht="15" customHeight="1" x14ac:dyDescent="0.25">
      <c r="A270" s="20"/>
      <c r="B270" s="18"/>
      <c r="C270" s="19"/>
      <c r="D270" s="18"/>
      <c r="E270" s="21"/>
    </row>
    <row r="271" spans="1:5" ht="15" customHeight="1" x14ac:dyDescent="0.25">
      <c r="A271" s="20"/>
      <c r="B271" s="18"/>
      <c r="C271" s="19"/>
      <c r="D271" s="18"/>
      <c r="E271" s="21"/>
    </row>
    <row r="272" spans="1:5" ht="15" customHeight="1" x14ac:dyDescent="0.25">
      <c r="A272" s="20"/>
      <c r="B272" s="18"/>
      <c r="C272" s="19"/>
      <c r="D272" s="18"/>
      <c r="E272" s="21"/>
    </row>
    <row r="273" spans="1:5" ht="15" customHeight="1" x14ac:dyDescent="0.25">
      <c r="A273" s="20"/>
      <c r="B273" s="18"/>
      <c r="C273" s="19"/>
      <c r="D273" s="18"/>
      <c r="E273" s="21"/>
    </row>
    <row r="274" spans="1:5" ht="15" customHeight="1" x14ac:dyDescent="0.25">
      <c r="A274" s="20"/>
      <c r="B274" s="18"/>
      <c r="C274" s="19"/>
      <c r="D274" s="18"/>
      <c r="E274" s="21"/>
    </row>
    <row r="275" spans="1:5" ht="15" customHeight="1" x14ac:dyDescent="0.25">
      <c r="A275" s="20"/>
      <c r="B275" s="18"/>
      <c r="C275" s="19"/>
      <c r="D275" s="18"/>
      <c r="E275" s="21"/>
    </row>
    <row r="276" spans="1:5" ht="15" customHeight="1" x14ac:dyDescent="0.25">
      <c r="A276" s="20"/>
      <c r="B276" s="18"/>
      <c r="C276" s="19"/>
      <c r="D276" s="18"/>
      <c r="E276" s="21"/>
    </row>
    <row r="277" spans="1:5" ht="15" customHeight="1" x14ac:dyDescent="0.25">
      <c r="A277" s="20"/>
      <c r="B277" s="18"/>
      <c r="C277" s="19"/>
      <c r="D277" s="18"/>
      <c r="E277" s="21"/>
    </row>
    <row r="278" spans="1:5" ht="15" customHeight="1" x14ac:dyDescent="0.25">
      <c r="A278" s="20"/>
      <c r="B278" s="18"/>
      <c r="C278" s="19"/>
      <c r="D278" s="18"/>
      <c r="E278" s="21"/>
    </row>
    <row r="279" spans="1:5" ht="15" customHeight="1" x14ac:dyDescent="0.25">
      <c r="A279" s="20"/>
      <c r="B279" s="18"/>
      <c r="C279" s="19"/>
      <c r="D279" s="18"/>
      <c r="E279" s="21"/>
    </row>
    <row r="280" spans="1:5" ht="15" customHeight="1" x14ac:dyDescent="0.25">
      <c r="A280" s="20"/>
      <c r="B280" s="18"/>
      <c r="C280" s="19"/>
      <c r="D280" s="18"/>
      <c r="E280" s="21"/>
    </row>
    <row r="281" spans="1:5" ht="15" customHeight="1" x14ac:dyDescent="0.25">
      <c r="A281" s="20"/>
      <c r="B281" s="18"/>
      <c r="C281" s="19"/>
      <c r="D281" s="18"/>
      <c r="E281" s="21"/>
    </row>
    <row r="282" spans="1:5" ht="15" customHeight="1" x14ac:dyDescent="0.25">
      <c r="A282" s="20"/>
      <c r="B282" s="18"/>
      <c r="C282" s="19"/>
      <c r="D282" s="18"/>
      <c r="E282" s="21"/>
    </row>
    <row r="283" spans="1:5" ht="15" customHeight="1" x14ac:dyDescent="0.25">
      <c r="A283" s="20"/>
      <c r="B283" s="18"/>
      <c r="C283" s="19"/>
      <c r="D283" s="18"/>
      <c r="E283" s="21"/>
    </row>
    <row r="284" spans="1:5" ht="15" customHeight="1" x14ac:dyDescent="0.25">
      <c r="A284" s="20"/>
      <c r="B284" s="18"/>
      <c r="C284" s="19"/>
      <c r="D284" s="18"/>
      <c r="E284" s="21"/>
    </row>
    <row r="285" spans="1:5" ht="15" customHeight="1" x14ac:dyDescent="0.25">
      <c r="A285" s="20"/>
      <c r="B285" s="18"/>
      <c r="C285" s="19"/>
      <c r="D285" s="18"/>
      <c r="E285" s="21"/>
    </row>
    <row r="286" spans="1:5" ht="15" customHeight="1" x14ac:dyDescent="0.25">
      <c r="A286" s="20"/>
      <c r="B286" s="18"/>
      <c r="C286" s="19"/>
      <c r="D286" s="18"/>
      <c r="E286" s="21"/>
    </row>
    <row r="287" spans="1:5" ht="15" customHeight="1" x14ac:dyDescent="0.25">
      <c r="A287" s="20"/>
      <c r="B287" s="18"/>
      <c r="C287" s="19"/>
      <c r="D287" s="18"/>
      <c r="E287" s="21"/>
    </row>
    <row r="288" spans="1:5" ht="15" customHeight="1" x14ac:dyDescent="0.25">
      <c r="A288" s="20"/>
      <c r="B288" s="18"/>
      <c r="C288" s="19"/>
      <c r="D288" s="18"/>
      <c r="E288" s="21"/>
    </row>
    <row r="289" spans="1:5" ht="15" customHeight="1" x14ac:dyDescent="0.25">
      <c r="A289" s="20"/>
      <c r="B289" s="18"/>
      <c r="C289" s="19"/>
      <c r="D289" s="18"/>
      <c r="E289" s="21"/>
    </row>
    <row r="290" spans="1:5" ht="15" customHeight="1" x14ac:dyDescent="0.25">
      <c r="A290" s="20"/>
      <c r="B290" s="18"/>
      <c r="C290" s="19"/>
      <c r="D290" s="18"/>
      <c r="E290" s="21"/>
    </row>
    <row r="291" spans="1:5" ht="15" customHeight="1" x14ac:dyDescent="0.25">
      <c r="A291" s="20"/>
      <c r="B291" s="18"/>
      <c r="C291" s="19"/>
      <c r="D291" s="18"/>
      <c r="E291" s="21"/>
    </row>
    <row r="292" spans="1:5" ht="15" customHeight="1" x14ac:dyDescent="0.25">
      <c r="A292" s="20"/>
      <c r="B292" s="18"/>
      <c r="C292" s="19"/>
      <c r="D292" s="18"/>
      <c r="E292" s="21"/>
    </row>
    <row r="293" spans="1:5" ht="15" customHeight="1" x14ac:dyDescent="0.25">
      <c r="A293" s="20"/>
      <c r="B293" s="18"/>
      <c r="C293" s="19"/>
      <c r="D293" s="18"/>
      <c r="E293" s="21"/>
    </row>
    <row r="294" spans="1:5" ht="15" customHeight="1" x14ac:dyDescent="0.25">
      <c r="A294" s="20"/>
      <c r="B294" s="18"/>
      <c r="C294" s="19"/>
      <c r="D294" s="18"/>
      <c r="E294" s="21"/>
    </row>
    <row r="295" spans="1:5" ht="15" customHeight="1" x14ac:dyDescent="0.25">
      <c r="A295" s="20"/>
      <c r="B295" s="18"/>
      <c r="C295" s="19"/>
      <c r="D295" s="18"/>
      <c r="E295" s="21"/>
    </row>
    <row r="296" spans="1:5" ht="15" customHeight="1" x14ac:dyDescent="0.25">
      <c r="A296" s="20"/>
      <c r="B296" s="18"/>
      <c r="C296" s="19"/>
      <c r="D296" s="18"/>
      <c r="E296" s="21"/>
    </row>
    <row r="297" spans="1:5" ht="15" customHeight="1" x14ac:dyDescent="0.25">
      <c r="A297" s="20"/>
      <c r="B297" s="18"/>
      <c r="C297" s="19"/>
      <c r="D297" s="18"/>
      <c r="E297" s="21"/>
    </row>
    <row r="298" spans="1:5" ht="15" customHeight="1" x14ac:dyDescent="0.25">
      <c r="A298" s="20"/>
      <c r="B298" s="18"/>
      <c r="C298" s="19"/>
      <c r="D298" s="18"/>
      <c r="E298" s="21"/>
    </row>
    <row r="299" spans="1:5" ht="15" customHeight="1" x14ac:dyDescent="0.25">
      <c r="A299" s="20"/>
      <c r="B299" s="18"/>
      <c r="C299" s="19"/>
      <c r="D299" s="18"/>
      <c r="E299" s="21"/>
    </row>
    <row r="300" spans="1:5" ht="15" customHeight="1" x14ac:dyDescent="0.25">
      <c r="A300" s="20"/>
      <c r="B300" s="18"/>
      <c r="C300" s="19"/>
      <c r="D300" s="18"/>
      <c r="E300" s="21"/>
    </row>
    <row r="301" spans="1:5" ht="15" customHeight="1" x14ac:dyDescent="0.25">
      <c r="A301" s="20"/>
      <c r="B301" s="18"/>
      <c r="C301" s="19"/>
      <c r="D301" s="18"/>
      <c r="E301" s="21"/>
    </row>
    <row r="302" spans="1:5" ht="15" customHeight="1" x14ac:dyDescent="0.25">
      <c r="A302" s="20"/>
      <c r="B302" s="18"/>
      <c r="C302" s="19"/>
      <c r="D302" s="18"/>
      <c r="E302" s="21"/>
    </row>
    <row r="303" spans="1:5" ht="15" customHeight="1" x14ac:dyDescent="0.25">
      <c r="A303" s="20"/>
      <c r="B303" s="18"/>
      <c r="C303" s="19"/>
      <c r="D303" s="18"/>
      <c r="E303" s="21"/>
    </row>
    <row r="304" spans="1:5" ht="15" customHeight="1" x14ac:dyDescent="0.25">
      <c r="A304" s="20"/>
      <c r="B304" s="18"/>
      <c r="C304" s="19"/>
      <c r="D304" s="18"/>
      <c r="E304" s="21"/>
    </row>
    <row r="305" spans="1:5" ht="15" customHeight="1" x14ac:dyDescent="0.25">
      <c r="A305" s="20"/>
      <c r="B305" s="18"/>
      <c r="C305" s="19"/>
      <c r="D305" s="18"/>
      <c r="E305" s="21"/>
    </row>
    <row r="306" spans="1:5" ht="15" customHeight="1" x14ac:dyDescent="0.25">
      <c r="A306" s="20"/>
      <c r="B306" s="18"/>
      <c r="C306" s="19"/>
      <c r="D306" s="18"/>
      <c r="E306" s="21"/>
    </row>
    <row r="307" spans="1:5" ht="15" customHeight="1" x14ac:dyDescent="0.25">
      <c r="A307" s="20"/>
      <c r="B307" s="18"/>
      <c r="C307" s="19"/>
      <c r="D307" s="18"/>
      <c r="E307" s="21"/>
    </row>
    <row r="308" spans="1:5" ht="15" customHeight="1" x14ac:dyDescent="0.25">
      <c r="A308" s="20"/>
      <c r="B308" s="18"/>
      <c r="C308" s="19"/>
      <c r="D308" s="18"/>
      <c r="E308" s="21"/>
    </row>
    <row r="309" spans="1:5" ht="15" customHeight="1" x14ac:dyDescent="0.25">
      <c r="A309" s="20"/>
      <c r="B309" s="18"/>
      <c r="C309" s="19"/>
      <c r="D309" s="18"/>
      <c r="E309" s="21"/>
    </row>
    <row r="310" spans="1:5" ht="15" customHeight="1" x14ac:dyDescent="0.25">
      <c r="A310" s="20"/>
      <c r="B310" s="18"/>
      <c r="C310" s="19"/>
      <c r="D310" s="18"/>
      <c r="E310" s="21"/>
    </row>
    <row r="311" spans="1:5" ht="15" customHeight="1" x14ac:dyDescent="0.25">
      <c r="A311" s="20"/>
      <c r="B311" s="18"/>
      <c r="C311" s="19"/>
      <c r="D311" s="18"/>
      <c r="E311" s="21"/>
    </row>
    <row r="312" spans="1:5" ht="15" customHeight="1" x14ac:dyDescent="0.25">
      <c r="A312" s="20"/>
      <c r="B312" s="18"/>
      <c r="C312" s="19"/>
      <c r="D312" s="18"/>
      <c r="E312" s="21"/>
    </row>
    <row r="313" spans="1:5" ht="15" customHeight="1" x14ac:dyDescent="0.25">
      <c r="A313" s="20"/>
      <c r="B313" s="18"/>
      <c r="C313" s="19"/>
      <c r="D313" s="18"/>
      <c r="E313" s="21"/>
    </row>
    <row r="314" spans="1:5" ht="15" customHeight="1" x14ac:dyDescent="0.25">
      <c r="A314" s="20"/>
      <c r="B314" s="18"/>
      <c r="C314" s="19"/>
      <c r="D314" s="18"/>
      <c r="E314" s="21"/>
    </row>
    <row r="315" spans="1:5" ht="15" customHeight="1" x14ac:dyDescent="0.25">
      <c r="A315" s="20"/>
      <c r="B315" s="18"/>
      <c r="C315" s="19"/>
      <c r="D315" s="18"/>
      <c r="E315" s="21"/>
    </row>
    <row r="316" spans="1:5" ht="15" customHeight="1" x14ac:dyDescent="0.25">
      <c r="A316" s="20"/>
      <c r="B316" s="18"/>
      <c r="C316" s="19"/>
      <c r="D316" s="18"/>
      <c r="E316" s="21"/>
    </row>
    <row r="317" spans="1:5" ht="15" customHeight="1" x14ac:dyDescent="0.25">
      <c r="A317" s="20"/>
      <c r="B317" s="18"/>
      <c r="C317" s="19"/>
      <c r="D317" s="18"/>
      <c r="E317" s="21"/>
    </row>
    <row r="318" spans="1:5" ht="15" customHeight="1" x14ac:dyDescent="0.25">
      <c r="A318" s="20"/>
      <c r="B318" s="18"/>
      <c r="C318" s="19"/>
      <c r="D318" s="18"/>
      <c r="E318" s="21"/>
    </row>
    <row r="319" spans="1:5" ht="15" customHeight="1" x14ac:dyDescent="0.25">
      <c r="A319" s="20"/>
      <c r="B319" s="18"/>
      <c r="C319" s="19"/>
      <c r="D319" s="18"/>
      <c r="E319" s="21"/>
    </row>
    <row r="320" spans="1:5" ht="15" customHeight="1" x14ac:dyDescent="0.25">
      <c r="A320" s="20"/>
      <c r="B320" s="18"/>
      <c r="C320" s="19"/>
      <c r="D320" s="18"/>
      <c r="E320" s="21"/>
    </row>
    <row r="321" spans="1:5" ht="15" customHeight="1" x14ac:dyDescent="0.25">
      <c r="A321" s="20"/>
      <c r="B321" s="18"/>
      <c r="C321" s="19"/>
      <c r="D321" s="18"/>
      <c r="E321" s="21"/>
    </row>
    <row r="322" spans="1:5" ht="15" customHeight="1" x14ac:dyDescent="0.25">
      <c r="A322" s="20"/>
      <c r="B322" s="18"/>
      <c r="C322" s="19"/>
      <c r="D322" s="18"/>
      <c r="E322" s="21"/>
    </row>
    <row r="323" spans="1:5" ht="15" customHeight="1" x14ac:dyDescent="0.25">
      <c r="A323" s="20"/>
      <c r="B323" s="18"/>
      <c r="C323" s="19"/>
      <c r="D323" s="18"/>
      <c r="E323" s="21"/>
    </row>
    <row r="324" spans="1:5" ht="15" customHeight="1" x14ac:dyDescent="0.25">
      <c r="A324" s="20"/>
      <c r="B324" s="18"/>
      <c r="C324" s="19"/>
      <c r="D324" s="18"/>
      <c r="E324" s="21"/>
    </row>
    <row r="325" spans="1:5" ht="15" customHeight="1" x14ac:dyDescent="0.25">
      <c r="A325" s="20"/>
      <c r="B325" s="18"/>
      <c r="C325" s="19"/>
      <c r="D325" s="18"/>
      <c r="E325" s="21"/>
    </row>
    <row r="326" spans="1:5" ht="15" customHeight="1" x14ac:dyDescent="0.25">
      <c r="A326" s="20"/>
      <c r="B326" s="18"/>
      <c r="C326" s="19"/>
      <c r="D326" s="18"/>
      <c r="E326" s="21"/>
    </row>
    <row r="327" spans="1:5" ht="15" customHeight="1" x14ac:dyDescent="0.25">
      <c r="A327" s="20"/>
      <c r="B327" s="18"/>
      <c r="C327" s="19"/>
      <c r="D327" s="18"/>
      <c r="E327" s="21"/>
    </row>
    <row r="328" spans="1:5" ht="15" customHeight="1" x14ac:dyDescent="0.25">
      <c r="A328" s="20"/>
      <c r="B328" s="18"/>
      <c r="C328" s="19"/>
      <c r="D328" s="18"/>
      <c r="E328" s="21"/>
    </row>
    <row r="329" spans="1:5" ht="15" customHeight="1" x14ac:dyDescent="0.25">
      <c r="A329" s="20"/>
      <c r="B329" s="18"/>
      <c r="C329" s="19"/>
      <c r="D329" s="18"/>
      <c r="E329" s="21"/>
    </row>
    <row r="330" spans="1:5" ht="15" customHeight="1" x14ac:dyDescent="0.25">
      <c r="A330" s="20"/>
      <c r="B330" s="18"/>
      <c r="C330" s="19"/>
      <c r="D330" s="18"/>
      <c r="E330" s="21"/>
    </row>
    <row r="331" spans="1:5" ht="15" customHeight="1" x14ac:dyDescent="0.25">
      <c r="A331" s="20"/>
      <c r="B331" s="18"/>
      <c r="C331" s="19"/>
      <c r="D331" s="18"/>
      <c r="E331" s="21"/>
    </row>
    <row r="332" spans="1:5" ht="15" customHeight="1" x14ac:dyDescent="0.25">
      <c r="A332" s="20"/>
      <c r="B332" s="18"/>
      <c r="C332" s="19"/>
      <c r="D332" s="18"/>
      <c r="E332" s="21"/>
    </row>
    <row r="333" spans="1:5" ht="15" customHeight="1" x14ac:dyDescent="0.25">
      <c r="A333" s="20"/>
      <c r="B333" s="18"/>
      <c r="C333" s="19"/>
      <c r="D333" s="18"/>
      <c r="E333" s="21"/>
    </row>
    <row r="334" spans="1:5" ht="15" customHeight="1" x14ac:dyDescent="0.25">
      <c r="A334" s="20"/>
      <c r="B334" s="18"/>
      <c r="C334" s="19"/>
      <c r="D334" s="18"/>
      <c r="E334" s="21"/>
    </row>
    <row r="335" spans="1:5" ht="15" customHeight="1" x14ac:dyDescent="0.25">
      <c r="A335" s="20"/>
      <c r="B335" s="18"/>
      <c r="C335" s="19"/>
      <c r="D335" s="18"/>
      <c r="E335" s="21"/>
    </row>
    <row r="336" spans="1:5" ht="15" customHeight="1" x14ac:dyDescent="0.25">
      <c r="A336" s="20"/>
      <c r="B336" s="18"/>
      <c r="C336" s="19"/>
      <c r="D336" s="18"/>
      <c r="E336" s="21"/>
    </row>
    <row r="337" spans="1:5" ht="15" customHeight="1" x14ac:dyDescent="0.25">
      <c r="A337" s="20"/>
      <c r="B337" s="18"/>
      <c r="C337" s="19"/>
      <c r="D337" s="18"/>
      <c r="E337" s="21"/>
    </row>
    <row r="338" spans="1:5" ht="15" customHeight="1" x14ac:dyDescent="0.25">
      <c r="A338" s="20"/>
      <c r="B338" s="18"/>
      <c r="C338" s="19"/>
      <c r="D338" s="18"/>
      <c r="E338" s="21"/>
    </row>
    <row r="339" spans="1:5" ht="15" customHeight="1" x14ac:dyDescent="0.25">
      <c r="A339" s="20"/>
      <c r="B339" s="18"/>
      <c r="C339" s="19"/>
      <c r="D339" s="18"/>
      <c r="E339" s="21"/>
    </row>
    <row r="340" spans="1:5" ht="15" customHeight="1" x14ac:dyDescent="0.25">
      <c r="A340" s="20"/>
      <c r="B340" s="18"/>
      <c r="C340" s="19"/>
      <c r="D340" s="18"/>
      <c r="E340" s="21"/>
    </row>
    <row r="341" spans="1:5" ht="15" customHeight="1" x14ac:dyDescent="0.25">
      <c r="A341" s="20"/>
      <c r="B341" s="18"/>
      <c r="C341" s="19"/>
      <c r="D341" s="18"/>
      <c r="E341" s="21"/>
    </row>
    <row r="342" spans="1:5" ht="15" customHeight="1" x14ac:dyDescent="0.25">
      <c r="A342" s="20"/>
      <c r="B342" s="18"/>
      <c r="C342" s="19"/>
      <c r="D342" s="18"/>
      <c r="E342" s="21"/>
    </row>
    <row r="343" spans="1:5" ht="15" customHeight="1" x14ac:dyDescent="0.25">
      <c r="A343" s="20"/>
      <c r="B343" s="18"/>
      <c r="C343" s="19"/>
      <c r="D343" s="18"/>
      <c r="E343" s="21"/>
    </row>
    <row r="344" spans="1:5" ht="15" customHeight="1" x14ac:dyDescent="0.25">
      <c r="A344" s="20"/>
      <c r="B344" s="18"/>
      <c r="C344" s="19"/>
      <c r="D344" s="18"/>
      <c r="E344" s="21"/>
    </row>
    <row r="345" spans="1:5" ht="15" customHeight="1" x14ac:dyDescent="0.25">
      <c r="A345" s="20"/>
      <c r="B345" s="18"/>
      <c r="C345" s="19"/>
      <c r="D345" s="18"/>
      <c r="E345" s="21"/>
    </row>
    <row r="346" spans="1:5" ht="15" customHeight="1" x14ac:dyDescent="0.25">
      <c r="A346" s="20"/>
      <c r="B346" s="18"/>
      <c r="C346" s="19"/>
      <c r="D346" s="18"/>
      <c r="E346" s="21"/>
    </row>
    <row r="347" spans="1:5" ht="15" customHeight="1" x14ac:dyDescent="0.25">
      <c r="A347" s="20"/>
      <c r="B347" s="18"/>
      <c r="C347" s="19"/>
      <c r="D347" s="18"/>
      <c r="E347" s="21"/>
    </row>
    <row r="348" spans="1:5" ht="15" customHeight="1" x14ac:dyDescent="0.25">
      <c r="A348" s="20"/>
      <c r="B348" s="18"/>
      <c r="C348" s="19"/>
      <c r="D348" s="18"/>
      <c r="E348" s="21"/>
    </row>
    <row r="349" spans="1:5" ht="15" customHeight="1" x14ac:dyDescent="0.25">
      <c r="A349" s="20"/>
      <c r="B349" s="18"/>
      <c r="C349" s="19"/>
      <c r="D349" s="18"/>
      <c r="E349" s="21"/>
    </row>
    <row r="350" spans="1:5" ht="15" customHeight="1" x14ac:dyDescent="0.25">
      <c r="A350" s="20"/>
      <c r="B350" s="18"/>
      <c r="C350" s="19"/>
      <c r="D350" s="18"/>
      <c r="E350" s="21"/>
    </row>
    <row r="351" spans="1:5" ht="15" customHeight="1" x14ac:dyDescent="0.25">
      <c r="A351" s="20"/>
      <c r="B351" s="18"/>
      <c r="C351" s="19"/>
      <c r="D351" s="18"/>
      <c r="E351" s="21"/>
    </row>
    <row r="352" spans="1:5" ht="15" customHeight="1" x14ac:dyDescent="0.25">
      <c r="A352" s="20"/>
      <c r="B352" s="18"/>
      <c r="C352" s="19"/>
      <c r="D352" s="18"/>
      <c r="E352" s="21"/>
    </row>
    <row r="353" spans="1:5" ht="15" customHeight="1" x14ac:dyDescent="0.25">
      <c r="A353" s="20"/>
      <c r="B353" s="18"/>
      <c r="C353" s="19"/>
      <c r="D353" s="18"/>
      <c r="E353" s="21"/>
    </row>
    <row r="354" spans="1:5" ht="15" customHeight="1" x14ac:dyDescent="0.25">
      <c r="A354" s="20"/>
      <c r="B354" s="18"/>
      <c r="C354" s="19"/>
      <c r="D354" s="18"/>
      <c r="E354" s="21"/>
    </row>
    <row r="355" spans="1:5" ht="15" customHeight="1" x14ac:dyDescent="0.25">
      <c r="A355" s="20"/>
      <c r="B355" s="18"/>
      <c r="C355" s="19"/>
      <c r="D355" s="18"/>
      <c r="E355" s="21"/>
    </row>
    <row r="356" spans="1:5" ht="15" customHeight="1" x14ac:dyDescent="0.25">
      <c r="A356" s="20"/>
      <c r="B356" s="18"/>
      <c r="C356" s="19"/>
      <c r="D356" s="18"/>
      <c r="E356" s="21"/>
    </row>
    <row r="357" spans="1:5" ht="15" customHeight="1" x14ac:dyDescent="0.25">
      <c r="A357" s="20"/>
      <c r="B357" s="18"/>
      <c r="C357" s="19"/>
      <c r="D357" s="18"/>
      <c r="E357" s="21"/>
    </row>
    <row r="358" spans="1:5" ht="15" customHeight="1" x14ac:dyDescent="0.25">
      <c r="A358" s="20"/>
      <c r="B358" s="18"/>
      <c r="C358" s="19"/>
      <c r="D358" s="18"/>
      <c r="E358" s="21"/>
    </row>
    <row r="359" spans="1:5" ht="15" customHeight="1" x14ac:dyDescent="0.25">
      <c r="A359" s="20"/>
      <c r="B359" s="18"/>
      <c r="C359" s="19"/>
      <c r="D359" s="18"/>
      <c r="E359" s="21"/>
    </row>
    <row r="360" spans="1:5" ht="15" customHeight="1" x14ac:dyDescent="0.25">
      <c r="A360" s="20"/>
      <c r="B360" s="18"/>
      <c r="C360" s="19"/>
      <c r="D360" s="18"/>
      <c r="E360" s="21"/>
    </row>
    <row r="361" spans="1:5" ht="15" customHeight="1" x14ac:dyDescent="0.25">
      <c r="A361" s="20"/>
      <c r="B361" s="18"/>
      <c r="C361" s="19"/>
      <c r="D361" s="18"/>
      <c r="E361" s="21"/>
    </row>
    <row r="362" spans="1:5" ht="15" customHeight="1" x14ac:dyDescent="0.25">
      <c r="A362" s="20"/>
      <c r="B362" s="18"/>
      <c r="C362" s="19"/>
      <c r="D362" s="18"/>
      <c r="E362" s="21"/>
    </row>
    <row r="363" spans="1:5" ht="15" customHeight="1" x14ac:dyDescent="0.25">
      <c r="A363" s="20"/>
      <c r="B363" s="18"/>
      <c r="C363" s="19"/>
      <c r="D363" s="18"/>
      <c r="E363" s="21"/>
    </row>
    <row r="364" spans="1:5" ht="15" customHeight="1" x14ac:dyDescent="0.25">
      <c r="A364" s="20"/>
      <c r="B364" s="18"/>
      <c r="C364" s="19"/>
      <c r="D364" s="18"/>
      <c r="E364" s="21"/>
    </row>
    <row r="365" spans="1:5" ht="15" customHeight="1" x14ac:dyDescent="0.25">
      <c r="A365" s="20"/>
      <c r="B365" s="18"/>
      <c r="C365" s="19"/>
      <c r="D365" s="18"/>
      <c r="E365" s="21"/>
    </row>
    <row r="366" spans="1:5" ht="15" customHeight="1" x14ac:dyDescent="0.25">
      <c r="A366" s="20"/>
      <c r="B366" s="18"/>
      <c r="C366" s="19"/>
      <c r="D366" s="18"/>
      <c r="E366" s="21"/>
    </row>
    <row r="367" spans="1:5" ht="15" customHeight="1" x14ac:dyDescent="0.25">
      <c r="A367" s="20"/>
      <c r="B367" s="18"/>
      <c r="C367" s="19"/>
      <c r="D367" s="18"/>
      <c r="E367" s="21"/>
    </row>
    <row r="368" spans="1:5" ht="15" customHeight="1" x14ac:dyDescent="0.25">
      <c r="A368" s="20"/>
      <c r="B368" s="18"/>
      <c r="C368" s="19"/>
      <c r="D368" s="18"/>
      <c r="E368" s="21"/>
    </row>
    <row r="369" spans="1:5" ht="15" customHeight="1" x14ac:dyDescent="0.25">
      <c r="A369" s="20"/>
      <c r="B369" s="18"/>
      <c r="C369" s="19"/>
      <c r="D369" s="18"/>
      <c r="E369" s="21"/>
    </row>
    <row r="370" spans="1:5" ht="15" customHeight="1" x14ac:dyDescent="0.25">
      <c r="A370" s="20"/>
      <c r="B370" s="18"/>
      <c r="C370" s="19"/>
      <c r="D370" s="18"/>
      <c r="E370" s="21"/>
    </row>
    <row r="371" spans="1:5" ht="15" customHeight="1" x14ac:dyDescent="0.25">
      <c r="A371" s="20"/>
      <c r="B371" s="18"/>
      <c r="C371" s="19"/>
      <c r="D371" s="18"/>
      <c r="E371" s="21"/>
    </row>
    <row r="372" spans="1:5" ht="15" customHeight="1" x14ac:dyDescent="0.25">
      <c r="A372" s="20"/>
      <c r="B372" s="18"/>
      <c r="C372" s="19"/>
      <c r="D372" s="18"/>
      <c r="E372" s="21"/>
    </row>
    <row r="373" spans="1:5" ht="15" customHeight="1" x14ac:dyDescent="0.25">
      <c r="A373" s="20"/>
      <c r="B373" s="18"/>
      <c r="C373" s="19"/>
      <c r="D373" s="18"/>
      <c r="E373" s="21"/>
    </row>
    <row r="374" spans="1:5" ht="15" customHeight="1" x14ac:dyDescent="0.25">
      <c r="A374" s="20"/>
      <c r="B374" s="18"/>
      <c r="C374" s="19"/>
      <c r="D374" s="18"/>
      <c r="E374" s="21"/>
    </row>
    <row r="375" spans="1:5" x14ac:dyDescent="0.25">
      <c r="A375" s="20"/>
      <c r="B375" s="18"/>
      <c r="C375" s="19"/>
      <c r="D375" s="18"/>
      <c r="E375" s="18"/>
    </row>
  </sheetData>
  <mergeCells count="22">
    <mergeCell ref="A8:B8"/>
    <mergeCell ref="A1:J2"/>
    <mergeCell ref="A4:J4"/>
    <mergeCell ref="A5:B5"/>
    <mergeCell ref="A6:B6"/>
    <mergeCell ref="A7:B7"/>
    <mergeCell ref="A10:C10"/>
    <mergeCell ref="E10:F10"/>
    <mergeCell ref="A11:C11"/>
    <mergeCell ref="E11:G11"/>
    <mergeCell ref="A12:C12"/>
    <mergeCell ref="E12:G12"/>
    <mergeCell ref="E18:G18"/>
    <mergeCell ref="E19:G19"/>
    <mergeCell ref="A15:C15"/>
    <mergeCell ref="E14:G14"/>
    <mergeCell ref="A13:C13"/>
    <mergeCell ref="E13:G13"/>
    <mergeCell ref="A14:C14"/>
    <mergeCell ref="E15:F15"/>
    <mergeCell ref="E16:G16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Repair Time(8 Hours)</vt:lpstr>
      <vt:lpstr>Repair Time(10 Hours)</vt:lpstr>
      <vt:lpstr>Repair Time Using Normal Dist.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Qadoos</cp:lastModifiedBy>
  <cp:lastPrinted>2018-10-02T19:20:23Z</cp:lastPrinted>
  <dcterms:created xsi:type="dcterms:W3CDTF">2014-11-11T04:14:33Z</dcterms:created>
  <dcterms:modified xsi:type="dcterms:W3CDTF">2018-11-10T14:06:08Z</dcterms:modified>
</cp:coreProperties>
</file>